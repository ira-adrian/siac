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ARIEL_MATERNIDAD\Mis Documentos\Secretaria de compras\PAC 2022\1° trimestre 2022\Esterilizacion\"/>
    </mc:Choice>
  </mc:AlternateContent>
  <bookViews>
    <workbookView xWindow="0" yWindow="0" windowWidth="20490" windowHeight="765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NotaPedido'!$A$10:$K$31</definedName>
    <definedName name="_xlnm._FilterDatabase" localSheetId="0" hidden="1">'Necesidades Trimestrales'!$A$9:$I$28</definedName>
    <definedName name="_xlnm.Print_Area" localSheetId="1">' NotaPedido'!$A$1:$K$31</definedName>
    <definedName name="_xlnm.Print_Area" localSheetId="2">'Autor Gastar'!$A$1:$Q$27</definedName>
  </definedNames>
  <calcPr calcId="152511"/>
</workbook>
</file>

<file path=xl/calcChain.xml><?xml version="1.0" encoding="utf-8"?>
<calcChain xmlns="http://schemas.openxmlformats.org/spreadsheetml/2006/main">
  <c r="I20" i="2" l="1"/>
  <c r="K30" i="2" l="1"/>
  <c r="J30" i="2"/>
  <c r="I30" i="2"/>
  <c r="C30" i="2"/>
  <c r="B30" i="2"/>
  <c r="A30" i="2"/>
  <c r="K29" i="2"/>
  <c r="J29" i="2"/>
  <c r="I29" i="2"/>
  <c r="C29" i="2"/>
  <c r="B29" i="2"/>
  <c r="A29" i="2"/>
  <c r="K28" i="2"/>
  <c r="J28" i="2"/>
  <c r="I28" i="2"/>
  <c r="C28" i="2"/>
  <c r="B28" i="2"/>
  <c r="A28" i="2"/>
  <c r="I28" i="1"/>
  <c r="I27" i="1"/>
  <c r="I26" i="1"/>
  <c r="Q23" i="3" l="1"/>
  <c r="K24" i="2" l="1"/>
  <c r="K25" i="2"/>
  <c r="K26" i="2"/>
  <c r="K27" i="2"/>
  <c r="J24" i="2"/>
  <c r="J25" i="2"/>
  <c r="J26" i="2"/>
  <c r="J27" i="2"/>
  <c r="I24" i="2"/>
  <c r="I25" i="2"/>
  <c r="I26" i="2"/>
  <c r="I27" i="2"/>
  <c r="C24" i="2"/>
  <c r="C25" i="2"/>
  <c r="C26" i="2"/>
  <c r="C27" i="2"/>
  <c r="B24" i="2"/>
  <c r="B25" i="2"/>
  <c r="B26" i="2"/>
  <c r="B27" i="2"/>
  <c r="A24" i="2"/>
  <c r="A25" i="2"/>
  <c r="A26" i="2"/>
  <c r="A27" i="2"/>
  <c r="I24" i="1"/>
  <c r="I19" i="1"/>
  <c r="I23" i="1"/>
  <c r="I18" i="1"/>
  <c r="I13" i="1"/>
  <c r="K22" i="2" l="1"/>
  <c r="J22" i="2"/>
  <c r="I22" i="2"/>
  <c r="C22" i="2"/>
  <c r="B22" i="2"/>
  <c r="A22" i="2"/>
  <c r="I16" i="1"/>
  <c r="A12" i="2" l="1"/>
  <c r="A13" i="2"/>
  <c r="A14" i="2"/>
  <c r="A15" i="2"/>
  <c r="A16" i="2"/>
  <c r="A17" i="2"/>
  <c r="A18" i="2"/>
  <c r="A19" i="2"/>
  <c r="A20" i="2"/>
  <c r="A21" i="2"/>
  <c r="A23" i="2"/>
  <c r="B12" i="2"/>
  <c r="B13" i="2"/>
  <c r="B14" i="2"/>
  <c r="B15" i="2"/>
  <c r="B16" i="2"/>
  <c r="B17" i="2"/>
  <c r="B18" i="2"/>
  <c r="B19" i="2"/>
  <c r="B20" i="2"/>
  <c r="B21" i="2"/>
  <c r="B23" i="2"/>
  <c r="J12" i="2"/>
  <c r="J13" i="2"/>
  <c r="J14" i="2"/>
  <c r="J15" i="2"/>
  <c r="J16" i="2"/>
  <c r="J17" i="2"/>
  <c r="J18" i="2"/>
  <c r="J19" i="2"/>
  <c r="J20" i="2"/>
  <c r="J21" i="2"/>
  <c r="J23" i="2"/>
  <c r="C12" i="2"/>
  <c r="C13" i="2"/>
  <c r="C14" i="2"/>
  <c r="C15" i="2"/>
  <c r="C16" i="2"/>
  <c r="C17" i="2"/>
  <c r="C18" i="2"/>
  <c r="C19" i="2"/>
  <c r="C20" i="2"/>
  <c r="C21" i="2"/>
  <c r="C23" i="2"/>
  <c r="K12" i="2" l="1"/>
  <c r="K13" i="2"/>
  <c r="K14" i="2"/>
  <c r="K15" i="2"/>
  <c r="K16" i="2"/>
  <c r="K17" i="2"/>
  <c r="K18" i="2"/>
  <c r="K19" i="2"/>
  <c r="K20" i="2"/>
  <c r="K21" i="2"/>
  <c r="K23" i="2"/>
  <c r="J31" i="2" l="1"/>
  <c r="I12" i="2"/>
  <c r="I13" i="2"/>
  <c r="I14" i="2"/>
  <c r="I15" i="2"/>
  <c r="I16" i="2"/>
  <c r="I17" i="2"/>
  <c r="I18" i="2"/>
  <c r="I19" i="2"/>
  <c r="I21" i="2"/>
  <c r="I23" i="2"/>
  <c r="I21" i="1" l="1"/>
  <c r="I22" i="1"/>
  <c r="I20" i="1"/>
  <c r="I25" i="1"/>
  <c r="I17" i="1"/>
  <c r="I11" i="1"/>
  <c r="I10" i="1"/>
  <c r="I14" i="1"/>
  <c r="I12" i="1"/>
  <c r="I15" i="1"/>
  <c r="G6" i="3" l="1"/>
  <c r="G7" i="3"/>
  <c r="G4" i="3"/>
  <c r="G5" i="3"/>
</calcChain>
</file>

<file path=xl/sharedStrings.xml><?xml version="1.0" encoding="utf-8"?>
<sst xmlns="http://schemas.openxmlformats.org/spreadsheetml/2006/main" count="168" uniqueCount="107">
  <si>
    <t>Pedido de Necesidades Trimestrales</t>
  </si>
  <si>
    <t>JURISDICCION:</t>
  </si>
  <si>
    <t xml:space="preserve">SAF N°: </t>
  </si>
  <si>
    <t>EJERCICIO: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</si>
  <si>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</si>
  <si>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</si>
  <si>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</si>
  <si>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</si>
  <si>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</si>
  <si>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</si>
  <si>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</si>
  <si>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</si>
  <si>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</si>
  <si>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</si>
  <si>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</si>
  <si>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</si>
  <si>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</si>
  <si>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</si>
  <si>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</si>
  <si>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</si>
  <si>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</si>
  <si>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</si>
  <si>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</si>
  <si>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</si>
  <si>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</si>
  <si>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</si>
  <si>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</si>
  <si>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</si>
  <si>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</si>
  <si>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</si>
  <si>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</si>
  <si>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</si>
  <si>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</si>
  <si>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</si>
  <si>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</si>
  <si>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</si>
  <si>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</si>
  <si>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</si>
  <si>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</si>
  <si>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</si>
  <si>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</si>
  <si>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</si>
  <si>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</si>
  <si>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</si>
  <si>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</si>
  <si>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</si>
  <si>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</si>
  <si>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</si>
  <si>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</si>
  <si>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</si>
  <si>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</si>
  <si>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</si>
  <si>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</si>
  <si>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</si>
  <si>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</si>
  <si>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</si>
  <si>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</si>
  <si>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</si>
  <si>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</si>
  <si>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</si>
  <si>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</si>
  <si>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</si>
  <si>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</si>
  <si>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TRIMESTRE:</t>
  </si>
  <si>
    <t xml:space="preserve">30 dias </t>
  </si>
  <si>
    <t xml:space="preserve">
</t>
  </si>
  <si>
    <t xml:space="preserve">1° </t>
  </si>
  <si>
    <t xml:space="preserve">Servicio de Farmacia  </t>
  </si>
  <si>
    <t>CAJA</t>
  </si>
  <si>
    <t xml:space="preserve"> Adquisición de Productos Medicos para ESTRERILIZACION</t>
  </si>
  <si>
    <t>SEMESTRAL</t>
  </si>
  <si>
    <t>ESTERILIZACION</t>
  </si>
  <si>
    <t>Bobina Baja Densidad 30 X 40 rollo x 200 un. Tipo Mapsa</t>
  </si>
  <si>
    <t>Bolsas Termosellables P/bib 145 X 50 X 330mm Tipo Yellow Pack x 1000</t>
  </si>
  <si>
    <t>Bolsas Termosellables P/bib 250 X 100 X 380mm TipoYellow Pack x 1000</t>
  </si>
  <si>
    <t>Camisolin P/Cirugia de tela verde brin con puño caña larga</t>
  </si>
  <si>
    <t>Cinta Testigo p/calor humedo  (en rollo) Tipo Kims</t>
  </si>
  <si>
    <t>ROLLO</t>
  </si>
  <si>
    <t>Cinta Testigo p/calor seco  (en rollo) Tipo Kims</t>
  </si>
  <si>
    <t>GASA COSIDA TIPO  MEDISPO RADIO ESTERIL X 5 UNIDADES</t>
  </si>
  <si>
    <t>GASA HIDROFILA PIEZA X 1,8 KGS. TIPO HIDROSAN</t>
  </si>
  <si>
    <t>Indicador Quimico P/Sterrad NX x 1000 Tiras Tipo ASP</t>
  </si>
  <si>
    <t>Malla Tubular de 30 cm. Ancho X 25 mts. Largo Tipo Hidrosan</t>
  </si>
  <si>
    <t>PAPEL GRADO MEDICO 120 CM X 100 MTS</t>
  </si>
  <si>
    <t>BOBINA</t>
  </si>
  <si>
    <t>PAPEL GRADO MEDICO CREPADO ROLLO 80 CM X 100 MTS</t>
  </si>
  <si>
    <t>Polipropileno Paquete x 100 hojas 1 mt. x 1 mt. Tipo ST PACK</t>
  </si>
  <si>
    <t>Rollo de lienzo Ecologico 60grs  1,5  x 50 mt.</t>
  </si>
  <si>
    <t>Ropa Equipo Cirugia Universal DESCARTABLE 17 Elementos Esteril</t>
  </si>
  <si>
    <t>PAQUETE</t>
  </si>
  <si>
    <t>Tela de Lienzo rollo 100 mts largo x 1,60 mts ancho</t>
  </si>
  <si>
    <t>Tela verde brin de algodón rollo 50 mtrs largo (doble ancho) x 1,50 mt de ancho. Indantrend</t>
  </si>
  <si>
    <t>Test pack de 15 mm (viraje de color-tipo 2 Paquete de un solo uso para efectuar el test de Bowie y Dick. Detecta deficiencias en la penetración de vapor. Viraje final a negro. Presentación: Paquete de 120x 120 x 15 mm. Caja por 20 unidades.</t>
  </si>
  <si>
    <t>Testigo p/calor humedo  (en Tiras) Tipo Kims</t>
  </si>
  <si>
    <t>Especificidades Item N° : 1 A 19</t>
  </si>
  <si>
    <t xml:space="preserve">Hilados y telas </t>
  </si>
  <si>
    <t xml:space="preserve">Productos de papel y carton </t>
  </si>
  <si>
    <t>Compuestos quimicos</t>
  </si>
  <si>
    <t>Productos de material plastico</t>
  </si>
  <si>
    <t>Otros NEP</t>
  </si>
  <si>
    <t>Utiles menores, medicos, quirurgicos y de lab.</t>
  </si>
  <si>
    <t>Para la adquisición de Adquisición de Productos de ESTERILIZACION, para ser destinados Servicio de Farmacia, de  la Maternidad Provincial 25 de Mayo.-</t>
  </si>
  <si>
    <t>N°13 /2022</t>
  </si>
  <si>
    <t>"Autorizo la realización de los  trámites correspondientes, a fin de proveer a  este Organismo los bienes y/o servicios que se detallan en Nota  de Pedido N°13 /2022 ,  afectando la erogación resultante a los créditos presupuestarios aprobados a favor de esta Unidad Ejecutora, conforme al siguiente detalle:"</t>
  </si>
  <si>
    <t>Costo total estimado: OCHO MILLONES DOSCIENTOS VEINTITRES MIL TRESCIENTOS NOVENTA Y CUATRO CON 00/100</t>
  </si>
  <si>
    <t>TOTAL DE PESOS: OCHO MILLONES DOSCIENTOS VEINTITRES MIL TRESCIENTOS NOVENTA Y CUATRO CON 00/100</t>
  </si>
  <si>
    <t>20 dias habiles desde la firma del instrumento contractual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</si>
</sst>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sz val="10"/>
      <color rgb="FF000000"/>
      <name val="Arial"/>
      <family val="2"/>
    </font>
    <font>
      <b/>
      <u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0" fontId="10" fillId="0" borderId="1" applyProtection="0"/>
    <xf numFmtId="164" fontId="11" fillId="0" borderId="0" applyBorder="0" applyProtection="0"/>
    <xf numFmtId="0" fontId="12" fillId="2" borderId="0" applyBorder="0" applyProtection="0"/>
    <xf numFmtId="165" fontId="19" fillId="0" borderId="0" applyBorder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9" fillId="6" borderId="0" applyNumberFormat="0" applyBorder="0" applyAlignment="0" applyProtection="0"/>
    <xf numFmtId="0" fontId="7" fillId="7" borderId="0" applyNumberFormat="0" applyBorder="0" applyAlignment="0" applyProtection="0"/>
    <xf numFmtId="0" fontId="2" fillId="0" borderId="0"/>
  </cellStyleXfs>
  <cellXfs count="177">
    <xf numFmtId="0" fontId="0" fillId="0" borderId="0" xfId="0"/>
    <xf numFmtId="0" fontId="0" fillId="0" borderId="0" xfId="0" applyBorder="1"/>
    <xf numFmtId="0" fontId="11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4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11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65" fontId="18" fillId="0" borderId="25" xfId="0" applyNumberFormat="1" applyFont="1" applyBorder="1" applyAlignment="1">
      <alignment horizontal="center" vertical="center"/>
    </xf>
    <xf numFmtId="0" fontId="20" fillId="0" borderId="0" xfId="0" applyFont="1"/>
    <xf numFmtId="0" fontId="0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5" fontId="19" fillId="0" borderId="0" xfId="4"/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165" fontId="0" fillId="0" borderId="36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3" fillId="3" borderId="0" xfId="0" applyFont="1" applyFill="1"/>
    <xf numFmtId="0" fontId="23" fillId="3" borderId="0" xfId="0" applyFont="1" applyFill="1" applyAlignment="1">
      <alignment horizontal="left" wrapText="1"/>
    </xf>
    <xf numFmtId="0" fontId="8" fillId="3" borderId="3" xfId="7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left" wrapText="1"/>
    </xf>
    <xf numFmtId="0" fontId="26" fillId="3" borderId="0" xfId="0" applyFont="1" applyFill="1" applyAlignment="1"/>
    <xf numFmtId="0" fontId="20" fillId="0" borderId="0" xfId="0" applyFont="1" applyAlignment="1">
      <alignment horizontal="center" wrapText="1"/>
    </xf>
    <xf numFmtId="0" fontId="20" fillId="0" borderId="51" xfId="0" applyFont="1" applyBorder="1"/>
    <xf numFmtId="0" fontId="20" fillId="0" borderId="0" xfId="0" applyFont="1" applyAlignment="1">
      <alignment horizontal="center" vertical="center" wrapText="1"/>
    </xf>
    <xf numFmtId="0" fontId="0" fillId="0" borderId="51" xfId="0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0" xfId="0" applyFont="1" applyAlignment="1"/>
    <xf numFmtId="0" fontId="20" fillId="0" borderId="0" xfId="0" applyFont="1" applyAlignment="1">
      <alignment wrapText="1"/>
    </xf>
    <xf numFmtId="0" fontId="33" fillId="3" borderId="5" xfId="0" applyFont="1" applyFill="1" applyBorder="1" applyAlignment="1">
      <alignment horizontal="right" vertical="center"/>
    </xf>
    <xf numFmtId="0" fontId="33" fillId="3" borderId="7" xfId="0" applyFont="1" applyFill="1" applyBorder="1" applyAlignment="1">
      <alignment vertical="center"/>
    </xf>
    <xf numFmtId="0" fontId="33" fillId="3" borderId="0" xfId="0" applyFont="1" applyFill="1" applyBorder="1" applyAlignment="1">
      <alignment vertical="center"/>
    </xf>
    <xf numFmtId="0" fontId="35" fillId="3" borderId="0" xfId="0" applyFont="1" applyFill="1" applyBorder="1" applyAlignment="1">
      <alignment horizontal="left" vertical="center"/>
    </xf>
    <xf numFmtId="0" fontId="34" fillId="3" borderId="0" xfId="0" applyFont="1" applyFill="1" applyBorder="1" applyAlignment="1">
      <alignment horizontal="left" vertical="center" wrapText="1" indent="1"/>
    </xf>
    <xf numFmtId="0" fontId="32" fillId="3" borderId="2" xfId="5" applyFont="1" applyFill="1" applyBorder="1" applyAlignment="1">
      <alignment horizontal="center" vertical="center"/>
    </xf>
    <xf numFmtId="0" fontId="32" fillId="3" borderId="3" xfId="5" applyFont="1" applyFill="1" applyBorder="1" applyAlignment="1">
      <alignment horizontal="center" vertical="center"/>
    </xf>
    <xf numFmtId="0" fontId="32" fillId="3" borderId="3" xfId="5" applyFont="1" applyFill="1" applyBorder="1" applyAlignment="1">
      <alignment horizontal="center" wrapText="1"/>
    </xf>
    <xf numFmtId="0" fontId="32" fillId="3" borderId="32" xfId="5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vertical="center"/>
    </xf>
    <xf numFmtId="0" fontId="38" fillId="3" borderId="0" xfId="0" applyFont="1" applyFill="1" applyBorder="1" applyAlignment="1">
      <alignment vertical="center"/>
    </xf>
    <xf numFmtId="0" fontId="39" fillId="3" borderId="0" xfId="0" applyFont="1" applyFill="1" applyBorder="1" applyAlignment="1">
      <alignment vertical="center"/>
    </xf>
    <xf numFmtId="166" fontId="32" fillId="3" borderId="3" xfId="6" applyNumberFormat="1" applyFont="1" applyFill="1" applyBorder="1" applyAlignment="1" applyProtection="1">
      <alignment horizontal="center" vertical="center" wrapText="1"/>
    </xf>
    <xf numFmtId="1" fontId="33" fillId="3" borderId="0" xfId="0" applyNumberFormat="1" applyFont="1" applyFill="1" applyBorder="1" applyAlignment="1">
      <alignment vertical="center"/>
    </xf>
    <xf numFmtId="1" fontId="34" fillId="3" borderId="0" xfId="0" applyNumberFormat="1" applyFont="1" applyFill="1" applyBorder="1" applyAlignment="1">
      <alignment horizontal="left" vertical="center" wrapText="1" indent="1"/>
    </xf>
    <xf numFmtId="1" fontId="32" fillId="3" borderId="4" xfId="5" applyNumberFormat="1" applyFont="1" applyFill="1" applyBorder="1" applyAlignment="1">
      <alignment horizontal="center" vertical="center"/>
    </xf>
    <xf numFmtId="1" fontId="11" fillId="3" borderId="0" xfId="0" applyNumberFormat="1" applyFont="1" applyFill="1" applyBorder="1" applyAlignment="1">
      <alignment vertical="center"/>
    </xf>
    <xf numFmtId="0" fontId="28" fillId="3" borderId="54" xfId="0" applyFont="1" applyFill="1" applyBorder="1" applyAlignment="1">
      <alignment horizontal="center" vertical="center" wrapText="1"/>
    </xf>
    <xf numFmtId="0" fontId="28" fillId="3" borderId="55" xfId="0" applyFont="1" applyFill="1" applyBorder="1" applyAlignment="1">
      <alignment horizontal="center" vertical="center" wrapText="1"/>
    </xf>
    <xf numFmtId="0" fontId="28" fillId="3" borderId="56" xfId="0" applyFont="1" applyFill="1" applyBorder="1" applyAlignment="1">
      <alignment horizontal="center" vertical="center" wrapText="1"/>
    </xf>
    <xf numFmtId="169" fontId="28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41" fillId="3" borderId="0" xfId="0" applyFont="1" applyFill="1"/>
    <xf numFmtId="169" fontId="8" fillId="3" borderId="37" xfId="7" applyNumberFormat="1" applyFont="1" applyFill="1" applyBorder="1" applyAlignment="1">
      <alignment horizontal="center" vertical="center" wrapText="1"/>
    </xf>
    <xf numFmtId="170" fontId="30" fillId="0" borderId="58" xfId="0" applyNumberFormat="1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28" fillId="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1" fontId="32" fillId="3" borderId="43" xfId="5" applyNumberFormat="1" applyFont="1" applyFill="1" applyBorder="1" applyAlignment="1">
      <alignment horizontal="center" vertical="center" wrapText="1"/>
    </xf>
    <xf numFmtId="0" fontId="23" fillId="3" borderId="0" xfId="0" applyFont="1" applyFill="1" applyAlignment="1">
      <alignment vertical="center"/>
    </xf>
    <xf numFmtId="0" fontId="29" fillId="3" borderId="53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169" fontId="26" fillId="3" borderId="0" xfId="0" applyNumberFormat="1" applyFont="1" applyFill="1" applyAlignment="1">
      <alignment horizontal="center"/>
    </xf>
    <xf numFmtId="169" fontId="23" fillId="3" borderId="0" xfId="0" applyNumberFormat="1" applyFont="1" applyFill="1" applyAlignment="1">
      <alignment horizontal="center"/>
    </xf>
    <xf numFmtId="169" fontId="20" fillId="0" borderId="0" xfId="0" applyNumberFormat="1" applyFont="1" applyAlignment="1">
      <alignment horizontal="center"/>
    </xf>
    <xf numFmtId="0" fontId="23" fillId="3" borderId="0" xfId="0" applyFont="1" applyFill="1" applyAlignment="1">
      <alignment wrapText="1"/>
    </xf>
    <xf numFmtId="0" fontId="0" fillId="0" borderId="51" xfId="0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51" xfId="0" applyFont="1" applyBorder="1" applyAlignment="1">
      <alignment vertical="center" wrapText="1"/>
    </xf>
    <xf numFmtId="0" fontId="20" fillId="0" borderId="0" xfId="0" applyFont="1" applyBorder="1" applyAlignment="1">
      <alignment vertical="center" wrapText="1"/>
    </xf>
    <xf numFmtId="0" fontId="20" fillId="0" borderId="0" xfId="0" applyFont="1" applyBorder="1"/>
    <xf numFmtId="168" fontId="0" fillId="0" borderId="3" xfId="0" applyNumberFormat="1" applyBorder="1" applyAlignment="1">
      <alignment horizontal="center" vertical="center"/>
    </xf>
    <xf numFmtId="0" fontId="5" fillId="3" borderId="32" xfId="6" applyFont="1" applyFill="1" applyBorder="1" applyAlignment="1">
      <alignment horizontal="center" vertical="center" wrapText="1"/>
    </xf>
    <xf numFmtId="0" fontId="26" fillId="0" borderId="0" xfId="0" applyFont="1" applyFill="1" applyAlignment="1"/>
    <xf numFmtId="0" fontId="24" fillId="0" borderId="0" xfId="0" applyFont="1" applyFill="1" applyAlignment="1">
      <alignment horizontal="left" wrapText="1" indent="1"/>
    </xf>
    <xf numFmtId="0" fontId="23" fillId="0" borderId="0" xfId="0" applyFont="1" applyFill="1" applyAlignment="1">
      <alignment horizontal="center" wrapText="1"/>
    </xf>
    <xf numFmtId="0" fontId="28" fillId="0" borderId="55" xfId="0" applyFont="1" applyFill="1" applyBorder="1" applyAlignment="1">
      <alignment horizontal="center" vertical="center" wrapText="1"/>
    </xf>
    <xf numFmtId="0" fontId="8" fillId="0" borderId="3" xfId="7" applyFont="1" applyFill="1" applyBorder="1" applyAlignment="1">
      <alignment horizontal="center" vertical="center" wrapText="1"/>
    </xf>
    <xf numFmtId="0" fontId="6" fillId="0" borderId="3" xfId="7" applyFont="1" applyFill="1" applyBorder="1" applyAlignment="1">
      <alignment horizontal="center" vertical="center" wrapText="1"/>
    </xf>
    <xf numFmtId="0" fontId="23" fillId="0" borderId="0" xfId="0" applyFont="1" applyFill="1"/>
    <xf numFmtId="0" fontId="20" fillId="0" borderId="0" xfId="0" applyFont="1" applyFill="1"/>
    <xf numFmtId="0" fontId="0" fillId="0" borderId="0" xfId="0" applyFill="1"/>
    <xf numFmtId="0" fontId="20" fillId="0" borderId="49" xfId="0" applyFont="1" applyFill="1" applyBorder="1" applyAlignment="1">
      <alignment vertical="center"/>
    </xf>
    <xf numFmtId="0" fontId="20" fillId="0" borderId="49" xfId="0" applyFont="1" applyFill="1" applyBorder="1" applyAlignment="1"/>
    <xf numFmtId="0" fontId="20" fillId="0" borderId="49" xfId="0" applyFont="1" applyFill="1" applyBorder="1" applyAlignment="1">
      <alignment wrapText="1"/>
    </xf>
    <xf numFmtId="0" fontId="20" fillId="0" borderId="49" xfId="0" applyFont="1" applyFill="1" applyBorder="1" applyAlignment="1">
      <alignment horizontal="center" vertical="center" wrapText="1"/>
    </xf>
    <xf numFmtId="0" fontId="20" fillId="0" borderId="52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23" fillId="0" borderId="0" xfId="0" applyFont="1" applyFill="1" applyAlignment="1">
      <alignment horizontal="center"/>
    </xf>
    <xf numFmtId="0" fontId="4" fillId="3" borderId="3" xfId="7" applyFont="1" applyFill="1" applyBorder="1" applyAlignment="1">
      <alignment horizontal="center" vertical="center" wrapText="1"/>
    </xf>
    <xf numFmtId="0" fontId="4" fillId="3" borderId="32" xfId="6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 wrapText="1"/>
    </xf>
    <xf numFmtId="0" fontId="3" fillId="3" borderId="3" xfId="7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/>
    </xf>
    <xf numFmtId="0" fontId="6" fillId="3" borderId="3" xfId="7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0" fontId="8" fillId="0" borderId="43" xfId="7" applyFont="1" applyFill="1" applyBorder="1" applyAlignment="1">
      <alignment horizontal="center" vertical="center" wrapText="1"/>
    </xf>
    <xf numFmtId="166" fontId="11" fillId="0" borderId="0" xfId="0" applyNumberFormat="1" applyFont="1" applyBorder="1" applyAlignment="1">
      <alignment vertical="center"/>
    </xf>
    <xf numFmtId="0" fontId="1" fillId="3" borderId="3" xfId="7" applyFont="1" applyFill="1" applyBorder="1" applyAlignment="1">
      <alignment horizontal="center" vertical="center" wrapText="1"/>
    </xf>
    <xf numFmtId="0" fontId="34" fillId="0" borderId="57" xfId="0" applyFont="1" applyFill="1" applyBorder="1" applyAlignment="1">
      <alignment horizontal="right" vertical="center"/>
    </xf>
    <xf numFmtId="0" fontId="27" fillId="3" borderId="0" xfId="0" applyFont="1" applyFill="1" applyBorder="1" applyAlignment="1">
      <alignment horizontal="left" vertical="center" wrapText="1"/>
    </xf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20" fillId="0" borderId="49" xfId="0" applyFont="1" applyBorder="1" applyAlignment="1">
      <alignment horizontal="center" vertical="top" wrapText="1"/>
    </xf>
    <xf numFmtId="0" fontId="42" fillId="3" borderId="0" xfId="8" applyFont="1" applyFill="1" applyAlignment="1">
      <alignment horizontal="center" vertical="center"/>
    </xf>
    <xf numFmtId="0" fontId="20" fillId="0" borderId="49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46" fillId="0" borderId="46" xfId="0" applyFont="1" applyBorder="1" applyAlignment="1">
      <alignment horizontal="center" vertical="center"/>
    </xf>
    <xf numFmtId="0" fontId="46" fillId="0" borderId="47" xfId="0" applyFont="1" applyBorder="1" applyAlignment="1">
      <alignment horizontal="center" vertical="center"/>
    </xf>
    <xf numFmtId="0" fontId="46" fillId="0" borderId="48" xfId="0" applyFont="1" applyBorder="1" applyAlignment="1">
      <alignment horizontal="center" vertical="center"/>
    </xf>
    <xf numFmtId="0" fontId="32" fillId="3" borderId="3" xfId="5" applyFont="1" applyFill="1" applyBorder="1" applyAlignment="1">
      <alignment horizontal="center" vertical="center" wrapText="1"/>
    </xf>
    <xf numFmtId="165" fontId="11" fillId="3" borderId="0" xfId="0" applyNumberFormat="1" applyFont="1" applyFill="1" applyBorder="1" applyAlignment="1">
      <alignment horizontal="center" vertical="center"/>
    </xf>
    <xf numFmtId="0" fontId="34" fillId="3" borderId="59" xfId="0" applyFont="1" applyFill="1" applyBorder="1" applyAlignment="1">
      <alignment horizontal="left" vertical="center" wrapText="1" indent="1"/>
    </xf>
    <xf numFmtId="0" fontId="34" fillId="3" borderId="60" xfId="0" applyFont="1" applyFill="1" applyBorder="1" applyAlignment="1">
      <alignment horizontal="left" vertical="center" wrapText="1" indent="1"/>
    </xf>
    <xf numFmtId="0" fontId="34" fillId="3" borderId="61" xfId="0" applyFont="1" applyFill="1" applyBorder="1" applyAlignment="1">
      <alignment horizontal="left" vertical="center" wrapText="1" indent="1"/>
    </xf>
    <xf numFmtId="166" fontId="37" fillId="3" borderId="43" xfId="0" applyNumberFormat="1" applyFont="1" applyFill="1" applyBorder="1" applyAlignment="1">
      <alignment horizontal="center" vertical="center"/>
    </xf>
    <xf numFmtId="166" fontId="37" fillId="3" borderId="42" xfId="0" applyNumberFormat="1" applyFont="1" applyFill="1" applyBorder="1" applyAlignment="1">
      <alignment horizontal="center" vertical="center"/>
    </xf>
    <xf numFmtId="0" fontId="35" fillId="3" borderId="11" xfId="0" applyFont="1" applyFill="1" applyBorder="1" applyAlignment="1">
      <alignment horizontal="left" vertical="center"/>
    </xf>
    <xf numFmtId="0" fontId="34" fillId="3" borderId="12" xfId="0" applyFont="1" applyFill="1" applyBorder="1" applyAlignment="1">
      <alignment horizontal="left" vertical="center" wrapText="1" indent="1"/>
    </xf>
    <xf numFmtId="0" fontId="36" fillId="3" borderId="11" xfId="0" applyFont="1" applyFill="1" applyBorder="1" applyAlignment="1">
      <alignment horizontal="center" vertical="center"/>
    </xf>
    <xf numFmtId="0" fontId="36" fillId="3" borderId="29" xfId="0" applyFont="1" applyFill="1" applyBorder="1" applyAlignment="1">
      <alignment horizontal="center" vertical="center"/>
    </xf>
    <xf numFmtId="0" fontId="36" fillId="3" borderId="13" xfId="0" applyFont="1" applyFill="1" applyBorder="1" applyAlignment="1">
      <alignment horizontal="center" vertical="center" wrapText="1"/>
    </xf>
    <xf numFmtId="0" fontId="36" fillId="3" borderId="30" xfId="0" applyFont="1" applyFill="1" applyBorder="1" applyAlignment="1">
      <alignment horizontal="center" vertical="center" wrapText="1"/>
    </xf>
    <xf numFmtId="1" fontId="36" fillId="3" borderId="12" xfId="0" applyNumberFormat="1" applyFont="1" applyFill="1" applyBorder="1" applyAlignment="1">
      <alignment horizontal="center" vertical="center" wrapText="1"/>
    </xf>
    <xf numFmtId="1" fontId="36" fillId="3" borderId="31" xfId="0" applyNumberFormat="1" applyFont="1" applyFill="1" applyBorder="1" applyAlignment="1">
      <alignment horizontal="center" vertical="center" wrapText="1"/>
    </xf>
    <xf numFmtId="0" fontId="33" fillId="3" borderId="0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left" vertical="center" wrapText="1"/>
    </xf>
    <xf numFmtId="0" fontId="34" fillId="3" borderId="9" xfId="0" applyFont="1" applyFill="1" applyBorder="1" applyAlignment="1">
      <alignment horizontal="left" vertical="center" wrapText="1" indent="1"/>
    </xf>
    <xf numFmtId="0" fontId="35" fillId="3" borderId="10" xfId="0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6" fillId="0" borderId="25" xfId="0" applyFont="1" applyFill="1" applyBorder="1" applyAlignment="1">
      <alignment horizontal="left" vertical="center" wrapText="1" indent="1"/>
    </xf>
    <xf numFmtId="0" fontId="44" fillId="0" borderId="25" xfId="0" applyFont="1" applyBorder="1" applyAlignment="1">
      <alignment horizontal="left" vertical="center" wrapText="1"/>
    </xf>
    <xf numFmtId="0" fontId="19" fillId="0" borderId="16" xfId="0" applyFont="1" applyBorder="1" applyAlignment="1"/>
    <xf numFmtId="0" fontId="0" fillId="0" borderId="16" xfId="0" applyBorder="1" applyAlignment="1"/>
    <xf numFmtId="0" fontId="19" fillId="0" borderId="38" xfId="0" applyFont="1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19" fillId="0" borderId="35" xfId="0" applyFont="1" applyBorder="1" applyAlignment="1">
      <alignment horizontal="left" vertical="center" wrapText="1"/>
    </xf>
    <xf numFmtId="0" fontId="0" fillId="0" borderId="35" xfId="0" applyFont="1" applyBorder="1" applyAlignment="1">
      <alignment horizontal="left" vertical="center" wrapText="1"/>
    </xf>
    <xf numFmtId="0" fontId="14" fillId="0" borderId="14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0" fillId="0" borderId="14" xfId="0" applyFont="1" applyBorder="1" applyAlignment="1">
      <alignment horizontal="center"/>
    </xf>
    <xf numFmtId="3" fontId="14" fillId="0" borderId="15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11" fillId="0" borderId="6" xfId="0" applyFont="1" applyBorder="1" applyAlignment="1"/>
    <xf numFmtId="0" fontId="16" fillId="0" borderId="6" xfId="0" applyFont="1" applyBorder="1" applyAlignment="1">
      <alignment horizontal="left" indent="1"/>
    </xf>
    <xf numFmtId="0" fontId="16" fillId="0" borderId="17" xfId="0" applyFont="1" applyBorder="1" applyAlignment="1"/>
    <xf numFmtId="0" fontId="16" fillId="0" borderId="18" xfId="0" applyFont="1" applyFill="1" applyBorder="1" applyAlignment="1">
      <alignment horizontal="left" vertical="center" wrapText="1" indent="1"/>
    </xf>
    <xf numFmtId="0" fontId="18" fillId="0" borderId="16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/>
    </xf>
  </cellXfs>
  <cellStyles count="10">
    <cellStyle name="20% - Énfasis2" xfId="7" builtinId="34"/>
    <cellStyle name="20% - Énfasis5" xfId="8" builtinId="46"/>
    <cellStyle name="Buena" xfId="5" builtinId="26"/>
    <cellStyle name="Encabezado 1" xfId="1"/>
    <cellStyle name="Incorrecto" xfId="6" builtinId="27"/>
    <cellStyle name="Moneda 2" xfId="4"/>
    <cellStyle name="Moneda_AUTORIZACION Y NOTA DE PEDIDO" xfId="2"/>
    <cellStyle name="Neutral 1" xfId="3"/>
    <cellStyle name="Normal" xfId="0" builtinId="0"/>
    <cellStyle name="Normal 5" xfId="9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9"/>
  <sheetViews>
    <sheetView topLeftCell="A5" zoomScale="80" zoomScaleNormal="80" workbookViewId="0">
      <selection activeCell="F33" sqref="F33"/>
    </sheetView>
  </sheetViews>
  <sheetFormatPr baseColWidth="10" defaultColWidth="11" defaultRowHeight="12.75" x14ac:dyDescent="0.2"/>
  <cols>
    <col min="1" max="1" width="7" style="76" customWidth="1"/>
    <col min="2" max="2" width="16.85546875" style="30" customWidth="1"/>
    <col min="3" max="3" width="25" style="82" customWidth="1"/>
    <col min="4" max="4" width="12.140625" style="30" customWidth="1"/>
    <col min="5" max="5" width="79" style="105" customWidth="1"/>
    <col min="6" max="6" width="17.85546875" style="30" bestFit="1" customWidth="1"/>
    <col min="7" max="7" width="12.7109375" style="76" customWidth="1"/>
    <col min="8" max="8" width="13.85546875" style="67" customWidth="1"/>
    <col min="9" max="9" width="30" style="80" customWidth="1"/>
    <col min="10" max="16384" width="11" style="18"/>
  </cols>
  <sheetData>
    <row r="2" spans="1:9" ht="27" x14ac:dyDescent="0.35">
      <c r="E2" s="90" t="s">
        <v>0</v>
      </c>
      <c r="F2" s="34"/>
      <c r="G2" s="72"/>
      <c r="I2" s="79"/>
    </row>
    <row r="4" spans="1:9" ht="18" customHeight="1" x14ac:dyDescent="0.25">
      <c r="A4" s="118" t="s">
        <v>1</v>
      </c>
      <c r="B4" s="118"/>
      <c r="C4" s="118"/>
      <c r="D4" s="118"/>
      <c r="E4" s="119" t="s">
        <v>58</v>
      </c>
      <c r="F4" s="119"/>
      <c r="G4" s="119"/>
    </row>
    <row r="5" spans="1:9" ht="18" customHeight="1" x14ac:dyDescent="0.25">
      <c r="A5" s="118" t="s">
        <v>2</v>
      </c>
      <c r="B5" s="118"/>
      <c r="C5" s="118"/>
      <c r="D5" s="118"/>
      <c r="E5" s="119" t="s">
        <v>53</v>
      </c>
      <c r="F5" s="119"/>
      <c r="G5" s="119"/>
    </row>
    <row r="6" spans="1:9" ht="16.5" customHeight="1" x14ac:dyDescent="0.25">
      <c r="A6" s="118" t="s">
        <v>3</v>
      </c>
      <c r="B6" s="118"/>
      <c r="C6" s="118"/>
      <c r="D6" s="118"/>
      <c r="E6" s="91">
        <v>2022</v>
      </c>
      <c r="F6" s="33"/>
      <c r="G6" s="73"/>
    </row>
    <row r="7" spans="1:9" ht="16.5" customHeight="1" x14ac:dyDescent="0.25">
      <c r="A7" s="118" t="s">
        <v>63</v>
      </c>
      <c r="B7" s="118"/>
      <c r="C7" s="118"/>
      <c r="D7" s="118"/>
      <c r="E7" s="91" t="s">
        <v>66</v>
      </c>
      <c r="F7" s="33"/>
      <c r="G7" s="73"/>
    </row>
    <row r="8" spans="1:9" ht="13.5" thickBot="1" x14ac:dyDescent="0.25">
      <c r="E8" s="92"/>
      <c r="F8" s="31"/>
      <c r="G8" s="74"/>
    </row>
    <row r="9" spans="1:9" ht="39" thickBot="1" x14ac:dyDescent="0.25">
      <c r="A9" s="63" t="s">
        <v>4</v>
      </c>
      <c r="B9" s="64" t="s">
        <v>5</v>
      </c>
      <c r="C9" s="64" t="s">
        <v>51</v>
      </c>
      <c r="D9" s="64" t="s">
        <v>52</v>
      </c>
      <c r="E9" s="93" t="s">
        <v>6</v>
      </c>
      <c r="F9" s="64" t="s">
        <v>7</v>
      </c>
      <c r="G9" s="65" t="s">
        <v>8</v>
      </c>
      <c r="H9" s="70" t="s">
        <v>9</v>
      </c>
      <c r="I9" s="66" t="s">
        <v>10</v>
      </c>
    </row>
    <row r="10" spans="1:9" s="24" customFormat="1" ht="15.75" thickBot="1" x14ac:dyDescent="0.25">
      <c r="A10" s="77">
        <v>1</v>
      </c>
      <c r="B10" s="32"/>
      <c r="C10" s="116" t="s">
        <v>71</v>
      </c>
      <c r="D10" s="89">
        <v>234</v>
      </c>
      <c r="E10" s="94" t="s">
        <v>72</v>
      </c>
      <c r="F10" s="32" t="s">
        <v>11</v>
      </c>
      <c r="G10" s="75">
        <v>50</v>
      </c>
      <c r="H10" s="88">
        <v>780</v>
      </c>
      <c r="I10" s="69">
        <f t="shared" ref="I10:I28" si="0">G10*H10</f>
        <v>39000</v>
      </c>
    </row>
    <row r="11" spans="1:9" s="24" customFormat="1" ht="15.75" thickBot="1" x14ac:dyDescent="0.25">
      <c r="A11" s="78">
        <v>2</v>
      </c>
      <c r="B11" s="32"/>
      <c r="C11" s="116" t="s">
        <v>71</v>
      </c>
      <c r="D11" s="89">
        <v>259</v>
      </c>
      <c r="E11" s="108" t="s">
        <v>73</v>
      </c>
      <c r="F11" s="110" t="s">
        <v>68</v>
      </c>
      <c r="G11" s="75">
        <v>8</v>
      </c>
      <c r="H11" s="88">
        <v>15200</v>
      </c>
      <c r="I11" s="69">
        <f t="shared" si="0"/>
        <v>121600</v>
      </c>
    </row>
    <row r="12" spans="1:9" ht="15.75" thickBot="1" x14ac:dyDescent="0.25">
      <c r="A12" s="77">
        <v>3</v>
      </c>
      <c r="B12" s="32"/>
      <c r="C12" s="116" t="s">
        <v>71</v>
      </c>
      <c r="D12" s="89">
        <v>259</v>
      </c>
      <c r="E12" s="95" t="s">
        <v>74</v>
      </c>
      <c r="F12" s="32" t="s">
        <v>68</v>
      </c>
      <c r="G12" s="75">
        <v>30</v>
      </c>
      <c r="H12" s="88">
        <v>39880</v>
      </c>
      <c r="I12" s="69">
        <f t="shared" si="0"/>
        <v>1196400</v>
      </c>
    </row>
    <row r="13" spans="1:9" ht="15.75" thickBot="1" x14ac:dyDescent="0.25">
      <c r="A13" s="77">
        <v>4</v>
      </c>
      <c r="B13" s="32"/>
      <c r="C13" s="116" t="s">
        <v>71</v>
      </c>
      <c r="D13" s="89">
        <v>295</v>
      </c>
      <c r="E13" s="112" t="s">
        <v>75</v>
      </c>
      <c r="F13" s="32" t="s">
        <v>11</v>
      </c>
      <c r="G13" s="75">
        <v>750</v>
      </c>
      <c r="H13" s="88">
        <v>2580</v>
      </c>
      <c r="I13" s="69">
        <f t="shared" si="0"/>
        <v>1935000</v>
      </c>
    </row>
    <row r="14" spans="1:9" ht="15.75" thickBot="1" x14ac:dyDescent="0.25">
      <c r="A14" s="77">
        <v>5</v>
      </c>
      <c r="B14" s="32"/>
      <c r="C14" s="116" t="s">
        <v>71</v>
      </c>
      <c r="D14" s="89">
        <v>259</v>
      </c>
      <c r="E14" s="94" t="s">
        <v>76</v>
      </c>
      <c r="F14" s="32" t="s">
        <v>77</v>
      </c>
      <c r="G14" s="75">
        <v>60</v>
      </c>
      <c r="H14" s="88">
        <v>380</v>
      </c>
      <c r="I14" s="69">
        <f t="shared" si="0"/>
        <v>22800</v>
      </c>
    </row>
    <row r="15" spans="1:9" ht="15.75" thickBot="1" x14ac:dyDescent="0.25">
      <c r="A15" s="78">
        <v>6</v>
      </c>
      <c r="B15" s="32"/>
      <c r="C15" s="116" t="s">
        <v>71</v>
      </c>
      <c r="D15" s="89">
        <v>259</v>
      </c>
      <c r="E15" s="94" t="s">
        <v>78</v>
      </c>
      <c r="F15" s="32" t="s">
        <v>77</v>
      </c>
      <c r="G15" s="75">
        <v>35</v>
      </c>
      <c r="H15" s="88">
        <v>330</v>
      </c>
      <c r="I15" s="69">
        <f t="shared" si="0"/>
        <v>11550</v>
      </c>
    </row>
    <row r="16" spans="1:9" customFormat="1" ht="15.75" thickBot="1" x14ac:dyDescent="0.25">
      <c r="A16" s="77">
        <v>7</v>
      </c>
      <c r="B16" s="32"/>
      <c r="C16" s="116" t="s">
        <v>71</v>
      </c>
      <c r="D16" s="107">
        <v>295</v>
      </c>
      <c r="E16" s="106" t="s">
        <v>79</v>
      </c>
      <c r="F16" s="106" t="s">
        <v>68</v>
      </c>
      <c r="G16" s="75">
        <v>180</v>
      </c>
      <c r="H16" s="88">
        <v>358</v>
      </c>
      <c r="I16" s="69">
        <f t="shared" si="0"/>
        <v>64440</v>
      </c>
    </row>
    <row r="17" spans="1:9" ht="15.75" thickBot="1" x14ac:dyDescent="0.25">
      <c r="A17" s="77">
        <v>8</v>
      </c>
      <c r="B17" s="32"/>
      <c r="C17" s="116" t="s">
        <v>71</v>
      </c>
      <c r="D17" s="89">
        <v>295</v>
      </c>
      <c r="E17" s="94" t="s">
        <v>80</v>
      </c>
      <c r="F17" s="32" t="s">
        <v>11</v>
      </c>
      <c r="G17" s="75">
        <v>300</v>
      </c>
      <c r="H17" s="88">
        <v>2680</v>
      </c>
      <c r="I17" s="69">
        <f t="shared" si="0"/>
        <v>804000</v>
      </c>
    </row>
    <row r="18" spans="1:9" ht="15.75" thickBot="1" x14ac:dyDescent="0.25">
      <c r="A18" s="77">
        <v>9</v>
      </c>
      <c r="B18" s="32"/>
      <c r="C18" s="116" t="s">
        <v>71</v>
      </c>
      <c r="D18" s="89">
        <v>251</v>
      </c>
      <c r="E18" s="108" t="s">
        <v>81</v>
      </c>
      <c r="F18" s="110" t="s">
        <v>68</v>
      </c>
      <c r="G18" s="75">
        <v>20</v>
      </c>
      <c r="H18" s="88">
        <v>15800</v>
      </c>
      <c r="I18" s="69">
        <f t="shared" si="0"/>
        <v>316000</v>
      </c>
    </row>
    <row r="19" spans="1:9" ht="15.75" thickBot="1" x14ac:dyDescent="0.25">
      <c r="A19" s="78">
        <v>10</v>
      </c>
      <c r="B19" s="32"/>
      <c r="C19" s="116" t="s">
        <v>71</v>
      </c>
      <c r="D19" s="89">
        <v>295</v>
      </c>
      <c r="E19" s="113" t="s">
        <v>82</v>
      </c>
      <c r="F19" s="110" t="s">
        <v>11</v>
      </c>
      <c r="G19" s="75">
        <v>15</v>
      </c>
      <c r="H19" s="88">
        <v>2900</v>
      </c>
      <c r="I19" s="69">
        <f t="shared" si="0"/>
        <v>43500</v>
      </c>
    </row>
    <row r="20" spans="1:9" ht="15.75" thickBot="1" x14ac:dyDescent="0.25">
      <c r="A20" s="77">
        <v>11</v>
      </c>
      <c r="B20" s="32"/>
      <c r="C20" s="116" t="s">
        <v>71</v>
      </c>
      <c r="D20" s="89">
        <v>259</v>
      </c>
      <c r="E20" s="94" t="s">
        <v>83</v>
      </c>
      <c r="F20" s="32" t="s">
        <v>84</v>
      </c>
      <c r="G20" s="75">
        <v>50</v>
      </c>
      <c r="H20" s="88">
        <v>6800</v>
      </c>
      <c r="I20" s="69">
        <f t="shared" si="0"/>
        <v>340000</v>
      </c>
    </row>
    <row r="21" spans="1:9" ht="15.75" thickBot="1" x14ac:dyDescent="0.25">
      <c r="A21" s="77">
        <v>12</v>
      </c>
      <c r="B21" s="32"/>
      <c r="C21" s="116" t="s">
        <v>71</v>
      </c>
      <c r="D21" s="89">
        <v>259</v>
      </c>
      <c r="E21" s="94" t="s">
        <v>85</v>
      </c>
      <c r="F21" s="32" t="s">
        <v>84</v>
      </c>
      <c r="G21" s="75">
        <v>20</v>
      </c>
      <c r="H21" s="88">
        <v>5200</v>
      </c>
      <c r="I21" s="69">
        <f t="shared" si="0"/>
        <v>104000</v>
      </c>
    </row>
    <row r="22" spans="1:9" ht="15.75" thickBot="1" x14ac:dyDescent="0.25">
      <c r="A22" s="77">
        <v>13</v>
      </c>
      <c r="B22" s="32"/>
      <c r="C22" s="116" t="s">
        <v>71</v>
      </c>
      <c r="D22" s="89">
        <v>258</v>
      </c>
      <c r="E22" s="94" t="s">
        <v>86</v>
      </c>
      <c r="F22" s="32" t="s">
        <v>11</v>
      </c>
      <c r="G22" s="75">
        <v>8</v>
      </c>
      <c r="H22" s="88">
        <v>13000</v>
      </c>
      <c r="I22" s="69">
        <f t="shared" si="0"/>
        <v>104000</v>
      </c>
    </row>
    <row r="23" spans="1:9" ht="15.75" thickBot="1" x14ac:dyDescent="0.25">
      <c r="A23" s="78">
        <v>14</v>
      </c>
      <c r="B23" s="32"/>
      <c r="C23" s="116" t="s">
        <v>71</v>
      </c>
      <c r="D23" s="89">
        <v>221</v>
      </c>
      <c r="E23" s="109" t="s">
        <v>87</v>
      </c>
      <c r="F23" s="110" t="s">
        <v>77</v>
      </c>
      <c r="G23" s="75">
        <v>35</v>
      </c>
      <c r="H23" s="88">
        <v>5600</v>
      </c>
      <c r="I23" s="69">
        <f t="shared" si="0"/>
        <v>196000</v>
      </c>
    </row>
    <row r="24" spans="1:9" ht="15.75" thickBot="1" x14ac:dyDescent="0.25">
      <c r="A24" s="77">
        <v>15</v>
      </c>
      <c r="B24" s="32"/>
      <c r="C24" s="116" t="s">
        <v>71</v>
      </c>
      <c r="D24" s="89">
        <v>295</v>
      </c>
      <c r="E24" s="111" t="s">
        <v>88</v>
      </c>
      <c r="F24" s="110" t="s">
        <v>89</v>
      </c>
      <c r="G24" s="75">
        <v>200</v>
      </c>
      <c r="H24" s="88">
        <v>5405.52</v>
      </c>
      <c r="I24" s="69">
        <f t="shared" si="0"/>
        <v>1081104</v>
      </c>
    </row>
    <row r="25" spans="1:9" ht="15.75" thickBot="1" x14ac:dyDescent="0.25">
      <c r="A25" s="77">
        <v>16</v>
      </c>
      <c r="B25" s="32"/>
      <c r="C25" s="116" t="s">
        <v>71</v>
      </c>
      <c r="D25" s="89">
        <v>221</v>
      </c>
      <c r="E25" s="94" t="s">
        <v>90</v>
      </c>
      <c r="F25" s="32" t="s">
        <v>77</v>
      </c>
      <c r="G25" s="75">
        <v>8</v>
      </c>
      <c r="H25" s="88">
        <v>54800</v>
      </c>
      <c r="I25" s="69">
        <f t="shared" si="0"/>
        <v>438400</v>
      </c>
    </row>
    <row r="26" spans="1:9" ht="30.75" thickBot="1" x14ac:dyDescent="0.25">
      <c r="A26" s="77">
        <v>17</v>
      </c>
      <c r="B26" s="32"/>
      <c r="C26" s="116" t="s">
        <v>71</v>
      </c>
      <c r="D26" s="89">
        <v>221</v>
      </c>
      <c r="E26" s="94" t="s">
        <v>91</v>
      </c>
      <c r="F26" s="32" t="s">
        <v>77</v>
      </c>
      <c r="G26" s="75">
        <v>20</v>
      </c>
      <c r="H26" s="88">
        <v>63200</v>
      </c>
      <c r="I26" s="69">
        <f t="shared" si="0"/>
        <v>1264000</v>
      </c>
    </row>
    <row r="27" spans="1:9" ht="45.75" thickBot="1" x14ac:dyDescent="0.25">
      <c r="A27" s="78">
        <v>18</v>
      </c>
      <c r="B27" s="32"/>
      <c r="C27" s="116" t="s">
        <v>71</v>
      </c>
      <c r="D27" s="89">
        <v>251</v>
      </c>
      <c r="E27" s="114" t="s">
        <v>92</v>
      </c>
      <c r="F27" s="32" t="s">
        <v>68</v>
      </c>
      <c r="G27" s="75">
        <v>20</v>
      </c>
      <c r="H27" s="88">
        <v>6500</v>
      </c>
      <c r="I27" s="69">
        <f t="shared" si="0"/>
        <v>130000</v>
      </c>
    </row>
    <row r="28" spans="1:9" ht="15" x14ac:dyDescent="0.2">
      <c r="A28" s="77">
        <v>19</v>
      </c>
      <c r="B28" s="32"/>
      <c r="C28" s="116" t="s">
        <v>71</v>
      </c>
      <c r="D28" s="89">
        <v>251</v>
      </c>
      <c r="E28" s="114" t="s">
        <v>93</v>
      </c>
      <c r="F28" s="32" t="s">
        <v>68</v>
      </c>
      <c r="G28" s="75">
        <v>20</v>
      </c>
      <c r="H28" s="88">
        <v>580</v>
      </c>
      <c r="I28" s="69">
        <f t="shared" si="0"/>
        <v>11600</v>
      </c>
    </row>
    <row r="29" spans="1:9" ht="15.75" x14ac:dyDescent="0.25">
      <c r="A29" s="39"/>
      <c r="B29" s="68"/>
      <c r="E29" s="96"/>
      <c r="I29" s="81"/>
    </row>
    <row r="30" spans="1:9" x14ac:dyDescent="0.2">
      <c r="A30" s="39"/>
      <c r="B30" s="18"/>
      <c r="D30" s="18"/>
      <c r="E30" s="97"/>
      <c r="F30" s="18"/>
      <c r="I30" s="81"/>
    </row>
    <row r="31" spans="1:9" ht="13.5" customHeight="1" thickBot="1" x14ac:dyDescent="0.25">
      <c r="A31" s="39"/>
      <c r="B31" s="71"/>
      <c r="C31" s="83"/>
      <c r="D31" s="38"/>
      <c r="E31" s="98"/>
      <c r="F31" s="18"/>
      <c r="G31" s="123"/>
      <c r="H31" s="18"/>
      <c r="I31" s="18"/>
    </row>
    <row r="32" spans="1:9" ht="15" customHeight="1" x14ac:dyDescent="0.2">
      <c r="A32" s="39"/>
      <c r="B32" s="126" t="s">
        <v>94</v>
      </c>
      <c r="C32" s="127"/>
      <c r="D32" s="127"/>
      <c r="E32" s="128"/>
      <c r="F32" s="18"/>
      <c r="G32" s="123"/>
      <c r="H32" s="18"/>
      <c r="I32" s="18"/>
    </row>
    <row r="33" spans="1:9" ht="15" customHeight="1" x14ac:dyDescent="0.2">
      <c r="A33" s="39"/>
      <c r="B33" s="40"/>
      <c r="C33" s="84"/>
      <c r="D33" s="18"/>
      <c r="E33" s="99"/>
      <c r="F33" s="18"/>
      <c r="G33" s="123"/>
      <c r="H33" s="18"/>
      <c r="I33" s="18"/>
    </row>
    <row r="34" spans="1:9" ht="15" customHeight="1" x14ac:dyDescent="0.2">
      <c r="A34" s="39"/>
      <c r="B34" s="41" t="s">
        <v>54</v>
      </c>
      <c r="C34" s="84"/>
      <c r="D34" s="18"/>
      <c r="E34" s="99"/>
      <c r="F34" s="18"/>
      <c r="G34" s="123"/>
      <c r="H34" s="18"/>
      <c r="I34" s="18"/>
    </row>
    <row r="35" spans="1:9" ht="27" customHeight="1" x14ac:dyDescent="0.2">
      <c r="A35" s="39"/>
      <c r="B35" s="41"/>
      <c r="C35" s="121" t="s">
        <v>65</v>
      </c>
      <c r="D35" s="121"/>
      <c r="E35" s="122"/>
      <c r="F35" s="18"/>
      <c r="G35" s="123"/>
      <c r="H35" s="18"/>
      <c r="I35" s="18"/>
    </row>
    <row r="36" spans="1:9" ht="15" customHeight="1" x14ac:dyDescent="0.2">
      <c r="A36" s="39"/>
      <c r="B36" s="42" t="s">
        <v>60</v>
      </c>
      <c r="C36" s="120" t="s">
        <v>106</v>
      </c>
      <c r="D36" s="120"/>
      <c r="E36" s="120"/>
      <c r="F36" s="18"/>
      <c r="G36" s="123"/>
      <c r="H36" s="18"/>
      <c r="I36" s="18"/>
    </row>
    <row r="37" spans="1:9" ht="15" customHeight="1" x14ac:dyDescent="0.2">
      <c r="A37" s="39"/>
      <c r="B37" s="125"/>
      <c r="C37" s="125"/>
      <c r="D37" s="125"/>
      <c r="E37" s="125"/>
      <c r="F37" s="18"/>
      <c r="G37" s="123"/>
      <c r="H37" s="18"/>
      <c r="I37" s="18"/>
    </row>
    <row r="38" spans="1:9" ht="24.75" customHeight="1" x14ac:dyDescent="0.2">
      <c r="A38" s="39"/>
      <c r="B38" s="40" t="s">
        <v>61</v>
      </c>
      <c r="C38" s="120" t="s">
        <v>62</v>
      </c>
      <c r="D38" s="120"/>
      <c r="E38" s="124"/>
      <c r="F38" s="18"/>
      <c r="G38" s="123"/>
      <c r="H38" s="18"/>
      <c r="I38" s="18"/>
    </row>
    <row r="39" spans="1:9" ht="15" customHeight="1" x14ac:dyDescent="0.2">
      <c r="A39" s="39"/>
      <c r="B39" s="40"/>
      <c r="C39" s="45"/>
      <c r="D39" s="44"/>
      <c r="E39" s="100"/>
      <c r="F39" s="18"/>
      <c r="G39" s="123"/>
      <c r="H39" s="18"/>
      <c r="I39" s="18"/>
    </row>
    <row r="40" spans="1:9" ht="12.75" customHeight="1" x14ac:dyDescent="0.2">
      <c r="A40" s="39"/>
      <c r="B40" s="41" t="s">
        <v>55</v>
      </c>
      <c r="C40" s="120"/>
      <c r="D40" s="120"/>
      <c r="E40" s="124"/>
      <c r="F40" s="18"/>
      <c r="G40" s="123"/>
      <c r="H40" s="18"/>
      <c r="I40" s="18"/>
    </row>
    <row r="41" spans="1:9" ht="12.75" customHeight="1" x14ac:dyDescent="0.2">
      <c r="A41" s="39"/>
      <c r="B41" s="40"/>
      <c r="C41" s="45"/>
      <c r="D41" s="45"/>
      <c r="E41" s="101"/>
      <c r="F41" s="18"/>
      <c r="G41" s="123"/>
      <c r="H41" s="18"/>
      <c r="I41" s="18"/>
    </row>
    <row r="42" spans="1:9" ht="15" customHeight="1" x14ac:dyDescent="0.2">
      <c r="A42" s="39"/>
      <c r="B42" s="41" t="s">
        <v>56</v>
      </c>
      <c r="C42" s="37"/>
      <c r="D42" s="35"/>
      <c r="E42" s="102"/>
      <c r="F42" s="18"/>
      <c r="G42" s="123"/>
      <c r="H42" s="18"/>
      <c r="I42" s="18"/>
    </row>
    <row r="43" spans="1:9" ht="15" customHeight="1" x14ac:dyDescent="0.2">
      <c r="A43" s="39"/>
      <c r="B43" s="40"/>
      <c r="C43" s="45"/>
      <c r="D43" s="45"/>
      <c r="E43" s="101" t="s">
        <v>64</v>
      </c>
      <c r="F43" s="18"/>
      <c r="G43" s="123"/>
      <c r="H43" s="18"/>
      <c r="I43" s="18"/>
    </row>
    <row r="44" spans="1:9" ht="15" customHeight="1" x14ac:dyDescent="0.2">
      <c r="A44" s="39"/>
      <c r="B44" s="41" t="s">
        <v>57</v>
      </c>
      <c r="C44" s="84"/>
      <c r="D44" s="18"/>
      <c r="E44" s="99"/>
      <c r="F44" s="18"/>
      <c r="G44" s="123"/>
      <c r="H44" s="18"/>
      <c r="I44" s="18"/>
    </row>
    <row r="45" spans="1:9" ht="15" customHeight="1" x14ac:dyDescent="0.2">
      <c r="A45" s="39"/>
      <c r="B45" s="41"/>
      <c r="C45" s="45"/>
      <c r="D45" s="44"/>
      <c r="E45" s="100"/>
      <c r="F45" s="18"/>
      <c r="G45" s="123"/>
      <c r="H45" s="18"/>
      <c r="I45" s="18"/>
    </row>
    <row r="46" spans="1:9" ht="12.75" customHeight="1" thickBot="1" x14ac:dyDescent="0.25">
      <c r="A46" s="39"/>
      <c r="B46" s="43"/>
      <c r="C46" s="85"/>
      <c r="D46" s="36"/>
      <c r="E46" s="103"/>
      <c r="F46" s="18"/>
      <c r="G46" s="123"/>
      <c r="H46" s="18"/>
      <c r="I46" s="18"/>
    </row>
    <row r="47" spans="1:9" ht="12.75" customHeight="1" x14ac:dyDescent="0.2">
      <c r="A47" s="39"/>
      <c r="B47" s="71"/>
      <c r="C47" s="86"/>
      <c r="D47" s="87"/>
      <c r="E47" s="104"/>
      <c r="F47" s="18"/>
      <c r="G47" s="123"/>
      <c r="H47" s="18"/>
      <c r="I47" s="18"/>
    </row>
    <row r="48" spans="1:9" x14ac:dyDescent="0.2">
      <c r="I48" s="81"/>
    </row>
    <row r="49" spans="9:9" x14ac:dyDescent="0.2">
      <c r="I49" s="81"/>
    </row>
    <row r="50" spans="9:9" x14ac:dyDescent="0.2">
      <c r="I50" s="81"/>
    </row>
    <row r="51" spans="9:9" x14ac:dyDescent="0.2">
      <c r="I51" s="81"/>
    </row>
    <row r="52" spans="9:9" x14ac:dyDescent="0.2">
      <c r="I52" s="81"/>
    </row>
    <row r="53" spans="9:9" ht="27" customHeight="1" x14ac:dyDescent="0.2">
      <c r="I53" s="81"/>
    </row>
    <row r="54" spans="9:9" x14ac:dyDescent="0.2">
      <c r="I54" s="81"/>
    </row>
    <row r="55" spans="9:9" x14ac:dyDescent="0.2">
      <c r="I55" s="81"/>
    </row>
    <row r="56" spans="9:9" x14ac:dyDescent="0.2">
      <c r="I56" s="81"/>
    </row>
    <row r="57" spans="9:9" x14ac:dyDescent="0.2">
      <c r="I57" s="81"/>
    </row>
    <row r="58" spans="9:9" x14ac:dyDescent="0.2">
      <c r="I58" s="81"/>
    </row>
    <row r="59" spans="9:9" x14ac:dyDescent="0.2">
      <c r="I59" s="81"/>
    </row>
    <row r="60" spans="9:9" x14ac:dyDescent="0.2">
      <c r="I60" s="81"/>
    </row>
    <row r="61" spans="9:9" x14ac:dyDescent="0.2">
      <c r="I61" s="81"/>
    </row>
    <row r="62" spans="9:9" x14ac:dyDescent="0.2">
      <c r="I62" s="81"/>
    </row>
    <row r="63" spans="9:9" x14ac:dyDescent="0.2">
      <c r="I63" s="81"/>
    </row>
    <row r="64" spans="9:9" x14ac:dyDescent="0.2">
      <c r="I64" s="81"/>
    </row>
    <row r="65" spans="9:9" x14ac:dyDescent="0.2">
      <c r="I65" s="81"/>
    </row>
    <row r="66" spans="9:9" x14ac:dyDescent="0.2">
      <c r="I66" s="81"/>
    </row>
    <row r="67" spans="9:9" x14ac:dyDescent="0.2">
      <c r="I67" s="81"/>
    </row>
    <row r="68" spans="9:9" x14ac:dyDescent="0.2">
      <c r="I68" s="81"/>
    </row>
    <row r="69" spans="9:9" x14ac:dyDescent="0.2">
      <c r="I69" s="81"/>
    </row>
    <row r="70" spans="9:9" x14ac:dyDescent="0.2">
      <c r="I70" s="81"/>
    </row>
    <row r="71" spans="9:9" x14ac:dyDescent="0.2">
      <c r="I71" s="81"/>
    </row>
    <row r="72" spans="9:9" x14ac:dyDescent="0.2">
      <c r="I72" s="81"/>
    </row>
    <row r="73" spans="9:9" x14ac:dyDescent="0.2">
      <c r="I73" s="81"/>
    </row>
    <row r="74" spans="9:9" x14ac:dyDescent="0.2">
      <c r="I74" s="81"/>
    </row>
    <row r="75" spans="9:9" x14ac:dyDescent="0.2">
      <c r="I75" s="81"/>
    </row>
    <row r="76" spans="9:9" x14ac:dyDescent="0.2">
      <c r="I76" s="81"/>
    </row>
    <row r="77" spans="9:9" x14ac:dyDescent="0.2">
      <c r="I77" s="81"/>
    </row>
    <row r="78" spans="9:9" x14ac:dyDescent="0.2">
      <c r="I78" s="81"/>
    </row>
    <row r="79" spans="9:9" x14ac:dyDescent="0.2">
      <c r="I79" s="81"/>
    </row>
    <row r="80" spans="9:9" x14ac:dyDescent="0.2">
      <c r="I80" s="81"/>
    </row>
    <row r="81" spans="9:9" x14ac:dyDescent="0.2">
      <c r="I81" s="81"/>
    </row>
    <row r="82" spans="9:9" x14ac:dyDescent="0.2">
      <c r="I82" s="81"/>
    </row>
    <row r="83" spans="9:9" x14ac:dyDescent="0.2">
      <c r="I83" s="81"/>
    </row>
    <row r="84" spans="9:9" x14ac:dyDescent="0.2">
      <c r="I84" s="81"/>
    </row>
    <row r="85" spans="9:9" x14ac:dyDescent="0.2">
      <c r="I85" s="81"/>
    </row>
    <row r="86" spans="9:9" x14ac:dyDescent="0.2">
      <c r="I86" s="81"/>
    </row>
    <row r="87" spans="9:9" x14ac:dyDescent="0.2">
      <c r="I87" s="81"/>
    </row>
    <row r="88" spans="9:9" x14ac:dyDescent="0.2">
      <c r="I88" s="81"/>
    </row>
    <row r="89" spans="9:9" x14ac:dyDescent="0.2">
      <c r="I89" s="81"/>
    </row>
    <row r="90" spans="9:9" x14ac:dyDescent="0.2">
      <c r="I90" s="81"/>
    </row>
    <row r="91" spans="9:9" x14ac:dyDescent="0.2">
      <c r="I91" s="81"/>
    </row>
    <row r="92" spans="9:9" x14ac:dyDescent="0.2">
      <c r="I92" s="81"/>
    </row>
    <row r="93" spans="9:9" x14ac:dyDescent="0.2">
      <c r="I93" s="81"/>
    </row>
    <row r="94" spans="9:9" x14ac:dyDescent="0.2">
      <c r="I94" s="81"/>
    </row>
    <row r="95" spans="9:9" x14ac:dyDescent="0.2">
      <c r="I95" s="81"/>
    </row>
    <row r="96" spans="9:9" x14ac:dyDescent="0.2">
      <c r="I96" s="81"/>
    </row>
    <row r="97" spans="9:9" x14ac:dyDescent="0.2">
      <c r="I97" s="81"/>
    </row>
    <row r="98" spans="9:9" x14ac:dyDescent="0.2">
      <c r="I98" s="81"/>
    </row>
    <row r="99" spans="9:9" x14ac:dyDescent="0.2">
      <c r="I99" s="81"/>
    </row>
    <row r="100" spans="9:9" x14ac:dyDescent="0.2">
      <c r="I100" s="81"/>
    </row>
    <row r="101" spans="9:9" x14ac:dyDescent="0.2">
      <c r="I101" s="81"/>
    </row>
    <row r="102" spans="9:9" x14ac:dyDescent="0.2">
      <c r="I102" s="81"/>
    </row>
    <row r="103" spans="9:9" x14ac:dyDescent="0.2">
      <c r="I103" s="81"/>
    </row>
    <row r="104" spans="9:9" x14ac:dyDescent="0.2">
      <c r="I104" s="81"/>
    </row>
    <row r="105" spans="9:9" x14ac:dyDescent="0.2">
      <c r="I105" s="81"/>
    </row>
    <row r="106" spans="9:9" x14ac:dyDescent="0.2">
      <c r="I106" s="81"/>
    </row>
    <row r="107" spans="9:9" x14ac:dyDescent="0.2">
      <c r="I107" s="81"/>
    </row>
    <row r="108" spans="9:9" x14ac:dyDescent="0.2">
      <c r="I108" s="81"/>
    </row>
    <row r="109" spans="9:9" x14ac:dyDescent="0.2">
      <c r="I109" s="81"/>
    </row>
    <row r="110" spans="9:9" x14ac:dyDescent="0.2">
      <c r="I110" s="81"/>
    </row>
    <row r="111" spans="9:9" x14ac:dyDescent="0.2">
      <c r="I111" s="81"/>
    </row>
    <row r="112" spans="9:9" x14ac:dyDescent="0.2">
      <c r="I112" s="81"/>
    </row>
    <row r="113" spans="9:9" x14ac:dyDescent="0.2">
      <c r="I113" s="81"/>
    </row>
    <row r="114" spans="9:9" x14ac:dyDescent="0.2">
      <c r="I114" s="81"/>
    </row>
    <row r="115" spans="9:9" x14ac:dyDescent="0.2">
      <c r="I115" s="81"/>
    </row>
    <row r="116" spans="9:9" x14ac:dyDescent="0.2">
      <c r="I116" s="81"/>
    </row>
    <row r="117" spans="9:9" x14ac:dyDescent="0.2">
      <c r="I117" s="81"/>
    </row>
    <row r="118" spans="9:9" x14ac:dyDescent="0.2">
      <c r="I118" s="81"/>
    </row>
    <row r="119" spans="9:9" x14ac:dyDescent="0.2">
      <c r="I119" s="81"/>
    </row>
    <row r="120" spans="9:9" x14ac:dyDescent="0.2">
      <c r="I120" s="81"/>
    </row>
    <row r="121" spans="9:9" x14ac:dyDescent="0.2">
      <c r="I121" s="81"/>
    </row>
    <row r="122" spans="9:9" x14ac:dyDescent="0.2">
      <c r="I122" s="81"/>
    </row>
    <row r="123" spans="9:9" x14ac:dyDescent="0.2">
      <c r="I123" s="81"/>
    </row>
    <row r="124" spans="9:9" x14ac:dyDescent="0.2">
      <c r="I124" s="81"/>
    </row>
    <row r="125" spans="9:9" x14ac:dyDescent="0.2">
      <c r="I125" s="81"/>
    </row>
    <row r="126" spans="9:9" x14ac:dyDescent="0.2">
      <c r="I126" s="81"/>
    </row>
    <row r="127" spans="9:9" x14ac:dyDescent="0.2">
      <c r="I127" s="81"/>
    </row>
    <row r="128" spans="9:9" x14ac:dyDescent="0.2">
      <c r="I128" s="81"/>
    </row>
    <row r="129" spans="9:9" x14ac:dyDescent="0.2">
      <c r="I129" s="81"/>
    </row>
    <row r="130" spans="9:9" x14ac:dyDescent="0.2">
      <c r="I130" s="81"/>
    </row>
    <row r="131" spans="9:9" x14ac:dyDescent="0.2">
      <c r="I131" s="81"/>
    </row>
    <row r="132" spans="9:9" x14ac:dyDescent="0.2">
      <c r="I132" s="81"/>
    </row>
    <row r="133" spans="9:9" x14ac:dyDescent="0.2">
      <c r="I133" s="81"/>
    </row>
    <row r="134" spans="9:9" x14ac:dyDescent="0.2">
      <c r="I134" s="81"/>
    </row>
    <row r="135" spans="9:9" x14ac:dyDescent="0.2">
      <c r="I135" s="81"/>
    </row>
    <row r="136" spans="9:9" x14ac:dyDescent="0.2">
      <c r="I136" s="81"/>
    </row>
    <row r="137" spans="9:9" x14ac:dyDescent="0.2">
      <c r="I137" s="81"/>
    </row>
    <row r="138" spans="9:9" x14ac:dyDescent="0.2">
      <c r="I138" s="81"/>
    </row>
    <row r="139" spans="9:9" x14ac:dyDescent="0.2">
      <c r="I139" s="81"/>
    </row>
    <row r="140" spans="9:9" x14ac:dyDescent="0.2">
      <c r="I140" s="81"/>
    </row>
    <row r="141" spans="9:9" x14ac:dyDescent="0.2">
      <c r="I141" s="81"/>
    </row>
    <row r="142" spans="9:9" x14ac:dyDescent="0.2">
      <c r="I142" s="81"/>
    </row>
    <row r="143" spans="9:9" x14ac:dyDescent="0.2">
      <c r="I143" s="81"/>
    </row>
    <row r="144" spans="9:9" x14ac:dyDescent="0.2">
      <c r="I144" s="81"/>
    </row>
    <row r="145" spans="9:9" x14ac:dyDescent="0.2">
      <c r="I145" s="81"/>
    </row>
    <row r="146" spans="9:9" x14ac:dyDescent="0.2">
      <c r="I146" s="81"/>
    </row>
    <row r="147" spans="9:9" x14ac:dyDescent="0.2">
      <c r="I147" s="81"/>
    </row>
    <row r="148" spans="9:9" x14ac:dyDescent="0.2">
      <c r="I148" s="81"/>
    </row>
    <row r="149" spans="9:9" x14ac:dyDescent="0.2">
      <c r="I149" s="81"/>
    </row>
    <row r="150" spans="9:9" x14ac:dyDescent="0.2">
      <c r="I150" s="81"/>
    </row>
    <row r="151" spans="9:9" x14ac:dyDescent="0.2">
      <c r="I151" s="81"/>
    </row>
    <row r="152" spans="9:9" x14ac:dyDescent="0.2">
      <c r="I152" s="81"/>
    </row>
    <row r="153" spans="9:9" x14ac:dyDescent="0.2">
      <c r="I153" s="81"/>
    </row>
    <row r="154" spans="9:9" x14ac:dyDescent="0.2">
      <c r="I154" s="81"/>
    </row>
    <row r="155" spans="9:9" x14ac:dyDescent="0.2">
      <c r="I155" s="81"/>
    </row>
    <row r="156" spans="9:9" x14ac:dyDescent="0.2">
      <c r="I156" s="81"/>
    </row>
    <row r="157" spans="9:9" x14ac:dyDescent="0.2">
      <c r="I157" s="81"/>
    </row>
    <row r="158" spans="9:9" x14ac:dyDescent="0.2">
      <c r="I158" s="81"/>
    </row>
    <row r="159" spans="9:9" x14ac:dyDescent="0.2">
      <c r="I159" s="81"/>
    </row>
    <row r="160" spans="9:9" x14ac:dyDescent="0.2">
      <c r="I160" s="81"/>
    </row>
    <row r="161" spans="9:9" x14ac:dyDescent="0.2">
      <c r="I161" s="81"/>
    </row>
    <row r="162" spans="9:9" x14ac:dyDescent="0.2">
      <c r="I162" s="81"/>
    </row>
    <row r="163" spans="9:9" x14ac:dyDescent="0.2">
      <c r="I163" s="81"/>
    </row>
    <row r="164" spans="9:9" x14ac:dyDescent="0.2">
      <c r="I164" s="81"/>
    </row>
    <row r="165" spans="9:9" x14ac:dyDescent="0.2">
      <c r="I165" s="81"/>
    </row>
    <row r="166" spans="9:9" x14ac:dyDescent="0.2">
      <c r="I166" s="81"/>
    </row>
    <row r="167" spans="9:9" x14ac:dyDescent="0.2">
      <c r="I167" s="81"/>
    </row>
    <row r="168" spans="9:9" x14ac:dyDescent="0.2">
      <c r="I168" s="81"/>
    </row>
    <row r="169" spans="9:9" x14ac:dyDescent="0.2">
      <c r="I169" s="81"/>
    </row>
  </sheetData>
  <mergeCells count="13">
    <mergeCell ref="C36:E36"/>
    <mergeCell ref="C35:E35"/>
    <mergeCell ref="G31:G47"/>
    <mergeCell ref="C38:E38"/>
    <mergeCell ref="B37:E37"/>
    <mergeCell ref="C40:E40"/>
    <mergeCell ref="B32:E32"/>
    <mergeCell ref="A4:D4"/>
    <mergeCell ref="A5:D5"/>
    <mergeCell ref="A6:D6"/>
    <mergeCell ref="A7:D7"/>
    <mergeCell ref="E4:G4"/>
    <mergeCell ref="E5:G5"/>
  </mergeCells>
  <phoneticPr fontId="25" type="noConversion"/>
  <conditionalFormatting sqref="L6">
    <cfRule type="duplicateValues" dxfId="4" priority="7"/>
  </conditionalFormatting>
  <conditionalFormatting sqref="E1:E9 E14:E25 E27:E1048576">
    <cfRule type="duplicateValues" dxfId="3" priority="6"/>
  </conditionalFormatting>
  <conditionalFormatting sqref="E10:E11">
    <cfRule type="duplicateValues" dxfId="2" priority="4"/>
  </conditionalFormatting>
  <conditionalFormatting sqref="E12:E13">
    <cfRule type="duplicateValues" dxfId="1" priority="3"/>
  </conditionalFormatting>
  <conditionalFormatting sqref="E26">
    <cfRule type="duplicateValues" dxfId="0" priority="2"/>
  </conditionalFormatting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Y38"/>
  <sheetViews>
    <sheetView topLeftCell="A13" zoomScale="68" zoomScaleNormal="68" workbookViewId="0">
      <selection activeCell="A31" sqref="A31:I31"/>
    </sheetView>
  </sheetViews>
  <sheetFormatPr baseColWidth="10" defaultColWidth="9.140625" defaultRowHeight="12.75" x14ac:dyDescent="0.2"/>
  <cols>
    <col min="1" max="1" width="13.140625" style="55" customWidth="1"/>
    <col min="2" max="2" width="19.5703125" style="55" customWidth="1"/>
    <col min="3" max="3" width="14.140625" style="55" customWidth="1"/>
    <col min="4" max="4" width="26" style="55" customWidth="1"/>
    <col min="5" max="5" width="8" style="55" customWidth="1"/>
    <col min="6" max="6" width="7.85546875" style="55" customWidth="1"/>
    <col min="7" max="7" width="42" style="55" customWidth="1"/>
    <col min="8" max="8" width="9.28515625" style="55" customWidth="1"/>
    <col min="9" max="9" width="15.5703125" style="55" customWidth="1"/>
    <col min="10" max="10" width="20.42578125" style="55" customWidth="1"/>
    <col min="11" max="11" width="30.42578125" style="62" customWidth="1"/>
    <col min="12" max="1013" width="9.140625" style="2"/>
  </cols>
  <sheetData>
    <row r="1" spans="1:1013" ht="18" customHeight="1" x14ac:dyDescent="0.2">
      <c r="A1" s="144" t="s">
        <v>12</v>
      </c>
      <c r="B1" s="144"/>
      <c r="C1" s="144"/>
      <c r="D1" s="144"/>
      <c r="E1" s="144"/>
      <c r="F1" s="144"/>
      <c r="G1" s="144"/>
      <c r="H1" s="144"/>
      <c r="I1" s="144"/>
      <c r="J1" s="46"/>
      <c r="K1" s="117" t="s">
        <v>102</v>
      </c>
    </row>
    <row r="2" spans="1:1013" ht="18.75" customHeight="1" thickBot="1" x14ac:dyDescent="0.25">
      <c r="A2" s="47"/>
      <c r="B2" s="47"/>
      <c r="C2" s="47"/>
      <c r="D2" s="48"/>
      <c r="E2" s="48"/>
      <c r="F2" s="48"/>
      <c r="G2" s="48"/>
      <c r="H2" s="48"/>
      <c r="I2" s="48"/>
      <c r="J2" s="48"/>
      <c r="K2" s="59"/>
    </row>
    <row r="3" spans="1:1013" ht="18.75" customHeight="1" thickBot="1" x14ac:dyDescent="0.25">
      <c r="A3" s="145" t="s">
        <v>13</v>
      </c>
      <c r="B3" s="145"/>
      <c r="C3" s="145"/>
      <c r="D3" s="146" t="s">
        <v>59</v>
      </c>
      <c r="E3" s="146"/>
      <c r="F3" s="146"/>
      <c r="G3" s="146"/>
      <c r="H3" s="146"/>
      <c r="I3" s="146"/>
      <c r="J3" s="146"/>
      <c r="K3" s="146"/>
    </row>
    <row r="4" spans="1:1013" ht="18.75" customHeight="1" thickBot="1" x14ac:dyDescent="0.25">
      <c r="A4" s="147" t="s">
        <v>14</v>
      </c>
      <c r="B4" s="147"/>
      <c r="C4" s="147"/>
      <c r="D4" s="146" t="s">
        <v>53</v>
      </c>
      <c r="E4" s="146"/>
      <c r="F4" s="146"/>
      <c r="G4" s="146"/>
      <c r="H4" s="146"/>
      <c r="I4" s="146"/>
      <c r="J4" s="146"/>
      <c r="K4" s="146"/>
    </row>
    <row r="5" spans="1:1013" ht="18.75" customHeight="1" thickBot="1" x14ac:dyDescent="0.25">
      <c r="A5" s="147" t="s">
        <v>15</v>
      </c>
      <c r="B5" s="147"/>
      <c r="C5" s="147"/>
      <c r="D5" s="146" t="s">
        <v>50</v>
      </c>
      <c r="E5" s="146"/>
      <c r="F5" s="146"/>
      <c r="G5" s="146"/>
      <c r="H5" s="146"/>
      <c r="I5" s="146"/>
      <c r="J5" s="146"/>
      <c r="K5" s="146"/>
    </row>
    <row r="6" spans="1:1013" ht="16.5" customHeight="1" thickBot="1" x14ac:dyDescent="0.25">
      <c r="A6" s="145" t="s">
        <v>16</v>
      </c>
      <c r="B6" s="145"/>
      <c r="C6" s="145"/>
      <c r="D6" s="146" t="s">
        <v>67</v>
      </c>
      <c r="E6" s="146"/>
      <c r="F6" s="146"/>
      <c r="G6" s="146"/>
      <c r="H6" s="146"/>
      <c r="I6" s="146"/>
      <c r="J6" s="146"/>
      <c r="K6" s="146"/>
    </row>
    <row r="7" spans="1:1013" ht="16.5" customHeight="1" thickBot="1" x14ac:dyDescent="0.25">
      <c r="A7" s="147" t="s">
        <v>17</v>
      </c>
      <c r="B7" s="147"/>
      <c r="C7" s="147"/>
      <c r="D7" s="146" t="s">
        <v>70</v>
      </c>
      <c r="E7" s="146"/>
      <c r="F7" s="146"/>
      <c r="G7" s="146"/>
      <c r="H7" s="146"/>
      <c r="I7" s="146"/>
      <c r="J7" s="146"/>
      <c r="K7" s="146"/>
    </row>
    <row r="8" spans="1:1013" ht="36" customHeight="1" thickBot="1" x14ac:dyDescent="0.25">
      <c r="A8" s="136" t="s">
        <v>18</v>
      </c>
      <c r="B8" s="136"/>
      <c r="C8" s="136"/>
      <c r="D8" s="137" t="s">
        <v>69</v>
      </c>
      <c r="E8" s="137"/>
      <c r="F8" s="137"/>
      <c r="G8" s="137"/>
      <c r="H8" s="137"/>
      <c r="I8" s="137"/>
      <c r="J8" s="137"/>
      <c r="K8" s="137"/>
    </row>
    <row r="9" spans="1:1013" ht="16.5" thickBot="1" x14ac:dyDescent="0.25">
      <c r="A9" s="49"/>
      <c r="B9" s="49"/>
      <c r="C9" s="49"/>
      <c r="D9" s="50"/>
      <c r="E9" s="50"/>
      <c r="F9" s="50"/>
      <c r="G9" s="50"/>
      <c r="H9" s="50"/>
      <c r="I9" s="50"/>
      <c r="J9" s="50"/>
      <c r="K9" s="60"/>
    </row>
    <row r="10" spans="1:1013" ht="18.75" customHeight="1" thickBot="1" x14ac:dyDescent="0.25">
      <c r="A10" s="138" t="s">
        <v>19</v>
      </c>
      <c r="B10" s="140" t="s">
        <v>20</v>
      </c>
      <c r="C10" s="140" t="s">
        <v>21</v>
      </c>
      <c r="D10" s="140"/>
      <c r="E10" s="140"/>
      <c r="F10" s="140"/>
      <c r="G10" s="140"/>
      <c r="H10" s="140" t="s">
        <v>22</v>
      </c>
      <c r="I10" s="140" t="s">
        <v>23</v>
      </c>
      <c r="J10" s="140" t="s">
        <v>24</v>
      </c>
      <c r="K10" s="142" t="s">
        <v>25</v>
      </c>
    </row>
    <row r="11" spans="1:1013" ht="24" customHeight="1" thickBot="1" x14ac:dyDescent="0.25">
      <c r="A11" s="139"/>
      <c r="B11" s="141"/>
      <c r="C11" s="141"/>
      <c r="D11" s="141"/>
      <c r="E11" s="141"/>
      <c r="F11" s="141"/>
      <c r="G11" s="141"/>
      <c r="H11" s="141"/>
      <c r="I11" s="141"/>
      <c r="J11" s="141"/>
      <c r="K11" s="143"/>
      <c r="ALW11"/>
      <c r="ALX11"/>
      <c r="ALY11"/>
    </row>
    <row r="12" spans="1:1013" ht="43.5" customHeight="1" thickBot="1" x14ac:dyDescent="0.3">
      <c r="A12" s="51">
        <f>'Necesidades Trimestrales'!A10</f>
        <v>1</v>
      </c>
      <c r="B12" s="54">
        <f>'Necesidades Trimestrales'!B10</f>
        <v>0</v>
      </c>
      <c r="C12" s="129" t="str">
        <f>'Necesidades Trimestrales'!E10</f>
        <v>Bobina Baja Densidad 30 X 40 rollo x 200 un. Tipo Mapsa</v>
      </c>
      <c r="D12" s="129"/>
      <c r="E12" s="129"/>
      <c r="F12" s="129"/>
      <c r="G12" s="129"/>
      <c r="H12" s="52" t="s">
        <v>26</v>
      </c>
      <c r="I12" s="53" t="str">
        <f>'Necesidades Trimestrales'!F10</f>
        <v>UNIDAD</v>
      </c>
      <c r="J12" s="58">
        <f>'Necesidades Trimestrales'!H10</f>
        <v>780</v>
      </c>
      <c r="K12" s="61">
        <f>'Necesidades Trimestrales'!G10</f>
        <v>50</v>
      </c>
      <c r="M12" s="115"/>
      <c r="Q12" s="115"/>
    </row>
    <row r="13" spans="1:1013" ht="43.5" customHeight="1" thickBot="1" x14ac:dyDescent="0.3">
      <c r="A13" s="51">
        <f>'Necesidades Trimestrales'!A11</f>
        <v>2</v>
      </c>
      <c r="B13" s="54">
        <f>'Necesidades Trimestrales'!B11</f>
        <v>0</v>
      </c>
      <c r="C13" s="129" t="str">
        <f>'Necesidades Trimestrales'!E11</f>
        <v>Bolsas Termosellables P/bib 145 X 50 X 330mm Tipo Yellow Pack x 1000</v>
      </c>
      <c r="D13" s="129"/>
      <c r="E13" s="129"/>
      <c r="F13" s="129"/>
      <c r="G13" s="129"/>
      <c r="H13" s="52" t="s">
        <v>26</v>
      </c>
      <c r="I13" s="53" t="str">
        <f>'Necesidades Trimestrales'!F11</f>
        <v>CAJA</v>
      </c>
      <c r="J13" s="58">
        <f>'Necesidades Trimestrales'!H11</f>
        <v>15200</v>
      </c>
      <c r="K13" s="61">
        <f>'Necesidades Trimestrales'!G11</f>
        <v>8</v>
      </c>
      <c r="M13" s="115"/>
    </row>
    <row r="14" spans="1:1013" ht="43.5" customHeight="1" thickBot="1" x14ac:dyDescent="0.3">
      <c r="A14" s="51">
        <f>'Necesidades Trimestrales'!A12</f>
        <v>3</v>
      </c>
      <c r="B14" s="54">
        <f>'Necesidades Trimestrales'!B12</f>
        <v>0</v>
      </c>
      <c r="C14" s="129" t="str">
        <f>'Necesidades Trimestrales'!E12</f>
        <v>Bolsas Termosellables P/bib 250 X 100 X 380mm TipoYellow Pack x 1000</v>
      </c>
      <c r="D14" s="129"/>
      <c r="E14" s="129"/>
      <c r="F14" s="129"/>
      <c r="G14" s="129"/>
      <c r="H14" s="52" t="s">
        <v>26</v>
      </c>
      <c r="I14" s="53" t="str">
        <f>'Necesidades Trimestrales'!F12</f>
        <v>CAJA</v>
      </c>
      <c r="J14" s="58">
        <f>'Necesidades Trimestrales'!H12</f>
        <v>39880</v>
      </c>
      <c r="K14" s="61">
        <f>'Necesidades Trimestrales'!G12</f>
        <v>30</v>
      </c>
      <c r="M14" s="115"/>
    </row>
    <row r="15" spans="1:1013" ht="43.5" customHeight="1" thickBot="1" x14ac:dyDescent="0.3">
      <c r="A15" s="51">
        <f>'Necesidades Trimestrales'!A13</f>
        <v>4</v>
      </c>
      <c r="B15" s="54">
        <f>'Necesidades Trimestrales'!B13</f>
        <v>0</v>
      </c>
      <c r="C15" s="129" t="str">
        <f>'Necesidades Trimestrales'!E13</f>
        <v>Camisolin P/Cirugia de tela verde brin con puño caña larga</v>
      </c>
      <c r="D15" s="129"/>
      <c r="E15" s="129"/>
      <c r="F15" s="129"/>
      <c r="G15" s="129"/>
      <c r="H15" s="52" t="s">
        <v>26</v>
      </c>
      <c r="I15" s="53" t="str">
        <f>'Necesidades Trimestrales'!F13</f>
        <v>UNIDAD</v>
      </c>
      <c r="J15" s="58">
        <f>'Necesidades Trimestrales'!H13</f>
        <v>2580</v>
      </c>
      <c r="K15" s="61">
        <f>'Necesidades Trimestrales'!G13</f>
        <v>750</v>
      </c>
      <c r="M15" s="115"/>
    </row>
    <row r="16" spans="1:1013" ht="43.5" customHeight="1" thickBot="1" x14ac:dyDescent="0.3">
      <c r="A16" s="51">
        <f>'Necesidades Trimestrales'!A14</f>
        <v>5</v>
      </c>
      <c r="B16" s="54">
        <f>'Necesidades Trimestrales'!B14</f>
        <v>0</v>
      </c>
      <c r="C16" s="129" t="str">
        <f>'Necesidades Trimestrales'!E14</f>
        <v>Cinta Testigo p/calor humedo  (en rollo) Tipo Kims</v>
      </c>
      <c r="D16" s="129"/>
      <c r="E16" s="129"/>
      <c r="F16" s="129"/>
      <c r="G16" s="129"/>
      <c r="H16" s="52" t="s">
        <v>26</v>
      </c>
      <c r="I16" s="53" t="str">
        <f>'Necesidades Trimestrales'!F14</f>
        <v>ROLLO</v>
      </c>
      <c r="J16" s="58">
        <f>'Necesidades Trimestrales'!H14</f>
        <v>380</v>
      </c>
      <c r="K16" s="61">
        <f>'Necesidades Trimestrales'!G14</f>
        <v>60</v>
      </c>
      <c r="M16" s="115"/>
    </row>
    <row r="17" spans="1:13" ht="43.5" customHeight="1" thickBot="1" x14ac:dyDescent="0.3">
      <c r="A17" s="51">
        <f>'Necesidades Trimestrales'!A15</f>
        <v>6</v>
      </c>
      <c r="B17" s="54">
        <f>'Necesidades Trimestrales'!B15</f>
        <v>0</v>
      </c>
      <c r="C17" s="129" t="str">
        <f>'Necesidades Trimestrales'!E15</f>
        <v>Cinta Testigo p/calor seco  (en rollo) Tipo Kims</v>
      </c>
      <c r="D17" s="129"/>
      <c r="E17" s="129"/>
      <c r="F17" s="129"/>
      <c r="G17" s="129"/>
      <c r="H17" s="52" t="s">
        <v>26</v>
      </c>
      <c r="I17" s="53" t="str">
        <f>'Necesidades Trimestrales'!F15</f>
        <v>ROLLO</v>
      </c>
      <c r="J17" s="58">
        <f>'Necesidades Trimestrales'!H15</f>
        <v>330</v>
      </c>
      <c r="K17" s="61">
        <f>'Necesidades Trimestrales'!G15</f>
        <v>35</v>
      </c>
      <c r="M17" s="115"/>
    </row>
    <row r="18" spans="1:13" ht="43.5" customHeight="1" thickBot="1" x14ac:dyDescent="0.3">
      <c r="A18" s="51">
        <f>'Necesidades Trimestrales'!A16</f>
        <v>7</v>
      </c>
      <c r="B18" s="54">
        <f>'Necesidades Trimestrales'!B16</f>
        <v>0</v>
      </c>
      <c r="C18" s="129" t="str">
        <f>'Necesidades Trimestrales'!E16</f>
        <v>GASA COSIDA TIPO  MEDISPO RADIO ESTERIL X 5 UNIDADES</v>
      </c>
      <c r="D18" s="129"/>
      <c r="E18" s="129"/>
      <c r="F18" s="129"/>
      <c r="G18" s="129"/>
      <c r="H18" s="52" t="s">
        <v>26</v>
      </c>
      <c r="I18" s="53" t="str">
        <f>'Necesidades Trimestrales'!F16</f>
        <v>CAJA</v>
      </c>
      <c r="J18" s="58">
        <f>'Necesidades Trimestrales'!H16</f>
        <v>358</v>
      </c>
      <c r="K18" s="61">
        <f>'Necesidades Trimestrales'!G16</f>
        <v>180</v>
      </c>
      <c r="M18" s="115"/>
    </row>
    <row r="19" spans="1:13" ht="43.5" customHeight="1" thickBot="1" x14ac:dyDescent="0.3">
      <c r="A19" s="51">
        <f>'Necesidades Trimestrales'!A17</f>
        <v>8</v>
      </c>
      <c r="B19" s="54">
        <f>'Necesidades Trimestrales'!B17</f>
        <v>0</v>
      </c>
      <c r="C19" s="129" t="str">
        <f>'Necesidades Trimestrales'!E17</f>
        <v>GASA HIDROFILA PIEZA X 1,8 KGS. TIPO HIDROSAN</v>
      </c>
      <c r="D19" s="129"/>
      <c r="E19" s="129"/>
      <c r="F19" s="129"/>
      <c r="G19" s="129"/>
      <c r="H19" s="52" t="s">
        <v>26</v>
      </c>
      <c r="I19" s="53" t="str">
        <f>'Necesidades Trimestrales'!F17</f>
        <v>UNIDAD</v>
      </c>
      <c r="J19" s="58">
        <f>'Necesidades Trimestrales'!H17</f>
        <v>2680</v>
      </c>
      <c r="K19" s="61">
        <f>'Necesidades Trimestrales'!G17</f>
        <v>300</v>
      </c>
      <c r="M19" s="115"/>
    </row>
    <row r="20" spans="1:13" ht="43.5" customHeight="1" thickBot="1" x14ac:dyDescent="0.3">
      <c r="A20" s="51">
        <f>'Necesidades Trimestrales'!A18</f>
        <v>9</v>
      </c>
      <c r="B20" s="54">
        <f>'Necesidades Trimestrales'!B18</f>
        <v>0</v>
      </c>
      <c r="C20" s="129" t="str">
        <f>'Necesidades Trimestrales'!E18</f>
        <v>Indicador Quimico P/Sterrad NX x 1000 Tiras Tipo ASP</v>
      </c>
      <c r="D20" s="129"/>
      <c r="E20" s="129"/>
      <c r="F20" s="129"/>
      <c r="G20" s="129"/>
      <c r="H20" s="52" t="s">
        <v>26</v>
      </c>
      <c r="I20" s="53" t="str">
        <f>'Necesidades Trimestrales'!F18</f>
        <v>CAJA</v>
      </c>
      <c r="J20" s="58">
        <f>'Necesidades Trimestrales'!H18</f>
        <v>15800</v>
      </c>
      <c r="K20" s="61">
        <f>'Necesidades Trimestrales'!G18</f>
        <v>20</v>
      </c>
      <c r="M20" s="115"/>
    </row>
    <row r="21" spans="1:13" ht="43.5" customHeight="1" thickBot="1" x14ac:dyDescent="0.3">
      <c r="A21" s="51">
        <f>'Necesidades Trimestrales'!A19</f>
        <v>10</v>
      </c>
      <c r="B21" s="54">
        <f>'Necesidades Trimestrales'!B19</f>
        <v>0</v>
      </c>
      <c r="C21" s="129" t="str">
        <f>'Necesidades Trimestrales'!E19</f>
        <v>Malla Tubular de 30 cm. Ancho X 25 mts. Largo Tipo Hidrosan</v>
      </c>
      <c r="D21" s="129"/>
      <c r="E21" s="129"/>
      <c r="F21" s="129"/>
      <c r="G21" s="129"/>
      <c r="H21" s="52" t="s">
        <v>26</v>
      </c>
      <c r="I21" s="53" t="str">
        <f>'Necesidades Trimestrales'!F19</f>
        <v>UNIDAD</v>
      </c>
      <c r="J21" s="58">
        <f>'Necesidades Trimestrales'!H19</f>
        <v>2900</v>
      </c>
      <c r="K21" s="61">
        <f>'Necesidades Trimestrales'!G19</f>
        <v>15</v>
      </c>
      <c r="M21" s="115"/>
    </row>
    <row r="22" spans="1:13" ht="43.5" customHeight="1" thickBot="1" x14ac:dyDescent="0.3">
      <c r="A22" s="51">
        <f>'Necesidades Trimestrales'!A20</f>
        <v>11</v>
      </c>
      <c r="B22" s="54">
        <f>'Necesidades Trimestrales'!B20</f>
        <v>0</v>
      </c>
      <c r="C22" s="129" t="str">
        <f>'Necesidades Trimestrales'!E20</f>
        <v>PAPEL GRADO MEDICO 120 CM X 100 MTS</v>
      </c>
      <c r="D22" s="129"/>
      <c r="E22" s="129"/>
      <c r="F22" s="129"/>
      <c r="G22" s="129"/>
      <c r="H22" s="52" t="s">
        <v>26</v>
      </c>
      <c r="I22" s="53" t="str">
        <f>'Necesidades Trimestrales'!F20</f>
        <v>BOBINA</v>
      </c>
      <c r="J22" s="58">
        <f>'Necesidades Trimestrales'!H20</f>
        <v>6800</v>
      </c>
      <c r="K22" s="61">
        <f>'Necesidades Trimestrales'!G20</f>
        <v>50</v>
      </c>
      <c r="M22" s="115"/>
    </row>
    <row r="23" spans="1:13" ht="43.5" customHeight="1" thickBot="1" x14ac:dyDescent="0.3">
      <c r="A23" s="51">
        <f>'Necesidades Trimestrales'!A21</f>
        <v>12</v>
      </c>
      <c r="B23" s="54">
        <f>'Necesidades Trimestrales'!B21</f>
        <v>0</v>
      </c>
      <c r="C23" s="129" t="str">
        <f>'Necesidades Trimestrales'!E21</f>
        <v>PAPEL GRADO MEDICO CREPADO ROLLO 80 CM X 100 MTS</v>
      </c>
      <c r="D23" s="129"/>
      <c r="E23" s="129"/>
      <c r="F23" s="129"/>
      <c r="G23" s="129"/>
      <c r="H23" s="52" t="s">
        <v>26</v>
      </c>
      <c r="I23" s="53" t="str">
        <f>'Necesidades Trimestrales'!F21</f>
        <v>BOBINA</v>
      </c>
      <c r="J23" s="58">
        <f>'Necesidades Trimestrales'!H21</f>
        <v>5200</v>
      </c>
      <c r="K23" s="61">
        <f>'Necesidades Trimestrales'!G21</f>
        <v>20</v>
      </c>
      <c r="M23" s="115"/>
    </row>
    <row r="24" spans="1:13" ht="43.5" customHeight="1" thickBot="1" x14ac:dyDescent="0.3">
      <c r="A24" s="51">
        <f>'Necesidades Trimestrales'!A22</f>
        <v>13</v>
      </c>
      <c r="B24" s="54">
        <f>'Necesidades Trimestrales'!B22</f>
        <v>0</v>
      </c>
      <c r="C24" s="129" t="str">
        <f>'Necesidades Trimestrales'!E22</f>
        <v>Polipropileno Paquete x 100 hojas 1 mt. x 1 mt. Tipo ST PACK</v>
      </c>
      <c r="D24" s="129"/>
      <c r="E24" s="129"/>
      <c r="F24" s="129"/>
      <c r="G24" s="129"/>
      <c r="H24" s="52" t="s">
        <v>26</v>
      </c>
      <c r="I24" s="53" t="str">
        <f>'Necesidades Trimestrales'!F22</f>
        <v>UNIDAD</v>
      </c>
      <c r="J24" s="58">
        <f>'Necesidades Trimestrales'!H22</f>
        <v>13000</v>
      </c>
      <c r="K24" s="61">
        <f>'Necesidades Trimestrales'!G22</f>
        <v>8</v>
      </c>
      <c r="M24" s="115"/>
    </row>
    <row r="25" spans="1:13" ht="43.5" customHeight="1" thickBot="1" x14ac:dyDescent="0.3">
      <c r="A25" s="51">
        <f>'Necesidades Trimestrales'!A23</f>
        <v>14</v>
      </c>
      <c r="B25" s="54">
        <f>'Necesidades Trimestrales'!B23</f>
        <v>0</v>
      </c>
      <c r="C25" s="129" t="str">
        <f>'Necesidades Trimestrales'!E23</f>
        <v>Rollo de lienzo Ecologico 60grs  1,5  x 50 mt.</v>
      </c>
      <c r="D25" s="129"/>
      <c r="E25" s="129"/>
      <c r="F25" s="129"/>
      <c r="G25" s="129"/>
      <c r="H25" s="52" t="s">
        <v>26</v>
      </c>
      <c r="I25" s="53" t="str">
        <f>'Necesidades Trimestrales'!F23</f>
        <v>ROLLO</v>
      </c>
      <c r="J25" s="58">
        <f>'Necesidades Trimestrales'!H23</f>
        <v>5600</v>
      </c>
      <c r="K25" s="61">
        <f>'Necesidades Trimestrales'!G23</f>
        <v>35</v>
      </c>
      <c r="M25" s="115"/>
    </row>
    <row r="26" spans="1:13" ht="43.5" customHeight="1" thickBot="1" x14ac:dyDescent="0.3">
      <c r="A26" s="51">
        <f>'Necesidades Trimestrales'!A24</f>
        <v>15</v>
      </c>
      <c r="B26" s="54">
        <f>'Necesidades Trimestrales'!B24</f>
        <v>0</v>
      </c>
      <c r="C26" s="129" t="str">
        <f>'Necesidades Trimestrales'!E24</f>
        <v>Ropa Equipo Cirugia Universal DESCARTABLE 17 Elementos Esteril</v>
      </c>
      <c r="D26" s="129"/>
      <c r="E26" s="129"/>
      <c r="F26" s="129"/>
      <c r="G26" s="129"/>
      <c r="H26" s="52" t="s">
        <v>26</v>
      </c>
      <c r="I26" s="53" t="str">
        <f>'Necesidades Trimestrales'!F24</f>
        <v>PAQUETE</v>
      </c>
      <c r="J26" s="58">
        <f>'Necesidades Trimestrales'!H24</f>
        <v>5405.52</v>
      </c>
      <c r="K26" s="61">
        <f>'Necesidades Trimestrales'!G24</f>
        <v>200</v>
      </c>
      <c r="M26" s="115"/>
    </row>
    <row r="27" spans="1:13" ht="43.5" customHeight="1" thickBot="1" x14ac:dyDescent="0.3">
      <c r="A27" s="51">
        <f>'Necesidades Trimestrales'!A25</f>
        <v>16</v>
      </c>
      <c r="B27" s="54">
        <f>'Necesidades Trimestrales'!B25</f>
        <v>0</v>
      </c>
      <c r="C27" s="129" t="str">
        <f>'Necesidades Trimestrales'!E25</f>
        <v>Tela de Lienzo rollo 100 mts largo x 1,60 mts ancho</v>
      </c>
      <c r="D27" s="129"/>
      <c r="E27" s="129"/>
      <c r="F27" s="129"/>
      <c r="G27" s="129"/>
      <c r="H27" s="52" t="s">
        <v>26</v>
      </c>
      <c r="I27" s="53" t="str">
        <f>'Necesidades Trimestrales'!F25</f>
        <v>ROLLO</v>
      </c>
      <c r="J27" s="58">
        <f>'Necesidades Trimestrales'!H25</f>
        <v>54800</v>
      </c>
      <c r="K27" s="61">
        <f>'Necesidades Trimestrales'!G25</f>
        <v>8</v>
      </c>
      <c r="M27" s="115"/>
    </row>
    <row r="28" spans="1:13" ht="43.5" customHeight="1" thickBot="1" x14ac:dyDescent="0.3">
      <c r="A28" s="51">
        <f>'Necesidades Trimestrales'!A26</f>
        <v>17</v>
      </c>
      <c r="B28" s="54">
        <f>'Necesidades Trimestrales'!B26</f>
        <v>0</v>
      </c>
      <c r="C28" s="129" t="str">
        <f>'Necesidades Trimestrales'!E26</f>
        <v>Tela verde brin de algodón rollo 50 mtrs largo (doble ancho) x 1,50 mt de ancho. Indantrend</v>
      </c>
      <c r="D28" s="129"/>
      <c r="E28" s="129"/>
      <c r="F28" s="129"/>
      <c r="G28" s="129"/>
      <c r="H28" s="52" t="s">
        <v>26</v>
      </c>
      <c r="I28" s="53" t="str">
        <f>'Necesidades Trimestrales'!F26</f>
        <v>ROLLO</v>
      </c>
      <c r="J28" s="58">
        <f>'Necesidades Trimestrales'!H26</f>
        <v>63200</v>
      </c>
      <c r="K28" s="61">
        <f>'Necesidades Trimestrales'!G26</f>
        <v>20</v>
      </c>
      <c r="M28" s="115"/>
    </row>
    <row r="29" spans="1:13" ht="43.5" customHeight="1" thickBot="1" x14ac:dyDescent="0.3">
      <c r="A29" s="51">
        <f>'Necesidades Trimestrales'!A27</f>
        <v>18</v>
      </c>
      <c r="B29" s="54">
        <f>'Necesidades Trimestrales'!B27</f>
        <v>0</v>
      </c>
      <c r="C29" s="129" t="str">
        <f>'Necesidades Trimestrales'!E27</f>
        <v>Test pack de 15 mm (viraje de color-tipo 2 Paquete de un solo uso para efectuar el test de Bowie y Dick. Detecta deficiencias en la penetración de vapor. Viraje final a negro. Presentación: Paquete de 120x 120 x 15 mm. Caja por 20 unidades.</v>
      </c>
      <c r="D29" s="129"/>
      <c r="E29" s="129"/>
      <c r="F29" s="129"/>
      <c r="G29" s="129"/>
      <c r="H29" s="52" t="s">
        <v>26</v>
      </c>
      <c r="I29" s="53" t="str">
        <f>'Necesidades Trimestrales'!F27</f>
        <v>CAJA</v>
      </c>
      <c r="J29" s="58">
        <f>'Necesidades Trimestrales'!H27</f>
        <v>6500</v>
      </c>
      <c r="K29" s="61">
        <f>'Necesidades Trimestrales'!G27</f>
        <v>20</v>
      </c>
      <c r="M29" s="115"/>
    </row>
    <row r="30" spans="1:13" ht="43.5" customHeight="1" x14ac:dyDescent="0.25">
      <c r="A30" s="51">
        <f>'Necesidades Trimestrales'!A28</f>
        <v>19</v>
      </c>
      <c r="B30" s="54">
        <f>'Necesidades Trimestrales'!B28</f>
        <v>0</v>
      </c>
      <c r="C30" s="129" t="str">
        <f>'Necesidades Trimestrales'!E28</f>
        <v>Testigo p/calor humedo  (en Tiras) Tipo Kims</v>
      </c>
      <c r="D30" s="129"/>
      <c r="E30" s="129"/>
      <c r="F30" s="129"/>
      <c r="G30" s="129"/>
      <c r="H30" s="52" t="s">
        <v>26</v>
      </c>
      <c r="I30" s="53" t="str">
        <f>'Necesidades Trimestrales'!F28</f>
        <v>CAJA</v>
      </c>
      <c r="J30" s="58">
        <f>'Necesidades Trimestrales'!H28</f>
        <v>580</v>
      </c>
      <c r="K30" s="61">
        <f>'Necesidades Trimestrales'!G28</f>
        <v>20</v>
      </c>
      <c r="M30" s="115"/>
    </row>
    <row r="31" spans="1:13" ht="41.25" customHeight="1" thickBot="1" x14ac:dyDescent="0.25">
      <c r="A31" s="131" t="s">
        <v>104</v>
      </c>
      <c r="B31" s="132"/>
      <c r="C31" s="132"/>
      <c r="D31" s="132"/>
      <c r="E31" s="132"/>
      <c r="F31" s="132"/>
      <c r="G31" s="132"/>
      <c r="H31" s="132"/>
      <c r="I31" s="133"/>
      <c r="J31" s="134">
        <f>SUMPRODUCT(J12:J30*K12:K30)</f>
        <v>8223394</v>
      </c>
      <c r="K31" s="135"/>
    </row>
    <row r="32" spans="1:13" ht="12.75" customHeight="1" x14ac:dyDescent="0.2"/>
    <row r="34" spans="4:11" ht="12.75" customHeight="1" x14ac:dyDescent="0.2">
      <c r="J34" s="130"/>
      <c r="K34" s="130"/>
    </row>
    <row r="35" spans="4:11" ht="12.75" customHeight="1" x14ac:dyDescent="0.2">
      <c r="D35" s="56"/>
      <c r="E35" s="56"/>
      <c r="F35" s="56"/>
      <c r="G35" s="56"/>
      <c r="H35" s="56"/>
      <c r="I35" s="56"/>
    </row>
    <row r="36" spans="4:11" ht="15" x14ac:dyDescent="0.2">
      <c r="D36" s="56"/>
      <c r="E36" s="56"/>
      <c r="F36" s="56"/>
      <c r="G36" s="56"/>
      <c r="H36" s="56"/>
      <c r="I36" s="56"/>
    </row>
    <row r="37" spans="4:11" ht="30" customHeight="1" x14ac:dyDescent="0.2">
      <c r="D37" s="56"/>
      <c r="E37" s="56"/>
      <c r="F37" s="56"/>
      <c r="G37" s="56"/>
      <c r="H37" s="56"/>
      <c r="I37" s="56"/>
    </row>
    <row r="38" spans="4:11" ht="15" customHeight="1" x14ac:dyDescent="0.2">
      <c r="D38" s="57"/>
      <c r="E38" s="56"/>
      <c r="F38" s="56"/>
      <c r="G38" s="56"/>
      <c r="H38" s="56"/>
      <c r="I38" s="56"/>
    </row>
  </sheetData>
  <mergeCells count="42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2:G12"/>
    <mergeCell ref="C13:G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J34:K34"/>
    <mergeCell ref="A31:I31"/>
    <mergeCell ref="J31:K31"/>
    <mergeCell ref="C22:G22"/>
    <mergeCell ref="C15:G15"/>
    <mergeCell ref="C26:G26"/>
    <mergeCell ref="C27:G27"/>
    <mergeCell ref="C28:G28"/>
    <mergeCell ref="C29:G29"/>
    <mergeCell ref="C30:G30"/>
    <mergeCell ref="C14:G14"/>
    <mergeCell ref="C24:G24"/>
    <mergeCell ref="C25:G25"/>
    <mergeCell ref="C18:G18"/>
    <mergeCell ref="C16:G16"/>
    <mergeCell ref="C17:G17"/>
    <mergeCell ref="C23:G23"/>
    <mergeCell ref="C21:G21"/>
    <mergeCell ref="C19:G19"/>
    <mergeCell ref="C20:G20"/>
  </mergeCells>
  <phoneticPr fontId="40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topLeftCell="A4" workbookViewId="0">
      <selection activeCell="T20" sqref="T20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65" t="s">
        <v>3</v>
      </c>
      <c r="B1" s="165"/>
      <c r="C1" s="165"/>
      <c r="D1" s="166">
        <v>2022</v>
      </c>
      <c r="E1" s="166"/>
      <c r="F1" s="4"/>
      <c r="G1" s="4"/>
      <c r="H1" s="5"/>
      <c r="I1" s="5"/>
      <c r="J1" s="5"/>
      <c r="K1" s="5"/>
      <c r="L1" s="5"/>
      <c r="M1" s="5"/>
      <c r="N1" s="5"/>
      <c r="P1" s="167" t="s">
        <v>27</v>
      </c>
      <c r="Q1" s="167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67"/>
      <c r="Q2" s="167"/>
    </row>
    <row r="4" spans="1:17" s="6" customFormat="1" ht="18" customHeight="1" thickBot="1" x14ac:dyDescent="0.25">
      <c r="A4" s="168" t="s">
        <v>28</v>
      </c>
      <c r="B4" s="168"/>
      <c r="C4" s="168"/>
      <c r="D4" s="168"/>
      <c r="E4" s="168"/>
      <c r="F4" s="168"/>
      <c r="G4" s="169" t="str">
        <f>' NotaPedido'!D3</f>
        <v>40- Ministerio de Salud</v>
      </c>
      <c r="H4" s="169"/>
      <c r="I4" s="169"/>
      <c r="J4" s="169"/>
      <c r="K4" s="169"/>
      <c r="L4" s="169"/>
      <c r="M4" s="169"/>
      <c r="N4" s="169"/>
      <c r="O4" s="169"/>
      <c r="P4" s="169"/>
      <c r="Q4" s="169"/>
    </row>
    <row r="5" spans="1:17" s="6" customFormat="1" ht="18" customHeight="1" thickBot="1" x14ac:dyDescent="0.25">
      <c r="A5" s="173" t="s">
        <v>14</v>
      </c>
      <c r="B5" s="174"/>
      <c r="C5" s="174"/>
      <c r="D5" s="174"/>
      <c r="E5" s="174"/>
      <c r="F5" s="175"/>
      <c r="G5" s="169" t="str">
        <f>' NotaPedido'!D4</f>
        <v>28- Maternidad Provincial 25 de Mayo</v>
      </c>
      <c r="H5" s="169"/>
      <c r="I5" s="169"/>
      <c r="J5" s="169"/>
      <c r="K5" s="169"/>
      <c r="L5" s="169"/>
      <c r="M5" s="169"/>
      <c r="N5" s="169"/>
      <c r="O5" s="169"/>
      <c r="P5" s="169"/>
      <c r="Q5" s="169"/>
    </row>
    <row r="6" spans="1:17" s="6" customFormat="1" ht="18" customHeight="1" thickBot="1" x14ac:dyDescent="0.25">
      <c r="A6" s="173" t="s">
        <v>15</v>
      </c>
      <c r="B6" s="174"/>
      <c r="C6" s="174"/>
      <c r="D6" s="174"/>
      <c r="E6" s="174"/>
      <c r="F6" s="175"/>
      <c r="G6" s="169" t="str">
        <f>' NotaPedido'!D5</f>
        <v xml:space="preserve">169- Direccion Asistencial </v>
      </c>
      <c r="H6" s="169"/>
      <c r="I6" s="169"/>
      <c r="J6" s="169"/>
      <c r="K6" s="169"/>
      <c r="L6" s="169"/>
      <c r="M6" s="169"/>
      <c r="N6" s="169"/>
      <c r="O6" s="169"/>
      <c r="P6" s="169"/>
      <c r="Q6" s="169"/>
    </row>
    <row r="7" spans="1:17" s="6" customFormat="1" ht="18" customHeight="1" thickBot="1" x14ac:dyDescent="0.25">
      <c r="A7" s="173" t="s">
        <v>16</v>
      </c>
      <c r="B7" s="174"/>
      <c r="C7" s="174"/>
      <c r="D7" s="174"/>
      <c r="E7" s="174"/>
      <c r="F7" s="175"/>
      <c r="G7" s="169" t="str">
        <f>' NotaPedido'!D6</f>
        <v xml:space="preserve">Servicio de Farmacia  </v>
      </c>
      <c r="H7" s="169"/>
      <c r="I7" s="169"/>
      <c r="J7" s="169"/>
      <c r="K7" s="169"/>
      <c r="L7" s="169"/>
      <c r="M7" s="169"/>
      <c r="N7" s="169"/>
      <c r="O7" s="169"/>
      <c r="P7" s="169"/>
      <c r="Q7" s="169"/>
    </row>
    <row r="8" spans="1:17" ht="18" customHeight="1" thickBot="1" x14ac:dyDescent="0.25">
      <c r="A8" s="176" t="s">
        <v>29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</row>
    <row r="9" spans="1:17" ht="18" customHeight="1" x14ac:dyDescent="0.2">
      <c r="A9" s="170" t="s">
        <v>30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"/>
      <c r="P9" s="1"/>
      <c r="Q9" s="7"/>
    </row>
    <row r="10" spans="1:17" ht="54.75" customHeight="1" x14ac:dyDescent="0.2">
      <c r="A10" s="171" t="s">
        <v>103</v>
      </c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72" t="s">
        <v>31</v>
      </c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</row>
    <row r="13" spans="1:17" ht="15.75" customHeight="1" thickBot="1" x14ac:dyDescent="0.25">
      <c r="A13" s="148" t="s">
        <v>32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9" t="s">
        <v>33</v>
      </c>
      <c r="P13" s="149"/>
      <c r="Q13" s="150" t="s">
        <v>34</v>
      </c>
    </row>
    <row r="14" spans="1:17" ht="15.75" customHeight="1" thickBot="1" x14ac:dyDescent="0.25">
      <c r="A14" s="12" t="s">
        <v>35</v>
      </c>
      <c r="B14" s="13" t="s">
        <v>36</v>
      </c>
      <c r="C14" s="13" t="s">
        <v>37</v>
      </c>
      <c r="D14" s="13" t="s">
        <v>38</v>
      </c>
      <c r="E14" s="13" t="s">
        <v>39</v>
      </c>
      <c r="F14" s="13" t="s">
        <v>40</v>
      </c>
      <c r="G14" s="14" t="s">
        <v>41</v>
      </c>
      <c r="H14" s="13" t="s">
        <v>42</v>
      </c>
      <c r="I14" s="13" t="s">
        <v>43</v>
      </c>
      <c r="J14" s="13" t="s">
        <v>44</v>
      </c>
      <c r="K14" s="13" t="s">
        <v>44</v>
      </c>
      <c r="L14" s="13" t="s">
        <v>45</v>
      </c>
      <c r="M14" s="15" t="s">
        <v>46</v>
      </c>
      <c r="N14" s="16" t="s">
        <v>47</v>
      </c>
      <c r="O14" s="149"/>
      <c r="P14" s="149"/>
      <c r="Q14" s="150"/>
    </row>
    <row r="15" spans="1:17" ht="27" customHeight="1" thickBot="1" x14ac:dyDescent="0.25">
      <c r="A15" s="21">
        <v>42</v>
      </c>
      <c r="B15" s="22"/>
      <c r="C15" s="22"/>
      <c r="D15" s="22">
        <v>2</v>
      </c>
      <c r="E15" s="22"/>
      <c r="F15" s="22">
        <v>4901</v>
      </c>
      <c r="G15" s="22">
        <v>3</v>
      </c>
      <c r="H15" s="22">
        <v>1</v>
      </c>
      <c r="I15" s="22">
        <v>2</v>
      </c>
      <c r="J15" s="22">
        <v>2</v>
      </c>
      <c r="K15" s="22">
        <v>1</v>
      </c>
      <c r="L15" s="22"/>
      <c r="M15" s="23">
        <v>1</v>
      </c>
      <c r="N15" s="22" t="s">
        <v>48</v>
      </c>
      <c r="O15" s="157" t="s">
        <v>95</v>
      </c>
      <c r="P15" s="158"/>
      <c r="Q15" s="29">
        <v>1898400</v>
      </c>
    </row>
    <row r="16" spans="1:17" ht="27" customHeight="1" thickBot="1" x14ac:dyDescent="0.25">
      <c r="A16" s="21">
        <v>42</v>
      </c>
      <c r="B16" s="22"/>
      <c r="C16" s="22"/>
      <c r="D16" s="22">
        <v>2</v>
      </c>
      <c r="E16" s="22"/>
      <c r="F16" s="22">
        <v>4901</v>
      </c>
      <c r="G16" s="22">
        <v>3</v>
      </c>
      <c r="H16" s="22">
        <v>1</v>
      </c>
      <c r="I16" s="22">
        <v>2</v>
      </c>
      <c r="J16" s="22">
        <v>3</v>
      </c>
      <c r="K16" s="22">
        <v>4</v>
      </c>
      <c r="L16" s="22"/>
      <c r="M16" s="23">
        <v>1</v>
      </c>
      <c r="N16" s="22" t="s">
        <v>48</v>
      </c>
      <c r="O16" s="157" t="s">
        <v>96</v>
      </c>
      <c r="P16" s="158"/>
      <c r="Q16" s="29">
        <v>39000</v>
      </c>
    </row>
    <row r="17" spans="1:17" ht="27" customHeight="1" thickBot="1" x14ac:dyDescent="0.25">
      <c r="A17" s="21">
        <v>42</v>
      </c>
      <c r="B17" s="22"/>
      <c r="C17" s="22"/>
      <c r="D17" s="22">
        <v>2</v>
      </c>
      <c r="E17" s="22"/>
      <c r="F17" s="22">
        <v>4901</v>
      </c>
      <c r="G17" s="22">
        <v>3</v>
      </c>
      <c r="H17" s="22">
        <v>1</v>
      </c>
      <c r="I17" s="22">
        <v>2</v>
      </c>
      <c r="J17" s="22">
        <v>5</v>
      </c>
      <c r="K17" s="22">
        <v>1</v>
      </c>
      <c r="L17" s="22"/>
      <c r="M17" s="23">
        <v>1</v>
      </c>
      <c r="N17" s="22" t="s">
        <v>48</v>
      </c>
      <c r="O17" s="157" t="s">
        <v>97</v>
      </c>
      <c r="P17" s="158"/>
      <c r="Q17" s="29">
        <v>457600</v>
      </c>
    </row>
    <row r="18" spans="1:17" ht="27" customHeight="1" thickBot="1" x14ac:dyDescent="0.25">
      <c r="A18" s="21">
        <v>42</v>
      </c>
      <c r="B18" s="22"/>
      <c r="C18" s="22"/>
      <c r="D18" s="22">
        <v>2</v>
      </c>
      <c r="E18" s="22"/>
      <c r="F18" s="22">
        <v>4901</v>
      </c>
      <c r="G18" s="22">
        <v>3</v>
      </c>
      <c r="H18" s="22">
        <v>1</v>
      </c>
      <c r="I18" s="22">
        <v>2</v>
      </c>
      <c r="J18" s="22">
        <v>5</v>
      </c>
      <c r="K18" s="22">
        <v>8</v>
      </c>
      <c r="L18" s="22"/>
      <c r="M18" s="23">
        <v>1</v>
      </c>
      <c r="N18" s="22" t="s">
        <v>48</v>
      </c>
      <c r="O18" s="157" t="s">
        <v>98</v>
      </c>
      <c r="P18" s="158"/>
      <c r="Q18" s="29">
        <v>104000</v>
      </c>
    </row>
    <row r="19" spans="1:17" ht="27" customHeight="1" thickBot="1" x14ac:dyDescent="0.25">
      <c r="A19" s="21">
        <v>42</v>
      </c>
      <c r="B19" s="22"/>
      <c r="C19" s="22"/>
      <c r="D19" s="22">
        <v>2</v>
      </c>
      <c r="E19" s="22"/>
      <c r="F19" s="22">
        <v>4901</v>
      </c>
      <c r="G19" s="22">
        <v>3</v>
      </c>
      <c r="H19" s="22">
        <v>1</v>
      </c>
      <c r="I19" s="22">
        <v>2</v>
      </c>
      <c r="J19" s="22">
        <v>5</v>
      </c>
      <c r="K19" s="22">
        <v>9</v>
      </c>
      <c r="L19" s="22"/>
      <c r="M19" s="23">
        <v>1</v>
      </c>
      <c r="N19" s="22" t="s">
        <v>48</v>
      </c>
      <c r="O19" s="157" t="s">
        <v>99</v>
      </c>
      <c r="P19" s="158"/>
      <c r="Q19" s="29">
        <v>1796350</v>
      </c>
    </row>
    <row r="20" spans="1:17" ht="27" customHeight="1" x14ac:dyDescent="0.2">
      <c r="A20" s="21">
        <v>42</v>
      </c>
      <c r="B20" s="22"/>
      <c r="C20" s="22"/>
      <c r="D20" s="22">
        <v>2</v>
      </c>
      <c r="E20" s="22"/>
      <c r="F20" s="22">
        <v>4901</v>
      </c>
      <c r="G20" s="22">
        <v>3</v>
      </c>
      <c r="H20" s="22">
        <v>1</v>
      </c>
      <c r="I20" s="22">
        <v>2</v>
      </c>
      <c r="J20" s="22">
        <v>9</v>
      </c>
      <c r="K20" s="22">
        <v>5</v>
      </c>
      <c r="L20" s="22"/>
      <c r="M20" s="23">
        <v>1</v>
      </c>
      <c r="N20" s="22" t="s">
        <v>48</v>
      </c>
      <c r="O20" s="157" t="s">
        <v>100</v>
      </c>
      <c r="P20" s="158"/>
      <c r="Q20" s="29">
        <v>3928044</v>
      </c>
    </row>
    <row r="21" spans="1:17" ht="28.5" customHeight="1" x14ac:dyDescent="0.2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7"/>
      <c r="O21" s="159"/>
      <c r="P21" s="160"/>
      <c r="Q21" s="28"/>
    </row>
    <row r="22" spans="1:17" ht="28.5" customHeight="1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20"/>
      <c r="O22" s="151"/>
      <c r="P22" s="152"/>
      <c r="Q22" s="29"/>
    </row>
    <row r="23" spans="1:17" ht="31.5" customHeight="1" thickBot="1" x14ac:dyDescent="0.25">
      <c r="A23" s="154" t="s">
        <v>105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7">
        <f>SUM(Q15:Q21)</f>
        <v>8223394</v>
      </c>
    </row>
    <row r="24" spans="1:17" ht="18" customHeight="1" thickBot="1" x14ac:dyDescent="0.25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</row>
    <row r="25" spans="1:17" ht="17.25" customHeight="1" thickBot="1" x14ac:dyDescent="0.25">
      <c r="A25" s="161" t="s">
        <v>49</v>
      </c>
      <c r="B25" s="162"/>
      <c r="C25" s="162"/>
      <c r="D25" s="162"/>
      <c r="E25" s="162"/>
      <c r="F25" s="163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</row>
    <row r="26" spans="1:17" ht="18" customHeight="1" thickBot="1" x14ac:dyDescent="0.25">
      <c r="A26" s="153" t="s">
        <v>101</v>
      </c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</row>
    <row r="27" spans="1:17" ht="39.75" customHeight="1" thickBot="1" x14ac:dyDescent="0.25">
      <c r="A27" s="153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</row>
  </sheetData>
  <mergeCells count="31"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3:N13"/>
    <mergeCell ref="O13:P14"/>
    <mergeCell ref="Q13:Q14"/>
    <mergeCell ref="O22:P22"/>
    <mergeCell ref="A26:Q27"/>
    <mergeCell ref="A23:P23"/>
    <mergeCell ref="A24:Q24"/>
    <mergeCell ref="O15:P15"/>
    <mergeCell ref="O21:P21"/>
    <mergeCell ref="A25:F25"/>
    <mergeCell ref="G25:Q25"/>
    <mergeCell ref="O16:P16"/>
    <mergeCell ref="O17:P17"/>
    <mergeCell ref="O18:P18"/>
    <mergeCell ref="O19:P19"/>
    <mergeCell ref="O20:P20"/>
  </mergeCells>
  <phoneticPr fontId="43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cp:revision>2</cp:revision>
  <cp:lastPrinted>2021-02-26T14:25:47Z</cp:lastPrinted>
  <dcterms:created xsi:type="dcterms:W3CDTF">2020-07-17T23:44:49Z</dcterms:created>
  <dcterms:modified xsi:type="dcterms:W3CDTF">2022-02-09T12:39:26Z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