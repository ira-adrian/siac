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2° trimestre 2021\Enviado a la SCA Pos informe\Contrata la SCA\VIGILANCIA ok\"/>
    </mc:Choice>
  </mc:AlternateContent>
  <bookViews>
    <workbookView xWindow="-120" yWindow="-120" windowWidth="29040" windowHeight="1584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Gastar'!$A$1:$Q$21</definedName>
  </definedNames>
  <calcPr calcId="152511"/>
</workbook>
</file>

<file path=xl/calcChain.xml><?xml version="1.0" encoding="utf-8"?>
<calcChain xmlns="http://schemas.openxmlformats.org/spreadsheetml/2006/main">
  <c r="D7" i="2" l="1"/>
  <c r="J12" i="2"/>
  <c r="I10" i="1"/>
  <c r="A10" i="3"/>
  <c r="K12" i="2"/>
  <c r="I12" i="2"/>
  <c r="C12" i="2"/>
  <c r="B12" i="2"/>
  <c r="D10" i="1"/>
  <c r="J13" i="2" l="1"/>
  <c r="G6" i="3"/>
  <c r="G7" i="3"/>
  <c r="D3" i="2"/>
  <c r="G4" i="3" s="1"/>
  <c r="D4" i="2"/>
  <c r="G5" i="3" s="1"/>
  <c r="D1" i="3" l="1"/>
  <c r="Q17" i="3"/>
</calcChain>
</file>

<file path=xl/sharedStrings.xml><?xml version="1.0" encoding="utf-8"?>
<sst xmlns="http://schemas.openxmlformats.org/spreadsheetml/2006/main" count="88" uniqueCount="83">
  <si>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</si>
  <si>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</si>
  <si>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</si>
  <si>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</si>
  <si>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</si>
  <si>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</si>
  <si>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</si>
  <si>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</si>
  <si>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</si>
  <si>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</si>
  <si>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</si>
  <si>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</si>
  <si>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</si>
  <si>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</si>
  <si>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</si>
  <si>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</si>
  <si>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</si>
  <si>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</si>
  <si>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</si>
  <si>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</si>
  <si>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</si>
  <si>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</si>
  <si>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</si>
  <si>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</si>
  <si>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</si>
  <si>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</si>
  <si>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</si>
  <si>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</si>
  <si>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</si>
  <si>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</si>
  <si>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</si>
  <si>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</si>
  <si>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</si>
  <si>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</si>
  <si>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</si>
  <si>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</si>
  <si>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</si>
  <si>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</si>
  <si>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</si>
  <si>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</si>
  <si>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</si>
  <si>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</si>
  <si>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</si>
  <si>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</si>
  <si>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</si>
  <si>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</si>
  <si>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</si>
  <si>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</si>
  <si>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</si>
  <si>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</si>
  <si>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</si>
  <si>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</si>
  <si>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</si>
  <si>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</si>
  <si>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</si>
  <si>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</si>
  <si>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</si>
  <si>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>Direccion Mantenimiento</t>
  </si>
  <si>
    <t>1.1</t>
  </si>
  <si>
    <t>3.9.3-1387.1</t>
  </si>
  <si>
    <t>VIGILANCIA Y SEGURIDAD</t>
  </si>
  <si>
    <t>VIGILANCIA Y CUSTODIA; AREAS DE EDIFICIOS: VIGILANCIA Y CUSTODIA, DESCRIPCION: VIGILANCIA Y CUSTODIA</t>
  </si>
  <si>
    <t>MES</t>
  </si>
  <si>
    <t>Servicios de Vigilancia</t>
  </si>
  <si>
    <t>DIRECCION DE MANTENIMIENTO MATERNIDAD PROVINCIAL 25 DE MAYO - H. DE PEDRAZA 1650</t>
  </si>
  <si>
    <t>Costo total estimado: DOS MILLONES CIENTO OCHENTA MIL QUINIENTOS SETENTA Y CUATRO CON 00/100</t>
  </si>
  <si>
    <t>TOTAL DE PESOS: DOS MILLONES CIENTO OCHENTA MIL QUINIENTOS SETENTA Y CUATRO CON 00/100</t>
  </si>
  <si>
    <t>SI</t>
  </si>
  <si>
    <t>40-Ministerio de Salud</t>
  </si>
  <si>
    <t>Plazos de entrega:</t>
  </si>
  <si>
    <t xml:space="preserve"> CONTRATACION ES POR TRES MESES CON UNA OPCION A PRORROGA POR TRES MESES MAS. </t>
  </si>
  <si>
    <t>Lugar de Entrega:</t>
  </si>
  <si>
    <t>Contratacion de Servicio de Vigilanncia</t>
  </si>
  <si>
    <t>LOS PUESTOS SE CUBRIRAN DE LA SIGUIENTE MANERA:</t>
  </si>
  <si>
    <t>239-Direccion Mantenimiento</t>
  </si>
  <si>
    <t>27/2021</t>
  </si>
  <si>
    <t>Para la Contratacion del Servicio de Vigilancia y Custodia , para ser destinados a la Maternidad Provincia 25 de Mayo</t>
  </si>
  <si>
    <t>PUESTO N° 1: Una (1) Persona de Lunes a Lunes de 06:00 hs. a 06:00 hs. (24 hs.)</t>
  </si>
  <si>
    <t>PUESTO N° 2 : Una (1) Personas de sexo Femenino de Lunes a Lunes de 06:00 hs. a 06:00 hs. (24 hs.) y Una (1) Persona de Lunes a Lunes de 06:00 a 22:00 hs</t>
  </si>
  <si>
    <t>PUESTO N° 3 :Una (1) Persona de Lunes a Lunes de 06:00 hs. a 06:00 hs. (24 hs.)</t>
  </si>
  <si>
    <t xml:space="preserve">PUESTO N° 4 :Una (1) Persona de Lunes a viernes de 06:00 a 11:00 hs. </t>
  </si>
  <si>
    <t>30 dias corridos</t>
  </si>
  <si>
    <t xml:space="preserve">1 Dia corridos desde la firma del intrumento contractual-desde el 01 de Mayo  del 2021 a las 00:00 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</si>
</sst>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\ #,##0.00;[Red]\-[$$-2C0A]\ 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20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29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0" xfId="0" applyBorder="1"/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/>
    </xf>
    <xf numFmtId="0" fontId="13" fillId="0" borderId="34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166" fontId="0" fillId="0" borderId="38" xfId="3" applyNumberFormat="1" applyFont="1" applyBorder="1" applyAlignment="1" applyProtection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1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0" xfId="0" applyFont="1" applyBorder="1"/>
    <xf numFmtId="0" fontId="15" fillId="0" borderId="10" xfId="0" applyFont="1" applyBorder="1"/>
    <xf numFmtId="0" fontId="21" fillId="0" borderId="9" xfId="0" applyFont="1" applyBorder="1" applyAlignment="1">
      <alignment horizontal="left" indent="3"/>
    </xf>
    <xf numFmtId="0" fontId="15" fillId="0" borderId="9" xfId="0" applyFont="1" applyBorder="1" applyAlignment="1">
      <alignment horizontal="left" indent="3"/>
    </xf>
    <xf numFmtId="0" fontId="15" fillId="0" borderId="11" xfId="0" applyFont="1" applyBorder="1" applyAlignment="1">
      <alignment horizontal="left" indent="3"/>
    </xf>
    <xf numFmtId="0" fontId="15" fillId="0" borderId="12" xfId="0" applyFont="1" applyBorder="1"/>
    <xf numFmtId="0" fontId="15" fillId="0" borderId="13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10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10" xfId="0" applyFont="1" applyFill="1" applyBorder="1" applyAlignment="1">
      <alignment horizontal="center" wrapText="1"/>
    </xf>
    <xf numFmtId="0" fontId="19" fillId="0" borderId="3" xfId="0" applyFont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166" fontId="4" fillId="0" borderId="23" xfId="1" applyNumberFormat="1" applyFont="1" applyFill="1" applyBorder="1" applyAlignment="1" applyProtection="1">
      <alignment horizontal="right" vertical="center" wrapText="1"/>
    </xf>
    <xf numFmtId="3" fontId="4" fillId="0" borderId="23" xfId="0" applyNumberFormat="1" applyFont="1" applyFill="1" applyBorder="1" applyAlignment="1">
      <alignment horizontal="center" vertical="center"/>
    </xf>
    <xf numFmtId="49" fontId="6" fillId="0" borderId="15" xfId="0" applyNumberFormat="1" applyFont="1" applyFill="1" applyBorder="1" applyAlignment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169" fontId="18" fillId="0" borderId="4" xfId="0" applyNumberFormat="1" applyFont="1" applyBorder="1" applyAlignment="1">
      <alignment horizontal="center" vertical="center" wrapText="1"/>
    </xf>
    <xf numFmtId="169" fontId="18" fillId="0" borderId="5" xfId="0" applyNumberFormat="1" applyFont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/>
    </xf>
    <xf numFmtId="0" fontId="23" fillId="0" borderId="0" xfId="0" applyFont="1"/>
    <xf numFmtId="0" fontId="24" fillId="0" borderId="0" xfId="0" applyFont="1" applyBorder="1" applyAlignment="1">
      <alignment vertical="center"/>
    </xf>
    <xf numFmtId="0" fontId="15" fillId="0" borderId="0" xfId="0" applyFont="1" applyFill="1" applyBorder="1" applyAlignment="1">
      <alignment horizontal="center"/>
    </xf>
    <xf numFmtId="0" fontId="21" fillId="0" borderId="9" xfId="0" applyFont="1" applyBorder="1" applyAlignment="1"/>
    <xf numFmtId="0" fontId="15" fillId="0" borderId="9" xfId="0" applyFont="1" applyBorder="1" applyAlignment="1"/>
    <xf numFmtId="0" fontId="25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15" fillId="0" borderId="10" xfId="0" applyFont="1" applyFill="1" applyBorder="1" applyAlignment="1">
      <alignment horizontal="center" wrapText="1"/>
    </xf>
    <xf numFmtId="0" fontId="15" fillId="0" borderId="10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top"/>
    </xf>
    <xf numFmtId="0" fontId="15" fillId="0" borderId="0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left" vertical="center" wrapText="1"/>
    </xf>
    <xf numFmtId="0" fontId="25" fillId="0" borderId="1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 indent="1"/>
    </xf>
    <xf numFmtId="167" fontId="7" fillId="0" borderId="18" xfId="0" applyNumberFormat="1" applyFont="1" applyBorder="1" applyAlignment="1">
      <alignment horizontal="center" vertical="center"/>
    </xf>
    <xf numFmtId="0" fontId="4" fillId="0" borderId="23" xfId="0" applyFont="1" applyFill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/>
    </xf>
    <xf numFmtId="0" fontId="6" fillId="0" borderId="21" xfId="0" applyFont="1" applyFill="1" applyBorder="1" applyAlignment="1">
      <alignment horizontal="left" vertical="center" wrapText="1" indent="1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/>
    </xf>
    <xf numFmtId="3" fontId="9" fillId="0" borderId="25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 vertical="center" wrapText="1"/>
    </xf>
    <xf numFmtId="0" fontId="2" fillId="0" borderId="15" xfId="0" applyFont="1" applyBorder="1"/>
    <xf numFmtId="0" fontId="11" fillId="0" borderId="15" xfId="0" applyFont="1" applyBorder="1" applyAlignment="1">
      <alignment horizontal="left" indent="1"/>
    </xf>
    <xf numFmtId="0" fontId="4" fillId="0" borderId="17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/>
    </xf>
    <xf numFmtId="0" fontId="14" fillId="0" borderId="36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0" fillId="0" borderId="42" xfId="0" applyFont="1" applyBorder="1" applyAlignment="1">
      <alignment horizontal="left" vertical="center"/>
    </xf>
    <xf numFmtId="0" fontId="11" fillId="0" borderId="27" xfId="0" applyFont="1" applyBorder="1"/>
    <xf numFmtId="0" fontId="11" fillId="0" borderId="28" xfId="0" applyFont="1" applyBorder="1" applyAlignment="1">
      <alignment horizontal="left" vertical="center" wrapText="1" indent="1"/>
    </xf>
    <xf numFmtId="0" fontId="13" fillId="0" borderId="26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9" fillId="0" borderId="24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44" xfId="0" applyFont="1" applyFill="1" applyBorder="1" applyAlignment="1">
      <alignment horizontal="left" vertical="center" wrapText="1" indent="1"/>
    </xf>
    <xf numFmtId="0" fontId="9" fillId="0" borderId="44" xfId="0" applyFont="1" applyBorder="1" applyAlignment="1">
      <alignment horizontal="left" vertical="center" wrapText="1"/>
    </xf>
    <xf numFmtId="0" fontId="0" fillId="0" borderId="26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tabSelected="1" topLeftCell="A7" workbookViewId="0">
      <selection activeCell="C29" sqref="C29:E29"/>
    </sheetView>
  </sheetViews>
  <sheetFormatPr baseColWidth="10" defaultColWidth="11" defaultRowHeight="12.75" x14ac:dyDescent="0.2"/>
  <cols>
    <col min="1" max="1" width="3.5703125" style="30" customWidth="1"/>
    <col min="2" max="2" width="13.140625" style="30" customWidth="1"/>
    <col min="3" max="3" width="31.140625" style="30" customWidth="1"/>
    <col min="4" max="4" width="6.42578125" style="30" customWidth="1"/>
    <col min="5" max="5" width="96.28515625" style="30" customWidth="1"/>
    <col min="6" max="6" width="10.5703125" style="30" customWidth="1"/>
    <col min="7" max="7" width="10.140625" style="30" customWidth="1"/>
    <col min="8" max="8" width="13.140625" style="30" customWidth="1"/>
    <col min="9" max="9" width="18.5703125" style="30" customWidth="1"/>
    <col min="10" max="16384" width="11" style="30"/>
  </cols>
  <sheetData>
    <row r="2" spans="1:11" ht="27" x14ac:dyDescent="0.35">
      <c r="B2" s="76" t="s">
        <v>0</v>
      </c>
      <c r="C2" s="76"/>
      <c r="D2" s="76"/>
      <c r="E2" s="76"/>
      <c r="F2" s="76"/>
      <c r="G2" s="76"/>
      <c r="H2" s="76"/>
    </row>
    <row r="4" spans="1:11" ht="25.5" customHeight="1" x14ac:dyDescent="0.25">
      <c r="A4" s="77" t="s">
        <v>1</v>
      </c>
      <c r="B4" s="77"/>
      <c r="C4" s="78" t="s">
        <v>68</v>
      </c>
      <c r="D4" s="78"/>
      <c r="E4" s="78"/>
      <c r="F4" s="31"/>
      <c r="G4" s="32"/>
      <c r="H4" s="31"/>
    </row>
    <row r="5" spans="1:11" ht="18" customHeight="1" x14ac:dyDescent="0.25">
      <c r="A5" s="77" t="s">
        <v>2</v>
      </c>
      <c r="B5" s="77"/>
      <c r="C5" s="78" t="s">
        <v>56</v>
      </c>
      <c r="D5" s="78"/>
      <c r="E5" s="78"/>
      <c r="F5" s="31"/>
      <c r="G5" s="32"/>
      <c r="H5" s="31"/>
    </row>
    <row r="6" spans="1:11" ht="16.5" customHeight="1" x14ac:dyDescent="0.25">
      <c r="A6" s="77" t="s">
        <v>3</v>
      </c>
      <c r="B6" s="77"/>
      <c r="C6" s="45">
        <v>2021</v>
      </c>
      <c r="D6" s="46"/>
      <c r="E6" s="46"/>
      <c r="F6" s="31"/>
      <c r="G6" s="32"/>
      <c r="H6" s="31"/>
    </row>
    <row r="7" spans="1:11" ht="16.5" customHeight="1" x14ac:dyDescent="0.25">
      <c r="A7" s="77" t="s">
        <v>4</v>
      </c>
      <c r="B7" s="77"/>
      <c r="C7" s="45">
        <v>2</v>
      </c>
      <c r="D7" s="46"/>
      <c r="E7" s="46"/>
      <c r="F7" s="31"/>
      <c r="G7" s="32"/>
      <c r="H7" s="31"/>
    </row>
    <row r="8" spans="1:11" x14ac:dyDescent="0.2">
      <c r="B8" s="31"/>
      <c r="C8" s="32"/>
      <c r="D8" s="31"/>
      <c r="E8" s="31"/>
      <c r="F8" s="31"/>
      <c r="G8" s="32"/>
      <c r="H8" s="31"/>
    </row>
    <row r="9" spans="1:11" ht="39.75" thickTop="1" thickBot="1" x14ac:dyDescent="0.25">
      <c r="A9" s="33" t="s">
        <v>5</v>
      </c>
      <c r="B9" s="33" t="s">
        <v>6</v>
      </c>
      <c r="C9" s="33" t="s">
        <v>7</v>
      </c>
      <c r="D9" s="33" t="s">
        <v>8</v>
      </c>
      <c r="E9" s="33" t="s">
        <v>9</v>
      </c>
      <c r="F9" s="33" t="s">
        <v>10</v>
      </c>
      <c r="G9" s="33" t="s">
        <v>11</v>
      </c>
      <c r="H9" s="33" t="s">
        <v>12</v>
      </c>
      <c r="I9" s="33" t="s">
        <v>13</v>
      </c>
    </row>
    <row r="10" spans="1:11" ht="25.5" x14ac:dyDescent="0.2">
      <c r="A10" s="51">
        <v>1</v>
      </c>
      <c r="B10" s="64" t="s">
        <v>59</v>
      </c>
      <c r="C10" s="63" t="s">
        <v>60</v>
      </c>
      <c r="D10" s="62" t="str">
        <f>LEFT(B10,5)</f>
        <v>3.9.3</v>
      </c>
      <c r="E10" s="64" t="s">
        <v>61</v>
      </c>
      <c r="F10" s="64" t="s">
        <v>62</v>
      </c>
      <c r="G10" s="64">
        <v>3</v>
      </c>
      <c r="H10" s="65">
        <v>726858</v>
      </c>
      <c r="I10" s="66">
        <f>H10*G10</f>
        <v>2180574</v>
      </c>
    </row>
    <row r="13" spans="1:11" ht="25.5" x14ac:dyDescent="0.35">
      <c r="B13" s="34" t="s">
        <v>14</v>
      </c>
      <c r="C13" s="35"/>
      <c r="D13" s="35"/>
      <c r="E13" s="36"/>
      <c r="K13" s="68"/>
    </row>
    <row r="14" spans="1:11" ht="5.25" customHeight="1" x14ac:dyDescent="0.2">
      <c r="B14" s="37"/>
      <c r="C14" s="38"/>
      <c r="D14" s="38"/>
      <c r="E14" s="39"/>
    </row>
    <row r="15" spans="1:11" x14ac:dyDescent="0.2">
      <c r="B15" s="71" t="s">
        <v>15</v>
      </c>
      <c r="C15" s="38"/>
      <c r="D15" s="38"/>
      <c r="E15" s="39"/>
    </row>
    <row r="16" spans="1:11" ht="22.5" customHeight="1" x14ac:dyDescent="0.2">
      <c r="B16" s="40"/>
      <c r="C16" s="81"/>
      <c r="D16" s="81"/>
      <c r="E16" s="81"/>
    </row>
    <row r="17" spans="2:5" ht="20.25" customHeight="1" x14ac:dyDescent="0.2">
      <c r="B17" s="40"/>
      <c r="C17" s="83" t="s">
        <v>73</v>
      </c>
      <c r="D17" s="83"/>
      <c r="E17" s="84"/>
    </row>
    <row r="18" spans="2:5" ht="31.5" customHeight="1" x14ac:dyDescent="0.2">
      <c r="B18" s="40"/>
      <c r="C18" s="73"/>
      <c r="D18" s="85" t="s">
        <v>77</v>
      </c>
      <c r="E18" s="86"/>
    </row>
    <row r="19" spans="2:5" ht="31.5" customHeight="1" x14ac:dyDescent="0.2">
      <c r="B19" s="40"/>
      <c r="C19" s="73"/>
      <c r="D19" s="85" t="s">
        <v>78</v>
      </c>
      <c r="E19" s="86"/>
    </row>
    <row r="20" spans="2:5" ht="31.5" customHeight="1" x14ac:dyDescent="0.2">
      <c r="B20" s="40"/>
      <c r="C20" s="73"/>
      <c r="D20" s="85" t="s">
        <v>79</v>
      </c>
      <c r="E20" s="86"/>
    </row>
    <row r="21" spans="2:5" ht="31.5" customHeight="1" x14ac:dyDescent="0.2">
      <c r="B21" s="40"/>
      <c r="C21" s="73"/>
      <c r="D21" s="85" t="s">
        <v>80</v>
      </c>
      <c r="E21" s="86"/>
    </row>
    <row r="22" spans="2:5" ht="18" customHeight="1" x14ac:dyDescent="0.2">
      <c r="B22" s="40"/>
      <c r="C22" s="85" t="s">
        <v>70</v>
      </c>
      <c r="D22" s="85"/>
      <c r="E22" s="86"/>
    </row>
    <row r="23" spans="2:5" ht="18" customHeight="1" x14ac:dyDescent="0.2">
      <c r="B23" s="40"/>
      <c r="C23" s="74"/>
      <c r="D23" s="74"/>
      <c r="E23" s="75"/>
    </row>
    <row r="24" spans="2:5" x14ac:dyDescent="0.2">
      <c r="B24" s="71" t="s">
        <v>69</v>
      </c>
      <c r="C24" s="82" t="s">
        <v>82</v>
      </c>
      <c r="D24" s="82"/>
      <c r="E24" s="80"/>
    </row>
    <row r="25" spans="2:5" x14ac:dyDescent="0.2">
      <c r="B25" s="71"/>
      <c r="C25" s="70"/>
      <c r="D25" s="70"/>
      <c r="E25" s="67"/>
    </row>
    <row r="26" spans="2:5" x14ac:dyDescent="0.2">
      <c r="B26" s="72" t="s">
        <v>71</v>
      </c>
      <c r="C26" s="82" t="s">
        <v>64</v>
      </c>
      <c r="D26" s="82"/>
      <c r="E26" s="80"/>
    </row>
    <row r="27" spans="2:5" x14ac:dyDescent="0.2">
      <c r="B27" s="41"/>
      <c r="C27" s="80"/>
      <c r="D27" s="80"/>
      <c r="E27" s="80"/>
    </row>
    <row r="28" spans="2:5" x14ac:dyDescent="0.2">
      <c r="B28" s="71" t="s">
        <v>16</v>
      </c>
      <c r="C28" s="47"/>
      <c r="D28" s="47"/>
      <c r="E28" s="48"/>
    </row>
    <row r="29" spans="2:5" ht="26.25" customHeight="1" x14ac:dyDescent="0.2">
      <c r="B29" s="41"/>
      <c r="C29" s="79"/>
      <c r="D29" s="79"/>
      <c r="E29" s="79"/>
    </row>
    <row r="30" spans="2:5" x14ac:dyDescent="0.2">
      <c r="B30" s="71" t="s">
        <v>17</v>
      </c>
      <c r="C30" s="49"/>
      <c r="D30" s="49"/>
      <c r="E30" s="50"/>
    </row>
    <row r="31" spans="2:5" ht="26.25" customHeight="1" x14ac:dyDescent="0.2">
      <c r="B31" s="41"/>
      <c r="C31" s="79" t="s">
        <v>81</v>
      </c>
      <c r="D31" s="79"/>
      <c r="E31" s="79"/>
    </row>
    <row r="32" spans="2:5" x14ac:dyDescent="0.2">
      <c r="B32" s="71" t="s">
        <v>18</v>
      </c>
      <c r="C32" s="47"/>
      <c r="D32" s="47"/>
      <c r="E32" s="48"/>
    </row>
    <row r="33" spans="2:5" ht="23.25" customHeight="1" x14ac:dyDescent="0.2">
      <c r="B33" s="40"/>
      <c r="C33" s="80"/>
      <c r="D33" s="80"/>
      <c r="E33" s="80"/>
    </row>
    <row r="34" spans="2:5" x14ac:dyDescent="0.2">
      <c r="B34" s="42"/>
      <c r="C34" s="43"/>
      <c r="D34" s="43"/>
      <c r="E34" s="44"/>
    </row>
  </sheetData>
  <mergeCells count="20">
    <mergeCell ref="C29:E29"/>
    <mergeCell ref="C31:E31"/>
    <mergeCell ref="C33:E33"/>
    <mergeCell ref="A6:B6"/>
    <mergeCell ref="A7:B7"/>
    <mergeCell ref="C16:E16"/>
    <mergeCell ref="C26:E26"/>
    <mergeCell ref="C27:E27"/>
    <mergeCell ref="C24:E24"/>
    <mergeCell ref="C17:E17"/>
    <mergeCell ref="D18:E18"/>
    <mergeCell ref="D19:E19"/>
    <mergeCell ref="D20:E20"/>
    <mergeCell ref="D21:E21"/>
    <mergeCell ref="C22:E22"/>
    <mergeCell ref="B2:H2"/>
    <mergeCell ref="A4:B4"/>
    <mergeCell ref="C4:E4"/>
    <mergeCell ref="A5:B5"/>
    <mergeCell ref="C5:E5"/>
  </mergeCells>
  <pageMargins left="0.25" right="0.25" top="0.75" bottom="0.75" header="0.3" footer="0.3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75" zoomScaleNormal="75" workbookViewId="0">
      <selection activeCell="C53" sqref="C5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5" ht="18" customHeight="1" x14ac:dyDescent="0.2">
      <c r="A1" s="87" t="s">
        <v>19</v>
      </c>
      <c r="B1" s="87"/>
      <c r="C1" s="87"/>
      <c r="D1" s="87"/>
      <c r="E1" s="87"/>
      <c r="F1" s="87"/>
      <c r="G1" s="87"/>
      <c r="H1" s="87"/>
      <c r="I1" s="87"/>
      <c r="J1" s="3" t="s">
        <v>20</v>
      </c>
      <c r="K1" s="57" t="s">
        <v>75</v>
      </c>
    </row>
    <row r="2" spans="1:15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5" ht="18.75" customHeight="1" thickBot="1" x14ac:dyDescent="0.25">
      <c r="A3" s="88" t="s">
        <v>53</v>
      </c>
      <c r="B3" s="88"/>
      <c r="C3" s="88"/>
      <c r="D3" s="89" t="str">
        <f>'Necesidades Trimestrales'!C4</f>
        <v>40-Ministerio de Salud</v>
      </c>
      <c r="E3" s="89"/>
      <c r="F3" s="89"/>
      <c r="G3" s="89"/>
      <c r="H3" s="89"/>
      <c r="I3" s="89"/>
      <c r="J3" s="89"/>
      <c r="K3" s="89"/>
    </row>
    <row r="4" spans="1:15" ht="18.75" customHeight="1" thickBot="1" x14ac:dyDescent="0.25">
      <c r="A4" s="90" t="s">
        <v>54</v>
      </c>
      <c r="B4" s="90"/>
      <c r="C4" s="90"/>
      <c r="D4" s="89" t="str">
        <f>'Necesidades Trimestrales'!C5</f>
        <v>28- Maternidad Provincial 25 de Mayo</v>
      </c>
      <c r="E4" s="89"/>
      <c r="F4" s="89"/>
      <c r="G4" s="89"/>
      <c r="H4" s="89"/>
      <c r="I4" s="89"/>
      <c r="J4" s="89"/>
      <c r="K4" s="89"/>
    </row>
    <row r="5" spans="1:15" ht="18.75" customHeight="1" thickBot="1" x14ac:dyDescent="0.25">
      <c r="A5" s="90" t="s">
        <v>32</v>
      </c>
      <c r="B5" s="90"/>
      <c r="C5" s="90"/>
      <c r="D5" s="89" t="s">
        <v>74</v>
      </c>
      <c r="E5" s="89"/>
      <c r="F5" s="89"/>
      <c r="G5" s="89"/>
      <c r="H5" s="89"/>
      <c r="I5" s="89"/>
      <c r="J5" s="89"/>
      <c r="K5" s="89"/>
    </row>
    <row r="6" spans="1:15" ht="16.5" customHeight="1" thickBot="1" x14ac:dyDescent="0.25">
      <c r="A6" s="88" t="s">
        <v>55</v>
      </c>
      <c r="B6" s="88"/>
      <c r="C6" s="88"/>
      <c r="D6" s="89" t="s">
        <v>57</v>
      </c>
      <c r="E6" s="89"/>
      <c r="F6" s="89"/>
      <c r="G6" s="89"/>
      <c r="H6" s="89"/>
      <c r="I6" s="89"/>
      <c r="J6" s="89"/>
      <c r="K6" s="89"/>
    </row>
    <row r="7" spans="1:15" ht="16.5" customHeight="1" thickBot="1" x14ac:dyDescent="0.25">
      <c r="A7" s="90" t="s">
        <v>21</v>
      </c>
      <c r="B7" s="90"/>
      <c r="C7" s="90"/>
      <c r="D7" s="89" t="str">
        <f>'Necesidades Trimestrales'!C7 &amp; "° Trimestre - Año " &amp; 'Necesidades Trimestrales'!C6</f>
        <v>2° Trimestre - Año 2021</v>
      </c>
      <c r="E7" s="89"/>
      <c r="F7" s="89"/>
      <c r="G7" s="89"/>
      <c r="H7" s="89"/>
      <c r="I7" s="89"/>
      <c r="J7" s="89"/>
      <c r="K7" s="89"/>
    </row>
    <row r="8" spans="1:15" ht="16.5" customHeight="1" x14ac:dyDescent="0.2">
      <c r="A8" s="94" t="s">
        <v>22</v>
      </c>
      <c r="B8" s="94"/>
      <c r="C8" s="94"/>
      <c r="D8" s="95" t="s">
        <v>72</v>
      </c>
      <c r="E8" s="95"/>
      <c r="F8" s="95"/>
      <c r="G8" s="95"/>
      <c r="H8" s="95"/>
      <c r="I8" s="95"/>
      <c r="J8" s="95"/>
      <c r="K8" s="95"/>
    </row>
    <row r="9" spans="1:15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5" ht="18.75" customHeight="1" x14ac:dyDescent="0.2">
      <c r="A10" s="96" t="s">
        <v>23</v>
      </c>
      <c r="B10" s="97" t="s">
        <v>24</v>
      </c>
      <c r="C10" s="97" t="s">
        <v>25</v>
      </c>
      <c r="D10" s="97"/>
      <c r="E10" s="97"/>
      <c r="F10" s="97"/>
      <c r="G10" s="97"/>
      <c r="H10" s="97" t="s">
        <v>26</v>
      </c>
      <c r="I10" s="97" t="s">
        <v>27</v>
      </c>
      <c r="J10" s="97" t="s">
        <v>28</v>
      </c>
      <c r="K10" s="98" t="s">
        <v>29</v>
      </c>
    </row>
    <row r="11" spans="1:15" ht="24" customHeight="1" thickBot="1" x14ac:dyDescent="0.25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8"/>
    </row>
    <row r="12" spans="1:15" ht="31.5" customHeight="1" thickBot="1" x14ac:dyDescent="0.25">
      <c r="A12" s="8">
        <v>1</v>
      </c>
      <c r="B12" s="52" t="str">
        <f>'Necesidades Trimestrales'!B10</f>
        <v>3.9.3-1387.1</v>
      </c>
      <c r="C12" s="93" t="str">
        <f>'Necesidades Trimestrales'!E10</f>
        <v>VIGILANCIA Y CUSTODIA; AREAS DE EDIFICIOS: VIGILANCIA Y CUSTODIA, DESCRIPCION: VIGILANCIA Y CUSTODIA</v>
      </c>
      <c r="D12" s="93"/>
      <c r="E12" s="93"/>
      <c r="F12" s="93"/>
      <c r="G12" s="93"/>
      <c r="H12" s="53" t="s">
        <v>67</v>
      </c>
      <c r="I12" s="54" t="str">
        <f>'Necesidades Trimestrales'!F10</f>
        <v>MES</v>
      </c>
      <c r="J12" s="55">
        <f>'Necesidades Trimestrales'!H10</f>
        <v>726858</v>
      </c>
      <c r="K12" s="56">
        <f>'Necesidades Trimestrales'!G10</f>
        <v>3</v>
      </c>
      <c r="O12" s="69"/>
    </row>
    <row r="13" spans="1:15" ht="20.25" customHeight="1" thickBot="1" x14ac:dyDescent="0.25">
      <c r="A13" s="91" t="s">
        <v>65</v>
      </c>
      <c r="B13" s="91"/>
      <c r="C13" s="91"/>
      <c r="D13" s="91"/>
      <c r="E13" s="91"/>
      <c r="F13" s="91"/>
      <c r="G13" s="91"/>
      <c r="H13" s="91"/>
      <c r="I13" s="91"/>
      <c r="J13" s="92">
        <f>SUMPRODUCT(J12:J12,K12:K12)</f>
        <v>2180574</v>
      </c>
      <c r="K13" s="92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zoomScale="130" zoomScaleNormal="130" workbookViewId="0">
      <selection activeCell="A22" sqref="A2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99" t="s">
        <v>3</v>
      </c>
      <c r="B1" s="99"/>
      <c r="C1" s="99"/>
      <c r="D1" s="100">
        <f>'Necesidades Trimestrales'!C6</f>
        <v>2021</v>
      </c>
      <c r="E1" s="100"/>
      <c r="F1" s="10"/>
      <c r="G1" s="10"/>
      <c r="H1" s="11"/>
      <c r="I1" s="11"/>
      <c r="J1" s="11"/>
      <c r="K1" s="11"/>
      <c r="L1" s="11"/>
      <c r="M1" s="11"/>
      <c r="N1" s="11"/>
      <c r="P1" s="101" t="s">
        <v>30</v>
      </c>
      <c r="Q1" s="10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1"/>
      <c r="Q2" s="101"/>
    </row>
    <row r="4" spans="1:17" s="12" customFormat="1" ht="18" customHeight="1" thickBot="1" x14ac:dyDescent="0.25">
      <c r="A4" s="102" t="s">
        <v>31</v>
      </c>
      <c r="B4" s="102"/>
      <c r="C4" s="102"/>
      <c r="D4" s="102"/>
      <c r="E4" s="102"/>
      <c r="F4" s="102"/>
      <c r="G4" s="103" t="str">
        <f>' NotaPedido'!D3</f>
        <v>40-Ministerio de Salud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s="12" customFormat="1" ht="18" customHeight="1" thickBot="1" x14ac:dyDescent="0.25">
      <c r="A5" s="104" t="s">
        <v>54</v>
      </c>
      <c r="B5" s="105"/>
      <c r="C5" s="105"/>
      <c r="D5" s="105"/>
      <c r="E5" s="105"/>
      <c r="F5" s="106"/>
      <c r="G5" s="103" t="str">
        <f>' NotaPedido'!D4</f>
        <v>28- Maternidad Provincial 25 de Mayo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s="12" customFormat="1" ht="18" customHeight="1" thickBot="1" x14ac:dyDescent="0.25">
      <c r="A6" s="104" t="s">
        <v>32</v>
      </c>
      <c r="B6" s="105"/>
      <c r="C6" s="105"/>
      <c r="D6" s="105"/>
      <c r="E6" s="105"/>
      <c r="F6" s="106"/>
      <c r="G6" s="103" t="str">
        <f>' NotaPedido'!D5</f>
        <v>239-Direccion Mantenimiento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s="12" customFormat="1" ht="18" customHeight="1" thickBot="1" x14ac:dyDescent="0.25">
      <c r="A7" s="104" t="s">
        <v>55</v>
      </c>
      <c r="B7" s="105"/>
      <c r="C7" s="105"/>
      <c r="D7" s="105"/>
      <c r="E7" s="105"/>
      <c r="F7" s="106"/>
      <c r="G7" s="103" t="str">
        <f>' NotaPedido'!D6</f>
        <v>Direccion Mantenimiento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</row>
    <row r="8" spans="1:17" ht="18" customHeight="1" thickBot="1" x14ac:dyDescent="0.25">
      <c r="A8" s="107" t="s">
        <v>33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2">
      <c r="A9" s="111" t="s">
        <v>34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"/>
      <c r="P9" s="1"/>
      <c r="Q9" s="13"/>
    </row>
    <row r="10" spans="1:17" ht="54.75" customHeight="1" x14ac:dyDescent="0.2">
      <c r="A10" s="11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27/2021,  afectando la erogación resultante a los créditos presupuestarios aprobados a favor de esta Unidad Ejecutora, conforme al siguiente detalle: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3" t="s">
        <v>35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7" ht="15.75" customHeight="1" x14ac:dyDescent="0.2">
      <c r="A13" s="114" t="s">
        <v>36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37</v>
      </c>
      <c r="P13" s="115"/>
      <c r="Q13" s="116" t="s">
        <v>38</v>
      </c>
    </row>
    <row r="14" spans="1:17" ht="15.75" customHeight="1" thickBot="1" x14ac:dyDescent="0.25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5"/>
      <c r="P14" s="115"/>
      <c r="Q14" s="116"/>
    </row>
    <row r="15" spans="1:17" ht="17.25" customHeight="1" x14ac:dyDescent="0.2">
      <c r="A15" s="58">
        <v>42</v>
      </c>
      <c r="B15" s="59"/>
      <c r="C15" s="59"/>
      <c r="D15" s="59">
        <v>4</v>
      </c>
      <c r="E15" s="59"/>
      <c r="F15" s="59">
        <v>4901</v>
      </c>
      <c r="G15" s="59">
        <v>3</v>
      </c>
      <c r="H15" s="59">
        <v>1</v>
      </c>
      <c r="I15" s="59">
        <v>3</v>
      </c>
      <c r="J15" s="59">
        <v>9</v>
      </c>
      <c r="K15" s="59">
        <v>3</v>
      </c>
      <c r="L15" s="59"/>
      <c r="M15" s="60"/>
      <c r="N15" s="61" t="s">
        <v>58</v>
      </c>
      <c r="O15" s="108" t="s">
        <v>63</v>
      </c>
      <c r="P15" s="109"/>
      <c r="Q15" s="23">
        <v>2180574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7"/>
      <c r="O16" s="110"/>
      <c r="P16" s="110"/>
      <c r="Q16" s="28"/>
    </row>
    <row r="17" spans="1:17" ht="29.25" customHeight="1" thickBot="1" x14ac:dyDescent="0.25">
      <c r="A17" s="122" t="s">
        <v>66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29">
        <f>SUM(Q15:Q16)</f>
        <v>2180574</v>
      </c>
    </row>
    <row r="18" spans="1:17" ht="18" customHeight="1" thickBot="1" x14ac:dyDescent="0.25">
      <c r="A18" s="123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</row>
    <row r="19" spans="1:17" ht="17.25" customHeight="1" thickBot="1" x14ac:dyDescent="0.25">
      <c r="A19" s="117" t="s">
        <v>52</v>
      </c>
      <c r="B19" s="118"/>
      <c r="C19" s="118"/>
      <c r="D19" s="118"/>
      <c r="E19" s="118"/>
      <c r="F19" s="119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</row>
    <row r="20" spans="1:17" ht="18" customHeight="1" thickBot="1" x14ac:dyDescent="0.25">
      <c r="A20" s="121" t="s">
        <v>76</v>
      </c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</row>
    <row r="21" spans="1:17" ht="15" customHeight="1" x14ac:dyDescent="0.2">
      <c r="A21" s="121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</row>
  </sheetData>
  <mergeCells count="25">
    <mergeCell ref="A19:F19"/>
    <mergeCell ref="G19:Q19"/>
    <mergeCell ref="A20:Q21"/>
    <mergeCell ref="A17:P17"/>
    <mergeCell ref="A18:Q18"/>
    <mergeCell ref="O15:P15"/>
    <mergeCell ref="O16:P16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2020-08-20T12:05:09Z</cp:lastPrinted>
  <dcterms:created xsi:type="dcterms:W3CDTF">2020-07-17T23:44:49Z</dcterms:created>
  <dcterms:modified xsi:type="dcterms:W3CDTF">2021-03-22T14:04:16Z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