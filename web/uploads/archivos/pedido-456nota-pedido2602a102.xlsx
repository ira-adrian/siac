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EC990708-10C2-4945-9289-4AA3F31D72B0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Gastar'!$A$1:$Q$27</definedName>
  </definedNames>
  <calcPr calcId="181029"/>
</workbook>
</file>

<file path=xl/calcChain.xml><?xml version="1.0" encoding="utf-8"?>
<calcChain xmlns="http://schemas.openxmlformats.org/spreadsheetml/2006/main">
  <c r="I11" i="1" l="1"/>
  <c r="I12" i="1"/>
  <c r="I13" i="1"/>
  <c r="I10" i="1"/>
  <c r="D3" i="2" l="1"/>
  <c r="G6" i="3" l="1"/>
  <c r="G7" i="3"/>
  <c r="D7" i="2"/>
  <c r="G4" i="3"/>
  <c r="D4" i="2"/>
  <c r="G5" i="3" s="1"/>
  <c r="A10" i="3" l="1"/>
  <c r="D1" i="3"/>
  <c r="J16" i="2"/>
  <c r="Q23" i="3"/>
</calcChain>
</file>

<file path=xl/sharedStrings.xml><?xml version="1.0" encoding="utf-8"?>
<sst xmlns="http://schemas.openxmlformats.org/spreadsheetml/2006/main" count="129" uniqueCount="91">
  <si>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</si>
  <si>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</si>
  <si>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</si>
  <si>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</si>
  <si>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</si>
  <si>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</si>
  <si>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</si>
  <si>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</si>
  <si>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</si>
  <si>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</si>
  <si>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</si>
  <si>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</si>
  <si>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</si>
  <si>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</si>
  <si>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</si>
  <si>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</si>
  <si>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</si>
  <si>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</si>
  <si>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</si>
  <si>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</si>
  <si>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</si>
  <si>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</si>
  <si>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</si>
  <si>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</si>
  <si>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</si>
  <si>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</si>
  <si>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</si>
  <si>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</si>
  <si>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</si>
  <si>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</si>
  <si>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</si>
  <si>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</si>
  <si>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</si>
  <si>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</si>
  <si>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</si>
  <si>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</si>
  <si>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</si>
  <si>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</si>
  <si>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</si>
  <si>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</si>
  <si>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</si>
  <si>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</si>
  <si>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</si>
  <si>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</si>
  <si>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</si>
  <si>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</si>
  <si>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</si>
  <si>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</si>
  <si>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</si>
  <si>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</si>
  <si>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</si>
  <si>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</si>
  <si>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</si>
  <si>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</si>
  <si>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</si>
  <si>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</si>
  <si>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</si>
  <si>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</si>
  <si>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</si>
  <si>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 xml:space="preserve">Algodón x 500grs. </t>
  </si>
  <si>
    <t>UNIDAD</t>
  </si>
  <si>
    <t>CHAGAS ELISA RECOMBINANTE 4.0 TIPO WIENER</t>
  </si>
  <si>
    <t>CAJA</t>
  </si>
  <si>
    <t>Cinta Hipoalergenica de 2,5CM.</t>
  </si>
  <si>
    <t>HEPATITIS "B" AG ELISA TIPO WIENER</t>
  </si>
  <si>
    <t>UTILES MENORES, MEDICOS, QUIRURGICOS Y DE LABORATORIO</t>
  </si>
  <si>
    <t>1.1</t>
  </si>
  <si>
    <t>2.9.5</t>
  </si>
  <si>
    <t>Ministerio de Salud</t>
  </si>
  <si>
    <t>Chacabuco N° 169</t>
  </si>
  <si>
    <t>Plazo de entrega 10 días hábiles</t>
  </si>
  <si>
    <t>Cuarto Trimestre</t>
  </si>
  <si>
    <t>2.5.1</t>
  </si>
  <si>
    <t>Compuestos quimicos (Reactivos)</t>
  </si>
  <si>
    <t>Utilies menores, medicos, quirurgicos y laboratorio (Descartable)</t>
  </si>
  <si>
    <t>Calidad Minima esperada: Debe ser marca WIENER que es lo utilizado en el aparato del Laboratorio</t>
  </si>
  <si>
    <t>Descripción técnica: Marca WIENER de 96 determinaciones. Vencimiento NO menor a 1 (un) año.-</t>
  </si>
  <si>
    <t>Especificidades Item N° 3:</t>
  </si>
  <si>
    <t>Descripción técnica:</t>
  </si>
  <si>
    <t>Especificidades Item N° 4:</t>
  </si>
  <si>
    <t>296 - Direccion Provincial de Laboratorio</t>
  </si>
  <si>
    <t>Direccion Provincial de Laboratorio</t>
  </si>
  <si>
    <t>41-2020</t>
  </si>
  <si>
    <t>Costo total estimado: Cuatrocientos ochenta y cuatro mil cuatrocientos veinte con 00/100.-</t>
  </si>
  <si>
    <t>COMPUESTOS QUIMICOS</t>
  </si>
  <si>
    <t>ADQUISICION DE INSUMOS Y REACTIVOS PARA EL LABORATORIO CENTRAL.-</t>
  </si>
  <si>
    <t>TOTAL DE PESOS: CUATROCIENTOS OCHENTA Y CUATRO MIL CUATROCIENTOS VEINTE CON 00/100.-</t>
  </si>
  <si>
    <t>Adquisicion de reactivos y descartables</t>
  </si>
  <si>
    <t xml:space="preserve">Calidad Minima esperada: </t>
  </si>
  <si>
    <t>Calidad Minima esperada: Debe ser marca WIENER por la utilizacion del reactivo en el aparato que corresponde</t>
  </si>
  <si>
    <t>Descripción técnica: marca WIENER Hepatitis B Elisa HBSAG por 96 determinaciones. Vencimiento NO menor a 1 (un)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</si>
</sst>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[$$-2C0A]\ * #,##0.00_-;\-[$$-2C0A]\ * #,##0.00_-;_-[$$-2C0A]\ 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color theme="1"/>
      <name val="Verdana"/>
      <family val="2"/>
    </font>
    <font>
      <sz val="9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8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6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5" fillId="0" borderId="0"/>
  </cellStyleXfs>
  <cellXfs count="17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5" xfId="0" applyFont="1" applyBorder="1" applyAlignment="1">
      <alignment horizontal="right" vertical="center"/>
    </xf>
    <xf numFmtId="0" fontId="5" fillId="0" borderId="17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9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left" vertical="center"/>
    </xf>
    <xf numFmtId="0" fontId="4" fillId="0" borderId="25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5" xfId="0" applyBorder="1"/>
    <xf numFmtId="0" fontId="0" fillId="0" borderId="31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32" xfId="0" applyBorder="1"/>
    <xf numFmtId="0" fontId="14" fillId="0" borderId="34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5" xfId="0" applyFont="1" applyBorder="1" applyAlignment="1">
      <alignment horizontal="left" vertical="center"/>
    </xf>
    <xf numFmtId="0" fontId="14" fillId="0" borderId="36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66" fontId="0" fillId="0" borderId="49" xfId="3" applyNumberFormat="1" applyFont="1" applyBorder="1" applyAlignment="1" applyProtection="1">
      <alignment horizontal="center" vertical="center"/>
    </xf>
    <xf numFmtId="166" fontId="14" fillId="0" borderId="50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0" fontId="23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0" fontId="16" fillId="0" borderId="10" xfId="0" applyFont="1" applyBorder="1"/>
    <xf numFmtId="0" fontId="16" fillId="0" borderId="0" xfId="0" applyFont="1" applyBorder="1"/>
    <xf numFmtId="0" fontId="16" fillId="0" borderId="11" xfId="0" applyFont="1" applyBorder="1"/>
    <xf numFmtId="0" fontId="23" fillId="0" borderId="10" xfId="0" applyFont="1" applyBorder="1" applyAlignment="1">
      <alignment horizontal="left" indent="3"/>
    </xf>
    <xf numFmtId="0" fontId="24" fillId="3" borderId="0" xfId="0" applyFont="1" applyFill="1" applyAlignment="1">
      <alignment horizontal="left" wrapText="1" indent="1"/>
    </xf>
    <xf numFmtId="0" fontId="20" fillId="4" borderId="0" xfId="0" applyFont="1" applyFill="1" applyAlignment="1">
      <alignment horizontal="left" wrapText="1"/>
    </xf>
    <xf numFmtId="0" fontId="22" fillId="3" borderId="3" xfId="0" applyFont="1" applyFill="1" applyBorder="1" applyAlignment="1">
      <alignment horizontal="center" vertical="center" wrapText="1"/>
    </xf>
    <xf numFmtId="166" fontId="21" fillId="3" borderId="4" xfId="1" applyNumberFormat="1" applyFont="1" applyFill="1" applyBorder="1" applyAlignment="1" applyProtection="1">
      <alignment horizontal="right" vertical="center" wrapText="1"/>
    </xf>
    <xf numFmtId="0" fontId="23" fillId="4" borderId="10" xfId="0" applyFont="1" applyFill="1" applyBorder="1" applyAlignment="1">
      <alignment horizontal="left" indent="3"/>
    </xf>
    <xf numFmtId="0" fontId="16" fillId="4" borderId="0" xfId="0" applyFont="1" applyFill="1" applyBorder="1"/>
    <xf numFmtId="0" fontId="16" fillId="4" borderId="11" xfId="0" applyFont="1" applyFill="1" applyBorder="1"/>
    <xf numFmtId="0" fontId="16" fillId="4" borderId="10" xfId="0" applyFont="1" applyFill="1" applyBorder="1" applyAlignment="1">
      <alignment horizontal="left" indent="3"/>
    </xf>
    <xf numFmtId="0" fontId="16" fillId="4" borderId="0" xfId="0" applyFont="1" applyFill="1" applyBorder="1" applyAlignment="1">
      <alignment horizontal="center" wrapText="1"/>
    </xf>
    <xf numFmtId="0" fontId="16" fillId="4" borderId="11" xfId="0" applyFont="1" applyFill="1" applyBorder="1" applyAlignment="1">
      <alignment horizontal="center" wrapText="1"/>
    </xf>
    <xf numFmtId="0" fontId="16" fillId="4" borderId="12" xfId="0" applyFont="1" applyFill="1" applyBorder="1" applyAlignment="1">
      <alignment horizontal="left" indent="3"/>
    </xf>
    <xf numFmtId="0" fontId="16" fillId="4" borderId="13" xfId="0" applyFont="1" applyFill="1" applyBorder="1"/>
    <xf numFmtId="0" fontId="16" fillId="4" borderId="14" xfId="0" applyFont="1" applyFill="1" applyBorder="1"/>
    <xf numFmtId="0" fontId="16" fillId="4" borderId="0" xfId="0" applyFont="1" applyFill="1"/>
    <xf numFmtId="0" fontId="23" fillId="4" borderId="7" xfId="0" applyFont="1" applyFill="1" applyBorder="1"/>
    <xf numFmtId="0" fontId="16" fillId="4" borderId="8" xfId="0" applyFont="1" applyFill="1" applyBorder="1"/>
    <xf numFmtId="0" fontId="16" fillId="4" borderId="9" xfId="0" applyFont="1" applyFill="1" applyBorder="1"/>
    <xf numFmtId="0" fontId="16" fillId="4" borderId="10" xfId="0" applyFont="1" applyFill="1" applyBorder="1"/>
    <xf numFmtId="0" fontId="6" fillId="3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left" vertical="center"/>
    </xf>
    <xf numFmtId="0" fontId="4" fillId="3" borderId="24" xfId="0" applyFont="1" applyFill="1" applyBorder="1" applyAlignment="1">
      <alignment horizontal="center" vertical="center"/>
    </xf>
    <xf numFmtId="0" fontId="0" fillId="3" borderId="37" xfId="0" applyFont="1" applyFill="1" applyBorder="1" applyAlignment="1">
      <alignment horizontal="center" vertical="center"/>
    </xf>
    <xf numFmtId="0" fontId="0" fillId="3" borderId="38" xfId="0" applyFont="1" applyFill="1" applyBorder="1" applyAlignment="1">
      <alignment horizontal="center" vertical="center"/>
    </xf>
    <xf numFmtId="0" fontId="0" fillId="4" borderId="38" xfId="0" applyFont="1" applyFill="1" applyBorder="1" applyAlignment="1">
      <alignment horizontal="center" vertical="center"/>
    </xf>
    <xf numFmtId="0" fontId="0" fillId="3" borderId="39" xfId="0" applyFont="1" applyFill="1" applyBorder="1" applyAlignment="1">
      <alignment horizontal="center" vertical="center"/>
    </xf>
    <xf numFmtId="166" fontId="0" fillId="4" borderId="40" xfId="3" applyNumberFormat="1" applyFont="1" applyFill="1" applyBorder="1" applyAlignment="1" applyProtection="1">
      <alignment horizontal="center" vertical="center"/>
    </xf>
    <xf numFmtId="0" fontId="25" fillId="0" borderId="6" xfId="0" applyFont="1" applyBorder="1" applyAlignment="1">
      <alignment vertical="center"/>
    </xf>
    <xf numFmtId="0" fontId="25" fillId="0" borderId="6" xfId="0" applyFont="1" applyBorder="1" applyAlignment="1">
      <alignment horizontal="center" vertical="center"/>
    </xf>
    <xf numFmtId="0" fontId="25" fillId="0" borderId="6" xfId="5" applyFont="1" applyBorder="1" applyAlignment="1">
      <alignment vertical="center"/>
    </xf>
    <xf numFmtId="0" fontId="26" fillId="0" borderId="6" xfId="5" applyFont="1" applyBorder="1" applyAlignment="1">
      <alignment horizontal="center" vertical="center" wrapText="1"/>
    </xf>
    <xf numFmtId="169" fontId="0" fillId="0" borderId="6" xfId="0" applyNumberFormat="1" applyBorder="1" applyAlignment="1">
      <alignment horizontal="center"/>
    </xf>
    <xf numFmtId="169" fontId="19" fillId="0" borderId="0" xfId="0" applyNumberFormat="1" applyFont="1" applyAlignment="1">
      <alignment horizontal="left" wrapText="1"/>
    </xf>
    <xf numFmtId="169" fontId="0" fillId="0" borderId="6" xfId="0" applyNumberFormat="1" applyBorder="1"/>
    <xf numFmtId="169" fontId="16" fillId="0" borderId="0" xfId="0" applyNumberFormat="1" applyFont="1"/>
    <xf numFmtId="0" fontId="15" fillId="3" borderId="38" xfId="0" applyFont="1" applyFill="1" applyBorder="1" applyAlignment="1">
      <alignment horizontal="center" vertical="center"/>
    </xf>
    <xf numFmtId="0" fontId="29" fillId="0" borderId="3" xfId="0" applyFont="1" applyBorder="1" applyAlignment="1">
      <alignment horizontal="left" vertical="center" wrapText="1"/>
    </xf>
    <xf numFmtId="169" fontId="15" fillId="0" borderId="25" xfId="0" applyNumberFormat="1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20" fillId="0" borderId="60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169" fontId="20" fillId="0" borderId="61" xfId="0" applyNumberFormat="1" applyFont="1" applyBorder="1" applyAlignment="1">
      <alignment horizontal="center" vertical="center" wrapText="1"/>
    </xf>
    <xf numFmtId="0" fontId="20" fillId="0" borderId="62" xfId="0" applyFont="1" applyBorder="1" applyAlignment="1">
      <alignment horizontal="center" vertical="center" wrapText="1"/>
    </xf>
    <xf numFmtId="0" fontId="25" fillId="0" borderId="3" xfId="5" applyFont="1" applyBorder="1" applyAlignment="1">
      <alignment vertical="center" wrapText="1"/>
    </xf>
    <xf numFmtId="0" fontId="26" fillId="0" borderId="3" xfId="5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9" fontId="0" fillId="0" borderId="3" xfId="0" applyNumberFormat="1" applyBorder="1" applyAlignment="1">
      <alignment horizontal="center"/>
    </xf>
    <xf numFmtId="166" fontId="21" fillId="3" borderId="63" xfId="1" applyNumberFormat="1" applyFont="1" applyFill="1" applyBorder="1" applyAlignment="1" applyProtection="1">
      <alignment horizontal="right" vertical="center" wrapText="1"/>
    </xf>
    <xf numFmtId="0" fontId="21" fillId="0" borderId="64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 wrapText="1"/>
    </xf>
    <xf numFmtId="0" fontId="29" fillId="0" borderId="65" xfId="0" applyFont="1" applyBorder="1" applyAlignment="1">
      <alignment horizontal="left" vertical="center" wrapText="1"/>
    </xf>
    <xf numFmtId="166" fontId="21" fillId="3" borderId="66" xfId="1" applyNumberFormat="1" applyFont="1" applyFill="1" applyBorder="1" applyAlignment="1" applyProtection="1">
      <alignment horizontal="right" vertical="center" wrapText="1"/>
    </xf>
    <xf numFmtId="16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5" fillId="0" borderId="63" xfId="0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7" xfId="0" applyFont="1" applyBorder="1" applyAlignment="1">
      <alignment horizontal="left" vertical="center"/>
    </xf>
    <xf numFmtId="0" fontId="4" fillId="0" borderId="67" xfId="0" applyFont="1" applyBorder="1" applyAlignment="1">
      <alignment horizontal="center" vertical="center"/>
    </xf>
    <xf numFmtId="0" fontId="25" fillId="0" borderId="65" xfId="0" applyFont="1" applyBorder="1" applyAlignment="1">
      <alignment horizontal="center" vertical="center"/>
    </xf>
    <xf numFmtId="169" fontId="0" fillId="0" borderId="65" xfId="0" applyNumberFormat="1" applyBorder="1"/>
    <xf numFmtId="0" fontId="25" fillId="0" borderId="66" xfId="0" applyFont="1" applyBorder="1" applyAlignment="1">
      <alignment horizontal="center" vertical="center"/>
    </xf>
    <xf numFmtId="0" fontId="25" fillId="0" borderId="65" xfId="0" applyFont="1" applyBorder="1" applyAlignment="1">
      <alignment vertical="center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3" borderId="0" xfId="0" applyFont="1" applyFill="1" applyBorder="1" applyAlignment="1">
      <alignment horizontal="left" wrapText="1" indent="1"/>
    </xf>
    <xf numFmtId="0" fontId="16" fillId="3" borderId="11" xfId="0" applyFont="1" applyFill="1" applyBorder="1" applyAlignment="1">
      <alignment horizontal="center" wrapText="1"/>
    </xf>
    <xf numFmtId="0" fontId="16" fillId="3" borderId="11" xfId="0" applyFont="1" applyFill="1" applyBorder="1" applyAlignment="1">
      <alignment horizontal="left"/>
    </xf>
    <xf numFmtId="0" fontId="16" fillId="3" borderId="0" xfId="0" applyFont="1" applyFill="1" applyBorder="1" applyAlignment="1">
      <alignment horizontal="left"/>
    </xf>
    <xf numFmtId="0" fontId="16" fillId="3" borderId="11" xfId="0" applyFont="1" applyFill="1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7" fillId="0" borderId="18" xfId="0" applyFont="1" applyBorder="1" applyAlignment="1">
      <alignment horizontal="left" vertical="center" wrapText="1"/>
    </xf>
    <xf numFmtId="0" fontId="6" fillId="4" borderId="19" xfId="0" applyFont="1" applyFill="1" applyBorder="1" applyAlignment="1">
      <alignment horizontal="left" vertical="center" wrapText="1" indent="1"/>
    </xf>
    <xf numFmtId="0" fontId="7" fillId="0" borderId="2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 wrapText="1" inden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left" vertical="center" wrapText="1" indent="1"/>
    </xf>
    <xf numFmtId="167" fontId="7" fillId="0" borderId="19" xfId="0" applyNumberFormat="1" applyFont="1" applyBorder="1" applyAlignment="1">
      <alignment horizontal="center" vertical="center"/>
    </xf>
    <xf numFmtId="0" fontId="27" fillId="4" borderId="57" xfId="0" applyFont="1" applyFill="1" applyBorder="1" applyAlignment="1">
      <alignment horizontal="left" vertical="center" wrapText="1"/>
    </xf>
    <xf numFmtId="0" fontId="27" fillId="4" borderId="58" xfId="0" applyFont="1" applyFill="1" applyBorder="1" applyAlignment="1">
      <alignment horizontal="left" vertical="center" wrapText="1"/>
    </xf>
    <xf numFmtId="0" fontId="27" fillId="4" borderId="59" xfId="0" applyFont="1" applyFill="1" applyBorder="1" applyAlignment="1">
      <alignment horizontal="left" vertical="center" wrapText="1"/>
    </xf>
    <xf numFmtId="0" fontId="27" fillId="0" borderId="54" xfId="0" applyFont="1" applyBorder="1" applyAlignment="1">
      <alignment horizontal="left" vertical="center" wrapText="1"/>
    </xf>
    <xf numFmtId="0" fontId="27" fillId="0" borderId="55" xfId="0" applyFont="1" applyBorder="1" applyAlignment="1">
      <alignment horizontal="left" vertical="center" wrapText="1"/>
    </xf>
    <xf numFmtId="0" fontId="27" fillId="0" borderId="56" xfId="0" applyFont="1" applyBorder="1" applyAlignment="1">
      <alignment horizontal="left" vertical="center" wrapText="1"/>
    </xf>
    <xf numFmtId="0" fontId="27" fillId="0" borderId="68" xfId="0" applyFont="1" applyBorder="1" applyAlignment="1">
      <alignment horizontal="left" vertical="center" wrapText="1"/>
    </xf>
    <xf numFmtId="0" fontId="27" fillId="0" borderId="69" xfId="0" applyFont="1" applyBorder="1" applyAlignment="1">
      <alignment horizontal="left" vertical="center" wrapText="1"/>
    </xf>
    <xf numFmtId="0" fontId="27" fillId="0" borderId="70" xfId="0" applyFont="1" applyBorder="1" applyAlignment="1">
      <alignment horizontal="left" vertical="center" wrapText="1"/>
    </xf>
    <xf numFmtId="0" fontId="0" fillId="0" borderId="26" xfId="0" applyFont="1" applyBorder="1" applyAlignment="1">
      <alignment horizontal="center"/>
    </xf>
    <xf numFmtId="3" fontId="10" fillId="0" borderId="27" xfId="0" applyNumberFormat="1" applyFont="1" applyBorder="1" applyAlignment="1">
      <alignment horizontal="center"/>
    </xf>
    <xf numFmtId="0" fontId="11" fillId="0" borderId="16" xfId="0" applyFont="1" applyBorder="1" applyAlignment="1">
      <alignment horizontal="center" vertical="center" wrapText="1"/>
    </xf>
    <xf numFmtId="0" fontId="2" fillId="0" borderId="16" xfId="0" applyFont="1" applyBorder="1"/>
    <xf numFmtId="0" fontId="12" fillId="0" borderId="16" xfId="0" applyFont="1" applyBorder="1" applyAlignment="1">
      <alignment horizontal="left" indent="1"/>
    </xf>
    <xf numFmtId="0" fontId="4" fillId="0" borderId="18" xfId="0" applyFont="1" applyBorder="1" applyAlignment="1">
      <alignment horizontal="left" vertical="center" wrapText="1"/>
    </xf>
    <xf numFmtId="0" fontId="4" fillId="0" borderId="52" xfId="0" applyFont="1" applyBorder="1" applyAlignment="1">
      <alignment horizontal="left" vertical="center" wrapText="1"/>
    </xf>
    <xf numFmtId="0" fontId="4" fillId="0" borderId="53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/>
    </xf>
    <xf numFmtId="0" fontId="12" fillId="0" borderId="29" xfId="0" applyFont="1" applyBorder="1"/>
    <xf numFmtId="0" fontId="12" fillId="0" borderId="30" xfId="0" applyFont="1" applyBorder="1" applyAlignment="1">
      <alignment horizontal="left" vertical="center" wrapText="1" indent="1"/>
    </xf>
    <xf numFmtId="0" fontId="14" fillId="0" borderId="2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/>
    </xf>
    <xf numFmtId="0" fontId="28" fillId="4" borderId="38" xfId="0" applyFont="1" applyFill="1" applyBorder="1" applyAlignment="1">
      <alignment horizontal="left" vertical="center" wrapText="1"/>
    </xf>
    <xf numFmtId="0" fontId="0" fillId="0" borderId="44" xfId="0" applyFont="1" applyBorder="1" applyAlignment="1">
      <alignment horizontal="left" vertical="center"/>
    </xf>
    <xf numFmtId="0" fontId="10" fillId="0" borderId="26" xfId="0" applyFont="1" applyBorder="1" applyAlignment="1">
      <alignment vertical="center" wrapText="1"/>
    </xf>
    <xf numFmtId="0" fontId="10" fillId="0" borderId="5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3" borderId="50" xfId="0" applyFont="1" applyFill="1" applyBorder="1" applyAlignment="1">
      <alignment horizontal="left" vertical="center" wrapText="1" indent="1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10" fillId="0" borderId="50" xfId="0" applyFont="1" applyBorder="1" applyAlignment="1">
      <alignment horizontal="left" vertical="center" wrapText="1"/>
    </xf>
    <xf numFmtId="0" fontId="0" fillId="0" borderId="28" xfId="0" applyBorder="1"/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78"/>
  <sheetViews>
    <sheetView tabSelected="1" zoomScale="130" zoomScaleNormal="130" workbookViewId="0">
      <selection activeCell="B67" sqref="B67"/>
    </sheetView>
  </sheetViews>
  <sheetFormatPr baseColWidth="10" defaultColWidth="11" defaultRowHeight="12.75" x14ac:dyDescent="0.2"/>
  <cols>
    <col min="1" max="1" width="4.5703125" style="40" customWidth="1"/>
    <col min="2" max="2" width="12.85546875" style="40" customWidth="1"/>
    <col min="3" max="3" width="32.42578125" style="40" customWidth="1"/>
    <col min="4" max="4" width="8.42578125" style="40" customWidth="1"/>
    <col min="5" max="5" width="79" style="40" customWidth="1"/>
    <col min="6" max="6" width="11" style="40"/>
    <col min="7" max="7" width="12.7109375" style="40" customWidth="1"/>
    <col min="8" max="8" width="13.85546875" style="88" customWidth="1"/>
    <col min="9" max="9" width="18.5703125" style="40" customWidth="1"/>
    <col min="10" max="16384" width="11" style="40"/>
  </cols>
  <sheetData>
    <row r="2" spans="1:9" ht="27" x14ac:dyDescent="0.35">
      <c r="B2" s="118" t="s">
        <v>0</v>
      </c>
      <c r="C2" s="118"/>
      <c r="D2" s="118"/>
      <c r="E2" s="118"/>
      <c r="F2" s="118"/>
      <c r="G2" s="118"/>
      <c r="H2" s="118"/>
    </row>
    <row r="4" spans="1:9" ht="18" customHeight="1" x14ac:dyDescent="0.25">
      <c r="A4" s="119" t="s">
        <v>1</v>
      </c>
      <c r="B4" s="119"/>
      <c r="C4" s="120" t="s">
        <v>58</v>
      </c>
      <c r="D4" s="120"/>
      <c r="E4" s="120"/>
      <c r="F4" s="41"/>
      <c r="G4" s="42"/>
      <c r="H4" s="86"/>
    </row>
    <row r="5" spans="1:9" ht="18" customHeight="1" x14ac:dyDescent="0.25">
      <c r="A5" s="119" t="s">
        <v>2</v>
      </c>
      <c r="B5" s="119"/>
      <c r="C5" s="120">
        <v>11</v>
      </c>
      <c r="D5" s="120"/>
      <c r="E5" s="120"/>
      <c r="F5" s="41"/>
      <c r="G5" s="42"/>
      <c r="H5" s="86"/>
    </row>
    <row r="6" spans="1:9" ht="16.5" customHeight="1" x14ac:dyDescent="0.25">
      <c r="A6" s="119" t="s">
        <v>3</v>
      </c>
      <c r="B6" s="119"/>
      <c r="C6" s="54">
        <v>2020</v>
      </c>
      <c r="D6" s="55"/>
      <c r="E6" s="55"/>
      <c r="F6" s="41"/>
      <c r="G6" s="42"/>
      <c r="H6" s="86"/>
    </row>
    <row r="7" spans="1:9" ht="16.5" customHeight="1" x14ac:dyDescent="0.25">
      <c r="A7" s="119" t="s">
        <v>4</v>
      </c>
      <c r="B7" s="119"/>
      <c r="C7" s="54" t="s">
        <v>71</v>
      </c>
      <c r="D7" s="55"/>
      <c r="E7" s="55"/>
      <c r="F7" s="41"/>
      <c r="G7" s="42"/>
      <c r="H7" s="86"/>
    </row>
    <row r="8" spans="1:9" ht="13.5" thickBot="1" x14ac:dyDescent="0.25">
      <c r="B8" s="41"/>
      <c r="C8" s="42"/>
      <c r="D8" s="41"/>
      <c r="E8" s="41"/>
      <c r="F8" s="41"/>
      <c r="G8" s="42"/>
      <c r="H8" s="86"/>
    </row>
    <row r="9" spans="1:9" ht="39" thickBot="1" x14ac:dyDescent="0.25">
      <c r="A9" s="94" t="s">
        <v>5</v>
      </c>
      <c r="B9" s="95" t="s">
        <v>6</v>
      </c>
      <c r="C9" s="95" t="s">
        <v>7</v>
      </c>
      <c r="D9" s="95" t="s">
        <v>8</v>
      </c>
      <c r="E9" s="95" t="s">
        <v>9</v>
      </c>
      <c r="F9" s="95" t="s">
        <v>10</v>
      </c>
      <c r="G9" s="95" t="s">
        <v>11</v>
      </c>
      <c r="H9" s="96" t="s">
        <v>12</v>
      </c>
      <c r="I9" s="97" t="s">
        <v>13</v>
      </c>
    </row>
    <row r="10" spans="1:9" ht="21" x14ac:dyDescent="0.2">
      <c r="A10" s="43">
        <v>1</v>
      </c>
      <c r="B10" s="56"/>
      <c r="C10" s="90" t="s">
        <v>74</v>
      </c>
      <c r="D10" s="44" t="s">
        <v>67</v>
      </c>
      <c r="E10" s="98" t="s">
        <v>59</v>
      </c>
      <c r="F10" s="99" t="s">
        <v>60</v>
      </c>
      <c r="G10" s="100">
        <v>300</v>
      </c>
      <c r="H10" s="101">
        <v>348</v>
      </c>
      <c r="I10" s="57">
        <f>SUM(G10*H10)</f>
        <v>104400</v>
      </c>
    </row>
    <row r="11" spans="1:9" x14ac:dyDescent="0.2">
      <c r="A11" s="45">
        <v>2</v>
      </c>
      <c r="B11" s="46"/>
      <c r="C11" s="92" t="s">
        <v>73</v>
      </c>
      <c r="D11" s="46" t="s">
        <v>72</v>
      </c>
      <c r="E11" s="81" t="s">
        <v>61</v>
      </c>
      <c r="F11" s="82" t="s">
        <v>62</v>
      </c>
      <c r="G11" s="82">
        <v>10</v>
      </c>
      <c r="H11" s="87">
        <v>8932</v>
      </c>
      <c r="I11" s="102">
        <f t="shared" ref="I11:I13" si="0">SUM(G11*H11)</f>
        <v>89320</v>
      </c>
    </row>
    <row r="12" spans="1:9" ht="21" x14ac:dyDescent="0.2">
      <c r="A12" s="45">
        <v>3</v>
      </c>
      <c r="B12" s="46"/>
      <c r="C12" s="92" t="s">
        <v>74</v>
      </c>
      <c r="D12" s="46" t="s">
        <v>67</v>
      </c>
      <c r="E12" s="83" t="s">
        <v>63</v>
      </c>
      <c r="F12" s="84" t="s">
        <v>60</v>
      </c>
      <c r="G12" s="93">
        <v>100</v>
      </c>
      <c r="H12" s="85">
        <v>600</v>
      </c>
      <c r="I12" s="102">
        <f t="shared" si="0"/>
        <v>60000</v>
      </c>
    </row>
    <row r="13" spans="1:9" ht="13.5" thickBot="1" x14ac:dyDescent="0.25">
      <c r="A13" s="103">
        <v>4</v>
      </c>
      <c r="B13" s="104"/>
      <c r="C13" s="105" t="s">
        <v>73</v>
      </c>
      <c r="D13" s="104" t="s">
        <v>72</v>
      </c>
      <c r="E13" s="117" t="s">
        <v>64</v>
      </c>
      <c r="F13" s="114" t="s">
        <v>62</v>
      </c>
      <c r="G13" s="114">
        <v>20</v>
      </c>
      <c r="H13" s="115">
        <v>11535</v>
      </c>
      <c r="I13" s="106">
        <f t="shared" si="0"/>
        <v>230700</v>
      </c>
    </row>
    <row r="16" spans="1:9" x14ac:dyDescent="0.2">
      <c r="B16" s="47" t="s">
        <v>14</v>
      </c>
      <c r="C16" s="48"/>
      <c r="D16" s="48"/>
      <c r="E16" s="49"/>
    </row>
    <row r="17" spans="2:5" ht="5.25" customHeight="1" x14ac:dyDescent="0.2">
      <c r="B17" s="50"/>
      <c r="C17" s="51"/>
      <c r="D17" s="51"/>
      <c r="E17" s="52"/>
    </row>
    <row r="18" spans="2:5" x14ac:dyDescent="0.2">
      <c r="B18" s="53" t="s">
        <v>15</v>
      </c>
      <c r="C18" s="51"/>
      <c r="D18" s="51"/>
      <c r="E18" s="52"/>
    </row>
    <row r="19" spans="2:5" ht="41.25" customHeight="1" x14ac:dyDescent="0.2">
      <c r="B19" s="58"/>
      <c r="C19" s="121"/>
      <c r="D19" s="121"/>
      <c r="E19" s="121"/>
    </row>
    <row r="20" spans="2:5" x14ac:dyDescent="0.2">
      <c r="B20" s="58" t="s">
        <v>16</v>
      </c>
      <c r="C20" s="59"/>
      <c r="D20" s="59"/>
      <c r="E20" s="60"/>
    </row>
    <row r="21" spans="2:5" x14ac:dyDescent="0.2">
      <c r="B21" s="61"/>
      <c r="C21" s="122" t="s">
        <v>68</v>
      </c>
      <c r="D21" s="122"/>
      <c r="E21" s="122"/>
    </row>
    <row r="22" spans="2:5" x14ac:dyDescent="0.2">
      <c r="B22" s="61"/>
      <c r="C22" s="123" t="s">
        <v>69</v>
      </c>
      <c r="D22" s="123"/>
      <c r="E22" s="122"/>
    </row>
    <row r="23" spans="2:5" x14ac:dyDescent="0.2">
      <c r="B23" s="61"/>
      <c r="C23" s="122" t="s">
        <v>70</v>
      </c>
      <c r="D23" s="122"/>
      <c r="E23" s="122"/>
    </row>
    <row r="24" spans="2:5" x14ac:dyDescent="0.2">
      <c r="B24" s="58" t="s">
        <v>17</v>
      </c>
      <c r="C24" s="59"/>
      <c r="D24" s="59"/>
      <c r="E24" s="60"/>
    </row>
    <row r="25" spans="2:5" ht="26.25" customHeight="1" x14ac:dyDescent="0.2">
      <c r="B25" s="61"/>
      <c r="C25" s="121"/>
      <c r="D25" s="121"/>
      <c r="E25" s="121"/>
    </row>
    <row r="26" spans="2:5" x14ac:dyDescent="0.2">
      <c r="B26" s="58" t="s">
        <v>18</v>
      </c>
      <c r="C26" s="62"/>
      <c r="D26" s="62"/>
      <c r="E26" s="63"/>
    </row>
    <row r="27" spans="2:5" ht="26.25" customHeight="1" x14ac:dyDescent="0.2">
      <c r="B27" s="61"/>
      <c r="C27" s="121"/>
      <c r="D27" s="121"/>
      <c r="E27" s="121"/>
    </row>
    <row r="28" spans="2:5" x14ac:dyDescent="0.2">
      <c r="B28" s="58" t="s">
        <v>19</v>
      </c>
      <c r="C28" s="59"/>
      <c r="D28" s="59"/>
      <c r="E28" s="60"/>
    </row>
    <row r="29" spans="2:5" ht="23.25" customHeight="1" x14ac:dyDescent="0.2">
      <c r="B29" s="58"/>
      <c r="C29" s="124"/>
      <c r="D29" s="124"/>
      <c r="E29" s="124"/>
    </row>
    <row r="30" spans="2:5" x14ac:dyDescent="0.2">
      <c r="B30" s="64"/>
      <c r="C30" s="65"/>
      <c r="D30" s="65"/>
      <c r="E30" s="66"/>
    </row>
    <row r="31" spans="2:5" x14ac:dyDescent="0.2">
      <c r="B31" s="67"/>
      <c r="C31" s="67"/>
      <c r="D31" s="67"/>
      <c r="E31" s="67"/>
    </row>
    <row r="32" spans="2:5" x14ac:dyDescent="0.2">
      <c r="B32" s="68" t="s">
        <v>20</v>
      </c>
      <c r="C32" s="69"/>
      <c r="D32" s="69"/>
      <c r="E32" s="70"/>
    </row>
    <row r="33" spans="2:5" ht="7.5" customHeight="1" x14ac:dyDescent="0.2">
      <c r="B33" s="71"/>
      <c r="C33" s="59"/>
      <c r="D33" s="59"/>
      <c r="E33" s="60"/>
    </row>
    <row r="34" spans="2:5" x14ac:dyDescent="0.2">
      <c r="B34" s="58" t="s">
        <v>76</v>
      </c>
      <c r="C34" s="59"/>
      <c r="D34" s="59"/>
      <c r="E34" s="60"/>
    </row>
    <row r="35" spans="2:5" ht="39" customHeight="1" x14ac:dyDescent="0.2">
      <c r="B35" s="58"/>
      <c r="C35" s="121"/>
      <c r="D35" s="121"/>
      <c r="E35" s="121"/>
    </row>
    <row r="36" spans="2:5" x14ac:dyDescent="0.2">
      <c r="B36" s="58" t="s">
        <v>16</v>
      </c>
      <c r="C36" s="59"/>
      <c r="D36" s="59"/>
      <c r="E36" s="60"/>
    </row>
    <row r="37" spans="2:5" x14ac:dyDescent="0.2">
      <c r="B37" s="61"/>
      <c r="C37" s="122" t="s">
        <v>68</v>
      </c>
      <c r="D37" s="122"/>
      <c r="E37" s="122"/>
    </row>
    <row r="38" spans="2:5" x14ac:dyDescent="0.2">
      <c r="B38" s="61"/>
      <c r="C38" s="123" t="s">
        <v>69</v>
      </c>
      <c r="D38" s="123"/>
      <c r="E38" s="122"/>
    </row>
    <row r="39" spans="2:5" x14ac:dyDescent="0.2">
      <c r="B39" s="61"/>
      <c r="C39" s="122" t="s">
        <v>70</v>
      </c>
      <c r="D39" s="122"/>
      <c r="E39" s="122"/>
    </row>
    <row r="40" spans="2:5" x14ac:dyDescent="0.2">
      <c r="B40" s="58" t="s">
        <v>75</v>
      </c>
      <c r="C40" s="59"/>
      <c r="D40" s="59"/>
      <c r="E40" s="60"/>
    </row>
    <row r="41" spans="2:5" x14ac:dyDescent="0.2">
      <c r="B41" s="61"/>
      <c r="C41" s="121"/>
      <c r="D41" s="121"/>
      <c r="E41" s="121"/>
    </row>
    <row r="42" spans="2:5" x14ac:dyDescent="0.2">
      <c r="B42" s="58" t="s">
        <v>18</v>
      </c>
      <c r="C42" s="62"/>
      <c r="D42" s="62"/>
      <c r="E42" s="63"/>
    </row>
    <row r="43" spans="2:5" x14ac:dyDescent="0.2">
      <c r="B43" s="61"/>
      <c r="C43" s="121"/>
      <c r="D43" s="121"/>
      <c r="E43" s="121"/>
    </row>
    <row r="44" spans="2:5" x14ac:dyDescent="0.2">
      <c r="B44" s="58" t="s">
        <v>19</v>
      </c>
      <c r="C44" s="59"/>
      <c r="D44" s="59"/>
      <c r="E44" s="60"/>
    </row>
    <row r="45" spans="2:5" x14ac:dyDescent="0.2">
      <c r="B45" s="58"/>
      <c r="C45" s="124"/>
      <c r="D45" s="124"/>
      <c r="E45" s="124"/>
    </row>
    <row r="46" spans="2:5" x14ac:dyDescent="0.2">
      <c r="B46" s="64"/>
      <c r="C46" s="65"/>
      <c r="D46" s="65"/>
      <c r="E46" s="66"/>
    </row>
    <row r="47" spans="2:5" ht="13.5" thickBot="1" x14ac:dyDescent="0.25"/>
    <row r="48" spans="2:5" x14ac:dyDescent="0.2">
      <c r="B48" s="68" t="s">
        <v>77</v>
      </c>
      <c r="C48" s="69"/>
      <c r="D48" s="69"/>
      <c r="E48" s="70"/>
    </row>
    <row r="49" spans="2:5" x14ac:dyDescent="0.2">
      <c r="B49" s="71"/>
      <c r="C49" s="59"/>
      <c r="D49" s="59"/>
      <c r="E49" s="60"/>
    </row>
    <row r="50" spans="2:5" x14ac:dyDescent="0.2">
      <c r="B50" s="58" t="s">
        <v>78</v>
      </c>
      <c r="C50" s="59"/>
      <c r="D50" s="59"/>
      <c r="E50" s="60"/>
    </row>
    <row r="51" spans="2:5" x14ac:dyDescent="0.2">
      <c r="B51" s="58"/>
      <c r="C51" s="121"/>
      <c r="D51" s="121"/>
      <c r="E51" s="121"/>
    </row>
    <row r="52" spans="2:5" x14ac:dyDescent="0.2">
      <c r="B52" s="58" t="s">
        <v>16</v>
      </c>
      <c r="C52" s="59"/>
      <c r="D52" s="59"/>
      <c r="E52" s="60"/>
    </row>
    <row r="53" spans="2:5" x14ac:dyDescent="0.2">
      <c r="B53" s="61"/>
      <c r="C53" s="122" t="s">
        <v>68</v>
      </c>
      <c r="D53" s="122"/>
      <c r="E53" s="122"/>
    </row>
    <row r="54" spans="2:5" x14ac:dyDescent="0.2">
      <c r="B54" s="61"/>
      <c r="C54" s="123" t="s">
        <v>69</v>
      </c>
      <c r="D54" s="123"/>
      <c r="E54" s="122"/>
    </row>
    <row r="55" spans="2:5" x14ac:dyDescent="0.2">
      <c r="B55" s="61"/>
      <c r="C55" s="122" t="s">
        <v>70</v>
      </c>
      <c r="D55" s="122"/>
      <c r="E55" s="122"/>
    </row>
    <row r="56" spans="2:5" x14ac:dyDescent="0.2">
      <c r="B56" s="58" t="s">
        <v>88</v>
      </c>
      <c r="C56" s="59"/>
      <c r="D56" s="59"/>
      <c r="E56" s="60"/>
    </row>
    <row r="57" spans="2:5" x14ac:dyDescent="0.2">
      <c r="B57" s="61"/>
      <c r="C57" s="121"/>
      <c r="D57" s="121"/>
      <c r="E57" s="121"/>
    </row>
    <row r="58" spans="2:5" x14ac:dyDescent="0.2">
      <c r="B58" s="58" t="s">
        <v>18</v>
      </c>
      <c r="C58" s="62"/>
      <c r="D58" s="62"/>
      <c r="E58" s="63"/>
    </row>
    <row r="59" spans="2:5" x14ac:dyDescent="0.2">
      <c r="B59" s="61"/>
      <c r="C59" s="121"/>
      <c r="D59" s="121"/>
      <c r="E59" s="121"/>
    </row>
    <row r="60" spans="2:5" x14ac:dyDescent="0.2">
      <c r="B60" s="58" t="s">
        <v>19</v>
      </c>
      <c r="C60" s="59"/>
      <c r="D60" s="59"/>
      <c r="E60" s="60"/>
    </row>
    <row r="61" spans="2:5" x14ac:dyDescent="0.2">
      <c r="B61" s="58"/>
      <c r="C61" s="124"/>
      <c r="D61" s="124"/>
      <c r="E61" s="124"/>
    </row>
    <row r="62" spans="2:5" ht="13.5" thickBot="1" x14ac:dyDescent="0.25">
      <c r="B62" s="64"/>
      <c r="C62" s="65"/>
      <c r="D62" s="65"/>
      <c r="E62" s="66"/>
    </row>
    <row r="63" spans="2:5" ht="13.5" thickBot="1" x14ac:dyDescent="0.25"/>
    <row r="64" spans="2:5" x14ac:dyDescent="0.2">
      <c r="B64" s="68" t="s">
        <v>79</v>
      </c>
      <c r="C64" s="69"/>
      <c r="D64" s="69"/>
      <c r="E64" s="70"/>
    </row>
    <row r="65" spans="2:5" x14ac:dyDescent="0.2">
      <c r="B65" s="71"/>
      <c r="C65" s="59"/>
      <c r="D65" s="59"/>
      <c r="E65" s="60"/>
    </row>
    <row r="66" spans="2:5" ht="25.5" customHeight="1" x14ac:dyDescent="0.2">
      <c r="B66" s="58" t="s">
        <v>90</v>
      </c>
      <c r="C66" s="59"/>
      <c r="D66" s="59"/>
      <c r="E66" s="60"/>
    </row>
    <row r="67" spans="2:5" x14ac:dyDescent="0.2">
      <c r="B67" s="58"/>
      <c r="C67" s="121"/>
      <c r="D67" s="121"/>
      <c r="E67" s="121"/>
    </row>
    <row r="68" spans="2:5" x14ac:dyDescent="0.2">
      <c r="B68" s="58" t="s">
        <v>16</v>
      </c>
      <c r="C68" s="59"/>
      <c r="D68" s="59"/>
      <c r="E68" s="60"/>
    </row>
    <row r="69" spans="2:5" x14ac:dyDescent="0.2">
      <c r="B69" s="61"/>
      <c r="C69" s="122" t="s">
        <v>68</v>
      </c>
      <c r="D69" s="122"/>
      <c r="E69" s="122"/>
    </row>
    <row r="70" spans="2:5" x14ac:dyDescent="0.2">
      <c r="B70" s="61"/>
      <c r="C70" s="123" t="s">
        <v>69</v>
      </c>
      <c r="D70" s="123"/>
      <c r="E70" s="122"/>
    </row>
    <row r="71" spans="2:5" x14ac:dyDescent="0.2">
      <c r="B71" s="61"/>
      <c r="C71" s="122" t="s">
        <v>70</v>
      </c>
      <c r="D71" s="122"/>
      <c r="E71" s="122"/>
    </row>
    <row r="72" spans="2:5" x14ac:dyDescent="0.2">
      <c r="B72" s="58" t="s">
        <v>89</v>
      </c>
      <c r="C72" s="59"/>
      <c r="D72" s="59"/>
      <c r="E72" s="60"/>
    </row>
    <row r="73" spans="2:5" x14ac:dyDescent="0.2">
      <c r="B73" s="61"/>
      <c r="C73" s="121"/>
      <c r="D73" s="121"/>
      <c r="E73" s="121"/>
    </row>
    <row r="74" spans="2:5" x14ac:dyDescent="0.2">
      <c r="B74" s="58" t="s">
        <v>18</v>
      </c>
      <c r="C74" s="62"/>
      <c r="D74" s="62"/>
      <c r="E74" s="63"/>
    </row>
    <row r="75" spans="2:5" x14ac:dyDescent="0.2">
      <c r="B75" s="61"/>
      <c r="C75" s="121"/>
      <c r="D75" s="121"/>
      <c r="E75" s="121"/>
    </row>
    <row r="76" spans="2:5" x14ac:dyDescent="0.2">
      <c r="B76" s="58" t="s">
        <v>19</v>
      </c>
      <c r="C76" s="59"/>
      <c r="D76" s="59"/>
      <c r="E76" s="60"/>
    </row>
    <row r="77" spans="2:5" x14ac:dyDescent="0.2">
      <c r="B77" s="58"/>
      <c r="C77" s="124"/>
      <c r="D77" s="124"/>
      <c r="E77" s="124"/>
    </row>
    <row r="78" spans="2:5" ht="13.5" thickBot="1" x14ac:dyDescent="0.25">
      <c r="B78" s="64"/>
      <c r="C78" s="65"/>
      <c r="D78" s="65"/>
      <c r="E78" s="66"/>
    </row>
  </sheetData>
  <mergeCells count="35">
    <mergeCell ref="C71:E71"/>
    <mergeCell ref="C73:E73"/>
    <mergeCell ref="C75:E75"/>
    <mergeCell ref="C77:E77"/>
    <mergeCell ref="C59:E59"/>
    <mergeCell ref="C61:E61"/>
    <mergeCell ref="C67:E67"/>
    <mergeCell ref="C69:E69"/>
    <mergeCell ref="C70:E70"/>
    <mergeCell ref="C51:E51"/>
    <mergeCell ref="C53:E53"/>
    <mergeCell ref="C54:E54"/>
    <mergeCell ref="C55:E55"/>
    <mergeCell ref="C57:E57"/>
    <mergeCell ref="C39:E39"/>
    <mergeCell ref="C41:E41"/>
    <mergeCell ref="C43:E43"/>
    <mergeCell ref="C45:E45"/>
    <mergeCell ref="C25:E25"/>
    <mergeCell ref="C27:E27"/>
    <mergeCell ref="C29:E29"/>
    <mergeCell ref="C35:E35"/>
    <mergeCell ref="C37:E37"/>
    <mergeCell ref="C38:E38"/>
    <mergeCell ref="A6:B6"/>
    <mergeCell ref="A7:B7"/>
    <mergeCell ref="C19:E19"/>
    <mergeCell ref="C21:E21"/>
    <mergeCell ref="C23:E23"/>
    <mergeCell ref="C22:E22"/>
    <mergeCell ref="B2:H2"/>
    <mergeCell ref="A4:B4"/>
    <mergeCell ref="C4:E4"/>
    <mergeCell ref="A5:B5"/>
    <mergeCell ref="C5:E5"/>
  </mergeCells>
  <phoneticPr fontId="28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110" zoomScaleNormal="110" workbookViewId="0">
      <selection activeCell="I33" sqref="I33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5" t="s">
        <v>21</v>
      </c>
      <c r="B1" s="125"/>
      <c r="C1" s="125"/>
      <c r="D1" s="125"/>
      <c r="E1" s="125"/>
      <c r="F1" s="125"/>
      <c r="G1" s="125"/>
      <c r="H1" s="125"/>
      <c r="I1" s="125"/>
      <c r="J1" s="3" t="s">
        <v>22</v>
      </c>
      <c r="K1" s="72" t="s">
        <v>82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26" t="s">
        <v>55</v>
      </c>
      <c r="B3" s="126"/>
      <c r="C3" s="126"/>
      <c r="D3" s="127" t="str">
        <f>'Necesidades Trimestrales'!C4</f>
        <v>40 - Ministerio de Salud</v>
      </c>
      <c r="E3" s="127"/>
      <c r="F3" s="127"/>
      <c r="G3" s="127"/>
      <c r="H3" s="127"/>
      <c r="I3" s="127"/>
      <c r="J3" s="127"/>
      <c r="K3" s="127"/>
    </row>
    <row r="4" spans="1:11" ht="18.75" customHeight="1" thickBot="1" x14ac:dyDescent="0.25">
      <c r="A4" s="128" t="s">
        <v>56</v>
      </c>
      <c r="B4" s="128"/>
      <c r="C4" s="128"/>
      <c r="D4" s="127">
        <f>'Necesidades Trimestrales'!C5</f>
        <v>11</v>
      </c>
      <c r="E4" s="127"/>
      <c r="F4" s="127"/>
      <c r="G4" s="127"/>
      <c r="H4" s="127"/>
      <c r="I4" s="127"/>
      <c r="J4" s="127"/>
      <c r="K4" s="127"/>
    </row>
    <row r="5" spans="1:11" ht="18.75" customHeight="1" thickBot="1" x14ac:dyDescent="0.25">
      <c r="A5" s="128" t="s">
        <v>34</v>
      </c>
      <c r="B5" s="128"/>
      <c r="C5" s="128"/>
      <c r="D5" s="127" t="s">
        <v>80</v>
      </c>
      <c r="E5" s="127"/>
      <c r="F5" s="127"/>
      <c r="G5" s="127"/>
      <c r="H5" s="127"/>
      <c r="I5" s="127"/>
      <c r="J5" s="127"/>
      <c r="K5" s="127"/>
    </row>
    <row r="6" spans="1:11" ht="16.5" customHeight="1" thickBot="1" x14ac:dyDescent="0.25">
      <c r="A6" s="126" t="s">
        <v>57</v>
      </c>
      <c r="B6" s="126"/>
      <c r="C6" s="126"/>
      <c r="D6" s="127" t="s">
        <v>81</v>
      </c>
      <c r="E6" s="127"/>
      <c r="F6" s="127"/>
      <c r="G6" s="127"/>
      <c r="H6" s="127"/>
      <c r="I6" s="127"/>
      <c r="J6" s="127"/>
      <c r="K6" s="127"/>
    </row>
    <row r="7" spans="1:11" ht="16.5" customHeight="1" x14ac:dyDescent="0.2">
      <c r="A7" s="128" t="s">
        <v>23</v>
      </c>
      <c r="B7" s="128"/>
      <c r="C7" s="128"/>
      <c r="D7" s="127" t="str">
        <f>'Necesidades Trimestrales'!C7 &amp; "° Trimestre - Año " &amp; 'Necesidades Trimestrales'!C6</f>
        <v>Cuarto Trimestre° Trimestre - Año 2020</v>
      </c>
      <c r="E7" s="127"/>
      <c r="F7" s="127"/>
      <c r="G7" s="127"/>
      <c r="H7" s="127"/>
      <c r="I7" s="127"/>
      <c r="J7" s="127"/>
      <c r="K7" s="127"/>
    </row>
    <row r="8" spans="1:11" ht="16.5" customHeight="1" x14ac:dyDescent="0.2">
      <c r="A8" s="129" t="s">
        <v>24</v>
      </c>
      <c r="B8" s="129"/>
      <c r="C8" s="129"/>
      <c r="D8" s="130" t="s">
        <v>87</v>
      </c>
      <c r="E8" s="130"/>
      <c r="F8" s="130"/>
      <c r="G8" s="130"/>
      <c r="H8" s="130"/>
      <c r="I8" s="130"/>
      <c r="J8" s="130"/>
      <c r="K8" s="130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131" t="s">
        <v>25</v>
      </c>
      <c r="B10" s="132" t="s">
        <v>26</v>
      </c>
      <c r="C10" s="132" t="s">
        <v>27</v>
      </c>
      <c r="D10" s="132"/>
      <c r="E10" s="132"/>
      <c r="F10" s="132"/>
      <c r="G10" s="132"/>
      <c r="H10" s="132" t="s">
        <v>28</v>
      </c>
      <c r="I10" s="132" t="s">
        <v>29</v>
      </c>
      <c r="J10" s="132" t="s">
        <v>30</v>
      </c>
      <c r="K10" s="133" t="s">
        <v>31</v>
      </c>
    </row>
    <row r="11" spans="1:11" ht="24" customHeight="1" thickBot="1" x14ac:dyDescent="0.25">
      <c r="A11" s="131"/>
      <c r="B11" s="132"/>
      <c r="C11" s="132"/>
      <c r="D11" s="132"/>
      <c r="E11" s="132"/>
      <c r="F11" s="132"/>
      <c r="G11" s="132"/>
      <c r="H11" s="132"/>
      <c r="I11" s="132"/>
      <c r="J11" s="132"/>
      <c r="K11" s="133"/>
    </row>
    <row r="12" spans="1:11" ht="20.25" customHeight="1" x14ac:dyDescent="0.2">
      <c r="A12" s="73">
        <v>1</v>
      </c>
      <c r="B12" s="74"/>
      <c r="C12" s="136" t="s">
        <v>59</v>
      </c>
      <c r="D12" s="137"/>
      <c r="E12" s="137"/>
      <c r="F12" s="137"/>
      <c r="G12" s="138"/>
      <c r="H12" s="75"/>
      <c r="I12" s="99" t="s">
        <v>60</v>
      </c>
      <c r="J12" s="107">
        <v>348</v>
      </c>
      <c r="K12" s="108">
        <v>300</v>
      </c>
    </row>
    <row r="13" spans="1:11" ht="20.25" customHeight="1" x14ac:dyDescent="0.2">
      <c r="A13" s="8">
        <v>2</v>
      </c>
      <c r="B13" s="9"/>
      <c r="C13" s="139" t="s">
        <v>61</v>
      </c>
      <c r="D13" s="140"/>
      <c r="E13" s="140"/>
      <c r="F13" s="140"/>
      <c r="G13" s="141"/>
      <c r="H13" s="10"/>
      <c r="I13" s="82" t="s">
        <v>62</v>
      </c>
      <c r="J13" s="87">
        <v>8932</v>
      </c>
      <c r="K13" s="109">
        <v>10</v>
      </c>
    </row>
    <row r="14" spans="1:11" ht="20.25" customHeight="1" x14ac:dyDescent="0.2">
      <c r="A14" s="8">
        <v>3</v>
      </c>
      <c r="B14" s="9"/>
      <c r="C14" s="139" t="s">
        <v>63</v>
      </c>
      <c r="D14" s="140"/>
      <c r="E14" s="140"/>
      <c r="F14" s="140"/>
      <c r="G14" s="141"/>
      <c r="H14" s="10"/>
      <c r="I14" s="84" t="s">
        <v>60</v>
      </c>
      <c r="J14" s="91">
        <v>600</v>
      </c>
      <c r="K14" s="110">
        <v>100</v>
      </c>
    </row>
    <row r="15" spans="1:11" ht="20.25" customHeight="1" thickBot="1" x14ac:dyDescent="0.25">
      <c r="A15" s="111">
        <v>4</v>
      </c>
      <c r="B15" s="112"/>
      <c r="C15" s="142" t="s">
        <v>64</v>
      </c>
      <c r="D15" s="143"/>
      <c r="E15" s="143"/>
      <c r="F15" s="143"/>
      <c r="G15" s="144"/>
      <c r="H15" s="113"/>
      <c r="I15" s="114" t="s">
        <v>62</v>
      </c>
      <c r="J15" s="115">
        <v>11535</v>
      </c>
      <c r="K15" s="116">
        <v>20</v>
      </c>
    </row>
    <row r="16" spans="1:11" ht="20.25" customHeight="1" thickBot="1" x14ac:dyDescent="0.25">
      <c r="A16" s="134" t="s">
        <v>83</v>
      </c>
      <c r="B16" s="134"/>
      <c r="C16" s="134"/>
      <c r="D16" s="134"/>
      <c r="E16" s="134"/>
      <c r="F16" s="134"/>
      <c r="G16" s="134"/>
      <c r="H16" s="134"/>
      <c r="I16" s="134"/>
      <c r="J16" s="135">
        <f>SUMPRODUCT(J12:J15,K12:K15)</f>
        <v>484420</v>
      </c>
      <c r="K16" s="135"/>
    </row>
  </sheetData>
  <mergeCells count="26">
    <mergeCell ref="A16:I16"/>
    <mergeCell ref="J16:K16"/>
    <mergeCell ref="C12:G12"/>
    <mergeCell ref="C13:G13"/>
    <mergeCell ref="C14:G14"/>
    <mergeCell ref="C15:G1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topLeftCell="A13" zoomScale="130" zoomScaleNormal="130" workbookViewId="0">
      <selection activeCell="A24" sqref="A24:Q24"/>
    </sheetView>
  </sheetViews>
  <sheetFormatPr baseColWidth="10" defaultColWidth="11" defaultRowHeight="12.75" x14ac:dyDescent="0.2"/>
  <cols>
    <col min="1" max="5" width="4.42578125" customWidth="1"/>
    <col min="6" max="6" width="5.140625" customWidth="1"/>
    <col min="7" max="7" width="4.42578125" style="11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45" t="s">
        <v>3</v>
      </c>
      <c r="B1" s="145"/>
      <c r="C1" s="145"/>
      <c r="D1" s="146">
        <f>'Necesidades Trimestrales'!C6</f>
        <v>2020</v>
      </c>
      <c r="E1" s="146"/>
      <c r="F1" s="12"/>
      <c r="G1" s="12"/>
      <c r="H1" s="13"/>
      <c r="I1" s="13"/>
      <c r="J1" s="13"/>
      <c r="K1" s="13"/>
      <c r="L1" s="13"/>
      <c r="M1" s="13"/>
      <c r="N1" s="13"/>
      <c r="P1" s="147" t="s">
        <v>32</v>
      </c>
      <c r="Q1" s="147"/>
    </row>
    <row r="2" spans="1:17" ht="15.75" customHeight="1" x14ac:dyDescent="0.2">
      <c r="H2" s="13"/>
      <c r="I2" s="13"/>
      <c r="J2" s="13"/>
      <c r="K2" s="13"/>
      <c r="L2" s="13"/>
      <c r="M2" s="13"/>
      <c r="N2" s="13"/>
      <c r="P2" s="147"/>
      <c r="Q2" s="147"/>
    </row>
    <row r="4" spans="1:17" s="14" customFormat="1" ht="18" customHeight="1" thickBot="1" x14ac:dyDescent="0.25">
      <c r="A4" s="148" t="s">
        <v>33</v>
      </c>
      <c r="B4" s="148"/>
      <c r="C4" s="148"/>
      <c r="D4" s="148"/>
      <c r="E4" s="148"/>
      <c r="F4" s="148"/>
      <c r="G4" s="149" t="str">
        <f>' NotaPedido'!D3</f>
        <v>40 - Ministerio de Salud</v>
      </c>
      <c r="H4" s="149"/>
      <c r="I4" s="149"/>
      <c r="J4" s="149"/>
      <c r="K4" s="149"/>
      <c r="L4" s="149"/>
      <c r="M4" s="149"/>
      <c r="N4" s="149"/>
      <c r="O4" s="149"/>
      <c r="P4" s="149"/>
      <c r="Q4" s="149"/>
    </row>
    <row r="5" spans="1:17" s="14" customFormat="1" ht="18" customHeight="1" thickBot="1" x14ac:dyDescent="0.25">
      <c r="A5" s="150" t="s">
        <v>56</v>
      </c>
      <c r="B5" s="151"/>
      <c r="C5" s="151"/>
      <c r="D5" s="151"/>
      <c r="E5" s="151"/>
      <c r="F5" s="152"/>
      <c r="G5" s="149">
        <f>' NotaPedido'!D4</f>
        <v>11</v>
      </c>
      <c r="H5" s="149"/>
      <c r="I5" s="149"/>
      <c r="J5" s="149"/>
      <c r="K5" s="149"/>
      <c r="L5" s="149"/>
      <c r="M5" s="149"/>
      <c r="N5" s="149"/>
      <c r="O5" s="149"/>
      <c r="P5" s="149"/>
      <c r="Q5" s="149"/>
    </row>
    <row r="6" spans="1:17" s="14" customFormat="1" ht="18" customHeight="1" thickBot="1" x14ac:dyDescent="0.25">
      <c r="A6" s="150" t="s">
        <v>34</v>
      </c>
      <c r="B6" s="151"/>
      <c r="C6" s="151"/>
      <c r="D6" s="151"/>
      <c r="E6" s="151"/>
      <c r="F6" s="152"/>
      <c r="G6" s="149" t="str">
        <f>' NotaPedido'!D5</f>
        <v>296 - Direccion Provincial de Laboratorio</v>
      </c>
      <c r="H6" s="149"/>
      <c r="I6" s="149"/>
      <c r="J6" s="149"/>
      <c r="K6" s="149"/>
      <c r="L6" s="149"/>
      <c r="M6" s="149"/>
      <c r="N6" s="149"/>
      <c r="O6" s="149"/>
      <c r="P6" s="149"/>
      <c r="Q6" s="149"/>
    </row>
    <row r="7" spans="1:17" s="14" customFormat="1" ht="18" customHeight="1" thickBot="1" x14ac:dyDescent="0.25">
      <c r="A7" s="150" t="s">
        <v>57</v>
      </c>
      <c r="B7" s="151"/>
      <c r="C7" s="151"/>
      <c r="D7" s="151"/>
      <c r="E7" s="151"/>
      <c r="F7" s="152"/>
      <c r="G7" s="149" t="str">
        <f>' NotaPedido'!D6</f>
        <v>Direccion Provincial de Laboratorio</v>
      </c>
      <c r="H7" s="149"/>
      <c r="I7" s="149"/>
      <c r="J7" s="149"/>
      <c r="K7" s="149"/>
      <c r="L7" s="149"/>
      <c r="M7" s="149"/>
      <c r="N7" s="149"/>
      <c r="O7" s="149"/>
      <c r="P7" s="149"/>
      <c r="Q7" s="149"/>
    </row>
    <row r="8" spans="1:17" ht="18" customHeight="1" thickBot="1" x14ac:dyDescent="0.25">
      <c r="A8" s="153" t="s">
        <v>35</v>
      </c>
      <c r="B8" s="153"/>
      <c r="C8" s="153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</row>
    <row r="9" spans="1:17" ht="18" customHeight="1" x14ac:dyDescent="0.2">
      <c r="A9" s="154" t="s">
        <v>36</v>
      </c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"/>
      <c r="P9" s="1"/>
      <c r="Q9" s="15"/>
    </row>
    <row r="10" spans="1:17" ht="54.75" customHeight="1" x14ac:dyDescent="0.2">
      <c r="A10" s="15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41-2020,  afectando la erogación resultante a los créditos presupuestarios aprobados a favor de esta Unidad Ejecutora, conforme al siguiente detalle: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</row>
    <row r="11" spans="1:17" ht="9" customHeight="1" x14ac:dyDescent="0.2">
      <c r="A11" s="16"/>
      <c r="B11" s="17"/>
      <c r="C11" s="17"/>
      <c r="D11" s="17"/>
      <c r="E11" s="17"/>
      <c r="F11" s="17"/>
      <c r="G11" s="18"/>
      <c r="H11" s="17"/>
      <c r="I11" s="17"/>
      <c r="J11" s="17"/>
      <c r="K11" s="17"/>
      <c r="L11" s="17"/>
      <c r="M11" s="17"/>
      <c r="N11" s="17"/>
      <c r="O11" s="17"/>
      <c r="P11" s="17"/>
      <c r="Q11" s="19"/>
    </row>
    <row r="12" spans="1:17" ht="15.75" customHeight="1" x14ac:dyDescent="0.2">
      <c r="A12" s="156" t="s">
        <v>37</v>
      </c>
      <c r="B12" s="156"/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</row>
    <row r="13" spans="1:17" ht="15.75" customHeight="1" x14ac:dyDescent="0.2">
      <c r="A13" s="157" t="s">
        <v>38</v>
      </c>
      <c r="B13" s="157"/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8" t="s">
        <v>39</v>
      </c>
      <c r="P13" s="158"/>
      <c r="Q13" s="159" t="s">
        <v>40</v>
      </c>
    </row>
    <row r="14" spans="1:17" ht="15.75" customHeight="1" x14ac:dyDescent="0.2">
      <c r="A14" s="20" t="s">
        <v>41</v>
      </c>
      <c r="B14" s="21" t="s">
        <v>42</v>
      </c>
      <c r="C14" s="21" t="s">
        <v>43</v>
      </c>
      <c r="D14" s="21" t="s">
        <v>44</v>
      </c>
      <c r="E14" s="21" t="s">
        <v>45</v>
      </c>
      <c r="F14" s="21" t="s">
        <v>46</v>
      </c>
      <c r="G14" s="22" t="s">
        <v>47</v>
      </c>
      <c r="H14" s="21" t="s">
        <v>48</v>
      </c>
      <c r="I14" s="21" t="s">
        <v>49</v>
      </c>
      <c r="J14" s="21" t="s">
        <v>50</v>
      </c>
      <c r="K14" s="21" t="s">
        <v>50</v>
      </c>
      <c r="L14" s="21" t="s">
        <v>51</v>
      </c>
      <c r="M14" s="23" t="s">
        <v>52</v>
      </c>
      <c r="N14" s="24" t="s">
        <v>53</v>
      </c>
      <c r="O14" s="158"/>
      <c r="P14" s="158"/>
      <c r="Q14" s="159"/>
    </row>
    <row r="15" spans="1:17" ht="31.5" customHeight="1" thickBot="1" x14ac:dyDescent="0.25">
      <c r="A15" s="76">
        <v>21</v>
      </c>
      <c r="B15" s="77"/>
      <c r="C15" s="77"/>
      <c r="D15" s="77">
        <v>3</v>
      </c>
      <c r="E15" s="77"/>
      <c r="F15" s="77">
        <v>4901</v>
      </c>
      <c r="G15" s="77">
        <v>3</v>
      </c>
      <c r="H15" s="77">
        <v>1</v>
      </c>
      <c r="I15" s="78">
        <v>2</v>
      </c>
      <c r="J15" s="78">
        <v>5</v>
      </c>
      <c r="K15" s="78">
        <v>1</v>
      </c>
      <c r="L15" s="77"/>
      <c r="M15" s="79">
        <v>1</v>
      </c>
      <c r="N15" s="89" t="s">
        <v>66</v>
      </c>
      <c r="O15" s="160" t="s">
        <v>84</v>
      </c>
      <c r="P15" s="160"/>
      <c r="Q15" s="80">
        <v>320020</v>
      </c>
    </row>
    <row r="16" spans="1:17" ht="31.5" customHeight="1" x14ac:dyDescent="0.2">
      <c r="A16" s="76">
        <v>21</v>
      </c>
      <c r="B16" s="77"/>
      <c r="C16" s="77"/>
      <c r="D16" s="77">
        <v>3</v>
      </c>
      <c r="E16" s="77"/>
      <c r="F16" s="77">
        <v>4901</v>
      </c>
      <c r="G16" s="77">
        <v>3</v>
      </c>
      <c r="H16" s="77">
        <v>1</v>
      </c>
      <c r="I16" s="78">
        <v>2</v>
      </c>
      <c r="J16" s="78">
        <v>9</v>
      </c>
      <c r="K16" s="78">
        <v>5</v>
      </c>
      <c r="L16" s="77"/>
      <c r="M16" s="79">
        <v>1</v>
      </c>
      <c r="N16" s="89" t="s">
        <v>66</v>
      </c>
      <c r="O16" s="160" t="s">
        <v>65</v>
      </c>
      <c r="P16" s="160"/>
      <c r="Q16" s="29">
        <v>164400</v>
      </c>
    </row>
    <row r="17" spans="1:18" ht="31.5" customHeight="1" x14ac:dyDescent="0.2">
      <c r="A17" s="25"/>
      <c r="B17" s="26"/>
      <c r="C17" s="26"/>
      <c r="D17" s="26"/>
      <c r="E17" s="26"/>
      <c r="F17" s="28"/>
      <c r="G17" s="26"/>
      <c r="H17" s="26"/>
      <c r="I17" s="26"/>
      <c r="J17" s="26"/>
      <c r="K17" s="26"/>
      <c r="L17" s="26"/>
      <c r="M17" s="27"/>
      <c r="N17" s="28"/>
      <c r="O17" s="161"/>
      <c r="P17" s="161"/>
      <c r="Q17" s="29"/>
    </row>
    <row r="18" spans="1:18" ht="31.5" customHeight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7"/>
      <c r="N18" s="28"/>
      <c r="O18" s="161"/>
      <c r="P18" s="161"/>
      <c r="Q18" s="29"/>
    </row>
    <row r="19" spans="1:18" ht="31.5" customHeight="1" x14ac:dyDescent="0.2">
      <c r="A19" s="25"/>
      <c r="B19" s="26"/>
      <c r="C19" s="26"/>
      <c r="D19" s="26"/>
      <c r="E19" s="26"/>
      <c r="F19" s="28"/>
      <c r="G19" s="26"/>
      <c r="H19" s="26"/>
      <c r="I19" s="26"/>
      <c r="J19" s="26"/>
      <c r="K19" s="26"/>
      <c r="L19" s="26"/>
      <c r="M19" s="27"/>
      <c r="N19" s="28"/>
      <c r="O19" s="161"/>
      <c r="P19" s="161"/>
      <c r="Q19" s="29"/>
    </row>
    <row r="20" spans="1:18" ht="31.5" customHeight="1" x14ac:dyDescent="0.2">
      <c r="A20" s="25"/>
      <c r="B20" s="26"/>
      <c r="C20" s="26"/>
      <c r="D20" s="26"/>
      <c r="E20" s="26"/>
      <c r="F20" s="28"/>
      <c r="G20" s="26"/>
      <c r="H20" s="26"/>
      <c r="I20" s="26"/>
      <c r="J20" s="26"/>
      <c r="K20" s="26"/>
      <c r="L20" s="26"/>
      <c r="M20" s="27"/>
      <c r="N20" s="28"/>
      <c r="O20" s="161"/>
      <c r="P20" s="161"/>
      <c r="Q20" s="29"/>
    </row>
    <row r="21" spans="1:18" ht="31.5" customHeight="1" x14ac:dyDescent="0.2">
      <c r="A21" s="30"/>
      <c r="B21" s="31"/>
      <c r="C21" s="31"/>
      <c r="D21" s="31"/>
      <c r="E21" s="31"/>
      <c r="F21" s="32"/>
      <c r="G21" s="31"/>
      <c r="H21" s="31"/>
      <c r="I21" s="31"/>
      <c r="J21" s="31"/>
      <c r="K21" s="31"/>
      <c r="L21" s="31"/>
      <c r="M21" s="33"/>
      <c r="N21" s="34"/>
      <c r="O21" s="167"/>
      <c r="P21" s="167"/>
      <c r="Q21" s="29"/>
      <c r="R21" s="1"/>
    </row>
    <row r="22" spans="1:18" ht="31.5" customHeight="1" x14ac:dyDescent="0.2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7"/>
      <c r="N22" s="36"/>
      <c r="O22" s="168"/>
      <c r="P22" s="168"/>
      <c r="Q22" s="38"/>
    </row>
    <row r="23" spans="1:18" ht="39" customHeight="1" x14ac:dyDescent="0.2">
      <c r="A23" s="169" t="s">
        <v>86</v>
      </c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39">
        <f>SUM(Q15:Q22)</f>
        <v>484420</v>
      </c>
    </row>
    <row r="24" spans="1:18" ht="18" customHeight="1" thickBot="1" x14ac:dyDescent="0.25">
      <c r="A24" s="170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</row>
    <row r="25" spans="1:18" ht="17.25" customHeight="1" thickBot="1" x14ac:dyDescent="0.25">
      <c r="A25" s="162" t="s">
        <v>54</v>
      </c>
      <c r="B25" s="163"/>
      <c r="C25" s="163"/>
      <c r="D25" s="163"/>
      <c r="E25" s="163"/>
      <c r="F25" s="164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</row>
    <row r="26" spans="1:18" ht="18" customHeight="1" thickBot="1" x14ac:dyDescent="0.25">
      <c r="A26" s="166" t="s">
        <v>85</v>
      </c>
      <c r="B26" s="166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</row>
    <row r="27" spans="1:18" ht="15" customHeight="1" x14ac:dyDescent="0.2">
      <c r="A27" s="166"/>
      <c r="B27" s="166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2020-11-06T20:25:42Z</cp:lastPrinted>
  <dcterms:created xsi:type="dcterms:W3CDTF">2020-07-17T23:44:49Z</dcterms:created>
  <dcterms:modified xsi:type="dcterms:W3CDTF">2021-08-17T15:33:07Z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