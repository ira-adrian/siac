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89993-CAT-DPPR#MHP\"/>
    </mc:Choice>
  </mc:AlternateContent>
  <xr:revisionPtr revIDLastSave="0" documentId="8_{6ED52D6C-D1D6-41F8-88E4-2BB19BA56CC5}" xr6:coauthVersionLast="46" xr6:coauthVersionMax="46" xr10:uidLastSave="{00000000-0000-0000-0000-000000000000}"/>
  <bookViews>
    <workbookView xWindow="-120" yWindow="-120" windowWidth="29040" windowHeight="15840" xr2:uid="{AE6E0B76-6878-4ECF-892F-6AC1AA812F36}"/>
  </bookViews>
  <sheets>
    <sheet name="MATERNIDAD PROVINCIAL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</calcChain>
</file>

<file path=xl/sharedStrings.xml><?xml version="1.0" encoding="utf-8"?>
<sst xmlns="http://schemas.openxmlformats.org/spreadsheetml/2006/main" count="130" uniqueCount="58">
  <si>
    <t>Garantia</t>
  </si>
  <si>
    <t xml:space="preserve">30 DIAS </t>
  </si>
  <si>
    <t>Mantenimiento</t>
  </si>
  <si>
    <t>Calidad Minima esperada</t>
  </si>
  <si>
    <t>HORARIO DE 07:00 A 12:00</t>
  </si>
  <si>
    <t>SERVICIO DE FARMACIA -MATERNIDAD PROVINCIAL 25 DE MAYO - HERNANDO DE PEDRAZA 1650</t>
  </si>
  <si>
    <t>Lugar de Entrega:</t>
  </si>
  <si>
    <t xml:space="preserve">20 dias corridos desde la firma del documento contractual </t>
  </si>
  <si>
    <t>Plazos de entrega</t>
  </si>
  <si>
    <t xml:space="preserve">
</t>
  </si>
  <si>
    <t>Descripción técnica</t>
  </si>
  <si>
    <t>Especificidades Item N° 1 A 25 :</t>
  </si>
  <si>
    <t>UNIDAD</t>
  </si>
  <si>
    <t>VECURONIO BROMURO 10 MG AMPOLLA</t>
  </si>
  <si>
    <t>2.5.2</t>
  </si>
  <si>
    <t>MEDICAMENTOS COVID</t>
  </si>
  <si>
    <t>TIOPENTAL SODICO 1GR FRASCO AMPOLLA</t>
  </si>
  <si>
    <t>SUCCINILCOLINA 500 MG FCO AMP</t>
  </si>
  <si>
    <t>PROPOFOL 1% FCO AMPOLLAS VIAL X 50 ML</t>
  </si>
  <si>
    <t>PROPOFOL 1% AMPOLLAS X 20 ML</t>
  </si>
  <si>
    <t>NITROPRUSIATO SODIO 50 MG VIAL</t>
  </si>
  <si>
    <t>MIDAZOLAM 15 MG AMPOLLA</t>
  </si>
  <si>
    <t>METILPREDNISONA 4MG/ML AMPOLLA</t>
  </si>
  <si>
    <t>LORAZEPAM 4 MG/2ML AMPOLLA</t>
  </si>
  <si>
    <t>KETAMINA 50MG/ML FCO AMPOLLA</t>
  </si>
  <si>
    <t>FENTANILO 250 MCG INYECTABLE</t>
  </si>
  <si>
    <t>FENOBARBITAL 200MG AMPOLLAS</t>
  </si>
  <si>
    <t>ENOXAPARINA 80 MG AMPOLLA PRELLENADA</t>
  </si>
  <si>
    <t>ENOXAPARINA 40 MG AMPOLLA PRELLENA</t>
  </si>
  <si>
    <t>DOPAMINA 200 MG  AMPOLLA</t>
  </si>
  <si>
    <t>DOBUTAMINA AMPOLLA</t>
  </si>
  <si>
    <t>DEXAMETASONA 8 MG COMPRIMIDO</t>
  </si>
  <si>
    <t>COMPLEJO B AMPOLLAS TIPO BECOZYM NF</t>
  </si>
  <si>
    <t>COLISTINA 100 MG FCO AMPOLLA</t>
  </si>
  <si>
    <t>CLONIDINA AMPOLLAS</t>
  </si>
  <si>
    <t>ALIMENTACION PARENTERAL INYECTABLE DE GRAN VOLUMEN TIPO OLI CLINOMEL/SMOKAVIBEN</t>
  </si>
  <si>
    <t>ALIMENTACION ENTERAL X 500 ML TIPO DIBEN</t>
  </si>
  <si>
    <t>ALIMENTACION ENTERAL FORTIFICADO CON FIBRAS X 1000 ML</t>
  </si>
  <si>
    <t>ACIDO ACETIL SALICILICO 500 MG COMPRIMIDO</t>
  </si>
  <si>
    <t>ACICLOVIR 400 MG COMPRIMIDO</t>
  </si>
  <si>
    <t xml:space="preserve">IMPORTE TOTAL ESTIMADO </t>
  </si>
  <si>
    <t>PRECIO UNITARIO ESTIMADO</t>
  </si>
  <si>
    <t>CANTIDAD</t>
  </si>
  <si>
    <t>UNIDAD DE MEDIDA</t>
  </si>
  <si>
    <t>DESCRIPCION</t>
  </si>
  <si>
    <t>I.P.P</t>
  </si>
  <si>
    <t>RUBRO DE COMPRA</t>
  </si>
  <si>
    <t>CODIGO DE ITEMS</t>
  </si>
  <si>
    <t>ID</t>
  </si>
  <si>
    <t>3° TRIMESTRE</t>
  </si>
  <si>
    <t>TRIMESTRE:</t>
  </si>
  <si>
    <t>Año 2021</t>
  </si>
  <si>
    <t>EJERCICIO:</t>
  </si>
  <si>
    <t>28 - MATERNIDAD PROVINCIAL 25 DE MAYO</t>
  </si>
  <si>
    <t xml:space="preserve">SAF N°: </t>
  </si>
  <si>
    <t>40 - Ministerio de Salud</t>
  </si>
  <si>
    <t>JURISDICCION:</t>
  </si>
  <si>
    <t xml:space="preserve">Pedido de Necesidades Trimestrales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</si>
</sst>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9"/>
      <name val="Arial"/>
      <family val="2"/>
    </font>
    <font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sz val="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left" indent="3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left" indent="3"/>
    </xf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left" indent="3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44" fontId="2" fillId="0" borderId="0" xfId="0" applyNumberFormat="1" applyFont="1"/>
    <xf numFmtId="44" fontId="4" fillId="2" borderId="9" xfId="1" applyFont="1" applyFill="1" applyBorder="1" applyAlignment="1">
      <alignment vertical="center" wrapText="1"/>
    </xf>
    <xf numFmtId="164" fontId="4" fillId="2" borderId="9" xfId="1" applyNumberFormat="1" applyFont="1" applyFill="1" applyBorder="1" applyAlignment="1">
      <alignment horizontal="righ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164" fontId="4" fillId="2" borderId="9" xfId="1" applyNumberFormat="1" applyFont="1" applyFill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10" fillId="0" borderId="0" xfId="0" applyFont="1" applyAlignment="1">
      <alignment horizontal="left" wrapText="1" indent="1"/>
    </xf>
    <xf numFmtId="0" fontId="10" fillId="0" borderId="0" xfId="0" applyFont="1" applyAlignment="1">
      <alignment horizontal="left" wrapText="1"/>
    </xf>
    <xf numFmtId="0" fontId="11" fillId="2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wrapText="1" inden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C010-A6F6-4F99-88A4-ED5ED266BAC8}">
  <dimension ref="A3:J54"/>
  <sheetViews>
    <sheetView tabSelected="1" workbookViewId="0">
      <selection activeCell="I11" sqref="I11"/>
    </sheetView>
  </sheetViews>
  <sheetFormatPr baseColWidth="10" defaultColWidth="11" defaultRowHeight="12.75" x14ac:dyDescent="0.2"/>
  <cols>
    <col min="1" max="1" width="4.5703125" style="3" customWidth="1"/>
    <col min="2" max="2" width="13.140625" style="3" customWidth="1"/>
    <col min="3" max="3" width="35.28515625" style="2" customWidth="1"/>
    <col min="4" max="4" width="8.42578125" style="1" customWidth="1"/>
    <col min="5" max="5" width="76.5703125" style="1" customWidth="1"/>
    <col min="6" max="6" width="11" style="2"/>
    <col min="7" max="7" width="12.7109375" style="2" customWidth="1"/>
    <col min="8" max="8" width="15.42578125" style="1" customWidth="1"/>
    <col min="9" max="9" width="18.5703125" style="1" customWidth="1"/>
    <col min="10" max="10" width="13.140625" style="1" customWidth="1"/>
    <col min="11" max="16384" width="11" style="1"/>
  </cols>
  <sheetData>
    <row r="3" spans="1:10" ht="27" x14ac:dyDescent="0.2">
      <c r="C3" s="45" t="s">
        <v>57</v>
      </c>
      <c r="D3" s="45"/>
      <c r="E3" s="45"/>
      <c r="F3" s="45"/>
      <c r="G3" s="45"/>
      <c r="H3" s="44"/>
    </row>
    <row r="5" spans="1:10" ht="15.75" x14ac:dyDescent="0.25">
      <c r="A5" s="42" t="s">
        <v>56</v>
      </c>
      <c r="B5" s="42"/>
      <c r="C5" s="43" t="s">
        <v>55</v>
      </c>
      <c r="D5" s="43"/>
      <c r="E5" s="43"/>
      <c r="F5" s="38"/>
      <c r="G5" s="38"/>
      <c r="H5" s="37"/>
    </row>
    <row r="6" spans="1:10" ht="15.75" x14ac:dyDescent="0.25">
      <c r="A6" s="42" t="s">
        <v>54</v>
      </c>
      <c r="B6" s="42"/>
      <c r="C6" s="43" t="s">
        <v>53</v>
      </c>
      <c r="D6" s="43"/>
      <c r="E6" s="43"/>
      <c r="F6" s="38"/>
      <c r="G6" s="38"/>
      <c r="H6" s="37"/>
    </row>
    <row r="7" spans="1:10" ht="15.75" x14ac:dyDescent="0.25">
      <c r="A7" s="42" t="s">
        <v>52</v>
      </c>
      <c r="B7" s="42"/>
      <c r="C7" s="41" t="s">
        <v>51</v>
      </c>
      <c r="D7" s="40"/>
      <c r="E7" s="39"/>
      <c r="F7" s="38"/>
      <c r="G7" s="38"/>
      <c r="H7" s="37"/>
    </row>
    <row r="8" spans="1:10" ht="15.75" x14ac:dyDescent="0.25">
      <c r="A8" s="42" t="s">
        <v>50</v>
      </c>
      <c r="B8" s="42"/>
      <c r="C8" s="41" t="s">
        <v>49</v>
      </c>
      <c r="D8" s="40"/>
      <c r="E8" s="39"/>
      <c r="F8" s="38"/>
      <c r="G8" s="38"/>
      <c r="H8" s="37"/>
    </row>
    <row r="9" spans="1:10" ht="13.5" thickBot="1" x14ac:dyDescent="0.25">
      <c r="C9" s="38"/>
      <c r="D9" s="38"/>
      <c r="E9" s="37"/>
      <c r="F9" s="38"/>
      <c r="G9" s="38"/>
      <c r="H9" s="37"/>
    </row>
    <row r="10" spans="1:10" ht="39" thickBot="1" x14ac:dyDescent="0.25">
      <c r="A10" s="36" t="s">
        <v>48</v>
      </c>
      <c r="B10" s="36" t="s">
        <v>47</v>
      </c>
      <c r="C10" s="35" t="s">
        <v>46</v>
      </c>
      <c r="D10" s="35" t="s">
        <v>45</v>
      </c>
      <c r="E10" s="35" t="s">
        <v>44</v>
      </c>
      <c r="F10" s="35" t="s">
        <v>43</v>
      </c>
      <c r="G10" s="35" t="s">
        <v>42</v>
      </c>
      <c r="H10" s="35" t="s">
        <v>41</v>
      </c>
      <c r="I10" s="35" t="s">
        <v>40</v>
      </c>
    </row>
    <row r="11" spans="1:10" ht="13.5" thickBot="1" x14ac:dyDescent="0.25">
      <c r="A11" s="33">
        <v>1</v>
      </c>
      <c r="B11" s="33"/>
      <c r="C11" s="32" t="s">
        <v>15</v>
      </c>
      <c r="D11" s="31" t="s">
        <v>14</v>
      </c>
      <c r="E11" s="30" t="s">
        <v>39</v>
      </c>
      <c r="F11" s="29" t="s">
        <v>12</v>
      </c>
      <c r="G11" s="29">
        <v>200</v>
      </c>
      <c r="H11" s="27">
        <v>45</v>
      </c>
      <c r="I11" s="27">
        <f>G11*H11</f>
        <v>9000</v>
      </c>
      <c r="J11" s="26"/>
    </row>
    <row r="12" spans="1:10" ht="13.5" thickBot="1" x14ac:dyDescent="0.25">
      <c r="A12" s="33">
        <v>2</v>
      </c>
      <c r="B12" s="33"/>
      <c r="C12" s="32" t="s">
        <v>15</v>
      </c>
      <c r="D12" s="31" t="s">
        <v>14</v>
      </c>
      <c r="E12" s="30" t="s">
        <v>38</v>
      </c>
      <c r="F12" s="29" t="s">
        <v>12</v>
      </c>
      <c r="G12" s="29">
        <v>500</v>
      </c>
      <c r="H12" s="27">
        <v>2.23</v>
      </c>
      <c r="I12" s="27">
        <f>G12*H12</f>
        <v>1115</v>
      </c>
      <c r="J12" s="26"/>
    </row>
    <row r="13" spans="1:10" ht="13.5" thickBot="1" x14ac:dyDescent="0.25">
      <c r="A13" s="33">
        <v>3</v>
      </c>
      <c r="B13" s="33"/>
      <c r="C13" s="32" t="s">
        <v>15</v>
      </c>
      <c r="D13" s="31" t="s">
        <v>14</v>
      </c>
      <c r="E13" s="30" t="s">
        <v>37</v>
      </c>
      <c r="F13" s="29" t="s">
        <v>12</v>
      </c>
      <c r="G13" s="29">
        <v>10</v>
      </c>
      <c r="H13" s="34">
        <v>639.9</v>
      </c>
      <c r="I13" s="27">
        <f>G13*H13</f>
        <v>6399</v>
      </c>
      <c r="J13" s="26"/>
    </row>
    <row r="14" spans="1:10" ht="13.5" thickBot="1" x14ac:dyDescent="0.25">
      <c r="A14" s="33">
        <v>4</v>
      </c>
      <c r="B14" s="33"/>
      <c r="C14" s="32" t="s">
        <v>15</v>
      </c>
      <c r="D14" s="31" t="s">
        <v>14</v>
      </c>
      <c r="E14" s="30" t="s">
        <v>36</v>
      </c>
      <c r="F14" s="29" t="s">
        <v>12</v>
      </c>
      <c r="G14" s="29">
        <v>10</v>
      </c>
      <c r="H14" s="34">
        <v>460.95</v>
      </c>
      <c r="I14" s="27">
        <f>G14*H14</f>
        <v>4609.5</v>
      </c>
      <c r="J14" s="26"/>
    </row>
    <row r="15" spans="1:10" ht="24.75" thickBot="1" x14ac:dyDescent="0.25">
      <c r="A15" s="33">
        <v>5</v>
      </c>
      <c r="B15" s="33"/>
      <c r="C15" s="32" t="s">
        <v>15</v>
      </c>
      <c r="D15" s="31" t="s">
        <v>14</v>
      </c>
      <c r="E15" s="30" t="s">
        <v>35</v>
      </c>
      <c r="F15" s="29" t="s">
        <v>12</v>
      </c>
      <c r="G15" s="29">
        <v>10</v>
      </c>
      <c r="H15" s="27">
        <v>4600</v>
      </c>
      <c r="I15" s="27">
        <f>G15*H15</f>
        <v>46000</v>
      </c>
      <c r="J15" s="26"/>
    </row>
    <row r="16" spans="1:10" ht="13.5" thickBot="1" x14ac:dyDescent="0.25">
      <c r="A16" s="33">
        <v>6</v>
      </c>
      <c r="B16" s="33"/>
      <c r="C16" s="32" t="s">
        <v>15</v>
      </c>
      <c r="D16" s="31" t="s">
        <v>14</v>
      </c>
      <c r="E16" s="30" t="s">
        <v>34</v>
      </c>
      <c r="F16" s="29" t="s">
        <v>12</v>
      </c>
      <c r="G16" s="29">
        <v>1000</v>
      </c>
      <c r="H16" s="27">
        <v>42</v>
      </c>
      <c r="I16" s="27">
        <f>G16*H16</f>
        <v>42000</v>
      </c>
      <c r="J16" s="26"/>
    </row>
    <row r="17" spans="1:10" ht="13.5" thickBot="1" x14ac:dyDescent="0.25">
      <c r="A17" s="33">
        <v>7</v>
      </c>
      <c r="B17" s="33"/>
      <c r="C17" s="32" t="s">
        <v>15</v>
      </c>
      <c r="D17" s="31" t="s">
        <v>14</v>
      </c>
      <c r="E17" s="30" t="s">
        <v>33</v>
      </c>
      <c r="F17" s="29" t="s">
        <v>12</v>
      </c>
      <c r="G17" s="29">
        <v>10</v>
      </c>
      <c r="H17" s="27">
        <v>405</v>
      </c>
      <c r="I17" s="27">
        <f>G17*H17</f>
        <v>4050</v>
      </c>
      <c r="J17" s="26"/>
    </row>
    <row r="18" spans="1:10" ht="13.5" thickBot="1" x14ac:dyDescent="0.25">
      <c r="A18" s="33">
        <v>8</v>
      </c>
      <c r="B18" s="33"/>
      <c r="C18" s="32" t="s">
        <v>15</v>
      </c>
      <c r="D18" s="31" t="s">
        <v>14</v>
      </c>
      <c r="E18" s="30" t="s">
        <v>32</v>
      </c>
      <c r="F18" s="29" t="s">
        <v>12</v>
      </c>
      <c r="G18" s="29">
        <v>800</v>
      </c>
      <c r="H18" s="27">
        <v>62</v>
      </c>
      <c r="I18" s="27">
        <f>G18*H18</f>
        <v>49600</v>
      </c>
      <c r="J18" s="26"/>
    </row>
    <row r="19" spans="1:10" ht="13.5" thickBot="1" x14ac:dyDescent="0.25">
      <c r="A19" s="33">
        <v>9</v>
      </c>
      <c r="B19" s="33"/>
      <c r="C19" s="32" t="s">
        <v>15</v>
      </c>
      <c r="D19" s="31" t="s">
        <v>14</v>
      </c>
      <c r="E19" s="30" t="s">
        <v>31</v>
      </c>
      <c r="F19" s="29" t="s">
        <v>12</v>
      </c>
      <c r="G19" s="29">
        <v>600</v>
      </c>
      <c r="H19" s="27">
        <v>42</v>
      </c>
      <c r="I19" s="27">
        <f>G19*H19</f>
        <v>25200</v>
      </c>
      <c r="J19" s="26"/>
    </row>
    <row r="20" spans="1:10" ht="13.5" thickBot="1" x14ac:dyDescent="0.25">
      <c r="A20" s="33">
        <v>10</v>
      </c>
      <c r="B20" s="33"/>
      <c r="C20" s="32" t="s">
        <v>15</v>
      </c>
      <c r="D20" s="31" t="s">
        <v>14</v>
      </c>
      <c r="E20" s="30" t="s">
        <v>30</v>
      </c>
      <c r="F20" s="29" t="s">
        <v>12</v>
      </c>
      <c r="G20" s="29">
        <v>100</v>
      </c>
      <c r="H20" s="27">
        <v>304</v>
      </c>
      <c r="I20" s="27">
        <f>G20*H20</f>
        <v>30400</v>
      </c>
      <c r="J20" s="26"/>
    </row>
    <row r="21" spans="1:10" ht="13.5" thickBot="1" x14ac:dyDescent="0.25">
      <c r="A21" s="33">
        <v>11</v>
      </c>
      <c r="B21" s="33"/>
      <c r="C21" s="32" t="s">
        <v>15</v>
      </c>
      <c r="D21" s="31" t="s">
        <v>14</v>
      </c>
      <c r="E21" s="30" t="s">
        <v>29</v>
      </c>
      <c r="F21" s="29" t="s">
        <v>12</v>
      </c>
      <c r="G21" s="29">
        <v>1000</v>
      </c>
      <c r="H21" s="27">
        <v>85</v>
      </c>
      <c r="I21" s="27">
        <f>G21*H21</f>
        <v>85000</v>
      </c>
      <c r="J21" s="26"/>
    </row>
    <row r="22" spans="1:10" ht="13.5" thickBot="1" x14ac:dyDescent="0.25">
      <c r="A22" s="33">
        <v>12</v>
      </c>
      <c r="B22" s="33"/>
      <c r="C22" s="32" t="s">
        <v>15</v>
      </c>
      <c r="D22" s="31" t="s">
        <v>14</v>
      </c>
      <c r="E22" s="30" t="s">
        <v>28</v>
      </c>
      <c r="F22" s="29" t="s">
        <v>12</v>
      </c>
      <c r="G22" s="29">
        <v>1500</v>
      </c>
      <c r="H22" s="27">
        <v>1200</v>
      </c>
      <c r="I22" s="27">
        <f>G22*H22</f>
        <v>1800000</v>
      </c>
      <c r="J22" s="26"/>
    </row>
    <row r="23" spans="1:10" ht="13.5" thickBot="1" x14ac:dyDescent="0.25">
      <c r="A23" s="33">
        <v>13</v>
      </c>
      <c r="B23" s="33"/>
      <c r="C23" s="32" t="s">
        <v>15</v>
      </c>
      <c r="D23" s="31" t="s">
        <v>14</v>
      </c>
      <c r="E23" s="30" t="s">
        <v>27</v>
      </c>
      <c r="F23" s="29" t="s">
        <v>12</v>
      </c>
      <c r="G23" s="29">
        <v>500</v>
      </c>
      <c r="H23" s="27">
        <v>1500</v>
      </c>
      <c r="I23" s="27">
        <f>G23*H23</f>
        <v>750000</v>
      </c>
      <c r="J23" s="26"/>
    </row>
    <row r="24" spans="1:10" ht="13.5" thickBot="1" x14ac:dyDescent="0.25">
      <c r="A24" s="33">
        <v>14</v>
      </c>
      <c r="B24" s="33"/>
      <c r="C24" s="32" t="s">
        <v>15</v>
      </c>
      <c r="D24" s="31" t="s">
        <v>14</v>
      </c>
      <c r="E24" s="30" t="s">
        <v>26</v>
      </c>
      <c r="F24" s="29" t="s">
        <v>12</v>
      </c>
      <c r="G24" s="29">
        <v>400</v>
      </c>
      <c r="H24" s="34">
        <v>324.02</v>
      </c>
      <c r="I24" s="27">
        <f>G24*H24</f>
        <v>129608</v>
      </c>
      <c r="J24" s="26"/>
    </row>
    <row r="25" spans="1:10" ht="13.5" thickBot="1" x14ac:dyDescent="0.25">
      <c r="A25" s="33">
        <v>15</v>
      </c>
      <c r="B25" s="33"/>
      <c r="C25" s="32" t="s">
        <v>15</v>
      </c>
      <c r="D25" s="31" t="s">
        <v>14</v>
      </c>
      <c r="E25" s="30" t="s">
        <v>25</v>
      </c>
      <c r="F25" s="29" t="s">
        <v>12</v>
      </c>
      <c r="G25" s="29">
        <v>15000</v>
      </c>
      <c r="H25" s="34">
        <v>387.2</v>
      </c>
      <c r="I25" s="27">
        <f>G25*H25</f>
        <v>5808000</v>
      </c>
      <c r="J25" s="26"/>
    </row>
    <row r="26" spans="1:10" ht="13.5" thickBot="1" x14ac:dyDescent="0.25">
      <c r="A26" s="33">
        <v>16</v>
      </c>
      <c r="B26" s="33"/>
      <c r="C26" s="32" t="s">
        <v>15</v>
      </c>
      <c r="D26" s="31" t="s">
        <v>14</v>
      </c>
      <c r="E26" s="30" t="s">
        <v>24</v>
      </c>
      <c r="F26" s="29" t="s">
        <v>12</v>
      </c>
      <c r="G26" s="29">
        <v>200</v>
      </c>
      <c r="H26" s="27">
        <v>2013</v>
      </c>
      <c r="I26" s="27">
        <f>G26*H26</f>
        <v>402600</v>
      </c>
      <c r="J26" s="26"/>
    </row>
    <row r="27" spans="1:10" ht="13.5" thickBot="1" x14ac:dyDescent="0.25">
      <c r="A27" s="33">
        <v>17</v>
      </c>
      <c r="B27" s="33"/>
      <c r="C27" s="32" t="s">
        <v>15</v>
      </c>
      <c r="D27" s="31" t="s">
        <v>14</v>
      </c>
      <c r="E27" s="30" t="s">
        <v>23</v>
      </c>
      <c r="F27" s="29" t="s">
        <v>12</v>
      </c>
      <c r="G27" s="29">
        <v>500</v>
      </c>
      <c r="H27" s="27">
        <v>280</v>
      </c>
      <c r="I27" s="27">
        <f>G27*H27</f>
        <v>140000</v>
      </c>
      <c r="J27" s="26"/>
    </row>
    <row r="28" spans="1:10" ht="13.5" thickBot="1" x14ac:dyDescent="0.25">
      <c r="A28" s="33">
        <v>18</v>
      </c>
      <c r="B28" s="33"/>
      <c r="C28" s="32" t="s">
        <v>15</v>
      </c>
      <c r="D28" s="31" t="s">
        <v>14</v>
      </c>
      <c r="E28" s="30" t="s">
        <v>22</v>
      </c>
      <c r="F28" s="29" t="s">
        <v>12</v>
      </c>
      <c r="G28" s="29">
        <v>20</v>
      </c>
      <c r="H28" s="27">
        <v>17</v>
      </c>
      <c r="I28" s="27">
        <f>G28*H28</f>
        <v>340</v>
      </c>
      <c r="J28" s="26"/>
    </row>
    <row r="29" spans="1:10" ht="13.5" thickBot="1" x14ac:dyDescent="0.25">
      <c r="A29" s="33">
        <v>19</v>
      </c>
      <c r="B29" s="33"/>
      <c r="C29" s="32" t="s">
        <v>15</v>
      </c>
      <c r="D29" s="31" t="s">
        <v>14</v>
      </c>
      <c r="E29" s="30" t="s">
        <v>21</v>
      </c>
      <c r="F29" s="29" t="s">
        <v>12</v>
      </c>
      <c r="G29" s="29">
        <v>10000</v>
      </c>
      <c r="H29" s="27">
        <v>514.25</v>
      </c>
      <c r="I29" s="27">
        <f>G29*H29</f>
        <v>5142500</v>
      </c>
      <c r="J29" s="26"/>
    </row>
    <row r="30" spans="1:10" ht="13.5" thickBot="1" x14ac:dyDescent="0.25">
      <c r="A30" s="33">
        <v>20</v>
      </c>
      <c r="B30" s="33"/>
      <c r="C30" s="32" t="s">
        <v>15</v>
      </c>
      <c r="D30" s="31" t="s">
        <v>14</v>
      </c>
      <c r="E30" s="30" t="s">
        <v>20</v>
      </c>
      <c r="F30" s="29" t="s">
        <v>12</v>
      </c>
      <c r="G30" s="29">
        <v>200</v>
      </c>
      <c r="H30" s="27">
        <v>650</v>
      </c>
      <c r="I30" s="27">
        <f>G30*H30</f>
        <v>130000</v>
      </c>
      <c r="J30" s="26"/>
    </row>
    <row r="31" spans="1:10" ht="13.5" thickBot="1" x14ac:dyDescent="0.25">
      <c r="A31" s="33">
        <v>21</v>
      </c>
      <c r="B31" s="33"/>
      <c r="C31" s="32" t="s">
        <v>15</v>
      </c>
      <c r="D31" s="31" t="s">
        <v>14</v>
      </c>
      <c r="E31" s="30" t="s">
        <v>19</v>
      </c>
      <c r="F31" s="29" t="s">
        <v>12</v>
      </c>
      <c r="G31" s="29">
        <v>200</v>
      </c>
      <c r="H31" s="27">
        <v>859.1</v>
      </c>
      <c r="I31" s="27">
        <f>G31*H31</f>
        <v>171820</v>
      </c>
      <c r="J31" s="26"/>
    </row>
    <row r="32" spans="1:10" ht="13.5" thickBot="1" x14ac:dyDescent="0.25">
      <c r="A32" s="33">
        <v>22</v>
      </c>
      <c r="B32" s="33"/>
      <c r="C32" s="32" t="s">
        <v>15</v>
      </c>
      <c r="D32" s="31" t="s">
        <v>14</v>
      </c>
      <c r="E32" s="30" t="s">
        <v>18</v>
      </c>
      <c r="F32" s="29" t="s">
        <v>12</v>
      </c>
      <c r="G32" s="29">
        <v>100</v>
      </c>
      <c r="H32" s="27">
        <v>860</v>
      </c>
      <c r="I32" s="27">
        <f>G32*H32</f>
        <v>86000</v>
      </c>
      <c r="J32" s="26"/>
    </row>
    <row r="33" spans="1:10" ht="13.5" thickBot="1" x14ac:dyDescent="0.25">
      <c r="A33" s="33">
        <v>23</v>
      </c>
      <c r="B33" s="33"/>
      <c r="C33" s="32" t="s">
        <v>15</v>
      </c>
      <c r="D33" s="31" t="s">
        <v>14</v>
      </c>
      <c r="E33" s="30" t="s">
        <v>17</v>
      </c>
      <c r="F33" s="29" t="s">
        <v>12</v>
      </c>
      <c r="G33" s="29">
        <v>100</v>
      </c>
      <c r="H33" s="27">
        <v>242</v>
      </c>
      <c r="I33" s="27">
        <f>G33*H33</f>
        <v>24200</v>
      </c>
      <c r="J33" s="26"/>
    </row>
    <row r="34" spans="1:10" ht="13.5" thickBot="1" x14ac:dyDescent="0.25">
      <c r="A34" s="33">
        <v>24</v>
      </c>
      <c r="B34" s="33"/>
      <c r="C34" s="32" t="s">
        <v>15</v>
      </c>
      <c r="D34" s="31" t="s">
        <v>14</v>
      </c>
      <c r="E34" s="30" t="s">
        <v>16</v>
      </c>
      <c r="F34" s="29" t="s">
        <v>12</v>
      </c>
      <c r="G34" s="29">
        <v>100</v>
      </c>
      <c r="H34" s="27">
        <v>890</v>
      </c>
      <c r="I34" s="27">
        <f>G34*H34</f>
        <v>89000</v>
      </c>
      <c r="J34" s="26"/>
    </row>
    <row r="35" spans="1:10" ht="13.5" thickBot="1" x14ac:dyDescent="0.25">
      <c r="A35" s="33">
        <v>25</v>
      </c>
      <c r="B35" s="33"/>
      <c r="C35" s="32" t="s">
        <v>15</v>
      </c>
      <c r="D35" s="31" t="s">
        <v>14</v>
      </c>
      <c r="E35" s="30" t="s">
        <v>13</v>
      </c>
      <c r="F35" s="29" t="s">
        <v>12</v>
      </c>
      <c r="G35" s="29">
        <v>500</v>
      </c>
      <c r="H35" s="28">
        <v>634.67999999999995</v>
      </c>
      <c r="I35" s="27">
        <f>G35*H35</f>
        <v>317340</v>
      </c>
      <c r="J35" s="26"/>
    </row>
    <row r="37" spans="1:10" ht="13.5" thickBot="1" x14ac:dyDescent="0.25"/>
    <row r="38" spans="1:10" x14ac:dyDescent="0.2">
      <c r="C38" s="20" t="s">
        <v>11</v>
      </c>
      <c r="D38" s="25"/>
      <c r="E38" s="25"/>
      <c r="F38" s="24"/>
    </row>
    <row r="39" spans="1:10" x14ac:dyDescent="0.2">
      <c r="C39" s="14"/>
      <c r="F39" s="10"/>
    </row>
    <row r="40" spans="1:10" ht="13.5" thickBot="1" x14ac:dyDescent="0.25">
      <c r="C40" s="23" t="s">
        <v>10</v>
      </c>
      <c r="D40" s="22"/>
      <c r="E40" s="22"/>
      <c r="F40" s="21"/>
    </row>
    <row r="41" spans="1:10" x14ac:dyDescent="0.2">
      <c r="C41" s="20"/>
      <c r="D41" s="19" t="s">
        <v>9</v>
      </c>
      <c r="E41" s="19"/>
      <c r="F41" s="18"/>
    </row>
    <row r="42" spans="1:10" x14ac:dyDescent="0.2">
      <c r="C42" s="9"/>
      <c r="D42" s="17"/>
      <c r="E42" s="17"/>
      <c r="F42" s="16"/>
    </row>
    <row r="43" spans="1:10" x14ac:dyDescent="0.2">
      <c r="C43" s="11" t="s">
        <v>8</v>
      </c>
      <c r="D43" s="8" t="s">
        <v>7</v>
      </c>
      <c r="E43" s="8"/>
      <c r="F43" s="7"/>
    </row>
    <row r="44" spans="1:10" x14ac:dyDescent="0.2">
      <c r="C44" s="9"/>
      <c r="E44" s="2"/>
      <c r="F44" s="10"/>
    </row>
    <row r="45" spans="1:10" x14ac:dyDescent="0.2">
      <c r="C45" s="11" t="s">
        <v>6</v>
      </c>
      <c r="D45" s="8" t="s">
        <v>5</v>
      </c>
      <c r="E45" s="8"/>
      <c r="F45" s="7"/>
    </row>
    <row r="46" spans="1:10" x14ac:dyDescent="0.2">
      <c r="C46" s="15"/>
      <c r="D46" s="8" t="s">
        <v>4</v>
      </c>
      <c r="E46" s="8"/>
      <c r="F46" s="7"/>
    </row>
    <row r="47" spans="1:10" x14ac:dyDescent="0.2">
      <c r="C47" s="15"/>
      <c r="D47" s="2"/>
      <c r="E47" s="2"/>
      <c r="F47" s="10"/>
    </row>
    <row r="48" spans="1:10" x14ac:dyDescent="0.2">
      <c r="C48" s="11" t="s">
        <v>3</v>
      </c>
      <c r="F48" s="10"/>
    </row>
    <row r="49" spans="3:6" x14ac:dyDescent="0.2">
      <c r="C49" s="14"/>
      <c r="D49" s="13"/>
      <c r="E49" s="13"/>
      <c r="F49" s="12"/>
    </row>
    <row r="50" spans="3:6" x14ac:dyDescent="0.2">
      <c r="C50" s="11" t="s">
        <v>2</v>
      </c>
      <c r="D50" s="13" t="s">
        <v>1</v>
      </c>
      <c r="E50" s="13"/>
      <c r="F50" s="12"/>
    </row>
    <row r="51" spans="3:6" x14ac:dyDescent="0.2">
      <c r="C51" s="14"/>
      <c r="D51" s="13"/>
      <c r="E51" s="13"/>
      <c r="F51" s="12"/>
    </row>
    <row r="52" spans="3:6" x14ac:dyDescent="0.2">
      <c r="C52" s="11" t="s">
        <v>0</v>
      </c>
      <c r="F52" s="10"/>
    </row>
    <row r="53" spans="3:6" x14ac:dyDescent="0.2">
      <c r="C53" s="9"/>
      <c r="D53" s="8"/>
      <c r="E53" s="8"/>
      <c r="F53" s="7"/>
    </row>
    <row r="54" spans="3:6" ht="13.5" thickBot="1" x14ac:dyDescent="0.25">
      <c r="C54" s="6"/>
      <c r="D54" s="5"/>
      <c r="E54" s="5"/>
      <c r="F54" s="4"/>
    </row>
  </sheetData>
  <mergeCells count="17">
    <mergeCell ref="A7:B7"/>
    <mergeCell ref="A8:B8"/>
    <mergeCell ref="D40:F40"/>
    <mergeCell ref="D41:F41"/>
    <mergeCell ref="D42:F42"/>
    <mergeCell ref="C3:G3"/>
    <mergeCell ref="A5:B5"/>
    <mergeCell ref="C5:E5"/>
    <mergeCell ref="A6:B6"/>
    <mergeCell ref="C6:E6"/>
    <mergeCell ref="D51:F51"/>
    <mergeCell ref="D53:F53"/>
    <mergeCell ref="D43:F43"/>
    <mergeCell ref="D45:F45"/>
    <mergeCell ref="D46:F46"/>
    <mergeCell ref="D49:F49"/>
    <mergeCell ref="D50:F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MATERNIDAD PROVINCIAL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2021-08-11T16:03:46Z</dcterms:created>
  <dcterms:modified xsi:type="dcterms:W3CDTF">2021-08-11T16:05:35Z</dcterms:modified>
</cp:coreProperties>
</file>