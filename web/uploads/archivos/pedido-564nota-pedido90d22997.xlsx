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Trimestrales'!$A$9:$I$35</definedName>
    <definedName name="_xlnm.Print_Area" localSheetId="2">'Autor Gastar'!$A$1:$Q$26</definedName>
    <definedName name="_xlnm.Print_Area" localSheetId="1">NotaPedido!$A$1:$K$38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10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A25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38" i="2" l="1"/>
  <c r="G6" i="3" l="1"/>
  <c r="G7" i="3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<sst xmlns="http://schemas.openxmlformats.org/spreadsheetml/2006/main" count="323" uniqueCount="161">
  <si>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</si>
  <si>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</si>
  <si>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</si>
  <si>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</si>
  <si>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</si>
  <si>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</si>
  <si>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</si>
  <si>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</si>
  <si>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</si>
  <si>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</si>
  <si>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</si>
  <si>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</si>
  <si>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</si>
  <si>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</si>
  <si>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</si>
  <si>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</si>
  <si>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</si>
  <si>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</si>
  <si>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</si>
  <si>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</si>
  <si>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</si>
  <si>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</si>
  <si>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</si>
  <si>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</si>
  <si>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</si>
  <si>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</si>
  <si>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</si>
  <si>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</si>
  <si>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</si>
  <si>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</si>
  <si>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</si>
  <si>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</si>
  <si>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</si>
  <si>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</si>
  <si>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</si>
  <si>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</si>
  <si>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</si>
  <si>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</si>
  <si>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</si>
  <si>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</si>
  <si>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</si>
  <si>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</si>
  <si>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</si>
  <si>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</si>
  <si>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</si>
  <si>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</si>
  <si>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</si>
  <si>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</si>
  <si>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</si>
  <si>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</si>
  <si>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</si>
  <si>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</si>
  <si>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</si>
  <si>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</si>
  <si>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</si>
  <si>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</si>
  <si>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</si>
  <si>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</si>
  <si>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</si>
  <si>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</si>
  <si>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 xml:space="preserve">45 dias habiles </t>
  </si>
  <si>
    <t>3.1</t>
  </si>
  <si>
    <t>1.1</t>
  </si>
  <si>
    <t>2.9.1-6951.28</t>
  </si>
  <si>
    <t>ELEMENTOS DE LIMPIEZA</t>
  </si>
  <si>
    <t>LIMPIADORES; TIPO: LAVANDINA, PRESENTACION: ENVASE X 1 L</t>
  </si>
  <si>
    <t>Litro</t>
  </si>
  <si>
    <t>2.9.1-6951.203</t>
  </si>
  <si>
    <t>LIMPIADORES; TIPO: DESODORANTE LIQUIDO , PRESENTACION: ENVASE X 1 L</t>
  </si>
  <si>
    <t>55 GRAMOS DE CLORO POR LITRO - DEBIDAMENTE ETIQUETADO CADA BOTELLA . Estivado en cajas de 12 Unidades</t>
  </si>
  <si>
    <t>15 dias - Deposito Central del HISJB</t>
  </si>
  <si>
    <t>2.9.1-6951.214</t>
  </si>
  <si>
    <t>LIMPIADORES; TIPO: DETERGENTE NEUTRO, PRESENTACION: ENVASE X 5 L</t>
  </si>
  <si>
    <t>Especificidades Item N° 3:</t>
  </si>
  <si>
    <t>2.9.1-1083.10</t>
  </si>
  <si>
    <t>ESPONJA DE ACERO; PESO: 80 GR, MATERIAL: ACERO INOXIDABLE</t>
  </si>
  <si>
    <t>Unidad</t>
  </si>
  <si>
    <t>2.9.1-1164.10</t>
  </si>
  <si>
    <t>ESPONJAS; MATERIAL: ESPONJA NATURAL, USO: P/COCINA, FORMA: RECTANGULAR, COLOR: AMARILLO, ADITAMENTO: SIN VALOR, LARGO X ANCHO X ESP: 9,7 X 5,7 Cm</t>
  </si>
  <si>
    <t>2.9.1-714.3</t>
  </si>
  <si>
    <t>FRANELAS; DIMENSION: 50 X 45 Cm</t>
  </si>
  <si>
    <t>2.9.1-761.5</t>
  </si>
  <si>
    <t>GUANTES P/LIMPIEZA; TAMAÑO: GRANDE, MATERIAL: LATEX C/FELPA INTERIOR</t>
  </si>
  <si>
    <t>Par</t>
  </si>
  <si>
    <t>TAMAÑO GRADE ; Color Amarillo o Naranjado</t>
  </si>
  <si>
    <t>Especificidades Item N° 7:</t>
  </si>
  <si>
    <t>2.9.1-761.8</t>
  </si>
  <si>
    <t>GUANTES P/LIMPIEZA; TAMAÑO: EXTRA GRANDE, MATERIAL: LATEX C/FELPA INTERIOR</t>
  </si>
  <si>
    <t>TAMAÑO EXTRA GRANDE; Color Amarillo o Naranjado</t>
  </si>
  <si>
    <t>Especificidades Item N° 8:</t>
  </si>
  <si>
    <t>2.5.1-9004.1235</t>
  </si>
  <si>
    <t>QUIMICOS</t>
  </si>
  <si>
    <t>SALES; COMPUESTO QUIMICO: HIPOCLORITO DE SODIO, ESTADO: SOLUCION, CALIDAD: COMERCIAL, CONCENTRACION/PUREZA: 100 GR/L, PRESENTACION: ENVASE X 5 L, GRADO HIDRATACION: SOLUCION</t>
  </si>
  <si>
    <t>Especificidades Item N° 11:</t>
  </si>
  <si>
    <t xml:space="preserve"> EN ENVASE OSCURO . PRODUCTO DE MARCA REGISTRADAY ESTIBADO EN CAJAS</t>
  </si>
  <si>
    <t>2.9.1-6956.73</t>
  </si>
  <si>
    <t>ARTICULOS DE TOCADOR; TIPO: JABON LIQUIDO, PRESENTACION: ENVASE X 5 L</t>
  </si>
  <si>
    <t>2.9.1-6960.20</t>
  </si>
  <si>
    <t>ELEM. LIMPIEZA P/INDUMENTARIA; TIPO: JABON EN POLVO, PRESENTACION: ENVASE X 3 Kg</t>
  </si>
  <si>
    <t>Paquete</t>
  </si>
  <si>
    <t>Especificidades Item N° 9:</t>
  </si>
  <si>
    <t>2.9.1-6951.110</t>
  </si>
  <si>
    <t>LIMPIADORES; TIPO: SECUESTRANTE DE POLVO, PRESENTACION: ENVASE X 5 L</t>
  </si>
  <si>
    <t>JABON BAJA ESPUMA SIN SUAVIZANTE</t>
  </si>
  <si>
    <t>2.9.1-544.12</t>
  </si>
  <si>
    <t>DESODORANTES DE AMBIENTE; CONTENIDO: 440 CM3, FRAGANCIA: CAMPOS DE LAVANDA, FORMATO: AEROSOL, PRESENTACION: CAJA X 24, LIBRE DE CFC: SI</t>
  </si>
  <si>
    <t>Caja</t>
  </si>
  <si>
    <t>2.9.1-683.6</t>
  </si>
  <si>
    <t>SECADORES DE GOMA; COLOR: NEGRO, LARGO: 50 Cm</t>
  </si>
  <si>
    <t>2.9.1-683.4</t>
  </si>
  <si>
    <t>SECADORES DE GOMA; LARGO: 80 Cm, COLOR: ROJO</t>
  </si>
  <si>
    <t>2.9.1-1156.8</t>
  </si>
  <si>
    <t>PLUMEROS; PLUMA: SINTETICA, CLASE: PARA TECHO, MATERIAL MANGO: METAL, LARGO MANGO: EXTENSIBLE, Nº VUELTAS PENACHO: 3, TIPO: PARA TECHO</t>
  </si>
  <si>
    <t>2.9.1-6960.1</t>
  </si>
  <si>
    <t>2.9.1-8853.3</t>
  </si>
  <si>
    <t>MOPAS; LARGO MANGO: 1 M, MATERIAL: ALGODON</t>
  </si>
  <si>
    <t>MOPA PARA BARRIDO DE 1 Mt de largo</t>
  </si>
  <si>
    <t>Especificidades Item N° 17:</t>
  </si>
  <si>
    <t>ELEM. LIMPIEZA P/INDUMENTARIA; TIPO: SUAVIZANTE P/ROPA, PRESENTACION: ENVASE X 5 L</t>
  </si>
  <si>
    <t>2.9.1-6951.60</t>
  </si>
  <si>
    <t>LIMPIADORES; TIPO: DESENGRASANTE, PRESENTACION: ENVASE X 5 L</t>
  </si>
  <si>
    <t>2.9.1-713.5</t>
  </si>
  <si>
    <t>TRAPOS DE PISO; COLOR: BLANCO, DIMENSION: 60 X 70 Cm</t>
  </si>
  <si>
    <t>2.9.1-678.7</t>
  </si>
  <si>
    <t>TRAPOS REJILLA; DIMENSION: 40 X 50 Cm, COLOR: SIN VALOR, MATERIAL: ALGODON</t>
  </si>
  <si>
    <t>Especificidades Item N° 20:</t>
  </si>
  <si>
    <t xml:space="preserve"> TRAPO DE PISO 90 % ALGODÓN -COMUN COLOR  BLANCO-</t>
  </si>
  <si>
    <t>2.9.1-646.18</t>
  </si>
  <si>
    <t>BOLSAS DE RESIDUOS; COLOR: OBSCURO, ESPESOR: 40 Mn, DIMENSION: 45 X 60 Cm, PRESENTACION: SIN VALOR</t>
  </si>
  <si>
    <t xml:space="preserve"> NO DE ARRASTRE ( INDIVIDUAL)</t>
  </si>
  <si>
    <t>Especificidades Item N° 22:</t>
  </si>
  <si>
    <t>2.9.1-646.48</t>
  </si>
  <si>
    <t>BOLSAS DE RESIDUOS; DIMENSION: 60 X 90 Cm, PRESENTACION: BOLSA X 50 UN, ESPESOR: 45 Mn, COLOR: NEGRO</t>
  </si>
  <si>
    <t>Especificidades Item N° 23:</t>
  </si>
  <si>
    <t>2.9.1-646.19</t>
  </si>
  <si>
    <t>BOLSAS DE RESIDUOS; ESPESOR: 40 Mn, COLOR: TRANSPARENTE, DIMENSION: 50 X 70 Cm, PRESENTACION: SIN VALOR</t>
  </si>
  <si>
    <t xml:space="preserve"> NO DE ARRASTRE ( INDIVIDUAL )</t>
  </si>
  <si>
    <t>Especificidades Item N° 24:</t>
  </si>
  <si>
    <t>2.9.1-646.104</t>
  </si>
  <si>
    <t>BOLSAS DE RESIDUOS; DIMENSION: 60 X 90 Cm, PRESENTACION: ENVASE X 100 UN, ESPESOR: 50 Mn</t>
  </si>
  <si>
    <t>BOLSA DE CONSORCIO CON FUELLE PARA RESIDUOS DE 90 X 60 CM. DE 50 MICRONES, COLOR VERDE DE BAJA DENSIDAD EN PAQUETES DE 100 UNIDADES. NO DE ARRASTRE.-</t>
  </si>
  <si>
    <t>Especificidades Item N° 25:</t>
  </si>
  <si>
    <t>2.3.4-783.84</t>
  </si>
  <si>
    <t>TOALLAS DE PAPEL; MATERIAL: FIBRA CELULOSICA, GRAMAJE: 20 GR/M2, DIMENSION: 25 Cm, PRESENTACION: 2 X BOBINA X 400 M</t>
  </si>
  <si>
    <t>Seccion Deposito Central</t>
  </si>
  <si>
    <t>237 - Direccion De Mantenimiento</t>
  </si>
  <si>
    <t>Adquisición de Elementos de Limpieza</t>
  </si>
  <si>
    <t>Plazo de entrega: 15 dias corridos</t>
  </si>
  <si>
    <t xml:space="preserve">Lugar de entrega: Sección Deposito Central - Avda. Illia y Mariano Moreno </t>
  </si>
  <si>
    <t>Mantenimiento de Oferta: 45 dias habiles</t>
  </si>
  <si>
    <t>AROMAS CHERRY, LAVANDA.Estivados en cajas de 12 Unidades aproximadamente. Producto de marcas registradas y etiquetadas de fabrica.</t>
  </si>
  <si>
    <t xml:space="preserve">15 % DE MATERIA ACTIVA POR BIDON DE 5 LITROS . Marca registrada y etiquetada en fabrica </t>
  </si>
  <si>
    <t>NOTA DE PEDIDO 129</t>
  </si>
  <si>
    <t>DOCFI-2022-01980744-CAT-DMAN#HSJB</t>
  </si>
  <si>
    <t>SI</t>
  </si>
  <si>
    <t xml:space="preserve">SI </t>
  </si>
  <si>
    <t>Costo total estimado: Dos Millones Novecientos Treinta y Siete Mil Novecientos Ochenta y Dos.-----</t>
  </si>
  <si>
    <t>TOTAL DE PESOS: Dos Millones Novecientos Treinta y Siete Mil Novecientos Ochenta y Dos con 00/100.---</t>
  </si>
  <si>
    <t xml:space="preserve">Productos de papel y cartón </t>
  </si>
  <si>
    <t xml:space="preserve">Compuestos Quimicos </t>
  </si>
  <si>
    <t xml:space="preserve">Elementos de Limpieza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</si>
</sst>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1"/>
      <color rgb="FF333333"/>
      <name val="Arial"/>
      <family val="2"/>
    </font>
    <font>
      <sz val="16"/>
      <name val="Times New Roman"/>
      <family val="1"/>
    </font>
    <font>
      <b/>
      <sz val="10"/>
      <name val="Times New Roman"/>
      <family val="1"/>
      <charset val="1"/>
    </font>
    <font>
      <b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20" fillId="0" borderId="14" xfId="0" applyFont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9" fillId="0" borderId="48" xfId="0" applyFont="1" applyBorder="1" applyAlignment="1">
      <alignment horizontal="center" vertical="center" wrapText="1"/>
    </xf>
    <xf numFmtId="166" fontId="15" fillId="0" borderId="0" xfId="0" applyNumberFormat="1" applyFont="1"/>
    <xf numFmtId="166" fontId="0" fillId="0" borderId="34" xfId="3" applyNumberFormat="1" applyFont="1" applyBorder="1" applyAlignment="1" applyProtection="1">
      <alignment horizontal="right" vertical="center"/>
    </xf>
    <xf numFmtId="166" fontId="0" fillId="0" borderId="39" xfId="3" applyNumberFormat="1" applyFont="1" applyBorder="1" applyAlignment="1" applyProtection="1">
      <alignment horizontal="right" vertical="center"/>
    </xf>
    <xf numFmtId="166" fontId="0" fillId="0" borderId="43" xfId="3" applyNumberFormat="1" applyFont="1" applyBorder="1" applyAlignment="1" applyProtection="1">
      <alignment horizontal="right" vertical="center"/>
    </xf>
    <xf numFmtId="166" fontId="13" fillId="0" borderId="44" xfId="0" applyNumberFormat="1" applyFont="1" applyBorder="1" applyAlignment="1">
      <alignment horizontal="right" vertical="center"/>
    </xf>
    <xf numFmtId="0" fontId="15" fillId="3" borderId="6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20" xfId="0" applyNumberFormat="1" applyFont="1" applyBorder="1" applyAlignment="1">
      <alignment horizontal="right" vertical="center"/>
    </xf>
    <xf numFmtId="167" fontId="7" fillId="0" borderId="21" xfId="0" applyNumberFormat="1" applyFont="1" applyBorder="1" applyAlignment="1">
      <alignment horizontal="right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22" xfId="0" applyBorder="1"/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0" fillId="5" borderId="14" xfId="0" applyFill="1" applyBorder="1" applyAlignment="1">
      <alignment vertical="center"/>
    </xf>
    <xf numFmtId="0" fontId="25" fillId="0" borderId="14" xfId="0" applyFont="1" applyBorder="1"/>
    <xf numFmtId="0" fontId="21" fillId="0" borderId="14" xfId="0" applyFont="1" applyBorder="1" applyAlignment="1">
      <alignment horizontal="center" vertical="center" wrapText="1"/>
    </xf>
    <xf numFmtId="0" fontId="25" fillId="0" borderId="14" xfId="0" applyFont="1" applyBorder="1" applyAlignment="1">
      <alignment wrapText="1"/>
    </xf>
    <xf numFmtId="0" fontId="25" fillId="5" borderId="14" xfId="0" applyFont="1" applyFill="1" applyBorder="1" applyAlignment="1">
      <alignment vertical="center"/>
    </xf>
    <xf numFmtId="0" fontId="14" fillId="5" borderId="14" xfId="0" applyFont="1" applyFill="1" applyBorder="1" applyAlignment="1">
      <alignment vertical="center"/>
    </xf>
    <xf numFmtId="0" fontId="26" fillId="6" borderId="20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6" fillId="6" borderId="21" xfId="0" applyFont="1" applyFill="1" applyBorder="1" applyAlignment="1">
      <alignment horizontal="center" vertical="center"/>
    </xf>
    <xf numFmtId="0" fontId="27" fillId="4" borderId="11" xfId="0" applyFont="1" applyFill="1" applyBorder="1" applyAlignment="1">
      <alignment horizontal="center" vertical="center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166" fontId="15" fillId="0" borderId="0" xfId="0" applyNumberFormat="1" applyFont="1" applyAlignment="1">
      <alignment vertical="center"/>
    </xf>
    <xf numFmtId="0" fontId="28" fillId="0" borderId="13" xfId="0" applyFont="1" applyBorder="1" applyAlignment="1">
      <alignment horizontal="left" vertical="center" wrapText="1"/>
    </xf>
    <xf numFmtId="0" fontId="28" fillId="0" borderId="46" xfId="0" applyFont="1" applyBorder="1" applyAlignment="1">
      <alignment horizontal="left" vertical="center" wrapText="1"/>
    </xf>
    <xf numFmtId="0" fontId="28" fillId="0" borderId="47" xfId="0" applyFont="1" applyBorder="1" applyAlignment="1">
      <alignment horizontal="left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40"/>
  <sheetViews>
    <sheetView tabSelected="1" zoomScale="85" zoomScaleNormal="85" workbookViewId="0">
      <selection activeCell="D9" sqref="D9"/>
    </sheetView>
  </sheetViews>
  <sheetFormatPr baseColWidth="10" defaultColWidth="11" defaultRowHeight="12.75" x14ac:dyDescent="0.2"/>
  <cols>
    <col min="1" max="1" width="4.5703125" style="35" customWidth="1"/>
    <col min="2" max="2" width="14.85546875" style="35" customWidth="1"/>
    <col min="3" max="3" width="32.42578125" style="35" customWidth="1"/>
    <col min="4" max="4" width="8.42578125" style="35" customWidth="1"/>
    <col min="5" max="5" width="79" style="35" customWidth="1"/>
    <col min="6" max="6" width="11" style="35"/>
    <col min="7" max="7" width="12.7109375" style="35" customWidth="1"/>
    <col min="8" max="8" width="13.85546875" style="35" customWidth="1"/>
    <col min="9" max="9" width="18.5703125" style="35" customWidth="1"/>
    <col min="10" max="12" width="11" style="35"/>
    <col min="13" max="13" width="11.7109375" style="35" bestFit="1" customWidth="1"/>
    <col min="14" max="14" width="13.28515625" style="35" bestFit="1" customWidth="1"/>
    <col min="15" max="16384" width="11" style="35"/>
  </cols>
  <sheetData>
    <row r="2" spans="1:14" ht="27" x14ac:dyDescent="0.35">
      <c r="B2" s="84" t="s">
        <v>0</v>
      </c>
      <c r="C2" s="84"/>
      <c r="D2" s="84"/>
      <c r="E2" s="84"/>
      <c r="F2" s="84"/>
      <c r="G2" s="84"/>
      <c r="H2" s="84"/>
    </row>
    <row r="4" spans="1:14" ht="18" customHeight="1" x14ac:dyDescent="0.25">
      <c r="A4" s="82" t="s">
        <v>1</v>
      </c>
      <c r="B4" s="82"/>
      <c r="C4" s="85" t="s">
        <v>58</v>
      </c>
      <c r="D4" s="85"/>
      <c r="E4" s="85"/>
      <c r="F4" s="36"/>
      <c r="G4" s="37"/>
      <c r="H4" s="36"/>
    </row>
    <row r="5" spans="1:14" ht="18" customHeight="1" x14ac:dyDescent="0.25">
      <c r="A5" s="82" t="s">
        <v>2</v>
      </c>
      <c r="B5" s="82"/>
      <c r="C5" s="85" t="s">
        <v>59</v>
      </c>
      <c r="D5" s="85"/>
      <c r="E5" s="85"/>
      <c r="F5" s="36"/>
      <c r="G5" s="37"/>
      <c r="H5" s="36"/>
    </row>
    <row r="6" spans="1:14" ht="16.5" customHeight="1" x14ac:dyDescent="0.25">
      <c r="A6" s="82" t="s">
        <v>3</v>
      </c>
      <c r="B6" s="82"/>
      <c r="C6" s="55">
        <v>2022</v>
      </c>
      <c r="D6" s="56"/>
      <c r="E6" s="56"/>
      <c r="F6" s="36"/>
      <c r="G6" s="37"/>
      <c r="H6" s="36"/>
    </row>
    <row r="7" spans="1:14" ht="16.5" customHeight="1" x14ac:dyDescent="0.25">
      <c r="A7" s="82" t="s">
        <v>4</v>
      </c>
      <c r="B7" s="82"/>
      <c r="C7" s="55">
        <v>4</v>
      </c>
      <c r="D7" s="56"/>
      <c r="E7" s="56"/>
      <c r="F7" s="36"/>
      <c r="G7" s="37"/>
      <c r="H7" s="36"/>
    </row>
    <row r="8" spans="1:14" ht="13.5" thickBot="1" x14ac:dyDescent="0.25">
      <c r="B8" s="36"/>
      <c r="C8" s="37"/>
      <c r="D8" s="36"/>
      <c r="E8" s="36"/>
      <c r="F8" s="36"/>
      <c r="G8" s="37"/>
      <c r="H8" s="36"/>
    </row>
    <row r="9" spans="1:14" ht="39" thickBot="1" x14ac:dyDescent="0.25">
      <c r="A9" s="70" t="s">
        <v>5</v>
      </c>
      <c r="B9" s="70" t="s">
        <v>6</v>
      </c>
      <c r="C9" s="70" t="s">
        <v>7</v>
      </c>
      <c r="D9" s="70" t="s">
        <v>8</v>
      </c>
      <c r="E9" s="70" t="s">
        <v>9</v>
      </c>
      <c r="F9" s="70" t="s">
        <v>10</v>
      </c>
      <c r="G9" s="70" t="s">
        <v>11</v>
      </c>
      <c r="H9" s="70" t="s">
        <v>12</v>
      </c>
      <c r="I9" s="70" t="s">
        <v>13</v>
      </c>
    </row>
    <row r="10" spans="1:14" ht="31.9" customHeight="1" thickBot="1" x14ac:dyDescent="0.25">
      <c r="A10" s="51">
        <v>1</v>
      </c>
      <c r="B10" s="126" t="s">
        <v>63</v>
      </c>
      <c r="C10" s="127" t="s">
        <v>64</v>
      </c>
      <c r="D10" s="128" t="str">
        <f>LEFT(B10,5)</f>
        <v>2.9.1</v>
      </c>
      <c r="E10" s="127" t="s">
        <v>65</v>
      </c>
      <c r="F10" s="52" t="s">
        <v>66</v>
      </c>
      <c r="G10" s="52">
        <v>1500</v>
      </c>
      <c r="H10" s="53">
        <v>125</v>
      </c>
      <c r="I10" s="54">
        <f t="shared" ref="I10:I35" si="0">G10*H10</f>
        <v>187500</v>
      </c>
    </row>
    <row r="11" spans="1:14" ht="31.9" customHeight="1" thickBot="1" x14ac:dyDescent="0.25">
      <c r="A11" s="51">
        <v>2</v>
      </c>
      <c r="B11" s="126" t="s">
        <v>67</v>
      </c>
      <c r="C11" s="127" t="s">
        <v>64</v>
      </c>
      <c r="D11" s="128" t="str">
        <f t="shared" ref="D11:D35" si="1">LEFT(B11,5)</f>
        <v>2.9.1</v>
      </c>
      <c r="E11" s="127" t="s">
        <v>68</v>
      </c>
      <c r="F11" s="52" t="s">
        <v>66</v>
      </c>
      <c r="G11" s="52">
        <v>2500</v>
      </c>
      <c r="H11" s="53">
        <v>144</v>
      </c>
      <c r="I11" s="54">
        <f t="shared" si="0"/>
        <v>360000</v>
      </c>
    </row>
    <row r="12" spans="1:14" ht="31.9" customHeight="1" thickBot="1" x14ac:dyDescent="0.25">
      <c r="A12" s="51">
        <v>3</v>
      </c>
      <c r="B12" s="126" t="s">
        <v>71</v>
      </c>
      <c r="C12" s="127" t="s">
        <v>64</v>
      </c>
      <c r="D12" s="128" t="str">
        <f t="shared" si="1"/>
        <v>2.9.1</v>
      </c>
      <c r="E12" s="127" t="s">
        <v>72</v>
      </c>
      <c r="F12" s="52" t="s">
        <v>66</v>
      </c>
      <c r="G12" s="52">
        <v>40</v>
      </c>
      <c r="H12" s="53">
        <v>1895</v>
      </c>
      <c r="I12" s="54">
        <f t="shared" si="0"/>
        <v>75800</v>
      </c>
    </row>
    <row r="13" spans="1:14" ht="31.9" customHeight="1" thickBot="1" x14ac:dyDescent="0.25">
      <c r="A13" s="51">
        <v>4</v>
      </c>
      <c r="B13" s="127" t="s">
        <v>74</v>
      </c>
      <c r="C13" s="127" t="s">
        <v>64</v>
      </c>
      <c r="D13" s="128" t="str">
        <f t="shared" si="1"/>
        <v>2.9.1</v>
      </c>
      <c r="E13" s="127" t="s">
        <v>75</v>
      </c>
      <c r="F13" s="52" t="s">
        <v>76</v>
      </c>
      <c r="G13" s="52">
        <v>150</v>
      </c>
      <c r="H13" s="53">
        <v>100</v>
      </c>
      <c r="I13" s="54">
        <f t="shared" si="0"/>
        <v>15000</v>
      </c>
    </row>
    <row r="14" spans="1:14" ht="31.9" customHeight="1" thickBot="1" x14ac:dyDescent="0.25">
      <c r="A14" s="51">
        <v>5</v>
      </c>
      <c r="B14" s="126" t="s">
        <v>77</v>
      </c>
      <c r="C14" s="127" t="s">
        <v>64</v>
      </c>
      <c r="D14" s="128" t="str">
        <f t="shared" si="1"/>
        <v>2.9.1</v>
      </c>
      <c r="E14" s="129" t="s">
        <v>78</v>
      </c>
      <c r="F14" s="52" t="s">
        <v>76</v>
      </c>
      <c r="G14" s="52">
        <v>200</v>
      </c>
      <c r="H14" s="53">
        <v>80</v>
      </c>
      <c r="I14" s="54">
        <f t="shared" si="0"/>
        <v>16000</v>
      </c>
      <c r="M14" s="71"/>
      <c r="N14" s="71"/>
    </row>
    <row r="15" spans="1:14" ht="31.9" customHeight="1" thickBot="1" x14ac:dyDescent="0.25">
      <c r="A15" s="51">
        <v>6</v>
      </c>
      <c r="B15" s="127" t="s">
        <v>79</v>
      </c>
      <c r="C15" s="127" t="s">
        <v>64</v>
      </c>
      <c r="D15" s="128" t="str">
        <f t="shared" si="1"/>
        <v>2.9.1</v>
      </c>
      <c r="E15" s="127" t="s">
        <v>80</v>
      </c>
      <c r="F15" s="52" t="s">
        <v>76</v>
      </c>
      <c r="G15" s="52">
        <v>100</v>
      </c>
      <c r="H15" s="53">
        <v>183.6</v>
      </c>
      <c r="I15" s="54">
        <f t="shared" si="0"/>
        <v>18360</v>
      </c>
      <c r="M15" s="71"/>
    </row>
    <row r="16" spans="1:14" ht="31.9" customHeight="1" thickBot="1" x14ac:dyDescent="0.25">
      <c r="A16" s="51">
        <v>7</v>
      </c>
      <c r="B16" s="126" t="s">
        <v>81</v>
      </c>
      <c r="C16" s="127" t="s">
        <v>64</v>
      </c>
      <c r="D16" s="128" t="str">
        <f t="shared" si="1"/>
        <v>2.9.1</v>
      </c>
      <c r="E16" s="129" t="s">
        <v>82</v>
      </c>
      <c r="F16" s="52" t="s">
        <v>83</v>
      </c>
      <c r="G16" s="52">
        <v>150</v>
      </c>
      <c r="H16" s="53">
        <v>309</v>
      </c>
      <c r="I16" s="54">
        <f t="shared" si="0"/>
        <v>46350</v>
      </c>
      <c r="M16" s="71"/>
    </row>
    <row r="17" spans="1:14" ht="31.9" customHeight="1" thickBot="1" x14ac:dyDescent="0.25">
      <c r="A17" s="51">
        <v>8</v>
      </c>
      <c r="B17" s="130" t="s">
        <v>86</v>
      </c>
      <c r="C17" s="127" t="s">
        <v>64</v>
      </c>
      <c r="D17" s="128" t="str">
        <f t="shared" si="1"/>
        <v>2.9.1</v>
      </c>
      <c r="E17" s="129" t="s">
        <v>87</v>
      </c>
      <c r="F17" s="52" t="s">
        <v>83</v>
      </c>
      <c r="G17" s="52">
        <v>100</v>
      </c>
      <c r="H17" s="53">
        <v>309</v>
      </c>
      <c r="I17" s="54">
        <f t="shared" si="0"/>
        <v>30900</v>
      </c>
      <c r="N17" s="71"/>
    </row>
    <row r="18" spans="1:14" s="138" customFormat="1" ht="49.5" customHeight="1" thickBot="1" x14ac:dyDescent="0.25">
      <c r="A18" s="51">
        <v>9</v>
      </c>
      <c r="B18" s="126" t="s">
        <v>90</v>
      </c>
      <c r="C18" s="136" t="s">
        <v>91</v>
      </c>
      <c r="D18" s="128" t="str">
        <f t="shared" si="1"/>
        <v>2.5.1</v>
      </c>
      <c r="E18" s="137" t="s">
        <v>92</v>
      </c>
      <c r="F18" s="52" t="s">
        <v>66</v>
      </c>
      <c r="G18" s="52">
        <v>200</v>
      </c>
      <c r="H18" s="53">
        <v>510</v>
      </c>
      <c r="I18" s="54">
        <f t="shared" si="0"/>
        <v>102000</v>
      </c>
      <c r="N18" s="139"/>
    </row>
    <row r="19" spans="1:14" ht="31.9" customHeight="1" thickBot="1" x14ac:dyDescent="0.25">
      <c r="A19" s="51">
        <v>10</v>
      </c>
      <c r="B19" s="126" t="s">
        <v>95</v>
      </c>
      <c r="C19" s="127" t="s">
        <v>64</v>
      </c>
      <c r="D19" s="128" t="str">
        <f t="shared" si="1"/>
        <v>2.9.1</v>
      </c>
      <c r="E19" s="127" t="s">
        <v>96</v>
      </c>
      <c r="F19" s="52" t="s">
        <v>66</v>
      </c>
      <c r="G19" s="52">
        <v>20</v>
      </c>
      <c r="H19" s="53">
        <v>648</v>
      </c>
      <c r="I19" s="54">
        <f t="shared" si="0"/>
        <v>12960</v>
      </c>
    </row>
    <row r="20" spans="1:14" ht="31.9" customHeight="1" thickBot="1" x14ac:dyDescent="0.25">
      <c r="A20" s="51">
        <v>11</v>
      </c>
      <c r="B20" s="127" t="s">
        <v>97</v>
      </c>
      <c r="C20" s="127" t="s">
        <v>64</v>
      </c>
      <c r="D20" s="128" t="str">
        <f t="shared" si="1"/>
        <v>2.9.1</v>
      </c>
      <c r="E20" s="129" t="s">
        <v>98</v>
      </c>
      <c r="F20" s="52" t="s">
        <v>99</v>
      </c>
      <c r="G20" s="52">
        <v>150</v>
      </c>
      <c r="H20" s="53">
        <v>1750</v>
      </c>
      <c r="I20" s="54">
        <f t="shared" si="0"/>
        <v>262500</v>
      </c>
    </row>
    <row r="21" spans="1:14" ht="31.9" customHeight="1" thickBot="1" x14ac:dyDescent="0.25">
      <c r="A21" s="51">
        <v>12</v>
      </c>
      <c r="B21" s="126" t="s">
        <v>101</v>
      </c>
      <c r="C21" s="127" t="s">
        <v>64</v>
      </c>
      <c r="D21" s="128" t="str">
        <f t="shared" si="1"/>
        <v>2.9.1</v>
      </c>
      <c r="E21" s="129" t="s">
        <v>102</v>
      </c>
      <c r="F21" s="52" t="s">
        <v>66</v>
      </c>
      <c r="G21" s="52">
        <v>25</v>
      </c>
      <c r="H21" s="53">
        <v>3150</v>
      </c>
      <c r="I21" s="54">
        <f t="shared" si="0"/>
        <v>78750</v>
      </c>
    </row>
    <row r="22" spans="1:14" ht="31.9" customHeight="1" thickBot="1" x14ac:dyDescent="0.25">
      <c r="A22" s="51">
        <v>13</v>
      </c>
      <c r="B22" s="126" t="s">
        <v>104</v>
      </c>
      <c r="C22" s="127" t="s">
        <v>64</v>
      </c>
      <c r="D22" s="128" t="str">
        <f t="shared" si="1"/>
        <v>2.9.1</v>
      </c>
      <c r="E22" s="129" t="s">
        <v>105</v>
      </c>
      <c r="F22" s="52" t="s">
        <v>106</v>
      </c>
      <c r="G22" s="52">
        <v>2</v>
      </c>
      <c r="H22" s="53">
        <v>9276</v>
      </c>
      <c r="I22" s="54">
        <f t="shared" si="0"/>
        <v>18552</v>
      </c>
    </row>
    <row r="23" spans="1:14" ht="31.9" customHeight="1" thickBot="1" x14ac:dyDescent="0.25">
      <c r="A23" s="51">
        <v>14</v>
      </c>
      <c r="B23" s="126" t="s">
        <v>107</v>
      </c>
      <c r="C23" s="127" t="s">
        <v>64</v>
      </c>
      <c r="D23" s="128" t="str">
        <f t="shared" si="1"/>
        <v>2.9.1</v>
      </c>
      <c r="E23" s="127" t="s">
        <v>108</v>
      </c>
      <c r="F23" s="52" t="s">
        <v>76</v>
      </c>
      <c r="G23" s="52">
        <v>150</v>
      </c>
      <c r="H23" s="53">
        <v>350</v>
      </c>
      <c r="I23" s="54">
        <f t="shared" si="0"/>
        <v>52500</v>
      </c>
    </row>
    <row r="24" spans="1:14" ht="31.9" customHeight="1" thickBot="1" x14ac:dyDescent="0.25">
      <c r="A24" s="51">
        <v>15</v>
      </c>
      <c r="B24" s="126" t="s">
        <v>109</v>
      </c>
      <c r="C24" s="127" t="s">
        <v>64</v>
      </c>
      <c r="D24" s="128" t="str">
        <f t="shared" si="1"/>
        <v>2.9.1</v>
      </c>
      <c r="E24" s="127" t="s">
        <v>110</v>
      </c>
      <c r="F24" s="52" t="s">
        <v>76</v>
      </c>
      <c r="G24" s="52">
        <v>10</v>
      </c>
      <c r="H24" s="53">
        <v>850</v>
      </c>
      <c r="I24" s="54">
        <f t="shared" si="0"/>
        <v>8500</v>
      </c>
    </row>
    <row r="25" spans="1:14" ht="31.9" customHeight="1" thickBot="1" x14ac:dyDescent="0.25">
      <c r="A25" s="51">
        <v>16</v>
      </c>
      <c r="B25" s="126" t="s">
        <v>111</v>
      </c>
      <c r="C25" s="127" t="s">
        <v>64</v>
      </c>
      <c r="D25" s="128" t="str">
        <f t="shared" si="1"/>
        <v>2.9.1</v>
      </c>
      <c r="E25" s="129" t="s">
        <v>112</v>
      </c>
      <c r="F25" s="52" t="s">
        <v>76</v>
      </c>
      <c r="G25" s="52">
        <v>25</v>
      </c>
      <c r="H25" s="53">
        <v>1500</v>
      </c>
      <c r="I25" s="54">
        <f t="shared" si="0"/>
        <v>37500</v>
      </c>
    </row>
    <row r="26" spans="1:14" ht="31.9" customHeight="1" thickBot="1" x14ac:dyDescent="0.25">
      <c r="A26" s="51">
        <v>17</v>
      </c>
      <c r="B26" s="126" t="s">
        <v>114</v>
      </c>
      <c r="C26" s="127" t="s">
        <v>64</v>
      </c>
      <c r="D26" s="128" t="str">
        <f t="shared" si="1"/>
        <v>2.9.1</v>
      </c>
      <c r="E26" s="127" t="s">
        <v>115</v>
      </c>
      <c r="F26" s="52" t="s">
        <v>76</v>
      </c>
      <c r="G26" s="52">
        <v>8</v>
      </c>
      <c r="H26" s="53">
        <v>3700</v>
      </c>
      <c r="I26" s="54">
        <f t="shared" si="0"/>
        <v>29600</v>
      </c>
    </row>
    <row r="27" spans="1:14" ht="31.9" customHeight="1" thickBot="1" x14ac:dyDescent="0.25">
      <c r="A27" s="51">
        <v>18</v>
      </c>
      <c r="B27" s="126" t="s">
        <v>113</v>
      </c>
      <c r="C27" s="127" t="s">
        <v>64</v>
      </c>
      <c r="D27" s="128" t="str">
        <f t="shared" si="1"/>
        <v>2.9.1</v>
      </c>
      <c r="E27" s="129" t="s">
        <v>118</v>
      </c>
      <c r="F27" s="52" t="s">
        <v>66</v>
      </c>
      <c r="G27" s="52">
        <v>20</v>
      </c>
      <c r="H27" s="53">
        <v>899</v>
      </c>
      <c r="I27" s="54">
        <f t="shared" si="0"/>
        <v>17980</v>
      </c>
    </row>
    <row r="28" spans="1:14" ht="31.9" customHeight="1" thickBot="1" x14ac:dyDescent="0.25">
      <c r="A28" s="51">
        <v>19</v>
      </c>
      <c r="B28" s="126" t="s">
        <v>119</v>
      </c>
      <c r="C28" s="127" t="s">
        <v>64</v>
      </c>
      <c r="D28" s="128" t="str">
        <f t="shared" si="1"/>
        <v>2.9.1</v>
      </c>
      <c r="E28" s="127" t="s">
        <v>120</v>
      </c>
      <c r="F28" s="52" t="s">
        <v>66</v>
      </c>
      <c r="G28" s="52">
        <v>10</v>
      </c>
      <c r="H28" s="53">
        <v>750</v>
      </c>
      <c r="I28" s="54">
        <f t="shared" si="0"/>
        <v>7500</v>
      </c>
    </row>
    <row r="29" spans="1:14" ht="31.9" customHeight="1" thickBot="1" x14ac:dyDescent="0.25">
      <c r="A29" s="51">
        <v>20</v>
      </c>
      <c r="B29" s="126" t="s">
        <v>121</v>
      </c>
      <c r="C29" s="127" t="s">
        <v>64</v>
      </c>
      <c r="D29" s="128" t="str">
        <f t="shared" si="1"/>
        <v>2.9.1</v>
      </c>
      <c r="E29" s="127" t="s">
        <v>122</v>
      </c>
      <c r="F29" s="52" t="s">
        <v>76</v>
      </c>
      <c r="G29" s="52">
        <v>300</v>
      </c>
      <c r="H29" s="53">
        <v>299</v>
      </c>
      <c r="I29" s="54">
        <f t="shared" si="0"/>
        <v>89700</v>
      </c>
    </row>
    <row r="30" spans="1:14" ht="31.9" customHeight="1" thickBot="1" x14ac:dyDescent="0.25">
      <c r="A30" s="51">
        <v>21</v>
      </c>
      <c r="B30" s="126" t="s">
        <v>123</v>
      </c>
      <c r="C30" s="127" t="s">
        <v>64</v>
      </c>
      <c r="D30" s="128" t="str">
        <f t="shared" si="1"/>
        <v>2.9.1</v>
      </c>
      <c r="E30" s="129" t="s">
        <v>124</v>
      </c>
      <c r="F30" s="52" t="s">
        <v>76</v>
      </c>
      <c r="G30" s="52">
        <v>275</v>
      </c>
      <c r="H30" s="53">
        <v>180</v>
      </c>
      <c r="I30" s="54">
        <f t="shared" si="0"/>
        <v>49500</v>
      </c>
    </row>
    <row r="31" spans="1:14" ht="31.9" customHeight="1" thickBot="1" x14ac:dyDescent="0.25">
      <c r="A31" s="51">
        <v>22</v>
      </c>
      <c r="B31" s="126" t="s">
        <v>127</v>
      </c>
      <c r="C31" s="127" t="s">
        <v>64</v>
      </c>
      <c r="D31" s="128" t="str">
        <f t="shared" si="1"/>
        <v>2.9.1</v>
      </c>
      <c r="E31" s="129" t="s">
        <v>128</v>
      </c>
      <c r="F31" s="52" t="s">
        <v>76</v>
      </c>
      <c r="G31" s="52">
        <v>18000</v>
      </c>
      <c r="H31" s="53">
        <v>15</v>
      </c>
      <c r="I31" s="54">
        <f t="shared" si="0"/>
        <v>270000</v>
      </c>
    </row>
    <row r="32" spans="1:14" ht="31.9" customHeight="1" thickBot="1" x14ac:dyDescent="0.25">
      <c r="A32" s="51">
        <v>23</v>
      </c>
      <c r="B32" s="126" t="s">
        <v>131</v>
      </c>
      <c r="C32" s="127" t="s">
        <v>64</v>
      </c>
      <c r="D32" s="128" t="str">
        <f t="shared" si="1"/>
        <v>2.9.1</v>
      </c>
      <c r="E32" s="129" t="s">
        <v>132</v>
      </c>
      <c r="F32" s="52" t="s">
        <v>99</v>
      </c>
      <c r="G32" s="52">
        <v>240</v>
      </c>
      <c r="H32" s="53">
        <v>1700</v>
      </c>
      <c r="I32" s="54">
        <f t="shared" si="0"/>
        <v>408000</v>
      </c>
    </row>
    <row r="33" spans="1:9" ht="31.9" customHeight="1" thickBot="1" x14ac:dyDescent="0.25">
      <c r="A33" s="51">
        <v>24</v>
      </c>
      <c r="B33" s="127" t="s">
        <v>134</v>
      </c>
      <c r="C33" s="127" t="s">
        <v>64</v>
      </c>
      <c r="D33" s="128" t="str">
        <f t="shared" si="1"/>
        <v>2.9.1</v>
      </c>
      <c r="E33" s="129" t="s">
        <v>135</v>
      </c>
      <c r="F33" s="52" t="s">
        <v>76</v>
      </c>
      <c r="G33" s="52">
        <v>4500</v>
      </c>
      <c r="H33" s="53">
        <v>21</v>
      </c>
      <c r="I33" s="54">
        <f t="shared" si="0"/>
        <v>94500</v>
      </c>
    </row>
    <row r="34" spans="1:9" ht="31.9" customHeight="1" thickBot="1" x14ac:dyDescent="0.25">
      <c r="A34" s="51">
        <v>25</v>
      </c>
      <c r="B34" s="131" t="s">
        <v>138</v>
      </c>
      <c r="C34" s="127" t="s">
        <v>64</v>
      </c>
      <c r="D34" s="128" t="str">
        <f t="shared" si="1"/>
        <v>2.9.1</v>
      </c>
      <c r="E34" s="129" t="s">
        <v>139</v>
      </c>
      <c r="F34" s="52" t="s">
        <v>99</v>
      </c>
      <c r="G34" s="52">
        <v>70</v>
      </c>
      <c r="H34" s="53">
        <v>2829</v>
      </c>
      <c r="I34" s="54">
        <f t="shared" si="0"/>
        <v>198030</v>
      </c>
    </row>
    <row r="35" spans="1:9" ht="31.9" customHeight="1" thickBot="1" x14ac:dyDescent="0.25">
      <c r="A35" s="51">
        <v>26</v>
      </c>
      <c r="B35" s="52" t="s">
        <v>142</v>
      </c>
      <c r="C35" s="127" t="s">
        <v>64</v>
      </c>
      <c r="D35" s="128" t="str">
        <f t="shared" si="1"/>
        <v>2.3.4</v>
      </c>
      <c r="E35" s="129" t="s">
        <v>143</v>
      </c>
      <c r="F35" s="52" t="s">
        <v>76</v>
      </c>
      <c r="G35" s="52">
        <v>180</v>
      </c>
      <c r="H35" s="53">
        <v>2500</v>
      </c>
      <c r="I35" s="54">
        <f t="shared" si="0"/>
        <v>450000</v>
      </c>
    </row>
    <row r="36" spans="1:9" ht="13.5" thickBot="1" x14ac:dyDescent="0.25"/>
    <row r="37" spans="1:9" ht="24.75" customHeight="1" thickBot="1" x14ac:dyDescent="0.25">
      <c r="B37" s="132" t="s">
        <v>147</v>
      </c>
      <c r="C37" s="133"/>
      <c r="D37" s="133"/>
      <c r="E37" s="134"/>
    </row>
    <row r="38" spans="1:9" ht="21" thickBot="1" x14ac:dyDescent="0.25">
      <c r="B38" s="132" t="s">
        <v>148</v>
      </c>
      <c r="C38" s="133"/>
      <c r="D38" s="133"/>
      <c r="E38" s="134"/>
    </row>
    <row r="39" spans="1:9" ht="21" thickBot="1" x14ac:dyDescent="0.25">
      <c r="B39" s="132" t="s">
        <v>149</v>
      </c>
      <c r="C39" s="133"/>
      <c r="D39" s="133"/>
      <c r="E39" s="134"/>
    </row>
    <row r="40" spans="1:9" ht="13.5" thickBot="1" x14ac:dyDescent="0.25"/>
    <row r="41" spans="1:9" x14ac:dyDescent="0.2">
      <c r="B41" s="38" t="s">
        <v>14</v>
      </c>
      <c r="C41" s="39"/>
      <c r="D41" s="39"/>
      <c r="E41" s="40"/>
    </row>
    <row r="42" spans="1:9" ht="5.25" customHeight="1" x14ac:dyDescent="0.2">
      <c r="B42" s="41"/>
      <c r="C42" s="42"/>
      <c r="D42" s="42"/>
      <c r="E42" s="43"/>
    </row>
    <row r="43" spans="1:9" x14ac:dyDescent="0.2">
      <c r="B43" s="44" t="s">
        <v>15</v>
      </c>
      <c r="C43" s="42"/>
      <c r="D43" s="42"/>
      <c r="E43" s="43"/>
    </row>
    <row r="44" spans="1:9" ht="41.25" customHeight="1" x14ac:dyDescent="0.2">
      <c r="B44" s="44"/>
      <c r="C44" s="77" t="s">
        <v>69</v>
      </c>
      <c r="D44" s="77"/>
      <c r="E44" s="78"/>
    </row>
    <row r="45" spans="1:9" x14ac:dyDescent="0.2">
      <c r="B45" s="44" t="s">
        <v>16</v>
      </c>
      <c r="C45" s="42"/>
      <c r="D45" s="42"/>
      <c r="E45" s="43"/>
    </row>
    <row r="46" spans="1:9" x14ac:dyDescent="0.2">
      <c r="B46" s="45"/>
      <c r="C46" s="79" t="s">
        <v>70</v>
      </c>
      <c r="D46" s="79"/>
      <c r="E46" s="79"/>
    </row>
    <row r="47" spans="1:9" x14ac:dyDescent="0.2">
      <c r="B47" s="45"/>
      <c r="C47" s="83"/>
      <c r="D47" s="83"/>
      <c r="E47" s="83"/>
    </row>
    <row r="48" spans="1:9" x14ac:dyDescent="0.2">
      <c r="B48" s="44" t="s">
        <v>17</v>
      </c>
      <c r="C48" s="42"/>
      <c r="D48" s="42"/>
      <c r="E48" s="43"/>
    </row>
    <row r="49" spans="2:5" ht="26.25" customHeight="1" x14ac:dyDescent="0.2">
      <c r="B49" s="45"/>
      <c r="C49" s="80"/>
      <c r="D49" s="80"/>
      <c r="E49" s="80"/>
    </row>
    <row r="50" spans="2:5" x14ac:dyDescent="0.2">
      <c r="B50" s="44" t="s">
        <v>18</v>
      </c>
      <c r="C50" s="46"/>
      <c r="D50" s="46"/>
      <c r="E50" s="47"/>
    </row>
    <row r="51" spans="2:5" ht="26.25" customHeight="1" x14ac:dyDescent="0.2">
      <c r="B51" s="45"/>
      <c r="C51" s="81" t="s">
        <v>60</v>
      </c>
      <c r="D51" s="81"/>
      <c r="E51" s="81"/>
    </row>
    <row r="52" spans="2:5" x14ac:dyDescent="0.2">
      <c r="B52" s="44" t="s">
        <v>19</v>
      </c>
      <c r="C52" s="42"/>
      <c r="D52" s="42"/>
      <c r="E52" s="43"/>
    </row>
    <row r="53" spans="2:5" ht="23.25" customHeight="1" x14ac:dyDescent="0.2">
      <c r="B53" s="44"/>
      <c r="C53" s="76"/>
      <c r="D53" s="76"/>
      <c r="E53" s="76"/>
    </row>
    <row r="54" spans="2:5" x14ac:dyDescent="0.2">
      <c r="B54" s="48"/>
      <c r="C54" s="49"/>
      <c r="D54" s="49"/>
      <c r="E54" s="50"/>
    </row>
    <row r="56" spans="2:5" x14ac:dyDescent="0.2">
      <c r="B56" s="38" t="s">
        <v>20</v>
      </c>
      <c r="C56" s="39"/>
      <c r="D56" s="39"/>
      <c r="E56" s="40"/>
    </row>
    <row r="57" spans="2:5" ht="7.5" customHeight="1" x14ac:dyDescent="0.2">
      <c r="B57" s="41"/>
      <c r="C57" s="42"/>
      <c r="D57" s="42"/>
      <c r="E57" s="43"/>
    </row>
    <row r="58" spans="2:5" x14ac:dyDescent="0.2">
      <c r="B58" s="44" t="s">
        <v>15</v>
      </c>
      <c r="C58" s="42"/>
      <c r="D58" s="42"/>
      <c r="E58" s="43"/>
    </row>
    <row r="59" spans="2:5" ht="39" customHeight="1" x14ac:dyDescent="0.2">
      <c r="B59" s="44"/>
      <c r="C59" s="77" t="s">
        <v>150</v>
      </c>
      <c r="D59" s="77"/>
      <c r="E59" s="78"/>
    </row>
    <row r="60" spans="2:5" x14ac:dyDescent="0.2">
      <c r="B60" s="44" t="s">
        <v>16</v>
      </c>
      <c r="C60" s="42"/>
      <c r="D60" s="42"/>
      <c r="E60" s="43"/>
    </row>
    <row r="61" spans="2:5" x14ac:dyDescent="0.2">
      <c r="B61" s="45"/>
      <c r="C61" s="76"/>
      <c r="D61" s="76"/>
      <c r="E61" s="76"/>
    </row>
    <row r="62" spans="2:5" x14ac:dyDescent="0.2">
      <c r="B62" s="45"/>
      <c r="C62" s="79" t="s">
        <v>70</v>
      </c>
      <c r="D62" s="79"/>
      <c r="E62" s="79"/>
    </row>
    <row r="63" spans="2:5" x14ac:dyDescent="0.2">
      <c r="B63" s="44" t="s">
        <v>17</v>
      </c>
      <c r="C63" s="42"/>
      <c r="D63" s="42"/>
      <c r="E63" s="43"/>
    </row>
    <row r="64" spans="2:5" x14ac:dyDescent="0.2">
      <c r="B64" s="45"/>
      <c r="C64" s="80"/>
      <c r="D64" s="80"/>
      <c r="E64" s="80"/>
    </row>
    <row r="65" spans="2:5" x14ac:dyDescent="0.2">
      <c r="B65" s="44" t="s">
        <v>18</v>
      </c>
      <c r="C65" s="46"/>
      <c r="D65" s="46"/>
      <c r="E65" s="47"/>
    </row>
    <row r="66" spans="2:5" x14ac:dyDescent="0.2">
      <c r="B66" s="45"/>
      <c r="C66" s="81" t="s">
        <v>60</v>
      </c>
      <c r="D66" s="81"/>
      <c r="E66" s="81"/>
    </row>
    <row r="67" spans="2:5" x14ac:dyDescent="0.2">
      <c r="B67" s="44" t="s">
        <v>19</v>
      </c>
      <c r="C67" s="42"/>
      <c r="D67" s="42"/>
      <c r="E67" s="43"/>
    </row>
    <row r="68" spans="2:5" x14ac:dyDescent="0.2">
      <c r="B68" s="44"/>
      <c r="C68" s="76"/>
      <c r="D68" s="76"/>
      <c r="E68" s="76"/>
    </row>
    <row r="69" spans="2:5" x14ac:dyDescent="0.2">
      <c r="B69" s="48"/>
      <c r="C69" s="49"/>
      <c r="D69" s="49"/>
      <c r="E69" s="50"/>
    </row>
    <row r="70" spans="2:5" ht="13.5" thickBot="1" x14ac:dyDescent="0.25"/>
    <row r="71" spans="2:5" x14ac:dyDescent="0.2">
      <c r="B71" s="38" t="s">
        <v>73</v>
      </c>
      <c r="C71" s="39"/>
      <c r="D71" s="39"/>
      <c r="E71" s="40"/>
    </row>
    <row r="72" spans="2:5" x14ac:dyDescent="0.2">
      <c r="B72" s="41"/>
      <c r="C72" s="42"/>
      <c r="D72" s="42"/>
      <c r="E72" s="43"/>
    </row>
    <row r="73" spans="2:5" x14ac:dyDescent="0.2">
      <c r="B73" s="44" t="s">
        <v>15</v>
      </c>
      <c r="C73" s="42"/>
      <c r="D73" s="42"/>
      <c r="E73" s="43"/>
    </row>
    <row r="74" spans="2:5" ht="29.25" customHeight="1" x14ac:dyDescent="0.2">
      <c r="B74" s="44"/>
      <c r="C74" s="77" t="s">
        <v>151</v>
      </c>
      <c r="D74" s="77"/>
      <c r="E74" s="78"/>
    </row>
    <row r="75" spans="2:5" x14ac:dyDescent="0.2">
      <c r="B75" s="44" t="s">
        <v>16</v>
      </c>
      <c r="C75" s="42"/>
      <c r="D75" s="42"/>
      <c r="E75" s="43"/>
    </row>
    <row r="76" spans="2:5" x14ac:dyDescent="0.2">
      <c r="B76" s="45"/>
      <c r="C76" s="76"/>
      <c r="D76" s="76"/>
      <c r="E76" s="76"/>
    </row>
    <row r="77" spans="2:5" x14ac:dyDescent="0.2">
      <c r="B77" s="45"/>
      <c r="C77" s="79" t="s">
        <v>70</v>
      </c>
      <c r="D77" s="79"/>
      <c r="E77" s="79"/>
    </row>
    <row r="78" spans="2:5" x14ac:dyDescent="0.2">
      <c r="B78" s="44" t="s">
        <v>17</v>
      </c>
      <c r="C78" s="42"/>
      <c r="D78" s="42"/>
      <c r="E78" s="43"/>
    </row>
    <row r="79" spans="2:5" x14ac:dyDescent="0.2">
      <c r="B79" s="45"/>
      <c r="C79" s="80"/>
      <c r="D79" s="80"/>
      <c r="E79" s="80"/>
    </row>
    <row r="80" spans="2:5" x14ac:dyDescent="0.2">
      <c r="B80" s="44" t="s">
        <v>18</v>
      </c>
      <c r="C80" s="46"/>
      <c r="D80" s="46"/>
      <c r="E80" s="47"/>
    </row>
    <row r="81" spans="2:5" x14ac:dyDescent="0.2">
      <c r="B81" s="45"/>
      <c r="C81" s="81" t="s">
        <v>60</v>
      </c>
      <c r="D81" s="81"/>
      <c r="E81" s="81"/>
    </row>
    <row r="82" spans="2:5" x14ac:dyDescent="0.2">
      <c r="B82" s="44" t="s">
        <v>19</v>
      </c>
      <c r="C82" s="42"/>
      <c r="D82" s="42"/>
      <c r="E82" s="43"/>
    </row>
    <row r="83" spans="2:5" x14ac:dyDescent="0.2">
      <c r="B83" s="44"/>
      <c r="C83" s="76"/>
      <c r="D83" s="76"/>
      <c r="E83" s="76"/>
    </row>
    <row r="84" spans="2:5" ht="13.5" thickBot="1" x14ac:dyDescent="0.25">
      <c r="B84" s="48"/>
      <c r="C84" s="49"/>
      <c r="D84" s="49"/>
      <c r="E84" s="50"/>
    </row>
    <row r="86" spans="2:5" ht="13.5" thickBot="1" x14ac:dyDescent="0.25"/>
    <row r="87" spans="2:5" x14ac:dyDescent="0.2">
      <c r="B87" s="38" t="s">
        <v>85</v>
      </c>
      <c r="C87" s="39"/>
      <c r="D87" s="39"/>
      <c r="E87" s="40"/>
    </row>
    <row r="88" spans="2:5" x14ac:dyDescent="0.2">
      <c r="B88" s="41"/>
      <c r="C88" s="42"/>
      <c r="D88" s="42"/>
      <c r="E88" s="43"/>
    </row>
    <row r="89" spans="2:5" x14ac:dyDescent="0.2">
      <c r="B89" s="44" t="s">
        <v>15</v>
      </c>
      <c r="C89" s="42"/>
      <c r="D89" s="42"/>
      <c r="E89" s="43"/>
    </row>
    <row r="90" spans="2:5" ht="26.25" customHeight="1" x14ac:dyDescent="0.2">
      <c r="B90" s="44"/>
      <c r="C90" s="77" t="s">
        <v>84</v>
      </c>
      <c r="D90" s="77"/>
      <c r="E90" s="78"/>
    </row>
    <row r="91" spans="2:5" x14ac:dyDescent="0.2">
      <c r="B91" s="44" t="s">
        <v>16</v>
      </c>
      <c r="C91" s="42"/>
      <c r="D91" s="42"/>
      <c r="E91" s="43"/>
    </row>
    <row r="92" spans="2:5" x14ac:dyDescent="0.2">
      <c r="B92" s="45"/>
      <c r="C92" s="76"/>
      <c r="D92" s="76"/>
      <c r="E92" s="76"/>
    </row>
    <row r="93" spans="2:5" x14ac:dyDescent="0.2">
      <c r="B93" s="45"/>
      <c r="C93" s="79" t="s">
        <v>70</v>
      </c>
      <c r="D93" s="79"/>
      <c r="E93" s="79"/>
    </row>
    <row r="94" spans="2:5" x14ac:dyDescent="0.2">
      <c r="B94" s="44" t="s">
        <v>17</v>
      </c>
      <c r="C94" s="42"/>
      <c r="D94" s="42"/>
      <c r="E94" s="43"/>
    </row>
    <row r="95" spans="2:5" x14ac:dyDescent="0.2">
      <c r="B95" s="45"/>
      <c r="C95" s="80"/>
      <c r="D95" s="80"/>
      <c r="E95" s="80"/>
    </row>
    <row r="96" spans="2:5" x14ac:dyDescent="0.2">
      <c r="B96" s="44" t="s">
        <v>18</v>
      </c>
      <c r="C96" s="46"/>
      <c r="D96" s="46"/>
      <c r="E96" s="47"/>
    </row>
    <row r="97" spans="2:5" x14ac:dyDescent="0.2">
      <c r="B97" s="45"/>
      <c r="C97" s="81" t="s">
        <v>60</v>
      </c>
      <c r="D97" s="81"/>
      <c r="E97" s="81"/>
    </row>
    <row r="98" spans="2:5" x14ac:dyDescent="0.2">
      <c r="B98" s="44" t="s">
        <v>19</v>
      </c>
      <c r="C98" s="42"/>
      <c r="D98" s="42"/>
      <c r="E98" s="43"/>
    </row>
    <row r="99" spans="2:5" x14ac:dyDescent="0.2">
      <c r="B99" s="44"/>
      <c r="C99" s="76"/>
      <c r="D99" s="76"/>
      <c r="E99" s="76"/>
    </row>
    <row r="100" spans="2:5" ht="13.5" thickBot="1" x14ac:dyDescent="0.25">
      <c r="B100" s="48"/>
      <c r="C100" s="49"/>
      <c r="D100" s="49"/>
      <c r="E100" s="50"/>
    </row>
    <row r="102" spans="2:5" ht="13.5" thickBot="1" x14ac:dyDescent="0.25"/>
    <row r="103" spans="2:5" x14ac:dyDescent="0.2">
      <c r="B103" s="38" t="s">
        <v>89</v>
      </c>
      <c r="C103" s="39"/>
      <c r="D103" s="39"/>
      <c r="E103" s="40"/>
    </row>
    <row r="104" spans="2:5" x14ac:dyDescent="0.2">
      <c r="B104" s="41"/>
      <c r="C104" s="42"/>
      <c r="D104" s="42"/>
      <c r="E104" s="43"/>
    </row>
    <row r="105" spans="2:5" x14ac:dyDescent="0.2">
      <c r="B105" s="44" t="s">
        <v>15</v>
      </c>
      <c r="C105" s="42"/>
      <c r="D105" s="42"/>
      <c r="E105" s="43"/>
    </row>
    <row r="106" spans="2:5" ht="24" customHeight="1" x14ac:dyDescent="0.2">
      <c r="B106" s="44"/>
      <c r="C106" s="77" t="s">
        <v>88</v>
      </c>
      <c r="D106" s="77"/>
      <c r="E106" s="78"/>
    </row>
    <row r="107" spans="2:5" x14ac:dyDescent="0.2">
      <c r="B107" s="44" t="s">
        <v>16</v>
      </c>
      <c r="C107" s="42"/>
      <c r="D107" s="42"/>
      <c r="E107" s="43"/>
    </row>
    <row r="108" spans="2:5" x14ac:dyDescent="0.2">
      <c r="B108" s="45"/>
      <c r="C108" s="76"/>
      <c r="D108" s="76"/>
      <c r="E108" s="76"/>
    </row>
    <row r="109" spans="2:5" x14ac:dyDescent="0.2">
      <c r="B109" s="45"/>
      <c r="C109" s="79" t="s">
        <v>70</v>
      </c>
      <c r="D109" s="79"/>
      <c r="E109" s="79"/>
    </row>
    <row r="110" spans="2:5" x14ac:dyDescent="0.2">
      <c r="B110" s="44" t="s">
        <v>17</v>
      </c>
      <c r="C110" s="42"/>
      <c r="D110" s="42"/>
      <c r="E110" s="43"/>
    </row>
    <row r="111" spans="2:5" x14ac:dyDescent="0.2">
      <c r="B111" s="45"/>
      <c r="C111" s="80"/>
      <c r="D111" s="80"/>
      <c r="E111" s="80"/>
    </row>
    <row r="112" spans="2:5" x14ac:dyDescent="0.2">
      <c r="B112" s="44" t="s">
        <v>18</v>
      </c>
      <c r="C112" s="46"/>
      <c r="D112" s="46"/>
      <c r="E112" s="47"/>
    </row>
    <row r="113" spans="2:5" x14ac:dyDescent="0.2">
      <c r="B113" s="45"/>
      <c r="C113" s="81" t="s">
        <v>60</v>
      </c>
      <c r="D113" s="81"/>
      <c r="E113" s="81"/>
    </row>
    <row r="114" spans="2:5" x14ac:dyDescent="0.2">
      <c r="B114" s="44" t="s">
        <v>19</v>
      </c>
      <c r="C114" s="42"/>
      <c r="D114" s="42"/>
      <c r="E114" s="43"/>
    </row>
    <row r="115" spans="2:5" x14ac:dyDescent="0.2">
      <c r="B115" s="44"/>
      <c r="C115" s="76"/>
      <c r="D115" s="76"/>
      <c r="E115" s="76"/>
    </row>
    <row r="116" spans="2:5" ht="13.5" thickBot="1" x14ac:dyDescent="0.25">
      <c r="B116" s="48"/>
      <c r="C116" s="49"/>
      <c r="D116" s="49"/>
      <c r="E116" s="50"/>
    </row>
    <row r="117" spans="2:5" ht="13.5" thickBot="1" x14ac:dyDescent="0.25"/>
    <row r="118" spans="2:5" x14ac:dyDescent="0.2">
      <c r="B118" s="38" t="s">
        <v>100</v>
      </c>
      <c r="C118" s="39"/>
      <c r="D118" s="39"/>
      <c r="E118" s="40"/>
    </row>
    <row r="119" spans="2:5" x14ac:dyDescent="0.2">
      <c r="B119" s="41"/>
      <c r="C119" s="42"/>
      <c r="D119" s="42"/>
      <c r="E119" s="43"/>
    </row>
    <row r="120" spans="2:5" x14ac:dyDescent="0.2">
      <c r="B120" s="44" t="s">
        <v>15</v>
      </c>
      <c r="C120" s="42"/>
      <c r="D120" s="42"/>
      <c r="E120" s="43"/>
    </row>
    <row r="121" spans="2:5" ht="19.5" customHeight="1" x14ac:dyDescent="0.2">
      <c r="B121" s="44"/>
      <c r="C121" s="77" t="s">
        <v>94</v>
      </c>
      <c r="D121" s="77"/>
      <c r="E121" s="78"/>
    </row>
    <row r="122" spans="2:5" x14ac:dyDescent="0.2">
      <c r="B122" s="44" t="s">
        <v>16</v>
      </c>
      <c r="C122" s="42"/>
      <c r="D122" s="42"/>
      <c r="E122" s="43"/>
    </row>
    <row r="123" spans="2:5" x14ac:dyDescent="0.2">
      <c r="B123" s="45"/>
      <c r="C123" s="76"/>
      <c r="D123" s="76"/>
      <c r="E123" s="76"/>
    </row>
    <row r="124" spans="2:5" x14ac:dyDescent="0.2">
      <c r="B124" s="45"/>
      <c r="C124" s="79" t="s">
        <v>70</v>
      </c>
      <c r="D124" s="79"/>
      <c r="E124" s="79"/>
    </row>
    <row r="125" spans="2:5" x14ac:dyDescent="0.2">
      <c r="B125" s="44" t="s">
        <v>17</v>
      </c>
      <c r="C125" s="42"/>
      <c r="D125" s="42"/>
      <c r="E125" s="43"/>
    </row>
    <row r="126" spans="2:5" x14ac:dyDescent="0.2">
      <c r="B126" s="45"/>
      <c r="C126" s="80"/>
      <c r="D126" s="80"/>
      <c r="E126" s="80"/>
    </row>
    <row r="127" spans="2:5" x14ac:dyDescent="0.2">
      <c r="B127" s="44" t="s">
        <v>18</v>
      </c>
      <c r="C127" s="46"/>
      <c r="D127" s="46"/>
      <c r="E127" s="47"/>
    </row>
    <row r="128" spans="2:5" x14ac:dyDescent="0.2">
      <c r="B128" s="45"/>
      <c r="C128" s="81" t="s">
        <v>60</v>
      </c>
      <c r="D128" s="81"/>
      <c r="E128" s="81"/>
    </row>
    <row r="129" spans="2:5" x14ac:dyDescent="0.2">
      <c r="B129" s="44" t="s">
        <v>19</v>
      </c>
      <c r="C129" s="42"/>
      <c r="D129" s="42"/>
      <c r="E129" s="43"/>
    </row>
    <row r="130" spans="2:5" x14ac:dyDescent="0.2">
      <c r="B130" s="44"/>
      <c r="C130" s="76"/>
      <c r="D130" s="76"/>
      <c r="E130" s="76"/>
    </row>
    <row r="131" spans="2:5" ht="13.5" thickBot="1" x14ac:dyDescent="0.25">
      <c r="B131" s="48"/>
      <c r="C131" s="49"/>
      <c r="D131" s="49"/>
      <c r="E131" s="50"/>
    </row>
    <row r="133" spans="2:5" ht="13.5" thickBot="1" x14ac:dyDescent="0.25"/>
    <row r="134" spans="2:5" x14ac:dyDescent="0.2">
      <c r="B134" s="38" t="s">
        <v>93</v>
      </c>
      <c r="C134" s="39"/>
      <c r="D134" s="39"/>
      <c r="E134" s="40"/>
    </row>
    <row r="135" spans="2:5" x14ac:dyDescent="0.2">
      <c r="B135" s="41"/>
      <c r="C135" s="42"/>
      <c r="D135" s="42"/>
      <c r="E135" s="43"/>
    </row>
    <row r="136" spans="2:5" x14ac:dyDescent="0.2">
      <c r="B136" s="44" t="s">
        <v>15</v>
      </c>
      <c r="C136" s="42"/>
      <c r="D136" s="42"/>
      <c r="E136" s="43"/>
    </row>
    <row r="137" spans="2:5" x14ac:dyDescent="0.2">
      <c r="B137" s="44"/>
      <c r="C137" s="77" t="s">
        <v>103</v>
      </c>
      <c r="D137" s="77"/>
      <c r="E137" s="78"/>
    </row>
    <row r="138" spans="2:5" x14ac:dyDescent="0.2">
      <c r="B138" s="44" t="s">
        <v>16</v>
      </c>
      <c r="C138" s="42"/>
      <c r="D138" s="42"/>
      <c r="E138" s="43"/>
    </row>
    <row r="139" spans="2:5" x14ac:dyDescent="0.2">
      <c r="B139" s="45"/>
      <c r="C139" s="76"/>
      <c r="D139" s="76"/>
      <c r="E139" s="76"/>
    </row>
    <row r="140" spans="2:5" x14ac:dyDescent="0.2">
      <c r="B140" s="45"/>
      <c r="C140" s="79" t="s">
        <v>70</v>
      </c>
      <c r="D140" s="79"/>
      <c r="E140" s="79"/>
    </row>
    <row r="141" spans="2:5" x14ac:dyDescent="0.2">
      <c r="B141" s="44" t="s">
        <v>17</v>
      </c>
      <c r="C141" s="42"/>
      <c r="D141" s="42"/>
      <c r="E141" s="43"/>
    </row>
    <row r="142" spans="2:5" x14ac:dyDescent="0.2">
      <c r="B142" s="45"/>
      <c r="C142" s="80"/>
      <c r="D142" s="80"/>
      <c r="E142" s="80"/>
    </row>
    <row r="143" spans="2:5" x14ac:dyDescent="0.2">
      <c r="B143" s="44" t="s">
        <v>18</v>
      </c>
      <c r="C143" s="46"/>
      <c r="D143" s="46"/>
      <c r="E143" s="47"/>
    </row>
    <row r="144" spans="2:5" x14ac:dyDescent="0.2">
      <c r="B144" s="45"/>
      <c r="C144" s="81" t="s">
        <v>60</v>
      </c>
      <c r="D144" s="81"/>
      <c r="E144" s="81"/>
    </row>
    <row r="145" spans="2:5" x14ac:dyDescent="0.2">
      <c r="B145" s="44" t="s">
        <v>19</v>
      </c>
      <c r="C145" s="42"/>
      <c r="D145" s="42"/>
      <c r="E145" s="43"/>
    </row>
    <row r="146" spans="2:5" x14ac:dyDescent="0.2">
      <c r="B146" s="44"/>
      <c r="C146" s="76"/>
      <c r="D146" s="76"/>
      <c r="E146" s="76"/>
    </row>
    <row r="147" spans="2:5" ht="13.5" thickBot="1" x14ac:dyDescent="0.25">
      <c r="B147" s="48"/>
      <c r="C147" s="49"/>
      <c r="D147" s="49"/>
      <c r="E147" s="50"/>
    </row>
    <row r="149" spans="2:5" ht="13.5" thickBot="1" x14ac:dyDescent="0.25"/>
    <row r="150" spans="2:5" x14ac:dyDescent="0.2">
      <c r="B150" s="38" t="s">
        <v>117</v>
      </c>
      <c r="C150" s="39"/>
      <c r="D150" s="39"/>
      <c r="E150" s="40"/>
    </row>
    <row r="151" spans="2:5" x14ac:dyDescent="0.2">
      <c r="B151" s="41"/>
      <c r="C151" s="42"/>
      <c r="D151" s="42"/>
      <c r="E151" s="43"/>
    </row>
    <row r="152" spans="2:5" x14ac:dyDescent="0.2">
      <c r="B152" s="44" t="s">
        <v>15</v>
      </c>
      <c r="C152" s="42"/>
      <c r="D152" s="42"/>
      <c r="E152" s="43"/>
    </row>
    <row r="153" spans="2:5" x14ac:dyDescent="0.2">
      <c r="B153" s="44"/>
      <c r="C153" s="77" t="s">
        <v>116</v>
      </c>
      <c r="D153" s="77"/>
      <c r="E153" s="78"/>
    </row>
    <row r="154" spans="2:5" x14ac:dyDescent="0.2">
      <c r="B154" s="44" t="s">
        <v>16</v>
      </c>
      <c r="C154" s="42"/>
      <c r="D154" s="42"/>
      <c r="E154" s="43"/>
    </row>
    <row r="155" spans="2:5" x14ac:dyDescent="0.2">
      <c r="B155" s="45"/>
      <c r="C155" s="76"/>
      <c r="D155" s="76"/>
      <c r="E155" s="76"/>
    </row>
    <row r="156" spans="2:5" x14ac:dyDescent="0.2">
      <c r="B156" s="45"/>
      <c r="C156" s="79" t="s">
        <v>70</v>
      </c>
      <c r="D156" s="79"/>
      <c r="E156" s="79"/>
    </row>
    <row r="157" spans="2:5" x14ac:dyDescent="0.2">
      <c r="B157" s="44" t="s">
        <v>17</v>
      </c>
      <c r="C157" s="42"/>
      <c r="D157" s="42"/>
      <c r="E157" s="43"/>
    </row>
    <row r="158" spans="2:5" x14ac:dyDescent="0.2">
      <c r="B158" s="45"/>
      <c r="C158" s="80"/>
      <c r="D158" s="80"/>
      <c r="E158" s="80"/>
    </row>
    <row r="159" spans="2:5" x14ac:dyDescent="0.2">
      <c r="B159" s="44" t="s">
        <v>18</v>
      </c>
      <c r="C159" s="46"/>
      <c r="D159" s="46"/>
      <c r="E159" s="47"/>
    </row>
    <row r="160" spans="2:5" x14ac:dyDescent="0.2">
      <c r="B160" s="45"/>
      <c r="C160" s="81" t="s">
        <v>60</v>
      </c>
      <c r="D160" s="81"/>
      <c r="E160" s="81"/>
    </row>
    <row r="161" spans="2:5" x14ac:dyDescent="0.2">
      <c r="B161" s="44" t="s">
        <v>19</v>
      </c>
      <c r="C161" s="42"/>
      <c r="D161" s="42"/>
      <c r="E161" s="43"/>
    </row>
    <row r="162" spans="2:5" x14ac:dyDescent="0.2">
      <c r="B162" s="44"/>
      <c r="C162" s="76"/>
      <c r="D162" s="76"/>
      <c r="E162" s="76"/>
    </row>
    <row r="163" spans="2:5" ht="13.5" thickBot="1" x14ac:dyDescent="0.25">
      <c r="B163" s="48"/>
      <c r="C163" s="49"/>
      <c r="D163" s="49"/>
      <c r="E163" s="50"/>
    </row>
    <row r="164" spans="2:5" ht="13.5" thickBot="1" x14ac:dyDescent="0.25"/>
    <row r="165" spans="2:5" x14ac:dyDescent="0.2">
      <c r="B165" s="38" t="s">
        <v>125</v>
      </c>
      <c r="C165" s="39"/>
      <c r="D165" s="39"/>
      <c r="E165" s="40"/>
    </row>
    <row r="166" spans="2:5" x14ac:dyDescent="0.2">
      <c r="B166" s="41"/>
      <c r="C166" s="42"/>
      <c r="D166" s="42"/>
      <c r="E166" s="43"/>
    </row>
    <row r="167" spans="2:5" x14ac:dyDescent="0.2">
      <c r="B167" s="44" t="s">
        <v>15</v>
      </c>
      <c r="C167" s="42"/>
      <c r="D167" s="42"/>
      <c r="E167" s="43"/>
    </row>
    <row r="168" spans="2:5" x14ac:dyDescent="0.2">
      <c r="B168" s="44"/>
      <c r="C168" s="77" t="s">
        <v>126</v>
      </c>
      <c r="D168" s="77"/>
      <c r="E168" s="78"/>
    </row>
    <row r="169" spans="2:5" x14ac:dyDescent="0.2">
      <c r="B169" s="44" t="s">
        <v>16</v>
      </c>
      <c r="C169" s="42"/>
      <c r="D169" s="42"/>
      <c r="E169" s="43"/>
    </row>
    <row r="170" spans="2:5" x14ac:dyDescent="0.2">
      <c r="B170" s="45"/>
      <c r="C170" s="79" t="s">
        <v>70</v>
      </c>
      <c r="D170" s="79"/>
      <c r="E170" s="79"/>
    </row>
    <row r="171" spans="2:5" x14ac:dyDescent="0.2">
      <c r="B171" s="45"/>
      <c r="C171" s="76"/>
      <c r="D171" s="76"/>
      <c r="E171" s="76"/>
    </row>
    <row r="172" spans="2:5" x14ac:dyDescent="0.2">
      <c r="B172" s="44" t="s">
        <v>17</v>
      </c>
      <c r="C172" s="42"/>
      <c r="D172" s="42"/>
      <c r="E172" s="43"/>
    </row>
    <row r="173" spans="2:5" x14ac:dyDescent="0.2">
      <c r="B173" s="45"/>
      <c r="C173" s="80"/>
      <c r="D173" s="80"/>
      <c r="E173" s="80"/>
    </row>
    <row r="174" spans="2:5" x14ac:dyDescent="0.2">
      <c r="B174" s="44" t="s">
        <v>18</v>
      </c>
      <c r="C174" s="46"/>
      <c r="D174" s="46"/>
      <c r="E174" s="47"/>
    </row>
    <row r="175" spans="2:5" x14ac:dyDescent="0.2">
      <c r="B175" s="45"/>
      <c r="C175" s="81" t="s">
        <v>60</v>
      </c>
      <c r="D175" s="81"/>
      <c r="E175" s="81"/>
    </row>
    <row r="176" spans="2:5" x14ac:dyDescent="0.2">
      <c r="B176" s="44" t="s">
        <v>19</v>
      </c>
      <c r="C176" s="42"/>
      <c r="D176" s="42"/>
      <c r="E176" s="43"/>
    </row>
    <row r="177" spans="2:5" x14ac:dyDescent="0.2">
      <c r="B177" s="44"/>
      <c r="C177" s="76"/>
      <c r="D177" s="76"/>
      <c r="E177" s="76"/>
    </row>
    <row r="178" spans="2:5" ht="13.5" thickBot="1" x14ac:dyDescent="0.25">
      <c r="B178" s="48"/>
      <c r="C178" s="49"/>
      <c r="D178" s="49"/>
      <c r="E178" s="50"/>
    </row>
    <row r="179" spans="2:5" ht="13.5" thickBot="1" x14ac:dyDescent="0.25"/>
    <row r="180" spans="2:5" x14ac:dyDescent="0.2">
      <c r="B180" s="38" t="s">
        <v>130</v>
      </c>
      <c r="C180" s="39"/>
      <c r="D180" s="39"/>
      <c r="E180" s="40"/>
    </row>
    <row r="181" spans="2:5" x14ac:dyDescent="0.2">
      <c r="B181" s="41"/>
      <c r="C181" s="42"/>
      <c r="D181" s="42"/>
      <c r="E181" s="43"/>
    </row>
    <row r="182" spans="2:5" x14ac:dyDescent="0.2">
      <c r="B182" s="44" t="s">
        <v>15</v>
      </c>
      <c r="C182" s="42"/>
      <c r="D182" s="42"/>
      <c r="E182" s="43"/>
    </row>
    <row r="183" spans="2:5" x14ac:dyDescent="0.2">
      <c r="B183" s="44"/>
      <c r="C183" s="77" t="s">
        <v>129</v>
      </c>
      <c r="D183" s="77"/>
      <c r="E183" s="78"/>
    </row>
    <row r="184" spans="2:5" x14ac:dyDescent="0.2">
      <c r="B184" s="44" t="s">
        <v>16</v>
      </c>
      <c r="C184" s="42"/>
      <c r="D184" s="42"/>
      <c r="E184" s="43"/>
    </row>
    <row r="185" spans="2:5" x14ac:dyDescent="0.2">
      <c r="B185" s="45"/>
      <c r="C185" s="76"/>
      <c r="D185" s="76"/>
      <c r="E185" s="76"/>
    </row>
    <row r="186" spans="2:5" x14ac:dyDescent="0.2">
      <c r="B186" s="45"/>
      <c r="C186" s="79" t="s">
        <v>70</v>
      </c>
      <c r="D186" s="79"/>
      <c r="E186" s="79"/>
    </row>
    <row r="187" spans="2:5" x14ac:dyDescent="0.2">
      <c r="B187" s="44" t="s">
        <v>17</v>
      </c>
      <c r="C187" s="42"/>
      <c r="D187" s="42"/>
      <c r="E187" s="43"/>
    </row>
    <row r="188" spans="2:5" x14ac:dyDescent="0.2">
      <c r="B188" s="45"/>
      <c r="C188" s="80"/>
      <c r="D188" s="80"/>
      <c r="E188" s="80"/>
    </row>
    <row r="189" spans="2:5" x14ac:dyDescent="0.2">
      <c r="B189" s="44" t="s">
        <v>18</v>
      </c>
      <c r="C189" s="46"/>
      <c r="D189" s="46"/>
      <c r="E189" s="47"/>
    </row>
    <row r="190" spans="2:5" x14ac:dyDescent="0.2">
      <c r="B190" s="45"/>
      <c r="C190" s="81" t="s">
        <v>60</v>
      </c>
      <c r="D190" s="81"/>
      <c r="E190" s="81"/>
    </row>
    <row r="191" spans="2:5" x14ac:dyDescent="0.2">
      <c r="B191" s="44" t="s">
        <v>19</v>
      </c>
      <c r="C191" s="42"/>
      <c r="D191" s="42"/>
      <c r="E191" s="43"/>
    </row>
    <row r="192" spans="2:5" x14ac:dyDescent="0.2">
      <c r="B192" s="44"/>
      <c r="C192" s="76"/>
      <c r="D192" s="76"/>
      <c r="E192" s="76"/>
    </row>
    <row r="193" spans="2:5" ht="13.5" thickBot="1" x14ac:dyDescent="0.25">
      <c r="B193" s="48"/>
      <c r="C193" s="49"/>
      <c r="D193" s="49"/>
      <c r="E193" s="50"/>
    </row>
    <row r="195" spans="2:5" ht="13.5" thickBot="1" x14ac:dyDescent="0.25"/>
    <row r="196" spans="2:5" x14ac:dyDescent="0.2">
      <c r="B196" s="38" t="s">
        <v>133</v>
      </c>
      <c r="C196" s="39"/>
      <c r="D196" s="39"/>
      <c r="E196" s="40"/>
    </row>
    <row r="197" spans="2:5" x14ac:dyDescent="0.2">
      <c r="B197" s="41"/>
      <c r="C197" s="42"/>
      <c r="D197" s="42"/>
      <c r="E197" s="43"/>
    </row>
    <row r="198" spans="2:5" x14ac:dyDescent="0.2">
      <c r="B198" s="44" t="s">
        <v>15</v>
      </c>
      <c r="C198" s="42"/>
      <c r="D198" s="42"/>
      <c r="E198" s="43"/>
    </row>
    <row r="199" spans="2:5" x14ac:dyDescent="0.2">
      <c r="B199" s="44"/>
      <c r="C199" s="77" t="s">
        <v>129</v>
      </c>
      <c r="D199" s="77"/>
      <c r="E199" s="78"/>
    </row>
    <row r="200" spans="2:5" x14ac:dyDescent="0.2">
      <c r="B200" s="44" t="s">
        <v>16</v>
      </c>
      <c r="C200" s="42"/>
      <c r="D200" s="42"/>
      <c r="E200" s="43"/>
    </row>
    <row r="201" spans="2:5" x14ac:dyDescent="0.2">
      <c r="B201" s="45"/>
      <c r="C201" s="76"/>
      <c r="D201" s="76"/>
      <c r="E201" s="76"/>
    </row>
    <row r="202" spans="2:5" x14ac:dyDescent="0.2">
      <c r="B202" s="45"/>
      <c r="C202" s="79" t="s">
        <v>70</v>
      </c>
      <c r="D202" s="79"/>
      <c r="E202" s="79"/>
    </row>
    <row r="203" spans="2:5" x14ac:dyDescent="0.2">
      <c r="B203" s="44" t="s">
        <v>17</v>
      </c>
      <c r="C203" s="42"/>
      <c r="D203" s="42"/>
      <c r="E203" s="43"/>
    </row>
    <row r="204" spans="2:5" x14ac:dyDescent="0.2">
      <c r="B204" s="45"/>
      <c r="C204" s="80"/>
      <c r="D204" s="80"/>
      <c r="E204" s="80"/>
    </row>
    <row r="205" spans="2:5" x14ac:dyDescent="0.2">
      <c r="B205" s="44" t="s">
        <v>18</v>
      </c>
      <c r="C205" s="46"/>
      <c r="D205" s="46"/>
      <c r="E205" s="47"/>
    </row>
    <row r="206" spans="2:5" x14ac:dyDescent="0.2">
      <c r="B206" s="45"/>
      <c r="C206" s="81" t="s">
        <v>60</v>
      </c>
      <c r="D206" s="81"/>
      <c r="E206" s="81"/>
    </row>
    <row r="207" spans="2:5" x14ac:dyDescent="0.2">
      <c r="B207" s="44" t="s">
        <v>19</v>
      </c>
      <c r="C207" s="42"/>
      <c r="D207" s="42"/>
      <c r="E207" s="43"/>
    </row>
    <row r="208" spans="2:5" x14ac:dyDescent="0.2">
      <c r="B208" s="44"/>
      <c r="C208" s="76"/>
      <c r="D208" s="76"/>
      <c r="E208" s="76"/>
    </row>
    <row r="209" spans="2:5" ht="13.5" thickBot="1" x14ac:dyDescent="0.25">
      <c r="B209" s="48"/>
      <c r="C209" s="49"/>
      <c r="D209" s="49"/>
      <c r="E209" s="50"/>
    </row>
    <row r="211" spans="2:5" ht="13.5" thickBot="1" x14ac:dyDescent="0.25"/>
    <row r="212" spans="2:5" x14ac:dyDescent="0.2">
      <c r="B212" s="38" t="s">
        <v>137</v>
      </c>
      <c r="C212" s="39"/>
      <c r="D212" s="39"/>
      <c r="E212" s="40"/>
    </row>
    <row r="213" spans="2:5" x14ac:dyDescent="0.2">
      <c r="B213" s="41"/>
      <c r="C213" s="42"/>
      <c r="D213" s="42"/>
      <c r="E213" s="43"/>
    </row>
    <row r="214" spans="2:5" x14ac:dyDescent="0.2">
      <c r="B214" s="44" t="s">
        <v>15</v>
      </c>
      <c r="C214" s="42"/>
      <c r="D214" s="42"/>
      <c r="E214" s="43"/>
    </row>
    <row r="215" spans="2:5" x14ac:dyDescent="0.2">
      <c r="B215" s="44"/>
      <c r="C215" s="77" t="s">
        <v>136</v>
      </c>
      <c r="D215" s="77"/>
      <c r="E215" s="78"/>
    </row>
    <row r="216" spans="2:5" x14ac:dyDescent="0.2">
      <c r="B216" s="44" t="s">
        <v>16</v>
      </c>
      <c r="C216" s="42"/>
      <c r="D216" s="42"/>
      <c r="E216" s="43"/>
    </row>
    <row r="217" spans="2:5" x14ac:dyDescent="0.2">
      <c r="B217" s="45"/>
      <c r="C217" s="76"/>
      <c r="D217" s="76"/>
      <c r="E217" s="76"/>
    </row>
    <row r="218" spans="2:5" x14ac:dyDescent="0.2">
      <c r="B218" s="45"/>
      <c r="C218" s="79" t="s">
        <v>70</v>
      </c>
      <c r="D218" s="79"/>
      <c r="E218" s="79"/>
    </row>
    <row r="219" spans="2:5" x14ac:dyDescent="0.2">
      <c r="B219" s="44" t="s">
        <v>17</v>
      </c>
      <c r="C219" s="42"/>
      <c r="D219" s="42"/>
      <c r="E219" s="43"/>
    </row>
    <row r="220" spans="2:5" x14ac:dyDescent="0.2">
      <c r="B220" s="45"/>
      <c r="C220" s="80"/>
      <c r="D220" s="80"/>
      <c r="E220" s="80"/>
    </row>
    <row r="221" spans="2:5" x14ac:dyDescent="0.2">
      <c r="B221" s="44" t="s">
        <v>18</v>
      </c>
      <c r="C221" s="46"/>
      <c r="D221" s="46"/>
      <c r="E221" s="47"/>
    </row>
    <row r="222" spans="2:5" x14ac:dyDescent="0.2">
      <c r="B222" s="45"/>
      <c r="C222" s="81" t="s">
        <v>60</v>
      </c>
      <c r="D222" s="81"/>
      <c r="E222" s="81"/>
    </row>
    <row r="223" spans="2:5" x14ac:dyDescent="0.2">
      <c r="B223" s="44" t="s">
        <v>19</v>
      </c>
      <c r="C223" s="42"/>
      <c r="D223" s="42"/>
      <c r="E223" s="43"/>
    </row>
    <row r="224" spans="2:5" x14ac:dyDescent="0.2">
      <c r="B224" s="44"/>
      <c r="C224" s="76"/>
      <c r="D224" s="76"/>
      <c r="E224" s="76"/>
    </row>
    <row r="225" spans="2:5" ht="13.5" thickBot="1" x14ac:dyDescent="0.25">
      <c r="B225" s="48"/>
      <c r="C225" s="49"/>
      <c r="D225" s="49"/>
      <c r="E225" s="50"/>
    </row>
    <row r="226" spans="2:5" ht="13.5" thickBot="1" x14ac:dyDescent="0.25"/>
    <row r="227" spans="2:5" x14ac:dyDescent="0.2">
      <c r="B227" s="38" t="s">
        <v>141</v>
      </c>
      <c r="C227" s="39"/>
      <c r="D227" s="39"/>
      <c r="E227" s="40"/>
    </row>
    <row r="228" spans="2:5" x14ac:dyDescent="0.2">
      <c r="B228" s="41"/>
      <c r="C228" s="42"/>
      <c r="D228" s="42"/>
      <c r="E228" s="43"/>
    </row>
    <row r="229" spans="2:5" x14ac:dyDescent="0.2">
      <c r="B229" s="44" t="s">
        <v>15</v>
      </c>
      <c r="C229" s="42"/>
      <c r="D229" s="42"/>
      <c r="E229" s="43"/>
    </row>
    <row r="230" spans="2:5" ht="34.5" customHeight="1" x14ac:dyDescent="0.2">
      <c r="B230" s="44"/>
      <c r="C230" s="77" t="s">
        <v>140</v>
      </c>
      <c r="D230" s="77"/>
      <c r="E230" s="78"/>
    </row>
    <row r="231" spans="2:5" x14ac:dyDescent="0.2">
      <c r="B231" s="44" t="s">
        <v>16</v>
      </c>
      <c r="C231" s="42"/>
      <c r="D231" s="42"/>
      <c r="E231" s="43"/>
    </row>
    <row r="232" spans="2:5" x14ac:dyDescent="0.2">
      <c r="B232" s="45"/>
      <c r="C232" s="76"/>
      <c r="D232" s="76"/>
      <c r="E232" s="76"/>
    </row>
    <row r="233" spans="2:5" x14ac:dyDescent="0.2">
      <c r="B233" s="45"/>
      <c r="C233" s="79" t="s">
        <v>70</v>
      </c>
      <c r="D233" s="79"/>
      <c r="E233" s="79"/>
    </row>
    <row r="234" spans="2:5" x14ac:dyDescent="0.2">
      <c r="B234" s="44" t="s">
        <v>17</v>
      </c>
      <c r="C234" s="42"/>
      <c r="D234" s="42"/>
      <c r="E234" s="43"/>
    </row>
    <row r="235" spans="2:5" x14ac:dyDescent="0.2">
      <c r="B235" s="45"/>
      <c r="C235" s="80"/>
      <c r="D235" s="80"/>
      <c r="E235" s="80"/>
    </row>
    <row r="236" spans="2:5" x14ac:dyDescent="0.2">
      <c r="B236" s="44" t="s">
        <v>18</v>
      </c>
      <c r="C236" s="46"/>
      <c r="D236" s="46"/>
      <c r="E236" s="47"/>
    </row>
    <row r="237" spans="2:5" x14ac:dyDescent="0.2">
      <c r="B237" s="45"/>
      <c r="C237" s="81" t="s">
        <v>60</v>
      </c>
      <c r="D237" s="81"/>
      <c r="E237" s="81"/>
    </row>
    <row r="238" spans="2:5" x14ac:dyDescent="0.2">
      <c r="B238" s="44" t="s">
        <v>19</v>
      </c>
      <c r="C238" s="42"/>
      <c r="D238" s="42"/>
      <c r="E238" s="43"/>
    </row>
    <row r="239" spans="2:5" x14ac:dyDescent="0.2">
      <c r="B239" s="44"/>
      <c r="C239" s="76"/>
      <c r="D239" s="76"/>
      <c r="E239" s="76"/>
    </row>
    <row r="240" spans="2:5" ht="13.5" thickBot="1" x14ac:dyDescent="0.25">
      <c r="B240" s="48"/>
      <c r="C240" s="49"/>
      <c r="D240" s="49"/>
      <c r="E240" s="50"/>
    </row>
  </sheetData>
  <autoFilter ref="A9:I35"/>
  <mergeCells count="88">
    <mergeCell ref="B2:H2"/>
    <mergeCell ref="A4:B4"/>
    <mergeCell ref="C4:E4"/>
    <mergeCell ref="A5:B5"/>
    <mergeCell ref="C5:E5"/>
    <mergeCell ref="A6:B6"/>
    <mergeCell ref="A7:B7"/>
    <mergeCell ref="C44:E44"/>
    <mergeCell ref="C46:E46"/>
    <mergeCell ref="C47:E47"/>
    <mergeCell ref="B37:E37"/>
    <mergeCell ref="B38:E38"/>
    <mergeCell ref="B39:E39"/>
    <mergeCell ref="C62:E62"/>
    <mergeCell ref="C64:E64"/>
    <mergeCell ref="C66:E66"/>
    <mergeCell ref="C68:E68"/>
    <mergeCell ref="C49:E49"/>
    <mergeCell ref="C51:E51"/>
    <mergeCell ref="C53:E53"/>
    <mergeCell ref="C59:E59"/>
    <mergeCell ref="C61:E61"/>
    <mergeCell ref="C74:E74"/>
    <mergeCell ref="C76:E76"/>
    <mergeCell ref="C77:E77"/>
    <mergeCell ref="C79:E79"/>
    <mergeCell ref="C81:E81"/>
    <mergeCell ref="C83:E83"/>
    <mergeCell ref="C90:E90"/>
    <mergeCell ref="C92:E92"/>
    <mergeCell ref="C93:E93"/>
    <mergeCell ref="C95:E95"/>
    <mergeCell ref="C97:E97"/>
    <mergeCell ref="C99:E99"/>
    <mergeCell ref="C106:E106"/>
    <mergeCell ref="C108:E108"/>
    <mergeCell ref="C109:E109"/>
    <mergeCell ref="C111:E111"/>
    <mergeCell ref="C113:E113"/>
    <mergeCell ref="C115:E115"/>
    <mergeCell ref="C121:E121"/>
    <mergeCell ref="C123:E123"/>
    <mergeCell ref="C124:E124"/>
    <mergeCell ref="C126:E126"/>
    <mergeCell ref="C128:E128"/>
    <mergeCell ref="C130:E130"/>
    <mergeCell ref="C137:E137"/>
    <mergeCell ref="C139:E139"/>
    <mergeCell ref="C140:E140"/>
    <mergeCell ref="C142:E142"/>
    <mergeCell ref="C144:E144"/>
    <mergeCell ref="C146:E146"/>
    <mergeCell ref="C153:E153"/>
    <mergeCell ref="C155:E155"/>
    <mergeCell ref="C156:E156"/>
    <mergeCell ref="C158:E158"/>
    <mergeCell ref="C160:E160"/>
    <mergeCell ref="C162:E162"/>
    <mergeCell ref="C168:E168"/>
    <mergeCell ref="C170:E170"/>
    <mergeCell ref="C171:E171"/>
    <mergeCell ref="C173:E173"/>
    <mergeCell ref="C175:E175"/>
    <mergeCell ref="C177:E177"/>
    <mergeCell ref="C183:E183"/>
    <mergeCell ref="C185:E185"/>
    <mergeCell ref="C186:E186"/>
    <mergeCell ref="C188:E188"/>
    <mergeCell ref="C190:E190"/>
    <mergeCell ref="C192:E192"/>
    <mergeCell ref="C199:E199"/>
    <mergeCell ref="C201:E201"/>
    <mergeCell ref="C202:E202"/>
    <mergeCell ref="C204:E204"/>
    <mergeCell ref="C206:E206"/>
    <mergeCell ref="C208:E208"/>
    <mergeCell ref="C215:E215"/>
    <mergeCell ref="C217:E217"/>
    <mergeCell ref="C218:E218"/>
    <mergeCell ref="C220:E220"/>
    <mergeCell ref="C222:E222"/>
    <mergeCell ref="C224:E224"/>
    <mergeCell ref="C239:E239"/>
    <mergeCell ref="C230:E230"/>
    <mergeCell ref="C232:E232"/>
    <mergeCell ref="C233:E233"/>
    <mergeCell ref="C235:E235"/>
    <mergeCell ref="C237:E237"/>
  </mergeCells>
  <pageMargins left="0.11811023622047245" right="0.11811023622047245" top="0.15748031496062992" bottom="0" header="0.51181102362204722" footer="0.51181102362204722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8"/>
  <sheetViews>
    <sheetView zoomScale="70" zoomScaleNormal="70" workbookViewId="0">
      <selection activeCell="K1" sqref="K1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38.42578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5" t="s">
        <v>152</v>
      </c>
      <c r="B1" s="95"/>
      <c r="C1" s="95"/>
      <c r="D1" s="95"/>
      <c r="E1" s="95"/>
      <c r="F1" s="95"/>
      <c r="G1" s="95"/>
      <c r="H1" s="95"/>
      <c r="I1" s="95"/>
      <c r="J1" s="3" t="s">
        <v>21</v>
      </c>
      <c r="K1" s="135" t="s">
        <v>153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6" t="s">
        <v>54</v>
      </c>
      <c r="B3" s="96"/>
      <c r="C3" s="96"/>
      <c r="D3" s="97" t="str">
        <f>'Necesidades Trimestrales'!C4</f>
        <v>40 - Ministerio de Salud</v>
      </c>
      <c r="E3" s="97"/>
      <c r="F3" s="97"/>
      <c r="G3" s="97"/>
      <c r="H3" s="97"/>
      <c r="I3" s="97"/>
      <c r="J3" s="97"/>
      <c r="K3" s="97"/>
    </row>
    <row r="4" spans="1:11" ht="18.75" customHeight="1" thickBot="1" x14ac:dyDescent="0.25">
      <c r="A4" s="98" t="s">
        <v>55</v>
      </c>
      <c r="B4" s="98"/>
      <c r="C4" s="98"/>
      <c r="D4" s="97" t="str">
        <f>'Necesidades Trimestrales'!C5</f>
        <v>23 - Hospital Interzonal San Juan Bautista</v>
      </c>
      <c r="E4" s="97"/>
      <c r="F4" s="97"/>
      <c r="G4" s="97"/>
      <c r="H4" s="97"/>
      <c r="I4" s="97"/>
      <c r="J4" s="97"/>
      <c r="K4" s="97"/>
    </row>
    <row r="5" spans="1:11" ht="18.75" customHeight="1" thickBot="1" x14ac:dyDescent="0.25">
      <c r="A5" s="98" t="s">
        <v>33</v>
      </c>
      <c r="B5" s="98"/>
      <c r="C5" s="98"/>
      <c r="D5" s="97" t="s">
        <v>145</v>
      </c>
      <c r="E5" s="97"/>
      <c r="F5" s="97"/>
      <c r="G5" s="97"/>
      <c r="H5" s="97"/>
      <c r="I5" s="97"/>
      <c r="J5" s="97"/>
      <c r="K5" s="97"/>
    </row>
    <row r="6" spans="1:11" ht="16.5" customHeight="1" thickBot="1" x14ac:dyDescent="0.25">
      <c r="A6" s="96" t="s">
        <v>56</v>
      </c>
      <c r="B6" s="96"/>
      <c r="C6" s="96"/>
      <c r="D6" s="97" t="s">
        <v>144</v>
      </c>
      <c r="E6" s="97"/>
      <c r="F6" s="97"/>
      <c r="G6" s="97"/>
      <c r="H6" s="97"/>
      <c r="I6" s="97"/>
      <c r="J6" s="97"/>
      <c r="K6" s="97"/>
    </row>
    <row r="7" spans="1:11" ht="16.5" customHeight="1" x14ac:dyDescent="0.2">
      <c r="A7" s="98" t="s">
        <v>22</v>
      </c>
      <c r="B7" s="98"/>
      <c r="C7" s="98"/>
      <c r="D7" s="97" t="str">
        <f>'Necesidades Trimestrales'!C7 &amp; "° Trimestre - Año " &amp; 'Necesidades Trimestrales'!C6</f>
        <v>4° Trimestre - Año 2022</v>
      </c>
      <c r="E7" s="97"/>
      <c r="F7" s="97"/>
      <c r="G7" s="97"/>
      <c r="H7" s="97"/>
      <c r="I7" s="97"/>
      <c r="J7" s="97"/>
      <c r="K7" s="97"/>
    </row>
    <row r="8" spans="1:11" ht="16.5" customHeight="1" x14ac:dyDescent="0.2">
      <c r="A8" s="90" t="s">
        <v>23</v>
      </c>
      <c r="B8" s="90"/>
      <c r="C8" s="90"/>
      <c r="D8" s="91" t="s">
        <v>146</v>
      </c>
      <c r="E8" s="91"/>
      <c r="F8" s="91"/>
      <c r="G8" s="91"/>
      <c r="H8" s="91"/>
      <c r="I8" s="91"/>
      <c r="J8" s="91"/>
      <c r="K8" s="91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2" t="s">
        <v>24</v>
      </c>
      <c r="B10" s="93" t="s">
        <v>25</v>
      </c>
      <c r="C10" s="93" t="s">
        <v>26</v>
      </c>
      <c r="D10" s="93"/>
      <c r="E10" s="93"/>
      <c r="F10" s="93"/>
      <c r="G10" s="93"/>
      <c r="H10" s="93" t="s">
        <v>27</v>
      </c>
      <c r="I10" s="93" t="s">
        <v>28</v>
      </c>
      <c r="J10" s="93" t="s">
        <v>29</v>
      </c>
      <c r="K10" s="94" t="s">
        <v>30</v>
      </c>
    </row>
    <row r="11" spans="1:11" ht="24" customHeight="1" thickBot="1" x14ac:dyDescent="0.25">
      <c r="A11" s="92"/>
      <c r="B11" s="93"/>
      <c r="C11" s="93"/>
      <c r="D11" s="93"/>
      <c r="E11" s="93"/>
      <c r="F11" s="93"/>
      <c r="G11" s="93"/>
      <c r="H11" s="93"/>
      <c r="I11" s="93"/>
      <c r="J11" s="93"/>
      <c r="K11" s="94"/>
    </row>
    <row r="12" spans="1:11" ht="20.25" customHeight="1" thickBot="1" x14ac:dyDescent="0.25">
      <c r="A12" s="8">
        <v>1</v>
      </c>
      <c r="B12" s="57" t="str">
        <f>'Necesidades Trimestrales'!B10</f>
        <v>2.9.1-6951.28</v>
      </c>
      <c r="C12" s="86" t="str">
        <f>'Necesidades Trimestrales'!E10</f>
        <v>LIMPIADORES; TIPO: LAVANDINA, PRESENTACION: ENVASE X 1 L</v>
      </c>
      <c r="D12" s="86"/>
      <c r="E12" s="86"/>
      <c r="F12" s="86"/>
      <c r="G12" s="86"/>
      <c r="H12" s="58" t="s">
        <v>154</v>
      </c>
      <c r="I12" s="59" t="str">
        <f>'Necesidades Trimestrales'!F10</f>
        <v>Litro</v>
      </c>
      <c r="J12" s="60">
        <f>'Necesidades Trimestrales'!H10</f>
        <v>125</v>
      </c>
      <c r="K12" s="61">
        <f>'Necesidades Trimestrales'!G10</f>
        <v>1500</v>
      </c>
    </row>
    <row r="13" spans="1:11" ht="20.25" customHeight="1" thickBot="1" x14ac:dyDescent="0.25">
      <c r="A13" s="8">
        <v>2</v>
      </c>
      <c r="B13" s="57" t="str">
        <f>'Necesidades Trimestrales'!B11</f>
        <v>2.9.1-6951.203</v>
      </c>
      <c r="C13" s="86" t="str">
        <f>'Necesidades Trimestrales'!E11</f>
        <v>LIMPIADORES; TIPO: DESODORANTE LIQUIDO , PRESENTACION: ENVASE X 1 L</v>
      </c>
      <c r="D13" s="86"/>
      <c r="E13" s="86"/>
      <c r="F13" s="86"/>
      <c r="G13" s="86"/>
      <c r="H13" s="58" t="s">
        <v>155</v>
      </c>
      <c r="I13" s="59" t="str">
        <f>'Necesidades Trimestrales'!F11</f>
        <v>Litro</v>
      </c>
      <c r="J13" s="60">
        <f>'Necesidades Trimestrales'!H11</f>
        <v>144</v>
      </c>
      <c r="K13" s="61">
        <f>'Necesidades Trimestrales'!G11</f>
        <v>2500</v>
      </c>
    </row>
    <row r="14" spans="1:11" ht="20.25" customHeight="1" thickBot="1" x14ac:dyDescent="0.25">
      <c r="A14" s="8">
        <v>3</v>
      </c>
      <c r="B14" s="57" t="str">
        <f>'Necesidades Trimestrales'!B12</f>
        <v>2.9.1-6951.214</v>
      </c>
      <c r="C14" s="86" t="str">
        <f>'Necesidades Trimestrales'!E12</f>
        <v>LIMPIADORES; TIPO: DETERGENTE NEUTRO, PRESENTACION: ENVASE X 5 L</v>
      </c>
      <c r="D14" s="86"/>
      <c r="E14" s="86"/>
      <c r="F14" s="86"/>
      <c r="G14" s="86"/>
      <c r="H14" s="58" t="s">
        <v>155</v>
      </c>
      <c r="I14" s="59" t="str">
        <f>'Necesidades Trimestrales'!F12</f>
        <v>Litro</v>
      </c>
      <c r="J14" s="60">
        <f>'Necesidades Trimestrales'!H12</f>
        <v>1895</v>
      </c>
      <c r="K14" s="61">
        <f>'Necesidades Trimestrales'!G12</f>
        <v>40</v>
      </c>
    </row>
    <row r="15" spans="1:11" ht="20.25" customHeight="1" thickBot="1" x14ac:dyDescent="0.25">
      <c r="A15" s="8">
        <v>4</v>
      </c>
      <c r="B15" s="57" t="str">
        <f>'Necesidades Trimestrales'!B13</f>
        <v>2.9.1-1083.10</v>
      </c>
      <c r="C15" s="86" t="str">
        <f>'Necesidades Trimestrales'!E13</f>
        <v>ESPONJA DE ACERO; PESO: 80 GR, MATERIAL: ACERO INOXIDABLE</v>
      </c>
      <c r="D15" s="86"/>
      <c r="E15" s="86"/>
      <c r="F15" s="86"/>
      <c r="G15" s="86"/>
      <c r="H15" s="58" t="s">
        <v>57</v>
      </c>
      <c r="I15" s="59" t="str">
        <f>'Necesidades Trimestrales'!F13</f>
        <v>Unidad</v>
      </c>
      <c r="J15" s="60">
        <f>'Necesidades Trimestrales'!H13</f>
        <v>100</v>
      </c>
      <c r="K15" s="61">
        <f>'Necesidades Trimestrales'!G13</f>
        <v>150</v>
      </c>
    </row>
    <row r="16" spans="1:11" ht="35.25" customHeight="1" thickBot="1" x14ac:dyDescent="0.25">
      <c r="A16" s="8">
        <v>5</v>
      </c>
      <c r="B16" s="57" t="str">
        <f>'Necesidades Trimestrales'!B14</f>
        <v>2.9.1-1164.10</v>
      </c>
      <c r="C16" s="86" t="str">
        <f>'Necesidades Trimestrales'!E14</f>
        <v>ESPONJAS; MATERIAL: ESPONJA NATURAL, USO: P/COCINA, FORMA: RECTANGULAR, COLOR: AMARILLO, ADITAMENTO: SIN VALOR, LARGO X ANCHO X ESP: 9,7 X 5,7 Cm</v>
      </c>
      <c r="D16" s="86"/>
      <c r="E16" s="86"/>
      <c r="F16" s="86"/>
      <c r="G16" s="86"/>
      <c r="H16" s="58" t="s">
        <v>57</v>
      </c>
      <c r="I16" s="59" t="str">
        <f>'Necesidades Trimestrales'!F14</f>
        <v>Unidad</v>
      </c>
      <c r="J16" s="60">
        <f>'Necesidades Trimestrales'!H14</f>
        <v>80</v>
      </c>
      <c r="K16" s="61">
        <f>'Necesidades Trimestrales'!G14</f>
        <v>200</v>
      </c>
    </row>
    <row r="17" spans="1:11" ht="20.25" customHeight="1" thickBot="1" x14ac:dyDescent="0.25">
      <c r="A17" s="8">
        <v>6</v>
      </c>
      <c r="B17" s="57" t="str">
        <f>'Necesidades Trimestrales'!B15</f>
        <v>2.9.1-714.3</v>
      </c>
      <c r="C17" s="86" t="str">
        <f>'Necesidades Trimestrales'!E15</f>
        <v>FRANELAS; DIMENSION: 50 X 45 Cm</v>
      </c>
      <c r="D17" s="86"/>
      <c r="E17" s="86"/>
      <c r="F17" s="86"/>
      <c r="G17" s="86"/>
      <c r="H17" s="58" t="s">
        <v>57</v>
      </c>
      <c r="I17" s="59" t="str">
        <f>'Necesidades Trimestrales'!F15</f>
        <v>Unidad</v>
      </c>
      <c r="J17" s="60">
        <f>'Necesidades Trimestrales'!H15</f>
        <v>183.6</v>
      </c>
      <c r="K17" s="61">
        <f>'Necesidades Trimestrales'!G15</f>
        <v>100</v>
      </c>
    </row>
    <row r="18" spans="1:11" ht="20.25" customHeight="1" thickBot="1" x14ac:dyDescent="0.25">
      <c r="A18" s="8">
        <v>7</v>
      </c>
      <c r="B18" s="57" t="str">
        <f>'Necesidades Trimestrales'!B16</f>
        <v>2.9.1-761.5</v>
      </c>
      <c r="C18" s="86" t="str">
        <f>'Necesidades Trimestrales'!E16</f>
        <v>GUANTES P/LIMPIEZA; TAMAÑO: GRANDE, MATERIAL: LATEX C/FELPA INTERIOR</v>
      </c>
      <c r="D18" s="86"/>
      <c r="E18" s="86"/>
      <c r="F18" s="86"/>
      <c r="G18" s="86"/>
      <c r="H18" s="58" t="s">
        <v>154</v>
      </c>
      <c r="I18" s="59" t="str">
        <f>'Necesidades Trimestrales'!F16</f>
        <v>Par</v>
      </c>
      <c r="J18" s="60">
        <f>'Necesidades Trimestrales'!H16</f>
        <v>309</v>
      </c>
      <c r="K18" s="61">
        <f>'Necesidades Trimestrales'!G16</f>
        <v>150</v>
      </c>
    </row>
    <row r="19" spans="1:11" ht="37.5" customHeight="1" thickBot="1" x14ac:dyDescent="0.25">
      <c r="A19" s="8">
        <v>8</v>
      </c>
      <c r="B19" s="57" t="str">
        <f>'Necesidades Trimestrales'!B17</f>
        <v>2.9.1-761.8</v>
      </c>
      <c r="C19" s="86" t="str">
        <f>'Necesidades Trimestrales'!E17</f>
        <v>GUANTES P/LIMPIEZA; TAMAÑO: EXTRA GRANDE, MATERIAL: LATEX C/FELPA INTERIOR</v>
      </c>
      <c r="D19" s="86"/>
      <c r="E19" s="86"/>
      <c r="F19" s="86"/>
      <c r="G19" s="86"/>
      <c r="H19" s="58" t="s">
        <v>155</v>
      </c>
      <c r="I19" s="59" t="str">
        <f>'Necesidades Trimestrales'!F17</f>
        <v>Par</v>
      </c>
      <c r="J19" s="60">
        <f>'Necesidades Trimestrales'!H17</f>
        <v>309</v>
      </c>
      <c r="K19" s="61">
        <f>'Necesidades Trimestrales'!G17</f>
        <v>100</v>
      </c>
    </row>
    <row r="20" spans="1:11" ht="38.25" customHeight="1" thickBot="1" x14ac:dyDescent="0.25">
      <c r="A20" s="8">
        <v>9</v>
      </c>
      <c r="B20" s="57" t="str">
        <f>'Necesidades Trimestrales'!B18</f>
        <v>2.5.1-9004.1235</v>
      </c>
      <c r="C20" s="86" t="str">
        <f>'Necesidades Trimestrales'!E18</f>
        <v>SALES; COMPUESTO QUIMICO: HIPOCLORITO DE SODIO, ESTADO: SOLUCION, CALIDAD: COMERCIAL, CONCENTRACION/PUREZA: 100 GR/L, PRESENTACION: ENVASE X 5 L, GRADO HIDRATACION: SOLUCION</v>
      </c>
      <c r="D20" s="86"/>
      <c r="E20" s="86"/>
      <c r="F20" s="86"/>
      <c r="G20" s="86"/>
      <c r="H20" s="58" t="s">
        <v>155</v>
      </c>
      <c r="I20" s="59" t="str">
        <f>'Necesidades Trimestrales'!F18</f>
        <v>Litro</v>
      </c>
      <c r="J20" s="60">
        <f>'Necesidades Trimestrales'!H18</f>
        <v>510</v>
      </c>
      <c r="K20" s="61">
        <f>'Necesidades Trimestrales'!G18</f>
        <v>200</v>
      </c>
    </row>
    <row r="21" spans="1:11" ht="20.25" customHeight="1" thickBot="1" x14ac:dyDescent="0.25">
      <c r="A21" s="8">
        <v>10</v>
      </c>
      <c r="B21" s="57" t="str">
        <f>'Necesidades Trimestrales'!B19</f>
        <v>2.9.1-6956.73</v>
      </c>
      <c r="C21" s="86" t="str">
        <f>'Necesidades Trimestrales'!E19</f>
        <v>ARTICULOS DE TOCADOR; TIPO: JABON LIQUIDO, PRESENTACION: ENVASE X 5 L</v>
      </c>
      <c r="D21" s="86"/>
      <c r="E21" s="86"/>
      <c r="F21" s="86"/>
      <c r="G21" s="86"/>
      <c r="H21" s="58" t="s">
        <v>57</v>
      </c>
      <c r="I21" s="59" t="str">
        <f>'Necesidades Trimestrales'!F19</f>
        <v>Litro</v>
      </c>
      <c r="J21" s="60">
        <f>'Necesidades Trimestrales'!H19</f>
        <v>648</v>
      </c>
      <c r="K21" s="61">
        <f>'Necesidades Trimestrales'!G19</f>
        <v>20</v>
      </c>
    </row>
    <row r="22" spans="1:11" ht="20.25" customHeight="1" thickBot="1" x14ac:dyDescent="0.25">
      <c r="A22" s="8">
        <v>11</v>
      </c>
      <c r="B22" s="57" t="str">
        <f>'Necesidades Trimestrales'!B20</f>
        <v>2.9.1-6960.20</v>
      </c>
      <c r="C22" s="86" t="str">
        <f>'Necesidades Trimestrales'!E20</f>
        <v>ELEM. LIMPIEZA P/INDUMENTARIA; TIPO: JABON EN POLVO, PRESENTACION: ENVASE X 3 Kg</v>
      </c>
      <c r="D22" s="86"/>
      <c r="E22" s="86"/>
      <c r="F22" s="86"/>
      <c r="G22" s="86"/>
      <c r="H22" s="58" t="s">
        <v>155</v>
      </c>
      <c r="I22" s="59" t="str">
        <f>'Necesidades Trimestrales'!F20</f>
        <v>Paquete</v>
      </c>
      <c r="J22" s="60">
        <f>'Necesidades Trimestrales'!H20</f>
        <v>1750</v>
      </c>
      <c r="K22" s="61">
        <f>'Necesidades Trimestrales'!G20</f>
        <v>150</v>
      </c>
    </row>
    <row r="23" spans="1:11" ht="20.25" customHeight="1" thickBot="1" x14ac:dyDescent="0.25">
      <c r="A23" s="8">
        <v>12</v>
      </c>
      <c r="B23" s="57" t="str">
        <f>'Necesidades Trimestrales'!B21</f>
        <v>2.9.1-6951.110</v>
      </c>
      <c r="C23" s="86" t="str">
        <f>'Necesidades Trimestrales'!E21</f>
        <v>LIMPIADORES; TIPO: SECUESTRANTE DE POLVO, PRESENTACION: ENVASE X 5 L</v>
      </c>
      <c r="D23" s="86"/>
      <c r="E23" s="86"/>
      <c r="F23" s="86"/>
      <c r="G23" s="86"/>
      <c r="H23" s="58" t="s">
        <v>57</v>
      </c>
      <c r="I23" s="59" t="str">
        <f>'Necesidades Trimestrales'!F21</f>
        <v>Litro</v>
      </c>
      <c r="J23" s="60">
        <f>'Necesidades Trimestrales'!H21</f>
        <v>3150</v>
      </c>
      <c r="K23" s="61">
        <f>'Necesidades Trimestrales'!G21</f>
        <v>25</v>
      </c>
    </row>
    <row r="24" spans="1:11" ht="38.25" customHeight="1" thickBot="1" x14ac:dyDescent="0.25">
      <c r="A24" s="8">
        <v>13</v>
      </c>
      <c r="B24" s="57" t="str">
        <f>'Necesidades Trimestrales'!B22</f>
        <v>2.9.1-544.12</v>
      </c>
      <c r="C24" s="86" t="str">
        <f>'Necesidades Trimestrales'!E22</f>
        <v>DESODORANTES DE AMBIENTE; CONTENIDO: 440 CM3, FRAGANCIA: CAMPOS DE LAVANDA, FORMATO: AEROSOL, PRESENTACION: CAJA X 24, LIBRE DE CFC: SI</v>
      </c>
      <c r="D24" s="86"/>
      <c r="E24" s="86"/>
      <c r="F24" s="86"/>
      <c r="G24" s="86"/>
      <c r="H24" s="58" t="s">
        <v>57</v>
      </c>
      <c r="I24" s="59" t="str">
        <f>'Necesidades Trimestrales'!F22</f>
        <v>Caja</v>
      </c>
      <c r="J24" s="60">
        <f>'Necesidades Trimestrales'!H22</f>
        <v>9276</v>
      </c>
      <c r="K24" s="61">
        <f>'Necesidades Trimestrales'!G22</f>
        <v>2</v>
      </c>
    </row>
    <row r="25" spans="1:11" ht="20.25" customHeight="1" thickBot="1" x14ac:dyDescent="0.25">
      <c r="A25" s="8">
        <v>14</v>
      </c>
      <c r="B25" s="57" t="str">
        <f>'Necesidades Trimestrales'!B23</f>
        <v>2.9.1-683.6</v>
      </c>
      <c r="C25" s="86" t="str">
        <f>'Necesidades Trimestrales'!E23</f>
        <v>SECADORES DE GOMA; COLOR: NEGRO, LARGO: 50 Cm</v>
      </c>
      <c r="D25" s="86"/>
      <c r="E25" s="86"/>
      <c r="F25" s="86"/>
      <c r="G25" s="86"/>
      <c r="H25" s="58" t="s">
        <v>57</v>
      </c>
      <c r="I25" s="59" t="str">
        <f>'Necesidades Trimestrales'!F23</f>
        <v>Unidad</v>
      </c>
      <c r="J25" s="60">
        <f>'Necesidades Trimestrales'!H23</f>
        <v>350</v>
      </c>
      <c r="K25" s="61">
        <f>'Necesidades Trimestrales'!G23</f>
        <v>150</v>
      </c>
    </row>
    <row r="26" spans="1:11" ht="35.25" customHeight="1" thickBot="1" x14ac:dyDescent="0.25">
      <c r="A26" s="8">
        <v>15</v>
      </c>
      <c r="B26" s="57" t="str">
        <f>'Necesidades Trimestrales'!B24</f>
        <v>2.9.1-683.4</v>
      </c>
      <c r="C26" s="86" t="str">
        <f>'Necesidades Trimestrales'!E24</f>
        <v>SECADORES DE GOMA; LARGO: 80 Cm, COLOR: ROJO</v>
      </c>
      <c r="D26" s="86"/>
      <c r="E26" s="86"/>
      <c r="F26" s="86"/>
      <c r="G26" s="86"/>
      <c r="H26" s="58" t="s">
        <v>57</v>
      </c>
      <c r="I26" s="59" t="str">
        <f>'Necesidades Trimestrales'!F24</f>
        <v>Unidad</v>
      </c>
      <c r="J26" s="60">
        <f>'Necesidades Trimestrales'!H24</f>
        <v>850</v>
      </c>
      <c r="K26" s="61">
        <f>'Necesidades Trimestrales'!G24</f>
        <v>10</v>
      </c>
    </row>
    <row r="27" spans="1:11" ht="40.5" customHeight="1" thickBot="1" x14ac:dyDescent="0.25">
      <c r="A27" s="8">
        <v>16</v>
      </c>
      <c r="B27" s="57" t="str">
        <f>'Necesidades Trimestrales'!B25</f>
        <v>2.9.1-1156.8</v>
      </c>
      <c r="C27" s="86" t="str">
        <f>'Necesidades Trimestrales'!E25</f>
        <v>PLUMEROS; PLUMA: SINTETICA, CLASE: PARA TECHO, MATERIAL MANGO: METAL, LARGO MANGO: EXTENSIBLE, Nº VUELTAS PENACHO: 3, TIPO: PARA TECHO</v>
      </c>
      <c r="D27" s="86"/>
      <c r="E27" s="86"/>
      <c r="F27" s="86"/>
      <c r="G27" s="86"/>
      <c r="H27" s="58" t="s">
        <v>57</v>
      </c>
      <c r="I27" s="59" t="str">
        <f>'Necesidades Trimestrales'!F25</f>
        <v>Unidad</v>
      </c>
      <c r="J27" s="60">
        <f>'Necesidades Trimestrales'!H25</f>
        <v>1500</v>
      </c>
      <c r="K27" s="61">
        <f>'Necesidades Trimestrales'!G25</f>
        <v>25</v>
      </c>
    </row>
    <row r="28" spans="1:11" ht="20.25" customHeight="1" thickBot="1" x14ac:dyDescent="0.25">
      <c r="A28" s="8">
        <v>17</v>
      </c>
      <c r="B28" s="57" t="str">
        <f>'Necesidades Trimestrales'!B26</f>
        <v>2.9.1-8853.3</v>
      </c>
      <c r="C28" s="86" t="str">
        <f>'Necesidades Trimestrales'!E26</f>
        <v>MOPAS; LARGO MANGO: 1 M, MATERIAL: ALGODON</v>
      </c>
      <c r="D28" s="86"/>
      <c r="E28" s="86"/>
      <c r="F28" s="86"/>
      <c r="G28" s="86"/>
      <c r="H28" s="58" t="s">
        <v>154</v>
      </c>
      <c r="I28" s="59" t="str">
        <f>'Necesidades Trimestrales'!F26</f>
        <v>Unidad</v>
      </c>
      <c r="J28" s="60">
        <f>'Necesidades Trimestrales'!H26</f>
        <v>3700</v>
      </c>
      <c r="K28" s="61">
        <f>'Necesidades Trimestrales'!G26</f>
        <v>8</v>
      </c>
    </row>
    <row r="29" spans="1:11" ht="20.25" customHeight="1" thickBot="1" x14ac:dyDescent="0.25">
      <c r="A29" s="8">
        <v>18</v>
      </c>
      <c r="B29" s="57" t="str">
        <f>'Necesidades Trimestrales'!B27</f>
        <v>2.9.1-6960.1</v>
      </c>
      <c r="C29" s="86" t="str">
        <f>'Necesidades Trimestrales'!E27</f>
        <v>ELEM. LIMPIEZA P/INDUMENTARIA; TIPO: SUAVIZANTE P/ROPA, PRESENTACION: ENVASE X 5 L</v>
      </c>
      <c r="D29" s="86"/>
      <c r="E29" s="86"/>
      <c r="F29" s="86"/>
      <c r="G29" s="86"/>
      <c r="H29" s="58" t="s">
        <v>57</v>
      </c>
      <c r="I29" s="59" t="str">
        <f>'Necesidades Trimestrales'!F27</f>
        <v>Litro</v>
      </c>
      <c r="J29" s="60">
        <f>'Necesidades Trimestrales'!H27</f>
        <v>899</v>
      </c>
      <c r="K29" s="61">
        <f>'Necesidades Trimestrales'!G27</f>
        <v>20</v>
      </c>
    </row>
    <row r="30" spans="1:11" ht="20.25" customHeight="1" thickBot="1" x14ac:dyDescent="0.25">
      <c r="A30" s="8">
        <v>19</v>
      </c>
      <c r="B30" s="57" t="str">
        <f>'Necesidades Trimestrales'!B28</f>
        <v>2.9.1-6951.60</v>
      </c>
      <c r="C30" s="86" t="str">
        <f>'Necesidades Trimestrales'!E28</f>
        <v>LIMPIADORES; TIPO: DESENGRASANTE, PRESENTACION: ENVASE X 5 L</v>
      </c>
      <c r="D30" s="86"/>
      <c r="E30" s="86"/>
      <c r="F30" s="86"/>
      <c r="G30" s="86"/>
      <c r="H30" s="58" t="s">
        <v>57</v>
      </c>
      <c r="I30" s="59" t="str">
        <f>'Necesidades Trimestrales'!F28</f>
        <v>Litro</v>
      </c>
      <c r="J30" s="60">
        <f>'Necesidades Trimestrales'!H28</f>
        <v>750</v>
      </c>
      <c r="K30" s="61">
        <f>'Necesidades Trimestrales'!G28</f>
        <v>10</v>
      </c>
    </row>
    <row r="31" spans="1:11" ht="20.25" customHeight="1" thickBot="1" x14ac:dyDescent="0.25">
      <c r="A31" s="8">
        <v>20</v>
      </c>
      <c r="B31" s="57" t="str">
        <f>'Necesidades Trimestrales'!B29</f>
        <v>2.9.1-713.5</v>
      </c>
      <c r="C31" s="86" t="str">
        <f>'Necesidades Trimestrales'!E29</f>
        <v>TRAPOS DE PISO; COLOR: BLANCO, DIMENSION: 60 X 70 Cm</v>
      </c>
      <c r="D31" s="86"/>
      <c r="E31" s="86"/>
      <c r="F31" s="86"/>
      <c r="G31" s="86"/>
      <c r="H31" s="58" t="s">
        <v>154</v>
      </c>
      <c r="I31" s="59" t="str">
        <f>'Necesidades Trimestrales'!F29</f>
        <v>Unidad</v>
      </c>
      <c r="J31" s="60">
        <f>'Necesidades Trimestrales'!H29</f>
        <v>299</v>
      </c>
      <c r="K31" s="61">
        <f>'Necesidades Trimestrales'!G29</f>
        <v>300</v>
      </c>
    </row>
    <row r="32" spans="1:11" ht="20.25" customHeight="1" thickBot="1" x14ac:dyDescent="0.25">
      <c r="A32" s="8">
        <v>21</v>
      </c>
      <c r="B32" s="57" t="str">
        <f>'Necesidades Trimestrales'!B30</f>
        <v>2.9.1-678.7</v>
      </c>
      <c r="C32" s="86" t="str">
        <f>'Necesidades Trimestrales'!E30</f>
        <v>TRAPOS REJILLA; DIMENSION: 40 X 50 Cm, COLOR: SIN VALOR, MATERIAL: ALGODON</v>
      </c>
      <c r="D32" s="86"/>
      <c r="E32" s="86"/>
      <c r="F32" s="86"/>
      <c r="G32" s="86"/>
      <c r="H32" s="58" t="s">
        <v>57</v>
      </c>
      <c r="I32" s="59" t="str">
        <f>'Necesidades Trimestrales'!F30</f>
        <v>Unidad</v>
      </c>
      <c r="J32" s="60">
        <f>'Necesidades Trimestrales'!H30</f>
        <v>180</v>
      </c>
      <c r="K32" s="61">
        <f>'Necesidades Trimestrales'!G30</f>
        <v>275</v>
      </c>
    </row>
    <row r="33" spans="1:1024" ht="33.75" customHeight="1" thickBot="1" x14ac:dyDescent="0.25">
      <c r="A33" s="8">
        <v>22</v>
      </c>
      <c r="B33" s="57" t="str">
        <f>'Necesidades Trimestrales'!B31</f>
        <v>2.9.1-646.18</v>
      </c>
      <c r="C33" s="86" t="str">
        <f>'Necesidades Trimestrales'!E31</f>
        <v>BOLSAS DE RESIDUOS; COLOR: OBSCURO, ESPESOR: 40 Mn, DIMENSION: 45 X 60 Cm, PRESENTACION: SIN VALOR</v>
      </c>
      <c r="D33" s="86"/>
      <c r="E33" s="86"/>
      <c r="F33" s="86"/>
      <c r="G33" s="86"/>
      <c r="H33" s="58" t="s">
        <v>154</v>
      </c>
      <c r="I33" s="59" t="str">
        <f>'Necesidades Trimestrales'!F31</f>
        <v>Unidad</v>
      </c>
      <c r="J33" s="60">
        <f>'Necesidades Trimestrales'!H31</f>
        <v>15</v>
      </c>
      <c r="K33" s="61">
        <f>'Necesidades Trimestrales'!G31</f>
        <v>18000</v>
      </c>
    </row>
    <row r="34" spans="1:1024" ht="42.75" customHeight="1" thickBot="1" x14ac:dyDescent="0.25">
      <c r="A34" s="8">
        <v>23</v>
      </c>
      <c r="B34" s="57" t="str">
        <f>'Necesidades Trimestrales'!B32</f>
        <v>2.9.1-646.48</v>
      </c>
      <c r="C34" s="86" t="str">
        <f>'Necesidades Trimestrales'!E32</f>
        <v>BOLSAS DE RESIDUOS; DIMENSION: 60 X 90 Cm, PRESENTACION: BOLSA X 50 UN, ESPESOR: 45 Mn, COLOR: NEGRO</v>
      </c>
      <c r="D34" s="86"/>
      <c r="E34" s="86"/>
      <c r="F34" s="86"/>
      <c r="G34" s="86"/>
      <c r="H34" s="58" t="s">
        <v>155</v>
      </c>
      <c r="I34" s="59" t="str">
        <f>'Necesidades Trimestrales'!F32</f>
        <v>Paquete</v>
      </c>
      <c r="J34" s="60">
        <f>'Necesidades Trimestrales'!H32</f>
        <v>1700</v>
      </c>
      <c r="K34" s="61">
        <f>'Necesidades Trimestrales'!G32</f>
        <v>240</v>
      </c>
    </row>
    <row r="35" spans="1:1024" ht="32.25" customHeight="1" thickBot="1" x14ac:dyDescent="0.25">
      <c r="A35" s="8">
        <v>24</v>
      </c>
      <c r="B35" s="57" t="str">
        <f>'Necesidades Trimestrales'!B33</f>
        <v>2.9.1-646.19</v>
      </c>
      <c r="C35" s="86" t="str">
        <f>'Necesidades Trimestrales'!E33</f>
        <v>BOLSAS DE RESIDUOS; ESPESOR: 40 Mn, COLOR: TRANSPARENTE, DIMENSION: 50 X 70 Cm, PRESENTACION: SIN VALOR</v>
      </c>
      <c r="D35" s="86"/>
      <c r="E35" s="86"/>
      <c r="F35" s="86"/>
      <c r="G35" s="86"/>
      <c r="H35" s="58" t="s">
        <v>155</v>
      </c>
      <c r="I35" s="59" t="str">
        <f>'Necesidades Trimestrales'!F33</f>
        <v>Unidad</v>
      </c>
      <c r="J35" s="60">
        <f>'Necesidades Trimestrales'!H33</f>
        <v>21</v>
      </c>
      <c r="K35" s="61">
        <f>'Necesidades Trimestrales'!G33</f>
        <v>4500</v>
      </c>
    </row>
    <row r="36" spans="1:1024" ht="35.25" customHeight="1" thickBot="1" x14ac:dyDescent="0.25">
      <c r="A36" s="8">
        <v>25</v>
      </c>
      <c r="B36" s="57" t="str">
        <f>'Necesidades Trimestrales'!B34</f>
        <v>2.9.1-646.104</v>
      </c>
      <c r="C36" s="86" t="str">
        <f>'Necesidades Trimestrales'!E34</f>
        <v>BOLSAS DE RESIDUOS; DIMENSION: 60 X 90 Cm, PRESENTACION: ENVASE X 100 UN, ESPESOR: 50 Mn</v>
      </c>
      <c r="D36" s="86"/>
      <c r="E36" s="86"/>
      <c r="F36" s="86"/>
      <c r="G36" s="86"/>
      <c r="H36" s="58" t="s">
        <v>154</v>
      </c>
      <c r="I36" s="59" t="str">
        <f>'Necesidades Trimestrales'!F34</f>
        <v>Paquete</v>
      </c>
      <c r="J36" s="60">
        <f>'Necesidades Trimestrales'!H34</f>
        <v>2829</v>
      </c>
      <c r="K36" s="61">
        <f>'Necesidades Trimestrales'!G34</f>
        <v>70</v>
      </c>
    </row>
    <row r="37" spans="1:1024" ht="36.75" customHeight="1" thickBot="1" x14ac:dyDescent="0.25">
      <c r="A37" s="8">
        <v>26</v>
      </c>
      <c r="B37" s="57" t="str">
        <f>'Necesidades Trimestrales'!B35</f>
        <v>2.3.4-783.84</v>
      </c>
      <c r="C37" s="86" t="str">
        <f>'Necesidades Trimestrales'!E35</f>
        <v>TOALLAS DE PAPEL; MATERIAL: FIBRA CELULOSICA, GRAMAJE: 20 GR/M2, DIMENSION: 25 Cm, PRESENTACION: 2 X BOBINA X 400 M</v>
      </c>
      <c r="D37" s="86"/>
      <c r="E37" s="86"/>
      <c r="F37" s="86"/>
      <c r="G37" s="86"/>
      <c r="H37" s="58" t="s">
        <v>57</v>
      </c>
      <c r="I37" s="59" t="str">
        <f>'Necesidades Trimestrales'!F35</f>
        <v>Unidad</v>
      </c>
      <c r="J37" s="60">
        <f>'Necesidades Trimestrales'!H35</f>
        <v>2500</v>
      </c>
      <c r="K37" s="61">
        <f>'Necesidades Trimestrales'!G35</f>
        <v>180</v>
      </c>
    </row>
    <row r="38" spans="1:1024" ht="20.25" customHeight="1" thickBot="1" x14ac:dyDescent="0.25">
      <c r="A38" s="87" t="s">
        <v>156</v>
      </c>
      <c r="B38" s="87"/>
      <c r="C38" s="87"/>
      <c r="D38" s="87"/>
      <c r="E38" s="87"/>
      <c r="F38" s="87"/>
      <c r="G38" s="87"/>
      <c r="H38" s="87"/>
      <c r="I38" s="87"/>
      <c r="J38" s="88">
        <f>SUMPRODUCT(J12:J37,K12:K37)</f>
        <v>2937982</v>
      </c>
      <c r="K38" s="89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</row>
  </sheetData>
  <mergeCells count="4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8:I38"/>
    <mergeCell ref="J38:K38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6:G36"/>
    <mergeCell ref="C37:G37"/>
    <mergeCell ref="C31:G31"/>
    <mergeCell ref="C32:G32"/>
    <mergeCell ref="C33:G33"/>
    <mergeCell ref="C34:G34"/>
    <mergeCell ref="C35:G3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opLeftCell="A16" zoomScale="130" zoomScaleNormal="130" workbookViewId="0">
      <selection activeCell="F30" sqref="F30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2" t="s">
        <v>3</v>
      </c>
      <c r="B1" s="122"/>
      <c r="C1" s="122"/>
      <c r="D1" s="123">
        <f>'Necesidades Trimestrales'!C6</f>
        <v>2022</v>
      </c>
      <c r="E1" s="123"/>
      <c r="F1" s="10"/>
      <c r="G1" s="10"/>
      <c r="H1" s="11"/>
      <c r="I1" s="11"/>
      <c r="J1" s="11"/>
      <c r="K1" s="11"/>
      <c r="L1" s="11"/>
      <c r="M1" s="11"/>
      <c r="N1" s="11"/>
      <c r="P1" s="124" t="s">
        <v>31</v>
      </c>
      <c r="Q1" s="124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4"/>
      <c r="Q2" s="124"/>
    </row>
    <row r="4" spans="1:17" s="12" customFormat="1" ht="18" customHeight="1" thickBot="1" x14ac:dyDescent="0.25">
      <c r="A4" s="125" t="s">
        <v>32</v>
      </c>
      <c r="B4" s="125"/>
      <c r="C4" s="125"/>
      <c r="D4" s="125"/>
      <c r="E4" s="125"/>
      <c r="F4" s="125"/>
      <c r="G4" s="120" t="str">
        <f>NotaPedido!D3</f>
        <v>40 - Ministerio de Salud</v>
      </c>
      <c r="H4" s="120"/>
      <c r="I4" s="120"/>
      <c r="J4" s="120"/>
      <c r="K4" s="120"/>
      <c r="L4" s="120"/>
      <c r="M4" s="120"/>
      <c r="N4" s="120"/>
      <c r="O4" s="120"/>
      <c r="P4" s="120"/>
      <c r="Q4" s="120"/>
    </row>
    <row r="5" spans="1:17" s="12" customFormat="1" ht="18" customHeight="1" thickBot="1" x14ac:dyDescent="0.25">
      <c r="A5" s="117" t="s">
        <v>55</v>
      </c>
      <c r="B5" s="118"/>
      <c r="C5" s="118"/>
      <c r="D5" s="118"/>
      <c r="E5" s="118"/>
      <c r="F5" s="119"/>
      <c r="G5" s="120" t="str">
        <f>NotaPedido!D4</f>
        <v>23 - Hospital Interzonal San Juan Bautista</v>
      </c>
      <c r="H5" s="120"/>
      <c r="I5" s="120"/>
      <c r="J5" s="120"/>
      <c r="K5" s="120"/>
      <c r="L5" s="120"/>
      <c r="M5" s="120"/>
      <c r="N5" s="120"/>
      <c r="O5" s="120"/>
      <c r="P5" s="120"/>
      <c r="Q5" s="120"/>
    </row>
    <row r="6" spans="1:17" s="12" customFormat="1" ht="18" customHeight="1" thickBot="1" x14ac:dyDescent="0.25">
      <c r="A6" s="117" t="s">
        <v>33</v>
      </c>
      <c r="B6" s="118"/>
      <c r="C6" s="118"/>
      <c r="D6" s="118"/>
      <c r="E6" s="118"/>
      <c r="F6" s="119"/>
      <c r="G6" s="120" t="str">
        <f>NotaPedido!D5</f>
        <v>237 - Direccion De Mantenimiento</v>
      </c>
      <c r="H6" s="120"/>
      <c r="I6" s="120"/>
      <c r="J6" s="120"/>
      <c r="K6" s="120"/>
      <c r="L6" s="120"/>
      <c r="M6" s="120"/>
      <c r="N6" s="120"/>
      <c r="O6" s="120"/>
      <c r="P6" s="120"/>
      <c r="Q6" s="120"/>
    </row>
    <row r="7" spans="1:17" s="12" customFormat="1" ht="18" customHeight="1" thickBot="1" x14ac:dyDescent="0.25">
      <c r="A7" s="117" t="s">
        <v>56</v>
      </c>
      <c r="B7" s="118"/>
      <c r="C7" s="118"/>
      <c r="D7" s="118"/>
      <c r="E7" s="118"/>
      <c r="F7" s="119"/>
      <c r="G7" s="120" t="str">
        <f>NotaPedido!D6</f>
        <v>Seccion Deposito Central</v>
      </c>
      <c r="H7" s="120"/>
      <c r="I7" s="120"/>
      <c r="J7" s="120"/>
      <c r="K7" s="120"/>
      <c r="L7" s="120"/>
      <c r="M7" s="120"/>
      <c r="N7" s="120"/>
      <c r="O7" s="120"/>
      <c r="P7" s="120"/>
      <c r="Q7" s="120"/>
    </row>
    <row r="8" spans="1:17" ht="18" customHeight="1" thickBot="1" x14ac:dyDescent="0.25">
      <c r="A8" s="121" t="s">
        <v>34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</row>
    <row r="9" spans="1:17" ht="18" customHeight="1" x14ac:dyDescent="0.2">
      <c r="A9" s="111" t="s">
        <v>35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"/>
      <c r="P9" s="1"/>
      <c r="Q9" s="13"/>
    </row>
    <row r="10" spans="1:17" ht="54.75" customHeight="1" x14ac:dyDescent="0.2">
      <c r="A10" s="112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DOCFI-2022-01980744-CAT-DMAN#HSJB,  afectando la erogación resultante a los créditos presupuestarios aprobados a favor de esta Unidad Ejecutora, conforme al siguiente detalle: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3" t="s">
        <v>36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</row>
    <row r="13" spans="1:17" ht="15.75" customHeight="1" x14ac:dyDescent="0.2">
      <c r="A13" s="114" t="s">
        <v>37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5" t="s">
        <v>38</v>
      </c>
      <c r="P13" s="115"/>
      <c r="Q13" s="116" t="s">
        <v>39</v>
      </c>
    </row>
    <row r="14" spans="1:17" ht="15.75" customHeight="1" thickBot="1" x14ac:dyDescent="0.25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5"/>
      <c r="P14" s="115"/>
      <c r="Q14" s="116"/>
    </row>
    <row r="15" spans="1:17" ht="17.25" customHeight="1" x14ac:dyDescent="0.2">
      <c r="A15" s="64">
        <v>33</v>
      </c>
      <c r="B15" s="65"/>
      <c r="C15" s="65"/>
      <c r="D15" s="65">
        <v>4</v>
      </c>
      <c r="E15" s="65"/>
      <c r="F15" s="65">
        <v>4901</v>
      </c>
      <c r="G15" s="65">
        <v>3</v>
      </c>
      <c r="H15" s="66" t="s">
        <v>61</v>
      </c>
      <c r="I15" s="67">
        <v>2</v>
      </c>
      <c r="J15" s="67">
        <v>3</v>
      </c>
      <c r="K15" s="67">
        <v>4</v>
      </c>
      <c r="L15" s="65"/>
      <c r="M15" s="68">
        <v>1</v>
      </c>
      <c r="N15" s="66" t="s">
        <v>62</v>
      </c>
      <c r="O15" s="108" t="s">
        <v>158</v>
      </c>
      <c r="P15" s="108"/>
      <c r="Q15" s="72">
        <v>450000</v>
      </c>
    </row>
    <row r="16" spans="1:17" ht="17.25" customHeight="1" x14ac:dyDescent="0.2">
      <c r="A16" s="23">
        <v>33</v>
      </c>
      <c r="B16" s="24"/>
      <c r="C16" s="24"/>
      <c r="D16" s="24">
        <v>4</v>
      </c>
      <c r="E16" s="24"/>
      <c r="F16" s="24">
        <v>4901</v>
      </c>
      <c r="G16" s="24">
        <v>3</v>
      </c>
      <c r="H16" s="62" t="s">
        <v>61</v>
      </c>
      <c r="I16" s="24">
        <v>2</v>
      </c>
      <c r="J16" s="24">
        <v>5</v>
      </c>
      <c r="K16" s="24">
        <v>1</v>
      </c>
      <c r="L16" s="24"/>
      <c r="M16" s="25">
        <v>1</v>
      </c>
      <c r="N16" s="63" t="s">
        <v>62</v>
      </c>
      <c r="O16" s="109" t="s">
        <v>159</v>
      </c>
      <c r="P16" s="109"/>
      <c r="Q16" s="73">
        <v>102000</v>
      </c>
    </row>
    <row r="17" spans="1:19" ht="17.25" customHeight="1" x14ac:dyDescent="0.2">
      <c r="A17" s="23">
        <v>33</v>
      </c>
      <c r="B17" s="24"/>
      <c r="C17" s="24"/>
      <c r="D17" s="24">
        <v>4</v>
      </c>
      <c r="E17" s="24"/>
      <c r="F17" s="26">
        <v>4901</v>
      </c>
      <c r="G17" s="24">
        <v>3</v>
      </c>
      <c r="H17" s="62" t="s">
        <v>61</v>
      </c>
      <c r="I17" s="24">
        <v>2</v>
      </c>
      <c r="J17" s="24">
        <v>9</v>
      </c>
      <c r="K17" s="24">
        <v>1</v>
      </c>
      <c r="L17" s="24"/>
      <c r="M17" s="25">
        <v>1</v>
      </c>
      <c r="N17" s="63" t="s">
        <v>62</v>
      </c>
      <c r="O17" s="109" t="s">
        <v>160</v>
      </c>
      <c r="P17" s="109"/>
      <c r="Q17" s="73">
        <v>2385982</v>
      </c>
      <c r="S17" s="69"/>
    </row>
    <row r="18" spans="1:19" ht="17.25" customHeight="1" x14ac:dyDescent="0.2">
      <c r="A18" s="23"/>
      <c r="B18" s="24"/>
      <c r="C18" s="24"/>
      <c r="D18" s="24"/>
      <c r="E18" s="24"/>
      <c r="F18" s="24"/>
      <c r="G18" s="24"/>
      <c r="H18" s="62"/>
      <c r="I18" s="24"/>
      <c r="J18" s="24"/>
      <c r="K18" s="24"/>
      <c r="L18" s="24"/>
      <c r="M18" s="25"/>
      <c r="N18" s="63"/>
      <c r="O18" s="110"/>
      <c r="P18" s="104"/>
      <c r="Q18" s="73"/>
    </row>
    <row r="19" spans="1:19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04"/>
      <c r="P19" s="104"/>
      <c r="Q19" s="73"/>
    </row>
    <row r="20" spans="1:19" ht="17.25" customHeight="1" x14ac:dyDescent="0.2">
      <c r="A20" s="27"/>
      <c r="B20" s="28"/>
      <c r="C20" s="28"/>
      <c r="D20" s="28"/>
      <c r="E20" s="28"/>
      <c r="F20" s="29"/>
      <c r="G20" s="28"/>
      <c r="H20" s="28"/>
      <c r="I20" s="28"/>
      <c r="J20" s="28"/>
      <c r="K20" s="28"/>
      <c r="L20" s="28"/>
      <c r="M20" s="30"/>
      <c r="N20" s="31"/>
      <c r="O20" s="105"/>
      <c r="P20" s="105"/>
      <c r="Q20" s="73"/>
      <c r="R20" s="1"/>
    </row>
    <row r="21" spans="1:19" ht="17.25" customHeight="1" thickBot="1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4"/>
      <c r="N21" s="33"/>
      <c r="O21" s="106"/>
      <c r="P21" s="106"/>
      <c r="Q21" s="74"/>
    </row>
    <row r="22" spans="1:19" ht="32.25" customHeight="1" thickBot="1" x14ac:dyDescent="0.25">
      <c r="A22" s="140" t="s">
        <v>157</v>
      </c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2"/>
      <c r="Q22" s="75">
        <f>SUM(Q15:Q21)</f>
        <v>2937982</v>
      </c>
    </row>
    <row r="23" spans="1:19" ht="18" customHeight="1" thickBot="1" x14ac:dyDescent="0.25">
      <c r="A23" s="107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</row>
    <row r="24" spans="1:19" ht="17.25" customHeight="1" thickBot="1" x14ac:dyDescent="0.25">
      <c r="A24" s="99" t="s">
        <v>53</v>
      </c>
      <c r="B24" s="100"/>
      <c r="C24" s="100"/>
      <c r="D24" s="100"/>
      <c r="E24" s="100"/>
      <c r="F24" s="101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</row>
    <row r="25" spans="1:19" ht="18" customHeight="1" thickBot="1" x14ac:dyDescent="0.25">
      <c r="A25" s="103" t="str">
        <f>"Para la "&amp; NotaPedido!D8 &amp;" para ser destinados al " &amp; NotaPedido!D6 &amp;"  del HISJB del Ministerio de Salud."</f>
        <v>Para la Adquisición de Elementos de Limpieza para ser destinados al Seccion Deposito Central  del HISJB del Ministerio de Salud.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</row>
    <row r="26" spans="1:19" ht="15" customHeight="1" x14ac:dyDescent="0.2">
      <c r="A26" s="103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4:F24"/>
    <mergeCell ref="G24:Q24"/>
    <mergeCell ref="A25:Q26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2022-10-17T13:12:58Z</cp:lastPrinted>
  <dcterms:created xsi:type="dcterms:W3CDTF">2020-07-17T23:44:49Z</dcterms:created>
  <dcterms:modified xsi:type="dcterms:W3CDTF">2022-10-17T13:58:32Z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