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806C56A-164A-4450-BA2A-50255CD63FF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G10" i="1" l="1"/>
  <c r="G20" i="1"/>
  <c r="H20" i="1" s="1"/>
  <c r="Q16" i="3" s="1"/>
  <c r="Q18" i="3"/>
  <c r="Q15" i="3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Q17" i="3" s="1"/>
  <c r="H41" i="1"/>
  <c r="H42" i="1"/>
  <c r="Q19" i="3" s="1"/>
  <c r="H19" i="1"/>
  <c r="I10" i="1" l="1"/>
  <c r="K12" i="2"/>
  <c r="J12" i="2"/>
  <c r="I12" i="2"/>
  <c r="C12" i="2"/>
  <c r="B12" i="2"/>
  <c r="I11" i="1" l="1"/>
  <c r="D7" i="2"/>
  <c r="D3" i="2"/>
  <c r="G4" i="3" s="1"/>
  <c r="D4" i="2"/>
  <c r="G5" i="3" s="1"/>
  <c r="A10" i="3" l="1"/>
  <c r="D1" i="3"/>
  <c r="J13" i="2"/>
  <c r="Q23" i="3"/>
</calcChain>
</file>

<file path=xl/sharedStrings.xml><?xml version="1.0" encoding="utf-8"?>
<sst xmlns="http://schemas.openxmlformats.org/spreadsheetml/2006/main" count="150" uniqueCount="82">
  <si>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</si>
  <si>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</si>
  <si>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</si>
  <si>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</si>
  <si>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</si>
  <si>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</si>
  <si>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</si>
  <si>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</si>
  <si>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</si>
  <si>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</si>
  <si>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</si>
  <si>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</si>
  <si>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</si>
  <si>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</si>
  <si>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</si>
  <si>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</si>
  <si>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</si>
  <si>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</si>
  <si>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</si>
  <si>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</si>
  <si>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</si>
  <si>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</si>
  <si>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</si>
  <si>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</si>
  <si>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</si>
  <si>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</si>
  <si>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</si>
  <si>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</si>
  <si>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</si>
  <si>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</si>
  <si>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</si>
  <si>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</si>
  <si>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</si>
  <si>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</si>
  <si>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</si>
  <si>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</si>
  <si>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</si>
  <si>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</si>
  <si>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</si>
  <si>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</si>
  <si>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</si>
  <si>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</si>
  <si>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</si>
  <si>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</si>
  <si>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</si>
  <si>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</si>
  <si>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</si>
  <si>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</si>
  <si>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</si>
  <si>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</si>
  <si>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</si>
  <si>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</si>
  <si>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</si>
  <si>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</si>
  <si>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</si>
  <si>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</si>
  <si>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</si>
  <si>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Especificidades Item N° :</t>
  </si>
  <si>
    <t>COMBUSTIBLES Y LUBRICANTES</t>
  </si>
  <si>
    <t>LITROS</t>
  </si>
  <si>
    <t>Especificidades Item N° 1 :</t>
  </si>
  <si>
    <t>2.5.6-793.31</t>
  </si>
  <si>
    <t>GAS OIL; PRESENTACION: POR LITRO, USO: MOTORES DIESEL, COMERCIALIZACION: GRADO 3, DESTINO: DPTO. S.F.V. DE CATAMARCA</t>
  </si>
  <si>
    <t>PLAZO: 10 DIAS</t>
  </si>
  <si>
    <t>Especificidades Item N°2 :</t>
  </si>
  <si>
    <t>SALUD PUBLICA 12033 LITROS</t>
  </si>
  <si>
    <t>BCO DE SANGRE 1550 LITROS</t>
  </si>
  <si>
    <t>PLAZO 10 DIAS</t>
  </si>
  <si>
    <t>TOTAL DEL RUBRO</t>
  </si>
  <si>
    <t>1.1</t>
  </si>
  <si>
    <t>Para la adquisición de combustible, necesario para el desarrollo de las actividades del Ministerio de Salud</t>
  </si>
  <si>
    <t>Especificidades Item N°3 :</t>
  </si>
  <si>
    <t>MINISTERIO DE SALUD</t>
  </si>
  <si>
    <t>11 - DIRECCION PROVINCIAL DE ADMINISTRACION - MINISTERIO DE SALUD</t>
  </si>
  <si>
    <t>USO: CAMIONETA CHEVROLET S10 - AC-091-RR - RENAULT FURGON DE CARGA KANGU - OJM-N° 597 A CARGO DEL HOPITAL Dr. CARLOS MALBRAN</t>
  </si>
  <si>
    <t>NO</t>
  </si>
  <si>
    <t>0007/2021</t>
  </si>
  <si>
    <t>ODONTOLOGIA: 8775 LITROS</t>
  </si>
  <si>
    <t>INTERRELACIONES MUNICIPALES: 1333 LITROS</t>
  </si>
  <si>
    <t>Costo total estimado: DOS MILLONES CINCUENTA Y UN MIL OCHOCIENTOS VEINTIDOS CON 10/00</t>
  </si>
  <si>
    <t>TOTAL DE PESOS: DOS MILLONES CINCUENTA Y UN MIL OCHOCIENTOS VEINTIDOS CON 10/00</t>
  </si>
  <si>
    <t>DIRECCION DE ADMINISTRACIÓN: 1000 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</si>
</sst>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/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7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Fill="1"/>
    <xf numFmtId="0" fontId="20" fillId="0" borderId="3" xfId="0" applyFont="1" applyFill="1" applyBorder="1"/>
    <xf numFmtId="0" fontId="15" fillId="0" borderId="4" xfId="0" applyFont="1" applyFill="1" applyBorder="1"/>
    <xf numFmtId="0" fontId="15" fillId="0" borderId="5" xfId="0" applyFont="1" applyFill="1" applyBorder="1"/>
    <xf numFmtId="0" fontId="15" fillId="0" borderId="6" xfId="0" applyFont="1" applyFill="1" applyBorder="1"/>
    <xf numFmtId="0" fontId="15" fillId="0" borderId="0" xfId="0" applyFont="1" applyFill="1" applyBorder="1"/>
    <xf numFmtId="0" fontId="15" fillId="0" borderId="7" xfId="0" applyFont="1" applyFill="1" applyBorder="1"/>
    <xf numFmtId="0" fontId="20" fillId="0" borderId="6" xfId="0" applyFont="1" applyFill="1" applyBorder="1" applyAlignment="1">
      <alignment horizontal="left" indent="3"/>
    </xf>
    <xf numFmtId="0" fontId="15" fillId="0" borderId="6" xfId="0" applyFont="1" applyFill="1" applyBorder="1" applyAlignment="1">
      <alignment horizontal="left" indent="3"/>
    </xf>
    <xf numFmtId="0" fontId="15" fillId="0" borderId="0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left" indent="3"/>
    </xf>
    <xf numFmtId="0" fontId="15" fillId="0" borderId="9" xfId="0" applyFont="1" applyFill="1" applyBorder="1"/>
    <xf numFmtId="0" fontId="15" fillId="0" borderId="10" xfId="0" applyFont="1" applyFill="1" applyBorder="1"/>
    <xf numFmtId="0" fontId="0" fillId="0" borderId="0" xfId="0" applyFill="1"/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169" fontId="15" fillId="0" borderId="0" xfId="0" applyNumberFormat="1" applyFont="1"/>
    <xf numFmtId="2" fontId="15" fillId="0" borderId="0" xfId="0" applyNumberFormat="1" applyFont="1"/>
    <xf numFmtId="0" fontId="15" fillId="0" borderId="7" xfId="0" applyFont="1" applyFill="1" applyBorder="1" applyAlignment="1">
      <alignment horizontal="center" wrapText="1"/>
    </xf>
    <xf numFmtId="2" fontId="15" fillId="0" borderId="0" xfId="0" applyNumberFormat="1" applyFont="1" applyFill="1"/>
    <xf numFmtId="169" fontId="15" fillId="0" borderId="0" xfId="0" applyNumberFormat="1" applyFont="1" applyFill="1"/>
    <xf numFmtId="0" fontId="18" fillId="0" borderId="0" xfId="0" applyFont="1" applyFill="1" applyAlignment="1">
      <alignment horizontal="left" wrapText="1"/>
    </xf>
    <xf numFmtId="2" fontId="18" fillId="0" borderId="0" xfId="0" applyNumberFormat="1" applyFont="1" applyFill="1" applyAlignment="1">
      <alignment horizontal="center" wrapText="1"/>
    </xf>
    <xf numFmtId="169" fontId="18" fillId="0" borderId="0" xfId="0" applyNumberFormat="1" applyFont="1" applyFill="1" applyAlignment="1">
      <alignment horizontal="left" wrapText="1"/>
    </xf>
    <xf numFmtId="0" fontId="21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0" fontId="19" fillId="0" borderId="2" xfId="0" applyFont="1" applyFill="1" applyBorder="1" applyAlignment="1">
      <alignment horizontal="center" vertical="center" wrapText="1"/>
    </xf>
    <xf numFmtId="2" fontId="19" fillId="0" borderId="2" xfId="0" applyNumberFormat="1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23" fillId="0" borderId="48" xfId="0" applyFont="1" applyFill="1" applyBorder="1" applyAlignment="1">
      <alignment vertical="center"/>
    </xf>
    <xf numFmtId="0" fontId="5" fillId="0" borderId="11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24" fillId="0" borderId="15" xfId="0" applyFont="1" applyFill="1" applyBorder="1" applyAlignment="1">
      <alignment horizontal="center" vertical="center"/>
    </xf>
    <xf numFmtId="0" fontId="25" fillId="0" borderId="15" xfId="0" applyFont="1" applyFill="1" applyBorder="1" applyAlignment="1">
      <alignment horizontal="center" vertical="center" wrapText="1"/>
    </xf>
    <xf numFmtId="1" fontId="25" fillId="0" borderId="15" xfId="0" applyNumberFormat="1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169" fontId="24" fillId="0" borderId="15" xfId="1" applyNumberFormat="1" applyFont="1" applyFill="1" applyBorder="1" applyAlignment="1" applyProtection="1">
      <alignment horizontal="center" vertical="center" wrapText="1"/>
    </xf>
    <xf numFmtId="0" fontId="24" fillId="0" borderId="20" xfId="0" applyFont="1" applyFill="1" applyBorder="1" applyAlignment="1">
      <alignment horizontal="left" vertical="center"/>
    </xf>
    <xf numFmtId="0" fontId="24" fillId="0" borderId="20" xfId="0" applyFont="1" applyFill="1" applyBorder="1" applyAlignment="1">
      <alignment horizontal="center" vertical="center" wrapText="1"/>
    </xf>
    <xf numFmtId="166" fontId="24" fillId="0" borderId="20" xfId="1" applyNumberFormat="1" applyFont="1" applyFill="1" applyBorder="1" applyAlignment="1" applyProtection="1">
      <alignment horizontal="right" vertical="center" wrapText="1"/>
    </xf>
    <xf numFmtId="3" fontId="24" fillId="0" borderId="20" xfId="0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>
      <alignment horizontal="center" vertical="center"/>
    </xf>
    <xf numFmtId="0" fontId="24" fillId="0" borderId="21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vertical="center"/>
    </xf>
    <xf numFmtId="169" fontId="14" fillId="0" borderId="15" xfId="1" applyNumberFormat="1" applyBorder="1"/>
    <xf numFmtId="169" fontId="14" fillId="0" borderId="15" xfId="1" applyNumberFormat="1" applyBorder="1" applyAlignment="1">
      <alignment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22" fillId="0" borderId="36" xfId="0" applyFont="1" applyFill="1" applyBorder="1" applyAlignment="1">
      <alignment horizontal="center" vertical="center"/>
    </xf>
    <xf numFmtId="166" fontId="0" fillId="0" borderId="51" xfId="3" applyNumberFormat="1" applyFont="1" applyFill="1" applyBorder="1" applyAlignment="1" applyProtection="1">
      <alignment horizontal="center" vertical="center"/>
    </xf>
    <xf numFmtId="166" fontId="0" fillId="0" borderId="55" xfId="3" applyNumberFormat="1" applyFont="1" applyFill="1" applyBorder="1" applyAlignment="1" applyProtection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/>
    </xf>
    <xf numFmtId="0" fontId="22" fillId="0" borderId="52" xfId="0" applyFont="1" applyFill="1" applyBorder="1" applyAlignment="1">
      <alignment horizontal="center" vertical="center"/>
    </xf>
    <xf numFmtId="0" fontId="0" fillId="0" borderId="54" xfId="0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22" fillId="0" borderId="54" xfId="0" applyFont="1" applyFill="1" applyBorder="1" applyAlignment="1">
      <alignment horizontal="center" vertical="center"/>
    </xf>
    <xf numFmtId="2" fontId="29" fillId="0" borderId="0" xfId="0" applyNumberFormat="1" applyFont="1" applyFill="1"/>
    <xf numFmtId="169" fontId="29" fillId="0" borderId="0" xfId="0" applyNumberFormat="1" applyFont="1" applyFill="1"/>
    <xf numFmtId="0" fontId="30" fillId="0" borderId="49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left" vertical="top" wrapText="1"/>
    </xf>
    <xf numFmtId="0" fontId="15" fillId="0" borderId="7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 indent="1"/>
    </xf>
    <xf numFmtId="0" fontId="25" fillId="0" borderId="22" xfId="0" applyFont="1" applyFill="1" applyBorder="1" applyAlignment="1">
      <alignment horizontal="center" vertical="center" wrapText="1"/>
    </xf>
    <xf numFmtId="0" fontId="25" fillId="0" borderId="50" xfId="0" applyFont="1" applyFill="1" applyBorder="1" applyAlignment="1">
      <alignment horizontal="center" vertical="center" wrapText="1"/>
    </xf>
    <xf numFmtId="0" fontId="25" fillId="0" borderId="2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Fill="1" applyBorder="1" applyAlignment="1">
      <alignment horizontal="left" vertical="center" wrapText="1"/>
    </xf>
    <xf numFmtId="0" fontId="28" fillId="0" borderId="15" xfId="0" applyFont="1" applyFill="1" applyBorder="1" applyAlignment="1">
      <alignment horizontal="left" vertical="center" wrapText="1" indent="1"/>
    </xf>
    <xf numFmtId="167" fontId="26" fillId="0" borderId="15" xfId="0" applyNumberFormat="1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23" fillId="0" borderId="52" xfId="0" applyFont="1" applyFill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2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0" borderId="44" xfId="0" applyFont="1" applyFill="1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4" xfId="0" applyBorder="1"/>
    <xf numFmtId="0" fontId="23" fillId="0" borderId="54" xfId="0" applyFont="1" applyFill="1" applyBorder="1" applyAlignment="1">
      <alignment horizontal="left" vertical="center" wrapText="1"/>
    </xf>
    <xf numFmtId="0" fontId="23" fillId="0" borderId="53" xfId="0" applyFont="1" applyFill="1" applyBorder="1" applyAlignment="1">
      <alignment horizontal="left"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topLeftCell="C1" zoomScaleNormal="100" workbookViewId="0">
      <selection activeCell="C44" sqref="C44:E44"/>
    </sheetView>
  </sheetViews>
  <sheetFormatPr baseColWidth="10" defaultColWidth="11" defaultRowHeight="12.75" x14ac:dyDescent="0.2"/>
  <cols>
    <col min="1" max="1" width="4.5703125" style="27" customWidth="1"/>
    <col min="2" max="2" width="15.28515625" style="27" customWidth="1"/>
    <col min="3" max="3" width="32.42578125" style="27" customWidth="1"/>
    <col min="4" max="4" width="8.42578125" style="27" customWidth="1"/>
    <col min="5" max="5" width="79" style="27" customWidth="1"/>
    <col min="6" max="6" width="11" style="27"/>
    <col min="7" max="7" width="12.7109375" style="45" customWidth="1"/>
    <col min="8" max="8" width="13.85546875" style="44" customWidth="1"/>
    <col min="9" max="9" width="18.5703125" style="27" customWidth="1"/>
    <col min="10" max="16384" width="11" style="27"/>
  </cols>
  <sheetData>
    <row r="1" spans="1:9" x14ac:dyDescent="0.2">
      <c r="A1" s="28"/>
      <c r="B1" s="28"/>
      <c r="C1" s="28"/>
      <c r="D1" s="28"/>
      <c r="E1" s="28"/>
      <c r="F1" s="28"/>
      <c r="G1" s="47"/>
      <c r="H1" s="48"/>
      <c r="I1" s="28"/>
    </row>
    <row r="2" spans="1:9" ht="27" x14ac:dyDescent="0.35">
      <c r="A2" s="28"/>
      <c r="B2" s="99" t="s">
        <v>0</v>
      </c>
      <c r="C2" s="99"/>
      <c r="D2" s="99"/>
      <c r="E2" s="99"/>
      <c r="F2" s="99"/>
      <c r="G2" s="99"/>
      <c r="H2" s="99"/>
      <c r="I2" s="28"/>
    </row>
    <row r="3" spans="1:9" x14ac:dyDescent="0.2">
      <c r="A3" s="28"/>
      <c r="B3" s="28"/>
      <c r="C3" s="28"/>
      <c r="D3" s="28"/>
      <c r="E3" s="28"/>
      <c r="F3" s="28"/>
      <c r="G3" s="47"/>
      <c r="H3" s="48"/>
      <c r="I3" s="28"/>
    </row>
    <row r="4" spans="1:9" ht="18" customHeight="1" x14ac:dyDescent="0.25">
      <c r="A4" s="100" t="s">
        <v>1</v>
      </c>
      <c r="B4" s="100"/>
      <c r="C4" s="101" t="s">
        <v>56</v>
      </c>
      <c r="D4" s="101"/>
      <c r="E4" s="101"/>
      <c r="F4" s="49"/>
      <c r="G4" s="50"/>
      <c r="H4" s="51"/>
      <c r="I4" s="28"/>
    </row>
    <row r="5" spans="1:9" ht="18" customHeight="1" x14ac:dyDescent="0.25">
      <c r="A5" s="100" t="s">
        <v>2</v>
      </c>
      <c r="B5" s="100"/>
      <c r="C5" s="101" t="s">
        <v>73</v>
      </c>
      <c r="D5" s="101"/>
      <c r="E5" s="101"/>
      <c r="F5" s="49"/>
      <c r="G5" s="50"/>
      <c r="H5" s="51"/>
      <c r="I5" s="28"/>
    </row>
    <row r="6" spans="1:9" ht="16.5" customHeight="1" x14ac:dyDescent="0.25">
      <c r="A6" s="100" t="s">
        <v>3</v>
      </c>
      <c r="B6" s="100"/>
      <c r="C6" s="52">
        <v>2021</v>
      </c>
      <c r="D6" s="53"/>
      <c r="E6" s="53"/>
      <c r="F6" s="49"/>
      <c r="G6" s="50"/>
      <c r="H6" s="51"/>
      <c r="I6" s="28"/>
    </row>
    <row r="7" spans="1:9" ht="16.5" customHeight="1" x14ac:dyDescent="0.25">
      <c r="A7" s="100" t="s">
        <v>4</v>
      </c>
      <c r="B7" s="100"/>
      <c r="C7" s="52">
        <v>1</v>
      </c>
      <c r="D7" s="53"/>
      <c r="E7" s="53"/>
      <c r="F7" s="49"/>
      <c r="G7" s="50"/>
      <c r="H7" s="51"/>
      <c r="I7" s="28"/>
    </row>
    <row r="8" spans="1:9" x14ac:dyDescent="0.2">
      <c r="A8" s="28"/>
      <c r="B8" s="49"/>
      <c r="C8" s="54"/>
      <c r="D8" s="49"/>
      <c r="E8" s="49"/>
      <c r="F8" s="49"/>
      <c r="G8" s="50"/>
      <c r="H8" s="51"/>
      <c r="I8" s="28"/>
    </row>
    <row r="9" spans="1:9" ht="39.75" thickTop="1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6" t="s">
        <v>11</v>
      </c>
      <c r="H9" s="57" t="s">
        <v>12</v>
      </c>
      <c r="I9" s="55" t="s">
        <v>13</v>
      </c>
    </row>
    <row r="10" spans="1:9" customFormat="1" ht="53.25" customHeight="1" thickBot="1" x14ac:dyDescent="0.25">
      <c r="A10" s="65">
        <v>1</v>
      </c>
      <c r="B10" s="68" t="s">
        <v>61</v>
      </c>
      <c r="C10" s="68" t="s">
        <v>58</v>
      </c>
      <c r="D10" s="68">
        <v>256</v>
      </c>
      <c r="E10" s="68" t="s">
        <v>62</v>
      </c>
      <c r="F10" s="66" t="s">
        <v>59</v>
      </c>
      <c r="G10" s="67">
        <f>28583+3108-15000+1000+7000</f>
        <v>24691</v>
      </c>
      <c r="H10" s="69">
        <v>83.1</v>
      </c>
      <c r="I10" s="78">
        <f>G10*H10</f>
        <v>2051822.0999999999</v>
      </c>
    </row>
    <row r="11" spans="1:9" ht="13.5" thickBot="1" x14ac:dyDescent="0.25">
      <c r="A11" s="65"/>
      <c r="B11" s="66"/>
      <c r="C11" s="66"/>
      <c r="D11" s="66"/>
      <c r="E11" s="102" t="s">
        <v>68</v>
      </c>
      <c r="F11" s="103"/>
      <c r="G11" s="103"/>
      <c r="H11" s="104"/>
      <c r="I11" s="77">
        <f>SUM(I10:I10)</f>
        <v>2051822.0999999999</v>
      </c>
    </row>
    <row r="12" spans="1:9" x14ac:dyDescent="0.2">
      <c r="A12" s="28"/>
      <c r="B12" s="28"/>
      <c r="C12" s="28"/>
      <c r="D12" s="28"/>
      <c r="E12" s="28"/>
      <c r="F12" s="28"/>
      <c r="G12" s="47"/>
      <c r="H12" s="48"/>
      <c r="I12" s="28"/>
    </row>
    <row r="13" spans="1:9" x14ac:dyDescent="0.2">
      <c r="A13" s="28"/>
      <c r="B13" s="28"/>
      <c r="C13" s="28"/>
      <c r="D13" s="28"/>
      <c r="E13" s="28"/>
      <c r="F13" s="28"/>
      <c r="G13" s="47"/>
      <c r="H13" s="48"/>
      <c r="I13" s="28"/>
    </row>
    <row r="14" spans="1:9" x14ac:dyDescent="0.2">
      <c r="A14" s="28"/>
      <c r="B14" s="29" t="s">
        <v>60</v>
      </c>
      <c r="C14" s="30"/>
      <c r="D14" s="30"/>
      <c r="E14" s="31"/>
      <c r="F14" s="28"/>
      <c r="G14" s="47"/>
      <c r="H14" s="48"/>
      <c r="I14" s="28"/>
    </row>
    <row r="15" spans="1:9" ht="5.25" customHeight="1" x14ac:dyDescent="0.2">
      <c r="A15" s="28"/>
      <c r="B15" s="32"/>
      <c r="C15" s="33"/>
      <c r="D15" s="33"/>
      <c r="E15" s="34"/>
      <c r="F15" s="28"/>
      <c r="G15" s="47"/>
      <c r="H15" s="48"/>
      <c r="I15" s="28"/>
    </row>
    <row r="16" spans="1:9" x14ac:dyDescent="0.2">
      <c r="A16" s="28"/>
      <c r="B16" s="35" t="s">
        <v>14</v>
      </c>
      <c r="C16" s="33"/>
      <c r="D16" s="33"/>
      <c r="E16" s="34"/>
      <c r="F16" s="28"/>
      <c r="G16" s="47"/>
      <c r="H16" s="48"/>
      <c r="I16" s="28"/>
    </row>
    <row r="17" spans="1:9" ht="41.25" customHeight="1" x14ac:dyDescent="0.2">
      <c r="A17" s="28"/>
      <c r="B17" s="35"/>
      <c r="C17" s="94"/>
      <c r="D17" s="94"/>
      <c r="E17" s="94"/>
      <c r="F17" s="28"/>
      <c r="G17" s="91"/>
      <c r="H17" s="92"/>
      <c r="I17" s="28"/>
    </row>
    <row r="18" spans="1:9" x14ac:dyDescent="0.2">
      <c r="A18" s="28"/>
      <c r="B18" s="35" t="s">
        <v>15</v>
      </c>
      <c r="C18" s="33"/>
      <c r="D18" s="33"/>
      <c r="E18" s="34"/>
      <c r="F18" s="28"/>
      <c r="G18" s="91"/>
      <c r="H18" s="92"/>
      <c r="I18" s="28"/>
    </row>
    <row r="19" spans="1:9" x14ac:dyDescent="0.2">
      <c r="A19" s="28"/>
      <c r="B19" s="35"/>
      <c r="C19" s="96" t="s">
        <v>78</v>
      </c>
      <c r="D19" s="96"/>
      <c r="E19" s="95"/>
      <c r="F19" s="28"/>
      <c r="G19" s="91">
        <v>1333</v>
      </c>
      <c r="H19" s="92">
        <f>+G19*$H$10</f>
        <v>110772.29999999999</v>
      </c>
      <c r="I19" s="28"/>
    </row>
    <row r="20" spans="1:9" x14ac:dyDescent="0.2">
      <c r="A20" s="28"/>
      <c r="B20" s="35"/>
      <c r="C20" s="96" t="s">
        <v>77</v>
      </c>
      <c r="D20" s="96"/>
      <c r="E20" s="95"/>
      <c r="F20" s="28"/>
      <c r="G20" s="91">
        <f>1775+7000</f>
        <v>8775</v>
      </c>
      <c r="H20" s="92">
        <f t="shared" ref="H20:H42" si="0">+G20*$H$10</f>
        <v>729202.5</v>
      </c>
      <c r="I20" s="28"/>
    </row>
    <row r="21" spans="1:9" x14ac:dyDescent="0.2">
      <c r="A21" s="28"/>
      <c r="B21" s="35"/>
      <c r="C21" s="96" t="s">
        <v>63</v>
      </c>
      <c r="D21" s="96"/>
      <c r="E21" s="95"/>
      <c r="F21" s="28"/>
      <c r="G21" s="91"/>
      <c r="H21" s="92">
        <f t="shared" si="0"/>
        <v>0</v>
      </c>
      <c r="I21" s="28"/>
    </row>
    <row r="22" spans="1:9" x14ac:dyDescent="0.2">
      <c r="A22" s="28"/>
      <c r="B22" s="35"/>
      <c r="C22" s="96"/>
      <c r="D22" s="96"/>
      <c r="E22" s="95"/>
      <c r="F22" s="28"/>
      <c r="G22" s="91"/>
      <c r="H22" s="92">
        <f t="shared" si="0"/>
        <v>0</v>
      </c>
      <c r="I22" s="28"/>
    </row>
    <row r="23" spans="1:9" x14ac:dyDescent="0.2">
      <c r="A23" s="28"/>
      <c r="B23" s="36"/>
      <c r="C23" s="95"/>
      <c r="D23" s="95"/>
      <c r="E23" s="95"/>
      <c r="F23" s="28"/>
      <c r="G23" s="91"/>
      <c r="H23" s="92">
        <f t="shared" si="0"/>
        <v>0</v>
      </c>
      <c r="I23" s="28"/>
    </row>
    <row r="24" spans="1:9" x14ac:dyDescent="0.2">
      <c r="A24" s="28"/>
      <c r="B24" s="36"/>
      <c r="C24" s="95"/>
      <c r="D24" s="95"/>
      <c r="E24" s="95"/>
      <c r="F24" s="28"/>
      <c r="G24" s="91"/>
      <c r="H24" s="92">
        <f t="shared" si="0"/>
        <v>0</v>
      </c>
      <c r="I24" s="28"/>
    </row>
    <row r="25" spans="1:9" x14ac:dyDescent="0.2">
      <c r="A25" s="28"/>
      <c r="B25" s="35" t="s">
        <v>16</v>
      </c>
      <c r="C25" s="33"/>
      <c r="D25" s="33"/>
      <c r="E25" s="34"/>
      <c r="F25" s="28"/>
      <c r="G25" s="91"/>
      <c r="H25" s="92">
        <f t="shared" si="0"/>
        <v>0</v>
      </c>
      <c r="I25" s="28"/>
    </row>
    <row r="26" spans="1:9" ht="26.25" customHeight="1" x14ac:dyDescent="0.2">
      <c r="A26" s="28"/>
      <c r="B26" s="36"/>
      <c r="C26" s="94"/>
      <c r="D26" s="94"/>
      <c r="E26" s="94"/>
      <c r="F26" s="28"/>
      <c r="G26" s="91"/>
      <c r="H26" s="92">
        <f t="shared" si="0"/>
        <v>0</v>
      </c>
      <c r="I26" s="28"/>
    </row>
    <row r="27" spans="1:9" x14ac:dyDescent="0.2">
      <c r="A27" s="28"/>
      <c r="B27" s="35" t="s">
        <v>17</v>
      </c>
      <c r="C27" s="37"/>
      <c r="D27" s="37"/>
      <c r="E27" s="46"/>
      <c r="F27" s="28"/>
      <c r="G27" s="91"/>
      <c r="H27" s="92">
        <f t="shared" si="0"/>
        <v>0</v>
      </c>
      <c r="I27" s="28"/>
    </row>
    <row r="28" spans="1:9" ht="26.25" customHeight="1" x14ac:dyDescent="0.2">
      <c r="A28" s="28"/>
      <c r="B28" s="36"/>
      <c r="C28" s="94"/>
      <c r="D28" s="94"/>
      <c r="E28" s="94"/>
      <c r="F28" s="28"/>
      <c r="G28" s="91"/>
      <c r="H28" s="92">
        <f t="shared" si="0"/>
        <v>0</v>
      </c>
      <c r="I28" s="28"/>
    </row>
    <row r="29" spans="1:9" x14ac:dyDescent="0.2">
      <c r="A29" s="28"/>
      <c r="B29" s="35" t="s">
        <v>18</v>
      </c>
      <c r="C29" s="33"/>
      <c r="D29" s="33"/>
      <c r="E29" s="34"/>
      <c r="F29" s="28"/>
      <c r="G29" s="91"/>
      <c r="H29" s="92">
        <f t="shared" si="0"/>
        <v>0</v>
      </c>
      <c r="I29" s="28"/>
    </row>
    <row r="30" spans="1:9" ht="23.25" customHeight="1" x14ac:dyDescent="0.2">
      <c r="A30" s="28"/>
      <c r="B30" s="35"/>
      <c r="C30" s="95"/>
      <c r="D30" s="95"/>
      <c r="E30" s="95"/>
      <c r="F30" s="28"/>
      <c r="G30" s="91"/>
      <c r="H30" s="92">
        <f t="shared" si="0"/>
        <v>0</v>
      </c>
      <c r="I30" s="28"/>
    </row>
    <row r="31" spans="1:9" ht="13.5" thickBot="1" x14ac:dyDescent="0.25">
      <c r="A31" s="28"/>
      <c r="B31" s="38"/>
      <c r="C31" s="39"/>
      <c r="D31" s="39"/>
      <c r="E31" s="40"/>
      <c r="F31" s="28"/>
      <c r="G31" s="91"/>
      <c r="H31" s="92">
        <f t="shared" si="0"/>
        <v>0</v>
      </c>
      <c r="I31" s="28"/>
    </row>
    <row r="32" spans="1:9" ht="13.5" thickBot="1" x14ac:dyDescent="0.25">
      <c r="A32" s="28"/>
      <c r="B32" s="28"/>
      <c r="C32" s="28"/>
      <c r="D32" s="28"/>
      <c r="E32" s="28"/>
      <c r="F32" s="28"/>
      <c r="G32" s="91"/>
      <c r="H32" s="92">
        <f t="shared" si="0"/>
        <v>0</v>
      </c>
      <c r="I32" s="28"/>
    </row>
    <row r="33" spans="1:9" x14ac:dyDescent="0.2">
      <c r="A33" s="28"/>
      <c r="B33" s="29" t="s">
        <v>64</v>
      </c>
      <c r="C33" s="30"/>
      <c r="D33" s="30"/>
      <c r="E33" s="31"/>
      <c r="F33" s="28"/>
      <c r="G33" s="91"/>
      <c r="H33" s="92">
        <f t="shared" si="0"/>
        <v>0</v>
      </c>
      <c r="I33" s="28"/>
    </row>
    <row r="34" spans="1:9" ht="7.5" customHeight="1" x14ac:dyDescent="0.2">
      <c r="A34" s="28"/>
      <c r="B34" s="32"/>
      <c r="C34" s="33"/>
      <c r="D34" s="33"/>
      <c r="E34" s="34"/>
      <c r="F34" s="28"/>
      <c r="G34" s="91"/>
      <c r="H34" s="92">
        <f t="shared" si="0"/>
        <v>0</v>
      </c>
      <c r="I34" s="28"/>
    </row>
    <row r="35" spans="1:9" x14ac:dyDescent="0.2">
      <c r="A35" s="28"/>
      <c r="B35" s="35" t="s">
        <v>14</v>
      </c>
      <c r="C35" s="33"/>
      <c r="D35" s="33"/>
      <c r="E35" s="34"/>
      <c r="F35" s="28"/>
      <c r="G35" s="91"/>
      <c r="H35" s="92">
        <f t="shared" si="0"/>
        <v>0</v>
      </c>
      <c r="I35" s="28"/>
    </row>
    <row r="36" spans="1:9" ht="30" customHeight="1" x14ac:dyDescent="0.2">
      <c r="A36" s="28"/>
      <c r="B36" s="35"/>
      <c r="C36" s="97" t="s">
        <v>74</v>
      </c>
      <c r="D36" s="97"/>
      <c r="E36" s="98"/>
      <c r="F36" s="58"/>
      <c r="G36" s="93"/>
      <c r="H36" s="92">
        <f t="shared" si="0"/>
        <v>0</v>
      </c>
      <c r="I36" s="28"/>
    </row>
    <row r="37" spans="1:9" x14ac:dyDescent="0.2">
      <c r="A37" s="28"/>
      <c r="B37" s="35"/>
      <c r="C37" s="96"/>
      <c r="D37" s="96"/>
      <c r="E37" s="95"/>
      <c r="F37" s="28"/>
      <c r="G37" s="91"/>
      <c r="H37" s="92">
        <f t="shared" si="0"/>
        <v>0</v>
      </c>
      <c r="I37" s="28"/>
    </row>
    <row r="38" spans="1:9" x14ac:dyDescent="0.2">
      <c r="A38" s="28"/>
      <c r="B38" s="35"/>
      <c r="C38" s="96"/>
      <c r="D38" s="96"/>
      <c r="E38" s="95"/>
      <c r="F38" s="28"/>
      <c r="G38" s="91"/>
      <c r="H38" s="92">
        <f t="shared" si="0"/>
        <v>0</v>
      </c>
      <c r="I38" s="28"/>
    </row>
    <row r="39" spans="1:9" ht="39" customHeight="1" x14ac:dyDescent="0.2">
      <c r="A39" s="28"/>
      <c r="B39" s="35"/>
      <c r="C39" s="94"/>
      <c r="D39" s="94"/>
      <c r="E39" s="94"/>
      <c r="F39" s="28"/>
      <c r="G39" s="91"/>
      <c r="H39" s="92">
        <f t="shared" si="0"/>
        <v>0</v>
      </c>
      <c r="I39" s="28"/>
    </row>
    <row r="40" spans="1:9" x14ac:dyDescent="0.2">
      <c r="A40" s="28"/>
      <c r="B40" s="35" t="s">
        <v>15</v>
      </c>
      <c r="C40" s="33"/>
      <c r="D40" s="33"/>
      <c r="E40" s="34"/>
      <c r="F40" s="28"/>
      <c r="G40" s="91">
        <v>12033</v>
      </c>
      <c r="H40" s="92">
        <f t="shared" si="0"/>
        <v>999942.29999999993</v>
      </c>
      <c r="I40" s="28"/>
    </row>
    <row r="41" spans="1:9" x14ac:dyDescent="0.2">
      <c r="A41" s="28"/>
      <c r="B41" s="35"/>
      <c r="C41" s="96" t="s">
        <v>65</v>
      </c>
      <c r="D41" s="96"/>
      <c r="E41" s="95"/>
      <c r="F41" s="28"/>
      <c r="G41" s="91">
        <v>1550</v>
      </c>
      <c r="H41" s="92">
        <f t="shared" si="0"/>
        <v>128804.99999999999</v>
      </c>
      <c r="I41" s="28"/>
    </row>
    <row r="42" spans="1:9" x14ac:dyDescent="0.2">
      <c r="A42" s="28"/>
      <c r="B42" s="35"/>
      <c r="C42" s="96" t="s">
        <v>66</v>
      </c>
      <c r="D42" s="96"/>
      <c r="E42" s="95"/>
      <c r="F42" s="28"/>
      <c r="G42" s="91">
        <v>1000</v>
      </c>
      <c r="H42" s="92">
        <f t="shared" si="0"/>
        <v>83100</v>
      </c>
      <c r="I42" s="28"/>
    </row>
    <row r="43" spans="1:9" x14ac:dyDescent="0.2">
      <c r="A43" s="28"/>
      <c r="B43" s="35"/>
      <c r="C43" s="96" t="s">
        <v>81</v>
      </c>
      <c r="D43" s="96"/>
      <c r="E43" s="95"/>
      <c r="F43" s="28"/>
      <c r="G43" s="91"/>
      <c r="H43" s="92"/>
      <c r="I43" s="28"/>
    </row>
    <row r="44" spans="1:9" x14ac:dyDescent="0.2">
      <c r="A44" s="28"/>
      <c r="B44" s="35"/>
      <c r="C44" s="96" t="s">
        <v>67</v>
      </c>
      <c r="D44" s="96"/>
      <c r="E44" s="95"/>
      <c r="F44" s="28"/>
      <c r="G44" s="91"/>
      <c r="H44" s="92"/>
      <c r="I44" s="28"/>
    </row>
    <row r="45" spans="1:9" x14ac:dyDescent="0.2">
      <c r="A45" s="28"/>
      <c r="B45" s="36"/>
      <c r="C45" s="95"/>
      <c r="D45" s="95"/>
      <c r="E45" s="95"/>
      <c r="F45" s="28"/>
      <c r="G45" s="91"/>
      <c r="H45" s="92"/>
      <c r="I45" s="28"/>
    </row>
    <row r="46" spans="1:9" x14ac:dyDescent="0.2">
      <c r="A46" s="28"/>
      <c r="B46" s="36"/>
      <c r="C46" s="95"/>
      <c r="D46" s="95"/>
      <c r="E46" s="95"/>
      <c r="F46" s="28"/>
      <c r="G46" s="91"/>
      <c r="H46" s="92"/>
      <c r="I46" s="28"/>
    </row>
    <row r="47" spans="1:9" x14ac:dyDescent="0.2">
      <c r="A47" s="28"/>
      <c r="B47" s="35" t="s">
        <v>16</v>
      </c>
      <c r="C47" s="33"/>
      <c r="D47" s="33"/>
      <c r="E47" s="34"/>
      <c r="F47" s="28"/>
      <c r="G47" s="91"/>
      <c r="H47" s="92"/>
      <c r="I47" s="28"/>
    </row>
    <row r="48" spans="1:9" x14ac:dyDescent="0.2">
      <c r="A48" s="28"/>
      <c r="B48" s="36"/>
      <c r="C48" s="94"/>
      <c r="D48" s="94"/>
      <c r="E48" s="94"/>
      <c r="F48" s="28"/>
      <c r="G48" s="91"/>
      <c r="H48" s="92"/>
      <c r="I48" s="28"/>
    </row>
    <row r="49" spans="1:9" x14ac:dyDescent="0.2">
      <c r="A49" s="28"/>
      <c r="B49" s="35" t="s">
        <v>17</v>
      </c>
      <c r="C49" s="37"/>
      <c r="D49" s="37"/>
      <c r="E49" s="46"/>
      <c r="F49" s="28"/>
      <c r="G49" s="91"/>
      <c r="H49" s="92"/>
      <c r="I49" s="28"/>
    </row>
    <row r="50" spans="1:9" x14ac:dyDescent="0.2">
      <c r="A50" s="28"/>
      <c r="B50" s="36"/>
      <c r="C50" s="94"/>
      <c r="D50" s="94"/>
      <c r="E50" s="94"/>
      <c r="F50" s="28"/>
      <c r="G50" s="91"/>
      <c r="H50" s="92"/>
      <c r="I50" s="28"/>
    </row>
    <row r="51" spans="1:9" x14ac:dyDescent="0.2">
      <c r="A51" s="28"/>
      <c r="B51" s="35" t="s">
        <v>18</v>
      </c>
      <c r="C51" s="33"/>
      <c r="D51" s="33"/>
      <c r="E51" s="34"/>
      <c r="F51" s="28"/>
      <c r="G51" s="91"/>
      <c r="H51" s="92"/>
      <c r="I51" s="28"/>
    </row>
    <row r="52" spans="1:9" x14ac:dyDescent="0.2">
      <c r="A52" s="28"/>
      <c r="B52" s="35"/>
      <c r="C52" s="95"/>
      <c r="D52" s="95"/>
      <c r="E52" s="95"/>
      <c r="F52" s="28"/>
      <c r="G52" s="91"/>
      <c r="H52" s="92"/>
      <c r="I52" s="28"/>
    </row>
    <row r="53" spans="1:9" ht="13.5" thickBot="1" x14ac:dyDescent="0.25">
      <c r="A53" s="28"/>
      <c r="B53" s="38"/>
      <c r="C53" s="39"/>
      <c r="D53" s="39"/>
      <c r="E53" s="40"/>
      <c r="F53" s="28"/>
      <c r="G53" s="91"/>
      <c r="H53" s="92"/>
      <c r="I53" s="28"/>
    </row>
    <row r="54" spans="1:9" x14ac:dyDescent="0.2">
      <c r="A54" s="28"/>
      <c r="B54" s="28"/>
      <c r="C54" s="28"/>
      <c r="D54" s="28"/>
      <c r="E54" s="28"/>
      <c r="F54" s="28"/>
      <c r="G54" s="91"/>
      <c r="H54" s="92"/>
      <c r="I54" s="28"/>
    </row>
    <row r="55" spans="1:9" ht="13.5" thickBot="1" x14ac:dyDescent="0.25">
      <c r="A55" s="28"/>
      <c r="B55" s="28"/>
      <c r="C55" s="28"/>
      <c r="D55" s="28"/>
      <c r="E55" s="28"/>
      <c r="F55" s="28"/>
      <c r="G55" s="91"/>
      <c r="H55" s="92"/>
      <c r="I55" s="28"/>
    </row>
    <row r="56" spans="1:9" x14ac:dyDescent="0.2">
      <c r="A56" s="28"/>
      <c r="B56" s="29" t="s">
        <v>71</v>
      </c>
      <c r="C56" s="30"/>
      <c r="D56" s="30"/>
      <c r="E56" s="31"/>
      <c r="F56" s="28"/>
      <c r="G56" s="91"/>
      <c r="H56" s="92"/>
      <c r="I56" s="28"/>
    </row>
    <row r="57" spans="1:9" ht="5.25" customHeight="1" x14ac:dyDescent="0.2">
      <c r="A57" s="28"/>
      <c r="B57" s="32"/>
      <c r="C57" s="33"/>
      <c r="D57" s="33"/>
      <c r="E57" s="34"/>
      <c r="F57" s="28"/>
      <c r="G57" s="91"/>
      <c r="H57" s="92"/>
      <c r="I57" s="28"/>
    </row>
    <row r="58" spans="1:9" x14ac:dyDescent="0.2">
      <c r="A58" s="28"/>
      <c r="B58" s="35" t="s">
        <v>14</v>
      </c>
      <c r="C58" s="33"/>
      <c r="D58" s="33"/>
      <c r="E58" s="34"/>
      <c r="F58" s="28"/>
      <c r="G58" s="91"/>
      <c r="H58" s="92"/>
      <c r="I58" s="28"/>
    </row>
    <row r="59" spans="1:9" ht="41.25" customHeight="1" x14ac:dyDescent="0.2">
      <c r="A59" s="28"/>
      <c r="B59" s="35"/>
      <c r="C59" s="94"/>
      <c r="D59" s="94"/>
      <c r="E59" s="94"/>
      <c r="F59" s="28"/>
      <c r="G59" s="91"/>
      <c r="H59" s="92"/>
      <c r="I59" s="28"/>
    </row>
    <row r="60" spans="1:9" x14ac:dyDescent="0.2">
      <c r="A60" s="28"/>
      <c r="B60" s="35" t="s">
        <v>15</v>
      </c>
      <c r="C60" s="33"/>
      <c r="D60" s="33"/>
      <c r="E60" s="34"/>
      <c r="F60" s="28"/>
      <c r="G60" s="47"/>
      <c r="H60" s="48"/>
      <c r="I60" s="28"/>
    </row>
    <row r="61" spans="1:9" x14ac:dyDescent="0.2">
      <c r="A61" s="28"/>
      <c r="B61" s="36"/>
      <c r="C61" s="95"/>
      <c r="D61" s="95"/>
      <c r="E61" s="95"/>
      <c r="F61" s="28"/>
      <c r="G61" s="47"/>
      <c r="H61" s="48"/>
      <c r="I61" s="28"/>
    </row>
    <row r="62" spans="1:9" x14ac:dyDescent="0.2">
      <c r="A62" s="28"/>
      <c r="B62" s="36"/>
      <c r="C62" s="95"/>
      <c r="D62" s="95"/>
      <c r="E62" s="95"/>
      <c r="F62" s="28"/>
      <c r="G62" s="47"/>
      <c r="H62" s="48"/>
      <c r="I62" s="28"/>
    </row>
    <row r="63" spans="1:9" x14ac:dyDescent="0.2">
      <c r="A63" s="28"/>
      <c r="B63" s="35" t="s">
        <v>16</v>
      </c>
      <c r="C63" s="33"/>
      <c r="D63" s="33"/>
      <c r="E63" s="34"/>
      <c r="F63" s="28"/>
      <c r="G63" s="47"/>
      <c r="H63" s="48"/>
      <c r="I63" s="28"/>
    </row>
    <row r="64" spans="1:9" ht="26.25" customHeight="1" x14ac:dyDescent="0.2">
      <c r="A64" s="28"/>
      <c r="B64" s="36"/>
      <c r="C64" s="94"/>
      <c r="D64" s="94"/>
      <c r="E64" s="94"/>
      <c r="F64" s="28"/>
      <c r="G64" s="47"/>
      <c r="H64" s="48"/>
      <c r="I64" s="28"/>
    </row>
    <row r="65" spans="1:9" x14ac:dyDescent="0.2">
      <c r="A65" s="28"/>
      <c r="B65" s="35" t="s">
        <v>17</v>
      </c>
      <c r="C65" s="37"/>
      <c r="D65" s="37"/>
      <c r="E65" s="46"/>
      <c r="F65" s="28"/>
      <c r="G65" s="47"/>
      <c r="H65" s="48"/>
      <c r="I65" s="28"/>
    </row>
    <row r="66" spans="1:9" ht="26.25" customHeight="1" x14ac:dyDescent="0.2">
      <c r="A66" s="28"/>
      <c r="B66" s="36"/>
      <c r="C66" s="94"/>
      <c r="D66" s="94"/>
      <c r="E66" s="94"/>
      <c r="F66" s="28"/>
      <c r="G66" s="47"/>
      <c r="H66" s="48"/>
      <c r="I66" s="28"/>
    </row>
    <row r="67" spans="1:9" x14ac:dyDescent="0.2">
      <c r="A67" s="28"/>
      <c r="B67" s="35" t="s">
        <v>18</v>
      </c>
      <c r="C67" s="33"/>
      <c r="D67" s="33"/>
      <c r="E67" s="34"/>
      <c r="F67" s="28"/>
      <c r="G67" s="47"/>
      <c r="H67" s="48"/>
      <c r="I67" s="28"/>
    </row>
    <row r="68" spans="1:9" ht="23.25" customHeight="1" x14ac:dyDescent="0.2">
      <c r="A68" s="28"/>
      <c r="B68" s="35"/>
      <c r="C68" s="95"/>
      <c r="D68" s="95"/>
      <c r="E68" s="95"/>
      <c r="F68" s="28"/>
      <c r="G68" s="47"/>
      <c r="H68" s="48"/>
      <c r="I68" s="28"/>
    </row>
    <row r="69" spans="1:9" ht="13.5" thickBot="1" x14ac:dyDescent="0.25">
      <c r="A69" s="28"/>
      <c r="B69" s="38"/>
      <c r="C69" s="39"/>
      <c r="D69" s="39"/>
      <c r="E69" s="40"/>
      <c r="F69" s="28"/>
      <c r="G69" s="47"/>
      <c r="H69" s="48"/>
      <c r="I69" s="28"/>
    </row>
    <row r="70" spans="1:9" ht="13.5" thickBot="1" x14ac:dyDescent="0.25">
      <c r="A70" s="28"/>
      <c r="B70" s="28"/>
      <c r="C70" s="28"/>
      <c r="D70" s="28"/>
      <c r="E70" s="28"/>
      <c r="F70" s="28"/>
      <c r="G70" s="47"/>
      <c r="H70" s="48"/>
      <c r="I70" s="28"/>
    </row>
    <row r="71" spans="1:9" x14ac:dyDescent="0.2">
      <c r="A71" s="28"/>
      <c r="B71" s="29" t="s">
        <v>57</v>
      </c>
      <c r="C71" s="30"/>
      <c r="D71" s="30"/>
      <c r="E71" s="31"/>
      <c r="F71" s="28"/>
      <c r="G71" s="47"/>
      <c r="H71" s="48"/>
      <c r="I71" s="28"/>
    </row>
    <row r="72" spans="1:9" ht="7.5" customHeight="1" x14ac:dyDescent="0.2">
      <c r="A72" s="28"/>
      <c r="B72" s="32"/>
      <c r="C72" s="33"/>
      <c r="D72" s="33"/>
      <c r="E72" s="34"/>
      <c r="F72" s="28"/>
      <c r="G72" s="47"/>
      <c r="H72" s="48"/>
      <c r="I72" s="28"/>
    </row>
    <row r="73" spans="1:9" x14ac:dyDescent="0.2">
      <c r="A73" s="28"/>
      <c r="B73" s="35" t="s">
        <v>14</v>
      </c>
      <c r="C73" s="33"/>
      <c r="D73" s="33"/>
      <c r="E73" s="34"/>
      <c r="F73" s="28"/>
      <c r="G73" s="47"/>
      <c r="H73" s="48"/>
      <c r="I73" s="28"/>
    </row>
    <row r="74" spans="1:9" ht="39" customHeight="1" x14ac:dyDescent="0.2">
      <c r="A74" s="28"/>
      <c r="B74" s="35"/>
      <c r="C74" s="94"/>
      <c r="D74" s="94"/>
      <c r="E74" s="94"/>
      <c r="F74" s="28"/>
      <c r="G74" s="47"/>
      <c r="H74" s="48"/>
      <c r="I74" s="28"/>
    </row>
    <row r="75" spans="1:9" x14ac:dyDescent="0.2">
      <c r="A75" s="28"/>
      <c r="B75" s="35" t="s">
        <v>15</v>
      </c>
      <c r="C75" s="33"/>
      <c r="D75" s="33"/>
      <c r="E75" s="34"/>
      <c r="F75" s="28"/>
      <c r="G75" s="47"/>
      <c r="H75" s="48"/>
      <c r="I75" s="28"/>
    </row>
    <row r="76" spans="1:9" x14ac:dyDescent="0.2">
      <c r="A76" s="28"/>
      <c r="B76" s="36"/>
      <c r="C76" s="95"/>
      <c r="D76" s="95"/>
      <c r="E76" s="95"/>
      <c r="F76" s="28"/>
      <c r="G76" s="47"/>
      <c r="H76" s="48"/>
      <c r="I76" s="28"/>
    </row>
    <row r="77" spans="1:9" x14ac:dyDescent="0.2">
      <c r="A77" s="28"/>
      <c r="B77" s="36"/>
      <c r="C77" s="95"/>
      <c r="D77" s="95"/>
      <c r="E77" s="95"/>
      <c r="F77" s="28"/>
      <c r="G77" s="47"/>
      <c r="H77" s="48"/>
      <c r="I77" s="28"/>
    </row>
    <row r="78" spans="1:9" x14ac:dyDescent="0.2">
      <c r="A78" s="28"/>
      <c r="B78" s="35" t="s">
        <v>16</v>
      </c>
      <c r="C78" s="33"/>
      <c r="D78" s="33"/>
      <c r="E78" s="34"/>
      <c r="F78" s="28"/>
      <c r="G78" s="47"/>
      <c r="H78" s="48"/>
      <c r="I78" s="28"/>
    </row>
    <row r="79" spans="1:9" x14ac:dyDescent="0.2">
      <c r="A79" s="28"/>
      <c r="B79" s="36"/>
      <c r="C79" s="94"/>
      <c r="D79" s="94"/>
      <c r="E79" s="94"/>
      <c r="F79" s="28"/>
      <c r="G79" s="47"/>
      <c r="H79" s="48"/>
      <c r="I79" s="28"/>
    </row>
    <row r="80" spans="1:9" x14ac:dyDescent="0.2">
      <c r="A80" s="28"/>
      <c r="B80" s="35" t="s">
        <v>17</v>
      </c>
      <c r="C80" s="37"/>
      <c r="D80" s="37"/>
      <c r="E80" s="46"/>
      <c r="F80" s="28"/>
      <c r="G80" s="47"/>
      <c r="H80" s="48"/>
      <c r="I80" s="28"/>
    </row>
    <row r="81" spans="1:9" x14ac:dyDescent="0.2">
      <c r="A81" s="28"/>
      <c r="B81" s="36"/>
      <c r="C81" s="94"/>
      <c r="D81" s="94"/>
      <c r="E81" s="94"/>
      <c r="F81" s="28"/>
      <c r="G81" s="47"/>
      <c r="H81" s="48"/>
      <c r="I81" s="28"/>
    </row>
    <row r="82" spans="1:9" x14ac:dyDescent="0.2">
      <c r="A82" s="28"/>
      <c r="B82" s="35" t="s">
        <v>18</v>
      </c>
      <c r="C82" s="33"/>
      <c r="D82" s="33"/>
      <c r="E82" s="34"/>
      <c r="F82" s="28"/>
      <c r="G82" s="47"/>
      <c r="H82" s="48"/>
      <c r="I82" s="28"/>
    </row>
    <row r="83" spans="1:9" x14ac:dyDescent="0.2">
      <c r="A83" s="28"/>
      <c r="B83" s="35"/>
      <c r="C83" s="95"/>
      <c r="D83" s="95"/>
      <c r="E83" s="95"/>
      <c r="F83" s="28"/>
      <c r="G83" s="47"/>
      <c r="H83" s="48"/>
      <c r="I83" s="28"/>
    </row>
    <row r="84" spans="1:9" ht="13.5" thickBot="1" x14ac:dyDescent="0.25">
      <c r="A84" s="28"/>
      <c r="B84" s="38"/>
      <c r="C84" s="39"/>
      <c r="D84" s="39"/>
      <c r="E84" s="40"/>
      <c r="F84" s="28"/>
      <c r="G84" s="47"/>
      <c r="H84" s="48"/>
      <c r="I84" s="28"/>
    </row>
    <row r="85" spans="1:9" x14ac:dyDescent="0.2">
      <c r="A85" s="28"/>
      <c r="B85" s="28"/>
      <c r="C85" s="28"/>
      <c r="D85" s="28"/>
      <c r="E85" s="28"/>
      <c r="F85" s="28"/>
      <c r="G85" s="47"/>
      <c r="H85" s="48"/>
      <c r="I85" s="28"/>
    </row>
    <row r="86" spans="1:9" ht="13.5" thickBot="1" x14ac:dyDescent="0.25">
      <c r="A86" s="28"/>
      <c r="B86" s="28"/>
      <c r="C86" s="28"/>
      <c r="D86" s="28"/>
      <c r="E86" s="28"/>
      <c r="F86" s="28"/>
      <c r="G86" s="47"/>
      <c r="H86" s="48"/>
      <c r="I86" s="28"/>
    </row>
    <row r="87" spans="1:9" x14ac:dyDescent="0.2">
      <c r="A87" s="28"/>
      <c r="B87" s="29" t="s">
        <v>57</v>
      </c>
      <c r="C87" s="30"/>
      <c r="D87" s="30"/>
      <c r="E87" s="31"/>
      <c r="F87" s="28"/>
      <c r="G87" s="47"/>
      <c r="H87" s="48"/>
      <c r="I87" s="28"/>
    </row>
    <row r="88" spans="1:9" ht="5.25" customHeight="1" x14ac:dyDescent="0.2">
      <c r="A88" s="28"/>
      <c r="B88" s="32"/>
      <c r="C88" s="33"/>
      <c r="D88" s="33"/>
      <c r="E88" s="34"/>
      <c r="F88" s="28"/>
      <c r="G88" s="47"/>
      <c r="H88" s="48"/>
      <c r="I88" s="28"/>
    </row>
    <row r="89" spans="1:9" x14ac:dyDescent="0.2">
      <c r="A89" s="28"/>
      <c r="B89" s="35" t="s">
        <v>14</v>
      </c>
      <c r="C89" s="33"/>
      <c r="D89" s="33"/>
      <c r="E89" s="34"/>
      <c r="F89" s="28"/>
      <c r="G89" s="47"/>
      <c r="H89" s="48"/>
      <c r="I89" s="28"/>
    </row>
    <row r="90" spans="1:9" ht="41.25" customHeight="1" x14ac:dyDescent="0.2">
      <c r="A90" s="28"/>
      <c r="B90" s="35"/>
      <c r="C90" s="94"/>
      <c r="D90" s="94"/>
      <c r="E90" s="94"/>
      <c r="F90" s="28"/>
      <c r="G90" s="47"/>
      <c r="H90" s="48"/>
      <c r="I90" s="28"/>
    </row>
    <row r="91" spans="1:9" x14ac:dyDescent="0.2">
      <c r="A91" s="28"/>
      <c r="B91" s="35" t="s">
        <v>15</v>
      </c>
      <c r="C91" s="33"/>
      <c r="D91" s="33"/>
      <c r="E91" s="34"/>
      <c r="F91" s="28"/>
      <c r="G91" s="47"/>
      <c r="H91" s="48"/>
      <c r="I91" s="28"/>
    </row>
    <row r="92" spans="1:9" x14ac:dyDescent="0.2">
      <c r="A92" s="28"/>
      <c r="B92" s="36"/>
      <c r="C92" s="95"/>
      <c r="D92" s="95"/>
      <c r="E92" s="95"/>
      <c r="F92" s="28"/>
      <c r="G92" s="47"/>
      <c r="H92" s="48"/>
      <c r="I92" s="28"/>
    </row>
    <row r="93" spans="1:9" x14ac:dyDescent="0.2">
      <c r="A93" s="28"/>
      <c r="B93" s="36"/>
      <c r="C93" s="95"/>
      <c r="D93" s="95"/>
      <c r="E93" s="95"/>
      <c r="F93" s="28"/>
      <c r="G93" s="47"/>
      <c r="H93" s="48"/>
      <c r="I93" s="28"/>
    </row>
    <row r="94" spans="1:9" x14ac:dyDescent="0.2">
      <c r="A94" s="28"/>
      <c r="B94" s="35" t="s">
        <v>16</v>
      </c>
      <c r="C94" s="33"/>
      <c r="D94" s="33"/>
      <c r="E94" s="34"/>
      <c r="F94" s="28"/>
      <c r="G94" s="47"/>
      <c r="H94" s="48"/>
      <c r="I94" s="28"/>
    </row>
    <row r="95" spans="1:9" ht="26.25" customHeight="1" x14ac:dyDescent="0.2">
      <c r="A95" s="28"/>
      <c r="B95" s="36"/>
      <c r="C95" s="94"/>
      <c r="D95" s="94"/>
      <c r="E95" s="94"/>
      <c r="F95" s="28"/>
      <c r="G95" s="47"/>
      <c r="H95" s="48"/>
      <c r="I95" s="28"/>
    </row>
    <row r="96" spans="1:9" x14ac:dyDescent="0.2">
      <c r="A96" s="28"/>
      <c r="B96" s="35" t="s">
        <v>17</v>
      </c>
      <c r="C96" s="37"/>
      <c r="D96" s="37"/>
      <c r="E96" s="46"/>
      <c r="F96" s="28"/>
      <c r="G96" s="47"/>
      <c r="H96" s="48"/>
      <c r="I96" s="28"/>
    </row>
    <row r="97" spans="1:9" ht="26.25" customHeight="1" x14ac:dyDescent="0.2">
      <c r="A97" s="28"/>
      <c r="B97" s="36"/>
      <c r="C97" s="94"/>
      <c r="D97" s="94"/>
      <c r="E97" s="94"/>
      <c r="F97" s="28"/>
      <c r="G97" s="47"/>
      <c r="H97" s="48"/>
      <c r="I97" s="28"/>
    </row>
    <row r="98" spans="1:9" x14ac:dyDescent="0.2">
      <c r="A98" s="28"/>
      <c r="B98" s="35" t="s">
        <v>18</v>
      </c>
      <c r="C98" s="33"/>
      <c r="D98" s="33"/>
      <c r="E98" s="34"/>
      <c r="F98" s="28"/>
      <c r="G98" s="47"/>
      <c r="H98" s="48"/>
      <c r="I98" s="28"/>
    </row>
    <row r="99" spans="1:9" ht="23.25" customHeight="1" x14ac:dyDescent="0.2">
      <c r="A99" s="28"/>
      <c r="B99" s="35"/>
      <c r="C99" s="95"/>
      <c r="D99" s="95"/>
      <c r="E99" s="95"/>
      <c r="F99" s="28"/>
      <c r="G99" s="47"/>
      <c r="H99" s="48"/>
      <c r="I99" s="28"/>
    </row>
    <row r="100" spans="1:9" ht="13.5" thickBot="1" x14ac:dyDescent="0.25">
      <c r="A100" s="28"/>
      <c r="B100" s="38"/>
      <c r="C100" s="39"/>
      <c r="D100" s="39"/>
      <c r="E100" s="40"/>
      <c r="F100" s="28"/>
      <c r="G100" s="47"/>
      <c r="H100" s="48"/>
      <c r="I100" s="28"/>
    </row>
    <row r="101" spans="1:9" ht="13.5" thickBot="1" x14ac:dyDescent="0.25">
      <c r="A101" s="28"/>
      <c r="B101" s="28"/>
      <c r="C101" s="28"/>
      <c r="D101" s="28"/>
      <c r="E101" s="28"/>
      <c r="F101" s="28"/>
      <c r="G101" s="47"/>
      <c r="H101" s="48"/>
      <c r="I101" s="28"/>
    </row>
    <row r="102" spans="1:9" x14ac:dyDescent="0.2">
      <c r="A102" s="28"/>
      <c r="B102" s="29" t="s">
        <v>57</v>
      </c>
      <c r="C102" s="30"/>
      <c r="D102" s="30"/>
      <c r="E102" s="31"/>
      <c r="F102" s="28"/>
      <c r="G102" s="47"/>
      <c r="H102" s="48"/>
      <c r="I102" s="28"/>
    </row>
    <row r="103" spans="1:9" ht="7.5" customHeight="1" x14ac:dyDescent="0.2">
      <c r="A103" s="28"/>
      <c r="B103" s="32"/>
      <c r="C103" s="33"/>
      <c r="D103" s="33"/>
      <c r="E103" s="34"/>
      <c r="F103" s="28"/>
      <c r="G103" s="47"/>
      <c r="H103" s="48"/>
      <c r="I103" s="28"/>
    </row>
    <row r="104" spans="1:9" x14ac:dyDescent="0.2">
      <c r="A104" s="28"/>
      <c r="B104" s="35" t="s">
        <v>14</v>
      </c>
      <c r="C104" s="33"/>
      <c r="D104" s="33"/>
      <c r="E104" s="34"/>
      <c r="F104" s="28"/>
      <c r="G104" s="47"/>
      <c r="H104" s="48"/>
      <c r="I104" s="28"/>
    </row>
    <row r="105" spans="1:9" ht="39" customHeight="1" x14ac:dyDescent="0.2">
      <c r="A105" s="28"/>
      <c r="B105" s="35"/>
      <c r="C105" s="94"/>
      <c r="D105" s="94"/>
      <c r="E105" s="94"/>
      <c r="F105" s="28"/>
      <c r="G105" s="47"/>
      <c r="H105" s="48"/>
      <c r="I105" s="28"/>
    </row>
    <row r="106" spans="1:9" x14ac:dyDescent="0.2">
      <c r="A106" s="28"/>
      <c r="B106" s="35" t="s">
        <v>15</v>
      </c>
      <c r="C106" s="33"/>
      <c r="D106" s="33"/>
      <c r="E106" s="34"/>
      <c r="F106" s="28"/>
      <c r="G106" s="47"/>
      <c r="H106" s="48"/>
      <c r="I106" s="28"/>
    </row>
    <row r="107" spans="1:9" x14ac:dyDescent="0.2">
      <c r="A107" s="28"/>
      <c r="B107" s="36"/>
      <c r="C107" s="95"/>
      <c r="D107" s="95"/>
      <c r="E107" s="95"/>
      <c r="F107" s="28"/>
      <c r="G107" s="47"/>
      <c r="H107" s="48"/>
      <c r="I107" s="28"/>
    </row>
    <row r="108" spans="1:9" x14ac:dyDescent="0.2">
      <c r="A108" s="28"/>
      <c r="B108" s="36"/>
      <c r="C108" s="95"/>
      <c r="D108" s="95"/>
      <c r="E108" s="95"/>
      <c r="F108" s="28"/>
      <c r="G108" s="47"/>
      <c r="H108" s="48"/>
      <c r="I108" s="28"/>
    </row>
    <row r="109" spans="1:9" x14ac:dyDescent="0.2">
      <c r="A109" s="28"/>
      <c r="B109" s="35" t="s">
        <v>16</v>
      </c>
      <c r="C109" s="33"/>
      <c r="D109" s="33"/>
      <c r="E109" s="34"/>
      <c r="F109" s="28"/>
      <c r="G109" s="47"/>
      <c r="H109" s="48"/>
      <c r="I109" s="28"/>
    </row>
    <row r="110" spans="1:9" x14ac:dyDescent="0.2">
      <c r="A110" s="28"/>
      <c r="B110" s="36"/>
      <c r="C110" s="94"/>
      <c r="D110" s="94"/>
      <c r="E110" s="94"/>
      <c r="F110" s="28"/>
      <c r="G110" s="47"/>
      <c r="H110" s="48"/>
      <c r="I110" s="28"/>
    </row>
    <row r="111" spans="1:9" x14ac:dyDescent="0.2">
      <c r="A111" s="28"/>
      <c r="B111" s="35" t="s">
        <v>17</v>
      </c>
      <c r="C111" s="37"/>
      <c r="D111" s="37"/>
      <c r="E111" s="46"/>
      <c r="F111" s="28"/>
      <c r="G111" s="47"/>
      <c r="H111" s="48"/>
      <c r="I111" s="28"/>
    </row>
    <row r="112" spans="1:9" x14ac:dyDescent="0.2">
      <c r="A112" s="28"/>
      <c r="B112" s="36"/>
      <c r="C112" s="94"/>
      <c r="D112" s="94"/>
      <c r="E112" s="94"/>
      <c r="F112" s="28"/>
      <c r="G112" s="47"/>
      <c r="H112" s="48"/>
      <c r="I112" s="28"/>
    </row>
    <row r="113" spans="1:9" x14ac:dyDescent="0.2">
      <c r="A113" s="28"/>
      <c r="B113" s="35" t="s">
        <v>18</v>
      </c>
      <c r="C113" s="33"/>
      <c r="D113" s="33"/>
      <c r="E113" s="34"/>
      <c r="F113" s="28"/>
      <c r="G113" s="47"/>
      <c r="H113" s="48"/>
      <c r="I113" s="28"/>
    </row>
    <row r="114" spans="1:9" x14ac:dyDescent="0.2">
      <c r="A114" s="28"/>
      <c r="B114" s="35"/>
      <c r="C114" s="95"/>
      <c r="D114" s="95"/>
      <c r="E114" s="95"/>
      <c r="F114" s="28"/>
      <c r="G114" s="47"/>
      <c r="H114" s="48"/>
      <c r="I114" s="28"/>
    </row>
    <row r="115" spans="1:9" ht="13.5" thickBot="1" x14ac:dyDescent="0.25">
      <c r="A115" s="28"/>
      <c r="B115" s="38"/>
      <c r="C115" s="39"/>
      <c r="D115" s="39"/>
      <c r="E115" s="40"/>
      <c r="F115" s="28"/>
      <c r="G115" s="47"/>
      <c r="H115" s="48"/>
      <c r="I115" s="28"/>
    </row>
    <row r="116" spans="1:9" x14ac:dyDescent="0.2">
      <c r="A116" s="28"/>
      <c r="B116" s="28"/>
      <c r="C116" s="28"/>
      <c r="D116" s="28"/>
      <c r="E116" s="28"/>
      <c r="F116" s="28"/>
      <c r="G116" s="47"/>
      <c r="H116" s="48"/>
      <c r="I116" s="28"/>
    </row>
    <row r="117" spans="1:9" ht="13.5" thickBot="1" x14ac:dyDescent="0.25">
      <c r="A117" s="28"/>
      <c r="B117" s="28"/>
      <c r="C117" s="28"/>
      <c r="D117" s="28"/>
      <c r="E117" s="28"/>
      <c r="F117" s="28"/>
      <c r="G117" s="47"/>
      <c r="H117" s="48"/>
      <c r="I117" s="28"/>
    </row>
    <row r="118" spans="1:9" x14ac:dyDescent="0.2">
      <c r="A118" s="28"/>
      <c r="B118" s="29" t="s">
        <v>57</v>
      </c>
      <c r="C118" s="30"/>
      <c r="D118" s="30"/>
      <c r="E118" s="31"/>
      <c r="F118" s="28"/>
      <c r="G118" s="47"/>
      <c r="H118" s="48"/>
      <c r="I118" s="28"/>
    </row>
    <row r="119" spans="1:9" ht="5.25" customHeight="1" x14ac:dyDescent="0.2">
      <c r="A119" s="28"/>
      <c r="B119" s="32"/>
      <c r="C119" s="33"/>
      <c r="D119" s="33"/>
      <c r="E119" s="34"/>
      <c r="F119" s="28"/>
      <c r="G119" s="47"/>
      <c r="H119" s="48"/>
      <c r="I119" s="28"/>
    </row>
    <row r="120" spans="1:9" x14ac:dyDescent="0.2">
      <c r="A120" s="28"/>
      <c r="B120" s="35" t="s">
        <v>14</v>
      </c>
      <c r="C120" s="33"/>
      <c r="D120" s="33"/>
      <c r="E120" s="34"/>
      <c r="F120" s="28"/>
      <c r="G120" s="47"/>
      <c r="H120" s="48"/>
      <c r="I120" s="28"/>
    </row>
    <row r="121" spans="1:9" ht="41.25" customHeight="1" x14ac:dyDescent="0.2">
      <c r="A121" s="28"/>
      <c r="B121" s="35"/>
      <c r="C121" s="94"/>
      <c r="D121" s="94"/>
      <c r="E121" s="94"/>
      <c r="F121" s="28"/>
      <c r="G121" s="47"/>
      <c r="H121" s="48"/>
      <c r="I121" s="28"/>
    </row>
    <row r="122" spans="1:9" x14ac:dyDescent="0.2">
      <c r="A122" s="28"/>
      <c r="B122" s="35" t="s">
        <v>15</v>
      </c>
      <c r="C122" s="33"/>
      <c r="D122" s="33"/>
      <c r="E122" s="34"/>
      <c r="F122" s="28"/>
      <c r="G122" s="47"/>
      <c r="H122" s="48"/>
      <c r="I122" s="28"/>
    </row>
    <row r="123" spans="1:9" x14ac:dyDescent="0.2">
      <c r="A123" s="28"/>
      <c r="B123" s="36"/>
      <c r="C123" s="95"/>
      <c r="D123" s="95"/>
      <c r="E123" s="95"/>
      <c r="F123" s="28"/>
      <c r="G123" s="47"/>
      <c r="H123" s="48"/>
      <c r="I123" s="28"/>
    </row>
    <row r="124" spans="1:9" x14ac:dyDescent="0.2">
      <c r="A124" s="28"/>
      <c r="B124" s="36"/>
      <c r="C124" s="95"/>
      <c r="D124" s="95"/>
      <c r="E124" s="95"/>
      <c r="F124" s="28"/>
      <c r="G124" s="47"/>
      <c r="H124" s="48"/>
      <c r="I124" s="28"/>
    </row>
    <row r="125" spans="1:9" x14ac:dyDescent="0.2">
      <c r="A125" s="28"/>
      <c r="B125" s="35" t="s">
        <v>16</v>
      </c>
      <c r="C125" s="33"/>
      <c r="D125" s="33"/>
      <c r="E125" s="34"/>
      <c r="F125" s="28"/>
      <c r="G125" s="47"/>
      <c r="H125" s="48"/>
      <c r="I125" s="28"/>
    </row>
    <row r="126" spans="1:9" ht="26.25" customHeight="1" x14ac:dyDescent="0.2">
      <c r="A126" s="28"/>
      <c r="B126" s="36"/>
      <c r="C126" s="94"/>
      <c r="D126" s="94"/>
      <c r="E126" s="94"/>
      <c r="F126" s="28"/>
      <c r="G126" s="47"/>
      <c r="H126" s="48"/>
      <c r="I126" s="28"/>
    </row>
    <row r="127" spans="1:9" x14ac:dyDescent="0.2">
      <c r="A127" s="28"/>
      <c r="B127" s="35" t="s">
        <v>17</v>
      </c>
      <c r="C127" s="37"/>
      <c r="D127" s="37"/>
      <c r="E127" s="46"/>
      <c r="F127" s="28"/>
      <c r="G127" s="47"/>
      <c r="H127" s="48"/>
      <c r="I127" s="28"/>
    </row>
    <row r="128" spans="1:9" ht="26.25" customHeight="1" x14ac:dyDescent="0.2">
      <c r="A128" s="28"/>
      <c r="B128" s="36"/>
      <c r="C128" s="94"/>
      <c r="D128" s="94"/>
      <c r="E128" s="94"/>
      <c r="F128" s="28"/>
      <c r="G128" s="47"/>
      <c r="H128" s="48"/>
      <c r="I128" s="28"/>
    </row>
    <row r="129" spans="1:9" x14ac:dyDescent="0.2">
      <c r="A129" s="28"/>
      <c r="B129" s="35" t="s">
        <v>18</v>
      </c>
      <c r="C129" s="33"/>
      <c r="D129" s="33"/>
      <c r="E129" s="34"/>
      <c r="F129" s="28"/>
      <c r="G129" s="47"/>
      <c r="H129" s="48"/>
      <c r="I129" s="28"/>
    </row>
    <row r="130" spans="1:9" ht="23.25" customHeight="1" x14ac:dyDescent="0.2">
      <c r="A130" s="28"/>
      <c r="B130" s="35"/>
      <c r="C130" s="95"/>
      <c r="D130" s="95"/>
      <c r="E130" s="95"/>
      <c r="F130" s="28"/>
      <c r="G130" s="47"/>
      <c r="H130" s="48"/>
      <c r="I130" s="28"/>
    </row>
    <row r="131" spans="1:9" ht="13.5" thickBot="1" x14ac:dyDescent="0.25">
      <c r="A131" s="28"/>
      <c r="B131" s="38"/>
      <c r="C131" s="39"/>
      <c r="D131" s="39"/>
      <c r="E131" s="40"/>
      <c r="F131" s="28"/>
      <c r="G131" s="47"/>
      <c r="H131" s="48"/>
      <c r="I131" s="28"/>
    </row>
    <row r="132" spans="1:9" ht="13.5" thickBot="1" x14ac:dyDescent="0.25">
      <c r="A132" s="28"/>
      <c r="B132" s="28"/>
      <c r="C132" s="28"/>
      <c r="D132" s="28"/>
      <c r="E132" s="28"/>
      <c r="F132" s="28"/>
      <c r="G132" s="47"/>
      <c r="H132" s="48"/>
      <c r="I132" s="28"/>
    </row>
    <row r="133" spans="1:9" x14ac:dyDescent="0.2">
      <c r="A133" s="28"/>
      <c r="B133" s="29" t="s">
        <v>57</v>
      </c>
      <c r="C133" s="30"/>
      <c r="D133" s="30"/>
      <c r="E133" s="31"/>
      <c r="F133" s="28"/>
      <c r="G133" s="47"/>
      <c r="H133" s="48"/>
      <c r="I133" s="28"/>
    </row>
    <row r="134" spans="1:9" ht="7.5" customHeight="1" x14ac:dyDescent="0.2">
      <c r="A134" s="28"/>
      <c r="B134" s="32"/>
      <c r="C134" s="33"/>
      <c r="D134" s="33"/>
      <c r="E134" s="34"/>
      <c r="F134" s="28"/>
      <c r="G134" s="47"/>
      <c r="H134" s="48"/>
      <c r="I134" s="28"/>
    </row>
    <row r="135" spans="1:9" x14ac:dyDescent="0.2">
      <c r="A135" s="28"/>
      <c r="B135" s="35" t="s">
        <v>14</v>
      </c>
      <c r="C135" s="33"/>
      <c r="D135" s="33"/>
      <c r="E135" s="34"/>
      <c r="F135" s="28"/>
      <c r="G135" s="47"/>
      <c r="H135" s="48"/>
      <c r="I135" s="28"/>
    </row>
    <row r="136" spans="1:9" ht="39" customHeight="1" x14ac:dyDescent="0.2">
      <c r="A136" s="28"/>
      <c r="B136" s="35"/>
      <c r="C136" s="94"/>
      <c r="D136" s="94"/>
      <c r="E136" s="94"/>
      <c r="F136" s="28"/>
      <c r="G136" s="47"/>
      <c r="H136" s="48"/>
      <c r="I136" s="28"/>
    </row>
    <row r="137" spans="1:9" x14ac:dyDescent="0.2">
      <c r="A137" s="28"/>
      <c r="B137" s="35" t="s">
        <v>15</v>
      </c>
      <c r="C137" s="33"/>
      <c r="D137" s="33"/>
      <c r="E137" s="34"/>
      <c r="F137" s="28"/>
      <c r="G137" s="47"/>
      <c r="H137" s="48"/>
      <c r="I137" s="28"/>
    </row>
    <row r="138" spans="1:9" x14ac:dyDescent="0.2">
      <c r="A138" s="28"/>
      <c r="B138" s="36"/>
      <c r="C138" s="95"/>
      <c r="D138" s="95"/>
      <c r="E138" s="95"/>
      <c r="F138" s="28"/>
      <c r="G138" s="47"/>
      <c r="H138" s="48"/>
      <c r="I138" s="28"/>
    </row>
    <row r="139" spans="1:9" x14ac:dyDescent="0.2">
      <c r="A139" s="28"/>
      <c r="B139" s="36"/>
      <c r="C139" s="95"/>
      <c r="D139" s="95"/>
      <c r="E139" s="95"/>
      <c r="F139" s="28"/>
      <c r="G139" s="47"/>
      <c r="H139" s="48"/>
      <c r="I139" s="28"/>
    </row>
    <row r="140" spans="1:9" x14ac:dyDescent="0.2">
      <c r="A140" s="28"/>
      <c r="B140" s="35" t="s">
        <v>16</v>
      </c>
      <c r="C140" s="33"/>
      <c r="D140" s="33"/>
      <c r="E140" s="34"/>
      <c r="F140" s="28"/>
      <c r="G140" s="47"/>
      <c r="H140" s="48"/>
      <c r="I140" s="28"/>
    </row>
    <row r="141" spans="1:9" x14ac:dyDescent="0.2">
      <c r="A141" s="28"/>
      <c r="B141" s="36"/>
      <c r="C141" s="94"/>
      <c r="D141" s="94"/>
      <c r="E141" s="94"/>
      <c r="F141" s="28"/>
      <c r="G141" s="47"/>
      <c r="H141" s="48"/>
      <c r="I141" s="28"/>
    </row>
    <row r="142" spans="1:9" x14ac:dyDescent="0.2">
      <c r="A142" s="28"/>
      <c r="B142" s="35" t="s">
        <v>17</v>
      </c>
      <c r="C142" s="37"/>
      <c r="D142" s="37"/>
      <c r="E142" s="46"/>
      <c r="F142" s="28"/>
      <c r="G142" s="47"/>
      <c r="H142" s="48"/>
      <c r="I142" s="28"/>
    </row>
    <row r="143" spans="1:9" x14ac:dyDescent="0.2">
      <c r="A143" s="28"/>
      <c r="B143" s="36"/>
      <c r="C143" s="94"/>
      <c r="D143" s="94"/>
      <c r="E143" s="94"/>
      <c r="F143" s="28"/>
      <c r="G143" s="47"/>
      <c r="H143" s="48"/>
      <c r="I143" s="28"/>
    </row>
    <row r="144" spans="1:9" x14ac:dyDescent="0.2">
      <c r="A144" s="28"/>
      <c r="B144" s="35" t="s">
        <v>18</v>
      </c>
      <c r="C144" s="33"/>
      <c r="D144" s="33"/>
      <c r="E144" s="34"/>
      <c r="F144" s="28"/>
      <c r="G144" s="47"/>
      <c r="H144" s="48"/>
      <c r="I144" s="28"/>
    </row>
    <row r="145" spans="1:9" x14ac:dyDescent="0.2">
      <c r="A145" s="28"/>
      <c r="B145" s="35"/>
      <c r="C145" s="95"/>
      <c r="D145" s="95"/>
      <c r="E145" s="95"/>
      <c r="F145" s="28"/>
      <c r="G145" s="47"/>
      <c r="H145" s="48"/>
      <c r="I145" s="28"/>
    </row>
    <row r="146" spans="1:9" ht="13.5" thickBot="1" x14ac:dyDescent="0.25">
      <c r="A146" s="28"/>
      <c r="B146" s="38"/>
      <c r="C146" s="39"/>
      <c r="D146" s="39"/>
      <c r="E146" s="40"/>
      <c r="F146" s="28"/>
      <c r="G146" s="47"/>
      <c r="H146" s="48"/>
      <c r="I146" s="28"/>
    </row>
    <row r="147" spans="1:9" x14ac:dyDescent="0.2">
      <c r="A147" s="28"/>
      <c r="B147" s="28"/>
      <c r="C147" s="28"/>
      <c r="D147" s="28"/>
      <c r="E147" s="28"/>
      <c r="F147" s="28"/>
      <c r="G147" s="47"/>
      <c r="H147" s="48"/>
      <c r="I147" s="28"/>
    </row>
    <row r="148" spans="1:9" ht="13.5" thickBot="1" x14ac:dyDescent="0.25">
      <c r="A148" s="28"/>
      <c r="B148" s="28"/>
      <c r="C148" s="28"/>
      <c r="D148" s="28"/>
      <c r="E148" s="28"/>
      <c r="F148" s="28"/>
      <c r="G148" s="47"/>
      <c r="H148" s="48"/>
      <c r="I148" s="28"/>
    </row>
    <row r="149" spans="1:9" x14ac:dyDescent="0.2">
      <c r="A149" s="28"/>
      <c r="B149" s="29" t="s">
        <v>57</v>
      </c>
      <c r="C149" s="30"/>
      <c r="D149" s="30"/>
      <c r="E149" s="31"/>
      <c r="F149" s="28"/>
      <c r="G149" s="47"/>
      <c r="H149" s="48"/>
      <c r="I149" s="28"/>
    </row>
    <row r="150" spans="1:9" ht="5.25" customHeight="1" x14ac:dyDescent="0.2">
      <c r="A150" s="28"/>
      <c r="B150" s="32"/>
      <c r="C150" s="33"/>
      <c r="D150" s="33"/>
      <c r="E150" s="34"/>
      <c r="F150" s="28"/>
      <c r="G150" s="47"/>
      <c r="H150" s="48"/>
      <c r="I150" s="28"/>
    </row>
    <row r="151" spans="1:9" x14ac:dyDescent="0.2">
      <c r="A151" s="28"/>
      <c r="B151" s="35" t="s">
        <v>14</v>
      </c>
      <c r="C151" s="33"/>
      <c r="D151" s="33"/>
      <c r="E151" s="34"/>
      <c r="F151" s="28"/>
      <c r="G151" s="47"/>
      <c r="H151" s="48"/>
      <c r="I151" s="28"/>
    </row>
    <row r="152" spans="1:9" ht="41.25" customHeight="1" x14ac:dyDescent="0.2">
      <c r="A152" s="28"/>
      <c r="B152" s="35"/>
      <c r="C152" s="94"/>
      <c r="D152" s="94"/>
      <c r="E152" s="94"/>
      <c r="F152" s="28"/>
      <c r="G152" s="47"/>
      <c r="H152" s="48"/>
      <c r="I152" s="28"/>
    </row>
    <row r="153" spans="1:9" x14ac:dyDescent="0.2">
      <c r="A153" s="28"/>
      <c r="B153" s="35" t="s">
        <v>15</v>
      </c>
      <c r="C153" s="33"/>
      <c r="D153" s="33"/>
      <c r="E153" s="34"/>
      <c r="F153" s="28"/>
      <c r="G153" s="47"/>
      <c r="H153" s="48"/>
      <c r="I153" s="28"/>
    </row>
    <row r="154" spans="1:9" x14ac:dyDescent="0.2">
      <c r="A154" s="28"/>
      <c r="B154" s="36"/>
      <c r="C154" s="95"/>
      <c r="D154" s="95"/>
      <c r="E154" s="95"/>
      <c r="F154" s="28"/>
      <c r="G154" s="47"/>
      <c r="H154" s="48"/>
      <c r="I154" s="28"/>
    </row>
    <row r="155" spans="1:9" x14ac:dyDescent="0.2">
      <c r="A155" s="28"/>
      <c r="B155" s="36"/>
      <c r="C155" s="95"/>
      <c r="D155" s="95"/>
      <c r="E155" s="95"/>
      <c r="F155" s="28"/>
      <c r="G155" s="47"/>
      <c r="H155" s="48"/>
      <c r="I155" s="28"/>
    </row>
    <row r="156" spans="1:9" x14ac:dyDescent="0.2">
      <c r="A156" s="28"/>
      <c r="B156" s="35" t="s">
        <v>16</v>
      </c>
      <c r="C156" s="33"/>
      <c r="D156" s="33"/>
      <c r="E156" s="34"/>
      <c r="F156" s="28"/>
      <c r="G156" s="47"/>
      <c r="H156" s="48"/>
      <c r="I156" s="28"/>
    </row>
    <row r="157" spans="1:9" ht="26.25" customHeight="1" x14ac:dyDescent="0.2">
      <c r="A157" s="28"/>
      <c r="B157" s="36"/>
      <c r="C157" s="94"/>
      <c r="D157" s="94"/>
      <c r="E157" s="94"/>
      <c r="F157" s="28"/>
      <c r="G157" s="47"/>
      <c r="H157" s="48"/>
      <c r="I157" s="28"/>
    </row>
    <row r="158" spans="1:9" x14ac:dyDescent="0.2">
      <c r="A158" s="28"/>
      <c r="B158" s="35" t="s">
        <v>17</v>
      </c>
      <c r="C158" s="37"/>
      <c r="D158" s="37"/>
      <c r="E158" s="46"/>
      <c r="F158" s="28"/>
      <c r="G158" s="47"/>
      <c r="H158" s="48"/>
      <c r="I158" s="28"/>
    </row>
    <row r="159" spans="1:9" ht="26.25" customHeight="1" x14ac:dyDescent="0.2">
      <c r="A159" s="28"/>
      <c r="B159" s="36"/>
      <c r="C159" s="94"/>
      <c r="D159" s="94"/>
      <c r="E159" s="94"/>
      <c r="F159" s="28"/>
      <c r="G159" s="47"/>
      <c r="H159" s="48"/>
      <c r="I159" s="28"/>
    </row>
    <row r="160" spans="1:9" x14ac:dyDescent="0.2">
      <c r="A160" s="28"/>
      <c r="B160" s="35" t="s">
        <v>18</v>
      </c>
      <c r="C160" s="33"/>
      <c r="D160" s="33"/>
      <c r="E160" s="34"/>
      <c r="F160" s="28"/>
      <c r="G160" s="47"/>
      <c r="H160" s="48"/>
      <c r="I160" s="28"/>
    </row>
    <row r="161" spans="1:9" ht="23.25" customHeight="1" x14ac:dyDescent="0.2">
      <c r="A161" s="28"/>
      <c r="B161" s="35"/>
      <c r="C161" s="95"/>
      <c r="D161" s="95"/>
      <c r="E161" s="95"/>
      <c r="F161" s="28"/>
      <c r="G161" s="47"/>
      <c r="H161" s="48"/>
      <c r="I161" s="28"/>
    </row>
    <row r="162" spans="1:9" ht="13.5" thickBot="1" x14ac:dyDescent="0.25">
      <c r="A162" s="28"/>
      <c r="B162" s="38"/>
      <c r="C162" s="39"/>
      <c r="D162" s="39"/>
      <c r="E162" s="40"/>
      <c r="F162" s="28"/>
      <c r="G162" s="47"/>
      <c r="H162" s="48"/>
      <c r="I162" s="28"/>
    </row>
    <row r="163" spans="1:9" ht="13.5" thickBot="1" x14ac:dyDescent="0.25">
      <c r="A163" s="28"/>
      <c r="B163" s="28"/>
      <c r="C163" s="28"/>
      <c r="D163" s="28"/>
      <c r="E163" s="28"/>
      <c r="F163" s="28"/>
      <c r="G163" s="47"/>
      <c r="H163" s="48"/>
      <c r="I163" s="28"/>
    </row>
    <row r="164" spans="1:9" x14ac:dyDescent="0.2">
      <c r="A164" s="28"/>
      <c r="B164" s="29" t="s">
        <v>57</v>
      </c>
      <c r="C164" s="30"/>
      <c r="D164" s="30"/>
      <c r="E164" s="31"/>
      <c r="F164" s="28"/>
      <c r="G164" s="47"/>
      <c r="H164" s="48"/>
      <c r="I164" s="28"/>
    </row>
    <row r="165" spans="1:9" ht="7.5" customHeight="1" x14ac:dyDescent="0.2">
      <c r="A165" s="28"/>
      <c r="B165" s="32"/>
      <c r="C165" s="33"/>
      <c r="D165" s="33"/>
      <c r="E165" s="34"/>
      <c r="F165" s="28"/>
      <c r="G165" s="47"/>
      <c r="H165" s="48"/>
      <c r="I165" s="28"/>
    </row>
    <row r="166" spans="1:9" x14ac:dyDescent="0.2">
      <c r="A166" s="28"/>
      <c r="B166" s="35" t="s">
        <v>14</v>
      </c>
      <c r="C166" s="33"/>
      <c r="D166" s="33"/>
      <c r="E166" s="34"/>
      <c r="F166" s="28"/>
      <c r="G166" s="47"/>
      <c r="H166" s="48"/>
      <c r="I166" s="28"/>
    </row>
    <row r="167" spans="1:9" ht="39" customHeight="1" x14ac:dyDescent="0.2">
      <c r="A167" s="28"/>
      <c r="B167" s="35"/>
      <c r="C167" s="94"/>
      <c r="D167" s="94"/>
      <c r="E167" s="94"/>
      <c r="F167" s="28"/>
      <c r="G167" s="47"/>
      <c r="H167" s="48"/>
      <c r="I167" s="28"/>
    </row>
    <row r="168" spans="1:9" x14ac:dyDescent="0.2">
      <c r="A168" s="28"/>
      <c r="B168" s="35" t="s">
        <v>15</v>
      </c>
      <c r="C168" s="33"/>
      <c r="D168" s="33"/>
      <c r="E168" s="34"/>
      <c r="F168" s="28"/>
      <c r="G168" s="47"/>
      <c r="H168" s="48"/>
      <c r="I168" s="28"/>
    </row>
    <row r="169" spans="1:9" x14ac:dyDescent="0.2">
      <c r="A169" s="28"/>
      <c r="B169" s="36"/>
      <c r="C169" s="95"/>
      <c r="D169" s="95"/>
      <c r="E169" s="95"/>
      <c r="F169" s="28"/>
      <c r="G169" s="47"/>
      <c r="H169" s="48"/>
      <c r="I169" s="28"/>
    </row>
    <row r="170" spans="1:9" x14ac:dyDescent="0.2">
      <c r="A170" s="28"/>
      <c r="B170" s="36"/>
      <c r="C170" s="95"/>
      <c r="D170" s="95"/>
      <c r="E170" s="95"/>
      <c r="F170" s="28"/>
      <c r="G170" s="47"/>
      <c r="H170" s="48"/>
      <c r="I170" s="28"/>
    </row>
    <row r="171" spans="1:9" x14ac:dyDescent="0.2">
      <c r="A171" s="28"/>
      <c r="B171" s="35" t="s">
        <v>16</v>
      </c>
      <c r="C171" s="33"/>
      <c r="D171" s="33"/>
      <c r="E171" s="34"/>
      <c r="F171" s="28"/>
      <c r="G171" s="47"/>
      <c r="H171" s="48"/>
      <c r="I171" s="28"/>
    </row>
    <row r="172" spans="1:9" x14ac:dyDescent="0.2">
      <c r="A172" s="28"/>
      <c r="B172" s="36"/>
      <c r="C172" s="94"/>
      <c r="D172" s="94"/>
      <c r="E172" s="94"/>
      <c r="F172" s="28"/>
      <c r="G172" s="47"/>
      <c r="H172" s="48"/>
      <c r="I172" s="28"/>
    </row>
    <row r="173" spans="1:9" x14ac:dyDescent="0.2">
      <c r="A173" s="28"/>
      <c r="B173" s="35" t="s">
        <v>17</v>
      </c>
      <c r="C173" s="37"/>
      <c r="D173" s="37"/>
      <c r="E173" s="46"/>
      <c r="F173" s="28"/>
      <c r="G173" s="47"/>
      <c r="H173" s="48"/>
      <c r="I173" s="28"/>
    </row>
    <row r="174" spans="1:9" x14ac:dyDescent="0.2">
      <c r="A174" s="28"/>
      <c r="B174" s="36"/>
      <c r="C174" s="94"/>
      <c r="D174" s="94"/>
      <c r="E174" s="94"/>
      <c r="F174" s="28"/>
      <c r="G174" s="47"/>
      <c r="H174" s="48"/>
      <c r="I174" s="28"/>
    </row>
    <row r="175" spans="1:9" x14ac:dyDescent="0.2">
      <c r="A175" s="28"/>
      <c r="B175" s="35" t="s">
        <v>18</v>
      </c>
      <c r="C175" s="33"/>
      <c r="D175" s="33"/>
      <c r="E175" s="34"/>
      <c r="F175" s="28"/>
      <c r="G175" s="47"/>
      <c r="H175" s="48"/>
      <c r="I175" s="28"/>
    </row>
    <row r="176" spans="1:9" x14ac:dyDescent="0.2">
      <c r="A176" s="28"/>
      <c r="B176" s="35"/>
      <c r="C176" s="95"/>
      <c r="D176" s="95"/>
      <c r="E176" s="95"/>
      <c r="F176" s="28"/>
      <c r="G176" s="47"/>
      <c r="H176" s="48"/>
      <c r="I176" s="28"/>
    </row>
    <row r="177" spans="1:9" ht="13.5" thickBot="1" x14ac:dyDescent="0.25">
      <c r="A177" s="28"/>
      <c r="B177" s="38"/>
      <c r="C177" s="39"/>
      <c r="D177" s="39"/>
      <c r="E177" s="40"/>
      <c r="F177" s="28"/>
      <c r="G177" s="47"/>
      <c r="H177" s="48"/>
      <c r="I177" s="28"/>
    </row>
    <row r="178" spans="1:9" x14ac:dyDescent="0.2">
      <c r="A178" s="28"/>
      <c r="B178" s="28"/>
      <c r="C178" s="28"/>
      <c r="D178" s="28"/>
      <c r="E178" s="28"/>
      <c r="F178" s="28"/>
      <c r="G178" s="47"/>
      <c r="H178" s="48"/>
      <c r="I178" s="28"/>
    </row>
    <row r="179" spans="1:9" x14ac:dyDescent="0.2">
      <c r="A179" s="28"/>
      <c r="B179" s="28"/>
      <c r="C179" s="28"/>
      <c r="D179" s="28"/>
      <c r="E179" s="28"/>
      <c r="F179" s="28"/>
      <c r="G179" s="47"/>
      <c r="H179" s="48"/>
      <c r="I179" s="28"/>
    </row>
    <row r="180" spans="1:9" x14ac:dyDescent="0.2">
      <c r="A180" s="28"/>
      <c r="B180" s="28"/>
      <c r="C180" s="28"/>
      <c r="D180" s="28"/>
      <c r="E180" s="28"/>
      <c r="F180" s="28"/>
      <c r="G180" s="47"/>
      <c r="H180" s="48"/>
      <c r="I180" s="28"/>
    </row>
  </sheetData>
  <mergeCells count="79">
    <mergeCell ref="C46:E46"/>
    <mergeCell ref="C48:E48"/>
    <mergeCell ref="C50:E50"/>
    <mergeCell ref="C52:E52"/>
    <mergeCell ref="C26:E26"/>
    <mergeCell ref="C28:E28"/>
    <mergeCell ref="C30:E30"/>
    <mergeCell ref="C39:E39"/>
    <mergeCell ref="C45:E45"/>
    <mergeCell ref="A6:B6"/>
    <mergeCell ref="A7:B7"/>
    <mergeCell ref="C17:E17"/>
    <mergeCell ref="C23:E23"/>
    <mergeCell ref="C24:E24"/>
    <mergeCell ref="E11:H11"/>
    <mergeCell ref="B2:H2"/>
    <mergeCell ref="A4:B4"/>
    <mergeCell ref="C4:E4"/>
    <mergeCell ref="A5:B5"/>
    <mergeCell ref="C5:E5"/>
    <mergeCell ref="C59:E59"/>
    <mergeCell ref="C61:E61"/>
    <mergeCell ref="C62:E62"/>
    <mergeCell ref="C64:E64"/>
    <mergeCell ref="C66:E66"/>
    <mergeCell ref="C68:E68"/>
    <mergeCell ref="C74:E74"/>
    <mergeCell ref="C76:E76"/>
    <mergeCell ref="C77:E77"/>
    <mergeCell ref="C79:E79"/>
    <mergeCell ref="C81:E81"/>
    <mergeCell ref="C83:E83"/>
    <mergeCell ref="C90:E90"/>
    <mergeCell ref="C92:E92"/>
    <mergeCell ref="C93:E93"/>
    <mergeCell ref="C95:E95"/>
    <mergeCell ref="C97:E97"/>
    <mergeCell ref="C99:E99"/>
    <mergeCell ref="C105:E105"/>
    <mergeCell ref="C107:E107"/>
    <mergeCell ref="C108:E108"/>
    <mergeCell ref="C110:E110"/>
    <mergeCell ref="C112:E112"/>
    <mergeCell ref="C114:E114"/>
    <mergeCell ref="C121:E121"/>
    <mergeCell ref="C123:E123"/>
    <mergeCell ref="C124:E124"/>
    <mergeCell ref="C126:E126"/>
    <mergeCell ref="C128:E128"/>
    <mergeCell ref="C130:E130"/>
    <mergeCell ref="C136:E136"/>
    <mergeCell ref="C138:E138"/>
    <mergeCell ref="C139:E139"/>
    <mergeCell ref="C141:E141"/>
    <mergeCell ref="C143:E143"/>
    <mergeCell ref="C167:E167"/>
    <mergeCell ref="C169:E169"/>
    <mergeCell ref="C170:E170"/>
    <mergeCell ref="C145:E145"/>
    <mergeCell ref="C152:E152"/>
    <mergeCell ref="C154:E154"/>
    <mergeCell ref="C155:E155"/>
    <mergeCell ref="C157:E157"/>
    <mergeCell ref="C172:E172"/>
    <mergeCell ref="C174:E174"/>
    <mergeCell ref="C176:E176"/>
    <mergeCell ref="C19:E19"/>
    <mergeCell ref="C20:E20"/>
    <mergeCell ref="C21:E21"/>
    <mergeCell ref="C22:E22"/>
    <mergeCell ref="C41:E41"/>
    <mergeCell ref="C42:E42"/>
    <mergeCell ref="C43:E43"/>
    <mergeCell ref="C44:E44"/>
    <mergeCell ref="C36:E36"/>
    <mergeCell ref="C37:E37"/>
    <mergeCell ref="C38:E38"/>
    <mergeCell ref="C159:E159"/>
    <mergeCell ref="C161:E16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110" zoomScaleNormal="110" workbookViewId="0">
      <selection activeCell="A13" sqref="A13:I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5" t="s">
        <v>19</v>
      </c>
      <c r="B1" s="105"/>
      <c r="C1" s="105"/>
      <c r="D1" s="105"/>
      <c r="E1" s="105"/>
      <c r="F1" s="105"/>
      <c r="G1" s="105"/>
      <c r="H1" s="105"/>
      <c r="I1" s="105"/>
      <c r="J1" s="59" t="s">
        <v>20</v>
      </c>
      <c r="K1" s="60" t="s">
        <v>76</v>
      </c>
    </row>
    <row r="2" spans="1:11" ht="18.75" customHeight="1" thickBot="1" x14ac:dyDescent="0.2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</row>
    <row r="3" spans="1:11" ht="18.75" customHeight="1" thickBot="1" x14ac:dyDescent="0.25">
      <c r="A3" s="106" t="s">
        <v>53</v>
      </c>
      <c r="B3" s="106"/>
      <c r="C3" s="106"/>
      <c r="D3" s="107" t="str">
        <f>'Necesidades Trimestrales'!C4</f>
        <v>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08" t="s">
        <v>54</v>
      </c>
      <c r="B4" s="108"/>
      <c r="C4" s="108"/>
      <c r="D4" s="107" t="str">
        <f>'Necesidades Trimestrales'!C5</f>
        <v>11 - DIRECCION PROVINCIAL DE ADMINISTRACION - MINISTERIO DE SALUD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08" t="s">
        <v>32</v>
      </c>
      <c r="B5" s="108"/>
      <c r="C5" s="108"/>
      <c r="D5" s="107" t="s">
        <v>72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06" t="s">
        <v>55</v>
      </c>
      <c r="B6" s="106"/>
      <c r="C6" s="106"/>
      <c r="D6" s="107" t="s">
        <v>72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08" t="s">
        <v>21</v>
      </c>
      <c r="B7" s="108"/>
      <c r="C7" s="108"/>
      <c r="D7" s="107" t="str">
        <f>'Necesidades Trimestrales'!C7 &amp; "° Trimestre - Año " &amp; 'Necesidades Trimestrales'!C6</f>
        <v>1° Trimestre - Año 2021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112" t="s">
        <v>22</v>
      </c>
      <c r="B8" s="112"/>
      <c r="C8" s="112"/>
      <c r="D8" s="113"/>
      <c r="E8" s="113"/>
      <c r="F8" s="113"/>
      <c r="G8" s="113"/>
      <c r="H8" s="113"/>
      <c r="I8" s="113"/>
      <c r="J8" s="113"/>
      <c r="K8" s="113"/>
    </row>
    <row r="9" spans="1:11" ht="15.75" x14ac:dyDescent="0.2">
      <c r="A9" s="63"/>
      <c r="B9" s="63"/>
      <c r="C9" s="63"/>
      <c r="D9" s="64"/>
      <c r="E9" s="64"/>
      <c r="F9" s="64"/>
      <c r="G9" s="64"/>
      <c r="H9" s="64"/>
      <c r="I9" s="64"/>
      <c r="J9" s="64"/>
      <c r="K9" s="64"/>
    </row>
    <row r="10" spans="1:11" ht="18.75" customHeight="1" x14ac:dyDescent="0.2">
      <c r="A10" s="114" t="s">
        <v>23</v>
      </c>
      <c r="B10" s="115" t="s">
        <v>24</v>
      </c>
      <c r="C10" s="115" t="s">
        <v>25</v>
      </c>
      <c r="D10" s="115"/>
      <c r="E10" s="115"/>
      <c r="F10" s="115"/>
      <c r="G10" s="115"/>
      <c r="H10" s="115" t="s">
        <v>26</v>
      </c>
      <c r="I10" s="115" t="s">
        <v>27</v>
      </c>
      <c r="J10" s="115" t="s">
        <v>28</v>
      </c>
      <c r="K10" s="116" t="s">
        <v>29</v>
      </c>
    </row>
    <row r="11" spans="1:11" ht="24" customHeight="1" thickBot="1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6"/>
    </row>
    <row r="12" spans="1:11" ht="33" customHeight="1" thickBot="1" x14ac:dyDescent="0.25">
      <c r="A12" s="74">
        <v>2</v>
      </c>
      <c r="B12" s="70" t="str">
        <f>'Necesidades Trimestrales'!B10</f>
        <v>2.5.6-793.31</v>
      </c>
      <c r="C12" s="111" t="str">
        <f>'Necesidades Trimestrales'!E10</f>
        <v>GAS OIL; PRESENTACION: POR LITRO, USO: MOTORES DIESEL, COMERCIALIZACION: GRADO 3, DESTINO: DPTO. S.F.V. DE CATAMARCA</v>
      </c>
      <c r="D12" s="111"/>
      <c r="E12" s="111"/>
      <c r="F12" s="111"/>
      <c r="G12" s="111"/>
      <c r="H12" s="75" t="s">
        <v>75</v>
      </c>
      <c r="I12" s="71" t="str">
        <f>'Necesidades Trimestrales'!F10</f>
        <v>LITROS</v>
      </c>
      <c r="J12" s="72">
        <f>'Necesidades Trimestrales'!H10</f>
        <v>83.1</v>
      </c>
      <c r="K12" s="73">
        <f>'Necesidades Trimestrales'!G10</f>
        <v>24691</v>
      </c>
    </row>
    <row r="13" spans="1:11" ht="20.25" customHeight="1" thickBot="1" x14ac:dyDescent="0.25">
      <c r="A13" s="109" t="s">
        <v>79</v>
      </c>
      <c r="B13" s="109"/>
      <c r="C13" s="109"/>
      <c r="D13" s="109"/>
      <c r="E13" s="109"/>
      <c r="F13" s="109"/>
      <c r="G13" s="109"/>
      <c r="H13" s="109"/>
      <c r="I13" s="109"/>
      <c r="J13" s="110">
        <f>SUMPRODUCT(J12:J12,K12:K12)</f>
        <v>2051822.0999999999</v>
      </c>
      <c r="K13" s="110"/>
    </row>
    <row r="14" spans="1:11" x14ac:dyDescent="0.2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zoomScale="115" zoomScaleNormal="115" workbookViewId="0">
      <selection activeCell="S14" sqref="S14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7" t="s">
        <v>3</v>
      </c>
      <c r="B1" s="117"/>
      <c r="C1" s="117"/>
      <c r="D1" s="118">
        <f>'Necesidades Trimestrales'!C6</f>
        <v>2021</v>
      </c>
      <c r="E1" s="118"/>
      <c r="F1" s="4"/>
      <c r="G1" s="4"/>
      <c r="H1" s="5"/>
      <c r="I1" s="5"/>
      <c r="J1" s="5"/>
      <c r="K1" s="5"/>
      <c r="L1" s="5"/>
      <c r="M1" s="5"/>
      <c r="N1" s="5"/>
      <c r="P1" s="119" t="s">
        <v>30</v>
      </c>
      <c r="Q1" s="119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19"/>
      <c r="Q2" s="119"/>
    </row>
    <row r="4" spans="1:17" s="6" customFormat="1" ht="18" customHeight="1" thickBot="1" x14ac:dyDescent="0.25">
      <c r="A4" s="120" t="s">
        <v>31</v>
      </c>
      <c r="B4" s="120"/>
      <c r="C4" s="120"/>
      <c r="D4" s="120"/>
      <c r="E4" s="120"/>
      <c r="F4" s="120"/>
      <c r="G4" s="121" t="str">
        <f>' NotaPedido'!D3</f>
        <v>40 - MINISTERIO DE SALUD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s="6" customFormat="1" ht="18" customHeight="1" thickBot="1" x14ac:dyDescent="0.25">
      <c r="A5" s="122" t="s">
        <v>54</v>
      </c>
      <c r="B5" s="123"/>
      <c r="C5" s="123"/>
      <c r="D5" s="123"/>
      <c r="E5" s="123"/>
      <c r="F5" s="124"/>
      <c r="G5" s="121" t="str">
        <f>' NotaPedido'!D4</f>
        <v>11 - DIRECCION PROVINCIAL DE ADMINISTRACION - MINISTERIO DE SALUD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7" s="6" customFormat="1" ht="18" customHeight="1" thickBot="1" x14ac:dyDescent="0.25">
      <c r="A6" s="122" t="s">
        <v>32</v>
      </c>
      <c r="B6" s="123"/>
      <c r="C6" s="123"/>
      <c r="D6" s="123"/>
      <c r="E6" s="123"/>
      <c r="F6" s="124"/>
      <c r="G6" s="121" t="s">
        <v>72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s="6" customFormat="1" ht="18" customHeight="1" thickBot="1" x14ac:dyDescent="0.25">
      <c r="A7" s="122" t="s">
        <v>55</v>
      </c>
      <c r="B7" s="123"/>
      <c r="C7" s="123"/>
      <c r="D7" s="123"/>
      <c r="E7" s="123"/>
      <c r="F7" s="124"/>
      <c r="G7" s="121" t="s">
        <v>72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8" customHeight="1" thickBot="1" x14ac:dyDescent="0.25">
      <c r="A8" s="125" t="s">
        <v>33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</row>
    <row r="9" spans="1:17" ht="18" customHeight="1" x14ac:dyDescent="0.2">
      <c r="A9" s="126" t="s">
        <v>34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"/>
      <c r="P9" s="1"/>
      <c r="Q9" s="7"/>
    </row>
    <row r="10" spans="1:17" ht="54.75" customHeight="1" x14ac:dyDescent="0.2">
      <c r="A10" s="12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0007/2021,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28" t="s">
        <v>35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7" ht="15.75" customHeight="1" x14ac:dyDescent="0.2">
      <c r="A13" s="129" t="s">
        <v>36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37</v>
      </c>
      <c r="P13" s="130"/>
      <c r="Q13" s="131" t="s">
        <v>38</v>
      </c>
    </row>
    <row r="14" spans="1:17" ht="15.75" customHeight="1" thickBot="1" x14ac:dyDescent="0.25">
      <c r="A14" s="12" t="s">
        <v>39</v>
      </c>
      <c r="B14" s="13" t="s">
        <v>40</v>
      </c>
      <c r="C14" s="13" t="s">
        <v>41</v>
      </c>
      <c r="D14" s="13" t="s">
        <v>42</v>
      </c>
      <c r="E14" s="13" t="s">
        <v>43</v>
      </c>
      <c r="F14" s="13" t="s">
        <v>44</v>
      </c>
      <c r="G14" s="14" t="s">
        <v>45</v>
      </c>
      <c r="H14" s="13" t="s">
        <v>46</v>
      </c>
      <c r="I14" s="13" t="s">
        <v>47</v>
      </c>
      <c r="J14" s="13" t="s">
        <v>48</v>
      </c>
      <c r="K14" s="13" t="s">
        <v>48</v>
      </c>
      <c r="L14" s="13" t="s">
        <v>49</v>
      </c>
      <c r="M14" s="15" t="s">
        <v>50</v>
      </c>
      <c r="N14" s="16" t="s">
        <v>51</v>
      </c>
      <c r="O14" s="130"/>
      <c r="P14" s="130"/>
      <c r="Q14" s="131"/>
    </row>
    <row r="15" spans="1:17" s="41" customFormat="1" ht="17.25" customHeight="1" x14ac:dyDescent="0.2">
      <c r="A15" s="42">
        <v>50</v>
      </c>
      <c r="B15" s="43"/>
      <c r="C15" s="43"/>
      <c r="D15" s="43">
        <v>1</v>
      </c>
      <c r="E15" s="43"/>
      <c r="F15" s="85">
        <v>4901</v>
      </c>
      <c r="G15" s="85">
        <v>3</v>
      </c>
      <c r="H15" s="85">
        <v>1</v>
      </c>
      <c r="I15" s="85">
        <v>2</v>
      </c>
      <c r="J15" s="85">
        <v>5</v>
      </c>
      <c r="K15" s="85">
        <v>6</v>
      </c>
      <c r="L15" s="85"/>
      <c r="M15" s="86">
        <v>1</v>
      </c>
      <c r="N15" s="87" t="s">
        <v>69</v>
      </c>
      <c r="O15" s="132" t="s">
        <v>58</v>
      </c>
      <c r="P15" s="132"/>
      <c r="Q15" s="84">
        <f>+'Necesidades Trimestrales'!H19</f>
        <v>110772.29999999999</v>
      </c>
    </row>
    <row r="16" spans="1:17" s="41" customFormat="1" ht="17.25" customHeight="1" x14ac:dyDescent="0.2">
      <c r="A16" s="79">
        <v>29</v>
      </c>
      <c r="B16" s="80"/>
      <c r="C16" s="80"/>
      <c r="D16" s="80">
        <v>1</v>
      </c>
      <c r="E16" s="80"/>
      <c r="F16" s="88">
        <v>4901</v>
      </c>
      <c r="G16" s="88">
        <v>3</v>
      </c>
      <c r="H16" s="88">
        <v>1</v>
      </c>
      <c r="I16" s="88">
        <v>2</v>
      </c>
      <c r="J16" s="88">
        <v>5</v>
      </c>
      <c r="K16" s="88">
        <v>6</v>
      </c>
      <c r="L16" s="88"/>
      <c r="M16" s="89">
        <v>1</v>
      </c>
      <c r="N16" s="90" t="s">
        <v>69</v>
      </c>
      <c r="O16" s="143" t="s">
        <v>58</v>
      </c>
      <c r="P16" s="143"/>
      <c r="Q16" s="83">
        <f>+'Necesidades Trimestrales'!H20</f>
        <v>729202.5</v>
      </c>
    </row>
    <row r="17" spans="1:17" s="41" customFormat="1" ht="17.25" customHeight="1" x14ac:dyDescent="0.2">
      <c r="A17" s="79">
        <v>3</v>
      </c>
      <c r="B17" s="80"/>
      <c r="C17" s="80"/>
      <c r="D17" s="80">
        <v>1</v>
      </c>
      <c r="E17" s="80"/>
      <c r="F17" s="88">
        <v>4901</v>
      </c>
      <c r="G17" s="88">
        <v>3</v>
      </c>
      <c r="H17" s="88">
        <v>1</v>
      </c>
      <c r="I17" s="88">
        <v>2</v>
      </c>
      <c r="J17" s="88">
        <v>5</v>
      </c>
      <c r="K17" s="88">
        <v>6</v>
      </c>
      <c r="L17" s="88"/>
      <c r="M17" s="89">
        <v>1</v>
      </c>
      <c r="N17" s="90" t="s">
        <v>69</v>
      </c>
      <c r="O17" s="143" t="s">
        <v>58</v>
      </c>
      <c r="P17" s="143"/>
      <c r="Q17" s="83">
        <f>+'Necesidades Trimestrales'!H40</f>
        <v>999942.29999999993</v>
      </c>
    </row>
    <row r="18" spans="1:17" s="41" customFormat="1" ht="17.25" customHeight="1" x14ac:dyDescent="0.2">
      <c r="A18" s="79">
        <v>27</v>
      </c>
      <c r="B18" s="80"/>
      <c r="C18" s="80"/>
      <c r="D18" s="80">
        <v>1</v>
      </c>
      <c r="E18" s="80"/>
      <c r="F18" s="88">
        <v>4901</v>
      </c>
      <c r="G18" s="88">
        <v>3</v>
      </c>
      <c r="H18" s="88">
        <v>1</v>
      </c>
      <c r="I18" s="88">
        <v>2</v>
      </c>
      <c r="J18" s="88">
        <v>5</v>
      </c>
      <c r="K18" s="88">
        <v>6</v>
      </c>
      <c r="L18" s="88"/>
      <c r="M18" s="89">
        <v>1</v>
      </c>
      <c r="N18" s="90" t="s">
        <v>69</v>
      </c>
      <c r="O18" s="144" t="s">
        <v>58</v>
      </c>
      <c r="P18" s="144"/>
      <c r="Q18" s="83">
        <f>+'Necesidades Trimestrales'!H41</f>
        <v>128804.99999999999</v>
      </c>
    </row>
    <row r="19" spans="1:17" s="41" customFormat="1" ht="17.25" customHeight="1" x14ac:dyDescent="0.2">
      <c r="A19" s="79">
        <v>34</v>
      </c>
      <c r="B19" s="80"/>
      <c r="C19" s="80"/>
      <c r="D19" s="80">
        <v>1</v>
      </c>
      <c r="E19" s="80"/>
      <c r="F19" s="80">
        <v>4901</v>
      </c>
      <c r="G19" s="80">
        <v>3</v>
      </c>
      <c r="H19" s="80">
        <v>1</v>
      </c>
      <c r="I19" s="80">
        <v>2</v>
      </c>
      <c r="J19" s="80">
        <v>5</v>
      </c>
      <c r="K19" s="80">
        <v>6</v>
      </c>
      <c r="L19" s="80"/>
      <c r="M19" s="81">
        <v>1</v>
      </c>
      <c r="N19" s="82" t="s">
        <v>69</v>
      </c>
      <c r="O19" s="144" t="s">
        <v>58</v>
      </c>
      <c r="P19" s="144"/>
      <c r="Q19" s="83">
        <f>+'Necesidades Trimestrales'!H42</f>
        <v>83100</v>
      </c>
    </row>
    <row r="20" spans="1:17" ht="17.25" customHeight="1" x14ac:dyDescent="0.2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20"/>
      <c r="O20" s="133"/>
      <c r="P20" s="133"/>
      <c r="Q20" s="21"/>
    </row>
    <row r="21" spans="1:17" ht="17.25" customHeight="1" x14ac:dyDescent="0.2">
      <c r="A21" s="17"/>
      <c r="B21" s="18"/>
      <c r="C21" s="18"/>
      <c r="D21" s="18"/>
      <c r="E21" s="18"/>
      <c r="F21" s="20"/>
      <c r="G21" s="18"/>
      <c r="H21" s="18"/>
      <c r="I21" s="18"/>
      <c r="J21" s="18"/>
      <c r="K21" s="18"/>
      <c r="L21" s="18"/>
      <c r="M21" s="19"/>
      <c r="N21" s="20"/>
      <c r="O21" s="134"/>
      <c r="P21" s="134"/>
      <c r="Q21" s="21"/>
    </row>
    <row r="22" spans="1:17" ht="17.25" customHeight="1" thickBot="1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4"/>
      <c r="N22" s="23"/>
      <c r="O22" s="140"/>
      <c r="P22" s="140"/>
      <c r="Q22" s="25"/>
    </row>
    <row r="23" spans="1:17" ht="30.75" customHeight="1" x14ac:dyDescent="0.2">
      <c r="A23" s="141" t="s">
        <v>80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26">
        <f>SUM(Q15:Q22)</f>
        <v>2051822.1</v>
      </c>
    </row>
    <row r="24" spans="1:17" ht="18" customHeight="1" thickBot="1" x14ac:dyDescent="0.25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</row>
    <row r="25" spans="1:17" ht="17.25" customHeight="1" thickBot="1" x14ac:dyDescent="0.25">
      <c r="A25" s="135" t="s">
        <v>52</v>
      </c>
      <c r="B25" s="136"/>
      <c r="C25" s="136"/>
      <c r="D25" s="136"/>
      <c r="E25" s="136"/>
      <c r="F25" s="137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</row>
    <row r="26" spans="1:17" ht="18" customHeight="1" thickBot="1" x14ac:dyDescent="0.25">
      <c r="A26" s="139" t="s">
        <v>70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</row>
    <row r="27" spans="1:17" ht="15" customHeight="1" x14ac:dyDescent="0.2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</row>
  </sheetData>
  <mergeCells count="31">
    <mergeCell ref="A26:Q27"/>
    <mergeCell ref="O22:P22"/>
    <mergeCell ref="A23:P23"/>
    <mergeCell ref="A24:Q24"/>
    <mergeCell ref="O16:P16"/>
    <mergeCell ref="O17:P17"/>
    <mergeCell ref="O18:P18"/>
    <mergeCell ref="O19:P19"/>
    <mergeCell ref="O15:P15"/>
    <mergeCell ref="O20:P20"/>
    <mergeCell ref="O21:P21"/>
    <mergeCell ref="A25:F25"/>
    <mergeCell ref="G25:Q25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2021-08-12T14:57:48Z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