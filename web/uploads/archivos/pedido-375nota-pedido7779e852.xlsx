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2022\Oncologico\3er trim\"/>
    </mc:Choice>
  </mc:AlternateContent>
  <xr:revisionPtr revIDLastSave="0" documentId="13_ncr:1_{800DB5A1-5004-4462-9D9B-1A04CB5F5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" i="2" l="1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N12" i="2"/>
  <c r="M12" i="2"/>
  <c r="L12" i="2"/>
  <c r="A41" i="3"/>
  <c r="G6" i="3"/>
  <c r="G7" i="3"/>
  <c r="G4" i="3"/>
  <c r="K13" i="2"/>
  <c r="K14" i="2"/>
  <c r="K15" i="2"/>
  <c r="K16" i="2"/>
  <c r="K17" i="2"/>
  <c r="K18" i="2"/>
  <c r="K19" i="2"/>
  <c r="K20" i="2"/>
  <c r="K12" i="2"/>
  <c r="I13" i="2"/>
  <c r="I14" i="2"/>
  <c r="I15" i="2"/>
  <c r="I16" i="2"/>
  <c r="I17" i="2"/>
  <c r="I18" i="2"/>
  <c r="I19" i="2"/>
  <c r="I20" i="2"/>
  <c r="I12" i="2"/>
  <c r="J13" i="2"/>
  <c r="J14" i="2"/>
  <c r="J22" i="2" s="1"/>
  <c r="Q15" i="3" s="1"/>
  <c r="J15" i="2"/>
  <c r="J16" i="2"/>
  <c r="J17" i="2"/>
  <c r="J18" i="2"/>
  <c r="J19" i="2"/>
  <c r="J20" i="2"/>
  <c r="J12" i="2"/>
  <c r="C13" i="2"/>
  <c r="C14" i="2"/>
  <c r="C15" i="2"/>
  <c r="C16" i="2"/>
  <c r="C17" i="2"/>
  <c r="C18" i="2"/>
  <c r="C19" i="2"/>
  <c r="C20" i="2"/>
  <c r="C12" i="2"/>
  <c r="B13" i="2"/>
  <c r="B14" i="2"/>
  <c r="B15" i="2"/>
  <c r="B16" i="2"/>
  <c r="B17" i="2"/>
  <c r="B18" i="2"/>
  <c r="B19" i="2"/>
  <c r="B20" i="2"/>
  <c r="B12" i="2"/>
  <c r="D4" i="2"/>
  <c r="G5" i="3" s="1"/>
  <c r="D3" i="2"/>
  <c r="Q38" i="3" l="1"/>
  <c r="AY18" i="1" l="1"/>
  <c r="AY11" i="1"/>
  <c r="AY12" i="1"/>
  <c r="AY15" i="1"/>
  <c r="AY10" i="1"/>
  <c r="AY13" i="1"/>
  <c r="AY16" i="1"/>
  <c r="AY14" i="1"/>
  <c r="AY17" i="1"/>
  <c r="BA11" i="1" l="1"/>
  <c r="BA12" i="1"/>
  <c r="BA15" i="1"/>
  <c r="BA10" i="1"/>
  <c r="BA13" i="1"/>
  <c r="BA16" i="1"/>
  <c r="BA14" i="1"/>
  <c r="BA17" i="1"/>
  <c r="R11" i="1"/>
  <c r="R12" i="1"/>
  <c r="R15" i="1"/>
  <c r="R10" i="1"/>
  <c r="R13" i="1"/>
  <c r="R16" i="1"/>
  <c r="R14" i="1"/>
  <c r="R17" i="1"/>
  <c r="R18" i="1"/>
  <c r="R19" i="1" l="1"/>
  <c r="AN14" i="1"/>
  <c r="AN17" i="1"/>
  <c r="AN19" i="1"/>
  <c r="AN18" i="1"/>
  <c r="BA18" i="1" l="1"/>
  <c r="BA19" i="1" s="1"/>
</calcChain>
</file>

<file path=xl/sharedStrings.xml><?xml version="1.0" encoding="utf-8"?>
<sst xmlns="http://schemas.openxmlformats.org/spreadsheetml/2006/main" count="178" uniqueCount="140">
  <si>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</si>
  <si>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</si>
  <si>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</si>
  <si>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</si>
  <si>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</si>
  <si>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</si>
  <si>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</si>
  <si>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</si>
  <si>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</si>
  <si>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</si>
  <si>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</si>
  <si>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</si>
  <si>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</si>
  <si>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</si>
  <si>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</si>
  <si>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</si>
  <si>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</si>
  <si>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</si>
  <si>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</si>
  <si>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</si>
  <si>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</si>
  <si>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</si>
  <si>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</si>
  <si>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</si>
  <si>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</si>
  <si>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</si>
  <si>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</si>
  <si>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</si>
  <si>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</si>
  <si>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</si>
  <si>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</si>
  <si>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</si>
  <si>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</si>
  <si>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</si>
  <si>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</si>
  <si>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</si>
  <si>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</si>
  <si>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</si>
  <si>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</si>
  <si>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</si>
  <si>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</si>
  <si>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</si>
  <si>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</si>
  <si>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</si>
  <si>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</si>
  <si>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</si>
  <si>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</si>
  <si>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</si>
  <si>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TOTAL SAME</t>
  </si>
  <si>
    <t>EPIDEMIOLOGIA</t>
  </si>
  <si>
    <t>TOTAL EPIDEMIOLOGIA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</si>
  <si>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</si>
  <si>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</si>
  <si>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</si>
  <si>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</si>
  <si>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</si>
  <si>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</si>
  <si>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</si>
  <si>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</si>
  <si>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</si>
  <si>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AMPOLLA</t>
  </si>
  <si>
    <t>2.5.2-1913.9</t>
  </si>
  <si>
    <t>PRODUCTOS FARMACEUTICOS Y MEDICINALES</t>
  </si>
  <si>
    <t>2.5.2</t>
  </si>
  <si>
    <t>SULFONAMIDA-QUIMIOTERAPICO; TIPO: MONODROGA, DROGA GENERICA: DACTINOMICINA, FORMA FARMACEUTICA: AMPOLLA, PRESENTACION: 0,5 mGr</t>
  </si>
  <si>
    <t>ANTINEOPLASICOS; TIPO: MONODROGA, DROGA GENERICA: BRENTUXIMAB, FORMA FARMACEUTICA: AMPOLLA, PRESENTACION: UNIDAD</t>
  </si>
  <si>
    <t>2.5.2-1894.102</t>
  </si>
  <si>
    <t>CITOSTATICOS; TIPO: MONODROGA, DROGA GENERICA: BEVACIZUMAB 400 MG, FORMA FARMACEUTICA: VIAL X 16 mL, PRESENTACION: UNIDAD</t>
  </si>
  <si>
    <t>ANTINEOPLASICOS; TIPO: MONODROGA, DROGA GENERICA: ASPARAGINASA PEGILADA, FORMA FARMACEUTICA: FRASCO AMPOLLA, PRESENTACION: ENVASE X 3750 UI</t>
  </si>
  <si>
    <t>ANTINEOPLASICOS; TIPO: MONODROGA, DROGA GENERICA: PEMBROLIZUMAB, FORMA FARMACEUTICA: AMPOLLA, PRESENTACION: UNIDAD</t>
  </si>
  <si>
    <t>SUBCUTANEO</t>
  </si>
  <si>
    <t>TOTAL RUBRO MEDICAMENTOS ONCOLOGICOS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</si>
  <si>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</si>
  <si>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</si>
  <si>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</si>
  <si>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</si>
  <si>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</si>
  <si>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</si>
  <si>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</si>
  <si>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</si>
  <si>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</si>
  <si>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</si>
  <si>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</si>
  <si>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</si>
  <si>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</si>
  <si>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</si>
  <si>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</si>
  <si>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</si>
  <si>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</si>
  <si>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</si>
  <si>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</si>
  <si>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</si>
  <si>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</si>
  <si>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</si>
  <si>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</si>
  <si>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</si>
  <si>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</si>
  <si>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</si>
  <si>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</si>
  <si>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</si>
  <si>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</si>
  <si>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</si>
  <si>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</si>
  <si>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</si>
  <si>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</si>
  <si>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</si>
  <si>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</si>
  <si>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</si>
  <si>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</si>
  <si>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</si>
  <si>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</si>
  <si>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2.5.2-3956.30</t>
  </si>
  <si>
    <t>ANTINEOPLASICOS; TIPO: MONODROGA, DROGA GENERICA: BORTEZOMIB, FORMA FARMACEUTICA: AMPOLLA, PRESENTACION: ENVASE X 3,5 MGR</t>
  </si>
  <si>
    <t>2.5.2-3956.65</t>
  </si>
  <si>
    <t>2.5.2-3956.66</t>
  </si>
  <si>
    <t>2.5.2-3956.63</t>
  </si>
  <si>
    <t>2.5.2-1894.125</t>
  </si>
  <si>
    <t>CITOSTATICOS; TIPO: MONODROGA, DROGA GENERICA: PERTUZUMAB 420 MG, FORMA FARMACEUTICA: AMPOLLA, PRESENTACION: ENVASE X 14 ML</t>
  </si>
  <si>
    <t>2.5.2-3956.22</t>
  </si>
  <si>
    <t>ANTINEOPLASICOS; TIPO: MONODROGA, DROGA GENERICA: TRANTUZUMAB, FORMA FARMACEUTICA: AMPOLLA, PRESENTACION: ENVASE X 440 mGr</t>
  </si>
  <si>
    <t>2.5.2-1894.126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</si>
  <si>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</si>
  <si>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</si>
  <si>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</si>
  <si>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</si>
  <si>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</si>
  <si>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</si>
  <si>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</si>
  <si>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CANCER - CHACABUCO N° 169 - en el horario de 8:00hs a 12:00hs de lunes a viernes</t>
  </si>
  <si>
    <t>diez (10) dias habiles</t>
  </si>
  <si>
    <t>ADQ. DEL RUBRO MEDICAMENTOS ONCOLOGICOS</t>
  </si>
  <si>
    <t>NO</t>
  </si>
  <si>
    <t>Costo total estimado: PESOS ONCE MILLONES CIENTO SETENTA Y NUEVE MIL CINCUENTA Y CUATRO CON 20/100.-</t>
  </si>
  <si>
    <t>1.1</t>
  </si>
  <si>
    <t>TOTAL DE PESOS: ONCE MILLONES CIENTO SETENTA Y NUEVE MIL CINCUENTA Y CUATRO CON 00/100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</si>
  <si>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</si>
  <si>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</si>
  <si>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159 - DIRECCION PROVINCIAL DE CANCER</t>
  </si>
  <si>
    <t>TRES (3) MESES</t>
  </si>
  <si>
    <r>
      <t xml:space="preserve">CITOSTATICOS; TIPO: MONODROGA, DROGA GENERICA: TRASTUZUMAB 600 MG, FORMA FARMACEUTICA: </t>
    </r>
    <r>
      <rPr>
        <b/>
        <sz val="10"/>
        <color rgb="FFFF0000"/>
        <rFont val="Calibri"/>
        <family val="2"/>
        <scheme val="minor"/>
      </rPr>
      <t>AMPOLLA</t>
    </r>
    <r>
      <rPr>
        <sz val="10"/>
        <color theme="1"/>
        <rFont val="Calibri"/>
        <family val="2"/>
        <scheme val="minor"/>
      </rPr>
      <t>, PRESENTACION: ENVASE X 5 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</si>
</sst>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  <numFmt numFmtId="175" formatCode="_-[$$-2C0A]\ * #,##0.0000_-;\-[$$-2C0A]\ * #,##0.0000_-;_-[$$-2C0A]\ 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7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69" fontId="16" fillId="0" borderId="0" applyBorder="0" applyProtection="0"/>
  </cellStyleXfs>
  <cellXfs count="186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7" fontId="9" fillId="0" borderId="2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3" fontId="10" fillId="0" borderId="4" xfId="2" applyNumberFormat="1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0" xfId="0" applyFont="1"/>
    <xf numFmtId="167" fontId="6" fillId="0" borderId="0" xfId="0" applyNumberFormat="1" applyFont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22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6" xfId="0" applyFont="1" applyBorder="1" applyAlignment="1">
      <alignment vertical="center"/>
    </xf>
    <xf numFmtId="0" fontId="23" fillId="0" borderId="2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 indent="1"/>
    </xf>
    <xf numFmtId="0" fontId="22" fillId="0" borderId="16" xfId="0" applyFont="1" applyBorder="1" applyAlignment="1">
      <alignment horizontal="left" vertical="center" wrapText="1" indent="1"/>
    </xf>
    <xf numFmtId="0" fontId="25" fillId="0" borderId="25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3" fontId="28" fillId="0" borderId="32" xfId="0" applyNumberFormat="1" applyFont="1" applyBorder="1"/>
    <xf numFmtId="170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8" xfId="0" applyBorder="1"/>
    <xf numFmtId="0" fontId="32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42" xfId="0" applyFont="1" applyBorder="1" applyAlignment="1">
      <alignment horizontal="left" vertical="center"/>
    </xf>
    <xf numFmtId="0" fontId="32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1" fontId="0" fillId="0" borderId="53" xfId="33" applyNumberFormat="1" applyFont="1" applyBorder="1" applyAlignment="1" applyProtection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33" applyNumberFormat="1" applyFont="1" applyBorder="1" applyAlignment="1" applyProtection="1">
      <alignment horizontal="center" vertical="center"/>
    </xf>
    <xf numFmtId="171" fontId="32" fillId="0" borderId="5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33" fillId="0" borderId="11" xfId="5" applyFont="1" applyBorder="1" applyAlignment="1">
      <alignment horizontal="center" vertical="center" wrapText="1"/>
    </xf>
    <xf numFmtId="0" fontId="33" fillId="0" borderId="21" xfId="5" applyFont="1" applyBorder="1" applyAlignment="1">
      <alignment horizontal="center" vertical="center" wrapText="1"/>
    </xf>
    <xf numFmtId="0" fontId="3" fillId="0" borderId="0" xfId="5" applyFont="1" applyAlignment="1">
      <alignment horizontal="left" vertical="center" wrapText="1"/>
    </xf>
    <xf numFmtId="0" fontId="33" fillId="0" borderId="21" xfId="5" applyFont="1" applyBorder="1" applyAlignment="1">
      <alignment horizontal="center" wrapText="1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left" vertical="center" wrapText="1"/>
    </xf>
    <xf numFmtId="0" fontId="22" fillId="0" borderId="30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6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6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3" fontId="26" fillId="0" borderId="68" xfId="0" applyNumberFormat="1" applyFont="1" applyBorder="1" applyAlignment="1">
      <alignment horizontal="center" vertical="center"/>
    </xf>
    <xf numFmtId="167" fontId="21" fillId="0" borderId="12" xfId="0" applyNumberFormat="1" applyFont="1" applyBorder="1" applyAlignment="1">
      <alignment horizontal="right" vertical="center"/>
    </xf>
    <xf numFmtId="167" fontId="21" fillId="0" borderId="0" xfId="0" applyNumberFormat="1" applyFont="1" applyAlignment="1">
      <alignment vertical="center"/>
    </xf>
    <xf numFmtId="167" fontId="22" fillId="0" borderId="62" xfId="0" applyNumberFormat="1" applyFont="1" applyBorder="1" applyAlignment="1">
      <alignment vertical="center"/>
    </xf>
    <xf numFmtId="167" fontId="22" fillId="0" borderId="0" xfId="0" applyNumberFormat="1" applyFont="1" applyAlignment="1">
      <alignment horizontal="left" vertical="center" wrapText="1" indent="1"/>
    </xf>
    <xf numFmtId="167" fontId="26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5" fillId="0" borderId="9" xfId="0" applyFont="1" applyBorder="1" applyAlignment="1">
      <alignment horizontal="center" vertical="center" wrapText="1"/>
    </xf>
    <xf numFmtId="167" fontId="25" fillId="0" borderId="9" xfId="0" applyNumberFormat="1" applyFont="1" applyBorder="1" applyAlignment="1">
      <alignment horizontal="center" vertical="center" wrapText="1"/>
    </xf>
    <xf numFmtId="3" fontId="25" fillId="0" borderId="26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167" fontId="25" fillId="0" borderId="10" xfId="0" applyNumberFormat="1" applyFont="1" applyBorder="1" applyAlignment="1">
      <alignment horizontal="center" vertical="center" wrapText="1"/>
    </xf>
    <xf numFmtId="3" fontId="25" fillId="0" borderId="28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3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5" fillId="0" borderId="69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167" fontId="24" fillId="0" borderId="23" xfId="0" applyNumberFormat="1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 indent="1"/>
    </xf>
    <xf numFmtId="166" fontId="34" fillId="0" borderId="30" xfId="0" applyNumberFormat="1" applyFont="1" applyBorder="1" applyAlignment="1">
      <alignment horizontal="center" vertical="center"/>
    </xf>
    <xf numFmtId="166" fontId="34" fillId="0" borderId="31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left"/>
    </xf>
    <xf numFmtId="0" fontId="0" fillId="0" borderId="30" xfId="0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16" fillId="0" borderId="33" xfId="0" applyFont="1" applyBorder="1"/>
    <xf numFmtId="0" fontId="30" fillId="0" borderId="34" xfId="0" applyFont="1" applyBorder="1" applyAlignment="1">
      <alignment horizontal="left" indent="1"/>
    </xf>
    <xf numFmtId="0" fontId="26" fillId="0" borderId="33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/>
    </xf>
    <xf numFmtId="0" fontId="0" fillId="0" borderId="52" xfId="0" applyBorder="1" applyAlignment="1">
      <alignment horizontal="center" vertical="center"/>
    </xf>
    <xf numFmtId="49" fontId="30" fillId="0" borderId="37" xfId="0" applyNumberFormat="1" applyFont="1" applyBorder="1" applyAlignment="1">
      <alignment horizontal="justify" vertical="center" wrapText="1"/>
    </xf>
    <xf numFmtId="0" fontId="32" fillId="0" borderId="36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28" fillId="0" borderId="18" xfId="0" applyFont="1" applyBorder="1" applyAlignment="1">
      <alignment vertical="center" wrapText="1"/>
    </xf>
    <xf numFmtId="0" fontId="30" fillId="0" borderId="40" xfId="0" applyFont="1" applyBorder="1" applyAlignment="1">
      <alignment vertical="center" wrapText="1"/>
    </xf>
    <xf numFmtId="0" fontId="30" fillId="0" borderId="29" xfId="0" applyFont="1" applyBorder="1" applyAlignment="1">
      <alignment horizontal="left" vertical="center" wrapText="1" indent="1"/>
    </xf>
    <xf numFmtId="0" fontId="0" fillId="0" borderId="55" xfId="0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0" fillId="0" borderId="36" xfId="0" applyBorder="1"/>
    <xf numFmtId="0" fontId="10" fillId="0" borderId="1" xfId="0" applyFont="1" applyBorder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6" xfId="0" applyFill="1" applyBorder="1" applyAlignment="1">
      <alignment horizontal="left" vertical="center" wrapText="1"/>
    </xf>
    <xf numFmtId="171" fontId="0" fillId="3" borderId="48" xfId="33" applyNumberFormat="1" applyFont="1" applyFill="1" applyBorder="1" applyAlignment="1" applyProtection="1">
      <alignment horizontal="center" vertical="center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"/>
  <sheetViews>
    <sheetView tabSelected="1" topLeftCell="A7" zoomScale="110" zoomScaleNormal="110" workbookViewId="0">
      <selection activeCell="AZ28" sqref="AZ28:BA36"/>
    </sheetView>
  </sheetViews>
  <sheetFormatPr baseColWidth="10" defaultRowHeight="15" x14ac:dyDescent="0.25"/>
  <cols>
    <col min="1" max="1" width="5.42578125" style="30" bestFit="1" customWidth="1"/>
    <col min="2" max="2" width="13.85546875" style="30" bestFit="1" customWidth="1"/>
    <col min="3" max="3" width="39" style="30" bestFit="1" customWidth="1"/>
    <col min="4" max="4" width="5.5703125" style="30" customWidth="1"/>
    <col min="5" max="5" width="89.85546875" style="31" bestFit="1" customWidth="1"/>
    <col min="6" max="6" width="15.5703125" style="30" bestFit="1" customWidth="1"/>
    <col min="7" max="7" width="17.140625" style="30" hidden="1" customWidth="1"/>
    <col min="8" max="8" width="10.85546875" style="30" hidden="1" customWidth="1"/>
    <col min="9" max="9" width="8" style="30" hidden="1" customWidth="1"/>
    <col min="10" max="10" width="14.5703125" style="33" hidden="1" customWidth="1"/>
    <col min="11" max="11" width="12.42578125" style="30" hidden="1" customWidth="1"/>
    <col min="12" max="12" width="15.85546875" style="30" hidden="1" customWidth="1"/>
    <col min="13" max="13" width="8.28515625" style="30" hidden="1" customWidth="1"/>
    <col min="14" max="14" width="14.140625" style="30" hidden="1" customWidth="1"/>
    <col min="15" max="15" width="5.42578125" style="30" hidden="1" customWidth="1"/>
    <col min="16" max="16" width="12.42578125" style="30" hidden="1" customWidth="1"/>
    <col min="17" max="17" width="14.7109375" style="30" hidden="1" customWidth="1"/>
    <col min="18" max="18" width="14.42578125" style="30" hidden="1" customWidth="1"/>
    <col min="19" max="19" width="10.5703125" style="32" hidden="1" customWidth="1"/>
    <col min="20" max="20" width="13.85546875" style="33" hidden="1" customWidth="1"/>
    <col min="21" max="21" width="14.7109375" style="30" hidden="1" customWidth="1"/>
    <col min="22" max="22" width="13.85546875" style="30" hidden="1" customWidth="1"/>
    <col min="23" max="23" width="6" style="30" hidden="1" customWidth="1"/>
    <col min="24" max="24" width="13.85546875" style="33" hidden="1" customWidth="1"/>
    <col min="25" max="25" width="10.140625" style="30" hidden="1" customWidth="1"/>
    <col min="26" max="26" width="13.85546875" style="30" hidden="1" customWidth="1"/>
    <col min="27" max="27" width="14.42578125" style="30" hidden="1" customWidth="1"/>
    <col min="28" max="28" width="14.42578125" style="33" hidden="1" customWidth="1"/>
    <col min="29" max="29" width="6.42578125" style="30" hidden="1" customWidth="1"/>
    <col min="30" max="30" width="13.85546875" style="30" hidden="1" customWidth="1"/>
    <col min="31" max="31" width="10.140625" style="30" hidden="1" customWidth="1"/>
    <col min="32" max="32" width="13.5703125" style="33" hidden="1" customWidth="1"/>
    <col min="33" max="33" width="12.140625" style="30" hidden="1" customWidth="1"/>
    <col min="34" max="34" width="13" style="30" hidden="1" customWidth="1"/>
    <col min="35" max="35" width="10.5703125" style="30" hidden="1" customWidth="1"/>
    <col min="36" max="36" width="12.42578125" style="33" hidden="1" customWidth="1"/>
    <col min="37" max="37" width="7.7109375" style="30" hidden="1" customWidth="1"/>
    <col min="38" max="38" width="14.85546875" style="30" hidden="1" customWidth="1"/>
    <col min="39" max="39" width="6.5703125" style="30" hidden="1" customWidth="1"/>
    <col min="40" max="40" width="14.85546875" style="33" hidden="1" customWidth="1"/>
    <col min="41" max="41" width="14.85546875" style="30" hidden="1" customWidth="1"/>
    <col min="42" max="42" width="13.5703125" style="30" hidden="1" customWidth="1"/>
    <col min="43" max="43" width="13.85546875" style="30" hidden="1" customWidth="1"/>
    <col min="44" max="44" width="14.85546875" style="33" hidden="1" customWidth="1"/>
    <col min="45" max="45" width="15.28515625" style="30" hidden="1" customWidth="1"/>
    <col min="46" max="46" width="15.28515625" style="33" hidden="1" customWidth="1"/>
    <col min="47" max="47" width="7.28515625" style="30" hidden="1" customWidth="1"/>
    <col min="48" max="48" width="14.85546875" style="33" hidden="1" customWidth="1"/>
    <col min="49" max="50" width="13.85546875" style="30" hidden="1" customWidth="1"/>
    <col min="51" max="51" width="11.28515625" style="32" bestFit="1" customWidth="1"/>
    <col min="52" max="52" width="15.140625" style="33" bestFit="1" customWidth="1"/>
    <col min="53" max="53" width="16.85546875" style="33" bestFit="1" customWidth="1"/>
    <col min="54" max="54" width="62" customWidth="1"/>
  </cols>
  <sheetData>
    <row r="1" spans="1:54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"/>
      <c r="AT1" s="9"/>
      <c r="AU1" s="3"/>
      <c r="AV1" s="9"/>
      <c r="AW1" s="3"/>
      <c r="AX1" s="3"/>
      <c r="AY1" s="7"/>
      <c r="AZ1" s="8"/>
      <c r="BA1" s="9"/>
    </row>
    <row r="2" spans="1:54" s="51" customFormat="1" ht="18.75" x14ac:dyDescent="0.3">
      <c r="A2" s="49"/>
      <c r="B2" s="140" t="s">
        <v>0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50"/>
    </row>
    <row r="3" spans="1:54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"/>
      <c r="AT3" s="9"/>
      <c r="AU3" s="3"/>
      <c r="AV3" s="9"/>
      <c r="AW3" s="3"/>
      <c r="AX3" s="3"/>
      <c r="AY3" s="7"/>
      <c r="AZ3" s="8"/>
      <c r="BA3" s="9"/>
    </row>
    <row r="4" spans="1:54" x14ac:dyDescent="0.25">
      <c r="A4" s="139" t="s">
        <v>1</v>
      </c>
      <c r="B4" s="139"/>
      <c r="C4" s="109" t="s">
        <v>2</v>
      </c>
      <c r="D4" s="109"/>
      <c r="E4" s="109"/>
      <c r="F4" s="10"/>
      <c r="G4" s="10"/>
      <c r="H4" s="10"/>
      <c r="I4" s="10"/>
      <c r="J4" s="46"/>
      <c r="K4" s="10"/>
      <c r="L4" s="10"/>
      <c r="M4" s="11"/>
      <c r="N4" s="12"/>
      <c r="O4" s="13"/>
      <c r="P4" s="10"/>
      <c r="Q4" s="11"/>
      <c r="R4" s="10"/>
      <c r="S4" s="13"/>
      <c r="T4" s="46"/>
      <c r="U4" s="11"/>
      <c r="V4" s="10"/>
      <c r="W4" s="13"/>
      <c r="X4" s="46"/>
      <c r="Y4" s="13"/>
      <c r="Z4" s="10"/>
      <c r="AA4" s="13"/>
      <c r="AB4" s="46"/>
      <c r="AC4" s="13"/>
      <c r="AD4" s="10"/>
      <c r="AE4" s="13"/>
      <c r="AF4" s="46"/>
      <c r="AG4" s="13"/>
      <c r="AH4" s="10"/>
      <c r="AI4" s="13"/>
      <c r="AJ4" s="46"/>
      <c r="AK4" s="13"/>
      <c r="AL4" s="10"/>
      <c r="AM4" s="13"/>
      <c r="AN4" s="46"/>
      <c r="AO4" s="13"/>
      <c r="AP4" s="10"/>
      <c r="AQ4" s="13"/>
      <c r="AR4" s="46"/>
      <c r="AS4" s="10"/>
      <c r="AT4" s="46"/>
      <c r="AU4" s="10"/>
      <c r="AV4" s="46"/>
      <c r="AW4" s="10"/>
      <c r="AX4" s="10"/>
      <c r="AY4" s="13"/>
      <c r="AZ4" s="8"/>
      <c r="BA4" s="9"/>
    </row>
    <row r="5" spans="1:54" ht="15" customHeight="1" x14ac:dyDescent="0.25">
      <c r="A5" s="139" t="s">
        <v>3</v>
      </c>
      <c r="B5" s="139"/>
      <c r="C5" s="109" t="s">
        <v>4</v>
      </c>
      <c r="D5" s="109"/>
      <c r="E5" s="109"/>
      <c r="F5" s="10"/>
      <c r="G5" s="10"/>
      <c r="H5" s="10"/>
      <c r="I5" s="10"/>
      <c r="J5" s="46"/>
      <c r="K5" s="10"/>
      <c r="L5" s="10"/>
      <c r="M5" s="11"/>
      <c r="N5" s="12"/>
      <c r="O5" s="13"/>
      <c r="P5" s="10"/>
      <c r="Q5" s="11"/>
      <c r="R5" s="10"/>
      <c r="S5" s="13"/>
      <c r="T5" s="46"/>
      <c r="U5" s="11"/>
      <c r="V5" s="10"/>
      <c r="W5" s="13"/>
      <c r="X5" s="46"/>
      <c r="Y5" s="13"/>
      <c r="Z5" s="10"/>
      <c r="AA5" s="13"/>
      <c r="AB5" s="46"/>
      <c r="AC5" s="13"/>
      <c r="AD5" s="10"/>
      <c r="AE5" s="13"/>
      <c r="AF5" s="46"/>
      <c r="AG5" s="13"/>
      <c r="AH5" s="10"/>
      <c r="AI5" s="13"/>
      <c r="AJ5" s="46"/>
      <c r="AK5" s="13"/>
      <c r="AL5" s="10"/>
      <c r="AM5" s="13"/>
      <c r="AN5" s="46"/>
      <c r="AO5" s="13"/>
      <c r="AP5" s="10"/>
      <c r="AQ5" s="13"/>
      <c r="AR5" s="46"/>
      <c r="AS5" s="10"/>
      <c r="AT5" s="46"/>
      <c r="AU5" s="10"/>
      <c r="AV5" s="46"/>
      <c r="AW5" s="10"/>
      <c r="AX5" s="10"/>
      <c r="AY5" s="13"/>
      <c r="AZ5" s="8"/>
      <c r="BA5" s="9"/>
    </row>
    <row r="6" spans="1:54" x14ac:dyDescent="0.25">
      <c r="A6" s="139" t="s">
        <v>5</v>
      </c>
      <c r="B6" s="139"/>
      <c r="C6" s="110">
        <v>2022</v>
      </c>
      <c r="D6" s="111"/>
      <c r="E6" s="110"/>
      <c r="F6" s="10"/>
      <c r="G6" s="10"/>
      <c r="H6" s="10"/>
      <c r="I6" s="10"/>
      <c r="J6" s="46"/>
      <c r="K6" s="10"/>
      <c r="L6" s="10"/>
      <c r="M6" s="11"/>
      <c r="N6" s="12"/>
      <c r="O6" s="13"/>
      <c r="P6" s="10"/>
      <c r="Q6" s="11"/>
      <c r="R6" s="10"/>
      <c r="S6" s="13"/>
      <c r="T6" s="46"/>
      <c r="U6" s="11"/>
      <c r="V6" s="10"/>
      <c r="W6" s="13"/>
      <c r="X6" s="46"/>
      <c r="Y6" s="13"/>
      <c r="Z6" s="10"/>
      <c r="AA6" s="13"/>
      <c r="AB6" s="46"/>
      <c r="AC6" s="13"/>
      <c r="AD6" s="10"/>
      <c r="AE6" s="13"/>
      <c r="AF6" s="46"/>
      <c r="AG6" s="13"/>
      <c r="AH6" s="10"/>
      <c r="AI6" s="13"/>
      <c r="AJ6" s="46"/>
      <c r="AK6" s="13"/>
      <c r="AL6" s="10"/>
      <c r="AM6" s="13"/>
      <c r="AN6" s="46"/>
      <c r="AO6" s="13"/>
      <c r="AP6" s="10"/>
      <c r="AQ6" s="13"/>
      <c r="AR6" s="46"/>
      <c r="AS6" s="10"/>
      <c r="AT6" s="46"/>
      <c r="AU6" s="10"/>
      <c r="AV6" s="46"/>
      <c r="AW6" s="10"/>
      <c r="AX6" s="10"/>
      <c r="AY6" s="13"/>
      <c r="AZ6" s="8"/>
      <c r="BA6" s="9"/>
    </row>
    <row r="7" spans="1:54" x14ac:dyDescent="0.25">
      <c r="A7" s="139" t="s">
        <v>6</v>
      </c>
      <c r="B7" s="139"/>
      <c r="C7" s="110" t="s">
        <v>51</v>
      </c>
      <c r="D7" s="111"/>
      <c r="E7" s="110"/>
      <c r="F7" s="10"/>
      <c r="G7" s="10"/>
      <c r="H7" s="10"/>
      <c r="I7" s="10"/>
      <c r="J7" s="46"/>
      <c r="K7" s="10"/>
      <c r="L7" s="10"/>
      <c r="M7" s="11"/>
      <c r="N7" s="12"/>
      <c r="O7" s="13"/>
      <c r="P7" s="10"/>
      <c r="Q7" s="11"/>
      <c r="R7" s="10"/>
      <c r="S7" s="13"/>
      <c r="T7" s="46"/>
      <c r="U7" s="11"/>
      <c r="V7" s="10"/>
      <c r="W7" s="13"/>
      <c r="X7" s="46"/>
      <c r="Y7" s="13"/>
      <c r="Z7" s="10"/>
      <c r="AA7" s="13"/>
      <c r="AB7" s="46"/>
      <c r="AC7" s="13"/>
      <c r="AD7" s="10"/>
      <c r="AE7" s="13"/>
      <c r="AF7" s="46"/>
      <c r="AG7" s="13"/>
      <c r="AH7" s="10"/>
      <c r="AI7" s="13"/>
      <c r="AJ7" s="46"/>
      <c r="AK7" s="13"/>
      <c r="AL7" s="10"/>
      <c r="AM7" s="13"/>
      <c r="AN7" s="46"/>
      <c r="AO7" s="13"/>
      <c r="AP7" s="10"/>
      <c r="AQ7" s="13"/>
      <c r="AR7" s="46"/>
      <c r="AS7" s="10"/>
      <c r="AT7" s="46"/>
      <c r="AU7" s="10"/>
      <c r="AV7" s="46"/>
      <c r="AW7" s="10"/>
      <c r="AX7" s="10"/>
      <c r="AY7" s="13"/>
      <c r="AZ7" s="8"/>
      <c r="BA7" s="9"/>
    </row>
    <row r="8" spans="1:54" x14ac:dyDescent="0.25">
      <c r="A8" s="3"/>
      <c r="B8" s="10"/>
      <c r="C8" s="10"/>
      <c r="D8" s="10"/>
      <c r="E8" s="14"/>
      <c r="F8" s="10"/>
      <c r="G8" s="10"/>
      <c r="H8" s="10"/>
      <c r="I8" s="10"/>
      <c r="J8" s="46"/>
      <c r="K8" s="10"/>
      <c r="L8" s="10"/>
      <c r="M8" s="11"/>
      <c r="N8" s="12"/>
      <c r="O8" s="13"/>
      <c r="P8" s="10"/>
      <c r="Q8" s="11"/>
      <c r="R8" s="10"/>
      <c r="S8" s="13"/>
      <c r="T8" s="46"/>
      <c r="U8" s="11"/>
      <c r="V8" s="10"/>
      <c r="W8" s="13"/>
      <c r="X8" s="46"/>
      <c r="Y8" s="13"/>
      <c r="Z8" s="10"/>
      <c r="AA8" s="13"/>
      <c r="AB8" s="46"/>
      <c r="AC8" s="13"/>
      <c r="AD8" s="10"/>
      <c r="AE8" s="13"/>
      <c r="AF8" s="46"/>
      <c r="AG8" s="13"/>
      <c r="AH8" s="10"/>
      <c r="AI8" s="13"/>
      <c r="AJ8" s="46"/>
      <c r="AK8" s="13"/>
      <c r="AL8" s="10"/>
      <c r="AM8" s="13"/>
      <c r="AN8" s="46"/>
      <c r="AO8" s="13"/>
      <c r="AP8" s="10"/>
      <c r="AQ8" s="13"/>
      <c r="AR8" s="46"/>
      <c r="AS8" s="10"/>
      <c r="AT8" s="46"/>
      <c r="AU8" s="10"/>
      <c r="AV8" s="46"/>
      <c r="AW8" s="10"/>
      <c r="AX8" s="10"/>
      <c r="AY8" s="13"/>
      <c r="AZ8" s="8"/>
      <c r="BA8" s="9"/>
    </row>
    <row r="9" spans="1:54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34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48</v>
      </c>
      <c r="Y9" s="20" t="s">
        <v>72</v>
      </c>
      <c r="Z9" s="16" t="s">
        <v>73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54</v>
      </c>
      <c r="AJ9" s="23" t="s">
        <v>55</v>
      </c>
      <c r="AK9" s="20" t="s">
        <v>58</v>
      </c>
      <c r="AL9" s="16" t="s">
        <v>59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16" t="s">
        <v>49</v>
      </c>
      <c r="AT9" s="23" t="s">
        <v>50</v>
      </c>
      <c r="AU9" s="16" t="s">
        <v>52</v>
      </c>
      <c r="AV9" s="23" t="s">
        <v>53</v>
      </c>
      <c r="AW9" s="16" t="s">
        <v>56</v>
      </c>
      <c r="AX9" s="16" t="s">
        <v>57</v>
      </c>
      <c r="AY9" s="20" t="s">
        <v>44</v>
      </c>
      <c r="AZ9" s="22" t="s">
        <v>45</v>
      </c>
      <c r="BA9" s="23" t="s">
        <v>46</v>
      </c>
      <c r="BB9" s="24" t="s">
        <v>47</v>
      </c>
    </row>
    <row r="10" spans="1:54" s="29" customFormat="1" ht="25.5" x14ac:dyDescent="0.2">
      <c r="A10" s="38">
        <v>1</v>
      </c>
      <c r="B10" s="38" t="s">
        <v>114</v>
      </c>
      <c r="C10" s="38" t="s">
        <v>62</v>
      </c>
      <c r="D10" s="38" t="s">
        <v>63</v>
      </c>
      <c r="E10" s="39" t="s">
        <v>68</v>
      </c>
      <c r="F10" s="38" t="s">
        <v>60</v>
      </c>
      <c r="G10" s="38"/>
      <c r="H10" s="38"/>
      <c r="I10" s="38"/>
      <c r="J10" s="40"/>
      <c r="K10" s="38"/>
      <c r="L10" s="38"/>
      <c r="M10" s="38"/>
      <c r="N10" s="38"/>
      <c r="O10" s="38"/>
      <c r="P10" s="38"/>
      <c r="Q10" s="38">
        <v>2</v>
      </c>
      <c r="R10" s="40">
        <f t="shared" ref="R10:R18" si="0">+Q10*AZ10</f>
        <v>1233460</v>
      </c>
      <c r="S10" s="48"/>
      <c r="T10" s="40"/>
      <c r="U10" s="38"/>
      <c r="V10" s="38"/>
      <c r="W10" s="38"/>
      <c r="X10" s="40"/>
      <c r="Y10" s="38"/>
      <c r="Z10" s="38"/>
      <c r="AA10" s="38"/>
      <c r="AB10" s="40"/>
      <c r="AC10" s="38"/>
      <c r="AD10" s="38"/>
      <c r="AE10" s="38"/>
      <c r="AF10" s="40"/>
      <c r="AG10" s="38"/>
      <c r="AH10" s="38"/>
      <c r="AI10" s="38"/>
      <c r="AJ10" s="40"/>
      <c r="AK10" s="38"/>
      <c r="AL10" s="38"/>
      <c r="AM10" s="38"/>
      <c r="AN10" s="40"/>
      <c r="AO10" s="38"/>
      <c r="AP10" s="38"/>
      <c r="AQ10" s="38"/>
      <c r="AR10" s="40"/>
      <c r="AS10" s="38"/>
      <c r="AT10" s="40"/>
      <c r="AU10" s="38"/>
      <c r="AV10" s="40"/>
      <c r="AW10" s="38"/>
      <c r="AX10" s="38"/>
      <c r="AY10" s="25">
        <f t="shared" ref="AY10:AY18" si="1">+AQ10+AO10+AM10+AK10+AI10+AG10+AE10+AC10+AA10+Y10+W10+U10+S10+Q10+O10+M10+K10+I10+AS10+G10+AU10+AW10</f>
        <v>2</v>
      </c>
      <c r="AZ10" s="40">
        <v>616730</v>
      </c>
      <c r="BA10" s="40">
        <f t="shared" ref="BA10:BA18" si="2">+AY10*AZ10</f>
        <v>1233460</v>
      </c>
      <c r="BB10" s="26"/>
    </row>
    <row r="11" spans="1:54" s="29" customFormat="1" ht="25.5" x14ac:dyDescent="0.2">
      <c r="A11" s="38">
        <v>2</v>
      </c>
      <c r="B11" s="38" t="s">
        <v>111</v>
      </c>
      <c r="C11" s="38" t="s">
        <v>62</v>
      </c>
      <c r="D11" s="38" t="s">
        <v>63</v>
      </c>
      <c r="E11" s="39" t="s">
        <v>112</v>
      </c>
      <c r="F11" s="38" t="s">
        <v>60</v>
      </c>
      <c r="G11" s="38"/>
      <c r="H11" s="38"/>
      <c r="I11" s="38"/>
      <c r="J11" s="40"/>
      <c r="K11" s="38"/>
      <c r="L11" s="38"/>
      <c r="M11" s="38"/>
      <c r="N11" s="38"/>
      <c r="O11" s="38"/>
      <c r="P11" s="38"/>
      <c r="Q11" s="38">
        <v>2</v>
      </c>
      <c r="R11" s="40">
        <f t="shared" si="0"/>
        <v>9360</v>
      </c>
      <c r="S11" s="48"/>
      <c r="T11" s="40"/>
      <c r="U11" s="38"/>
      <c r="V11" s="38"/>
      <c r="W11" s="38"/>
      <c r="X11" s="40"/>
      <c r="Y11" s="38"/>
      <c r="Z11" s="38"/>
      <c r="AA11" s="38"/>
      <c r="AB11" s="40"/>
      <c r="AC11" s="38"/>
      <c r="AD11" s="38"/>
      <c r="AE11" s="38"/>
      <c r="AF11" s="40"/>
      <c r="AG11" s="38"/>
      <c r="AH11" s="38"/>
      <c r="AI11" s="38"/>
      <c r="AJ11" s="40"/>
      <c r="AK11" s="38"/>
      <c r="AL11" s="38"/>
      <c r="AM11" s="38"/>
      <c r="AN11" s="40"/>
      <c r="AO11" s="38"/>
      <c r="AP11" s="38"/>
      <c r="AQ11" s="38"/>
      <c r="AR11" s="40"/>
      <c r="AS11" s="38"/>
      <c r="AT11" s="40"/>
      <c r="AU11" s="38"/>
      <c r="AV11" s="40"/>
      <c r="AW11" s="38"/>
      <c r="AX11" s="38"/>
      <c r="AY11" s="25">
        <f t="shared" si="1"/>
        <v>2</v>
      </c>
      <c r="AZ11" s="40">
        <v>4680</v>
      </c>
      <c r="BA11" s="40">
        <f t="shared" si="2"/>
        <v>9360</v>
      </c>
      <c r="BB11" s="26"/>
    </row>
    <row r="12" spans="1:54" s="29" customFormat="1" ht="25.5" x14ac:dyDescent="0.2">
      <c r="A12" s="38">
        <v>3</v>
      </c>
      <c r="B12" s="38" t="s">
        <v>113</v>
      </c>
      <c r="C12" s="38" t="s">
        <v>62</v>
      </c>
      <c r="D12" s="38" t="s">
        <v>63</v>
      </c>
      <c r="E12" s="39" t="s">
        <v>65</v>
      </c>
      <c r="F12" s="38" t="s">
        <v>60</v>
      </c>
      <c r="G12" s="38"/>
      <c r="H12" s="38"/>
      <c r="I12" s="38"/>
      <c r="J12" s="40"/>
      <c r="K12" s="38"/>
      <c r="L12" s="38"/>
      <c r="M12" s="38"/>
      <c r="N12" s="38"/>
      <c r="O12" s="38"/>
      <c r="P12" s="38"/>
      <c r="Q12" s="38">
        <v>1</v>
      </c>
      <c r="R12" s="40">
        <f t="shared" si="0"/>
        <v>828100</v>
      </c>
      <c r="S12" s="48"/>
      <c r="T12" s="40"/>
      <c r="U12" s="38"/>
      <c r="V12" s="38"/>
      <c r="W12" s="38"/>
      <c r="X12" s="40"/>
      <c r="Y12" s="38"/>
      <c r="Z12" s="38"/>
      <c r="AA12" s="38"/>
      <c r="AB12" s="40"/>
      <c r="AC12" s="38"/>
      <c r="AD12" s="38"/>
      <c r="AE12" s="38"/>
      <c r="AF12" s="40"/>
      <c r="AG12" s="38"/>
      <c r="AH12" s="38"/>
      <c r="AI12" s="38"/>
      <c r="AJ12" s="40"/>
      <c r="AK12" s="38"/>
      <c r="AL12" s="38"/>
      <c r="AM12" s="38"/>
      <c r="AN12" s="40"/>
      <c r="AO12" s="38"/>
      <c r="AP12" s="38"/>
      <c r="AQ12" s="38"/>
      <c r="AR12" s="40"/>
      <c r="AS12" s="38"/>
      <c r="AT12" s="40"/>
      <c r="AU12" s="38"/>
      <c r="AV12" s="40"/>
      <c r="AW12" s="38"/>
      <c r="AX12" s="38"/>
      <c r="AY12" s="25">
        <f t="shared" si="1"/>
        <v>1</v>
      </c>
      <c r="AZ12" s="40">
        <v>828100</v>
      </c>
      <c r="BA12" s="40">
        <f t="shared" si="2"/>
        <v>828100</v>
      </c>
      <c r="BB12" s="26"/>
    </row>
    <row r="13" spans="1:54" s="29" customFormat="1" ht="25.5" x14ac:dyDescent="0.2">
      <c r="A13" s="38">
        <v>4</v>
      </c>
      <c r="B13" s="38" t="s">
        <v>115</v>
      </c>
      <c r="C13" s="38" t="s">
        <v>62</v>
      </c>
      <c r="D13" s="38" t="s">
        <v>63</v>
      </c>
      <c r="E13" s="39" t="s">
        <v>69</v>
      </c>
      <c r="F13" s="38" t="s">
        <v>60</v>
      </c>
      <c r="G13" s="38"/>
      <c r="H13" s="38"/>
      <c r="I13" s="38"/>
      <c r="J13" s="40"/>
      <c r="K13" s="38"/>
      <c r="L13" s="38"/>
      <c r="M13" s="38"/>
      <c r="N13" s="38"/>
      <c r="O13" s="38"/>
      <c r="P13" s="38"/>
      <c r="Q13" s="38">
        <v>6</v>
      </c>
      <c r="R13" s="40">
        <f t="shared" si="0"/>
        <v>2399436.5999999996</v>
      </c>
      <c r="S13" s="48"/>
      <c r="T13" s="40"/>
      <c r="U13" s="38"/>
      <c r="V13" s="38"/>
      <c r="W13" s="38"/>
      <c r="X13" s="40"/>
      <c r="Y13" s="38"/>
      <c r="Z13" s="38"/>
      <c r="AA13" s="38"/>
      <c r="AB13" s="40"/>
      <c r="AC13" s="38"/>
      <c r="AD13" s="38"/>
      <c r="AE13" s="38"/>
      <c r="AF13" s="40"/>
      <c r="AG13" s="38"/>
      <c r="AH13" s="38"/>
      <c r="AI13" s="38"/>
      <c r="AJ13" s="40"/>
      <c r="AK13" s="38"/>
      <c r="AL13" s="38"/>
      <c r="AM13" s="38"/>
      <c r="AN13" s="40"/>
      <c r="AO13" s="38"/>
      <c r="AP13" s="38"/>
      <c r="AQ13" s="38"/>
      <c r="AR13" s="40"/>
      <c r="AS13" s="38"/>
      <c r="AT13" s="40"/>
      <c r="AU13" s="38"/>
      <c r="AV13" s="40"/>
      <c r="AW13" s="38"/>
      <c r="AX13" s="38"/>
      <c r="AY13" s="25">
        <f t="shared" si="1"/>
        <v>6</v>
      </c>
      <c r="AZ13" s="40">
        <v>399906.1</v>
      </c>
      <c r="BA13" s="40">
        <f t="shared" si="2"/>
        <v>2399436.5999999996</v>
      </c>
      <c r="BB13" s="26"/>
    </row>
    <row r="14" spans="1:54" s="29" customFormat="1" ht="25.5" x14ac:dyDescent="0.2">
      <c r="A14" s="38">
        <v>5</v>
      </c>
      <c r="B14" s="38" t="s">
        <v>118</v>
      </c>
      <c r="C14" s="38" t="s">
        <v>62</v>
      </c>
      <c r="D14" s="38" t="s">
        <v>63</v>
      </c>
      <c r="E14" s="39" t="s">
        <v>119</v>
      </c>
      <c r="F14" s="38" t="s">
        <v>60</v>
      </c>
      <c r="G14" s="38"/>
      <c r="H14" s="38"/>
      <c r="I14" s="38"/>
      <c r="J14" s="40"/>
      <c r="K14" s="38"/>
      <c r="L14" s="38"/>
      <c r="M14" s="38"/>
      <c r="N14" s="38"/>
      <c r="O14" s="38"/>
      <c r="P14" s="38"/>
      <c r="Q14" s="38">
        <v>8</v>
      </c>
      <c r="R14" s="40">
        <f t="shared" si="0"/>
        <v>1577950</v>
      </c>
      <c r="S14" s="48"/>
      <c r="T14" s="40"/>
      <c r="U14" s="38"/>
      <c r="V14" s="38"/>
      <c r="W14" s="38"/>
      <c r="X14" s="40"/>
      <c r="Y14" s="38"/>
      <c r="Z14" s="38"/>
      <c r="AA14" s="38"/>
      <c r="AB14" s="40"/>
      <c r="AC14" s="38"/>
      <c r="AD14" s="38"/>
      <c r="AE14" s="38"/>
      <c r="AF14" s="40"/>
      <c r="AG14" s="38"/>
      <c r="AH14" s="38"/>
      <c r="AI14" s="38"/>
      <c r="AJ14" s="40"/>
      <c r="AK14" s="38"/>
      <c r="AL14" s="38"/>
      <c r="AM14" s="38"/>
      <c r="AN14" s="40">
        <f>+AM14*AZ14</f>
        <v>0</v>
      </c>
      <c r="AO14" s="38"/>
      <c r="AP14" s="38"/>
      <c r="AQ14" s="38"/>
      <c r="AR14" s="40"/>
      <c r="AS14" s="38"/>
      <c r="AT14" s="40"/>
      <c r="AU14" s="38"/>
      <c r="AV14" s="40"/>
      <c r="AW14" s="38"/>
      <c r="AX14" s="38"/>
      <c r="AY14" s="25">
        <f t="shared" si="1"/>
        <v>8</v>
      </c>
      <c r="AZ14" s="40">
        <v>197243.75</v>
      </c>
      <c r="BA14" s="40">
        <f t="shared" si="2"/>
        <v>1577950</v>
      </c>
      <c r="BB14" s="26"/>
    </row>
    <row r="15" spans="1:54" s="29" customFormat="1" ht="25.5" x14ac:dyDescent="0.2">
      <c r="A15" s="38">
        <v>6</v>
      </c>
      <c r="B15" s="38" t="s">
        <v>66</v>
      </c>
      <c r="C15" s="38" t="s">
        <v>62</v>
      </c>
      <c r="D15" s="38" t="s">
        <v>63</v>
      </c>
      <c r="E15" s="39" t="s">
        <v>67</v>
      </c>
      <c r="F15" s="38" t="s">
        <v>60</v>
      </c>
      <c r="G15" s="38"/>
      <c r="H15" s="38"/>
      <c r="I15" s="38"/>
      <c r="J15" s="40"/>
      <c r="K15" s="38"/>
      <c r="L15" s="38"/>
      <c r="M15" s="38"/>
      <c r="N15" s="38"/>
      <c r="O15" s="38"/>
      <c r="P15" s="38"/>
      <c r="Q15" s="38">
        <v>5</v>
      </c>
      <c r="R15" s="40">
        <f t="shared" si="0"/>
        <v>38700</v>
      </c>
      <c r="S15" s="48"/>
      <c r="T15" s="40"/>
      <c r="U15" s="38"/>
      <c r="V15" s="38"/>
      <c r="W15" s="38"/>
      <c r="X15" s="40"/>
      <c r="Y15" s="38"/>
      <c r="Z15" s="38"/>
      <c r="AA15" s="38"/>
      <c r="AB15" s="40"/>
      <c r="AC15" s="38"/>
      <c r="AD15" s="38"/>
      <c r="AE15" s="38"/>
      <c r="AF15" s="40"/>
      <c r="AG15" s="38"/>
      <c r="AH15" s="38"/>
      <c r="AI15" s="38"/>
      <c r="AJ15" s="40"/>
      <c r="AK15" s="38"/>
      <c r="AL15" s="38"/>
      <c r="AM15" s="38"/>
      <c r="AN15" s="40"/>
      <c r="AO15" s="38"/>
      <c r="AP15" s="38"/>
      <c r="AQ15" s="38"/>
      <c r="AR15" s="40"/>
      <c r="AS15" s="38"/>
      <c r="AT15" s="40"/>
      <c r="AU15" s="38"/>
      <c r="AV15" s="40"/>
      <c r="AW15" s="38"/>
      <c r="AX15" s="38"/>
      <c r="AY15" s="25">
        <f t="shared" si="1"/>
        <v>5</v>
      </c>
      <c r="AZ15" s="40">
        <v>7740</v>
      </c>
      <c r="BA15" s="40">
        <f t="shared" si="2"/>
        <v>38700</v>
      </c>
      <c r="BB15" s="26"/>
    </row>
    <row r="16" spans="1:54" s="29" customFormat="1" ht="25.5" x14ac:dyDescent="0.2">
      <c r="A16" s="38">
        <v>7</v>
      </c>
      <c r="B16" s="38" t="s">
        <v>116</v>
      </c>
      <c r="C16" s="38" t="s">
        <v>62</v>
      </c>
      <c r="D16" s="38" t="s">
        <v>63</v>
      </c>
      <c r="E16" s="39" t="s">
        <v>117</v>
      </c>
      <c r="F16" s="38" t="s">
        <v>60</v>
      </c>
      <c r="G16" s="38"/>
      <c r="H16" s="38"/>
      <c r="I16" s="38"/>
      <c r="J16" s="40"/>
      <c r="K16" s="38"/>
      <c r="L16" s="38"/>
      <c r="M16" s="38"/>
      <c r="N16" s="38"/>
      <c r="O16" s="38"/>
      <c r="P16" s="38"/>
      <c r="Q16" s="38">
        <v>8</v>
      </c>
      <c r="R16" s="40">
        <f t="shared" si="0"/>
        <v>4222377.5999999996</v>
      </c>
      <c r="S16" s="48"/>
      <c r="T16" s="40"/>
      <c r="U16" s="38"/>
      <c r="V16" s="38"/>
      <c r="W16" s="38"/>
      <c r="X16" s="40"/>
      <c r="Y16" s="38"/>
      <c r="Z16" s="38"/>
      <c r="AA16" s="38"/>
      <c r="AB16" s="40"/>
      <c r="AC16" s="38"/>
      <c r="AD16" s="38"/>
      <c r="AE16" s="38"/>
      <c r="AF16" s="40"/>
      <c r="AG16" s="38"/>
      <c r="AH16" s="38"/>
      <c r="AI16" s="38"/>
      <c r="AJ16" s="40"/>
      <c r="AK16" s="38"/>
      <c r="AL16" s="38"/>
      <c r="AM16" s="38"/>
      <c r="AN16" s="40"/>
      <c r="AO16" s="38"/>
      <c r="AP16" s="38"/>
      <c r="AQ16" s="38"/>
      <c r="AR16" s="40"/>
      <c r="AS16" s="38"/>
      <c r="AT16" s="40"/>
      <c r="AU16" s="38"/>
      <c r="AV16" s="40"/>
      <c r="AW16" s="38"/>
      <c r="AX16" s="38"/>
      <c r="AY16" s="25">
        <f t="shared" si="1"/>
        <v>8</v>
      </c>
      <c r="AZ16" s="40">
        <v>527797.19999999995</v>
      </c>
      <c r="BA16" s="40">
        <f t="shared" si="2"/>
        <v>4222377.5999999996</v>
      </c>
      <c r="BB16" s="26"/>
    </row>
    <row r="17" spans="1:54" s="29" customFormat="1" ht="25.5" x14ac:dyDescent="0.2">
      <c r="A17" s="38">
        <v>8</v>
      </c>
      <c r="B17" s="35" t="s">
        <v>120</v>
      </c>
      <c r="C17" s="35" t="s">
        <v>62</v>
      </c>
      <c r="D17" s="35" t="s">
        <v>63</v>
      </c>
      <c r="E17" s="36" t="s">
        <v>139</v>
      </c>
      <c r="F17" s="179" t="s">
        <v>70</v>
      </c>
      <c r="G17" s="35"/>
      <c r="H17" s="35"/>
      <c r="I17" s="35"/>
      <c r="J17" s="37"/>
      <c r="K17" s="35"/>
      <c r="L17" s="35"/>
      <c r="M17" s="35"/>
      <c r="N17" s="35"/>
      <c r="O17" s="35"/>
      <c r="P17" s="35"/>
      <c r="Q17" s="35">
        <v>2</v>
      </c>
      <c r="R17" s="40">
        <f t="shared" si="0"/>
        <v>594000</v>
      </c>
      <c r="S17" s="47"/>
      <c r="T17" s="37"/>
      <c r="U17" s="35"/>
      <c r="V17" s="35"/>
      <c r="W17" s="35"/>
      <c r="X17" s="37"/>
      <c r="Y17" s="35"/>
      <c r="Z17" s="35"/>
      <c r="AA17" s="35"/>
      <c r="AB17" s="37"/>
      <c r="AC17" s="35"/>
      <c r="AD17" s="35"/>
      <c r="AE17" s="35"/>
      <c r="AF17" s="37"/>
      <c r="AG17" s="35"/>
      <c r="AH17" s="35"/>
      <c r="AI17" s="35"/>
      <c r="AJ17" s="37"/>
      <c r="AK17" s="35"/>
      <c r="AL17" s="35"/>
      <c r="AM17" s="35"/>
      <c r="AN17" s="40">
        <f>+AM17*AZ17</f>
        <v>0</v>
      </c>
      <c r="AO17" s="35"/>
      <c r="AP17" s="35"/>
      <c r="AQ17" s="35"/>
      <c r="AR17" s="37"/>
      <c r="AS17" s="35"/>
      <c r="AT17" s="37"/>
      <c r="AU17" s="35"/>
      <c r="AV17" s="37"/>
      <c r="AW17" s="35"/>
      <c r="AX17" s="35"/>
      <c r="AY17" s="25">
        <f t="shared" si="1"/>
        <v>2</v>
      </c>
      <c r="AZ17" s="37">
        <v>297000</v>
      </c>
      <c r="BA17" s="40">
        <f t="shared" si="2"/>
        <v>594000</v>
      </c>
      <c r="BB17" s="26"/>
    </row>
    <row r="18" spans="1:54" s="29" customFormat="1" ht="26.25" thickBot="1" x14ac:dyDescent="0.25">
      <c r="A18" s="38">
        <v>9</v>
      </c>
      <c r="B18" s="35" t="s">
        <v>61</v>
      </c>
      <c r="C18" s="35" t="s">
        <v>62</v>
      </c>
      <c r="D18" s="35" t="s">
        <v>63</v>
      </c>
      <c r="E18" s="93" t="s">
        <v>64</v>
      </c>
      <c r="F18" s="35" t="s">
        <v>60</v>
      </c>
      <c r="G18" s="35"/>
      <c r="H18" s="35"/>
      <c r="I18" s="35"/>
      <c r="J18" s="37"/>
      <c r="K18" s="35"/>
      <c r="L18" s="35"/>
      <c r="M18" s="35"/>
      <c r="N18" s="35"/>
      <c r="O18" s="35"/>
      <c r="P18" s="35"/>
      <c r="Q18" s="35">
        <v>3</v>
      </c>
      <c r="R18" s="40">
        <f t="shared" si="0"/>
        <v>275670</v>
      </c>
      <c r="S18" s="47"/>
      <c r="T18" s="37"/>
      <c r="U18" s="35"/>
      <c r="V18" s="35"/>
      <c r="W18" s="35"/>
      <c r="X18" s="37"/>
      <c r="Y18" s="35"/>
      <c r="Z18" s="35"/>
      <c r="AA18" s="35"/>
      <c r="AB18" s="37"/>
      <c r="AC18" s="35"/>
      <c r="AD18" s="35"/>
      <c r="AE18" s="35"/>
      <c r="AF18" s="37"/>
      <c r="AG18" s="35"/>
      <c r="AH18" s="35"/>
      <c r="AI18" s="35"/>
      <c r="AJ18" s="37"/>
      <c r="AK18" s="35"/>
      <c r="AL18" s="35"/>
      <c r="AM18" s="35"/>
      <c r="AN18" s="40">
        <f>+AM18*AZ18</f>
        <v>0</v>
      </c>
      <c r="AO18" s="35"/>
      <c r="AP18" s="35"/>
      <c r="AQ18" s="35"/>
      <c r="AR18" s="37"/>
      <c r="AS18" s="35"/>
      <c r="AT18" s="37"/>
      <c r="AU18" s="35"/>
      <c r="AV18" s="37"/>
      <c r="AW18" s="35"/>
      <c r="AX18" s="35"/>
      <c r="AY18" s="25">
        <f t="shared" si="1"/>
        <v>3</v>
      </c>
      <c r="AZ18" s="37">
        <v>91890</v>
      </c>
      <c r="BA18" s="40">
        <f t="shared" si="2"/>
        <v>275670</v>
      </c>
      <c r="BB18" s="26"/>
    </row>
    <row r="19" spans="1:54" s="45" customFormat="1" ht="15.75" customHeight="1" thickBot="1" x14ac:dyDescent="0.25">
      <c r="A19" s="134" t="s">
        <v>71</v>
      </c>
      <c r="B19" s="135"/>
      <c r="C19" s="135"/>
      <c r="D19" s="135"/>
      <c r="E19" s="135"/>
      <c r="F19" s="136"/>
      <c r="G19" s="27"/>
      <c r="H19" s="27"/>
      <c r="I19" s="27"/>
      <c r="J19" s="41"/>
      <c r="K19" s="27"/>
      <c r="L19" s="27"/>
      <c r="M19" s="27"/>
      <c r="N19" s="27"/>
      <c r="O19" s="27"/>
      <c r="P19" s="27"/>
      <c r="Q19" s="27"/>
      <c r="R19" s="41">
        <f>SUM(R10:R18)</f>
        <v>11179054.199999999</v>
      </c>
      <c r="S19" s="28"/>
      <c r="T19" s="41"/>
      <c r="U19" s="27"/>
      <c r="V19" s="27"/>
      <c r="W19" s="27"/>
      <c r="X19" s="41"/>
      <c r="Y19" s="27"/>
      <c r="Z19" s="27"/>
      <c r="AA19" s="27"/>
      <c r="AB19" s="41"/>
      <c r="AC19" s="27"/>
      <c r="AD19" s="27"/>
      <c r="AE19" s="27"/>
      <c r="AF19" s="41"/>
      <c r="AG19" s="27"/>
      <c r="AH19" s="27"/>
      <c r="AI19" s="27"/>
      <c r="AJ19" s="41"/>
      <c r="AK19" s="27"/>
      <c r="AL19" s="27"/>
      <c r="AM19" s="27"/>
      <c r="AN19" s="41">
        <f>+AM19*AZ19</f>
        <v>0</v>
      </c>
      <c r="AO19" s="27"/>
      <c r="AP19" s="27"/>
      <c r="AQ19" s="27"/>
      <c r="AR19" s="41"/>
      <c r="AS19" s="27"/>
      <c r="AT19" s="41"/>
      <c r="AU19" s="27"/>
      <c r="AV19" s="41"/>
      <c r="AW19" s="27"/>
      <c r="AX19" s="27"/>
      <c r="AY19" s="43"/>
      <c r="AZ19" s="41"/>
      <c r="BA19" s="42">
        <f>SUM(BA10:BA18)</f>
        <v>11179054.199999999</v>
      </c>
      <c r="BB19" s="44"/>
    </row>
    <row r="21" spans="1:54" ht="15.75" thickBot="1" x14ac:dyDescent="0.3"/>
    <row r="22" spans="1:54" ht="138.75" customHeight="1" x14ac:dyDescent="0.25">
      <c r="C22" s="94" t="s">
        <v>121</v>
      </c>
      <c r="D22" s="137" t="s">
        <v>122</v>
      </c>
      <c r="E22" s="138"/>
    </row>
    <row r="23" spans="1:54" x14ac:dyDescent="0.25">
      <c r="C23" s="95"/>
      <c r="D23" s="96"/>
      <c r="E23" s="101"/>
    </row>
    <row r="24" spans="1:54" x14ac:dyDescent="0.25">
      <c r="C24" s="97" t="s">
        <v>123</v>
      </c>
      <c r="D24" s="98" t="s">
        <v>129</v>
      </c>
      <c r="E24" s="101"/>
    </row>
    <row r="25" spans="1:54" x14ac:dyDescent="0.25">
      <c r="C25" s="97"/>
      <c r="D25" s="99"/>
      <c r="E25" s="101"/>
    </row>
    <row r="26" spans="1:54" x14ac:dyDescent="0.25">
      <c r="C26" s="97" t="s">
        <v>124</v>
      </c>
      <c r="D26" s="100" t="s">
        <v>128</v>
      </c>
      <c r="E26" s="101"/>
    </row>
    <row r="27" spans="1:54" x14ac:dyDescent="0.25">
      <c r="C27" s="97"/>
      <c r="D27" s="100"/>
      <c r="E27" s="101"/>
    </row>
    <row r="28" spans="1:54" x14ac:dyDescent="0.25">
      <c r="C28" s="97" t="s">
        <v>125</v>
      </c>
      <c r="D28" s="99"/>
      <c r="E28" s="101"/>
      <c r="AZ28" s="180"/>
      <c r="BA28" s="180"/>
    </row>
    <row r="29" spans="1:54" x14ac:dyDescent="0.25">
      <c r="C29" s="97"/>
      <c r="D29" s="99"/>
      <c r="E29" s="101"/>
      <c r="AZ29" s="180"/>
      <c r="BA29" s="180"/>
    </row>
    <row r="30" spans="1:54" x14ac:dyDescent="0.25">
      <c r="C30" s="97" t="s">
        <v>126</v>
      </c>
      <c r="D30" s="98" t="s">
        <v>127</v>
      </c>
      <c r="E30" s="101"/>
      <c r="AZ30" s="180"/>
      <c r="BA30" s="180"/>
    </row>
    <row r="31" spans="1:54" ht="15.75" thickBot="1" x14ac:dyDescent="0.3">
      <c r="C31" s="102"/>
      <c r="D31" s="103"/>
      <c r="E31" s="104"/>
      <c r="AZ31" s="180"/>
      <c r="BA31" s="180"/>
    </row>
    <row r="32" spans="1:54" x14ac:dyDescent="0.25">
      <c r="AZ32" s="180"/>
      <c r="BA32" s="180"/>
    </row>
    <row r="33" spans="52:53" x14ac:dyDescent="0.25">
      <c r="AZ33" s="180"/>
      <c r="BA33" s="180"/>
    </row>
    <row r="34" spans="52:53" x14ac:dyDescent="0.25">
      <c r="AZ34" s="180"/>
      <c r="BA34" s="180"/>
    </row>
    <row r="35" spans="52:53" x14ac:dyDescent="0.25">
      <c r="AZ35" s="180"/>
      <c r="BA35" s="180"/>
    </row>
    <row r="36" spans="52:53" x14ac:dyDescent="0.25">
      <c r="AZ36" s="180"/>
      <c r="BA36" s="180"/>
    </row>
  </sheetData>
  <sortState xmlns:xlrd2="http://schemas.microsoft.com/office/spreadsheetml/2017/richdata2" ref="A10:BB20">
    <sortCondition ref="E10"/>
  </sortState>
  <mergeCells count="7">
    <mergeCell ref="A19:F19"/>
    <mergeCell ref="D22:E22"/>
    <mergeCell ref="A7:B7"/>
    <mergeCell ref="B2:AZ2"/>
    <mergeCell ref="A4:B4"/>
    <mergeCell ref="A5:B5"/>
    <mergeCell ref="A6:B6"/>
  </mergeCells>
  <conditionalFormatting sqref="B1:B9 E1:E9">
    <cfRule type="duplicateValues" dxfId="9" priority="241"/>
  </conditionalFormatting>
  <conditionalFormatting sqref="E1:E9 B1:B9">
    <cfRule type="duplicateValues" dxfId="8" priority="242"/>
  </conditionalFormatting>
  <conditionalFormatting sqref="B1:B9">
    <cfRule type="duplicateValues" dxfId="7" priority="579"/>
  </conditionalFormatting>
  <conditionalFormatting sqref="E1:E9">
    <cfRule type="duplicateValues" dxfId="6" priority="580"/>
  </conditionalFormatting>
  <conditionalFormatting sqref="E1:E9">
    <cfRule type="duplicateValues" dxfId="5" priority="581"/>
    <cfRule type="duplicateValues" dxfId="4" priority="582"/>
  </conditionalFormatting>
  <conditionalFormatting sqref="C24:C30">
    <cfRule type="duplicateValues" dxfId="3" priority="1"/>
  </conditionalFormatting>
  <conditionalFormatting sqref="C24:C30">
    <cfRule type="duplicateValues" dxfId="2" priority="2"/>
  </conditionalFormatting>
  <conditionalFormatting sqref="C24:C30">
    <cfRule type="duplicateValues" dxfId="1" priority="3"/>
  </conditionalFormatting>
  <conditionalFormatting sqref="C24:C30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zoomScale="120" zoomScaleNormal="120" workbookViewId="0">
      <selection activeCell="N15" sqref="N15"/>
    </sheetView>
  </sheetViews>
  <sheetFormatPr baseColWidth="10" defaultRowHeight="15" x14ac:dyDescent="0.25"/>
  <cols>
    <col min="1" max="1" width="5.5703125" customWidth="1"/>
    <col min="2" max="2" width="15.140625" style="116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7.28515625" customWidth="1"/>
    <col min="8" max="8" width="9.28515625" customWidth="1"/>
    <col min="9" max="9" width="16.7109375" customWidth="1"/>
    <col min="10" max="10" width="14.7109375" style="127" customWidth="1"/>
    <col min="11" max="11" width="15.5703125" customWidth="1"/>
    <col min="12" max="13" width="12" bestFit="1" customWidth="1"/>
  </cols>
  <sheetData>
    <row r="1" spans="1:14" ht="30.75" thickBot="1" x14ac:dyDescent="0.3">
      <c r="A1" s="142" t="s">
        <v>74</v>
      </c>
      <c r="B1" s="142"/>
      <c r="C1" s="142"/>
      <c r="D1" s="142"/>
      <c r="E1" s="142"/>
      <c r="F1" s="142"/>
      <c r="G1" s="142"/>
      <c r="H1" s="142"/>
      <c r="I1" s="142"/>
      <c r="J1" s="122" t="s">
        <v>75</v>
      </c>
      <c r="K1" s="52" t="s">
        <v>135</v>
      </c>
    </row>
    <row r="2" spans="1:14" ht="16.5" thickBot="1" x14ac:dyDescent="0.3">
      <c r="A2" s="53"/>
      <c r="B2" s="112"/>
      <c r="C2" s="54"/>
      <c r="D2" s="55"/>
      <c r="E2" s="55"/>
      <c r="F2" s="55"/>
      <c r="G2" s="55"/>
      <c r="H2" s="55"/>
      <c r="I2" s="55"/>
      <c r="J2" s="123"/>
      <c r="K2" s="56"/>
    </row>
    <row r="3" spans="1:14" ht="16.5" thickBot="1" x14ac:dyDescent="0.3">
      <c r="A3" s="143" t="s">
        <v>76</v>
      </c>
      <c r="B3" s="143"/>
      <c r="C3" s="143"/>
      <c r="D3" s="105" t="str">
        <f>'SAF 011'!C4</f>
        <v>040 - MINISTERIO DE SALUD</v>
      </c>
      <c r="E3" s="106"/>
      <c r="F3" s="106"/>
      <c r="G3" s="106"/>
      <c r="H3" s="106"/>
      <c r="I3" s="106"/>
      <c r="J3" s="124"/>
      <c r="K3" s="107"/>
    </row>
    <row r="4" spans="1:14" ht="16.5" thickBot="1" x14ac:dyDescent="0.3">
      <c r="A4" s="141" t="s">
        <v>77</v>
      </c>
      <c r="B4" s="141"/>
      <c r="C4" s="141"/>
      <c r="D4" s="105" t="str">
        <f>'SAF 011'!C5</f>
        <v>011 - DIRECCION PROVINCIAL DE ADMINISTRACION - MINISTERIO DE SALUD</v>
      </c>
      <c r="E4" s="106"/>
      <c r="F4" s="106"/>
      <c r="G4" s="106"/>
      <c r="H4" s="106"/>
      <c r="I4" s="106"/>
      <c r="J4" s="124"/>
      <c r="K4" s="107"/>
    </row>
    <row r="5" spans="1:14" ht="16.5" thickBot="1" x14ac:dyDescent="0.3">
      <c r="A5" s="141" t="s">
        <v>78</v>
      </c>
      <c r="B5" s="141"/>
      <c r="C5" s="141"/>
      <c r="D5" s="105" t="s">
        <v>137</v>
      </c>
      <c r="E5" s="106"/>
      <c r="F5" s="106"/>
      <c r="G5" s="106"/>
      <c r="H5" s="106"/>
      <c r="I5" s="106"/>
      <c r="J5" s="124"/>
      <c r="K5" s="107"/>
    </row>
    <row r="6" spans="1:14" ht="16.5" thickBot="1" x14ac:dyDescent="0.3">
      <c r="A6" s="143" t="s">
        <v>79</v>
      </c>
      <c r="B6" s="143"/>
      <c r="C6" s="143"/>
      <c r="D6" s="105" t="s">
        <v>137</v>
      </c>
      <c r="E6" s="106"/>
      <c r="F6" s="106"/>
      <c r="G6" s="106"/>
      <c r="H6" s="106"/>
      <c r="I6" s="106"/>
      <c r="J6" s="124"/>
      <c r="K6" s="107"/>
    </row>
    <row r="7" spans="1:14" ht="16.5" thickBot="1" x14ac:dyDescent="0.3">
      <c r="A7" s="141" t="s">
        <v>80</v>
      </c>
      <c r="B7" s="141"/>
      <c r="C7" s="141"/>
      <c r="D7" s="105" t="s">
        <v>138</v>
      </c>
      <c r="E7" s="106"/>
      <c r="F7" s="106"/>
      <c r="G7" s="106"/>
      <c r="H7" s="106"/>
      <c r="I7" s="106"/>
      <c r="J7" s="124"/>
      <c r="K7" s="107"/>
    </row>
    <row r="8" spans="1:14" ht="16.5" thickBot="1" x14ac:dyDescent="0.3">
      <c r="A8" s="144" t="s">
        <v>81</v>
      </c>
      <c r="B8" s="144"/>
      <c r="C8" s="144"/>
      <c r="D8" s="108" t="s">
        <v>130</v>
      </c>
      <c r="E8" s="106"/>
      <c r="F8" s="106"/>
      <c r="G8" s="106"/>
      <c r="H8" s="106"/>
      <c r="I8" s="106"/>
      <c r="J8" s="124"/>
      <c r="K8" s="107"/>
    </row>
    <row r="9" spans="1:14" ht="16.5" thickBot="1" x14ac:dyDescent="0.3">
      <c r="A9" s="57"/>
      <c r="B9" s="113"/>
      <c r="C9" s="58"/>
      <c r="D9" s="59"/>
      <c r="E9" s="59"/>
      <c r="F9" s="59"/>
      <c r="G9" s="59"/>
      <c r="H9" s="59"/>
      <c r="I9" s="59"/>
      <c r="J9" s="125"/>
      <c r="K9" s="60"/>
    </row>
    <row r="10" spans="1:14" ht="15.75" thickBot="1" x14ac:dyDescent="0.3">
      <c r="A10" s="148" t="s">
        <v>82</v>
      </c>
      <c r="B10" s="149" t="s">
        <v>83</v>
      </c>
      <c r="C10" s="149" t="s">
        <v>84</v>
      </c>
      <c r="D10" s="149"/>
      <c r="E10" s="149"/>
      <c r="F10" s="149"/>
      <c r="G10" s="149"/>
      <c r="H10" s="149" t="s">
        <v>85</v>
      </c>
      <c r="I10" s="149" t="s">
        <v>86</v>
      </c>
      <c r="J10" s="152" t="s">
        <v>87</v>
      </c>
      <c r="K10" s="150" t="s">
        <v>88</v>
      </c>
    </row>
    <row r="11" spans="1:14" ht="33.75" customHeight="1" thickBot="1" x14ac:dyDescent="0.3">
      <c r="A11" s="148"/>
      <c r="B11" s="149"/>
      <c r="C11" s="149"/>
      <c r="D11" s="149"/>
      <c r="E11" s="149"/>
      <c r="F11" s="149"/>
      <c r="G11" s="149"/>
      <c r="H11" s="149"/>
      <c r="I11" s="149"/>
      <c r="J11" s="152"/>
      <c r="K11" s="150"/>
    </row>
    <row r="12" spans="1:14" ht="30" customHeight="1" x14ac:dyDescent="0.25">
      <c r="A12" s="61">
        <v>1</v>
      </c>
      <c r="B12" s="114" t="str">
        <f>'SAF 011'!B10</f>
        <v>2.5.2-3956.66</v>
      </c>
      <c r="C12" s="151" t="str">
        <f>'SAF 011'!E10</f>
        <v>ANTINEOPLASICOS; TIPO: MONODROGA, DROGA GENERICA: ASPARAGINASA PEGILADA, FORMA FARMACEUTICA: FRASCO AMPOLLA, PRESENTACION: ENVASE X 3750 UI</v>
      </c>
      <c r="D12" s="151"/>
      <c r="E12" s="151"/>
      <c r="F12" s="151"/>
      <c r="G12" s="151"/>
      <c r="H12" s="114" t="s">
        <v>131</v>
      </c>
      <c r="I12" s="128" t="str">
        <f>'SAF 011'!F10</f>
        <v>AMPOLLA</v>
      </c>
      <c r="J12" s="129">
        <f>'SAF 011'!AZ10</f>
        <v>616730</v>
      </c>
      <c r="K12" s="130">
        <f>'SAF 011'!Q10</f>
        <v>2</v>
      </c>
      <c r="L12" t="b">
        <f>B12='SAF 011'!B10</f>
        <v>1</v>
      </c>
      <c r="M12" t="b">
        <f>C12='SAF 011'!E10</f>
        <v>1</v>
      </c>
      <c r="N12" s="127">
        <f>J12*K12-'SAF 011'!BA10</f>
        <v>0</v>
      </c>
    </row>
    <row r="13" spans="1:14" ht="30" customHeight="1" x14ac:dyDescent="0.25">
      <c r="A13" s="62">
        <v>2</v>
      </c>
      <c r="B13" s="115" t="str">
        <f>'SAF 011'!B11</f>
        <v>2.5.2-3956.30</v>
      </c>
      <c r="C13" s="145" t="str">
        <f>'SAF 011'!E11</f>
        <v>ANTINEOPLASICOS; TIPO: MONODROGA, DROGA GENERICA: BORTEZOMIB, FORMA FARMACEUTICA: AMPOLLA, PRESENTACION: ENVASE X 3,5 MGR</v>
      </c>
      <c r="D13" s="146"/>
      <c r="E13" s="146"/>
      <c r="F13" s="146"/>
      <c r="G13" s="147"/>
      <c r="H13" s="115" t="s">
        <v>131</v>
      </c>
      <c r="I13" s="131" t="str">
        <f>'SAF 011'!F11</f>
        <v>AMPOLLA</v>
      </c>
      <c r="J13" s="132">
        <f>'SAF 011'!AZ11</f>
        <v>4680</v>
      </c>
      <c r="K13" s="133">
        <f>'SAF 011'!Q11</f>
        <v>2</v>
      </c>
      <c r="L13" t="b">
        <f>B13='SAF 011'!B11</f>
        <v>1</v>
      </c>
      <c r="M13" t="b">
        <f>C13='SAF 011'!E11</f>
        <v>1</v>
      </c>
      <c r="N13" s="127">
        <f>J13*K13-'SAF 011'!BA11</f>
        <v>0</v>
      </c>
    </row>
    <row r="14" spans="1:14" ht="30" customHeight="1" x14ac:dyDescent="0.25">
      <c r="A14" s="62">
        <v>3</v>
      </c>
      <c r="B14" s="115" t="str">
        <f>'SAF 011'!B12</f>
        <v>2.5.2-3956.65</v>
      </c>
      <c r="C14" s="145" t="str">
        <f>'SAF 011'!E12</f>
        <v>ANTINEOPLASICOS; TIPO: MONODROGA, DROGA GENERICA: BRENTUXIMAB, FORMA FARMACEUTICA: AMPOLLA, PRESENTACION: UNIDAD</v>
      </c>
      <c r="D14" s="146"/>
      <c r="E14" s="146"/>
      <c r="F14" s="146"/>
      <c r="G14" s="147"/>
      <c r="H14" s="115" t="s">
        <v>131</v>
      </c>
      <c r="I14" s="131" t="str">
        <f>'SAF 011'!F12</f>
        <v>AMPOLLA</v>
      </c>
      <c r="J14" s="132">
        <f>'SAF 011'!AZ12</f>
        <v>828100</v>
      </c>
      <c r="K14" s="133">
        <f>'SAF 011'!Q12</f>
        <v>1</v>
      </c>
      <c r="L14" t="b">
        <f>B14='SAF 011'!B12</f>
        <v>1</v>
      </c>
      <c r="M14" t="b">
        <f>C14='SAF 011'!E12</f>
        <v>1</v>
      </c>
      <c r="N14" s="127">
        <f>J14*K14-'SAF 011'!BA12</f>
        <v>0</v>
      </c>
    </row>
    <row r="15" spans="1:14" ht="30" customHeight="1" x14ac:dyDescent="0.25">
      <c r="A15" s="62">
        <v>4</v>
      </c>
      <c r="B15" s="115" t="str">
        <f>'SAF 011'!B13</f>
        <v>2.5.2-3956.63</v>
      </c>
      <c r="C15" s="145" t="str">
        <f>'SAF 011'!E13</f>
        <v>ANTINEOPLASICOS; TIPO: MONODROGA, DROGA GENERICA: PEMBROLIZUMAB, FORMA FARMACEUTICA: AMPOLLA, PRESENTACION: UNIDAD</v>
      </c>
      <c r="D15" s="146"/>
      <c r="E15" s="146"/>
      <c r="F15" s="146"/>
      <c r="G15" s="147"/>
      <c r="H15" s="115" t="s">
        <v>131</v>
      </c>
      <c r="I15" s="131" t="str">
        <f>'SAF 011'!F13</f>
        <v>AMPOLLA</v>
      </c>
      <c r="J15" s="132">
        <f>'SAF 011'!AZ13</f>
        <v>399906.1</v>
      </c>
      <c r="K15" s="133">
        <f>'SAF 011'!Q13</f>
        <v>6</v>
      </c>
      <c r="L15" t="b">
        <f>B15='SAF 011'!B13</f>
        <v>1</v>
      </c>
      <c r="M15" t="b">
        <f>C15='SAF 011'!E13</f>
        <v>1</v>
      </c>
      <c r="N15" s="127">
        <f>J15*K15-'SAF 011'!BA13</f>
        <v>0</v>
      </c>
    </row>
    <row r="16" spans="1:14" ht="30" customHeight="1" x14ac:dyDescent="0.25">
      <c r="A16" s="62">
        <v>5</v>
      </c>
      <c r="B16" s="115" t="str">
        <f>'SAF 011'!B14</f>
        <v>2.5.2-3956.22</v>
      </c>
      <c r="C16" s="145" t="str">
        <f>'SAF 011'!E14</f>
        <v>ANTINEOPLASICOS; TIPO: MONODROGA, DROGA GENERICA: TRANTUZUMAB, FORMA FARMACEUTICA: AMPOLLA, PRESENTACION: ENVASE X 440 mGr</v>
      </c>
      <c r="D16" s="146"/>
      <c r="E16" s="146"/>
      <c r="F16" s="146"/>
      <c r="G16" s="147"/>
      <c r="H16" s="115" t="s">
        <v>131</v>
      </c>
      <c r="I16" s="131" t="str">
        <f>'SAF 011'!F14</f>
        <v>AMPOLLA</v>
      </c>
      <c r="J16" s="132">
        <f>'SAF 011'!AZ14</f>
        <v>197243.75</v>
      </c>
      <c r="K16" s="133">
        <f>'SAF 011'!Q14</f>
        <v>8</v>
      </c>
      <c r="L16" t="b">
        <f>B16='SAF 011'!B14</f>
        <v>1</v>
      </c>
      <c r="M16" t="b">
        <f>C16='SAF 011'!E14</f>
        <v>1</v>
      </c>
      <c r="N16" s="127">
        <f>J16*K16-'SAF 011'!BA14</f>
        <v>0</v>
      </c>
    </row>
    <row r="17" spans="1:14" ht="30" customHeight="1" x14ac:dyDescent="0.25">
      <c r="A17" s="62">
        <v>6</v>
      </c>
      <c r="B17" s="115" t="str">
        <f>'SAF 011'!B15</f>
        <v>2.5.2-1894.102</v>
      </c>
      <c r="C17" s="145" t="str">
        <f>'SAF 011'!E15</f>
        <v>CITOSTATICOS; TIPO: MONODROGA, DROGA GENERICA: BEVACIZUMAB 400 MG, FORMA FARMACEUTICA: VIAL X 16 mL, PRESENTACION: UNIDAD</v>
      </c>
      <c r="D17" s="146"/>
      <c r="E17" s="146"/>
      <c r="F17" s="146"/>
      <c r="G17" s="147"/>
      <c r="H17" s="115" t="s">
        <v>131</v>
      </c>
      <c r="I17" s="131" t="str">
        <f>'SAF 011'!F15</f>
        <v>AMPOLLA</v>
      </c>
      <c r="J17" s="132">
        <f>'SAF 011'!AZ15</f>
        <v>7740</v>
      </c>
      <c r="K17" s="133">
        <f>'SAF 011'!Q15</f>
        <v>5</v>
      </c>
      <c r="L17" t="b">
        <f>B17='SAF 011'!B15</f>
        <v>1</v>
      </c>
      <c r="M17" t="b">
        <f>C17='SAF 011'!E15</f>
        <v>1</v>
      </c>
      <c r="N17" s="127">
        <f>J17*K17-'SAF 011'!BA15</f>
        <v>0</v>
      </c>
    </row>
    <row r="18" spans="1:14" ht="30" customHeight="1" x14ac:dyDescent="0.25">
      <c r="A18" s="62">
        <v>7</v>
      </c>
      <c r="B18" s="115" t="str">
        <f>'SAF 011'!B16</f>
        <v>2.5.2-1894.125</v>
      </c>
      <c r="C18" s="145" t="str">
        <f>'SAF 011'!E16</f>
        <v>CITOSTATICOS; TIPO: MONODROGA, DROGA GENERICA: PERTUZUMAB 420 MG, FORMA FARMACEUTICA: AMPOLLA, PRESENTACION: ENVASE X 14 ML</v>
      </c>
      <c r="D18" s="146"/>
      <c r="E18" s="146"/>
      <c r="F18" s="146"/>
      <c r="G18" s="147"/>
      <c r="H18" s="115" t="s">
        <v>131</v>
      </c>
      <c r="I18" s="131" t="str">
        <f>'SAF 011'!F16</f>
        <v>AMPOLLA</v>
      </c>
      <c r="J18" s="132">
        <f>'SAF 011'!AZ16</f>
        <v>527797.19999999995</v>
      </c>
      <c r="K18" s="133">
        <f>'SAF 011'!Q16</f>
        <v>8</v>
      </c>
      <c r="L18" t="b">
        <f>B18='SAF 011'!B16</f>
        <v>1</v>
      </c>
      <c r="M18" t="b">
        <f>C18='SAF 011'!E16</f>
        <v>1</v>
      </c>
      <c r="N18" s="127">
        <f>J18*K18-'SAF 011'!BA16</f>
        <v>0</v>
      </c>
    </row>
    <row r="19" spans="1:14" ht="30" customHeight="1" x14ac:dyDescent="0.25">
      <c r="A19" s="62">
        <v>8</v>
      </c>
      <c r="B19" s="115" t="str">
        <f>'SAF 011'!B17</f>
        <v>2.5.2-1894.126</v>
      </c>
      <c r="C19" s="145" t="str">
        <f>'SAF 011'!E17</f>
        <v>CITOSTATICOS; TIPO: MONODROGA, DROGA GENERICA: TRASTUZUMAB 600 MG, FORMA FARMACEUTICA: AMPOLLA, PRESENTACION: ENVASE X 5 ML</v>
      </c>
      <c r="D19" s="146"/>
      <c r="E19" s="146"/>
      <c r="F19" s="146"/>
      <c r="G19" s="147"/>
      <c r="H19" s="115" t="s">
        <v>131</v>
      </c>
      <c r="I19" s="131" t="str">
        <f>'SAF 011'!F17</f>
        <v>SUBCUTANEO</v>
      </c>
      <c r="J19" s="132">
        <f>'SAF 011'!AZ17</f>
        <v>297000</v>
      </c>
      <c r="K19" s="133">
        <f>'SAF 011'!Q17</f>
        <v>2</v>
      </c>
      <c r="L19" t="b">
        <f>B19='SAF 011'!B17</f>
        <v>1</v>
      </c>
      <c r="M19" t="b">
        <f>C19='SAF 011'!E17</f>
        <v>1</v>
      </c>
      <c r="N19" s="127">
        <f>J19*K19-'SAF 011'!BA17</f>
        <v>0</v>
      </c>
    </row>
    <row r="20" spans="1:14" ht="30" customHeight="1" x14ac:dyDescent="0.25">
      <c r="A20" s="62">
        <v>9</v>
      </c>
      <c r="B20" s="115" t="str">
        <f>'SAF 011'!B18</f>
        <v>2.5.2-1913.9</v>
      </c>
      <c r="C20" s="145" t="str">
        <f>'SAF 011'!E18</f>
        <v>SULFONAMIDA-QUIMIOTERAPICO; TIPO: MONODROGA, DROGA GENERICA: DACTINOMICINA, FORMA FARMACEUTICA: AMPOLLA, PRESENTACION: 0,5 mGr</v>
      </c>
      <c r="D20" s="146"/>
      <c r="E20" s="146"/>
      <c r="F20" s="146"/>
      <c r="G20" s="147"/>
      <c r="H20" s="115" t="s">
        <v>131</v>
      </c>
      <c r="I20" s="131" t="str">
        <f>'SAF 011'!F18</f>
        <v>AMPOLLA</v>
      </c>
      <c r="J20" s="132">
        <f>'SAF 011'!AZ18</f>
        <v>91890</v>
      </c>
      <c r="K20" s="133">
        <f>'SAF 011'!Q18</f>
        <v>3</v>
      </c>
      <c r="L20" t="b">
        <f>B20='SAF 011'!B18</f>
        <v>1</v>
      </c>
      <c r="M20" t="b">
        <f>C20='SAF 011'!E18</f>
        <v>1</v>
      </c>
      <c r="N20" s="127">
        <f>J20*K20-'SAF 011'!BA18</f>
        <v>0</v>
      </c>
    </row>
    <row r="21" spans="1:14" ht="16.5" thickBot="1" x14ac:dyDescent="0.3">
      <c r="A21" s="117"/>
      <c r="B21" s="118"/>
      <c r="C21" s="156"/>
      <c r="D21" s="156"/>
      <c r="E21" s="156"/>
      <c r="F21" s="156"/>
      <c r="G21" s="156"/>
      <c r="H21" s="119"/>
      <c r="I21" s="120"/>
      <c r="J21" s="126"/>
      <c r="K21" s="121"/>
    </row>
    <row r="22" spans="1:14" ht="19.5" thickBot="1" x14ac:dyDescent="0.3">
      <c r="A22" s="153" t="s">
        <v>132</v>
      </c>
      <c r="B22" s="153"/>
      <c r="C22" s="153"/>
      <c r="D22" s="153"/>
      <c r="E22" s="153"/>
      <c r="F22" s="153"/>
      <c r="G22" s="153"/>
      <c r="H22" s="153"/>
      <c r="I22" s="153"/>
      <c r="J22" s="154">
        <f>SUMPRODUCT(J12:J20,K12:K20)</f>
        <v>11179054.199999999</v>
      </c>
      <c r="K22" s="155"/>
    </row>
  </sheetData>
  <mergeCells count="26">
    <mergeCell ref="A22:I22"/>
    <mergeCell ref="J22:K22"/>
    <mergeCell ref="C17:G17"/>
    <mergeCell ref="C18:G18"/>
    <mergeCell ref="C19:G19"/>
    <mergeCell ref="C20:G20"/>
    <mergeCell ref="C21:G21"/>
    <mergeCell ref="H10:H11"/>
    <mergeCell ref="K10:K11"/>
    <mergeCell ref="C12:G12"/>
    <mergeCell ref="C13:G13"/>
    <mergeCell ref="C14:G14"/>
    <mergeCell ref="I10:I11"/>
    <mergeCell ref="J10:J11"/>
    <mergeCell ref="A7:C7"/>
    <mergeCell ref="A8:C8"/>
    <mergeCell ref="C16:G16"/>
    <mergeCell ref="A10:A11"/>
    <mergeCell ref="B10:B11"/>
    <mergeCell ref="C10:G11"/>
    <mergeCell ref="C15:G15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S15" sqref="S15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58" t="s">
        <v>5</v>
      </c>
      <c r="B1" s="158"/>
      <c r="C1" s="158"/>
      <c r="D1" s="159">
        <v>2022</v>
      </c>
      <c r="E1" s="159"/>
      <c r="F1" s="63"/>
      <c r="G1" s="63"/>
      <c r="H1" s="64"/>
      <c r="I1" s="64"/>
      <c r="J1" s="64"/>
      <c r="K1" s="64"/>
      <c r="L1" s="64"/>
      <c r="M1" s="64"/>
      <c r="N1" s="64"/>
      <c r="O1" s="65"/>
      <c r="P1" s="160" t="s">
        <v>89</v>
      </c>
      <c r="Q1" s="160"/>
    </row>
    <row r="2" spans="1:17" ht="15.75" thickBot="1" x14ac:dyDescent="0.3">
      <c r="A2" s="66"/>
      <c r="G2" s="67"/>
      <c r="H2" s="68"/>
      <c r="I2" s="68"/>
      <c r="J2" s="68"/>
      <c r="K2" s="68"/>
      <c r="L2" s="68"/>
      <c r="M2" s="68"/>
      <c r="N2" s="68"/>
      <c r="P2" s="160"/>
      <c r="Q2" s="160"/>
    </row>
    <row r="3" spans="1:17" ht="15.75" thickBot="1" x14ac:dyDescent="0.3">
      <c r="A3" s="66"/>
      <c r="G3" s="67"/>
      <c r="Q3" s="69"/>
    </row>
    <row r="4" spans="1:17" ht="15.75" thickBot="1" x14ac:dyDescent="0.3">
      <c r="A4" s="161" t="s">
        <v>90</v>
      </c>
      <c r="B4" s="161"/>
      <c r="C4" s="161"/>
      <c r="D4" s="161"/>
      <c r="E4" s="161"/>
      <c r="F4" s="161"/>
      <c r="G4" s="162" t="str">
        <f>NP!D3</f>
        <v>040 - 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ht="15.75" thickBot="1" x14ac:dyDescent="0.3">
      <c r="A5" s="163" t="s">
        <v>77</v>
      </c>
      <c r="B5" s="163"/>
      <c r="C5" s="163"/>
      <c r="D5" s="163"/>
      <c r="E5" s="163"/>
      <c r="F5" s="163"/>
      <c r="G5" s="162" t="str">
        <f>NP!D4</f>
        <v>011 - DIRECCION PROVINCIAL DE ADMINISTRACION - MINISTERIO DE SALUD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ht="15.75" thickBot="1" x14ac:dyDescent="0.3">
      <c r="A6" s="163" t="s">
        <v>78</v>
      </c>
      <c r="B6" s="163"/>
      <c r="C6" s="163"/>
      <c r="D6" s="163"/>
      <c r="E6" s="163"/>
      <c r="F6" s="163"/>
      <c r="G6" s="162" t="str">
        <f>NP!D5</f>
        <v>159 - DIRECCION PROVINCIAL DE CANCER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ht="15.75" thickBot="1" x14ac:dyDescent="0.3">
      <c r="A7" s="163" t="s">
        <v>79</v>
      </c>
      <c r="B7" s="163"/>
      <c r="C7" s="163"/>
      <c r="D7" s="163"/>
      <c r="E7" s="163"/>
      <c r="F7" s="163"/>
      <c r="G7" s="162" t="str">
        <f>NP!D6</f>
        <v>159 - DIRECCION PROVINCIAL DE CANCER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5.75" thickBot="1" x14ac:dyDescent="0.3">
      <c r="A8" s="164" t="s">
        <v>91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1:17" ht="27.75" customHeight="1" x14ac:dyDescent="0.25">
      <c r="A9" s="157" t="s">
        <v>92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</row>
    <row r="10" spans="1:17" ht="57" customHeight="1" x14ac:dyDescent="0.25">
      <c r="A10" s="166" t="s">
        <v>136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</row>
    <row r="11" spans="1:17" ht="15.75" thickBot="1" x14ac:dyDescent="0.3">
      <c r="A11" s="70"/>
      <c r="B11" s="71"/>
      <c r="C11" s="71"/>
      <c r="D11" s="71"/>
      <c r="E11" s="71"/>
      <c r="F11" s="71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3"/>
    </row>
    <row r="12" spans="1:17" ht="15.75" thickBot="1" x14ac:dyDescent="0.3">
      <c r="A12" s="167" t="s">
        <v>93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</row>
    <row r="13" spans="1:17" ht="15.75" thickBot="1" x14ac:dyDescent="0.3">
      <c r="A13" s="168" t="s">
        <v>94</v>
      </c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9" t="s">
        <v>95</v>
      </c>
      <c r="P13" s="169"/>
      <c r="Q13" s="170" t="s">
        <v>96</v>
      </c>
    </row>
    <row r="14" spans="1:17" ht="15.75" thickBot="1" x14ac:dyDescent="0.3">
      <c r="A14" s="74" t="s">
        <v>97</v>
      </c>
      <c r="B14" s="75" t="s">
        <v>98</v>
      </c>
      <c r="C14" s="75" t="s">
        <v>99</v>
      </c>
      <c r="D14" s="75" t="s">
        <v>100</v>
      </c>
      <c r="E14" s="75" t="s">
        <v>101</v>
      </c>
      <c r="F14" s="75" t="s">
        <v>102</v>
      </c>
      <c r="G14" s="76" t="s">
        <v>103</v>
      </c>
      <c r="H14" s="75" t="s">
        <v>104</v>
      </c>
      <c r="I14" s="75" t="s">
        <v>105</v>
      </c>
      <c r="J14" s="75" t="s">
        <v>106</v>
      </c>
      <c r="K14" s="75" t="s">
        <v>106</v>
      </c>
      <c r="L14" s="75" t="s">
        <v>107</v>
      </c>
      <c r="M14" s="77" t="s">
        <v>108</v>
      </c>
      <c r="N14" s="78" t="s">
        <v>109</v>
      </c>
      <c r="O14" s="169"/>
      <c r="P14" s="169"/>
      <c r="Q14" s="170"/>
    </row>
    <row r="15" spans="1:17" ht="38.25" customHeight="1" x14ac:dyDescent="0.25">
      <c r="A15" s="181">
        <v>44</v>
      </c>
      <c r="B15" s="182"/>
      <c r="C15" s="182"/>
      <c r="D15" s="182">
        <v>1</v>
      </c>
      <c r="E15" s="182"/>
      <c r="F15" s="182">
        <v>4901</v>
      </c>
      <c r="G15" s="182">
        <v>3</v>
      </c>
      <c r="H15" s="182">
        <v>1</v>
      </c>
      <c r="I15" s="182">
        <v>2</v>
      </c>
      <c r="J15" s="182">
        <v>5</v>
      </c>
      <c r="K15" s="182">
        <v>2</v>
      </c>
      <c r="L15" s="182"/>
      <c r="M15" s="183">
        <v>1</v>
      </c>
      <c r="N15" s="182" t="s">
        <v>133</v>
      </c>
      <c r="O15" s="184" t="s">
        <v>62</v>
      </c>
      <c r="P15" s="184"/>
      <c r="Q15" s="185">
        <f>NP!J22</f>
        <v>11179054.199999999</v>
      </c>
    </row>
    <row r="16" spans="1:17" x14ac:dyDescent="0.25">
      <c r="A16" s="7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1"/>
      <c r="N16" s="82"/>
      <c r="O16" s="171"/>
      <c r="P16" s="171"/>
      <c r="Q16" s="83"/>
    </row>
    <row r="17" spans="1:17" x14ac:dyDescent="0.25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1"/>
      <c r="N17" s="82"/>
      <c r="O17" s="172"/>
      <c r="P17" s="172"/>
      <c r="Q17" s="83"/>
    </row>
    <row r="18" spans="1:17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1"/>
      <c r="N18" s="82"/>
      <c r="O18" s="165"/>
      <c r="P18" s="165"/>
      <c r="Q18" s="83"/>
    </row>
    <row r="19" spans="1:17" x14ac:dyDescent="0.2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1"/>
      <c r="N19" s="82"/>
      <c r="O19" s="165"/>
      <c r="P19" s="165"/>
      <c r="Q19" s="83"/>
    </row>
    <row r="20" spans="1:17" x14ac:dyDescent="0.25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1"/>
      <c r="N20" s="82"/>
      <c r="O20" s="165"/>
      <c r="P20" s="165"/>
      <c r="Q20" s="83"/>
    </row>
    <row r="21" spans="1:17" x14ac:dyDescent="0.25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1"/>
      <c r="N21" s="82"/>
      <c r="O21" s="165"/>
      <c r="P21" s="165"/>
      <c r="Q21" s="83"/>
    </row>
    <row r="22" spans="1:17" x14ac:dyDescent="0.2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1"/>
      <c r="N22" s="82"/>
      <c r="O22" s="165"/>
      <c r="P22" s="165"/>
      <c r="Q22" s="83"/>
    </row>
    <row r="23" spans="1:17" x14ac:dyDescent="0.25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1"/>
      <c r="N23" s="82"/>
      <c r="O23" s="165"/>
      <c r="P23" s="165"/>
      <c r="Q23" s="83"/>
    </row>
    <row r="24" spans="1:17" x14ac:dyDescent="0.25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  <c r="N24" s="82"/>
      <c r="O24" s="165"/>
      <c r="P24" s="165"/>
      <c r="Q24" s="83"/>
    </row>
    <row r="25" spans="1:17" x14ac:dyDescent="0.25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1"/>
      <c r="N25" s="82"/>
      <c r="O25" s="165"/>
      <c r="P25" s="165"/>
      <c r="Q25" s="83"/>
    </row>
    <row r="26" spans="1:17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1"/>
      <c r="N26" s="82"/>
      <c r="O26" s="165"/>
      <c r="P26" s="165"/>
      <c r="Q26" s="83"/>
    </row>
    <row r="27" spans="1:17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1"/>
      <c r="N27" s="82"/>
      <c r="O27" s="165"/>
      <c r="P27" s="165"/>
      <c r="Q27" s="83"/>
    </row>
    <row r="28" spans="1:17" x14ac:dyDescent="0.2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1"/>
      <c r="N28" s="82"/>
      <c r="O28" s="165"/>
      <c r="P28" s="165"/>
      <c r="Q28" s="83"/>
    </row>
    <row r="29" spans="1:17" x14ac:dyDescent="0.2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1"/>
      <c r="N29" s="82"/>
      <c r="O29" s="165"/>
      <c r="P29" s="165"/>
      <c r="Q29" s="83"/>
    </row>
    <row r="30" spans="1:17" x14ac:dyDescent="0.2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1"/>
      <c r="N30" s="82"/>
      <c r="O30" s="165"/>
      <c r="P30" s="165"/>
      <c r="Q30" s="83"/>
    </row>
    <row r="31" spans="1:17" x14ac:dyDescent="0.2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1"/>
      <c r="N31" s="82"/>
      <c r="O31" s="165"/>
      <c r="P31" s="165"/>
      <c r="Q31" s="83"/>
    </row>
    <row r="32" spans="1:17" x14ac:dyDescent="0.25">
      <c r="A32" s="79"/>
      <c r="B32" s="80"/>
      <c r="C32" s="80"/>
      <c r="D32" s="80"/>
      <c r="E32" s="80"/>
      <c r="F32" s="82"/>
      <c r="G32" s="80"/>
      <c r="H32" s="80"/>
      <c r="I32" s="80"/>
      <c r="J32" s="80"/>
      <c r="K32" s="80"/>
      <c r="L32" s="80"/>
      <c r="M32" s="81"/>
      <c r="N32" s="82"/>
      <c r="O32" s="171"/>
      <c r="P32" s="171"/>
      <c r="Q32" s="83"/>
    </row>
    <row r="33" spans="1:17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1"/>
      <c r="N33" s="82"/>
      <c r="O33" s="171"/>
      <c r="P33" s="171"/>
      <c r="Q33" s="83"/>
    </row>
    <row r="34" spans="1:17" x14ac:dyDescent="0.25">
      <c r="A34" s="79"/>
      <c r="B34" s="80"/>
      <c r="C34" s="80"/>
      <c r="D34" s="80"/>
      <c r="E34" s="80"/>
      <c r="F34" s="82"/>
      <c r="G34" s="80"/>
      <c r="H34" s="80"/>
      <c r="I34" s="80"/>
      <c r="J34" s="80"/>
      <c r="K34" s="80"/>
      <c r="L34" s="80"/>
      <c r="M34" s="81"/>
      <c r="N34" s="82"/>
      <c r="O34" s="171"/>
      <c r="P34" s="171"/>
      <c r="Q34" s="83"/>
    </row>
    <row r="35" spans="1:17" x14ac:dyDescent="0.25">
      <c r="A35" s="79"/>
      <c r="B35" s="80"/>
      <c r="C35" s="80"/>
      <c r="D35" s="80"/>
      <c r="E35" s="80"/>
      <c r="F35" s="82"/>
      <c r="G35" s="80"/>
      <c r="H35" s="80"/>
      <c r="I35" s="80"/>
      <c r="J35" s="80"/>
      <c r="K35" s="80"/>
      <c r="L35" s="80"/>
      <c r="M35" s="81"/>
      <c r="N35" s="82"/>
      <c r="O35" s="171"/>
      <c r="P35" s="171"/>
      <c r="Q35" s="83"/>
    </row>
    <row r="36" spans="1:17" x14ac:dyDescent="0.25">
      <c r="A36" s="84"/>
      <c r="B36" s="85"/>
      <c r="C36" s="85"/>
      <c r="D36" s="85"/>
      <c r="E36" s="85"/>
      <c r="F36" s="82"/>
      <c r="G36" s="85"/>
      <c r="H36" s="85"/>
      <c r="I36" s="85"/>
      <c r="J36" s="85"/>
      <c r="K36" s="85"/>
      <c r="L36" s="85"/>
      <c r="M36" s="86"/>
      <c r="N36" s="87"/>
      <c r="O36" s="171"/>
      <c r="P36" s="171"/>
      <c r="Q36" s="83"/>
    </row>
    <row r="37" spans="1:17" ht="15.75" thickBo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9"/>
      <c r="O37" s="176"/>
      <c r="P37" s="176"/>
      <c r="Q37" s="91"/>
    </row>
    <row r="38" spans="1:17" ht="35.25" customHeight="1" thickBot="1" x14ac:dyDescent="0.3">
      <c r="A38" s="177" t="s">
        <v>134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92">
        <f>SUM(Q15:Q37)</f>
        <v>11179054.199999999</v>
      </c>
    </row>
    <row r="39" spans="1:17" ht="15.75" thickBot="1" x14ac:dyDescent="0.3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.75" thickBot="1" x14ac:dyDescent="0.3">
      <c r="A40" s="173" t="s">
        <v>110</v>
      </c>
      <c r="B40" s="173"/>
      <c r="C40" s="173"/>
      <c r="D40" s="173"/>
      <c r="E40" s="173"/>
      <c r="F40" s="173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</row>
    <row r="41" spans="1:17" ht="15.75" thickBot="1" x14ac:dyDescent="0.3">
      <c r="A41" s="175" t="str">
        <f>NP!D8</f>
        <v>ADQ. DEL RUBRO MEDICAMENTOS ONCOLOGICOS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</row>
    <row r="42" spans="1:17" ht="15.75" thickBot="1" x14ac:dyDescent="0.3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2022-08-16T12:31:28Z</dcterms:modified>
</cp:coreProperties>
</file>