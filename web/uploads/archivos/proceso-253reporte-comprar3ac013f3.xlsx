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AE6DFE2-F0E1-4CEF-A9AC-0F615B65CA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2" l="1"/>
  <c r="M14" i="2"/>
</calcChain>
</file>

<file path=xl/sharedStrings.xml><?xml version="1.0" encoding="utf-8"?>
<sst xmlns="http://schemas.openxmlformats.org/spreadsheetml/2006/main" count="56" uniqueCount="44">
  <si>
    <t>Número expediente:</t>
  </si>
  <si>
    <t>EX-2022-02084230-   -CAT-DPCBS#MEC</t>
  </si>
  <si>
    <t>Número proceso de compra:</t>
  </si>
  <si>
    <t>100-0196-CDI22</t>
  </si>
  <si>
    <t>Nombre descriptivo proceso de compra:</t>
  </si>
  <si>
    <t>ADQUISICION DE NEUMATICOS PARA EL PARQUE AUTOMOTOR - M.I.D.S.P.</t>
  </si>
  <si>
    <t>Unidad Operativa de Compras:</t>
  </si>
  <si>
    <t>Secretaria de Compras y Abastecimiento</t>
  </si>
  <si>
    <t>Fecha de Apertura:</t>
  </si>
  <si>
    <t>08/11/2022</t>
  </si>
  <si>
    <t>Renglón</t>
  </si>
  <si>
    <t>GUTIERREZ S.R.L.</t>
  </si>
  <si>
    <t>SARAKO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</si>
  <si>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</si>
  <si>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</si>
  <si>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</si>
  <si>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</si>
  <si>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</si>
  <si>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</si>
  <si>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</si>
  <si>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</si>
  <si>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</si>
  <si>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</si>
  <si>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2.4.4-6818.92 </t>
  </si>
  <si>
    <t xml:space="preserve">NEUMATICOS; VEHICULO: AUTOMOVIL, CONSTRUCCION: RADIAL, ARMADO: S/CAMARA, MEDIDA: 205/65R15 </t>
  </si>
  <si>
    <t xml:space="preserve">UNIDAD </t>
  </si>
  <si>
    <t xml:space="preserve">MARCA WEST LAKE RP18 </t>
  </si>
  <si>
    <t xml:space="preserve">Marca Fate - Modelo: AR-440.- </t>
  </si>
  <si>
    <t xml:space="preserve">2 </t>
  </si>
  <si>
    <t xml:space="preserve">2.4.4-6818.834 </t>
  </si>
  <si>
    <t xml:space="preserve">NEUMATICOS; VEHICULO: AUTOMOVIL, CONSTRUCCION: RADIAL, ARMADO: S/CAMARA, MEDIDA: 245/70 R16 
</t>
  </si>
  <si>
    <t xml:space="preserve">MARCA GRIDGESTONE H/T684 </t>
  </si>
  <si>
    <t xml:space="preserve">MARCA: FATE - MODELO: RANGE RUNNER AT.- </t>
  </si>
  <si>
    <t xml:space="preserve">3 </t>
  </si>
  <si>
    <t xml:space="preserve">2.4.4-6818.809 </t>
  </si>
  <si>
    <t xml:space="preserve">NEUMATICOS; VEHICULO: CAMION, CONSTRUCCION: RADIAL, ARMADO: S/CAMARA, MEDIDA: 215/75R17.5 </t>
  </si>
  <si>
    <t xml:space="preserve">MARCA TRIANGLE </t>
  </si>
  <si>
    <t xml:space="preserve">MARCA: FATE - MODELO: SR-200.- </t>
  </si>
  <si>
    <t xml:space="preserve">4 </t>
  </si>
  <si>
    <t xml:space="preserve">2.4.4-6818.88 </t>
  </si>
  <si>
    <t xml:space="preserve">NEUMATICOS; VEHICULO: AUTOMOVIL, CONSTRUCCION: RADIAL, ARMADO: S/CAMARA, MEDIDA: 175/65R14 </t>
  </si>
  <si>
    <t xml:space="preserve">MARCA FIREMAX </t>
  </si>
  <si>
    <t xml:space="preserve">MARCA: FATE - MODELO: PRESTIVA.-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</si>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</sst>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5.28515625" customWidth="1"/>
    <col min="5" max="5" width="67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28" customWidth="1"/>
    <col min="11" max="11" width="14.28515625" customWidth="1"/>
    <col min="12" max="12" width="17.28515625" customWidth="1"/>
    <col min="13" max="13" width="16.5703125" customWidth="1"/>
    <col min="14" max="14" width="41.71093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x14ac:dyDescent="0.25">
      <c r="A10" t="s">
        <v>22</v>
      </c>
      <c r="B10" t="s">
        <v>22</v>
      </c>
      <c r="C10" t="s">
        <v>23</v>
      </c>
      <c r="D10" t="s">
        <v>24</v>
      </c>
      <c r="E10">
        <v>18</v>
      </c>
      <c r="F10" t="s">
        <v>25</v>
      </c>
      <c r="G10" s="3">
        <v>54000</v>
      </c>
      <c r="H10" s="3">
        <v>18</v>
      </c>
      <c r="I10" s="4">
        <v>972000</v>
      </c>
      <c r="J10" t="s">
        <v>26</v>
      </c>
      <c r="K10" s="3">
        <v>62350</v>
      </c>
      <c r="L10" s="3">
        <v>18</v>
      </c>
      <c r="M10" s="4">
        <v>1122300</v>
      </c>
      <c r="N10" t="s">
        <v>27</v>
      </c>
    </row>
    <row r="11" spans="1:14" ht="45" x14ac:dyDescent="0.25">
      <c r="A11" t="s">
        <v>28</v>
      </c>
      <c r="B11" t="s">
        <v>22</v>
      </c>
      <c r="C11" t="s">
        <v>29</v>
      </c>
      <c r="D11" s="5" t="s">
        <v>30</v>
      </c>
      <c r="E11">
        <v>4</v>
      </c>
      <c r="F11" t="s">
        <v>25</v>
      </c>
      <c r="G11" s="3">
        <v>110000</v>
      </c>
      <c r="H11" s="3">
        <v>4</v>
      </c>
      <c r="I11" s="4">
        <v>440000</v>
      </c>
      <c r="J11" t="s">
        <v>31</v>
      </c>
      <c r="K11" s="3">
        <v>93200</v>
      </c>
      <c r="L11" s="3">
        <v>4</v>
      </c>
      <c r="M11" s="4">
        <v>372800</v>
      </c>
      <c r="N11" t="s">
        <v>32</v>
      </c>
    </row>
    <row r="12" spans="1:14" x14ac:dyDescent="0.25">
      <c r="A12" t="s">
        <v>33</v>
      </c>
      <c r="B12" t="s">
        <v>22</v>
      </c>
      <c r="C12" t="s">
        <v>34</v>
      </c>
      <c r="D12" t="s">
        <v>35</v>
      </c>
      <c r="E12">
        <v>4</v>
      </c>
      <c r="F12" t="s">
        <v>25</v>
      </c>
      <c r="G12" s="3">
        <v>138000</v>
      </c>
      <c r="H12" s="3">
        <v>4</v>
      </c>
      <c r="I12" s="4">
        <v>552000</v>
      </c>
      <c r="J12" t="s">
        <v>36</v>
      </c>
      <c r="K12" s="3">
        <v>180800</v>
      </c>
      <c r="L12" s="3">
        <v>4</v>
      </c>
      <c r="M12" s="4">
        <v>723200</v>
      </c>
      <c r="N12" t="s">
        <v>37</v>
      </c>
    </row>
    <row r="13" spans="1:14" x14ac:dyDescent="0.25">
      <c r="A13" t="s">
        <v>38</v>
      </c>
      <c r="B13" t="s">
        <v>22</v>
      </c>
      <c r="C13" t="s">
        <v>39</v>
      </c>
      <c r="D13" t="s">
        <v>40</v>
      </c>
      <c r="E13">
        <v>4</v>
      </c>
      <c r="F13" t="s">
        <v>25</v>
      </c>
      <c r="G13" s="3">
        <v>41000</v>
      </c>
      <c r="H13" s="3">
        <v>4</v>
      </c>
      <c r="I13" s="4">
        <v>164000</v>
      </c>
      <c r="J13" t="s">
        <v>41</v>
      </c>
      <c r="K13" s="3">
        <v>36680</v>
      </c>
      <c r="L13" s="3">
        <v>4</v>
      </c>
      <c r="M13" s="4">
        <v>146720</v>
      </c>
      <c r="N13" t="s">
        <v>42</v>
      </c>
    </row>
    <row r="14" spans="1:14" x14ac:dyDescent="0.25">
      <c r="C14" t="s">
        <v>43</v>
      </c>
      <c r="G14" s="3"/>
      <c r="H14" s="3"/>
      <c r="I14" s="4">
        <f>SUBTOTAL(109,Table2[Total por renglón])</f>
        <v>2128000</v>
      </c>
      <c r="K14" s="3"/>
      <c r="L14" s="3"/>
      <c r="M14" s="4">
        <f>SUBTOTAL(109,Table3[Total por renglón])</f>
        <v>2365020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2022-11-09T14:36:51Z</dcterms:created>
  <dcterms:modified xsi:type="dcterms:W3CDTF">2022-11-09T14:37:44Z</dcterms:modified>
</cp:coreProperties>
</file>