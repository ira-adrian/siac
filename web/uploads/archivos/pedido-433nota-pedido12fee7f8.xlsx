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MS\TRACTO\final\"/>
    </mc:Choice>
  </mc:AlternateContent>
  <xr:revisionPtr revIDLastSave="0" documentId="13_ncr:1_{BFAD1CFC-0079-4FB7-B7B3-BB856876D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P DPFeI" sheetId="2" r:id="rId2"/>
    <sheet name="APG DPFeI" sheetId="3" r:id="rId3"/>
    <sheet name="NP SAME" sheetId="4" r:id="rId4"/>
    <sheet name="APG SAME" sheetId="5" r:id="rId5"/>
  </sheets>
  <calcPr calcId="181029"/>
</workbook>
</file>

<file path=xl/calcChain.xml><?xml version="1.0" encoding="utf-8"?>
<calcChain xmlns="http://schemas.openxmlformats.org/spreadsheetml/2006/main">
  <c r="A26" i="5" l="1"/>
  <c r="K13" i="4"/>
  <c r="K14" i="4"/>
  <c r="K15" i="4"/>
  <c r="K16" i="4"/>
  <c r="K12" i="4"/>
  <c r="A26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12" i="2"/>
  <c r="A10" i="5"/>
  <c r="G7" i="5"/>
  <c r="G6" i="5"/>
  <c r="D1" i="5"/>
  <c r="J16" i="4"/>
  <c r="I16" i="4"/>
  <c r="C16" i="4"/>
  <c r="B16" i="4"/>
  <c r="J15" i="4"/>
  <c r="I15" i="4"/>
  <c r="C15" i="4"/>
  <c r="B15" i="4"/>
  <c r="J14" i="4"/>
  <c r="I14" i="4"/>
  <c r="C14" i="4"/>
  <c r="B14" i="4"/>
  <c r="J13" i="4"/>
  <c r="I13" i="4"/>
  <c r="C13" i="4"/>
  <c r="B13" i="4"/>
  <c r="J12" i="4"/>
  <c r="I12" i="4"/>
  <c r="C12" i="4"/>
  <c r="B12" i="4"/>
  <c r="D4" i="4"/>
  <c r="G5" i="5" s="1"/>
  <c r="D3" i="4"/>
  <c r="G4" i="5" s="1"/>
  <c r="J10" i="1" l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K10" i="1"/>
  <c r="J17" i="4" s="1"/>
  <c r="Q15" i="5" s="1"/>
  <c r="Q23" i="5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37" i="1" l="1"/>
  <c r="H37" i="1"/>
  <c r="A10" i="3"/>
  <c r="G7" i="3"/>
  <c r="G6" i="3"/>
  <c r="D1" i="3"/>
  <c r="J37" i="2"/>
  <c r="I37" i="2"/>
  <c r="C37" i="2"/>
  <c r="B37" i="2"/>
  <c r="J36" i="2"/>
  <c r="I36" i="2"/>
  <c r="C36" i="2"/>
  <c r="B36" i="2"/>
  <c r="J35" i="2"/>
  <c r="I35" i="2"/>
  <c r="C35" i="2"/>
  <c r="B35" i="2"/>
  <c r="J34" i="2"/>
  <c r="I34" i="2"/>
  <c r="C34" i="2"/>
  <c r="B34" i="2"/>
  <c r="J33" i="2"/>
  <c r="I33" i="2"/>
  <c r="C33" i="2"/>
  <c r="B33" i="2"/>
  <c r="J32" i="2"/>
  <c r="I32" i="2"/>
  <c r="C32" i="2"/>
  <c r="B32" i="2"/>
  <c r="J31" i="2"/>
  <c r="I31" i="2"/>
  <c r="C31" i="2"/>
  <c r="B31" i="2"/>
  <c r="J30" i="2"/>
  <c r="I30" i="2"/>
  <c r="C30" i="2"/>
  <c r="B30" i="2"/>
  <c r="J29" i="2"/>
  <c r="I29" i="2"/>
  <c r="C29" i="2"/>
  <c r="B29" i="2"/>
  <c r="J28" i="2"/>
  <c r="I28" i="2"/>
  <c r="C28" i="2"/>
  <c r="B28" i="2"/>
  <c r="J27" i="2"/>
  <c r="I27" i="2"/>
  <c r="C27" i="2"/>
  <c r="B27" i="2"/>
  <c r="J26" i="2"/>
  <c r="I26" i="2"/>
  <c r="C26" i="2"/>
  <c r="B26" i="2"/>
  <c r="J25" i="2"/>
  <c r="I25" i="2"/>
  <c r="C25" i="2"/>
  <c r="B25" i="2"/>
  <c r="J24" i="2"/>
  <c r="I24" i="2"/>
  <c r="C24" i="2"/>
  <c r="B24" i="2"/>
  <c r="J23" i="2"/>
  <c r="I23" i="2"/>
  <c r="C23" i="2"/>
  <c r="B23" i="2"/>
  <c r="J22" i="2"/>
  <c r="I22" i="2"/>
  <c r="C22" i="2"/>
  <c r="B22" i="2"/>
  <c r="J21" i="2"/>
  <c r="I21" i="2"/>
  <c r="C21" i="2"/>
  <c r="B21" i="2"/>
  <c r="J20" i="2"/>
  <c r="I20" i="2"/>
  <c r="C20" i="2"/>
  <c r="B20" i="2"/>
  <c r="J19" i="2"/>
  <c r="I19" i="2"/>
  <c r="C19" i="2"/>
  <c r="B19" i="2"/>
  <c r="J18" i="2"/>
  <c r="I18" i="2"/>
  <c r="C18" i="2"/>
  <c r="B18" i="2"/>
  <c r="J17" i="2"/>
  <c r="I17" i="2"/>
  <c r="C17" i="2"/>
  <c r="B17" i="2"/>
  <c r="J16" i="2"/>
  <c r="I16" i="2"/>
  <c r="C16" i="2"/>
  <c r="B16" i="2"/>
  <c r="J15" i="2"/>
  <c r="I15" i="2"/>
  <c r="C15" i="2"/>
  <c r="B15" i="2"/>
  <c r="J14" i="2"/>
  <c r="I14" i="2"/>
  <c r="C14" i="2"/>
  <c r="B14" i="2"/>
  <c r="J13" i="2"/>
  <c r="I13" i="2"/>
  <c r="C13" i="2"/>
  <c r="B13" i="2"/>
  <c r="J12" i="2"/>
  <c r="I12" i="2"/>
  <c r="C12" i="2"/>
  <c r="B12" i="2"/>
  <c r="D4" i="2"/>
  <c r="G5" i="3" s="1"/>
  <c r="D3" i="2"/>
  <c r="G4" i="3" s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37" i="1" l="1"/>
  <c r="J38" i="2"/>
  <c r="Q15" i="3" s="1"/>
  <c r="Q23" i="3" s="1"/>
</calcChain>
</file>

<file path=xl/sharedStrings.xml><?xml version="1.0" encoding="utf-8"?>
<sst xmlns="http://schemas.openxmlformats.org/spreadsheetml/2006/main" count="278" uniqueCount="151">
  <si>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</si>
  <si>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</si>
  <si>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</si>
  <si>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</si>
  <si>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</si>
  <si>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</si>
  <si>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</si>
  <si>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</si>
  <si>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</si>
  <si>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</si>
  <si>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</si>
  <si>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</si>
  <si>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</si>
  <si>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</si>
  <si>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</si>
  <si>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COMPRIMIDO</t>
  </si>
  <si>
    <t>FRASCO</t>
  </si>
  <si>
    <t>2.5.2-1843.63</t>
  </si>
  <si>
    <t>ANTIESPASMODICOS; TIPO: MONODROGA, DROGA GENERICA: ATROPINA 1%, FORMA FARMACEUTICA: AMPOLLA, PRESENTACION: ENVASE X 1 mL</t>
  </si>
  <si>
    <t>AMPOLLA</t>
  </si>
  <si>
    <t>2.5.2-1843.51</t>
  </si>
  <si>
    <t>ANTIESPASMODICOS; TIPO: MONODROGA, DROGA GENERICA: HIOSCINA N-BUTILBROMURO 20 MG, FORMA FARMACEUTICA: AMPOLLA, PRESENTACION: 1 ML</t>
  </si>
  <si>
    <t>2.5.2-1843.1</t>
  </si>
  <si>
    <t>ANTIESPASMODICOS; TIPO: MONODROGA, PRESENTACION: 10 mGr, FORMA FARMACEUTICA: COMPRIMIDO, DROGA GENERICA: HIOSCINA N-BUTILBROMURO</t>
  </si>
  <si>
    <t>2.5.2-1724.57</t>
  </si>
  <si>
    <t>ANALGESICOS ; TIPO: ASOCIACION, DROGA GENERICA: DIPIRONA+ HIOSCINA, FORMA FARMACEUTICA: AMPOLLA, PRESENTACION: AMPOLLA X 5 mL</t>
  </si>
  <si>
    <t>2.5.2-8078.68</t>
  </si>
  <si>
    <t>QUIMICOS</t>
  </si>
  <si>
    <t>EXCIPIENTES; TIPO: MONODROGA, PRESENTACION: ENVASE X 1 Kg, COMPUESTO: CARBON ACTIVADO, CONCENTRACION/PUREZA: 100 %</t>
  </si>
  <si>
    <t>UNIDAD</t>
  </si>
  <si>
    <t>2.5.2-1901.7</t>
  </si>
  <si>
    <t>VITAMINAS; FORMA FARMACEUTICA: AMPOLLA, PRESENTACION: 2 mL, TIPO: MONODROGA, DROGA GENERICA: VITAMINA B</t>
  </si>
  <si>
    <t>2.5.2-1872.65</t>
  </si>
  <si>
    <t>ANTIANEMICOS; TIPO: MONODROGA, DROGA GENERICA: COMPLEJO VITAMINICO B, FORMA FARMACEUTICA: COMPRIMIDO, PRESENTACION: UNIDAD</t>
  </si>
  <si>
    <t>2.5.2-1816.19</t>
  </si>
  <si>
    <t>ANTIDIARREICOS; TIPO: MONODROGA, DROGA GENERICA: BISMUTO, FORMA FARMACEUTICA: CREMA, PRESENTACION: 90 mL</t>
  </si>
  <si>
    <t>GOTERO</t>
  </si>
  <si>
    <t>2.5.2-1862.3</t>
  </si>
  <si>
    <t>HIPOGLUCEMIANTES ORALES; TIPO: MONODROGA, FORMA FARMACEUTICA: COMPRIMIDO, PRESENTACION: 5 mGr, DROGA GENERICA: GLIBENCLAMIDA</t>
  </si>
  <si>
    <t>2.5.2-1861.38</t>
  </si>
  <si>
    <t>HIPOGLUCEMIANTES INYECTABLES; TIPO: MONODROGA, DROGA GENERICA: INSULINA ASPARTICA, FORMA FARMACEUTICA: LAPICERA PRELLENADA, PRESENTACION: 5 UNIDADES</t>
  </si>
  <si>
    <t>CAJA</t>
  </si>
  <si>
    <t>2.5.2-1861.33</t>
  </si>
  <si>
    <t>HIPOGLUCEMIANTES INYECTABLES; TIPO: MONODROGA, DROGA GENERICA: INSULINA CTE, FORMA FARMACEUTICA: AMPOLLA, PRESENTACION: ENVASE X 10 mL</t>
  </si>
  <si>
    <t>FRASCO AMPOLLA</t>
  </si>
  <si>
    <t>2.5.2-1861.10</t>
  </si>
  <si>
    <t>HIPOGLUCEMIANTES INYECTABLES; TIPO: MONODROGA, DROGA GENERICA: INSULINA HUMANA NHP 100 UI, FORMA FARMACEUTICA: AMPOLLA, PRESENTACION: 10 mL</t>
  </si>
  <si>
    <t>2.5.2-1861.39</t>
  </si>
  <si>
    <t>HIPOGLUCEMIANTES INYECTABLES; TIPO: MONODROGA, DROGA GENERICA: INSULINA HUMANA NHP 100 UI, FORMA FARMACEUTICA: LAPICERA PRELLENADA, PRESENTACION: 5 AMPOLLAS</t>
  </si>
  <si>
    <t>2.5.2-1816.34</t>
  </si>
  <si>
    <t>ANTIDIARREICOS; TIPO: MONODROGA, DROGA GENERICA: LOPERAMIDA, FORMA FARMACEUTICA: CAPSULA, PRESENTACION: 2 mGr</t>
  </si>
  <si>
    <t>2.5.2-1862.1</t>
  </si>
  <si>
    <t>HIPOGLUCEMIANTES ORALES; TIPO: MONODROGA, DROGA GENERICA: METFORMINA, FORMA FARMACEUTICA: COMPRIMIDO, PRESENTACION: 500 mGr</t>
  </si>
  <si>
    <t>2.5.2-1862.16</t>
  </si>
  <si>
    <t>HIPOGLUCEMIANTES ORALES; TIPO: MONODROGA, DROGA GENERICA: METFORMINA, FORMA FARMACEUTICA: COMPRIMIDO, PRESENTACION: 850 mGr</t>
  </si>
  <si>
    <t>2.5.2-2480.14</t>
  </si>
  <si>
    <t>ANTIHEMETICOS; TIPO: MONODROGA, DROGA GENERICA: METOCLOPRAMIDA 0,2 %, FORMA FARMACEUTICA: GOTAS, PRESENTACION: 20 ML</t>
  </si>
  <si>
    <t>2.5.2-6910.21</t>
  </si>
  <si>
    <t>ANTIEMETICOS; TIPO: MONODROGA, DROGA GENERICA: METOCLOPRAMIDA 0.5%, FORMA FARMACEUTICA: GOTAS, PRESENTACION: ENVASE X 20 ML</t>
  </si>
  <si>
    <t>2.5.2-6910.6</t>
  </si>
  <si>
    <t>ANTIEMETICOS; TIPO: MONODROGA, DROGA GENERICA: METOCLOPRAMIDA, FORMA FARMACEUTICA: AMPOLLA, PRESENTACION: 2 mL</t>
  </si>
  <si>
    <t>2.5.2-1823.46</t>
  </si>
  <si>
    <t>ANTIMICOTICOS; TIPO: MONODROGA, DROGA GENERICA: NISTATINA 100000 UI/ML, FORMA FARMACEUTICA: SUSPENSION, PRESENTACION: ENVASE X 60 mL</t>
  </si>
  <si>
    <t>2.5.2-1849.3</t>
  </si>
  <si>
    <t>ANTIULCEROSOS; TIPO: MONODROGA, DROGA GENERICA: OMEPRAZOL, FORMA FARMACEUTICA: CAPSULA, PRESENTACION: 20 mGr</t>
  </si>
  <si>
    <t>CAPSULA</t>
  </si>
  <si>
    <t>2.5.2-1901.127</t>
  </si>
  <si>
    <t>VITAMINAS; TIPO: ASOCIACION, DROGA GENERICA: VIT.A +D+C, FORMA FARMACEUTICA: GOTA, PRESENTACION: 30 ML</t>
  </si>
  <si>
    <t>2.5.2-1841.17</t>
  </si>
  <si>
    <t>ANTIACIDOS; TIPO: MONODROGA, DROGA GENERICA: RANITIDINA, FORMA FARMACEUTICA: AMPOLLA, PRESENTACION: UNIDAD</t>
  </si>
  <si>
    <t>2.5.2-1903.85</t>
  </si>
  <si>
    <t>RECONSTITUYENTE GENERAL; TIPO: ASOCIACION, DROGA GENERICA: SALES DE REHIDRATACION, FORMA FARMACEUTICA: POLVO, PRESENTACION: SOBRE X 27,9 GR</t>
  </si>
  <si>
    <t>2.5.2-5520.5</t>
  </si>
  <si>
    <t>VASELINA; TIPO: LIQUIDA, PRESENTACION: ENVASE X 1000 mL</t>
  </si>
  <si>
    <t>2.5.2-1901.129</t>
  </si>
  <si>
    <t>VITAMINAS; TIPO: MONODROGA, DROGA GENERICA: VITAMINA C, FORMA FARMACEUTICA: COMPRIMIDOS, PRESENTACION: 10 COMPRIMIDOS</t>
  </si>
  <si>
    <t>2.5.2-1901.130</t>
  </si>
  <si>
    <t>VITAMINAS; TIPO: MONODROGA, DROGA GENERICA: VITAMINA D3 2000 UI/ML, FORMA FARMACEUTICA: SOLUCION, PRESENTACION: 2 ML</t>
  </si>
  <si>
    <r>
      <rPr>
        <b/>
        <sz val="11"/>
        <rFont val="Calibri"/>
      </rPr>
      <t xml:space="preserve">Descripción técnica: </t>
    </r>
    <r>
      <rPr>
        <sz val="11"/>
        <rFont val="Calibri"/>
      </rPr>
      <t>INSULINA CORRIENTE HUMANA 100 UI FCO AMP 10 ML</t>
    </r>
  </si>
  <si>
    <r>
      <rPr>
        <b/>
        <sz val="11"/>
        <rFont val="Calibri"/>
      </rPr>
      <t>Descripción técnica:</t>
    </r>
    <r>
      <rPr>
        <sz val="11"/>
        <rFont val="Calibri"/>
      </rPr>
      <t xml:space="preserve"> VITAMINA C , CONCENTRACION 2GRS , COMPRIMIDOS EFERVESCENTES </t>
    </r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</si>
  <si>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</si>
  <si>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</si>
  <si>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</si>
  <si>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</si>
  <si>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</si>
  <si>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</si>
  <si>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</si>
  <si>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</si>
  <si>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Semestral</t>
  </si>
  <si>
    <t>OBJETO:</t>
  </si>
  <si>
    <t xml:space="preserve">Adquisición de TRACTO ALIMENTARIO Y METABOLISMO / VITAMINAS Y OTROS /ANTIDIABETICOS E INSULINAS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</si>
  <si>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</si>
  <si>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</si>
  <si>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</si>
  <si>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</si>
  <si>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</si>
  <si>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</si>
  <si>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</si>
  <si>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</si>
  <si>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SI</t>
  </si>
  <si>
    <t>AUTORIZACION PARA GASTAR</t>
  </si>
  <si>
    <t>JURISDICCIÓN:</t>
  </si>
  <si>
    <r>
      <rPr>
        <b/>
        <u/>
        <sz val="10"/>
        <rFont val="Arial"/>
      </rPr>
      <t>AUTORIZACIÓN</t>
    </r>
    <r>
      <rPr>
        <b/>
        <u/>
        <sz val="10"/>
        <rFont val="Arial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</si>
  <si>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</si>
  <si>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</si>
  <si>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</si>
  <si>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</si>
  <si>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</si>
  <si>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</si>
  <si>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</si>
  <si>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</si>
  <si>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</si>
  <si>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</si>
  <si>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</si>
  <si>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</si>
  <si>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</si>
  <si>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</si>
  <si>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</si>
  <si>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</si>
  <si>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</si>
  <si>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</si>
  <si>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</si>
  <si>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Product. Farmaceut. Y Medicinales</t>
  </si>
  <si>
    <t>JUSTIFICACIÓN:</t>
  </si>
  <si>
    <t>040 - MINISTERIO DE SALUD</t>
  </si>
  <si>
    <t>011 - DIRECCION PROVINCIAL DE ADMINISTRACION - MS</t>
  </si>
  <si>
    <t>FARMACIA</t>
  </si>
  <si>
    <t>TOTAL FCIA</t>
  </si>
  <si>
    <t>SAME</t>
  </si>
  <si>
    <t>TOTAL SAME</t>
  </si>
  <si>
    <t xml:space="preserve">TOTAL RUBRO TRACTO ALIMENTARIO Y METABOLISMO / VITAMINAS Y OTROS /ANTIDIABETICOS E INSULINAS </t>
  </si>
  <si>
    <t>DIRECCION PROVINCIAL SISTEMA DE ATENCION MEDICA DE EMERGENCIA</t>
  </si>
  <si>
    <t>Costo total estimado: PESOS CINCUENTA Y OCHO MIL CIENTO CUARENTA con 00/100.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</si>
  <si>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</si>
  <si>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</si>
  <si>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</si>
  <si>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</si>
  <si>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</si>
  <si>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</si>
  <si>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</si>
  <si>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</si>
  <si>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ITEMS: 1 (4.000 UNID), 2 (100.000 UNID), 3, 5 al 18, 19 (60.000 UNID), 20 al 22, 23 (80.000 UNID), 24 al 27 - DIR. PROV. DE FARMACIA E INSUMOS - CHACABUCO N° 169 - en el horario de 8:00hs a 12:00hs de lunes a viernes</t>
  </si>
  <si>
    <t>ITEMS: 1 (200 UNID), 2 (200 UNID), 4, 19 (200 UNID), 23 (200 UNID) - DIR. PROV. SAME - CASEROS N° 864 - en el horario de 8:00hs a 12:00hs de lunes a viernes</t>
  </si>
  <si>
    <t>*LOS GASTOS DE FLETES, ACARREO, CARGA, DESCARGA Y SEGURO DEBEN CORRER A CARGO DEL ADJUDICATARIO.</t>
  </si>
  <si>
    <t>TOTAL DE PESOS: CINCUENTA Y OCHO MIL CIENTO CUARENTA con 00/100.</t>
  </si>
  <si>
    <r>
      <rPr>
        <b/>
        <u/>
        <sz val="10"/>
        <rFont val="Times New Roman"/>
      </rPr>
      <t>Especificidades</t>
    </r>
    <r>
      <rPr>
        <b/>
        <sz val="10"/>
        <rFont val="Times New Roman"/>
      </rPr>
      <t>: ITEMS N 5 de la Nota de Pedido D.P.FARMACIA</t>
    </r>
    <r>
      <rPr>
        <sz val="10"/>
        <rFont val="Times New Roman"/>
      </rPr>
      <t>: VITAMINAS; FORMA FARMACEUTICA: AMPOLLA, PRESENTACION: 2 mL, TIPO: BECOZYM NF AMPOLLAS</t>
    </r>
  </si>
  <si>
    <t>Especificidades Item N° 12 de la Nota de Pedido D.P.FARMACIA:</t>
  </si>
  <si>
    <t>Especificidades Item N° 25 de la Nota de Pedido D.P.FARMACIA:</t>
  </si>
  <si>
    <t>469 - DIRECCION PROVINCIAL DE FARMACIA E INSUMOS</t>
  </si>
  <si>
    <t>Costo total estimado: PESOS SETENTA Y SIETE MILLONES SETECIENTOS OCHENTA Y DOS MIL SEISCIENTOS con 00/100.</t>
  </si>
  <si>
    <t>TOTAL DE PESOS: SETENTA Y SIETE MILLONES SETECIENTOS OCHENTA Y DOS MIL SEISCIENTOS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</si>
</sst>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2C0A]\ #,##0.00;[$$-2C0A]&quot; -&quot;#,##0.00"/>
    <numFmt numFmtId="165" formatCode="[$$-2C0A]\ #,##0.00"/>
    <numFmt numFmtId="166" formatCode="dd\-mm\-yy"/>
    <numFmt numFmtId="167" formatCode="_-[$$-2C0A]\ * #,##0.00_-;\-[$$-2C0A]\ * #,##0.00_-;_-[$$-2C0A]\ * &quot;-&quot;??_-;_-@_-"/>
  </numFmts>
  <fonts count="35">
    <font>
      <sz val="10"/>
      <color rgb="FF000000"/>
      <name val="Arial"/>
    </font>
    <font>
      <sz val="10"/>
      <name val="Times New Roman"/>
    </font>
    <font>
      <b/>
      <sz val="22"/>
      <name val="Times New Roman"/>
    </font>
    <font>
      <sz val="10"/>
      <name val="Arial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color rgb="FF000000"/>
      <name val="Arial"/>
    </font>
    <font>
      <sz val="10"/>
      <name val="Arial"/>
    </font>
    <font>
      <sz val="9"/>
      <name val="Times New Roman"/>
    </font>
    <font>
      <b/>
      <sz val="11"/>
      <name val="Calibri"/>
    </font>
    <font>
      <b/>
      <u/>
      <sz val="12"/>
      <name val="Times New Roman"/>
    </font>
    <font>
      <b/>
      <u/>
      <sz val="12"/>
      <name val="Times New Roman"/>
    </font>
    <font>
      <b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sz val="12"/>
      <name val="Times New Roman"/>
    </font>
    <font>
      <b/>
      <sz val="11"/>
      <name val="Times New Roman"/>
    </font>
    <font>
      <b/>
      <sz val="11"/>
      <name val="Arial"/>
    </font>
    <font>
      <b/>
      <sz val="12"/>
      <name val="Arial"/>
    </font>
    <font>
      <sz val="11"/>
      <name val="Arial"/>
    </font>
    <font>
      <b/>
      <u/>
      <sz val="10"/>
      <name val="Arial"/>
    </font>
    <font>
      <b/>
      <sz val="10"/>
      <name val="Arial"/>
    </font>
    <font>
      <b/>
      <u/>
      <sz val="10"/>
      <name val="Times New Roman"/>
    </font>
    <font>
      <b/>
      <sz val="10"/>
      <name val="Times New Roman"/>
    </font>
    <font>
      <sz val="11"/>
      <name val="Calibri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u/>
      <sz val="11"/>
      <name val="Calibri"/>
      <family val="2"/>
    </font>
    <font>
      <b/>
      <sz val="11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7" fillId="0" borderId="20"/>
  </cellStyleXfs>
  <cellXfs count="294">
    <xf numFmtId="0" fontId="0" fillId="0" borderId="0" xfId="0" applyFont="1" applyAlignment="1"/>
    <xf numFmtId="0" fontId="1" fillId="0" borderId="1" xfId="0" applyFont="1" applyBorder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3" fontId="9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 vertical="center"/>
    </xf>
    <xf numFmtId="0" fontId="9" fillId="0" borderId="24" xfId="0" applyFont="1" applyBorder="1"/>
    <xf numFmtId="0" fontId="9" fillId="0" borderId="25" xfId="0" applyFont="1" applyBorder="1"/>
    <xf numFmtId="0" fontId="11" fillId="0" borderId="22" xfId="0" applyFont="1" applyBorder="1"/>
    <xf numFmtId="0" fontId="9" fillId="0" borderId="0" xfId="0" applyFont="1"/>
    <xf numFmtId="0" fontId="9" fillId="0" borderId="26" xfId="0" applyFont="1" applyBorder="1"/>
    <xf numFmtId="0" fontId="11" fillId="0" borderId="27" xfId="0" applyFont="1" applyBorder="1"/>
    <xf numFmtId="0" fontId="13" fillId="0" borderId="30" xfId="0" applyFont="1" applyBorder="1" applyAlignment="1">
      <alignment horizontal="right" vertical="center"/>
    </xf>
    <xf numFmtId="0" fontId="15" fillId="0" borderId="32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64" fontId="1" fillId="0" borderId="55" xfId="0" applyNumberFormat="1" applyFont="1" applyBorder="1" applyAlignment="1">
      <alignment horizontal="right" vertical="center" wrapText="1"/>
    </xf>
    <xf numFmtId="3" fontId="1" fillId="0" borderId="5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3" fontId="19" fillId="0" borderId="0" xfId="0" applyNumberFormat="1" applyFont="1"/>
    <xf numFmtId="166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66" xfId="0" applyFont="1" applyBorder="1"/>
    <xf numFmtId="0" fontId="9" fillId="0" borderId="62" xfId="0" applyFont="1" applyBorder="1"/>
    <xf numFmtId="0" fontId="9" fillId="0" borderId="69" xfId="0" applyFont="1" applyBorder="1"/>
    <xf numFmtId="0" fontId="9" fillId="0" borderId="69" xfId="0" applyFont="1" applyBorder="1" applyAlignment="1">
      <alignment horizontal="left"/>
    </xf>
    <xf numFmtId="0" fontId="9" fillId="0" borderId="63" xfId="0" applyFont="1" applyBorder="1"/>
    <xf numFmtId="0" fontId="23" fillId="0" borderId="71" xfId="0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/>
    </xf>
    <xf numFmtId="0" fontId="23" fillId="0" borderId="72" xfId="0" applyFont="1" applyBorder="1" applyAlignment="1">
      <alignment horizontal="left" vertical="center"/>
    </xf>
    <xf numFmtId="0" fontId="23" fillId="0" borderId="73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1" fillId="0" borderId="20" xfId="0" applyFont="1" applyBorder="1"/>
    <xf numFmtId="0" fontId="3" fillId="0" borderId="3" xfId="0" applyFont="1" applyBorder="1" applyAlignment="1"/>
    <xf numFmtId="0" fontId="3" fillId="0" borderId="4" xfId="0" applyFont="1" applyBorder="1" applyAlignment="1"/>
    <xf numFmtId="0" fontId="5" fillId="0" borderId="2" xfId="0" applyFont="1" applyBorder="1" applyAlignment="1"/>
    <xf numFmtId="0" fontId="8" fillId="0" borderId="99" xfId="0" applyFont="1" applyBorder="1" applyAlignment="1">
      <alignment horizontal="center" vertical="center" wrapText="1"/>
    </xf>
    <xf numFmtId="167" fontId="1" fillId="0" borderId="20" xfId="0" applyNumberFormat="1" applyFont="1" applyBorder="1"/>
    <xf numFmtId="167" fontId="6" fillId="0" borderId="20" xfId="0" applyNumberFormat="1" applyFont="1" applyBorder="1" applyAlignment="1">
      <alignment horizontal="left" wrapText="1"/>
    </xf>
    <xf numFmtId="167" fontId="8" fillId="0" borderId="9" xfId="0" applyNumberFormat="1" applyFont="1" applyBorder="1" applyAlignment="1">
      <alignment horizontal="center" vertical="center" wrapText="1"/>
    </xf>
    <xf numFmtId="167" fontId="9" fillId="0" borderId="11" xfId="0" applyNumberFormat="1" applyFont="1" applyBorder="1" applyAlignment="1">
      <alignment horizontal="center" vertical="center" wrapText="1"/>
    </xf>
    <xf numFmtId="167" fontId="1" fillId="0" borderId="20" xfId="0" applyNumberFormat="1" applyFont="1" applyBorder="1" applyAlignment="1">
      <alignment horizontal="center" vertical="center"/>
    </xf>
    <xf numFmtId="167" fontId="0" fillId="0" borderId="0" xfId="0" applyNumberFormat="1" applyFont="1" applyAlignment="1"/>
    <xf numFmtId="167" fontId="1" fillId="0" borderId="1" xfId="0" applyNumberFormat="1" applyFont="1" applyBorder="1"/>
    <xf numFmtId="167" fontId="6" fillId="0" borderId="1" xfId="0" applyNumberFormat="1" applyFont="1" applyBorder="1" applyAlignment="1">
      <alignment horizontal="left" wrapText="1"/>
    </xf>
    <xf numFmtId="167" fontId="8" fillId="0" borderId="6" xfId="0" applyNumberFormat="1" applyFont="1" applyBorder="1" applyAlignment="1">
      <alignment horizontal="center" vertical="center" wrapText="1"/>
    </xf>
    <xf numFmtId="167" fontId="9" fillId="0" borderId="12" xfId="0" applyNumberFormat="1" applyFont="1" applyBorder="1" applyAlignment="1">
      <alignment horizontal="center" vertical="center"/>
    </xf>
    <xf numFmtId="167" fontId="9" fillId="0" borderId="12" xfId="0" applyNumberFormat="1" applyFont="1" applyBorder="1" applyAlignment="1">
      <alignment horizontal="right" vertical="center"/>
    </xf>
    <xf numFmtId="167" fontId="10" fillId="0" borderId="1" xfId="0" applyNumberFormat="1" applyFont="1" applyBorder="1"/>
    <xf numFmtId="167" fontId="8" fillId="0" borderId="10" xfId="0" applyNumberFormat="1" applyFont="1" applyBorder="1" applyAlignment="1">
      <alignment horizontal="center" vertical="center" wrapText="1"/>
    </xf>
    <xf numFmtId="167" fontId="9" fillId="0" borderId="12" xfId="0" applyNumberFormat="1" applyFont="1" applyBorder="1" applyAlignment="1">
      <alignment horizontal="right" vertical="center" wrapText="1"/>
    </xf>
    <xf numFmtId="3" fontId="1" fillId="0" borderId="20" xfId="0" applyNumberFormat="1" applyFont="1" applyBorder="1"/>
    <xf numFmtId="3" fontId="6" fillId="0" borderId="20" xfId="0" applyNumberFormat="1" applyFont="1" applyBorder="1" applyAlignment="1">
      <alignment horizontal="left" wrapText="1"/>
    </xf>
    <xf numFmtId="3" fontId="8" fillId="0" borderId="9" xfId="0" applyNumberFormat="1" applyFont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center" vertical="center"/>
    </xf>
    <xf numFmtId="3" fontId="0" fillId="0" borderId="0" xfId="0" applyNumberFormat="1" applyFont="1" applyAlignment="1"/>
    <xf numFmtId="3" fontId="1" fillId="0" borderId="1" xfId="0" applyNumberFormat="1" applyFont="1" applyBorder="1"/>
    <xf numFmtId="3" fontId="6" fillId="0" borderId="1" xfId="0" applyNumberFormat="1" applyFont="1" applyBorder="1" applyAlignment="1">
      <alignment horizontal="center" wrapText="1"/>
    </xf>
    <xf numFmtId="3" fontId="8" fillId="0" borderId="6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5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6" fillId="0" borderId="1" xfId="0" applyFont="1" applyFill="1" applyBorder="1" applyAlignment="1">
      <alignment horizontal="left" wrapText="1"/>
    </xf>
    <xf numFmtId="3" fontId="6" fillId="0" borderId="20" xfId="0" applyNumberFormat="1" applyFont="1" applyFill="1" applyBorder="1" applyAlignment="1">
      <alignment horizontal="left" wrapText="1"/>
    </xf>
    <xf numFmtId="167" fontId="6" fillId="0" borderId="20" xfId="0" applyNumberFormat="1" applyFont="1" applyFill="1" applyBorder="1" applyAlignment="1">
      <alignment horizontal="left" wrapText="1"/>
    </xf>
    <xf numFmtId="3" fontId="6" fillId="0" borderId="1" xfId="0" applyNumberFormat="1" applyFont="1" applyFill="1" applyBorder="1" applyAlignment="1">
      <alignment horizontal="center" wrapText="1"/>
    </xf>
    <xf numFmtId="167" fontId="6" fillId="0" borderId="1" xfId="0" applyNumberFormat="1" applyFont="1" applyFill="1" applyBorder="1" applyAlignment="1">
      <alignment horizontal="left" wrapText="1"/>
    </xf>
    <xf numFmtId="167" fontId="1" fillId="0" borderId="1" xfId="0" applyNumberFormat="1" applyFont="1" applyFill="1" applyBorder="1"/>
    <xf numFmtId="0" fontId="1" fillId="0" borderId="1" xfId="0" applyFont="1" applyFill="1" applyBorder="1"/>
    <xf numFmtId="0" fontId="0" fillId="0" borderId="0" xfId="0" applyFont="1" applyFill="1" applyAlignment="1"/>
    <xf numFmtId="0" fontId="5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9" fillId="0" borderId="100" xfId="0" applyFont="1" applyBorder="1" applyAlignment="1">
      <alignment horizontal="center" vertical="center"/>
    </xf>
    <xf numFmtId="0" fontId="9" fillId="0" borderId="100" xfId="0" applyFont="1" applyBorder="1" applyAlignment="1">
      <alignment horizontal="center" vertical="center" wrapText="1"/>
    </xf>
    <xf numFmtId="0" fontId="0" fillId="0" borderId="100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left" vertical="center" wrapText="1"/>
    </xf>
    <xf numFmtId="3" fontId="9" fillId="0" borderId="100" xfId="0" applyNumberFormat="1" applyFont="1" applyBorder="1" applyAlignment="1">
      <alignment horizontal="center" vertical="center" wrapText="1"/>
    </xf>
    <xf numFmtId="167" fontId="9" fillId="0" borderId="101" xfId="0" applyNumberFormat="1" applyFont="1" applyBorder="1" applyAlignment="1">
      <alignment horizontal="center" vertical="center" wrapText="1"/>
    </xf>
    <xf numFmtId="3" fontId="9" fillId="0" borderId="101" xfId="0" applyNumberFormat="1" applyFont="1" applyBorder="1" applyAlignment="1">
      <alignment horizontal="center" vertical="center"/>
    </xf>
    <xf numFmtId="167" fontId="9" fillId="0" borderId="100" xfId="0" applyNumberFormat="1" applyFont="1" applyBorder="1" applyAlignment="1">
      <alignment horizontal="right" vertical="center"/>
    </xf>
    <xf numFmtId="167" fontId="9" fillId="0" borderId="100" xfId="0" applyNumberFormat="1" applyFont="1" applyBorder="1" applyAlignment="1">
      <alignment horizontal="right" vertical="center" wrapText="1"/>
    </xf>
    <xf numFmtId="3" fontId="31" fillId="0" borderId="103" xfId="0" applyNumberFormat="1" applyFont="1" applyBorder="1" applyAlignment="1">
      <alignment vertical="center"/>
    </xf>
    <xf numFmtId="167" fontId="31" fillId="0" borderId="103" xfId="0" applyNumberFormat="1" applyFont="1" applyBorder="1" applyAlignment="1">
      <alignment vertical="center"/>
    </xf>
    <xf numFmtId="167" fontId="31" fillId="0" borderId="104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2" fillId="0" borderId="23" xfId="0" applyFont="1" applyBorder="1"/>
    <xf numFmtId="0" fontId="9" fillId="0" borderId="0" xfId="0" applyFont="1" applyFill="1"/>
    <xf numFmtId="0" fontId="9" fillId="0" borderId="75" xfId="0" applyFont="1" applyFill="1" applyBorder="1" applyAlignment="1">
      <alignment horizontal="center" vertical="center"/>
    </xf>
    <xf numFmtId="0" fontId="9" fillId="0" borderId="76" xfId="0" applyFont="1" applyFill="1" applyBorder="1" applyAlignment="1">
      <alignment horizontal="center" vertical="center"/>
    </xf>
    <xf numFmtId="0" fontId="9" fillId="0" borderId="77" xfId="0" applyFont="1" applyFill="1" applyBorder="1" applyAlignment="1">
      <alignment horizontal="center" vertical="center"/>
    </xf>
    <xf numFmtId="164" fontId="9" fillId="0" borderId="80" xfId="0" applyNumberFormat="1" applyFont="1" applyFill="1" applyBorder="1" applyAlignment="1">
      <alignment horizontal="center" vertical="center"/>
    </xf>
    <xf numFmtId="0" fontId="9" fillId="0" borderId="81" xfId="0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horizontal="center" vertical="center"/>
    </xf>
    <xf numFmtId="0" fontId="9" fillId="0" borderId="83" xfId="0" applyFont="1" applyFill="1" applyBorder="1" applyAlignment="1">
      <alignment horizontal="center" vertical="center"/>
    </xf>
    <xf numFmtId="0" fontId="9" fillId="0" borderId="84" xfId="0" applyFont="1" applyFill="1" applyBorder="1" applyAlignment="1">
      <alignment horizontal="center" vertical="center"/>
    </xf>
    <xf numFmtId="164" fontId="9" fillId="0" borderId="87" xfId="0" applyNumberFormat="1" applyFont="1" applyFill="1" applyBorder="1" applyAlignment="1">
      <alignment horizontal="center" vertical="center"/>
    </xf>
    <xf numFmtId="0" fontId="21" fillId="0" borderId="81" xfId="0" applyFont="1" applyFill="1" applyBorder="1" applyAlignment="1">
      <alignment horizontal="center" vertical="center"/>
    </xf>
    <xf numFmtId="0" fontId="21" fillId="0" borderId="82" xfId="0" applyFont="1" applyFill="1" applyBorder="1" applyAlignment="1">
      <alignment horizontal="center" vertical="center"/>
    </xf>
    <xf numFmtId="0" fontId="21" fillId="0" borderId="83" xfId="0" applyFont="1" applyFill="1" applyBorder="1" applyAlignment="1">
      <alignment horizontal="center" vertical="center"/>
    </xf>
    <xf numFmtId="0" fontId="21" fillId="0" borderId="84" xfId="0" applyFont="1" applyFill="1" applyBorder="1" applyAlignment="1">
      <alignment horizontal="center" vertical="center"/>
    </xf>
    <xf numFmtId="0" fontId="9" fillId="0" borderId="88" xfId="0" applyFont="1" applyFill="1" applyBorder="1" applyAlignment="1">
      <alignment horizontal="center" vertical="center"/>
    </xf>
    <xf numFmtId="0" fontId="9" fillId="0" borderId="89" xfId="0" applyFont="1" applyFill="1" applyBorder="1" applyAlignment="1">
      <alignment horizontal="center" vertical="center"/>
    </xf>
    <xf numFmtId="0" fontId="9" fillId="0" borderId="90" xfId="0" applyFont="1" applyFill="1" applyBorder="1" applyAlignment="1">
      <alignment horizontal="center" vertical="center"/>
    </xf>
    <xf numFmtId="164" fontId="9" fillId="0" borderId="92" xfId="0" applyNumberFormat="1" applyFont="1" applyFill="1" applyBorder="1" applyAlignment="1">
      <alignment horizontal="center" vertical="center"/>
    </xf>
    <xf numFmtId="164" fontId="23" fillId="0" borderId="96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34" fillId="0" borderId="107" xfId="1" applyFont="1" applyFill="1" applyBorder="1" applyAlignment="1">
      <alignment horizontal="center" vertical="center" wrapText="1"/>
    </xf>
    <xf numFmtId="0" fontId="29" fillId="0" borderId="20" xfId="1" applyFont="1" applyFill="1" applyBorder="1" applyAlignment="1">
      <alignment horizontal="left" vertical="center" wrapText="1"/>
    </xf>
    <xf numFmtId="0" fontId="34" fillId="0" borderId="107" xfId="1" applyFont="1" applyFill="1" applyBorder="1" applyAlignment="1">
      <alignment horizontal="center" wrapText="1"/>
    </xf>
    <xf numFmtId="0" fontId="29" fillId="0" borderId="20" xfId="1" applyFont="1" applyFill="1" applyBorder="1" applyAlignment="1">
      <alignment horizontal="center" vertical="center"/>
    </xf>
    <xf numFmtId="0" fontId="29" fillId="0" borderId="20" xfId="1" applyFont="1" applyFill="1" applyBorder="1" applyAlignment="1">
      <alignment vertical="center"/>
    </xf>
    <xf numFmtId="0" fontId="34" fillId="0" borderId="107" xfId="1" applyFont="1" applyBorder="1" applyAlignment="1">
      <alignment horizontal="center" wrapText="1"/>
    </xf>
    <xf numFmtId="0" fontId="29" fillId="0" borderId="20" xfId="1" applyFont="1" applyBorder="1" applyAlignment="1">
      <alignment horizontal="center" vertical="center"/>
    </xf>
    <xf numFmtId="0" fontId="0" fillId="0" borderId="20" xfId="0" applyFont="1" applyBorder="1" applyAlignment="1"/>
    <xf numFmtId="0" fontId="1" fillId="0" borderId="111" xfId="0" applyFont="1" applyBorder="1"/>
    <xf numFmtId="0" fontId="1" fillId="0" borderId="108" xfId="0" applyFont="1" applyBorder="1"/>
    <xf numFmtId="0" fontId="1" fillId="0" borderId="109" xfId="0" applyFont="1" applyBorder="1"/>
    <xf numFmtId="0" fontId="1" fillId="0" borderId="112" xfId="0" applyFont="1" applyBorder="1"/>
    <xf numFmtId="0" fontId="1" fillId="0" borderId="13" xfId="0" applyFont="1" applyBorder="1"/>
    <xf numFmtId="0" fontId="14" fillId="0" borderId="31" xfId="0" applyFont="1" applyFill="1" applyBorder="1" applyAlignment="1">
      <alignment horizontal="center" vertical="center"/>
    </xf>
    <xf numFmtId="0" fontId="32" fillId="0" borderId="23" xfId="0" applyFont="1" applyBorder="1" applyAlignment="1">
      <alignment horizontal="left"/>
    </xf>
    <xf numFmtId="0" fontId="3" fillId="0" borderId="24" xfId="0" applyFont="1" applyBorder="1"/>
    <xf numFmtId="0" fontId="3" fillId="0" borderId="25" xfId="0" applyFont="1" applyBorder="1"/>
    <xf numFmtId="0" fontId="9" fillId="0" borderId="20" xfId="0" applyFont="1" applyBorder="1" applyAlignment="1">
      <alignment horizontal="left" wrapText="1"/>
    </xf>
    <xf numFmtId="0" fontId="3" fillId="0" borderId="20" xfId="0" applyFont="1" applyBorder="1"/>
    <xf numFmtId="0" fontId="3" fillId="0" borderId="26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/>
    <xf numFmtId="0" fontId="31" fillId="0" borderId="102" xfId="0" applyFont="1" applyBorder="1" applyAlignment="1">
      <alignment horizontal="center" vertical="center"/>
    </xf>
    <xf numFmtId="0" fontId="31" fillId="0" borderId="103" xfId="0" applyFont="1" applyBorder="1" applyAlignment="1">
      <alignment horizontal="center" vertical="center"/>
    </xf>
    <xf numFmtId="0" fontId="9" fillId="0" borderId="28" xfId="0" applyFont="1" applyBorder="1" applyAlignment="1">
      <alignment horizontal="left" wrapText="1"/>
    </xf>
    <xf numFmtId="0" fontId="3" fillId="0" borderId="28" xfId="0" applyFont="1" applyBorder="1"/>
    <xf numFmtId="0" fontId="3" fillId="0" borderId="29" xfId="0" applyFont="1" applyBorder="1"/>
    <xf numFmtId="0" fontId="1" fillId="0" borderId="16" xfId="0" applyFont="1" applyBorder="1" applyAlignment="1">
      <alignment horizontal="left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1" xfId="0" applyFont="1" applyBorder="1"/>
    <xf numFmtId="0" fontId="34" fillId="0" borderId="105" xfId="1" applyFont="1" applyFill="1" applyBorder="1" applyAlignment="1">
      <alignment horizontal="center" vertical="center" wrapText="1"/>
    </xf>
    <xf numFmtId="0" fontId="34" fillId="0" borderId="106" xfId="1" applyFont="1" applyFill="1" applyBorder="1" applyAlignment="1">
      <alignment horizontal="center" vertical="center" wrapText="1"/>
    </xf>
    <xf numFmtId="0" fontId="34" fillId="0" borderId="107" xfId="1" applyFont="1" applyFill="1" applyBorder="1" applyAlignment="1">
      <alignment horizontal="center" wrapText="1"/>
    </xf>
    <xf numFmtId="0" fontId="34" fillId="0" borderId="20" xfId="1" applyFont="1" applyFill="1" applyBorder="1" applyAlignment="1">
      <alignment horizontal="center" wrapText="1"/>
    </xf>
    <xf numFmtId="0" fontId="34" fillId="0" borderId="107" xfId="1" applyFont="1" applyBorder="1" applyAlignment="1">
      <alignment horizontal="center" wrapText="1"/>
    </xf>
    <xf numFmtId="0" fontId="34" fillId="0" borderId="20" xfId="1" applyFont="1" applyBorder="1" applyAlignment="1">
      <alignment horizontal="center" wrapText="1"/>
    </xf>
    <xf numFmtId="0" fontId="34" fillId="0" borderId="107" xfId="1" applyFont="1" applyFill="1" applyBorder="1" applyAlignment="1">
      <alignment horizontal="center" vertical="center" wrapText="1"/>
    </xf>
    <xf numFmtId="0" fontId="34" fillId="0" borderId="20" xfId="1" applyFont="1" applyFill="1" applyBorder="1" applyAlignment="1">
      <alignment horizontal="center" vertical="center" wrapText="1"/>
    </xf>
    <xf numFmtId="0" fontId="29" fillId="0" borderId="106" xfId="1" applyFont="1" applyFill="1" applyBorder="1" applyAlignment="1">
      <alignment horizontal="left" vertical="center" wrapText="1"/>
    </xf>
    <xf numFmtId="0" fontId="29" fillId="0" borderId="110" xfId="1" applyFont="1" applyFill="1" applyBorder="1" applyAlignment="1">
      <alignment horizontal="left" vertical="center" wrapText="1"/>
    </xf>
    <xf numFmtId="0" fontId="29" fillId="0" borderId="20" xfId="1" applyFont="1" applyFill="1" applyBorder="1" applyAlignment="1">
      <alignment horizontal="left" vertical="center"/>
    </xf>
    <xf numFmtId="0" fontId="29" fillId="0" borderId="111" xfId="1" applyFont="1" applyFill="1" applyBorder="1" applyAlignment="1">
      <alignment horizontal="left" vertical="center"/>
    </xf>
    <xf numFmtId="0" fontId="29" fillId="0" borderId="20" xfId="1" applyFont="1" applyBorder="1" applyAlignment="1">
      <alignment horizontal="center" vertical="center"/>
    </xf>
    <xf numFmtId="0" fontId="29" fillId="0" borderId="111" xfId="1" applyFont="1" applyBorder="1" applyAlignment="1">
      <alignment horizontal="center" vertical="center"/>
    </xf>
    <xf numFmtId="0" fontId="29" fillId="0" borderId="20" xfId="1" applyFont="1" applyBorder="1" applyAlignment="1">
      <alignment horizontal="left" vertical="center"/>
    </xf>
    <xf numFmtId="0" fontId="29" fillId="0" borderId="111" xfId="1" applyFont="1" applyBorder="1" applyAlignment="1">
      <alignment horizontal="left" vertical="center"/>
    </xf>
    <xf numFmtId="0" fontId="29" fillId="0" borderId="20" xfId="1" applyFont="1" applyFill="1" applyBorder="1" applyAlignment="1">
      <alignment horizontal="left" vertical="center" wrapText="1"/>
    </xf>
    <xf numFmtId="0" fontId="29" fillId="0" borderId="111" xfId="1" applyFont="1" applyFill="1" applyBorder="1" applyAlignment="1">
      <alignment horizontal="left" vertical="center" wrapText="1"/>
    </xf>
    <xf numFmtId="0" fontId="30" fillId="0" borderId="20" xfId="1" applyFont="1" applyFill="1" applyBorder="1" applyAlignment="1">
      <alignment horizontal="center" vertical="center"/>
    </xf>
    <xf numFmtId="0" fontId="30" fillId="0" borderId="111" xfId="1" applyFont="1" applyFill="1" applyBorder="1" applyAlignment="1">
      <alignment horizontal="center" vertical="center"/>
    </xf>
    <xf numFmtId="165" fontId="17" fillId="0" borderId="36" xfId="0" applyNumberFormat="1" applyFont="1" applyBorder="1" applyAlignment="1">
      <alignment horizontal="center" vertical="center"/>
    </xf>
    <xf numFmtId="165" fontId="17" fillId="0" borderId="38" xfId="0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3" fillId="0" borderId="57" xfId="0" applyFont="1" applyBorder="1"/>
    <xf numFmtId="0" fontId="3" fillId="0" borderId="58" xfId="0" applyFont="1" applyBorder="1"/>
    <xf numFmtId="0" fontId="28" fillId="0" borderId="36" xfId="0" applyFont="1" applyBorder="1" applyAlignment="1">
      <alignment horizontal="left" vertical="center" wrapText="1"/>
    </xf>
    <xf numFmtId="0" fontId="3" fillId="0" borderId="37" xfId="0" applyFont="1" applyBorder="1"/>
    <xf numFmtId="0" fontId="3" fillId="0" borderId="38" xfId="0" applyFont="1" applyBorder="1"/>
    <xf numFmtId="0" fontId="17" fillId="0" borderId="33" xfId="0" applyFont="1" applyFill="1" applyBorder="1" applyAlignment="1">
      <alignment horizontal="left" vertical="center" wrapText="1"/>
    </xf>
    <xf numFmtId="0" fontId="3" fillId="0" borderId="34" xfId="0" applyFont="1" applyFill="1" applyBorder="1"/>
    <xf numFmtId="0" fontId="3" fillId="0" borderId="35" xfId="0" applyFont="1" applyFill="1" applyBorder="1"/>
    <xf numFmtId="0" fontId="17" fillId="0" borderId="39" xfId="0" applyFont="1" applyFill="1" applyBorder="1" applyAlignment="1">
      <alignment horizontal="left" vertical="center" wrapText="1"/>
    </xf>
    <xf numFmtId="0" fontId="3" fillId="0" borderId="40" xfId="0" applyFont="1" applyFill="1" applyBorder="1"/>
    <xf numFmtId="0" fontId="3" fillId="0" borderId="41" xfId="0" applyFont="1" applyFill="1" applyBorder="1"/>
    <xf numFmtId="0" fontId="28" fillId="0" borderId="36" xfId="0" applyFont="1" applyFill="1" applyBorder="1" applyAlignment="1">
      <alignment horizontal="left" vertical="center" wrapText="1"/>
    </xf>
    <xf numFmtId="0" fontId="3" fillId="0" borderId="37" xfId="0" applyFont="1" applyFill="1" applyBorder="1"/>
    <xf numFmtId="0" fontId="3" fillId="0" borderId="38" xfId="0" applyFont="1" applyFill="1" applyBorder="1"/>
    <xf numFmtId="0" fontId="14" fillId="0" borderId="36" xfId="0" applyFont="1" applyFill="1" applyBorder="1" applyAlignment="1">
      <alignment horizontal="left" vertical="center" wrapText="1"/>
    </xf>
    <xf numFmtId="0" fontId="28" fillId="0" borderId="43" xfId="0" applyFont="1" applyFill="1" applyBorder="1" applyAlignment="1">
      <alignment horizontal="left" vertical="center"/>
    </xf>
    <xf numFmtId="0" fontId="28" fillId="0" borderId="37" xfId="0" applyFont="1" applyFill="1" applyBorder="1" applyAlignment="1">
      <alignment horizontal="left" vertical="center"/>
    </xf>
    <xf numFmtId="0" fontId="28" fillId="0" borderId="38" xfId="0" applyFont="1" applyFill="1" applyBorder="1" applyAlignment="1">
      <alignment horizontal="left" vertical="center"/>
    </xf>
    <xf numFmtId="0" fontId="18" fillId="0" borderId="44" xfId="0" applyFont="1" applyBorder="1" applyAlignment="1">
      <alignment horizontal="center" vertical="center"/>
    </xf>
    <xf numFmtId="0" fontId="3" fillId="0" borderId="49" xfId="0" applyFont="1" applyBorder="1"/>
    <xf numFmtId="0" fontId="18" fillId="0" borderId="45" xfId="0" applyFont="1" applyBorder="1" applyAlignment="1">
      <alignment horizontal="center" vertical="center" wrapText="1"/>
    </xf>
    <xf numFmtId="0" fontId="3" fillId="0" borderId="50" xfId="0" applyFont="1" applyBorder="1"/>
    <xf numFmtId="0" fontId="18" fillId="0" borderId="46" xfId="0" applyFont="1" applyBorder="1" applyAlignment="1">
      <alignment horizontal="center" vertical="center" wrapText="1"/>
    </xf>
    <xf numFmtId="0" fontId="3" fillId="0" borderId="47" xfId="0" applyFont="1" applyBorder="1"/>
    <xf numFmtId="0" fontId="3" fillId="0" borderId="51" xfId="0" applyFont="1" applyBorder="1"/>
    <xf numFmtId="0" fontId="3" fillId="0" borderId="52" xfId="0" applyFont="1" applyBorder="1"/>
    <xf numFmtId="0" fontId="18" fillId="0" borderId="48" xfId="0" applyFont="1" applyBorder="1" applyAlignment="1">
      <alignment horizontal="center" vertical="center" wrapText="1"/>
    </xf>
    <xf numFmtId="0" fontId="3" fillId="0" borderId="54" xfId="0" applyFont="1" applyBorder="1"/>
    <xf numFmtId="0" fontId="17" fillId="0" borderId="36" xfId="0" applyFont="1" applyFill="1" applyBorder="1" applyAlignment="1">
      <alignment horizontal="left" vertical="center"/>
    </xf>
    <xf numFmtId="0" fontId="3" fillId="0" borderId="42" xfId="0" applyFont="1" applyFill="1" applyBorder="1"/>
    <xf numFmtId="0" fontId="12" fillId="0" borderId="2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3" fillId="0" borderId="34" xfId="0" applyFont="1" applyBorder="1"/>
    <xf numFmtId="0" fontId="3" fillId="0" borderId="35" xfId="0" applyFont="1" applyBorder="1"/>
    <xf numFmtId="0" fontId="14" fillId="0" borderId="36" xfId="0" applyFont="1" applyBorder="1" applyAlignment="1">
      <alignment horizontal="left" vertical="center" wrapText="1"/>
    </xf>
    <xf numFmtId="0" fontId="3" fillId="0" borderId="53" xfId="0" applyFont="1" applyBorder="1"/>
    <xf numFmtId="0" fontId="19" fillId="0" borderId="36" xfId="0" applyFont="1" applyFill="1" applyBorder="1" applyAlignment="1">
      <alignment vertical="center" wrapText="1"/>
    </xf>
    <xf numFmtId="0" fontId="21" fillId="0" borderId="70" xfId="0" applyFont="1" applyFill="1" applyBorder="1" applyAlignment="1">
      <alignment vertical="center" wrapText="1"/>
    </xf>
    <xf numFmtId="0" fontId="3" fillId="0" borderId="70" xfId="0" applyFont="1" applyFill="1" applyBorder="1"/>
    <xf numFmtId="0" fontId="3" fillId="0" borderId="61" xfId="0" applyFont="1" applyFill="1" applyBorder="1"/>
    <xf numFmtId="0" fontId="21" fillId="0" borderId="97" xfId="0" applyFont="1" applyFill="1" applyBorder="1" applyAlignment="1">
      <alignment horizontal="left" vertical="center" wrapText="1"/>
    </xf>
    <xf numFmtId="0" fontId="3" fillId="0" borderId="17" xfId="0" applyFont="1" applyFill="1" applyBorder="1"/>
    <xf numFmtId="0" fontId="3" fillId="0" borderId="98" xfId="0" applyFont="1" applyFill="1" applyBorder="1"/>
    <xf numFmtId="0" fontId="3" fillId="0" borderId="62" xfId="0" applyFont="1" applyFill="1" applyBorder="1"/>
    <xf numFmtId="0" fontId="3" fillId="0" borderId="69" xfId="0" applyFont="1" applyFill="1" applyBorder="1"/>
    <xf numFmtId="0" fontId="3" fillId="0" borderId="63" xfId="0" applyFont="1" applyFill="1" applyBorder="1"/>
    <xf numFmtId="0" fontId="9" fillId="0" borderId="85" xfId="0" applyFont="1" applyFill="1" applyBorder="1" applyAlignment="1">
      <alignment horizontal="left" vertical="center"/>
    </xf>
    <xf numFmtId="0" fontId="3" fillId="0" borderId="86" xfId="0" applyFont="1" applyFill="1" applyBorder="1"/>
    <xf numFmtId="0" fontId="9" fillId="0" borderId="90" xfId="0" applyFont="1" applyFill="1" applyBorder="1" applyAlignment="1">
      <alignment horizontal="left" vertical="center"/>
    </xf>
    <xf numFmtId="0" fontId="3" fillId="0" borderId="91" xfId="0" applyFont="1" applyFill="1" applyBorder="1"/>
    <xf numFmtId="0" fontId="33" fillId="0" borderId="93" xfId="0" applyFont="1" applyFill="1" applyBorder="1" applyAlignment="1">
      <alignment horizontal="left" vertical="center" wrapText="1"/>
    </xf>
    <xf numFmtId="0" fontId="3" fillId="0" borderId="94" xfId="0" applyFont="1" applyFill="1" applyBorder="1"/>
    <xf numFmtId="0" fontId="3" fillId="0" borderId="95" xfId="0" applyFont="1" applyFill="1" applyBorder="1"/>
    <xf numFmtId="0" fontId="9" fillId="0" borderId="60" xfId="0" applyFont="1" applyFill="1" applyBorder="1"/>
    <xf numFmtId="0" fontId="21" fillId="0" borderId="65" xfId="0" applyFont="1" applyBorder="1"/>
    <xf numFmtId="0" fontId="0" fillId="0" borderId="0" xfId="0" applyFont="1" applyAlignment="1"/>
    <xf numFmtId="0" fontId="23" fillId="0" borderId="33" xfId="0" applyFont="1" applyBorder="1" applyAlignment="1">
      <alignment horizontal="center" vertical="center"/>
    </xf>
    <xf numFmtId="0" fontId="3" fillId="0" borderId="64" xfId="0" applyFont="1" applyBorder="1"/>
    <xf numFmtId="0" fontId="21" fillId="0" borderId="67" xfId="0" applyFont="1" applyFill="1" applyBorder="1" applyAlignment="1">
      <alignment horizontal="left" vertical="center" wrapText="1"/>
    </xf>
    <xf numFmtId="0" fontId="3" fillId="0" borderId="3" xfId="0" applyFont="1" applyFill="1" applyBorder="1"/>
    <xf numFmtId="0" fontId="3" fillId="0" borderId="68" xfId="0" applyFont="1" applyFill="1" applyBorder="1"/>
    <xf numFmtId="0" fontId="23" fillId="0" borderId="60" xfId="0" applyFont="1" applyBorder="1" applyAlignment="1">
      <alignment horizontal="center" vertical="center"/>
    </xf>
    <xf numFmtId="0" fontId="3" fillId="0" borderId="70" xfId="0" applyFont="1" applyBorder="1"/>
    <xf numFmtId="0" fontId="3" fillId="0" borderId="61" xfId="0" applyFont="1" applyBorder="1"/>
    <xf numFmtId="0" fontId="9" fillId="0" borderId="78" xfId="0" applyFont="1" applyFill="1" applyBorder="1" applyAlignment="1">
      <alignment horizontal="left" vertical="center" wrapText="1"/>
    </xf>
    <xf numFmtId="0" fontId="3" fillId="0" borderId="79" xfId="0" applyFont="1" applyFill="1" applyBorder="1"/>
    <xf numFmtId="0" fontId="23" fillId="0" borderId="60" xfId="0" applyFont="1" applyBorder="1" applyAlignment="1">
      <alignment horizontal="center" vertical="center" wrapText="1"/>
    </xf>
    <xf numFmtId="0" fontId="3" fillId="0" borderId="65" xfId="0" applyFont="1" applyBorder="1"/>
    <xf numFmtId="0" fontId="3" fillId="0" borderId="66" xfId="0" applyFont="1" applyBorder="1"/>
    <xf numFmtId="0" fontId="23" fillId="0" borderId="61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left" vertical="center" wrapText="1"/>
    </xf>
    <xf numFmtId="0" fontId="3" fillId="0" borderId="64" xfId="0" applyFont="1" applyFill="1" applyBorder="1"/>
    <xf numFmtId="0" fontId="21" fillId="0" borderId="33" xfId="0" applyFont="1" applyFill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9" fillId="0" borderId="36" xfId="0" applyFont="1" applyBorder="1" applyAlignment="1">
      <alignment horizontal="center"/>
    </xf>
    <xf numFmtId="3" fontId="19" fillId="0" borderId="37" xfId="0" applyNumberFormat="1" applyFont="1" applyBorder="1" applyAlignment="1">
      <alignment horizontal="center"/>
    </xf>
    <xf numFmtId="0" fontId="20" fillId="0" borderId="60" xfId="0" applyFont="1" applyBorder="1" applyAlignment="1">
      <alignment horizontal="center" vertical="center" wrapText="1"/>
    </xf>
    <xf numFmtId="0" fontId="3" fillId="0" borderId="62" xfId="0" applyFont="1" applyBorder="1"/>
    <xf numFmtId="0" fontId="3" fillId="0" borderId="63" xfId="0" applyFont="1" applyBorder="1"/>
    <xf numFmtId="0" fontId="9" fillId="0" borderId="33" xfId="0" applyFont="1" applyBorder="1"/>
    <xf numFmtId="0" fontId="21" fillId="0" borderId="33" xfId="0" applyFont="1" applyBorder="1" applyAlignment="1">
      <alignment horizontal="left"/>
    </xf>
    <xf numFmtId="0" fontId="14" fillId="0" borderId="43" xfId="0" applyFont="1" applyFill="1" applyBorder="1" applyAlignment="1">
      <alignment horizontal="left" vertical="center" wrapText="1"/>
    </xf>
    <xf numFmtId="0" fontId="14" fillId="0" borderId="37" xfId="0" applyFont="1" applyFill="1" applyBorder="1" applyAlignment="1">
      <alignment horizontal="left" vertical="center" wrapText="1"/>
    </xf>
    <xf numFmtId="0" fontId="14" fillId="0" borderId="38" xfId="0" applyFont="1" applyFill="1" applyBorder="1" applyAlignment="1">
      <alignment horizontal="left" vertical="center" wrapText="1"/>
    </xf>
    <xf numFmtId="165" fontId="28" fillId="0" borderId="36" xfId="0" applyNumberFormat="1" applyFont="1" applyBorder="1" applyAlignment="1">
      <alignment horizontal="center" vertical="center"/>
    </xf>
    <xf numFmtId="165" fontId="28" fillId="0" borderId="38" xfId="0" applyNumberFormat="1" applyFont="1" applyBorder="1" applyAlignment="1">
      <alignment horizontal="center" vertical="center"/>
    </xf>
    <xf numFmtId="0" fontId="1" fillId="0" borderId="55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left" vertical="center" wrapText="1"/>
    </xf>
    <xf numFmtId="0" fontId="3" fillId="0" borderId="57" xfId="0" applyFont="1" applyFill="1" applyBorder="1"/>
    <xf numFmtId="0" fontId="3" fillId="0" borderId="58" xfId="0" applyFont="1" applyFill="1" applyBorder="1"/>
    <xf numFmtId="0" fontId="1" fillId="0" borderId="59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164" fontId="1" fillId="0" borderId="55" xfId="0" applyNumberFormat="1" applyFont="1" applyFill="1" applyBorder="1" applyAlignment="1">
      <alignment horizontal="right" vertical="center" wrapText="1"/>
    </xf>
    <xf numFmtId="3" fontId="1" fillId="0" borderId="55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3" fontId="9" fillId="0" borderId="12" xfId="0" applyNumberFormat="1" applyFont="1" applyFill="1" applyBorder="1" applyAlignment="1">
      <alignment horizontal="center" vertical="center" wrapText="1"/>
    </xf>
    <xf numFmtId="167" fontId="9" fillId="0" borderId="11" xfId="0" applyNumberFormat="1" applyFont="1" applyFill="1" applyBorder="1" applyAlignment="1">
      <alignment horizontal="center" vertical="center" wrapText="1"/>
    </xf>
    <xf numFmtId="3" fontId="9" fillId="0" borderId="11" xfId="0" applyNumberFormat="1" applyFont="1" applyFill="1" applyBorder="1" applyAlignment="1">
      <alignment horizontal="center" vertical="center"/>
    </xf>
    <xf numFmtId="167" fontId="9" fillId="0" borderId="12" xfId="0" applyNumberFormat="1" applyFont="1" applyFill="1" applyBorder="1" applyAlignment="1">
      <alignment horizontal="center" vertical="center"/>
    </xf>
    <xf numFmtId="167" fontId="9" fillId="0" borderId="12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 2 2" xfId="1" xr:uid="{00000000-0005-0000-0000-000001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7705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7705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7705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7705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selection activeCell="E17" sqref="E17"/>
    </sheetView>
  </sheetViews>
  <sheetFormatPr baseColWidth="10" defaultColWidth="12.5703125" defaultRowHeight="15" customHeight="1"/>
  <cols>
    <col min="1" max="1" width="6.42578125" customWidth="1"/>
    <col min="2" max="2" width="14" customWidth="1"/>
    <col min="3" max="3" width="38" customWidth="1"/>
    <col min="4" max="4" width="8.42578125" customWidth="1"/>
    <col min="5" max="5" width="95" customWidth="1"/>
    <col min="6" max="6" width="19.28515625" customWidth="1"/>
    <col min="7" max="7" width="19.28515625" style="76" hidden="1" customWidth="1"/>
    <col min="8" max="8" width="19.28515625" style="62" hidden="1" customWidth="1"/>
    <col min="9" max="9" width="19.28515625" style="76" hidden="1" customWidth="1"/>
    <col min="10" max="10" width="19.28515625" style="62" hidden="1" customWidth="1"/>
    <col min="11" max="11" width="12.42578125" style="76" customWidth="1"/>
    <col min="12" max="12" width="16.7109375" style="62" customWidth="1"/>
    <col min="13" max="13" width="18.5703125" style="62" customWidth="1"/>
    <col min="14" max="16" width="11" customWidth="1"/>
  </cols>
  <sheetData>
    <row r="1" spans="1:16" ht="12.75" customHeight="1">
      <c r="A1" s="1">
        <v>2022</v>
      </c>
      <c r="B1" s="1"/>
      <c r="C1" s="1"/>
      <c r="D1" s="1"/>
      <c r="E1" s="1"/>
      <c r="F1" s="1"/>
      <c r="G1" s="71"/>
      <c r="H1" s="57"/>
      <c r="I1" s="71"/>
      <c r="J1" s="57"/>
      <c r="K1" s="77"/>
      <c r="L1" s="63"/>
      <c r="M1" s="63"/>
      <c r="N1" s="1"/>
      <c r="O1" s="1"/>
      <c r="P1" s="1"/>
    </row>
    <row r="2" spans="1:16" ht="22.5" customHeight="1">
      <c r="A2" s="1"/>
      <c r="B2" s="153" t="s">
        <v>0</v>
      </c>
      <c r="C2" s="154"/>
      <c r="D2" s="154"/>
      <c r="E2" s="154"/>
      <c r="F2" s="154"/>
      <c r="G2" s="151"/>
      <c r="H2" s="151"/>
      <c r="I2" s="151"/>
      <c r="J2" s="151"/>
      <c r="K2" s="154"/>
      <c r="L2" s="155"/>
      <c r="M2" s="63"/>
      <c r="N2" s="1"/>
      <c r="O2" s="1"/>
      <c r="P2" s="1"/>
    </row>
    <row r="3" spans="1:16" ht="12" customHeight="1">
      <c r="A3" s="1"/>
      <c r="B3" s="1"/>
      <c r="C3" s="1"/>
      <c r="D3" s="1"/>
      <c r="E3" s="1"/>
      <c r="F3" s="1"/>
      <c r="G3" s="71"/>
      <c r="H3" s="57"/>
      <c r="I3" s="71"/>
      <c r="J3" s="57"/>
      <c r="K3" s="77"/>
      <c r="L3" s="63"/>
      <c r="M3" s="63"/>
      <c r="N3" s="1"/>
      <c r="O3" s="1"/>
      <c r="P3" s="1"/>
    </row>
    <row r="4" spans="1:16" ht="18" customHeight="1">
      <c r="A4" s="156" t="s">
        <v>1</v>
      </c>
      <c r="B4" s="155"/>
      <c r="C4" s="55" t="s">
        <v>124</v>
      </c>
      <c r="D4" s="53"/>
      <c r="E4" s="54"/>
      <c r="F4" s="2"/>
      <c r="G4" s="72"/>
      <c r="H4" s="58"/>
      <c r="I4" s="72"/>
      <c r="J4" s="58"/>
      <c r="K4" s="78"/>
      <c r="L4" s="64"/>
      <c r="M4" s="63"/>
      <c r="N4" s="1"/>
      <c r="O4" s="1"/>
      <c r="P4" s="1"/>
    </row>
    <row r="5" spans="1:16" s="92" customFormat="1" ht="18" customHeight="1">
      <c r="A5" s="157" t="s">
        <v>2</v>
      </c>
      <c r="B5" s="158"/>
      <c r="C5" s="82" t="s">
        <v>125</v>
      </c>
      <c r="D5" s="83"/>
      <c r="E5" s="84"/>
      <c r="F5" s="85"/>
      <c r="G5" s="86"/>
      <c r="H5" s="87"/>
      <c r="I5" s="86"/>
      <c r="J5" s="87"/>
      <c r="K5" s="88"/>
      <c r="L5" s="89"/>
      <c r="M5" s="90"/>
      <c r="N5" s="91"/>
      <c r="O5" s="91"/>
      <c r="P5" s="91"/>
    </row>
    <row r="6" spans="1:16" s="92" customFormat="1" ht="16.5" customHeight="1">
      <c r="A6" s="157" t="s">
        <v>3</v>
      </c>
      <c r="B6" s="158"/>
      <c r="C6" s="93">
        <v>2022</v>
      </c>
      <c r="D6" s="94"/>
      <c r="E6" s="94"/>
      <c r="F6" s="85"/>
      <c r="G6" s="86"/>
      <c r="H6" s="87"/>
      <c r="I6" s="86"/>
      <c r="J6" s="87"/>
      <c r="K6" s="88"/>
      <c r="L6" s="89"/>
      <c r="M6" s="90"/>
      <c r="N6" s="91"/>
      <c r="O6" s="91"/>
      <c r="P6" s="91"/>
    </row>
    <row r="7" spans="1:16" s="92" customFormat="1" ht="16.5" customHeight="1">
      <c r="A7" s="157" t="s">
        <v>4</v>
      </c>
      <c r="B7" s="158"/>
      <c r="C7" s="93">
        <v>3</v>
      </c>
      <c r="D7" s="94"/>
      <c r="E7" s="94"/>
      <c r="F7" s="85"/>
      <c r="G7" s="86"/>
      <c r="H7" s="87"/>
      <c r="I7" s="86"/>
      <c r="J7" s="87"/>
      <c r="K7" s="88"/>
      <c r="L7" s="89"/>
      <c r="M7" s="90"/>
      <c r="N7" s="91"/>
      <c r="O7" s="91"/>
      <c r="P7" s="91"/>
    </row>
    <row r="8" spans="1:16" ht="12.75" customHeight="1" thickBot="1">
      <c r="A8" s="1"/>
      <c r="B8" s="2"/>
      <c r="C8" s="3"/>
      <c r="D8" s="2"/>
      <c r="E8" s="2"/>
      <c r="F8" s="2"/>
      <c r="G8" s="72"/>
      <c r="H8" s="58"/>
      <c r="I8" s="72"/>
      <c r="J8" s="58"/>
      <c r="K8" s="78"/>
      <c r="L8" s="64"/>
      <c r="M8" s="63"/>
      <c r="N8" s="1"/>
      <c r="O8" s="1"/>
      <c r="P8" s="1"/>
    </row>
    <row r="9" spans="1:16" ht="44.25" customHeight="1" thickBot="1">
      <c r="A9" s="4" t="s">
        <v>5</v>
      </c>
      <c r="B9" s="5" t="s">
        <v>6</v>
      </c>
      <c r="C9" s="56" t="s">
        <v>7</v>
      </c>
      <c r="D9" s="6" t="s">
        <v>8</v>
      </c>
      <c r="E9" s="7" t="s">
        <v>9</v>
      </c>
      <c r="F9" s="8" t="s">
        <v>10</v>
      </c>
      <c r="G9" s="73" t="s">
        <v>126</v>
      </c>
      <c r="H9" s="59" t="s">
        <v>127</v>
      </c>
      <c r="I9" s="73" t="s">
        <v>128</v>
      </c>
      <c r="J9" s="59" t="s">
        <v>129</v>
      </c>
      <c r="K9" s="79" t="s">
        <v>11</v>
      </c>
      <c r="L9" s="65" t="s">
        <v>12</v>
      </c>
      <c r="M9" s="69" t="s">
        <v>13</v>
      </c>
      <c r="N9" s="1"/>
      <c r="O9" s="1"/>
      <c r="P9" s="1"/>
    </row>
    <row r="10" spans="1:16" ht="26.25" customHeight="1">
      <c r="A10" s="13">
        <v>1</v>
      </c>
      <c r="B10" s="14" t="s">
        <v>17</v>
      </c>
      <c r="C10" s="10" t="s">
        <v>14</v>
      </c>
      <c r="D10" s="16">
        <v>252</v>
      </c>
      <c r="E10" s="11" t="s">
        <v>18</v>
      </c>
      <c r="F10" s="14" t="s">
        <v>19</v>
      </c>
      <c r="G10" s="74">
        <v>4000</v>
      </c>
      <c r="H10" s="60">
        <f t="shared" ref="H10:H36" si="0">+G10*L10</f>
        <v>201600</v>
      </c>
      <c r="I10" s="74">
        <v>200</v>
      </c>
      <c r="J10" s="60">
        <f t="shared" ref="J10:J36" si="1">+I10*L10</f>
        <v>10080</v>
      </c>
      <c r="K10" s="12">
        <f t="shared" ref="K10:K36" si="2">+G10+I10</f>
        <v>4200</v>
      </c>
      <c r="L10" s="66">
        <v>50.4</v>
      </c>
      <c r="M10" s="70">
        <f t="shared" ref="M10:M36" si="3">+K10*L10</f>
        <v>211680</v>
      </c>
      <c r="N10" s="1"/>
      <c r="P10" s="1"/>
    </row>
    <row r="11" spans="1:16" ht="26.25" customHeight="1">
      <c r="A11" s="9">
        <v>2</v>
      </c>
      <c r="B11" s="14" t="s">
        <v>20</v>
      </c>
      <c r="C11" s="10" t="s">
        <v>14</v>
      </c>
      <c r="D11" s="16">
        <v>252</v>
      </c>
      <c r="E11" s="15" t="s">
        <v>21</v>
      </c>
      <c r="F11" s="14" t="s">
        <v>19</v>
      </c>
      <c r="G11" s="74">
        <v>100000</v>
      </c>
      <c r="H11" s="60">
        <f t="shared" si="0"/>
        <v>6500000</v>
      </c>
      <c r="I11" s="74">
        <v>200</v>
      </c>
      <c r="J11" s="60">
        <f t="shared" si="1"/>
        <v>13000</v>
      </c>
      <c r="K11" s="12">
        <f t="shared" si="2"/>
        <v>100200</v>
      </c>
      <c r="L11" s="66">
        <v>65</v>
      </c>
      <c r="M11" s="70">
        <f t="shared" si="3"/>
        <v>6513000</v>
      </c>
      <c r="N11" s="1"/>
      <c r="O11" s="17"/>
      <c r="P11" s="17"/>
    </row>
    <row r="12" spans="1:16" ht="26.25" customHeight="1">
      <c r="A12" s="13">
        <v>3</v>
      </c>
      <c r="B12" s="14" t="s">
        <v>22</v>
      </c>
      <c r="C12" s="10" t="s">
        <v>14</v>
      </c>
      <c r="D12" s="16">
        <v>252</v>
      </c>
      <c r="E12" s="11" t="s">
        <v>23</v>
      </c>
      <c r="F12" s="14" t="s">
        <v>15</v>
      </c>
      <c r="G12" s="74">
        <v>100000</v>
      </c>
      <c r="H12" s="60">
        <f t="shared" si="0"/>
        <v>1100000</v>
      </c>
      <c r="I12" s="74"/>
      <c r="J12" s="60">
        <f t="shared" si="1"/>
        <v>0</v>
      </c>
      <c r="K12" s="12">
        <f t="shared" si="2"/>
        <v>100000</v>
      </c>
      <c r="L12" s="66">
        <v>11</v>
      </c>
      <c r="M12" s="70">
        <f t="shared" si="3"/>
        <v>1100000</v>
      </c>
      <c r="N12" s="1"/>
      <c r="O12" s="17"/>
      <c r="P12" s="17"/>
    </row>
    <row r="13" spans="1:16" ht="26.25" customHeight="1">
      <c r="A13" s="13">
        <v>4</v>
      </c>
      <c r="B13" s="14" t="s">
        <v>24</v>
      </c>
      <c r="C13" s="10" t="s">
        <v>14</v>
      </c>
      <c r="D13" s="16">
        <v>252</v>
      </c>
      <c r="E13" s="11" t="s">
        <v>25</v>
      </c>
      <c r="F13" s="14" t="s">
        <v>19</v>
      </c>
      <c r="G13" s="74"/>
      <c r="H13" s="60">
        <f t="shared" si="0"/>
        <v>0</v>
      </c>
      <c r="I13" s="74">
        <v>200</v>
      </c>
      <c r="J13" s="60">
        <f t="shared" si="1"/>
        <v>18400</v>
      </c>
      <c r="K13" s="12">
        <f t="shared" si="2"/>
        <v>200</v>
      </c>
      <c r="L13" s="66">
        <v>92</v>
      </c>
      <c r="M13" s="70">
        <f t="shared" si="3"/>
        <v>18400</v>
      </c>
      <c r="N13" s="1"/>
      <c r="P13" s="1"/>
    </row>
    <row r="14" spans="1:16" ht="26.25" customHeight="1">
      <c r="A14" s="13">
        <v>5</v>
      </c>
      <c r="B14" s="14" t="s">
        <v>26</v>
      </c>
      <c r="C14" s="13" t="s">
        <v>27</v>
      </c>
      <c r="D14" s="16">
        <v>252</v>
      </c>
      <c r="E14" s="15" t="s">
        <v>28</v>
      </c>
      <c r="F14" s="14" t="s">
        <v>29</v>
      </c>
      <c r="G14" s="74">
        <v>20</v>
      </c>
      <c r="H14" s="60">
        <f t="shared" si="0"/>
        <v>36000</v>
      </c>
      <c r="I14" s="74"/>
      <c r="J14" s="60">
        <f t="shared" si="1"/>
        <v>0</v>
      </c>
      <c r="K14" s="12">
        <f t="shared" si="2"/>
        <v>20</v>
      </c>
      <c r="L14" s="66">
        <v>1800</v>
      </c>
      <c r="M14" s="70">
        <f t="shared" si="3"/>
        <v>36000</v>
      </c>
      <c r="N14" s="1"/>
      <c r="P14" s="1"/>
    </row>
    <row r="15" spans="1:16" ht="26.25" customHeight="1">
      <c r="A15" s="13">
        <v>6</v>
      </c>
      <c r="B15" s="14" t="s">
        <v>30</v>
      </c>
      <c r="C15" s="10" t="s">
        <v>14</v>
      </c>
      <c r="D15" s="16">
        <v>252</v>
      </c>
      <c r="E15" s="131" t="s">
        <v>31</v>
      </c>
      <c r="F15" s="14" t="s">
        <v>19</v>
      </c>
      <c r="G15" s="74">
        <v>100</v>
      </c>
      <c r="H15" s="60">
        <f t="shared" si="0"/>
        <v>11000</v>
      </c>
      <c r="I15" s="74"/>
      <c r="J15" s="60">
        <f t="shared" si="1"/>
        <v>0</v>
      </c>
      <c r="K15" s="12">
        <f t="shared" si="2"/>
        <v>100</v>
      </c>
      <c r="L15" s="66">
        <v>110</v>
      </c>
      <c r="M15" s="70">
        <f t="shared" si="3"/>
        <v>11000</v>
      </c>
      <c r="N15" s="1"/>
      <c r="P15" s="1"/>
    </row>
    <row r="16" spans="1:16" ht="26.25" customHeight="1">
      <c r="A16" s="13">
        <v>7</v>
      </c>
      <c r="B16" s="14" t="s">
        <v>32</v>
      </c>
      <c r="C16" s="10" t="s">
        <v>14</v>
      </c>
      <c r="D16" s="16">
        <v>252</v>
      </c>
      <c r="E16" s="131" t="s">
        <v>33</v>
      </c>
      <c r="F16" s="14" t="s">
        <v>15</v>
      </c>
      <c r="G16" s="74">
        <v>10000</v>
      </c>
      <c r="H16" s="60">
        <f t="shared" si="0"/>
        <v>178000</v>
      </c>
      <c r="I16" s="74"/>
      <c r="J16" s="60">
        <f t="shared" si="1"/>
        <v>0</v>
      </c>
      <c r="K16" s="12">
        <f t="shared" si="2"/>
        <v>10000</v>
      </c>
      <c r="L16" s="66">
        <v>17.8</v>
      </c>
      <c r="M16" s="70">
        <f t="shared" si="3"/>
        <v>178000</v>
      </c>
      <c r="N16" s="1"/>
      <c r="P16" s="1"/>
    </row>
    <row r="17" spans="1:16" ht="26.25" customHeight="1">
      <c r="A17" s="13">
        <v>8</v>
      </c>
      <c r="B17" s="14" t="s">
        <v>34</v>
      </c>
      <c r="C17" s="14" t="s">
        <v>14</v>
      </c>
      <c r="D17" s="16">
        <v>252</v>
      </c>
      <c r="E17" s="131" t="s">
        <v>35</v>
      </c>
      <c r="F17" s="14" t="s">
        <v>16</v>
      </c>
      <c r="G17" s="74">
        <v>50</v>
      </c>
      <c r="H17" s="60">
        <f t="shared" si="0"/>
        <v>26500</v>
      </c>
      <c r="I17" s="74"/>
      <c r="J17" s="60">
        <f t="shared" si="1"/>
        <v>0</v>
      </c>
      <c r="K17" s="12">
        <f t="shared" si="2"/>
        <v>50</v>
      </c>
      <c r="L17" s="66">
        <v>530</v>
      </c>
      <c r="M17" s="70">
        <f t="shared" si="3"/>
        <v>26500</v>
      </c>
      <c r="N17" s="1"/>
      <c r="P17" s="1"/>
    </row>
    <row r="18" spans="1:16" ht="26.25" customHeight="1">
      <c r="A18" s="13">
        <v>9</v>
      </c>
      <c r="B18" s="14" t="s">
        <v>37</v>
      </c>
      <c r="C18" s="10" t="s">
        <v>14</v>
      </c>
      <c r="D18" s="16">
        <v>252</v>
      </c>
      <c r="E18" s="131" t="s">
        <v>38</v>
      </c>
      <c r="F18" s="14" t="s">
        <v>15</v>
      </c>
      <c r="G18" s="74">
        <v>5000</v>
      </c>
      <c r="H18" s="60">
        <f t="shared" si="0"/>
        <v>22500</v>
      </c>
      <c r="I18" s="74"/>
      <c r="J18" s="60">
        <f t="shared" si="1"/>
        <v>0</v>
      </c>
      <c r="K18" s="12">
        <f t="shared" si="2"/>
        <v>5000</v>
      </c>
      <c r="L18" s="66">
        <v>4.5</v>
      </c>
      <c r="M18" s="70">
        <f t="shared" si="3"/>
        <v>22500</v>
      </c>
      <c r="N18" s="1"/>
      <c r="O18" s="17"/>
      <c r="P18" s="17"/>
    </row>
    <row r="19" spans="1:16" ht="26.25" customHeight="1">
      <c r="A19" s="13">
        <v>10</v>
      </c>
      <c r="B19" s="14" t="s">
        <v>39</v>
      </c>
      <c r="C19" s="10" t="s">
        <v>14</v>
      </c>
      <c r="D19" s="16">
        <v>252</v>
      </c>
      <c r="E19" s="132" t="s">
        <v>40</v>
      </c>
      <c r="F19" s="14" t="s">
        <v>41</v>
      </c>
      <c r="G19" s="74">
        <v>1400</v>
      </c>
      <c r="H19" s="60">
        <f t="shared" si="0"/>
        <v>21772800</v>
      </c>
      <c r="I19" s="74"/>
      <c r="J19" s="60">
        <f t="shared" si="1"/>
        <v>0</v>
      </c>
      <c r="K19" s="12">
        <f t="shared" si="2"/>
        <v>1400</v>
      </c>
      <c r="L19" s="66">
        <v>15552</v>
      </c>
      <c r="M19" s="70">
        <f t="shared" si="3"/>
        <v>21772800</v>
      </c>
      <c r="N19" s="1"/>
      <c r="P19" s="1"/>
    </row>
    <row r="20" spans="1:16" ht="26.25" customHeight="1">
      <c r="A20" s="286">
        <v>11</v>
      </c>
      <c r="B20" s="287" t="s">
        <v>42</v>
      </c>
      <c r="C20" s="287" t="s">
        <v>14</v>
      </c>
      <c r="D20" s="288">
        <v>252</v>
      </c>
      <c r="E20" s="131" t="s">
        <v>43</v>
      </c>
      <c r="F20" s="287" t="s">
        <v>44</v>
      </c>
      <c r="G20" s="289">
        <v>300</v>
      </c>
      <c r="H20" s="290">
        <f t="shared" si="0"/>
        <v>502500</v>
      </c>
      <c r="I20" s="289"/>
      <c r="J20" s="290">
        <f t="shared" si="1"/>
        <v>0</v>
      </c>
      <c r="K20" s="291">
        <f t="shared" si="2"/>
        <v>300</v>
      </c>
      <c r="L20" s="292">
        <v>1675</v>
      </c>
      <c r="M20" s="293">
        <f t="shared" si="3"/>
        <v>502500</v>
      </c>
      <c r="N20" s="1"/>
      <c r="P20" s="1"/>
    </row>
    <row r="21" spans="1:16" ht="26.25" customHeight="1">
      <c r="A21" s="286">
        <v>12</v>
      </c>
      <c r="B21" s="287" t="s">
        <v>45</v>
      </c>
      <c r="C21" s="287" t="s">
        <v>14</v>
      </c>
      <c r="D21" s="288">
        <v>252</v>
      </c>
      <c r="E21" s="131" t="s">
        <v>46</v>
      </c>
      <c r="F21" s="287" t="s">
        <v>44</v>
      </c>
      <c r="G21" s="289">
        <v>300</v>
      </c>
      <c r="H21" s="290">
        <f t="shared" si="0"/>
        <v>502500</v>
      </c>
      <c r="I21" s="289"/>
      <c r="J21" s="290">
        <f t="shared" si="1"/>
        <v>0</v>
      </c>
      <c r="K21" s="291">
        <f t="shared" si="2"/>
        <v>300</v>
      </c>
      <c r="L21" s="292">
        <v>1675</v>
      </c>
      <c r="M21" s="293">
        <f t="shared" si="3"/>
        <v>502500</v>
      </c>
      <c r="N21" s="1"/>
      <c r="P21" s="1"/>
    </row>
    <row r="22" spans="1:16" ht="26.25" customHeight="1">
      <c r="A22" s="286">
        <v>13</v>
      </c>
      <c r="B22" s="287" t="s">
        <v>47</v>
      </c>
      <c r="C22" s="287" t="s">
        <v>14</v>
      </c>
      <c r="D22" s="288">
        <v>252</v>
      </c>
      <c r="E22" s="132" t="s">
        <v>48</v>
      </c>
      <c r="F22" s="287" t="s">
        <v>41</v>
      </c>
      <c r="G22" s="289">
        <v>4200</v>
      </c>
      <c r="H22" s="290">
        <f t="shared" si="0"/>
        <v>37522800</v>
      </c>
      <c r="I22" s="289"/>
      <c r="J22" s="290">
        <f t="shared" si="1"/>
        <v>0</v>
      </c>
      <c r="K22" s="291">
        <f t="shared" si="2"/>
        <v>4200</v>
      </c>
      <c r="L22" s="292">
        <v>8934</v>
      </c>
      <c r="M22" s="293">
        <f t="shared" si="3"/>
        <v>37522800</v>
      </c>
      <c r="N22" s="1"/>
      <c r="P22" s="1"/>
    </row>
    <row r="23" spans="1:16" ht="26.25" customHeight="1">
      <c r="A23" s="13">
        <v>14</v>
      </c>
      <c r="B23" s="14" t="s">
        <v>49</v>
      </c>
      <c r="C23" s="10" t="s">
        <v>14</v>
      </c>
      <c r="D23" s="16">
        <v>252</v>
      </c>
      <c r="E23" s="131" t="s">
        <v>50</v>
      </c>
      <c r="F23" s="14" t="s">
        <v>15</v>
      </c>
      <c r="G23" s="74">
        <v>2000</v>
      </c>
      <c r="H23" s="60">
        <f t="shared" si="0"/>
        <v>5400</v>
      </c>
      <c r="I23" s="74"/>
      <c r="J23" s="60">
        <f t="shared" si="1"/>
        <v>0</v>
      </c>
      <c r="K23" s="12">
        <f t="shared" si="2"/>
        <v>2000</v>
      </c>
      <c r="L23" s="66">
        <v>2.7</v>
      </c>
      <c r="M23" s="70">
        <f t="shared" si="3"/>
        <v>5400</v>
      </c>
      <c r="N23" s="1"/>
      <c r="O23" s="17"/>
      <c r="P23" s="17"/>
    </row>
    <row r="24" spans="1:16" ht="26.25" customHeight="1">
      <c r="A24" s="13">
        <v>15</v>
      </c>
      <c r="B24" s="14" t="s">
        <v>51</v>
      </c>
      <c r="C24" s="10" t="s">
        <v>14</v>
      </c>
      <c r="D24" s="16">
        <v>252</v>
      </c>
      <c r="E24" s="131" t="s">
        <v>52</v>
      </c>
      <c r="F24" s="14" t="s">
        <v>15</v>
      </c>
      <c r="G24" s="74">
        <v>50000</v>
      </c>
      <c r="H24" s="60">
        <f t="shared" si="0"/>
        <v>285000</v>
      </c>
      <c r="I24" s="74"/>
      <c r="J24" s="60">
        <f t="shared" si="1"/>
        <v>0</v>
      </c>
      <c r="K24" s="12">
        <f t="shared" si="2"/>
        <v>50000</v>
      </c>
      <c r="L24" s="66">
        <v>5.7</v>
      </c>
      <c r="M24" s="70">
        <f t="shared" si="3"/>
        <v>285000</v>
      </c>
      <c r="N24" s="1"/>
      <c r="P24" s="1"/>
    </row>
    <row r="25" spans="1:16" ht="26.25" customHeight="1">
      <c r="A25" s="13">
        <v>16</v>
      </c>
      <c r="B25" s="14" t="s">
        <v>53</v>
      </c>
      <c r="C25" s="10" t="s">
        <v>14</v>
      </c>
      <c r="D25" s="16">
        <v>252</v>
      </c>
      <c r="E25" s="131" t="s">
        <v>54</v>
      </c>
      <c r="F25" s="14" t="s">
        <v>15</v>
      </c>
      <c r="G25" s="74">
        <v>80000</v>
      </c>
      <c r="H25" s="60">
        <f t="shared" si="0"/>
        <v>576000</v>
      </c>
      <c r="I25" s="74"/>
      <c r="J25" s="60">
        <f t="shared" si="1"/>
        <v>0</v>
      </c>
      <c r="K25" s="12">
        <f t="shared" si="2"/>
        <v>80000</v>
      </c>
      <c r="L25" s="66">
        <v>7.2</v>
      </c>
      <c r="M25" s="70">
        <f t="shared" si="3"/>
        <v>576000</v>
      </c>
      <c r="N25" s="1"/>
      <c r="P25" s="1"/>
    </row>
    <row r="26" spans="1:16" ht="26.25" customHeight="1">
      <c r="A26" s="13">
        <v>17</v>
      </c>
      <c r="B26" s="14" t="s">
        <v>55</v>
      </c>
      <c r="C26" s="10" t="s">
        <v>14</v>
      </c>
      <c r="D26" s="16">
        <v>252</v>
      </c>
      <c r="E26" s="131" t="s">
        <v>56</v>
      </c>
      <c r="F26" s="14" t="s">
        <v>36</v>
      </c>
      <c r="G26" s="74">
        <v>500</v>
      </c>
      <c r="H26" s="60">
        <f t="shared" si="0"/>
        <v>72500</v>
      </c>
      <c r="I26" s="74"/>
      <c r="J26" s="60">
        <f t="shared" si="1"/>
        <v>0</v>
      </c>
      <c r="K26" s="12">
        <f t="shared" si="2"/>
        <v>500</v>
      </c>
      <c r="L26" s="66">
        <v>145</v>
      </c>
      <c r="M26" s="70">
        <f t="shared" si="3"/>
        <v>72500</v>
      </c>
      <c r="N26" s="1"/>
      <c r="P26" s="1"/>
    </row>
    <row r="27" spans="1:16" ht="26.25" customHeight="1">
      <c r="A27" s="13">
        <v>18</v>
      </c>
      <c r="B27" s="14" t="s">
        <v>57</v>
      </c>
      <c r="C27" s="10" t="s">
        <v>14</v>
      </c>
      <c r="D27" s="16">
        <v>252</v>
      </c>
      <c r="E27" s="132" t="s">
        <v>58</v>
      </c>
      <c r="F27" s="14" t="s">
        <v>36</v>
      </c>
      <c r="G27" s="74">
        <v>500</v>
      </c>
      <c r="H27" s="60">
        <f t="shared" si="0"/>
        <v>75000</v>
      </c>
      <c r="I27" s="74"/>
      <c r="J27" s="60">
        <f t="shared" si="1"/>
        <v>0</v>
      </c>
      <c r="K27" s="12">
        <f t="shared" si="2"/>
        <v>500</v>
      </c>
      <c r="L27" s="66">
        <v>150</v>
      </c>
      <c r="M27" s="70">
        <f t="shared" si="3"/>
        <v>75000</v>
      </c>
      <c r="N27" s="1"/>
      <c r="P27" s="1"/>
    </row>
    <row r="28" spans="1:16" ht="26.25" customHeight="1">
      <c r="A28" s="13">
        <v>19</v>
      </c>
      <c r="B28" s="14" t="s">
        <v>59</v>
      </c>
      <c r="C28" s="10" t="s">
        <v>14</v>
      </c>
      <c r="D28" s="16">
        <v>252</v>
      </c>
      <c r="E28" s="131" t="s">
        <v>60</v>
      </c>
      <c r="F28" s="14" t="s">
        <v>19</v>
      </c>
      <c r="G28" s="74">
        <v>60000</v>
      </c>
      <c r="H28" s="60">
        <f t="shared" si="0"/>
        <v>2148000</v>
      </c>
      <c r="I28" s="74">
        <v>200</v>
      </c>
      <c r="J28" s="60">
        <f t="shared" si="1"/>
        <v>7159.9999999999991</v>
      </c>
      <c r="K28" s="12">
        <f t="shared" si="2"/>
        <v>60200</v>
      </c>
      <c r="L28" s="66">
        <v>35.799999999999997</v>
      </c>
      <c r="M28" s="70">
        <f t="shared" si="3"/>
        <v>2155160</v>
      </c>
      <c r="N28" s="1"/>
      <c r="O28" s="17"/>
      <c r="P28" s="17"/>
    </row>
    <row r="29" spans="1:16" ht="26.25" customHeight="1">
      <c r="A29" s="13">
        <v>20</v>
      </c>
      <c r="B29" s="14" t="s">
        <v>61</v>
      </c>
      <c r="C29" s="10" t="s">
        <v>14</v>
      </c>
      <c r="D29" s="16">
        <v>252</v>
      </c>
      <c r="E29" s="131" t="s">
        <v>62</v>
      </c>
      <c r="F29" s="14" t="s">
        <v>16</v>
      </c>
      <c r="G29" s="74">
        <v>200</v>
      </c>
      <c r="H29" s="60">
        <f t="shared" si="0"/>
        <v>57000</v>
      </c>
      <c r="I29" s="74"/>
      <c r="J29" s="60">
        <f t="shared" si="1"/>
        <v>0</v>
      </c>
      <c r="K29" s="12">
        <f t="shared" si="2"/>
        <v>200</v>
      </c>
      <c r="L29" s="66">
        <v>285</v>
      </c>
      <c r="M29" s="70">
        <f t="shared" si="3"/>
        <v>57000</v>
      </c>
      <c r="N29" s="1"/>
      <c r="P29" s="1"/>
    </row>
    <row r="30" spans="1:16" ht="26.25" customHeight="1">
      <c r="A30" s="13">
        <v>21</v>
      </c>
      <c r="B30" s="14" t="s">
        <v>63</v>
      </c>
      <c r="C30" s="10" t="s">
        <v>14</v>
      </c>
      <c r="D30" s="16">
        <v>252</v>
      </c>
      <c r="E30" s="131" t="s">
        <v>64</v>
      </c>
      <c r="F30" s="14" t="s">
        <v>65</v>
      </c>
      <c r="G30" s="74">
        <v>200000</v>
      </c>
      <c r="H30" s="60">
        <f t="shared" si="0"/>
        <v>459999.99999999994</v>
      </c>
      <c r="I30" s="74"/>
      <c r="J30" s="60">
        <f t="shared" si="1"/>
        <v>0</v>
      </c>
      <c r="K30" s="12">
        <f t="shared" si="2"/>
        <v>200000</v>
      </c>
      <c r="L30" s="66">
        <v>2.2999999999999998</v>
      </c>
      <c r="M30" s="70">
        <f t="shared" si="3"/>
        <v>459999.99999999994</v>
      </c>
      <c r="N30" s="1"/>
      <c r="O30" s="17"/>
      <c r="P30" s="17"/>
    </row>
    <row r="31" spans="1:16" ht="26.25" customHeight="1">
      <c r="A31" s="13">
        <v>22</v>
      </c>
      <c r="B31" s="14" t="s">
        <v>66</v>
      </c>
      <c r="C31" s="10" t="s">
        <v>14</v>
      </c>
      <c r="D31" s="16">
        <v>252</v>
      </c>
      <c r="E31" s="132" t="s">
        <v>67</v>
      </c>
      <c r="F31" s="14" t="s">
        <v>16</v>
      </c>
      <c r="G31" s="74">
        <v>2000</v>
      </c>
      <c r="H31" s="60">
        <f t="shared" si="0"/>
        <v>420000</v>
      </c>
      <c r="I31" s="74"/>
      <c r="J31" s="60">
        <f t="shared" si="1"/>
        <v>0</v>
      </c>
      <c r="K31" s="12">
        <f t="shared" si="2"/>
        <v>2000</v>
      </c>
      <c r="L31" s="67">
        <v>210</v>
      </c>
      <c r="M31" s="70">
        <f t="shared" si="3"/>
        <v>420000</v>
      </c>
      <c r="N31" s="1"/>
      <c r="P31" s="1"/>
    </row>
    <row r="32" spans="1:16" ht="26.25" customHeight="1">
      <c r="A32" s="13">
        <v>23</v>
      </c>
      <c r="B32" s="14" t="s">
        <v>68</v>
      </c>
      <c r="C32" s="10" t="s">
        <v>14</v>
      </c>
      <c r="D32" s="16">
        <v>252</v>
      </c>
      <c r="E32" s="131" t="s">
        <v>69</v>
      </c>
      <c r="F32" s="14" t="s">
        <v>19</v>
      </c>
      <c r="G32" s="74">
        <v>80000</v>
      </c>
      <c r="H32" s="60">
        <f t="shared" si="0"/>
        <v>3800000</v>
      </c>
      <c r="I32" s="74">
        <v>200</v>
      </c>
      <c r="J32" s="60">
        <f t="shared" si="1"/>
        <v>9500</v>
      </c>
      <c r="K32" s="12">
        <f t="shared" si="2"/>
        <v>80200</v>
      </c>
      <c r="L32" s="67">
        <v>47.5</v>
      </c>
      <c r="M32" s="70">
        <f t="shared" si="3"/>
        <v>3809500</v>
      </c>
      <c r="N32" s="1"/>
      <c r="P32" s="1"/>
    </row>
    <row r="33" spans="1:16" ht="26.25" customHeight="1">
      <c r="A33" s="13">
        <v>24</v>
      </c>
      <c r="B33" s="14" t="s">
        <v>70</v>
      </c>
      <c r="C33" s="10" t="s">
        <v>14</v>
      </c>
      <c r="D33" s="16">
        <v>252</v>
      </c>
      <c r="E33" s="131" t="s">
        <v>71</v>
      </c>
      <c r="F33" s="14" t="s">
        <v>29</v>
      </c>
      <c r="G33" s="74">
        <v>4000</v>
      </c>
      <c r="H33" s="60">
        <f t="shared" si="0"/>
        <v>352000</v>
      </c>
      <c r="I33" s="74"/>
      <c r="J33" s="60">
        <f t="shared" si="1"/>
        <v>0</v>
      </c>
      <c r="K33" s="12">
        <f t="shared" si="2"/>
        <v>4000</v>
      </c>
      <c r="L33" s="67">
        <v>88</v>
      </c>
      <c r="M33" s="70">
        <f t="shared" si="3"/>
        <v>352000</v>
      </c>
      <c r="N33" s="1"/>
      <c r="P33" s="1"/>
    </row>
    <row r="34" spans="1:16" ht="26.25" customHeight="1">
      <c r="A34" s="13">
        <v>25</v>
      </c>
      <c r="B34" s="14" t="s">
        <v>72</v>
      </c>
      <c r="C34" s="10" t="s">
        <v>14</v>
      </c>
      <c r="D34" s="16">
        <v>252</v>
      </c>
      <c r="E34" s="131" t="s">
        <v>73</v>
      </c>
      <c r="F34" s="14" t="s">
        <v>16</v>
      </c>
      <c r="G34" s="74">
        <v>150</v>
      </c>
      <c r="H34" s="60">
        <f t="shared" si="0"/>
        <v>147000</v>
      </c>
      <c r="I34" s="74"/>
      <c r="J34" s="60">
        <f t="shared" si="1"/>
        <v>0</v>
      </c>
      <c r="K34" s="12">
        <f t="shared" si="2"/>
        <v>150</v>
      </c>
      <c r="L34" s="67">
        <v>980</v>
      </c>
      <c r="M34" s="70">
        <f t="shared" si="3"/>
        <v>147000</v>
      </c>
      <c r="N34" s="1"/>
      <c r="O34" s="17"/>
      <c r="P34" s="17"/>
    </row>
    <row r="35" spans="1:16" ht="26.25" customHeight="1">
      <c r="A35" s="13">
        <v>26</v>
      </c>
      <c r="B35" s="18" t="s">
        <v>74</v>
      </c>
      <c r="C35" s="10" t="s">
        <v>14</v>
      </c>
      <c r="D35" s="16">
        <v>252</v>
      </c>
      <c r="E35" s="131" t="s">
        <v>75</v>
      </c>
      <c r="F35" s="14" t="s">
        <v>41</v>
      </c>
      <c r="G35" s="74">
        <v>600</v>
      </c>
      <c r="H35" s="60">
        <f t="shared" si="0"/>
        <v>529500</v>
      </c>
      <c r="I35" s="74"/>
      <c r="J35" s="60">
        <f t="shared" si="1"/>
        <v>0</v>
      </c>
      <c r="K35" s="12">
        <f t="shared" si="2"/>
        <v>600</v>
      </c>
      <c r="L35" s="67">
        <v>882.5</v>
      </c>
      <c r="M35" s="70">
        <f t="shared" si="3"/>
        <v>529500</v>
      </c>
      <c r="N35" s="1"/>
      <c r="P35" s="1"/>
    </row>
    <row r="36" spans="1:16" ht="26.25" customHeight="1" thickBot="1">
      <c r="A36" s="95">
        <v>27</v>
      </c>
      <c r="B36" s="96" t="s">
        <v>76</v>
      </c>
      <c r="C36" s="96" t="s">
        <v>14</v>
      </c>
      <c r="D36" s="97">
        <v>252</v>
      </c>
      <c r="E36" s="98" t="s">
        <v>77</v>
      </c>
      <c r="F36" s="96" t="s">
        <v>16</v>
      </c>
      <c r="G36" s="99">
        <v>500</v>
      </c>
      <c r="H36" s="100">
        <f t="shared" si="0"/>
        <v>479000</v>
      </c>
      <c r="I36" s="99"/>
      <c r="J36" s="100">
        <f t="shared" si="1"/>
        <v>0</v>
      </c>
      <c r="K36" s="101">
        <f t="shared" si="2"/>
        <v>500</v>
      </c>
      <c r="L36" s="102">
        <v>958</v>
      </c>
      <c r="M36" s="103">
        <f t="shared" si="3"/>
        <v>479000</v>
      </c>
      <c r="N36" s="1"/>
      <c r="P36" s="1"/>
    </row>
    <row r="37" spans="1:16" s="108" customFormat="1" ht="18" customHeight="1" thickBot="1">
      <c r="A37" s="159" t="s">
        <v>130</v>
      </c>
      <c r="B37" s="160"/>
      <c r="C37" s="160"/>
      <c r="D37" s="160"/>
      <c r="E37" s="160"/>
      <c r="F37" s="160"/>
      <c r="G37" s="104"/>
      <c r="H37" s="105">
        <f>SUM(H10:H36)</f>
        <v>77782600</v>
      </c>
      <c r="I37" s="104"/>
      <c r="J37" s="105">
        <f>SUM(J10:J36)</f>
        <v>58140</v>
      </c>
      <c r="K37" s="104"/>
      <c r="L37" s="105"/>
      <c r="M37" s="106">
        <f>SUM(M10:M36)</f>
        <v>77840740</v>
      </c>
      <c r="N37" s="107"/>
      <c r="O37" s="107"/>
      <c r="P37" s="107"/>
    </row>
    <row r="38" spans="1:16" ht="12.75" customHeight="1" thickBot="1">
      <c r="A38" s="1"/>
      <c r="B38" s="1"/>
      <c r="C38" s="1"/>
      <c r="D38" s="1"/>
      <c r="E38" s="1"/>
      <c r="F38" s="1"/>
      <c r="G38" s="71"/>
      <c r="H38" s="57"/>
      <c r="I38" s="71"/>
      <c r="J38" s="57"/>
      <c r="K38" s="77"/>
      <c r="L38" s="63"/>
      <c r="M38" s="63"/>
      <c r="N38" s="1"/>
      <c r="O38" s="1"/>
      <c r="P38" s="1"/>
    </row>
    <row r="39" spans="1:16" ht="21.75" customHeight="1">
      <c r="A39" s="1"/>
      <c r="B39" s="145" t="s">
        <v>145</v>
      </c>
      <c r="C39" s="19"/>
      <c r="D39" s="19"/>
      <c r="E39" s="20"/>
      <c r="F39" s="21"/>
      <c r="G39" s="75"/>
      <c r="H39" s="61"/>
      <c r="I39" s="75"/>
      <c r="J39" s="61"/>
      <c r="K39" s="80"/>
      <c r="L39" s="68"/>
      <c r="M39" s="90"/>
      <c r="N39" s="1"/>
      <c r="O39" s="1"/>
      <c r="P39" s="1"/>
    </row>
    <row r="40" spans="1:16" ht="11.25" customHeight="1">
      <c r="A40" s="1"/>
      <c r="B40" s="164"/>
      <c r="C40" s="165"/>
      <c r="D40" s="165"/>
      <c r="E40" s="166"/>
      <c r="F40" s="21"/>
      <c r="G40" s="75"/>
      <c r="H40" s="61"/>
      <c r="I40" s="75"/>
      <c r="J40" s="61"/>
      <c r="K40" s="81"/>
      <c r="L40" s="68"/>
      <c r="M40" s="90"/>
      <c r="N40" s="1"/>
      <c r="O40" s="1"/>
      <c r="P40" s="1"/>
    </row>
    <row r="41" spans="1:16" ht="23.25" customHeight="1" thickBot="1">
      <c r="A41" s="1"/>
      <c r="B41" s="167"/>
      <c r="C41" s="151"/>
      <c r="D41" s="151"/>
      <c r="E41" s="168"/>
      <c r="F41" s="21"/>
      <c r="G41" s="75"/>
      <c r="H41" s="61"/>
      <c r="I41" s="75"/>
      <c r="J41" s="61"/>
      <c r="K41" s="80"/>
      <c r="L41" s="68"/>
      <c r="M41" s="90"/>
      <c r="N41" s="1"/>
      <c r="O41" s="1"/>
      <c r="P41" s="1"/>
    </row>
    <row r="42" spans="1:16" ht="12.75" customHeight="1">
      <c r="A42" s="1"/>
      <c r="B42" s="109" t="s">
        <v>146</v>
      </c>
      <c r="C42" s="22"/>
      <c r="D42" s="22"/>
      <c r="E42" s="23"/>
      <c r="F42" s="1"/>
      <c r="G42" s="71"/>
      <c r="H42" s="57"/>
      <c r="I42" s="71"/>
      <c r="J42" s="57"/>
      <c r="K42" s="77"/>
      <c r="L42" s="63"/>
      <c r="M42" s="63"/>
      <c r="N42" s="1"/>
      <c r="O42" s="1"/>
      <c r="P42" s="1"/>
    </row>
    <row r="43" spans="1:16" ht="12.75" customHeight="1">
      <c r="A43" s="1"/>
      <c r="B43" s="24" t="s">
        <v>78</v>
      </c>
      <c r="C43" s="25"/>
      <c r="D43" s="25"/>
      <c r="E43" s="26"/>
      <c r="F43" s="1"/>
      <c r="G43" s="71"/>
      <c r="H43" s="57"/>
      <c r="I43" s="71"/>
      <c r="J43" s="57"/>
      <c r="K43" s="77"/>
      <c r="L43" s="63"/>
      <c r="M43" s="63"/>
      <c r="N43" s="1"/>
      <c r="O43" s="1"/>
      <c r="P43" s="1"/>
    </row>
    <row r="44" spans="1:16" ht="34.5" customHeight="1">
      <c r="A44" s="1"/>
      <c r="B44" s="27"/>
      <c r="C44" s="161"/>
      <c r="D44" s="162"/>
      <c r="E44" s="163"/>
      <c r="F44" s="1"/>
      <c r="G44" s="71"/>
      <c r="H44" s="57"/>
      <c r="I44" s="71"/>
      <c r="J44" s="57"/>
      <c r="K44" s="77"/>
      <c r="L44" s="63"/>
      <c r="M44" s="63"/>
      <c r="N44" s="1"/>
      <c r="O44" s="1"/>
      <c r="P44" s="1"/>
    </row>
    <row r="45" spans="1:16" ht="12.75" customHeight="1">
      <c r="A45" s="1"/>
      <c r="B45" s="147" t="s">
        <v>147</v>
      </c>
      <c r="C45" s="148"/>
      <c r="D45" s="148"/>
      <c r="E45" s="149"/>
      <c r="F45" s="1"/>
      <c r="G45" s="71"/>
      <c r="H45" s="57"/>
      <c r="I45" s="71"/>
      <c r="J45" s="57"/>
      <c r="K45" s="77"/>
      <c r="L45" s="63"/>
      <c r="M45" s="63"/>
      <c r="N45" s="1"/>
      <c r="O45" s="1"/>
      <c r="P45" s="1"/>
    </row>
    <row r="46" spans="1:16" ht="12.75" customHeight="1">
      <c r="A46" s="1"/>
      <c r="B46" s="24" t="s">
        <v>79</v>
      </c>
      <c r="C46" s="25"/>
      <c r="D46" s="25"/>
      <c r="E46" s="26"/>
      <c r="F46" s="1"/>
      <c r="G46" s="71"/>
      <c r="H46" s="57"/>
      <c r="I46" s="71"/>
      <c r="J46" s="57"/>
      <c r="K46" s="77"/>
      <c r="L46" s="63"/>
      <c r="M46" s="63"/>
      <c r="N46" s="1"/>
      <c r="O46" s="1"/>
      <c r="P46" s="1"/>
    </row>
    <row r="47" spans="1:16" ht="27.75" customHeight="1" thickBot="1">
      <c r="A47" s="1"/>
      <c r="B47" s="24"/>
      <c r="C47" s="150"/>
      <c r="D47" s="151"/>
      <c r="E47" s="152"/>
      <c r="F47" s="1"/>
      <c r="G47" s="71"/>
      <c r="H47" s="57"/>
      <c r="I47" s="71"/>
      <c r="J47" s="57"/>
      <c r="K47" s="77"/>
      <c r="L47" s="63"/>
      <c r="M47" s="63"/>
      <c r="N47" s="1"/>
      <c r="O47" s="1"/>
      <c r="P47" s="1"/>
    </row>
    <row r="48" spans="1:16" ht="104.25" customHeight="1">
      <c r="A48" s="1"/>
      <c r="B48" s="169" t="s">
        <v>133</v>
      </c>
      <c r="C48" s="170"/>
      <c r="D48" s="177" t="s">
        <v>134</v>
      </c>
      <c r="E48" s="178"/>
      <c r="F48" s="1"/>
      <c r="G48" s="71"/>
      <c r="H48" s="57"/>
      <c r="I48" s="71"/>
      <c r="J48" s="57"/>
      <c r="K48" s="77"/>
      <c r="L48" s="63"/>
      <c r="M48" s="63"/>
      <c r="N48" s="1"/>
      <c r="O48" s="1"/>
      <c r="P48" s="1"/>
    </row>
    <row r="49" spans="1:16" ht="12.75" customHeight="1">
      <c r="A49" s="1"/>
      <c r="B49" s="133"/>
      <c r="C49" s="140"/>
      <c r="D49" s="134"/>
      <c r="E49" s="141"/>
      <c r="F49" s="1"/>
      <c r="G49" s="71"/>
      <c r="H49" s="57"/>
      <c r="I49" s="71"/>
      <c r="J49" s="57"/>
      <c r="K49" s="77"/>
      <c r="L49" s="63"/>
      <c r="M49" s="63"/>
      <c r="N49" s="1"/>
      <c r="O49" s="1"/>
      <c r="P49" s="1"/>
    </row>
    <row r="50" spans="1:16" ht="12.75" customHeight="1">
      <c r="A50" s="1"/>
      <c r="B50" s="171" t="s">
        <v>135</v>
      </c>
      <c r="C50" s="172"/>
      <c r="D50" s="179" t="s">
        <v>136</v>
      </c>
      <c r="E50" s="180"/>
      <c r="F50" s="1"/>
      <c r="G50" s="71"/>
      <c r="H50" s="57"/>
      <c r="I50" s="71"/>
      <c r="J50" s="57"/>
      <c r="K50" s="77"/>
      <c r="L50" s="63"/>
      <c r="M50" s="63"/>
      <c r="N50" s="1"/>
      <c r="O50" s="1"/>
      <c r="P50" s="1"/>
    </row>
    <row r="51" spans="1:16" ht="12.75" customHeight="1">
      <c r="A51" s="1"/>
      <c r="B51" s="135"/>
      <c r="C51" s="140"/>
      <c r="D51" s="136"/>
      <c r="E51" s="141"/>
      <c r="F51" s="1"/>
      <c r="G51" s="71"/>
      <c r="H51" s="57"/>
      <c r="I51" s="71"/>
      <c r="J51" s="57"/>
      <c r="K51" s="77"/>
      <c r="L51" s="63"/>
      <c r="M51" s="63"/>
      <c r="N51" s="1"/>
      <c r="O51" s="1"/>
      <c r="P51" s="1"/>
    </row>
    <row r="52" spans="1:16" ht="30.75" customHeight="1">
      <c r="A52" s="1"/>
      <c r="B52" s="175" t="s">
        <v>137</v>
      </c>
      <c r="C52" s="176"/>
      <c r="D52" s="185" t="s">
        <v>141</v>
      </c>
      <c r="E52" s="186"/>
      <c r="F52" s="1"/>
      <c r="G52" s="71"/>
      <c r="H52" s="57"/>
      <c r="I52" s="71"/>
      <c r="J52" s="57"/>
      <c r="K52" s="77"/>
      <c r="L52" s="63"/>
      <c r="M52" s="63"/>
      <c r="N52" s="1"/>
      <c r="O52" s="1"/>
      <c r="P52" s="1"/>
    </row>
    <row r="53" spans="1:16" ht="24" customHeight="1">
      <c r="A53" s="52"/>
      <c r="B53" s="175"/>
      <c r="C53" s="176"/>
      <c r="D53" s="185" t="s">
        <v>142</v>
      </c>
      <c r="E53" s="186"/>
      <c r="F53" s="52"/>
      <c r="G53" s="71"/>
      <c r="H53" s="57"/>
      <c r="I53" s="71"/>
      <c r="J53" s="57"/>
      <c r="K53" s="71"/>
      <c r="L53" s="57"/>
      <c r="M53" s="57"/>
      <c r="N53" s="52"/>
      <c r="O53" s="52"/>
      <c r="P53" s="52"/>
    </row>
    <row r="54" spans="1:16" ht="12.75" customHeight="1">
      <c r="A54" s="1"/>
      <c r="B54" s="135"/>
      <c r="C54" s="140"/>
      <c r="D54" s="187" t="s">
        <v>143</v>
      </c>
      <c r="E54" s="188"/>
      <c r="F54" s="1"/>
      <c r="G54" s="71"/>
      <c r="H54" s="57"/>
      <c r="I54" s="71"/>
      <c r="J54" s="57"/>
      <c r="K54" s="77"/>
      <c r="L54" s="63"/>
      <c r="M54" s="63"/>
      <c r="N54" s="1"/>
      <c r="O54" s="1"/>
      <c r="P54" s="1"/>
    </row>
    <row r="55" spans="1:16" ht="12.75" customHeight="1">
      <c r="A55" s="52"/>
      <c r="B55" s="135"/>
      <c r="C55" s="140"/>
      <c r="D55" s="137"/>
      <c r="E55" s="141"/>
      <c r="F55" s="52"/>
      <c r="G55" s="71"/>
      <c r="H55" s="57"/>
      <c r="I55" s="71"/>
      <c r="J55" s="57"/>
      <c r="K55" s="71"/>
      <c r="L55" s="57"/>
      <c r="M55" s="57"/>
      <c r="N55" s="52"/>
      <c r="O55" s="52"/>
      <c r="P55" s="52"/>
    </row>
    <row r="56" spans="1:16" ht="12.75" customHeight="1">
      <c r="A56" s="1"/>
      <c r="B56" s="173" t="s">
        <v>138</v>
      </c>
      <c r="C56" s="174"/>
      <c r="D56" s="181"/>
      <c r="E56" s="182"/>
      <c r="F56" s="1"/>
      <c r="G56" s="71"/>
      <c r="H56" s="57"/>
      <c r="I56" s="71"/>
      <c r="J56" s="57"/>
      <c r="K56" s="77"/>
      <c r="L56" s="63"/>
      <c r="M56" s="63"/>
      <c r="N56" s="1"/>
      <c r="O56" s="1"/>
      <c r="P56" s="1"/>
    </row>
    <row r="57" spans="1:16" ht="12.75" customHeight="1">
      <c r="A57" s="1"/>
      <c r="B57" s="138"/>
      <c r="C57" s="140"/>
      <c r="D57" s="139"/>
      <c r="E57" s="141"/>
      <c r="F57" s="1"/>
      <c r="G57" s="71"/>
      <c r="H57" s="57"/>
      <c r="I57" s="71"/>
      <c r="J57" s="57"/>
      <c r="K57" s="77"/>
      <c r="L57" s="63"/>
      <c r="M57" s="63"/>
      <c r="N57" s="1"/>
      <c r="O57" s="1"/>
      <c r="P57" s="1"/>
    </row>
    <row r="58" spans="1:16" ht="12.75" customHeight="1">
      <c r="A58" s="1"/>
      <c r="B58" s="173" t="s">
        <v>139</v>
      </c>
      <c r="C58" s="174"/>
      <c r="D58" s="183" t="s">
        <v>140</v>
      </c>
      <c r="E58" s="184"/>
      <c r="F58" s="1"/>
      <c r="G58" s="71"/>
      <c r="H58" s="57"/>
      <c r="I58" s="71"/>
      <c r="J58" s="57"/>
      <c r="K58" s="77"/>
      <c r="L58" s="63"/>
      <c r="M58" s="63"/>
      <c r="N58" s="1"/>
      <c r="O58" s="1"/>
      <c r="P58" s="1"/>
    </row>
    <row r="59" spans="1:16" ht="12.75" customHeight="1" thickBot="1">
      <c r="A59" s="1"/>
      <c r="B59" s="142"/>
      <c r="C59" s="143"/>
      <c r="D59" s="143"/>
      <c r="E59" s="144"/>
      <c r="F59" s="1"/>
      <c r="G59" s="71"/>
      <c r="H59" s="57"/>
      <c r="I59" s="71"/>
      <c r="J59" s="57"/>
      <c r="K59" s="77"/>
      <c r="L59" s="63"/>
      <c r="M59" s="63"/>
      <c r="N59" s="1"/>
      <c r="O59" s="1"/>
      <c r="P59" s="1"/>
    </row>
    <row r="60" spans="1:16" ht="12.75" customHeight="1">
      <c r="A60" s="1"/>
      <c r="B60" s="1"/>
      <c r="C60" s="1"/>
      <c r="D60" s="1"/>
      <c r="E60" s="1"/>
      <c r="F60" s="1"/>
      <c r="G60" s="71"/>
      <c r="H60" s="57"/>
      <c r="I60" s="71"/>
      <c r="J60" s="57"/>
      <c r="K60" s="77"/>
      <c r="L60" s="63"/>
      <c r="M60" s="63"/>
      <c r="N60" s="1"/>
      <c r="O60" s="1"/>
      <c r="P60" s="1"/>
    </row>
    <row r="61" spans="1:16" ht="12.75" customHeight="1">
      <c r="A61" s="1"/>
      <c r="B61" s="1"/>
      <c r="C61" s="1"/>
      <c r="D61" s="1"/>
      <c r="E61" s="1"/>
      <c r="F61" s="1"/>
      <c r="G61" s="71"/>
      <c r="H61" s="57"/>
      <c r="I61" s="71"/>
      <c r="J61" s="57"/>
      <c r="K61" s="77"/>
      <c r="L61" s="63"/>
      <c r="M61" s="63"/>
      <c r="N61" s="1"/>
      <c r="O61" s="1"/>
      <c r="P61" s="1"/>
    </row>
    <row r="62" spans="1:16" ht="12.75" customHeight="1">
      <c r="A62" s="1"/>
      <c r="B62" s="1"/>
      <c r="C62" s="1"/>
      <c r="D62" s="1"/>
      <c r="E62" s="1"/>
      <c r="F62" s="1"/>
      <c r="G62" s="71"/>
      <c r="H62" s="57"/>
      <c r="I62" s="71"/>
      <c r="J62" s="57"/>
      <c r="K62" s="77"/>
      <c r="L62" s="63"/>
      <c r="M62" s="63"/>
      <c r="N62" s="1"/>
      <c r="O62" s="1"/>
      <c r="P62" s="1"/>
    </row>
    <row r="63" spans="1:16" ht="12.75" customHeight="1">
      <c r="A63" s="1"/>
      <c r="B63" s="1"/>
      <c r="C63" s="1"/>
      <c r="D63" s="1"/>
      <c r="E63" s="1"/>
      <c r="F63" s="1"/>
      <c r="G63" s="71"/>
      <c r="H63" s="57"/>
      <c r="I63" s="71"/>
      <c r="J63" s="57"/>
      <c r="K63" s="77"/>
      <c r="L63" s="63"/>
      <c r="M63" s="63"/>
      <c r="N63" s="1"/>
      <c r="O63" s="1"/>
      <c r="P63" s="1"/>
    </row>
    <row r="64" spans="1:16" ht="12.75" customHeight="1">
      <c r="A64" s="1"/>
      <c r="B64" s="1"/>
      <c r="C64" s="1"/>
      <c r="D64" s="1"/>
      <c r="E64" s="1"/>
      <c r="F64" s="1"/>
      <c r="G64" s="71"/>
      <c r="H64" s="57"/>
      <c r="I64" s="71"/>
      <c r="J64" s="57"/>
      <c r="K64" s="77"/>
      <c r="L64" s="63"/>
      <c r="M64" s="63"/>
      <c r="N64" s="1"/>
      <c r="O64" s="1"/>
      <c r="P64" s="1"/>
    </row>
    <row r="65" spans="1:16" ht="12.75" customHeight="1">
      <c r="A65" s="1"/>
      <c r="B65" s="1"/>
      <c r="C65" s="1"/>
      <c r="D65" s="1"/>
      <c r="E65" s="1"/>
      <c r="F65" s="1"/>
      <c r="G65" s="71"/>
      <c r="H65" s="57"/>
      <c r="I65" s="71"/>
      <c r="J65" s="57"/>
      <c r="K65" s="77"/>
      <c r="L65" s="63"/>
      <c r="M65" s="63"/>
      <c r="N65" s="1"/>
      <c r="O65" s="1"/>
      <c r="P65" s="1"/>
    </row>
    <row r="66" spans="1:16" ht="12.75" customHeight="1">
      <c r="A66" s="1"/>
      <c r="B66" s="1"/>
      <c r="C66" s="1"/>
      <c r="D66" s="1"/>
      <c r="E66" s="1"/>
      <c r="F66" s="1"/>
      <c r="G66" s="71"/>
      <c r="H66" s="57"/>
      <c r="I66" s="71"/>
      <c r="J66" s="57"/>
      <c r="K66" s="77"/>
      <c r="L66" s="63"/>
      <c r="M66" s="63"/>
      <c r="N66" s="1"/>
      <c r="O66" s="1"/>
      <c r="P66" s="1"/>
    </row>
    <row r="67" spans="1:16" ht="12.75" customHeight="1">
      <c r="A67" s="1"/>
      <c r="B67" s="1"/>
      <c r="C67" s="1"/>
      <c r="D67" s="1"/>
      <c r="E67" s="1"/>
      <c r="F67" s="1"/>
      <c r="G67" s="71"/>
      <c r="H67" s="57"/>
      <c r="I67" s="71"/>
      <c r="J67" s="57"/>
      <c r="K67" s="77"/>
      <c r="L67" s="63"/>
      <c r="M67" s="63"/>
      <c r="N67" s="1"/>
      <c r="O67" s="1"/>
      <c r="P67" s="1"/>
    </row>
    <row r="68" spans="1:16" ht="12.75" customHeight="1">
      <c r="A68" s="1"/>
      <c r="B68" s="1"/>
      <c r="C68" s="1"/>
      <c r="D68" s="1"/>
      <c r="E68" s="1"/>
      <c r="F68" s="1"/>
      <c r="G68" s="71"/>
      <c r="H68" s="57"/>
      <c r="I68" s="71"/>
      <c r="J68" s="57"/>
      <c r="K68" s="77"/>
      <c r="L68" s="63"/>
      <c r="M68" s="63"/>
      <c r="N68" s="1"/>
      <c r="O68" s="1"/>
      <c r="P68" s="1"/>
    </row>
    <row r="69" spans="1:16" ht="12.75" customHeight="1">
      <c r="A69" s="1"/>
      <c r="B69" s="1"/>
      <c r="C69" s="1"/>
      <c r="D69" s="1"/>
      <c r="E69" s="1"/>
      <c r="F69" s="1"/>
      <c r="G69" s="71"/>
      <c r="H69" s="57"/>
      <c r="I69" s="71"/>
      <c r="J69" s="57"/>
      <c r="K69" s="77"/>
      <c r="L69" s="63"/>
      <c r="M69" s="63"/>
      <c r="N69" s="1"/>
      <c r="O69" s="1"/>
      <c r="P69" s="1"/>
    </row>
    <row r="70" spans="1:16" ht="12.75" customHeight="1">
      <c r="A70" s="1"/>
      <c r="B70" s="1"/>
      <c r="C70" s="1"/>
      <c r="D70" s="1"/>
      <c r="E70" s="1"/>
      <c r="F70" s="1"/>
      <c r="G70" s="71"/>
      <c r="H70" s="57"/>
      <c r="I70" s="71"/>
      <c r="J70" s="57"/>
      <c r="K70" s="77"/>
      <c r="L70" s="63"/>
      <c r="M70" s="63"/>
      <c r="N70" s="1"/>
      <c r="O70" s="1"/>
      <c r="P70" s="1"/>
    </row>
    <row r="71" spans="1:16" ht="12.75" customHeight="1">
      <c r="A71" s="1"/>
      <c r="B71" s="1"/>
      <c r="C71" s="1"/>
      <c r="D71" s="1"/>
      <c r="E71" s="1"/>
      <c r="F71" s="1"/>
      <c r="G71" s="71"/>
      <c r="H71" s="57"/>
      <c r="I71" s="71"/>
      <c r="J71" s="57"/>
      <c r="K71" s="77"/>
      <c r="L71" s="63"/>
      <c r="M71" s="63"/>
      <c r="N71" s="1"/>
      <c r="O71" s="1"/>
      <c r="P71" s="1"/>
    </row>
    <row r="72" spans="1:16" ht="12.75" customHeight="1">
      <c r="A72" s="1"/>
      <c r="B72" s="1"/>
      <c r="C72" s="1"/>
      <c r="D72" s="1"/>
      <c r="E72" s="1"/>
      <c r="F72" s="1"/>
      <c r="G72" s="71"/>
      <c r="H72" s="57"/>
      <c r="I72" s="71"/>
      <c r="J72" s="57"/>
      <c r="K72" s="77"/>
      <c r="L72" s="63"/>
      <c r="M72" s="63"/>
      <c r="N72" s="1"/>
      <c r="O72" s="1"/>
      <c r="P72" s="1"/>
    </row>
    <row r="73" spans="1:16" ht="12.75" customHeight="1">
      <c r="A73" s="1"/>
      <c r="B73" s="1"/>
      <c r="C73" s="1"/>
      <c r="D73" s="1"/>
      <c r="E73" s="1"/>
      <c r="F73" s="1"/>
      <c r="G73" s="71"/>
      <c r="H73" s="57"/>
      <c r="I73" s="71"/>
      <c r="J73" s="57"/>
      <c r="K73" s="77"/>
      <c r="L73" s="63"/>
      <c r="M73" s="63"/>
      <c r="N73" s="1"/>
      <c r="O73" s="1"/>
      <c r="P73" s="1"/>
    </row>
    <row r="74" spans="1:16" ht="12.75" customHeight="1">
      <c r="A74" s="1"/>
      <c r="B74" s="1"/>
      <c r="C74" s="1"/>
      <c r="D74" s="1"/>
      <c r="E74" s="1"/>
      <c r="F74" s="1"/>
      <c r="G74" s="71"/>
      <c r="H74" s="57"/>
      <c r="I74" s="71"/>
      <c r="J74" s="57"/>
      <c r="K74" s="77"/>
      <c r="L74" s="63"/>
      <c r="M74" s="63"/>
      <c r="N74" s="1"/>
      <c r="O74" s="1"/>
      <c r="P74" s="1"/>
    </row>
    <row r="75" spans="1:16" ht="12.75" customHeight="1">
      <c r="A75" s="1"/>
      <c r="B75" s="1"/>
      <c r="C75" s="1"/>
      <c r="D75" s="1"/>
      <c r="E75" s="1"/>
      <c r="F75" s="1"/>
      <c r="G75" s="71"/>
      <c r="H75" s="57"/>
      <c r="I75" s="71"/>
      <c r="J75" s="57"/>
      <c r="K75" s="77"/>
      <c r="L75" s="63"/>
      <c r="M75" s="63"/>
      <c r="N75" s="1"/>
      <c r="O75" s="1"/>
      <c r="P75" s="1"/>
    </row>
    <row r="76" spans="1:16" ht="12.75" customHeight="1">
      <c r="A76" s="1"/>
      <c r="B76" s="1"/>
      <c r="C76" s="1"/>
      <c r="D76" s="1"/>
      <c r="E76" s="1"/>
      <c r="F76" s="1"/>
      <c r="G76" s="71"/>
      <c r="H76" s="57"/>
      <c r="I76" s="71"/>
      <c r="J76" s="57"/>
      <c r="K76" s="77"/>
      <c r="L76" s="63"/>
      <c r="M76" s="63"/>
      <c r="N76" s="1"/>
      <c r="O76" s="1"/>
      <c r="P76" s="1"/>
    </row>
    <row r="77" spans="1:16" ht="12.75" customHeight="1">
      <c r="A77" s="1"/>
      <c r="B77" s="1"/>
      <c r="C77" s="1"/>
      <c r="D77" s="1"/>
      <c r="E77" s="1"/>
      <c r="F77" s="1"/>
      <c r="G77" s="71"/>
      <c r="H77" s="57"/>
      <c r="I77" s="71"/>
      <c r="J77" s="57"/>
      <c r="K77" s="77"/>
      <c r="L77" s="63"/>
      <c r="M77" s="63"/>
      <c r="N77" s="1"/>
      <c r="O77" s="1"/>
      <c r="P77" s="1"/>
    </row>
    <row r="78" spans="1:16" ht="12.75" customHeight="1">
      <c r="A78" s="1"/>
      <c r="B78" s="1"/>
      <c r="C78" s="1"/>
      <c r="D78" s="1"/>
      <c r="E78" s="1"/>
      <c r="F78" s="1"/>
      <c r="G78" s="71"/>
      <c r="H78" s="57"/>
      <c r="I78" s="71"/>
      <c r="J78" s="57"/>
      <c r="K78" s="77"/>
      <c r="L78" s="63"/>
      <c r="M78" s="63"/>
      <c r="N78" s="1"/>
      <c r="O78" s="1"/>
      <c r="P78" s="1"/>
    </row>
  </sheetData>
  <mergeCells count="22">
    <mergeCell ref="D48:E48"/>
    <mergeCell ref="D50:E50"/>
    <mergeCell ref="D56:E56"/>
    <mergeCell ref="D58:E58"/>
    <mergeCell ref="D52:E52"/>
    <mergeCell ref="D53:E53"/>
    <mergeCell ref="D54:E54"/>
    <mergeCell ref="B48:C48"/>
    <mergeCell ref="B50:C50"/>
    <mergeCell ref="B56:C56"/>
    <mergeCell ref="B58:C58"/>
    <mergeCell ref="B52:C53"/>
    <mergeCell ref="B45:E45"/>
    <mergeCell ref="C47:E47"/>
    <mergeCell ref="B2:L2"/>
    <mergeCell ref="A4:B4"/>
    <mergeCell ref="A5:B5"/>
    <mergeCell ref="A37:F37"/>
    <mergeCell ref="C44:E44"/>
    <mergeCell ref="B40:E41"/>
    <mergeCell ref="A6:B6"/>
    <mergeCell ref="A7:B7"/>
  </mergeCells>
  <conditionalFormatting sqref="B50:B52 B54:B58">
    <cfRule type="duplicateValues" dxfId="3" priority="1"/>
  </conditionalFormatting>
  <conditionalFormatting sqref="B50:B52 B54:B58">
    <cfRule type="duplicateValues" dxfId="2" priority="2"/>
  </conditionalFormatting>
  <conditionalFormatting sqref="B50:B52">
    <cfRule type="duplicateValues" dxfId="1" priority="3"/>
  </conditionalFormatting>
  <conditionalFormatting sqref="B50:B52">
    <cfRule type="duplicateValues" dxfId="0" priority="4"/>
  </conditionalFormatting>
  <printOptions horizontalCentered="1"/>
  <pageMargins left="0.11811023622047245" right="0.11811023622047245" top="0.74803149606299213" bottom="0.35433070866141736" header="0" footer="0"/>
  <pageSetup paperSize="5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topLeftCell="A43" zoomScaleNormal="100" workbookViewId="0">
      <selection activeCell="C28" sqref="C28:G28"/>
    </sheetView>
  </sheetViews>
  <sheetFormatPr baseColWidth="10" defaultColWidth="12.5703125" defaultRowHeight="15" customHeight="1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9.7109375" customWidth="1"/>
    <col min="10" max="10" width="14.7109375" customWidth="1"/>
    <col min="11" max="11" width="15.5703125" customWidth="1"/>
  </cols>
  <sheetData>
    <row r="1" spans="1:11" ht="12.75" customHeight="1">
      <c r="A1" s="222" t="s">
        <v>80</v>
      </c>
      <c r="B1" s="154"/>
      <c r="C1" s="154"/>
      <c r="D1" s="154"/>
      <c r="E1" s="154"/>
      <c r="F1" s="154"/>
      <c r="G1" s="154"/>
      <c r="H1" s="154"/>
      <c r="I1" s="155"/>
      <c r="J1" s="28" t="s">
        <v>81</v>
      </c>
      <c r="K1" s="146" t="s">
        <v>82</v>
      </c>
    </row>
    <row r="2" spans="1:11" ht="12.75" customHeight="1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1" ht="12.75" customHeight="1">
      <c r="A3" s="223" t="s">
        <v>83</v>
      </c>
      <c r="B3" s="224"/>
      <c r="C3" s="225"/>
      <c r="D3" s="226" t="str">
        <f>'Necesidades Trimestrales'!C4</f>
        <v>040 - MINISTERIO DE SALUD</v>
      </c>
      <c r="E3" s="195"/>
      <c r="F3" s="195"/>
      <c r="G3" s="195"/>
      <c r="H3" s="195"/>
      <c r="I3" s="195"/>
      <c r="J3" s="195"/>
      <c r="K3" s="196"/>
    </row>
    <row r="4" spans="1:11" s="92" customFormat="1" ht="12.75" customHeight="1">
      <c r="A4" s="200" t="s">
        <v>84</v>
      </c>
      <c r="B4" s="201"/>
      <c r="C4" s="202"/>
      <c r="D4" s="206" t="str">
        <f>'Necesidades Trimestrales'!C5</f>
        <v>011 - DIRECCION PROVINCIAL DE ADMINISTRACION - MS</v>
      </c>
      <c r="E4" s="204"/>
      <c r="F4" s="204"/>
      <c r="G4" s="204"/>
      <c r="H4" s="204"/>
      <c r="I4" s="204"/>
      <c r="J4" s="204"/>
      <c r="K4" s="205"/>
    </row>
    <row r="5" spans="1:11" s="92" customFormat="1" ht="12.75" customHeight="1">
      <c r="A5" s="200" t="s">
        <v>85</v>
      </c>
      <c r="B5" s="201"/>
      <c r="C5" s="202"/>
      <c r="D5" s="203" t="s">
        <v>148</v>
      </c>
      <c r="E5" s="204"/>
      <c r="F5" s="204"/>
      <c r="G5" s="204"/>
      <c r="H5" s="204"/>
      <c r="I5" s="204"/>
      <c r="J5" s="204"/>
      <c r="K5" s="205"/>
    </row>
    <row r="6" spans="1:11" s="92" customFormat="1" ht="12.75" customHeight="1">
      <c r="A6" s="197" t="s">
        <v>86</v>
      </c>
      <c r="B6" s="198"/>
      <c r="C6" s="199"/>
      <c r="D6" s="203" t="s">
        <v>148</v>
      </c>
      <c r="E6" s="204"/>
      <c r="F6" s="204"/>
      <c r="G6" s="204"/>
      <c r="H6" s="204"/>
      <c r="I6" s="204"/>
      <c r="J6" s="204"/>
      <c r="K6" s="205"/>
    </row>
    <row r="7" spans="1:11" s="92" customFormat="1" ht="12.75" customHeight="1" thickBot="1">
      <c r="A7" s="200" t="s">
        <v>87</v>
      </c>
      <c r="B7" s="201"/>
      <c r="C7" s="202"/>
      <c r="D7" s="206" t="s">
        <v>88</v>
      </c>
      <c r="E7" s="204"/>
      <c r="F7" s="204"/>
      <c r="G7" s="204"/>
      <c r="H7" s="204"/>
      <c r="I7" s="204"/>
      <c r="J7" s="204"/>
      <c r="K7" s="205"/>
    </row>
    <row r="8" spans="1:11" s="92" customFormat="1" ht="18.75" customHeight="1" thickBot="1">
      <c r="A8" s="220" t="s">
        <v>89</v>
      </c>
      <c r="B8" s="204"/>
      <c r="C8" s="221"/>
      <c r="D8" s="207" t="s">
        <v>90</v>
      </c>
      <c r="E8" s="208"/>
      <c r="F8" s="208"/>
      <c r="G8" s="208"/>
      <c r="H8" s="208"/>
      <c r="I8" s="208"/>
      <c r="J8" s="208"/>
      <c r="K8" s="209"/>
    </row>
    <row r="9" spans="1:11" ht="12.75" customHeight="1" thickBot="1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1" ht="12.75" customHeight="1">
      <c r="A10" s="210" t="s">
        <v>91</v>
      </c>
      <c r="B10" s="212" t="s">
        <v>92</v>
      </c>
      <c r="C10" s="214" t="s">
        <v>93</v>
      </c>
      <c r="D10" s="148"/>
      <c r="E10" s="148"/>
      <c r="F10" s="148"/>
      <c r="G10" s="215"/>
      <c r="H10" s="212" t="s">
        <v>94</v>
      </c>
      <c r="I10" s="212" t="s">
        <v>95</v>
      </c>
      <c r="J10" s="212" t="s">
        <v>96</v>
      </c>
      <c r="K10" s="218" t="s">
        <v>97</v>
      </c>
    </row>
    <row r="11" spans="1:11" ht="35.25" customHeight="1">
      <c r="A11" s="211"/>
      <c r="B11" s="213"/>
      <c r="C11" s="216"/>
      <c r="D11" s="162"/>
      <c r="E11" s="162"/>
      <c r="F11" s="162"/>
      <c r="G11" s="217"/>
      <c r="H11" s="227"/>
      <c r="I11" s="213"/>
      <c r="J11" s="213"/>
      <c r="K11" s="219"/>
    </row>
    <row r="12" spans="1:11" ht="39.75" customHeight="1">
      <c r="A12" s="33">
        <v>1</v>
      </c>
      <c r="B12" s="33" t="str">
        <f>'Necesidades Trimestrales'!B10</f>
        <v>2.5.2-1843.63</v>
      </c>
      <c r="C12" s="191" t="str">
        <f>'Necesidades Trimestrales'!E10</f>
        <v>ANTIESPASMODICOS; TIPO: MONODROGA, DROGA GENERICA: ATROPINA 1%, FORMA FARMACEUTICA: AMPOLLA, PRESENTACION: ENVASE X 1 mL</v>
      </c>
      <c r="D12" s="192"/>
      <c r="E12" s="192"/>
      <c r="F12" s="192"/>
      <c r="G12" s="193"/>
      <c r="H12" s="34" t="s">
        <v>98</v>
      </c>
      <c r="I12" s="35" t="str">
        <f>'Necesidades Trimestrales'!F10</f>
        <v>AMPOLLA</v>
      </c>
      <c r="J12" s="36">
        <f>'Necesidades Trimestrales'!L10</f>
        <v>50.4</v>
      </c>
      <c r="K12" s="37">
        <f>'Necesidades Trimestrales'!G10</f>
        <v>4000</v>
      </c>
    </row>
    <row r="13" spans="1:11" ht="39.75" customHeight="1">
      <c r="A13" s="33">
        <v>2</v>
      </c>
      <c r="B13" s="33" t="str">
        <f>'Necesidades Trimestrales'!B11</f>
        <v>2.5.2-1843.51</v>
      </c>
      <c r="C13" s="191" t="str">
        <f>'Necesidades Trimestrales'!E11</f>
        <v>ANTIESPASMODICOS; TIPO: MONODROGA, DROGA GENERICA: HIOSCINA N-BUTILBROMURO 20 MG, FORMA FARMACEUTICA: AMPOLLA, PRESENTACION: 1 ML</v>
      </c>
      <c r="D13" s="192"/>
      <c r="E13" s="192"/>
      <c r="F13" s="192"/>
      <c r="G13" s="193"/>
      <c r="H13" s="34" t="s">
        <v>98</v>
      </c>
      <c r="I13" s="35" t="str">
        <f>'Necesidades Trimestrales'!F11</f>
        <v>AMPOLLA</v>
      </c>
      <c r="J13" s="36">
        <f>'Necesidades Trimestrales'!L11</f>
        <v>65</v>
      </c>
      <c r="K13" s="37">
        <f>'Necesidades Trimestrales'!G11</f>
        <v>100000</v>
      </c>
    </row>
    <row r="14" spans="1:11" ht="39.75" customHeight="1">
      <c r="A14" s="33">
        <v>3</v>
      </c>
      <c r="B14" s="33" t="str">
        <f>'Necesidades Trimestrales'!B12</f>
        <v>2.5.2-1843.1</v>
      </c>
      <c r="C14" s="191" t="str">
        <f>'Necesidades Trimestrales'!E12</f>
        <v>ANTIESPASMODICOS; TIPO: MONODROGA, PRESENTACION: 10 mGr, FORMA FARMACEUTICA: COMPRIMIDO, DROGA GENERICA: HIOSCINA N-BUTILBROMURO</v>
      </c>
      <c r="D14" s="192"/>
      <c r="E14" s="192"/>
      <c r="F14" s="192"/>
      <c r="G14" s="193"/>
      <c r="H14" s="34" t="s">
        <v>98</v>
      </c>
      <c r="I14" s="35" t="str">
        <f>'Necesidades Trimestrales'!F12</f>
        <v>COMPRIMIDO</v>
      </c>
      <c r="J14" s="36">
        <f>'Necesidades Trimestrales'!L12</f>
        <v>11</v>
      </c>
      <c r="K14" s="37">
        <f>'Necesidades Trimestrales'!G12</f>
        <v>100000</v>
      </c>
    </row>
    <row r="15" spans="1:11" ht="39.75" customHeight="1">
      <c r="A15" s="33">
        <v>4</v>
      </c>
      <c r="B15" s="33" t="str">
        <f>'Necesidades Trimestrales'!B14</f>
        <v>2.5.2-8078.68</v>
      </c>
      <c r="C15" s="191" t="str">
        <f>'Necesidades Trimestrales'!E14</f>
        <v>EXCIPIENTES; TIPO: MONODROGA, PRESENTACION: ENVASE X 1 Kg, COMPUESTO: CARBON ACTIVADO, CONCENTRACION/PUREZA: 100 %</v>
      </c>
      <c r="D15" s="192"/>
      <c r="E15" s="192"/>
      <c r="F15" s="192"/>
      <c r="G15" s="193"/>
      <c r="H15" s="34" t="s">
        <v>98</v>
      </c>
      <c r="I15" s="35" t="str">
        <f>'Necesidades Trimestrales'!F14</f>
        <v>UNIDAD</v>
      </c>
      <c r="J15" s="36">
        <f>'Necesidades Trimestrales'!L14</f>
        <v>1800</v>
      </c>
      <c r="K15" s="37">
        <f>'Necesidades Trimestrales'!G14</f>
        <v>20</v>
      </c>
    </row>
    <row r="16" spans="1:11" ht="39.75" customHeight="1">
      <c r="A16" s="33">
        <v>5</v>
      </c>
      <c r="B16" s="33" t="str">
        <f>'Necesidades Trimestrales'!B15</f>
        <v>2.5.2-1901.7</v>
      </c>
      <c r="C16" s="191" t="str">
        <f>'Necesidades Trimestrales'!E15</f>
        <v>VITAMINAS; FORMA FARMACEUTICA: AMPOLLA, PRESENTACION: 2 mL, TIPO: MONODROGA, DROGA GENERICA: VITAMINA B</v>
      </c>
      <c r="D16" s="192"/>
      <c r="E16" s="192"/>
      <c r="F16" s="192"/>
      <c r="G16" s="193"/>
      <c r="H16" s="34" t="s">
        <v>99</v>
      </c>
      <c r="I16" s="35" t="str">
        <f>'Necesidades Trimestrales'!F15</f>
        <v>AMPOLLA</v>
      </c>
      <c r="J16" s="36">
        <f>'Necesidades Trimestrales'!L15</f>
        <v>110</v>
      </c>
      <c r="K16" s="37">
        <f>'Necesidades Trimestrales'!G15</f>
        <v>100</v>
      </c>
    </row>
    <row r="17" spans="1:11" ht="39.75" customHeight="1">
      <c r="A17" s="33">
        <v>6</v>
      </c>
      <c r="B17" s="33" t="str">
        <f>'Necesidades Trimestrales'!B16</f>
        <v>2.5.2-1872.65</v>
      </c>
      <c r="C17" s="191" t="str">
        <f>'Necesidades Trimestrales'!E16</f>
        <v>ANTIANEMICOS; TIPO: MONODROGA, DROGA GENERICA: COMPLEJO VITAMINICO B, FORMA FARMACEUTICA: COMPRIMIDO, PRESENTACION: UNIDAD</v>
      </c>
      <c r="D17" s="192"/>
      <c r="E17" s="192"/>
      <c r="F17" s="192"/>
      <c r="G17" s="193"/>
      <c r="H17" s="34" t="s">
        <v>98</v>
      </c>
      <c r="I17" s="35" t="str">
        <f>'Necesidades Trimestrales'!F16</f>
        <v>COMPRIMIDO</v>
      </c>
      <c r="J17" s="36">
        <f>'Necesidades Trimestrales'!L16</f>
        <v>17.8</v>
      </c>
      <c r="K17" s="37">
        <f>'Necesidades Trimestrales'!G16</f>
        <v>10000</v>
      </c>
    </row>
    <row r="18" spans="1:11" ht="39.75" customHeight="1">
      <c r="A18" s="33">
        <v>7</v>
      </c>
      <c r="B18" s="33" t="str">
        <f>'Necesidades Trimestrales'!B17</f>
        <v>2.5.2-1816.19</v>
      </c>
      <c r="C18" s="191" t="str">
        <f>'Necesidades Trimestrales'!E17</f>
        <v>ANTIDIARREICOS; TIPO: MONODROGA, DROGA GENERICA: BISMUTO, FORMA FARMACEUTICA: CREMA, PRESENTACION: 90 mL</v>
      </c>
      <c r="D18" s="192"/>
      <c r="E18" s="192"/>
      <c r="F18" s="192"/>
      <c r="G18" s="193"/>
      <c r="H18" s="34" t="s">
        <v>98</v>
      </c>
      <c r="I18" s="35" t="str">
        <f>'Necesidades Trimestrales'!F17</f>
        <v>FRASCO</v>
      </c>
      <c r="J18" s="36">
        <f>'Necesidades Trimestrales'!L17</f>
        <v>530</v>
      </c>
      <c r="K18" s="37">
        <f>'Necesidades Trimestrales'!G17</f>
        <v>50</v>
      </c>
    </row>
    <row r="19" spans="1:11" ht="39.75" customHeight="1">
      <c r="A19" s="33">
        <v>8</v>
      </c>
      <c r="B19" s="33" t="str">
        <f>'Necesidades Trimestrales'!B18</f>
        <v>2.5.2-1862.3</v>
      </c>
      <c r="C19" s="191" t="str">
        <f>'Necesidades Trimestrales'!E18</f>
        <v>HIPOGLUCEMIANTES ORALES; TIPO: MONODROGA, FORMA FARMACEUTICA: COMPRIMIDO, PRESENTACION: 5 mGr, DROGA GENERICA: GLIBENCLAMIDA</v>
      </c>
      <c r="D19" s="192"/>
      <c r="E19" s="192"/>
      <c r="F19" s="192"/>
      <c r="G19" s="193"/>
      <c r="H19" s="34" t="s">
        <v>98</v>
      </c>
      <c r="I19" s="35" t="str">
        <f>'Necesidades Trimestrales'!F18</f>
        <v>COMPRIMIDO</v>
      </c>
      <c r="J19" s="36">
        <f>'Necesidades Trimestrales'!L18</f>
        <v>4.5</v>
      </c>
      <c r="K19" s="37">
        <f>'Necesidades Trimestrales'!G18</f>
        <v>5000</v>
      </c>
    </row>
    <row r="20" spans="1:11" ht="39.75" customHeight="1">
      <c r="A20" s="33">
        <v>9</v>
      </c>
      <c r="B20" s="33" t="str">
        <f>'Necesidades Trimestrales'!B19</f>
        <v>2.5.2-1861.38</v>
      </c>
      <c r="C20" s="191" t="str">
        <f>'Necesidades Trimestrales'!E19</f>
        <v>HIPOGLUCEMIANTES INYECTABLES; TIPO: MONODROGA, DROGA GENERICA: INSULINA ASPARTICA, FORMA FARMACEUTICA: LAPICERA PRELLENADA, PRESENTACION: 5 UNIDADES</v>
      </c>
      <c r="D20" s="192"/>
      <c r="E20" s="192"/>
      <c r="F20" s="192"/>
      <c r="G20" s="193"/>
      <c r="H20" s="34" t="s">
        <v>98</v>
      </c>
      <c r="I20" s="35" t="str">
        <f>'Necesidades Trimestrales'!F19</f>
        <v>CAJA</v>
      </c>
      <c r="J20" s="36">
        <f>'Necesidades Trimestrales'!L19</f>
        <v>15552</v>
      </c>
      <c r="K20" s="37">
        <f>'Necesidades Trimestrales'!G19</f>
        <v>1400</v>
      </c>
    </row>
    <row r="21" spans="1:11" ht="39.75" customHeight="1">
      <c r="A21" s="33">
        <v>10</v>
      </c>
      <c r="B21" s="33" t="str">
        <f>'Necesidades Trimestrales'!B20</f>
        <v>2.5.2-1861.33</v>
      </c>
      <c r="C21" s="191" t="str">
        <f>'Necesidades Trimestrales'!E20</f>
        <v>HIPOGLUCEMIANTES INYECTABLES; TIPO: MONODROGA, DROGA GENERICA: INSULINA CTE, FORMA FARMACEUTICA: AMPOLLA, PRESENTACION: ENVASE X 10 mL</v>
      </c>
      <c r="D21" s="192"/>
      <c r="E21" s="192"/>
      <c r="F21" s="192"/>
      <c r="G21" s="193"/>
      <c r="H21" s="34" t="s">
        <v>98</v>
      </c>
      <c r="I21" s="35" t="str">
        <f>'Necesidades Trimestrales'!F20</f>
        <v>FRASCO AMPOLLA</v>
      </c>
      <c r="J21" s="36">
        <f>'Necesidades Trimestrales'!L20</f>
        <v>1675</v>
      </c>
      <c r="K21" s="37">
        <f>'Necesidades Trimestrales'!G20</f>
        <v>300</v>
      </c>
    </row>
    <row r="22" spans="1:11" ht="39.75" customHeight="1">
      <c r="A22" s="33">
        <v>11</v>
      </c>
      <c r="B22" s="33" t="str">
        <f>'Necesidades Trimestrales'!B21</f>
        <v>2.5.2-1861.10</v>
      </c>
      <c r="C22" s="191" t="str">
        <f>'Necesidades Trimestrales'!E21</f>
        <v>HIPOGLUCEMIANTES INYECTABLES; TIPO: MONODROGA, DROGA GENERICA: INSULINA HUMANA NHP 100 UI, FORMA FARMACEUTICA: AMPOLLA, PRESENTACION: 10 mL</v>
      </c>
      <c r="D22" s="192"/>
      <c r="E22" s="192"/>
      <c r="F22" s="192"/>
      <c r="G22" s="193"/>
      <c r="H22" s="34" t="s">
        <v>98</v>
      </c>
      <c r="I22" s="35" t="str">
        <f>'Necesidades Trimestrales'!F21</f>
        <v>FRASCO AMPOLLA</v>
      </c>
      <c r="J22" s="36">
        <f>'Necesidades Trimestrales'!L21</f>
        <v>1675</v>
      </c>
      <c r="K22" s="37">
        <f>'Necesidades Trimestrales'!G21</f>
        <v>300</v>
      </c>
    </row>
    <row r="23" spans="1:11" ht="39.75" customHeight="1">
      <c r="A23" s="278">
        <v>12</v>
      </c>
      <c r="B23" s="278" t="str">
        <f>'Necesidades Trimestrales'!B22</f>
        <v>2.5.2-1861.39</v>
      </c>
      <c r="C23" s="279" t="str">
        <f>'Necesidades Trimestrales'!E22</f>
        <v>HIPOGLUCEMIANTES INYECTABLES; TIPO: MONODROGA, DROGA GENERICA: INSULINA HUMANA NHP 100 UI, FORMA FARMACEUTICA: LAPICERA PRELLENADA, PRESENTACION: 5 AMPOLLAS</v>
      </c>
      <c r="D23" s="280"/>
      <c r="E23" s="280"/>
      <c r="F23" s="280"/>
      <c r="G23" s="281"/>
      <c r="H23" s="282" t="s">
        <v>99</v>
      </c>
      <c r="I23" s="283" t="str">
        <f>'Necesidades Trimestrales'!F22</f>
        <v>CAJA</v>
      </c>
      <c r="J23" s="284">
        <f>'Necesidades Trimestrales'!L22</f>
        <v>8934</v>
      </c>
      <c r="K23" s="285">
        <f>'Necesidades Trimestrales'!G22</f>
        <v>4200</v>
      </c>
    </row>
    <row r="24" spans="1:11" ht="39.75" customHeight="1">
      <c r="A24" s="33">
        <v>13</v>
      </c>
      <c r="B24" s="33" t="str">
        <f>'Necesidades Trimestrales'!B23</f>
        <v>2.5.2-1816.34</v>
      </c>
      <c r="C24" s="191" t="str">
        <f>'Necesidades Trimestrales'!E23</f>
        <v>ANTIDIARREICOS; TIPO: MONODROGA, DROGA GENERICA: LOPERAMIDA, FORMA FARMACEUTICA: CAPSULA, PRESENTACION: 2 mGr</v>
      </c>
      <c r="D24" s="192"/>
      <c r="E24" s="192"/>
      <c r="F24" s="192"/>
      <c r="G24" s="193"/>
      <c r="H24" s="34" t="s">
        <v>98</v>
      </c>
      <c r="I24" s="35" t="str">
        <f>'Necesidades Trimestrales'!F23</f>
        <v>COMPRIMIDO</v>
      </c>
      <c r="J24" s="36">
        <f>'Necesidades Trimestrales'!L23</f>
        <v>2.7</v>
      </c>
      <c r="K24" s="37">
        <f>'Necesidades Trimestrales'!G23</f>
        <v>2000</v>
      </c>
    </row>
    <row r="25" spans="1:11" ht="39.75" customHeight="1">
      <c r="A25" s="33">
        <v>14</v>
      </c>
      <c r="B25" s="33" t="str">
        <f>'Necesidades Trimestrales'!B24</f>
        <v>2.5.2-1862.1</v>
      </c>
      <c r="C25" s="191" t="str">
        <f>'Necesidades Trimestrales'!E24</f>
        <v>HIPOGLUCEMIANTES ORALES; TIPO: MONODROGA, DROGA GENERICA: METFORMINA, FORMA FARMACEUTICA: COMPRIMIDO, PRESENTACION: 500 mGr</v>
      </c>
      <c r="D25" s="192"/>
      <c r="E25" s="192"/>
      <c r="F25" s="192"/>
      <c r="G25" s="193"/>
      <c r="H25" s="34" t="s">
        <v>98</v>
      </c>
      <c r="I25" s="35" t="str">
        <f>'Necesidades Trimestrales'!F24</f>
        <v>COMPRIMIDO</v>
      </c>
      <c r="J25" s="36">
        <f>'Necesidades Trimestrales'!L24</f>
        <v>5.7</v>
      </c>
      <c r="K25" s="37">
        <f>'Necesidades Trimestrales'!G24</f>
        <v>50000</v>
      </c>
    </row>
    <row r="26" spans="1:11" ht="39.75" customHeight="1">
      <c r="A26" s="33">
        <v>15</v>
      </c>
      <c r="B26" s="33" t="str">
        <f>'Necesidades Trimestrales'!B25</f>
        <v>2.5.2-1862.16</v>
      </c>
      <c r="C26" s="191" t="str">
        <f>'Necesidades Trimestrales'!E25</f>
        <v>HIPOGLUCEMIANTES ORALES; TIPO: MONODROGA, DROGA GENERICA: METFORMINA, FORMA FARMACEUTICA: COMPRIMIDO, PRESENTACION: 850 mGr</v>
      </c>
      <c r="D26" s="192"/>
      <c r="E26" s="192"/>
      <c r="F26" s="192"/>
      <c r="G26" s="193"/>
      <c r="H26" s="34" t="s">
        <v>98</v>
      </c>
      <c r="I26" s="35" t="str">
        <f>'Necesidades Trimestrales'!F25</f>
        <v>COMPRIMIDO</v>
      </c>
      <c r="J26" s="36">
        <f>'Necesidades Trimestrales'!L25</f>
        <v>7.2</v>
      </c>
      <c r="K26" s="37">
        <f>'Necesidades Trimestrales'!G25</f>
        <v>80000</v>
      </c>
    </row>
    <row r="27" spans="1:11" ht="39.75" customHeight="1">
      <c r="A27" s="33">
        <v>16</v>
      </c>
      <c r="B27" s="33" t="str">
        <f>'Necesidades Trimestrales'!B26</f>
        <v>2.5.2-2480.14</v>
      </c>
      <c r="C27" s="191" t="str">
        <f>'Necesidades Trimestrales'!E26</f>
        <v>ANTIHEMETICOS; TIPO: MONODROGA, DROGA GENERICA: METOCLOPRAMIDA 0,2 %, FORMA FARMACEUTICA: GOTAS, PRESENTACION: 20 ML</v>
      </c>
      <c r="D27" s="192"/>
      <c r="E27" s="192"/>
      <c r="F27" s="192"/>
      <c r="G27" s="193"/>
      <c r="H27" s="34" t="s">
        <v>98</v>
      </c>
      <c r="I27" s="35" t="str">
        <f>'Necesidades Trimestrales'!F26</f>
        <v>GOTERO</v>
      </c>
      <c r="J27" s="36">
        <f>'Necesidades Trimestrales'!L26</f>
        <v>145</v>
      </c>
      <c r="K27" s="37">
        <f>'Necesidades Trimestrales'!G26</f>
        <v>500</v>
      </c>
    </row>
    <row r="28" spans="1:11" ht="39.75" customHeight="1">
      <c r="A28" s="33">
        <v>17</v>
      </c>
      <c r="B28" s="33" t="str">
        <f>'Necesidades Trimestrales'!B27</f>
        <v>2.5.2-6910.21</v>
      </c>
      <c r="C28" s="191" t="str">
        <f>'Necesidades Trimestrales'!E27</f>
        <v>ANTIEMETICOS; TIPO: MONODROGA, DROGA GENERICA: METOCLOPRAMIDA 0.5%, FORMA FARMACEUTICA: GOTAS, PRESENTACION: ENVASE X 20 ML</v>
      </c>
      <c r="D28" s="192"/>
      <c r="E28" s="192"/>
      <c r="F28" s="192"/>
      <c r="G28" s="193"/>
      <c r="H28" s="34" t="s">
        <v>98</v>
      </c>
      <c r="I28" s="35" t="str">
        <f>'Necesidades Trimestrales'!F27</f>
        <v>GOTERO</v>
      </c>
      <c r="J28" s="36">
        <f>'Necesidades Trimestrales'!L27</f>
        <v>150</v>
      </c>
      <c r="K28" s="37">
        <f>'Necesidades Trimestrales'!G27</f>
        <v>500</v>
      </c>
    </row>
    <row r="29" spans="1:11" ht="39.75" customHeight="1">
      <c r="A29" s="33">
        <v>18</v>
      </c>
      <c r="B29" s="33" t="str">
        <f>'Necesidades Trimestrales'!B28</f>
        <v>2.5.2-6910.6</v>
      </c>
      <c r="C29" s="191" t="str">
        <f>'Necesidades Trimestrales'!E28</f>
        <v>ANTIEMETICOS; TIPO: MONODROGA, DROGA GENERICA: METOCLOPRAMIDA, FORMA FARMACEUTICA: AMPOLLA, PRESENTACION: 2 mL</v>
      </c>
      <c r="D29" s="192"/>
      <c r="E29" s="192"/>
      <c r="F29" s="192"/>
      <c r="G29" s="193"/>
      <c r="H29" s="34" t="s">
        <v>98</v>
      </c>
      <c r="I29" s="35" t="str">
        <f>'Necesidades Trimestrales'!F28</f>
        <v>AMPOLLA</v>
      </c>
      <c r="J29" s="36">
        <f>'Necesidades Trimestrales'!L28</f>
        <v>35.799999999999997</v>
      </c>
      <c r="K29" s="37">
        <f>'Necesidades Trimestrales'!G28</f>
        <v>60000</v>
      </c>
    </row>
    <row r="30" spans="1:11" ht="39.75" customHeight="1">
      <c r="A30" s="33">
        <v>19</v>
      </c>
      <c r="B30" s="33" t="str">
        <f>'Necesidades Trimestrales'!B29</f>
        <v>2.5.2-1823.46</v>
      </c>
      <c r="C30" s="191" t="str">
        <f>'Necesidades Trimestrales'!E29</f>
        <v>ANTIMICOTICOS; TIPO: MONODROGA, DROGA GENERICA: NISTATINA 100000 UI/ML, FORMA FARMACEUTICA: SUSPENSION, PRESENTACION: ENVASE X 60 mL</v>
      </c>
      <c r="D30" s="192"/>
      <c r="E30" s="192"/>
      <c r="F30" s="192"/>
      <c r="G30" s="193"/>
      <c r="H30" s="34" t="s">
        <v>98</v>
      </c>
      <c r="I30" s="35" t="str">
        <f>'Necesidades Trimestrales'!F29</f>
        <v>FRASCO</v>
      </c>
      <c r="J30" s="36">
        <f>'Necesidades Trimestrales'!L29</f>
        <v>285</v>
      </c>
      <c r="K30" s="37">
        <f>'Necesidades Trimestrales'!G29</f>
        <v>200</v>
      </c>
    </row>
    <row r="31" spans="1:11" ht="39.75" customHeight="1">
      <c r="A31" s="33">
        <v>20</v>
      </c>
      <c r="B31" s="33" t="str">
        <f>'Necesidades Trimestrales'!B30</f>
        <v>2.5.2-1849.3</v>
      </c>
      <c r="C31" s="191" t="str">
        <f>'Necesidades Trimestrales'!E30</f>
        <v>ANTIULCEROSOS; TIPO: MONODROGA, DROGA GENERICA: OMEPRAZOL, FORMA FARMACEUTICA: CAPSULA, PRESENTACION: 20 mGr</v>
      </c>
      <c r="D31" s="192"/>
      <c r="E31" s="192"/>
      <c r="F31" s="192"/>
      <c r="G31" s="193"/>
      <c r="H31" s="34" t="s">
        <v>98</v>
      </c>
      <c r="I31" s="35" t="str">
        <f>'Necesidades Trimestrales'!F30</f>
        <v>CAPSULA</v>
      </c>
      <c r="J31" s="36">
        <f>'Necesidades Trimestrales'!L30</f>
        <v>2.2999999999999998</v>
      </c>
      <c r="K31" s="37">
        <f>'Necesidades Trimestrales'!G30</f>
        <v>200000</v>
      </c>
    </row>
    <row r="32" spans="1:11" ht="39.75" customHeight="1">
      <c r="A32" s="33">
        <v>21</v>
      </c>
      <c r="B32" s="33" t="str">
        <f>'Necesidades Trimestrales'!B31</f>
        <v>2.5.2-1901.127</v>
      </c>
      <c r="C32" s="191" t="str">
        <f>'Necesidades Trimestrales'!E31</f>
        <v>VITAMINAS; TIPO: ASOCIACION, DROGA GENERICA: VIT.A +D+C, FORMA FARMACEUTICA: GOTA, PRESENTACION: 30 ML</v>
      </c>
      <c r="D32" s="192"/>
      <c r="E32" s="192"/>
      <c r="F32" s="192"/>
      <c r="G32" s="193"/>
      <c r="H32" s="34" t="s">
        <v>98</v>
      </c>
      <c r="I32" s="35" t="str">
        <f>'Necesidades Trimestrales'!F31</f>
        <v>FRASCO</v>
      </c>
      <c r="J32" s="36">
        <f>'Necesidades Trimestrales'!L31</f>
        <v>210</v>
      </c>
      <c r="K32" s="37">
        <f>'Necesidades Trimestrales'!G31</f>
        <v>2000</v>
      </c>
    </row>
    <row r="33" spans="1:11" ht="39.75" customHeight="1">
      <c r="A33" s="33">
        <v>22</v>
      </c>
      <c r="B33" s="33" t="str">
        <f>'Necesidades Trimestrales'!B32</f>
        <v>2.5.2-1841.17</v>
      </c>
      <c r="C33" s="191" t="str">
        <f>'Necesidades Trimestrales'!E32</f>
        <v>ANTIACIDOS; TIPO: MONODROGA, DROGA GENERICA: RANITIDINA, FORMA FARMACEUTICA: AMPOLLA, PRESENTACION: UNIDAD</v>
      </c>
      <c r="D33" s="192"/>
      <c r="E33" s="192"/>
      <c r="F33" s="192"/>
      <c r="G33" s="193"/>
      <c r="H33" s="34" t="s">
        <v>98</v>
      </c>
      <c r="I33" s="35" t="str">
        <f>'Necesidades Trimestrales'!F32</f>
        <v>AMPOLLA</v>
      </c>
      <c r="J33" s="36">
        <f>'Necesidades Trimestrales'!L32</f>
        <v>47.5</v>
      </c>
      <c r="K33" s="37">
        <f>'Necesidades Trimestrales'!G32</f>
        <v>80000</v>
      </c>
    </row>
    <row r="34" spans="1:11" ht="39.75" customHeight="1">
      <c r="A34" s="33">
        <v>23</v>
      </c>
      <c r="B34" s="33" t="str">
        <f>'Necesidades Trimestrales'!B33</f>
        <v>2.5.2-1903.85</v>
      </c>
      <c r="C34" s="191" t="str">
        <f>'Necesidades Trimestrales'!E33</f>
        <v>RECONSTITUYENTE GENERAL; TIPO: ASOCIACION, DROGA GENERICA: SALES DE REHIDRATACION, FORMA FARMACEUTICA: POLVO, PRESENTACION: SOBRE X 27,9 GR</v>
      </c>
      <c r="D34" s="192"/>
      <c r="E34" s="192"/>
      <c r="F34" s="192"/>
      <c r="G34" s="193"/>
      <c r="H34" s="34" t="s">
        <v>98</v>
      </c>
      <c r="I34" s="35" t="str">
        <f>'Necesidades Trimestrales'!F33</f>
        <v>UNIDAD</v>
      </c>
      <c r="J34" s="36">
        <f>'Necesidades Trimestrales'!L33</f>
        <v>88</v>
      </c>
      <c r="K34" s="37">
        <f>'Necesidades Trimestrales'!G33</f>
        <v>4000</v>
      </c>
    </row>
    <row r="35" spans="1:11" ht="39.75" customHeight="1">
      <c r="A35" s="33">
        <v>24</v>
      </c>
      <c r="B35" s="33" t="str">
        <f>'Necesidades Trimestrales'!B34</f>
        <v>2.5.2-5520.5</v>
      </c>
      <c r="C35" s="191" t="str">
        <f>'Necesidades Trimestrales'!E34</f>
        <v>VASELINA; TIPO: LIQUIDA, PRESENTACION: ENVASE X 1000 mL</v>
      </c>
      <c r="D35" s="192"/>
      <c r="E35" s="192"/>
      <c r="F35" s="192"/>
      <c r="G35" s="193"/>
      <c r="H35" s="34" t="s">
        <v>98</v>
      </c>
      <c r="I35" s="35" t="str">
        <f>'Necesidades Trimestrales'!F34</f>
        <v>FRASCO</v>
      </c>
      <c r="J35" s="36">
        <f>'Necesidades Trimestrales'!L34</f>
        <v>980</v>
      </c>
      <c r="K35" s="37">
        <f>'Necesidades Trimestrales'!G34</f>
        <v>150</v>
      </c>
    </row>
    <row r="36" spans="1:11" ht="39.75" customHeight="1">
      <c r="A36" s="33">
        <v>25</v>
      </c>
      <c r="B36" s="33" t="str">
        <f>'Necesidades Trimestrales'!B35</f>
        <v>2.5.2-1901.129</v>
      </c>
      <c r="C36" s="191" t="str">
        <f>'Necesidades Trimestrales'!E35</f>
        <v>VITAMINAS; TIPO: MONODROGA, DROGA GENERICA: VITAMINA C, FORMA FARMACEUTICA: COMPRIMIDOS, PRESENTACION: 10 COMPRIMIDOS</v>
      </c>
      <c r="D36" s="192"/>
      <c r="E36" s="192"/>
      <c r="F36" s="192"/>
      <c r="G36" s="193"/>
      <c r="H36" s="34" t="s">
        <v>99</v>
      </c>
      <c r="I36" s="35" t="str">
        <f>'Necesidades Trimestrales'!F35</f>
        <v>CAJA</v>
      </c>
      <c r="J36" s="36">
        <f>'Necesidades Trimestrales'!L35</f>
        <v>882.5</v>
      </c>
      <c r="K36" s="37">
        <f>'Necesidades Trimestrales'!G35</f>
        <v>600</v>
      </c>
    </row>
    <row r="37" spans="1:11" ht="39.75" customHeight="1" thickBot="1">
      <c r="A37" s="33">
        <v>26</v>
      </c>
      <c r="B37" s="33" t="str">
        <f>'Necesidades Trimestrales'!B36</f>
        <v>2.5.2-1901.130</v>
      </c>
      <c r="C37" s="191" t="str">
        <f>'Necesidades Trimestrales'!E36</f>
        <v>VITAMINAS; TIPO: MONODROGA, DROGA GENERICA: VITAMINA D3 2000 UI/ML, FORMA FARMACEUTICA: SOLUCION, PRESENTACION: 2 ML</v>
      </c>
      <c r="D37" s="192"/>
      <c r="E37" s="192"/>
      <c r="F37" s="192"/>
      <c r="G37" s="193"/>
      <c r="H37" s="34" t="s">
        <v>98</v>
      </c>
      <c r="I37" s="35" t="str">
        <f>'Necesidades Trimestrales'!F36</f>
        <v>FRASCO</v>
      </c>
      <c r="J37" s="36">
        <f>'Necesidades Trimestrales'!L36</f>
        <v>958</v>
      </c>
      <c r="K37" s="37">
        <f>'Necesidades Trimestrales'!G36</f>
        <v>500</v>
      </c>
    </row>
    <row r="38" spans="1:11" ht="25.5" customHeight="1" thickBot="1">
      <c r="A38" s="194" t="s">
        <v>149</v>
      </c>
      <c r="B38" s="195"/>
      <c r="C38" s="195"/>
      <c r="D38" s="195"/>
      <c r="E38" s="195"/>
      <c r="F38" s="195"/>
      <c r="G38" s="195"/>
      <c r="H38" s="195"/>
      <c r="I38" s="196"/>
      <c r="J38" s="189">
        <f>SUMPRODUCT(J12:J37,K12:K37)</f>
        <v>77782600</v>
      </c>
      <c r="K38" s="190"/>
    </row>
    <row r="39" spans="1:11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1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</row>
    <row r="42" spans="1:11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</row>
    <row r="43" spans="1:11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  <row r="46" spans="1:11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</row>
    <row r="49" spans="1:11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</row>
    <row r="50" spans="1:11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</row>
    <row r="51" spans="1:11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</row>
    <row r="52" spans="1:11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spans="1:11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spans="1:11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spans="1:11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spans="1:11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spans="1:11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</row>
    <row r="61" spans="1:11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</row>
    <row r="62" spans="1:11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</row>
    <row r="63" spans="1:11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</row>
    <row r="64" spans="1:11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</row>
    <row r="65" spans="1:11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</row>
    <row r="66" spans="1:11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</row>
    <row r="67" spans="1:11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</row>
    <row r="68" spans="1:11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</row>
    <row r="69" spans="1:11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1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1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1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1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1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1:11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1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spans="1:11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1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spans="1:11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1" spans="1:11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</row>
    <row r="82" spans="1:11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</row>
  </sheetData>
  <mergeCells count="48">
    <mergeCell ref="C24:G24"/>
    <mergeCell ref="C20:G20"/>
    <mergeCell ref="C19:G19"/>
    <mergeCell ref="C21:G21"/>
    <mergeCell ref="C22:G22"/>
    <mergeCell ref="C23:G23"/>
    <mergeCell ref="C25:G25"/>
    <mergeCell ref="A1:I1"/>
    <mergeCell ref="C17:G17"/>
    <mergeCell ref="C18:G18"/>
    <mergeCell ref="C15:G15"/>
    <mergeCell ref="C13:G13"/>
    <mergeCell ref="C14:G14"/>
    <mergeCell ref="A3:C3"/>
    <mergeCell ref="D3:K3"/>
    <mergeCell ref="A4:C4"/>
    <mergeCell ref="D4:K4"/>
    <mergeCell ref="A5:C5"/>
    <mergeCell ref="D5:K5"/>
    <mergeCell ref="H10:H11"/>
    <mergeCell ref="I10:I11"/>
    <mergeCell ref="C16:G16"/>
    <mergeCell ref="A6:C6"/>
    <mergeCell ref="A7:C7"/>
    <mergeCell ref="D6:K6"/>
    <mergeCell ref="D7:K7"/>
    <mergeCell ref="C31:G31"/>
    <mergeCell ref="C26:G26"/>
    <mergeCell ref="C27:G27"/>
    <mergeCell ref="C28:G28"/>
    <mergeCell ref="C12:G12"/>
    <mergeCell ref="D8:K8"/>
    <mergeCell ref="A10:A11"/>
    <mergeCell ref="B10:B11"/>
    <mergeCell ref="C10:G11"/>
    <mergeCell ref="J10:J11"/>
    <mergeCell ref="K10:K11"/>
    <mergeCell ref="A8:C8"/>
    <mergeCell ref="J38:K38"/>
    <mergeCell ref="C29:G29"/>
    <mergeCell ref="C30:G30"/>
    <mergeCell ref="C37:G37"/>
    <mergeCell ref="A38:I38"/>
    <mergeCell ref="C36:G36"/>
    <mergeCell ref="C33:G33"/>
    <mergeCell ref="C34:G34"/>
    <mergeCell ref="C35:G35"/>
    <mergeCell ref="C32:G32"/>
  </mergeCells>
  <printOptions horizontalCentered="1"/>
  <pageMargins left="0.196527777777778" right="0.196527777777778" top="0.98402777777777795" bottom="0.98402777777777795" header="0" footer="0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topLeftCell="A4" workbookViewId="0">
      <selection activeCell="A24" sqref="A24:Q24"/>
    </sheetView>
  </sheetViews>
  <sheetFormatPr baseColWidth="10" defaultColWidth="12.5703125" defaultRowHeight="15" customHeight="1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5.28515625" bestFit="1" customWidth="1"/>
    <col min="18" max="18" width="11" customWidth="1"/>
  </cols>
  <sheetData>
    <row r="1" spans="1:18" ht="15.75" customHeight="1">
      <c r="A1" s="266" t="s">
        <v>3</v>
      </c>
      <c r="B1" s="195"/>
      <c r="C1" s="195"/>
      <c r="D1" s="267">
        <f>'Necesidades Trimestrales'!C6</f>
        <v>2022</v>
      </c>
      <c r="E1" s="196"/>
      <c r="F1" s="39"/>
      <c r="G1" s="39"/>
      <c r="H1" s="40"/>
      <c r="I1" s="40"/>
      <c r="J1" s="40"/>
      <c r="K1" s="40"/>
      <c r="L1" s="40"/>
      <c r="M1" s="40"/>
      <c r="N1" s="40"/>
      <c r="P1" s="268" t="s">
        <v>100</v>
      </c>
      <c r="Q1" s="255"/>
    </row>
    <row r="2" spans="1:18" ht="15.75" customHeight="1">
      <c r="G2" s="41"/>
      <c r="H2" s="40"/>
      <c r="I2" s="40"/>
      <c r="J2" s="40"/>
      <c r="K2" s="40"/>
      <c r="L2" s="40"/>
      <c r="M2" s="40"/>
      <c r="N2" s="40"/>
      <c r="P2" s="269"/>
      <c r="Q2" s="270"/>
    </row>
    <row r="3" spans="1:18" ht="12.75" customHeight="1">
      <c r="G3" s="41"/>
    </row>
    <row r="4" spans="1:18" ht="18" customHeight="1">
      <c r="A4" s="271" t="s">
        <v>101</v>
      </c>
      <c r="B4" s="224"/>
      <c r="C4" s="224"/>
      <c r="D4" s="224"/>
      <c r="E4" s="224"/>
      <c r="F4" s="249"/>
      <c r="G4" s="272" t="str">
        <f>'NP DPFeI'!D3</f>
        <v>040 - MINISTERIO DE SALUD</v>
      </c>
      <c r="H4" s="224"/>
      <c r="I4" s="224"/>
      <c r="J4" s="224"/>
      <c r="K4" s="224"/>
      <c r="L4" s="224"/>
      <c r="M4" s="224"/>
      <c r="N4" s="224"/>
      <c r="O4" s="224"/>
      <c r="P4" s="224"/>
      <c r="Q4" s="249"/>
      <c r="R4" s="25"/>
    </row>
    <row r="5" spans="1:18" s="92" customFormat="1" ht="18" customHeight="1">
      <c r="A5" s="262" t="s">
        <v>84</v>
      </c>
      <c r="B5" s="198"/>
      <c r="C5" s="198"/>
      <c r="D5" s="198"/>
      <c r="E5" s="198"/>
      <c r="F5" s="263"/>
      <c r="G5" s="264" t="str">
        <f>'NP DPFeI'!D4</f>
        <v>011 - DIRECCION PROVINCIAL DE ADMINISTRACION - MS</v>
      </c>
      <c r="H5" s="198"/>
      <c r="I5" s="198"/>
      <c r="J5" s="198"/>
      <c r="K5" s="198"/>
      <c r="L5" s="198"/>
      <c r="M5" s="198"/>
      <c r="N5" s="198"/>
      <c r="O5" s="198"/>
      <c r="P5" s="198"/>
      <c r="Q5" s="263"/>
      <c r="R5" s="110"/>
    </row>
    <row r="6" spans="1:18" s="92" customFormat="1" ht="18" customHeight="1">
      <c r="A6" s="262" t="s">
        <v>85</v>
      </c>
      <c r="B6" s="198"/>
      <c r="C6" s="198"/>
      <c r="D6" s="198"/>
      <c r="E6" s="198"/>
      <c r="F6" s="263"/>
      <c r="G6" s="264" t="str">
        <f>'NP DPFeI'!D5</f>
        <v>469 - DIRECCION PROVINCIAL DE FARMACIA E INSUMOS</v>
      </c>
      <c r="H6" s="198"/>
      <c r="I6" s="198"/>
      <c r="J6" s="198"/>
      <c r="K6" s="198"/>
      <c r="L6" s="198"/>
      <c r="M6" s="198"/>
      <c r="N6" s="198"/>
      <c r="O6" s="198"/>
      <c r="P6" s="198"/>
      <c r="Q6" s="263"/>
      <c r="R6" s="110"/>
    </row>
    <row r="7" spans="1:18" s="92" customFormat="1" ht="18" customHeight="1">
      <c r="A7" s="262" t="s">
        <v>86</v>
      </c>
      <c r="B7" s="198"/>
      <c r="C7" s="198"/>
      <c r="D7" s="198"/>
      <c r="E7" s="198"/>
      <c r="F7" s="263"/>
      <c r="G7" s="264" t="str">
        <f>'NP DPFeI'!D6</f>
        <v>469 - DIRECCION PROVINCIAL DE FARMACIA E INSUMOS</v>
      </c>
      <c r="H7" s="198"/>
      <c r="I7" s="198"/>
      <c r="J7" s="198"/>
      <c r="K7" s="198"/>
      <c r="L7" s="198"/>
      <c r="M7" s="198"/>
      <c r="N7" s="198"/>
      <c r="O7" s="198"/>
      <c r="P7" s="198"/>
      <c r="Q7" s="263"/>
      <c r="R7" s="110"/>
    </row>
    <row r="8" spans="1:18" ht="18" customHeight="1">
      <c r="A8" s="265" t="s">
        <v>102</v>
      </c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49"/>
    </row>
    <row r="9" spans="1:18" ht="18" customHeight="1">
      <c r="A9" s="246" t="s">
        <v>103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5"/>
      <c r="P9" s="25"/>
      <c r="Q9" s="42"/>
    </row>
    <row r="10" spans="1:18" ht="54.75" customHeight="1">
      <c r="A10" s="250" t="str">
        <f>"Autorizo la realización de los  trámites correspondientes, a fin de proveer a  este Organismo los bienes y/o servicios que se detallan en Nota  de Pedido N° " &amp; 'NP DPFeI'!K1&amp;",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2"/>
    </row>
    <row r="11" spans="1:18" ht="9" customHeight="1">
      <c r="A11" s="43"/>
      <c r="B11" s="44"/>
      <c r="C11" s="44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4"/>
      <c r="P11" s="44"/>
      <c r="Q11" s="46"/>
    </row>
    <row r="12" spans="1:18" ht="15.75" customHeight="1">
      <c r="A12" s="253" t="s">
        <v>104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5"/>
    </row>
    <row r="13" spans="1:18" ht="15.75" customHeight="1">
      <c r="A13" s="248" t="s">
        <v>105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49"/>
      <c r="O13" s="258" t="s">
        <v>106</v>
      </c>
      <c r="P13" s="255"/>
      <c r="Q13" s="261" t="s">
        <v>107</v>
      </c>
    </row>
    <row r="14" spans="1:18" ht="15.75" customHeight="1">
      <c r="A14" s="47" t="s">
        <v>108</v>
      </c>
      <c r="B14" s="48" t="s">
        <v>109</v>
      </c>
      <c r="C14" s="48" t="s">
        <v>110</v>
      </c>
      <c r="D14" s="48" t="s">
        <v>111</v>
      </c>
      <c r="E14" s="48" t="s">
        <v>112</v>
      </c>
      <c r="F14" s="48" t="s">
        <v>113</v>
      </c>
      <c r="G14" s="49" t="s">
        <v>114</v>
      </c>
      <c r="H14" s="48" t="s">
        <v>115</v>
      </c>
      <c r="I14" s="48" t="s">
        <v>116</v>
      </c>
      <c r="J14" s="48" t="s">
        <v>117</v>
      </c>
      <c r="K14" s="48" t="s">
        <v>117</v>
      </c>
      <c r="L14" s="48" t="s">
        <v>118</v>
      </c>
      <c r="M14" s="50" t="s">
        <v>119</v>
      </c>
      <c r="N14" s="51" t="s">
        <v>120</v>
      </c>
      <c r="O14" s="259"/>
      <c r="P14" s="260"/>
      <c r="Q14" s="260"/>
    </row>
    <row r="15" spans="1:18" s="92" customFormat="1" ht="26.25" customHeight="1">
      <c r="A15" s="111">
        <v>30</v>
      </c>
      <c r="B15" s="112"/>
      <c r="C15" s="112"/>
      <c r="D15" s="112">
        <v>1</v>
      </c>
      <c r="E15" s="112"/>
      <c r="F15" s="112">
        <v>4901</v>
      </c>
      <c r="G15" s="112">
        <v>3</v>
      </c>
      <c r="H15" s="112">
        <v>1</v>
      </c>
      <c r="I15" s="112">
        <v>2</v>
      </c>
      <c r="J15" s="112">
        <v>5</v>
      </c>
      <c r="K15" s="112">
        <v>2</v>
      </c>
      <c r="L15" s="112"/>
      <c r="M15" s="113">
        <v>1</v>
      </c>
      <c r="N15" s="112" t="s">
        <v>121</v>
      </c>
      <c r="O15" s="256" t="s">
        <v>122</v>
      </c>
      <c r="P15" s="257"/>
      <c r="Q15" s="114">
        <f>'NP DPFeI'!J38</f>
        <v>77782600</v>
      </c>
    </row>
    <row r="16" spans="1:18" s="92" customFormat="1" ht="17.25" customHeight="1">
      <c r="A16" s="115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7"/>
      <c r="N16" s="118"/>
      <c r="O16" s="238"/>
      <c r="P16" s="239"/>
      <c r="Q16" s="119"/>
    </row>
    <row r="17" spans="1:18" s="92" customFormat="1" ht="17.25" customHeight="1">
      <c r="A17" s="115"/>
      <c r="B17" s="116"/>
      <c r="C17" s="116"/>
      <c r="D17" s="116"/>
      <c r="E17" s="116"/>
      <c r="F17" s="118"/>
      <c r="G17" s="116"/>
      <c r="H17" s="116"/>
      <c r="I17" s="116"/>
      <c r="J17" s="116"/>
      <c r="K17" s="116"/>
      <c r="L17" s="116"/>
      <c r="M17" s="117"/>
      <c r="N17" s="118"/>
      <c r="O17" s="238"/>
      <c r="P17" s="239"/>
      <c r="Q17" s="119"/>
    </row>
    <row r="18" spans="1:18" s="92" customFormat="1" ht="17.25" customHeight="1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7"/>
      <c r="N18" s="118"/>
      <c r="O18" s="238"/>
      <c r="P18" s="239"/>
      <c r="Q18" s="119"/>
    </row>
    <row r="19" spans="1:18" s="92" customFormat="1" ht="17.25" customHeight="1">
      <c r="A19" s="115"/>
      <c r="B19" s="116"/>
      <c r="C19" s="116"/>
      <c r="D19" s="116"/>
      <c r="E19" s="116"/>
      <c r="F19" s="118"/>
      <c r="G19" s="116"/>
      <c r="H19" s="116"/>
      <c r="I19" s="116"/>
      <c r="J19" s="116"/>
      <c r="K19" s="116"/>
      <c r="L19" s="116"/>
      <c r="M19" s="117"/>
      <c r="N19" s="118"/>
      <c r="O19" s="238"/>
      <c r="P19" s="239"/>
      <c r="Q19" s="119"/>
    </row>
    <row r="20" spans="1:18" s="92" customFormat="1" ht="17.25" customHeight="1">
      <c r="A20" s="115"/>
      <c r="B20" s="116"/>
      <c r="C20" s="116"/>
      <c r="D20" s="116"/>
      <c r="E20" s="116"/>
      <c r="F20" s="118"/>
      <c r="G20" s="116"/>
      <c r="H20" s="116"/>
      <c r="I20" s="116"/>
      <c r="J20" s="116"/>
      <c r="K20" s="116"/>
      <c r="L20" s="116"/>
      <c r="M20" s="117"/>
      <c r="N20" s="118"/>
      <c r="O20" s="238"/>
      <c r="P20" s="239"/>
      <c r="Q20" s="119"/>
    </row>
    <row r="21" spans="1:18" s="92" customFormat="1" ht="17.25" customHeight="1">
      <c r="A21" s="120"/>
      <c r="B21" s="121"/>
      <c r="C21" s="121"/>
      <c r="D21" s="121"/>
      <c r="E21" s="121"/>
      <c r="F21" s="118"/>
      <c r="G21" s="121"/>
      <c r="H21" s="121"/>
      <c r="I21" s="121"/>
      <c r="J21" s="121"/>
      <c r="K21" s="121"/>
      <c r="L21" s="121"/>
      <c r="M21" s="122"/>
      <c r="N21" s="123"/>
      <c r="O21" s="238"/>
      <c r="P21" s="239"/>
      <c r="Q21" s="119"/>
      <c r="R21" s="110"/>
    </row>
    <row r="22" spans="1:18" s="92" customFormat="1" ht="17.25" customHeight="1">
      <c r="A22" s="12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6"/>
      <c r="N22" s="125"/>
      <c r="O22" s="240"/>
      <c r="P22" s="241"/>
      <c r="Q22" s="127"/>
    </row>
    <row r="23" spans="1:18" s="92" customFormat="1" ht="29.25" customHeight="1">
      <c r="A23" s="242" t="s">
        <v>150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4"/>
      <c r="Q23" s="128">
        <f>SUM(Q15:Q22)</f>
        <v>77782600</v>
      </c>
    </row>
    <row r="24" spans="1:18" s="92" customFormat="1" ht="18" customHeight="1">
      <c r="A24" s="245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1"/>
    </row>
    <row r="25" spans="1:18" s="92" customFormat="1" ht="17.25" customHeight="1">
      <c r="A25" s="228" t="s">
        <v>123</v>
      </c>
      <c r="B25" s="204"/>
      <c r="C25" s="204"/>
      <c r="D25" s="204"/>
      <c r="E25" s="204"/>
      <c r="F25" s="205"/>
      <c r="G25" s="229"/>
      <c r="H25" s="230"/>
      <c r="I25" s="230"/>
      <c r="J25" s="230"/>
      <c r="K25" s="230"/>
      <c r="L25" s="230"/>
      <c r="M25" s="230"/>
      <c r="N25" s="230"/>
      <c r="O25" s="230"/>
      <c r="P25" s="230"/>
      <c r="Q25" s="231"/>
    </row>
    <row r="26" spans="1:18" s="92" customFormat="1" ht="18" customHeight="1">
      <c r="A26" s="232" t="str">
        <f>'NP DPFeI'!D8</f>
        <v xml:space="preserve">Adquisición de TRACTO ALIMENTARIO Y METABOLISMO / VITAMINAS Y OTROS /ANTIDIABETICOS E INSULINAS </v>
      </c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4"/>
    </row>
    <row r="27" spans="1:18" s="92" customFormat="1" ht="15" customHeight="1">
      <c r="A27" s="235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7"/>
    </row>
    <row r="28" spans="1:18" ht="12.75" customHeight="1">
      <c r="G28" s="41"/>
    </row>
    <row r="29" spans="1:18" ht="12.75" customHeight="1">
      <c r="G29" s="41"/>
    </row>
    <row r="30" spans="1:18" ht="12.75" customHeight="1">
      <c r="G30" s="41"/>
    </row>
    <row r="31" spans="1:18" ht="12.75" customHeight="1">
      <c r="G31" s="41"/>
    </row>
    <row r="32" spans="1:18" ht="12.75" customHeight="1">
      <c r="G32" s="41"/>
    </row>
    <row r="33" spans="7:7" ht="12.75" customHeight="1">
      <c r="G33" s="41"/>
    </row>
    <row r="34" spans="7:7" ht="12.75" customHeight="1">
      <c r="G34" s="41"/>
    </row>
    <row r="35" spans="7:7" ht="12.75" customHeight="1">
      <c r="G35" s="41"/>
    </row>
    <row r="36" spans="7:7" ht="12.75" customHeight="1">
      <c r="G36" s="41"/>
    </row>
    <row r="37" spans="7:7" ht="12.75" customHeight="1">
      <c r="G37" s="41"/>
    </row>
    <row r="38" spans="7:7" ht="12.75" customHeight="1">
      <c r="G38" s="41"/>
    </row>
    <row r="39" spans="7:7" ht="12.75" customHeight="1">
      <c r="G39" s="41"/>
    </row>
    <row r="40" spans="7:7" ht="12.75" customHeight="1">
      <c r="G40" s="41"/>
    </row>
    <row r="41" spans="7:7" ht="12.75" customHeight="1">
      <c r="G41" s="41"/>
    </row>
    <row r="42" spans="7:7" ht="12.75" customHeight="1">
      <c r="G42" s="41"/>
    </row>
    <row r="43" spans="7:7" ht="12.75" customHeight="1">
      <c r="G43" s="41"/>
    </row>
    <row r="44" spans="7:7" ht="12.75" customHeight="1">
      <c r="G44" s="41"/>
    </row>
    <row r="45" spans="7:7" ht="12.75" customHeight="1">
      <c r="G45" s="41"/>
    </row>
    <row r="46" spans="7:7" ht="12.75" customHeight="1">
      <c r="G46" s="41"/>
    </row>
    <row r="47" spans="7:7" ht="12.75" customHeight="1">
      <c r="G47" s="41"/>
    </row>
    <row r="48" spans="7:7" ht="12.75" customHeight="1">
      <c r="G48" s="41"/>
    </row>
    <row r="49" spans="7:7" ht="12.75" customHeight="1">
      <c r="G49" s="41"/>
    </row>
    <row r="50" spans="7:7" ht="12.75" customHeight="1">
      <c r="G50" s="41"/>
    </row>
    <row r="51" spans="7:7" ht="12.75" customHeight="1">
      <c r="G51" s="41"/>
    </row>
    <row r="52" spans="7:7" ht="12.75" customHeight="1">
      <c r="G52" s="41"/>
    </row>
    <row r="53" spans="7:7" ht="12.75" customHeight="1">
      <c r="G53" s="41"/>
    </row>
    <row r="54" spans="7:7" ht="12.75" customHeight="1">
      <c r="G54" s="41"/>
    </row>
    <row r="55" spans="7:7" ht="12.75" customHeight="1">
      <c r="G55" s="41"/>
    </row>
    <row r="56" spans="7:7" ht="12.75" customHeight="1">
      <c r="G56" s="41"/>
    </row>
    <row r="57" spans="7:7" ht="12.75" customHeight="1">
      <c r="G57" s="41"/>
    </row>
    <row r="58" spans="7:7" ht="12.75" customHeight="1">
      <c r="G58" s="41"/>
    </row>
    <row r="59" spans="7:7" ht="12.75" customHeight="1">
      <c r="G59" s="41"/>
    </row>
    <row r="60" spans="7:7" ht="12.75" customHeight="1">
      <c r="G60" s="41"/>
    </row>
    <row r="61" spans="7:7" ht="12.75" customHeight="1">
      <c r="G61" s="41"/>
    </row>
    <row r="62" spans="7:7" ht="12.75" customHeight="1">
      <c r="G62" s="41"/>
    </row>
    <row r="63" spans="7:7" ht="12.75" customHeight="1">
      <c r="G63" s="41"/>
    </row>
    <row r="64" spans="7:7" ht="12.75" customHeight="1">
      <c r="G64" s="41"/>
    </row>
    <row r="65" spans="7:7" ht="12.75" customHeight="1">
      <c r="G65" s="41"/>
    </row>
    <row r="66" spans="7:7" ht="12.75" customHeight="1">
      <c r="G66" s="41"/>
    </row>
    <row r="67" spans="7:7" ht="12.75" customHeight="1">
      <c r="G67" s="41"/>
    </row>
    <row r="68" spans="7:7" ht="12.75" customHeight="1">
      <c r="G68" s="41"/>
    </row>
    <row r="69" spans="7:7" ht="12.75" customHeight="1">
      <c r="G69" s="41"/>
    </row>
    <row r="70" spans="7:7" ht="12.75" customHeight="1">
      <c r="G70" s="41"/>
    </row>
    <row r="71" spans="7:7" ht="12.75" customHeight="1">
      <c r="G71" s="41"/>
    </row>
    <row r="72" spans="7:7" ht="12.75" customHeight="1">
      <c r="G72" s="41"/>
    </row>
    <row r="73" spans="7:7" ht="12.75" customHeight="1">
      <c r="G73" s="41"/>
    </row>
    <row r="74" spans="7:7" ht="12.75" customHeight="1">
      <c r="G74" s="41"/>
    </row>
    <row r="75" spans="7:7" ht="12.75" customHeight="1">
      <c r="G75" s="41"/>
    </row>
    <row r="76" spans="7:7" ht="12.75" customHeight="1">
      <c r="G76" s="41"/>
    </row>
    <row r="77" spans="7:7" ht="12.75" customHeight="1">
      <c r="G77" s="41"/>
    </row>
    <row r="78" spans="7:7" ht="12.75" customHeight="1">
      <c r="G78" s="41"/>
    </row>
    <row r="79" spans="7:7" ht="12.75" customHeight="1">
      <c r="G79" s="41"/>
    </row>
    <row r="80" spans="7:7" ht="12.75" customHeight="1">
      <c r="G80" s="41"/>
    </row>
    <row r="81" spans="7:7" ht="12.75" customHeight="1">
      <c r="G81" s="41"/>
    </row>
    <row r="82" spans="7:7" ht="12.75" customHeight="1">
      <c r="G82" s="41"/>
    </row>
    <row r="83" spans="7:7" ht="12.75" customHeight="1">
      <c r="G83" s="41"/>
    </row>
    <row r="84" spans="7:7" ht="12.75" customHeight="1">
      <c r="G84" s="41"/>
    </row>
    <row r="85" spans="7:7" ht="12.75" customHeight="1">
      <c r="G85" s="41"/>
    </row>
    <row r="86" spans="7:7" ht="12.75" customHeight="1">
      <c r="G86" s="41"/>
    </row>
    <row r="87" spans="7:7" ht="12.75" customHeight="1">
      <c r="G87" s="41"/>
    </row>
    <row r="88" spans="7:7" ht="12.75" customHeight="1">
      <c r="G88" s="41"/>
    </row>
    <row r="89" spans="7:7" ht="12.75" customHeight="1">
      <c r="G89" s="41"/>
    </row>
    <row r="90" spans="7:7" ht="12.75" customHeight="1">
      <c r="G90" s="41"/>
    </row>
    <row r="91" spans="7:7" ht="12.75" customHeight="1">
      <c r="G91" s="41"/>
    </row>
    <row r="92" spans="7:7" ht="12.75" customHeight="1">
      <c r="G92" s="41"/>
    </row>
    <row r="93" spans="7:7" ht="12.75" customHeight="1">
      <c r="G93" s="41"/>
    </row>
    <row r="94" spans="7:7" ht="12.75" customHeight="1">
      <c r="G94" s="41"/>
    </row>
    <row r="95" spans="7:7" ht="12.75" customHeight="1">
      <c r="G95" s="41"/>
    </row>
    <row r="96" spans="7:7" ht="12.75" customHeight="1">
      <c r="G96" s="41"/>
    </row>
    <row r="97" spans="7:7" ht="12.75" customHeight="1">
      <c r="G97" s="41"/>
    </row>
    <row r="98" spans="7:7" ht="12.75" customHeight="1">
      <c r="G98" s="41"/>
    </row>
    <row r="99" spans="7:7" ht="12.75" customHeight="1">
      <c r="G99" s="41"/>
    </row>
    <row r="100" spans="7:7" ht="12.75" customHeight="1">
      <c r="G100" s="41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8:Q8"/>
    <mergeCell ref="A7:F7"/>
    <mergeCell ref="G7:Q7"/>
    <mergeCell ref="O20:P20"/>
    <mergeCell ref="O16:P16"/>
    <mergeCell ref="O17:P17"/>
    <mergeCell ref="O18:P18"/>
    <mergeCell ref="O19:P19"/>
    <mergeCell ref="A9:N9"/>
    <mergeCell ref="A13:N13"/>
    <mergeCell ref="A10:Q10"/>
    <mergeCell ref="A12:Q12"/>
    <mergeCell ref="O15:P15"/>
    <mergeCell ref="O13:P14"/>
    <mergeCell ref="Q13:Q14"/>
    <mergeCell ref="A25:F25"/>
    <mergeCell ref="G25:Q25"/>
    <mergeCell ref="A26:Q27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workbookViewId="0">
      <selection activeCell="K1" sqref="K1"/>
    </sheetView>
  </sheetViews>
  <sheetFormatPr baseColWidth="10" defaultColWidth="12.5703125" defaultRowHeight="15" customHeight="1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9.7109375" customWidth="1"/>
    <col min="10" max="10" width="14.7109375" customWidth="1"/>
    <col min="11" max="11" width="15.5703125" customWidth="1"/>
  </cols>
  <sheetData>
    <row r="1" spans="1:11" ht="12.75" customHeight="1" thickBot="1">
      <c r="A1" s="222" t="s">
        <v>80</v>
      </c>
      <c r="B1" s="154"/>
      <c r="C1" s="154"/>
      <c r="D1" s="154"/>
      <c r="E1" s="154"/>
      <c r="F1" s="154"/>
      <c r="G1" s="154"/>
      <c r="H1" s="154"/>
      <c r="I1" s="155"/>
      <c r="J1" s="28" t="s">
        <v>81</v>
      </c>
      <c r="K1" s="146" t="s">
        <v>82</v>
      </c>
    </row>
    <row r="2" spans="1:11" ht="12.75" customHeight="1" thickBot="1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1" s="92" customFormat="1" ht="12.75" customHeight="1" thickBot="1">
      <c r="A3" s="197" t="s">
        <v>83</v>
      </c>
      <c r="B3" s="198"/>
      <c r="C3" s="199"/>
      <c r="D3" s="206" t="str">
        <f>'Necesidades Trimestrales'!C4</f>
        <v>040 - MINISTERIO DE SALUD</v>
      </c>
      <c r="E3" s="204"/>
      <c r="F3" s="204"/>
      <c r="G3" s="204"/>
      <c r="H3" s="204"/>
      <c r="I3" s="204"/>
      <c r="J3" s="204"/>
      <c r="K3" s="205"/>
    </row>
    <row r="4" spans="1:11" s="92" customFormat="1" ht="12.75" customHeight="1" thickBot="1">
      <c r="A4" s="200" t="s">
        <v>84</v>
      </c>
      <c r="B4" s="201"/>
      <c r="C4" s="202"/>
      <c r="D4" s="206" t="str">
        <f>'Necesidades Trimestrales'!C5</f>
        <v>011 - DIRECCION PROVINCIAL DE ADMINISTRACION - MS</v>
      </c>
      <c r="E4" s="204"/>
      <c r="F4" s="204"/>
      <c r="G4" s="204"/>
      <c r="H4" s="204"/>
      <c r="I4" s="204"/>
      <c r="J4" s="204"/>
      <c r="K4" s="205"/>
    </row>
    <row r="5" spans="1:11" s="92" customFormat="1" ht="12.75" customHeight="1" thickBot="1">
      <c r="A5" s="200" t="s">
        <v>85</v>
      </c>
      <c r="B5" s="201"/>
      <c r="C5" s="202"/>
      <c r="D5" s="203" t="s">
        <v>131</v>
      </c>
      <c r="E5" s="204"/>
      <c r="F5" s="204"/>
      <c r="G5" s="204"/>
      <c r="H5" s="204"/>
      <c r="I5" s="204"/>
      <c r="J5" s="204"/>
      <c r="K5" s="205"/>
    </row>
    <row r="6" spans="1:11" s="92" customFormat="1" ht="12.75" customHeight="1" thickBot="1">
      <c r="A6" s="197" t="s">
        <v>86</v>
      </c>
      <c r="B6" s="198"/>
      <c r="C6" s="199"/>
      <c r="D6" s="203" t="s">
        <v>131</v>
      </c>
      <c r="E6" s="204"/>
      <c r="F6" s="204"/>
      <c r="G6" s="204"/>
      <c r="H6" s="204"/>
      <c r="I6" s="204"/>
      <c r="J6" s="204"/>
      <c r="K6" s="205"/>
    </row>
    <row r="7" spans="1:11" s="92" customFormat="1" ht="12.75" customHeight="1" thickBot="1">
      <c r="A7" s="200" t="s">
        <v>87</v>
      </c>
      <c r="B7" s="201"/>
      <c r="C7" s="202"/>
      <c r="D7" s="206" t="s">
        <v>88</v>
      </c>
      <c r="E7" s="204"/>
      <c r="F7" s="204"/>
      <c r="G7" s="204"/>
      <c r="H7" s="204"/>
      <c r="I7" s="204"/>
      <c r="J7" s="204"/>
      <c r="K7" s="205"/>
    </row>
    <row r="8" spans="1:11" s="92" customFormat="1" ht="18.75" customHeight="1" thickBot="1">
      <c r="A8" s="220" t="s">
        <v>89</v>
      </c>
      <c r="B8" s="204"/>
      <c r="C8" s="221"/>
      <c r="D8" s="273" t="s">
        <v>90</v>
      </c>
      <c r="E8" s="274"/>
      <c r="F8" s="274"/>
      <c r="G8" s="274"/>
      <c r="H8" s="274"/>
      <c r="I8" s="274"/>
      <c r="J8" s="274"/>
      <c r="K8" s="275"/>
    </row>
    <row r="9" spans="1:11" s="92" customFormat="1" ht="12.75" customHeight="1" thickBot="1">
      <c r="A9" s="129"/>
      <c r="B9" s="129"/>
      <c r="C9" s="129"/>
      <c r="D9" s="130"/>
      <c r="E9" s="130"/>
      <c r="F9" s="130"/>
      <c r="G9" s="130"/>
      <c r="H9" s="130"/>
      <c r="I9" s="130"/>
      <c r="J9" s="130"/>
      <c r="K9" s="130"/>
    </row>
    <row r="10" spans="1:11" ht="12.75" customHeight="1">
      <c r="A10" s="210" t="s">
        <v>91</v>
      </c>
      <c r="B10" s="212" t="s">
        <v>92</v>
      </c>
      <c r="C10" s="214" t="s">
        <v>93</v>
      </c>
      <c r="D10" s="148"/>
      <c r="E10" s="148"/>
      <c r="F10" s="148"/>
      <c r="G10" s="215"/>
      <c r="H10" s="212" t="s">
        <v>94</v>
      </c>
      <c r="I10" s="212" t="s">
        <v>95</v>
      </c>
      <c r="J10" s="212" t="s">
        <v>96</v>
      </c>
      <c r="K10" s="218" t="s">
        <v>97</v>
      </c>
    </row>
    <row r="11" spans="1:11" ht="35.25" customHeight="1" thickBot="1">
      <c r="A11" s="211"/>
      <c r="B11" s="213"/>
      <c r="C11" s="216"/>
      <c r="D11" s="162"/>
      <c r="E11" s="162"/>
      <c r="F11" s="162"/>
      <c r="G11" s="217"/>
      <c r="H11" s="227"/>
      <c r="I11" s="213"/>
      <c r="J11" s="213"/>
      <c r="K11" s="219"/>
    </row>
    <row r="12" spans="1:11" ht="39.75" customHeight="1" thickBot="1">
      <c r="A12" s="33">
        <v>1</v>
      </c>
      <c r="B12" s="33" t="str">
        <f>'Necesidades Trimestrales'!B10</f>
        <v>2.5.2-1843.63</v>
      </c>
      <c r="C12" s="191" t="str">
        <f>'Necesidades Trimestrales'!E10</f>
        <v>ANTIESPASMODICOS; TIPO: MONODROGA, DROGA GENERICA: ATROPINA 1%, FORMA FARMACEUTICA: AMPOLLA, PRESENTACION: ENVASE X 1 mL</v>
      </c>
      <c r="D12" s="192"/>
      <c r="E12" s="192"/>
      <c r="F12" s="192"/>
      <c r="G12" s="193"/>
      <c r="H12" s="34" t="s">
        <v>98</v>
      </c>
      <c r="I12" s="35" t="str">
        <f>'Necesidades Trimestrales'!F10</f>
        <v>AMPOLLA</v>
      </c>
      <c r="J12" s="36">
        <f>'Necesidades Trimestrales'!L10</f>
        <v>50.4</v>
      </c>
      <c r="K12" s="37">
        <f>'Necesidades Trimestrales'!I10</f>
        <v>200</v>
      </c>
    </row>
    <row r="13" spans="1:11" ht="39.75" customHeight="1" thickBot="1">
      <c r="A13" s="33">
        <v>2</v>
      </c>
      <c r="B13" s="33" t="str">
        <f>'Necesidades Trimestrales'!B11</f>
        <v>2.5.2-1843.51</v>
      </c>
      <c r="C13" s="191" t="str">
        <f>'Necesidades Trimestrales'!E11</f>
        <v>ANTIESPASMODICOS; TIPO: MONODROGA, DROGA GENERICA: HIOSCINA N-BUTILBROMURO 20 MG, FORMA FARMACEUTICA: AMPOLLA, PRESENTACION: 1 ML</v>
      </c>
      <c r="D13" s="192"/>
      <c r="E13" s="192"/>
      <c r="F13" s="192"/>
      <c r="G13" s="193"/>
      <c r="H13" s="34" t="s">
        <v>98</v>
      </c>
      <c r="I13" s="35" t="str">
        <f>'Necesidades Trimestrales'!F11</f>
        <v>AMPOLLA</v>
      </c>
      <c r="J13" s="36">
        <f>'Necesidades Trimestrales'!L11</f>
        <v>65</v>
      </c>
      <c r="K13" s="37">
        <f>'Necesidades Trimestrales'!I11</f>
        <v>200</v>
      </c>
    </row>
    <row r="14" spans="1:11" ht="39.75" customHeight="1" thickBot="1">
      <c r="A14" s="33">
        <v>3</v>
      </c>
      <c r="B14" s="33" t="str">
        <f>'Necesidades Trimestrales'!B13</f>
        <v>2.5.2-1724.57</v>
      </c>
      <c r="C14" s="191" t="str">
        <f>'Necesidades Trimestrales'!E13</f>
        <v>ANALGESICOS ; TIPO: ASOCIACION, DROGA GENERICA: DIPIRONA+ HIOSCINA, FORMA FARMACEUTICA: AMPOLLA, PRESENTACION: AMPOLLA X 5 mL</v>
      </c>
      <c r="D14" s="192"/>
      <c r="E14" s="192"/>
      <c r="F14" s="192"/>
      <c r="G14" s="193"/>
      <c r="H14" s="34" t="s">
        <v>98</v>
      </c>
      <c r="I14" s="35" t="str">
        <f>'Necesidades Trimestrales'!F13</f>
        <v>AMPOLLA</v>
      </c>
      <c r="J14" s="36">
        <f>'Necesidades Trimestrales'!L13</f>
        <v>92</v>
      </c>
      <c r="K14" s="37">
        <f>'Necesidades Trimestrales'!I13</f>
        <v>200</v>
      </c>
    </row>
    <row r="15" spans="1:11" ht="39.75" customHeight="1" thickBot="1">
      <c r="A15" s="33">
        <v>4</v>
      </c>
      <c r="B15" s="33" t="str">
        <f>'Necesidades Trimestrales'!B28</f>
        <v>2.5.2-6910.6</v>
      </c>
      <c r="C15" s="191" t="str">
        <f>'Necesidades Trimestrales'!E28</f>
        <v>ANTIEMETICOS; TIPO: MONODROGA, DROGA GENERICA: METOCLOPRAMIDA, FORMA FARMACEUTICA: AMPOLLA, PRESENTACION: 2 mL</v>
      </c>
      <c r="D15" s="192"/>
      <c r="E15" s="192"/>
      <c r="F15" s="192"/>
      <c r="G15" s="193"/>
      <c r="H15" s="34" t="s">
        <v>98</v>
      </c>
      <c r="I15" s="35" t="str">
        <f>'Necesidades Trimestrales'!F28</f>
        <v>AMPOLLA</v>
      </c>
      <c r="J15" s="36">
        <f>'Necesidades Trimestrales'!L28</f>
        <v>35.799999999999997</v>
      </c>
      <c r="K15" s="37">
        <f>'Necesidades Trimestrales'!I28</f>
        <v>200</v>
      </c>
    </row>
    <row r="16" spans="1:11" ht="39.75" customHeight="1" thickBot="1">
      <c r="A16" s="33">
        <v>5</v>
      </c>
      <c r="B16" s="33" t="str">
        <f>'Necesidades Trimestrales'!B32</f>
        <v>2.5.2-1841.17</v>
      </c>
      <c r="C16" s="191" t="str">
        <f>'Necesidades Trimestrales'!E32</f>
        <v>ANTIACIDOS; TIPO: MONODROGA, DROGA GENERICA: RANITIDINA, FORMA FARMACEUTICA: AMPOLLA, PRESENTACION: UNIDAD</v>
      </c>
      <c r="D16" s="192"/>
      <c r="E16" s="192"/>
      <c r="F16" s="192"/>
      <c r="G16" s="193"/>
      <c r="H16" s="34" t="s">
        <v>98</v>
      </c>
      <c r="I16" s="35" t="str">
        <f>'Necesidades Trimestrales'!F32</f>
        <v>AMPOLLA</v>
      </c>
      <c r="J16" s="36">
        <f>'Necesidades Trimestrales'!L32</f>
        <v>47.5</v>
      </c>
      <c r="K16" s="37">
        <f>'Necesidades Trimestrales'!I32</f>
        <v>200</v>
      </c>
    </row>
    <row r="17" spans="1:11" ht="25.5" customHeight="1" thickBot="1">
      <c r="A17" s="194" t="s">
        <v>132</v>
      </c>
      <c r="B17" s="195"/>
      <c r="C17" s="195"/>
      <c r="D17" s="195"/>
      <c r="E17" s="195"/>
      <c r="F17" s="195"/>
      <c r="G17" s="195"/>
      <c r="H17" s="195"/>
      <c r="I17" s="196"/>
      <c r="J17" s="276">
        <f>SUMPRODUCT(J12:J16,K12:K16)</f>
        <v>58140</v>
      </c>
      <c r="K17" s="277"/>
    </row>
    <row r="18" spans="1:11" ht="12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 ht="12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spans="1:11" ht="12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spans="1:11" ht="12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 ht="12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spans="1:11" ht="12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 ht="12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 ht="12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</row>
    <row r="27" spans="1:11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1" ht="12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pans="1:11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</row>
    <row r="30" spans="1:11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1" spans="1:11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11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</row>
    <row r="34" spans="1:11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</row>
    <row r="35" spans="1:11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6" spans="1:11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</row>
    <row r="37" spans="1:11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</row>
    <row r="38" spans="1:11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</row>
    <row r="39" spans="1:11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1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</row>
    <row r="42" spans="1:11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</row>
    <row r="43" spans="1:11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</row>
    <row r="44" spans="1:11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</row>
    <row r="46" spans="1:11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</row>
    <row r="47" spans="1:11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</row>
    <row r="49" spans="1:11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</row>
    <row r="50" spans="1:11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</row>
    <row r="51" spans="1:11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</row>
    <row r="52" spans="1:11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</row>
    <row r="53" spans="1:11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</row>
    <row r="54" spans="1:11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</row>
    <row r="56" spans="1:11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</row>
    <row r="57" spans="1:11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</row>
    <row r="58" spans="1:11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</row>
    <row r="59" spans="1:11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</row>
    <row r="61" spans="1:11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</row>
  </sheetData>
  <mergeCells count="27">
    <mergeCell ref="A17:I17"/>
    <mergeCell ref="J17:K17"/>
    <mergeCell ref="C16:G16"/>
    <mergeCell ref="C15:G15"/>
    <mergeCell ref="C14:G14"/>
    <mergeCell ref="K10:K11"/>
    <mergeCell ref="C12:G12"/>
    <mergeCell ref="C13:G13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" footer="0"/>
  <pageSetup paperSize="9" scale="9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workbookViewId="0">
      <selection activeCell="H16" sqref="H16"/>
    </sheetView>
  </sheetViews>
  <sheetFormatPr baseColWidth="10" defaultColWidth="12.5703125" defaultRowHeight="15" customHeight="1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18" width="11" customWidth="1"/>
  </cols>
  <sheetData>
    <row r="1" spans="1:18" ht="15.75" customHeight="1" thickBot="1">
      <c r="A1" s="266" t="s">
        <v>3</v>
      </c>
      <c r="B1" s="195"/>
      <c r="C1" s="195"/>
      <c r="D1" s="267">
        <f>'Necesidades Trimestrales'!C6</f>
        <v>2022</v>
      </c>
      <c r="E1" s="196"/>
      <c r="F1" s="39"/>
      <c r="G1" s="39"/>
      <c r="H1" s="40"/>
      <c r="I1" s="40"/>
      <c r="J1" s="40"/>
      <c r="K1" s="40"/>
      <c r="L1" s="40"/>
      <c r="M1" s="40"/>
      <c r="N1" s="40"/>
      <c r="P1" s="268" t="s">
        <v>100</v>
      </c>
      <c r="Q1" s="255"/>
    </row>
    <row r="2" spans="1:18" ht="15.75" customHeight="1" thickBot="1">
      <c r="G2" s="41"/>
      <c r="H2" s="40"/>
      <c r="I2" s="40"/>
      <c r="J2" s="40"/>
      <c r="K2" s="40"/>
      <c r="L2" s="40"/>
      <c r="M2" s="40"/>
      <c r="N2" s="40"/>
      <c r="P2" s="269"/>
      <c r="Q2" s="270"/>
    </row>
    <row r="3" spans="1:18" ht="12.75" customHeight="1" thickBot="1">
      <c r="G3" s="41"/>
    </row>
    <row r="4" spans="1:18" ht="18" customHeight="1" thickBot="1">
      <c r="A4" s="271" t="s">
        <v>101</v>
      </c>
      <c r="B4" s="224"/>
      <c r="C4" s="224"/>
      <c r="D4" s="224"/>
      <c r="E4" s="224"/>
      <c r="F4" s="249"/>
      <c r="G4" s="272" t="str">
        <f>'NP SAME'!D3</f>
        <v>040 - MINISTERIO DE SALUD</v>
      </c>
      <c r="H4" s="224"/>
      <c r="I4" s="224"/>
      <c r="J4" s="224"/>
      <c r="K4" s="224"/>
      <c r="L4" s="224"/>
      <c r="M4" s="224"/>
      <c r="N4" s="224"/>
      <c r="O4" s="224"/>
      <c r="P4" s="224"/>
      <c r="Q4" s="249"/>
      <c r="R4" s="25"/>
    </row>
    <row r="5" spans="1:18" s="92" customFormat="1" ht="18" customHeight="1" thickBot="1">
      <c r="A5" s="262" t="s">
        <v>84</v>
      </c>
      <c r="B5" s="198"/>
      <c r="C5" s="198"/>
      <c r="D5" s="198"/>
      <c r="E5" s="198"/>
      <c r="F5" s="263"/>
      <c r="G5" s="264" t="str">
        <f>'NP SAME'!D4</f>
        <v>011 - DIRECCION PROVINCIAL DE ADMINISTRACION - MS</v>
      </c>
      <c r="H5" s="198"/>
      <c r="I5" s="198"/>
      <c r="J5" s="198"/>
      <c r="K5" s="198"/>
      <c r="L5" s="198"/>
      <c r="M5" s="198"/>
      <c r="N5" s="198"/>
      <c r="O5" s="198"/>
      <c r="P5" s="198"/>
      <c r="Q5" s="263"/>
      <c r="R5" s="110"/>
    </row>
    <row r="6" spans="1:18" s="92" customFormat="1" ht="18" customHeight="1" thickBot="1">
      <c r="A6" s="262" t="s">
        <v>85</v>
      </c>
      <c r="B6" s="198"/>
      <c r="C6" s="198"/>
      <c r="D6" s="198"/>
      <c r="E6" s="198"/>
      <c r="F6" s="263"/>
      <c r="G6" s="264" t="str">
        <f>'NP SAME'!D5</f>
        <v>DIRECCION PROVINCIAL SISTEMA DE ATENCION MEDICA DE EMERGENCIA</v>
      </c>
      <c r="H6" s="198"/>
      <c r="I6" s="198"/>
      <c r="J6" s="198"/>
      <c r="K6" s="198"/>
      <c r="L6" s="198"/>
      <c r="M6" s="198"/>
      <c r="N6" s="198"/>
      <c r="O6" s="198"/>
      <c r="P6" s="198"/>
      <c r="Q6" s="263"/>
      <c r="R6" s="110"/>
    </row>
    <row r="7" spans="1:18" s="92" customFormat="1" ht="18" customHeight="1" thickBot="1">
      <c r="A7" s="262" t="s">
        <v>86</v>
      </c>
      <c r="B7" s="198"/>
      <c r="C7" s="198"/>
      <c r="D7" s="198"/>
      <c r="E7" s="198"/>
      <c r="F7" s="263"/>
      <c r="G7" s="264" t="str">
        <f>'NP SAME'!D6</f>
        <v>DIRECCION PROVINCIAL SISTEMA DE ATENCION MEDICA DE EMERGENCIA</v>
      </c>
      <c r="H7" s="198"/>
      <c r="I7" s="198"/>
      <c r="J7" s="198"/>
      <c r="K7" s="198"/>
      <c r="L7" s="198"/>
      <c r="M7" s="198"/>
      <c r="N7" s="198"/>
      <c r="O7" s="198"/>
      <c r="P7" s="198"/>
      <c r="Q7" s="263"/>
      <c r="R7" s="110"/>
    </row>
    <row r="8" spans="1:18" ht="18" customHeight="1" thickBot="1">
      <c r="A8" s="265" t="s">
        <v>102</v>
      </c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49"/>
    </row>
    <row r="9" spans="1:18" ht="18" customHeight="1">
      <c r="A9" s="246" t="s">
        <v>103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5"/>
      <c r="P9" s="25"/>
      <c r="Q9" s="42"/>
    </row>
    <row r="10" spans="1:18" ht="54.75" customHeight="1">
      <c r="A10" s="250" t="str">
        <f>"Autorizo la realización de los  trámites correspondientes, a fin de proveer a  este Organismo los bienes y/o servicios que se detallan en Nota  de Pedido N° " &amp; 'NP SAME'!K1&amp;",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2"/>
    </row>
    <row r="11" spans="1:18" ht="9" customHeight="1" thickBot="1">
      <c r="A11" s="43"/>
      <c r="B11" s="44"/>
      <c r="C11" s="44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4"/>
      <c r="P11" s="44"/>
      <c r="Q11" s="46"/>
    </row>
    <row r="12" spans="1:18" ht="15.75" customHeight="1" thickBot="1">
      <c r="A12" s="253" t="s">
        <v>104</v>
      </c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5"/>
    </row>
    <row r="13" spans="1:18" ht="15.75" customHeight="1" thickBot="1">
      <c r="A13" s="248" t="s">
        <v>105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49"/>
      <c r="O13" s="258" t="s">
        <v>106</v>
      </c>
      <c r="P13" s="255"/>
      <c r="Q13" s="261" t="s">
        <v>107</v>
      </c>
    </row>
    <row r="14" spans="1:18" ht="15.75" customHeight="1" thickBot="1">
      <c r="A14" s="47" t="s">
        <v>108</v>
      </c>
      <c r="B14" s="48" t="s">
        <v>109</v>
      </c>
      <c r="C14" s="48" t="s">
        <v>110</v>
      </c>
      <c r="D14" s="48" t="s">
        <v>111</v>
      </c>
      <c r="E14" s="48" t="s">
        <v>112</v>
      </c>
      <c r="F14" s="48" t="s">
        <v>113</v>
      </c>
      <c r="G14" s="49" t="s">
        <v>114</v>
      </c>
      <c r="H14" s="48" t="s">
        <v>115</v>
      </c>
      <c r="I14" s="48" t="s">
        <v>116</v>
      </c>
      <c r="J14" s="48" t="s">
        <v>117</v>
      </c>
      <c r="K14" s="48" t="s">
        <v>117</v>
      </c>
      <c r="L14" s="48" t="s">
        <v>118</v>
      </c>
      <c r="M14" s="50" t="s">
        <v>119</v>
      </c>
      <c r="N14" s="51" t="s">
        <v>120</v>
      </c>
      <c r="O14" s="259"/>
      <c r="P14" s="260"/>
      <c r="Q14" s="260"/>
    </row>
    <row r="15" spans="1:18" s="92" customFormat="1" ht="26.25" customHeight="1">
      <c r="A15" s="111">
        <v>31</v>
      </c>
      <c r="B15" s="112"/>
      <c r="C15" s="112"/>
      <c r="D15" s="112">
        <v>1</v>
      </c>
      <c r="E15" s="112"/>
      <c r="F15" s="112">
        <v>4901</v>
      </c>
      <c r="G15" s="112">
        <v>3</v>
      </c>
      <c r="H15" s="112">
        <v>1</v>
      </c>
      <c r="I15" s="112">
        <v>2</v>
      </c>
      <c r="J15" s="112">
        <v>5</v>
      </c>
      <c r="K15" s="112">
        <v>2</v>
      </c>
      <c r="L15" s="112"/>
      <c r="M15" s="113">
        <v>1</v>
      </c>
      <c r="N15" s="112" t="s">
        <v>121</v>
      </c>
      <c r="O15" s="256" t="s">
        <v>122</v>
      </c>
      <c r="P15" s="257"/>
      <c r="Q15" s="114">
        <f>'NP SAME'!J17</f>
        <v>58140</v>
      </c>
    </row>
    <row r="16" spans="1:18" s="92" customFormat="1" ht="17.25" customHeight="1">
      <c r="A16" s="115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7"/>
      <c r="N16" s="118"/>
      <c r="O16" s="238"/>
      <c r="P16" s="239"/>
      <c r="Q16" s="119"/>
    </row>
    <row r="17" spans="1:18" s="92" customFormat="1" ht="17.25" customHeight="1">
      <c r="A17" s="115"/>
      <c r="B17" s="116"/>
      <c r="C17" s="116"/>
      <c r="D17" s="116"/>
      <c r="E17" s="116"/>
      <c r="F17" s="118"/>
      <c r="G17" s="116"/>
      <c r="H17" s="116"/>
      <c r="I17" s="116"/>
      <c r="J17" s="116"/>
      <c r="K17" s="116"/>
      <c r="L17" s="116"/>
      <c r="M17" s="117"/>
      <c r="N17" s="118"/>
      <c r="O17" s="238"/>
      <c r="P17" s="239"/>
      <c r="Q17" s="119"/>
    </row>
    <row r="18" spans="1:18" s="92" customFormat="1" ht="17.25" customHeight="1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7"/>
      <c r="N18" s="118"/>
      <c r="O18" s="238"/>
      <c r="P18" s="239"/>
      <c r="Q18" s="119"/>
    </row>
    <row r="19" spans="1:18" s="92" customFormat="1" ht="17.25" customHeight="1">
      <c r="A19" s="115"/>
      <c r="B19" s="116"/>
      <c r="C19" s="116"/>
      <c r="D19" s="116"/>
      <c r="E19" s="116"/>
      <c r="F19" s="118"/>
      <c r="G19" s="116"/>
      <c r="H19" s="116"/>
      <c r="I19" s="116"/>
      <c r="J19" s="116"/>
      <c r="K19" s="116"/>
      <c r="L19" s="116"/>
      <c r="M19" s="117"/>
      <c r="N19" s="118"/>
      <c r="O19" s="238"/>
      <c r="P19" s="239"/>
      <c r="Q19" s="119"/>
    </row>
    <row r="20" spans="1:18" s="92" customFormat="1" ht="17.25" customHeight="1">
      <c r="A20" s="115"/>
      <c r="B20" s="116"/>
      <c r="C20" s="116"/>
      <c r="D20" s="116"/>
      <c r="E20" s="116"/>
      <c r="F20" s="118"/>
      <c r="G20" s="116"/>
      <c r="H20" s="116"/>
      <c r="I20" s="116"/>
      <c r="J20" s="116"/>
      <c r="K20" s="116"/>
      <c r="L20" s="116"/>
      <c r="M20" s="117"/>
      <c r="N20" s="118"/>
      <c r="O20" s="238"/>
      <c r="P20" s="239"/>
      <c r="Q20" s="119"/>
    </row>
    <row r="21" spans="1:18" s="92" customFormat="1" ht="17.25" customHeight="1">
      <c r="A21" s="120"/>
      <c r="B21" s="121"/>
      <c r="C21" s="121"/>
      <c r="D21" s="121"/>
      <c r="E21" s="121"/>
      <c r="F21" s="118"/>
      <c r="G21" s="121"/>
      <c r="H21" s="121"/>
      <c r="I21" s="121"/>
      <c r="J21" s="121"/>
      <c r="K21" s="121"/>
      <c r="L21" s="121"/>
      <c r="M21" s="122"/>
      <c r="N21" s="123"/>
      <c r="O21" s="238"/>
      <c r="P21" s="239"/>
      <c r="Q21" s="119"/>
      <c r="R21" s="110"/>
    </row>
    <row r="22" spans="1:18" s="92" customFormat="1" ht="17.25" customHeight="1" thickBot="1">
      <c r="A22" s="12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6"/>
      <c r="N22" s="125"/>
      <c r="O22" s="240"/>
      <c r="P22" s="241"/>
      <c r="Q22" s="127"/>
    </row>
    <row r="23" spans="1:18" s="92" customFormat="1" ht="29.25" customHeight="1" thickBot="1">
      <c r="A23" s="242" t="s">
        <v>144</v>
      </c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4"/>
      <c r="Q23" s="128">
        <f>SUM(Q15:Q22)</f>
        <v>58140</v>
      </c>
    </row>
    <row r="24" spans="1:18" s="92" customFormat="1" ht="18" customHeight="1" thickBot="1">
      <c r="A24" s="245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1"/>
    </row>
    <row r="25" spans="1:18" s="92" customFormat="1" ht="17.25" customHeight="1" thickBot="1">
      <c r="A25" s="228" t="s">
        <v>123</v>
      </c>
      <c r="B25" s="204"/>
      <c r="C25" s="204"/>
      <c r="D25" s="204"/>
      <c r="E25" s="204"/>
      <c r="F25" s="205"/>
      <c r="G25" s="229"/>
      <c r="H25" s="230"/>
      <c r="I25" s="230"/>
      <c r="J25" s="230"/>
      <c r="K25" s="230"/>
      <c r="L25" s="230"/>
      <c r="M25" s="230"/>
      <c r="N25" s="230"/>
      <c r="O25" s="230"/>
      <c r="P25" s="230"/>
      <c r="Q25" s="231"/>
    </row>
    <row r="26" spans="1:18" s="92" customFormat="1" ht="18" customHeight="1">
      <c r="A26" s="232" t="str">
        <f>'NP SAME'!D8</f>
        <v xml:space="preserve">Adquisición de TRACTO ALIMENTARIO Y METABOLISMO / VITAMINAS Y OTROS /ANTIDIABETICOS E INSULINAS </v>
      </c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4"/>
    </row>
    <row r="27" spans="1:18" s="92" customFormat="1" ht="15" customHeight="1" thickBot="1">
      <c r="A27" s="235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7"/>
    </row>
    <row r="28" spans="1:18" ht="12.75" customHeight="1">
      <c r="G28" s="41"/>
    </row>
    <row r="29" spans="1:18" ht="12.75" customHeight="1">
      <c r="G29" s="41"/>
    </row>
    <row r="30" spans="1:18" ht="12.75" customHeight="1">
      <c r="G30" s="41"/>
    </row>
    <row r="31" spans="1:18" ht="12.75" customHeight="1">
      <c r="G31" s="41"/>
    </row>
    <row r="32" spans="1:18" ht="12.75" customHeight="1">
      <c r="G32" s="41"/>
    </row>
    <row r="33" spans="7:7" ht="12.75" customHeight="1">
      <c r="G33" s="41"/>
    </row>
    <row r="34" spans="7:7" ht="12.75" customHeight="1">
      <c r="G34" s="41"/>
    </row>
    <row r="35" spans="7:7" ht="12.75" customHeight="1">
      <c r="G35" s="41"/>
    </row>
    <row r="36" spans="7:7" ht="12.75" customHeight="1">
      <c r="G36" s="41"/>
    </row>
    <row r="37" spans="7:7" ht="12.75" customHeight="1">
      <c r="G37" s="41"/>
    </row>
    <row r="38" spans="7:7" ht="12.75" customHeight="1">
      <c r="G38" s="41"/>
    </row>
    <row r="39" spans="7:7" ht="12.75" customHeight="1">
      <c r="G39" s="41"/>
    </row>
    <row r="40" spans="7:7" ht="12.75" customHeight="1">
      <c r="G40" s="41"/>
    </row>
    <row r="41" spans="7:7" ht="12.75" customHeight="1">
      <c r="G41" s="41"/>
    </row>
    <row r="42" spans="7:7" ht="12.75" customHeight="1">
      <c r="G42" s="41"/>
    </row>
    <row r="43" spans="7:7" ht="12.75" customHeight="1">
      <c r="G43" s="41"/>
    </row>
    <row r="44" spans="7:7" ht="12.75" customHeight="1">
      <c r="G44" s="41"/>
    </row>
    <row r="45" spans="7:7" ht="12.75" customHeight="1">
      <c r="G45" s="41"/>
    </row>
    <row r="46" spans="7:7" ht="12.75" customHeight="1">
      <c r="G46" s="41"/>
    </row>
    <row r="47" spans="7:7" ht="12.75" customHeight="1">
      <c r="G47" s="41"/>
    </row>
    <row r="48" spans="7:7" ht="12.75" customHeight="1">
      <c r="G48" s="41"/>
    </row>
    <row r="49" spans="7:7" ht="12.75" customHeight="1">
      <c r="G49" s="41"/>
    </row>
    <row r="50" spans="7:7" ht="12.75" customHeight="1">
      <c r="G50" s="41"/>
    </row>
    <row r="51" spans="7:7" ht="12.75" customHeight="1">
      <c r="G51" s="41"/>
    </row>
    <row r="52" spans="7:7" ht="12.75" customHeight="1">
      <c r="G52" s="41"/>
    </row>
    <row r="53" spans="7:7" ht="12.75" customHeight="1">
      <c r="G53" s="41"/>
    </row>
    <row r="54" spans="7:7" ht="12.75" customHeight="1">
      <c r="G54" s="41"/>
    </row>
    <row r="55" spans="7:7" ht="12.75" customHeight="1">
      <c r="G55" s="41"/>
    </row>
    <row r="56" spans="7:7" ht="12.75" customHeight="1">
      <c r="G56" s="41"/>
    </row>
    <row r="57" spans="7:7" ht="12.75" customHeight="1">
      <c r="G57" s="41"/>
    </row>
    <row r="58" spans="7:7" ht="12.75" customHeight="1">
      <c r="G58" s="41"/>
    </row>
    <row r="59" spans="7:7" ht="12.75" customHeight="1">
      <c r="G59" s="41"/>
    </row>
    <row r="60" spans="7:7" ht="12.75" customHeight="1">
      <c r="G60" s="41"/>
    </row>
    <row r="61" spans="7:7" ht="12.75" customHeight="1">
      <c r="G61" s="41"/>
    </row>
    <row r="62" spans="7:7" ht="12.75" customHeight="1">
      <c r="G62" s="41"/>
    </row>
    <row r="63" spans="7:7" ht="12.75" customHeight="1">
      <c r="G63" s="41"/>
    </row>
    <row r="64" spans="7:7" ht="12.75" customHeight="1">
      <c r="G64" s="41"/>
    </row>
    <row r="65" spans="7:7" ht="12.75" customHeight="1">
      <c r="G65" s="41"/>
    </row>
    <row r="66" spans="7:7" ht="12.75" customHeight="1">
      <c r="G66" s="41"/>
    </row>
    <row r="67" spans="7:7" ht="12.75" customHeight="1">
      <c r="G67" s="41"/>
    </row>
    <row r="68" spans="7:7" ht="12.75" customHeight="1">
      <c r="G68" s="41"/>
    </row>
    <row r="69" spans="7:7" ht="12.75" customHeight="1">
      <c r="G69" s="41"/>
    </row>
    <row r="70" spans="7:7" ht="12.75" customHeight="1">
      <c r="G70" s="41"/>
    </row>
    <row r="71" spans="7:7" ht="12.75" customHeight="1">
      <c r="G71" s="41"/>
    </row>
    <row r="72" spans="7:7" ht="12.75" customHeight="1">
      <c r="G72" s="41"/>
    </row>
    <row r="73" spans="7:7" ht="12.75" customHeight="1">
      <c r="G73" s="41"/>
    </row>
    <row r="74" spans="7:7" ht="12.75" customHeight="1">
      <c r="G74" s="41"/>
    </row>
    <row r="75" spans="7:7" ht="12.75" customHeight="1">
      <c r="G75" s="41"/>
    </row>
    <row r="76" spans="7:7" ht="12.75" customHeight="1">
      <c r="G76" s="41"/>
    </row>
    <row r="77" spans="7:7" ht="12.75" customHeight="1">
      <c r="G77" s="41"/>
    </row>
    <row r="78" spans="7:7" ht="12.75" customHeight="1">
      <c r="G78" s="41"/>
    </row>
    <row r="79" spans="7:7" ht="12.75" customHeight="1">
      <c r="G79" s="41"/>
    </row>
    <row r="80" spans="7:7" ht="12.75" customHeight="1">
      <c r="G80" s="41"/>
    </row>
    <row r="81" spans="7:7" ht="12.75" customHeight="1">
      <c r="G81" s="41"/>
    </row>
    <row r="82" spans="7:7" ht="12.75" customHeight="1">
      <c r="G82" s="41"/>
    </row>
    <row r="83" spans="7:7" ht="12.75" customHeight="1">
      <c r="G83" s="41"/>
    </row>
    <row r="84" spans="7:7" ht="12.75" customHeight="1">
      <c r="G84" s="41"/>
    </row>
    <row r="85" spans="7:7" ht="12.75" customHeight="1">
      <c r="G85" s="41"/>
    </row>
    <row r="86" spans="7:7" ht="12.75" customHeight="1">
      <c r="G86" s="41"/>
    </row>
    <row r="87" spans="7:7" ht="12.75" customHeight="1">
      <c r="G87" s="41"/>
    </row>
    <row r="88" spans="7:7" ht="12.75" customHeight="1">
      <c r="G88" s="41"/>
    </row>
    <row r="89" spans="7:7" ht="12.75" customHeight="1">
      <c r="G89" s="41"/>
    </row>
    <row r="90" spans="7:7" ht="12.75" customHeight="1">
      <c r="G90" s="41"/>
    </row>
    <row r="91" spans="7:7" ht="12.75" customHeight="1">
      <c r="G91" s="41"/>
    </row>
    <row r="92" spans="7:7" ht="12.75" customHeight="1">
      <c r="G92" s="41"/>
    </row>
    <row r="93" spans="7:7" ht="12.75" customHeight="1">
      <c r="G93" s="41"/>
    </row>
    <row r="94" spans="7:7" ht="12.75" customHeight="1">
      <c r="G94" s="41"/>
    </row>
    <row r="95" spans="7:7" ht="12.75" customHeight="1">
      <c r="G95" s="41"/>
    </row>
    <row r="96" spans="7:7" ht="12.75" customHeight="1">
      <c r="G96" s="41"/>
    </row>
    <row r="97" spans="7:7" ht="12.75" customHeight="1">
      <c r="G97" s="41"/>
    </row>
    <row r="98" spans="7:7" ht="12.75" customHeight="1">
      <c r="G98" s="41"/>
    </row>
    <row r="99" spans="7:7" ht="12.75" customHeight="1">
      <c r="G99" s="41"/>
    </row>
    <row r="100" spans="7:7" ht="12.75" customHeight="1">
      <c r="G100" s="41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Necesidades Trimestrales</vt:lpstr>
      <vt:lpstr>NP DPFeI</vt:lpstr>
      <vt:lpstr>APG DPFeI</vt:lpstr>
      <vt:lpstr>NP SAME</vt:lpstr>
      <vt:lpstr>APG 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2022-01-24T15:08:47Z</cp:lastPrinted>
  <dcterms:created xsi:type="dcterms:W3CDTF">2020-07-17T23:44:49Z</dcterms:created>
  <dcterms:modified xsi:type="dcterms:W3CDTF">2022-08-11T13:17:50Z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