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Insumos Odontologicos\2do Trim.2022\"/>
    </mc:Choice>
  </mc:AlternateContent>
  <xr:revisionPtr revIDLastSave="0" documentId="13_ncr:1_{20B1EE06-A34E-46CD-8DB1-65964E9910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DONTOL CON INCREMENTO DE CANTI" sheetId="9" r:id="rId1"/>
    <sheet name="Hoja1" sheetId="10" r:id="rId2"/>
  </sheets>
  <definedNames>
    <definedName name="_xlnm._FilterDatabase" localSheetId="0" hidden="1">'ODONTOL CON INCREMENTO DE CANTI'!$A$9:$AZ$149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1" i="9" l="1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V90" i="9"/>
  <c r="V91" i="9"/>
  <c r="V92" i="9"/>
  <c r="V93" i="9"/>
  <c r="V94" i="9"/>
  <c r="V95" i="9"/>
  <c r="V96" i="9"/>
  <c r="V97" i="9"/>
  <c r="V98" i="9"/>
  <c r="V99" i="9"/>
  <c r="V100" i="9"/>
  <c r="V101" i="9"/>
  <c r="V102" i="9"/>
  <c r="V103" i="9"/>
  <c r="V104" i="9"/>
  <c r="V105" i="9"/>
  <c r="V106" i="9"/>
  <c r="V107" i="9"/>
  <c r="V108" i="9"/>
  <c r="V109" i="9"/>
  <c r="V110" i="9"/>
  <c r="V111" i="9"/>
  <c r="V112" i="9"/>
  <c r="V113" i="9"/>
  <c r="V114" i="9"/>
  <c r="V115" i="9"/>
  <c r="V116" i="9"/>
  <c r="V117" i="9"/>
  <c r="V118" i="9"/>
  <c r="V119" i="9"/>
  <c r="V120" i="9"/>
  <c r="V121" i="9"/>
  <c r="V122" i="9"/>
  <c r="V123" i="9"/>
  <c r="V124" i="9"/>
  <c r="V125" i="9"/>
  <c r="V126" i="9"/>
  <c r="V127" i="9"/>
  <c r="V128" i="9"/>
  <c r="V129" i="9"/>
  <c r="V130" i="9"/>
  <c r="V131" i="9"/>
  <c r="V132" i="9"/>
  <c r="V133" i="9"/>
  <c r="V134" i="9"/>
  <c r="V135" i="9"/>
  <c r="V136" i="9"/>
  <c r="V137" i="9"/>
  <c r="V138" i="9"/>
  <c r="V139" i="9"/>
  <c r="V140" i="9"/>
  <c r="V141" i="9"/>
  <c r="V142" i="9"/>
  <c r="V143" i="9"/>
  <c r="V144" i="9"/>
  <c r="V145" i="9"/>
  <c r="V146" i="9"/>
  <c r="V147" i="9"/>
  <c r="V148" i="9"/>
  <c r="AW11" i="9" l="1"/>
  <c r="AW14" i="9"/>
  <c r="AW15" i="9"/>
  <c r="AW16" i="9"/>
  <c r="AW17" i="9"/>
  <c r="AW124" i="9"/>
  <c r="AW20" i="9"/>
  <c r="AW19" i="9"/>
  <c r="AW21" i="9"/>
  <c r="AW24" i="9"/>
  <c r="AW97" i="9"/>
  <c r="AW25" i="9"/>
  <c r="AW26" i="9"/>
  <c r="AW28" i="9"/>
  <c r="AW62" i="9"/>
  <c r="AW63" i="9"/>
  <c r="AW64" i="9"/>
  <c r="AW73" i="9"/>
  <c r="AW80" i="9"/>
  <c r="AW70" i="9"/>
  <c r="AW65" i="9"/>
  <c r="AW66" i="9"/>
  <c r="AW67" i="9"/>
  <c r="AW68" i="9"/>
  <c r="AW69" i="9"/>
  <c r="AW71" i="9"/>
  <c r="AW72" i="9"/>
  <c r="AW74" i="9"/>
  <c r="AW75" i="9"/>
  <c r="AW76" i="9"/>
  <c r="AW77" i="9"/>
  <c r="AW78" i="9"/>
  <c r="AW79" i="9"/>
  <c r="AW111" i="9"/>
  <c r="AW81" i="9"/>
  <c r="AW82" i="9"/>
  <c r="AW22" i="9"/>
  <c r="AW83" i="9"/>
  <c r="AW146" i="9"/>
  <c r="AW38" i="9"/>
  <c r="AW40" i="9"/>
  <c r="AW41" i="9"/>
  <c r="AW42" i="9"/>
  <c r="AW43" i="9"/>
  <c r="AY43" i="9" s="1"/>
  <c r="AW45" i="9"/>
  <c r="AY45" i="9" s="1"/>
  <c r="AW46" i="9"/>
  <c r="AY46" i="9" s="1"/>
  <c r="AW47" i="9"/>
  <c r="AY47" i="9" s="1"/>
  <c r="AW39" i="9"/>
  <c r="AW44" i="9"/>
  <c r="AW36" i="9"/>
  <c r="AW37" i="9"/>
  <c r="AW33" i="9"/>
  <c r="AW34" i="9"/>
  <c r="AW35" i="9"/>
  <c r="AW48" i="9"/>
  <c r="AW84" i="9"/>
  <c r="AW86" i="9"/>
  <c r="AW127" i="9"/>
  <c r="AW58" i="9"/>
  <c r="AW59" i="9"/>
  <c r="AW89" i="9"/>
  <c r="AW23" i="9"/>
  <c r="AW108" i="9"/>
  <c r="AW110" i="9"/>
  <c r="AW109" i="9"/>
  <c r="AW88" i="9"/>
  <c r="AW87" i="9"/>
  <c r="AW112" i="9"/>
  <c r="AW118" i="9"/>
  <c r="AW115" i="9"/>
  <c r="AW113" i="9"/>
  <c r="AW114" i="9"/>
  <c r="AW116" i="9"/>
  <c r="AW119" i="9"/>
  <c r="AW117" i="9"/>
  <c r="AW120" i="9"/>
  <c r="AW121" i="9"/>
  <c r="AW32" i="9"/>
  <c r="AW141" i="9"/>
  <c r="AW122" i="9"/>
  <c r="AW90" i="9"/>
  <c r="AW61" i="9"/>
  <c r="AW92" i="9"/>
  <c r="AW98" i="9"/>
  <c r="AW93" i="9"/>
  <c r="AW94" i="9"/>
  <c r="AW95" i="9"/>
  <c r="AW27" i="9"/>
  <c r="AW126" i="9"/>
  <c r="AW137" i="9"/>
  <c r="AW136" i="9"/>
  <c r="AW57" i="9"/>
  <c r="AW49" i="9"/>
  <c r="AW50" i="9"/>
  <c r="AW51" i="9"/>
  <c r="AW52" i="9"/>
  <c r="AW53" i="9"/>
  <c r="AW54" i="9"/>
  <c r="AW55" i="9"/>
  <c r="AW56" i="9"/>
  <c r="AW96" i="9"/>
  <c r="AW99" i="9"/>
  <c r="AW60" i="9"/>
  <c r="AW138" i="9"/>
  <c r="AW100" i="9"/>
  <c r="AW101" i="9"/>
  <c r="AW140" i="9"/>
  <c r="AW12" i="9"/>
  <c r="AW13" i="9"/>
  <c r="AW139" i="9"/>
  <c r="AW85" i="9"/>
  <c r="AW128" i="9"/>
  <c r="AW129" i="9"/>
  <c r="AW130" i="9"/>
  <c r="AW131" i="9"/>
  <c r="AW132" i="9"/>
  <c r="AW133" i="9"/>
  <c r="AW134" i="9"/>
  <c r="AW135" i="9"/>
  <c r="AW18" i="9"/>
  <c r="AW125" i="9"/>
  <c r="AW102" i="9"/>
  <c r="AW103" i="9"/>
  <c r="AW144" i="9"/>
  <c r="AW145" i="9"/>
  <c r="AW142" i="9"/>
  <c r="AW143" i="9"/>
  <c r="AW106" i="9"/>
  <c r="AW91" i="9"/>
  <c r="AW105" i="9"/>
  <c r="AW104" i="9"/>
  <c r="AW107" i="9"/>
  <c r="AW147" i="9"/>
  <c r="AW148" i="9"/>
  <c r="AW31" i="9"/>
  <c r="AY31" i="9" l="1"/>
  <c r="AY55" i="9" l="1"/>
  <c r="AY54" i="9"/>
  <c r="AY53" i="9"/>
  <c r="AY52" i="9"/>
  <c r="AY50" i="9"/>
  <c r="AY37" i="9"/>
  <c r="AY33" i="9"/>
  <c r="AY34" i="9"/>
  <c r="AY44" i="9"/>
  <c r="AY41" i="9"/>
  <c r="AY40" i="9"/>
  <c r="BH150" i="9" l="1"/>
  <c r="AY148" i="9"/>
  <c r="AY147" i="9"/>
  <c r="AY107" i="9"/>
  <c r="AY104" i="9"/>
  <c r="AY105" i="9"/>
  <c r="AY91" i="9"/>
  <c r="AY106" i="9"/>
  <c r="AY143" i="9"/>
  <c r="AY142" i="9"/>
  <c r="AY145" i="9"/>
  <c r="AY144" i="9"/>
  <c r="AY103" i="9"/>
  <c r="AY102" i="9"/>
  <c r="AY125" i="9"/>
  <c r="AY18" i="9"/>
  <c r="AY135" i="9"/>
  <c r="AY134" i="9"/>
  <c r="AY133" i="9"/>
  <c r="AY132" i="9"/>
  <c r="AY131" i="9"/>
  <c r="AY130" i="9"/>
  <c r="AY129" i="9"/>
  <c r="AY128" i="9"/>
  <c r="BD125" i="9" s="1"/>
  <c r="AY85" i="9"/>
  <c r="AY139" i="9"/>
  <c r="BG123" i="9" s="1"/>
  <c r="AY13" i="9"/>
  <c r="AY12" i="9"/>
  <c r="AY140" i="9"/>
  <c r="AY101" i="9"/>
  <c r="AY100" i="9"/>
  <c r="AY138" i="9"/>
  <c r="AY60" i="9"/>
  <c r="AY99" i="9"/>
  <c r="AY96" i="9"/>
  <c r="AY56" i="9"/>
  <c r="AY51" i="9"/>
  <c r="AY49" i="9"/>
  <c r="AY57" i="9"/>
  <c r="AY136" i="9"/>
  <c r="BD104" i="9" s="1"/>
  <c r="AY137" i="9"/>
  <c r="AY126" i="9"/>
  <c r="BD100" i="9" s="1"/>
  <c r="AY27" i="9"/>
  <c r="BD99" i="9" s="1"/>
  <c r="AY95" i="9"/>
  <c r="AY94" i="9"/>
  <c r="AY93" i="9"/>
  <c r="BD96" i="9" s="1"/>
  <c r="AY98" i="9"/>
  <c r="AY92" i="9"/>
  <c r="AY61" i="9"/>
  <c r="AY90" i="9"/>
  <c r="AY122" i="9"/>
  <c r="BG91" i="9" s="1"/>
  <c r="AY141" i="9"/>
  <c r="AY32" i="9"/>
  <c r="AY121" i="9"/>
  <c r="AY120" i="9"/>
  <c r="AY117" i="9"/>
  <c r="AY119" i="9"/>
  <c r="BG85" i="9" s="1"/>
  <c r="AY116" i="9"/>
  <c r="AY114" i="9"/>
  <c r="AY113" i="9"/>
  <c r="AY115" i="9"/>
  <c r="AY118" i="9"/>
  <c r="AY112" i="9"/>
  <c r="AY87" i="9"/>
  <c r="AY88" i="9"/>
  <c r="AY109" i="9"/>
  <c r="AY110" i="9"/>
  <c r="AY108" i="9"/>
  <c r="AY23" i="9"/>
  <c r="AY89" i="9"/>
  <c r="AY59" i="9"/>
  <c r="AY58" i="9"/>
  <c r="AY127" i="9"/>
  <c r="AY86" i="9"/>
  <c r="AY84" i="9"/>
  <c r="AY48" i="9"/>
  <c r="AY35" i="9"/>
  <c r="AY36" i="9"/>
  <c r="AY39" i="9"/>
  <c r="AY42" i="9"/>
  <c r="BG57" i="9" s="1"/>
  <c r="AY38" i="9"/>
  <c r="BG54" i="9" s="1"/>
  <c r="AY146" i="9"/>
  <c r="BD53" i="9" s="1"/>
  <c r="AY83" i="9"/>
  <c r="BG52" i="9" s="1"/>
  <c r="AY22" i="9"/>
  <c r="BD51" i="9" s="1"/>
  <c r="AY82" i="9"/>
  <c r="BG50" i="9" s="1"/>
  <c r="AY81" i="9"/>
  <c r="BG49" i="9" s="1"/>
  <c r="AY111" i="9"/>
  <c r="AY79" i="9"/>
  <c r="BG47" i="9" s="1"/>
  <c r="AY78" i="9"/>
  <c r="BG46" i="9" s="1"/>
  <c r="AY77" i="9"/>
  <c r="BG45" i="9" s="1"/>
  <c r="AY76" i="9"/>
  <c r="BG44" i="9" s="1"/>
  <c r="AY75" i="9"/>
  <c r="BG43" i="9" s="1"/>
  <c r="AY74" i="9"/>
  <c r="BG42" i="9" s="1"/>
  <c r="AY72" i="9"/>
  <c r="BG41" i="9" s="1"/>
  <c r="AY71" i="9"/>
  <c r="BG40" i="9" s="1"/>
  <c r="AY69" i="9"/>
  <c r="BG39" i="9" s="1"/>
  <c r="AY68" i="9"/>
  <c r="BG38" i="9" s="1"/>
  <c r="AY67" i="9"/>
  <c r="BG37" i="9" s="1"/>
  <c r="AY66" i="9"/>
  <c r="AY65" i="9"/>
  <c r="AY70" i="9"/>
  <c r="BG34" i="9" s="1"/>
  <c r="AY80" i="9"/>
  <c r="BG33" i="9" s="1"/>
  <c r="AY73" i="9"/>
  <c r="AY64" i="9"/>
  <c r="BG31" i="9" s="1"/>
  <c r="AY63" i="9"/>
  <c r="BG30" i="9" s="1"/>
  <c r="AY62" i="9"/>
  <c r="AY28" i="9"/>
  <c r="AY26" i="9"/>
  <c r="AY25" i="9"/>
  <c r="AY97" i="9"/>
  <c r="AY24" i="9"/>
  <c r="AY21" i="9"/>
  <c r="AY19" i="9"/>
  <c r="AY20" i="9"/>
  <c r="AY124" i="9"/>
  <c r="AY17" i="9"/>
  <c r="AY16" i="9"/>
  <c r="AY15" i="9"/>
  <c r="BG13" i="9" s="1"/>
  <c r="AY14" i="9"/>
  <c r="AY11" i="9"/>
  <c r="BD11" i="9" s="1"/>
  <c r="AW10" i="9"/>
  <c r="AY10" i="9" s="1"/>
  <c r="V10" i="9"/>
  <c r="BG93" i="9" l="1"/>
  <c r="BG35" i="9"/>
  <c r="BC90" i="9"/>
  <c r="BG95" i="9"/>
  <c r="BG106" i="9"/>
  <c r="BD101" i="9"/>
  <c r="BG92" i="9"/>
  <c r="BG36" i="9"/>
  <c r="BG48" i="9"/>
  <c r="BG87" i="9"/>
  <c r="BG133" i="9"/>
  <c r="BC89" i="9"/>
  <c r="BC150" i="9" s="1"/>
  <c r="BD129" i="9"/>
  <c r="BG135" i="9"/>
  <c r="BD131" i="9"/>
  <c r="BG143" i="9"/>
  <c r="BG70" i="9"/>
  <c r="BB20" i="9"/>
  <c r="BB150" i="9" s="1"/>
  <c r="BC26" i="9"/>
  <c r="BG71" i="9"/>
  <c r="BD73" i="9"/>
  <c r="BG83" i="9"/>
  <c r="BD97" i="9"/>
  <c r="BG113" i="9"/>
  <c r="BG117" i="9"/>
  <c r="BG121" i="9"/>
  <c r="BG141" i="9"/>
  <c r="BG145" i="9"/>
  <c r="BF147" i="9"/>
  <c r="BG65" i="9"/>
  <c r="BD75" i="9"/>
  <c r="BG81" i="9"/>
  <c r="BG119" i="9"/>
  <c r="BD127" i="9"/>
  <c r="BG137" i="9"/>
  <c r="BG139" i="9"/>
  <c r="BG15" i="9"/>
  <c r="BD17" i="9"/>
  <c r="BD19" i="9"/>
  <c r="BG21" i="9"/>
  <c r="BD23" i="9"/>
  <c r="BG25" i="9"/>
  <c r="BC28" i="9"/>
  <c r="BD69" i="9"/>
  <c r="BG79" i="9"/>
  <c r="BG115" i="9"/>
  <c r="BG66" i="9"/>
  <c r="BG68" i="9"/>
  <c r="BG72" i="9"/>
  <c r="BD74" i="9"/>
  <c r="BD76" i="9"/>
  <c r="BG78" i="9"/>
  <c r="BG80" i="9"/>
  <c r="BG82" i="9"/>
  <c r="BG84" i="9"/>
  <c r="BG86" i="9"/>
  <c r="BG88" i="9"/>
  <c r="BG94" i="9"/>
  <c r="BG98" i="9"/>
  <c r="BD102" i="9"/>
  <c r="BG105" i="9"/>
  <c r="BG108" i="9"/>
  <c r="BF114" i="9"/>
  <c r="BF150" i="9" s="1"/>
  <c r="BG116" i="9"/>
  <c r="BG118" i="9"/>
  <c r="BC120" i="9"/>
  <c r="BG122" i="9"/>
  <c r="BG124" i="9"/>
  <c r="BD126" i="9"/>
  <c r="BD128" i="9"/>
  <c r="BD130" i="9"/>
  <c r="BD132" i="9"/>
  <c r="BG134" i="9"/>
  <c r="BG136" i="9"/>
  <c r="BG138" i="9"/>
  <c r="BG140" i="9"/>
  <c r="BG142" i="9"/>
  <c r="BG144" i="9"/>
  <c r="BF146" i="9"/>
  <c r="BG64" i="9"/>
  <c r="BG67" i="9"/>
  <c r="BG77" i="9"/>
  <c r="BD12" i="9"/>
  <c r="BG14" i="9"/>
  <c r="BD16" i="9"/>
  <c r="BD18" i="9"/>
  <c r="BG22" i="9"/>
  <c r="BD24" i="9"/>
  <c r="BG32" i="9"/>
  <c r="BG63" i="9"/>
  <c r="V149" i="9"/>
  <c r="AY149" i="9"/>
  <c r="BE10" i="9"/>
  <c r="BE150" i="9" s="1"/>
  <c r="BG150" i="9" l="1"/>
  <c r="BD150" i="9"/>
  <c r="BI150" i="9" l="1"/>
</calcChain>
</file>

<file path=xl/sharedStrings.xml><?xml version="1.0" encoding="utf-8"?>
<sst xmlns="http://schemas.openxmlformats.org/spreadsheetml/2006/main" count="765" uniqueCount="468">
  <si>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</si>
  <si>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</si>
  <si>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</si>
  <si>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</si>
  <si>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</si>
  <si>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</si>
  <si>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</si>
  <si>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</si>
  <si>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</si>
  <si>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</si>
  <si>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</si>
  <si>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</si>
  <si>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</si>
  <si>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</si>
  <si>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</si>
  <si>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</si>
  <si>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</si>
  <si>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</si>
  <si>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</si>
  <si>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</si>
  <si>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</si>
  <si>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</si>
  <si>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</si>
  <si>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</si>
  <si>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</si>
  <si>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</si>
  <si>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</si>
  <si>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</si>
  <si>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</si>
  <si>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</si>
  <si>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</si>
  <si>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</si>
  <si>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</si>
  <si>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</si>
  <si>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</si>
  <si>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</si>
  <si>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</si>
  <si>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</si>
  <si>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</si>
  <si>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</si>
  <si>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</si>
  <si>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</si>
  <si>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</si>
  <si>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</si>
  <si>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</si>
  <si>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</si>
  <si>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</si>
  <si>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</si>
  <si>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</si>
  <si>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</si>
  <si>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</si>
  <si>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ESPECIFICACION TECNICA</t>
  </si>
  <si>
    <t>PROD. MEDICO/FARMACEUTICOS/LAB</t>
  </si>
  <si>
    <t>CAJA</t>
  </si>
  <si>
    <t>UNIDAD</t>
  </si>
  <si>
    <t>TOTAL SAME</t>
  </si>
  <si>
    <t>CRONICAS</t>
  </si>
  <si>
    <t>TOTAL CRONICAS</t>
  </si>
  <si>
    <t>EPIDEMIOLOGIA</t>
  </si>
  <si>
    <t>TOTAL EPIDEMIOLOGIA</t>
  </si>
  <si>
    <t>ADHESIVOS P/ODONTOLOGIA; PRESENTACION: FRASCO X 4,5 mm, TIPO: ADHESIVO+PRIMER, USO: ODONTOLOGICO</t>
  </si>
  <si>
    <t>AGUJA CARPULE CORTA 21 MM CAJA X 100 UNID.</t>
  </si>
  <si>
    <t>AGUJA CARPULE EXTRACORTA 12 MM CAJA X 100 UNID.</t>
  </si>
  <si>
    <t>AGUJA CARPULE INTERMEDIA 25 MM CAJA X 100 UNID.</t>
  </si>
  <si>
    <t>ALGINATOS CROMATICO CA37 PAQ. X 450 G</t>
  </si>
  <si>
    <t>BROCHITAS PARA LIMPIEZA CONTRAANGULO X 100 UNID</t>
  </si>
  <si>
    <t>TUBO</t>
  </si>
  <si>
    <t>CADENA P/ BABERO METALICA</t>
  </si>
  <si>
    <t>CARIOSTATICO FLUORSILVER 5 ML REMINERALIZADOR FLUORURO DIAMINO 38 %</t>
  </si>
  <si>
    <t>CERA ROSA LAMINA X 1KG USO ODONTOLOGICO</t>
  </si>
  <si>
    <t>CLIP PARA RX METALICO X 7 UNID</t>
  </si>
  <si>
    <t>BOLSA</t>
  </si>
  <si>
    <t>TABLETA</t>
  </si>
  <si>
    <t>FLAMEADORES</t>
  </si>
  <si>
    <t>FORMOCRESOL, PRESENTACION: FRASCO X 20 mL, ESTADO: LIQUIDO</t>
  </si>
  <si>
    <t>FRESA DE GATE Nº1</t>
  </si>
  <si>
    <t>FRESA DE GATE Nº2</t>
  </si>
  <si>
    <t>FRESA DE GATE Nº3</t>
  </si>
  <si>
    <t>GOMA DIQUE CAJA X 52 UNID</t>
  </si>
  <si>
    <t>HIDROXIDO DE CALCIO PASTA/PASTA</t>
  </si>
  <si>
    <t>JERINGA CARPULE</t>
  </si>
  <si>
    <t>JERINGA TRIPLE</t>
  </si>
  <si>
    <t>LIMAS FLEXIBLES 1º SERIE 25 MM X 6 UN</t>
  </si>
  <si>
    <t>LIMAS H FILE 2º SERIE 25 MM X 6 UN</t>
  </si>
  <si>
    <t>LIMAS H FILES 1º SERIE 25 MM X 6 UN</t>
  </si>
  <si>
    <t>LIMAS HESTROM X 6 UN</t>
  </si>
  <si>
    <t>LIMAS K 1º SERIE 21 MM X 6 UN</t>
  </si>
  <si>
    <t>LIMAS K 1º SERIE 25MM X 6 UN</t>
  </si>
  <si>
    <t>LIMAS K 1º SERIE 31MM X 6 UN</t>
  </si>
  <si>
    <t>LIMAS K 2º SERIE 25 MM X 6 UN</t>
  </si>
  <si>
    <t>LIMAS K 2º SERIE 31MM X 6 UN</t>
  </si>
  <si>
    <t>MANGO DE BISTURI NRO  3</t>
  </si>
  <si>
    <t>MANGO PARA ESPEJO METALICO</t>
  </si>
  <si>
    <t>MONOMERO AUTOCURADO 1 LT</t>
  </si>
  <si>
    <t>PASTA TIZA PARA PULIR (BARRA DE ALTO BRILLO) USO ODONTOLOGICO</t>
  </si>
  <si>
    <t>PASTAS P/ODONTOLOGIA; USO: OBTURACION, TIPO: GUTAPERCHA, PRESENTACION: ENVASE X 25 GR</t>
  </si>
  <si>
    <t>PINZA DE ALGODÓN</t>
  </si>
  <si>
    <t>PINZA DE DISECCION MANO IZQ</t>
  </si>
  <si>
    <t>PLACA BASE INFERIOR X 100 UN</t>
  </si>
  <si>
    <t>PLACA BASE SUPERIOR X 100 UN</t>
  </si>
  <si>
    <t>RESINA  A1 JERINGA X 4GR</t>
  </si>
  <si>
    <t>RESINA  B2 JERINGA X 4GR</t>
  </si>
  <si>
    <t>RESINA A2 JERINGA X 4GR</t>
  </si>
  <si>
    <t>RESINA A3 JERINGA X 4 GR</t>
  </si>
  <si>
    <t>RESINA A3.5 JERINGA X 4 GR</t>
  </si>
  <si>
    <t>RESINA FLOW A1</t>
  </si>
  <si>
    <t>RESINA FLOW A2</t>
  </si>
  <si>
    <t>RESINA FLOW A3</t>
  </si>
  <si>
    <t>SEPARADOR DE YESO X 1 LT</t>
  </si>
  <si>
    <t>SUCTOR, DESCARTABLE: SI, PRESENTACION: ENVASE X 100 UN</t>
  </si>
  <si>
    <t>SUTURA TAGUM 3/0</t>
  </si>
  <si>
    <t>BLISTER</t>
  </si>
  <si>
    <t>YESO PIEDRA POR 25KG</t>
  </si>
  <si>
    <t>YESO TALLER POR 25 KG</t>
  </si>
  <si>
    <t>TOTAL RUBRO INSUMOS PARA ODONTOLOGIA</t>
  </si>
  <si>
    <t>MS</t>
  </si>
  <si>
    <t>TOTAL MS</t>
  </si>
  <si>
    <t>CERA UTILITY ROJA X 200 GM USO ODONTOLOGICO UNIDAD</t>
  </si>
  <si>
    <t>GOMA SILICONADA PARA PROTESIS</t>
  </si>
  <si>
    <t>POLIMERO AUTOCURADO 1 KG T/ NEW POLL</t>
  </si>
  <si>
    <t>POLIMERO TERMOCURADO 1 KG T/ NEW POLL</t>
  </si>
  <si>
    <t xml:space="preserve">PORTA AGUJA 15 cm </t>
  </si>
  <si>
    <t>ROLLO DE ALGODÓN X 500 UNIDADES (0,375X 1-1/2") ODONTOLOGICO</t>
  </si>
  <si>
    <t>SELLADOR DE FOSAS Y FISURAS X 1,5 GM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</si>
  <si>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</si>
  <si>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</si>
  <si>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</si>
  <si>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</si>
  <si>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Calidad Minima esperada</t>
  </si>
  <si>
    <t>Mantenimiento</t>
  </si>
  <si>
    <t>cuarenta y cinco (45) días</t>
  </si>
  <si>
    <t>DIR. PROV. DE ODONTOLOGIA - CHACABUCO N° 169 - en el horario de 8:00hs a 12:00hs de lunes a viernes</t>
  </si>
  <si>
    <t>PLACAS RADIOGRAFICAS; P/ODONTOLOGIA X 150 UNIDADES</t>
  </si>
  <si>
    <t>LIMAS K 2º SERIE 21 MM X 6 UN</t>
  </si>
  <si>
    <t>LIQUIDO REVELADOR T/ROMEK X 480 CC</t>
  </si>
  <si>
    <t>MATRIZ DE ACERO 6 MM</t>
  </si>
  <si>
    <t xml:space="preserve">MEMBRANA T/TISSUM 2.0 X 3.0 </t>
  </si>
  <si>
    <t>MONOMERO TERMOCURABLE X 1 LT T/ NEW POL</t>
  </si>
  <si>
    <t>FRESA DE CARBURO FG/CA MD REDONDA Nº 4</t>
  </si>
  <si>
    <t>FRESA DE CARBURO FG/CA MD REDONDA Nº 5</t>
  </si>
  <si>
    <t>FRESA DE CARBURO FG/CA MD REDONDA Nº 6</t>
  </si>
  <si>
    <t>2.9.5-5144.249</t>
  </si>
  <si>
    <t>2.9.5-5144.244</t>
  </si>
  <si>
    <t>2.9.5-5144.245</t>
  </si>
  <si>
    <t>2.9.5-5144.246</t>
  </si>
  <si>
    <t>2.9.5-5144.247</t>
  </si>
  <si>
    <t>2.9.5-5144.248</t>
  </si>
  <si>
    <t>2.9.5-5144.253</t>
  </si>
  <si>
    <t>2.9.5-5144.254</t>
  </si>
  <si>
    <t>CONO DE GUTAPERCHA 1º SERIE  15-40 MM</t>
  </si>
  <si>
    <t>CONO DE GUTAPERCHA 2º SERIE 45-80 MM</t>
  </si>
  <si>
    <t>CONOS DE FIELTRO</t>
  </si>
  <si>
    <t>CONOS DE PAPEL 1º SERIE 15-40</t>
  </si>
  <si>
    <t>CONOS DE PAPEL 2º SERIE 45-80</t>
  </si>
  <si>
    <t>CONOS GUTA PERCHA 20 MM</t>
  </si>
  <si>
    <t>CONOS GUTA PERCHA 25MM</t>
  </si>
  <si>
    <t>CONOS GUTA PERCHA 30 MM</t>
  </si>
  <si>
    <t>CONOS GUTA PERCHA 35 MM</t>
  </si>
  <si>
    <t>CONOS GUTA PERCHA 40 MM</t>
  </si>
  <si>
    <t>CONOS GUTA PERCHA 45 MM</t>
  </si>
  <si>
    <t>FRESA ENDO Z</t>
  </si>
  <si>
    <t>IODOFORMO POLVO</t>
  </si>
  <si>
    <t>IONOMERO VITREO AUTO P/ RESTAURACION</t>
  </si>
  <si>
    <t>IONOMERO VITREO FOTO P/ RESTAURACION</t>
  </si>
  <si>
    <t>IONOMERO VITREO P/ CEMENTACION</t>
  </si>
  <si>
    <t>SUTURAS 0/3</t>
  </si>
  <si>
    <t>SUTURAS 0/4</t>
  </si>
  <si>
    <t>SUTURAS 0/5</t>
  </si>
  <si>
    <t>TIRA NERVIOS BLISTER X 10 UN</t>
  </si>
  <si>
    <t>XILOL PURO X 20 ML</t>
  </si>
  <si>
    <t>2.9.5-441.82</t>
  </si>
  <si>
    <t>2.5.6-7104.276</t>
  </si>
  <si>
    <t>2.5.2-3204.13</t>
  </si>
  <si>
    <t>2.9.5-441.119</t>
  </si>
  <si>
    <t>2.9.5-441.428</t>
  </si>
  <si>
    <t>2.5.2-3202.2</t>
  </si>
  <si>
    <t>2.5.2-1883.37</t>
  </si>
  <si>
    <t>2.5.2-1883.135</t>
  </si>
  <si>
    <t>2.5.2-1723.59</t>
  </si>
  <si>
    <t>ANTISEPTICOS LOCALES P/PERSONA; DROGA GENERICA: EDTAC,  SOLUCION, PRESENTACION: FRASCO X 20 mL</t>
  </si>
  <si>
    <t>2.9.9-3095.4</t>
  </si>
  <si>
    <t>2.9.5-5144.462</t>
  </si>
  <si>
    <t>2.9.5-5507.2</t>
  </si>
  <si>
    <t>2.9.5-2563.4</t>
  </si>
  <si>
    <t>2.9.5-5144.593</t>
  </si>
  <si>
    <t>2.9.5-5144.481</t>
  </si>
  <si>
    <t>2.9.5-5144.563</t>
  </si>
  <si>
    <t>2.9.5-5144.107</t>
  </si>
  <si>
    <t>2.9.5-5144.397</t>
  </si>
  <si>
    <t>2.9.5-5144.408</t>
  </si>
  <si>
    <t>2.9.5-5144.242</t>
  </si>
  <si>
    <t>CONOS DE GUTA PERCHA CONDENSACION LATERAL X 120 F</t>
  </si>
  <si>
    <t>CONOS DE GUTA PERCHA CONDENSACION LATERAL X 120 FF</t>
  </si>
  <si>
    <t>CONOS DE GUTA PERCHA CONDENSACION LATERAL X 120 FM</t>
  </si>
  <si>
    <t>CONOS DE GUTA PERCHA CONDENSACION LATERAL  X 120 M</t>
  </si>
  <si>
    <t>CONOS DE GUTA PERCHA CONDENSACION LATERAL X 120 MF</t>
  </si>
  <si>
    <t>2.9.5-5861.16</t>
  </si>
  <si>
    <t>2.9.5-5144.39</t>
  </si>
  <si>
    <t>2.5.2-1723.53</t>
  </si>
  <si>
    <t>EUGENOL X 20 ml</t>
  </si>
  <si>
    <t>2.9.5-5144.227</t>
  </si>
  <si>
    <t>2.5.2-5142.6</t>
  </si>
  <si>
    <t>2.9.5-2567.202</t>
  </si>
  <si>
    <t>2.9.5-2567.203</t>
  </si>
  <si>
    <t>2.9.5-2567.204</t>
  </si>
  <si>
    <t>2.9.5-5144.323</t>
  </si>
  <si>
    <t>2.9.5-5514.37</t>
  </si>
  <si>
    <t>2.9.5-444.24</t>
  </si>
  <si>
    <t>2.9.5-5144.123</t>
  </si>
  <si>
    <t>2.5.2-1723.148</t>
  </si>
  <si>
    <t>FRESA DE CARBURO FG/CA MD CILINDRICA 55</t>
  </si>
  <si>
    <t>FRESA DE CARBURO FG/CA MD CILINDRICA 58</t>
  </si>
  <si>
    <t>2.9.5-2567.66</t>
  </si>
  <si>
    <t>2.9.5-2567.67</t>
  </si>
  <si>
    <t>2.9.5-2567.68</t>
  </si>
  <si>
    <t>FRESA DE CARBURO FG/CA MD REDONDA Nº 7</t>
  </si>
  <si>
    <t>FRESA DE CARBURO FG/CA MD REDONDA Nº 8</t>
  </si>
  <si>
    <t>2.9.5-2567.142</t>
  </si>
  <si>
    <t>2.9.5-2567.143</t>
  </si>
  <si>
    <t>2.9.5-2567.144</t>
  </si>
  <si>
    <t>2.9.5-2567.145</t>
  </si>
  <si>
    <t>2.9.5-2567.146</t>
  </si>
  <si>
    <t>2.9.5-2567.152</t>
  </si>
  <si>
    <t>FRESA DE CIRUGIA MD CILINDRICA DENTADA 557</t>
  </si>
  <si>
    <t>FRESA DE CIRUGIA MD CILINDRICA DENTADA 558</t>
  </si>
  <si>
    <t>2.9.5-2567.55</t>
  </si>
  <si>
    <t>2.9.5-2567.212</t>
  </si>
  <si>
    <t>2.9.5-5144.155</t>
  </si>
  <si>
    <t>2.7.5-421.19</t>
  </si>
  <si>
    <t>2.5.2-5143.3</t>
  </si>
  <si>
    <t>2.5.2-5143.19</t>
  </si>
  <si>
    <t>2.5.2-5143.29</t>
  </si>
  <si>
    <t>2.9.5-5144.10</t>
  </si>
  <si>
    <t>2.9.5-5144.496</t>
  </si>
  <si>
    <t>2.9.5-2538.161</t>
  </si>
  <si>
    <t>2.9.5-2538.163</t>
  </si>
  <si>
    <t>2.9.5-2538.170</t>
  </si>
  <si>
    <t>2.9.5-2538.177</t>
  </si>
  <si>
    <t>2.9.5-2538.172</t>
  </si>
  <si>
    <t>2.9.5-2538.169</t>
  </si>
  <si>
    <t>2.9.5-2538.166</t>
  </si>
  <si>
    <t>2.9.5-2538.164</t>
  </si>
  <si>
    <t>2.9.5-2538.167</t>
  </si>
  <si>
    <t>FRESA DE CIRUGIA MD REDONDA 6</t>
  </si>
  <si>
    <t>FRESA DE CIRUGIA MD REDONDA 4</t>
  </si>
  <si>
    <t>2.9.5-2567.238</t>
  </si>
  <si>
    <t>2.9.5-2567.237</t>
  </si>
  <si>
    <t>2.9.5-4208.22</t>
  </si>
  <si>
    <t>2.5.9-2402.6</t>
  </si>
  <si>
    <t>2.9.5-5627.9</t>
  </si>
  <si>
    <t>2.9.5-5144.9</t>
  </si>
  <si>
    <t>2.9.5-5144.177</t>
  </si>
  <si>
    <t>2.9.5-5144.518</t>
  </si>
  <si>
    <t>2.9.5-5144.331</t>
  </si>
  <si>
    <t>2.9.5-5144.330</t>
  </si>
  <si>
    <t>2.9.5-5144.358</t>
  </si>
  <si>
    <t>2.5.2-2322.20</t>
  </si>
  <si>
    <t>2.9.5-5514.1</t>
  </si>
  <si>
    <t>2.9.5-5514.7</t>
  </si>
  <si>
    <t>2.9.5-5514.22</t>
  </si>
  <si>
    <t>2.9.5-2567.239</t>
  </si>
  <si>
    <t>PIEDRA DIAMANTE MICRO FG CONICA EXTREMO LLAMA 170</t>
  </si>
  <si>
    <t>PIEDRA DIAMANTE MICRO FG CONICA EXTREMO LLAMA 171</t>
  </si>
  <si>
    <t>2.9.5-2567.169</t>
  </si>
  <si>
    <t>2.9.5-2567.170</t>
  </si>
  <si>
    <t>PIEDRA DIAMANTE MICRO FG REDONDA 2</t>
  </si>
  <si>
    <t>PIEDRA DIAMANTE MICRO FG REDONDA 3</t>
  </si>
  <si>
    <t>PIEDRA DIAMANTE MICRO FG REDONDA 4</t>
  </si>
  <si>
    <t>PIEDRA DIAMANTE MICRO FG REDONDA 5</t>
  </si>
  <si>
    <t>PIEDRA DIAMANTE MICRO FG REDONDA 6</t>
  </si>
  <si>
    <t>2.9.5-2567.161</t>
  </si>
  <si>
    <t>2.9.5-2567.162</t>
  </si>
  <si>
    <t>2.9.5-2567.163</t>
  </si>
  <si>
    <t>2.9.5-2567.164</t>
  </si>
  <si>
    <t>2.9.5-2567.165</t>
  </si>
  <si>
    <t>2.9.5-2567.201</t>
  </si>
  <si>
    <t>2.9.5-5144.562</t>
  </si>
  <si>
    <t>2.9.5-5144.8</t>
  </si>
  <si>
    <t>2.9.5-5144.184</t>
  </si>
  <si>
    <t>2.9.5-472.4</t>
  </si>
  <si>
    <t>2.9.5-5144.176</t>
  </si>
  <si>
    <t>2.9.5-5144.175</t>
  </si>
  <si>
    <t>2.5.9-945.17</t>
  </si>
  <si>
    <t>2.5.2-6021.4</t>
  </si>
  <si>
    <t>2.5.2-2327.29</t>
  </si>
  <si>
    <t>2.9.5-472.71</t>
  </si>
  <si>
    <t>2.9.5-5144.453</t>
  </si>
  <si>
    <t>2.9.5-5514.5</t>
  </si>
  <si>
    <t>2.9.5-5514.12</t>
  </si>
  <si>
    <t>2.9.5-470.29</t>
  </si>
  <si>
    <t>2.9.5-5514.10</t>
  </si>
  <si>
    <t>2.9.5-5144.195</t>
  </si>
  <si>
    <t>2.9.5-5144.536</t>
  </si>
  <si>
    <t>2.9.5-2496.21</t>
  </si>
  <si>
    <t>2.9.5-2496.30</t>
  </si>
  <si>
    <t>2.9.5-2496.26</t>
  </si>
  <si>
    <t>2.9.5-5144.90</t>
  </si>
  <si>
    <t>2.9.5-5144.459</t>
  </si>
  <si>
    <t>2.9.5-5144.568</t>
  </si>
  <si>
    <t>2.9.5-5144.537</t>
  </si>
  <si>
    <t>2.9.5-5144.540</t>
  </si>
  <si>
    <t>VASOS POR 3500 UNI</t>
  </si>
  <si>
    <t>2.5.2-9146.7</t>
  </si>
  <si>
    <t>2.5.2-9146.8</t>
  </si>
  <si>
    <t>2.5.1-9007.204</t>
  </si>
  <si>
    <t>TERCERO</t>
  </si>
  <si>
    <t>ACEITES LUBRICANTES; USO: MAQUINA, PRESENTACION: AEROSOL X 400 CM3, NORMA: MULTIUSO</t>
  </si>
  <si>
    <t>ACIDO GRABADOR ODONTOLOG.; ESTADO: GEL, PRESENTACION: JERINGA X 12 GR, CAPACIDAD: 12 GR</t>
  </si>
  <si>
    <t>AGUJAS QUIRURGICAS; TIPO: CARPULE, ESPECIFICACION: CORTA, UNIDAD VENTA: CAJA X 100, PRESENTACION: CAJA X 100</t>
  </si>
  <si>
    <t>AGUJAS QUIRURGICAS; TIPO: CARPULE, ESPECIFICACION: EXTRA CORTAS, PRESENTACION: ENVASE X 100 UN</t>
  </si>
  <si>
    <t>AGUJAS QUIRURGICAS; TIPO: CARPULE, ESPECIFICACION: LARGA, PRESENTACION: CAJA X 100, UNIDAD VENTA: CAJA X 100</t>
  </si>
  <si>
    <t>PASTAS P/IMPRESION DENTAL; PRODUCTO: ALIGINATO KROMOPAN, PRESENTACION: SOBRE X 450 GR, DESCRIPCION: ALGINATO CROMATICO</t>
  </si>
  <si>
    <t>ANESTESICOS LOCALES; TIPO: SIN VALOR, DROGA GENERICA: CLORHIDRATO DE CARTICAINA 4%, FORMA FARMACEUTICA: ANESTUBO CARPULE, PRESENTACION: CAJA X 50 UN</t>
  </si>
  <si>
    <t>ANESTESICOS LOCALES; TIPO: MONODROGA, DROGA GENERICA: LIDOCAINA 5%, FORMA FARMACEUTICA: GEL, PRESENTACION: ENVASE X 18 GR</t>
  </si>
  <si>
    <t>BABEROS; TIPO: DESCARTABLE, MATERIAL: FISELINA NO ESTERIL, PRESENTACION: CAJA X 100 UN</t>
  </si>
  <si>
    <t>INSTRUMENTAL ODONTOLOGICO; TIPO: PINCEL MICROBRUSH, DESCARTABLE: SI, PRESENTACION: ENVASE X 100 UN</t>
  </si>
  <si>
    <t>CADENAS P/BABEROS; MATERIAL : 147 dBV/mPa , USO: ODONTOLOGIA, MATERIAL: METAL</t>
  </si>
  <si>
    <t>CARIOSTATICOS; ENVASE: AVIO X 5 mL, PRESENTACION: AVIO X 5 mL</t>
  </si>
  <si>
    <t>INSTRUMENTAL ODONTOLOGICO; TIPO: CEPILLO DE 4 HILERAS, DESCARTABLE: SI, PRESENTACION: UNIDAD</t>
  </si>
  <si>
    <t>PARA PULIR PROTESIS</t>
  </si>
  <si>
    <t>INSTRUMENTAL ODONTOLOGICO; TIPO: CLIP P/RADIOGRAFIA, DESCARTABLE: NO, PRESENTACION: UNIDAD</t>
  </si>
  <si>
    <t>INSTRUMENTAL ODONTOLOGICO; TIPO: COMPRESA P/PLATINA AZUL, DESCARTABLE: SI, PRESENTACION: CAJA X 500 UN</t>
  </si>
  <si>
    <t>INSTRUMENTAL ODONTOLOGICO; TIPO: CONO GUTAPERCHA Nº 15-40, DESCARTABLE: SI, PRESENTACION: CAJA X 120</t>
  </si>
  <si>
    <t>INSTRUMENTAL ODONTOLOGICO; TIPO: CONO GUTAPERCHA Nº45/80, DESCARTABLE: SI, PRESENTACION: CAJA X 120</t>
  </si>
  <si>
    <t>INSTRUMENTAL ODONTOLOGICO; TIPO: CONO DE FIELTRO, PRESENTACION: UNIDAD, DESCARTABLE: NO</t>
  </si>
  <si>
    <t>INSTRUMENTAL ODONTOLOGICO; TIPO: CONO CONDENS. LAT. XX FINE, DESCARTABLE: SI, PRESENTACION: CAJA X 120</t>
  </si>
  <si>
    <t>INSTRUMENTAL ODONTOLOGICO; TIPO: CONO DE PAPEL Nº 15-40, DESCARTABLE: SI, PRESENTACION: UNIDAD</t>
  </si>
  <si>
    <t>INSTRUMENTAL ODONTOLOGICO; TIPO: CONO DE PAPEL Nº 45-80, DESCARTABLE: SI, PRESENTACION: UNIDAD</t>
  </si>
  <si>
    <t>INSTRUMENTAL ODONTOLOGICO; TIPO: CONO GUTAPERCHA Nº20, DESCARTABLE: SI, PRESENTACION: UNIDAD</t>
  </si>
  <si>
    <t>INSTRUMENTAL ODONTOLOGICO; TIPO: CONO GUTAPERCHA Nº25, DESCARTABLE: SI, PRESENTACION: UNIDAD</t>
  </si>
  <si>
    <t>INSTRUMENTAL ODONTOLOGICO; TIPO: CONO GUTAPERCHA Nº30, DESCARTABLE: SI, PRESENTACION: UNIDAD</t>
  </si>
  <si>
    <t>INSTRUMENTAL ODONTOLOGICO; TIPO: CONO GUTAPERCHA Nº35, DESCARTABLE: SI, PRESENTACION: UNIDAD</t>
  </si>
  <si>
    <t>INSTRUMENTAL ODONTOLOGICO; TIPO: CONO GUTAPERCHA Nº40, DESCARTABLE: SI, PRESENTACION: UNIDAD</t>
  </si>
  <si>
    <t>INSTRUMENTAL ODONTOLOGICO; TIPO: CONO GUTAPERCHA Nº45, DESCARTABLE: SI, PRESENTACION: UNIDAD</t>
  </si>
  <si>
    <t>JUEGO DE DIENTES; MATERIAL: ACRILICO, CANTIDAD SUP-ANT: SIN VALOR, CANTIDAD SUP-POST: SIN VALOR, CANTIDAD INF-ANT: SIN VALOR, CANTIDAD INF-POST: 14 TABLETAS</t>
  </si>
  <si>
    <t>INSTRUMENTAL ODONTOLOGICO; TIPO: ESPACIADOR P/CONOS GUTA-PERCHA, DESCARTABLE: NO, PRESENTACION: UNIDAD</t>
  </si>
  <si>
    <t>ESPACIADOR P/CONOS GUTA-PERCHA, CAJA X 6 UNIDADES</t>
  </si>
  <si>
    <t>DIENTES DE ACRILICO TABLETA X 14</t>
  </si>
  <si>
    <t>ANTISEPTICOS LOCALES P/PERSONA; TIPO: MONODROGA, DROGA GENERICA: EUGENOL, FORMA FARMACEUTICA: LIQUIDO, PRESENTACION: FRASCO X 20 mL</t>
  </si>
  <si>
    <t>INSTRUMENTAL ODONTOLOGICO; TIPO: FLAMEADOR, DESCARTABLE: NO, PRESENTACION: UNIDAD</t>
  </si>
  <si>
    <t>TOPICOS ODONTOLOGICOS; DROGA GENERICA: FORMOCRESOL, PRESENTACION: FRASCO X 20 mL, ESTADO: LIQUIDO, FORMA DE PRESENTACION: LIQUIDO</t>
  </si>
  <si>
    <t>FRESAS P/ODONTOLOGIA; MATERIAL: CARBURO DE TUNGSTENO, Nº: 55, LARGO: 20 mm, TIPO: CILINDRICA, NUMERO: 55</t>
  </si>
  <si>
    <t>FRESAS P/ODONTOLOGIA; MATERIAL: CARBURO DE TUNGSTENO, Nº: 57, LARGO: 20 mm, TIPO: CILINDRICA, NUMERO: 57</t>
  </si>
  <si>
    <t>FRESAS P/ODONTOLOGIA; MATERIAL: CARBURO DE TUNGSTENO, Nº: 58, LARGO: 20 mm, TIPO: CILINDRICA, NUMERO: 58</t>
  </si>
  <si>
    <t>FRESAS P/ODONTOLOGIA; MATERIAL: CARBURO DE TUNGSTENO, NUMERO: 4, LARGO: STANDAR, TIPO: REDONDA FG</t>
  </si>
  <si>
    <t>FRESAS P/ODONTOLOGIA; MATERIAL: CARBURO DE TUNGSTENO, NUMERO: 5, LARGO: STANDAR, TIPO: REDONDA FG</t>
  </si>
  <si>
    <t>FRESAS P/ODONTOLOGIA; MATERIAL: CARBURO DE TUNGSTENO, NUMERO: 6, LARGO: STANDAR, TIPO: REDONDA FG</t>
  </si>
  <si>
    <t>FRESAS P/ODONTOLOGIA; MATERIAL: CARBURO DE TUNGSTENO, NUMERO: 7, LARGO: STANDAR, TIPO: REDONDA FG</t>
  </si>
  <si>
    <t>FRESAS P/ODONTOLOGIA; MATERIAL: CARBURO DE TUNGSTENO, NUMERO: 8, LARGO: STANDAR, TIPO: REDONDA FG</t>
  </si>
  <si>
    <t>FRESAS P/ODONTOLOGIA; MATERIAL: CARBURO DE TUNGSTENO, Nº: 557, LARGO: 25 mm, TIPO: CILINDRICA, NUMERO: 557</t>
  </si>
  <si>
    <t>FRESAS P/ODONTOLOGIA; MATERIAL: CARBURO DE TUNGSTENO, NUMERO: 558 L, LARGO: STANDAR, TIPO: CILINDRICA DENTADA FG</t>
  </si>
  <si>
    <t>FRESAS P/ODONTOLOGIA; MATERIAL: ACERO INOXIDABLE, NUMERO: 4, LARGO: 22 mm, TIPO: CIRUGIA P/EXTRACCIONES</t>
  </si>
  <si>
    <t>FRESAS P/ODONTOLOGIA; MATERIAL: ACERO INOXIDABLE, NUMERO: 6, LARGO: 25 mm, TIPO: CIRUGIA FG MD</t>
  </si>
  <si>
    <t>FRESAS P/ODONTOLOGIA; MATERIAL: ACERO INOXIDABLE, NUMERO: 1, LARGO: 32 mm, TIPO: GATES</t>
  </si>
  <si>
    <t>FRESAS P/ODONTOLOGIA; MATERIAL: ACERO INOXIDABLE, NUMERO: 2, LARGO: 32 mm, TIPO: GATES</t>
  </si>
  <si>
    <t>FRESAS P/ODONTOLOGIA; MATERIAL: ACERO INOXIDABLE, NUMERO: 3, LARGO: 32 mm, TIPO: GATES</t>
  </si>
  <si>
    <t>FRESAS P/ODONTOLOGIA; MATERIAL: CARBURO DE TUNGSTENO, NUMERO: SIN, LARGO: STANDAR, TIPO: ENDOZETA P/ENDODONCIA</t>
  </si>
  <si>
    <t>INSTRUMENTAL ODONTOLOGICO; TIPO: GOMA DIQUE, DESCARTABLE: SI, PRESENTACION: ENVASE X 52 UN</t>
  </si>
  <si>
    <t>INSTRUMENTAL ODONTOLOGICO; TIPO: GOMA SILICONADA P/PIEZA DE MAN, DESCARTABLE: NO, PRESENTACION: UNIDAD</t>
  </si>
  <si>
    <t>PASTAS P/ODONTOLOGIA; TIPO: HIDROXIDO DE CALCIO FRAGUABLE, USO: PROTECTOR PULPAR INDIRECTO, PRESENTACION: AVIO 13 GRS/11 GRS</t>
  </si>
  <si>
    <t>HOJAS DE BISTURI; TIPO: CAJA X 100 UN, Nº: 15, NUMERO: 15</t>
  </si>
  <si>
    <t>HOJAS DE SIERRA; DIENTES X PULGADA: SIN VALOR, LONG.DE CUERPO: 14 Cm, TIPO: COMUN</t>
  </si>
  <si>
    <t>INSTRUMENTAL ODONTOLOGICO; TIPO: LOSETA DE VIDRIO 6 X 8 X 0,5CM, DESCARTABLE: NO, PRESENTACION: UNIDAD</t>
  </si>
  <si>
    <t>ANTISEPTICOS LOCALES P/PERSONA; TIPO: MONODROGA, DROGA GENERICA: IODOFORMO, FORMA FARMACEUTICA: POLVO, PRESENTACION: ENVASE X 20 GR</t>
  </si>
  <si>
    <t>IONOMEROS VITREOS; USO: AUTOCURADO, ESTADO: POLVO - LIQUIDO, PRESENTACION: AVIO 30 GRS/12 ML, FORMA DE PRESENTACION: POLVO - LIQUIDO</t>
  </si>
  <si>
    <t>IONOMEROS VITREOS; USO: FOTOCURADO, ESTADO: POLVO, PRESENTACION: LIQUIDO X10ML - POLVO X 15 GRS, FORMA DE PRESENTACION: POLVO</t>
  </si>
  <si>
    <t>IONOMEROS VITREOS; USO: CEMENTADO, ESTADO: POLVO, PRESENTACION: ENVASE X 10 GR, FORMA DE PRESENTACION: POLVO</t>
  </si>
  <si>
    <t>INSTRUMENTAL ODONTOLOGICO; TIPO: JERINGAS TIPO CARPULE, PRESENTACION: UNIDAD, DESCARTABLE: NO</t>
  </si>
  <si>
    <t>INSTRUMENTAL ODONTOLOGICO; TIPO: JERINGA TRIPLE, DESCARTABLE: NO, PRESENTACION: UNIDAD</t>
  </si>
  <si>
    <t>LIMAS P/ODONTOLOGIA; MATERIAL: ACERO FLEXIBLE, NUMERO: 15 AL 40, LARGO: 25 mm, TIPO: LISA</t>
  </si>
  <si>
    <t>LIMAS P/ODONTOLOGIA; MATERIAL: ACERO INOXIDABLE, NUMERO: 45 AL 80, LARGO: 25 mm, TIPO: HEDSTROEM</t>
  </si>
  <si>
    <t>LIMAS P/ODONTOLOGIA; MATERIAL: ACERO INOXIDABLE, NUMERO: 15 AL 40, LARGO: 25 mm, TIPO: HEDSTROEM</t>
  </si>
  <si>
    <t>LIMAS P/ODONTOLOGIA; MATERIAL: ACERO INOXIDABLE, NUMERO: 15 AL 40, LARGO: 21 mm, TIPO: HEDSTROEM</t>
  </si>
  <si>
    <t>LIMAS P/ODONTOLOGIA; MATERIAL: ACERO INOXIDABLE, NUMERO: 15 AL 40, LARGO: 21 mm, TIPO: K</t>
  </si>
  <si>
    <t>LIMAS P/ODONTOLOGIA; MATERIAL: ACERO INOXIDABLE, NUMERO: 15 AL 40, LARGO: 25 mm, TIPO: K</t>
  </si>
  <si>
    <t>LIMAS P/ODONTOLOGIA; MATERIAL: ACERO INOXIDABLE, NUMERO: 45 AL 80, LARGO: 21 mm, TIPO: K</t>
  </si>
  <si>
    <t>LIMAS P/ODONTOLOGIA; MATERIAL: CARBURO DE TUNGSTENO, NUMERO: 45/80, LARGO: 25 mm, TIPO: K</t>
  </si>
  <si>
    <t>LIMAS P/ODONTOLOGIA; MATERIAL: CARBURO DE TUNGSTENO, NUMERO: 45/80, LARGO: 31 mm, TIPO: K</t>
  </si>
  <si>
    <t>ELEMENTOS P/RADIOLOGIA; TIPO: LIQUIDO FIJADOR P/RX, PRESENTACION: ENVASE X 500 CM3</t>
  </si>
  <si>
    <t>REVELADORES P/RADIOLOGIA; PRESENTACION: BOTELLA, CAPACIDAD: 480 mL, SENSIBILIDAD: AL VERDE, PROCESO: MANUAL, PROCESO DE UTILIZACION: MANUAL</t>
  </si>
  <si>
    <t>MANGOS DE BISTURI; TIPO: MANGO DE BISTURI, USO: QUIRURGICO/VARIOS, CAMBIAR HOJAS: SI, NUMERO: 3, MATERIAL: ACERO QUIRURGICO</t>
  </si>
  <si>
    <t>INSTRUMENTAL ODONTOLOGICO; TIPO: MANGO PARA ESPEJO BUCAL, PRESENTACION: UNIDAD, DESCARTABLE: NO</t>
  </si>
  <si>
    <t>INSTRUMENTAL ODONTOLOGICO; DESCARTABLE: NO, PRESENTACION: UNIDAD, TIPO: MATRIZ METALICA</t>
  </si>
  <si>
    <t>INSTRUMENTAL ODONTOLOGICO; TIPO: MEMBRANA, DESCARTABLE: SI, PRESENTACION: UNIDAD</t>
  </si>
  <si>
    <t>INSTRUMENTAL ODONTOLOGICO; TIPO: MONOMERO AUTOCURABLE, DESCARTABLE: SI, PRESENTACION: ENVASE X 1 L</t>
  </si>
  <si>
    <t>INSTRUMENTAL ODONTOLOGICO; TIPO: MONOMERO TERMOCURABLE, DESCARTABLE: SI, PRESENTACION: ENVASE X 1 L</t>
  </si>
  <si>
    <t>INSTRUMENTAL ODONTOLOGICO; TIPO: PAPEL DE ARTICULAR- FORMA HERR, DESCARTABLE: SI, PRESENTACION: PAQUETE X 12 LIBRITOS</t>
  </si>
  <si>
    <t>CEMENTOS QUIRURGICOS; PRESENTACION: AVIO 13 GRS/11 GRS, TIPO: HIDROXIDO DE CALCIO FRAGUABLE, USO: ODONTOLOGIA</t>
  </si>
  <si>
    <t>PASTAS P/ODONTOLOGIA; TIPO: CON CIRCONES MOLIDOS SIN FLUOR, USO: PULIR, PRESENTACION: ENVASE X 45 GR</t>
  </si>
  <si>
    <t>PASTAS P/ODONTOLOGIA; USO: P/LIMPIEZA, TIPO: SIN FLUOR, PRESENTACION: ENVASE X 45 GR</t>
  </si>
  <si>
    <t>FRESAS P/ODONTOLOGIA; MATERIAL: PIEDRA DE DIAMANTE, NUMERO: SIN, LARGO: STANDAR, TIPO: CILINDRICA FG</t>
  </si>
  <si>
    <t>FRESAS P/ODONTOLOGIA; MATERIAL: PIEDRA DE DIAMANTE, NUMERO: 170, LARGO: STANDAR, TIPO: TRONCOCONICA FG</t>
  </si>
  <si>
    <t>FRESAS P/ODONTOLOGIA; MATERIAL: PIEDRA DE DIAMANTE, NUMERO: 171, LARGO: STANDAR, TIPO: TRONCOCONICA FG</t>
  </si>
  <si>
    <t>FRESAS P/ODONTOLOGIA; MATERIAL: PIEDRA DE DIAMANTE, NUMERO: 2, LARGO: STANDAR, TIPO: REDONDA FG</t>
  </si>
  <si>
    <t>FRESAS P/ODONTOLOGIA; MATERIAL: PIEDRA DE DIAMANTE, NUMERO: 3, LARGO: STANDAR, TIPO: REDONDA FG</t>
  </si>
  <si>
    <t>FRESAS P/ODONTOLOGIA; MATERIAL: PIEDRA DE DIAMANTE, NUMERO: 4, LARGO: STANDAR, TIPO: REDONDA FG</t>
  </si>
  <si>
    <t>FRESAS P/ODONTOLOGIA; MATERIAL: PIEDRA DE DIAMANTE, NUMERO: 5, LARGO: STANDAR, TIPO: REDONDA FG</t>
  </si>
  <si>
    <t>FRESAS P/ODONTOLOGIA; MATERIAL: PIEDRA DE DIAMANTE, NUMERO: 6, LARGO: STANDAR, TIPO: REDONDA FG</t>
  </si>
  <si>
    <t>FRESAS P/ODONTOLOGIA; MATERIAL: PIEDRA DE DIAMANTE, NUMERO: SIN, LARGO: STANDAR, TIPO: AGUJA GRANO ULTRA FINO FG</t>
  </si>
  <si>
    <t>INSTRUMENTAL ODONTOLOGICO; TIPO: PIEDRA POMEZ, DESCARTABLE: SI, PRESENTACION: ENVASE X 2 Kg</t>
  </si>
  <si>
    <t>INSTRUMENTAL ODONTOLOGICO; TIPO: PINZA DE ALGODON, DESCARTABLE: NO, PRESENTACION: UNIDAD</t>
  </si>
  <si>
    <t>INSTRUMENTAL ODONTOLOGICO; DESCARTABLE: NO, PRESENTACION: UNIDAD, TIPO: ALICATE DE CORTE Y MODELADO</t>
  </si>
  <si>
    <t>PINZAS DE CIRUGIA; TIPO: DISECCION SIN DIENTE, MEDIDA: 13 Cm</t>
  </si>
  <si>
    <t>INSTRUMENTAL ODONTOLOGICO; TIPO: PLACA BASE INFERIOR, DESCARTABLE: SIN VALOR, PRESENTACION: ENVASE X 100</t>
  </si>
  <si>
    <t>INSTRUMENTAL ODONTOLOGICO; TIPO: PLACA BASE SUPERIOR, DESCARTABLE: SIN VALOR, PRESENTACION: ENVASE X 100</t>
  </si>
  <si>
    <t>PLACAS RADIOGRAFICAS; SENSIBILIDAD: AL VERDE, DIMENSION: 31 X 41 mm</t>
  </si>
  <si>
    <t>ACRILICOS AUTOCURABLES; TIPO: POLIMERO DE AUTOPOLIMERIZACION, PRESENTACION: FRASCO X 1 Kg</t>
  </si>
  <si>
    <t>ACRILICOS TERMOCURABLES; TIPO: POLIMERO, PRESENTACION: ENVASE X 1 Kg</t>
  </si>
  <si>
    <t>PINZAS DE CIRUGIA; TIPO: PORTA AGUJA, MEDIDA: 15 Cm</t>
  </si>
  <si>
    <t>INSTRUMENTAL ODONTOLOGICO; TIPO: GOMA P/PULIR COMPOSITE, DESCARTABLE: NO, PRESENTACION: KIT</t>
  </si>
  <si>
    <t>PASTAS P/ODONTOLOGIA; USO: FOTOPOLIMERIZACION, TIPO: COMPOSITE HIBRIDO, PRESENTACION: JERINGA X 4 GR</t>
  </si>
  <si>
    <t>PASTAS P/ODONTOLOGIA; USO: FOTOPOLIMERIZACION, TIPO: COMPOSITE MICROHIBRIDO, PRESENTACION: JERINGA X 3 GR</t>
  </si>
  <si>
    <t>ALGODONES; TIPO: ESTERIL, CAPACIDAD: PAQUETE X 500 ROLLOS, PRESENTACION: ENVASE X 500</t>
  </si>
  <si>
    <t>PASTAS P/ODONTOLOGIA; PRESENTACION: JERINGA, USO: SELLADOR, TIPO: COMPOMERO</t>
  </si>
  <si>
    <t>INSTRUMENTAL ODONTOLOGICO; TIPO: SEPARADOR DE YESO ROSA, DESCARTABLE: SI, PRESENTACION: 1 L</t>
  </si>
  <si>
    <t>INSTRUMENTAL ODONTOLOGICO; TIPO: SUCTOR, DESCARTABLE: SI, PRESENTACION: ENVASE X 100 UN</t>
  </si>
  <si>
    <t>SUTURAS MECANICAS; TIPO: MONONYLON Nº 3/0 C/A, USO: QUIRURGICO, PRESENTACION: SOBRES</t>
  </si>
  <si>
    <t>SUTURAS MECANICAS; TIPO: MONOFILAMENTO 4/0, USO: QUIRURGICO, PRESENTACION: CAJA POR 25</t>
  </si>
  <si>
    <t>SUTURAS MECANICAS; TIPO: MONOFILAMENTO NYLON 5.0, USO: QUIRURGICO, PRESENTACION: CAJA X 24 UN</t>
  </si>
  <si>
    <t>INSTRUMENTAL ODONTOLOGICO; TIPO: TIRANERVIOS, DESCARTABLE: NO, PRESENTACION: UNIDAD</t>
  </si>
  <si>
    <t>INSTRUMENTAL ODONTOLOGICO; TIPO: MATRIZ ACETATO P/FRENTES, DESCARTABLE: SI, PRESENTACION: ENVASE X 96 UN</t>
  </si>
  <si>
    <t>INSTRUMENTAL ODONTOLOGICO; TIPO: TIRA P/PULIR. COMPOSITE-GR MED, DESCARTABLE: SI, PRESENTACION: ENVASE X 50 UN</t>
  </si>
  <si>
    <t>INSTRUMENTAL ODONTOLOGICO; TIPO: TIRA P/PULIR AMALGAMA, DESCARTABLE: SI, PRESENTACION: 2 UNIDADES</t>
  </si>
  <si>
    <t>INSTRUMENTAL ODONTOLOGICO; TIPO: VASOS, DESCARTABLE: SI, PRESENTACION: CAJA X 3500 UN</t>
  </si>
  <si>
    <t>YESOS; TIPO: PIEDRA P/ODONTOLOGIA, PRESENTACION: ENVASE X 25 Kg</t>
  </si>
  <si>
    <t>YESOS; TIPO: TALLER, PRESENTACION: ENVASE X 25 Kg</t>
  </si>
  <si>
    <t>COMP. HIDROXILADOS Y ALCOHOLES; COMPUESTO QUIMICO: XILOL, ESTADO: LIQUIDO, CALIDAD: PRO ANALISIS, CONCENTRACION/PUREZA: 99 %, PRESENTACION: ENVASE X 20 mL</t>
  </si>
  <si>
    <t>BABEROS DE FRISELINA DESCARTABLE USO ODONTOLOGICO</t>
  </si>
  <si>
    <t>HOJA DE BISTURI Nº 15 X 100 UNIDADES</t>
  </si>
  <si>
    <t>MICROBRUSH X 100 UNIDADES</t>
  </si>
  <si>
    <t>PAPEL DE ARTICULAR T/GABRIDENT AZUL CAJA X 12 UN</t>
  </si>
  <si>
    <t>2.5.2-5538.8</t>
  </si>
  <si>
    <t>ACEITE LUBRICANTE PARA PIEZA DE MANO ODONTOLOGICA X 400 ml</t>
  </si>
  <si>
    <t>ACIDO FOSFORICO 37% GEL JERINGA 12 GR</t>
  </si>
  <si>
    <t>ANESTESIA CLORHIDRATO DE CARTICAINA 4% CAJA X 50 ANESTUBOS</t>
  </si>
  <si>
    <t>ANESTESIA TOPICA LIDOCAINA 5 %  X 18 GR</t>
  </si>
  <si>
    <t>CEMENTOS QUIRURGICOS; PRESENTACION: ENVASE X 20 GR, TIPO: GROSSMAN, USO: ODONTOLOGIA</t>
  </si>
  <si>
    <t>2.5.2-2322.12</t>
  </si>
  <si>
    <t>CEMENTO GROSSMAN  AVIO 20 G</t>
  </si>
  <si>
    <t>INSTRUMENTAL ODONTOLOGICO; TIPO: DISCO P/PULIR COMPOSITE, DESCARTABLE: NO, PRESENTACION: CAJA X 50 UN</t>
  </si>
  <si>
    <t>2.9.5-5144.148</t>
  </si>
  <si>
    <t>DISCO SOFLEX PARA PULIR COMPOSITE</t>
  </si>
  <si>
    <t xml:space="preserve">HOJA DE SIERRA PARA SIERRA </t>
  </si>
  <si>
    <t>LIMAS P/ODONTOLOGIA; MATERIAL: CARBURO DE TUNGSTENO, NUMERO: 15/40, LARGO: 31 mm, TIPO: K</t>
  </si>
  <si>
    <t>2.9.5-2538.162</t>
  </si>
  <si>
    <t>LIQUIDO FIJADOR T/ROMEK X 500 CC</t>
  </si>
  <si>
    <t>PASTA P/ PULIR GLOSS BRILLO 45 GR</t>
  </si>
  <si>
    <t>PASTA PROPHY NF 45 GR</t>
  </si>
  <si>
    <t>PASTA DE HIDROXIDO DE CALCIO FOTOPOLIMERIZABLE, AVIO 13/11 GR</t>
  </si>
  <si>
    <t>PIEDRA DIAMANTE AGUJA GRANO FINO AMARILLO Y ROJO</t>
  </si>
  <si>
    <t>PIEDRA POMEZ X 2 KG</t>
  </si>
  <si>
    <t>ALICATE DE CORTE P/ PROTESIS</t>
  </si>
  <si>
    <t xml:space="preserve">PIEDRA DIAMANTE MICRO FG CILINDRICA </t>
  </si>
  <si>
    <t xml:space="preserve">GOMA PARA PULIR COMPOSITE </t>
  </si>
  <si>
    <t>TIRAS DE ACETATO X 96</t>
  </si>
  <si>
    <t>TIRAS PARA PULIR COMPOSITE X 50</t>
  </si>
  <si>
    <t>TIRAS PARA PULIR- METALICA X 2 UN</t>
  </si>
  <si>
    <t>ADHESIVO+PRIMER PARA USO ODONTOLOGICO</t>
  </si>
  <si>
    <t>COMPRESA DESCARTABLE  X 500 UNIDADES USO ODONTOLOGICO</t>
  </si>
  <si>
    <t>FRESA DE CARBURO FG/CA MD CILINDRICA 57</t>
  </si>
  <si>
    <t>LOSETA DE VIDRIO 6 X 8 X 0,5CM</t>
  </si>
  <si>
    <t>2.5.9-1687.7</t>
  </si>
  <si>
    <t>CERAS; TIPO: ROSA, USO: ODONTOLOGICO, CAPACIDAD: ENVASE X 1 Kg, PRESENTACION: ENVASE X 1 Kg</t>
  </si>
  <si>
    <t>2.5.9-1687.3</t>
  </si>
  <si>
    <t>CERAS; TIPO: UTILITY, USO: ODONTOLOGICO, CAPACIDAD: ENVASE X 200 GR, PRESENTACION: ENVASE X 200 GR</t>
  </si>
  <si>
    <t>2.5.2-5573.3</t>
  </si>
  <si>
    <t>PASTAS ODONTOLOGICAS P/PULIR; PRESENTACION: BARRA, TIPO: ALTO BRILLO</t>
  </si>
  <si>
    <t>diez (10)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</si>
</sst>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_-[$$-2C0A]\ * #,##0.00_-;\-[$$-2C0A]\ * #,##0.00_-;_-[$$-2C0A]\ * &quot;-&quot;??_-;_-@_-"/>
    <numFmt numFmtId="167" formatCode="_-* #,##0.00&quot; €&quot;_-;\-* #,##0.00&quot; €&quot;_-;_-* \-??&quot; €&quot;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7" fontId="8" fillId="0" borderId="0" applyBorder="0" applyProtection="0"/>
    <xf numFmtId="0" fontId="12" fillId="0" borderId="9" applyProtection="0"/>
    <xf numFmtId="0" fontId="13" fillId="4" borderId="0" applyBorder="0" applyProtection="0"/>
    <xf numFmtId="0" fontId="8" fillId="0" borderId="0"/>
    <xf numFmtId="0" fontId="8" fillId="0" borderId="0"/>
    <xf numFmtId="167" fontId="8" fillId="0" borderId="0" applyBorder="0" applyProtection="0"/>
    <xf numFmtId="0" fontId="12" fillId="0" borderId="9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7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4" fillId="0" borderId="0"/>
    <xf numFmtId="0" fontId="15" fillId="0" borderId="0"/>
    <xf numFmtId="0" fontId="8" fillId="0" borderId="0"/>
  </cellStyleXfs>
  <cellXfs count="110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3" fontId="7" fillId="0" borderId="2" xfId="2" applyNumberFormat="1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5" fontId="7" fillId="0" borderId="3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66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wrapText="1"/>
    </xf>
    <xf numFmtId="0" fontId="9" fillId="0" borderId="0" xfId="0" applyFont="1"/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6" fontId="7" fillId="2" borderId="1" xfId="2" applyNumberFormat="1" applyFont="1" applyFill="1" applyBorder="1" applyAlignment="1">
      <alignment horizontal="center" vertical="center" wrapText="1"/>
    </xf>
    <xf numFmtId="165" fontId="7" fillId="0" borderId="6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0" fontId="7" fillId="0" borderId="0" xfId="0" applyFont="1"/>
    <xf numFmtId="166" fontId="6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 vertical="center" wrapText="1"/>
    </xf>
    <xf numFmtId="165" fontId="5" fillId="0" borderId="5" xfId="0" applyNumberFormat="1" applyFont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center" vertical="center" wrapText="1"/>
    </xf>
    <xf numFmtId="166" fontId="5" fillId="0" borderId="5" xfId="0" applyNumberFormat="1" applyFont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166" fontId="4" fillId="0" borderId="5" xfId="1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8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166" fontId="10" fillId="0" borderId="5" xfId="0" applyNumberFormat="1" applyFont="1" applyBorder="1" applyAlignment="1">
      <alignment horizontal="center" vertical="center"/>
    </xf>
    <xf numFmtId="3" fontId="10" fillId="0" borderId="5" xfId="0" applyNumberFormat="1" applyFont="1" applyBorder="1" applyAlignment="1">
      <alignment horizontal="center" vertical="center"/>
    </xf>
    <xf numFmtId="3" fontId="7" fillId="0" borderId="5" xfId="2" applyNumberFormat="1" applyFont="1" applyBorder="1" applyAlignment="1">
      <alignment horizontal="center" vertical="center" wrapText="1"/>
    </xf>
    <xf numFmtId="166" fontId="10" fillId="0" borderId="8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3" fontId="9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8" fillId="0" borderId="10" xfId="5" applyFont="1" applyBorder="1" applyAlignment="1">
      <alignment horizontal="center" vertical="center" wrapText="1"/>
    </xf>
    <xf numFmtId="0" fontId="18" fillId="0" borderId="12" xfId="5" applyFont="1" applyBorder="1" applyAlignment="1">
      <alignment horizontal="center" vertical="center" wrapText="1"/>
    </xf>
    <xf numFmtId="0" fontId="3" fillId="0" borderId="0" xfId="5" applyFont="1" applyAlignment="1">
      <alignment horizontal="left" vertical="center" wrapText="1"/>
    </xf>
    <xf numFmtId="0" fontId="18" fillId="0" borderId="12" xfId="5" applyFont="1" applyBorder="1" applyAlignment="1">
      <alignment horizontal="center" wrapText="1"/>
    </xf>
    <xf numFmtId="0" fontId="3" fillId="0" borderId="0" xfId="5" applyFont="1" applyAlignment="1">
      <alignment horizontal="left" vertical="center"/>
    </xf>
    <xf numFmtId="0" fontId="3" fillId="0" borderId="0" xfId="5" applyFont="1" applyAlignment="1">
      <alignment horizontal="center" vertical="center"/>
    </xf>
    <xf numFmtId="0" fontId="3" fillId="0" borderId="0" xfId="5" applyFont="1" applyAlignment="1">
      <alignment vertical="center"/>
    </xf>
    <xf numFmtId="0" fontId="18" fillId="0" borderId="14" xfId="5" applyFont="1" applyBorder="1" applyAlignment="1">
      <alignment horizontal="center" wrapText="1"/>
    </xf>
    <xf numFmtId="0" fontId="3" fillId="0" borderId="15" xfId="5" applyFont="1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17" fillId="0" borderId="0" xfId="0" applyFont="1"/>
    <xf numFmtId="166" fontId="19" fillId="0" borderId="0" xfId="0" applyNumberFormat="1" applyFont="1"/>
    <xf numFmtId="0" fontId="19" fillId="0" borderId="0" xfId="0" applyFont="1"/>
    <xf numFmtId="166" fontId="7" fillId="0" borderId="2" xfId="0" applyNumberFormat="1" applyFont="1" applyBorder="1" applyAlignment="1">
      <alignment horizontal="center" vertical="center"/>
    </xf>
    <xf numFmtId="166" fontId="7" fillId="0" borderId="1" xfId="2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3" fontId="7" fillId="0" borderId="2" xfId="0" applyNumberFormat="1" applyFont="1" applyBorder="1" applyAlignment="1">
      <alignment horizontal="center" vertical="center"/>
    </xf>
    <xf numFmtId="166" fontId="7" fillId="0" borderId="2" xfId="2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13" xfId="5" applyFont="1" applyBorder="1" applyAlignment="1">
      <alignment horizontal="left" vertical="center" wrapText="1"/>
    </xf>
    <xf numFmtId="0" fontId="3" fillId="0" borderId="16" xfId="5" applyFont="1" applyBorder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0" fillId="0" borderId="0" xfId="0" applyFill="1"/>
    <xf numFmtId="0" fontId="7" fillId="0" borderId="0" xfId="0" applyFont="1" applyFill="1"/>
    <xf numFmtId="0" fontId="9" fillId="0" borderId="0" xfId="0" applyFont="1" applyFill="1"/>
    <xf numFmtId="0" fontId="7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3" fontId="9" fillId="0" borderId="1" xfId="0" applyNumberFormat="1" applyFont="1" applyFill="1" applyBorder="1" applyAlignment="1">
      <alignment horizontal="center" vertical="center"/>
    </xf>
    <xf numFmtId="166" fontId="9" fillId="0" borderId="1" xfId="0" applyNumberFormat="1" applyFont="1" applyFill="1" applyBorder="1" applyAlignment="1">
      <alignment horizontal="center" vertical="center"/>
    </xf>
    <xf numFmtId="166" fontId="7" fillId="0" borderId="2" xfId="0" applyNumberFormat="1" applyFont="1" applyFill="1" applyBorder="1" applyAlignment="1">
      <alignment horizontal="center" vertical="center"/>
    </xf>
    <xf numFmtId="3" fontId="7" fillId="0" borderId="2" xfId="2" applyNumberFormat="1" applyFont="1" applyFill="1" applyBorder="1" applyAlignment="1">
      <alignment horizontal="center" vertical="center" wrapText="1"/>
    </xf>
    <xf numFmtId="166" fontId="7" fillId="0" borderId="1" xfId="2" applyNumberFormat="1" applyFont="1" applyFill="1" applyBorder="1" applyAlignment="1">
      <alignment horizontal="center" vertical="center" wrapText="1"/>
    </xf>
    <xf numFmtId="166" fontId="19" fillId="0" borderId="0" xfId="0" applyNumberFormat="1" applyFont="1" applyFill="1"/>
    <xf numFmtId="0" fontId="19" fillId="0" borderId="0" xfId="0" applyFont="1" applyFill="1"/>
    <xf numFmtId="0" fontId="9" fillId="0" borderId="3" xfId="0" applyFont="1" applyFill="1" applyBorder="1" applyAlignment="1">
      <alignment horizontal="center" vertical="center"/>
    </xf>
  </cellXfs>
  <cellStyles count="33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Neutral 1" xfId="11" xr:uid="{00000000-0005-0000-0000-00000A000000}"/>
    <cellStyle name="Normal" xfId="0" builtinId="0"/>
    <cellStyle name="Normal 2" xfId="2" xr:uid="{00000000-0005-0000-0000-00000C000000}"/>
    <cellStyle name="Normal 2 2" xfId="5" xr:uid="{00000000-0005-0000-0000-00000D000000}"/>
    <cellStyle name="Normal 2 3" xfId="32" xr:uid="{00000000-0005-0000-0000-00000E000000}"/>
    <cellStyle name="Normal 3" xfId="7" xr:uid="{00000000-0005-0000-0000-00000F000000}"/>
    <cellStyle name="Normal 3 2" xfId="12" xr:uid="{00000000-0005-0000-0000-000010000000}"/>
    <cellStyle name="Normal 3 2 2" xfId="18" xr:uid="{00000000-0005-0000-0000-000011000000}"/>
    <cellStyle name="Normal 3 3" xfId="17" xr:uid="{00000000-0005-0000-0000-000012000000}"/>
    <cellStyle name="Normal 3 4" xfId="22" xr:uid="{00000000-0005-0000-0000-000013000000}"/>
    <cellStyle name="Normal 3 4 2" xfId="27" xr:uid="{00000000-0005-0000-0000-000014000000}"/>
    <cellStyle name="Normal 4" xfId="6" xr:uid="{00000000-0005-0000-0000-000015000000}"/>
    <cellStyle name="Normal 4 2" xfId="19" xr:uid="{00000000-0005-0000-0000-000016000000}"/>
    <cellStyle name="Normal 4 3" xfId="23" xr:uid="{00000000-0005-0000-0000-000017000000}"/>
    <cellStyle name="Normal 4 3 2" xfId="28" xr:uid="{00000000-0005-0000-0000-000018000000}"/>
    <cellStyle name="Normal 5" xfId="4" xr:uid="{00000000-0005-0000-0000-000019000000}"/>
    <cellStyle name="Normal 5 2" xfId="25" xr:uid="{00000000-0005-0000-0000-00001A000000}"/>
    <cellStyle name="Normal 6" xfId="13" xr:uid="{00000000-0005-0000-0000-00001B000000}"/>
    <cellStyle name="Normal 7" xfId="24" xr:uid="{00000000-0005-0000-0000-00001C000000}"/>
    <cellStyle name="Normal 8" xfId="8" xr:uid="{00000000-0005-0000-0000-00001D000000}"/>
    <cellStyle name="Normal 8 2" xfId="29" xr:uid="{00000000-0005-0000-0000-00001E000000}"/>
    <cellStyle name="Normal 8 3" xfId="30" xr:uid="{00000000-0005-0000-0000-00001F000000}"/>
    <cellStyle name="Normal 8 4" xfId="31" xr:uid="{00000000-0005-0000-0000-000020000000}"/>
  </cellStyles>
  <dxfs count="1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60"/>
  <sheetViews>
    <sheetView tabSelected="1" zoomScale="130" zoomScaleNormal="130" workbookViewId="0">
      <selection activeCell="C10" sqref="C10"/>
    </sheetView>
  </sheetViews>
  <sheetFormatPr baseColWidth="10" defaultRowHeight="15" x14ac:dyDescent="0.25"/>
  <cols>
    <col min="1" max="1" width="5.85546875" style="31" customWidth="1"/>
    <col min="2" max="2" width="13.85546875" style="31" bestFit="1" customWidth="1"/>
    <col min="3" max="3" width="36.28515625" style="31" customWidth="1"/>
    <col min="4" max="4" width="5.5703125" style="31" bestFit="1" customWidth="1"/>
    <col min="5" max="5" width="93.140625" style="27" customWidth="1"/>
    <col min="6" max="6" width="11.140625" style="31" customWidth="1"/>
    <col min="7" max="7" width="17.140625" style="31" hidden="1" customWidth="1"/>
    <col min="8" max="8" width="10.85546875" style="31" hidden="1" customWidth="1"/>
    <col min="9" max="9" width="8" style="31" hidden="1" customWidth="1"/>
    <col min="10" max="10" width="14.5703125" style="31" hidden="1" customWidth="1"/>
    <col min="11" max="11" width="9.42578125" style="31" hidden="1" customWidth="1"/>
    <col min="12" max="12" width="14" style="31" hidden="1" customWidth="1"/>
    <col min="13" max="13" width="8.28515625" style="31" hidden="1" customWidth="1"/>
    <col min="14" max="14" width="14.140625" style="31" hidden="1" customWidth="1"/>
    <col min="15" max="15" width="4.5703125" style="31" hidden="1" customWidth="1"/>
    <col min="16" max="16" width="12.42578125" style="31" hidden="1" customWidth="1"/>
    <col min="17" max="17" width="14.7109375" style="31" hidden="1" customWidth="1"/>
    <col min="18" max="18" width="13.42578125" style="31" hidden="1" customWidth="1"/>
    <col min="19" max="19" width="10.5703125" style="28" hidden="1" customWidth="1"/>
    <col min="20" max="20" width="10.85546875" style="37" hidden="1" customWidth="1"/>
    <col min="21" max="21" width="14.7109375" style="31" customWidth="1"/>
    <col min="22" max="22" width="15" style="31" customWidth="1"/>
    <col min="23" max="23" width="6" style="31" hidden="1" customWidth="1"/>
    <col min="24" max="24" width="13" style="37" hidden="1" customWidth="1"/>
    <col min="25" max="25" width="10.140625" style="31" hidden="1" customWidth="1"/>
    <col min="26" max="26" width="13.5703125" style="31" hidden="1" customWidth="1"/>
    <col min="27" max="27" width="14.42578125" style="31" hidden="1" customWidth="1"/>
    <col min="28" max="28" width="14.42578125" style="37" hidden="1" customWidth="1"/>
    <col min="29" max="29" width="5.7109375" style="31" hidden="1" customWidth="1"/>
    <col min="30" max="30" width="12.28515625" style="31" hidden="1" customWidth="1"/>
    <col min="31" max="31" width="10.85546875" style="31" hidden="1" customWidth="1"/>
    <col min="32" max="32" width="13.5703125" style="31" hidden="1" customWidth="1"/>
    <col min="33" max="33" width="12.140625" style="31" hidden="1" customWidth="1"/>
    <col min="34" max="34" width="13" style="31" hidden="1" customWidth="1"/>
    <col min="35" max="36" width="10.5703125" style="31" hidden="1" customWidth="1"/>
    <col min="37" max="37" width="4.7109375" style="31" hidden="1" customWidth="1"/>
    <col min="38" max="38" width="11.28515625" style="31" hidden="1" customWidth="1"/>
    <col min="39" max="39" width="6.5703125" style="31" hidden="1" customWidth="1"/>
    <col min="40" max="40" width="13.5703125" style="37" hidden="1" customWidth="1"/>
    <col min="41" max="41" width="14.85546875" style="31" hidden="1" customWidth="1"/>
    <col min="42" max="42" width="13.5703125" style="31" hidden="1" customWidth="1"/>
    <col min="43" max="43" width="13.85546875" style="31" hidden="1" customWidth="1"/>
    <col min="44" max="44" width="12.85546875" style="37" hidden="1" customWidth="1"/>
    <col min="45" max="46" width="15.28515625" style="31" hidden="1" customWidth="1"/>
    <col min="47" max="47" width="3.7109375" style="31" hidden="1" customWidth="1"/>
    <col min="48" max="48" width="10.7109375" style="37" hidden="1" customWidth="1"/>
    <col min="49" max="49" width="14.5703125" style="28" customWidth="1"/>
    <col min="50" max="50" width="15.5703125" style="37" customWidth="1"/>
    <col min="51" max="51" width="16.7109375" style="37" customWidth="1"/>
    <col min="52" max="52" width="74.140625" style="50" customWidth="1"/>
    <col min="53" max="53" width="11.42578125" style="96"/>
    <col min="54" max="55" width="12.42578125" style="76" bestFit="1" customWidth="1"/>
    <col min="56" max="56" width="13.85546875" style="76" bestFit="1" customWidth="1"/>
    <col min="57" max="57" width="12.42578125" style="76" bestFit="1" customWidth="1"/>
    <col min="58" max="58" width="11.42578125" style="76" bestFit="1" customWidth="1"/>
    <col min="59" max="60" width="13.85546875" style="76" bestFit="1" customWidth="1"/>
    <col min="61" max="61" width="14.85546875" style="76" bestFit="1" customWidth="1"/>
  </cols>
  <sheetData>
    <row r="1" spans="1:61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5"/>
      <c r="N1" s="6"/>
      <c r="O1" s="7"/>
      <c r="P1" s="3"/>
      <c r="Q1" s="5"/>
      <c r="R1" s="3"/>
      <c r="S1" s="7"/>
      <c r="T1" s="9"/>
      <c r="U1" s="5"/>
      <c r="V1" s="3"/>
      <c r="W1" s="7"/>
      <c r="X1" s="9"/>
      <c r="Y1" s="7"/>
      <c r="Z1" s="3"/>
      <c r="AA1" s="7"/>
      <c r="AB1" s="9"/>
      <c r="AC1" s="7"/>
      <c r="AD1" s="3"/>
      <c r="AE1" s="7"/>
      <c r="AF1" s="3"/>
      <c r="AG1" s="7"/>
      <c r="AH1" s="3"/>
      <c r="AI1" s="7"/>
      <c r="AJ1" s="3"/>
      <c r="AK1" s="7"/>
      <c r="AL1" s="3"/>
      <c r="AM1" s="7"/>
      <c r="AN1" s="9"/>
      <c r="AO1" s="7"/>
      <c r="AP1" s="3"/>
      <c r="AQ1" s="7"/>
      <c r="AR1" s="9"/>
      <c r="AS1" s="3"/>
      <c r="AT1" s="3"/>
      <c r="AU1" s="3"/>
      <c r="AV1" s="9"/>
      <c r="AW1" s="7"/>
      <c r="AX1" s="8"/>
      <c r="AY1" s="9"/>
    </row>
    <row r="2" spans="1:61" ht="18.75" x14ac:dyDescent="0.25">
      <c r="A2" s="3"/>
      <c r="B2" s="92" t="s">
        <v>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"/>
    </row>
    <row r="3" spans="1:61" x14ac:dyDescent="0.25">
      <c r="A3" s="3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5"/>
      <c r="N3" s="6"/>
      <c r="O3" s="7"/>
      <c r="P3" s="3"/>
      <c r="Q3" s="5"/>
      <c r="R3" s="3"/>
      <c r="S3" s="7"/>
      <c r="T3" s="9"/>
      <c r="U3" s="5"/>
      <c r="V3" s="3"/>
      <c r="W3" s="7"/>
      <c r="X3" s="9"/>
      <c r="Y3" s="7"/>
      <c r="Z3" s="3"/>
      <c r="AA3" s="7"/>
      <c r="AB3" s="9"/>
      <c r="AC3" s="7"/>
      <c r="AD3" s="3"/>
      <c r="AE3" s="7"/>
      <c r="AF3" s="3"/>
      <c r="AG3" s="7"/>
      <c r="AH3" s="3"/>
      <c r="AI3" s="7"/>
      <c r="AJ3" s="3"/>
      <c r="AK3" s="7"/>
      <c r="AL3" s="3"/>
      <c r="AM3" s="7"/>
      <c r="AN3" s="9"/>
      <c r="AO3" s="7"/>
      <c r="AP3" s="3"/>
      <c r="AQ3" s="7"/>
      <c r="AR3" s="9"/>
      <c r="AS3" s="3"/>
      <c r="AT3" s="3"/>
      <c r="AU3" s="3"/>
      <c r="AV3" s="9"/>
      <c r="AW3" s="7"/>
      <c r="AX3" s="8"/>
      <c r="AY3" s="9"/>
    </row>
    <row r="4" spans="1:61" x14ac:dyDescent="0.25">
      <c r="A4" s="89" t="s">
        <v>1</v>
      </c>
      <c r="B4" s="89"/>
      <c r="C4" s="93" t="s">
        <v>2</v>
      </c>
      <c r="D4" s="93"/>
      <c r="E4" s="93"/>
      <c r="F4" s="10"/>
      <c r="G4" s="10"/>
      <c r="H4" s="10"/>
      <c r="I4" s="10"/>
      <c r="J4" s="10"/>
      <c r="K4" s="10"/>
      <c r="L4" s="10"/>
      <c r="M4" s="11"/>
      <c r="N4" s="12"/>
      <c r="O4" s="13"/>
      <c r="P4" s="10"/>
      <c r="Q4" s="11"/>
      <c r="R4" s="10"/>
      <c r="S4" s="13"/>
      <c r="T4" s="36"/>
      <c r="U4" s="11"/>
      <c r="V4" s="10"/>
      <c r="W4" s="13"/>
      <c r="X4" s="36"/>
      <c r="Y4" s="13"/>
      <c r="Z4" s="10"/>
      <c r="AA4" s="13"/>
      <c r="AB4" s="36"/>
      <c r="AC4" s="13"/>
      <c r="AD4" s="10"/>
      <c r="AE4" s="13"/>
      <c r="AF4" s="10"/>
      <c r="AG4" s="13"/>
      <c r="AH4" s="10"/>
      <c r="AI4" s="13"/>
      <c r="AJ4" s="10"/>
      <c r="AK4" s="13"/>
      <c r="AL4" s="10"/>
      <c r="AM4" s="13"/>
      <c r="AN4" s="36"/>
      <c r="AO4" s="13"/>
      <c r="AP4" s="10"/>
      <c r="AQ4" s="13"/>
      <c r="AR4" s="36"/>
      <c r="AS4" s="10"/>
      <c r="AT4" s="10"/>
      <c r="AU4" s="10"/>
      <c r="AV4" s="36"/>
      <c r="AW4" s="13"/>
      <c r="AX4" s="8"/>
      <c r="AY4" s="9"/>
    </row>
    <row r="5" spans="1:61" x14ac:dyDescent="0.25">
      <c r="A5" s="89" t="s">
        <v>3</v>
      </c>
      <c r="B5" s="89"/>
      <c r="C5" s="94" t="s">
        <v>4</v>
      </c>
      <c r="D5" s="94"/>
      <c r="E5" s="94"/>
      <c r="F5" s="10"/>
      <c r="G5" s="10"/>
      <c r="H5" s="10"/>
      <c r="I5" s="10"/>
      <c r="J5" s="10"/>
      <c r="K5" s="10"/>
      <c r="L5" s="10"/>
      <c r="M5" s="11"/>
      <c r="N5" s="12"/>
      <c r="O5" s="13"/>
      <c r="P5" s="10"/>
      <c r="Q5" s="11"/>
      <c r="R5" s="10"/>
      <c r="S5" s="13"/>
      <c r="T5" s="36"/>
      <c r="U5" s="11"/>
      <c r="V5" s="10"/>
      <c r="W5" s="13"/>
      <c r="X5" s="36"/>
      <c r="Y5" s="13"/>
      <c r="Z5" s="10"/>
      <c r="AA5" s="13"/>
      <c r="AB5" s="36"/>
      <c r="AC5" s="13"/>
      <c r="AD5" s="10"/>
      <c r="AE5" s="13"/>
      <c r="AF5" s="10"/>
      <c r="AG5" s="13"/>
      <c r="AH5" s="10"/>
      <c r="AI5" s="13"/>
      <c r="AJ5" s="10"/>
      <c r="AK5" s="13"/>
      <c r="AL5" s="10"/>
      <c r="AM5" s="13"/>
      <c r="AN5" s="36"/>
      <c r="AO5" s="13"/>
      <c r="AP5" s="10"/>
      <c r="AQ5" s="13"/>
      <c r="AR5" s="36"/>
      <c r="AS5" s="10"/>
      <c r="AT5" s="10"/>
      <c r="AU5" s="10"/>
      <c r="AV5" s="36"/>
      <c r="AW5" s="13"/>
      <c r="AX5" s="8"/>
      <c r="AY5" s="9"/>
    </row>
    <row r="6" spans="1:61" x14ac:dyDescent="0.25">
      <c r="A6" s="89" t="s">
        <v>5</v>
      </c>
      <c r="B6" s="89"/>
      <c r="C6" s="14">
        <v>2022</v>
      </c>
      <c r="D6" s="15"/>
      <c r="E6" s="14"/>
      <c r="F6" s="10"/>
      <c r="G6" s="10"/>
      <c r="H6" s="10"/>
      <c r="I6" s="10"/>
      <c r="J6" s="10"/>
      <c r="K6" s="10"/>
      <c r="L6" s="10"/>
      <c r="M6" s="11"/>
      <c r="N6" s="12"/>
      <c r="O6" s="13"/>
      <c r="P6" s="10"/>
      <c r="Q6" s="11"/>
      <c r="R6" s="10"/>
      <c r="S6" s="13"/>
      <c r="T6" s="36"/>
      <c r="U6" s="11"/>
      <c r="V6" s="10"/>
      <c r="W6" s="13"/>
      <c r="X6" s="36"/>
      <c r="Y6" s="13"/>
      <c r="Z6" s="10"/>
      <c r="AA6" s="13"/>
      <c r="AB6" s="36"/>
      <c r="AC6" s="13"/>
      <c r="AD6" s="10"/>
      <c r="AE6" s="13"/>
      <c r="AF6" s="10"/>
      <c r="AG6" s="13"/>
      <c r="AH6" s="10"/>
      <c r="AI6" s="13"/>
      <c r="AJ6" s="10"/>
      <c r="AK6" s="13"/>
      <c r="AL6" s="10"/>
      <c r="AM6" s="13"/>
      <c r="AN6" s="36"/>
      <c r="AO6" s="13"/>
      <c r="AP6" s="10"/>
      <c r="AQ6" s="13"/>
      <c r="AR6" s="36"/>
      <c r="AS6" s="10"/>
      <c r="AT6" s="10"/>
      <c r="AU6" s="10"/>
      <c r="AV6" s="36"/>
      <c r="AW6" s="13"/>
      <c r="AX6" s="8"/>
      <c r="AY6" s="9"/>
    </row>
    <row r="7" spans="1:61" x14ac:dyDescent="0.25">
      <c r="A7" s="89" t="s">
        <v>6</v>
      </c>
      <c r="B7" s="89"/>
      <c r="C7" s="14" t="s">
        <v>305</v>
      </c>
      <c r="D7" s="85"/>
      <c r="E7" s="14"/>
      <c r="F7" s="10"/>
      <c r="G7" s="10"/>
      <c r="H7" s="10"/>
      <c r="I7" s="10"/>
      <c r="J7" s="10"/>
      <c r="K7" s="10"/>
      <c r="L7" s="10"/>
      <c r="M7" s="11"/>
      <c r="N7" s="12"/>
      <c r="O7" s="13"/>
      <c r="P7" s="10"/>
      <c r="Q7" s="11"/>
      <c r="R7" s="10"/>
      <c r="S7" s="13"/>
      <c r="T7" s="36"/>
      <c r="U7" s="11"/>
      <c r="V7" s="10"/>
      <c r="W7" s="13"/>
      <c r="X7" s="36"/>
      <c r="Y7" s="13"/>
      <c r="Z7" s="10"/>
      <c r="AA7" s="13"/>
      <c r="AB7" s="36"/>
      <c r="AC7" s="13"/>
      <c r="AD7" s="10"/>
      <c r="AE7" s="13"/>
      <c r="AF7" s="10"/>
      <c r="AG7" s="13"/>
      <c r="AH7" s="10"/>
      <c r="AI7" s="13"/>
      <c r="AJ7" s="10"/>
      <c r="AK7" s="13"/>
      <c r="AL7" s="10"/>
      <c r="AM7" s="13"/>
      <c r="AN7" s="36"/>
      <c r="AO7" s="13"/>
      <c r="AP7" s="10"/>
      <c r="AQ7" s="13"/>
      <c r="AR7" s="36"/>
      <c r="AS7" s="10"/>
      <c r="AT7" s="10"/>
      <c r="AU7" s="10"/>
      <c r="AV7" s="36"/>
      <c r="AW7" s="13"/>
      <c r="AX7" s="8"/>
      <c r="AY7" s="9"/>
    </row>
    <row r="8" spans="1:61" ht="15.75" thickBot="1" x14ac:dyDescent="0.3">
      <c r="A8" s="3"/>
      <c r="B8" s="10"/>
      <c r="C8" s="10"/>
      <c r="D8" s="10"/>
      <c r="E8" s="16"/>
      <c r="F8" s="10"/>
      <c r="G8" s="10"/>
      <c r="H8" s="10"/>
      <c r="I8" s="10"/>
      <c r="J8" s="10"/>
      <c r="K8" s="10"/>
      <c r="L8" s="10"/>
      <c r="M8" s="11"/>
      <c r="N8" s="12"/>
      <c r="O8" s="13"/>
      <c r="P8" s="10"/>
      <c r="Q8" s="11"/>
      <c r="R8" s="10"/>
      <c r="S8" s="13"/>
      <c r="T8" s="36"/>
      <c r="U8" s="11"/>
      <c r="V8" s="10"/>
      <c r="W8" s="13"/>
      <c r="X8" s="36"/>
      <c r="Y8" s="13"/>
      <c r="Z8" s="10"/>
      <c r="AA8" s="13"/>
      <c r="AB8" s="36"/>
      <c r="AC8" s="13"/>
      <c r="AD8" s="10"/>
      <c r="AE8" s="13"/>
      <c r="AF8" s="10"/>
      <c r="AG8" s="13"/>
      <c r="AH8" s="10"/>
      <c r="AI8" s="13"/>
      <c r="AJ8" s="10"/>
      <c r="AK8" s="13"/>
      <c r="AL8" s="10"/>
      <c r="AM8" s="13"/>
      <c r="AN8" s="36"/>
      <c r="AO8" s="13"/>
      <c r="AP8" s="10"/>
      <c r="AQ8" s="13"/>
      <c r="AR8" s="36"/>
      <c r="AS8" s="10"/>
      <c r="AT8" s="10"/>
      <c r="AU8" s="10"/>
      <c r="AV8" s="36"/>
      <c r="AW8" s="13"/>
      <c r="AX8" s="8"/>
      <c r="AY8" s="9"/>
    </row>
    <row r="9" spans="1:61" ht="39" thickBot="1" x14ac:dyDescent="0.3">
      <c r="A9" s="39" t="s">
        <v>7</v>
      </c>
      <c r="B9" s="40" t="s">
        <v>8</v>
      </c>
      <c r="C9" s="41" t="s">
        <v>9</v>
      </c>
      <c r="D9" s="40" t="s">
        <v>10</v>
      </c>
      <c r="E9" s="42" t="s">
        <v>11</v>
      </c>
      <c r="F9" s="41" t="s">
        <v>12</v>
      </c>
      <c r="G9" s="41" t="s">
        <v>13</v>
      </c>
      <c r="H9" s="41" t="s">
        <v>14</v>
      </c>
      <c r="I9" s="43" t="s">
        <v>15</v>
      </c>
      <c r="J9" s="41" t="s">
        <v>16</v>
      </c>
      <c r="K9" s="41" t="s">
        <v>17</v>
      </c>
      <c r="L9" s="41" t="s">
        <v>18</v>
      </c>
      <c r="M9" s="44" t="s">
        <v>19</v>
      </c>
      <c r="N9" s="45" t="s">
        <v>20</v>
      </c>
      <c r="O9" s="46" t="s">
        <v>21</v>
      </c>
      <c r="P9" s="41" t="s">
        <v>22</v>
      </c>
      <c r="Q9" s="44" t="s">
        <v>23</v>
      </c>
      <c r="R9" s="41" t="s">
        <v>24</v>
      </c>
      <c r="S9" s="46" t="s">
        <v>25</v>
      </c>
      <c r="T9" s="47" t="s">
        <v>26</v>
      </c>
      <c r="U9" s="44" t="s">
        <v>27</v>
      </c>
      <c r="V9" s="41" t="s">
        <v>28</v>
      </c>
      <c r="W9" s="46" t="s">
        <v>29</v>
      </c>
      <c r="X9" s="47" t="s">
        <v>55</v>
      </c>
      <c r="Y9" s="46" t="s">
        <v>30</v>
      </c>
      <c r="Z9" s="41" t="s">
        <v>31</v>
      </c>
      <c r="AA9" s="46" t="s">
        <v>32</v>
      </c>
      <c r="AB9" s="47" t="s">
        <v>33</v>
      </c>
      <c r="AC9" s="48" t="s">
        <v>34</v>
      </c>
      <c r="AD9" s="41" t="s">
        <v>35</v>
      </c>
      <c r="AE9" s="46" t="s">
        <v>36</v>
      </c>
      <c r="AF9" s="41" t="s">
        <v>37</v>
      </c>
      <c r="AG9" s="46" t="s">
        <v>38</v>
      </c>
      <c r="AH9" s="41" t="s">
        <v>39</v>
      </c>
      <c r="AI9" s="46" t="s">
        <v>56</v>
      </c>
      <c r="AJ9" s="41" t="s">
        <v>57</v>
      </c>
      <c r="AK9" s="46" t="s">
        <v>40</v>
      </c>
      <c r="AL9" s="41" t="s">
        <v>41</v>
      </c>
      <c r="AM9" s="48" t="s">
        <v>42</v>
      </c>
      <c r="AN9" s="47" t="s">
        <v>43</v>
      </c>
      <c r="AO9" s="48" t="s">
        <v>44</v>
      </c>
      <c r="AP9" s="41" t="s">
        <v>45</v>
      </c>
      <c r="AQ9" s="46" t="s">
        <v>46</v>
      </c>
      <c r="AR9" s="47" t="s">
        <v>47</v>
      </c>
      <c r="AS9" s="41" t="s">
        <v>58</v>
      </c>
      <c r="AT9" s="41" t="s">
        <v>59</v>
      </c>
      <c r="AU9" s="41" t="s">
        <v>115</v>
      </c>
      <c r="AV9" s="47" t="s">
        <v>116</v>
      </c>
      <c r="AW9" s="46" t="s">
        <v>48</v>
      </c>
      <c r="AX9" s="49" t="s">
        <v>49</v>
      </c>
      <c r="AY9" s="47" t="s">
        <v>50</v>
      </c>
      <c r="AZ9" s="51" t="s">
        <v>51</v>
      </c>
      <c r="BB9" s="76">
        <v>222</v>
      </c>
      <c r="BC9" s="76">
        <v>259</v>
      </c>
      <c r="BD9" s="76">
        <v>252</v>
      </c>
      <c r="BE9" s="76">
        <v>256</v>
      </c>
      <c r="BF9" s="76">
        <v>265</v>
      </c>
      <c r="BG9" s="76">
        <v>295</v>
      </c>
      <c r="BH9" s="76">
        <v>296</v>
      </c>
    </row>
    <row r="10" spans="1:61" s="35" customFormat="1" ht="12.75" x14ac:dyDescent="0.2">
      <c r="A10" s="22">
        <v>1</v>
      </c>
      <c r="B10" s="22" t="s">
        <v>171</v>
      </c>
      <c r="C10" s="22" t="s">
        <v>52</v>
      </c>
      <c r="D10" s="22">
        <v>256</v>
      </c>
      <c r="E10" s="82" t="s">
        <v>306</v>
      </c>
      <c r="F10" s="22" t="s">
        <v>54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83"/>
      <c r="T10" s="79"/>
      <c r="U10" s="22">
        <v>150</v>
      </c>
      <c r="V10" s="79">
        <f t="shared" ref="V10:V73" si="0">+U10*AX10</f>
        <v>105000</v>
      </c>
      <c r="W10" s="22"/>
      <c r="X10" s="79"/>
      <c r="Y10" s="22"/>
      <c r="Z10" s="22"/>
      <c r="AA10" s="22"/>
      <c r="AB10" s="79"/>
      <c r="AC10" s="22"/>
      <c r="AD10" s="22"/>
      <c r="AE10" s="22"/>
      <c r="AF10" s="30"/>
      <c r="AG10" s="22"/>
      <c r="AH10" s="22"/>
      <c r="AI10" s="22"/>
      <c r="AJ10" s="22"/>
      <c r="AK10" s="22"/>
      <c r="AL10" s="22"/>
      <c r="AM10" s="22"/>
      <c r="AN10" s="79"/>
      <c r="AO10" s="22"/>
      <c r="AP10" s="22"/>
      <c r="AQ10" s="22"/>
      <c r="AR10" s="79"/>
      <c r="AS10" s="22"/>
      <c r="AT10" s="22"/>
      <c r="AU10" s="22"/>
      <c r="AV10" s="79"/>
      <c r="AW10" s="17">
        <f t="shared" ref="AW10:AW28" si="1">+AQ10+AO10+AM10+AK10+AI10+AG10+AE10+AC10+AA10+Y10+W10+U10+S10+Q10+O10+M10+K10+I10+AS10+G10+AU10</f>
        <v>150</v>
      </c>
      <c r="AX10" s="79">
        <v>700</v>
      </c>
      <c r="AY10" s="84">
        <f t="shared" ref="AY10:AY28" si="2">+AW10*AX10</f>
        <v>105000</v>
      </c>
      <c r="AZ10" s="82" t="s">
        <v>432</v>
      </c>
      <c r="BA10" s="97"/>
      <c r="BB10" s="77"/>
      <c r="BC10" s="77"/>
      <c r="BD10" s="77"/>
      <c r="BE10" s="77">
        <f>+AY10</f>
        <v>105000</v>
      </c>
      <c r="BF10" s="77"/>
      <c r="BG10" s="77"/>
      <c r="BH10" s="77"/>
      <c r="BI10" s="78"/>
    </row>
    <row r="11" spans="1:61" s="35" customFormat="1" ht="12.75" x14ac:dyDescent="0.2">
      <c r="A11" s="21">
        <v>2</v>
      </c>
      <c r="B11" s="21" t="s">
        <v>172</v>
      </c>
      <c r="C11" s="21" t="s">
        <v>52</v>
      </c>
      <c r="D11" s="21">
        <v>252</v>
      </c>
      <c r="E11" s="23" t="s">
        <v>307</v>
      </c>
      <c r="F11" s="21" t="s">
        <v>54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0"/>
      <c r="T11" s="24"/>
      <c r="U11" s="21">
        <v>300</v>
      </c>
      <c r="V11" s="79">
        <f t="shared" si="0"/>
        <v>210000</v>
      </c>
      <c r="W11" s="21"/>
      <c r="X11" s="24"/>
      <c r="Y11" s="21"/>
      <c r="Z11" s="21"/>
      <c r="AA11" s="21"/>
      <c r="AB11" s="24"/>
      <c r="AC11" s="21"/>
      <c r="AD11" s="21"/>
      <c r="AE11" s="21"/>
      <c r="AF11" s="19"/>
      <c r="AG11" s="21"/>
      <c r="AH11" s="21"/>
      <c r="AI11" s="21"/>
      <c r="AJ11" s="21"/>
      <c r="AK11" s="21"/>
      <c r="AL11" s="21"/>
      <c r="AM11" s="21"/>
      <c r="AN11" s="24"/>
      <c r="AO11" s="21"/>
      <c r="AP11" s="21"/>
      <c r="AQ11" s="21"/>
      <c r="AR11" s="24"/>
      <c r="AS11" s="21"/>
      <c r="AT11" s="21"/>
      <c r="AU11" s="21"/>
      <c r="AV11" s="24"/>
      <c r="AW11" s="17">
        <f t="shared" si="1"/>
        <v>300</v>
      </c>
      <c r="AX11" s="24">
        <v>700</v>
      </c>
      <c r="AY11" s="80">
        <f t="shared" si="2"/>
        <v>210000</v>
      </c>
      <c r="AZ11" s="23" t="s">
        <v>433</v>
      </c>
      <c r="BA11" s="97"/>
      <c r="BB11" s="77"/>
      <c r="BC11" s="77"/>
      <c r="BD11" s="77">
        <f t="shared" ref="BD11:BD24" si="3">+AY11</f>
        <v>210000</v>
      </c>
      <c r="BE11" s="77"/>
      <c r="BF11" s="77"/>
      <c r="BG11" s="77"/>
      <c r="BH11" s="77"/>
      <c r="BI11" s="78"/>
    </row>
    <row r="12" spans="1:61" s="35" customFormat="1" ht="30" customHeight="1" x14ac:dyDescent="0.2">
      <c r="A12" s="21">
        <v>3</v>
      </c>
      <c r="B12" s="33" t="s">
        <v>284</v>
      </c>
      <c r="C12" s="33" t="s">
        <v>52</v>
      </c>
      <c r="D12" s="88">
        <v>295</v>
      </c>
      <c r="E12" s="32" t="s">
        <v>406</v>
      </c>
      <c r="F12" s="33" t="s">
        <v>54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8"/>
      <c r="T12" s="34"/>
      <c r="U12" s="33">
        <v>6</v>
      </c>
      <c r="V12" s="79">
        <f t="shared" si="0"/>
        <v>33000</v>
      </c>
      <c r="W12" s="33"/>
      <c r="X12" s="34"/>
      <c r="Y12" s="33"/>
      <c r="Z12" s="33"/>
      <c r="AA12" s="33"/>
      <c r="AB12" s="34"/>
      <c r="AC12" s="33"/>
      <c r="AD12" s="33"/>
      <c r="AE12" s="33"/>
      <c r="AF12" s="86"/>
      <c r="AG12" s="33"/>
      <c r="AH12" s="33"/>
      <c r="AI12" s="33"/>
      <c r="AJ12" s="33"/>
      <c r="AK12" s="33"/>
      <c r="AL12" s="33"/>
      <c r="AM12" s="33"/>
      <c r="AN12" s="34"/>
      <c r="AO12" s="33"/>
      <c r="AP12" s="33"/>
      <c r="AQ12" s="33"/>
      <c r="AR12" s="34"/>
      <c r="AS12" s="33"/>
      <c r="AT12" s="33"/>
      <c r="AU12" s="33"/>
      <c r="AV12" s="34"/>
      <c r="AW12" s="17">
        <f t="shared" si="1"/>
        <v>6</v>
      </c>
      <c r="AX12" s="34">
        <v>5500</v>
      </c>
      <c r="AY12" s="29">
        <f t="shared" si="2"/>
        <v>33000</v>
      </c>
      <c r="AZ12" s="32" t="s">
        <v>119</v>
      </c>
      <c r="BA12" s="97"/>
      <c r="BB12" s="77"/>
      <c r="BC12" s="77"/>
      <c r="BD12" s="77">
        <f t="shared" si="3"/>
        <v>33000</v>
      </c>
      <c r="BE12" s="77"/>
      <c r="BF12" s="77"/>
      <c r="BG12" s="77"/>
      <c r="BH12" s="77"/>
      <c r="BI12" s="78"/>
    </row>
    <row r="13" spans="1:61" s="35" customFormat="1" ht="12.75" x14ac:dyDescent="0.2">
      <c r="A13" s="21">
        <v>4</v>
      </c>
      <c r="B13" s="33" t="s">
        <v>283</v>
      </c>
      <c r="C13" s="33" t="s">
        <v>52</v>
      </c>
      <c r="D13" s="88">
        <v>295</v>
      </c>
      <c r="E13" s="32" t="s">
        <v>407</v>
      </c>
      <c r="F13" s="33" t="s">
        <v>54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8"/>
      <c r="T13" s="34"/>
      <c r="U13" s="33">
        <v>15</v>
      </c>
      <c r="V13" s="79">
        <f t="shared" si="0"/>
        <v>82500</v>
      </c>
      <c r="W13" s="33"/>
      <c r="X13" s="34"/>
      <c r="Y13" s="33"/>
      <c r="Z13" s="33"/>
      <c r="AA13" s="33"/>
      <c r="AB13" s="34"/>
      <c r="AC13" s="33"/>
      <c r="AD13" s="33"/>
      <c r="AE13" s="33"/>
      <c r="AF13" s="86"/>
      <c r="AG13" s="33"/>
      <c r="AH13" s="33"/>
      <c r="AI13" s="33"/>
      <c r="AJ13" s="33"/>
      <c r="AK13" s="33"/>
      <c r="AL13" s="33"/>
      <c r="AM13" s="33"/>
      <c r="AN13" s="34"/>
      <c r="AO13" s="33"/>
      <c r="AP13" s="33"/>
      <c r="AQ13" s="33"/>
      <c r="AR13" s="34"/>
      <c r="AS13" s="33"/>
      <c r="AT13" s="33"/>
      <c r="AU13" s="33"/>
      <c r="AV13" s="34"/>
      <c r="AW13" s="17">
        <f t="shared" si="1"/>
        <v>15</v>
      </c>
      <c r="AX13" s="34">
        <v>5500</v>
      </c>
      <c r="AY13" s="29">
        <f t="shared" si="2"/>
        <v>82500</v>
      </c>
      <c r="AZ13" s="32" t="s">
        <v>120</v>
      </c>
      <c r="BA13" s="97"/>
      <c r="BB13" s="77"/>
      <c r="BC13" s="77"/>
      <c r="BD13" s="77"/>
      <c r="BE13" s="77"/>
      <c r="BF13" s="77"/>
      <c r="BG13" s="77">
        <f t="shared" ref="BG13:BG81" si="4">+AY13</f>
        <v>82500</v>
      </c>
      <c r="BH13" s="77"/>
      <c r="BI13" s="78"/>
    </row>
    <row r="14" spans="1:61" s="35" customFormat="1" ht="25.5" x14ac:dyDescent="0.2">
      <c r="A14" s="21">
        <v>5</v>
      </c>
      <c r="B14" s="21" t="s">
        <v>431</v>
      </c>
      <c r="C14" s="21" t="s">
        <v>52</v>
      </c>
      <c r="D14" s="21">
        <v>252</v>
      </c>
      <c r="E14" s="23" t="s">
        <v>60</v>
      </c>
      <c r="F14" s="21" t="s">
        <v>54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0"/>
      <c r="T14" s="24"/>
      <c r="U14" s="21">
        <v>200</v>
      </c>
      <c r="V14" s="79">
        <f t="shared" si="0"/>
        <v>300000</v>
      </c>
      <c r="W14" s="21"/>
      <c r="X14" s="24"/>
      <c r="Y14" s="21"/>
      <c r="Z14" s="21"/>
      <c r="AA14" s="21"/>
      <c r="AB14" s="24"/>
      <c r="AC14" s="21"/>
      <c r="AD14" s="21"/>
      <c r="AE14" s="21"/>
      <c r="AF14" s="19"/>
      <c r="AG14" s="21"/>
      <c r="AH14" s="21"/>
      <c r="AI14" s="21"/>
      <c r="AJ14" s="21"/>
      <c r="AK14" s="21"/>
      <c r="AL14" s="21"/>
      <c r="AM14" s="21"/>
      <c r="AN14" s="24"/>
      <c r="AO14" s="21"/>
      <c r="AP14" s="21"/>
      <c r="AQ14" s="21"/>
      <c r="AR14" s="24"/>
      <c r="AS14" s="21"/>
      <c r="AT14" s="21"/>
      <c r="AU14" s="21"/>
      <c r="AV14" s="24"/>
      <c r="AW14" s="17">
        <f t="shared" si="1"/>
        <v>200</v>
      </c>
      <c r="AX14" s="24">
        <v>1500</v>
      </c>
      <c r="AY14" s="80">
        <f t="shared" si="2"/>
        <v>300000</v>
      </c>
      <c r="AZ14" s="23" t="s">
        <v>457</v>
      </c>
      <c r="BA14" s="97"/>
      <c r="BB14" s="77"/>
      <c r="BC14" s="77"/>
      <c r="BD14" s="77"/>
      <c r="BE14" s="77"/>
      <c r="BF14" s="77"/>
      <c r="BG14" s="77">
        <f t="shared" si="4"/>
        <v>300000</v>
      </c>
      <c r="BH14" s="77"/>
      <c r="BI14" s="78"/>
    </row>
    <row r="15" spans="1:61" s="35" customFormat="1" ht="25.5" x14ac:dyDescent="0.2">
      <c r="A15" s="21">
        <v>6</v>
      </c>
      <c r="B15" s="21" t="s">
        <v>170</v>
      </c>
      <c r="C15" s="21" t="s">
        <v>52</v>
      </c>
      <c r="D15" s="21">
        <v>295</v>
      </c>
      <c r="E15" s="23" t="s">
        <v>308</v>
      </c>
      <c r="F15" s="21" t="s">
        <v>53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0"/>
      <c r="T15" s="24"/>
      <c r="U15" s="21">
        <v>200</v>
      </c>
      <c r="V15" s="79">
        <f t="shared" si="0"/>
        <v>180000</v>
      </c>
      <c r="W15" s="21"/>
      <c r="X15" s="24"/>
      <c r="Y15" s="21"/>
      <c r="Z15" s="21"/>
      <c r="AA15" s="21"/>
      <c r="AB15" s="24"/>
      <c r="AC15" s="21"/>
      <c r="AD15" s="21"/>
      <c r="AE15" s="21"/>
      <c r="AF15" s="19"/>
      <c r="AG15" s="21"/>
      <c r="AH15" s="21"/>
      <c r="AI15" s="21"/>
      <c r="AJ15" s="21"/>
      <c r="AK15" s="21"/>
      <c r="AL15" s="21"/>
      <c r="AM15" s="21"/>
      <c r="AN15" s="24"/>
      <c r="AO15" s="21"/>
      <c r="AP15" s="21"/>
      <c r="AQ15" s="21"/>
      <c r="AR15" s="24"/>
      <c r="AS15" s="21"/>
      <c r="AT15" s="21"/>
      <c r="AU15" s="21"/>
      <c r="AV15" s="24"/>
      <c r="AW15" s="17">
        <f t="shared" si="1"/>
        <v>200</v>
      </c>
      <c r="AX15" s="24">
        <v>900</v>
      </c>
      <c r="AY15" s="29">
        <f t="shared" si="2"/>
        <v>180000</v>
      </c>
      <c r="AZ15" s="23" t="s">
        <v>61</v>
      </c>
      <c r="BA15" s="97"/>
      <c r="BB15" s="77"/>
      <c r="BC15" s="77"/>
      <c r="BD15" s="77"/>
      <c r="BE15" s="77"/>
      <c r="BF15" s="77"/>
      <c r="BG15" s="77">
        <f t="shared" si="4"/>
        <v>180000</v>
      </c>
      <c r="BH15" s="77"/>
      <c r="BI15" s="78"/>
    </row>
    <row r="16" spans="1:61" s="35" customFormat="1" ht="12.75" x14ac:dyDescent="0.2">
      <c r="A16" s="21">
        <v>7</v>
      </c>
      <c r="B16" s="21" t="s">
        <v>174</v>
      </c>
      <c r="C16" s="21" t="s">
        <v>52</v>
      </c>
      <c r="D16" s="21">
        <v>295</v>
      </c>
      <c r="E16" s="23" t="s">
        <v>309</v>
      </c>
      <c r="F16" s="21" t="s">
        <v>53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0"/>
      <c r="T16" s="24"/>
      <c r="U16" s="21">
        <v>40</v>
      </c>
      <c r="V16" s="79">
        <f t="shared" si="0"/>
        <v>36000</v>
      </c>
      <c r="W16" s="21"/>
      <c r="X16" s="24"/>
      <c r="Y16" s="21"/>
      <c r="Z16" s="21"/>
      <c r="AA16" s="21"/>
      <c r="AB16" s="24"/>
      <c r="AC16" s="21"/>
      <c r="AD16" s="21"/>
      <c r="AE16" s="21"/>
      <c r="AF16" s="19"/>
      <c r="AG16" s="21"/>
      <c r="AH16" s="21"/>
      <c r="AI16" s="21"/>
      <c r="AJ16" s="21"/>
      <c r="AK16" s="21"/>
      <c r="AL16" s="21"/>
      <c r="AM16" s="21"/>
      <c r="AN16" s="24"/>
      <c r="AO16" s="21"/>
      <c r="AP16" s="21"/>
      <c r="AQ16" s="21"/>
      <c r="AR16" s="24"/>
      <c r="AS16" s="21"/>
      <c r="AT16" s="21"/>
      <c r="AU16" s="21"/>
      <c r="AV16" s="24"/>
      <c r="AW16" s="17">
        <f t="shared" si="1"/>
        <v>40</v>
      </c>
      <c r="AX16" s="24">
        <v>900</v>
      </c>
      <c r="AY16" s="29">
        <f t="shared" si="2"/>
        <v>36000</v>
      </c>
      <c r="AZ16" s="23" t="s">
        <v>62</v>
      </c>
      <c r="BA16" s="97"/>
      <c r="BB16" s="77"/>
      <c r="BC16" s="77"/>
      <c r="BD16" s="77">
        <f t="shared" si="3"/>
        <v>36000</v>
      </c>
      <c r="BE16" s="77"/>
      <c r="BF16" s="77"/>
      <c r="BG16" s="77"/>
      <c r="BH16" s="77"/>
      <c r="BI16" s="78"/>
    </row>
    <row r="17" spans="1:61" s="35" customFormat="1" ht="25.5" x14ac:dyDescent="0.2">
      <c r="A17" s="21">
        <v>8</v>
      </c>
      <c r="B17" s="21" t="s">
        <v>173</v>
      </c>
      <c r="C17" s="21" t="s">
        <v>52</v>
      </c>
      <c r="D17" s="21">
        <v>295</v>
      </c>
      <c r="E17" s="23" t="s">
        <v>310</v>
      </c>
      <c r="F17" s="21" t="s">
        <v>53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0"/>
      <c r="T17" s="24"/>
      <c r="U17" s="21">
        <v>40</v>
      </c>
      <c r="V17" s="79">
        <f t="shared" si="0"/>
        <v>36000</v>
      </c>
      <c r="W17" s="21"/>
      <c r="X17" s="24"/>
      <c r="Y17" s="21"/>
      <c r="Z17" s="21"/>
      <c r="AA17" s="21"/>
      <c r="AB17" s="24"/>
      <c r="AC17" s="21"/>
      <c r="AD17" s="21"/>
      <c r="AE17" s="21"/>
      <c r="AF17" s="19"/>
      <c r="AG17" s="21"/>
      <c r="AH17" s="21"/>
      <c r="AI17" s="21"/>
      <c r="AJ17" s="21"/>
      <c r="AK17" s="21"/>
      <c r="AL17" s="21"/>
      <c r="AM17" s="21"/>
      <c r="AN17" s="24"/>
      <c r="AO17" s="21"/>
      <c r="AP17" s="21"/>
      <c r="AQ17" s="21"/>
      <c r="AR17" s="24"/>
      <c r="AS17" s="21"/>
      <c r="AT17" s="21"/>
      <c r="AU17" s="21"/>
      <c r="AV17" s="24"/>
      <c r="AW17" s="17">
        <f t="shared" si="1"/>
        <v>40</v>
      </c>
      <c r="AX17" s="24">
        <v>900</v>
      </c>
      <c r="AY17" s="29">
        <f t="shared" si="2"/>
        <v>36000</v>
      </c>
      <c r="AZ17" s="23" t="s">
        <v>63</v>
      </c>
      <c r="BA17" s="97"/>
      <c r="BB17" s="77"/>
      <c r="BC17" s="77"/>
      <c r="BD17" s="77">
        <f t="shared" si="3"/>
        <v>36000</v>
      </c>
      <c r="BE17" s="77"/>
      <c r="BF17" s="77"/>
      <c r="BG17" s="77"/>
      <c r="BH17" s="77"/>
      <c r="BI17" s="78"/>
    </row>
    <row r="18" spans="1:61" s="35" customFormat="1" ht="12.75" x14ac:dyDescent="0.2">
      <c r="A18" s="21">
        <v>9</v>
      </c>
      <c r="B18" s="33" t="s">
        <v>289</v>
      </c>
      <c r="C18" s="33" t="s">
        <v>52</v>
      </c>
      <c r="D18" s="33">
        <v>295</v>
      </c>
      <c r="E18" s="32" t="s">
        <v>412</v>
      </c>
      <c r="F18" s="33" t="s">
        <v>71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8"/>
      <c r="T18" s="34"/>
      <c r="U18" s="33">
        <v>50</v>
      </c>
      <c r="V18" s="79">
        <f t="shared" si="0"/>
        <v>35000</v>
      </c>
      <c r="W18" s="33"/>
      <c r="X18" s="34"/>
      <c r="Y18" s="33"/>
      <c r="Z18" s="33"/>
      <c r="AA18" s="33"/>
      <c r="AB18" s="34"/>
      <c r="AC18" s="33"/>
      <c r="AD18" s="33"/>
      <c r="AE18" s="33"/>
      <c r="AF18" s="86"/>
      <c r="AG18" s="33"/>
      <c r="AH18" s="33"/>
      <c r="AI18" s="33"/>
      <c r="AJ18" s="33"/>
      <c r="AK18" s="33"/>
      <c r="AL18" s="33"/>
      <c r="AM18" s="33"/>
      <c r="AN18" s="34"/>
      <c r="AO18" s="33"/>
      <c r="AP18" s="33"/>
      <c r="AQ18" s="33"/>
      <c r="AR18" s="34"/>
      <c r="AS18" s="33"/>
      <c r="AT18" s="33"/>
      <c r="AU18" s="33"/>
      <c r="AV18" s="34"/>
      <c r="AW18" s="17">
        <f t="shared" si="1"/>
        <v>50</v>
      </c>
      <c r="AX18" s="34">
        <v>700</v>
      </c>
      <c r="AY18" s="29">
        <f t="shared" si="2"/>
        <v>35000</v>
      </c>
      <c r="AZ18" s="32" t="s">
        <v>122</v>
      </c>
      <c r="BA18" s="97"/>
      <c r="BB18" s="77"/>
      <c r="BC18" s="77"/>
      <c r="BD18" s="77">
        <f t="shared" si="3"/>
        <v>35000</v>
      </c>
      <c r="BE18" s="77"/>
      <c r="BF18" s="77"/>
      <c r="BG18" s="77"/>
      <c r="BH18" s="77"/>
      <c r="BI18" s="78"/>
    </row>
    <row r="19" spans="1:61" s="35" customFormat="1" ht="27" customHeight="1" x14ac:dyDescent="0.2">
      <c r="A19" s="21">
        <v>10</v>
      </c>
      <c r="B19" s="21" t="s">
        <v>177</v>
      </c>
      <c r="C19" s="21" t="s">
        <v>52</v>
      </c>
      <c r="D19" s="21">
        <v>252</v>
      </c>
      <c r="E19" s="23" t="s">
        <v>313</v>
      </c>
      <c r="F19" s="21" t="s">
        <v>54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0"/>
      <c r="T19" s="24"/>
      <c r="U19" s="21">
        <v>50</v>
      </c>
      <c r="V19" s="79">
        <f t="shared" si="0"/>
        <v>90000</v>
      </c>
      <c r="W19" s="21"/>
      <c r="X19" s="24"/>
      <c r="Y19" s="21"/>
      <c r="Z19" s="21"/>
      <c r="AA19" s="21"/>
      <c r="AB19" s="24"/>
      <c r="AC19" s="21"/>
      <c r="AD19" s="21"/>
      <c r="AE19" s="21"/>
      <c r="AF19" s="19"/>
      <c r="AG19" s="21"/>
      <c r="AH19" s="21"/>
      <c r="AI19" s="21"/>
      <c r="AJ19" s="21"/>
      <c r="AK19" s="21"/>
      <c r="AL19" s="21"/>
      <c r="AM19" s="21"/>
      <c r="AN19" s="24"/>
      <c r="AO19" s="21"/>
      <c r="AP19" s="21"/>
      <c r="AQ19" s="21"/>
      <c r="AR19" s="24"/>
      <c r="AS19" s="21"/>
      <c r="AT19" s="21"/>
      <c r="AU19" s="21"/>
      <c r="AV19" s="24"/>
      <c r="AW19" s="17">
        <f t="shared" si="1"/>
        <v>50</v>
      </c>
      <c r="AX19" s="24">
        <v>1800</v>
      </c>
      <c r="AY19" s="80">
        <f t="shared" si="2"/>
        <v>90000</v>
      </c>
      <c r="AZ19" s="23" t="s">
        <v>435</v>
      </c>
      <c r="BA19" s="97"/>
      <c r="BB19" s="77"/>
      <c r="BC19" s="77"/>
      <c r="BD19" s="77">
        <f t="shared" si="3"/>
        <v>90000</v>
      </c>
      <c r="BE19" s="77"/>
      <c r="BF19" s="77"/>
      <c r="BG19" s="77"/>
      <c r="BH19" s="77"/>
      <c r="BI19" s="78"/>
    </row>
    <row r="20" spans="1:61" s="35" customFormat="1" ht="25.5" x14ac:dyDescent="0.2">
      <c r="A20" s="21">
        <v>11</v>
      </c>
      <c r="B20" s="21" t="s">
        <v>176</v>
      </c>
      <c r="C20" s="21" t="s">
        <v>52</v>
      </c>
      <c r="D20" s="21">
        <v>252</v>
      </c>
      <c r="E20" s="23" t="s">
        <v>312</v>
      </c>
      <c r="F20" s="21" t="s">
        <v>53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0"/>
      <c r="T20" s="24"/>
      <c r="U20" s="21">
        <v>1440</v>
      </c>
      <c r="V20" s="79">
        <f t="shared" si="0"/>
        <v>6480000</v>
      </c>
      <c r="W20" s="21"/>
      <c r="X20" s="24"/>
      <c r="Y20" s="21"/>
      <c r="Z20" s="21"/>
      <c r="AA20" s="21"/>
      <c r="AB20" s="24"/>
      <c r="AC20" s="21"/>
      <c r="AD20" s="21"/>
      <c r="AE20" s="21"/>
      <c r="AF20" s="19"/>
      <c r="AG20" s="21"/>
      <c r="AH20" s="21"/>
      <c r="AI20" s="21"/>
      <c r="AJ20" s="21"/>
      <c r="AK20" s="21"/>
      <c r="AL20" s="21"/>
      <c r="AM20" s="21"/>
      <c r="AN20" s="24"/>
      <c r="AO20" s="21"/>
      <c r="AP20" s="21"/>
      <c r="AQ20" s="21"/>
      <c r="AR20" s="24"/>
      <c r="AS20" s="21"/>
      <c r="AT20" s="21"/>
      <c r="AU20" s="21"/>
      <c r="AV20" s="24"/>
      <c r="AW20" s="17">
        <f t="shared" si="1"/>
        <v>1440</v>
      </c>
      <c r="AX20" s="24">
        <v>4500</v>
      </c>
      <c r="AY20" s="80">
        <f t="shared" si="2"/>
        <v>6480000</v>
      </c>
      <c r="AZ20" s="23" t="s">
        <v>434</v>
      </c>
      <c r="BA20" s="97"/>
      <c r="BB20" s="77">
        <f t="shared" ref="BB20" si="5">+AY20</f>
        <v>6480000</v>
      </c>
      <c r="BC20" s="77"/>
      <c r="BD20" s="77"/>
      <c r="BE20" s="77"/>
      <c r="BF20" s="77"/>
      <c r="BG20" s="77"/>
      <c r="BH20" s="77"/>
      <c r="BI20" s="78"/>
    </row>
    <row r="21" spans="1:61" s="35" customFormat="1" ht="25.5" x14ac:dyDescent="0.2">
      <c r="A21" s="21">
        <v>12</v>
      </c>
      <c r="B21" s="21" t="s">
        <v>178</v>
      </c>
      <c r="C21" s="21" t="s">
        <v>52</v>
      </c>
      <c r="D21" s="21">
        <v>252</v>
      </c>
      <c r="E21" s="23" t="s">
        <v>179</v>
      </c>
      <c r="F21" s="21" t="s">
        <v>54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0"/>
      <c r="T21" s="24"/>
      <c r="U21" s="21">
        <v>20</v>
      </c>
      <c r="V21" s="79">
        <f t="shared" si="0"/>
        <v>8000</v>
      </c>
      <c r="W21" s="21"/>
      <c r="X21" s="24"/>
      <c r="Y21" s="21"/>
      <c r="Z21" s="21"/>
      <c r="AA21" s="21"/>
      <c r="AB21" s="24"/>
      <c r="AC21" s="21"/>
      <c r="AD21" s="21"/>
      <c r="AE21" s="21"/>
      <c r="AF21" s="19"/>
      <c r="AG21" s="21"/>
      <c r="AH21" s="21"/>
      <c r="AI21" s="21"/>
      <c r="AJ21" s="21"/>
      <c r="AK21" s="21"/>
      <c r="AL21" s="21"/>
      <c r="AM21" s="21"/>
      <c r="AN21" s="24"/>
      <c r="AO21" s="21"/>
      <c r="AP21" s="21"/>
      <c r="AQ21" s="21"/>
      <c r="AR21" s="24"/>
      <c r="AS21" s="21"/>
      <c r="AT21" s="21"/>
      <c r="AU21" s="21"/>
      <c r="AV21" s="24"/>
      <c r="AW21" s="17">
        <f t="shared" si="1"/>
        <v>20</v>
      </c>
      <c r="AX21" s="24">
        <v>400</v>
      </c>
      <c r="AY21" s="29">
        <f t="shared" si="2"/>
        <v>8000</v>
      </c>
      <c r="AZ21" s="23" t="s">
        <v>179</v>
      </c>
      <c r="BA21" s="97"/>
      <c r="BB21" s="77"/>
      <c r="BC21" s="77"/>
      <c r="BD21" s="77"/>
      <c r="BE21" s="77"/>
      <c r="BF21" s="77"/>
      <c r="BG21" s="77">
        <f t="shared" si="4"/>
        <v>8000</v>
      </c>
      <c r="BH21" s="77"/>
      <c r="BI21" s="78"/>
    </row>
    <row r="22" spans="1:61" s="35" customFormat="1" ht="25.5" x14ac:dyDescent="0.2">
      <c r="A22" s="21">
        <v>13</v>
      </c>
      <c r="B22" s="33" t="s">
        <v>198</v>
      </c>
      <c r="C22" s="33" t="s">
        <v>52</v>
      </c>
      <c r="D22" s="33">
        <v>252</v>
      </c>
      <c r="E22" s="32" t="s">
        <v>338</v>
      </c>
      <c r="F22" s="33" t="s">
        <v>54</v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8"/>
      <c r="T22" s="34"/>
      <c r="U22" s="33">
        <v>60</v>
      </c>
      <c r="V22" s="79">
        <f t="shared" si="0"/>
        <v>42000</v>
      </c>
      <c r="W22" s="33"/>
      <c r="X22" s="34"/>
      <c r="Y22" s="33"/>
      <c r="Z22" s="33"/>
      <c r="AA22" s="33"/>
      <c r="AB22" s="34"/>
      <c r="AC22" s="33"/>
      <c r="AD22" s="33"/>
      <c r="AE22" s="33"/>
      <c r="AF22" s="86"/>
      <c r="AG22" s="33"/>
      <c r="AH22" s="33"/>
      <c r="AI22" s="33"/>
      <c r="AJ22" s="33"/>
      <c r="AK22" s="33"/>
      <c r="AL22" s="33"/>
      <c r="AM22" s="33"/>
      <c r="AN22" s="34"/>
      <c r="AO22" s="33"/>
      <c r="AP22" s="33"/>
      <c r="AQ22" s="33"/>
      <c r="AR22" s="34"/>
      <c r="AS22" s="33"/>
      <c r="AT22" s="33"/>
      <c r="AU22" s="33"/>
      <c r="AV22" s="34"/>
      <c r="AW22" s="17">
        <f t="shared" si="1"/>
        <v>60</v>
      </c>
      <c r="AX22" s="34">
        <v>700</v>
      </c>
      <c r="AY22" s="29">
        <f t="shared" si="2"/>
        <v>42000</v>
      </c>
      <c r="AZ22" s="32" t="s">
        <v>199</v>
      </c>
      <c r="BA22" s="97"/>
      <c r="BB22" s="77"/>
      <c r="BC22" s="77"/>
      <c r="BD22" s="77"/>
      <c r="BE22" s="77"/>
      <c r="BF22" s="77"/>
      <c r="BG22" s="77">
        <f t="shared" si="4"/>
        <v>42000</v>
      </c>
      <c r="BH22" s="77"/>
      <c r="BI22" s="78"/>
    </row>
    <row r="23" spans="1:61" s="35" customFormat="1" ht="25.5" x14ac:dyDescent="0.2">
      <c r="A23" s="21">
        <v>14</v>
      </c>
      <c r="B23" s="33" t="s">
        <v>209</v>
      </c>
      <c r="C23" s="33" t="s">
        <v>52</v>
      </c>
      <c r="D23" s="33">
        <v>252</v>
      </c>
      <c r="E23" s="32" t="s">
        <v>363</v>
      </c>
      <c r="F23" s="33" t="s">
        <v>54</v>
      </c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8"/>
      <c r="T23" s="34"/>
      <c r="U23" s="33">
        <v>50</v>
      </c>
      <c r="V23" s="79">
        <f t="shared" si="0"/>
        <v>25000</v>
      </c>
      <c r="W23" s="33"/>
      <c r="X23" s="34"/>
      <c r="Y23" s="33"/>
      <c r="Z23" s="33"/>
      <c r="AA23" s="33"/>
      <c r="AB23" s="34"/>
      <c r="AC23" s="33"/>
      <c r="AD23" s="33"/>
      <c r="AE23" s="33"/>
      <c r="AF23" s="86"/>
      <c r="AG23" s="33"/>
      <c r="AH23" s="33"/>
      <c r="AI23" s="33"/>
      <c r="AJ23" s="33"/>
      <c r="AK23" s="33"/>
      <c r="AL23" s="33"/>
      <c r="AM23" s="33"/>
      <c r="AN23" s="34"/>
      <c r="AO23" s="33"/>
      <c r="AP23" s="33"/>
      <c r="AQ23" s="33"/>
      <c r="AR23" s="34"/>
      <c r="AS23" s="33"/>
      <c r="AT23" s="33"/>
      <c r="AU23" s="33"/>
      <c r="AV23" s="34"/>
      <c r="AW23" s="17">
        <f t="shared" si="1"/>
        <v>50</v>
      </c>
      <c r="AX23" s="34">
        <v>500</v>
      </c>
      <c r="AY23" s="80">
        <f t="shared" si="2"/>
        <v>25000</v>
      </c>
      <c r="AZ23" s="32" t="s">
        <v>161</v>
      </c>
      <c r="BA23" s="97"/>
      <c r="BB23" s="77"/>
      <c r="BC23" s="77"/>
      <c r="BD23" s="77">
        <f t="shared" si="3"/>
        <v>25000</v>
      </c>
      <c r="BE23" s="77"/>
      <c r="BF23" s="77"/>
      <c r="BG23" s="77"/>
      <c r="BH23" s="77"/>
      <c r="BI23" s="78"/>
    </row>
    <row r="24" spans="1:61" s="35" customFormat="1" ht="12.75" x14ac:dyDescent="0.2">
      <c r="A24" s="21">
        <v>15</v>
      </c>
      <c r="B24" s="21" t="s">
        <v>180</v>
      </c>
      <c r="C24" s="21" t="s">
        <v>52</v>
      </c>
      <c r="D24" s="87">
        <v>222</v>
      </c>
      <c r="E24" s="23" t="s">
        <v>314</v>
      </c>
      <c r="F24" s="21" t="s">
        <v>53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0"/>
      <c r="T24" s="24"/>
      <c r="U24" s="21">
        <v>200</v>
      </c>
      <c r="V24" s="79">
        <f t="shared" si="0"/>
        <v>140000</v>
      </c>
      <c r="W24" s="21"/>
      <c r="X24" s="24"/>
      <c r="Y24" s="21"/>
      <c r="Z24" s="21"/>
      <c r="AA24" s="21"/>
      <c r="AB24" s="24"/>
      <c r="AC24" s="21"/>
      <c r="AD24" s="21"/>
      <c r="AE24" s="21"/>
      <c r="AF24" s="19"/>
      <c r="AG24" s="21"/>
      <c r="AH24" s="21"/>
      <c r="AI24" s="21"/>
      <c r="AJ24" s="21"/>
      <c r="AK24" s="21"/>
      <c r="AL24" s="21"/>
      <c r="AM24" s="21"/>
      <c r="AN24" s="24"/>
      <c r="AO24" s="21"/>
      <c r="AP24" s="21"/>
      <c r="AQ24" s="21"/>
      <c r="AR24" s="24"/>
      <c r="AS24" s="21"/>
      <c r="AT24" s="21"/>
      <c r="AU24" s="21"/>
      <c r="AV24" s="24"/>
      <c r="AW24" s="17">
        <f t="shared" si="1"/>
        <v>200</v>
      </c>
      <c r="AX24" s="24">
        <v>700</v>
      </c>
      <c r="AY24" s="29">
        <f t="shared" si="2"/>
        <v>140000</v>
      </c>
      <c r="AZ24" s="23" t="s">
        <v>427</v>
      </c>
      <c r="BA24" s="97"/>
      <c r="BB24" s="77"/>
      <c r="BC24" s="77"/>
      <c r="BD24" s="77">
        <f t="shared" si="3"/>
        <v>140000</v>
      </c>
      <c r="BE24" s="77"/>
      <c r="BF24" s="77"/>
      <c r="BG24" s="77"/>
      <c r="BH24" s="77"/>
      <c r="BI24" s="78"/>
    </row>
    <row r="25" spans="1:61" s="35" customFormat="1" ht="12.75" x14ac:dyDescent="0.2">
      <c r="A25" s="21">
        <v>16</v>
      </c>
      <c r="B25" s="21" t="s">
        <v>182</v>
      </c>
      <c r="C25" s="21" t="s">
        <v>52</v>
      </c>
      <c r="D25" s="21">
        <v>295</v>
      </c>
      <c r="E25" s="23" t="s">
        <v>316</v>
      </c>
      <c r="F25" s="21" t="s">
        <v>54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0"/>
      <c r="T25" s="24"/>
      <c r="U25" s="21">
        <v>50</v>
      </c>
      <c r="V25" s="79">
        <f t="shared" si="0"/>
        <v>11500</v>
      </c>
      <c r="W25" s="21"/>
      <c r="X25" s="24"/>
      <c r="Y25" s="21"/>
      <c r="Z25" s="21"/>
      <c r="AA25" s="21"/>
      <c r="AB25" s="24"/>
      <c r="AC25" s="21"/>
      <c r="AD25" s="21"/>
      <c r="AE25" s="21"/>
      <c r="AF25" s="19"/>
      <c r="AG25" s="21"/>
      <c r="AH25" s="21"/>
      <c r="AI25" s="21"/>
      <c r="AJ25" s="21"/>
      <c r="AK25" s="21"/>
      <c r="AL25" s="21"/>
      <c r="AM25" s="21"/>
      <c r="AN25" s="24"/>
      <c r="AO25" s="21"/>
      <c r="AP25" s="21"/>
      <c r="AQ25" s="21"/>
      <c r="AR25" s="24"/>
      <c r="AS25" s="21"/>
      <c r="AT25" s="21"/>
      <c r="AU25" s="21"/>
      <c r="AV25" s="24"/>
      <c r="AW25" s="17">
        <f t="shared" si="1"/>
        <v>50</v>
      </c>
      <c r="AX25" s="24">
        <v>230</v>
      </c>
      <c r="AY25" s="29">
        <f t="shared" si="2"/>
        <v>11500</v>
      </c>
      <c r="AZ25" s="23" t="s">
        <v>67</v>
      </c>
      <c r="BA25" s="97"/>
      <c r="BB25" s="77"/>
      <c r="BC25" s="77"/>
      <c r="BD25" s="77"/>
      <c r="BE25" s="77"/>
      <c r="BF25" s="77"/>
      <c r="BG25" s="77">
        <f t="shared" si="4"/>
        <v>11500</v>
      </c>
      <c r="BH25" s="77"/>
      <c r="BI25" s="78"/>
    </row>
    <row r="26" spans="1:61" s="35" customFormat="1" ht="12.75" x14ac:dyDescent="0.2">
      <c r="A26" s="21">
        <v>17</v>
      </c>
      <c r="B26" s="21" t="s">
        <v>183</v>
      </c>
      <c r="C26" s="21" t="s">
        <v>52</v>
      </c>
      <c r="D26" s="21">
        <v>252</v>
      </c>
      <c r="E26" s="23" t="s">
        <v>317</v>
      </c>
      <c r="F26" s="21" t="s">
        <v>54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0"/>
      <c r="T26" s="24"/>
      <c r="U26" s="21">
        <v>100</v>
      </c>
      <c r="V26" s="79">
        <f t="shared" si="0"/>
        <v>100000</v>
      </c>
      <c r="W26" s="21"/>
      <c r="X26" s="24"/>
      <c r="Y26" s="21"/>
      <c r="Z26" s="21"/>
      <c r="AA26" s="21"/>
      <c r="AB26" s="24"/>
      <c r="AC26" s="21"/>
      <c r="AD26" s="21"/>
      <c r="AE26" s="21"/>
      <c r="AF26" s="19"/>
      <c r="AG26" s="21"/>
      <c r="AH26" s="21"/>
      <c r="AI26" s="21"/>
      <c r="AJ26" s="21"/>
      <c r="AK26" s="21"/>
      <c r="AL26" s="21"/>
      <c r="AM26" s="21"/>
      <c r="AN26" s="24"/>
      <c r="AO26" s="21"/>
      <c r="AP26" s="21"/>
      <c r="AQ26" s="21"/>
      <c r="AR26" s="24"/>
      <c r="AS26" s="21"/>
      <c r="AT26" s="21"/>
      <c r="AU26" s="21"/>
      <c r="AV26" s="24"/>
      <c r="AW26" s="17">
        <f t="shared" si="1"/>
        <v>100</v>
      </c>
      <c r="AX26" s="24">
        <v>1000</v>
      </c>
      <c r="AY26" s="29">
        <f t="shared" si="2"/>
        <v>100000</v>
      </c>
      <c r="AZ26" s="23" t="s">
        <v>68</v>
      </c>
      <c r="BA26" s="97"/>
      <c r="BB26" s="77"/>
      <c r="BC26" s="77">
        <f t="shared" ref="BC26:BC28" si="6">+AY26</f>
        <v>100000</v>
      </c>
      <c r="BD26" s="77"/>
      <c r="BE26" s="77"/>
      <c r="BF26" s="77"/>
      <c r="BG26" s="77"/>
      <c r="BH26" s="77"/>
      <c r="BI26" s="78"/>
    </row>
    <row r="27" spans="1:61" s="97" customFormat="1" ht="25.5" x14ac:dyDescent="0.2">
      <c r="A27" s="99">
        <v>18</v>
      </c>
      <c r="B27" s="100" t="s">
        <v>256</v>
      </c>
      <c r="C27" s="100" t="s">
        <v>52</v>
      </c>
      <c r="D27" s="100">
        <v>252</v>
      </c>
      <c r="E27" s="101" t="s">
        <v>387</v>
      </c>
      <c r="F27" s="100" t="s">
        <v>53</v>
      </c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2"/>
      <c r="T27" s="103"/>
      <c r="U27" s="100">
        <v>20</v>
      </c>
      <c r="V27" s="104">
        <f t="shared" si="0"/>
        <v>10000</v>
      </c>
      <c r="W27" s="100"/>
      <c r="X27" s="103"/>
      <c r="Y27" s="100"/>
      <c r="Z27" s="100"/>
      <c r="AA27" s="100"/>
      <c r="AB27" s="103"/>
      <c r="AC27" s="100"/>
      <c r="AD27" s="100"/>
      <c r="AE27" s="100"/>
      <c r="AF27" s="109"/>
      <c r="AG27" s="100"/>
      <c r="AH27" s="100"/>
      <c r="AI27" s="100"/>
      <c r="AJ27" s="100"/>
      <c r="AK27" s="100"/>
      <c r="AL27" s="100"/>
      <c r="AM27" s="100"/>
      <c r="AN27" s="103"/>
      <c r="AO27" s="100"/>
      <c r="AP27" s="100"/>
      <c r="AQ27" s="100"/>
      <c r="AR27" s="103"/>
      <c r="AS27" s="100"/>
      <c r="AT27" s="100"/>
      <c r="AU27" s="100"/>
      <c r="AV27" s="103"/>
      <c r="AW27" s="105">
        <f t="shared" si="1"/>
        <v>20</v>
      </c>
      <c r="AX27" s="103">
        <v>500</v>
      </c>
      <c r="AY27" s="106">
        <f t="shared" si="2"/>
        <v>10000</v>
      </c>
      <c r="AZ27" s="101" t="s">
        <v>448</v>
      </c>
      <c r="BB27" s="107"/>
      <c r="BC27" s="107"/>
      <c r="BD27" s="107"/>
      <c r="BE27" s="107"/>
      <c r="BF27" s="107"/>
      <c r="BG27" s="107"/>
      <c r="BH27" s="107"/>
      <c r="BI27" s="108"/>
    </row>
    <row r="28" spans="1:61" s="35" customFormat="1" ht="12.75" x14ac:dyDescent="0.2">
      <c r="A28" s="21">
        <v>19</v>
      </c>
      <c r="B28" s="21" t="s">
        <v>437</v>
      </c>
      <c r="C28" s="21" t="s">
        <v>52</v>
      </c>
      <c r="D28" s="21">
        <v>252</v>
      </c>
      <c r="E28" s="23" t="s">
        <v>436</v>
      </c>
      <c r="F28" s="21" t="s">
        <v>54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0"/>
      <c r="T28" s="24"/>
      <c r="U28" s="21">
        <v>50</v>
      </c>
      <c r="V28" s="79">
        <f t="shared" si="0"/>
        <v>25000</v>
      </c>
      <c r="W28" s="21"/>
      <c r="X28" s="24"/>
      <c r="Y28" s="21"/>
      <c r="Z28" s="21"/>
      <c r="AA28" s="21"/>
      <c r="AB28" s="24"/>
      <c r="AC28" s="21"/>
      <c r="AD28" s="21"/>
      <c r="AE28" s="21"/>
      <c r="AF28" s="19"/>
      <c r="AG28" s="21"/>
      <c r="AH28" s="21"/>
      <c r="AI28" s="21"/>
      <c r="AJ28" s="21"/>
      <c r="AK28" s="21"/>
      <c r="AL28" s="21"/>
      <c r="AM28" s="21"/>
      <c r="AN28" s="24"/>
      <c r="AO28" s="21"/>
      <c r="AP28" s="21"/>
      <c r="AQ28" s="21"/>
      <c r="AR28" s="24"/>
      <c r="AS28" s="21"/>
      <c r="AT28" s="21"/>
      <c r="AU28" s="21"/>
      <c r="AV28" s="24"/>
      <c r="AW28" s="17">
        <f t="shared" si="1"/>
        <v>50</v>
      </c>
      <c r="AX28" s="24">
        <v>500</v>
      </c>
      <c r="AY28" s="29">
        <f t="shared" si="2"/>
        <v>25000</v>
      </c>
      <c r="AZ28" s="23" t="s">
        <v>438</v>
      </c>
      <c r="BA28" s="97"/>
      <c r="BB28" s="77"/>
      <c r="BC28" s="77">
        <f t="shared" si="6"/>
        <v>25000</v>
      </c>
      <c r="BD28" s="77"/>
      <c r="BE28" s="77"/>
      <c r="BF28" s="77"/>
      <c r="BG28" s="77"/>
      <c r="BH28" s="77"/>
      <c r="BI28" s="78"/>
    </row>
    <row r="29" spans="1:61" s="35" customFormat="1" ht="12.75" x14ac:dyDescent="0.2">
      <c r="A29" s="21">
        <v>20</v>
      </c>
      <c r="B29" s="21" t="s">
        <v>461</v>
      </c>
      <c r="C29" s="21" t="s">
        <v>52</v>
      </c>
      <c r="D29" s="21">
        <v>259</v>
      </c>
      <c r="E29" s="23" t="s">
        <v>462</v>
      </c>
      <c r="F29" s="21" t="s">
        <v>54</v>
      </c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0"/>
      <c r="T29" s="24"/>
      <c r="U29" s="21">
        <v>100</v>
      </c>
      <c r="V29" s="79">
        <f t="shared" si="0"/>
        <v>20000</v>
      </c>
      <c r="W29" s="21"/>
      <c r="X29" s="24"/>
      <c r="Y29" s="21"/>
      <c r="Z29" s="21"/>
      <c r="AA29" s="21"/>
      <c r="AB29" s="24"/>
      <c r="AC29" s="21"/>
      <c r="AD29" s="21"/>
      <c r="AE29" s="21"/>
      <c r="AF29" s="19"/>
      <c r="AG29" s="21"/>
      <c r="AH29" s="21"/>
      <c r="AI29" s="21"/>
      <c r="AJ29" s="21"/>
      <c r="AK29" s="21"/>
      <c r="AL29" s="21"/>
      <c r="AM29" s="21"/>
      <c r="AN29" s="24"/>
      <c r="AO29" s="21"/>
      <c r="AP29" s="21"/>
      <c r="AQ29" s="21"/>
      <c r="AR29" s="24"/>
      <c r="AS29" s="21"/>
      <c r="AT29" s="21"/>
      <c r="AU29" s="21"/>
      <c r="AV29" s="24"/>
      <c r="AW29" s="17">
        <v>100</v>
      </c>
      <c r="AX29" s="24">
        <v>200</v>
      </c>
      <c r="AY29" s="80">
        <v>20000</v>
      </c>
      <c r="AZ29" s="23" t="s">
        <v>69</v>
      </c>
      <c r="BA29" s="97"/>
      <c r="BB29" s="77"/>
      <c r="BC29" s="77"/>
      <c r="BD29" s="77"/>
      <c r="BE29" s="77"/>
      <c r="BF29" s="77"/>
      <c r="BG29" s="77"/>
      <c r="BH29" s="77"/>
      <c r="BI29" s="78"/>
    </row>
    <row r="30" spans="1:61" s="35" customFormat="1" ht="12.75" x14ac:dyDescent="0.2">
      <c r="A30" s="21">
        <v>21</v>
      </c>
      <c r="B30" s="21" t="s">
        <v>463</v>
      </c>
      <c r="C30" s="21" t="s">
        <v>52</v>
      </c>
      <c r="D30" s="21">
        <v>259</v>
      </c>
      <c r="E30" s="23" t="s">
        <v>464</v>
      </c>
      <c r="F30" s="21" t="s">
        <v>54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0"/>
      <c r="T30" s="24"/>
      <c r="U30" s="21">
        <v>50</v>
      </c>
      <c r="V30" s="79">
        <f t="shared" si="0"/>
        <v>50000</v>
      </c>
      <c r="W30" s="21"/>
      <c r="X30" s="24"/>
      <c r="Y30" s="21"/>
      <c r="Z30" s="21"/>
      <c r="AA30" s="21"/>
      <c r="AB30" s="24"/>
      <c r="AC30" s="21"/>
      <c r="AD30" s="21"/>
      <c r="AE30" s="21"/>
      <c r="AF30" s="19"/>
      <c r="AG30" s="21"/>
      <c r="AH30" s="21"/>
      <c r="AI30" s="21"/>
      <c r="AJ30" s="21"/>
      <c r="AK30" s="21"/>
      <c r="AL30" s="21"/>
      <c r="AM30" s="21"/>
      <c r="AN30" s="24"/>
      <c r="AO30" s="21"/>
      <c r="AP30" s="21"/>
      <c r="AQ30" s="21"/>
      <c r="AR30" s="24"/>
      <c r="AS30" s="21"/>
      <c r="AT30" s="21"/>
      <c r="AU30" s="21"/>
      <c r="AV30" s="24"/>
      <c r="AW30" s="17">
        <v>50</v>
      </c>
      <c r="AX30" s="24">
        <v>1000</v>
      </c>
      <c r="AY30" s="80">
        <v>50000</v>
      </c>
      <c r="AZ30" s="23" t="s">
        <v>117</v>
      </c>
      <c r="BA30" s="97"/>
      <c r="BB30" s="77"/>
      <c r="BC30" s="77"/>
      <c r="BD30" s="77"/>
      <c r="BE30" s="77"/>
      <c r="BF30" s="77"/>
      <c r="BG30" s="77">
        <f t="shared" si="4"/>
        <v>50000</v>
      </c>
      <c r="BH30" s="77"/>
      <c r="BI30" s="78"/>
    </row>
    <row r="31" spans="1:61" s="35" customFormat="1" ht="25.5" hidden="1" x14ac:dyDescent="0.2">
      <c r="A31" s="21">
        <v>22</v>
      </c>
      <c r="B31" s="33" t="s">
        <v>304</v>
      </c>
      <c r="C31" s="33" t="s">
        <v>52</v>
      </c>
      <c r="D31" s="33">
        <v>251</v>
      </c>
      <c r="E31" s="32" t="s">
        <v>426</v>
      </c>
      <c r="F31" s="33" t="s">
        <v>54</v>
      </c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8"/>
      <c r="T31" s="34"/>
      <c r="U31" s="33">
        <v>500</v>
      </c>
      <c r="V31" s="79">
        <f t="shared" si="0"/>
        <v>400000</v>
      </c>
      <c r="W31" s="33"/>
      <c r="X31" s="34"/>
      <c r="Y31" s="33"/>
      <c r="Z31" s="33"/>
      <c r="AA31" s="33"/>
      <c r="AB31" s="34"/>
      <c r="AC31" s="33"/>
      <c r="AD31" s="33"/>
      <c r="AE31" s="33"/>
      <c r="AF31" s="86"/>
      <c r="AG31" s="33"/>
      <c r="AH31" s="33"/>
      <c r="AI31" s="33"/>
      <c r="AJ31" s="33"/>
      <c r="AK31" s="33"/>
      <c r="AL31" s="33"/>
      <c r="AM31" s="33"/>
      <c r="AN31" s="34"/>
      <c r="AO31" s="33"/>
      <c r="AP31" s="33"/>
      <c r="AQ31" s="33"/>
      <c r="AR31" s="34"/>
      <c r="AS31" s="33"/>
      <c r="AT31" s="33"/>
      <c r="AU31" s="33"/>
      <c r="AV31" s="34"/>
      <c r="AW31" s="17">
        <f t="shared" ref="AW31:AW61" si="7">+AQ31+AO31+AM31+AK31+AI31+AG31+AE31+AC31+AA31+Y31+W31+U31+S31+Q31+O31+M31+K31+I31+AS31+G31+AU31</f>
        <v>500</v>
      </c>
      <c r="AX31" s="34">
        <v>800</v>
      </c>
      <c r="AY31" s="80">
        <f t="shared" ref="AY31:AY36" si="8">+AW31*AX31</f>
        <v>400000</v>
      </c>
      <c r="AZ31" s="32" t="s">
        <v>169</v>
      </c>
      <c r="BA31" s="97"/>
      <c r="BB31" s="77"/>
      <c r="BC31" s="77"/>
      <c r="BD31" s="77"/>
      <c r="BE31" s="77"/>
      <c r="BF31" s="77"/>
      <c r="BG31" s="77">
        <f t="shared" si="4"/>
        <v>400000</v>
      </c>
      <c r="BH31" s="77"/>
      <c r="BI31" s="78"/>
    </row>
    <row r="32" spans="1:61" s="35" customFormat="1" ht="12.75" hidden="1" x14ac:dyDescent="0.2">
      <c r="A32" s="21">
        <v>23</v>
      </c>
      <c r="B32" s="33" t="s">
        <v>247</v>
      </c>
      <c r="C32" s="33" t="s">
        <v>52</v>
      </c>
      <c r="D32" s="33">
        <v>259</v>
      </c>
      <c r="E32" s="32" t="s">
        <v>378</v>
      </c>
      <c r="F32" s="33" t="s">
        <v>54</v>
      </c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8"/>
      <c r="T32" s="34"/>
      <c r="U32" s="33">
        <v>250</v>
      </c>
      <c r="V32" s="79">
        <f t="shared" si="0"/>
        <v>150000</v>
      </c>
      <c r="W32" s="33"/>
      <c r="X32" s="34"/>
      <c r="Y32" s="33"/>
      <c r="Z32" s="33"/>
      <c r="AA32" s="33"/>
      <c r="AB32" s="34"/>
      <c r="AC32" s="33"/>
      <c r="AD32" s="33"/>
      <c r="AE32" s="33"/>
      <c r="AF32" s="86"/>
      <c r="AG32" s="33"/>
      <c r="AH32" s="33"/>
      <c r="AI32" s="33"/>
      <c r="AJ32" s="33"/>
      <c r="AK32" s="33"/>
      <c r="AL32" s="33"/>
      <c r="AM32" s="33"/>
      <c r="AN32" s="34"/>
      <c r="AO32" s="33"/>
      <c r="AP32" s="33"/>
      <c r="AQ32" s="33"/>
      <c r="AR32" s="34"/>
      <c r="AS32" s="33"/>
      <c r="AT32" s="33"/>
      <c r="AU32" s="33"/>
      <c r="AV32" s="34"/>
      <c r="AW32" s="17">
        <f t="shared" si="7"/>
        <v>250</v>
      </c>
      <c r="AX32" s="34">
        <v>600</v>
      </c>
      <c r="AY32" s="80">
        <f t="shared" si="8"/>
        <v>150000</v>
      </c>
      <c r="AZ32" s="32" t="s">
        <v>445</v>
      </c>
      <c r="BA32" s="97"/>
      <c r="BB32" s="77"/>
      <c r="BC32" s="77"/>
      <c r="BD32" s="77"/>
      <c r="BE32" s="77"/>
      <c r="BF32" s="77"/>
      <c r="BG32" s="77">
        <f t="shared" si="4"/>
        <v>150000</v>
      </c>
      <c r="BH32" s="77"/>
      <c r="BI32" s="78"/>
    </row>
    <row r="33" spans="1:61" s="35" customFormat="1" ht="12.75" hidden="1" x14ac:dyDescent="0.2">
      <c r="A33" s="21">
        <v>24</v>
      </c>
      <c r="B33" s="33" t="s">
        <v>202</v>
      </c>
      <c r="C33" s="33" t="s">
        <v>52</v>
      </c>
      <c r="D33" s="33">
        <v>295</v>
      </c>
      <c r="E33" s="32" t="s">
        <v>353</v>
      </c>
      <c r="F33" s="33" t="s">
        <v>54</v>
      </c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8"/>
      <c r="T33" s="34"/>
      <c r="U33" s="33">
        <v>100</v>
      </c>
      <c r="V33" s="79">
        <f t="shared" si="0"/>
        <v>50000</v>
      </c>
      <c r="W33" s="33"/>
      <c r="X33" s="34"/>
      <c r="Y33" s="33"/>
      <c r="Z33" s="33"/>
      <c r="AA33" s="33"/>
      <c r="AB33" s="34"/>
      <c r="AC33" s="33"/>
      <c r="AD33" s="33"/>
      <c r="AE33" s="33"/>
      <c r="AF33" s="86"/>
      <c r="AG33" s="33"/>
      <c r="AH33" s="33"/>
      <c r="AI33" s="33"/>
      <c r="AJ33" s="33"/>
      <c r="AK33" s="33"/>
      <c r="AL33" s="33"/>
      <c r="AM33" s="33"/>
      <c r="AN33" s="34"/>
      <c r="AO33" s="33"/>
      <c r="AP33" s="33"/>
      <c r="AQ33" s="33"/>
      <c r="AR33" s="34"/>
      <c r="AS33" s="33"/>
      <c r="AT33" s="33"/>
      <c r="AU33" s="33"/>
      <c r="AV33" s="34"/>
      <c r="AW33" s="17">
        <f t="shared" si="7"/>
        <v>100</v>
      </c>
      <c r="AX33" s="34">
        <v>500</v>
      </c>
      <c r="AY33" s="80">
        <f t="shared" si="8"/>
        <v>50000</v>
      </c>
      <c r="AZ33" s="32" t="s">
        <v>75</v>
      </c>
      <c r="BA33" s="97"/>
      <c r="BB33" s="77"/>
      <c r="BC33" s="77"/>
      <c r="BD33" s="77"/>
      <c r="BE33" s="77"/>
      <c r="BF33" s="77"/>
      <c r="BG33" s="77">
        <f t="shared" si="4"/>
        <v>50000</v>
      </c>
      <c r="BH33" s="77"/>
      <c r="BI33" s="78"/>
    </row>
    <row r="34" spans="1:61" s="35" customFormat="1" ht="12.75" hidden="1" x14ac:dyDescent="0.2">
      <c r="A34" s="21">
        <v>25</v>
      </c>
      <c r="B34" s="33" t="s">
        <v>203</v>
      </c>
      <c r="C34" s="33" t="s">
        <v>52</v>
      </c>
      <c r="D34" s="33">
        <v>295</v>
      </c>
      <c r="E34" s="32" t="s">
        <v>354</v>
      </c>
      <c r="F34" s="33" t="s">
        <v>54</v>
      </c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8"/>
      <c r="T34" s="34"/>
      <c r="U34" s="33">
        <v>100</v>
      </c>
      <c r="V34" s="79">
        <f t="shared" si="0"/>
        <v>50000</v>
      </c>
      <c r="W34" s="33"/>
      <c r="X34" s="34"/>
      <c r="Y34" s="33"/>
      <c r="Z34" s="33"/>
      <c r="AA34" s="33"/>
      <c r="AB34" s="34"/>
      <c r="AC34" s="33"/>
      <c r="AD34" s="33"/>
      <c r="AE34" s="33"/>
      <c r="AF34" s="86"/>
      <c r="AG34" s="33"/>
      <c r="AH34" s="33"/>
      <c r="AI34" s="33"/>
      <c r="AJ34" s="33"/>
      <c r="AK34" s="33"/>
      <c r="AL34" s="33"/>
      <c r="AM34" s="33"/>
      <c r="AN34" s="34"/>
      <c r="AO34" s="33"/>
      <c r="AP34" s="33"/>
      <c r="AQ34" s="33"/>
      <c r="AR34" s="34"/>
      <c r="AS34" s="33"/>
      <c r="AT34" s="33"/>
      <c r="AU34" s="33"/>
      <c r="AV34" s="34"/>
      <c r="AW34" s="17">
        <f t="shared" si="7"/>
        <v>100</v>
      </c>
      <c r="AX34" s="34">
        <v>500</v>
      </c>
      <c r="AY34" s="80">
        <f t="shared" si="8"/>
        <v>50000</v>
      </c>
      <c r="AZ34" s="32" t="s">
        <v>76</v>
      </c>
      <c r="BA34" s="97"/>
      <c r="BB34" s="77"/>
      <c r="BC34" s="77"/>
      <c r="BD34" s="77"/>
      <c r="BE34" s="77"/>
      <c r="BF34" s="77"/>
      <c r="BG34" s="77">
        <f t="shared" si="4"/>
        <v>50000</v>
      </c>
      <c r="BH34" s="77"/>
      <c r="BI34" s="78"/>
    </row>
    <row r="35" spans="1:61" s="35" customFormat="1" ht="12.75" hidden="1" x14ac:dyDescent="0.2">
      <c r="A35" s="21">
        <v>26</v>
      </c>
      <c r="B35" s="33" t="s">
        <v>204</v>
      </c>
      <c r="C35" s="33" t="s">
        <v>52</v>
      </c>
      <c r="D35" s="33">
        <v>295</v>
      </c>
      <c r="E35" s="32" t="s">
        <v>355</v>
      </c>
      <c r="F35" s="33" t="s">
        <v>54</v>
      </c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8"/>
      <c r="T35" s="34"/>
      <c r="U35" s="33">
        <v>100</v>
      </c>
      <c r="V35" s="79">
        <f t="shared" si="0"/>
        <v>50000</v>
      </c>
      <c r="W35" s="33"/>
      <c r="X35" s="34"/>
      <c r="Y35" s="33"/>
      <c r="Z35" s="33"/>
      <c r="AA35" s="33"/>
      <c r="AB35" s="34"/>
      <c r="AC35" s="33"/>
      <c r="AD35" s="33"/>
      <c r="AE35" s="33"/>
      <c r="AF35" s="86"/>
      <c r="AG35" s="33"/>
      <c r="AH35" s="33"/>
      <c r="AI35" s="33"/>
      <c r="AJ35" s="33"/>
      <c r="AK35" s="33"/>
      <c r="AL35" s="33"/>
      <c r="AM35" s="33"/>
      <c r="AN35" s="34"/>
      <c r="AO35" s="33"/>
      <c r="AP35" s="33"/>
      <c r="AQ35" s="33"/>
      <c r="AR35" s="34"/>
      <c r="AS35" s="33"/>
      <c r="AT35" s="33"/>
      <c r="AU35" s="33"/>
      <c r="AV35" s="34"/>
      <c r="AW35" s="17">
        <f t="shared" si="7"/>
        <v>100</v>
      </c>
      <c r="AX35" s="34">
        <v>500</v>
      </c>
      <c r="AY35" s="80">
        <f t="shared" si="8"/>
        <v>50000</v>
      </c>
      <c r="AZ35" s="32" t="s">
        <v>77</v>
      </c>
      <c r="BA35" s="97"/>
      <c r="BB35" s="77"/>
      <c r="BC35" s="77"/>
      <c r="BD35" s="77"/>
      <c r="BE35" s="77"/>
      <c r="BF35" s="77"/>
      <c r="BG35" s="77">
        <f t="shared" si="4"/>
        <v>50000</v>
      </c>
      <c r="BH35" s="77"/>
      <c r="BI35" s="78"/>
    </row>
    <row r="36" spans="1:61" s="35" customFormat="1" ht="25.5" hidden="1" x14ac:dyDescent="0.2">
      <c r="A36" s="21">
        <v>27</v>
      </c>
      <c r="B36" s="33" t="s">
        <v>245</v>
      </c>
      <c r="C36" s="33" t="s">
        <v>52</v>
      </c>
      <c r="D36" s="33">
        <v>295</v>
      </c>
      <c r="E36" s="32" t="s">
        <v>351</v>
      </c>
      <c r="F36" s="33" t="s">
        <v>54</v>
      </c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8"/>
      <c r="T36" s="34"/>
      <c r="U36" s="33">
        <v>160</v>
      </c>
      <c r="V36" s="79">
        <f t="shared" si="0"/>
        <v>32000</v>
      </c>
      <c r="W36" s="33"/>
      <c r="X36" s="34"/>
      <c r="Y36" s="33"/>
      <c r="Z36" s="33"/>
      <c r="AA36" s="33"/>
      <c r="AB36" s="34"/>
      <c r="AC36" s="33"/>
      <c r="AD36" s="33"/>
      <c r="AE36" s="33"/>
      <c r="AF36" s="86"/>
      <c r="AG36" s="33"/>
      <c r="AH36" s="33"/>
      <c r="AI36" s="33"/>
      <c r="AJ36" s="33"/>
      <c r="AK36" s="33"/>
      <c r="AL36" s="33"/>
      <c r="AM36" s="33"/>
      <c r="AN36" s="34"/>
      <c r="AO36" s="33"/>
      <c r="AP36" s="33"/>
      <c r="AQ36" s="33"/>
      <c r="AR36" s="34"/>
      <c r="AS36" s="33"/>
      <c r="AT36" s="33"/>
      <c r="AU36" s="33"/>
      <c r="AV36" s="34"/>
      <c r="AW36" s="17">
        <f t="shared" si="7"/>
        <v>160</v>
      </c>
      <c r="AX36" s="34">
        <v>200</v>
      </c>
      <c r="AY36" s="80">
        <f t="shared" si="8"/>
        <v>32000</v>
      </c>
      <c r="AZ36" s="32" t="s">
        <v>244</v>
      </c>
      <c r="BA36" s="97"/>
      <c r="BB36" s="77"/>
      <c r="BC36" s="77"/>
      <c r="BD36" s="77"/>
      <c r="BE36" s="77"/>
      <c r="BF36" s="77"/>
      <c r="BG36" s="77">
        <f t="shared" si="4"/>
        <v>32000</v>
      </c>
      <c r="BH36" s="77"/>
      <c r="BI36" s="78"/>
    </row>
    <row r="37" spans="1:61" s="35" customFormat="1" ht="12.75" hidden="1" x14ac:dyDescent="0.2">
      <c r="A37" s="21">
        <v>28</v>
      </c>
      <c r="B37" s="33" t="s">
        <v>246</v>
      </c>
      <c r="C37" s="33" t="s">
        <v>52</v>
      </c>
      <c r="D37" s="33">
        <v>295</v>
      </c>
      <c r="E37" s="32" t="s">
        <v>352</v>
      </c>
      <c r="F37" s="33" t="s">
        <v>54</v>
      </c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8"/>
      <c r="T37" s="34"/>
      <c r="U37" s="33">
        <v>160</v>
      </c>
      <c r="V37" s="79">
        <f t="shared" si="0"/>
        <v>32000</v>
      </c>
      <c r="W37" s="33"/>
      <c r="X37" s="34"/>
      <c r="Y37" s="33"/>
      <c r="Z37" s="33"/>
      <c r="AA37" s="33"/>
      <c r="AB37" s="34"/>
      <c r="AC37" s="33"/>
      <c r="AD37" s="33"/>
      <c r="AE37" s="33"/>
      <c r="AF37" s="86"/>
      <c r="AG37" s="33"/>
      <c r="AH37" s="33"/>
      <c r="AI37" s="33"/>
      <c r="AJ37" s="33"/>
      <c r="AK37" s="33"/>
      <c r="AL37" s="33"/>
      <c r="AM37" s="33"/>
      <c r="AN37" s="34"/>
      <c r="AO37" s="33"/>
      <c r="AP37" s="33"/>
      <c r="AQ37" s="33"/>
      <c r="AR37" s="34"/>
      <c r="AS37" s="33"/>
      <c r="AT37" s="33"/>
      <c r="AU37" s="33"/>
      <c r="AV37" s="34"/>
      <c r="AW37" s="17">
        <f t="shared" si="7"/>
        <v>160</v>
      </c>
      <c r="AX37" s="34">
        <v>200</v>
      </c>
      <c r="AY37" s="80">
        <f>+AX37*AW37</f>
        <v>32000</v>
      </c>
      <c r="AZ37" s="32" t="s">
        <v>243</v>
      </c>
      <c r="BA37" s="97"/>
      <c r="BB37" s="77"/>
      <c r="BC37" s="77"/>
      <c r="BD37" s="77"/>
      <c r="BE37" s="77"/>
      <c r="BF37" s="77"/>
      <c r="BG37" s="77">
        <f t="shared" si="4"/>
        <v>32000</v>
      </c>
      <c r="BH37" s="77"/>
      <c r="BI37" s="78"/>
    </row>
    <row r="38" spans="1:61" s="35" customFormat="1" ht="25.5" hidden="1" x14ac:dyDescent="0.2">
      <c r="A38" s="21">
        <v>29</v>
      </c>
      <c r="B38" s="33" t="s">
        <v>212</v>
      </c>
      <c r="C38" s="33" t="s">
        <v>52</v>
      </c>
      <c r="D38" s="33">
        <v>295</v>
      </c>
      <c r="E38" s="32" t="s">
        <v>341</v>
      </c>
      <c r="F38" s="33" t="s">
        <v>54</v>
      </c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8"/>
      <c r="T38" s="34"/>
      <c r="U38" s="33">
        <v>100</v>
      </c>
      <c r="V38" s="79">
        <f t="shared" si="0"/>
        <v>20000</v>
      </c>
      <c r="W38" s="33"/>
      <c r="X38" s="34"/>
      <c r="Y38" s="33"/>
      <c r="Z38" s="33"/>
      <c r="AA38" s="33"/>
      <c r="AB38" s="34"/>
      <c r="AC38" s="33"/>
      <c r="AD38" s="33"/>
      <c r="AE38" s="33"/>
      <c r="AF38" s="86"/>
      <c r="AG38" s="33"/>
      <c r="AH38" s="33"/>
      <c r="AI38" s="33"/>
      <c r="AJ38" s="33"/>
      <c r="AK38" s="33"/>
      <c r="AL38" s="33"/>
      <c r="AM38" s="33"/>
      <c r="AN38" s="34"/>
      <c r="AO38" s="33"/>
      <c r="AP38" s="33"/>
      <c r="AQ38" s="33"/>
      <c r="AR38" s="34"/>
      <c r="AS38" s="33"/>
      <c r="AT38" s="33"/>
      <c r="AU38" s="33"/>
      <c r="AV38" s="34"/>
      <c r="AW38" s="17">
        <f t="shared" si="7"/>
        <v>100</v>
      </c>
      <c r="AX38" s="34">
        <v>200</v>
      </c>
      <c r="AY38" s="80">
        <f t="shared" ref="AY38:AY66" si="9">+AW38*AX38</f>
        <v>20000</v>
      </c>
      <c r="AZ38" s="32" t="s">
        <v>210</v>
      </c>
      <c r="BA38" s="97"/>
      <c r="BB38" s="77"/>
      <c r="BC38" s="77"/>
      <c r="BD38" s="77"/>
      <c r="BE38" s="77"/>
      <c r="BF38" s="77"/>
      <c r="BG38" s="77">
        <f t="shared" si="4"/>
        <v>20000</v>
      </c>
      <c r="BH38" s="77"/>
      <c r="BI38" s="78"/>
    </row>
    <row r="39" spans="1:61" s="35" customFormat="1" ht="25.5" hidden="1" x14ac:dyDescent="0.2">
      <c r="A39" s="21">
        <v>30</v>
      </c>
      <c r="B39" s="33" t="s">
        <v>225</v>
      </c>
      <c r="C39" s="33" t="s">
        <v>52</v>
      </c>
      <c r="D39" s="33">
        <v>295</v>
      </c>
      <c r="E39" s="32" t="s">
        <v>349</v>
      </c>
      <c r="F39" s="33" t="s">
        <v>54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8"/>
      <c r="T39" s="34"/>
      <c r="U39" s="33">
        <v>160</v>
      </c>
      <c r="V39" s="79">
        <f t="shared" si="0"/>
        <v>32000</v>
      </c>
      <c r="W39" s="33"/>
      <c r="X39" s="34"/>
      <c r="Y39" s="33"/>
      <c r="Z39" s="33"/>
      <c r="AA39" s="33"/>
      <c r="AB39" s="34"/>
      <c r="AC39" s="33"/>
      <c r="AD39" s="33"/>
      <c r="AE39" s="33"/>
      <c r="AF39" s="86"/>
      <c r="AG39" s="33"/>
      <c r="AH39" s="33"/>
      <c r="AI39" s="33"/>
      <c r="AJ39" s="33"/>
      <c r="AK39" s="33"/>
      <c r="AL39" s="33"/>
      <c r="AM39" s="33"/>
      <c r="AN39" s="34"/>
      <c r="AO39" s="33"/>
      <c r="AP39" s="33"/>
      <c r="AQ39" s="33"/>
      <c r="AR39" s="34"/>
      <c r="AS39" s="33"/>
      <c r="AT39" s="33"/>
      <c r="AU39" s="33"/>
      <c r="AV39" s="34"/>
      <c r="AW39" s="17">
        <f t="shared" si="7"/>
        <v>160</v>
      </c>
      <c r="AX39" s="34">
        <v>200</v>
      </c>
      <c r="AY39" s="80">
        <f t="shared" si="9"/>
        <v>32000</v>
      </c>
      <c r="AZ39" s="32" t="s">
        <v>223</v>
      </c>
      <c r="BA39" s="97"/>
      <c r="BB39" s="77"/>
      <c r="BC39" s="77"/>
      <c r="BD39" s="77"/>
      <c r="BE39" s="77"/>
      <c r="BF39" s="77"/>
      <c r="BG39" s="77">
        <f t="shared" si="4"/>
        <v>32000</v>
      </c>
      <c r="BH39" s="77"/>
      <c r="BI39" s="78"/>
    </row>
    <row r="40" spans="1:61" s="35" customFormat="1" ht="25.5" hidden="1" x14ac:dyDescent="0.2">
      <c r="A40" s="21">
        <v>31</v>
      </c>
      <c r="B40" s="33" t="s">
        <v>213</v>
      </c>
      <c r="C40" s="33" t="s">
        <v>52</v>
      </c>
      <c r="D40" s="33">
        <v>295</v>
      </c>
      <c r="E40" s="32" t="s">
        <v>342</v>
      </c>
      <c r="F40" s="33" t="s">
        <v>54</v>
      </c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8"/>
      <c r="T40" s="34"/>
      <c r="U40" s="33">
        <v>100</v>
      </c>
      <c r="V40" s="79">
        <f t="shared" si="0"/>
        <v>20000</v>
      </c>
      <c r="W40" s="33"/>
      <c r="X40" s="34"/>
      <c r="Y40" s="33"/>
      <c r="Z40" s="33"/>
      <c r="AA40" s="33"/>
      <c r="AB40" s="34"/>
      <c r="AC40" s="33"/>
      <c r="AD40" s="33"/>
      <c r="AE40" s="33"/>
      <c r="AF40" s="86"/>
      <c r="AG40" s="33"/>
      <c r="AH40" s="33"/>
      <c r="AI40" s="33"/>
      <c r="AJ40" s="33"/>
      <c r="AK40" s="33"/>
      <c r="AL40" s="33"/>
      <c r="AM40" s="33"/>
      <c r="AN40" s="34"/>
      <c r="AO40" s="33"/>
      <c r="AP40" s="33"/>
      <c r="AQ40" s="33"/>
      <c r="AR40" s="34"/>
      <c r="AS40" s="33"/>
      <c r="AT40" s="33"/>
      <c r="AU40" s="33"/>
      <c r="AV40" s="34"/>
      <c r="AW40" s="17">
        <f t="shared" si="7"/>
        <v>100</v>
      </c>
      <c r="AX40" s="34">
        <v>200</v>
      </c>
      <c r="AY40" s="80">
        <f t="shared" si="9"/>
        <v>20000</v>
      </c>
      <c r="AZ40" s="32" t="s">
        <v>459</v>
      </c>
      <c r="BA40" s="97"/>
      <c r="BB40" s="77"/>
      <c r="BC40" s="77"/>
      <c r="BD40" s="77"/>
      <c r="BE40" s="77"/>
      <c r="BF40" s="77"/>
      <c r="BG40" s="77">
        <f t="shared" si="4"/>
        <v>20000</v>
      </c>
      <c r="BH40" s="77"/>
      <c r="BI40" s="78"/>
    </row>
    <row r="41" spans="1:61" s="35" customFormat="1" ht="25.5" hidden="1" x14ac:dyDescent="0.2">
      <c r="A41" s="21">
        <v>32</v>
      </c>
      <c r="B41" s="33" t="s">
        <v>214</v>
      </c>
      <c r="C41" s="33" t="s">
        <v>52</v>
      </c>
      <c r="D41" s="33">
        <v>295</v>
      </c>
      <c r="E41" s="32" t="s">
        <v>343</v>
      </c>
      <c r="F41" s="33" t="s">
        <v>54</v>
      </c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8"/>
      <c r="T41" s="34"/>
      <c r="U41" s="33">
        <v>120</v>
      </c>
      <c r="V41" s="79">
        <f t="shared" si="0"/>
        <v>24000</v>
      </c>
      <c r="W41" s="33"/>
      <c r="X41" s="34"/>
      <c r="Y41" s="33"/>
      <c r="Z41" s="33"/>
      <c r="AA41" s="33"/>
      <c r="AB41" s="34"/>
      <c r="AC41" s="33"/>
      <c r="AD41" s="33"/>
      <c r="AE41" s="33"/>
      <c r="AF41" s="86"/>
      <c r="AG41" s="33"/>
      <c r="AH41" s="33"/>
      <c r="AI41" s="33"/>
      <c r="AJ41" s="33"/>
      <c r="AK41" s="33"/>
      <c r="AL41" s="33"/>
      <c r="AM41" s="33"/>
      <c r="AN41" s="34"/>
      <c r="AO41" s="33"/>
      <c r="AP41" s="33"/>
      <c r="AQ41" s="33"/>
      <c r="AR41" s="34"/>
      <c r="AS41" s="33"/>
      <c r="AT41" s="33"/>
      <c r="AU41" s="33"/>
      <c r="AV41" s="34"/>
      <c r="AW41" s="17">
        <f t="shared" si="7"/>
        <v>120</v>
      </c>
      <c r="AX41" s="34">
        <v>200</v>
      </c>
      <c r="AY41" s="80">
        <f t="shared" si="9"/>
        <v>24000</v>
      </c>
      <c r="AZ41" s="32" t="s">
        <v>211</v>
      </c>
      <c r="BA41" s="97"/>
      <c r="BB41" s="77"/>
      <c r="BC41" s="77"/>
      <c r="BD41" s="77"/>
      <c r="BE41" s="77"/>
      <c r="BF41" s="77"/>
      <c r="BG41" s="77">
        <f t="shared" si="4"/>
        <v>24000</v>
      </c>
      <c r="BH41" s="77"/>
      <c r="BI41" s="78"/>
    </row>
    <row r="42" spans="1:61" s="35" customFormat="1" ht="12.75" hidden="1" x14ac:dyDescent="0.2">
      <c r="A42" s="21">
        <v>33</v>
      </c>
      <c r="B42" s="33" t="s">
        <v>217</v>
      </c>
      <c r="C42" s="33" t="s">
        <v>52</v>
      </c>
      <c r="D42" s="33">
        <v>295</v>
      </c>
      <c r="E42" s="32" t="s">
        <v>344</v>
      </c>
      <c r="F42" s="33" t="s">
        <v>54</v>
      </c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8"/>
      <c r="T42" s="34"/>
      <c r="U42" s="33">
        <v>80</v>
      </c>
      <c r="V42" s="79">
        <f t="shared" si="0"/>
        <v>16000</v>
      </c>
      <c r="W42" s="33"/>
      <c r="X42" s="34"/>
      <c r="Y42" s="33"/>
      <c r="Z42" s="33"/>
      <c r="AA42" s="33"/>
      <c r="AB42" s="34"/>
      <c r="AC42" s="33"/>
      <c r="AD42" s="33"/>
      <c r="AE42" s="33"/>
      <c r="AF42" s="86"/>
      <c r="AG42" s="33"/>
      <c r="AH42" s="33"/>
      <c r="AI42" s="33"/>
      <c r="AJ42" s="33"/>
      <c r="AK42" s="33"/>
      <c r="AL42" s="33"/>
      <c r="AM42" s="33"/>
      <c r="AN42" s="34"/>
      <c r="AO42" s="33"/>
      <c r="AP42" s="33"/>
      <c r="AQ42" s="33"/>
      <c r="AR42" s="34"/>
      <c r="AS42" s="33"/>
      <c r="AT42" s="33"/>
      <c r="AU42" s="33"/>
      <c r="AV42" s="34"/>
      <c r="AW42" s="17">
        <f t="shared" si="7"/>
        <v>80</v>
      </c>
      <c r="AX42" s="34">
        <v>200</v>
      </c>
      <c r="AY42" s="80">
        <f t="shared" si="9"/>
        <v>16000</v>
      </c>
      <c r="AZ42" s="32" t="s">
        <v>138</v>
      </c>
      <c r="BA42" s="97"/>
      <c r="BB42" s="77"/>
      <c r="BC42" s="77"/>
      <c r="BD42" s="77"/>
      <c r="BE42" s="77"/>
      <c r="BF42" s="77"/>
      <c r="BG42" s="77">
        <f t="shared" si="4"/>
        <v>16000</v>
      </c>
      <c r="BH42" s="77"/>
      <c r="BI42" s="78"/>
    </row>
    <row r="43" spans="1:61" s="35" customFormat="1" ht="12.75" hidden="1" x14ac:dyDescent="0.2">
      <c r="A43" s="21">
        <v>34</v>
      </c>
      <c r="B43" s="33" t="s">
        <v>218</v>
      </c>
      <c r="C43" s="33" t="s">
        <v>52</v>
      </c>
      <c r="D43" s="33">
        <v>295</v>
      </c>
      <c r="E43" s="32" t="s">
        <v>345</v>
      </c>
      <c r="F43" s="33" t="s">
        <v>54</v>
      </c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8"/>
      <c r="T43" s="34"/>
      <c r="U43" s="33">
        <v>60</v>
      </c>
      <c r="V43" s="79">
        <f t="shared" si="0"/>
        <v>12000</v>
      </c>
      <c r="W43" s="33"/>
      <c r="X43" s="34"/>
      <c r="Y43" s="33"/>
      <c r="Z43" s="33"/>
      <c r="AA43" s="33"/>
      <c r="AB43" s="34"/>
      <c r="AC43" s="33"/>
      <c r="AD43" s="33"/>
      <c r="AE43" s="33"/>
      <c r="AF43" s="86"/>
      <c r="AG43" s="33"/>
      <c r="AH43" s="33"/>
      <c r="AI43" s="33"/>
      <c r="AJ43" s="33"/>
      <c r="AK43" s="33"/>
      <c r="AL43" s="33"/>
      <c r="AM43" s="33"/>
      <c r="AN43" s="34"/>
      <c r="AO43" s="33"/>
      <c r="AP43" s="33"/>
      <c r="AQ43" s="33"/>
      <c r="AR43" s="34"/>
      <c r="AS43" s="33"/>
      <c r="AT43" s="33"/>
      <c r="AU43" s="33"/>
      <c r="AV43" s="34"/>
      <c r="AW43" s="17">
        <f t="shared" si="7"/>
        <v>60</v>
      </c>
      <c r="AX43" s="34">
        <v>200</v>
      </c>
      <c r="AY43" s="80">
        <f t="shared" si="9"/>
        <v>12000</v>
      </c>
      <c r="AZ43" s="32" t="s">
        <v>139</v>
      </c>
      <c r="BA43" s="97"/>
      <c r="BB43" s="77"/>
      <c r="BC43" s="77"/>
      <c r="BD43" s="77"/>
      <c r="BE43" s="77"/>
      <c r="BF43" s="77"/>
      <c r="BG43" s="77">
        <f t="shared" si="4"/>
        <v>12000</v>
      </c>
      <c r="BH43" s="77"/>
      <c r="BI43" s="78"/>
    </row>
    <row r="44" spans="1:61" s="35" customFormat="1" ht="25.5" hidden="1" x14ac:dyDescent="0.2">
      <c r="A44" s="21">
        <v>35</v>
      </c>
      <c r="B44" s="33" t="s">
        <v>222</v>
      </c>
      <c r="C44" s="33" t="s">
        <v>52</v>
      </c>
      <c r="D44" s="33">
        <v>296</v>
      </c>
      <c r="E44" s="32" t="s">
        <v>350</v>
      </c>
      <c r="F44" s="33" t="s">
        <v>54</v>
      </c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8"/>
      <c r="T44" s="34"/>
      <c r="U44" s="33">
        <v>160</v>
      </c>
      <c r="V44" s="79">
        <f t="shared" si="0"/>
        <v>32000</v>
      </c>
      <c r="W44" s="33"/>
      <c r="X44" s="34"/>
      <c r="Y44" s="33"/>
      <c r="Z44" s="33"/>
      <c r="AA44" s="33"/>
      <c r="AB44" s="34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4"/>
      <c r="AO44" s="33"/>
      <c r="AP44" s="33"/>
      <c r="AQ44" s="33"/>
      <c r="AR44" s="34"/>
      <c r="AS44" s="33"/>
      <c r="AT44" s="33"/>
      <c r="AU44" s="33"/>
      <c r="AV44" s="34"/>
      <c r="AW44" s="17">
        <f t="shared" si="7"/>
        <v>160</v>
      </c>
      <c r="AX44" s="34">
        <v>200</v>
      </c>
      <c r="AY44" s="80">
        <f t="shared" si="9"/>
        <v>32000</v>
      </c>
      <c r="AZ44" s="32" t="s">
        <v>224</v>
      </c>
      <c r="BA44" s="97"/>
      <c r="BB44" s="77"/>
      <c r="BC44" s="77"/>
      <c r="BD44" s="77"/>
      <c r="BE44" s="77"/>
      <c r="BF44" s="77"/>
      <c r="BG44" s="77">
        <f t="shared" si="4"/>
        <v>32000</v>
      </c>
      <c r="BH44" s="77"/>
      <c r="BI44" s="78"/>
    </row>
    <row r="45" spans="1:61" s="35" customFormat="1" ht="12.75" hidden="1" x14ac:dyDescent="0.2">
      <c r="A45" s="21">
        <v>36</v>
      </c>
      <c r="B45" s="33" t="s">
        <v>219</v>
      </c>
      <c r="C45" s="33" t="s">
        <v>52</v>
      </c>
      <c r="D45" s="33">
        <v>295</v>
      </c>
      <c r="E45" s="32" t="s">
        <v>346</v>
      </c>
      <c r="F45" s="33" t="s">
        <v>54</v>
      </c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8"/>
      <c r="T45" s="34"/>
      <c r="U45" s="33">
        <v>60</v>
      </c>
      <c r="V45" s="79">
        <f t="shared" si="0"/>
        <v>12000</v>
      </c>
      <c r="W45" s="33"/>
      <c r="X45" s="34"/>
      <c r="Y45" s="33"/>
      <c r="Z45" s="33"/>
      <c r="AA45" s="33"/>
      <c r="AB45" s="34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4"/>
      <c r="AO45" s="33"/>
      <c r="AP45" s="33"/>
      <c r="AQ45" s="33"/>
      <c r="AR45" s="34"/>
      <c r="AS45" s="33"/>
      <c r="AT45" s="33"/>
      <c r="AU45" s="33"/>
      <c r="AV45" s="34"/>
      <c r="AW45" s="17">
        <f t="shared" si="7"/>
        <v>60</v>
      </c>
      <c r="AX45" s="34">
        <v>200</v>
      </c>
      <c r="AY45" s="80">
        <f t="shared" si="9"/>
        <v>12000</v>
      </c>
      <c r="AZ45" s="32" t="s">
        <v>140</v>
      </c>
      <c r="BA45" s="97"/>
      <c r="BB45" s="77"/>
      <c r="BC45" s="77"/>
      <c r="BD45" s="77"/>
      <c r="BE45" s="77"/>
      <c r="BF45" s="77"/>
      <c r="BG45" s="77">
        <f t="shared" si="4"/>
        <v>12000</v>
      </c>
      <c r="BH45" s="77"/>
      <c r="BI45" s="78"/>
    </row>
    <row r="46" spans="1:61" s="35" customFormat="1" ht="12.75" hidden="1" x14ac:dyDescent="0.2">
      <c r="A46" s="21">
        <v>37</v>
      </c>
      <c r="B46" s="33" t="s">
        <v>220</v>
      </c>
      <c r="C46" s="33" t="s">
        <v>52</v>
      </c>
      <c r="D46" s="33">
        <v>295</v>
      </c>
      <c r="E46" s="32" t="s">
        <v>347</v>
      </c>
      <c r="F46" s="33" t="s">
        <v>54</v>
      </c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8"/>
      <c r="T46" s="34"/>
      <c r="U46" s="33">
        <v>60</v>
      </c>
      <c r="V46" s="79">
        <f t="shared" si="0"/>
        <v>12000</v>
      </c>
      <c r="W46" s="33"/>
      <c r="X46" s="34"/>
      <c r="Y46" s="33"/>
      <c r="Z46" s="33"/>
      <c r="AA46" s="33"/>
      <c r="AB46" s="34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4"/>
      <c r="AO46" s="33"/>
      <c r="AP46" s="33"/>
      <c r="AQ46" s="33"/>
      <c r="AR46" s="34"/>
      <c r="AS46" s="33"/>
      <c r="AT46" s="33"/>
      <c r="AU46" s="33"/>
      <c r="AV46" s="34"/>
      <c r="AW46" s="17">
        <f t="shared" si="7"/>
        <v>60</v>
      </c>
      <c r="AX46" s="34">
        <v>200</v>
      </c>
      <c r="AY46" s="80">
        <f t="shared" si="9"/>
        <v>12000</v>
      </c>
      <c r="AZ46" s="32" t="s">
        <v>215</v>
      </c>
      <c r="BA46" s="97"/>
      <c r="BB46" s="77"/>
      <c r="BC46" s="77"/>
      <c r="BD46" s="77"/>
      <c r="BE46" s="77"/>
      <c r="BF46" s="77"/>
      <c r="BG46" s="77">
        <f t="shared" si="4"/>
        <v>12000</v>
      </c>
      <c r="BH46" s="77"/>
      <c r="BI46" s="78"/>
    </row>
    <row r="47" spans="1:61" s="35" customFormat="1" ht="12.75" hidden="1" x14ac:dyDescent="0.2">
      <c r="A47" s="21">
        <v>38</v>
      </c>
      <c r="B47" s="33" t="s">
        <v>221</v>
      </c>
      <c r="C47" s="33" t="s">
        <v>52</v>
      </c>
      <c r="D47" s="33">
        <v>295</v>
      </c>
      <c r="E47" s="32" t="s">
        <v>348</v>
      </c>
      <c r="F47" s="33" t="s">
        <v>54</v>
      </c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8"/>
      <c r="T47" s="34"/>
      <c r="U47" s="33">
        <v>60</v>
      </c>
      <c r="V47" s="79">
        <f t="shared" si="0"/>
        <v>12000</v>
      </c>
      <c r="W47" s="33"/>
      <c r="X47" s="34"/>
      <c r="Y47" s="33"/>
      <c r="Z47" s="33"/>
      <c r="AA47" s="33"/>
      <c r="AB47" s="34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4"/>
      <c r="AO47" s="33"/>
      <c r="AP47" s="33"/>
      <c r="AQ47" s="33"/>
      <c r="AR47" s="34"/>
      <c r="AS47" s="33"/>
      <c r="AT47" s="33"/>
      <c r="AU47" s="33"/>
      <c r="AV47" s="34"/>
      <c r="AW47" s="17">
        <f t="shared" si="7"/>
        <v>60</v>
      </c>
      <c r="AX47" s="34">
        <v>200</v>
      </c>
      <c r="AY47" s="80">
        <f t="shared" si="9"/>
        <v>12000</v>
      </c>
      <c r="AZ47" s="32" t="s">
        <v>216</v>
      </c>
      <c r="BA47" s="97"/>
      <c r="BB47" s="77"/>
      <c r="BC47" s="77"/>
      <c r="BD47" s="77"/>
      <c r="BE47" s="77"/>
      <c r="BF47" s="77"/>
      <c r="BG47" s="77">
        <f t="shared" si="4"/>
        <v>12000</v>
      </c>
      <c r="BH47" s="77"/>
      <c r="BI47" s="78"/>
    </row>
    <row r="48" spans="1:61" s="26" customFormat="1" ht="25.5" hidden="1" x14ac:dyDescent="0.2">
      <c r="A48" s="21">
        <v>39</v>
      </c>
      <c r="B48" s="33" t="s">
        <v>226</v>
      </c>
      <c r="C48" s="33" t="s">
        <v>52</v>
      </c>
      <c r="D48" s="33">
        <v>295</v>
      </c>
      <c r="E48" s="32" t="s">
        <v>356</v>
      </c>
      <c r="F48" s="33" t="s">
        <v>54</v>
      </c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8"/>
      <c r="T48" s="34"/>
      <c r="U48" s="33">
        <v>100</v>
      </c>
      <c r="V48" s="79">
        <f t="shared" si="0"/>
        <v>50000</v>
      </c>
      <c r="W48" s="33"/>
      <c r="X48" s="34"/>
      <c r="Y48" s="33"/>
      <c r="Z48" s="33"/>
      <c r="AA48" s="33"/>
      <c r="AB48" s="34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4"/>
      <c r="AO48" s="33"/>
      <c r="AP48" s="33"/>
      <c r="AQ48" s="33"/>
      <c r="AR48" s="34"/>
      <c r="AS48" s="33"/>
      <c r="AT48" s="33"/>
      <c r="AU48" s="33"/>
      <c r="AV48" s="34"/>
      <c r="AW48" s="17">
        <f t="shared" si="7"/>
        <v>100</v>
      </c>
      <c r="AX48" s="34">
        <v>500</v>
      </c>
      <c r="AY48" s="80">
        <f t="shared" si="9"/>
        <v>50000</v>
      </c>
      <c r="AZ48" s="32" t="s">
        <v>160</v>
      </c>
      <c r="BA48" s="98"/>
      <c r="BB48" s="77"/>
      <c r="BC48" s="77"/>
      <c r="BD48" s="77"/>
      <c r="BE48" s="77"/>
      <c r="BF48" s="77"/>
      <c r="BG48" s="77">
        <f t="shared" si="4"/>
        <v>50000</v>
      </c>
      <c r="BH48" s="77"/>
      <c r="BI48" s="78"/>
    </row>
    <row r="49" spans="1:61" s="26" customFormat="1" ht="25.5" hidden="1" x14ac:dyDescent="0.2">
      <c r="A49" s="21">
        <v>40</v>
      </c>
      <c r="B49" s="33" t="s">
        <v>263</v>
      </c>
      <c r="C49" s="33" t="s">
        <v>52</v>
      </c>
      <c r="D49" s="33">
        <v>295</v>
      </c>
      <c r="E49" s="32" t="s">
        <v>391</v>
      </c>
      <c r="F49" s="33" t="s">
        <v>54</v>
      </c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8"/>
      <c r="T49" s="34"/>
      <c r="U49" s="33">
        <v>50</v>
      </c>
      <c r="V49" s="79">
        <f t="shared" si="0"/>
        <v>15000</v>
      </c>
      <c r="W49" s="33"/>
      <c r="X49" s="34"/>
      <c r="Y49" s="33"/>
      <c r="Z49" s="33"/>
      <c r="AA49" s="33"/>
      <c r="AB49" s="34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4"/>
      <c r="AO49" s="33"/>
      <c r="AP49" s="33"/>
      <c r="AQ49" s="33"/>
      <c r="AR49" s="34"/>
      <c r="AS49" s="33"/>
      <c r="AT49" s="33"/>
      <c r="AU49" s="33"/>
      <c r="AV49" s="34"/>
      <c r="AW49" s="17">
        <f t="shared" si="7"/>
        <v>50</v>
      </c>
      <c r="AX49" s="34">
        <v>300</v>
      </c>
      <c r="AY49" s="80">
        <f t="shared" si="9"/>
        <v>15000</v>
      </c>
      <c r="AZ49" s="32" t="s">
        <v>261</v>
      </c>
      <c r="BA49" s="98"/>
      <c r="BB49" s="77"/>
      <c r="BC49" s="77"/>
      <c r="BD49" s="77"/>
      <c r="BE49" s="77"/>
      <c r="BF49" s="77"/>
      <c r="BG49" s="77">
        <f t="shared" si="4"/>
        <v>15000</v>
      </c>
      <c r="BH49" s="77"/>
      <c r="BI49" s="78"/>
    </row>
    <row r="50" spans="1:61" s="26" customFormat="1" ht="25.5" hidden="1" x14ac:dyDescent="0.2">
      <c r="A50" s="21">
        <v>41</v>
      </c>
      <c r="B50" s="33" t="s">
        <v>264</v>
      </c>
      <c r="C50" s="33" t="s">
        <v>52</v>
      </c>
      <c r="D50" s="33">
        <v>296</v>
      </c>
      <c r="E50" s="32" t="s">
        <v>392</v>
      </c>
      <c r="F50" s="33" t="s">
        <v>54</v>
      </c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8"/>
      <c r="T50" s="34"/>
      <c r="U50" s="33">
        <v>50</v>
      </c>
      <c r="V50" s="79">
        <f t="shared" si="0"/>
        <v>15000</v>
      </c>
      <c r="W50" s="33"/>
      <c r="X50" s="34"/>
      <c r="Y50" s="33"/>
      <c r="Z50" s="33"/>
      <c r="AA50" s="33"/>
      <c r="AB50" s="34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4"/>
      <c r="AO50" s="33"/>
      <c r="AP50" s="33"/>
      <c r="AQ50" s="33"/>
      <c r="AR50" s="34"/>
      <c r="AS50" s="33"/>
      <c r="AT50" s="33"/>
      <c r="AU50" s="33"/>
      <c r="AV50" s="34"/>
      <c r="AW50" s="17">
        <f t="shared" si="7"/>
        <v>50</v>
      </c>
      <c r="AX50" s="34">
        <v>300</v>
      </c>
      <c r="AY50" s="80">
        <f t="shared" si="9"/>
        <v>15000</v>
      </c>
      <c r="AZ50" s="32" t="s">
        <v>262</v>
      </c>
      <c r="BA50" s="98"/>
      <c r="BB50" s="77"/>
      <c r="BC50" s="77"/>
      <c r="BD50" s="77"/>
      <c r="BE50" s="77"/>
      <c r="BF50" s="77"/>
      <c r="BG50" s="77">
        <f t="shared" si="4"/>
        <v>15000</v>
      </c>
      <c r="BH50" s="77"/>
      <c r="BI50" s="78"/>
    </row>
    <row r="51" spans="1:61" s="26" customFormat="1" ht="12.75" hidden="1" x14ac:dyDescent="0.2">
      <c r="A51" s="21">
        <v>42</v>
      </c>
      <c r="B51" s="33" t="s">
        <v>270</v>
      </c>
      <c r="C51" s="33" t="s">
        <v>52</v>
      </c>
      <c r="D51" s="33">
        <v>295</v>
      </c>
      <c r="E51" s="32" t="s">
        <v>393</v>
      </c>
      <c r="F51" s="33" t="s">
        <v>54</v>
      </c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8"/>
      <c r="T51" s="34"/>
      <c r="U51" s="33">
        <v>20</v>
      </c>
      <c r="V51" s="79">
        <f t="shared" si="0"/>
        <v>6000</v>
      </c>
      <c r="W51" s="33"/>
      <c r="X51" s="34"/>
      <c r="Y51" s="33"/>
      <c r="Z51" s="33"/>
      <c r="AA51" s="33"/>
      <c r="AB51" s="34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4"/>
      <c r="AO51" s="33"/>
      <c r="AP51" s="33"/>
      <c r="AQ51" s="33"/>
      <c r="AR51" s="34"/>
      <c r="AS51" s="33"/>
      <c r="AT51" s="33"/>
      <c r="AU51" s="33"/>
      <c r="AV51" s="34"/>
      <c r="AW51" s="17">
        <f t="shared" si="7"/>
        <v>20</v>
      </c>
      <c r="AX51" s="34">
        <v>300</v>
      </c>
      <c r="AY51" s="80">
        <f t="shared" si="9"/>
        <v>6000</v>
      </c>
      <c r="AZ51" s="32" t="s">
        <v>265</v>
      </c>
      <c r="BA51" s="98"/>
      <c r="BB51" s="77"/>
      <c r="BC51" s="77"/>
      <c r="BD51" s="77">
        <f t="shared" ref="BD51:BD104" si="10">+AY51</f>
        <v>6000</v>
      </c>
      <c r="BE51" s="77"/>
      <c r="BF51" s="77"/>
      <c r="BG51" s="77"/>
      <c r="BH51" s="77"/>
      <c r="BI51" s="78"/>
    </row>
    <row r="52" spans="1:61" s="26" customFormat="1" ht="12.75" hidden="1" x14ac:dyDescent="0.2">
      <c r="A52" s="21">
        <v>43</v>
      </c>
      <c r="B52" s="33" t="s">
        <v>271</v>
      </c>
      <c r="C52" s="33" t="s">
        <v>52</v>
      </c>
      <c r="D52" s="33">
        <v>296</v>
      </c>
      <c r="E52" s="32" t="s">
        <v>394</v>
      </c>
      <c r="F52" s="33" t="s">
        <v>54</v>
      </c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8"/>
      <c r="T52" s="34"/>
      <c r="U52" s="33">
        <v>20</v>
      </c>
      <c r="V52" s="79">
        <f t="shared" si="0"/>
        <v>6000</v>
      </c>
      <c r="W52" s="33"/>
      <c r="X52" s="34"/>
      <c r="Y52" s="33"/>
      <c r="Z52" s="33"/>
      <c r="AA52" s="33"/>
      <c r="AB52" s="34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4"/>
      <c r="AO52" s="33"/>
      <c r="AP52" s="33"/>
      <c r="AQ52" s="33"/>
      <c r="AR52" s="34"/>
      <c r="AS52" s="33"/>
      <c r="AT52" s="33"/>
      <c r="AU52" s="33"/>
      <c r="AV52" s="34"/>
      <c r="AW52" s="17">
        <f t="shared" si="7"/>
        <v>20</v>
      </c>
      <c r="AX52" s="34">
        <v>300</v>
      </c>
      <c r="AY52" s="80">
        <f t="shared" si="9"/>
        <v>6000</v>
      </c>
      <c r="AZ52" s="32" t="s">
        <v>266</v>
      </c>
      <c r="BA52" s="98"/>
      <c r="BB52" s="77"/>
      <c r="BC52" s="77"/>
      <c r="BD52" s="77"/>
      <c r="BE52" s="77"/>
      <c r="BF52" s="77"/>
      <c r="BG52" s="77">
        <f t="shared" si="4"/>
        <v>6000</v>
      </c>
      <c r="BH52" s="77"/>
      <c r="BI52" s="78"/>
    </row>
    <row r="53" spans="1:61" s="26" customFormat="1" ht="12.75" x14ac:dyDescent="0.2">
      <c r="A53" s="21">
        <v>44</v>
      </c>
      <c r="B53" s="33" t="s">
        <v>272</v>
      </c>
      <c r="C53" s="33" t="s">
        <v>52</v>
      </c>
      <c r="D53" s="33">
        <v>295</v>
      </c>
      <c r="E53" s="32" t="s">
        <v>395</v>
      </c>
      <c r="F53" s="33" t="s">
        <v>54</v>
      </c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8"/>
      <c r="T53" s="34"/>
      <c r="U53" s="33">
        <v>20</v>
      </c>
      <c r="V53" s="79">
        <f t="shared" si="0"/>
        <v>6000</v>
      </c>
      <c r="W53" s="33"/>
      <c r="X53" s="34"/>
      <c r="Y53" s="33"/>
      <c r="Z53" s="33"/>
      <c r="AA53" s="33"/>
      <c r="AB53" s="34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4"/>
      <c r="AO53" s="33"/>
      <c r="AP53" s="33"/>
      <c r="AQ53" s="33"/>
      <c r="AR53" s="34"/>
      <c r="AS53" s="33"/>
      <c r="AT53" s="33"/>
      <c r="AU53" s="33"/>
      <c r="AV53" s="34"/>
      <c r="AW53" s="17">
        <f t="shared" si="7"/>
        <v>20</v>
      </c>
      <c r="AX53" s="34">
        <v>300</v>
      </c>
      <c r="AY53" s="80">
        <f t="shared" si="9"/>
        <v>6000</v>
      </c>
      <c r="AZ53" s="32" t="s">
        <v>267</v>
      </c>
      <c r="BA53" s="98"/>
      <c r="BB53" s="77"/>
      <c r="BC53" s="77"/>
      <c r="BD53" s="77">
        <f t="shared" si="10"/>
        <v>6000</v>
      </c>
      <c r="BE53" s="77"/>
      <c r="BF53" s="77"/>
      <c r="BG53" s="77"/>
      <c r="BH53" s="77"/>
      <c r="BI53" s="78"/>
    </row>
    <row r="54" spans="1:61" s="26" customFormat="1" ht="12.75" x14ac:dyDescent="0.2">
      <c r="A54" s="21">
        <v>45</v>
      </c>
      <c r="B54" s="33" t="s">
        <v>273</v>
      </c>
      <c r="C54" s="33" t="s">
        <v>52</v>
      </c>
      <c r="D54" s="33">
        <v>295</v>
      </c>
      <c r="E54" s="32" t="s">
        <v>396</v>
      </c>
      <c r="F54" s="33" t="s">
        <v>54</v>
      </c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8"/>
      <c r="T54" s="34"/>
      <c r="U54" s="33">
        <v>20</v>
      </c>
      <c r="V54" s="79">
        <f t="shared" si="0"/>
        <v>6000</v>
      </c>
      <c r="W54" s="33"/>
      <c r="X54" s="34"/>
      <c r="Y54" s="33"/>
      <c r="Z54" s="33"/>
      <c r="AA54" s="33"/>
      <c r="AB54" s="34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4"/>
      <c r="AO54" s="33"/>
      <c r="AP54" s="33"/>
      <c r="AQ54" s="33"/>
      <c r="AR54" s="34"/>
      <c r="AS54" s="33"/>
      <c r="AT54" s="33"/>
      <c r="AU54" s="33"/>
      <c r="AV54" s="34"/>
      <c r="AW54" s="17">
        <f t="shared" si="7"/>
        <v>20</v>
      </c>
      <c r="AX54" s="34">
        <v>300</v>
      </c>
      <c r="AY54" s="29">
        <f t="shared" si="9"/>
        <v>6000</v>
      </c>
      <c r="AZ54" s="32" t="s">
        <v>268</v>
      </c>
      <c r="BA54" s="98"/>
      <c r="BB54" s="77"/>
      <c r="BC54" s="77"/>
      <c r="BD54" s="77"/>
      <c r="BE54" s="77"/>
      <c r="BF54" s="77"/>
      <c r="BG54" s="77">
        <f t="shared" si="4"/>
        <v>6000</v>
      </c>
      <c r="BH54" s="77"/>
      <c r="BI54" s="78"/>
    </row>
    <row r="55" spans="1:61" s="26" customFormat="1" ht="12.75" x14ac:dyDescent="0.2">
      <c r="A55" s="21">
        <v>46</v>
      </c>
      <c r="B55" s="33" t="s">
        <v>274</v>
      </c>
      <c r="C55" s="33" t="s">
        <v>52</v>
      </c>
      <c r="D55" s="33">
        <v>295</v>
      </c>
      <c r="E55" s="32" t="s">
        <v>397</v>
      </c>
      <c r="F55" s="33" t="s">
        <v>54</v>
      </c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8"/>
      <c r="T55" s="34"/>
      <c r="U55" s="33">
        <v>20</v>
      </c>
      <c r="V55" s="79">
        <f t="shared" si="0"/>
        <v>6000</v>
      </c>
      <c r="W55" s="33"/>
      <c r="X55" s="34"/>
      <c r="Y55" s="33"/>
      <c r="Z55" s="33"/>
      <c r="AA55" s="33"/>
      <c r="AB55" s="34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4"/>
      <c r="AO55" s="33"/>
      <c r="AP55" s="33"/>
      <c r="AQ55" s="33"/>
      <c r="AR55" s="34"/>
      <c r="AS55" s="33"/>
      <c r="AT55" s="33"/>
      <c r="AU55" s="33"/>
      <c r="AV55" s="34"/>
      <c r="AW55" s="17">
        <f t="shared" si="7"/>
        <v>20</v>
      </c>
      <c r="AX55" s="34">
        <v>300</v>
      </c>
      <c r="AY55" s="29">
        <f t="shared" si="9"/>
        <v>6000</v>
      </c>
      <c r="AZ55" s="32" t="s">
        <v>269</v>
      </c>
      <c r="BA55" s="98"/>
      <c r="BB55" s="77"/>
      <c r="BC55" s="77"/>
      <c r="BD55" s="77"/>
      <c r="BE55" s="77"/>
      <c r="BF55" s="77"/>
      <c r="BG55" s="77"/>
      <c r="BH55" s="77"/>
      <c r="BI55" s="78"/>
    </row>
    <row r="56" spans="1:61" s="26" customFormat="1" ht="25.5" x14ac:dyDescent="0.2">
      <c r="A56" s="21">
        <v>47</v>
      </c>
      <c r="B56" s="33" t="s">
        <v>275</v>
      </c>
      <c r="C56" s="33" t="s">
        <v>52</v>
      </c>
      <c r="D56" s="33">
        <v>295</v>
      </c>
      <c r="E56" s="32" t="s">
        <v>398</v>
      </c>
      <c r="F56" s="33" t="s">
        <v>54</v>
      </c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8"/>
      <c r="T56" s="34"/>
      <c r="U56" s="33">
        <v>100</v>
      </c>
      <c r="V56" s="79">
        <f t="shared" si="0"/>
        <v>30000</v>
      </c>
      <c r="W56" s="33"/>
      <c r="X56" s="34"/>
      <c r="Y56" s="33"/>
      <c r="Z56" s="33"/>
      <c r="AA56" s="33"/>
      <c r="AB56" s="34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4"/>
      <c r="AO56" s="33"/>
      <c r="AP56" s="33"/>
      <c r="AQ56" s="33"/>
      <c r="AR56" s="34"/>
      <c r="AS56" s="33"/>
      <c r="AT56" s="33"/>
      <c r="AU56" s="33"/>
      <c r="AV56" s="34"/>
      <c r="AW56" s="17">
        <f t="shared" si="7"/>
        <v>100</v>
      </c>
      <c r="AX56" s="34">
        <v>300</v>
      </c>
      <c r="AY56" s="80">
        <f t="shared" si="9"/>
        <v>30000</v>
      </c>
      <c r="AZ56" s="32" t="s">
        <v>449</v>
      </c>
      <c r="BA56" s="98"/>
      <c r="BB56" s="77"/>
      <c r="BC56" s="77"/>
      <c r="BD56" s="77"/>
      <c r="BE56" s="77"/>
      <c r="BF56" s="77"/>
      <c r="BG56" s="77"/>
      <c r="BH56" s="77"/>
      <c r="BI56" s="78"/>
    </row>
    <row r="57" spans="1:61" s="26" customFormat="1" ht="12.75" x14ac:dyDescent="0.2">
      <c r="A57" s="21">
        <v>48</v>
      </c>
      <c r="B57" s="33" t="s">
        <v>260</v>
      </c>
      <c r="C57" s="33" t="s">
        <v>52</v>
      </c>
      <c r="D57" s="33">
        <v>295</v>
      </c>
      <c r="E57" s="32" t="s">
        <v>390</v>
      </c>
      <c r="F57" s="33" t="s">
        <v>54</v>
      </c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8"/>
      <c r="T57" s="34"/>
      <c r="U57" s="33">
        <v>100</v>
      </c>
      <c r="V57" s="79">
        <f t="shared" si="0"/>
        <v>30000</v>
      </c>
      <c r="W57" s="33"/>
      <c r="X57" s="34"/>
      <c r="Y57" s="33"/>
      <c r="Z57" s="33"/>
      <c r="AA57" s="33"/>
      <c r="AB57" s="34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4"/>
      <c r="AO57" s="33"/>
      <c r="AP57" s="33"/>
      <c r="AQ57" s="33"/>
      <c r="AR57" s="34"/>
      <c r="AS57" s="33"/>
      <c r="AT57" s="33"/>
      <c r="AU57" s="33"/>
      <c r="AV57" s="34"/>
      <c r="AW57" s="17">
        <f t="shared" si="7"/>
        <v>100</v>
      </c>
      <c r="AX57" s="34">
        <v>300</v>
      </c>
      <c r="AY57" s="29">
        <f t="shared" si="9"/>
        <v>30000</v>
      </c>
      <c r="AZ57" s="32" t="s">
        <v>452</v>
      </c>
      <c r="BA57" s="98"/>
      <c r="BB57" s="77"/>
      <c r="BC57" s="77"/>
      <c r="BD57" s="77"/>
      <c r="BE57" s="77"/>
      <c r="BF57" s="77"/>
      <c r="BG57" s="77">
        <f>+AY57</f>
        <v>30000</v>
      </c>
      <c r="BH57" s="77"/>
      <c r="BI57" s="78"/>
    </row>
    <row r="58" spans="1:61" s="26" customFormat="1" ht="12.75" x14ac:dyDescent="0.2">
      <c r="A58" s="21">
        <v>49</v>
      </c>
      <c r="B58" s="33" t="s">
        <v>207</v>
      </c>
      <c r="C58" s="33" t="s">
        <v>52</v>
      </c>
      <c r="D58" s="33">
        <v>295</v>
      </c>
      <c r="E58" s="32" t="s">
        <v>360</v>
      </c>
      <c r="F58" s="33" t="s">
        <v>53</v>
      </c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8"/>
      <c r="T58" s="34"/>
      <c r="U58" s="33">
        <v>10</v>
      </c>
      <c r="V58" s="79">
        <f t="shared" si="0"/>
        <v>12000</v>
      </c>
      <c r="W58" s="33"/>
      <c r="X58" s="34"/>
      <c r="Y58" s="33"/>
      <c r="Z58" s="33"/>
      <c r="AA58" s="33"/>
      <c r="AB58" s="34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4"/>
      <c r="AO58" s="33"/>
      <c r="AP58" s="33"/>
      <c r="AQ58" s="33"/>
      <c r="AR58" s="34"/>
      <c r="AS58" s="33"/>
      <c r="AT58" s="33"/>
      <c r="AU58" s="33"/>
      <c r="AV58" s="34"/>
      <c r="AW58" s="17">
        <f t="shared" si="7"/>
        <v>10</v>
      </c>
      <c r="AX58" s="34">
        <v>1200</v>
      </c>
      <c r="AY58" s="29">
        <f t="shared" si="9"/>
        <v>12000</v>
      </c>
      <c r="AZ58" s="32" t="s">
        <v>428</v>
      </c>
      <c r="BA58" s="98"/>
      <c r="BB58" s="77"/>
      <c r="BC58" s="77"/>
      <c r="BD58" s="77"/>
      <c r="BE58" s="77"/>
      <c r="BF58" s="77"/>
      <c r="BG58" s="77"/>
      <c r="BH58" s="77"/>
      <c r="BI58" s="78"/>
    </row>
    <row r="59" spans="1:61" s="26" customFormat="1" ht="12.75" x14ac:dyDescent="0.2">
      <c r="A59" s="21">
        <v>50</v>
      </c>
      <c r="B59" s="33" t="s">
        <v>228</v>
      </c>
      <c r="C59" s="33" t="s">
        <v>52</v>
      </c>
      <c r="D59" s="88">
        <v>295</v>
      </c>
      <c r="E59" s="32" t="s">
        <v>361</v>
      </c>
      <c r="F59" s="33" t="s">
        <v>54</v>
      </c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8"/>
      <c r="T59" s="34"/>
      <c r="U59" s="33">
        <v>20</v>
      </c>
      <c r="V59" s="79">
        <f t="shared" si="0"/>
        <v>4000</v>
      </c>
      <c r="W59" s="33"/>
      <c r="X59" s="34"/>
      <c r="Y59" s="33"/>
      <c r="Z59" s="33"/>
      <c r="AA59" s="33"/>
      <c r="AB59" s="34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4"/>
      <c r="AO59" s="33"/>
      <c r="AP59" s="33"/>
      <c r="AQ59" s="33"/>
      <c r="AR59" s="34"/>
      <c r="AS59" s="33"/>
      <c r="AT59" s="33"/>
      <c r="AU59" s="33"/>
      <c r="AV59" s="34"/>
      <c r="AW59" s="17">
        <f t="shared" si="7"/>
        <v>20</v>
      </c>
      <c r="AX59" s="34">
        <v>200</v>
      </c>
      <c r="AY59" s="80">
        <f t="shared" si="9"/>
        <v>4000</v>
      </c>
      <c r="AZ59" s="32" t="s">
        <v>442</v>
      </c>
      <c r="BA59" s="98"/>
      <c r="BB59" s="77"/>
      <c r="BC59" s="77"/>
      <c r="BD59" s="77"/>
      <c r="BE59" s="77"/>
      <c r="BF59" s="77"/>
      <c r="BG59" s="77"/>
      <c r="BH59" s="77"/>
      <c r="BI59" s="78"/>
    </row>
    <row r="60" spans="1:61" s="26" customFormat="1" ht="12.75" x14ac:dyDescent="0.2">
      <c r="A60" s="21">
        <v>51</v>
      </c>
      <c r="B60" s="33" t="s">
        <v>278</v>
      </c>
      <c r="C60" s="33" t="s">
        <v>52</v>
      </c>
      <c r="D60" s="33">
        <v>295</v>
      </c>
      <c r="E60" s="32" t="s">
        <v>401</v>
      </c>
      <c r="F60" s="33" t="s">
        <v>54</v>
      </c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8"/>
      <c r="T60" s="34"/>
      <c r="U60" s="33">
        <v>6</v>
      </c>
      <c r="V60" s="79">
        <f t="shared" si="0"/>
        <v>24000</v>
      </c>
      <c r="W60" s="33"/>
      <c r="X60" s="34"/>
      <c r="Y60" s="33"/>
      <c r="Z60" s="33"/>
      <c r="AA60" s="33"/>
      <c r="AB60" s="34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4"/>
      <c r="AO60" s="33"/>
      <c r="AP60" s="33"/>
      <c r="AQ60" s="33"/>
      <c r="AR60" s="34"/>
      <c r="AS60" s="33"/>
      <c r="AT60" s="33"/>
      <c r="AU60" s="33"/>
      <c r="AV60" s="34"/>
      <c r="AW60" s="17">
        <f t="shared" si="7"/>
        <v>6</v>
      </c>
      <c r="AX60" s="34">
        <v>4000</v>
      </c>
      <c r="AY60" s="80">
        <f t="shared" si="9"/>
        <v>24000</v>
      </c>
      <c r="AZ60" s="32" t="s">
        <v>451</v>
      </c>
      <c r="BA60" s="98"/>
      <c r="BB60" s="77"/>
      <c r="BC60" s="77"/>
      <c r="BD60" s="77"/>
      <c r="BE60" s="77"/>
      <c r="BF60" s="77"/>
      <c r="BG60" s="77"/>
      <c r="BH60" s="77"/>
      <c r="BI60" s="78"/>
    </row>
    <row r="61" spans="1:61" s="26" customFormat="1" ht="12.75" x14ac:dyDescent="0.2">
      <c r="A61" s="21">
        <v>52</v>
      </c>
      <c r="B61" s="33" t="s">
        <v>251</v>
      </c>
      <c r="C61" s="33" t="s">
        <v>52</v>
      </c>
      <c r="D61" s="33">
        <v>295</v>
      </c>
      <c r="E61" s="32" t="s">
        <v>382</v>
      </c>
      <c r="F61" s="33" t="s">
        <v>54</v>
      </c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8"/>
      <c r="T61" s="34"/>
      <c r="U61" s="33">
        <v>10</v>
      </c>
      <c r="V61" s="79">
        <f t="shared" si="0"/>
        <v>5000</v>
      </c>
      <c r="W61" s="33"/>
      <c r="X61" s="34"/>
      <c r="Y61" s="33"/>
      <c r="Z61" s="33"/>
      <c r="AA61" s="33"/>
      <c r="AB61" s="34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4"/>
      <c r="AO61" s="33"/>
      <c r="AP61" s="33"/>
      <c r="AQ61" s="33"/>
      <c r="AR61" s="34"/>
      <c r="AS61" s="33"/>
      <c r="AT61" s="33"/>
      <c r="AU61" s="33"/>
      <c r="AV61" s="34"/>
      <c r="AW61" s="17">
        <f t="shared" si="7"/>
        <v>10</v>
      </c>
      <c r="AX61" s="34">
        <v>500</v>
      </c>
      <c r="AY61" s="29">
        <f t="shared" si="9"/>
        <v>5000</v>
      </c>
      <c r="AZ61" s="32" t="s">
        <v>135</v>
      </c>
      <c r="BA61" s="98"/>
      <c r="BB61" s="77"/>
      <c r="BC61" s="77"/>
      <c r="BD61" s="77"/>
      <c r="BE61" s="77"/>
      <c r="BF61" s="77"/>
      <c r="BG61" s="77"/>
      <c r="BH61" s="77"/>
      <c r="BI61" s="78"/>
    </row>
    <row r="62" spans="1:61" s="26" customFormat="1" ht="12.75" x14ac:dyDescent="0.2">
      <c r="A62" s="21">
        <v>53</v>
      </c>
      <c r="B62" s="21" t="s">
        <v>184</v>
      </c>
      <c r="C62" s="21" t="s">
        <v>52</v>
      </c>
      <c r="D62" s="21">
        <v>295</v>
      </c>
      <c r="E62" s="23" t="s">
        <v>318</v>
      </c>
      <c r="F62" s="21" t="s">
        <v>54</v>
      </c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0"/>
      <c r="T62" s="24"/>
      <c r="U62" s="21">
        <v>30</v>
      </c>
      <c r="V62" s="79">
        <f t="shared" si="0"/>
        <v>12000</v>
      </c>
      <c r="W62" s="21"/>
      <c r="X62" s="24"/>
      <c r="Y62" s="21"/>
      <c r="Z62" s="21"/>
      <c r="AA62" s="21"/>
      <c r="AB62" s="24"/>
      <c r="AC62" s="21"/>
      <c r="AD62" s="21"/>
      <c r="AE62" s="21"/>
      <c r="AF62" s="18"/>
      <c r="AG62" s="21"/>
      <c r="AH62" s="21"/>
      <c r="AI62" s="21"/>
      <c r="AJ62" s="21"/>
      <c r="AK62" s="21"/>
      <c r="AL62" s="21"/>
      <c r="AM62" s="21"/>
      <c r="AN62" s="24"/>
      <c r="AO62" s="21"/>
      <c r="AP62" s="21"/>
      <c r="AQ62" s="21"/>
      <c r="AR62" s="24"/>
      <c r="AS62" s="21"/>
      <c r="AT62" s="21"/>
      <c r="AU62" s="21"/>
      <c r="AV62" s="24"/>
      <c r="AW62" s="17">
        <f t="shared" ref="AW62:AW91" si="11">+AQ62+AO62+AM62+AK62+AI62+AG62+AE62+AC62+AA62+Y62+W62+U62+S62+Q62+O62+M62+K62+I62+AS62+G62+AU62</f>
        <v>30</v>
      </c>
      <c r="AX62" s="24">
        <v>400</v>
      </c>
      <c r="AY62" s="29">
        <f t="shared" si="9"/>
        <v>12000</v>
      </c>
      <c r="AZ62" s="25" t="s">
        <v>319</v>
      </c>
      <c r="BA62" s="98"/>
      <c r="BB62" s="77"/>
      <c r="BC62" s="77"/>
      <c r="BD62" s="77"/>
      <c r="BE62" s="77"/>
      <c r="BF62" s="77"/>
      <c r="BG62" s="77"/>
      <c r="BH62" s="77"/>
      <c r="BI62" s="78"/>
    </row>
    <row r="63" spans="1:61" s="26" customFormat="1" ht="12.75" x14ac:dyDescent="0.2">
      <c r="A63" s="21">
        <v>54</v>
      </c>
      <c r="B63" s="21" t="s">
        <v>185</v>
      </c>
      <c r="C63" s="21" t="s">
        <v>52</v>
      </c>
      <c r="D63" s="21">
        <v>295</v>
      </c>
      <c r="E63" s="23" t="s">
        <v>320</v>
      </c>
      <c r="F63" s="21" t="s">
        <v>53</v>
      </c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0"/>
      <c r="T63" s="24"/>
      <c r="U63" s="21">
        <v>10</v>
      </c>
      <c r="V63" s="79">
        <f t="shared" si="0"/>
        <v>15000</v>
      </c>
      <c r="W63" s="21"/>
      <c r="X63" s="24"/>
      <c r="Y63" s="21"/>
      <c r="Z63" s="21"/>
      <c r="AA63" s="21"/>
      <c r="AB63" s="24"/>
      <c r="AC63" s="21"/>
      <c r="AD63" s="21"/>
      <c r="AE63" s="21"/>
      <c r="AF63" s="18"/>
      <c r="AG63" s="21"/>
      <c r="AH63" s="21"/>
      <c r="AI63" s="21"/>
      <c r="AJ63" s="21"/>
      <c r="AK63" s="21"/>
      <c r="AL63" s="21"/>
      <c r="AM63" s="21"/>
      <c r="AN63" s="24"/>
      <c r="AO63" s="21"/>
      <c r="AP63" s="21"/>
      <c r="AQ63" s="21"/>
      <c r="AR63" s="24"/>
      <c r="AS63" s="21"/>
      <c r="AT63" s="21"/>
      <c r="AU63" s="21"/>
      <c r="AV63" s="24"/>
      <c r="AW63" s="17">
        <f t="shared" si="11"/>
        <v>10</v>
      </c>
      <c r="AX63" s="24">
        <v>1500</v>
      </c>
      <c r="AY63" s="29">
        <f t="shared" si="9"/>
        <v>15000</v>
      </c>
      <c r="AZ63" s="23" t="s">
        <v>70</v>
      </c>
      <c r="BA63" s="98"/>
      <c r="BB63" s="77"/>
      <c r="BC63" s="77"/>
      <c r="BD63" s="77"/>
      <c r="BE63" s="77"/>
      <c r="BF63" s="77"/>
      <c r="BG63" s="77">
        <f t="shared" si="4"/>
        <v>15000</v>
      </c>
      <c r="BH63" s="77"/>
      <c r="BI63" s="78"/>
    </row>
    <row r="64" spans="1:61" s="26" customFormat="1" ht="12.75" x14ac:dyDescent="0.2">
      <c r="A64" s="21">
        <v>55</v>
      </c>
      <c r="B64" s="21" t="s">
        <v>186</v>
      </c>
      <c r="C64" s="21" t="s">
        <v>52</v>
      </c>
      <c r="D64" s="21">
        <v>295</v>
      </c>
      <c r="E64" s="23" t="s">
        <v>321</v>
      </c>
      <c r="F64" s="21" t="s">
        <v>53</v>
      </c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0"/>
      <c r="T64" s="24"/>
      <c r="U64" s="21">
        <v>700</v>
      </c>
      <c r="V64" s="79">
        <f t="shared" si="0"/>
        <v>140000</v>
      </c>
      <c r="W64" s="21"/>
      <c r="X64" s="24"/>
      <c r="Y64" s="21"/>
      <c r="Z64" s="21"/>
      <c r="AA64" s="21"/>
      <c r="AB64" s="24"/>
      <c r="AC64" s="21"/>
      <c r="AD64" s="21"/>
      <c r="AE64" s="21"/>
      <c r="AF64" s="18"/>
      <c r="AG64" s="21"/>
      <c r="AH64" s="21"/>
      <c r="AI64" s="21"/>
      <c r="AJ64" s="21"/>
      <c r="AK64" s="21"/>
      <c r="AL64" s="21"/>
      <c r="AM64" s="21"/>
      <c r="AN64" s="24"/>
      <c r="AO64" s="21"/>
      <c r="AP64" s="21"/>
      <c r="AQ64" s="21"/>
      <c r="AR64" s="24"/>
      <c r="AS64" s="21"/>
      <c r="AT64" s="21"/>
      <c r="AU64" s="21"/>
      <c r="AV64" s="24"/>
      <c r="AW64" s="17">
        <f t="shared" si="11"/>
        <v>700</v>
      </c>
      <c r="AX64" s="24">
        <v>200</v>
      </c>
      <c r="AY64" s="29">
        <f t="shared" si="9"/>
        <v>140000</v>
      </c>
      <c r="AZ64" s="23" t="s">
        <v>458</v>
      </c>
      <c r="BA64" s="98"/>
      <c r="BB64" s="77"/>
      <c r="BC64" s="77"/>
      <c r="BD64" s="77"/>
      <c r="BE64" s="77"/>
      <c r="BF64" s="77"/>
      <c r="BG64" s="77">
        <f t="shared" si="4"/>
        <v>140000</v>
      </c>
      <c r="BH64" s="77"/>
      <c r="BI64" s="78"/>
    </row>
    <row r="65" spans="1:61" s="26" customFormat="1" ht="12.75" x14ac:dyDescent="0.2">
      <c r="A65" s="21">
        <v>56</v>
      </c>
      <c r="B65" s="21" t="s">
        <v>190</v>
      </c>
      <c r="C65" s="21" t="s">
        <v>52</v>
      </c>
      <c r="D65" s="21">
        <v>295</v>
      </c>
      <c r="E65" s="23" t="s">
        <v>325</v>
      </c>
      <c r="F65" s="21" t="s">
        <v>53</v>
      </c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0"/>
      <c r="T65" s="24"/>
      <c r="U65" s="21">
        <v>100</v>
      </c>
      <c r="V65" s="79">
        <f t="shared" si="0"/>
        <v>60000</v>
      </c>
      <c r="W65" s="21"/>
      <c r="X65" s="24"/>
      <c r="Y65" s="21"/>
      <c r="Z65" s="21"/>
      <c r="AA65" s="21"/>
      <c r="AB65" s="24"/>
      <c r="AC65" s="21"/>
      <c r="AD65" s="21"/>
      <c r="AE65" s="21"/>
      <c r="AF65" s="18"/>
      <c r="AG65" s="21"/>
      <c r="AH65" s="21"/>
      <c r="AI65" s="21"/>
      <c r="AJ65" s="21"/>
      <c r="AK65" s="21"/>
      <c r="AL65" s="21"/>
      <c r="AM65" s="21"/>
      <c r="AN65" s="24"/>
      <c r="AO65" s="21"/>
      <c r="AP65" s="21"/>
      <c r="AQ65" s="21"/>
      <c r="AR65" s="24"/>
      <c r="AS65" s="21"/>
      <c r="AT65" s="21"/>
      <c r="AU65" s="21"/>
      <c r="AV65" s="24"/>
      <c r="AW65" s="17">
        <f t="shared" si="11"/>
        <v>100</v>
      </c>
      <c r="AX65" s="24">
        <v>600</v>
      </c>
      <c r="AY65" s="80">
        <f t="shared" si="9"/>
        <v>60000</v>
      </c>
      <c r="AZ65" s="23" t="s">
        <v>191</v>
      </c>
      <c r="BA65" s="98"/>
      <c r="BB65" s="77"/>
      <c r="BC65" s="77"/>
      <c r="BD65" s="77"/>
      <c r="BE65" s="77"/>
      <c r="BF65" s="77"/>
      <c r="BG65" s="77">
        <f t="shared" si="4"/>
        <v>60000</v>
      </c>
      <c r="BH65" s="77"/>
      <c r="BI65" s="78"/>
    </row>
    <row r="66" spans="1:61" s="26" customFormat="1" ht="12.75" x14ac:dyDescent="0.2">
      <c r="A66" s="21">
        <v>57</v>
      </c>
      <c r="B66" s="21" t="s">
        <v>190</v>
      </c>
      <c r="C66" s="21" t="s">
        <v>52</v>
      </c>
      <c r="D66" s="21">
        <v>295</v>
      </c>
      <c r="E66" s="23" t="s">
        <v>325</v>
      </c>
      <c r="F66" s="21" t="s">
        <v>53</v>
      </c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0"/>
      <c r="T66" s="24"/>
      <c r="U66" s="21">
        <v>100</v>
      </c>
      <c r="V66" s="79">
        <f t="shared" si="0"/>
        <v>60000</v>
      </c>
      <c r="W66" s="21"/>
      <c r="X66" s="24"/>
      <c r="Y66" s="21"/>
      <c r="Z66" s="21"/>
      <c r="AA66" s="21"/>
      <c r="AB66" s="24"/>
      <c r="AC66" s="21"/>
      <c r="AD66" s="21"/>
      <c r="AE66" s="21"/>
      <c r="AF66" s="18"/>
      <c r="AG66" s="21"/>
      <c r="AH66" s="21"/>
      <c r="AI66" s="21"/>
      <c r="AJ66" s="21"/>
      <c r="AK66" s="21"/>
      <c r="AL66" s="21"/>
      <c r="AM66" s="21"/>
      <c r="AN66" s="24"/>
      <c r="AO66" s="21"/>
      <c r="AP66" s="21"/>
      <c r="AQ66" s="21"/>
      <c r="AR66" s="24"/>
      <c r="AS66" s="21"/>
      <c r="AT66" s="21"/>
      <c r="AU66" s="21"/>
      <c r="AV66" s="24"/>
      <c r="AW66" s="17">
        <f t="shared" si="11"/>
        <v>100</v>
      </c>
      <c r="AX66" s="24">
        <v>600</v>
      </c>
      <c r="AY66" s="80">
        <f t="shared" si="9"/>
        <v>60000</v>
      </c>
      <c r="AZ66" s="23" t="s">
        <v>192</v>
      </c>
      <c r="BA66" s="98"/>
      <c r="BB66" s="77"/>
      <c r="BC66" s="77"/>
      <c r="BD66" s="77"/>
      <c r="BE66" s="77"/>
      <c r="BF66" s="77"/>
      <c r="BG66" s="77">
        <f t="shared" si="4"/>
        <v>60000</v>
      </c>
      <c r="BH66" s="77"/>
      <c r="BI66" s="78"/>
    </row>
    <row r="67" spans="1:61" s="26" customFormat="1" ht="12.75" x14ac:dyDescent="0.2">
      <c r="A67" s="21">
        <v>58</v>
      </c>
      <c r="B67" s="21" t="s">
        <v>190</v>
      </c>
      <c r="C67" s="21" t="s">
        <v>52</v>
      </c>
      <c r="D67" s="21">
        <v>295</v>
      </c>
      <c r="E67" s="23" t="s">
        <v>325</v>
      </c>
      <c r="F67" s="21" t="s">
        <v>53</v>
      </c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0"/>
      <c r="T67" s="24"/>
      <c r="U67" s="21">
        <v>100</v>
      </c>
      <c r="V67" s="79">
        <f t="shared" si="0"/>
        <v>60000</v>
      </c>
      <c r="W67" s="21"/>
      <c r="X67" s="24"/>
      <c r="Y67" s="21"/>
      <c r="Z67" s="21"/>
      <c r="AA67" s="21"/>
      <c r="AB67" s="24"/>
      <c r="AC67" s="21"/>
      <c r="AD67" s="21"/>
      <c r="AE67" s="21"/>
      <c r="AF67" s="18"/>
      <c r="AG67" s="21"/>
      <c r="AH67" s="21"/>
      <c r="AI67" s="21"/>
      <c r="AJ67" s="21"/>
      <c r="AK67" s="21"/>
      <c r="AL67" s="21"/>
      <c r="AM67" s="21"/>
      <c r="AN67" s="24"/>
      <c r="AO67" s="21"/>
      <c r="AP67" s="21"/>
      <c r="AQ67" s="21"/>
      <c r="AR67" s="24"/>
      <c r="AS67" s="21"/>
      <c r="AT67" s="21"/>
      <c r="AU67" s="21"/>
      <c r="AV67" s="24"/>
      <c r="AW67" s="17">
        <f t="shared" si="11"/>
        <v>100</v>
      </c>
      <c r="AX67" s="24">
        <v>600</v>
      </c>
      <c r="AY67" s="80">
        <f t="shared" ref="AY67:AY98" si="12">+AW67*AX67</f>
        <v>60000</v>
      </c>
      <c r="AZ67" s="23" t="s">
        <v>193</v>
      </c>
      <c r="BA67" s="98"/>
      <c r="BB67" s="77"/>
      <c r="BC67" s="77"/>
      <c r="BD67" s="77"/>
      <c r="BE67" s="77"/>
      <c r="BF67" s="77"/>
      <c r="BG67" s="77">
        <f t="shared" si="4"/>
        <v>60000</v>
      </c>
      <c r="BH67" s="77"/>
      <c r="BI67" s="78"/>
    </row>
    <row r="68" spans="1:61" s="26" customFormat="1" ht="12.75" x14ac:dyDescent="0.2">
      <c r="A68" s="21">
        <v>59</v>
      </c>
      <c r="B68" s="21" t="s">
        <v>190</v>
      </c>
      <c r="C68" s="21" t="s">
        <v>52</v>
      </c>
      <c r="D68" s="21">
        <v>295</v>
      </c>
      <c r="E68" s="23" t="s">
        <v>325</v>
      </c>
      <c r="F68" s="21" t="s">
        <v>53</v>
      </c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0"/>
      <c r="T68" s="24"/>
      <c r="U68" s="21">
        <v>100</v>
      </c>
      <c r="V68" s="79">
        <f t="shared" si="0"/>
        <v>60000</v>
      </c>
      <c r="W68" s="21"/>
      <c r="X68" s="24"/>
      <c r="Y68" s="21"/>
      <c r="Z68" s="21"/>
      <c r="AA68" s="21"/>
      <c r="AB68" s="24"/>
      <c r="AC68" s="21"/>
      <c r="AD68" s="21"/>
      <c r="AE68" s="21"/>
      <c r="AF68" s="18"/>
      <c r="AG68" s="21"/>
      <c r="AH68" s="21"/>
      <c r="AI68" s="21"/>
      <c r="AJ68" s="21"/>
      <c r="AK68" s="21"/>
      <c r="AL68" s="21"/>
      <c r="AM68" s="21"/>
      <c r="AN68" s="24"/>
      <c r="AO68" s="21"/>
      <c r="AP68" s="21"/>
      <c r="AQ68" s="21"/>
      <c r="AR68" s="24"/>
      <c r="AS68" s="21"/>
      <c r="AT68" s="21"/>
      <c r="AU68" s="21"/>
      <c r="AV68" s="24"/>
      <c r="AW68" s="17">
        <f t="shared" si="11"/>
        <v>100</v>
      </c>
      <c r="AX68" s="24">
        <v>600</v>
      </c>
      <c r="AY68" s="80">
        <f t="shared" si="12"/>
        <v>60000</v>
      </c>
      <c r="AZ68" s="23" t="s">
        <v>194</v>
      </c>
      <c r="BA68" s="98"/>
      <c r="BB68" s="77"/>
      <c r="BC68" s="77"/>
      <c r="BD68" s="77"/>
      <c r="BE68" s="77"/>
      <c r="BF68" s="77"/>
      <c r="BG68" s="77">
        <f t="shared" si="4"/>
        <v>60000</v>
      </c>
      <c r="BH68" s="77"/>
      <c r="BI68" s="78"/>
    </row>
    <row r="69" spans="1:61" s="26" customFormat="1" ht="12.75" x14ac:dyDescent="0.2">
      <c r="A69" s="21">
        <v>60</v>
      </c>
      <c r="B69" s="21" t="s">
        <v>190</v>
      </c>
      <c r="C69" s="21" t="s">
        <v>52</v>
      </c>
      <c r="D69" s="21">
        <v>295</v>
      </c>
      <c r="E69" s="23" t="s">
        <v>325</v>
      </c>
      <c r="F69" s="21" t="s">
        <v>53</v>
      </c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0"/>
      <c r="T69" s="24"/>
      <c r="U69" s="21">
        <v>100</v>
      </c>
      <c r="V69" s="79">
        <f t="shared" si="0"/>
        <v>60000</v>
      </c>
      <c r="W69" s="21"/>
      <c r="X69" s="24"/>
      <c r="Y69" s="21"/>
      <c r="Z69" s="21"/>
      <c r="AA69" s="21"/>
      <c r="AB69" s="24"/>
      <c r="AC69" s="21"/>
      <c r="AD69" s="21"/>
      <c r="AE69" s="21"/>
      <c r="AF69" s="18"/>
      <c r="AG69" s="21"/>
      <c r="AH69" s="21"/>
      <c r="AI69" s="21"/>
      <c r="AJ69" s="21"/>
      <c r="AK69" s="21"/>
      <c r="AL69" s="21"/>
      <c r="AM69" s="21"/>
      <c r="AN69" s="24"/>
      <c r="AO69" s="21"/>
      <c r="AP69" s="21"/>
      <c r="AQ69" s="21"/>
      <c r="AR69" s="24"/>
      <c r="AS69" s="21"/>
      <c r="AT69" s="21"/>
      <c r="AU69" s="21"/>
      <c r="AV69" s="24"/>
      <c r="AW69" s="17">
        <f t="shared" si="11"/>
        <v>100</v>
      </c>
      <c r="AX69" s="24">
        <v>600</v>
      </c>
      <c r="AY69" s="80">
        <f t="shared" si="12"/>
        <v>60000</v>
      </c>
      <c r="AZ69" s="23" t="s">
        <v>195</v>
      </c>
      <c r="BA69" s="98"/>
      <c r="BB69" s="77"/>
      <c r="BC69" s="77"/>
      <c r="BD69" s="77">
        <f t="shared" si="10"/>
        <v>60000</v>
      </c>
      <c r="BE69" s="77"/>
      <c r="BF69" s="77"/>
      <c r="BG69" s="77"/>
      <c r="BH69" s="77"/>
      <c r="BI69" s="78"/>
    </row>
    <row r="70" spans="1:61" s="26" customFormat="1" ht="12.75" x14ac:dyDescent="0.2">
      <c r="A70" s="21">
        <v>61</v>
      </c>
      <c r="B70" s="21" t="s">
        <v>187</v>
      </c>
      <c r="C70" s="21" t="s">
        <v>52</v>
      </c>
      <c r="D70" s="21">
        <v>295</v>
      </c>
      <c r="E70" s="23" t="s">
        <v>324</v>
      </c>
      <c r="F70" s="21" t="s">
        <v>54</v>
      </c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0"/>
      <c r="T70" s="24"/>
      <c r="U70" s="21">
        <v>100</v>
      </c>
      <c r="V70" s="79">
        <f t="shared" si="0"/>
        <v>40000</v>
      </c>
      <c r="W70" s="21"/>
      <c r="X70" s="24"/>
      <c r="Y70" s="21"/>
      <c r="Z70" s="21"/>
      <c r="AA70" s="21"/>
      <c r="AB70" s="24"/>
      <c r="AC70" s="21"/>
      <c r="AD70" s="21"/>
      <c r="AE70" s="21"/>
      <c r="AF70" s="18"/>
      <c r="AG70" s="21"/>
      <c r="AH70" s="21"/>
      <c r="AI70" s="21"/>
      <c r="AJ70" s="21"/>
      <c r="AK70" s="21"/>
      <c r="AL70" s="21"/>
      <c r="AM70" s="21"/>
      <c r="AN70" s="24"/>
      <c r="AO70" s="21"/>
      <c r="AP70" s="21"/>
      <c r="AQ70" s="21"/>
      <c r="AR70" s="24"/>
      <c r="AS70" s="21"/>
      <c r="AT70" s="21"/>
      <c r="AU70" s="21"/>
      <c r="AV70" s="24"/>
      <c r="AW70" s="17">
        <f t="shared" si="11"/>
        <v>100</v>
      </c>
      <c r="AX70" s="24">
        <v>400</v>
      </c>
      <c r="AY70" s="80">
        <f t="shared" si="12"/>
        <v>40000</v>
      </c>
      <c r="AZ70" s="23" t="s">
        <v>151</v>
      </c>
      <c r="BA70" s="98"/>
      <c r="BB70" s="77"/>
      <c r="BC70" s="77"/>
      <c r="BD70" s="77"/>
      <c r="BE70" s="77"/>
      <c r="BF70" s="77"/>
      <c r="BG70" s="77">
        <f t="shared" si="4"/>
        <v>40000</v>
      </c>
      <c r="BH70" s="77"/>
      <c r="BI70" s="78"/>
    </row>
    <row r="71" spans="1:61" s="26" customFormat="1" ht="12.75" x14ac:dyDescent="0.2">
      <c r="A71" s="21">
        <v>62</v>
      </c>
      <c r="B71" s="21" t="s">
        <v>147</v>
      </c>
      <c r="C71" s="21" t="s">
        <v>52</v>
      </c>
      <c r="D71" s="21">
        <v>295</v>
      </c>
      <c r="E71" s="23" t="s">
        <v>326</v>
      </c>
      <c r="F71" s="21" t="s">
        <v>54</v>
      </c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0"/>
      <c r="T71" s="24"/>
      <c r="U71" s="21">
        <v>200</v>
      </c>
      <c r="V71" s="79">
        <f t="shared" si="0"/>
        <v>100000</v>
      </c>
      <c r="W71" s="21"/>
      <c r="X71" s="24"/>
      <c r="Y71" s="21"/>
      <c r="Z71" s="21"/>
      <c r="AA71" s="21"/>
      <c r="AB71" s="24"/>
      <c r="AC71" s="21"/>
      <c r="AD71" s="21"/>
      <c r="AE71" s="21"/>
      <c r="AF71" s="18"/>
      <c r="AG71" s="21"/>
      <c r="AH71" s="21"/>
      <c r="AI71" s="21"/>
      <c r="AJ71" s="21"/>
      <c r="AK71" s="21"/>
      <c r="AL71" s="21"/>
      <c r="AM71" s="21"/>
      <c r="AN71" s="24"/>
      <c r="AO71" s="21"/>
      <c r="AP71" s="21"/>
      <c r="AQ71" s="21"/>
      <c r="AR71" s="24"/>
      <c r="AS71" s="21"/>
      <c r="AT71" s="21"/>
      <c r="AU71" s="21"/>
      <c r="AV71" s="24"/>
      <c r="AW71" s="17">
        <f t="shared" si="11"/>
        <v>200</v>
      </c>
      <c r="AX71" s="24">
        <v>500</v>
      </c>
      <c r="AY71" s="29">
        <f t="shared" si="12"/>
        <v>100000</v>
      </c>
      <c r="AZ71" s="23" t="s">
        <v>152</v>
      </c>
      <c r="BA71" s="98"/>
      <c r="BB71" s="77"/>
      <c r="BC71" s="77"/>
      <c r="BD71" s="77"/>
      <c r="BE71" s="77"/>
      <c r="BF71" s="77"/>
      <c r="BG71" s="77">
        <f t="shared" si="4"/>
        <v>100000</v>
      </c>
      <c r="BH71" s="77"/>
      <c r="BI71" s="78"/>
    </row>
    <row r="72" spans="1:61" s="26" customFormat="1" ht="12.75" x14ac:dyDescent="0.2">
      <c r="A72" s="21">
        <v>63</v>
      </c>
      <c r="B72" s="21" t="s">
        <v>148</v>
      </c>
      <c r="C72" s="21" t="s">
        <v>52</v>
      </c>
      <c r="D72" s="21">
        <v>295</v>
      </c>
      <c r="E72" s="23" t="s">
        <v>327</v>
      </c>
      <c r="F72" s="21" t="s">
        <v>54</v>
      </c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0"/>
      <c r="T72" s="24"/>
      <c r="U72" s="21">
        <v>200</v>
      </c>
      <c r="V72" s="79">
        <f t="shared" si="0"/>
        <v>100000</v>
      </c>
      <c r="W72" s="21"/>
      <c r="X72" s="24"/>
      <c r="Y72" s="21"/>
      <c r="Z72" s="21"/>
      <c r="AA72" s="21"/>
      <c r="AB72" s="24"/>
      <c r="AC72" s="21"/>
      <c r="AD72" s="21"/>
      <c r="AE72" s="21"/>
      <c r="AF72" s="18"/>
      <c r="AG72" s="21"/>
      <c r="AH72" s="21"/>
      <c r="AI72" s="21"/>
      <c r="AJ72" s="21"/>
      <c r="AK72" s="21"/>
      <c r="AL72" s="21"/>
      <c r="AM72" s="21"/>
      <c r="AN72" s="24"/>
      <c r="AO72" s="21"/>
      <c r="AP72" s="21"/>
      <c r="AQ72" s="21"/>
      <c r="AR72" s="24"/>
      <c r="AS72" s="21"/>
      <c r="AT72" s="21"/>
      <c r="AU72" s="21"/>
      <c r="AV72" s="24"/>
      <c r="AW72" s="17">
        <f t="shared" si="11"/>
        <v>200</v>
      </c>
      <c r="AX72" s="24">
        <v>500</v>
      </c>
      <c r="AY72" s="29">
        <f t="shared" si="12"/>
        <v>100000</v>
      </c>
      <c r="AZ72" s="23" t="s">
        <v>153</v>
      </c>
      <c r="BA72" s="98"/>
      <c r="BB72" s="77"/>
      <c r="BC72" s="77"/>
      <c r="BD72" s="77"/>
      <c r="BE72" s="77"/>
      <c r="BF72" s="77"/>
      <c r="BG72" s="77">
        <f t="shared" si="4"/>
        <v>100000</v>
      </c>
      <c r="BH72" s="77"/>
      <c r="BI72" s="78"/>
    </row>
    <row r="73" spans="1:61" s="26" customFormat="1" ht="12.75" x14ac:dyDescent="0.2">
      <c r="A73" s="21">
        <v>64</v>
      </c>
      <c r="B73" s="21" t="s">
        <v>188</v>
      </c>
      <c r="C73" s="21" t="s">
        <v>52</v>
      </c>
      <c r="D73" s="21">
        <v>295</v>
      </c>
      <c r="E73" s="23" t="s">
        <v>322</v>
      </c>
      <c r="F73" s="21" t="s">
        <v>53</v>
      </c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0"/>
      <c r="T73" s="24"/>
      <c r="U73" s="21">
        <v>100</v>
      </c>
      <c r="V73" s="79">
        <f t="shared" si="0"/>
        <v>60000</v>
      </c>
      <c r="W73" s="21"/>
      <c r="X73" s="24"/>
      <c r="Y73" s="21"/>
      <c r="Z73" s="21"/>
      <c r="AA73" s="21"/>
      <c r="AB73" s="24"/>
      <c r="AC73" s="21"/>
      <c r="AD73" s="21"/>
      <c r="AE73" s="21"/>
      <c r="AF73" s="18"/>
      <c r="AG73" s="21"/>
      <c r="AH73" s="21"/>
      <c r="AI73" s="21"/>
      <c r="AJ73" s="21"/>
      <c r="AK73" s="21"/>
      <c r="AL73" s="21"/>
      <c r="AM73" s="21"/>
      <c r="AN73" s="24"/>
      <c r="AO73" s="21"/>
      <c r="AP73" s="21"/>
      <c r="AQ73" s="21"/>
      <c r="AR73" s="24"/>
      <c r="AS73" s="21"/>
      <c r="AT73" s="21"/>
      <c r="AU73" s="21"/>
      <c r="AV73" s="24"/>
      <c r="AW73" s="17">
        <f t="shared" si="11"/>
        <v>100</v>
      </c>
      <c r="AX73" s="24">
        <v>600</v>
      </c>
      <c r="AY73" s="80">
        <f t="shared" si="12"/>
        <v>60000</v>
      </c>
      <c r="AZ73" s="23" t="s">
        <v>149</v>
      </c>
      <c r="BA73" s="98"/>
      <c r="BB73" s="77"/>
      <c r="BC73" s="77"/>
      <c r="BD73" s="77">
        <f t="shared" si="10"/>
        <v>60000</v>
      </c>
      <c r="BE73" s="77"/>
      <c r="BF73" s="77"/>
      <c r="BG73" s="77"/>
      <c r="BH73" s="77"/>
      <c r="BI73" s="78"/>
    </row>
    <row r="74" spans="1:61" s="26" customFormat="1" ht="12.75" x14ac:dyDescent="0.2">
      <c r="A74" s="21">
        <v>65</v>
      </c>
      <c r="B74" s="21" t="s">
        <v>142</v>
      </c>
      <c r="C74" s="21" t="s">
        <v>52</v>
      </c>
      <c r="D74" s="21">
        <v>295</v>
      </c>
      <c r="E74" s="23" t="s">
        <v>328</v>
      </c>
      <c r="F74" s="21" t="s">
        <v>54</v>
      </c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0"/>
      <c r="T74" s="24"/>
      <c r="U74" s="21">
        <v>200</v>
      </c>
      <c r="V74" s="79">
        <f t="shared" ref="V74:V137" si="13">+U74*AX74</f>
        <v>100000</v>
      </c>
      <c r="W74" s="21"/>
      <c r="X74" s="24"/>
      <c r="Y74" s="21"/>
      <c r="Z74" s="21"/>
      <c r="AA74" s="21"/>
      <c r="AB74" s="24"/>
      <c r="AC74" s="21"/>
      <c r="AD74" s="21"/>
      <c r="AE74" s="21"/>
      <c r="AF74" s="18"/>
      <c r="AG74" s="21"/>
      <c r="AH74" s="21"/>
      <c r="AI74" s="21"/>
      <c r="AJ74" s="21"/>
      <c r="AK74" s="21"/>
      <c r="AL74" s="21"/>
      <c r="AM74" s="21"/>
      <c r="AN74" s="24"/>
      <c r="AO74" s="21"/>
      <c r="AP74" s="21"/>
      <c r="AQ74" s="21"/>
      <c r="AR74" s="24"/>
      <c r="AS74" s="21"/>
      <c r="AT74" s="21"/>
      <c r="AU74" s="21"/>
      <c r="AV74" s="24"/>
      <c r="AW74" s="17">
        <f t="shared" si="11"/>
        <v>200</v>
      </c>
      <c r="AX74" s="24">
        <v>500</v>
      </c>
      <c r="AY74" s="80">
        <f t="shared" si="12"/>
        <v>100000</v>
      </c>
      <c r="AZ74" s="23" t="s">
        <v>154</v>
      </c>
      <c r="BA74" s="98"/>
      <c r="BB74" s="77"/>
      <c r="BC74" s="77"/>
      <c r="BD74" s="77">
        <f t="shared" si="10"/>
        <v>100000</v>
      </c>
      <c r="BE74" s="77"/>
      <c r="BF74" s="77"/>
      <c r="BG74" s="77"/>
      <c r="BH74" s="77"/>
      <c r="BI74" s="78"/>
    </row>
    <row r="75" spans="1:61" s="26" customFormat="1" ht="12.75" x14ac:dyDescent="0.2">
      <c r="A75" s="21">
        <v>66</v>
      </c>
      <c r="B75" s="21" t="s">
        <v>143</v>
      </c>
      <c r="C75" s="21" t="s">
        <v>52</v>
      </c>
      <c r="D75" s="21">
        <v>295</v>
      </c>
      <c r="E75" s="23" t="s">
        <v>329</v>
      </c>
      <c r="F75" s="21" t="s">
        <v>54</v>
      </c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0"/>
      <c r="T75" s="24"/>
      <c r="U75" s="21">
        <v>200</v>
      </c>
      <c r="V75" s="79">
        <f t="shared" si="13"/>
        <v>100000</v>
      </c>
      <c r="W75" s="21"/>
      <c r="X75" s="24"/>
      <c r="Y75" s="21"/>
      <c r="Z75" s="21"/>
      <c r="AA75" s="21"/>
      <c r="AB75" s="24"/>
      <c r="AC75" s="21"/>
      <c r="AD75" s="21"/>
      <c r="AE75" s="21"/>
      <c r="AF75" s="18"/>
      <c r="AG75" s="21"/>
      <c r="AH75" s="21"/>
      <c r="AI75" s="21"/>
      <c r="AJ75" s="21"/>
      <c r="AK75" s="21"/>
      <c r="AL75" s="21"/>
      <c r="AM75" s="21"/>
      <c r="AN75" s="24"/>
      <c r="AO75" s="21"/>
      <c r="AP75" s="21"/>
      <c r="AQ75" s="21"/>
      <c r="AR75" s="24"/>
      <c r="AS75" s="21"/>
      <c r="AT75" s="21"/>
      <c r="AU75" s="21"/>
      <c r="AV75" s="24"/>
      <c r="AW75" s="17">
        <f t="shared" si="11"/>
        <v>200</v>
      </c>
      <c r="AX75" s="24">
        <v>500</v>
      </c>
      <c r="AY75" s="80">
        <f t="shared" si="12"/>
        <v>100000</v>
      </c>
      <c r="AZ75" s="23" t="s">
        <v>155</v>
      </c>
      <c r="BA75" s="98"/>
      <c r="BB75" s="77"/>
      <c r="BC75" s="77"/>
      <c r="BD75" s="77">
        <f t="shared" si="10"/>
        <v>100000</v>
      </c>
      <c r="BE75" s="77"/>
      <c r="BF75" s="77"/>
      <c r="BG75" s="77"/>
      <c r="BH75" s="77"/>
      <c r="BI75" s="78"/>
    </row>
    <row r="76" spans="1:61" s="26" customFormat="1" ht="12.75" x14ac:dyDescent="0.2">
      <c r="A76" s="21">
        <v>67</v>
      </c>
      <c r="B76" s="21" t="s">
        <v>144</v>
      </c>
      <c r="C76" s="21" t="s">
        <v>52</v>
      </c>
      <c r="D76" s="21">
        <v>295</v>
      </c>
      <c r="E76" s="23" t="s">
        <v>330</v>
      </c>
      <c r="F76" s="21" t="s">
        <v>54</v>
      </c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0"/>
      <c r="T76" s="24"/>
      <c r="U76" s="21">
        <v>100</v>
      </c>
      <c r="V76" s="79">
        <f t="shared" si="13"/>
        <v>60000</v>
      </c>
      <c r="W76" s="21"/>
      <c r="X76" s="24"/>
      <c r="Y76" s="21"/>
      <c r="Z76" s="21"/>
      <c r="AA76" s="21"/>
      <c r="AB76" s="24"/>
      <c r="AC76" s="21"/>
      <c r="AD76" s="21"/>
      <c r="AE76" s="21"/>
      <c r="AF76" s="18"/>
      <c r="AG76" s="21"/>
      <c r="AH76" s="21"/>
      <c r="AI76" s="21"/>
      <c r="AJ76" s="21"/>
      <c r="AK76" s="21"/>
      <c r="AL76" s="21"/>
      <c r="AM76" s="21"/>
      <c r="AN76" s="24"/>
      <c r="AO76" s="21"/>
      <c r="AP76" s="21"/>
      <c r="AQ76" s="21"/>
      <c r="AR76" s="24"/>
      <c r="AS76" s="21"/>
      <c r="AT76" s="21"/>
      <c r="AU76" s="21"/>
      <c r="AV76" s="24"/>
      <c r="AW76" s="17">
        <f t="shared" si="11"/>
        <v>100</v>
      </c>
      <c r="AX76" s="24">
        <v>600</v>
      </c>
      <c r="AY76" s="80">
        <f t="shared" si="12"/>
        <v>60000</v>
      </c>
      <c r="AZ76" s="23" t="s">
        <v>156</v>
      </c>
      <c r="BA76" s="98"/>
      <c r="BB76" s="77"/>
      <c r="BC76" s="77"/>
      <c r="BD76" s="77">
        <f t="shared" si="10"/>
        <v>60000</v>
      </c>
      <c r="BE76" s="77"/>
      <c r="BF76" s="77"/>
      <c r="BG76" s="77"/>
      <c r="BH76" s="77"/>
      <c r="BI76" s="78"/>
    </row>
    <row r="77" spans="1:61" s="26" customFormat="1" ht="12.75" x14ac:dyDescent="0.2">
      <c r="A77" s="21">
        <v>68</v>
      </c>
      <c r="B77" s="21" t="s">
        <v>145</v>
      </c>
      <c r="C77" s="21" t="s">
        <v>52</v>
      </c>
      <c r="D77" s="21">
        <v>295</v>
      </c>
      <c r="E77" s="23" t="s">
        <v>331</v>
      </c>
      <c r="F77" s="21" t="s">
        <v>54</v>
      </c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0"/>
      <c r="T77" s="24"/>
      <c r="U77" s="21">
        <v>100</v>
      </c>
      <c r="V77" s="79">
        <f t="shared" si="13"/>
        <v>60000</v>
      </c>
      <c r="W77" s="21"/>
      <c r="X77" s="24"/>
      <c r="Y77" s="21"/>
      <c r="Z77" s="21"/>
      <c r="AA77" s="21"/>
      <c r="AB77" s="24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4"/>
      <c r="AO77" s="21"/>
      <c r="AP77" s="21"/>
      <c r="AQ77" s="21"/>
      <c r="AR77" s="24"/>
      <c r="AS77" s="21"/>
      <c r="AT77" s="21"/>
      <c r="AU77" s="21"/>
      <c r="AV77" s="24"/>
      <c r="AW77" s="17">
        <f t="shared" si="11"/>
        <v>100</v>
      </c>
      <c r="AX77" s="24">
        <v>600</v>
      </c>
      <c r="AY77" s="80">
        <f t="shared" si="12"/>
        <v>60000</v>
      </c>
      <c r="AZ77" s="23" t="s">
        <v>157</v>
      </c>
      <c r="BA77" s="98"/>
      <c r="BB77" s="77"/>
      <c r="BC77" s="77"/>
      <c r="BD77" s="77"/>
      <c r="BE77" s="77"/>
      <c r="BF77" s="77"/>
      <c r="BG77" s="77">
        <f t="shared" si="4"/>
        <v>60000</v>
      </c>
      <c r="BH77" s="77"/>
      <c r="BI77" s="78"/>
    </row>
    <row r="78" spans="1:61" s="26" customFormat="1" ht="12.75" x14ac:dyDescent="0.2">
      <c r="A78" s="21">
        <v>69</v>
      </c>
      <c r="B78" s="21" t="s">
        <v>146</v>
      </c>
      <c r="C78" s="21" t="s">
        <v>52</v>
      </c>
      <c r="D78" s="21">
        <v>295</v>
      </c>
      <c r="E78" s="23" t="s">
        <v>332</v>
      </c>
      <c r="F78" s="21" t="s">
        <v>54</v>
      </c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0"/>
      <c r="T78" s="24"/>
      <c r="U78" s="21">
        <v>100</v>
      </c>
      <c r="V78" s="79">
        <f t="shared" si="13"/>
        <v>60000</v>
      </c>
      <c r="W78" s="21"/>
      <c r="X78" s="24"/>
      <c r="Y78" s="21"/>
      <c r="Z78" s="21"/>
      <c r="AA78" s="21"/>
      <c r="AB78" s="24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4"/>
      <c r="AO78" s="21"/>
      <c r="AP78" s="21"/>
      <c r="AQ78" s="21"/>
      <c r="AR78" s="24"/>
      <c r="AS78" s="21"/>
      <c r="AT78" s="21"/>
      <c r="AU78" s="21"/>
      <c r="AV78" s="24"/>
      <c r="AW78" s="17">
        <f t="shared" si="11"/>
        <v>100</v>
      </c>
      <c r="AX78" s="24">
        <v>600</v>
      </c>
      <c r="AY78" s="80">
        <f t="shared" si="12"/>
        <v>60000</v>
      </c>
      <c r="AZ78" s="23" t="s">
        <v>158</v>
      </c>
      <c r="BA78" s="98"/>
      <c r="BB78" s="77"/>
      <c r="BC78" s="77"/>
      <c r="BD78" s="77"/>
      <c r="BE78" s="77"/>
      <c r="BF78" s="77"/>
      <c r="BG78" s="77">
        <f t="shared" si="4"/>
        <v>60000</v>
      </c>
      <c r="BH78" s="77"/>
      <c r="BI78" s="78"/>
    </row>
    <row r="79" spans="1:61" s="26" customFormat="1" ht="12.75" x14ac:dyDescent="0.2">
      <c r="A79" s="21">
        <v>70</v>
      </c>
      <c r="B79" s="21" t="s">
        <v>141</v>
      </c>
      <c r="C79" s="21" t="s">
        <v>52</v>
      </c>
      <c r="D79" s="21">
        <v>295</v>
      </c>
      <c r="E79" s="23" t="s">
        <v>333</v>
      </c>
      <c r="F79" s="21" t="s">
        <v>54</v>
      </c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0"/>
      <c r="T79" s="24"/>
      <c r="U79" s="21">
        <v>100</v>
      </c>
      <c r="V79" s="79">
        <f t="shared" si="13"/>
        <v>60000</v>
      </c>
      <c r="W79" s="21"/>
      <c r="X79" s="24"/>
      <c r="Y79" s="21"/>
      <c r="Z79" s="21"/>
      <c r="AA79" s="21"/>
      <c r="AB79" s="24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4"/>
      <c r="AO79" s="21"/>
      <c r="AP79" s="21"/>
      <c r="AQ79" s="21"/>
      <c r="AR79" s="24"/>
      <c r="AS79" s="21"/>
      <c r="AT79" s="21"/>
      <c r="AU79" s="21"/>
      <c r="AV79" s="24"/>
      <c r="AW79" s="17">
        <f t="shared" si="11"/>
        <v>100</v>
      </c>
      <c r="AX79" s="24">
        <v>600</v>
      </c>
      <c r="AY79" s="80">
        <f t="shared" si="12"/>
        <v>60000</v>
      </c>
      <c r="AZ79" s="23" t="s">
        <v>159</v>
      </c>
      <c r="BA79" s="98"/>
      <c r="BB79" s="77"/>
      <c r="BC79" s="77"/>
      <c r="BD79" s="77"/>
      <c r="BE79" s="77"/>
      <c r="BF79" s="77"/>
      <c r="BG79" s="77">
        <f t="shared" si="4"/>
        <v>60000</v>
      </c>
      <c r="BH79" s="77"/>
      <c r="BI79" s="78"/>
    </row>
    <row r="80" spans="1:61" s="26" customFormat="1" ht="12.75" x14ac:dyDescent="0.2">
      <c r="A80" s="21">
        <v>71</v>
      </c>
      <c r="B80" s="21" t="s">
        <v>189</v>
      </c>
      <c r="C80" s="21" t="s">
        <v>52</v>
      </c>
      <c r="D80" s="21">
        <v>295</v>
      </c>
      <c r="E80" s="23" t="s">
        <v>323</v>
      </c>
      <c r="F80" s="21" t="s">
        <v>53</v>
      </c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0"/>
      <c r="T80" s="24"/>
      <c r="U80" s="21">
        <v>100</v>
      </c>
      <c r="V80" s="79">
        <f t="shared" si="13"/>
        <v>60000</v>
      </c>
      <c r="W80" s="21"/>
      <c r="X80" s="24"/>
      <c r="Y80" s="21"/>
      <c r="Z80" s="21"/>
      <c r="AA80" s="21"/>
      <c r="AB80" s="24"/>
      <c r="AC80" s="21"/>
      <c r="AD80" s="21"/>
      <c r="AE80" s="21"/>
      <c r="AF80" s="18"/>
      <c r="AG80" s="21"/>
      <c r="AH80" s="21"/>
      <c r="AI80" s="21"/>
      <c r="AJ80" s="21"/>
      <c r="AK80" s="21"/>
      <c r="AL80" s="21"/>
      <c r="AM80" s="21"/>
      <c r="AN80" s="24"/>
      <c r="AO80" s="21"/>
      <c r="AP80" s="21"/>
      <c r="AQ80" s="21"/>
      <c r="AR80" s="24"/>
      <c r="AS80" s="21"/>
      <c r="AT80" s="21"/>
      <c r="AU80" s="21"/>
      <c r="AV80" s="24"/>
      <c r="AW80" s="17">
        <f t="shared" si="11"/>
        <v>100</v>
      </c>
      <c r="AX80" s="24">
        <v>600</v>
      </c>
      <c r="AY80" s="80">
        <f t="shared" si="12"/>
        <v>60000</v>
      </c>
      <c r="AZ80" s="23" t="s">
        <v>150</v>
      </c>
      <c r="BA80" s="98"/>
      <c r="BB80" s="77"/>
      <c r="BC80" s="77"/>
      <c r="BD80" s="77"/>
      <c r="BE80" s="77"/>
      <c r="BF80" s="77"/>
      <c r="BG80" s="77">
        <f t="shared" si="4"/>
        <v>60000</v>
      </c>
      <c r="BH80" s="77"/>
      <c r="BI80" s="78"/>
    </row>
    <row r="81" spans="1:61" s="26" customFormat="1" ht="12.75" x14ac:dyDescent="0.2">
      <c r="A81" s="21">
        <v>72</v>
      </c>
      <c r="B81" s="33" t="s">
        <v>440</v>
      </c>
      <c r="C81" s="33" t="s">
        <v>52</v>
      </c>
      <c r="D81" s="33">
        <v>295</v>
      </c>
      <c r="E81" s="32" t="s">
        <v>439</v>
      </c>
      <c r="F81" s="33" t="s">
        <v>53</v>
      </c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8"/>
      <c r="T81" s="34"/>
      <c r="U81" s="33">
        <v>80</v>
      </c>
      <c r="V81" s="79">
        <f t="shared" si="13"/>
        <v>64000</v>
      </c>
      <c r="W81" s="33"/>
      <c r="X81" s="34"/>
      <c r="Y81" s="33"/>
      <c r="Z81" s="33"/>
      <c r="AA81" s="33"/>
      <c r="AB81" s="34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4"/>
      <c r="AO81" s="33"/>
      <c r="AP81" s="33"/>
      <c r="AQ81" s="33"/>
      <c r="AR81" s="34"/>
      <c r="AS81" s="33"/>
      <c r="AT81" s="33"/>
      <c r="AU81" s="33"/>
      <c r="AV81" s="34"/>
      <c r="AW81" s="17">
        <f t="shared" si="11"/>
        <v>80</v>
      </c>
      <c r="AX81" s="34">
        <v>800</v>
      </c>
      <c r="AY81" s="80">
        <f t="shared" si="12"/>
        <v>64000</v>
      </c>
      <c r="AZ81" s="32" t="s">
        <v>441</v>
      </c>
      <c r="BA81" s="98"/>
      <c r="BB81" s="77"/>
      <c r="BC81" s="77"/>
      <c r="BD81" s="77"/>
      <c r="BE81" s="77"/>
      <c r="BF81" s="77"/>
      <c r="BG81" s="77">
        <f t="shared" si="4"/>
        <v>64000</v>
      </c>
      <c r="BH81" s="77"/>
      <c r="BI81" s="78"/>
    </row>
    <row r="82" spans="1:61" s="26" customFormat="1" ht="25.5" x14ac:dyDescent="0.2">
      <c r="A82" s="21">
        <v>73</v>
      </c>
      <c r="B82" s="33" t="s">
        <v>197</v>
      </c>
      <c r="C82" s="33" t="s">
        <v>52</v>
      </c>
      <c r="D82" s="33">
        <v>295</v>
      </c>
      <c r="E82" s="32" t="s">
        <v>335</v>
      </c>
      <c r="F82" s="33" t="s">
        <v>53</v>
      </c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8"/>
      <c r="T82" s="34"/>
      <c r="U82" s="33">
        <v>20</v>
      </c>
      <c r="V82" s="79">
        <f t="shared" si="13"/>
        <v>10000</v>
      </c>
      <c r="W82" s="33"/>
      <c r="X82" s="34"/>
      <c r="Y82" s="33"/>
      <c r="Z82" s="33"/>
      <c r="AA82" s="33"/>
      <c r="AB82" s="34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4"/>
      <c r="AO82" s="33"/>
      <c r="AP82" s="33"/>
      <c r="AQ82" s="33"/>
      <c r="AR82" s="34"/>
      <c r="AS82" s="33"/>
      <c r="AT82" s="33"/>
      <c r="AU82" s="33"/>
      <c r="AV82" s="34"/>
      <c r="AW82" s="17">
        <f t="shared" si="11"/>
        <v>20</v>
      </c>
      <c r="AX82" s="34">
        <v>500</v>
      </c>
      <c r="AY82" s="29">
        <f t="shared" si="12"/>
        <v>10000</v>
      </c>
      <c r="AZ82" s="32" t="s">
        <v>336</v>
      </c>
      <c r="BA82" s="98"/>
      <c r="BB82" s="77"/>
      <c r="BC82" s="77"/>
      <c r="BD82" s="77"/>
      <c r="BE82" s="77"/>
      <c r="BF82" s="77"/>
      <c r="BG82" s="77">
        <f t="shared" ref="BG82:BG145" si="14">+AY82</f>
        <v>10000</v>
      </c>
      <c r="BH82" s="77"/>
      <c r="BI82" s="78"/>
    </row>
    <row r="83" spans="1:61" s="26" customFormat="1" ht="12.75" x14ac:dyDescent="0.2">
      <c r="A83" s="21">
        <v>74</v>
      </c>
      <c r="B83" s="33" t="s">
        <v>200</v>
      </c>
      <c r="C83" s="33" t="s">
        <v>52</v>
      </c>
      <c r="D83" s="33">
        <v>295</v>
      </c>
      <c r="E83" s="32" t="s">
        <v>339</v>
      </c>
      <c r="F83" s="33" t="s">
        <v>54</v>
      </c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8"/>
      <c r="T83" s="34"/>
      <c r="U83" s="33">
        <v>20</v>
      </c>
      <c r="V83" s="79">
        <f t="shared" si="13"/>
        <v>6000</v>
      </c>
      <c r="W83" s="33"/>
      <c r="X83" s="34"/>
      <c r="Y83" s="33"/>
      <c r="Z83" s="33"/>
      <c r="AA83" s="33"/>
      <c r="AB83" s="34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4"/>
      <c r="AO83" s="33"/>
      <c r="AP83" s="33"/>
      <c r="AQ83" s="33"/>
      <c r="AR83" s="34"/>
      <c r="AS83" s="33"/>
      <c r="AT83" s="33"/>
      <c r="AU83" s="33"/>
      <c r="AV83" s="34"/>
      <c r="AW83" s="17">
        <f t="shared" si="11"/>
        <v>20</v>
      </c>
      <c r="AX83" s="34">
        <v>300</v>
      </c>
      <c r="AY83" s="29">
        <f t="shared" si="12"/>
        <v>6000</v>
      </c>
      <c r="AZ83" s="32" t="s">
        <v>73</v>
      </c>
      <c r="BA83" s="98"/>
      <c r="BB83" s="77"/>
      <c r="BC83" s="77"/>
      <c r="BD83" s="77"/>
      <c r="BE83" s="77"/>
      <c r="BF83" s="77"/>
      <c r="BG83" s="77">
        <f t="shared" si="14"/>
        <v>6000</v>
      </c>
      <c r="BH83" s="77"/>
      <c r="BI83" s="78"/>
    </row>
    <row r="84" spans="1:61" s="26" customFormat="1" ht="12.75" x14ac:dyDescent="0.2">
      <c r="A84" s="21">
        <v>75</v>
      </c>
      <c r="B84" s="33" t="s">
        <v>205</v>
      </c>
      <c r="C84" s="33" t="s">
        <v>52</v>
      </c>
      <c r="D84" s="33">
        <v>295</v>
      </c>
      <c r="E84" s="32" t="s">
        <v>357</v>
      </c>
      <c r="F84" s="33" t="s">
        <v>53</v>
      </c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8"/>
      <c r="T84" s="34"/>
      <c r="U84" s="33">
        <v>50</v>
      </c>
      <c r="V84" s="79">
        <f t="shared" si="13"/>
        <v>13000</v>
      </c>
      <c r="W84" s="33"/>
      <c r="X84" s="34"/>
      <c r="Y84" s="33"/>
      <c r="Z84" s="33"/>
      <c r="AA84" s="33"/>
      <c r="AB84" s="34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4"/>
      <c r="AO84" s="33"/>
      <c r="AP84" s="33"/>
      <c r="AQ84" s="33"/>
      <c r="AR84" s="34"/>
      <c r="AS84" s="33"/>
      <c r="AT84" s="33"/>
      <c r="AU84" s="33"/>
      <c r="AV84" s="34"/>
      <c r="AW84" s="17">
        <f t="shared" si="11"/>
        <v>50</v>
      </c>
      <c r="AX84" s="34">
        <v>260</v>
      </c>
      <c r="AY84" s="29">
        <f t="shared" si="12"/>
        <v>13000</v>
      </c>
      <c r="AZ84" s="32" t="s">
        <v>78</v>
      </c>
      <c r="BA84" s="98"/>
      <c r="BB84" s="77"/>
      <c r="BC84" s="77"/>
      <c r="BD84" s="77"/>
      <c r="BE84" s="77"/>
      <c r="BF84" s="77"/>
      <c r="BG84" s="77">
        <f t="shared" si="14"/>
        <v>13000</v>
      </c>
      <c r="BH84" s="77"/>
      <c r="BI84" s="78"/>
    </row>
    <row r="85" spans="1:61" s="26" customFormat="1" ht="12.75" x14ac:dyDescent="0.2">
      <c r="A85" s="21">
        <v>76</v>
      </c>
      <c r="B85" s="33" t="s">
        <v>286</v>
      </c>
      <c r="C85" s="33" t="s">
        <v>52</v>
      </c>
      <c r="D85" s="33">
        <v>295</v>
      </c>
      <c r="E85" s="32" t="s">
        <v>409</v>
      </c>
      <c r="F85" s="33" t="s">
        <v>53</v>
      </c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8"/>
      <c r="T85" s="34"/>
      <c r="U85" s="33">
        <v>30</v>
      </c>
      <c r="V85" s="79">
        <f t="shared" si="13"/>
        <v>30000</v>
      </c>
      <c r="W85" s="33"/>
      <c r="X85" s="34"/>
      <c r="Y85" s="33"/>
      <c r="Z85" s="33"/>
      <c r="AA85" s="33"/>
      <c r="AB85" s="34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4"/>
      <c r="AO85" s="33"/>
      <c r="AP85" s="33"/>
      <c r="AQ85" s="33"/>
      <c r="AR85" s="34"/>
      <c r="AS85" s="33"/>
      <c r="AT85" s="33"/>
      <c r="AU85" s="33"/>
      <c r="AV85" s="34"/>
      <c r="AW85" s="17">
        <f t="shared" si="11"/>
        <v>30</v>
      </c>
      <c r="AX85" s="34">
        <v>1000</v>
      </c>
      <c r="AY85" s="80">
        <f t="shared" si="12"/>
        <v>30000</v>
      </c>
      <c r="AZ85" s="32" t="s">
        <v>453</v>
      </c>
      <c r="BA85" s="98"/>
      <c r="BB85" s="77"/>
      <c r="BC85" s="77"/>
      <c r="BD85" s="77"/>
      <c r="BE85" s="77"/>
      <c r="BF85" s="77"/>
      <c r="BG85" s="77">
        <f t="shared" si="14"/>
        <v>30000</v>
      </c>
      <c r="BH85" s="77"/>
      <c r="BI85" s="78"/>
    </row>
    <row r="86" spans="1:61" s="26" customFormat="1" ht="25.5" x14ac:dyDescent="0.2">
      <c r="A86" s="21">
        <v>77</v>
      </c>
      <c r="B86" s="33" t="s">
        <v>227</v>
      </c>
      <c r="C86" s="33" t="s">
        <v>52</v>
      </c>
      <c r="D86" s="33">
        <v>295</v>
      </c>
      <c r="E86" s="32" t="s">
        <v>358</v>
      </c>
      <c r="F86" s="33" t="s">
        <v>54</v>
      </c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8"/>
      <c r="T86" s="34"/>
      <c r="U86" s="33">
        <v>100</v>
      </c>
      <c r="V86" s="79">
        <f t="shared" si="13"/>
        <v>20000</v>
      </c>
      <c r="W86" s="33"/>
      <c r="X86" s="34"/>
      <c r="Y86" s="33"/>
      <c r="Z86" s="33"/>
      <c r="AA86" s="33"/>
      <c r="AB86" s="34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4"/>
      <c r="AO86" s="33"/>
      <c r="AP86" s="33"/>
      <c r="AQ86" s="33"/>
      <c r="AR86" s="34"/>
      <c r="AS86" s="33"/>
      <c r="AT86" s="33"/>
      <c r="AU86" s="33"/>
      <c r="AV86" s="34"/>
      <c r="AW86" s="17">
        <f t="shared" si="11"/>
        <v>100</v>
      </c>
      <c r="AX86" s="34">
        <v>200</v>
      </c>
      <c r="AY86" s="29">
        <f t="shared" si="12"/>
        <v>20000</v>
      </c>
      <c r="AZ86" s="32" t="s">
        <v>118</v>
      </c>
      <c r="BA86" s="98"/>
      <c r="BB86" s="77"/>
      <c r="BC86" s="77"/>
      <c r="BD86" s="77"/>
      <c r="BE86" s="77"/>
      <c r="BF86" s="77"/>
      <c r="BG86" s="77">
        <f t="shared" si="14"/>
        <v>20000</v>
      </c>
      <c r="BH86" s="77"/>
      <c r="BI86" s="78"/>
    </row>
    <row r="87" spans="1:61" s="26" customFormat="1" ht="12.75" x14ac:dyDescent="0.2">
      <c r="A87" s="21">
        <v>78</v>
      </c>
      <c r="B87" s="33" t="s">
        <v>233</v>
      </c>
      <c r="C87" s="33" t="s">
        <v>52</v>
      </c>
      <c r="D87" s="33">
        <v>295</v>
      </c>
      <c r="E87" s="32" t="s">
        <v>368</v>
      </c>
      <c r="F87" s="33" t="s">
        <v>54</v>
      </c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8"/>
      <c r="T87" s="34"/>
      <c r="U87" s="33">
        <v>10</v>
      </c>
      <c r="V87" s="79">
        <f t="shared" si="13"/>
        <v>40000</v>
      </c>
      <c r="W87" s="33"/>
      <c r="X87" s="34"/>
      <c r="Y87" s="33"/>
      <c r="Z87" s="33"/>
      <c r="AA87" s="33"/>
      <c r="AB87" s="34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4"/>
      <c r="AO87" s="33"/>
      <c r="AP87" s="33"/>
      <c r="AQ87" s="33"/>
      <c r="AR87" s="34"/>
      <c r="AS87" s="33"/>
      <c r="AT87" s="33"/>
      <c r="AU87" s="33"/>
      <c r="AV87" s="34"/>
      <c r="AW87" s="17">
        <f t="shared" si="11"/>
        <v>10</v>
      </c>
      <c r="AX87" s="34">
        <v>4000</v>
      </c>
      <c r="AY87" s="29">
        <f t="shared" si="12"/>
        <v>40000</v>
      </c>
      <c r="AZ87" s="32" t="s">
        <v>81</v>
      </c>
      <c r="BA87" s="98"/>
      <c r="BB87" s="77"/>
      <c r="BC87" s="77"/>
      <c r="BD87" s="77"/>
      <c r="BE87" s="77"/>
      <c r="BF87" s="77"/>
      <c r="BG87" s="77">
        <f t="shared" si="14"/>
        <v>40000</v>
      </c>
      <c r="BH87" s="77"/>
      <c r="BI87" s="78"/>
    </row>
    <row r="88" spans="1:61" s="26" customFormat="1" ht="12.75" x14ac:dyDescent="0.2">
      <c r="A88" s="21">
        <v>79</v>
      </c>
      <c r="B88" s="33" t="s">
        <v>232</v>
      </c>
      <c r="C88" s="33" t="s">
        <v>52</v>
      </c>
      <c r="D88" s="33">
        <v>295</v>
      </c>
      <c r="E88" s="32" t="s">
        <v>367</v>
      </c>
      <c r="F88" s="33" t="s">
        <v>54</v>
      </c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8"/>
      <c r="T88" s="34"/>
      <c r="U88" s="33">
        <v>50</v>
      </c>
      <c r="V88" s="79">
        <f t="shared" si="13"/>
        <v>75000</v>
      </c>
      <c r="W88" s="33"/>
      <c r="X88" s="34"/>
      <c r="Y88" s="33"/>
      <c r="Z88" s="33"/>
      <c r="AA88" s="33"/>
      <c r="AB88" s="34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4"/>
      <c r="AO88" s="33"/>
      <c r="AP88" s="33"/>
      <c r="AQ88" s="33"/>
      <c r="AR88" s="34"/>
      <c r="AS88" s="33"/>
      <c r="AT88" s="33"/>
      <c r="AU88" s="33"/>
      <c r="AV88" s="34"/>
      <c r="AW88" s="17">
        <f t="shared" si="11"/>
        <v>50</v>
      </c>
      <c r="AX88" s="34">
        <v>1500</v>
      </c>
      <c r="AY88" s="29">
        <f t="shared" si="12"/>
        <v>75000</v>
      </c>
      <c r="AZ88" s="32" t="s">
        <v>80</v>
      </c>
      <c r="BA88" s="98"/>
      <c r="BB88" s="77"/>
      <c r="BC88" s="77"/>
      <c r="BD88" s="77"/>
      <c r="BE88" s="77"/>
      <c r="BF88" s="77"/>
      <c r="BG88" s="77">
        <f t="shared" si="14"/>
        <v>75000</v>
      </c>
      <c r="BH88" s="77"/>
      <c r="BI88" s="78"/>
    </row>
    <row r="89" spans="1:61" s="26" customFormat="1" ht="12.75" x14ac:dyDescent="0.2">
      <c r="A89" s="21">
        <v>80</v>
      </c>
      <c r="B89" s="33" t="s">
        <v>208</v>
      </c>
      <c r="C89" s="33" t="s">
        <v>52</v>
      </c>
      <c r="D89" s="33">
        <v>295</v>
      </c>
      <c r="E89" s="32" t="s">
        <v>362</v>
      </c>
      <c r="F89" s="33" t="s">
        <v>54</v>
      </c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8"/>
      <c r="T89" s="34"/>
      <c r="U89" s="33">
        <v>30</v>
      </c>
      <c r="V89" s="79">
        <f t="shared" si="13"/>
        <v>4500</v>
      </c>
      <c r="W89" s="33"/>
      <c r="X89" s="34"/>
      <c r="Y89" s="33"/>
      <c r="Z89" s="33"/>
      <c r="AA89" s="33"/>
      <c r="AB89" s="34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4"/>
      <c r="AO89" s="33"/>
      <c r="AP89" s="33"/>
      <c r="AQ89" s="33"/>
      <c r="AR89" s="34"/>
      <c r="AS89" s="33"/>
      <c r="AT89" s="33"/>
      <c r="AU89" s="33"/>
      <c r="AV89" s="34"/>
      <c r="AW89" s="17">
        <f t="shared" si="11"/>
        <v>30</v>
      </c>
      <c r="AX89" s="34">
        <v>150</v>
      </c>
      <c r="AY89" s="80">
        <f t="shared" si="12"/>
        <v>4500</v>
      </c>
      <c r="AZ89" s="32" t="s">
        <v>460</v>
      </c>
      <c r="BA89" s="98"/>
      <c r="BB89" s="77"/>
      <c r="BC89" s="77">
        <f t="shared" ref="BC89:BC90" si="15">+AY89</f>
        <v>4500</v>
      </c>
      <c r="BD89" s="77"/>
      <c r="BE89" s="77"/>
      <c r="BF89" s="77"/>
      <c r="BG89" s="77"/>
      <c r="BH89" s="77"/>
      <c r="BI89" s="78"/>
    </row>
    <row r="90" spans="1:61" s="26" customFormat="1" ht="12.75" x14ac:dyDescent="0.2">
      <c r="A90" s="21">
        <v>81</v>
      </c>
      <c r="B90" s="33" t="s">
        <v>250</v>
      </c>
      <c r="C90" s="33" t="s">
        <v>52</v>
      </c>
      <c r="D90" s="33">
        <v>295</v>
      </c>
      <c r="E90" s="32" t="s">
        <v>381</v>
      </c>
      <c r="F90" s="33" t="s">
        <v>54</v>
      </c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8"/>
      <c r="T90" s="34"/>
      <c r="U90" s="33">
        <v>200</v>
      </c>
      <c r="V90" s="79">
        <f t="shared" si="13"/>
        <v>50000</v>
      </c>
      <c r="W90" s="33"/>
      <c r="X90" s="34"/>
      <c r="Y90" s="33"/>
      <c r="Z90" s="33"/>
      <c r="AA90" s="33"/>
      <c r="AB90" s="34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4"/>
      <c r="AO90" s="33"/>
      <c r="AP90" s="33"/>
      <c r="AQ90" s="33"/>
      <c r="AR90" s="34"/>
      <c r="AS90" s="33"/>
      <c r="AT90" s="33"/>
      <c r="AU90" s="33"/>
      <c r="AV90" s="34"/>
      <c r="AW90" s="17">
        <f t="shared" si="11"/>
        <v>200</v>
      </c>
      <c r="AX90" s="34">
        <v>250</v>
      </c>
      <c r="AY90" s="29">
        <f t="shared" si="12"/>
        <v>50000</v>
      </c>
      <c r="AZ90" s="32" t="s">
        <v>92</v>
      </c>
      <c r="BA90" s="98"/>
      <c r="BB90" s="77"/>
      <c r="BC90" s="77">
        <f t="shared" si="15"/>
        <v>50000</v>
      </c>
      <c r="BD90" s="77"/>
      <c r="BE90" s="77"/>
      <c r="BF90" s="77"/>
      <c r="BG90" s="77"/>
      <c r="BH90" s="77"/>
      <c r="BI90" s="78"/>
    </row>
    <row r="91" spans="1:61" s="26" customFormat="1" ht="25.5" x14ac:dyDescent="0.2">
      <c r="A91" s="21">
        <v>82</v>
      </c>
      <c r="B91" s="33" t="s">
        <v>297</v>
      </c>
      <c r="C91" s="33" t="s">
        <v>52</v>
      </c>
      <c r="D91" s="33">
        <v>295</v>
      </c>
      <c r="E91" s="32" t="s">
        <v>420</v>
      </c>
      <c r="F91" s="33" t="s">
        <v>111</v>
      </c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8"/>
      <c r="T91" s="34"/>
      <c r="U91" s="33">
        <v>30</v>
      </c>
      <c r="V91" s="79">
        <f t="shared" si="13"/>
        <v>9000</v>
      </c>
      <c r="W91" s="33"/>
      <c r="X91" s="34"/>
      <c r="Y91" s="33"/>
      <c r="Z91" s="33"/>
      <c r="AA91" s="33"/>
      <c r="AB91" s="34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4"/>
      <c r="AO91" s="33"/>
      <c r="AP91" s="33"/>
      <c r="AQ91" s="33"/>
      <c r="AR91" s="34"/>
      <c r="AS91" s="33"/>
      <c r="AT91" s="33"/>
      <c r="AU91" s="33"/>
      <c r="AV91" s="34"/>
      <c r="AW91" s="17">
        <f t="shared" si="11"/>
        <v>30</v>
      </c>
      <c r="AX91" s="34">
        <v>300</v>
      </c>
      <c r="AY91" s="80">
        <f t="shared" si="12"/>
        <v>9000</v>
      </c>
      <c r="AZ91" s="32" t="s">
        <v>454</v>
      </c>
      <c r="BA91" s="98"/>
      <c r="BB91" s="77"/>
      <c r="BC91" s="77"/>
      <c r="BD91" s="77"/>
      <c r="BE91" s="77"/>
      <c r="BF91" s="77"/>
      <c r="BG91" s="77">
        <f t="shared" si="14"/>
        <v>9000</v>
      </c>
      <c r="BH91" s="77"/>
      <c r="BI91" s="78"/>
    </row>
    <row r="92" spans="1:61" s="26" customFormat="1" ht="12.75" x14ac:dyDescent="0.2">
      <c r="A92" s="21">
        <v>83</v>
      </c>
      <c r="B92" s="33" t="s">
        <v>252</v>
      </c>
      <c r="C92" s="33" t="s">
        <v>52</v>
      </c>
      <c r="D92" s="33">
        <v>295</v>
      </c>
      <c r="E92" s="32" t="s">
        <v>383</v>
      </c>
      <c r="F92" s="33" t="s">
        <v>54</v>
      </c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8"/>
      <c r="T92" s="34"/>
      <c r="U92" s="33">
        <v>5</v>
      </c>
      <c r="V92" s="79">
        <f t="shared" si="13"/>
        <v>14000</v>
      </c>
      <c r="W92" s="33"/>
      <c r="X92" s="34"/>
      <c r="Y92" s="33"/>
      <c r="Z92" s="33"/>
      <c r="AA92" s="33"/>
      <c r="AB92" s="34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4"/>
      <c r="AO92" s="33"/>
      <c r="AP92" s="33"/>
      <c r="AQ92" s="33"/>
      <c r="AR92" s="34"/>
      <c r="AS92" s="33"/>
      <c r="AT92" s="33"/>
      <c r="AU92" s="33"/>
      <c r="AV92" s="34"/>
      <c r="AW92" s="17">
        <f t="shared" ref="AW92:AW122" si="16">+AQ92+AO92+AM92+AK92+AI92+AG92+AE92+AC92+AA92+Y92+W92+U92+S92+Q92+O92+M92+K92+I92+AS92+G92+AU92</f>
        <v>5</v>
      </c>
      <c r="AX92" s="34">
        <v>2800</v>
      </c>
      <c r="AY92" s="29">
        <f t="shared" si="12"/>
        <v>14000</v>
      </c>
      <c r="AZ92" s="32" t="s">
        <v>136</v>
      </c>
      <c r="BA92" s="98"/>
      <c r="BB92" s="77"/>
      <c r="BC92" s="77"/>
      <c r="BD92" s="77"/>
      <c r="BE92" s="77"/>
      <c r="BF92" s="77"/>
      <c r="BG92" s="77">
        <f t="shared" si="14"/>
        <v>14000</v>
      </c>
      <c r="BH92" s="77"/>
      <c r="BI92" s="78"/>
    </row>
    <row r="93" spans="1:61" s="26" customFormat="1" ht="12.75" x14ac:dyDescent="0.2">
      <c r="A93" s="21">
        <v>84</v>
      </c>
      <c r="B93" s="33" t="s">
        <v>254</v>
      </c>
      <c r="C93" s="33" t="s">
        <v>52</v>
      </c>
      <c r="D93" s="88">
        <v>252</v>
      </c>
      <c r="E93" s="32" t="s">
        <v>384</v>
      </c>
      <c r="F93" s="33" t="s">
        <v>54</v>
      </c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8"/>
      <c r="T93" s="34"/>
      <c r="U93" s="33">
        <v>20</v>
      </c>
      <c r="V93" s="79">
        <f t="shared" si="13"/>
        <v>70000</v>
      </c>
      <c r="W93" s="33"/>
      <c r="X93" s="34"/>
      <c r="Y93" s="33"/>
      <c r="Z93" s="33"/>
      <c r="AA93" s="33"/>
      <c r="AB93" s="34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4"/>
      <c r="AO93" s="33"/>
      <c r="AP93" s="33"/>
      <c r="AQ93" s="33"/>
      <c r="AR93" s="34"/>
      <c r="AS93" s="33"/>
      <c r="AT93" s="33"/>
      <c r="AU93" s="33"/>
      <c r="AV93" s="34"/>
      <c r="AW93" s="17">
        <f t="shared" si="16"/>
        <v>20</v>
      </c>
      <c r="AX93" s="34">
        <v>3500</v>
      </c>
      <c r="AY93" s="29">
        <f t="shared" si="12"/>
        <v>70000</v>
      </c>
      <c r="AZ93" s="32" t="s">
        <v>93</v>
      </c>
      <c r="BA93" s="98"/>
      <c r="BB93" s="77"/>
      <c r="BC93" s="77"/>
      <c r="BD93" s="77"/>
      <c r="BE93" s="77"/>
      <c r="BF93" s="77"/>
      <c r="BG93" s="77">
        <f t="shared" si="14"/>
        <v>70000</v>
      </c>
      <c r="BH93" s="77"/>
      <c r="BI93" s="78"/>
    </row>
    <row r="94" spans="1:61" s="26" customFormat="1" ht="12.75" x14ac:dyDescent="0.2">
      <c r="A94" s="21">
        <v>85</v>
      </c>
      <c r="B94" s="33" t="s">
        <v>253</v>
      </c>
      <c r="C94" s="33" t="s">
        <v>52</v>
      </c>
      <c r="D94" s="88">
        <v>252</v>
      </c>
      <c r="E94" s="32" t="s">
        <v>385</v>
      </c>
      <c r="F94" s="33" t="s">
        <v>54</v>
      </c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8"/>
      <c r="T94" s="34"/>
      <c r="U94" s="33">
        <v>10</v>
      </c>
      <c r="V94" s="79">
        <f t="shared" si="13"/>
        <v>36000</v>
      </c>
      <c r="W94" s="33"/>
      <c r="X94" s="34"/>
      <c r="Y94" s="33"/>
      <c r="Z94" s="33"/>
      <c r="AA94" s="33"/>
      <c r="AB94" s="34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4"/>
      <c r="AO94" s="33"/>
      <c r="AP94" s="33"/>
      <c r="AQ94" s="33"/>
      <c r="AR94" s="34"/>
      <c r="AS94" s="33"/>
      <c r="AT94" s="33"/>
      <c r="AU94" s="33"/>
      <c r="AV94" s="34"/>
      <c r="AW94" s="17">
        <f t="shared" si="16"/>
        <v>10</v>
      </c>
      <c r="AX94" s="34">
        <v>3600</v>
      </c>
      <c r="AY94" s="29">
        <f t="shared" si="12"/>
        <v>36000</v>
      </c>
      <c r="AZ94" s="32" t="s">
        <v>137</v>
      </c>
      <c r="BA94" s="98"/>
      <c r="BB94" s="77"/>
      <c r="BC94" s="77"/>
      <c r="BD94" s="77"/>
      <c r="BE94" s="77"/>
      <c r="BF94" s="77"/>
      <c r="BG94" s="77">
        <f t="shared" si="14"/>
        <v>36000</v>
      </c>
      <c r="BH94" s="77"/>
      <c r="BI94" s="78"/>
    </row>
    <row r="95" spans="1:61" s="26" customFormat="1" ht="25.5" x14ac:dyDescent="0.2">
      <c r="A95" s="21">
        <v>86</v>
      </c>
      <c r="B95" s="33" t="s">
        <v>255</v>
      </c>
      <c r="C95" s="33" t="s">
        <v>52</v>
      </c>
      <c r="D95" s="33">
        <v>295</v>
      </c>
      <c r="E95" s="32" t="s">
        <v>386</v>
      </c>
      <c r="F95" s="33" t="s">
        <v>53</v>
      </c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8"/>
      <c r="T95" s="34"/>
      <c r="U95" s="33">
        <v>15</v>
      </c>
      <c r="V95" s="79">
        <f t="shared" si="13"/>
        <v>18000</v>
      </c>
      <c r="W95" s="33"/>
      <c r="X95" s="34"/>
      <c r="Y95" s="33"/>
      <c r="Z95" s="33"/>
      <c r="AA95" s="33"/>
      <c r="AB95" s="34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4"/>
      <c r="AO95" s="33"/>
      <c r="AP95" s="33"/>
      <c r="AQ95" s="33"/>
      <c r="AR95" s="34"/>
      <c r="AS95" s="33"/>
      <c r="AT95" s="33"/>
      <c r="AU95" s="33"/>
      <c r="AV95" s="34"/>
      <c r="AW95" s="17">
        <f t="shared" si="16"/>
        <v>15</v>
      </c>
      <c r="AX95" s="34">
        <v>1200</v>
      </c>
      <c r="AY95" s="29">
        <f t="shared" si="12"/>
        <v>18000</v>
      </c>
      <c r="AZ95" s="32" t="s">
        <v>430</v>
      </c>
      <c r="BA95" s="98"/>
      <c r="BB95" s="77"/>
      <c r="BC95" s="77"/>
      <c r="BD95" s="77"/>
      <c r="BE95" s="77"/>
      <c r="BF95" s="77"/>
      <c r="BG95" s="77">
        <f t="shared" si="14"/>
        <v>18000</v>
      </c>
      <c r="BH95" s="77"/>
      <c r="BI95" s="78"/>
    </row>
    <row r="96" spans="1:61" s="26" customFormat="1" ht="12.75" x14ac:dyDescent="0.2">
      <c r="A96" s="21">
        <v>87</v>
      </c>
      <c r="B96" s="33" t="s">
        <v>276</v>
      </c>
      <c r="C96" s="33" t="s">
        <v>52</v>
      </c>
      <c r="D96" s="88">
        <v>265</v>
      </c>
      <c r="E96" s="32" t="s">
        <v>399</v>
      </c>
      <c r="F96" s="33" t="s">
        <v>54</v>
      </c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8"/>
      <c r="T96" s="34"/>
      <c r="U96" s="33">
        <v>10</v>
      </c>
      <c r="V96" s="79">
        <f t="shared" si="13"/>
        <v>2000</v>
      </c>
      <c r="W96" s="33"/>
      <c r="X96" s="34"/>
      <c r="Y96" s="33"/>
      <c r="Z96" s="33"/>
      <c r="AA96" s="33"/>
      <c r="AB96" s="34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4"/>
      <c r="AO96" s="33"/>
      <c r="AP96" s="33"/>
      <c r="AQ96" s="33"/>
      <c r="AR96" s="34"/>
      <c r="AS96" s="33"/>
      <c r="AT96" s="33"/>
      <c r="AU96" s="33"/>
      <c r="AV96" s="34"/>
      <c r="AW96" s="17">
        <f t="shared" si="16"/>
        <v>10</v>
      </c>
      <c r="AX96" s="34">
        <v>200</v>
      </c>
      <c r="AY96" s="80">
        <f t="shared" si="12"/>
        <v>2000</v>
      </c>
      <c r="AZ96" s="32" t="s">
        <v>450</v>
      </c>
      <c r="BA96" s="98"/>
      <c r="BB96" s="77"/>
      <c r="BC96" s="77"/>
      <c r="BD96" s="77">
        <f t="shared" si="10"/>
        <v>2000</v>
      </c>
      <c r="BE96" s="77"/>
      <c r="BF96" s="77"/>
      <c r="BG96" s="77"/>
      <c r="BH96" s="77"/>
      <c r="BI96" s="78"/>
    </row>
    <row r="97" spans="1:61" s="26" customFormat="1" ht="12.75" x14ac:dyDescent="0.2">
      <c r="A97" s="21">
        <v>88</v>
      </c>
      <c r="B97" s="21" t="s">
        <v>181</v>
      </c>
      <c r="C97" s="21" t="s">
        <v>52</v>
      </c>
      <c r="D97" s="21">
        <v>295</v>
      </c>
      <c r="E97" s="23" t="s">
        <v>315</v>
      </c>
      <c r="F97" s="21" t="s">
        <v>66</v>
      </c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0"/>
      <c r="T97" s="24"/>
      <c r="U97" s="21">
        <v>20</v>
      </c>
      <c r="V97" s="79">
        <f t="shared" si="13"/>
        <v>10000</v>
      </c>
      <c r="W97" s="21"/>
      <c r="X97" s="24"/>
      <c r="Y97" s="21"/>
      <c r="Z97" s="21"/>
      <c r="AA97" s="21"/>
      <c r="AB97" s="24"/>
      <c r="AC97" s="21"/>
      <c r="AD97" s="21"/>
      <c r="AE97" s="21"/>
      <c r="AF97" s="18"/>
      <c r="AG97" s="21"/>
      <c r="AH97" s="21"/>
      <c r="AI97" s="21"/>
      <c r="AJ97" s="21"/>
      <c r="AK97" s="21"/>
      <c r="AL97" s="21"/>
      <c r="AM97" s="21"/>
      <c r="AN97" s="24"/>
      <c r="AO97" s="21"/>
      <c r="AP97" s="21"/>
      <c r="AQ97" s="21"/>
      <c r="AR97" s="24"/>
      <c r="AS97" s="21"/>
      <c r="AT97" s="21"/>
      <c r="AU97" s="21"/>
      <c r="AV97" s="24"/>
      <c r="AW97" s="17">
        <f t="shared" si="16"/>
        <v>20</v>
      </c>
      <c r="AX97" s="24">
        <v>500</v>
      </c>
      <c r="AY97" s="29">
        <f t="shared" si="12"/>
        <v>10000</v>
      </c>
      <c r="AZ97" s="23" t="s">
        <v>65</v>
      </c>
      <c r="BA97" s="98"/>
      <c r="BB97" s="77"/>
      <c r="BC97" s="77"/>
      <c r="BD97" s="77">
        <f t="shared" si="10"/>
        <v>10000</v>
      </c>
      <c r="BE97" s="77"/>
      <c r="BF97" s="77"/>
      <c r="BG97" s="77"/>
      <c r="BH97" s="77"/>
      <c r="BI97" s="78"/>
    </row>
    <row r="98" spans="1:61" s="26" customFormat="1" ht="12.75" x14ac:dyDescent="0.2">
      <c r="A98" s="21">
        <v>89</v>
      </c>
      <c r="B98" s="33" t="s">
        <v>181</v>
      </c>
      <c r="C98" s="33" t="s">
        <v>52</v>
      </c>
      <c r="D98" s="33">
        <v>295</v>
      </c>
      <c r="E98" s="32" t="s">
        <v>315</v>
      </c>
      <c r="F98" s="33" t="s">
        <v>66</v>
      </c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8"/>
      <c r="T98" s="34"/>
      <c r="U98" s="33">
        <v>200</v>
      </c>
      <c r="V98" s="79">
        <f t="shared" si="13"/>
        <v>80000</v>
      </c>
      <c r="W98" s="33"/>
      <c r="X98" s="34"/>
      <c r="Y98" s="33"/>
      <c r="Z98" s="33"/>
      <c r="AA98" s="33"/>
      <c r="AB98" s="34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4"/>
      <c r="AO98" s="33"/>
      <c r="AP98" s="33"/>
      <c r="AQ98" s="33"/>
      <c r="AR98" s="34"/>
      <c r="AS98" s="33"/>
      <c r="AT98" s="33"/>
      <c r="AU98" s="33"/>
      <c r="AV98" s="34"/>
      <c r="AW98" s="17">
        <f t="shared" si="16"/>
        <v>200</v>
      </c>
      <c r="AX98" s="34">
        <v>400</v>
      </c>
      <c r="AY98" s="29">
        <f t="shared" si="12"/>
        <v>80000</v>
      </c>
      <c r="AZ98" s="32" t="s">
        <v>429</v>
      </c>
      <c r="BA98" s="98"/>
      <c r="BB98" s="77"/>
      <c r="BC98" s="77"/>
      <c r="BD98" s="77"/>
      <c r="BE98" s="77"/>
      <c r="BF98" s="77"/>
      <c r="BG98" s="77">
        <f t="shared" si="14"/>
        <v>80000</v>
      </c>
      <c r="BH98" s="77"/>
      <c r="BI98" s="78"/>
    </row>
    <row r="99" spans="1:61" s="26" customFormat="1" ht="12.75" x14ac:dyDescent="0.2">
      <c r="A99" s="21">
        <v>90</v>
      </c>
      <c r="B99" s="33" t="s">
        <v>277</v>
      </c>
      <c r="C99" s="33" t="s">
        <v>52</v>
      </c>
      <c r="D99" s="33">
        <v>295</v>
      </c>
      <c r="E99" s="32" t="s">
        <v>400</v>
      </c>
      <c r="F99" s="33" t="s">
        <v>54</v>
      </c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8"/>
      <c r="T99" s="34"/>
      <c r="U99" s="33">
        <v>100</v>
      </c>
      <c r="V99" s="79">
        <f t="shared" si="13"/>
        <v>30000</v>
      </c>
      <c r="W99" s="33"/>
      <c r="X99" s="34"/>
      <c r="Y99" s="33"/>
      <c r="Z99" s="33"/>
      <c r="AA99" s="33"/>
      <c r="AB99" s="34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4"/>
      <c r="AO99" s="33"/>
      <c r="AP99" s="33"/>
      <c r="AQ99" s="33"/>
      <c r="AR99" s="34"/>
      <c r="AS99" s="33"/>
      <c r="AT99" s="33"/>
      <c r="AU99" s="33"/>
      <c r="AV99" s="34"/>
      <c r="AW99" s="17">
        <f t="shared" si="16"/>
        <v>100</v>
      </c>
      <c r="AX99" s="34">
        <v>300</v>
      </c>
      <c r="AY99" s="29">
        <f t="shared" ref="AY99:AY122" si="17">+AW99*AX99</f>
        <v>30000</v>
      </c>
      <c r="AZ99" s="32" t="s">
        <v>96</v>
      </c>
      <c r="BA99" s="98"/>
      <c r="BB99" s="77"/>
      <c r="BC99" s="77"/>
      <c r="BD99" s="77">
        <f t="shared" si="10"/>
        <v>30000</v>
      </c>
      <c r="BE99" s="77"/>
      <c r="BF99" s="77"/>
      <c r="BG99" s="77"/>
      <c r="BH99" s="77"/>
      <c r="BI99" s="78"/>
    </row>
    <row r="100" spans="1:61" s="26" customFormat="1" ht="25.5" x14ac:dyDescent="0.2">
      <c r="A100" s="21">
        <v>91</v>
      </c>
      <c r="B100" s="33" t="s">
        <v>280</v>
      </c>
      <c r="C100" s="33" t="s">
        <v>52</v>
      </c>
      <c r="D100" s="33">
        <v>295</v>
      </c>
      <c r="E100" s="32" t="s">
        <v>403</v>
      </c>
      <c r="F100" s="33" t="s">
        <v>53</v>
      </c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8"/>
      <c r="T100" s="34"/>
      <c r="U100" s="33">
        <v>8</v>
      </c>
      <c r="V100" s="79">
        <f t="shared" si="13"/>
        <v>32800</v>
      </c>
      <c r="W100" s="33"/>
      <c r="X100" s="34"/>
      <c r="Y100" s="33"/>
      <c r="Z100" s="33"/>
      <c r="AA100" s="33"/>
      <c r="AB100" s="34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4"/>
      <c r="AO100" s="33"/>
      <c r="AP100" s="33"/>
      <c r="AQ100" s="33"/>
      <c r="AR100" s="34"/>
      <c r="AS100" s="33"/>
      <c r="AT100" s="33"/>
      <c r="AU100" s="33"/>
      <c r="AV100" s="34"/>
      <c r="AW100" s="17">
        <f t="shared" si="16"/>
        <v>8</v>
      </c>
      <c r="AX100" s="34">
        <v>4100</v>
      </c>
      <c r="AY100" s="29">
        <f t="shared" si="17"/>
        <v>32800</v>
      </c>
      <c r="AZ100" s="32" t="s">
        <v>98</v>
      </c>
      <c r="BA100" s="98"/>
      <c r="BB100" s="77"/>
      <c r="BC100" s="77"/>
      <c r="BD100" s="77">
        <f t="shared" si="10"/>
        <v>32800</v>
      </c>
      <c r="BE100" s="77"/>
      <c r="BF100" s="77"/>
      <c r="BG100" s="77"/>
      <c r="BH100" s="77"/>
      <c r="BI100" s="78"/>
    </row>
    <row r="101" spans="1:61" s="26" customFormat="1" ht="25.5" x14ac:dyDescent="0.2">
      <c r="A101" s="21">
        <v>92</v>
      </c>
      <c r="B101" s="33" t="s">
        <v>281</v>
      </c>
      <c r="C101" s="33" t="s">
        <v>52</v>
      </c>
      <c r="D101" s="33">
        <v>295</v>
      </c>
      <c r="E101" s="32" t="s">
        <v>404</v>
      </c>
      <c r="F101" s="33" t="s">
        <v>53</v>
      </c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8"/>
      <c r="T101" s="34"/>
      <c r="U101" s="33">
        <v>8</v>
      </c>
      <c r="V101" s="79">
        <f t="shared" si="13"/>
        <v>38400</v>
      </c>
      <c r="W101" s="33"/>
      <c r="X101" s="34"/>
      <c r="Y101" s="33"/>
      <c r="Z101" s="33"/>
      <c r="AA101" s="33"/>
      <c r="AB101" s="34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4"/>
      <c r="AO101" s="33"/>
      <c r="AP101" s="33"/>
      <c r="AQ101" s="33"/>
      <c r="AR101" s="34"/>
      <c r="AS101" s="33"/>
      <c r="AT101" s="33"/>
      <c r="AU101" s="33"/>
      <c r="AV101" s="34"/>
      <c r="AW101" s="17">
        <f t="shared" si="16"/>
        <v>8</v>
      </c>
      <c r="AX101" s="34">
        <v>4800</v>
      </c>
      <c r="AY101" s="29">
        <f t="shared" si="17"/>
        <v>38400</v>
      </c>
      <c r="AZ101" s="32" t="s">
        <v>99</v>
      </c>
      <c r="BA101" s="98"/>
      <c r="BB101" s="77"/>
      <c r="BC101" s="77"/>
      <c r="BD101" s="77">
        <f t="shared" si="10"/>
        <v>38400</v>
      </c>
      <c r="BE101" s="77"/>
      <c r="BF101" s="77"/>
      <c r="BG101" s="77"/>
      <c r="BH101" s="77"/>
      <c r="BI101" s="78"/>
    </row>
    <row r="102" spans="1:61" s="26" customFormat="1" ht="12.75" x14ac:dyDescent="0.2">
      <c r="A102" s="21">
        <v>93</v>
      </c>
      <c r="B102" s="33" t="s">
        <v>291</v>
      </c>
      <c r="C102" s="33" t="s">
        <v>52</v>
      </c>
      <c r="D102" s="33">
        <v>295</v>
      </c>
      <c r="E102" s="32" t="s">
        <v>414</v>
      </c>
      <c r="F102" s="33" t="s">
        <v>54</v>
      </c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8"/>
      <c r="T102" s="34"/>
      <c r="U102" s="33">
        <v>30</v>
      </c>
      <c r="V102" s="79">
        <f t="shared" si="13"/>
        <v>90000</v>
      </c>
      <c r="W102" s="33"/>
      <c r="X102" s="34"/>
      <c r="Y102" s="33"/>
      <c r="Z102" s="33"/>
      <c r="AA102" s="33"/>
      <c r="AB102" s="34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4"/>
      <c r="AO102" s="33"/>
      <c r="AP102" s="33"/>
      <c r="AQ102" s="33"/>
      <c r="AR102" s="34"/>
      <c r="AS102" s="33"/>
      <c r="AT102" s="33"/>
      <c r="AU102" s="33"/>
      <c r="AV102" s="34"/>
      <c r="AW102" s="17">
        <f t="shared" si="16"/>
        <v>30</v>
      </c>
      <c r="AX102" s="34">
        <v>3000</v>
      </c>
      <c r="AY102" s="29">
        <f t="shared" si="17"/>
        <v>90000</v>
      </c>
      <c r="AZ102" s="32" t="s">
        <v>108</v>
      </c>
      <c r="BA102" s="98"/>
      <c r="BB102" s="77"/>
      <c r="BC102" s="77"/>
      <c r="BD102" s="77">
        <f t="shared" si="10"/>
        <v>90000</v>
      </c>
      <c r="BE102" s="77"/>
      <c r="BF102" s="77"/>
      <c r="BG102" s="77"/>
      <c r="BH102" s="77"/>
      <c r="BI102" s="78"/>
    </row>
    <row r="103" spans="1:61" s="98" customFormat="1" ht="12.75" x14ac:dyDescent="0.2">
      <c r="A103" s="99">
        <v>94</v>
      </c>
      <c r="B103" s="100" t="s">
        <v>292</v>
      </c>
      <c r="C103" s="100" t="s">
        <v>52</v>
      </c>
      <c r="D103" s="100">
        <v>295</v>
      </c>
      <c r="E103" s="101" t="s">
        <v>415</v>
      </c>
      <c r="F103" s="100" t="s">
        <v>71</v>
      </c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2"/>
      <c r="T103" s="103"/>
      <c r="U103" s="100">
        <v>80</v>
      </c>
      <c r="V103" s="104">
        <f t="shared" si="13"/>
        <v>36000</v>
      </c>
      <c r="W103" s="100"/>
      <c r="X103" s="103"/>
      <c r="Y103" s="100"/>
      <c r="Z103" s="100"/>
      <c r="AA103" s="100"/>
      <c r="AB103" s="103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  <c r="AM103" s="100"/>
      <c r="AN103" s="103"/>
      <c r="AO103" s="100"/>
      <c r="AP103" s="100"/>
      <c r="AQ103" s="100"/>
      <c r="AR103" s="103"/>
      <c r="AS103" s="100"/>
      <c r="AT103" s="100"/>
      <c r="AU103" s="100"/>
      <c r="AV103" s="103"/>
      <c r="AW103" s="105">
        <f t="shared" si="16"/>
        <v>80</v>
      </c>
      <c r="AX103" s="103">
        <v>450</v>
      </c>
      <c r="AY103" s="106">
        <f t="shared" si="17"/>
        <v>36000</v>
      </c>
      <c r="AZ103" s="101" t="s">
        <v>109</v>
      </c>
      <c r="BB103" s="107"/>
      <c r="BC103" s="107"/>
      <c r="BD103" s="107"/>
      <c r="BE103" s="107"/>
      <c r="BF103" s="107"/>
      <c r="BG103" s="107"/>
      <c r="BH103" s="107"/>
      <c r="BI103" s="108"/>
    </row>
    <row r="104" spans="1:61" s="26" customFormat="1" ht="12.75" x14ac:dyDescent="0.2">
      <c r="A104" s="21">
        <v>95</v>
      </c>
      <c r="B104" s="33" t="s">
        <v>299</v>
      </c>
      <c r="C104" s="33" t="s">
        <v>52</v>
      </c>
      <c r="D104" s="33">
        <v>295</v>
      </c>
      <c r="E104" s="32" t="s">
        <v>422</v>
      </c>
      <c r="F104" s="33" t="s">
        <v>53</v>
      </c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8"/>
      <c r="T104" s="34"/>
      <c r="U104" s="33">
        <v>20</v>
      </c>
      <c r="V104" s="79">
        <f t="shared" si="13"/>
        <v>18000</v>
      </c>
      <c r="W104" s="33"/>
      <c r="X104" s="34"/>
      <c r="Y104" s="33"/>
      <c r="Z104" s="33"/>
      <c r="AA104" s="33"/>
      <c r="AB104" s="34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4"/>
      <c r="AO104" s="33"/>
      <c r="AP104" s="33"/>
      <c r="AQ104" s="33"/>
      <c r="AR104" s="34"/>
      <c r="AS104" s="33"/>
      <c r="AT104" s="33"/>
      <c r="AU104" s="33"/>
      <c r="AV104" s="34"/>
      <c r="AW104" s="17">
        <f t="shared" si="16"/>
        <v>20</v>
      </c>
      <c r="AX104" s="34">
        <v>900</v>
      </c>
      <c r="AY104" s="80">
        <f t="shared" si="17"/>
        <v>18000</v>
      </c>
      <c r="AZ104" s="32" t="s">
        <v>456</v>
      </c>
      <c r="BA104" s="98"/>
      <c r="BB104" s="77"/>
      <c r="BC104" s="77"/>
      <c r="BD104" s="77">
        <f t="shared" si="10"/>
        <v>18000</v>
      </c>
      <c r="BE104" s="77"/>
      <c r="BF104" s="77"/>
      <c r="BG104" s="77"/>
      <c r="BH104" s="77"/>
      <c r="BI104" s="78"/>
    </row>
    <row r="105" spans="1:61" s="26" customFormat="1" ht="25.5" x14ac:dyDescent="0.2">
      <c r="A105" s="21">
        <v>96</v>
      </c>
      <c r="B105" s="33" t="s">
        <v>298</v>
      </c>
      <c r="C105" s="33" t="s">
        <v>52</v>
      </c>
      <c r="D105" s="33">
        <v>295</v>
      </c>
      <c r="E105" s="32" t="s">
        <v>421</v>
      </c>
      <c r="F105" s="33" t="s">
        <v>111</v>
      </c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8"/>
      <c r="T105" s="34"/>
      <c r="U105" s="33">
        <v>30</v>
      </c>
      <c r="V105" s="79">
        <f t="shared" si="13"/>
        <v>27000</v>
      </c>
      <c r="W105" s="33"/>
      <c r="X105" s="34"/>
      <c r="Y105" s="33"/>
      <c r="Z105" s="33"/>
      <c r="AA105" s="33"/>
      <c r="AB105" s="34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4"/>
      <c r="AO105" s="33"/>
      <c r="AP105" s="33"/>
      <c r="AQ105" s="33"/>
      <c r="AR105" s="34"/>
      <c r="AS105" s="33"/>
      <c r="AT105" s="33"/>
      <c r="AU105" s="33"/>
      <c r="AV105" s="34"/>
      <c r="AW105" s="17">
        <f t="shared" si="16"/>
        <v>30</v>
      </c>
      <c r="AX105" s="34">
        <v>900</v>
      </c>
      <c r="AY105" s="80">
        <f t="shared" si="17"/>
        <v>27000</v>
      </c>
      <c r="AZ105" s="32" t="s">
        <v>455</v>
      </c>
      <c r="BA105" s="98"/>
      <c r="BB105" s="77"/>
      <c r="BC105" s="77"/>
      <c r="BD105" s="77"/>
      <c r="BE105" s="77"/>
      <c r="BF105" s="77"/>
      <c r="BG105" s="77">
        <f t="shared" si="14"/>
        <v>27000</v>
      </c>
      <c r="BH105" s="77"/>
      <c r="BI105" s="78"/>
    </row>
    <row r="106" spans="1:61" s="26" customFormat="1" ht="12.75" x14ac:dyDescent="0.2">
      <c r="A106" s="21">
        <v>97</v>
      </c>
      <c r="B106" s="33" t="s">
        <v>296</v>
      </c>
      <c r="C106" s="33" t="s">
        <v>52</v>
      </c>
      <c r="D106" s="33">
        <v>295</v>
      </c>
      <c r="E106" s="32" t="s">
        <v>419</v>
      </c>
      <c r="F106" s="33" t="s">
        <v>111</v>
      </c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8"/>
      <c r="T106" s="34"/>
      <c r="U106" s="33">
        <v>15</v>
      </c>
      <c r="V106" s="79">
        <f t="shared" si="13"/>
        <v>6000</v>
      </c>
      <c r="W106" s="33"/>
      <c r="X106" s="34"/>
      <c r="Y106" s="33"/>
      <c r="Z106" s="33"/>
      <c r="AA106" s="33"/>
      <c r="AB106" s="34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4"/>
      <c r="AO106" s="33"/>
      <c r="AP106" s="33"/>
      <c r="AQ106" s="33"/>
      <c r="AR106" s="34"/>
      <c r="AS106" s="33"/>
      <c r="AT106" s="33"/>
      <c r="AU106" s="33"/>
      <c r="AV106" s="34"/>
      <c r="AW106" s="17">
        <f t="shared" si="16"/>
        <v>15</v>
      </c>
      <c r="AX106" s="34">
        <v>400</v>
      </c>
      <c r="AY106" s="80">
        <f t="shared" si="17"/>
        <v>6000</v>
      </c>
      <c r="AZ106" s="32" t="s">
        <v>168</v>
      </c>
      <c r="BA106" s="98"/>
      <c r="BB106" s="77"/>
      <c r="BC106" s="77"/>
      <c r="BD106" s="77"/>
      <c r="BE106" s="77"/>
      <c r="BF106" s="77"/>
      <c r="BG106" s="77">
        <f t="shared" si="14"/>
        <v>6000</v>
      </c>
      <c r="BH106" s="77"/>
      <c r="BI106" s="78"/>
    </row>
    <row r="107" spans="1:61" s="26" customFormat="1" ht="12.75" x14ac:dyDescent="0.2">
      <c r="A107" s="21">
        <v>98</v>
      </c>
      <c r="B107" s="33" t="s">
        <v>300</v>
      </c>
      <c r="C107" s="33" t="s">
        <v>52</v>
      </c>
      <c r="D107" s="33">
        <v>295</v>
      </c>
      <c r="E107" s="32" t="s">
        <v>423</v>
      </c>
      <c r="F107" s="33" t="s">
        <v>53</v>
      </c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8"/>
      <c r="T107" s="34"/>
      <c r="U107" s="33">
        <v>5</v>
      </c>
      <c r="V107" s="79">
        <f t="shared" si="13"/>
        <v>65000</v>
      </c>
      <c r="W107" s="33"/>
      <c r="X107" s="34"/>
      <c r="Y107" s="33"/>
      <c r="Z107" s="33"/>
      <c r="AA107" s="33"/>
      <c r="AB107" s="34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4"/>
      <c r="AO107" s="33"/>
      <c r="AP107" s="33"/>
      <c r="AQ107" s="33"/>
      <c r="AR107" s="34"/>
      <c r="AS107" s="33"/>
      <c r="AT107" s="33"/>
      <c r="AU107" s="33"/>
      <c r="AV107" s="34"/>
      <c r="AW107" s="17">
        <f t="shared" si="16"/>
        <v>5</v>
      </c>
      <c r="AX107" s="34">
        <v>13000</v>
      </c>
      <c r="AY107" s="29">
        <f t="shared" si="17"/>
        <v>65000</v>
      </c>
      <c r="AZ107" s="32" t="s">
        <v>301</v>
      </c>
      <c r="BA107" s="98"/>
      <c r="BB107" s="77"/>
      <c r="BC107" s="77"/>
      <c r="BD107" s="77"/>
      <c r="BE107" s="77"/>
      <c r="BF107" s="77"/>
      <c r="BG107" s="77"/>
      <c r="BH107" s="77"/>
      <c r="BI107" s="78"/>
    </row>
    <row r="108" spans="1:61" s="26" customFormat="1" ht="25.5" x14ac:dyDescent="0.2">
      <c r="A108" s="21">
        <v>99</v>
      </c>
      <c r="B108" s="33" t="s">
        <v>230</v>
      </c>
      <c r="C108" s="33" t="s">
        <v>52</v>
      </c>
      <c r="D108" s="33">
        <v>252</v>
      </c>
      <c r="E108" s="32" t="s">
        <v>364</v>
      </c>
      <c r="F108" s="33" t="s">
        <v>53</v>
      </c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8"/>
      <c r="T108" s="34"/>
      <c r="U108" s="33">
        <v>40</v>
      </c>
      <c r="V108" s="79">
        <f t="shared" si="13"/>
        <v>108000</v>
      </c>
      <c r="W108" s="33"/>
      <c r="X108" s="34"/>
      <c r="Y108" s="33"/>
      <c r="Z108" s="33"/>
      <c r="AA108" s="33"/>
      <c r="AB108" s="34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4"/>
      <c r="AO108" s="33"/>
      <c r="AP108" s="33"/>
      <c r="AQ108" s="33"/>
      <c r="AR108" s="34"/>
      <c r="AS108" s="33"/>
      <c r="AT108" s="33"/>
      <c r="AU108" s="33"/>
      <c r="AV108" s="34"/>
      <c r="AW108" s="17">
        <f t="shared" si="16"/>
        <v>40</v>
      </c>
      <c r="AX108" s="34">
        <v>2700</v>
      </c>
      <c r="AY108" s="80">
        <f t="shared" si="17"/>
        <v>108000</v>
      </c>
      <c r="AZ108" s="32" t="s">
        <v>162</v>
      </c>
      <c r="BA108" s="98"/>
      <c r="BB108" s="77"/>
      <c r="BC108" s="77"/>
      <c r="BD108" s="77"/>
      <c r="BE108" s="77"/>
      <c r="BF108" s="77"/>
      <c r="BG108" s="77">
        <f t="shared" si="14"/>
        <v>108000</v>
      </c>
      <c r="BH108" s="77"/>
      <c r="BI108" s="78"/>
    </row>
    <row r="109" spans="1:61" s="26" customFormat="1" ht="25.5" x14ac:dyDescent="0.2">
      <c r="A109" s="21">
        <v>100</v>
      </c>
      <c r="B109" s="33" t="s">
        <v>229</v>
      </c>
      <c r="C109" s="33" t="s">
        <v>52</v>
      </c>
      <c r="D109" s="33">
        <v>252</v>
      </c>
      <c r="E109" s="32" t="s">
        <v>366</v>
      </c>
      <c r="F109" s="33" t="s">
        <v>54</v>
      </c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8"/>
      <c r="T109" s="34"/>
      <c r="U109" s="33">
        <v>10</v>
      </c>
      <c r="V109" s="79">
        <f t="shared" si="13"/>
        <v>27000</v>
      </c>
      <c r="W109" s="33"/>
      <c r="X109" s="34"/>
      <c r="Y109" s="33"/>
      <c r="Z109" s="33"/>
      <c r="AA109" s="33"/>
      <c r="AB109" s="34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4"/>
      <c r="AO109" s="33"/>
      <c r="AP109" s="33"/>
      <c r="AQ109" s="33"/>
      <c r="AR109" s="34"/>
      <c r="AS109" s="33"/>
      <c r="AT109" s="33"/>
      <c r="AU109" s="33"/>
      <c r="AV109" s="34"/>
      <c r="AW109" s="17">
        <f t="shared" si="16"/>
        <v>10</v>
      </c>
      <c r="AX109" s="34">
        <v>2700</v>
      </c>
      <c r="AY109" s="80">
        <f t="shared" si="17"/>
        <v>27000</v>
      </c>
      <c r="AZ109" s="32" t="s">
        <v>164</v>
      </c>
      <c r="BA109" s="98"/>
      <c r="BB109" s="77"/>
      <c r="BC109" s="77"/>
      <c r="BD109" s="77"/>
      <c r="BE109" s="77"/>
      <c r="BF109" s="77"/>
      <c r="BG109" s="77"/>
      <c r="BH109" s="77"/>
      <c r="BI109" s="78"/>
    </row>
    <row r="110" spans="1:61" s="26" customFormat="1" ht="25.5" x14ac:dyDescent="0.2">
      <c r="A110" s="21">
        <v>101</v>
      </c>
      <c r="B110" s="33" t="s">
        <v>231</v>
      </c>
      <c r="C110" s="33" t="s">
        <v>52</v>
      </c>
      <c r="D110" s="33">
        <v>252</v>
      </c>
      <c r="E110" s="32" t="s">
        <v>365</v>
      </c>
      <c r="F110" s="33" t="s">
        <v>54</v>
      </c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8"/>
      <c r="T110" s="34"/>
      <c r="U110" s="33">
        <v>40</v>
      </c>
      <c r="V110" s="79">
        <f t="shared" si="13"/>
        <v>108000</v>
      </c>
      <c r="W110" s="33"/>
      <c r="X110" s="34"/>
      <c r="Y110" s="33"/>
      <c r="Z110" s="33"/>
      <c r="AA110" s="33"/>
      <c r="AB110" s="34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4"/>
      <c r="AO110" s="33"/>
      <c r="AP110" s="33"/>
      <c r="AQ110" s="33"/>
      <c r="AR110" s="34"/>
      <c r="AS110" s="33"/>
      <c r="AT110" s="33"/>
      <c r="AU110" s="33"/>
      <c r="AV110" s="34"/>
      <c r="AW110" s="17">
        <f t="shared" si="16"/>
        <v>40</v>
      </c>
      <c r="AX110" s="34">
        <v>2700</v>
      </c>
      <c r="AY110" s="80">
        <f t="shared" si="17"/>
        <v>108000</v>
      </c>
      <c r="AZ110" s="32" t="s">
        <v>163</v>
      </c>
      <c r="BA110" s="98"/>
      <c r="BB110" s="77"/>
      <c r="BC110" s="77"/>
      <c r="BD110" s="77"/>
      <c r="BE110" s="77"/>
      <c r="BF110" s="77"/>
      <c r="BG110" s="77"/>
      <c r="BH110" s="77"/>
      <c r="BI110" s="78"/>
    </row>
    <row r="111" spans="1:61" s="26" customFormat="1" ht="25.5" x14ac:dyDescent="0.2">
      <c r="A111" s="21">
        <v>102</v>
      </c>
      <c r="B111" s="33" t="s">
        <v>196</v>
      </c>
      <c r="C111" s="33" t="s">
        <v>52</v>
      </c>
      <c r="D111" s="33">
        <v>295</v>
      </c>
      <c r="E111" s="32" t="s">
        <v>334</v>
      </c>
      <c r="F111" s="33" t="s">
        <v>72</v>
      </c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8"/>
      <c r="T111" s="34"/>
      <c r="U111" s="33">
        <v>1000</v>
      </c>
      <c r="V111" s="79">
        <f t="shared" si="13"/>
        <v>200000</v>
      </c>
      <c r="W111" s="33"/>
      <c r="X111" s="34"/>
      <c r="Y111" s="33"/>
      <c r="Z111" s="33"/>
      <c r="AA111" s="33"/>
      <c r="AB111" s="34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4"/>
      <c r="AO111" s="33"/>
      <c r="AP111" s="33"/>
      <c r="AQ111" s="33"/>
      <c r="AR111" s="34"/>
      <c r="AS111" s="33"/>
      <c r="AT111" s="33"/>
      <c r="AU111" s="33"/>
      <c r="AV111" s="34"/>
      <c r="AW111" s="17">
        <f t="shared" si="16"/>
        <v>1000</v>
      </c>
      <c r="AX111" s="34">
        <v>200</v>
      </c>
      <c r="AY111" s="80">
        <f t="shared" si="17"/>
        <v>200000</v>
      </c>
      <c r="AZ111" s="32" t="s">
        <v>337</v>
      </c>
      <c r="BA111" s="98"/>
      <c r="BB111" s="77"/>
      <c r="BC111" s="77"/>
      <c r="BD111" s="77"/>
      <c r="BE111" s="77"/>
      <c r="BF111" s="77"/>
      <c r="BG111" s="77"/>
      <c r="BH111" s="77"/>
      <c r="BI111" s="78"/>
    </row>
    <row r="112" spans="1:61" s="26" customFormat="1" ht="12.75" x14ac:dyDescent="0.2">
      <c r="A112" s="21">
        <v>103</v>
      </c>
      <c r="B112" s="33" t="s">
        <v>237</v>
      </c>
      <c r="C112" s="33" t="s">
        <v>52</v>
      </c>
      <c r="D112" s="33">
        <v>295</v>
      </c>
      <c r="E112" s="32" t="s">
        <v>369</v>
      </c>
      <c r="F112" s="33" t="s">
        <v>53</v>
      </c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8"/>
      <c r="T112" s="34"/>
      <c r="U112" s="33">
        <v>30</v>
      </c>
      <c r="V112" s="79">
        <f t="shared" si="13"/>
        <v>51000</v>
      </c>
      <c r="W112" s="33"/>
      <c r="X112" s="34"/>
      <c r="Y112" s="33"/>
      <c r="Z112" s="33"/>
      <c r="AA112" s="33"/>
      <c r="AB112" s="34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4"/>
      <c r="AO112" s="33"/>
      <c r="AP112" s="33"/>
      <c r="AQ112" s="33"/>
      <c r="AR112" s="34"/>
      <c r="AS112" s="33"/>
      <c r="AT112" s="33"/>
      <c r="AU112" s="33"/>
      <c r="AV112" s="34"/>
      <c r="AW112" s="17">
        <f t="shared" si="16"/>
        <v>30</v>
      </c>
      <c r="AX112" s="34">
        <v>1700</v>
      </c>
      <c r="AY112" s="29">
        <f t="shared" si="17"/>
        <v>51000</v>
      </c>
      <c r="AZ112" s="32" t="s">
        <v>82</v>
      </c>
      <c r="BA112" s="98"/>
      <c r="BB112" s="77"/>
      <c r="BC112" s="77"/>
      <c r="BD112" s="77"/>
      <c r="BE112" s="77"/>
      <c r="BF112" s="77"/>
      <c r="BG112" s="77"/>
      <c r="BH112" s="77"/>
      <c r="BI112" s="78"/>
    </row>
    <row r="113" spans="1:61" s="26" customFormat="1" ht="12.75" x14ac:dyDescent="0.2">
      <c r="A113" s="21">
        <v>104</v>
      </c>
      <c r="B113" s="33" t="s">
        <v>241</v>
      </c>
      <c r="C113" s="33" t="s">
        <v>52</v>
      </c>
      <c r="D113" s="33">
        <v>295</v>
      </c>
      <c r="E113" s="32" t="s">
        <v>372</v>
      </c>
      <c r="F113" s="33" t="s">
        <v>53</v>
      </c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8"/>
      <c r="T113" s="34"/>
      <c r="U113" s="33">
        <v>30</v>
      </c>
      <c r="V113" s="79">
        <f t="shared" si="13"/>
        <v>15000</v>
      </c>
      <c r="W113" s="33"/>
      <c r="X113" s="34"/>
      <c r="Y113" s="33"/>
      <c r="Z113" s="33"/>
      <c r="AA113" s="33"/>
      <c r="AB113" s="34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4"/>
      <c r="AO113" s="33"/>
      <c r="AP113" s="33"/>
      <c r="AQ113" s="33"/>
      <c r="AR113" s="34"/>
      <c r="AS113" s="33"/>
      <c r="AT113" s="33"/>
      <c r="AU113" s="33"/>
      <c r="AV113" s="34"/>
      <c r="AW113" s="17">
        <f t="shared" si="16"/>
        <v>30</v>
      </c>
      <c r="AX113" s="34">
        <v>500</v>
      </c>
      <c r="AY113" s="29">
        <f t="shared" si="17"/>
        <v>15000</v>
      </c>
      <c r="AZ113" s="32" t="s">
        <v>85</v>
      </c>
      <c r="BA113" s="98"/>
      <c r="BB113" s="77"/>
      <c r="BC113" s="77"/>
      <c r="BD113" s="77"/>
      <c r="BE113" s="77"/>
      <c r="BF113" s="77"/>
      <c r="BG113" s="77">
        <f t="shared" si="14"/>
        <v>15000</v>
      </c>
      <c r="BH113" s="77"/>
      <c r="BI113" s="78"/>
    </row>
    <row r="114" spans="1:61" s="26" customFormat="1" ht="12.75" x14ac:dyDescent="0.2">
      <c r="A114" s="21">
        <v>105</v>
      </c>
      <c r="B114" s="33" t="s">
        <v>239</v>
      </c>
      <c r="C114" s="33" t="s">
        <v>52</v>
      </c>
      <c r="D114" s="33">
        <v>295</v>
      </c>
      <c r="E114" s="32" t="s">
        <v>373</v>
      </c>
      <c r="F114" s="33" t="s">
        <v>53</v>
      </c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8"/>
      <c r="T114" s="34"/>
      <c r="U114" s="33">
        <v>30</v>
      </c>
      <c r="V114" s="79">
        <f t="shared" si="13"/>
        <v>66000</v>
      </c>
      <c r="W114" s="33"/>
      <c r="X114" s="34"/>
      <c r="Y114" s="33"/>
      <c r="Z114" s="33"/>
      <c r="AA114" s="33"/>
      <c r="AB114" s="34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4"/>
      <c r="AO114" s="33"/>
      <c r="AP114" s="33"/>
      <c r="AQ114" s="33"/>
      <c r="AR114" s="34"/>
      <c r="AS114" s="33"/>
      <c r="AT114" s="33"/>
      <c r="AU114" s="33"/>
      <c r="AV114" s="34"/>
      <c r="AW114" s="17">
        <f t="shared" si="16"/>
        <v>30</v>
      </c>
      <c r="AX114" s="34">
        <v>2200</v>
      </c>
      <c r="AY114" s="29">
        <f t="shared" si="17"/>
        <v>66000</v>
      </c>
      <c r="AZ114" s="32" t="s">
        <v>86</v>
      </c>
      <c r="BA114" s="98"/>
      <c r="BB114" s="77"/>
      <c r="BC114" s="77"/>
      <c r="BD114" s="77"/>
      <c r="BE114" s="77"/>
      <c r="BF114" s="77">
        <f t="shared" ref="BF114" si="18">+AY114</f>
        <v>66000</v>
      </c>
      <c r="BG114" s="77"/>
      <c r="BH114" s="77"/>
      <c r="BI114" s="78"/>
    </row>
    <row r="115" spans="1:61" s="26" customFormat="1" ht="12.75" x14ac:dyDescent="0.2">
      <c r="A115" s="21">
        <v>106</v>
      </c>
      <c r="B115" s="33" t="s">
        <v>240</v>
      </c>
      <c r="C115" s="33" t="s">
        <v>52</v>
      </c>
      <c r="D115" s="33">
        <v>295</v>
      </c>
      <c r="E115" s="32" t="s">
        <v>371</v>
      </c>
      <c r="F115" s="33" t="s">
        <v>53</v>
      </c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8"/>
      <c r="T115" s="34"/>
      <c r="U115" s="33">
        <v>30</v>
      </c>
      <c r="V115" s="79">
        <f t="shared" si="13"/>
        <v>66000</v>
      </c>
      <c r="W115" s="33"/>
      <c r="X115" s="34"/>
      <c r="Y115" s="33"/>
      <c r="Z115" s="33"/>
      <c r="AA115" s="33"/>
      <c r="AB115" s="34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4"/>
      <c r="AO115" s="33"/>
      <c r="AP115" s="33"/>
      <c r="AQ115" s="33"/>
      <c r="AR115" s="34"/>
      <c r="AS115" s="33"/>
      <c r="AT115" s="33"/>
      <c r="AU115" s="33"/>
      <c r="AV115" s="34"/>
      <c r="AW115" s="17">
        <f t="shared" si="16"/>
        <v>30</v>
      </c>
      <c r="AX115" s="34">
        <v>2200</v>
      </c>
      <c r="AY115" s="29">
        <f t="shared" si="17"/>
        <v>66000</v>
      </c>
      <c r="AZ115" s="32" t="s">
        <v>84</v>
      </c>
      <c r="BA115" s="98"/>
      <c r="BB115" s="77"/>
      <c r="BC115" s="77"/>
      <c r="BD115" s="77"/>
      <c r="BE115" s="77"/>
      <c r="BF115" s="77"/>
      <c r="BG115" s="77">
        <f t="shared" si="14"/>
        <v>66000</v>
      </c>
      <c r="BH115" s="77"/>
      <c r="BI115" s="78"/>
    </row>
    <row r="116" spans="1:61" s="26" customFormat="1" ht="12.75" x14ac:dyDescent="0.2">
      <c r="A116" s="21">
        <v>107</v>
      </c>
      <c r="B116" s="33" t="s">
        <v>238</v>
      </c>
      <c r="C116" s="33" t="s">
        <v>52</v>
      </c>
      <c r="D116" s="33">
        <v>295</v>
      </c>
      <c r="E116" s="32" t="s">
        <v>374</v>
      </c>
      <c r="F116" s="33" t="s">
        <v>53</v>
      </c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8"/>
      <c r="T116" s="34"/>
      <c r="U116" s="33">
        <v>10</v>
      </c>
      <c r="V116" s="79">
        <f t="shared" si="13"/>
        <v>16000</v>
      </c>
      <c r="W116" s="33"/>
      <c r="X116" s="34"/>
      <c r="Y116" s="33"/>
      <c r="Z116" s="33"/>
      <c r="AA116" s="33"/>
      <c r="AB116" s="34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4"/>
      <c r="AO116" s="33"/>
      <c r="AP116" s="33"/>
      <c r="AQ116" s="33"/>
      <c r="AR116" s="34"/>
      <c r="AS116" s="33"/>
      <c r="AT116" s="33"/>
      <c r="AU116" s="33"/>
      <c r="AV116" s="34"/>
      <c r="AW116" s="17">
        <f t="shared" si="16"/>
        <v>10</v>
      </c>
      <c r="AX116" s="34">
        <v>1600</v>
      </c>
      <c r="AY116" s="29">
        <f t="shared" si="17"/>
        <v>16000</v>
      </c>
      <c r="AZ116" s="32" t="s">
        <v>87</v>
      </c>
      <c r="BA116" s="98"/>
      <c r="BB116" s="77"/>
      <c r="BC116" s="77"/>
      <c r="BD116" s="77"/>
      <c r="BE116" s="77"/>
      <c r="BF116" s="77"/>
      <c r="BG116" s="77">
        <f t="shared" si="14"/>
        <v>16000</v>
      </c>
      <c r="BH116" s="77"/>
      <c r="BI116" s="78"/>
    </row>
    <row r="117" spans="1:61" s="26" customFormat="1" ht="12.75" x14ac:dyDescent="0.2">
      <c r="A117" s="21">
        <v>108</v>
      </c>
      <c r="B117" s="33" t="s">
        <v>236</v>
      </c>
      <c r="C117" s="33" t="s">
        <v>52</v>
      </c>
      <c r="D117" s="33">
        <v>295</v>
      </c>
      <c r="E117" s="32" t="s">
        <v>375</v>
      </c>
      <c r="F117" s="33" t="s">
        <v>53</v>
      </c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8"/>
      <c r="T117" s="34"/>
      <c r="U117" s="33">
        <v>10</v>
      </c>
      <c r="V117" s="79">
        <f t="shared" si="13"/>
        <v>16000</v>
      </c>
      <c r="W117" s="33"/>
      <c r="X117" s="34"/>
      <c r="Y117" s="33"/>
      <c r="Z117" s="33"/>
      <c r="AA117" s="33"/>
      <c r="AB117" s="34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4"/>
      <c r="AO117" s="33"/>
      <c r="AP117" s="33"/>
      <c r="AQ117" s="33"/>
      <c r="AR117" s="34"/>
      <c r="AS117" s="33"/>
      <c r="AT117" s="33"/>
      <c r="AU117" s="33"/>
      <c r="AV117" s="34"/>
      <c r="AW117" s="17">
        <f t="shared" si="16"/>
        <v>10</v>
      </c>
      <c r="AX117" s="34">
        <v>1600</v>
      </c>
      <c r="AY117" s="29">
        <f t="shared" si="17"/>
        <v>16000</v>
      </c>
      <c r="AZ117" s="32" t="s">
        <v>133</v>
      </c>
      <c r="BA117" s="98"/>
      <c r="BB117" s="77"/>
      <c r="BC117" s="77"/>
      <c r="BD117" s="77"/>
      <c r="BE117" s="77"/>
      <c r="BF117" s="77"/>
      <c r="BG117" s="77">
        <f t="shared" si="14"/>
        <v>16000</v>
      </c>
      <c r="BH117" s="77"/>
      <c r="BI117" s="78"/>
    </row>
    <row r="118" spans="1:61" s="26" customFormat="1" ht="12.75" x14ac:dyDescent="0.2">
      <c r="A118" s="21">
        <v>109</v>
      </c>
      <c r="B118" s="33" t="s">
        <v>242</v>
      </c>
      <c r="C118" s="33" t="s">
        <v>52</v>
      </c>
      <c r="D118" s="33">
        <v>295</v>
      </c>
      <c r="E118" s="32" t="s">
        <v>370</v>
      </c>
      <c r="F118" s="33" t="s">
        <v>53</v>
      </c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8"/>
      <c r="T118" s="34"/>
      <c r="U118" s="33">
        <v>30</v>
      </c>
      <c r="V118" s="79">
        <f t="shared" si="13"/>
        <v>66000</v>
      </c>
      <c r="W118" s="33"/>
      <c r="X118" s="34"/>
      <c r="Y118" s="33"/>
      <c r="Z118" s="33"/>
      <c r="AA118" s="33"/>
      <c r="AB118" s="34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4"/>
      <c r="AO118" s="33"/>
      <c r="AP118" s="33"/>
      <c r="AQ118" s="33"/>
      <c r="AR118" s="34"/>
      <c r="AS118" s="33"/>
      <c r="AT118" s="33"/>
      <c r="AU118" s="33"/>
      <c r="AV118" s="34"/>
      <c r="AW118" s="17">
        <f t="shared" si="16"/>
        <v>30</v>
      </c>
      <c r="AX118" s="34">
        <v>2200</v>
      </c>
      <c r="AY118" s="29">
        <f t="shared" si="17"/>
        <v>66000</v>
      </c>
      <c r="AZ118" s="32" t="s">
        <v>83</v>
      </c>
      <c r="BA118" s="98"/>
      <c r="BB118" s="77"/>
      <c r="BC118" s="77"/>
      <c r="BD118" s="77"/>
      <c r="BE118" s="77"/>
      <c r="BF118" s="77"/>
      <c r="BG118" s="77">
        <f t="shared" si="14"/>
        <v>66000</v>
      </c>
      <c r="BH118" s="77"/>
      <c r="BI118" s="78"/>
    </row>
    <row r="119" spans="1:61" s="26" customFormat="1" ht="12.75" x14ac:dyDescent="0.2">
      <c r="A119" s="21">
        <v>110</v>
      </c>
      <c r="B119" s="33" t="s">
        <v>444</v>
      </c>
      <c r="C119" s="33" t="s">
        <v>52</v>
      </c>
      <c r="D119" s="33">
        <v>295</v>
      </c>
      <c r="E119" s="32" t="s">
        <v>443</v>
      </c>
      <c r="F119" s="33" t="s">
        <v>53</v>
      </c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8"/>
      <c r="T119" s="34"/>
      <c r="U119" s="33">
        <v>10</v>
      </c>
      <c r="V119" s="79">
        <f t="shared" si="13"/>
        <v>16000</v>
      </c>
      <c r="W119" s="33"/>
      <c r="X119" s="34"/>
      <c r="Y119" s="33"/>
      <c r="Z119" s="33"/>
      <c r="AA119" s="33"/>
      <c r="AB119" s="34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4"/>
      <c r="AO119" s="33"/>
      <c r="AP119" s="33"/>
      <c r="AQ119" s="33"/>
      <c r="AR119" s="34"/>
      <c r="AS119" s="33"/>
      <c r="AT119" s="33"/>
      <c r="AU119" s="33"/>
      <c r="AV119" s="34"/>
      <c r="AW119" s="17">
        <f t="shared" si="16"/>
        <v>10</v>
      </c>
      <c r="AX119" s="34">
        <v>1600</v>
      </c>
      <c r="AY119" s="29">
        <f t="shared" si="17"/>
        <v>16000</v>
      </c>
      <c r="AZ119" s="32" t="s">
        <v>88</v>
      </c>
      <c r="BA119" s="98"/>
      <c r="BB119" s="77"/>
      <c r="BC119" s="77"/>
      <c r="BD119" s="77"/>
      <c r="BE119" s="77"/>
      <c r="BF119" s="77"/>
      <c r="BG119" s="77">
        <f t="shared" si="14"/>
        <v>16000</v>
      </c>
      <c r="BH119" s="77"/>
      <c r="BI119" s="78"/>
    </row>
    <row r="120" spans="1:61" s="26" customFormat="1" ht="12.75" x14ac:dyDescent="0.2">
      <c r="A120" s="21">
        <v>111</v>
      </c>
      <c r="B120" s="33" t="s">
        <v>234</v>
      </c>
      <c r="C120" s="33" t="s">
        <v>52</v>
      </c>
      <c r="D120" s="33">
        <v>295</v>
      </c>
      <c r="E120" s="32" t="s">
        <v>376</v>
      </c>
      <c r="F120" s="33" t="s">
        <v>53</v>
      </c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8"/>
      <c r="T120" s="34"/>
      <c r="U120" s="33">
        <v>10</v>
      </c>
      <c r="V120" s="79">
        <f t="shared" si="13"/>
        <v>16000</v>
      </c>
      <c r="W120" s="33"/>
      <c r="X120" s="34"/>
      <c r="Y120" s="33"/>
      <c r="Z120" s="33"/>
      <c r="AA120" s="33"/>
      <c r="AB120" s="34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4"/>
      <c r="AO120" s="33"/>
      <c r="AP120" s="33"/>
      <c r="AQ120" s="33"/>
      <c r="AR120" s="34"/>
      <c r="AS120" s="33"/>
      <c r="AT120" s="33"/>
      <c r="AU120" s="33"/>
      <c r="AV120" s="34"/>
      <c r="AW120" s="17">
        <f t="shared" si="16"/>
        <v>10</v>
      </c>
      <c r="AX120" s="34">
        <v>1600</v>
      </c>
      <c r="AY120" s="29">
        <f t="shared" si="17"/>
        <v>16000</v>
      </c>
      <c r="AZ120" s="32" t="s">
        <v>89</v>
      </c>
      <c r="BA120" s="98"/>
      <c r="BB120" s="77"/>
      <c r="BC120" s="77">
        <f t="shared" ref="BC120" si="19">+AY120</f>
        <v>16000</v>
      </c>
      <c r="BD120" s="77"/>
      <c r="BE120" s="77"/>
      <c r="BF120" s="77"/>
      <c r="BG120" s="77"/>
      <c r="BH120" s="77"/>
      <c r="BI120" s="78"/>
    </row>
    <row r="121" spans="1:61" s="26" customFormat="1" ht="12.75" x14ac:dyDescent="0.2">
      <c r="A121" s="21">
        <v>112</v>
      </c>
      <c r="B121" s="33" t="s">
        <v>235</v>
      </c>
      <c r="C121" s="33" t="s">
        <v>52</v>
      </c>
      <c r="D121" s="33">
        <v>295</v>
      </c>
      <c r="E121" s="32" t="s">
        <v>377</v>
      </c>
      <c r="F121" s="33" t="s">
        <v>53</v>
      </c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8"/>
      <c r="T121" s="34"/>
      <c r="U121" s="33">
        <v>10</v>
      </c>
      <c r="V121" s="79">
        <f t="shared" si="13"/>
        <v>16000</v>
      </c>
      <c r="W121" s="33"/>
      <c r="X121" s="34"/>
      <c r="Y121" s="33"/>
      <c r="Z121" s="33"/>
      <c r="AA121" s="33"/>
      <c r="AB121" s="34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4"/>
      <c r="AO121" s="33"/>
      <c r="AP121" s="33"/>
      <c r="AQ121" s="33"/>
      <c r="AR121" s="34"/>
      <c r="AS121" s="33"/>
      <c r="AT121" s="33"/>
      <c r="AU121" s="33"/>
      <c r="AV121" s="34"/>
      <c r="AW121" s="17">
        <f t="shared" si="16"/>
        <v>10</v>
      </c>
      <c r="AX121" s="34">
        <v>1600</v>
      </c>
      <c r="AY121" s="80">
        <f t="shared" si="17"/>
        <v>16000</v>
      </c>
      <c r="AZ121" s="32" t="s">
        <v>90</v>
      </c>
      <c r="BA121" s="98"/>
      <c r="BB121" s="77"/>
      <c r="BC121" s="77"/>
      <c r="BD121" s="77"/>
      <c r="BE121" s="77"/>
      <c r="BF121" s="77"/>
      <c r="BG121" s="77">
        <f t="shared" si="14"/>
        <v>16000</v>
      </c>
      <c r="BH121" s="77"/>
      <c r="BI121" s="78"/>
    </row>
    <row r="122" spans="1:61" s="26" customFormat="1" ht="25.5" x14ac:dyDescent="0.2">
      <c r="A122" s="21">
        <v>113</v>
      </c>
      <c r="B122" s="33" t="s">
        <v>249</v>
      </c>
      <c r="C122" s="33" t="s">
        <v>52</v>
      </c>
      <c r="D122" s="33">
        <v>295</v>
      </c>
      <c r="E122" s="32" t="s">
        <v>380</v>
      </c>
      <c r="F122" s="33" t="s">
        <v>54</v>
      </c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8"/>
      <c r="T122" s="34"/>
      <c r="U122" s="33">
        <v>50</v>
      </c>
      <c r="V122" s="79">
        <f t="shared" si="13"/>
        <v>25000</v>
      </c>
      <c r="W122" s="33"/>
      <c r="X122" s="34"/>
      <c r="Y122" s="33"/>
      <c r="Z122" s="33"/>
      <c r="AA122" s="33"/>
      <c r="AB122" s="34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4"/>
      <c r="AO122" s="33"/>
      <c r="AP122" s="33"/>
      <c r="AQ122" s="33"/>
      <c r="AR122" s="34"/>
      <c r="AS122" s="33"/>
      <c r="AT122" s="33"/>
      <c r="AU122" s="33"/>
      <c r="AV122" s="34"/>
      <c r="AW122" s="17">
        <f t="shared" si="16"/>
        <v>50</v>
      </c>
      <c r="AX122" s="34">
        <v>500</v>
      </c>
      <c r="AY122" s="29">
        <f t="shared" si="17"/>
        <v>25000</v>
      </c>
      <c r="AZ122" s="32" t="s">
        <v>91</v>
      </c>
      <c r="BA122" s="98"/>
      <c r="BB122" s="77"/>
      <c r="BC122" s="77"/>
      <c r="BD122" s="77"/>
      <c r="BE122" s="77"/>
      <c r="BF122" s="77"/>
      <c r="BG122" s="77">
        <f t="shared" si="14"/>
        <v>25000</v>
      </c>
      <c r="BH122" s="77"/>
      <c r="BI122" s="78"/>
    </row>
    <row r="123" spans="1:61" s="26" customFormat="1" ht="12.75" x14ac:dyDescent="0.2">
      <c r="A123" s="21">
        <v>114</v>
      </c>
      <c r="B123" s="33" t="s">
        <v>465</v>
      </c>
      <c r="C123" s="33" t="s">
        <v>52</v>
      </c>
      <c r="D123" s="33">
        <v>252</v>
      </c>
      <c r="E123" s="32" t="s">
        <v>466</v>
      </c>
      <c r="F123" s="33" t="s">
        <v>54</v>
      </c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8"/>
      <c r="T123" s="34"/>
      <c r="U123" s="33">
        <v>10</v>
      </c>
      <c r="V123" s="79">
        <f t="shared" si="13"/>
        <v>5000</v>
      </c>
      <c r="W123" s="33"/>
      <c r="X123" s="34"/>
      <c r="Y123" s="33"/>
      <c r="Z123" s="33"/>
      <c r="AA123" s="33"/>
      <c r="AB123" s="34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4"/>
      <c r="AO123" s="33"/>
      <c r="AP123" s="33"/>
      <c r="AQ123" s="33"/>
      <c r="AR123" s="34"/>
      <c r="AS123" s="33"/>
      <c r="AT123" s="33"/>
      <c r="AU123" s="33"/>
      <c r="AV123" s="34"/>
      <c r="AW123" s="17">
        <v>10</v>
      </c>
      <c r="AX123" s="34">
        <v>500</v>
      </c>
      <c r="AY123" s="80">
        <v>5000</v>
      </c>
      <c r="AZ123" s="32" t="s">
        <v>94</v>
      </c>
      <c r="BA123" s="98"/>
      <c r="BB123" s="77"/>
      <c r="BC123" s="77"/>
      <c r="BD123" s="77"/>
      <c r="BE123" s="77"/>
      <c r="BF123" s="77"/>
      <c r="BG123" s="77">
        <f t="shared" si="14"/>
        <v>5000</v>
      </c>
      <c r="BH123" s="77"/>
      <c r="BI123" s="78"/>
    </row>
    <row r="124" spans="1:61" s="26" customFormat="1" ht="25.5" x14ac:dyDescent="0.2">
      <c r="A124" s="21">
        <v>115</v>
      </c>
      <c r="B124" s="21" t="s">
        <v>175</v>
      </c>
      <c r="C124" s="21" t="s">
        <v>52</v>
      </c>
      <c r="D124" s="21">
        <v>252</v>
      </c>
      <c r="E124" s="23" t="s">
        <v>311</v>
      </c>
      <c r="F124" s="21" t="s">
        <v>54</v>
      </c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0"/>
      <c r="T124" s="24"/>
      <c r="U124" s="21">
        <v>50</v>
      </c>
      <c r="V124" s="79">
        <f t="shared" si="13"/>
        <v>75000</v>
      </c>
      <c r="W124" s="21"/>
      <c r="X124" s="24"/>
      <c r="Y124" s="21"/>
      <c r="Z124" s="21"/>
      <c r="AA124" s="21"/>
      <c r="AB124" s="24"/>
      <c r="AC124" s="21"/>
      <c r="AD124" s="21"/>
      <c r="AE124" s="21"/>
      <c r="AF124" s="18"/>
      <c r="AG124" s="21"/>
      <c r="AH124" s="21"/>
      <c r="AI124" s="21"/>
      <c r="AJ124" s="21"/>
      <c r="AK124" s="21"/>
      <c r="AL124" s="21"/>
      <c r="AM124" s="21"/>
      <c r="AN124" s="24"/>
      <c r="AO124" s="21"/>
      <c r="AP124" s="21"/>
      <c r="AQ124" s="21"/>
      <c r="AR124" s="24"/>
      <c r="AS124" s="21"/>
      <c r="AT124" s="21"/>
      <c r="AU124" s="21"/>
      <c r="AV124" s="24"/>
      <c r="AW124" s="17">
        <f t="shared" ref="AW124:AW148" si="20">+AQ124+AO124+AM124+AK124+AI124+AG124+AE124+AC124+AA124+Y124+W124+U124+S124+Q124+O124+M124+K124+I124+AS124+G124+AU124</f>
        <v>50</v>
      </c>
      <c r="AX124" s="24">
        <v>1500</v>
      </c>
      <c r="AY124" s="80">
        <f t="shared" ref="AY124:AY148" si="21">+AW124*AX124</f>
        <v>75000</v>
      </c>
      <c r="AZ124" s="23" t="s">
        <v>64</v>
      </c>
      <c r="BA124" s="98"/>
      <c r="BB124" s="77"/>
      <c r="BC124" s="77"/>
      <c r="BD124" s="77"/>
      <c r="BE124" s="77"/>
      <c r="BF124" s="77"/>
      <c r="BG124" s="77">
        <f t="shared" si="14"/>
        <v>75000</v>
      </c>
      <c r="BH124" s="77"/>
      <c r="BI124" s="78"/>
    </row>
    <row r="125" spans="1:61" s="26" customFormat="1" ht="12.75" x14ac:dyDescent="0.2">
      <c r="A125" s="21">
        <v>116</v>
      </c>
      <c r="B125" s="33" t="s">
        <v>290</v>
      </c>
      <c r="C125" s="33" t="s">
        <v>52</v>
      </c>
      <c r="D125" s="88">
        <v>295</v>
      </c>
      <c r="E125" s="81" t="s">
        <v>413</v>
      </c>
      <c r="F125" s="33" t="s">
        <v>54</v>
      </c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8"/>
      <c r="T125" s="34"/>
      <c r="U125" s="33">
        <v>30</v>
      </c>
      <c r="V125" s="79">
        <f t="shared" si="13"/>
        <v>42000</v>
      </c>
      <c r="W125" s="33"/>
      <c r="X125" s="34"/>
      <c r="Y125" s="33"/>
      <c r="Z125" s="33"/>
      <c r="AA125" s="33"/>
      <c r="AB125" s="34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4"/>
      <c r="AO125" s="33"/>
      <c r="AP125" s="33"/>
      <c r="AQ125" s="33"/>
      <c r="AR125" s="34"/>
      <c r="AS125" s="33"/>
      <c r="AT125" s="33"/>
      <c r="AU125" s="33"/>
      <c r="AV125" s="34"/>
      <c r="AW125" s="17">
        <f t="shared" si="20"/>
        <v>30</v>
      </c>
      <c r="AX125" s="34">
        <v>1400</v>
      </c>
      <c r="AY125" s="29">
        <f t="shared" si="21"/>
        <v>42000</v>
      </c>
      <c r="AZ125" s="32" t="s">
        <v>123</v>
      </c>
      <c r="BA125" s="98"/>
      <c r="BB125" s="77"/>
      <c r="BC125" s="77"/>
      <c r="BD125" s="77">
        <f t="shared" ref="BD125:BD132" si="22">+AY125</f>
        <v>42000</v>
      </c>
      <c r="BE125" s="77"/>
      <c r="BF125" s="77"/>
      <c r="BG125" s="77"/>
      <c r="BH125" s="77"/>
      <c r="BI125" s="78"/>
    </row>
    <row r="126" spans="1:61" s="26" customFormat="1" ht="12.75" x14ac:dyDescent="0.2">
      <c r="A126" s="21">
        <v>117</v>
      </c>
      <c r="B126" s="33" t="s">
        <v>257</v>
      </c>
      <c r="C126" s="33" t="s">
        <v>52</v>
      </c>
      <c r="D126" s="88">
        <v>252</v>
      </c>
      <c r="E126" s="32" t="s">
        <v>388</v>
      </c>
      <c r="F126" s="33" t="s">
        <v>54</v>
      </c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8"/>
      <c r="T126" s="34"/>
      <c r="U126" s="33">
        <v>30</v>
      </c>
      <c r="V126" s="79">
        <f t="shared" si="13"/>
        <v>45000</v>
      </c>
      <c r="W126" s="33"/>
      <c r="X126" s="34"/>
      <c r="Y126" s="33"/>
      <c r="Z126" s="33"/>
      <c r="AA126" s="33"/>
      <c r="AB126" s="34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4"/>
      <c r="AO126" s="33"/>
      <c r="AP126" s="33"/>
      <c r="AQ126" s="33"/>
      <c r="AR126" s="34"/>
      <c r="AS126" s="33"/>
      <c r="AT126" s="33"/>
      <c r="AU126" s="33"/>
      <c r="AV126" s="34"/>
      <c r="AW126" s="17">
        <f t="shared" si="20"/>
        <v>30</v>
      </c>
      <c r="AX126" s="34">
        <v>1500</v>
      </c>
      <c r="AY126" s="80">
        <f t="shared" si="21"/>
        <v>45000</v>
      </c>
      <c r="AZ126" s="32" t="s">
        <v>446</v>
      </c>
      <c r="BA126" s="98"/>
      <c r="BB126" s="77"/>
      <c r="BC126" s="77"/>
      <c r="BD126" s="77">
        <f t="shared" si="22"/>
        <v>45000</v>
      </c>
      <c r="BE126" s="77"/>
      <c r="BF126" s="77"/>
      <c r="BG126" s="77"/>
      <c r="BH126" s="77"/>
      <c r="BI126" s="78"/>
    </row>
    <row r="127" spans="1:61" s="26" customFormat="1" ht="25.5" x14ac:dyDescent="0.2">
      <c r="A127" s="21">
        <v>118</v>
      </c>
      <c r="B127" s="33" t="s">
        <v>206</v>
      </c>
      <c r="C127" s="33" t="s">
        <v>52</v>
      </c>
      <c r="D127" s="88">
        <v>252</v>
      </c>
      <c r="E127" s="32" t="s">
        <v>359</v>
      </c>
      <c r="F127" s="33" t="s">
        <v>53</v>
      </c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8"/>
      <c r="T127" s="34"/>
      <c r="U127" s="33">
        <v>100</v>
      </c>
      <c r="V127" s="79">
        <f t="shared" si="13"/>
        <v>200000</v>
      </c>
      <c r="W127" s="33"/>
      <c r="X127" s="34"/>
      <c r="Y127" s="33"/>
      <c r="Z127" s="33"/>
      <c r="AA127" s="33"/>
      <c r="AB127" s="34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4"/>
      <c r="AO127" s="33"/>
      <c r="AP127" s="33"/>
      <c r="AQ127" s="33"/>
      <c r="AR127" s="34"/>
      <c r="AS127" s="33"/>
      <c r="AT127" s="33"/>
      <c r="AU127" s="33"/>
      <c r="AV127" s="34"/>
      <c r="AW127" s="17">
        <f t="shared" si="20"/>
        <v>100</v>
      </c>
      <c r="AX127" s="34">
        <v>2000</v>
      </c>
      <c r="AY127" s="29">
        <f t="shared" si="21"/>
        <v>200000</v>
      </c>
      <c r="AZ127" s="32" t="s">
        <v>79</v>
      </c>
      <c r="BA127" s="98"/>
      <c r="BB127" s="77"/>
      <c r="BC127" s="77"/>
      <c r="BD127" s="77">
        <f t="shared" si="22"/>
        <v>200000</v>
      </c>
      <c r="BE127" s="77"/>
      <c r="BF127" s="77"/>
      <c r="BG127" s="77"/>
      <c r="BH127" s="77"/>
      <c r="BI127" s="78"/>
    </row>
    <row r="128" spans="1:61" s="26" customFormat="1" ht="12.75" x14ac:dyDescent="0.2">
      <c r="A128" s="21">
        <v>119</v>
      </c>
      <c r="B128" s="33" t="s">
        <v>287</v>
      </c>
      <c r="C128" s="33" t="s">
        <v>52</v>
      </c>
      <c r="D128" s="88">
        <v>252</v>
      </c>
      <c r="E128" s="32" t="s">
        <v>410</v>
      </c>
      <c r="F128" s="33" t="s">
        <v>54</v>
      </c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8"/>
      <c r="T128" s="34"/>
      <c r="U128" s="33">
        <v>80</v>
      </c>
      <c r="V128" s="79">
        <f t="shared" si="13"/>
        <v>80000</v>
      </c>
      <c r="W128" s="33"/>
      <c r="X128" s="34"/>
      <c r="Y128" s="33"/>
      <c r="Z128" s="33"/>
      <c r="AA128" s="33"/>
      <c r="AB128" s="34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4"/>
      <c r="AO128" s="33"/>
      <c r="AP128" s="33"/>
      <c r="AQ128" s="33"/>
      <c r="AR128" s="34"/>
      <c r="AS128" s="33"/>
      <c r="AT128" s="33"/>
      <c r="AU128" s="33"/>
      <c r="AV128" s="34"/>
      <c r="AW128" s="17">
        <f t="shared" si="20"/>
        <v>80</v>
      </c>
      <c r="AX128" s="34">
        <v>1000</v>
      </c>
      <c r="AY128" s="29">
        <f t="shared" si="21"/>
        <v>80000</v>
      </c>
      <c r="AZ128" s="32" t="s">
        <v>100</v>
      </c>
      <c r="BA128" s="98"/>
      <c r="BB128" s="77"/>
      <c r="BC128" s="77"/>
      <c r="BD128" s="77">
        <f t="shared" si="22"/>
        <v>80000</v>
      </c>
      <c r="BE128" s="77"/>
      <c r="BF128" s="77"/>
      <c r="BG128" s="77"/>
      <c r="BH128" s="77"/>
      <c r="BI128" s="78"/>
    </row>
    <row r="129" spans="1:61" s="26" customFormat="1" ht="12.75" x14ac:dyDescent="0.2">
      <c r="A129" s="21">
        <v>120</v>
      </c>
      <c r="B129" s="33" t="s">
        <v>287</v>
      </c>
      <c r="C129" s="33" t="s">
        <v>52</v>
      </c>
      <c r="D129" s="88">
        <v>252</v>
      </c>
      <c r="E129" s="32" t="s">
        <v>410</v>
      </c>
      <c r="F129" s="33" t="s">
        <v>54</v>
      </c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8"/>
      <c r="T129" s="34"/>
      <c r="U129" s="33">
        <v>80</v>
      </c>
      <c r="V129" s="79">
        <f t="shared" si="13"/>
        <v>80000</v>
      </c>
      <c r="W129" s="33"/>
      <c r="X129" s="34"/>
      <c r="Y129" s="33"/>
      <c r="Z129" s="33"/>
      <c r="AA129" s="33"/>
      <c r="AB129" s="34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4"/>
      <c r="AO129" s="33"/>
      <c r="AP129" s="33"/>
      <c r="AQ129" s="33"/>
      <c r="AR129" s="34"/>
      <c r="AS129" s="33"/>
      <c r="AT129" s="33"/>
      <c r="AU129" s="33"/>
      <c r="AV129" s="34"/>
      <c r="AW129" s="17">
        <f t="shared" si="20"/>
        <v>80</v>
      </c>
      <c r="AX129" s="34">
        <v>1000</v>
      </c>
      <c r="AY129" s="29">
        <f t="shared" si="21"/>
        <v>80000</v>
      </c>
      <c r="AZ129" s="32" t="s">
        <v>101</v>
      </c>
      <c r="BA129" s="98"/>
      <c r="BB129" s="77"/>
      <c r="BC129" s="77"/>
      <c r="BD129" s="77">
        <f t="shared" si="22"/>
        <v>80000</v>
      </c>
      <c r="BE129" s="77"/>
      <c r="BF129" s="77"/>
      <c r="BG129" s="77"/>
      <c r="BH129" s="77"/>
      <c r="BI129" s="78"/>
    </row>
    <row r="130" spans="1:61" s="26" customFormat="1" ht="12.75" x14ac:dyDescent="0.2">
      <c r="A130" s="21">
        <v>121</v>
      </c>
      <c r="B130" s="33" t="s">
        <v>287</v>
      </c>
      <c r="C130" s="33" t="s">
        <v>52</v>
      </c>
      <c r="D130" s="88">
        <v>252</v>
      </c>
      <c r="E130" s="32" t="s">
        <v>410</v>
      </c>
      <c r="F130" s="33" t="s">
        <v>54</v>
      </c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8"/>
      <c r="T130" s="34"/>
      <c r="U130" s="33">
        <v>150</v>
      </c>
      <c r="V130" s="79">
        <f t="shared" si="13"/>
        <v>150000</v>
      </c>
      <c r="W130" s="33"/>
      <c r="X130" s="34"/>
      <c r="Y130" s="33"/>
      <c r="Z130" s="33"/>
      <c r="AA130" s="33"/>
      <c r="AB130" s="34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4"/>
      <c r="AO130" s="33"/>
      <c r="AP130" s="33"/>
      <c r="AQ130" s="33"/>
      <c r="AR130" s="34"/>
      <c r="AS130" s="33"/>
      <c r="AT130" s="33"/>
      <c r="AU130" s="33"/>
      <c r="AV130" s="34"/>
      <c r="AW130" s="17">
        <f t="shared" si="20"/>
        <v>150</v>
      </c>
      <c r="AX130" s="34">
        <v>1000</v>
      </c>
      <c r="AY130" s="29">
        <f t="shared" si="21"/>
        <v>150000</v>
      </c>
      <c r="AZ130" s="32" t="s">
        <v>102</v>
      </c>
      <c r="BA130" s="98"/>
      <c r="BB130" s="77"/>
      <c r="BC130" s="77"/>
      <c r="BD130" s="77">
        <f t="shared" si="22"/>
        <v>150000</v>
      </c>
      <c r="BE130" s="77"/>
      <c r="BF130" s="77"/>
      <c r="BG130" s="77"/>
      <c r="BH130" s="77"/>
      <c r="BI130" s="78"/>
    </row>
    <row r="131" spans="1:61" s="26" customFormat="1" ht="12.75" x14ac:dyDescent="0.2">
      <c r="A131" s="21">
        <v>122</v>
      </c>
      <c r="B131" s="33" t="s">
        <v>287</v>
      </c>
      <c r="C131" s="33" t="s">
        <v>52</v>
      </c>
      <c r="D131" s="88">
        <v>252</v>
      </c>
      <c r="E131" s="32" t="s">
        <v>410</v>
      </c>
      <c r="F131" s="33" t="s">
        <v>54</v>
      </c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8"/>
      <c r="T131" s="34"/>
      <c r="U131" s="33">
        <v>150</v>
      </c>
      <c r="V131" s="79">
        <f t="shared" si="13"/>
        <v>150000</v>
      </c>
      <c r="W131" s="33"/>
      <c r="X131" s="34"/>
      <c r="Y131" s="33"/>
      <c r="Z131" s="33"/>
      <c r="AA131" s="33"/>
      <c r="AB131" s="34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4"/>
      <c r="AO131" s="33"/>
      <c r="AP131" s="33"/>
      <c r="AQ131" s="33"/>
      <c r="AR131" s="34"/>
      <c r="AS131" s="33"/>
      <c r="AT131" s="33"/>
      <c r="AU131" s="33"/>
      <c r="AV131" s="34"/>
      <c r="AW131" s="17">
        <f t="shared" si="20"/>
        <v>150</v>
      </c>
      <c r="AX131" s="34">
        <v>1000</v>
      </c>
      <c r="AY131" s="29">
        <f t="shared" si="21"/>
        <v>150000</v>
      </c>
      <c r="AZ131" s="32" t="s">
        <v>103</v>
      </c>
      <c r="BA131" s="98"/>
      <c r="BB131" s="77"/>
      <c r="BC131" s="77"/>
      <c r="BD131" s="77">
        <f t="shared" si="22"/>
        <v>150000</v>
      </c>
      <c r="BE131" s="77"/>
      <c r="BF131" s="77"/>
      <c r="BG131" s="77"/>
      <c r="BH131" s="77"/>
      <c r="BI131" s="78"/>
    </row>
    <row r="132" spans="1:61" s="26" customFormat="1" ht="12.75" x14ac:dyDescent="0.2">
      <c r="A132" s="21">
        <v>123</v>
      </c>
      <c r="B132" s="33" t="s">
        <v>287</v>
      </c>
      <c r="C132" s="33" t="s">
        <v>52</v>
      </c>
      <c r="D132" s="88">
        <v>252</v>
      </c>
      <c r="E132" s="32" t="s">
        <v>410</v>
      </c>
      <c r="F132" s="33" t="s">
        <v>54</v>
      </c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8"/>
      <c r="T132" s="34"/>
      <c r="U132" s="33">
        <v>80</v>
      </c>
      <c r="V132" s="79">
        <f t="shared" si="13"/>
        <v>80000</v>
      </c>
      <c r="W132" s="33"/>
      <c r="X132" s="34"/>
      <c r="Y132" s="33"/>
      <c r="Z132" s="33"/>
      <c r="AA132" s="33"/>
      <c r="AB132" s="34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4"/>
      <c r="AO132" s="33"/>
      <c r="AP132" s="33"/>
      <c r="AQ132" s="33"/>
      <c r="AR132" s="34"/>
      <c r="AS132" s="33"/>
      <c r="AT132" s="33"/>
      <c r="AU132" s="33"/>
      <c r="AV132" s="34"/>
      <c r="AW132" s="17">
        <f t="shared" si="20"/>
        <v>80</v>
      </c>
      <c r="AX132" s="34">
        <v>1000</v>
      </c>
      <c r="AY132" s="29">
        <f t="shared" si="21"/>
        <v>80000</v>
      </c>
      <c r="AZ132" s="32" t="s">
        <v>104</v>
      </c>
      <c r="BA132" s="98"/>
      <c r="BB132" s="77"/>
      <c r="BC132" s="77"/>
      <c r="BD132" s="77">
        <f t="shared" si="22"/>
        <v>80000</v>
      </c>
      <c r="BE132" s="77"/>
      <c r="BF132" s="77"/>
      <c r="BG132" s="77"/>
      <c r="BH132" s="77"/>
      <c r="BI132" s="78"/>
    </row>
    <row r="133" spans="1:61" s="26" customFormat="1" ht="25.5" x14ac:dyDescent="0.2">
      <c r="A133" s="21">
        <v>124</v>
      </c>
      <c r="B133" s="33" t="s">
        <v>288</v>
      </c>
      <c r="C133" s="33" t="s">
        <v>52</v>
      </c>
      <c r="D133" s="88">
        <v>252</v>
      </c>
      <c r="E133" s="32" t="s">
        <v>411</v>
      </c>
      <c r="F133" s="33" t="s">
        <v>54</v>
      </c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8"/>
      <c r="T133" s="34"/>
      <c r="U133" s="33">
        <v>40</v>
      </c>
      <c r="V133" s="79">
        <f t="shared" si="13"/>
        <v>52000</v>
      </c>
      <c r="W133" s="33"/>
      <c r="X133" s="34"/>
      <c r="Y133" s="33"/>
      <c r="Z133" s="33"/>
      <c r="AA133" s="33"/>
      <c r="AB133" s="34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4"/>
      <c r="AO133" s="33"/>
      <c r="AP133" s="33"/>
      <c r="AQ133" s="33"/>
      <c r="AR133" s="34"/>
      <c r="AS133" s="33"/>
      <c r="AT133" s="33"/>
      <c r="AU133" s="33"/>
      <c r="AV133" s="34"/>
      <c r="AW133" s="17">
        <f t="shared" si="20"/>
        <v>40</v>
      </c>
      <c r="AX133" s="34">
        <v>1300</v>
      </c>
      <c r="AY133" s="29">
        <f t="shared" si="21"/>
        <v>52000</v>
      </c>
      <c r="AZ133" s="32" t="s">
        <v>105</v>
      </c>
      <c r="BA133" s="98"/>
      <c r="BB133" s="77"/>
      <c r="BC133" s="77"/>
      <c r="BD133" s="77"/>
      <c r="BE133" s="77"/>
      <c r="BF133" s="77"/>
      <c r="BG133" s="77">
        <f t="shared" si="14"/>
        <v>52000</v>
      </c>
      <c r="BH133" s="77"/>
      <c r="BI133" s="78"/>
    </row>
    <row r="134" spans="1:61" s="26" customFormat="1" ht="25.5" x14ac:dyDescent="0.2">
      <c r="A134" s="21">
        <v>125</v>
      </c>
      <c r="B134" s="33" t="s">
        <v>288</v>
      </c>
      <c r="C134" s="33" t="s">
        <v>52</v>
      </c>
      <c r="D134" s="88">
        <v>252</v>
      </c>
      <c r="E134" s="32" t="s">
        <v>411</v>
      </c>
      <c r="F134" s="33" t="s">
        <v>54</v>
      </c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8"/>
      <c r="T134" s="34"/>
      <c r="U134" s="33">
        <v>50</v>
      </c>
      <c r="V134" s="79">
        <f t="shared" si="13"/>
        <v>65000</v>
      </c>
      <c r="W134" s="33"/>
      <c r="X134" s="34"/>
      <c r="Y134" s="33"/>
      <c r="Z134" s="33"/>
      <c r="AA134" s="33"/>
      <c r="AB134" s="34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4"/>
      <c r="AO134" s="33"/>
      <c r="AP134" s="33"/>
      <c r="AQ134" s="33"/>
      <c r="AR134" s="34"/>
      <c r="AS134" s="33"/>
      <c r="AT134" s="33"/>
      <c r="AU134" s="33"/>
      <c r="AV134" s="34"/>
      <c r="AW134" s="17">
        <f t="shared" si="20"/>
        <v>50</v>
      </c>
      <c r="AX134" s="34">
        <v>1300</v>
      </c>
      <c r="AY134" s="29">
        <f t="shared" si="21"/>
        <v>65000</v>
      </c>
      <c r="AZ134" s="32" t="s">
        <v>106</v>
      </c>
      <c r="BA134" s="98"/>
      <c r="BB134" s="77"/>
      <c r="BC134" s="77"/>
      <c r="BD134" s="77"/>
      <c r="BE134" s="77"/>
      <c r="BF134" s="77"/>
      <c r="BG134" s="77">
        <f t="shared" si="14"/>
        <v>65000</v>
      </c>
      <c r="BH134" s="77"/>
      <c r="BI134" s="78"/>
    </row>
    <row r="135" spans="1:61" s="26" customFormat="1" ht="25.5" x14ac:dyDescent="0.2">
      <c r="A135" s="21">
        <v>126</v>
      </c>
      <c r="B135" s="33" t="s">
        <v>288</v>
      </c>
      <c r="C135" s="33" t="s">
        <v>52</v>
      </c>
      <c r="D135" s="88">
        <v>252</v>
      </c>
      <c r="E135" s="32" t="s">
        <v>411</v>
      </c>
      <c r="F135" s="33" t="s">
        <v>54</v>
      </c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8"/>
      <c r="T135" s="34"/>
      <c r="U135" s="33">
        <v>50</v>
      </c>
      <c r="V135" s="79">
        <f t="shared" si="13"/>
        <v>65000</v>
      </c>
      <c r="W135" s="33"/>
      <c r="X135" s="34"/>
      <c r="Y135" s="33"/>
      <c r="Z135" s="33"/>
      <c r="AA135" s="33"/>
      <c r="AB135" s="34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4"/>
      <c r="AO135" s="33"/>
      <c r="AP135" s="33"/>
      <c r="AQ135" s="33"/>
      <c r="AR135" s="34"/>
      <c r="AS135" s="33"/>
      <c r="AT135" s="33"/>
      <c r="AU135" s="33"/>
      <c r="AV135" s="34"/>
      <c r="AW135" s="17">
        <f t="shared" si="20"/>
        <v>50</v>
      </c>
      <c r="AX135" s="34">
        <v>1300</v>
      </c>
      <c r="AY135" s="29">
        <f t="shared" si="21"/>
        <v>65000</v>
      </c>
      <c r="AZ135" s="32" t="s">
        <v>107</v>
      </c>
      <c r="BA135" s="98"/>
      <c r="BB135" s="77"/>
      <c r="BC135" s="77"/>
      <c r="BD135" s="77"/>
      <c r="BE135" s="77"/>
      <c r="BF135" s="77"/>
      <c r="BG135" s="77">
        <f t="shared" si="14"/>
        <v>65000</v>
      </c>
      <c r="BH135" s="77"/>
      <c r="BI135" s="78"/>
    </row>
    <row r="136" spans="1:61" s="26" customFormat="1" ht="25.5" x14ac:dyDescent="0.2">
      <c r="A136" s="21">
        <v>127</v>
      </c>
      <c r="B136" s="33" t="s">
        <v>259</v>
      </c>
      <c r="C136" s="33" t="s">
        <v>52</v>
      </c>
      <c r="D136" s="88">
        <v>252</v>
      </c>
      <c r="E136" s="32" t="s">
        <v>95</v>
      </c>
      <c r="F136" s="33" t="s">
        <v>54</v>
      </c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8"/>
      <c r="T136" s="34"/>
      <c r="U136" s="33">
        <v>30</v>
      </c>
      <c r="V136" s="79">
        <f t="shared" si="13"/>
        <v>21000</v>
      </c>
      <c r="W136" s="33"/>
      <c r="X136" s="34"/>
      <c r="Y136" s="33"/>
      <c r="Z136" s="33"/>
      <c r="AA136" s="33"/>
      <c r="AB136" s="34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4"/>
      <c r="AO136" s="33"/>
      <c r="AP136" s="33"/>
      <c r="AQ136" s="33"/>
      <c r="AR136" s="34"/>
      <c r="AS136" s="33"/>
      <c r="AT136" s="33"/>
      <c r="AU136" s="33"/>
      <c r="AV136" s="34"/>
      <c r="AW136" s="17">
        <f t="shared" si="20"/>
        <v>30</v>
      </c>
      <c r="AX136" s="34">
        <v>700</v>
      </c>
      <c r="AY136" s="29">
        <f t="shared" si="21"/>
        <v>21000</v>
      </c>
      <c r="AZ136" s="32" t="s">
        <v>95</v>
      </c>
      <c r="BA136" s="98"/>
      <c r="BB136" s="77"/>
      <c r="BC136" s="77"/>
      <c r="BD136" s="77"/>
      <c r="BE136" s="77"/>
      <c r="BF136" s="77"/>
      <c r="BG136" s="77">
        <f t="shared" si="14"/>
        <v>21000</v>
      </c>
      <c r="BH136" s="77"/>
      <c r="BI136" s="78"/>
    </row>
    <row r="137" spans="1:61" s="26" customFormat="1" ht="12.75" x14ac:dyDescent="0.2">
      <c r="A137" s="21">
        <v>128</v>
      </c>
      <c r="B137" s="33" t="s">
        <v>258</v>
      </c>
      <c r="C137" s="33" t="s">
        <v>52</v>
      </c>
      <c r="D137" s="88">
        <v>252</v>
      </c>
      <c r="E137" s="32" t="s">
        <v>389</v>
      </c>
      <c r="F137" s="33" t="s">
        <v>54</v>
      </c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8"/>
      <c r="T137" s="34"/>
      <c r="U137" s="33">
        <v>50</v>
      </c>
      <c r="V137" s="79">
        <f t="shared" si="13"/>
        <v>52500</v>
      </c>
      <c r="W137" s="33"/>
      <c r="X137" s="34"/>
      <c r="Y137" s="33"/>
      <c r="Z137" s="33"/>
      <c r="AA137" s="33"/>
      <c r="AB137" s="34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4"/>
      <c r="AO137" s="33"/>
      <c r="AP137" s="33"/>
      <c r="AQ137" s="33"/>
      <c r="AR137" s="34"/>
      <c r="AS137" s="33"/>
      <c r="AT137" s="33"/>
      <c r="AU137" s="33"/>
      <c r="AV137" s="34"/>
      <c r="AW137" s="17">
        <f t="shared" si="20"/>
        <v>50</v>
      </c>
      <c r="AX137" s="34">
        <v>1050</v>
      </c>
      <c r="AY137" s="80">
        <f t="shared" si="21"/>
        <v>52500</v>
      </c>
      <c r="AZ137" s="32" t="s">
        <v>447</v>
      </c>
      <c r="BA137" s="98"/>
      <c r="BB137" s="77"/>
      <c r="BC137" s="77"/>
      <c r="BD137" s="77"/>
      <c r="BE137" s="77"/>
      <c r="BF137" s="77"/>
      <c r="BG137" s="77">
        <f t="shared" si="14"/>
        <v>52500</v>
      </c>
      <c r="BH137" s="77"/>
      <c r="BI137" s="78"/>
    </row>
    <row r="138" spans="1:61" s="26" customFormat="1" ht="12.75" x14ac:dyDescent="0.2">
      <c r="A138" s="21">
        <v>129</v>
      </c>
      <c r="B138" s="33" t="s">
        <v>279</v>
      </c>
      <c r="C138" s="33" t="s">
        <v>52</v>
      </c>
      <c r="D138" s="33">
        <v>295</v>
      </c>
      <c r="E138" s="32" t="s">
        <v>402</v>
      </c>
      <c r="F138" s="33" t="s">
        <v>54</v>
      </c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8"/>
      <c r="T138" s="34"/>
      <c r="U138" s="33">
        <v>20</v>
      </c>
      <c r="V138" s="79">
        <f t="shared" ref="V138:V148" si="23">+U138*AX138</f>
        <v>8000</v>
      </c>
      <c r="W138" s="33"/>
      <c r="X138" s="34"/>
      <c r="Y138" s="33"/>
      <c r="Z138" s="33"/>
      <c r="AA138" s="33"/>
      <c r="AB138" s="34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4"/>
      <c r="AO138" s="33"/>
      <c r="AP138" s="33"/>
      <c r="AQ138" s="33"/>
      <c r="AR138" s="34"/>
      <c r="AS138" s="33"/>
      <c r="AT138" s="33"/>
      <c r="AU138" s="33"/>
      <c r="AV138" s="34"/>
      <c r="AW138" s="17">
        <f t="shared" si="20"/>
        <v>20</v>
      </c>
      <c r="AX138" s="34">
        <v>400</v>
      </c>
      <c r="AY138" s="29">
        <f t="shared" si="21"/>
        <v>8000</v>
      </c>
      <c r="AZ138" s="32" t="s">
        <v>97</v>
      </c>
      <c r="BA138" s="98"/>
      <c r="BB138" s="77"/>
      <c r="BC138" s="77"/>
      <c r="BD138" s="77"/>
      <c r="BE138" s="77"/>
      <c r="BF138" s="77"/>
      <c r="BG138" s="77">
        <f t="shared" si="14"/>
        <v>8000</v>
      </c>
      <c r="BH138" s="77"/>
      <c r="BI138" s="78"/>
    </row>
    <row r="139" spans="1:61" s="26" customFormat="1" ht="12.75" x14ac:dyDescent="0.2">
      <c r="A139" s="21">
        <v>130</v>
      </c>
      <c r="B139" s="33" t="s">
        <v>285</v>
      </c>
      <c r="C139" s="33" t="s">
        <v>52</v>
      </c>
      <c r="D139" s="33">
        <v>295</v>
      </c>
      <c r="E139" s="32" t="s">
        <v>408</v>
      </c>
      <c r="F139" s="33" t="s">
        <v>54</v>
      </c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8"/>
      <c r="T139" s="34"/>
      <c r="U139" s="33">
        <v>8</v>
      </c>
      <c r="V139" s="79">
        <f t="shared" si="23"/>
        <v>8000</v>
      </c>
      <c r="W139" s="33"/>
      <c r="X139" s="34"/>
      <c r="Y139" s="33"/>
      <c r="Z139" s="33"/>
      <c r="AA139" s="33"/>
      <c r="AB139" s="34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4"/>
      <c r="AO139" s="33"/>
      <c r="AP139" s="33"/>
      <c r="AQ139" s="33"/>
      <c r="AR139" s="34"/>
      <c r="AS139" s="33"/>
      <c r="AT139" s="33"/>
      <c r="AU139" s="33"/>
      <c r="AV139" s="34"/>
      <c r="AW139" s="17">
        <f t="shared" si="20"/>
        <v>8</v>
      </c>
      <c r="AX139" s="34">
        <v>1000</v>
      </c>
      <c r="AY139" s="29">
        <f t="shared" si="21"/>
        <v>8000</v>
      </c>
      <c r="AZ139" s="32" t="s">
        <v>121</v>
      </c>
      <c r="BA139" s="98"/>
      <c r="BB139" s="77"/>
      <c r="BC139" s="77"/>
      <c r="BD139" s="77"/>
      <c r="BE139" s="77"/>
      <c r="BF139" s="77"/>
      <c r="BG139" s="77">
        <f t="shared" si="14"/>
        <v>8000</v>
      </c>
      <c r="BH139" s="77"/>
      <c r="BI139" s="78"/>
    </row>
    <row r="140" spans="1:61" s="26" customFormat="1" ht="12.75" x14ac:dyDescent="0.2">
      <c r="A140" s="21">
        <v>131</v>
      </c>
      <c r="B140" s="33" t="s">
        <v>282</v>
      </c>
      <c r="C140" s="33" t="s">
        <v>52</v>
      </c>
      <c r="D140" s="33">
        <v>259</v>
      </c>
      <c r="E140" s="32" t="s">
        <v>405</v>
      </c>
      <c r="F140" s="33" t="s">
        <v>53</v>
      </c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8"/>
      <c r="T140" s="34"/>
      <c r="U140" s="33">
        <v>100</v>
      </c>
      <c r="V140" s="79">
        <f t="shared" si="23"/>
        <v>350000</v>
      </c>
      <c r="W140" s="33"/>
      <c r="X140" s="34"/>
      <c r="Y140" s="33"/>
      <c r="Z140" s="33"/>
      <c r="AA140" s="33"/>
      <c r="AB140" s="34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4"/>
      <c r="AO140" s="33"/>
      <c r="AP140" s="33"/>
      <c r="AQ140" s="33"/>
      <c r="AR140" s="34"/>
      <c r="AS140" s="33"/>
      <c r="AT140" s="33"/>
      <c r="AU140" s="33"/>
      <c r="AV140" s="34"/>
      <c r="AW140" s="17">
        <f t="shared" si="20"/>
        <v>100</v>
      </c>
      <c r="AX140" s="34">
        <v>3500</v>
      </c>
      <c r="AY140" s="29">
        <f t="shared" si="21"/>
        <v>350000</v>
      </c>
      <c r="AZ140" s="32" t="s">
        <v>132</v>
      </c>
      <c r="BA140" s="98"/>
      <c r="BB140" s="77"/>
      <c r="BC140" s="77"/>
      <c r="BD140" s="77"/>
      <c r="BE140" s="77"/>
      <c r="BF140" s="77"/>
      <c r="BG140" s="77">
        <f t="shared" si="14"/>
        <v>350000</v>
      </c>
      <c r="BH140" s="77"/>
      <c r="BI140" s="78"/>
    </row>
    <row r="141" spans="1:61" s="26" customFormat="1" ht="25.5" x14ac:dyDescent="0.2">
      <c r="A141" s="21">
        <v>132</v>
      </c>
      <c r="B141" s="33" t="s">
        <v>248</v>
      </c>
      <c r="C141" s="33" t="s">
        <v>52</v>
      </c>
      <c r="D141" s="33">
        <v>259</v>
      </c>
      <c r="E141" s="32" t="s">
        <v>379</v>
      </c>
      <c r="F141" s="33" t="s">
        <v>54</v>
      </c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8"/>
      <c r="T141" s="34"/>
      <c r="U141" s="33">
        <v>250</v>
      </c>
      <c r="V141" s="79">
        <f t="shared" si="23"/>
        <v>150000</v>
      </c>
      <c r="W141" s="33"/>
      <c r="X141" s="34"/>
      <c r="Y141" s="33"/>
      <c r="Z141" s="33"/>
      <c r="AA141" s="33"/>
      <c r="AB141" s="34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4"/>
      <c r="AO141" s="33"/>
      <c r="AP141" s="33"/>
      <c r="AQ141" s="33"/>
      <c r="AR141" s="34"/>
      <c r="AS141" s="33"/>
      <c r="AT141" s="33"/>
      <c r="AU141" s="33"/>
      <c r="AV141" s="34"/>
      <c r="AW141" s="17">
        <f t="shared" si="20"/>
        <v>250</v>
      </c>
      <c r="AX141" s="34">
        <v>600</v>
      </c>
      <c r="AY141" s="29">
        <f t="shared" si="21"/>
        <v>150000</v>
      </c>
      <c r="AZ141" s="32" t="s">
        <v>134</v>
      </c>
      <c r="BA141" s="98"/>
      <c r="BB141" s="77"/>
      <c r="BC141" s="77"/>
      <c r="BD141" s="77"/>
      <c r="BE141" s="77"/>
      <c r="BF141" s="77"/>
      <c r="BG141" s="77">
        <f t="shared" si="14"/>
        <v>150000</v>
      </c>
      <c r="BH141" s="77"/>
      <c r="BI141" s="78"/>
    </row>
    <row r="142" spans="1:61" s="26" customFormat="1" ht="12.75" x14ac:dyDescent="0.2">
      <c r="A142" s="21">
        <v>133</v>
      </c>
      <c r="B142" s="33" t="s">
        <v>295</v>
      </c>
      <c r="C142" s="33" t="s">
        <v>52</v>
      </c>
      <c r="D142" s="33">
        <v>295</v>
      </c>
      <c r="E142" s="32" t="s">
        <v>417</v>
      </c>
      <c r="F142" s="33" t="s">
        <v>53</v>
      </c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8"/>
      <c r="T142" s="34"/>
      <c r="U142" s="33">
        <v>50</v>
      </c>
      <c r="V142" s="79">
        <f t="shared" si="23"/>
        <v>100000</v>
      </c>
      <c r="W142" s="33"/>
      <c r="X142" s="34"/>
      <c r="Y142" s="33"/>
      <c r="Z142" s="33"/>
      <c r="AA142" s="33"/>
      <c r="AB142" s="34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4"/>
      <c r="AO142" s="33"/>
      <c r="AP142" s="33"/>
      <c r="AQ142" s="33"/>
      <c r="AR142" s="34"/>
      <c r="AS142" s="33"/>
      <c r="AT142" s="33"/>
      <c r="AU142" s="33"/>
      <c r="AV142" s="34"/>
      <c r="AW142" s="17">
        <f t="shared" si="20"/>
        <v>50</v>
      </c>
      <c r="AX142" s="34">
        <v>2000</v>
      </c>
      <c r="AY142" s="80">
        <f t="shared" si="21"/>
        <v>100000</v>
      </c>
      <c r="AZ142" s="32" t="s">
        <v>166</v>
      </c>
      <c r="BA142" s="98"/>
      <c r="BB142" s="77"/>
      <c r="BC142" s="77"/>
      <c r="BD142" s="77"/>
      <c r="BE142" s="77"/>
      <c r="BF142" s="77"/>
      <c r="BG142" s="77">
        <f t="shared" si="14"/>
        <v>100000</v>
      </c>
      <c r="BH142" s="77"/>
      <c r="BI142" s="78"/>
    </row>
    <row r="143" spans="1:61" s="26" customFormat="1" ht="12.75" x14ac:dyDescent="0.2">
      <c r="A143" s="21">
        <v>134</v>
      </c>
      <c r="B143" s="33" t="s">
        <v>294</v>
      </c>
      <c r="C143" s="33" t="s">
        <v>52</v>
      </c>
      <c r="D143" s="33">
        <v>295</v>
      </c>
      <c r="E143" s="32" t="s">
        <v>418</v>
      </c>
      <c r="F143" s="33" t="s">
        <v>53</v>
      </c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8"/>
      <c r="T143" s="34"/>
      <c r="U143" s="33">
        <v>50</v>
      </c>
      <c r="V143" s="79">
        <f t="shared" si="23"/>
        <v>100000</v>
      </c>
      <c r="W143" s="33"/>
      <c r="X143" s="34"/>
      <c r="Y143" s="33"/>
      <c r="Z143" s="33"/>
      <c r="AA143" s="33"/>
      <c r="AB143" s="34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4"/>
      <c r="AO143" s="33"/>
      <c r="AP143" s="33"/>
      <c r="AQ143" s="33"/>
      <c r="AR143" s="34"/>
      <c r="AS143" s="33"/>
      <c r="AT143" s="33"/>
      <c r="AU143" s="33"/>
      <c r="AV143" s="34"/>
      <c r="AW143" s="17">
        <f t="shared" si="20"/>
        <v>50</v>
      </c>
      <c r="AX143" s="34">
        <v>2000</v>
      </c>
      <c r="AY143" s="80">
        <f t="shared" si="21"/>
        <v>100000</v>
      </c>
      <c r="AZ143" s="32" t="s">
        <v>167</v>
      </c>
      <c r="BA143" s="98"/>
      <c r="BB143" s="77"/>
      <c r="BC143" s="77"/>
      <c r="BD143" s="77"/>
      <c r="BE143" s="77"/>
      <c r="BF143" s="77"/>
      <c r="BG143" s="77">
        <f t="shared" si="14"/>
        <v>100000</v>
      </c>
      <c r="BH143" s="77"/>
      <c r="BI143" s="78"/>
    </row>
    <row r="144" spans="1:61" s="26" customFormat="1" ht="12.75" x14ac:dyDescent="0.2">
      <c r="A144" s="21">
        <v>135</v>
      </c>
      <c r="B144" s="33" t="s">
        <v>293</v>
      </c>
      <c r="C144" s="33" t="s">
        <v>52</v>
      </c>
      <c r="D144" s="33">
        <v>295</v>
      </c>
      <c r="E144" s="32" t="s">
        <v>416</v>
      </c>
      <c r="F144" s="33" t="s">
        <v>54</v>
      </c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8"/>
      <c r="T144" s="34"/>
      <c r="U144" s="33">
        <v>15</v>
      </c>
      <c r="V144" s="79">
        <f t="shared" si="23"/>
        <v>34500</v>
      </c>
      <c r="W144" s="33"/>
      <c r="X144" s="34"/>
      <c r="Y144" s="33"/>
      <c r="Z144" s="33"/>
      <c r="AA144" s="33"/>
      <c r="AB144" s="34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4"/>
      <c r="AO144" s="33"/>
      <c r="AP144" s="33"/>
      <c r="AQ144" s="33"/>
      <c r="AR144" s="34"/>
      <c r="AS144" s="33"/>
      <c r="AT144" s="33"/>
      <c r="AU144" s="33"/>
      <c r="AV144" s="34"/>
      <c r="AW144" s="17">
        <f t="shared" si="20"/>
        <v>15</v>
      </c>
      <c r="AX144" s="34">
        <v>2300</v>
      </c>
      <c r="AY144" s="29">
        <f t="shared" si="21"/>
        <v>34500</v>
      </c>
      <c r="AZ144" s="32" t="s">
        <v>110</v>
      </c>
      <c r="BA144" s="98"/>
      <c r="BB144" s="77"/>
      <c r="BC144" s="77"/>
      <c r="BD144" s="77"/>
      <c r="BE144" s="77"/>
      <c r="BF144" s="77"/>
      <c r="BG144" s="77">
        <f t="shared" si="14"/>
        <v>34500</v>
      </c>
      <c r="BH144" s="77"/>
      <c r="BI144" s="78"/>
    </row>
    <row r="145" spans="1:61" s="26" customFormat="1" ht="12.75" x14ac:dyDescent="0.2">
      <c r="A145" s="21">
        <v>136</v>
      </c>
      <c r="B145" s="33" t="s">
        <v>293</v>
      </c>
      <c r="C145" s="33" t="s">
        <v>52</v>
      </c>
      <c r="D145" s="33">
        <v>295</v>
      </c>
      <c r="E145" s="32" t="s">
        <v>416</v>
      </c>
      <c r="F145" s="33" t="s">
        <v>54</v>
      </c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8"/>
      <c r="T145" s="34"/>
      <c r="U145" s="33">
        <v>50</v>
      </c>
      <c r="V145" s="79">
        <f t="shared" si="23"/>
        <v>100000</v>
      </c>
      <c r="W145" s="33"/>
      <c r="X145" s="34"/>
      <c r="Y145" s="33"/>
      <c r="Z145" s="33"/>
      <c r="AA145" s="33"/>
      <c r="AB145" s="34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4"/>
      <c r="AO145" s="33"/>
      <c r="AP145" s="33"/>
      <c r="AQ145" s="33"/>
      <c r="AR145" s="34"/>
      <c r="AS145" s="33"/>
      <c r="AT145" s="33"/>
      <c r="AU145" s="33"/>
      <c r="AV145" s="34"/>
      <c r="AW145" s="17">
        <f t="shared" si="20"/>
        <v>50</v>
      </c>
      <c r="AX145" s="34">
        <v>2000</v>
      </c>
      <c r="AY145" s="80">
        <f t="shared" si="21"/>
        <v>100000</v>
      </c>
      <c r="AZ145" s="32" t="s">
        <v>165</v>
      </c>
      <c r="BA145" s="98"/>
      <c r="BB145" s="77"/>
      <c r="BC145" s="77"/>
      <c r="BD145" s="77"/>
      <c r="BE145" s="77"/>
      <c r="BF145" s="77"/>
      <c r="BG145" s="77">
        <f t="shared" si="14"/>
        <v>100000</v>
      </c>
      <c r="BH145" s="77"/>
      <c r="BI145" s="78"/>
    </row>
    <row r="146" spans="1:61" s="26" customFormat="1" ht="25.5" x14ac:dyDescent="0.2">
      <c r="A146" s="21">
        <v>137</v>
      </c>
      <c r="B146" s="33" t="s">
        <v>201</v>
      </c>
      <c r="C146" s="33" t="s">
        <v>52</v>
      </c>
      <c r="D146" s="33">
        <v>252</v>
      </c>
      <c r="E146" s="32" t="s">
        <v>340</v>
      </c>
      <c r="F146" s="33" t="s">
        <v>54</v>
      </c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8"/>
      <c r="T146" s="34"/>
      <c r="U146" s="33">
        <v>20</v>
      </c>
      <c r="V146" s="79">
        <f t="shared" si="23"/>
        <v>12000</v>
      </c>
      <c r="W146" s="33"/>
      <c r="X146" s="34"/>
      <c r="Y146" s="33"/>
      <c r="Z146" s="33"/>
      <c r="AA146" s="33"/>
      <c r="AB146" s="34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4"/>
      <c r="AO146" s="33"/>
      <c r="AP146" s="33"/>
      <c r="AQ146" s="33"/>
      <c r="AR146" s="34"/>
      <c r="AS146" s="33"/>
      <c r="AT146" s="33"/>
      <c r="AU146" s="33"/>
      <c r="AV146" s="34"/>
      <c r="AW146" s="17">
        <f t="shared" si="20"/>
        <v>20</v>
      </c>
      <c r="AX146" s="34">
        <v>600</v>
      </c>
      <c r="AY146" s="29">
        <f t="shared" si="21"/>
        <v>12000</v>
      </c>
      <c r="AZ146" s="32" t="s">
        <v>74</v>
      </c>
      <c r="BA146" s="98"/>
      <c r="BB146" s="77"/>
      <c r="BC146" s="77"/>
      <c r="BD146" s="77"/>
      <c r="BE146" s="77"/>
      <c r="BF146" s="77">
        <f t="shared" ref="BF146:BF147" si="24">+AY146</f>
        <v>12000</v>
      </c>
      <c r="BG146" s="77"/>
      <c r="BH146" s="77"/>
      <c r="BI146" s="78"/>
    </row>
    <row r="147" spans="1:61" s="26" customFormat="1" ht="12.75" x14ac:dyDescent="0.2">
      <c r="A147" s="21">
        <v>138</v>
      </c>
      <c r="B147" s="33" t="s">
        <v>302</v>
      </c>
      <c r="C147" s="33" t="s">
        <v>52</v>
      </c>
      <c r="D147" s="88">
        <v>265</v>
      </c>
      <c r="E147" s="32" t="s">
        <v>424</v>
      </c>
      <c r="F147" s="33" t="s">
        <v>54</v>
      </c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8"/>
      <c r="T147" s="34"/>
      <c r="U147" s="33">
        <v>12</v>
      </c>
      <c r="V147" s="79">
        <f t="shared" si="23"/>
        <v>27600</v>
      </c>
      <c r="W147" s="33"/>
      <c r="X147" s="34"/>
      <c r="Y147" s="33"/>
      <c r="Z147" s="33"/>
      <c r="AA147" s="33"/>
      <c r="AB147" s="34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4"/>
      <c r="AO147" s="33"/>
      <c r="AP147" s="33"/>
      <c r="AQ147" s="33"/>
      <c r="AR147" s="34"/>
      <c r="AS147" s="33"/>
      <c r="AT147" s="33"/>
      <c r="AU147" s="33"/>
      <c r="AV147" s="34"/>
      <c r="AW147" s="17">
        <f t="shared" si="20"/>
        <v>12</v>
      </c>
      <c r="AX147" s="34">
        <v>2300</v>
      </c>
      <c r="AY147" s="29">
        <f t="shared" si="21"/>
        <v>27600</v>
      </c>
      <c r="AZ147" s="32" t="s">
        <v>112</v>
      </c>
      <c r="BA147" s="98"/>
      <c r="BB147" s="77"/>
      <c r="BC147" s="77"/>
      <c r="BD147" s="77"/>
      <c r="BE147" s="77"/>
      <c r="BF147" s="77">
        <f t="shared" si="24"/>
        <v>27600</v>
      </c>
      <c r="BG147" s="77"/>
      <c r="BH147" s="77"/>
      <c r="BI147" s="78"/>
    </row>
    <row r="148" spans="1:61" s="26" customFormat="1" ht="13.5" thickBot="1" x14ac:dyDescent="0.25">
      <c r="A148" s="21">
        <v>139</v>
      </c>
      <c r="B148" s="33" t="s">
        <v>303</v>
      </c>
      <c r="C148" s="33" t="s">
        <v>52</v>
      </c>
      <c r="D148" s="88">
        <v>265</v>
      </c>
      <c r="E148" s="32" t="s">
        <v>425</v>
      </c>
      <c r="F148" s="33" t="s">
        <v>54</v>
      </c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8"/>
      <c r="T148" s="34"/>
      <c r="U148" s="33">
        <v>12</v>
      </c>
      <c r="V148" s="79">
        <f t="shared" si="23"/>
        <v>24000</v>
      </c>
      <c r="W148" s="33"/>
      <c r="X148" s="34"/>
      <c r="Y148" s="33"/>
      <c r="Z148" s="33"/>
      <c r="AA148" s="33"/>
      <c r="AB148" s="34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4"/>
      <c r="AO148" s="33"/>
      <c r="AP148" s="33"/>
      <c r="AQ148" s="33"/>
      <c r="AR148" s="34"/>
      <c r="AS148" s="33"/>
      <c r="AT148" s="33"/>
      <c r="AU148" s="33"/>
      <c r="AV148" s="34"/>
      <c r="AW148" s="17">
        <f t="shared" si="20"/>
        <v>12</v>
      </c>
      <c r="AX148" s="34">
        <v>2000</v>
      </c>
      <c r="AY148" s="29">
        <f t="shared" si="21"/>
        <v>24000</v>
      </c>
      <c r="AZ148" s="32" t="s">
        <v>113</v>
      </c>
      <c r="BA148" s="98"/>
      <c r="BB148" s="77"/>
      <c r="BC148" s="77"/>
      <c r="BD148" s="77"/>
      <c r="BE148" s="77"/>
      <c r="BF148" s="77"/>
      <c r="BG148" s="77"/>
      <c r="BH148" s="77"/>
      <c r="BI148" s="78"/>
    </row>
    <row r="149" spans="1:61" s="26" customFormat="1" ht="13.5" thickBot="1" x14ac:dyDescent="0.25">
      <c r="A149" s="52"/>
      <c r="B149" s="53"/>
      <c r="C149" s="53"/>
      <c r="D149" s="53"/>
      <c r="E149" s="54" t="s">
        <v>114</v>
      </c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6"/>
      <c r="T149" s="55"/>
      <c r="U149" s="53"/>
      <c r="V149" s="55">
        <f>SUM(V10:V147)</f>
        <v>14216300</v>
      </c>
      <c r="W149" s="53"/>
      <c r="X149" s="55"/>
      <c r="Y149" s="53"/>
      <c r="Z149" s="53"/>
      <c r="AA149" s="53"/>
      <c r="AB149" s="55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5"/>
      <c r="AO149" s="53"/>
      <c r="AP149" s="53"/>
      <c r="AQ149" s="53"/>
      <c r="AR149" s="55"/>
      <c r="AS149" s="53"/>
      <c r="AT149" s="53"/>
      <c r="AU149" s="53"/>
      <c r="AV149" s="55"/>
      <c r="AW149" s="57"/>
      <c r="AX149" s="55"/>
      <c r="AY149" s="58">
        <f>SUM(AY10:AY147)</f>
        <v>14216300</v>
      </c>
      <c r="AZ149" s="64"/>
      <c r="BA149" s="98"/>
      <c r="BB149" s="78"/>
      <c r="BC149" s="78"/>
      <c r="BD149" s="78"/>
      <c r="BE149" s="78"/>
      <c r="BF149" s="78"/>
      <c r="BG149" s="78"/>
      <c r="BH149" s="78"/>
      <c r="BI149" s="78"/>
    </row>
    <row r="150" spans="1:61" s="26" customFormat="1" ht="12.75" x14ac:dyDescent="0.2">
      <c r="A150" s="59"/>
      <c r="B150" s="59"/>
      <c r="C150" s="59"/>
      <c r="D150" s="59"/>
      <c r="E150" s="60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61"/>
      <c r="T150" s="62"/>
      <c r="U150" s="59"/>
      <c r="V150" s="59"/>
      <c r="W150" s="59"/>
      <c r="X150" s="62"/>
      <c r="Y150" s="59"/>
      <c r="Z150" s="59"/>
      <c r="AA150" s="59"/>
      <c r="AB150" s="62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62"/>
      <c r="AO150" s="59"/>
      <c r="AP150" s="59"/>
      <c r="AQ150" s="59"/>
      <c r="AR150" s="62"/>
      <c r="AS150" s="59"/>
      <c r="AT150" s="59"/>
      <c r="AU150" s="59"/>
      <c r="AV150" s="62"/>
      <c r="AW150" s="61"/>
      <c r="AX150" s="62"/>
      <c r="AY150" s="62"/>
      <c r="AZ150" s="63"/>
      <c r="BA150" s="98"/>
      <c r="BB150" s="77">
        <f t="shared" ref="BB150:BH150" si="25">SUM(BB10:BB149)</f>
        <v>6480000</v>
      </c>
      <c r="BC150" s="77">
        <f t="shared" si="25"/>
        <v>195500</v>
      </c>
      <c r="BD150" s="77">
        <f t="shared" si="25"/>
        <v>2045200</v>
      </c>
      <c r="BE150" s="77">
        <f t="shared" si="25"/>
        <v>105000</v>
      </c>
      <c r="BF150" s="77">
        <f t="shared" si="25"/>
        <v>105600</v>
      </c>
      <c r="BG150" s="77">
        <f t="shared" si="25"/>
        <v>4675000</v>
      </c>
      <c r="BH150" s="77">
        <f t="shared" si="25"/>
        <v>0</v>
      </c>
      <c r="BI150" s="77">
        <f>SUM(BB150:BH150)</f>
        <v>13606300</v>
      </c>
    </row>
    <row r="151" spans="1:61" s="26" customFormat="1" ht="15.75" thickBot="1" x14ac:dyDescent="0.3">
      <c r="A151" s="59"/>
      <c r="B151" s="59"/>
      <c r="C151" s="59"/>
      <c r="D151" s="59"/>
      <c r="E151" s="60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61"/>
      <c r="T151" s="62"/>
      <c r="U151" s="59"/>
      <c r="V151" s="59"/>
      <c r="W151" s="59"/>
      <c r="X151" s="62"/>
      <c r="Y151" s="59"/>
      <c r="Z151" s="59"/>
      <c r="AA151" s="59"/>
      <c r="AB151" s="62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62"/>
      <c r="AO151" s="59"/>
      <c r="AP151" s="59"/>
      <c r="AQ151" s="59"/>
      <c r="AR151" s="62"/>
      <c r="AS151" s="59"/>
      <c r="AT151" s="59"/>
      <c r="AU151" s="59"/>
      <c r="AV151" s="62"/>
      <c r="AW151" s="61"/>
      <c r="AX151" s="62"/>
      <c r="AY151" s="62"/>
      <c r="AZ151" s="63"/>
      <c r="BA151" s="98"/>
      <c r="BB151" s="76">
        <v>222</v>
      </c>
      <c r="BC151" s="76">
        <v>259</v>
      </c>
      <c r="BD151" s="76">
        <v>252</v>
      </c>
      <c r="BE151" s="76">
        <v>256</v>
      </c>
      <c r="BF151" s="76">
        <v>265</v>
      </c>
      <c r="BG151" s="76">
        <v>295</v>
      </c>
      <c r="BH151" s="76">
        <v>296</v>
      </c>
      <c r="BI151" s="78"/>
    </row>
    <row r="152" spans="1:61" s="26" customFormat="1" ht="120" customHeight="1" x14ac:dyDescent="0.2">
      <c r="A152" s="59"/>
      <c r="B152" s="59"/>
      <c r="C152" s="65" t="s">
        <v>124</v>
      </c>
      <c r="D152" s="90" t="s">
        <v>125</v>
      </c>
      <c r="E152" s="91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61"/>
      <c r="T152" s="62"/>
      <c r="U152" s="59"/>
      <c r="V152" s="59"/>
      <c r="W152" s="59"/>
      <c r="X152" s="62"/>
      <c r="Y152" s="59"/>
      <c r="Z152" s="59"/>
      <c r="AA152" s="59"/>
      <c r="AB152" s="62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62"/>
      <c r="AO152" s="59"/>
      <c r="AP152" s="59"/>
      <c r="AQ152" s="59"/>
      <c r="AR152" s="62"/>
      <c r="AS152" s="59"/>
      <c r="AT152" s="59"/>
      <c r="AU152" s="59"/>
      <c r="AV152" s="62"/>
      <c r="AW152" s="61"/>
      <c r="AX152" s="62"/>
      <c r="AY152" s="62"/>
      <c r="AZ152" s="63"/>
      <c r="BA152" s="98"/>
      <c r="BB152" s="78"/>
      <c r="BC152" s="78"/>
      <c r="BD152" s="78"/>
      <c r="BE152" s="78"/>
      <c r="BF152" s="78"/>
      <c r="BG152" s="78"/>
      <c r="BH152" s="78"/>
      <c r="BI152" s="78"/>
    </row>
    <row r="153" spans="1:61" x14ac:dyDescent="0.25">
      <c r="C153" s="66"/>
      <c r="D153" s="67"/>
      <c r="E153" s="74"/>
    </row>
    <row r="154" spans="1:61" x14ac:dyDescent="0.25">
      <c r="C154" s="68" t="s">
        <v>126</v>
      </c>
      <c r="D154" s="69" t="s">
        <v>467</v>
      </c>
      <c r="E154" s="74"/>
    </row>
    <row r="155" spans="1:61" x14ac:dyDescent="0.25">
      <c r="C155" s="68"/>
      <c r="D155" s="70"/>
      <c r="E155" s="74"/>
    </row>
    <row r="156" spans="1:61" x14ac:dyDescent="0.25">
      <c r="C156" s="68" t="s">
        <v>127</v>
      </c>
      <c r="D156" s="71" t="s">
        <v>131</v>
      </c>
      <c r="E156" s="74"/>
    </row>
    <row r="157" spans="1:61" x14ac:dyDescent="0.25">
      <c r="C157" s="68"/>
      <c r="D157" s="71"/>
      <c r="E157" s="74"/>
    </row>
    <row r="158" spans="1:61" x14ac:dyDescent="0.25">
      <c r="C158" s="68" t="s">
        <v>128</v>
      </c>
      <c r="D158" s="70"/>
      <c r="E158" s="74"/>
    </row>
    <row r="159" spans="1:61" x14ac:dyDescent="0.25">
      <c r="C159" s="68"/>
      <c r="D159" s="70"/>
      <c r="E159" s="74"/>
    </row>
    <row r="160" spans="1:61" ht="15.75" thickBot="1" x14ac:dyDescent="0.3">
      <c r="C160" s="72" t="s">
        <v>129</v>
      </c>
      <c r="D160" s="73" t="s">
        <v>130</v>
      </c>
      <c r="E160" s="75"/>
    </row>
  </sheetData>
  <sortState xmlns:xlrd2="http://schemas.microsoft.com/office/spreadsheetml/2017/richdata2" ref="A10:AZ151">
    <sortCondition ref="E10"/>
  </sortState>
  <mergeCells count="8">
    <mergeCell ref="A7:B7"/>
    <mergeCell ref="D152:E152"/>
    <mergeCell ref="B2:AX2"/>
    <mergeCell ref="A4:B4"/>
    <mergeCell ref="C4:E4"/>
    <mergeCell ref="A5:B5"/>
    <mergeCell ref="C5:E5"/>
    <mergeCell ref="A6:B6"/>
  </mergeCells>
  <conditionalFormatting sqref="B1:B9 E1:E9">
    <cfRule type="duplicateValues" dxfId="9" priority="5"/>
  </conditionalFormatting>
  <conditionalFormatting sqref="E1:E9 B1:B9">
    <cfRule type="duplicateValues" dxfId="8" priority="6"/>
  </conditionalFormatting>
  <conditionalFormatting sqref="B1:B9">
    <cfRule type="duplicateValues" dxfId="7" priority="7"/>
  </conditionalFormatting>
  <conditionalFormatting sqref="E1:E9">
    <cfRule type="duplicateValues" dxfId="6" priority="8"/>
  </conditionalFormatting>
  <conditionalFormatting sqref="E1:E9">
    <cfRule type="duplicateValues" dxfId="5" priority="9"/>
    <cfRule type="duplicateValues" dxfId="4" priority="10"/>
  </conditionalFormatting>
  <conditionalFormatting sqref="C154:C160">
    <cfRule type="duplicateValues" dxfId="3" priority="1"/>
  </conditionalFormatting>
  <conditionalFormatting sqref="C154:C160">
    <cfRule type="duplicateValues" dxfId="2" priority="2"/>
  </conditionalFormatting>
  <conditionalFormatting sqref="C154:C160">
    <cfRule type="duplicateValues" dxfId="1" priority="3"/>
  </conditionalFormatting>
  <conditionalFormatting sqref="C154:C160">
    <cfRule type="duplicateValues" dxfId="0" priority="4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11:H14"/>
  <sheetViews>
    <sheetView workbookViewId="0">
      <selection activeCell="F38" sqref="F38"/>
    </sheetView>
  </sheetViews>
  <sheetFormatPr baseColWidth="10" defaultRowHeight="15" x14ac:dyDescent="0.25"/>
  <sheetData>
    <row r="11" spans="6:8" x14ac:dyDescent="0.25">
      <c r="F11" s="95"/>
      <c r="G11" s="95"/>
      <c r="H11" s="95"/>
    </row>
    <row r="12" spans="6:8" x14ac:dyDescent="0.25">
      <c r="F12" s="95"/>
      <c r="G12" s="95"/>
      <c r="H12" s="95"/>
    </row>
    <row r="13" spans="6:8" x14ac:dyDescent="0.25">
      <c r="F13" s="95"/>
      <c r="G13" s="95"/>
      <c r="H13" s="95"/>
    </row>
    <row r="14" spans="6:8" x14ac:dyDescent="0.25">
      <c r="F14" s="95"/>
      <c r="G14" s="95"/>
      <c r="H14" s="95"/>
    </row>
  </sheetData>
  <mergeCells count="4">
    <mergeCell ref="F14:H14"/>
    <mergeCell ref="F13:H13"/>
    <mergeCell ref="F12:H12"/>
    <mergeCell ref="F11:H1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ODONTOL CON INCREMENTO DE CANTI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dcterms:created xsi:type="dcterms:W3CDTF">2021-11-12T17:27:33Z</dcterms:created>
  <dcterms:modified xsi:type="dcterms:W3CDTF">2022-09-01T11:52:33Z</dcterms:modified>
</cp:coreProperties>
</file>