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ICITACION6\Users\Public\backup_licitacion\PROGRAMACION TERCER TRIMESTRE 2021\FARMACIA\DESIERTOS Y FRACASADOS COVID\"/>
    </mc:Choice>
  </mc:AlternateContent>
  <bookViews>
    <workbookView xWindow="0" yWindow="0" windowWidth="20460" windowHeight="7620" tabRatio="500"/>
  </bookViews>
  <sheets>
    <sheet name="Necesidades Trimestrales" sheetId="1" r:id="rId1"/>
    <sheet name="NotaPedido" sheetId="2" r:id="rId2"/>
    <sheet name="Autor Gastar" sheetId="3" r:id="rId3"/>
  </sheets>
  <definedNames>
    <definedName name="_xlnm.Print_Area" localSheetId="2">'Autor Gastar'!$A$1:$Q$27</definedName>
    <definedName name="_xlnm.Print_Area" localSheetId="1">NotaPedido!$A$1:$K$21</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3" i="2" l="1"/>
  <c r="K14" i="2"/>
  <c r="K15" i="2"/>
  <c r="K16" i="2"/>
  <c r="K17" i="2"/>
  <c r="K18" i="2"/>
  <c r="K19" i="2"/>
  <c r="K20" i="2"/>
  <c r="J13" i="2"/>
  <c r="J14" i="2"/>
  <c r="J15" i="2"/>
  <c r="J16" i="2"/>
  <c r="J17" i="2"/>
  <c r="J18" i="2"/>
  <c r="J19" i="2"/>
  <c r="J20" i="2"/>
  <c r="I13" i="2"/>
  <c r="I14" i="2"/>
  <c r="I15" i="2"/>
  <c r="I16" i="2"/>
  <c r="I17" i="2"/>
  <c r="I18" i="2"/>
  <c r="I19" i="2"/>
  <c r="I20" i="2"/>
  <c r="B13" i="2"/>
  <c r="B14" i="2"/>
  <c r="B15" i="2"/>
  <c r="B16" i="2"/>
  <c r="B17" i="2"/>
  <c r="B18" i="2"/>
  <c r="B19" i="2"/>
  <c r="B20" i="2"/>
  <c r="C13" i="2"/>
  <c r="C14" i="2"/>
  <c r="C15" i="2"/>
  <c r="C16" i="2"/>
  <c r="C17" i="2"/>
  <c r="C18" i="2"/>
  <c r="C19" i="2"/>
  <c r="C20" i="2"/>
  <c r="I10" i="1"/>
  <c r="I12" i="1"/>
  <c r="I14" i="1"/>
  <c r="I15" i="1"/>
  <c r="I18" i="1"/>
  <c r="I16" i="1" l="1"/>
  <c r="I17" i="1"/>
  <c r="J12" i="2" l="1"/>
  <c r="K12" i="2"/>
  <c r="J21" i="2" l="1"/>
  <c r="I12" i="2"/>
  <c r="B12" i="2"/>
  <c r="C12" i="2"/>
  <c r="A26" i="3" l="1"/>
  <c r="A10" i="3"/>
  <c r="I13" i="1"/>
  <c r="I11" i="1"/>
  <c r="I19" i="1" l="1"/>
  <c r="Q15" i="3" s="1"/>
  <c r="G6" i="3"/>
  <c r="G7" i="3"/>
  <c r="D7" i="2"/>
  <c r="D3" i="2"/>
  <c r="G4" i="3" s="1"/>
  <c r="D4" i="2"/>
  <c r="G5" i="3" s="1"/>
  <c r="D1" i="3" l="1"/>
  <c r="Q23" i="3"/>
</calcChain>
</file>

<file path=xl/sharedStrings.xml><?xml version="1.0" encoding="utf-8"?>
<sst xmlns="http://schemas.openxmlformats.org/spreadsheetml/2006/main" count="121" uniqueCount="85">
  <si>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</si>
  <si>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</si>
  <si>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</si>
  <si>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</si>
  <si>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</si>
  <si>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</si>
  <si>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</si>
  <si>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</si>
  <si>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</si>
  <si>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</si>
  <si>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</si>
  <si>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</si>
  <si>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</si>
  <si>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</si>
  <si>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</si>
  <si>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</si>
  <si>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</si>
  <si>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</si>
  <si>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</si>
  <si>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</si>
  <si>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</si>
  <si>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</si>
  <si>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</si>
  <si>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</si>
  <si>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</si>
  <si>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</si>
  <si>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</si>
  <si>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</si>
  <si>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</si>
  <si>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</si>
  <si>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</si>
  <si>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</si>
  <si>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</si>
  <si>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</si>
  <si>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</si>
  <si>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</si>
  <si>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</si>
  <si>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</si>
  <si>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</si>
  <si>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</si>
  <si>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</si>
  <si>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</si>
  <si>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</si>
  <si>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</si>
  <si>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</si>
  <si>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</si>
  <si>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</si>
  <si>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</si>
  <si>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</si>
  <si>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</si>
  <si>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</si>
  <si>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</si>
  <si>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</si>
  <si>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</si>
  <si>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</si>
  <si>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</si>
  <si>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</si>
  <si>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</si>
  <si>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</si>
  <si>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</si>
  <si>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Servicio de Farmacia</t>
  </si>
  <si>
    <t xml:space="preserve">45 dias habiles </t>
  </si>
  <si>
    <t>3.1</t>
  </si>
  <si>
    <t>1.1</t>
  </si>
  <si>
    <t>Utiles Menores Med. Quir. y de Lab.</t>
  </si>
  <si>
    <t>CANULA PARA TRAQUEOSTOMIA Nº 7 1/2</t>
  </si>
  <si>
    <t>CIRCUITO RESPIRADOR CON TRAMPA DE AGUA AUTOCLAVABLE ADULTO</t>
  </si>
  <si>
    <t xml:space="preserve">FILTRO HME ADULTO HIGROBAC INTERCAMBIADOR CALOR/HUMEDAD </t>
  </si>
  <si>
    <t>MASCARA PERFOMAX TOTAL FACE  TALLE G PARA VNI</t>
  </si>
  <si>
    <t>MASCARA PERFOMAX TOTAL FACE  TALLE XG PARA VNI</t>
  </si>
  <si>
    <t xml:space="preserve">UNIDAD </t>
  </si>
  <si>
    <t>2.9.5</t>
  </si>
  <si>
    <t>Utiles Menores Med. Quirurg.y de Labor.</t>
  </si>
  <si>
    <t>La totalidad de los insumos debera tener un vencimiento minimo de 12 meses.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</si>
  <si>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 xml:space="preserve">Adquisición de Descartables COVID para Farmacia </t>
  </si>
  <si>
    <t>20 dias corridos - Servicio de Farmacia del HISJB - Avda Illia y Mariano Moreno</t>
  </si>
  <si>
    <t>082 - 2021</t>
  </si>
  <si>
    <t>BARBIJOS DE ALTA EFICIENCIA TIPO N95</t>
  </si>
  <si>
    <t>UNIDAD</t>
  </si>
  <si>
    <t>CIRCUITO CERRADO P/ASPIRACION 16 FR</t>
  </si>
  <si>
    <t>FILTRO HME BACTERIAL VIRAL PARA CIRCUITO RESPIRADOR</t>
  </si>
  <si>
    <t>SONDA PARA MUESTRA DE SECRECION TRAQUEAL B-2941 TIPO TUBO DE LUKEN</t>
  </si>
  <si>
    <t>TOTAL DE PESOS: VEINTITRES MILLONES CIENTO CUARENTA Y SIETE MIL TRESCIENTOS CINCUENTA Y DOS CON 00/100.-</t>
  </si>
  <si>
    <t>Costo total estimado: VEINTITRES MILLONES CIENTO CUARENTA Y SIETE MIL TRESCIENTOS CINCUENTA Y DOS CON 00/100.-</t>
  </si>
  <si>
    <t>Especificidades Item N° 1 al 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</si>
</sst>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 #,##0.00_-;_-* &quot;-&quot;??_-;_-@_-"/>
    <numFmt numFmtId="164" formatCode="_(\$* #,##0.00_);_(\$* \(#,##0.00\);_(\$* \-??_);_(@_)"/>
    <numFmt numFmtId="165" formatCode="_-* #,##0.00&quot; €&quot;_-;\-* #,##0.00&quot; €&quot;_-;_-* \-??&quot; €&quot;_-;_-@_-"/>
    <numFmt numFmtId="166" formatCode="[$$-2C0A]\ #,##0.00;[$$-2C0A]&quot; -&quot;#,##0.00"/>
    <numFmt numFmtId="167" formatCode="[$$-2C0A]\ #,##0.00"/>
    <numFmt numFmtId="168" formatCode="dd\-mm\-yy;@"/>
    <numFmt numFmtId="169" formatCode="_-* #,##0_-;\-* #,##0_-;_-* &quot;-&quot;??_-;_-@_-"/>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font>
    <font>
      <sz val="10"/>
      <color theme="1"/>
      <name val="Arial"/>
      <family val="2"/>
    </font>
    <font>
      <sz val="10"/>
      <name val="Arial"/>
      <family val="2"/>
    </font>
    <font>
      <b/>
      <sz val="8"/>
      <name val="Arial"/>
      <family val="2"/>
      <charset val="1"/>
    </font>
    <font>
      <sz val="9"/>
      <color rgb="FF000000"/>
      <name val="Arial"/>
      <family val="2"/>
    </font>
    <font>
      <sz val="10"/>
      <color rgb="FF000000"/>
      <name val="Arial"/>
      <family val="2"/>
    </font>
  </fonts>
  <fills count="10">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theme="4" tint="0.39997558519241921"/>
        <bgColor indexed="64"/>
      </patternFill>
    </fill>
    <fill>
      <patternFill patternType="solid">
        <fgColor theme="0"/>
        <bgColor rgb="FFFFC000"/>
      </patternFill>
    </fill>
    <fill>
      <patternFill patternType="solid">
        <fgColor theme="0"/>
        <bgColor rgb="FFE5B8B7"/>
      </patternFill>
    </fill>
    <fill>
      <patternFill patternType="solid">
        <fgColor theme="0"/>
        <bgColor theme="0" tint="-0.14999847407452621"/>
      </patternFill>
    </fill>
  </fills>
  <borders count="50">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hair">
        <color auto="1"/>
      </left>
      <right style="hair">
        <color auto="1"/>
      </right>
      <top style="medium">
        <color auto="1"/>
      </top>
      <bottom style="hair">
        <color auto="1"/>
      </bottom>
      <diagonal/>
    </border>
    <border>
      <left style="hair">
        <color auto="1"/>
      </left>
      <right style="hair">
        <color auto="1"/>
      </right>
      <top style="hair">
        <color auto="1"/>
      </top>
      <bottom style="hair">
        <color auto="1"/>
      </bottom>
      <diagonal/>
    </border>
  </borders>
  <cellStyleXfs count="6">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43" fontId="26" fillId="0" borderId="0" applyFont="0" applyFill="0" applyBorder="0" applyAlignment="0" applyProtection="0"/>
  </cellStyleXfs>
  <cellXfs count="144">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19" xfId="0" applyFont="1" applyBorder="1" applyAlignment="1">
      <alignment horizontal="center"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3" fillId="4" borderId="0" xfId="0" applyFont="1" applyFill="1" applyAlignment="1">
      <alignment horizontal="left" wrapText="1" indent="1"/>
    </xf>
    <xf numFmtId="0" fontId="19" fillId="5" borderId="0" xfId="0" applyFont="1" applyFill="1" applyAlignment="1">
      <alignment horizontal="left" wrapText="1"/>
    </xf>
    <xf numFmtId="0" fontId="4" fillId="5" borderId="19" xfId="0" applyFont="1" applyFill="1" applyBorder="1" applyAlignment="1">
      <alignment horizontal="left"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wrapText="1"/>
    </xf>
    <xf numFmtId="166" fontId="4" fillId="5" borderId="19" xfId="1" applyNumberFormat="1" applyFont="1" applyFill="1" applyBorder="1" applyAlignment="1" applyProtection="1">
      <alignment horizontal="right" vertical="center" wrapText="1"/>
    </xf>
    <xf numFmtId="3" fontId="4" fillId="5" borderId="19" xfId="0" applyNumberFormat="1" applyFont="1" applyFill="1" applyBorder="1" applyAlignment="1">
      <alignment horizontal="center" vertical="center"/>
    </xf>
    <xf numFmtId="0" fontId="14" fillId="0" borderId="36" xfId="0" applyFont="1" applyBorder="1" applyAlignment="1">
      <alignment horizontal="center" vertical="center"/>
    </xf>
    <xf numFmtId="0" fontId="14" fillId="0" borderId="38" xfId="0" applyFont="1" applyBorder="1" applyAlignment="1">
      <alignment horizontal="center" vertical="center"/>
    </xf>
    <xf numFmtId="166" fontId="0" fillId="0" borderId="0" xfId="0" applyNumberFormat="1"/>
    <xf numFmtId="0" fontId="20" fillId="5" borderId="14" xfId="0" applyFont="1" applyFill="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0" fontId="14" fillId="0" borderId="32" xfId="0" applyFont="1" applyBorder="1" applyAlignment="1">
      <alignment horizontal="center" vertical="center"/>
    </xf>
    <xf numFmtId="0" fontId="0" fillId="0" borderId="33" xfId="0" applyFont="1" applyBorder="1" applyAlignment="1">
      <alignment horizontal="center" vertical="center"/>
    </xf>
    <xf numFmtId="166" fontId="15" fillId="0" borderId="0" xfId="0" applyNumberFormat="1" applyFont="1"/>
    <xf numFmtId="0" fontId="20" fillId="5" borderId="48" xfId="0" applyFont="1" applyFill="1" applyBorder="1" applyAlignment="1">
      <alignment horizontal="center" vertical="center"/>
    </xf>
    <xf numFmtId="0" fontId="20" fillId="5" borderId="49" xfId="0" applyFont="1" applyFill="1" applyBorder="1" applyAlignment="1">
      <alignment horizontal="center" vertical="center"/>
    </xf>
    <xf numFmtId="0" fontId="22" fillId="6" borderId="2" xfId="0" applyFont="1" applyFill="1" applyBorder="1"/>
    <xf numFmtId="0" fontId="15" fillId="6" borderId="3" xfId="0" applyFont="1" applyFill="1" applyBorder="1"/>
    <xf numFmtId="0" fontId="21" fillId="4" borderId="14" xfId="0" applyFont="1" applyFill="1" applyBorder="1" applyAlignment="1">
      <alignment horizontal="center" vertical="center" wrapText="1"/>
    </xf>
    <xf numFmtId="0" fontId="21" fillId="5" borderId="14" xfId="0" applyFont="1" applyFill="1" applyBorder="1" applyAlignment="1">
      <alignment horizontal="left" vertical="center" wrapText="1"/>
    </xf>
    <xf numFmtId="0" fontId="21" fillId="5" borderId="14" xfId="0" applyFont="1" applyFill="1" applyBorder="1" applyAlignment="1">
      <alignment horizontal="center" vertical="center" wrapText="1"/>
    </xf>
    <xf numFmtId="0" fontId="25" fillId="7" borderId="14" xfId="0" applyFont="1" applyFill="1" applyBorder="1" applyAlignment="1">
      <alignment vertical="center"/>
    </xf>
    <xf numFmtId="166" fontId="20" fillId="4" borderId="14" xfId="1" applyNumberFormat="1" applyFont="1" applyFill="1" applyBorder="1" applyAlignment="1" applyProtection="1">
      <alignment horizontal="center" vertical="center" wrapText="1"/>
    </xf>
    <xf numFmtId="166" fontId="20" fillId="4" borderId="14" xfId="1" applyNumberFormat="1" applyFont="1" applyFill="1" applyBorder="1" applyAlignment="1" applyProtection="1">
      <alignment horizontal="right" vertical="center" wrapText="1"/>
    </xf>
    <xf numFmtId="0" fontId="25" fillId="8" borderId="14" xfId="0" applyFont="1" applyFill="1" applyBorder="1" applyAlignment="1">
      <alignment vertical="center"/>
    </xf>
    <xf numFmtId="0" fontId="25" fillId="7" borderId="14" xfId="0" applyFont="1" applyFill="1" applyBorder="1" applyAlignment="1">
      <alignment vertical="center" wrapText="1"/>
    </xf>
    <xf numFmtId="0" fontId="15" fillId="5" borderId="0" xfId="0" applyFont="1" applyFill="1"/>
    <xf numFmtId="0" fontId="6" fillId="4" borderId="11" xfId="0" applyFont="1" applyFill="1" applyBorder="1" applyAlignment="1">
      <alignment horizontal="center" vertical="center"/>
    </xf>
    <xf numFmtId="166" fontId="0" fillId="5" borderId="34" xfId="3" applyNumberFormat="1" applyFont="1" applyFill="1" applyBorder="1" applyAlignment="1" applyProtection="1">
      <alignment horizontal="center" vertical="center"/>
    </xf>
    <xf numFmtId="166" fontId="13" fillId="5" borderId="44" xfId="0" applyNumberFormat="1" applyFont="1" applyFill="1" applyBorder="1" applyAlignment="1">
      <alignment horizontal="center" vertical="center"/>
    </xf>
    <xf numFmtId="169" fontId="25" fillId="5" borderId="14" xfId="5" applyNumberFormat="1" applyFont="1" applyFill="1" applyBorder="1" applyAlignment="1">
      <alignment vertical="center"/>
    </xf>
    <xf numFmtId="169" fontId="25" fillId="9" borderId="14" xfId="5" applyNumberFormat="1" applyFont="1" applyFill="1" applyBorder="1" applyAlignment="1">
      <alignment vertical="center"/>
    </xf>
    <xf numFmtId="0" fontId="25" fillId="5" borderId="14" xfId="0" applyFont="1" applyFill="1" applyBorder="1" applyAlignment="1">
      <alignment horizontal="left" vertical="center"/>
    </xf>
    <xf numFmtId="0" fontId="28" fillId="4" borderId="14" xfId="0" applyFont="1" applyFill="1" applyBorder="1" applyAlignment="1">
      <alignment horizontal="center" vertical="center" wrapText="1"/>
    </xf>
    <xf numFmtId="0" fontId="25" fillId="5" borderId="14" xfId="0" applyFont="1" applyFill="1" applyBorder="1" applyAlignment="1">
      <alignment vertical="center"/>
    </xf>
    <xf numFmtId="0" fontId="29" fillId="5" borderId="14" xfId="0" applyFont="1" applyFill="1" applyBorder="1" applyAlignment="1">
      <alignment vertical="center" wrapText="1"/>
    </xf>
    <xf numFmtId="169" fontId="15" fillId="0" borderId="0" xfId="5" applyNumberFormat="1" applyFont="1" applyAlignment="1">
      <alignment vertical="center"/>
    </xf>
    <xf numFmtId="169" fontId="18" fillId="0" borderId="0" xfId="5" applyNumberFormat="1" applyFont="1" applyAlignment="1">
      <alignment vertical="center" wrapText="1"/>
    </xf>
    <xf numFmtId="169" fontId="19" fillId="0" borderId="14" xfId="5" applyNumberFormat="1" applyFont="1" applyBorder="1" applyAlignment="1">
      <alignment vertical="center" wrapText="1"/>
    </xf>
    <xf numFmtId="0" fontId="15" fillId="3" borderId="6" xfId="0" applyFont="1" applyFill="1" applyBorder="1" applyAlignment="1">
      <alignment horizontal="center" wrapText="1"/>
    </xf>
    <xf numFmtId="0" fontId="15" fillId="4" borderId="6" xfId="0" applyFont="1" applyFill="1" applyBorder="1" applyAlignment="1">
      <alignment horizontal="left" wrapText="1"/>
    </xf>
    <xf numFmtId="0" fontId="15" fillId="3" borderId="6" xfId="0" applyFont="1" applyFill="1" applyBorder="1" applyAlignment="1">
      <alignment horizontal="center"/>
    </xf>
    <xf numFmtId="0" fontId="17" fillId="0" borderId="0" xfId="0" applyFont="1" applyBorder="1" applyAlignment="1">
      <alignment horizontal="left" vertical="center" wrapText="1"/>
    </xf>
    <xf numFmtId="0" fontId="15" fillId="4" borderId="6" xfId="0" applyFont="1" applyFill="1" applyBorder="1" applyAlignment="1">
      <alignment horizontal="left" vertical="center"/>
    </xf>
    <xf numFmtId="0" fontId="15" fillId="4" borderId="6" xfId="0" applyFont="1" applyFill="1" applyBorder="1" applyAlignment="1">
      <alignment horizontal="center"/>
    </xf>
    <xf numFmtId="0" fontId="15" fillId="3" borderId="14"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6" fillId="0" borderId="0" xfId="0" applyFont="1" applyBorder="1" applyAlignment="1">
      <alignment horizontal="center"/>
    </xf>
    <xf numFmtId="0" fontId="23" fillId="4" borderId="0" xfId="0" applyFont="1" applyFill="1" applyBorder="1" applyAlignment="1">
      <alignment horizontal="left" wrapText="1" indent="1"/>
    </xf>
    <xf numFmtId="0" fontId="4" fillId="5" borderId="19" xfId="0" applyFont="1" applyFill="1" applyBorder="1" applyAlignment="1">
      <alignment horizontal="left" vertical="center" wrapText="1"/>
    </xf>
    <xf numFmtId="0" fontId="6"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5"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Font="1" applyBorder="1" applyAlignment="1">
      <alignment horizontal="left" vertical="center"/>
    </xf>
    <xf numFmtId="0" fontId="0" fillId="0" borderId="38" xfId="0" applyBorder="1" applyAlignment="1">
      <alignment horizontal="left" vertical="center"/>
    </xf>
    <xf numFmtId="0" fontId="0" fillId="0" borderId="41" xfId="0" applyBorder="1" applyAlignment="1">
      <alignment horizontal="left" vertical="center"/>
    </xf>
    <xf numFmtId="0" fontId="27" fillId="5" borderId="44" xfId="0" applyFont="1" applyFill="1" applyBorder="1" applyAlignment="1">
      <alignment horizontal="left" vertical="center" wrapText="1"/>
    </xf>
    <xf numFmtId="0" fontId="0" fillId="0" borderId="22" xfId="0" applyBorder="1"/>
    <xf numFmtId="0" fontId="24" fillId="0" borderId="32" xfId="0" applyFont="1" applyBorder="1" applyAlignment="1">
      <alignment horizontal="left" vertical="center"/>
    </xf>
    <xf numFmtId="0" fontId="24" fillId="0" borderId="38" xfId="0" applyFont="1" applyBorder="1" applyAlignment="1">
      <alignment horizontal="left" vertical="center"/>
    </xf>
    <xf numFmtId="0" fontId="14" fillId="0" borderId="38" xfId="0" applyFont="1" applyBorder="1" applyAlignment="1">
      <alignment horizontal="left" vertical="center"/>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1" fillId="0" borderId="11" xfId="0" applyFont="1" applyBorder="1" applyAlignment="1">
      <alignment horizontal="left" indent="1"/>
    </xf>
    <xf numFmtId="0" fontId="12" fillId="0" borderId="11" xfId="0" applyFont="1" applyBorder="1" applyAlignment="1">
      <alignment horizontal="left"/>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cellXfs>
  <cellStyles count="6">
    <cellStyle name="Encabezado 1" xfId="2"/>
    <cellStyle name="Millares" xfId="5" builtinId="3"/>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7"/>
  <sheetViews>
    <sheetView tabSelected="1" topLeftCell="A17" zoomScale="85" zoomScaleNormal="85" workbookViewId="0">
      <selection activeCell="I27" sqref="I27"/>
    </sheetView>
  </sheetViews>
  <sheetFormatPr baseColWidth="10" defaultColWidth="11" defaultRowHeight="12.75" x14ac:dyDescent="0.2"/>
  <cols>
    <col min="1" max="1" width="4.5703125" style="37" customWidth="1"/>
    <col min="2" max="2" width="12.85546875" style="37" customWidth="1"/>
    <col min="3" max="3" width="32.42578125" style="37" customWidth="1"/>
    <col min="4" max="4" width="8.42578125" style="37" customWidth="1"/>
    <col min="5" max="5" width="79" style="37" customWidth="1"/>
    <col min="6" max="6" width="11" style="37"/>
    <col min="7" max="7" width="12.7109375" style="91" customWidth="1"/>
    <col min="8" max="8" width="13.85546875" style="37" customWidth="1"/>
    <col min="9" max="9" width="18.5703125" style="37" customWidth="1"/>
    <col min="10" max="10" width="15.85546875" style="37" customWidth="1"/>
    <col min="11" max="16384" width="11" style="37"/>
  </cols>
  <sheetData>
    <row r="2" spans="1:12" ht="27" x14ac:dyDescent="0.35">
      <c r="B2" s="102" t="s">
        <v>0</v>
      </c>
      <c r="C2" s="102"/>
      <c r="D2" s="102"/>
      <c r="E2" s="102"/>
      <c r="F2" s="102"/>
      <c r="G2" s="102"/>
      <c r="H2" s="102"/>
    </row>
    <row r="4" spans="1:12" ht="18" customHeight="1" x14ac:dyDescent="0.25">
      <c r="A4" s="97" t="s">
        <v>1</v>
      </c>
      <c r="B4" s="97"/>
      <c r="C4" s="103" t="s">
        <v>57</v>
      </c>
      <c r="D4" s="103"/>
      <c r="E4" s="103"/>
      <c r="F4" s="38"/>
      <c r="G4" s="92"/>
      <c r="H4" s="38"/>
    </row>
    <row r="5" spans="1:12" ht="18" customHeight="1" x14ac:dyDescent="0.25">
      <c r="A5" s="97" t="s">
        <v>2</v>
      </c>
      <c r="B5" s="97"/>
      <c r="C5" s="103" t="s">
        <v>58</v>
      </c>
      <c r="D5" s="103"/>
      <c r="E5" s="103"/>
      <c r="F5" s="38"/>
      <c r="G5" s="92"/>
      <c r="H5" s="38"/>
    </row>
    <row r="6" spans="1:12" ht="16.5" customHeight="1" x14ac:dyDescent="0.25">
      <c r="A6" s="97" t="s">
        <v>3</v>
      </c>
      <c r="B6" s="97"/>
      <c r="C6" s="53">
        <v>2021</v>
      </c>
      <c r="D6" s="54"/>
      <c r="E6" s="54"/>
      <c r="F6" s="38"/>
      <c r="G6" s="92"/>
      <c r="H6" s="38"/>
    </row>
    <row r="7" spans="1:12" ht="16.5" customHeight="1" x14ac:dyDescent="0.25">
      <c r="A7" s="97" t="s">
        <v>4</v>
      </c>
      <c r="B7" s="97"/>
      <c r="C7" s="53">
        <v>3</v>
      </c>
      <c r="D7" s="54"/>
      <c r="E7" s="54"/>
      <c r="F7" s="38"/>
      <c r="G7" s="92"/>
      <c r="H7" s="38"/>
    </row>
    <row r="8" spans="1:12" ht="13.5" thickBot="1" x14ac:dyDescent="0.25">
      <c r="B8" s="38"/>
      <c r="C8" s="39"/>
      <c r="D8" s="38"/>
      <c r="E8" s="38"/>
      <c r="F8" s="38"/>
      <c r="G8" s="92"/>
      <c r="H8" s="38"/>
    </row>
    <row r="9" spans="1:12" ht="39" thickBot="1" x14ac:dyDescent="0.25">
      <c r="A9" s="52" t="s">
        <v>5</v>
      </c>
      <c r="B9" s="52" t="s">
        <v>6</v>
      </c>
      <c r="C9" s="52" t="s">
        <v>7</v>
      </c>
      <c r="D9" s="52" t="s">
        <v>8</v>
      </c>
      <c r="E9" s="52" t="s">
        <v>9</v>
      </c>
      <c r="F9" s="52" t="s">
        <v>10</v>
      </c>
      <c r="G9" s="93" t="s">
        <v>11</v>
      </c>
      <c r="H9" s="52" t="s">
        <v>12</v>
      </c>
      <c r="I9" s="52" t="s">
        <v>13</v>
      </c>
    </row>
    <row r="10" spans="1:12" ht="31.9" customHeight="1" thickBot="1" x14ac:dyDescent="0.25">
      <c r="A10" s="63">
        <v>1</v>
      </c>
      <c r="B10" s="73"/>
      <c r="C10" s="74" t="s">
        <v>72</v>
      </c>
      <c r="D10" s="75" t="s">
        <v>71</v>
      </c>
      <c r="E10" s="87" t="s">
        <v>77</v>
      </c>
      <c r="F10" s="88" t="s">
        <v>78</v>
      </c>
      <c r="G10" s="89">
        <v>6000</v>
      </c>
      <c r="H10" s="77">
        <v>69.900000000000006</v>
      </c>
      <c r="I10" s="78">
        <f t="shared" ref="I10:I18" si="0">G10*H10</f>
        <v>419400.00000000006</v>
      </c>
    </row>
    <row r="11" spans="1:12" ht="31.9" customHeight="1" thickBot="1" x14ac:dyDescent="0.25">
      <c r="A11" s="63">
        <v>2</v>
      </c>
      <c r="B11" s="73"/>
      <c r="C11" s="74" t="s">
        <v>72</v>
      </c>
      <c r="D11" s="75" t="s">
        <v>71</v>
      </c>
      <c r="E11" s="76" t="s">
        <v>65</v>
      </c>
      <c r="F11" s="73" t="s">
        <v>70</v>
      </c>
      <c r="G11" s="85">
        <v>80</v>
      </c>
      <c r="H11" s="77">
        <v>589.4</v>
      </c>
      <c r="I11" s="78">
        <f t="shared" si="0"/>
        <v>47152</v>
      </c>
      <c r="J11" s="81"/>
      <c r="K11" s="81"/>
      <c r="L11" s="81"/>
    </row>
    <row r="12" spans="1:12" ht="31.9" customHeight="1" thickBot="1" x14ac:dyDescent="0.25">
      <c r="A12" s="63">
        <v>3</v>
      </c>
      <c r="B12" s="73"/>
      <c r="C12" s="74" t="s">
        <v>72</v>
      </c>
      <c r="D12" s="75" t="s">
        <v>71</v>
      </c>
      <c r="E12" s="90" t="s">
        <v>79</v>
      </c>
      <c r="F12" s="88" t="s">
        <v>78</v>
      </c>
      <c r="G12" s="89">
        <v>5600</v>
      </c>
      <c r="H12" s="77">
        <v>1200</v>
      </c>
      <c r="I12" s="78">
        <f t="shared" si="0"/>
        <v>6720000</v>
      </c>
      <c r="J12" s="81"/>
      <c r="K12" s="81"/>
      <c r="L12" s="81"/>
    </row>
    <row r="13" spans="1:12" ht="31.9" customHeight="1" thickBot="1" x14ac:dyDescent="0.25">
      <c r="A13" s="63">
        <v>4</v>
      </c>
      <c r="B13" s="73"/>
      <c r="C13" s="74" t="s">
        <v>72</v>
      </c>
      <c r="D13" s="75" t="s">
        <v>71</v>
      </c>
      <c r="E13" s="76" t="s">
        <v>66</v>
      </c>
      <c r="F13" s="73" t="s">
        <v>70</v>
      </c>
      <c r="G13" s="85">
        <v>600</v>
      </c>
      <c r="H13" s="77">
        <v>16100</v>
      </c>
      <c r="I13" s="78">
        <f t="shared" si="0"/>
        <v>9660000</v>
      </c>
      <c r="J13" s="81"/>
      <c r="K13" s="81"/>
      <c r="L13" s="81"/>
    </row>
    <row r="14" spans="1:12" ht="31.9" customHeight="1" thickBot="1" x14ac:dyDescent="0.25">
      <c r="A14" s="63">
        <v>5</v>
      </c>
      <c r="B14" s="73"/>
      <c r="C14" s="74" t="s">
        <v>72</v>
      </c>
      <c r="D14" s="75" t="s">
        <v>71</v>
      </c>
      <c r="E14" s="79" t="s">
        <v>67</v>
      </c>
      <c r="F14" s="73" t="s">
        <v>70</v>
      </c>
      <c r="G14" s="86">
        <v>6000</v>
      </c>
      <c r="H14" s="77">
        <v>180</v>
      </c>
      <c r="I14" s="78">
        <f t="shared" si="0"/>
        <v>1080000</v>
      </c>
      <c r="J14" s="81"/>
      <c r="K14" s="81"/>
      <c r="L14" s="81"/>
    </row>
    <row r="15" spans="1:12" ht="31.9" customHeight="1" thickBot="1" x14ac:dyDescent="0.25">
      <c r="A15" s="63">
        <v>6</v>
      </c>
      <c r="B15" s="73"/>
      <c r="C15" s="74" t="s">
        <v>72</v>
      </c>
      <c r="D15" s="75" t="s">
        <v>71</v>
      </c>
      <c r="E15" s="90" t="s">
        <v>80</v>
      </c>
      <c r="F15" s="88" t="s">
        <v>78</v>
      </c>
      <c r="G15" s="89">
        <v>3000</v>
      </c>
      <c r="H15" s="77">
        <v>160</v>
      </c>
      <c r="I15" s="78">
        <f t="shared" si="0"/>
        <v>480000</v>
      </c>
      <c r="J15" s="81"/>
      <c r="K15" s="81"/>
      <c r="L15" s="81"/>
    </row>
    <row r="16" spans="1:12" ht="31.9" customHeight="1" thickBot="1" x14ac:dyDescent="0.25">
      <c r="A16" s="63">
        <v>7</v>
      </c>
      <c r="B16" s="73"/>
      <c r="C16" s="74" t="s">
        <v>72</v>
      </c>
      <c r="D16" s="75" t="s">
        <v>71</v>
      </c>
      <c r="E16" s="80" t="s">
        <v>68</v>
      </c>
      <c r="F16" s="73" t="s">
        <v>70</v>
      </c>
      <c r="G16" s="85">
        <v>40</v>
      </c>
      <c r="H16" s="77">
        <v>29900</v>
      </c>
      <c r="I16" s="78">
        <f t="shared" si="0"/>
        <v>1196000</v>
      </c>
      <c r="J16" s="81"/>
      <c r="K16" s="81"/>
      <c r="L16" s="81"/>
    </row>
    <row r="17" spans="1:9" ht="31.9" customHeight="1" thickBot="1" x14ac:dyDescent="0.25">
      <c r="A17" s="63">
        <v>8</v>
      </c>
      <c r="B17" s="73"/>
      <c r="C17" s="74" t="s">
        <v>72</v>
      </c>
      <c r="D17" s="75" t="s">
        <v>71</v>
      </c>
      <c r="E17" s="80" t="s">
        <v>69</v>
      </c>
      <c r="F17" s="73" t="s">
        <v>70</v>
      </c>
      <c r="G17" s="86">
        <v>40</v>
      </c>
      <c r="H17" s="77">
        <v>29900</v>
      </c>
      <c r="I17" s="78">
        <f t="shared" si="0"/>
        <v>1196000</v>
      </c>
    </row>
    <row r="18" spans="1:9" ht="31.9" customHeight="1" thickBot="1" x14ac:dyDescent="0.25">
      <c r="A18" s="63">
        <v>9</v>
      </c>
      <c r="B18" s="73"/>
      <c r="C18" s="74" t="s">
        <v>72</v>
      </c>
      <c r="D18" s="75" t="s">
        <v>71</v>
      </c>
      <c r="E18" s="80" t="s">
        <v>81</v>
      </c>
      <c r="F18" s="73" t="s">
        <v>70</v>
      </c>
      <c r="G18" s="86">
        <v>3200</v>
      </c>
      <c r="H18" s="77">
        <v>734</v>
      </c>
      <c r="I18" s="78">
        <f t="shared" si="0"/>
        <v>2348800</v>
      </c>
    </row>
    <row r="19" spans="1:9" ht="13.5" thickBot="1" x14ac:dyDescent="0.25">
      <c r="A19" s="69"/>
      <c r="I19" s="68">
        <f>SUM(I10:I18)</f>
        <v>23147352</v>
      </c>
    </row>
    <row r="20" spans="1:9" ht="83.25" customHeight="1" thickBot="1" x14ac:dyDescent="0.25">
      <c r="A20" s="70"/>
      <c r="C20" s="100" t="s">
        <v>73</v>
      </c>
      <c r="D20" s="101"/>
      <c r="E20" s="101"/>
    </row>
    <row r="23" spans="1:9" ht="13.5" thickBot="1" x14ac:dyDescent="0.25"/>
    <row r="24" spans="1:9" x14ac:dyDescent="0.2">
      <c r="B24" s="71" t="s">
        <v>84</v>
      </c>
      <c r="C24" s="72"/>
      <c r="D24" s="40"/>
      <c r="E24" s="41"/>
    </row>
    <row r="25" spans="1:9" ht="5.25" customHeight="1" x14ac:dyDescent="0.2">
      <c r="B25" s="42"/>
      <c r="C25" s="43"/>
      <c r="D25" s="43"/>
      <c r="E25" s="44"/>
    </row>
    <row r="26" spans="1:9" x14ac:dyDescent="0.2">
      <c r="B26" s="45" t="s">
        <v>14</v>
      </c>
      <c r="C26" s="43"/>
      <c r="D26" s="43"/>
      <c r="E26" s="44"/>
    </row>
    <row r="27" spans="1:9" ht="41.25" customHeight="1" x14ac:dyDescent="0.2">
      <c r="B27" s="45"/>
      <c r="C27" s="94"/>
      <c r="D27" s="94"/>
      <c r="E27" s="94"/>
    </row>
    <row r="28" spans="1:9" x14ac:dyDescent="0.2">
      <c r="B28" s="45" t="s">
        <v>15</v>
      </c>
      <c r="C28" s="43"/>
      <c r="D28" s="43"/>
      <c r="E28" s="44"/>
    </row>
    <row r="29" spans="1:9" ht="27" customHeight="1" x14ac:dyDescent="0.2">
      <c r="B29" s="46"/>
      <c r="C29" s="98" t="s">
        <v>75</v>
      </c>
      <c r="D29" s="98"/>
      <c r="E29" s="98"/>
    </row>
    <row r="30" spans="1:9" x14ac:dyDescent="0.2">
      <c r="B30" s="46"/>
      <c r="C30" s="99"/>
      <c r="D30" s="99"/>
      <c r="E30" s="99"/>
    </row>
    <row r="31" spans="1:9" x14ac:dyDescent="0.2">
      <c r="B31" s="45" t="s">
        <v>16</v>
      </c>
      <c r="C31" s="43"/>
      <c r="D31" s="43"/>
      <c r="E31" s="44"/>
    </row>
    <row r="32" spans="1:9" ht="26.25" customHeight="1" x14ac:dyDescent="0.2">
      <c r="B32" s="46"/>
      <c r="C32" s="94"/>
      <c r="D32" s="94"/>
      <c r="E32" s="94"/>
    </row>
    <row r="33" spans="2:5" x14ac:dyDescent="0.2">
      <c r="B33" s="45" t="s">
        <v>17</v>
      </c>
      <c r="C33" s="47"/>
      <c r="D33" s="47"/>
      <c r="E33" s="48"/>
    </row>
    <row r="34" spans="2:5" ht="26.25" customHeight="1" x14ac:dyDescent="0.2">
      <c r="B34" s="46"/>
      <c r="C34" s="95" t="s">
        <v>61</v>
      </c>
      <c r="D34" s="95"/>
      <c r="E34" s="95"/>
    </row>
    <row r="35" spans="2:5" x14ac:dyDescent="0.2">
      <c r="B35" s="45" t="s">
        <v>18</v>
      </c>
      <c r="C35" s="43"/>
      <c r="D35" s="43"/>
      <c r="E35" s="44"/>
    </row>
    <row r="36" spans="2:5" ht="23.25" customHeight="1" x14ac:dyDescent="0.2">
      <c r="B36" s="45"/>
      <c r="C36" s="96"/>
      <c r="D36" s="96"/>
      <c r="E36" s="96"/>
    </row>
    <row r="37" spans="2:5" ht="13.5" thickBot="1" x14ac:dyDescent="0.25">
      <c r="B37" s="49"/>
      <c r="C37" s="50"/>
      <c r="D37" s="50"/>
      <c r="E37" s="51"/>
    </row>
  </sheetData>
  <sortState ref="B10:I19">
    <sortCondition ref="E10:E19"/>
  </sortState>
  <mergeCells count="14">
    <mergeCell ref="B2:H2"/>
    <mergeCell ref="A4:B4"/>
    <mergeCell ref="C4:E4"/>
    <mergeCell ref="A5:B5"/>
    <mergeCell ref="C5:E5"/>
    <mergeCell ref="C32:E32"/>
    <mergeCell ref="C34:E34"/>
    <mergeCell ref="C36:E36"/>
    <mergeCell ref="A6:B6"/>
    <mergeCell ref="A7:B7"/>
    <mergeCell ref="C27:E27"/>
    <mergeCell ref="C29:E29"/>
    <mergeCell ref="C30:E30"/>
    <mergeCell ref="C20:E20"/>
  </mergeCells>
  <pageMargins left="0.70866141732283472" right="0.70866141732283472" top="0" bottom="0"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21"/>
  <sheetViews>
    <sheetView zoomScale="70" zoomScaleNormal="70" workbookViewId="0">
      <selection activeCell="F25" sqref="F25"/>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2" t="s">
        <v>19</v>
      </c>
      <c r="B1" s="112"/>
      <c r="C1" s="112"/>
      <c r="D1" s="112"/>
      <c r="E1" s="112"/>
      <c r="F1" s="112"/>
      <c r="G1" s="112"/>
      <c r="H1" s="112"/>
      <c r="I1" s="112"/>
      <c r="J1" s="3" t="s">
        <v>20</v>
      </c>
      <c r="K1" s="82" t="s">
        <v>76</v>
      </c>
    </row>
    <row r="2" spans="1:11" ht="18.75" customHeight="1" thickBot="1" x14ac:dyDescent="0.25">
      <c r="A2" s="4"/>
      <c r="B2" s="4"/>
      <c r="C2" s="4"/>
      <c r="D2" s="5"/>
      <c r="E2" s="5"/>
      <c r="F2" s="5"/>
      <c r="G2" s="5"/>
      <c r="H2" s="5"/>
      <c r="I2" s="5"/>
      <c r="J2" s="5"/>
      <c r="K2" s="5"/>
    </row>
    <row r="3" spans="1:11" ht="18.75" customHeight="1" thickBot="1" x14ac:dyDescent="0.25">
      <c r="A3" s="113" t="s">
        <v>53</v>
      </c>
      <c r="B3" s="113"/>
      <c r="C3" s="113"/>
      <c r="D3" s="114" t="str">
        <f>'Necesidades Trimestrales'!C4</f>
        <v>40 - Ministerio de Salud</v>
      </c>
      <c r="E3" s="114"/>
      <c r="F3" s="114"/>
      <c r="G3" s="114"/>
      <c r="H3" s="114"/>
      <c r="I3" s="114"/>
      <c r="J3" s="114"/>
      <c r="K3" s="114"/>
    </row>
    <row r="4" spans="1:11" ht="18.75" customHeight="1" thickBot="1" x14ac:dyDescent="0.25">
      <c r="A4" s="115" t="s">
        <v>54</v>
      </c>
      <c r="B4" s="115"/>
      <c r="C4" s="115"/>
      <c r="D4" s="114" t="str">
        <f>'Necesidades Trimestrales'!C5</f>
        <v>23 - Hospital Interzonal San Juan Bautista</v>
      </c>
      <c r="E4" s="114"/>
      <c r="F4" s="114"/>
      <c r="G4" s="114"/>
      <c r="H4" s="114"/>
      <c r="I4" s="114"/>
      <c r="J4" s="114"/>
      <c r="K4" s="114"/>
    </row>
    <row r="5" spans="1:11" ht="18.75" customHeight="1" thickBot="1" x14ac:dyDescent="0.25">
      <c r="A5" s="115" t="s">
        <v>32</v>
      </c>
      <c r="B5" s="115"/>
      <c r="C5" s="115"/>
      <c r="D5" s="114" t="s">
        <v>59</v>
      </c>
      <c r="E5" s="114"/>
      <c r="F5" s="114"/>
      <c r="G5" s="114"/>
      <c r="H5" s="114"/>
      <c r="I5" s="114"/>
      <c r="J5" s="114"/>
      <c r="K5" s="114"/>
    </row>
    <row r="6" spans="1:11" ht="16.5" customHeight="1" thickBot="1" x14ac:dyDescent="0.25">
      <c r="A6" s="113" t="s">
        <v>55</v>
      </c>
      <c r="B6" s="113"/>
      <c r="C6" s="113"/>
      <c r="D6" s="114" t="s">
        <v>60</v>
      </c>
      <c r="E6" s="114"/>
      <c r="F6" s="114"/>
      <c r="G6" s="114"/>
      <c r="H6" s="114"/>
      <c r="I6" s="114"/>
      <c r="J6" s="114"/>
      <c r="K6" s="114"/>
    </row>
    <row r="7" spans="1:11" ht="16.5" customHeight="1" x14ac:dyDescent="0.2">
      <c r="A7" s="115" t="s">
        <v>21</v>
      </c>
      <c r="B7" s="115"/>
      <c r="C7" s="115"/>
      <c r="D7" s="114" t="str">
        <f>'Necesidades Trimestrales'!C7 &amp; "° Trimestre - Año " &amp; 'Necesidades Trimestrales'!C6</f>
        <v>3° Trimestre - Año 2021</v>
      </c>
      <c r="E7" s="114"/>
      <c r="F7" s="114"/>
      <c r="G7" s="114"/>
      <c r="H7" s="114"/>
      <c r="I7" s="114"/>
      <c r="J7" s="114"/>
      <c r="K7" s="114"/>
    </row>
    <row r="8" spans="1:11" ht="16.5" customHeight="1" x14ac:dyDescent="0.2">
      <c r="A8" s="107" t="s">
        <v>22</v>
      </c>
      <c r="B8" s="107"/>
      <c r="C8" s="107"/>
      <c r="D8" s="108" t="s">
        <v>74</v>
      </c>
      <c r="E8" s="108"/>
      <c r="F8" s="108"/>
      <c r="G8" s="108"/>
      <c r="H8" s="108"/>
      <c r="I8" s="108"/>
      <c r="J8" s="108"/>
      <c r="K8" s="108"/>
    </row>
    <row r="9" spans="1:11" ht="15.75" x14ac:dyDescent="0.2">
      <c r="A9" s="6"/>
      <c r="B9" s="6"/>
      <c r="C9" s="6"/>
      <c r="D9" s="7"/>
      <c r="E9" s="7"/>
      <c r="F9" s="7"/>
      <c r="G9" s="7"/>
      <c r="H9" s="7"/>
      <c r="I9" s="7"/>
      <c r="J9" s="7"/>
      <c r="K9" s="7"/>
    </row>
    <row r="10" spans="1:11" ht="18.75" customHeight="1" x14ac:dyDescent="0.2">
      <c r="A10" s="109" t="s">
        <v>23</v>
      </c>
      <c r="B10" s="110" t="s">
        <v>24</v>
      </c>
      <c r="C10" s="110" t="s">
        <v>25</v>
      </c>
      <c r="D10" s="110"/>
      <c r="E10" s="110"/>
      <c r="F10" s="110"/>
      <c r="G10" s="110"/>
      <c r="H10" s="110" t="s">
        <v>26</v>
      </c>
      <c r="I10" s="110" t="s">
        <v>27</v>
      </c>
      <c r="J10" s="110" t="s">
        <v>28</v>
      </c>
      <c r="K10" s="111" t="s">
        <v>29</v>
      </c>
    </row>
    <row r="11" spans="1:11" ht="24" customHeight="1" thickBot="1" x14ac:dyDescent="0.25">
      <c r="A11" s="109"/>
      <c r="B11" s="110"/>
      <c r="C11" s="110"/>
      <c r="D11" s="110"/>
      <c r="E11" s="110"/>
      <c r="F11" s="110"/>
      <c r="G11" s="110"/>
      <c r="H11" s="110"/>
      <c r="I11" s="110"/>
      <c r="J11" s="110"/>
      <c r="K11" s="111"/>
    </row>
    <row r="12" spans="1:11" ht="20.25" customHeight="1" thickBot="1" x14ac:dyDescent="0.25">
      <c r="A12" s="8">
        <v>1</v>
      </c>
      <c r="B12" s="55">
        <f>'Necesidades Trimestrales'!B10</f>
        <v>0</v>
      </c>
      <c r="C12" s="104" t="str">
        <f>'Necesidades Trimestrales'!E10</f>
        <v>BARBIJOS DE ALTA EFICIENCIA TIPO N95</v>
      </c>
      <c r="D12" s="104"/>
      <c r="E12" s="104"/>
      <c r="F12" s="104"/>
      <c r="G12" s="104"/>
      <c r="H12" s="56" t="s">
        <v>56</v>
      </c>
      <c r="I12" s="57" t="str">
        <f>'Necesidades Trimestrales'!F10</f>
        <v>UNIDAD</v>
      </c>
      <c r="J12" s="58">
        <f>'Necesidades Trimestrales'!H10</f>
        <v>69.900000000000006</v>
      </c>
      <c r="K12" s="59">
        <f>'Necesidades Trimestrales'!G10</f>
        <v>6000</v>
      </c>
    </row>
    <row r="13" spans="1:11" ht="20.25" customHeight="1" thickBot="1" x14ac:dyDescent="0.25">
      <c r="A13" s="8">
        <v>2</v>
      </c>
      <c r="B13" s="55">
        <f>'Necesidades Trimestrales'!B11</f>
        <v>0</v>
      </c>
      <c r="C13" s="104" t="str">
        <f>'Necesidades Trimestrales'!E11</f>
        <v>CANULA PARA TRAQUEOSTOMIA Nº 7 1/2</v>
      </c>
      <c r="D13" s="104"/>
      <c r="E13" s="104"/>
      <c r="F13" s="104"/>
      <c r="G13" s="104"/>
      <c r="H13" s="56" t="s">
        <v>56</v>
      </c>
      <c r="I13" s="57" t="str">
        <f>'Necesidades Trimestrales'!F11</f>
        <v xml:space="preserve">UNIDAD </v>
      </c>
      <c r="J13" s="58">
        <f>'Necesidades Trimestrales'!H11</f>
        <v>589.4</v>
      </c>
      <c r="K13" s="59">
        <f>'Necesidades Trimestrales'!G11</f>
        <v>80</v>
      </c>
    </row>
    <row r="14" spans="1:11" ht="20.25" customHeight="1" thickBot="1" x14ac:dyDescent="0.25">
      <c r="A14" s="8">
        <v>3</v>
      </c>
      <c r="B14" s="55">
        <f>'Necesidades Trimestrales'!B12</f>
        <v>0</v>
      </c>
      <c r="C14" s="104" t="str">
        <f>'Necesidades Trimestrales'!E12</f>
        <v>CIRCUITO CERRADO P/ASPIRACION 16 FR</v>
      </c>
      <c r="D14" s="104"/>
      <c r="E14" s="104"/>
      <c r="F14" s="104"/>
      <c r="G14" s="104"/>
      <c r="H14" s="56" t="s">
        <v>56</v>
      </c>
      <c r="I14" s="57" t="str">
        <f>'Necesidades Trimestrales'!F12</f>
        <v>UNIDAD</v>
      </c>
      <c r="J14" s="58">
        <f>'Necesidades Trimestrales'!H12</f>
        <v>1200</v>
      </c>
      <c r="K14" s="59">
        <f>'Necesidades Trimestrales'!G12</f>
        <v>5600</v>
      </c>
    </row>
    <row r="15" spans="1:11" ht="20.25" customHeight="1" thickBot="1" x14ac:dyDescent="0.25">
      <c r="A15" s="8">
        <v>4</v>
      </c>
      <c r="B15" s="55">
        <f>'Necesidades Trimestrales'!B13</f>
        <v>0</v>
      </c>
      <c r="C15" s="104" t="str">
        <f>'Necesidades Trimestrales'!E13</f>
        <v>CIRCUITO RESPIRADOR CON TRAMPA DE AGUA AUTOCLAVABLE ADULTO</v>
      </c>
      <c r="D15" s="104"/>
      <c r="E15" s="104"/>
      <c r="F15" s="104"/>
      <c r="G15" s="104"/>
      <c r="H15" s="56" t="s">
        <v>56</v>
      </c>
      <c r="I15" s="57" t="str">
        <f>'Necesidades Trimestrales'!F13</f>
        <v xml:space="preserve">UNIDAD </v>
      </c>
      <c r="J15" s="58">
        <f>'Necesidades Trimestrales'!H13</f>
        <v>16100</v>
      </c>
      <c r="K15" s="59">
        <f>'Necesidades Trimestrales'!G13</f>
        <v>600</v>
      </c>
    </row>
    <row r="16" spans="1:11" ht="20.25" customHeight="1" thickBot="1" x14ac:dyDescent="0.25">
      <c r="A16" s="8">
        <v>5</v>
      </c>
      <c r="B16" s="55">
        <f>'Necesidades Trimestrales'!B14</f>
        <v>0</v>
      </c>
      <c r="C16" s="104" t="str">
        <f>'Necesidades Trimestrales'!E14</f>
        <v xml:space="preserve">FILTRO HME ADULTO HIGROBAC INTERCAMBIADOR CALOR/HUMEDAD </v>
      </c>
      <c r="D16" s="104"/>
      <c r="E16" s="104"/>
      <c r="F16" s="104"/>
      <c r="G16" s="104"/>
      <c r="H16" s="56" t="s">
        <v>56</v>
      </c>
      <c r="I16" s="57" t="str">
        <f>'Necesidades Trimestrales'!F14</f>
        <v xml:space="preserve">UNIDAD </v>
      </c>
      <c r="J16" s="58">
        <f>'Necesidades Trimestrales'!H14</f>
        <v>180</v>
      </c>
      <c r="K16" s="59">
        <f>'Necesidades Trimestrales'!G14</f>
        <v>6000</v>
      </c>
    </row>
    <row r="17" spans="1:1024" ht="20.25" customHeight="1" thickBot="1" x14ac:dyDescent="0.25">
      <c r="A17" s="8">
        <v>6</v>
      </c>
      <c r="B17" s="55">
        <f>'Necesidades Trimestrales'!B15</f>
        <v>0</v>
      </c>
      <c r="C17" s="104" t="str">
        <f>'Necesidades Trimestrales'!E15</f>
        <v>FILTRO HME BACTERIAL VIRAL PARA CIRCUITO RESPIRADOR</v>
      </c>
      <c r="D17" s="104"/>
      <c r="E17" s="104"/>
      <c r="F17" s="104"/>
      <c r="G17" s="104"/>
      <c r="H17" s="56" t="s">
        <v>56</v>
      </c>
      <c r="I17" s="57" t="str">
        <f>'Necesidades Trimestrales'!F15</f>
        <v>UNIDAD</v>
      </c>
      <c r="J17" s="58">
        <f>'Necesidades Trimestrales'!H15</f>
        <v>160</v>
      </c>
      <c r="K17" s="59">
        <f>'Necesidades Trimestrales'!G15</f>
        <v>3000</v>
      </c>
    </row>
    <row r="18" spans="1:1024" ht="20.25" customHeight="1" thickBot="1" x14ac:dyDescent="0.25">
      <c r="A18" s="8">
        <v>7</v>
      </c>
      <c r="B18" s="55">
        <f>'Necesidades Trimestrales'!B16</f>
        <v>0</v>
      </c>
      <c r="C18" s="104" t="str">
        <f>'Necesidades Trimestrales'!E16</f>
        <v>MASCARA PERFOMAX TOTAL FACE  TALLE G PARA VNI</v>
      </c>
      <c r="D18" s="104"/>
      <c r="E18" s="104"/>
      <c r="F18" s="104"/>
      <c r="G18" s="104"/>
      <c r="H18" s="56" t="s">
        <v>56</v>
      </c>
      <c r="I18" s="57" t="str">
        <f>'Necesidades Trimestrales'!F16</f>
        <v xml:space="preserve">UNIDAD </v>
      </c>
      <c r="J18" s="58">
        <f>'Necesidades Trimestrales'!H16</f>
        <v>29900</v>
      </c>
      <c r="K18" s="59">
        <f>'Necesidades Trimestrales'!G16</f>
        <v>40</v>
      </c>
    </row>
    <row r="19" spans="1:1024" ht="20.25" customHeight="1" thickBot="1" x14ac:dyDescent="0.25">
      <c r="A19" s="8">
        <v>8</v>
      </c>
      <c r="B19" s="55">
        <f>'Necesidades Trimestrales'!B17</f>
        <v>0</v>
      </c>
      <c r="C19" s="104" t="str">
        <f>'Necesidades Trimestrales'!E17</f>
        <v>MASCARA PERFOMAX TOTAL FACE  TALLE XG PARA VNI</v>
      </c>
      <c r="D19" s="104"/>
      <c r="E19" s="104"/>
      <c r="F19" s="104"/>
      <c r="G19" s="104"/>
      <c r="H19" s="56" t="s">
        <v>56</v>
      </c>
      <c r="I19" s="57" t="str">
        <f>'Necesidades Trimestrales'!F17</f>
        <v xml:space="preserve">UNIDAD </v>
      </c>
      <c r="J19" s="58">
        <f>'Necesidades Trimestrales'!H17</f>
        <v>29900</v>
      </c>
      <c r="K19" s="59">
        <f>'Necesidades Trimestrales'!G17</f>
        <v>40</v>
      </c>
    </row>
    <row r="20" spans="1:1024" ht="20.25" customHeight="1" thickBot="1" x14ac:dyDescent="0.25">
      <c r="A20" s="8">
        <v>9</v>
      </c>
      <c r="B20" s="55">
        <f>'Necesidades Trimestrales'!B18</f>
        <v>0</v>
      </c>
      <c r="C20" s="104" t="str">
        <f>'Necesidades Trimestrales'!E18</f>
        <v>SONDA PARA MUESTRA DE SECRECION TRAQUEAL B-2941 TIPO TUBO DE LUKEN</v>
      </c>
      <c r="D20" s="104"/>
      <c r="E20" s="104"/>
      <c r="F20" s="104"/>
      <c r="G20" s="104"/>
      <c r="H20" s="56" t="s">
        <v>56</v>
      </c>
      <c r="I20" s="57" t="str">
        <f>'Necesidades Trimestrales'!F18</f>
        <v xml:space="preserve">UNIDAD </v>
      </c>
      <c r="J20" s="58">
        <f>'Necesidades Trimestrales'!H18</f>
        <v>734</v>
      </c>
      <c r="K20" s="59">
        <f>'Necesidades Trimestrales'!G18</f>
        <v>3200</v>
      </c>
    </row>
    <row r="21" spans="1:1024" ht="32.25" customHeight="1" thickBot="1" x14ac:dyDescent="0.25">
      <c r="A21" s="105" t="s">
        <v>83</v>
      </c>
      <c r="B21" s="105"/>
      <c r="C21" s="105"/>
      <c r="D21" s="105"/>
      <c r="E21" s="105"/>
      <c r="F21" s="105"/>
      <c r="G21" s="105"/>
      <c r="H21" s="105"/>
      <c r="I21" s="105"/>
      <c r="J21" s="106">
        <f>SUMPRODUCT(J12:J20,K12:K20)</f>
        <v>23147352</v>
      </c>
      <c r="K21" s="106"/>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sheetData>
  <mergeCells count="31">
    <mergeCell ref="A1:I1"/>
    <mergeCell ref="A6:C6"/>
    <mergeCell ref="D6:K6"/>
    <mergeCell ref="A7:C7"/>
    <mergeCell ref="D7:K7"/>
    <mergeCell ref="A3:C3"/>
    <mergeCell ref="D3:K3"/>
    <mergeCell ref="A4:C4"/>
    <mergeCell ref="D4:K4"/>
    <mergeCell ref="A5:C5"/>
    <mergeCell ref="D5:K5"/>
    <mergeCell ref="A8:C8"/>
    <mergeCell ref="D8:K8"/>
    <mergeCell ref="A10:A11"/>
    <mergeCell ref="B10:B11"/>
    <mergeCell ref="C10:G11"/>
    <mergeCell ref="H10:H11"/>
    <mergeCell ref="I10:I11"/>
    <mergeCell ref="J10:J11"/>
    <mergeCell ref="K10:K11"/>
    <mergeCell ref="C19:G19"/>
    <mergeCell ref="C20:G20"/>
    <mergeCell ref="C12:G12"/>
    <mergeCell ref="A21:I21"/>
    <mergeCell ref="J21:K21"/>
    <mergeCell ref="C13:G13"/>
    <mergeCell ref="C14:G14"/>
    <mergeCell ref="C18:G18"/>
    <mergeCell ref="C15:G15"/>
    <mergeCell ref="C16:G16"/>
    <mergeCell ref="C17:G17"/>
  </mergeCells>
  <printOptions horizontalCentered="1"/>
  <pageMargins left="0.19685039370078741" right="0.19685039370078741" top="0.98425196850393704" bottom="0.98425196850393704" header="0.51181102362204722" footer="0.51181102362204722"/>
  <pageSetup paperSize="5" firstPageNumber="0" fitToHeight="5"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7"/>
  <sheetViews>
    <sheetView topLeftCell="A13" zoomScale="130" zoomScaleNormal="130" workbookViewId="0">
      <selection activeCell="A24" sqref="A24:Q24"/>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7.42578125" customWidth="1"/>
    <col min="19" max="19" width="13.28515625" bestFit="1" customWidth="1"/>
  </cols>
  <sheetData>
    <row r="1" spans="1:17" ht="15.75" customHeight="1" x14ac:dyDescent="0.25">
      <c r="A1" s="140" t="s">
        <v>3</v>
      </c>
      <c r="B1" s="140"/>
      <c r="C1" s="140"/>
      <c r="D1" s="141">
        <f>'Necesidades Trimestrales'!C6</f>
        <v>2021</v>
      </c>
      <c r="E1" s="141"/>
      <c r="F1" s="10"/>
      <c r="G1" s="10"/>
      <c r="H1" s="11"/>
      <c r="I1" s="11"/>
      <c r="J1" s="11"/>
      <c r="K1" s="11"/>
      <c r="L1" s="11"/>
      <c r="M1" s="11"/>
      <c r="N1" s="11"/>
      <c r="P1" s="142" t="s">
        <v>30</v>
      </c>
      <c r="Q1" s="142"/>
    </row>
    <row r="2" spans="1:17" ht="15.75" customHeight="1" x14ac:dyDescent="0.2">
      <c r="H2" s="11"/>
      <c r="I2" s="11"/>
      <c r="J2" s="11"/>
      <c r="K2" s="11"/>
      <c r="L2" s="11"/>
      <c r="M2" s="11"/>
      <c r="N2" s="11"/>
      <c r="P2" s="142"/>
      <c r="Q2" s="142"/>
    </row>
    <row r="4" spans="1:17" s="12" customFormat="1" ht="18" customHeight="1" thickBot="1" x14ac:dyDescent="0.25">
      <c r="A4" s="143" t="s">
        <v>31</v>
      </c>
      <c r="B4" s="143"/>
      <c r="C4" s="143"/>
      <c r="D4" s="143"/>
      <c r="E4" s="143"/>
      <c r="F4" s="143"/>
      <c r="G4" s="138" t="str">
        <f>NotaPedido!D3</f>
        <v>40 - Ministerio de Salud</v>
      </c>
      <c r="H4" s="138"/>
      <c r="I4" s="138"/>
      <c r="J4" s="138"/>
      <c r="K4" s="138"/>
      <c r="L4" s="138"/>
      <c r="M4" s="138"/>
      <c r="N4" s="138"/>
      <c r="O4" s="138"/>
      <c r="P4" s="138"/>
      <c r="Q4" s="138"/>
    </row>
    <row r="5" spans="1:17" s="12" customFormat="1" ht="18" customHeight="1" thickBot="1" x14ac:dyDescent="0.25">
      <c r="A5" s="135" t="s">
        <v>54</v>
      </c>
      <c r="B5" s="136"/>
      <c r="C5" s="136"/>
      <c r="D5" s="136"/>
      <c r="E5" s="136"/>
      <c r="F5" s="137"/>
      <c r="G5" s="138" t="str">
        <f>NotaPedido!D4</f>
        <v>23 - Hospital Interzonal San Juan Bautista</v>
      </c>
      <c r="H5" s="138"/>
      <c r="I5" s="138"/>
      <c r="J5" s="138"/>
      <c r="K5" s="138"/>
      <c r="L5" s="138"/>
      <c r="M5" s="138"/>
      <c r="N5" s="138"/>
      <c r="O5" s="138"/>
      <c r="P5" s="138"/>
      <c r="Q5" s="138"/>
    </row>
    <row r="6" spans="1:17" s="12" customFormat="1" ht="18" customHeight="1" thickBot="1" x14ac:dyDescent="0.25">
      <c r="A6" s="135" t="s">
        <v>32</v>
      </c>
      <c r="B6" s="136"/>
      <c r="C6" s="136"/>
      <c r="D6" s="136"/>
      <c r="E6" s="136"/>
      <c r="F6" s="137"/>
      <c r="G6" s="138" t="str">
        <f>NotaPedido!D5</f>
        <v>168 - Direccion Asistencial</v>
      </c>
      <c r="H6" s="138"/>
      <c r="I6" s="138"/>
      <c r="J6" s="138"/>
      <c r="K6" s="138"/>
      <c r="L6" s="138"/>
      <c r="M6" s="138"/>
      <c r="N6" s="138"/>
      <c r="O6" s="138"/>
      <c r="P6" s="138"/>
      <c r="Q6" s="138"/>
    </row>
    <row r="7" spans="1:17" s="12" customFormat="1" ht="18" customHeight="1" thickBot="1" x14ac:dyDescent="0.25">
      <c r="A7" s="135" t="s">
        <v>55</v>
      </c>
      <c r="B7" s="136"/>
      <c r="C7" s="136"/>
      <c r="D7" s="136"/>
      <c r="E7" s="136"/>
      <c r="F7" s="137"/>
      <c r="G7" s="138" t="str">
        <f>NotaPedido!D6</f>
        <v>Servicio de Farmacia</v>
      </c>
      <c r="H7" s="138"/>
      <c r="I7" s="138"/>
      <c r="J7" s="138"/>
      <c r="K7" s="138"/>
      <c r="L7" s="138"/>
      <c r="M7" s="138"/>
      <c r="N7" s="138"/>
      <c r="O7" s="138"/>
      <c r="P7" s="138"/>
      <c r="Q7" s="138"/>
    </row>
    <row r="8" spans="1:17" ht="18" customHeight="1" thickBot="1" x14ac:dyDescent="0.25">
      <c r="A8" s="139" t="s">
        <v>33</v>
      </c>
      <c r="B8" s="139"/>
      <c r="C8" s="139"/>
      <c r="D8" s="139"/>
      <c r="E8" s="139"/>
      <c r="F8" s="139"/>
      <c r="G8" s="139"/>
      <c r="H8" s="139"/>
      <c r="I8" s="139"/>
      <c r="J8" s="139"/>
      <c r="K8" s="139"/>
      <c r="L8" s="139"/>
      <c r="M8" s="139"/>
      <c r="N8" s="139"/>
      <c r="O8" s="139"/>
      <c r="P8" s="139"/>
      <c r="Q8" s="139"/>
    </row>
    <row r="9" spans="1:17" ht="18" customHeight="1" x14ac:dyDescent="0.2">
      <c r="A9" s="129" t="s">
        <v>34</v>
      </c>
      <c r="B9" s="129"/>
      <c r="C9" s="129"/>
      <c r="D9" s="129"/>
      <c r="E9" s="129"/>
      <c r="F9" s="129"/>
      <c r="G9" s="129"/>
      <c r="H9" s="129"/>
      <c r="I9" s="129"/>
      <c r="J9" s="129"/>
      <c r="K9" s="129"/>
      <c r="L9" s="129"/>
      <c r="M9" s="129"/>
      <c r="N9" s="129"/>
      <c r="O9" s="1"/>
      <c r="P9" s="1"/>
      <c r="Q9" s="13"/>
    </row>
    <row r="10" spans="1:17" ht="54.75" customHeight="1" x14ac:dyDescent="0.2">
      <c r="A10" s="130"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082 - 2021,  afectando la erogación resultante a los créditos presupuestarios aprobados a favor de esta Unidad Ejecutora, conforme al siguiente detalle:</v>
      </c>
      <c r="B10" s="130"/>
      <c r="C10" s="130"/>
      <c r="D10" s="130"/>
      <c r="E10" s="130"/>
      <c r="F10" s="130"/>
      <c r="G10" s="130"/>
      <c r="H10" s="130"/>
      <c r="I10" s="130"/>
      <c r="J10" s="130"/>
      <c r="K10" s="130"/>
      <c r="L10" s="130"/>
      <c r="M10" s="130"/>
      <c r="N10" s="130"/>
      <c r="O10" s="130"/>
      <c r="P10" s="130"/>
      <c r="Q10" s="130"/>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31" t="s">
        <v>35</v>
      </c>
      <c r="B12" s="131"/>
      <c r="C12" s="131"/>
      <c r="D12" s="131"/>
      <c r="E12" s="131"/>
      <c r="F12" s="131"/>
      <c r="G12" s="131"/>
      <c r="H12" s="131"/>
      <c r="I12" s="131"/>
      <c r="J12" s="131"/>
      <c r="K12" s="131"/>
      <c r="L12" s="131"/>
      <c r="M12" s="131"/>
      <c r="N12" s="131"/>
      <c r="O12" s="131"/>
      <c r="P12" s="131"/>
      <c r="Q12" s="131"/>
    </row>
    <row r="13" spans="1:17" ht="15.75" customHeight="1" x14ac:dyDescent="0.2">
      <c r="A13" s="132" t="s">
        <v>36</v>
      </c>
      <c r="B13" s="132"/>
      <c r="C13" s="132"/>
      <c r="D13" s="132"/>
      <c r="E13" s="132"/>
      <c r="F13" s="132"/>
      <c r="G13" s="132"/>
      <c r="H13" s="132"/>
      <c r="I13" s="132"/>
      <c r="J13" s="132"/>
      <c r="K13" s="132"/>
      <c r="L13" s="132"/>
      <c r="M13" s="132"/>
      <c r="N13" s="132"/>
      <c r="O13" s="133" t="s">
        <v>37</v>
      </c>
      <c r="P13" s="133"/>
      <c r="Q13" s="134" t="s">
        <v>38</v>
      </c>
    </row>
    <row r="14" spans="1:17" ht="15.75" customHeight="1" thickBot="1" x14ac:dyDescent="0.25">
      <c r="A14" s="18" t="s">
        <v>39</v>
      </c>
      <c r="B14" s="19" t="s">
        <v>40</v>
      </c>
      <c r="C14" s="19" t="s">
        <v>41</v>
      </c>
      <c r="D14" s="19" t="s">
        <v>42</v>
      </c>
      <c r="E14" s="19" t="s">
        <v>43</v>
      </c>
      <c r="F14" s="19" t="s">
        <v>44</v>
      </c>
      <c r="G14" s="20" t="s">
        <v>45</v>
      </c>
      <c r="H14" s="19" t="s">
        <v>46</v>
      </c>
      <c r="I14" s="19" t="s">
        <v>47</v>
      </c>
      <c r="J14" s="19" t="s">
        <v>48</v>
      </c>
      <c r="K14" s="19" t="s">
        <v>48</v>
      </c>
      <c r="L14" s="19" t="s">
        <v>49</v>
      </c>
      <c r="M14" s="21" t="s">
        <v>50</v>
      </c>
      <c r="N14" s="22" t="s">
        <v>51</v>
      </c>
      <c r="O14" s="133"/>
      <c r="P14" s="133"/>
      <c r="Q14" s="134"/>
    </row>
    <row r="15" spans="1:17" ht="17.25" customHeight="1" x14ac:dyDescent="0.2">
      <c r="A15" s="64">
        <v>33</v>
      </c>
      <c r="B15" s="65"/>
      <c r="C15" s="65"/>
      <c r="D15" s="65">
        <v>2</v>
      </c>
      <c r="E15" s="65"/>
      <c r="F15" s="65">
        <v>4901</v>
      </c>
      <c r="G15" s="65">
        <v>3</v>
      </c>
      <c r="H15" s="66" t="s">
        <v>62</v>
      </c>
      <c r="I15" s="65">
        <v>2</v>
      </c>
      <c r="J15" s="65">
        <v>9</v>
      </c>
      <c r="K15" s="65">
        <v>5</v>
      </c>
      <c r="L15" s="65"/>
      <c r="M15" s="67">
        <v>1</v>
      </c>
      <c r="N15" s="66" t="s">
        <v>63</v>
      </c>
      <c r="O15" s="126" t="s">
        <v>64</v>
      </c>
      <c r="P15" s="126"/>
      <c r="Q15" s="83">
        <f>+'Necesidades Trimestrales'!I19</f>
        <v>23147352</v>
      </c>
    </row>
    <row r="16" spans="1:17" ht="17.25" customHeight="1" x14ac:dyDescent="0.2">
      <c r="A16" s="23"/>
      <c r="B16" s="24"/>
      <c r="C16" s="24"/>
      <c r="D16" s="24"/>
      <c r="E16" s="24"/>
      <c r="F16" s="24"/>
      <c r="G16" s="24"/>
      <c r="H16" s="60"/>
      <c r="I16" s="24"/>
      <c r="J16" s="24"/>
      <c r="K16" s="24"/>
      <c r="L16" s="24"/>
      <c r="M16" s="25"/>
      <c r="N16" s="61"/>
      <c r="O16" s="127"/>
      <c r="P16" s="127"/>
      <c r="Q16" s="27"/>
    </row>
    <row r="17" spans="1:19" ht="17.25" customHeight="1" x14ac:dyDescent="0.2">
      <c r="A17" s="23"/>
      <c r="B17" s="24"/>
      <c r="C17" s="24"/>
      <c r="D17" s="24"/>
      <c r="E17" s="24"/>
      <c r="F17" s="26"/>
      <c r="G17" s="24"/>
      <c r="H17" s="60"/>
      <c r="I17" s="24"/>
      <c r="J17" s="24"/>
      <c r="K17" s="24"/>
      <c r="L17" s="24"/>
      <c r="M17" s="25"/>
      <c r="N17" s="61"/>
      <c r="O17" s="127"/>
      <c r="P17" s="127"/>
      <c r="Q17" s="27"/>
      <c r="S17" s="62"/>
    </row>
    <row r="18" spans="1:19" ht="17.25" customHeight="1" x14ac:dyDescent="0.2">
      <c r="A18" s="23"/>
      <c r="B18" s="24"/>
      <c r="C18" s="24"/>
      <c r="D18" s="24"/>
      <c r="E18" s="24"/>
      <c r="F18" s="24"/>
      <c r="G18" s="24"/>
      <c r="H18" s="60"/>
      <c r="I18" s="24"/>
      <c r="J18" s="24"/>
      <c r="K18" s="24"/>
      <c r="L18" s="24"/>
      <c r="M18" s="25"/>
      <c r="N18" s="61"/>
      <c r="O18" s="128"/>
      <c r="P18" s="121"/>
      <c r="Q18" s="27"/>
    </row>
    <row r="19" spans="1:19" ht="17.25" customHeight="1" x14ac:dyDescent="0.2">
      <c r="A19" s="23"/>
      <c r="B19" s="24"/>
      <c r="C19" s="24"/>
      <c r="D19" s="24"/>
      <c r="E19" s="24"/>
      <c r="F19" s="26"/>
      <c r="G19" s="24"/>
      <c r="H19" s="24"/>
      <c r="I19" s="24"/>
      <c r="J19" s="24"/>
      <c r="K19" s="24"/>
      <c r="L19" s="24"/>
      <c r="M19" s="25"/>
      <c r="N19" s="26"/>
      <c r="O19" s="121"/>
      <c r="P19" s="121"/>
      <c r="Q19" s="27"/>
    </row>
    <row r="20" spans="1:19" ht="17.25" customHeight="1" x14ac:dyDescent="0.2">
      <c r="A20" s="23"/>
      <c r="B20" s="24"/>
      <c r="C20" s="24"/>
      <c r="D20" s="24"/>
      <c r="E20" s="24"/>
      <c r="F20" s="26"/>
      <c r="G20" s="24"/>
      <c r="H20" s="24"/>
      <c r="I20" s="24"/>
      <c r="J20" s="24"/>
      <c r="K20" s="24"/>
      <c r="L20" s="24"/>
      <c r="M20" s="25"/>
      <c r="N20" s="26"/>
      <c r="O20" s="121"/>
      <c r="P20" s="121"/>
      <c r="Q20" s="27"/>
    </row>
    <row r="21" spans="1:19" ht="17.25" customHeight="1" x14ac:dyDescent="0.2">
      <c r="A21" s="28"/>
      <c r="B21" s="29"/>
      <c r="C21" s="29"/>
      <c r="D21" s="29"/>
      <c r="E21" s="29"/>
      <c r="F21" s="30"/>
      <c r="G21" s="29"/>
      <c r="H21" s="29"/>
      <c r="I21" s="29"/>
      <c r="J21" s="29"/>
      <c r="K21" s="29"/>
      <c r="L21" s="29"/>
      <c r="M21" s="31"/>
      <c r="N21" s="32"/>
      <c r="O21" s="122"/>
      <c r="P21" s="122"/>
      <c r="Q21" s="27"/>
      <c r="R21" s="1"/>
    </row>
    <row r="22" spans="1:19" ht="17.25" customHeight="1" x14ac:dyDescent="0.2">
      <c r="A22" s="33"/>
      <c r="B22" s="34"/>
      <c r="C22" s="34"/>
      <c r="D22" s="34"/>
      <c r="E22" s="34"/>
      <c r="F22" s="34"/>
      <c r="G22" s="34"/>
      <c r="H22" s="34"/>
      <c r="I22" s="34"/>
      <c r="J22" s="34"/>
      <c r="K22" s="34"/>
      <c r="L22" s="34"/>
      <c r="M22" s="35"/>
      <c r="N22" s="34"/>
      <c r="O22" s="123"/>
      <c r="P22" s="123"/>
      <c r="Q22" s="36"/>
    </row>
    <row r="23" spans="1:19" ht="29.25" customHeight="1" x14ac:dyDescent="0.2">
      <c r="A23" s="124" t="s">
        <v>82</v>
      </c>
      <c r="B23" s="124"/>
      <c r="C23" s="124"/>
      <c r="D23" s="124"/>
      <c r="E23" s="124"/>
      <c r="F23" s="124"/>
      <c r="G23" s="124"/>
      <c r="H23" s="124"/>
      <c r="I23" s="124"/>
      <c r="J23" s="124"/>
      <c r="K23" s="124"/>
      <c r="L23" s="124"/>
      <c r="M23" s="124"/>
      <c r="N23" s="124"/>
      <c r="O23" s="124"/>
      <c r="P23" s="124"/>
      <c r="Q23" s="84">
        <f>SUM(Q15:Q22)</f>
        <v>23147352</v>
      </c>
    </row>
    <row r="24" spans="1:19" ht="18" customHeight="1" thickBot="1" x14ac:dyDescent="0.25">
      <c r="A24" s="125"/>
      <c r="B24" s="125"/>
      <c r="C24" s="125"/>
      <c r="D24" s="125"/>
      <c r="E24" s="125"/>
      <c r="F24" s="125"/>
      <c r="G24" s="125"/>
      <c r="H24" s="125"/>
      <c r="I24" s="125"/>
      <c r="J24" s="125"/>
      <c r="K24" s="125"/>
      <c r="L24" s="125"/>
      <c r="M24" s="125"/>
      <c r="N24" s="125"/>
      <c r="O24" s="125"/>
      <c r="P24" s="125"/>
      <c r="Q24" s="125"/>
    </row>
    <row r="25" spans="1:19" ht="17.25" customHeight="1" thickBot="1" x14ac:dyDescent="0.25">
      <c r="A25" s="116" t="s">
        <v>52</v>
      </c>
      <c r="B25" s="117"/>
      <c r="C25" s="117"/>
      <c r="D25" s="117"/>
      <c r="E25" s="117"/>
      <c r="F25" s="118"/>
      <c r="G25" s="119"/>
      <c r="H25" s="119"/>
      <c r="I25" s="119"/>
      <c r="J25" s="119"/>
      <c r="K25" s="119"/>
      <c r="L25" s="119"/>
      <c r="M25" s="119"/>
      <c r="N25" s="119"/>
      <c r="O25" s="119"/>
      <c r="P25" s="119"/>
      <c r="Q25" s="119"/>
    </row>
    <row r="26" spans="1:19" ht="18" customHeight="1" thickBot="1" x14ac:dyDescent="0.25">
      <c r="A26" s="120" t="str">
        <f>"Para la "&amp; NotaPedido!D8 &amp;" para ser destinados al " &amp; NotaPedido!D6 &amp;"  del HISJB del Ministerio de Salud."</f>
        <v>Para la Adquisición de Descartables COVID para Farmacia  para ser destinados al Servicio de Farmacia  del HISJB del Ministerio de Salud.</v>
      </c>
      <c r="B26" s="120"/>
      <c r="C26" s="120"/>
      <c r="D26" s="120"/>
      <c r="E26" s="120"/>
      <c r="F26" s="120"/>
      <c r="G26" s="120"/>
      <c r="H26" s="120"/>
      <c r="I26" s="120"/>
      <c r="J26" s="120"/>
      <c r="K26" s="120"/>
      <c r="L26" s="120"/>
      <c r="M26" s="120"/>
      <c r="N26" s="120"/>
      <c r="O26" s="120"/>
      <c r="P26" s="120"/>
      <c r="Q26" s="120"/>
    </row>
    <row r="27" spans="1:19" ht="15" customHeight="1" x14ac:dyDescent="0.2">
      <c r="A27" s="120"/>
      <c r="B27" s="120"/>
      <c r="C27" s="120"/>
      <c r="D27" s="120"/>
      <c r="E27" s="120"/>
      <c r="F27" s="120"/>
      <c r="G27" s="120"/>
      <c r="H27" s="120"/>
      <c r="I27" s="120"/>
      <c r="J27" s="120"/>
      <c r="K27" s="120"/>
      <c r="L27" s="120"/>
      <c r="M27" s="120"/>
      <c r="N27" s="120"/>
      <c r="O27" s="120"/>
      <c r="P27" s="120"/>
      <c r="Q27" s="120"/>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0078740157483" right="0.39370078740157483" top="0.98425196850393704" bottom="0.98425196850393704" header="0.51181102362204722" footer="0.51181102362204722"/>
  <pageSetup paperSize="5" scale="93"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Usuario</cp:lastModifiedBy>
  <cp:revision>2</cp:revision>
  <cp:lastPrinted>2021-06-02T15:22:58Z</cp:lastPrinted>
  <dcterms:created xsi:type="dcterms:W3CDTF">2020-07-17T23:44:49Z</dcterms:created>
  <dcterms:modified xsi:type="dcterms:W3CDTF">2021-08-12T14:27:49Z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