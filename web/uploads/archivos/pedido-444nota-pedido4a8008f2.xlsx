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Desiertos y Fracasados\Equipos Varios\"/>
    </mc:Choice>
  </mc:AlternateContent>
  <xr:revisionPtr revIDLastSave="0" documentId="13_ncr:1_{5CED9D78-66C7-47F4-A19C-E48AEB0937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TRIMESTRAL'!$A$9:$I$12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2" l="1"/>
  <c r="I13" i="2"/>
  <c r="C34" i="1"/>
  <c r="C31" i="1"/>
  <c r="A37" i="3"/>
  <c r="G7" i="3"/>
  <c r="G6" i="3"/>
  <c r="G5" i="3"/>
  <c r="G4" i="3"/>
  <c r="K13" i="2"/>
  <c r="J13" i="2"/>
  <c r="C13" i="2"/>
  <c r="B13" i="2"/>
  <c r="K12" i="2"/>
  <c r="J12" i="2"/>
  <c r="C12" i="2"/>
  <c r="B12" i="2"/>
  <c r="I11" i="1"/>
  <c r="I10" i="1"/>
  <c r="J15" i="2" l="1"/>
  <c r="Q15" i="3" s="1"/>
  <c r="I12" i="1"/>
  <c r="Q34" i="3" l="1"/>
</calcChain>
</file>

<file path=xl/sharedStrings.xml><?xml version="1.0" encoding="utf-8"?>
<sst xmlns="http://schemas.openxmlformats.org/spreadsheetml/2006/main" count="100" uniqueCount="90">
  <si>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</si>
  <si>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</si>
  <si>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</si>
  <si>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</si>
  <si>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</si>
  <si>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</si>
  <si>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</si>
  <si>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</si>
  <si>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</si>
  <si>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</si>
  <si>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</si>
  <si>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</si>
  <si>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</si>
  <si>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</si>
  <si>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</si>
  <si>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</si>
  <si>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</si>
  <si>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4.3.7</t>
  </si>
  <si>
    <t>UNIDAD</t>
  </si>
  <si>
    <t>ARTICULOS DEL HOGAR</t>
  </si>
  <si>
    <t>EQUIPOS</t>
  </si>
  <si>
    <t>4.3.7-15.123</t>
  </si>
  <si>
    <t>HELADERAS; CAPACIDAD: 400 L, FRIO: CON FREEZER, CONSUMO: MENOR A 5 KVA, TENSION NOMINAL: 220 V, CRITERIO DE SEGURIDAD: SELLO DE SEGURIDAD, CORRIENTE NOMINAL: MENOR A 63 A, EFICIENCIA ENERGETICA: GRADO A</t>
  </si>
  <si>
    <t>4.3.9-2655.27</t>
  </si>
  <si>
    <t>SECARROPAS/CENTRIFUGA; TIPO: ROTATIVO, SECADO: POR CALOR, CAPACIDAD: 10 Kg, TENSION NOMINAL: 220 V, CORRIENTE NOMINAL: 10 A, CRITERIO DE SEGURIDAD: SELLO DE SEGURIDAD, CONSUMO: 6 KW, EFICIENCIA ENERGETICA: GRADO B</t>
  </si>
  <si>
    <t>TOTAL RUBRO MUEBLES Y ARTICULOS DEL HOGAR</t>
  </si>
  <si>
    <t>ESPECIFICADES Y DETALLE TECNICO:</t>
  </si>
  <si>
    <t>Plazos de entrega:</t>
  </si>
  <si>
    <t>Lugar de Entrega:</t>
  </si>
  <si>
    <t>MINISTERIO DE SALUD - CHACABUCO N° 169 - en el horario de 8:00hs a 12:00hs de lunes a viernes</t>
  </si>
  <si>
    <t>Calidad Minima esperada:</t>
  </si>
  <si>
    <t>Mantenimiento:</t>
  </si>
  <si>
    <t>cuarenta y cinco (45) días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</si>
  <si>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</si>
  <si>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</si>
  <si>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</si>
  <si>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</si>
  <si>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</si>
  <si>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</si>
  <si>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352 - MINISTERIO DE SALUD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</si>
  <si>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</si>
  <si>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</si>
  <si>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</si>
  <si>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</si>
  <si>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</si>
  <si>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</si>
  <si>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</si>
  <si>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</si>
  <si>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</si>
  <si>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</si>
  <si>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</si>
  <si>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</si>
  <si>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</si>
  <si>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</si>
  <si>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</si>
  <si>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</si>
  <si>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</si>
  <si>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</si>
  <si>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</si>
  <si>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</si>
  <si>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</si>
  <si>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</si>
  <si>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</si>
  <si>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</si>
  <si>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</si>
  <si>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</si>
  <si>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</si>
  <si>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</si>
  <si>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</si>
  <si>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</si>
  <si>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</si>
  <si>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</si>
  <si>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</si>
  <si>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EQUIPOS DE OFICINA Y MUEBLES</t>
  </si>
  <si>
    <t>JUSTIFICACIÓN:</t>
  </si>
  <si>
    <t>veinte (20) dias habiles</t>
  </si>
  <si>
    <t>SECARROPA CENTRIFUGO (Alim.220V, Cap.10Kg, Efic.energ. B)</t>
  </si>
  <si>
    <t>TERCERO</t>
  </si>
  <si>
    <t>Garantia:</t>
  </si>
  <si>
    <t>un (1) año</t>
  </si>
  <si>
    <t xml:space="preserve">Heladera No Frost de 400 lts aproximadamente (incluyendo el freezer). Con estantes de vidrio templado, alarma de puerta abierta, filtro antibacterial y control de temperatura. </t>
  </si>
  <si>
    <t>3er TRIMESTRE 2022</t>
  </si>
  <si>
    <t>* ADJUNTAR FOLLETERIA, MANUALES Y/O CUALQUIER OTRA DOCUMENTACION QUE EL PROVEEDOR ESTIME NECESARIO PARA ACLARAR EL BIEN COTIZADO</t>
  </si>
  <si>
    <t>ESPECIFICIDADES ITEM 1</t>
  </si>
  <si>
    <t>ESPECIFICIDADES ITEM 2</t>
  </si>
  <si>
    <t>XX/2022</t>
  </si>
  <si>
    <t>Autorizo la realización de los  trámites correspondientes, a fin de proveer a  este Organismo los bienes, servicios o ejecución de obras públicas que se detallan en Nota  de Pedido N° XX/2022 , afectando la erogación resultante a los créditos presupuestarios aprobados a favor de esta Unidad Ejecutora, conforme al siguiente detalle:</t>
  </si>
  <si>
    <t>Costo total estimado: PESOS DOS MILLONES CIENTO SESENTA MIL CON 00/100.-</t>
  </si>
  <si>
    <t>TOTAL DE PESOS: DOS MILLONES CIENTO SESENTA MIL CON 00/100.-</t>
  </si>
  <si>
    <t>ADQUISICION DE DESIERTOS Y FRACASADOS EQUIPAMIENTO PARA HOSPITALES DE LA PROVINCIA (EQUIPOS VARIOS)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</si>
</sst>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-[$$-2C0A]\ * #,##0.00_-;\-[$$-2C0A]\ * #,##0.00_-;_-[$$-2C0A]\ * &quot;-&quot;??_-;_-@"/>
    <numFmt numFmtId="166" formatCode="[$$-2C0A]\ #,##0.00"/>
    <numFmt numFmtId="167" formatCode="dd\-mm\-yy"/>
    <numFmt numFmtId="168" formatCode="_-[$$-2C0A]\ * #,##0.00_-;\-[$$-2C0A]\ * #,##0.00_-;_-[$$-2C0A]\ * &quot;-&quot;??_-;_-@_-"/>
  </numFmts>
  <fonts count="41" x14ac:knownFonts="1">
    <font>
      <sz val="11"/>
      <color rgb="FF000000"/>
      <name val="Calibri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u/>
      <sz val="24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1"/>
      <name val="Calibri"/>
      <family val="2"/>
    </font>
    <font>
      <sz val="10"/>
      <color rgb="FF000000"/>
      <name val="Calibri"/>
      <family val="2"/>
    </font>
    <font>
      <b/>
      <sz val="12"/>
      <name val="Times New Roman"/>
      <family val="1"/>
    </font>
    <font>
      <sz val="11"/>
      <name val="Arial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/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 wrapText="1"/>
    </xf>
    <xf numFmtId="165" fontId="8" fillId="0" borderId="8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3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/>
    <xf numFmtId="0" fontId="10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13" fillId="0" borderId="20" xfId="0" applyNumberFormat="1" applyFont="1" applyBorder="1" applyAlignment="1">
      <alignment horizontal="right" vertical="center"/>
    </xf>
    <xf numFmtId="0" fontId="15" fillId="0" borderId="22" xfId="0" applyFont="1" applyBorder="1" applyAlignment="1">
      <alignment vertical="center"/>
    </xf>
    <xf numFmtId="0" fontId="16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vertical="center"/>
    </xf>
    <xf numFmtId="0" fontId="18" fillId="0" borderId="0" xfId="0" applyFont="1" applyAlignment="1">
      <alignment vertical="center"/>
    </xf>
    <xf numFmtId="165" fontId="19" fillId="0" borderId="0" xfId="0" applyNumberFormat="1" applyFont="1" applyAlignment="1">
      <alignment vertical="center"/>
    </xf>
    <xf numFmtId="0" fontId="20" fillId="0" borderId="14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165" fontId="14" fillId="0" borderId="27" xfId="0" applyNumberFormat="1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32" xfId="0" applyFont="1" applyBorder="1" applyAlignment="1">
      <alignment vertical="center"/>
    </xf>
    <xf numFmtId="0" fontId="21" fillId="0" borderId="13" xfId="0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165" fontId="14" fillId="0" borderId="0" xfId="0" applyNumberFormat="1" applyFont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165" fontId="23" fillId="0" borderId="1" xfId="0" applyNumberFormat="1" applyFont="1" applyBorder="1" applyAlignment="1">
      <alignment horizontal="center" vertical="center" wrapText="1"/>
    </xf>
    <xf numFmtId="3" fontId="23" fillId="0" borderId="43" xfId="0" applyNumberFormat="1" applyFont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/>
    </xf>
    <xf numFmtId="3" fontId="24" fillId="0" borderId="11" xfId="0" applyNumberFormat="1" applyFont="1" applyBorder="1"/>
    <xf numFmtId="167" fontId="0" fillId="0" borderId="11" xfId="0" applyNumberFormat="1" applyBorder="1" applyAlignment="1">
      <alignment horizontal="left"/>
    </xf>
    <xf numFmtId="0" fontId="0" fillId="0" borderId="11" xfId="0" applyBorder="1"/>
    <xf numFmtId="0" fontId="0" fillId="0" borderId="13" xfId="0" applyBorder="1"/>
    <xf numFmtId="0" fontId="0" fillId="0" borderId="0" xfId="0" applyAlignment="1">
      <alignment horizontal="left"/>
    </xf>
    <xf numFmtId="167" fontId="0" fillId="0" borderId="0" xfId="0" applyNumberFormat="1" applyAlignment="1">
      <alignment horizontal="left"/>
    </xf>
    <xf numFmtId="165" fontId="0" fillId="0" borderId="14" xfId="0" applyNumberFormat="1" applyBorder="1"/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horizontal="left"/>
    </xf>
    <xf numFmtId="165" fontId="0" fillId="0" borderId="45" xfId="0" applyNumberFormat="1" applyBorder="1"/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5" fontId="0" fillId="0" borderId="58" xfId="0" applyNumberForma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65" fontId="0" fillId="0" borderId="63" xfId="0" applyNumberFormat="1" applyBorder="1" applyAlignment="1">
      <alignment horizontal="center" vertical="center"/>
    </xf>
    <xf numFmtId="165" fontId="29" fillId="0" borderId="65" xfId="0" applyNumberFormat="1" applyFont="1" applyBorder="1" applyAlignment="1">
      <alignment horizontal="center" vertical="center"/>
    </xf>
    <xf numFmtId="0" fontId="11" fillId="0" borderId="14" xfId="0" applyFont="1" applyBorder="1"/>
    <xf numFmtId="0" fontId="10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5" fontId="7" fillId="0" borderId="4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31" fillId="0" borderId="67" xfId="0" applyFont="1" applyBorder="1" applyAlignment="1">
      <alignment vertical="center" wrapText="1"/>
    </xf>
    <xf numFmtId="0" fontId="30" fillId="0" borderId="67" xfId="0" applyFont="1" applyBorder="1" applyAlignment="1">
      <alignment vertical="center" wrapText="1"/>
    </xf>
    <xf numFmtId="0" fontId="33" fillId="0" borderId="0" xfId="0" applyFont="1" applyAlignment="1">
      <alignment horizontal="left" vertical="center" wrapText="1"/>
    </xf>
    <xf numFmtId="0" fontId="32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32" fillId="0" borderId="0" xfId="0" applyFont="1"/>
    <xf numFmtId="0" fontId="36" fillId="0" borderId="21" xfId="0" applyFont="1" applyBorder="1" applyAlignment="1">
      <alignment horizontal="center" vertical="center"/>
    </xf>
    <xf numFmtId="165" fontId="38" fillId="0" borderId="0" xfId="0" applyNumberFormat="1" applyFont="1"/>
    <xf numFmtId="0" fontId="38" fillId="0" borderId="0" xfId="0" applyFont="1"/>
    <xf numFmtId="168" fontId="0" fillId="0" borderId="0" xfId="0" applyNumberFormat="1"/>
    <xf numFmtId="3" fontId="7" fillId="0" borderId="74" xfId="0" applyNumberFormat="1" applyFont="1" applyBorder="1" applyAlignment="1">
      <alignment horizontal="center" vertical="center" wrapText="1"/>
    </xf>
    <xf numFmtId="0" fontId="39" fillId="0" borderId="53" xfId="0" applyFont="1" applyBorder="1" applyAlignment="1">
      <alignment horizontal="center" vertical="center"/>
    </xf>
    <xf numFmtId="165" fontId="0" fillId="0" borderId="76" xfId="0" applyNumberFormat="1" applyBorder="1" applyAlignment="1">
      <alignment horizontal="center" vertical="center"/>
    </xf>
    <xf numFmtId="0" fontId="29" fillId="0" borderId="77" xfId="0" applyFont="1" applyBorder="1" applyAlignment="1">
      <alignment horizontal="center" vertical="center"/>
    </xf>
    <xf numFmtId="0" fontId="29" fillId="0" borderId="78" xfId="0" applyFont="1" applyBorder="1" applyAlignment="1">
      <alignment horizontal="center" vertical="center"/>
    </xf>
    <xf numFmtId="0" fontId="29" fillId="0" borderId="78" xfId="0" applyFont="1" applyBorder="1" applyAlignment="1">
      <alignment horizontal="left" vertical="center"/>
    </xf>
    <xf numFmtId="0" fontId="29" fillId="0" borderId="79" xfId="0" applyFont="1" applyBorder="1" applyAlignment="1">
      <alignment horizontal="center" vertical="center"/>
    </xf>
    <xf numFmtId="0" fontId="29" fillId="0" borderId="80" xfId="0" applyFont="1" applyBorder="1" applyAlignment="1">
      <alignment horizontal="center" vertical="center"/>
    </xf>
    <xf numFmtId="0" fontId="35" fillId="0" borderId="68" xfId="0" applyFont="1" applyBorder="1" applyAlignment="1">
      <alignment horizontal="left" vertical="center" wrapText="1"/>
    </xf>
    <xf numFmtId="0" fontId="9" fillId="0" borderId="69" xfId="0" applyFont="1" applyBorder="1" applyAlignment="1">
      <alignment horizontal="left" vertical="center" wrapText="1"/>
    </xf>
    <xf numFmtId="0" fontId="9" fillId="0" borderId="70" xfId="0" applyFont="1" applyBorder="1" applyAlignment="1">
      <alignment horizontal="left" vertical="center" wrapText="1"/>
    </xf>
    <xf numFmtId="0" fontId="7" fillId="0" borderId="71" xfId="0" applyFont="1" applyBorder="1" applyAlignment="1">
      <alignment horizontal="left" vertical="center" wrapText="1"/>
    </xf>
    <xf numFmtId="0" fontId="7" fillId="0" borderId="72" xfId="0" applyFont="1" applyBorder="1" applyAlignment="1">
      <alignment horizontal="left" vertical="center" wrapText="1"/>
    </xf>
    <xf numFmtId="0" fontId="7" fillId="0" borderId="73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0" borderId="14" xfId="0" applyFont="1" applyBorder="1"/>
    <xf numFmtId="0" fontId="10" fillId="0" borderId="0" xfId="0" applyFont="1" applyAlignment="1">
      <alignment horizontal="center" vertical="center"/>
    </xf>
    <xf numFmtId="0" fontId="34" fillId="0" borderId="10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11" fillId="0" borderId="17" xfId="0" applyFont="1" applyBorder="1"/>
    <xf numFmtId="0" fontId="32" fillId="0" borderId="0" xfId="0" applyFont="1" applyAlignment="1">
      <alignment horizontal="left" vertical="center"/>
    </xf>
    <xf numFmtId="0" fontId="32" fillId="0" borderId="14" xfId="0" applyFont="1" applyBorder="1" applyAlignment="1">
      <alignment horizontal="left" vertical="center"/>
    </xf>
    <xf numFmtId="0" fontId="22" fillId="0" borderId="36" xfId="0" applyFont="1" applyBorder="1" applyAlignment="1">
      <alignment horizontal="center" vertical="center" wrapText="1"/>
    </xf>
    <xf numFmtId="0" fontId="11" fillId="0" borderId="41" xfId="0" applyFont="1" applyBorder="1"/>
    <xf numFmtId="165" fontId="22" fillId="0" borderId="34" xfId="0" applyNumberFormat="1" applyFont="1" applyBorder="1" applyAlignment="1">
      <alignment horizontal="center" vertical="center" wrapText="1"/>
    </xf>
    <xf numFmtId="0" fontId="11" fillId="0" borderId="38" xfId="0" applyFont="1" applyBorder="1"/>
    <xf numFmtId="0" fontId="23" fillId="0" borderId="6" xfId="0" applyFont="1" applyBorder="1" applyAlignment="1">
      <alignment horizontal="left" vertical="center" wrapText="1"/>
    </xf>
    <xf numFmtId="0" fontId="11" fillId="0" borderId="5" xfId="0" applyFont="1" applyBorder="1"/>
    <xf numFmtId="0" fontId="11" fillId="0" borderId="9" xfId="0" applyFont="1" applyBorder="1"/>
    <xf numFmtId="166" fontId="14" fillId="0" borderId="18" xfId="0" applyNumberFormat="1" applyFont="1" applyBorder="1" applyAlignment="1">
      <alignment horizontal="center" vertical="center"/>
    </xf>
    <xf numFmtId="166" fontId="14" fillId="0" borderId="19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11" fillId="0" borderId="16" xfId="0" applyFont="1" applyBorder="1"/>
    <xf numFmtId="0" fontId="23" fillId="0" borderId="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1" fillId="0" borderId="11" xfId="0" applyFont="1" applyBorder="1"/>
    <xf numFmtId="0" fontId="21" fillId="0" borderId="24" xfId="0" applyFont="1" applyBorder="1" applyAlignment="1">
      <alignment horizontal="left" vertical="center" wrapText="1"/>
    </xf>
    <xf numFmtId="0" fontId="11" fillId="0" borderId="25" xfId="0" applyFont="1" applyBorder="1"/>
    <xf numFmtId="0" fontId="21" fillId="0" borderId="29" xfId="0" applyFont="1" applyBorder="1" applyAlignment="1">
      <alignment horizontal="left" vertical="center" wrapText="1"/>
    </xf>
    <xf numFmtId="0" fontId="11" fillId="0" borderId="30" xfId="0" applyFont="1" applyBorder="1"/>
    <xf numFmtId="0" fontId="22" fillId="0" borderId="34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/>
    </xf>
    <xf numFmtId="0" fontId="11" fillId="0" borderId="37" xfId="0" applyFont="1" applyBorder="1"/>
    <xf numFmtId="0" fontId="22" fillId="0" borderId="35" xfId="0" applyFont="1" applyBorder="1" applyAlignment="1">
      <alignment horizontal="center" vertical="center" wrapText="1"/>
    </xf>
    <xf numFmtId="0" fontId="11" fillId="0" borderId="20" xfId="0" applyFont="1" applyBorder="1"/>
    <xf numFmtId="0" fontId="11" fillId="0" borderId="39" xfId="0" applyFont="1" applyBorder="1"/>
    <xf numFmtId="0" fontId="11" fillId="0" borderId="40" xfId="0" applyFont="1" applyBorder="1"/>
    <xf numFmtId="0" fontId="21" fillId="0" borderId="26" xfId="0" applyFont="1" applyBorder="1" applyAlignment="1">
      <alignment horizontal="left" vertical="center"/>
    </xf>
    <xf numFmtId="0" fontId="11" fillId="0" borderId="27" xfId="0" applyFont="1" applyBorder="1"/>
    <xf numFmtId="0" fontId="11" fillId="0" borderId="31" xfId="0" applyFont="1" applyBorder="1"/>
    <xf numFmtId="0" fontId="0" fillId="0" borderId="56" xfId="0" applyBorder="1" applyAlignment="1">
      <alignment horizontal="center" vertical="center"/>
    </xf>
    <xf numFmtId="0" fontId="11" fillId="0" borderId="57" xfId="0" applyFont="1" applyBorder="1"/>
    <xf numFmtId="0" fontId="0" fillId="0" borderId="56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11" fillId="0" borderId="62" xfId="0" applyFont="1" applyBorder="1"/>
    <xf numFmtId="0" fontId="40" fillId="0" borderId="22" xfId="0" applyFont="1" applyBorder="1" applyAlignment="1">
      <alignment horizontal="left" vertical="center" wrapText="1"/>
    </xf>
    <xf numFmtId="0" fontId="11" fillId="0" borderId="23" xfId="0" applyFont="1" applyBorder="1"/>
    <xf numFmtId="0" fontId="11" fillId="0" borderId="64" xfId="0" applyFont="1" applyBorder="1"/>
    <xf numFmtId="0" fontId="0" fillId="0" borderId="29" xfId="0" applyBorder="1"/>
    <xf numFmtId="0" fontId="11" fillId="0" borderId="49" xfId="0" applyFont="1" applyBorder="1"/>
    <xf numFmtId="0" fontId="24" fillId="0" borderId="26" xfId="0" applyFont="1" applyBorder="1" applyAlignment="1">
      <alignment vertical="center" wrapText="1"/>
    </xf>
    <xf numFmtId="0" fontId="11" fillId="0" borderId="28" xfId="0" applyFont="1" applyBorder="1"/>
    <xf numFmtId="0" fontId="27" fillId="0" borderId="30" xfId="0" applyFont="1" applyBorder="1" applyAlignment="1">
      <alignment vertical="center" wrapText="1"/>
    </xf>
    <xf numFmtId="0" fontId="27" fillId="0" borderId="13" xfId="0" applyFont="1" applyBorder="1" applyAlignment="1">
      <alignment horizontal="left" vertical="center" wrapText="1"/>
    </xf>
    <xf numFmtId="0" fontId="11" fillId="0" borderId="15" xfId="0" applyFont="1" applyBorder="1"/>
    <xf numFmtId="0" fontId="0" fillId="0" borderId="26" xfId="0" applyBorder="1" applyAlignment="1">
      <alignment horizontal="center"/>
    </xf>
    <xf numFmtId="3" fontId="24" fillId="0" borderId="27" xfId="0" applyNumberFormat="1" applyFont="1" applyBorder="1" applyAlignment="1">
      <alignment horizontal="center"/>
    </xf>
    <xf numFmtId="0" fontId="25" fillId="0" borderId="35" xfId="0" applyFont="1" applyBorder="1" applyAlignment="1">
      <alignment horizontal="center" vertical="center" wrapText="1"/>
    </xf>
    <xf numFmtId="0" fontId="11" fillId="0" borderId="12" xfId="0" applyFont="1" applyBorder="1"/>
    <xf numFmtId="0" fontId="11" fillId="0" borderId="44" xfId="0" applyFont="1" applyBorder="1"/>
    <xf numFmtId="0" fontId="11" fillId="0" borderId="45" xfId="0" applyFont="1" applyBorder="1"/>
    <xf numFmtId="0" fontId="27" fillId="0" borderId="47" xfId="0" applyFont="1" applyBorder="1" applyAlignment="1">
      <alignment horizontal="left"/>
    </xf>
    <xf numFmtId="0" fontId="11" fillId="0" borderId="48" xfId="0" applyFont="1" applyBorder="1"/>
    <xf numFmtId="0" fontId="1" fillId="0" borderId="24" xfId="0" applyFont="1" applyBorder="1" applyAlignment="1">
      <alignment horizontal="left" vertical="center" wrapText="1"/>
    </xf>
    <xf numFmtId="0" fontId="11" fillId="0" borderId="46" xfId="0" applyFont="1" applyBorder="1"/>
    <xf numFmtId="0" fontId="26" fillId="0" borderId="24" xfId="0" applyFont="1" applyBorder="1"/>
    <xf numFmtId="0" fontId="27" fillId="0" borderId="29" xfId="0" applyFont="1" applyBorder="1" applyAlignment="1">
      <alignment horizontal="left"/>
    </xf>
    <xf numFmtId="0" fontId="28" fillId="0" borderId="24" xfId="0" applyFont="1" applyBorder="1" applyAlignment="1">
      <alignment horizontal="left"/>
    </xf>
    <xf numFmtId="0" fontId="39" fillId="0" borderId="54" xfId="0" applyFont="1" applyBorder="1" applyAlignment="1">
      <alignment horizontal="left" vertical="center"/>
    </xf>
    <xf numFmtId="0" fontId="11" fillId="0" borderId="75" xfId="0" applyFont="1" applyBorder="1"/>
    <xf numFmtId="49" fontId="37" fillId="0" borderId="13" xfId="0" applyNumberFormat="1" applyFont="1" applyBorder="1" applyAlignment="1">
      <alignment horizontal="left" vertical="center" wrapText="1"/>
    </xf>
    <xf numFmtId="0" fontId="29" fillId="0" borderId="29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 wrapText="1"/>
    </xf>
    <xf numFmtId="0" fontId="11" fillId="0" borderId="51" xfId="0" applyFont="1" applyBorder="1"/>
    <xf numFmtId="0" fontId="11" fillId="0" borderId="81" xfId="0" applyFont="1" applyBorder="1"/>
    <xf numFmtId="0" fontId="11" fillId="0" borderId="82" xfId="0" applyFont="1" applyBorder="1"/>
    <xf numFmtId="165" fontId="29" fillId="0" borderId="49" xfId="0" applyNumberFormat="1" applyFont="1" applyBorder="1" applyAlignment="1">
      <alignment horizontal="center" vertical="center"/>
    </xf>
    <xf numFmtId="0" fontId="11" fillId="0" borderId="8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6"/>
  <sheetViews>
    <sheetView tabSelected="1" topLeftCell="A7" zoomScale="90" zoomScaleNormal="90" workbookViewId="0">
      <selection activeCell="A15" sqref="A15"/>
    </sheetView>
  </sheetViews>
  <sheetFormatPr baseColWidth="10" defaultColWidth="14.42578125" defaultRowHeight="15" customHeight="1" x14ac:dyDescent="0.25"/>
  <cols>
    <col min="1" max="1" width="8.5703125" customWidth="1"/>
    <col min="2" max="2" width="13.85546875" customWidth="1"/>
    <col min="3" max="3" width="47.140625" customWidth="1"/>
    <col min="4" max="4" width="5.5703125" customWidth="1"/>
    <col min="5" max="5" width="91.85546875" customWidth="1"/>
    <col min="6" max="6" width="18.140625" customWidth="1"/>
    <col min="7" max="7" width="11.5703125" customWidth="1"/>
    <col min="8" max="8" width="15.5703125" customWidth="1"/>
    <col min="9" max="9" width="16.7109375" customWidth="1"/>
    <col min="10" max="10" width="67.28515625" customWidth="1"/>
  </cols>
  <sheetData>
    <row r="1" spans="1:10" x14ac:dyDescent="0.25">
      <c r="A1" s="1">
        <v>2022</v>
      </c>
      <c r="B1" s="2"/>
      <c r="C1" s="3"/>
      <c r="D1" s="3"/>
      <c r="E1" s="4"/>
      <c r="F1" s="3"/>
      <c r="G1" s="8"/>
      <c r="H1" s="6"/>
      <c r="I1" s="6"/>
      <c r="J1" s="9"/>
    </row>
    <row r="2" spans="1:10" ht="18.75" x14ac:dyDescent="0.25">
      <c r="A2" s="3"/>
      <c r="B2" s="127" t="s">
        <v>0</v>
      </c>
      <c r="C2" s="128"/>
      <c r="D2" s="128"/>
      <c r="E2" s="128"/>
      <c r="F2" s="128"/>
      <c r="G2" s="128"/>
      <c r="H2" s="128"/>
      <c r="I2" s="6"/>
      <c r="J2" s="9"/>
    </row>
    <row r="3" spans="1:10" x14ac:dyDescent="0.25">
      <c r="A3" s="3"/>
      <c r="B3" s="2"/>
      <c r="C3" s="3"/>
      <c r="D3" s="3"/>
      <c r="E3" s="4"/>
      <c r="F3" s="3"/>
      <c r="G3" s="8"/>
      <c r="H3" s="6"/>
      <c r="I3" s="6"/>
      <c r="J3" s="9"/>
    </row>
    <row r="4" spans="1:10" x14ac:dyDescent="0.25">
      <c r="A4" s="131" t="s">
        <v>1</v>
      </c>
      <c r="B4" s="128"/>
      <c r="C4" s="129" t="s">
        <v>2</v>
      </c>
      <c r="D4" s="128"/>
      <c r="E4" s="128"/>
      <c r="F4" s="12"/>
      <c r="G4" s="8"/>
      <c r="H4" s="6"/>
      <c r="I4" s="6"/>
      <c r="J4" s="9"/>
    </row>
    <row r="5" spans="1:10" x14ac:dyDescent="0.25">
      <c r="A5" s="131" t="s">
        <v>3</v>
      </c>
      <c r="B5" s="128"/>
      <c r="C5" s="130" t="s">
        <v>4</v>
      </c>
      <c r="D5" s="128"/>
      <c r="E5" s="128"/>
      <c r="F5" s="12"/>
      <c r="G5" s="13"/>
      <c r="H5" s="5"/>
      <c r="I5" s="5"/>
      <c r="J5" s="9"/>
    </row>
    <row r="6" spans="1:10" x14ac:dyDescent="0.25">
      <c r="A6" s="131" t="s">
        <v>5</v>
      </c>
      <c r="B6" s="128"/>
      <c r="C6" s="14">
        <v>2022</v>
      </c>
      <c r="D6" s="11"/>
      <c r="E6" s="14"/>
      <c r="F6" s="12"/>
      <c r="G6" s="13"/>
      <c r="H6" s="5"/>
      <c r="I6" s="5"/>
      <c r="J6" s="9"/>
    </row>
    <row r="7" spans="1:10" x14ac:dyDescent="0.25">
      <c r="A7" s="131" t="s">
        <v>6</v>
      </c>
      <c r="B7" s="128"/>
      <c r="C7" s="105" t="s">
        <v>77</v>
      </c>
      <c r="D7" s="11"/>
      <c r="E7" s="14"/>
      <c r="F7" s="12"/>
      <c r="G7" s="13"/>
      <c r="H7" s="5"/>
      <c r="I7" s="5"/>
      <c r="J7" s="9"/>
    </row>
    <row r="8" spans="1:10" ht="15.75" thickBot="1" x14ac:dyDescent="0.3">
      <c r="A8" s="3"/>
      <c r="B8" s="12"/>
      <c r="C8" s="12"/>
      <c r="D8" s="12"/>
      <c r="E8" s="15"/>
      <c r="F8" s="12"/>
      <c r="G8" s="13"/>
      <c r="H8" s="5"/>
      <c r="I8" s="5"/>
      <c r="J8" s="9"/>
    </row>
    <row r="9" spans="1:10" ht="39" thickBot="1" x14ac:dyDescent="0.3">
      <c r="A9" s="16" t="s">
        <v>7</v>
      </c>
      <c r="B9" s="17" t="s">
        <v>8</v>
      </c>
      <c r="C9" s="18" t="s">
        <v>9</v>
      </c>
      <c r="D9" s="17" t="s">
        <v>10</v>
      </c>
      <c r="E9" s="19" t="s">
        <v>11</v>
      </c>
      <c r="F9" s="18" t="s">
        <v>12</v>
      </c>
      <c r="G9" s="20" t="s">
        <v>13</v>
      </c>
      <c r="H9" s="22" t="s">
        <v>14</v>
      </c>
      <c r="I9" s="21" t="s">
        <v>15</v>
      </c>
      <c r="J9" s="102" t="s">
        <v>16</v>
      </c>
    </row>
    <row r="10" spans="1:10" ht="53.25" customHeight="1" x14ac:dyDescent="0.25">
      <c r="A10" s="98">
        <v>1</v>
      </c>
      <c r="B10" s="95" t="s">
        <v>21</v>
      </c>
      <c r="C10" s="95" t="s">
        <v>19</v>
      </c>
      <c r="D10" s="95" t="s">
        <v>17</v>
      </c>
      <c r="E10" s="96" t="s">
        <v>22</v>
      </c>
      <c r="F10" s="95" t="s">
        <v>18</v>
      </c>
      <c r="G10" s="100">
        <v>10</v>
      </c>
      <c r="H10" s="99">
        <v>136000</v>
      </c>
      <c r="I10" s="97">
        <f t="shared" ref="I10:I11" si="0">+G10*H10</f>
        <v>1360000</v>
      </c>
      <c r="J10" s="104" t="s">
        <v>80</v>
      </c>
    </row>
    <row r="11" spans="1:10" ht="39" thickBot="1" x14ac:dyDescent="0.3">
      <c r="A11" s="98">
        <v>2</v>
      </c>
      <c r="B11" s="95" t="s">
        <v>23</v>
      </c>
      <c r="C11" s="95" t="s">
        <v>20</v>
      </c>
      <c r="D11" s="101" t="s">
        <v>17</v>
      </c>
      <c r="E11" s="96" t="s">
        <v>24</v>
      </c>
      <c r="F11" s="95" t="s">
        <v>18</v>
      </c>
      <c r="G11" s="113">
        <v>10</v>
      </c>
      <c r="H11" s="99">
        <v>80000</v>
      </c>
      <c r="I11" s="97">
        <f t="shared" si="0"/>
        <v>800000</v>
      </c>
      <c r="J11" s="103" t="s">
        <v>76</v>
      </c>
    </row>
    <row r="12" spans="1:10" ht="15.75" customHeight="1" thickBot="1" x14ac:dyDescent="0.3">
      <c r="A12" s="23"/>
      <c r="B12" s="24"/>
      <c r="C12" s="25"/>
      <c r="D12" s="25"/>
      <c r="E12" s="26" t="s">
        <v>25</v>
      </c>
      <c r="F12" s="25"/>
      <c r="G12" s="28"/>
      <c r="H12" s="27"/>
      <c r="I12" s="29">
        <f>+SUM(I10:I11)</f>
        <v>2160000</v>
      </c>
      <c r="J12" s="30"/>
    </row>
    <row r="13" spans="1:10" ht="15.75" customHeight="1" x14ac:dyDescent="0.25">
      <c r="A13" s="31"/>
      <c r="B13" s="31"/>
      <c r="C13" s="31"/>
      <c r="D13" s="31"/>
      <c r="E13" s="32"/>
      <c r="F13" s="31"/>
      <c r="G13" s="33"/>
      <c r="H13" s="34"/>
      <c r="I13" s="34"/>
      <c r="J13" s="35"/>
    </row>
    <row r="14" spans="1:10" ht="15.75" customHeight="1" thickBot="1" x14ac:dyDescent="0.3">
      <c r="A14" s="31"/>
      <c r="B14" s="31"/>
      <c r="C14" s="31"/>
      <c r="D14" s="31"/>
      <c r="E14" s="32"/>
      <c r="F14" s="31"/>
      <c r="G14" s="33"/>
      <c r="H14" s="34"/>
      <c r="I14" s="34"/>
      <c r="J14" s="35"/>
    </row>
    <row r="15" spans="1:10" ht="29.25" customHeight="1" x14ac:dyDescent="0.25">
      <c r="A15" s="31"/>
      <c r="B15" s="31"/>
      <c r="C15" s="135" t="s">
        <v>26</v>
      </c>
      <c r="D15" s="136"/>
      <c r="E15" s="137"/>
      <c r="F15" s="31"/>
      <c r="G15" s="33"/>
      <c r="H15" s="34"/>
      <c r="I15" s="34"/>
      <c r="J15" s="36"/>
    </row>
    <row r="16" spans="1:10" ht="29.25" customHeight="1" x14ac:dyDescent="0.25">
      <c r="A16" s="31"/>
      <c r="B16" s="31"/>
      <c r="C16" s="138" t="s">
        <v>82</v>
      </c>
      <c r="D16" s="139"/>
      <c r="E16" s="140"/>
      <c r="F16" s="31"/>
      <c r="G16" s="33"/>
      <c r="H16" s="34"/>
      <c r="I16" s="34"/>
      <c r="J16" s="36"/>
    </row>
    <row r="17" spans="1:10" ht="15.75" customHeight="1" x14ac:dyDescent="0.25">
      <c r="A17" s="31"/>
      <c r="B17" s="31"/>
      <c r="C17" s="37"/>
      <c r="D17" s="141"/>
      <c r="E17" s="133"/>
      <c r="F17" s="31"/>
      <c r="G17" s="33"/>
      <c r="H17" s="34"/>
      <c r="I17" s="34"/>
      <c r="J17" s="35"/>
    </row>
    <row r="18" spans="1:10" ht="15.75" customHeight="1" x14ac:dyDescent="0.25">
      <c r="A18" s="31"/>
      <c r="B18" s="31"/>
      <c r="C18" s="37" t="s">
        <v>27</v>
      </c>
      <c r="D18" s="94" t="s">
        <v>75</v>
      </c>
      <c r="E18" s="39"/>
      <c r="F18" s="31"/>
      <c r="G18" s="33"/>
      <c r="H18" s="34"/>
      <c r="I18" s="34"/>
      <c r="J18" s="35"/>
    </row>
    <row r="19" spans="1:10" ht="15.75" customHeight="1" x14ac:dyDescent="0.25">
      <c r="A19" s="31"/>
      <c r="B19" s="31"/>
      <c r="C19" s="37"/>
      <c r="D19" s="134"/>
      <c r="E19" s="133"/>
      <c r="F19" s="31"/>
      <c r="G19" s="33"/>
      <c r="H19" s="34"/>
      <c r="I19" s="34"/>
      <c r="J19" s="35"/>
    </row>
    <row r="20" spans="1:10" ht="15.75" customHeight="1" x14ac:dyDescent="0.25">
      <c r="A20" s="31"/>
      <c r="B20" s="31"/>
      <c r="C20" s="37" t="s">
        <v>28</v>
      </c>
      <c r="D20" s="132" t="s">
        <v>29</v>
      </c>
      <c r="E20" s="133"/>
      <c r="F20" s="31"/>
      <c r="G20" s="33"/>
      <c r="H20" s="34"/>
      <c r="I20" s="34"/>
      <c r="J20" s="35"/>
    </row>
    <row r="21" spans="1:10" ht="15.75" customHeight="1" x14ac:dyDescent="0.25">
      <c r="A21" s="31"/>
      <c r="B21" s="31"/>
      <c r="C21" s="37"/>
      <c r="D21" s="134"/>
      <c r="E21" s="133"/>
      <c r="F21" s="31"/>
      <c r="G21" s="33"/>
      <c r="H21" s="34"/>
      <c r="I21" s="34"/>
      <c r="J21" s="35"/>
    </row>
    <row r="22" spans="1:10" ht="15.75" customHeight="1" x14ac:dyDescent="0.25">
      <c r="A22" s="31"/>
      <c r="B22" s="31"/>
      <c r="C22" s="37" t="s">
        <v>30</v>
      </c>
      <c r="D22" s="134"/>
      <c r="E22" s="133"/>
      <c r="F22" s="31"/>
      <c r="G22" s="33"/>
      <c r="H22" s="34"/>
      <c r="I22" s="34"/>
      <c r="J22" s="35"/>
    </row>
    <row r="23" spans="1:10" ht="15.75" customHeight="1" x14ac:dyDescent="0.25">
      <c r="A23" s="31"/>
      <c r="B23" s="31"/>
      <c r="C23" s="37"/>
      <c r="D23" s="93"/>
      <c r="E23" s="92"/>
      <c r="F23" s="31"/>
      <c r="G23" s="33"/>
      <c r="H23" s="34"/>
      <c r="I23" s="34"/>
      <c r="J23" s="35"/>
    </row>
    <row r="24" spans="1:10" ht="15.75" customHeight="1" x14ac:dyDescent="0.25">
      <c r="A24" s="31"/>
      <c r="B24" s="31"/>
      <c r="C24" s="106" t="s">
        <v>78</v>
      </c>
      <c r="D24" s="144" t="s">
        <v>79</v>
      </c>
      <c r="E24" s="145"/>
      <c r="F24" s="31"/>
      <c r="G24" s="33"/>
      <c r="H24" s="34"/>
      <c r="I24" s="34"/>
      <c r="J24" s="35"/>
    </row>
    <row r="25" spans="1:10" ht="15.75" customHeight="1" x14ac:dyDescent="0.25">
      <c r="A25" s="31"/>
      <c r="B25" s="31"/>
      <c r="C25" s="37"/>
      <c r="D25" s="134"/>
      <c r="E25" s="133"/>
      <c r="F25" s="31"/>
      <c r="G25" s="33"/>
      <c r="H25" s="34"/>
      <c r="I25" s="34"/>
      <c r="J25" s="35"/>
    </row>
    <row r="26" spans="1:10" ht="15.75" customHeight="1" x14ac:dyDescent="0.25">
      <c r="A26" s="31"/>
      <c r="B26" s="31"/>
      <c r="C26" s="37" t="s">
        <v>31</v>
      </c>
      <c r="D26" s="38" t="s">
        <v>32</v>
      </c>
      <c r="E26" s="39"/>
      <c r="F26" s="31"/>
      <c r="G26" s="33"/>
      <c r="H26" s="34"/>
      <c r="I26" s="34"/>
      <c r="J26" s="35"/>
    </row>
    <row r="27" spans="1:10" ht="15.75" customHeight="1" thickBot="1" x14ac:dyDescent="0.3">
      <c r="A27" s="31"/>
      <c r="B27" s="31"/>
      <c r="C27" s="40"/>
      <c r="D27" s="142"/>
      <c r="E27" s="143"/>
      <c r="F27" s="31"/>
      <c r="G27" s="33"/>
      <c r="H27" s="34"/>
      <c r="I27" s="34"/>
      <c r="J27" s="35"/>
    </row>
    <row r="28" spans="1:10" ht="15.75" customHeight="1" x14ac:dyDescent="0.25">
      <c r="A28" s="31"/>
      <c r="B28" s="31"/>
      <c r="C28" s="31"/>
      <c r="D28" s="31"/>
      <c r="E28" s="32"/>
      <c r="F28" s="31"/>
      <c r="G28" s="33"/>
      <c r="H28" s="34"/>
      <c r="I28" s="34"/>
      <c r="J28" s="35"/>
    </row>
    <row r="29" spans="1:10" ht="15.75" customHeight="1" thickBot="1" x14ac:dyDescent="0.3">
      <c r="A29" s="7"/>
      <c r="B29" s="7"/>
      <c r="C29" s="107"/>
      <c r="D29" s="41"/>
      <c r="E29" s="41"/>
      <c r="F29" s="7"/>
      <c r="G29" s="8"/>
      <c r="H29" s="6"/>
      <c r="I29" s="6"/>
      <c r="J29" s="9"/>
    </row>
    <row r="30" spans="1:10" ht="15" customHeight="1" x14ac:dyDescent="0.25">
      <c r="C30" s="121" t="s">
        <v>83</v>
      </c>
      <c r="D30" s="122"/>
      <c r="E30" s="123"/>
    </row>
    <row r="31" spans="1:10" ht="38.25" customHeight="1" thickBot="1" x14ac:dyDescent="0.3">
      <c r="C31" s="124" t="str">
        <f>J10</f>
        <v xml:space="preserve">Heladera No Frost de 400 lts aproximadamente (incluyendo el freezer). Con estantes de vidrio templado, alarma de puerta abierta, filtro antibacterial y control de temperatura. </v>
      </c>
      <c r="D31" s="125"/>
      <c r="E31" s="126"/>
    </row>
    <row r="32" spans="1:10" ht="15" customHeight="1" thickBot="1" x14ac:dyDescent="0.3">
      <c r="C32" s="107"/>
      <c r="D32" s="41"/>
      <c r="E32" s="41"/>
    </row>
    <row r="33" spans="3:5" ht="15" customHeight="1" x14ac:dyDescent="0.25">
      <c r="C33" s="121" t="s">
        <v>84</v>
      </c>
      <c r="D33" s="122"/>
      <c r="E33" s="123"/>
    </row>
    <row r="34" spans="3:5" ht="15" customHeight="1" thickBot="1" x14ac:dyDescent="0.3">
      <c r="C34" s="124" t="str">
        <f>J11</f>
        <v>SECARROPA CENTRIFUGO (Alim.220V, Cap.10Kg, Efic.energ. B)</v>
      </c>
      <c r="D34" s="125"/>
      <c r="E34" s="126"/>
    </row>
    <row r="35" spans="3:5" ht="15" customHeight="1" x14ac:dyDescent="0.25">
      <c r="C35" s="10"/>
      <c r="D35" s="10"/>
      <c r="E35" s="10"/>
    </row>
    <row r="36" spans="3:5" ht="15" customHeight="1" x14ac:dyDescent="0.25">
      <c r="C36" s="10"/>
      <c r="D36" s="10"/>
      <c r="E36" s="10"/>
    </row>
  </sheetData>
  <mergeCells count="21">
    <mergeCell ref="D21:E21"/>
    <mergeCell ref="D22:E22"/>
    <mergeCell ref="D25:E25"/>
    <mergeCell ref="D27:E27"/>
    <mergeCell ref="D24:E24"/>
    <mergeCell ref="C33:E33"/>
    <mergeCell ref="C34:E34"/>
    <mergeCell ref="C31:E31"/>
    <mergeCell ref="C30:E30"/>
    <mergeCell ref="B2:H2"/>
    <mergeCell ref="C4:E4"/>
    <mergeCell ref="C5:E5"/>
    <mergeCell ref="A4:B4"/>
    <mergeCell ref="A5:B5"/>
    <mergeCell ref="A6:B6"/>
    <mergeCell ref="A7:B7"/>
    <mergeCell ref="D20:E20"/>
    <mergeCell ref="D19:E19"/>
    <mergeCell ref="C15:E15"/>
    <mergeCell ref="C16:E16"/>
    <mergeCell ref="D17:E17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5"/>
  <sheetViews>
    <sheetView workbookViewId="0">
      <selection activeCell="D9" sqref="D9"/>
    </sheetView>
  </sheetViews>
  <sheetFormatPr baseColWidth="10" defaultColWidth="14.42578125" defaultRowHeight="15" customHeight="1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6.710937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2" max="12" width="10.7109375" style="108" customWidth="1"/>
    <col min="13" max="13" width="14.7109375" style="111" customWidth="1"/>
    <col min="14" max="15" width="14.5703125" style="111" customWidth="1"/>
    <col min="16" max="16" width="15.5703125" style="111" customWidth="1"/>
    <col min="17" max="17" width="14.5703125" style="111" customWidth="1"/>
    <col min="18" max="18" width="15.5703125" style="111" customWidth="1"/>
    <col min="19" max="24" width="14.42578125" style="108"/>
  </cols>
  <sheetData>
    <row r="1" spans="1:18" ht="30" x14ac:dyDescent="0.25">
      <c r="A1" s="158" t="s">
        <v>33</v>
      </c>
      <c r="B1" s="159"/>
      <c r="C1" s="159"/>
      <c r="D1" s="159"/>
      <c r="E1" s="159"/>
      <c r="F1" s="159"/>
      <c r="G1" s="159"/>
      <c r="H1" s="159"/>
      <c r="I1" s="159"/>
      <c r="J1" s="42" t="s">
        <v>34</v>
      </c>
      <c r="K1" s="109" t="s">
        <v>85</v>
      </c>
      <c r="M1" s="110"/>
      <c r="N1" s="110"/>
      <c r="O1" s="110"/>
      <c r="P1" s="110"/>
      <c r="Q1" s="110"/>
    </row>
    <row r="2" spans="1:18" ht="15.75" x14ac:dyDescent="0.25">
      <c r="A2" s="43"/>
      <c r="B2" s="44"/>
      <c r="C2" s="45"/>
      <c r="D2" s="46"/>
      <c r="E2" s="46"/>
      <c r="F2" s="46"/>
      <c r="G2" s="46"/>
      <c r="H2" s="46"/>
      <c r="I2" s="46"/>
      <c r="J2" s="47"/>
      <c r="K2" s="48"/>
      <c r="M2" s="110"/>
      <c r="N2" s="110"/>
      <c r="O2" s="110"/>
      <c r="P2" s="110"/>
      <c r="Q2" s="110"/>
    </row>
    <row r="3" spans="1:18" ht="16.5" customHeight="1" x14ac:dyDescent="0.25">
      <c r="A3" s="160" t="s">
        <v>35</v>
      </c>
      <c r="B3" s="161"/>
      <c r="C3" s="161"/>
      <c r="D3" s="49" t="s">
        <v>2</v>
      </c>
      <c r="E3" s="50"/>
      <c r="F3" s="50"/>
      <c r="G3" s="50"/>
      <c r="H3" s="50"/>
      <c r="I3" s="50"/>
      <c r="J3" s="51"/>
      <c r="K3" s="52"/>
      <c r="M3" s="110"/>
      <c r="N3" s="110"/>
      <c r="O3" s="110"/>
      <c r="P3" s="110"/>
      <c r="Q3" s="110"/>
    </row>
    <row r="4" spans="1:18" ht="16.5" customHeight="1" x14ac:dyDescent="0.25">
      <c r="A4" s="162" t="s">
        <v>36</v>
      </c>
      <c r="B4" s="163"/>
      <c r="C4" s="163"/>
      <c r="D4" s="49" t="s">
        <v>37</v>
      </c>
      <c r="E4" s="50"/>
      <c r="F4" s="50"/>
      <c r="G4" s="50"/>
      <c r="H4" s="50"/>
      <c r="I4" s="50"/>
      <c r="J4" s="51"/>
      <c r="K4" s="52"/>
      <c r="M4" s="110"/>
      <c r="N4" s="110"/>
      <c r="O4" s="110"/>
      <c r="P4" s="110"/>
      <c r="Q4" s="110"/>
    </row>
    <row r="5" spans="1:18" ht="15.75" x14ac:dyDescent="0.25">
      <c r="A5" s="162" t="s">
        <v>38</v>
      </c>
      <c r="B5" s="163"/>
      <c r="C5" s="163"/>
      <c r="D5" s="49" t="s">
        <v>39</v>
      </c>
      <c r="E5" s="50"/>
      <c r="F5" s="50"/>
      <c r="G5" s="50"/>
      <c r="H5" s="50"/>
      <c r="I5" s="50"/>
      <c r="J5" s="51"/>
      <c r="K5" s="52"/>
      <c r="M5" s="110"/>
      <c r="N5" s="110"/>
      <c r="O5" s="110"/>
      <c r="P5" s="110"/>
      <c r="Q5" s="110"/>
    </row>
    <row r="6" spans="1:18" ht="15.75" x14ac:dyDescent="0.25">
      <c r="A6" s="160" t="s">
        <v>40</v>
      </c>
      <c r="B6" s="161"/>
      <c r="C6" s="161"/>
      <c r="D6" s="49" t="s">
        <v>39</v>
      </c>
      <c r="E6" s="50"/>
      <c r="F6" s="50"/>
      <c r="G6" s="50"/>
      <c r="H6" s="50"/>
      <c r="I6" s="50"/>
      <c r="J6" s="51"/>
      <c r="K6" s="52"/>
      <c r="M6" s="110"/>
      <c r="N6" s="110"/>
      <c r="O6" s="110"/>
      <c r="P6" s="110"/>
      <c r="Q6" s="110"/>
    </row>
    <row r="7" spans="1:18" ht="15.75" x14ac:dyDescent="0.25">
      <c r="A7" s="162" t="s">
        <v>41</v>
      </c>
      <c r="B7" s="163"/>
      <c r="C7" s="163"/>
      <c r="D7" s="49" t="s">
        <v>81</v>
      </c>
      <c r="E7" s="50"/>
      <c r="F7" s="50"/>
      <c r="G7" s="50"/>
      <c r="H7" s="50"/>
      <c r="I7" s="50"/>
      <c r="J7" s="51"/>
      <c r="K7" s="52"/>
      <c r="M7" s="110"/>
      <c r="N7" s="110"/>
      <c r="O7" s="110"/>
      <c r="P7" s="110"/>
      <c r="Q7" s="110"/>
    </row>
    <row r="8" spans="1:18" ht="16.5" customHeight="1" x14ac:dyDescent="0.25">
      <c r="A8" s="171" t="s">
        <v>42</v>
      </c>
      <c r="B8" s="172"/>
      <c r="C8" s="173"/>
      <c r="D8" s="53" t="s">
        <v>89</v>
      </c>
      <c r="E8" s="50"/>
      <c r="F8" s="50"/>
      <c r="G8" s="50"/>
      <c r="H8" s="50"/>
      <c r="I8" s="50"/>
      <c r="J8" s="51"/>
      <c r="K8" s="52"/>
      <c r="M8" s="110"/>
      <c r="N8" s="110"/>
      <c r="O8" s="110"/>
      <c r="P8" s="110"/>
      <c r="Q8" s="110"/>
    </row>
    <row r="9" spans="1:18" ht="15.75" x14ac:dyDescent="0.25">
      <c r="A9" s="54"/>
      <c r="B9" s="55"/>
      <c r="C9" s="56"/>
      <c r="D9" s="57"/>
      <c r="E9" s="57"/>
      <c r="F9" s="57"/>
      <c r="G9" s="57"/>
      <c r="H9" s="57"/>
      <c r="I9" s="57"/>
      <c r="J9" s="58"/>
      <c r="K9" s="59"/>
      <c r="M9" s="110"/>
      <c r="N9" s="110"/>
      <c r="O9" s="110"/>
      <c r="P9" s="110"/>
      <c r="Q9" s="110"/>
    </row>
    <row r="10" spans="1:18" x14ac:dyDescent="0.25">
      <c r="A10" s="165" t="s">
        <v>43</v>
      </c>
      <c r="B10" s="164" t="s">
        <v>44</v>
      </c>
      <c r="C10" s="167" t="s">
        <v>45</v>
      </c>
      <c r="D10" s="159"/>
      <c r="E10" s="159"/>
      <c r="F10" s="159"/>
      <c r="G10" s="168"/>
      <c r="H10" s="164" t="s">
        <v>46</v>
      </c>
      <c r="I10" s="164" t="s">
        <v>47</v>
      </c>
      <c r="J10" s="148" t="s">
        <v>48</v>
      </c>
      <c r="K10" s="146" t="s">
        <v>49</v>
      </c>
      <c r="M10" s="110"/>
      <c r="N10" s="110"/>
      <c r="O10" s="110"/>
      <c r="P10" s="110"/>
      <c r="Q10" s="110"/>
    </row>
    <row r="11" spans="1:18" ht="36.75" customHeight="1" x14ac:dyDescent="0.25">
      <c r="A11" s="166"/>
      <c r="B11" s="149"/>
      <c r="C11" s="169"/>
      <c r="D11" s="128"/>
      <c r="E11" s="128"/>
      <c r="F11" s="128"/>
      <c r="G11" s="170"/>
      <c r="H11" s="149"/>
      <c r="I11" s="149"/>
      <c r="J11" s="149"/>
      <c r="K11" s="147"/>
    </row>
    <row r="12" spans="1:18" ht="44.25" customHeight="1" x14ac:dyDescent="0.25">
      <c r="A12" s="60">
        <v>1</v>
      </c>
      <c r="B12" s="61" t="str">
        <f>'SAF 011 - NECESIDAD TRIMESTRAL'!B10</f>
        <v>4.3.7-15.123</v>
      </c>
      <c r="C12" s="150" t="str">
        <f>'SAF 011 - NECESIDAD TRIMESTRAL'!E10</f>
        <v>HELADERAS; CAPACIDAD: 400 L, FRIO: CON FREEZER, CONSUMO: MENOR A 5 KVA, TENSION NOMINAL: 220 V, CRITERIO DE SEGURIDAD: SELLO DE SEGURIDAD, CORRIENTE NOMINAL: MENOR A 63 A, EFICIENCIA ENERGETICA: GRADO A</v>
      </c>
      <c r="D12" s="151"/>
      <c r="E12" s="151"/>
      <c r="F12" s="151"/>
      <c r="G12" s="152"/>
      <c r="H12" s="61" t="s">
        <v>50</v>
      </c>
      <c r="I12" s="62" t="str">
        <f>'SAF 011 - NECESIDAD TRIMESTRAL'!F10</f>
        <v>UNIDAD</v>
      </c>
      <c r="J12" s="63">
        <f>'SAF 011 - NECESIDAD TRIMESTRAL'!H10</f>
        <v>136000</v>
      </c>
      <c r="K12" s="64" t="e">
        <f>'SAF 011 - NECESIDAD TRIMESTRAL'!#REF!</f>
        <v>#REF!</v>
      </c>
      <c r="M12" s="110"/>
      <c r="N12" s="110"/>
      <c r="O12" s="110"/>
      <c r="P12" s="110"/>
      <c r="Q12" s="110"/>
    </row>
    <row r="13" spans="1:18" ht="51.75" customHeight="1" x14ac:dyDescent="0.25">
      <c r="A13" s="60">
        <v>2</v>
      </c>
      <c r="B13" s="61" t="str">
        <f>'SAF 011 - NECESIDAD TRIMESTRAL'!B11</f>
        <v>4.3.9-2655.27</v>
      </c>
      <c r="C13" s="150" t="str">
        <f>'SAF 011 - NECESIDAD TRIMESTRAL'!E11</f>
        <v>SECARROPAS/CENTRIFUGA; TIPO: ROTATIVO, SECADO: POR CALOR, CAPACIDAD: 10 Kg, TENSION NOMINAL: 220 V, CORRIENTE NOMINAL: 10 A, CRITERIO DE SEGURIDAD: SELLO DE SEGURIDAD, CONSUMO: 6 KW, EFICIENCIA ENERGETICA: GRADO B</v>
      </c>
      <c r="D13" s="151"/>
      <c r="E13" s="151"/>
      <c r="F13" s="151"/>
      <c r="G13" s="152"/>
      <c r="H13" s="61" t="s">
        <v>50</v>
      </c>
      <c r="I13" s="62" t="str">
        <f>'SAF 011 - NECESIDAD TRIMESTRAL'!F11</f>
        <v>UNIDAD</v>
      </c>
      <c r="J13" s="63">
        <f>'SAF 011 - NECESIDAD TRIMESTRAL'!H11</f>
        <v>80000</v>
      </c>
      <c r="K13" s="64" t="e">
        <f>'SAF 011 - NECESIDAD TRIMESTRAL'!#REF!</f>
        <v>#REF!</v>
      </c>
      <c r="M13" s="110"/>
      <c r="N13" s="110"/>
      <c r="O13" s="110"/>
      <c r="P13" s="110"/>
      <c r="Q13" s="110"/>
    </row>
    <row r="14" spans="1:18" ht="15.75" customHeight="1" x14ac:dyDescent="0.25">
      <c r="A14" s="60"/>
      <c r="B14" s="61"/>
      <c r="C14" s="157"/>
      <c r="D14" s="151"/>
      <c r="E14" s="151"/>
      <c r="F14" s="151"/>
      <c r="G14" s="152"/>
      <c r="H14" s="61"/>
      <c r="I14" s="62"/>
      <c r="J14" s="63"/>
      <c r="K14" s="64"/>
      <c r="M14" s="110"/>
      <c r="N14" s="110"/>
      <c r="O14" s="110"/>
      <c r="P14" s="110"/>
      <c r="Q14" s="110"/>
    </row>
    <row r="15" spans="1:18" ht="29.25" customHeight="1" thickBot="1" x14ac:dyDescent="0.3">
      <c r="A15" s="155" t="s">
        <v>87</v>
      </c>
      <c r="B15" s="156"/>
      <c r="C15" s="156"/>
      <c r="D15" s="156"/>
      <c r="E15" s="156"/>
      <c r="F15" s="156"/>
      <c r="G15" s="156"/>
      <c r="H15" s="156"/>
      <c r="I15" s="143"/>
      <c r="J15" s="153" t="e">
        <f>SUMPRODUCT(J12:J13,K12:K13)</f>
        <v>#REF!</v>
      </c>
      <c r="K15" s="154"/>
      <c r="M15" s="110"/>
      <c r="N15" s="110"/>
      <c r="O15" s="110"/>
      <c r="P15" s="110"/>
      <c r="Q15" s="110"/>
      <c r="R15" s="110"/>
    </row>
    <row r="16" spans="1:18" ht="15.75" customHeight="1" x14ac:dyDescent="0.25">
      <c r="B16" s="66"/>
      <c r="J16" s="65"/>
      <c r="M16" s="110"/>
      <c r="N16" s="110"/>
      <c r="O16" s="110"/>
      <c r="P16" s="110"/>
      <c r="Q16" s="110"/>
    </row>
    <row r="17" spans="2:17" ht="15.75" customHeight="1" x14ac:dyDescent="0.25">
      <c r="B17" s="66"/>
      <c r="J17" s="65"/>
      <c r="M17" s="110"/>
      <c r="N17" s="110"/>
      <c r="O17" s="110"/>
      <c r="P17" s="110"/>
      <c r="Q17" s="110"/>
    </row>
    <row r="18" spans="2:17" ht="15.75" customHeight="1" x14ac:dyDescent="0.25">
      <c r="B18" s="66"/>
      <c r="J18" s="65"/>
      <c r="M18" s="110"/>
      <c r="N18" s="110"/>
      <c r="O18" s="110"/>
      <c r="P18" s="110"/>
      <c r="Q18" s="110"/>
    </row>
    <row r="19" spans="2:17" ht="15.75" customHeight="1" x14ac:dyDescent="0.25">
      <c r="B19" s="66"/>
      <c r="J19" s="65"/>
      <c r="M19" s="110"/>
      <c r="N19" s="110"/>
      <c r="O19" s="110"/>
      <c r="P19" s="110"/>
      <c r="Q19" s="110"/>
    </row>
    <row r="20" spans="2:17" ht="15.75" customHeight="1" x14ac:dyDescent="0.25">
      <c r="B20" s="66"/>
      <c r="J20" s="65"/>
      <c r="M20" s="110"/>
      <c r="N20" s="110"/>
      <c r="O20" s="110"/>
      <c r="P20" s="110"/>
      <c r="Q20" s="110"/>
    </row>
    <row r="21" spans="2:17" ht="15.75" customHeight="1" x14ac:dyDescent="0.25">
      <c r="B21" s="66"/>
      <c r="J21" s="65"/>
      <c r="M21" s="110"/>
      <c r="N21" s="110"/>
      <c r="O21" s="110"/>
      <c r="P21" s="110"/>
      <c r="Q21" s="110"/>
    </row>
    <row r="22" spans="2:17" ht="15.75" customHeight="1" x14ac:dyDescent="0.25">
      <c r="B22" s="66"/>
      <c r="J22" s="65"/>
      <c r="M22" s="110"/>
      <c r="N22" s="110"/>
      <c r="O22" s="110"/>
      <c r="P22" s="110"/>
      <c r="Q22" s="110"/>
    </row>
    <row r="23" spans="2:17" ht="15.75" customHeight="1" x14ac:dyDescent="0.25">
      <c r="B23" s="66"/>
      <c r="J23" s="65"/>
      <c r="M23" s="110"/>
      <c r="N23" s="110"/>
      <c r="O23" s="110"/>
      <c r="P23" s="110"/>
      <c r="Q23" s="110"/>
    </row>
    <row r="24" spans="2:17" ht="15.75" customHeight="1" x14ac:dyDescent="0.25">
      <c r="B24" s="66"/>
      <c r="J24" s="65"/>
      <c r="M24" s="110"/>
      <c r="N24" s="110"/>
      <c r="O24" s="110"/>
      <c r="P24" s="110"/>
      <c r="Q24" s="110"/>
    </row>
    <row r="25" spans="2:17" ht="15.75" customHeight="1" x14ac:dyDescent="0.25">
      <c r="B25" s="66"/>
      <c r="J25" s="65"/>
      <c r="M25" s="110"/>
      <c r="N25" s="110"/>
      <c r="O25" s="110"/>
      <c r="P25" s="110"/>
      <c r="Q25" s="110"/>
    </row>
    <row r="26" spans="2:17" ht="15.75" customHeight="1" x14ac:dyDescent="0.25">
      <c r="B26" s="66"/>
      <c r="J26" s="65"/>
      <c r="M26" s="110"/>
      <c r="N26" s="110"/>
      <c r="O26" s="110"/>
      <c r="P26" s="110"/>
      <c r="Q26" s="110"/>
    </row>
    <row r="27" spans="2:17" ht="15.75" customHeight="1" x14ac:dyDescent="0.25">
      <c r="B27" s="66"/>
      <c r="J27" s="65"/>
      <c r="M27" s="110"/>
      <c r="N27" s="110"/>
      <c r="O27" s="110"/>
      <c r="P27" s="110"/>
      <c r="Q27" s="110"/>
    </row>
    <row r="28" spans="2:17" ht="15.75" customHeight="1" x14ac:dyDescent="0.25">
      <c r="B28" s="66"/>
      <c r="J28" s="65"/>
      <c r="M28" s="110"/>
      <c r="N28" s="110"/>
      <c r="O28" s="110"/>
      <c r="P28" s="110"/>
      <c r="Q28" s="110"/>
    </row>
    <row r="29" spans="2:17" ht="15.75" customHeight="1" x14ac:dyDescent="0.25">
      <c r="B29" s="66"/>
      <c r="J29" s="65"/>
      <c r="M29" s="110"/>
      <c r="N29" s="110"/>
      <c r="O29" s="110"/>
      <c r="P29" s="110"/>
      <c r="Q29" s="110"/>
    </row>
    <row r="30" spans="2:17" ht="15.75" customHeight="1" x14ac:dyDescent="0.25">
      <c r="B30" s="66"/>
      <c r="J30" s="65"/>
      <c r="M30" s="110"/>
      <c r="N30" s="110"/>
      <c r="O30" s="110"/>
      <c r="P30" s="110"/>
      <c r="Q30" s="110"/>
    </row>
    <row r="31" spans="2:17" ht="15.75" customHeight="1" x14ac:dyDescent="0.25">
      <c r="B31" s="66"/>
      <c r="J31" s="65"/>
      <c r="M31" s="110"/>
      <c r="N31" s="110"/>
      <c r="O31" s="110"/>
      <c r="P31" s="110"/>
      <c r="Q31" s="110"/>
    </row>
    <row r="32" spans="2:17" ht="15.75" customHeight="1" x14ac:dyDescent="0.25">
      <c r="B32" s="66"/>
      <c r="J32" s="65"/>
      <c r="M32" s="110"/>
      <c r="N32" s="110"/>
      <c r="O32" s="110"/>
      <c r="P32" s="110"/>
      <c r="Q32" s="110"/>
    </row>
    <row r="33" spans="2:17" ht="15.75" customHeight="1" x14ac:dyDescent="0.25">
      <c r="B33" s="66"/>
      <c r="J33" s="65"/>
      <c r="M33" s="110"/>
      <c r="N33" s="110"/>
      <c r="O33" s="110"/>
      <c r="P33" s="110"/>
      <c r="Q33" s="110"/>
    </row>
    <row r="34" spans="2:17" ht="15.75" customHeight="1" x14ac:dyDescent="0.25">
      <c r="B34" s="66"/>
      <c r="J34" s="65"/>
      <c r="M34" s="110"/>
      <c r="N34" s="110"/>
      <c r="O34" s="110"/>
      <c r="P34" s="110"/>
      <c r="Q34" s="110"/>
    </row>
    <row r="35" spans="2:17" ht="15.75" customHeight="1" x14ac:dyDescent="0.25">
      <c r="B35" s="66"/>
      <c r="J35" s="65"/>
      <c r="M35" s="110"/>
      <c r="N35" s="110"/>
      <c r="O35" s="110"/>
      <c r="P35" s="110"/>
      <c r="Q35" s="110"/>
    </row>
    <row r="36" spans="2:17" ht="15.75" customHeight="1" x14ac:dyDescent="0.25">
      <c r="B36" s="66"/>
      <c r="J36" s="65"/>
      <c r="M36" s="110"/>
      <c r="N36" s="110"/>
      <c r="O36" s="110"/>
      <c r="P36" s="110"/>
      <c r="Q36" s="110"/>
    </row>
    <row r="37" spans="2:17" ht="15.75" customHeight="1" x14ac:dyDescent="0.25">
      <c r="B37" s="66"/>
      <c r="J37" s="65"/>
      <c r="M37" s="110"/>
      <c r="N37" s="110"/>
      <c r="O37" s="110"/>
      <c r="P37" s="110"/>
      <c r="Q37" s="110"/>
    </row>
    <row r="38" spans="2:17" ht="15.75" customHeight="1" x14ac:dyDescent="0.25">
      <c r="B38" s="66"/>
      <c r="J38" s="65"/>
      <c r="M38" s="110"/>
      <c r="N38" s="110"/>
      <c r="O38" s="110"/>
      <c r="P38" s="110"/>
      <c r="Q38" s="110"/>
    </row>
    <row r="39" spans="2:17" ht="15.75" customHeight="1" x14ac:dyDescent="0.25">
      <c r="B39" s="66"/>
      <c r="J39" s="65"/>
      <c r="M39" s="110"/>
      <c r="N39" s="110"/>
      <c r="O39" s="110"/>
      <c r="P39" s="110"/>
      <c r="Q39" s="110"/>
    </row>
    <row r="40" spans="2:17" ht="15.75" customHeight="1" x14ac:dyDescent="0.25">
      <c r="B40" s="66"/>
      <c r="J40" s="65"/>
      <c r="M40" s="110"/>
      <c r="N40" s="110"/>
      <c r="O40" s="110"/>
      <c r="P40" s="110"/>
      <c r="Q40" s="110"/>
    </row>
    <row r="41" spans="2:17" ht="15.75" customHeight="1" x14ac:dyDescent="0.25">
      <c r="B41" s="66"/>
      <c r="J41" s="65"/>
      <c r="M41" s="110"/>
      <c r="N41" s="110"/>
      <c r="O41" s="110"/>
      <c r="P41" s="110"/>
      <c r="Q41" s="110"/>
    </row>
    <row r="42" spans="2:17" ht="15.75" customHeight="1" x14ac:dyDescent="0.25">
      <c r="B42" s="66"/>
      <c r="J42" s="65"/>
      <c r="M42" s="110"/>
      <c r="N42" s="110"/>
      <c r="O42" s="110"/>
      <c r="P42" s="110"/>
      <c r="Q42" s="110"/>
    </row>
    <row r="43" spans="2:17" ht="15.75" customHeight="1" x14ac:dyDescent="0.25">
      <c r="B43" s="66"/>
      <c r="J43" s="65"/>
      <c r="M43" s="110"/>
      <c r="N43" s="110"/>
      <c r="O43" s="110"/>
      <c r="P43" s="110"/>
      <c r="Q43" s="110"/>
    </row>
    <row r="44" spans="2:17" ht="15.75" customHeight="1" x14ac:dyDescent="0.25">
      <c r="B44" s="66"/>
      <c r="J44" s="65"/>
      <c r="M44" s="110"/>
      <c r="N44" s="110"/>
      <c r="O44" s="110"/>
      <c r="P44" s="110"/>
      <c r="Q44" s="110"/>
    </row>
    <row r="45" spans="2:17" ht="15.75" customHeight="1" x14ac:dyDescent="0.25">
      <c r="B45" s="66"/>
      <c r="J45" s="65"/>
      <c r="M45" s="110"/>
      <c r="N45" s="110"/>
      <c r="O45" s="110"/>
      <c r="P45" s="110"/>
      <c r="Q45" s="110"/>
    </row>
    <row r="46" spans="2:17" ht="15.75" customHeight="1" x14ac:dyDescent="0.25">
      <c r="B46" s="66"/>
      <c r="J46" s="65"/>
      <c r="M46" s="110"/>
      <c r="N46" s="110"/>
      <c r="O46" s="110"/>
      <c r="P46" s="110"/>
      <c r="Q46" s="110"/>
    </row>
    <row r="47" spans="2:17" ht="15.75" customHeight="1" x14ac:dyDescent="0.25">
      <c r="B47" s="66"/>
      <c r="J47" s="65"/>
      <c r="M47" s="110"/>
      <c r="N47" s="110"/>
      <c r="O47" s="110"/>
      <c r="P47" s="110"/>
      <c r="Q47" s="110"/>
    </row>
    <row r="48" spans="2:17" ht="15.75" customHeight="1" x14ac:dyDescent="0.25">
      <c r="B48" s="66"/>
      <c r="J48" s="65"/>
      <c r="M48" s="110"/>
      <c r="N48" s="110"/>
      <c r="O48" s="110"/>
      <c r="P48" s="110"/>
      <c r="Q48" s="110"/>
    </row>
    <row r="49" spans="2:17" ht="15.75" customHeight="1" x14ac:dyDescent="0.25">
      <c r="B49" s="66"/>
      <c r="J49" s="65"/>
      <c r="M49" s="110"/>
      <c r="N49" s="110"/>
      <c r="O49" s="110"/>
      <c r="P49" s="110"/>
      <c r="Q49" s="110"/>
    </row>
    <row r="50" spans="2:17" ht="15.75" customHeight="1" x14ac:dyDescent="0.25">
      <c r="B50" s="66"/>
      <c r="J50" s="65"/>
      <c r="M50" s="110"/>
      <c r="N50" s="110"/>
      <c r="O50" s="110"/>
      <c r="P50" s="110"/>
      <c r="Q50" s="110"/>
    </row>
    <row r="51" spans="2:17" ht="15.75" customHeight="1" x14ac:dyDescent="0.25">
      <c r="B51" s="66"/>
      <c r="J51" s="65"/>
      <c r="M51" s="110"/>
      <c r="N51" s="110"/>
      <c r="O51" s="110"/>
      <c r="P51" s="110"/>
      <c r="Q51" s="110"/>
    </row>
    <row r="52" spans="2:17" ht="15.75" customHeight="1" x14ac:dyDescent="0.25">
      <c r="B52" s="66"/>
      <c r="J52" s="65"/>
      <c r="M52" s="110"/>
      <c r="N52" s="110"/>
      <c r="O52" s="110"/>
      <c r="P52" s="110"/>
      <c r="Q52" s="110"/>
    </row>
    <row r="53" spans="2:17" ht="15.75" customHeight="1" x14ac:dyDescent="0.25">
      <c r="B53" s="66"/>
      <c r="J53" s="65"/>
      <c r="M53" s="110"/>
      <c r="N53" s="110"/>
      <c r="O53" s="110"/>
      <c r="P53" s="110"/>
      <c r="Q53" s="110"/>
    </row>
    <row r="54" spans="2:17" ht="15.75" customHeight="1" x14ac:dyDescent="0.25">
      <c r="B54" s="66"/>
      <c r="J54" s="65"/>
      <c r="M54" s="110"/>
      <c r="N54" s="110"/>
      <c r="O54" s="110"/>
      <c r="P54" s="110"/>
      <c r="Q54" s="110"/>
    </row>
    <row r="55" spans="2:17" ht="15.75" customHeight="1" x14ac:dyDescent="0.25">
      <c r="B55" s="66"/>
      <c r="J55" s="65"/>
      <c r="M55" s="110"/>
      <c r="N55" s="110"/>
      <c r="O55" s="110"/>
      <c r="P55" s="110"/>
      <c r="Q55" s="110"/>
    </row>
    <row r="56" spans="2:17" ht="15.75" customHeight="1" x14ac:dyDescent="0.25">
      <c r="B56" s="66"/>
      <c r="J56" s="65"/>
      <c r="M56" s="110"/>
      <c r="N56" s="110"/>
      <c r="O56" s="110"/>
      <c r="P56" s="110"/>
      <c r="Q56" s="110"/>
    </row>
    <row r="57" spans="2:17" ht="15.75" customHeight="1" x14ac:dyDescent="0.25">
      <c r="B57" s="66"/>
      <c r="J57" s="65"/>
      <c r="M57" s="110"/>
      <c r="N57" s="110"/>
      <c r="O57" s="110"/>
      <c r="P57" s="110"/>
      <c r="Q57" s="110"/>
    </row>
    <row r="58" spans="2:17" ht="15.75" customHeight="1" x14ac:dyDescent="0.25">
      <c r="B58" s="66"/>
      <c r="J58" s="65"/>
      <c r="M58" s="110"/>
      <c r="N58" s="110"/>
      <c r="O58" s="110"/>
      <c r="P58" s="110"/>
      <c r="Q58" s="110"/>
    </row>
    <row r="59" spans="2:17" ht="15.75" customHeight="1" x14ac:dyDescent="0.25">
      <c r="B59" s="66"/>
      <c r="J59" s="65"/>
      <c r="M59" s="110"/>
      <c r="N59" s="110"/>
      <c r="O59" s="110"/>
      <c r="P59" s="110"/>
      <c r="Q59" s="110"/>
    </row>
    <row r="60" spans="2:17" ht="15.75" customHeight="1" x14ac:dyDescent="0.25">
      <c r="B60" s="66"/>
      <c r="J60" s="65"/>
      <c r="M60" s="110"/>
      <c r="N60" s="110"/>
      <c r="O60" s="110"/>
      <c r="P60" s="110"/>
      <c r="Q60" s="110"/>
    </row>
    <row r="61" spans="2:17" ht="15.75" customHeight="1" x14ac:dyDescent="0.25">
      <c r="B61" s="66"/>
      <c r="J61" s="65"/>
      <c r="M61" s="110"/>
      <c r="N61" s="110"/>
      <c r="O61" s="110"/>
      <c r="P61" s="110"/>
      <c r="Q61" s="110"/>
    </row>
    <row r="62" spans="2:17" ht="15.75" customHeight="1" x14ac:dyDescent="0.25">
      <c r="B62" s="66"/>
      <c r="J62" s="65"/>
      <c r="M62" s="110"/>
      <c r="N62" s="110"/>
      <c r="O62" s="110"/>
      <c r="P62" s="110"/>
      <c r="Q62" s="110"/>
    </row>
    <row r="63" spans="2:17" ht="15.75" customHeight="1" x14ac:dyDescent="0.25">
      <c r="B63" s="66"/>
      <c r="J63" s="65"/>
      <c r="M63" s="110"/>
      <c r="N63" s="110"/>
      <c r="O63" s="110"/>
      <c r="P63" s="110"/>
      <c r="Q63" s="110"/>
    </row>
    <row r="64" spans="2:17" ht="15.75" customHeight="1" x14ac:dyDescent="0.25">
      <c r="B64" s="66"/>
      <c r="J64" s="65"/>
      <c r="M64" s="110"/>
      <c r="N64" s="110"/>
      <c r="O64" s="110"/>
      <c r="P64" s="110"/>
      <c r="Q64" s="110"/>
    </row>
    <row r="65" spans="2:17" ht="15.75" customHeight="1" x14ac:dyDescent="0.25">
      <c r="B65" s="66"/>
      <c r="J65" s="65"/>
      <c r="M65" s="110"/>
      <c r="N65" s="110"/>
      <c r="O65" s="110"/>
      <c r="P65" s="110"/>
      <c r="Q65" s="110"/>
    </row>
  </sheetData>
  <mergeCells count="19">
    <mergeCell ref="A1:I1"/>
    <mergeCell ref="A3:C3"/>
    <mergeCell ref="A4:C4"/>
    <mergeCell ref="I10:I11"/>
    <mergeCell ref="H10:H11"/>
    <mergeCell ref="A5:C5"/>
    <mergeCell ref="A10:A11"/>
    <mergeCell ref="B10:B11"/>
    <mergeCell ref="C10:G11"/>
    <mergeCell ref="A6:C6"/>
    <mergeCell ref="A7:C7"/>
    <mergeCell ref="A8:C8"/>
    <mergeCell ref="K10:K11"/>
    <mergeCell ref="J10:J11"/>
    <mergeCell ref="C12:G12"/>
    <mergeCell ref="J15:K15"/>
    <mergeCell ref="C13:G13"/>
    <mergeCell ref="A15:I15"/>
    <mergeCell ref="C14:G14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6"/>
  <sheetViews>
    <sheetView topLeftCell="A7" workbookViewId="0">
      <selection activeCell="O27" sqref="O27:P27"/>
    </sheetView>
  </sheetViews>
  <sheetFormatPr baseColWidth="10" defaultColWidth="14.42578125" defaultRowHeight="15" customHeight="1" x14ac:dyDescent="0.25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4.7109375" customWidth="1"/>
    <col min="17" max="17" width="19.5703125" customWidth="1"/>
    <col min="19" max="19" width="15.5703125" style="112" bestFit="1" customWidth="1"/>
  </cols>
  <sheetData>
    <row r="1" spans="1:17" x14ac:dyDescent="0.25">
      <c r="A1" s="189" t="s">
        <v>5</v>
      </c>
      <c r="B1" s="172"/>
      <c r="C1" s="172"/>
      <c r="D1" s="190">
        <v>2022</v>
      </c>
      <c r="E1" s="185"/>
      <c r="F1" s="67"/>
      <c r="G1" s="67"/>
      <c r="H1" s="68"/>
      <c r="I1" s="68"/>
      <c r="J1" s="68"/>
      <c r="K1" s="68"/>
      <c r="L1" s="68"/>
      <c r="M1" s="68"/>
      <c r="N1" s="68"/>
      <c r="O1" s="69"/>
      <c r="P1" s="191" t="s">
        <v>51</v>
      </c>
      <c r="Q1" s="192"/>
    </row>
    <row r="2" spans="1:17" x14ac:dyDescent="0.25">
      <c r="A2" s="70"/>
      <c r="G2" s="71"/>
      <c r="H2" s="72"/>
      <c r="I2" s="72"/>
      <c r="J2" s="72"/>
      <c r="K2" s="72"/>
      <c r="L2" s="72"/>
      <c r="M2" s="72"/>
      <c r="N2" s="72"/>
      <c r="P2" s="193"/>
      <c r="Q2" s="194"/>
    </row>
    <row r="3" spans="1:17" x14ac:dyDescent="0.25">
      <c r="A3" s="70"/>
      <c r="G3" s="71"/>
      <c r="Q3" s="73"/>
    </row>
    <row r="4" spans="1:17" x14ac:dyDescent="0.25">
      <c r="A4" s="199" t="s">
        <v>52</v>
      </c>
      <c r="B4" s="161"/>
      <c r="C4" s="161"/>
      <c r="D4" s="161"/>
      <c r="E4" s="161"/>
      <c r="F4" s="198"/>
      <c r="G4" s="195" t="str">
        <f>NP!D3</f>
        <v>040 - MINISTERIO DE SALUD</v>
      </c>
      <c r="H4" s="161"/>
      <c r="I4" s="161"/>
      <c r="J4" s="161"/>
      <c r="K4" s="161"/>
      <c r="L4" s="161"/>
      <c r="M4" s="161"/>
      <c r="N4" s="161"/>
      <c r="O4" s="161"/>
      <c r="P4" s="161"/>
      <c r="Q4" s="196"/>
    </row>
    <row r="5" spans="1:17" x14ac:dyDescent="0.25">
      <c r="A5" s="197" t="s">
        <v>36</v>
      </c>
      <c r="B5" s="161"/>
      <c r="C5" s="161"/>
      <c r="D5" s="161"/>
      <c r="E5" s="161"/>
      <c r="F5" s="198"/>
      <c r="G5" s="195" t="str">
        <f>NP!D4</f>
        <v>011 - DIRECCION PROVINCIAL DE ADMINISTRACION DEL MINISTERIO DE SALUD</v>
      </c>
      <c r="H5" s="161"/>
      <c r="I5" s="161"/>
      <c r="J5" s="161"/>
      <c r="K5" s="161"/>
      <c r="L5" s="161"/>
      <c r="M5" s="161"/>
      <c r="N5" s="161"/>
      <c r="O5" s="161"/>
      <c r="P5" s="161"/>
      <c r="Q5" s="196"/>
    </row>
    <row r="6" spans="1:17" x14ac:dyDescent="0.25">
      <c r="A6" s="197" t="s">
        <v>38</v>
      </c>
      <c r="B6" s="161"/>
      <c r="C6" s="161"/>
      <c r="D6" s="161"/>
      <c r="E6" s="161"/>
      <c r="F6" s="198"/>
      <c r="G6" s="195" t="str">
        <f>NP!D5</f>
        <v>352 - MINISTERIO DE SALUD</v>
      </c>
      <c r="H6" s="161"/>
      <c r="I6" s="161"/>
      <c r="J6" s="161"/>
      <c r="K6" s="161"/>
      <c r="L6" s="161"/>
      <c r="M6" s="161"/>
      <c r="N6" s="161"/>
      <c r="O6" s="161"/>
      <c r="P6" s="161"/>
      <c r="Q6" s="196"/>
    </row>
    <row r="7" spans="1:17" x14ac:dyDescent="0.25">
      <c r="A7" s="197" t="s">
        <v>40</v>
      </c>
      <c r="B7" s="161"/>
      <c r="C7" s="161"/>
      <c r="D7" s="161"/>
      <c r="E7" s="161"/>
      <c r="F7" s="198"/>
      <c r="G7" s="195" t="str">
        <f>NP!D6</f>
        <v>352 - MINISTERIO DE SALUD</v>
      </c>
      <c r="H7" s="161"/>
      <c r="I7" s="161"/>
      <c r="J7" s="161"/>
      <c r="K7" s="161"/>
      <c r="L7" s="161"/>
      <c r="M7" s="161"/>
      <c r="N7" s="161"/>
      <c r="O7" s="161"/>
      <c r="P7" s="161"/>
      <c r="Q7" s="196"/>
    </row>
    <row r="8" spans="1:17" x14ac:dyDescent="0.25">
      <c r="A8" s="201" t="s">
        <v>53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96"/>
    </row>
    <row r="9" spans="1:17" x14ac:dyDescent="0.25">
      <c r="A9" s="200" t="s">
        <v>54</v>
      </c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83"/>
    </row>
    <row r="10" spans="1:17" ht="75" customHeight="1" x14ac:dyDescent="0.25">
      <c r="A10" s="204" t="s">
        <v>86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33"/>
    </row>
    <row r="11" spans="1:17" x14ac:dyDescent="0.25">
      <c r="A11" s="74"/>
      <c r="B11" s="75"/>
      <c r="C11" s="75"/>
      <c r="D11" s="75"/>
      <c r="E11" s="75"/>
      <c r="F11" s="75"/>
      <c r="G11" s="76"/>
      <c r="H11" s="75"/>
      <c r="I11" s="75"/>
      <c r="J11" s="75"/>
      <c r="K11" s="75"/>
      <c r="L11" s="75"/>
      <c r="M11" s="75"/>
      <c r="N11" s="75"/>
      <c r="O11" s="75"/>
      <c r="P11" s="75"/>
      <c r="Q11" s="77"/>
    </row>
    <row r="12" spans="1:17" ht="15.75" thickBot="1" x14ac:dyDescent="0.3">
      <c r="A12" s="205" t="s">
        <v>55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83"/>
    </row>
    <row r="13" spans="1:17" ht="15.75" thickBot="1" x14ac:dyDescent="0.3">
      <c r="A13" s="206" t="s">
        <v>56</v>
      </c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98"/>
      <c r="O13" s="207" t="s">
        <v>57</v>
      </c>
      <c r="P13" s="208"/>
      <c r="Q13" s="211" t="s">
        <v>58</v>
      </c>
    </row>
    <row r="14" spans="1:17" ht="15.75" thickBot="1" x14ac:dyDescent="0.3">
      <c r="A14" s="116" t="s">
        <v>59</v>
      </c>
      <c r="B14" s="117" t="s">
        <v>60</v>
      </c>
      <c r="C14" s="117" t="s">
        <v>61</v>
      </c>
      <c r="D14" s="117" t="s">
        <v>62</v>
      </c>
      <c r="E14" s="117" t="s">
        <v>63</v>
      </c>
      <c r="F14" s="117" t="s">
        <v>64</v>
      </c>
      <c r="G14" s="118" t="s">
        <v>65</v>
      </c>
      <c r="H14" s="117" t="s">
        <v>66</v>
      </c>
      <c r="I14" s="117" t="s">
        <v>67</v>
      </c>
      <c r="J14" s="117" t="s">
        <v>68</v>
      </c>
      <c r="K14" s="117" t="s">
        <v>68</v>
      </c>
      <c r="L14" s="117" t="s">
        <v>69</v>
      </c>
      <c r="M14" s="119" t="s">
        <v>70</v>
      </c>
      <c r="N14" s="120" t="s">
        <v>71</v>
      </c>
      <c r="O14" s="209"/>
      <c r="P14" s="210"/>
      <c r="Q14" s="212"/>
    </row>
    <row r="15" spans="1:17" x14ac:dyDescent="0.25">
      <c r="A15" s="78">
        <v>1</v>
      </c>
      <c r="B15" s="79"/>
      <c r="C15" s="79"/>
      <c r="D15" s="79">
        <v>1</v>
      </c>
      <c r="E15" s="79"/>
      <c r="F15" s="79">
        <v>4901</v>
      </c>
      <c r="G15" s="79">
        <v>3</v>
      </c>
      <c r="H15" s="79">
        <v>1</v>
      </c>
      <c r="I15" s="79">
        <v>4</v>
      </c>
      <c r="J15" s="79">
        <v>3</v>
      </c>
      <c r="K15" s="79">
        <v>7</v>
      </c>
      <c r="L15" s="79"/>
      <c r="M15" s="80">
        <v>1</v>
      </c>
      <c r="N15" s="114" t="s">
        <v>72</v>
      </c>
      <c r="O15" s="202" t="s">
        <v>73</v>
      </c>
      <c r="P15" s="203"/>
      <c r="Q15" s="115" t="e">
        <f>NP!J15</f>
        <v>#REF!</v>
      </c>
    </row>
    <row r="16" spans="1:17" x14ac:dyDescent="0.25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80"/>
      <c r="N16" s="81"/>
      <c r="O16" s="174"/>
      <c r="P16" s="175"/>
      <c r="Q16" s="82"/>
    </row>
    <row r="17" spans="1:17" ht="15.75" customHeight="1" x14ac:dyDescent="0.25">
      <c r="A17" s="78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80"/>
      <c r="N17" s="81"/>
      <c r="O17" s="174"/>
      <c r="P17" s="175"/>
      <c r="Q17" s="82"/>
    </row>
    <row r="18" spans="1:17" ht="15.75" customHeight="1" x14ac:dyDescent="0.25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80"/>
      <c r="N18" s="81"/>
      <c r="O18" s="174"/>
      <c r="P18" s="175"/>
      <c r="Q18" s="82"/>
    </row>
    <row r="19" spans="1:17" ht="15.75" customHeight="1" x14ac:dyDescent="0.25">
      <c r="A19" s="78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80"/>
      <c r="N19" s="81"/>
      <c r="O19" s="174"/>
      <c r="P19" s="175"/>
      <c r="Q19" s="82"/>
    </row>
    <row r="20" spans="1:17" ht="15.75" customHeight="1" x14ac:dyDescent="0.25">
      <c r="A20" s="78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80"/>
      <c r="N20" s="81"/>
      <c r="O20" s="174"/>
      <c r="P20" s="175"/>
      <c r="Q20" s="82"/>
    </row>
    <row r="21" spans="1:17" ht="15.75" customHeight="1" x14ac:dyDescent="0.25">
      <c r="A21" s="78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80"/>
      <c r="N21" s="81"/>
      <c r="O21" s="174"/>
      <c r="P21" s="175"/>
      <c r="Q21" s="82"/>
    </row>
    <row r="22" spans="1:17" ht="15.75" customHeight="1" x14ac:dyDescent="0.25">
      <c r="A22" s="78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80"/>
      <c r="N22" s="81"/>
      <c r="O22" s="174"/>
      <c r="P22" s="175"/>
      <c r="Q22" s="82"/>
    </row>
    <row r="23" spans="1:17" ht="15.75" customHeight="1" x14ac:dyDescent="0.25">
      <c r="A23" s="78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80"/>
      <c r="N23" s="81"/>
      <c r="O23" s="174"/>
      <c r="P23" s="175"/>
      <c r="Q23" s="82"/>
    </row>
    <row r="24" spans="1:17" ht="15.75" customHeight="1" x14ac:dyDescent="0.25">
      <c r="A24" s="78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80"/>
      <c r="N24" s="81"/>
      <c r="O24" s="174"/>
      <c r="P24" s="175"/>
      <c r="Q24" s="82"/>
    </row>
    <row r="25" spans="1:17" ht="15.75" customHeight="1" x14ac:dyDescent="0.25">
      <c r="A25" s="78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80"/>
      <c r="N25" s="81"/>
      <c r="O25" s="174"/>
      <c r="P25" s="175"/>
      <c r="Q25" s="82"/>
    </row>
    <row r="26" spans="1:17" ht="15.75" customHeight="1" x14ac:dyDescent="0.25">
      <c r="A26" s="78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80"/>
      <c r="N26" s="81"/>
      <c r="O26" s="174"/>
      <c r="P26" s="175"/>
      <c r="Q26" s="82"/>
    </row>
    <row r="27" spans="1:17" ht="15.75" customHeight="1" x14ac:dyDescent="0.25">
      <c r="A27" s="78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80"/>
      <c r="N27" s="81"/>
      <c r="O27" s="174"/>
      <c r="P27" s="175"/>
      <c r="Q27" s="82"/>
    </row>
    <row r="28" spans="1:17" ht="15.75" customHeight="1" x14ac:dyDescent="0.25">
      <c r="A28" s="78"/>
      <c r="B28" s="79"/>
      <c r="C28" s="79"/>
      <c r="D28" s="79"/>
      <c r="E28" s="79"/>
      <c r="F28" s="81"/>
      <c r="G28" s="79"/>
      <c r="H28" s="79"/>
      <c r="I28" s="79"/>
      <c r="J28" s="79"/>
      <c r="K28" s="79"/>
      <c r="L28" s="79"/>
      <c r="M28" s="80"/>
      <c r="N28" s="81"/>
      <c r="O28" s="176"/>
      <c r="P28" s="175"/>
      <c r="Q28" s="82"/>
    </row>
    <row r="29" spans="1:17" ht="15.75" customHeight="1" x14ac:dyDescent="0.25">
      <c r="A29" s="78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80"/>
      <c r="N29" s="81"/>
      <c r="O29" s="176"/>
      <c r="P29" s="175"/>
      <c r="Q29" s="82"/>
    </row>
    <row r="30" spans="1:17" ht="15.75" customHeight="1" x14ac:dyDescent="0.25">
      <c r="A30" s="78"/>
      <c r="B30" s="79"/>
      <c r="C30" s="79"/>
      <c r="D30" s="79"/>
      <c r="E30" s="79"/>
      <c r="F30" s="81"/>
      <c r="G30" s="79"/>
      <c r="H30" s="79"/>
      <c r="I30" s="79"/>
      <c r="J30" s="79"/>
      <c r="K30" s="79"/>
      <c r="L30" s="79"/>
      <c r="M30" s="80"/>
      <c r="N30" s="81"/>
      <c r="O30" s="176"/>
      <c r="P30" s="175"/>
      <c r="Q30" s="82"/>
    </row>
    <row r="31" spans="1:17" ht="15.75" customHeight="1" x14ac:dyDescent="0.25">
      <c r="A31" s="78"/>
      <c r="B31" s="79"/>
      <c r="C31" s="79"/>
      <c r="D31" s="79"/>
      <c r="E31" s="79"/>
      <c r="F31" s="81"/>
      <c r="G31" s="79"/>
      <c r="H31" s="79"/>
      <c r="I31" s="79"/>
      <c r="J31" s="79"/>
      <c r="K31" s="79"/>
      <c r="L31" s="79"/>
      <c r="M31" s="80"/>
      <c r="N31" s="81"/>
      <c r="O31" s="176"/>
      <c r="P31" s="175"/>
      <c r="Q31" s="82"/>
    </row>
    <row r="32" spans="1:17" ht="15.75" customHeight="1" x14ac:dyDescent="0.25">
      <c r="A32" s="83"/>
      <c r="B32" s="84"/>
      <c r="C32" s="84"/>
      <c r="D32" s="84"/>
      <c r="E32" s="84"/>
      <c r="F32" s="81"/>
      <c r="G32" s="84"/>
      <c r="H32" s="84"/>
      <c r="I32" s="84"/>
      <c r="J32" s="84"/>
      <c r="K32" s="84"/>
      <c r="L32" s="84"/>
      <c r="M32" s="85"/>
      <c r="N32" s="86"/>
      <c r="O32" s="176"/>
      <c r="P32" s="175"/>
      <c r="Q32" s="82"/>
    </row>
    <row r="33" spans="1:17" ht="15.75" customHeight="1" x14ac:dyDescent="0.25">
      <c r="A33" s="87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9"/>
      <c r="N33" s="88"/>
      <c r="O33" s="177"/>
      <c r="P33" s="178"/>
      <c r="Q33" s="90"/>
    </row>
    <row r="34" spans="1:17" ht="36" customHeight="1" x14ac:dyDescent="0.25">
      <c r="A34" s="179" t="s">
        <v>88</v>
      </c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1"/>
      <c r="Q34" s="91" t="e">
        <f>SUM(Q15:Q33)</f>
        <v>#REF!</v>
      </c>
    </row>
    <row r="35" spans="1:17" ht="15.75" customHeight="1" x14ac:dyDescent="0.25">
      <c r="A35" s="18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83"/>
    </row>
    <row r="36" spans="1:17" ht="15.75" customHeight="1" x14ac:dyDescent="0.25">
      <c r="A36" s="184" t="s">
        <v>74</v>
      </c>
      <c r="B36" s="172"/>
      <c r="C36" s="172"/>
      <c r="D36" s="172"/>
      <c r="E36" s="172"/>
      <c r="F36" s="185"/>
      <c r="G36" s="186"/>
      <c r="H36" s="163"/>
      <c r="I36" s="163"/>
      <c r="J36" s="163"/>
      <c r="K36" s="163"/>
      <c r="L36" s="163"/>
      <c r="M36" s="163"/>
      <c r="N36" s="163"/>
      <c r="O36" s="163"/>
      <c r="P36" s="163"/>
      <c r="Q36" s="183"/>
    </row>
    <row r="37" spans="1:17" ht="15.75" customHeight="1" x14ac:dyDescent="0.25">
      <c r="A37" s="187" t="str">
        <f>NP!D8</f>
        <v>ADQUISICION DE DESIERTOS Y FRACASADOS EQUIPAMIENTO PARA HOSPITALES DE LA PROVINCIA (EQUIPOS VARIOS)</v>
      </c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33"/>
    </row>
    <row r="38" spans="1:17" ht="15.75" customHeight="1" x14ac:dyDescent="0.25">
      <c r="A38" s="188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43"/>
    </row>
    <row r="39" spans="1:17" ht="15.75" customHeight="1" x14ac:dyDescent="0.25">
      <c r="Q39" s="65"/>
    </row>
    <row r="40" spans="1:17" ht="15.75" customHeight="1" x14ac:dyDescent="0.25">
      <c r="Q40" s="65"/>
    </row>
    <row r="41" spans="1:17" ht="15.75" customHeight="1" x14ac:dyDescent="0.25">
      <c r="Q41" s="65"/>
    </row>
    <row r="42" spans="1:17" ht="15.75" customHeight="1" x14ac:dyDescent="0.25">
      <c r="Q42" s="65"/>
    </row>
    <row r="43" spans="1:17" ht="15.75" customHeight="1" x14ac:dyDescent="0.25">
      <c r="Q43" s="65"/>
    </row>
    <row r="44" spans="1:17" ht="15.75" customHeight="1" x14ac:dyDescent="0.25">
      <c r="Q44" s="65"/>
    </row>
    <row r="45" spans="1:17" ht="15.75" customHeight="1" x14ac:dyDescent="0.25">
      <c r="Q45" s="65"/>
    </row>
    <row r="46" spans="1:17" ht="15.75" customHeight="1" x14ac:dyDescent="0.25">
      <c r="Q46" s="65"/>
    </row>
    <row r="47" spans="1:17" ht="15.75" customHeight="1" x14ac:dyDescent="0.25">
      <c r="Q47" s="65"/>
    </row>
    <row r="48" spans="1:17" ht="15.75" customHeight="1" x14ac:dyDescent="0.25">
      <c r="Q48" s="65"/>
    </row>
    <row r="49" spans="17:17" ht="15.75" customHeight="1" x14ac:dyDescent="0.25">
      <c r="Q49" s="65"/>
    </row>
    <row r="50" spans="17:17" ht="15.75" customHeight="1" x14ac:dyDescent="0.25">
      <c r="Q50" s="65"/>
    </row>
    <row r="51" spans="17:17" ht="15.75" customHeight="1" x14ac:dyDescent="0.25">
      <c r="Q51" s="65"/>
    </row>
    <row r="52" spans="17:17" ht="15.75" customHeight="1" x14ac:dyDescent="0.25">
      <c r="Q52" s="65"/>
    </row>
    <row r="53" spans="17:17" ht="15.75" customHeight="1" x14ac:dyDescent="0.25">
      <c r="Q53" s="65"/>
    </row>
    <row r="54" spans="17:17" ht="15.75" customHeight="1" x14ac:dyDescent="0.25">
      <c r="Q54" s="65"/>
    </row>
    <row r="55" spans="17:17" ht="15.75" customHeight="1" x14ac:dyDescent="0.25">
      <c r="Q55" s="65"/>
    </row>
    <row r="56" spans="17:17" ht="15.75" customHeight="1" x14ac:dyDescent="0.25">
      <c r="Q56" s="65"/>
    </row>
    <row r="57" spans="17:17" ht="15.75" customHeight="1" x14ac:dyDescent="0.25">
      <c r="Q57" s="65"/>
    </row>
    <row r="58" spans="17:17" ht="15.75" customHeight="1" x14ac:dyDescent="0.25">
      <c r="Q58" s="65"/>
    </row>
    <row r="59" spans="17:17" ht="15.75" customHeight="1" x14ac:dyDescent="0.25">
      <c r="Q59" s="65"/>
    </row>
    <row r="60" spans="17:17" ht="15.75" customHeight="1" x14ac:dyDescent="0.25">
      <c r="Q60" s="65"/>
    </row>
    <row r="61" spans="17:17" ht="15.75" customHeight="1" x14ac:dyDescent="0.25">
      <c r="Q61" s="65"/>
    </row>
    <row r="62" spans="17:17" ht="15.75" customHeight="1" x14ac:dyDescent="0.25">
      <c r="Q62" s="65"/>
    </row>
    <row r="63" spans="17:17" ht="15.75" customHeight="1" x14ac:dyDescent="0.25">
      <c r="Q63" s="65"/>
    </row>
    <row r="64" spans="17:17" ht="15.75" customHeight="1" x14ac:dyDescent="0.25">
      <c r="Q64" s="65"/>
    </row>
    <row r="65" spans="17:17" ht="15.75" customHeight="1" x14ac:dyDescent="0.25">
      <c r="Q65" s="65"/>
    </row>
    <row r="66" spans="17:17" ht="15.75" customHeight="1" x14ac:dyDescent="0.25">
      <c r="Q66" s="65"/>
    </row>
    <row r="67" spans="17:17" ht="15.75" customHeight="1" x14ac:dyDescent="0.25">
      <c r="Q67" s="65"/>
    </row>
    <row r="68" spans="17:17" ht="15.75" customHeight="1" x14ac:dyDescent="0.25">
      <c r="Q68" s="65"/>
    </row>
    <row r="69" spans="17:17" ht="15.75" customHeight="1" x14ac:dyDescent="0.25">
      <c r="Q69" s="65"/>
    </row>
    <row r="70" spans="17:17" ht="15.75" customHeight="1" x14ac:dyDescent="0.25">
      <c r="Q70" s="65"/>
    </row>
    <row r="71" spans="17:17" ht="15.75" customHeight="1" x14ac:dyDescent="0.25">
      <c r="Q71" s="65"/>
    </row>
    <row r="72" spans="17:17" ht="15.75" customHeight="1" x14ac:dyDescent="0.25">
      <c r="Q72" s="65"/>
    </row>
    <row r="73" spans="17:17" ht="15.75" customHeight="1" x14ac:dyDescent="0.25">
      <c r="Q73" s="65"/>
    </row>
    <row r="74" spans="17:17" ht="15.75" customHeight="1" x14ac:dyDescent="0.25">
      <c r="Q74" s="65"/>
    </row>
    <row r="75" spans="17:17" ht="15.75" customHeight="1" x14ac:dyDescent="0.25">
      <c r="Q75" s="65"/>
    </row>
    <row r="76" spans="17:17" ht="15.75" customHeight="1" x14ac:dyDescent="0.25">
      <c r="Q76" s="65"/>
    </row>
    <row r="77" spans="17:17" ht="15.75" customHeight="1" x14ac:dyDescent="0.25">
      <c r="Q77" s="65"/>
    </row>
    <row r="78" spans="17:17" ht="15.75" customHeight="1" x14ac:dyDescent="0.25">
      <c r="Q78" s="65"/>
    </row>
    <row r="79" spans="17:17" ht="15.75" customHeight="1" x14ac:dyDescent="0.25">
      <c r="Q79" s="65"/>
    </row>
    <row r="80" spans="17:17" ht="15.75" customHeight="1" x14ac:dyDescent="0.25">
      <c r="Q80" s="65"/>
    </row>
    <row r="81" spans="17:17" ht="15.75" customHeight="1" x14ac:dyDescent="0.25">
      <c r="Q81" s="65"/>
    </row>
    <row r="82" spans="17:17" ht="15.75" customHeight="1" x14ac:dyDescent="0.25">
      <c r="Q82" s="65"/>
    </row>
    <row r="83" spans="17:17" ht="15.75" customHeight="1" x14ac:dyDescent="0.25">
      <c r="Q83" s="65"/>
    </row>
    <row r="84" spans="17:17" ht="15.75" customHeight="1" x14ac:dyDescent="0.25">
      <c r="Q84" s="65"/>
    </row>
    <row r="85" spans="17:17" ht="15.75" customHeight="1" x14ac:dyDescent="0.25">
      <c r="Q85" s="65"/>
    </row>
    <row r="86" spans="17:17" ht="15.75" customHeight="1" x14ac:dyDescent="0.25">
      <c r="Q86" s="65"/>
    </row>
    <row r="87" spans="17:17" ht="15.75" customHeight="1" x14ac:dyDescent="0.25">
      <c r="Q87" s="65"/>
    </row>
    <row r="88" spans="17:17" ht="15.75" customHeight="1" x14ac:dyDescent="0.25">
      <c r="Q88" s="65"/>
    </row>
    <row r="89" spans="17:17" ht="15.75" customHeight="1" x14ac:dyDescent="0.25">
      <c r="Q89" s="65"/>
    </row>
    <row r="90" spans="17:17" ht="15.75" customHeight="1" x14ac:dyDescent="0.25">
      <c r="Q90" s="65"/>
    </row>
    <row r="91" spans="17:17" ht="15.75" customHeight="1" x14ac:dyDescent="0.25">
      <c r="Q91" s="65"/>
    </row>
    <row r="92" spans="17:17" ht="15.75" customHeight="1" x14ac:dyDescent="0.25">
      <c r="Q92" s="65"/>
    </row>
    <row r="93" spans="17:17" ht="15.75" customHeight="1" x14ac:dyDescent="0.25">
      <c r="Q93" s="65"/>
    </row>
    <row r="94" spans="17:17" ht="15.75" customHeight="1" x14ac:dyDescent="0.25">
      <c r="Q94" s="65"/>
    </row>
    <row r="95" spans="17:17" ht="15.75" customHeight="1" x14ac:dyDescent="0.25">
      <c r="Q95" s="65"/>
    </row>
    <row r="96" spans="17:17" ht="15.75" customHeight="1" x14ac:dyDescent="0.25">
      <c r="Q96" s="65"/>
    </row>
  </sheetData>
  <mergeCells count="42">
    <mergeCell ref="O15:P15"/>
    <mergeCell ref="O16:P16"/>
    <mergeCell ref="O18:P18"/>
    <mergeCell ref="O17:P17"/>
    <mergeCell ref="A10:Q10"/>
    <mergeCell ref="A12:Q12"/>
    <mergeCell ref="A13:N13"/>
    <mergeCell ref="O13:P14"/>
    <mergeCell ref="Q13:Q14"/>
    <mergeCell ref="A6:F6"/>
    <mergeCell ref="A4:F4"/>
    <mergeCell ref="A7:F7"/>
    <mergeCell ref="A9:Q9"/>
    <mergeCell ref="A8:Q8"/>
    <mergeCell ref="G6:Q6"/>
    <mergeCell ref="G7:Q7"/>
    <mergeCell ref="A1:C1"/>
    <mergeCell ref="D1:E1"/>
    <mergeCell ref="P1:Q2"/>
    <mergeCell ref="G4:Q4"/>
    <mergeCell ref="G5:Q5"/>
    <mergeCell ref="A5:F5"/>
    <mergeCell ref="A34:P34"/>
    <mergeCell ref="A35:Q35"/>
    <mergeCell ref="A36:F36"/>
    <mergeCell ref="G36:Q36"/>
    <mergeCell ref="A37:Q38"/>
    <mergeCell ref="O30:P30"/>
    <mergeCell ref="O31:P31"/>
    <mergeCell ref="O32:P32"/>
    <mergeCell ref="O33:P33"/>
    <mergeCell ref="O24:P24"/>
    <mergeCell ref="O25:P25"/>
    <mergeCell ref="O26:P26"/>
    <mergeCell ref="O27:P27"/>
    <mergeCell ref="O29:P29"/>
    <mergeCell ref="O28:P28"/>
    <mergeCell ref="O19:P19"/>
    <mergeCell ref="O20:P20"/>
    <mergeCell ref="O21:P21"/>
    <mergeCell ref="O22:P22"/>
    <mergeCell ref="O23:P2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2022-08-18T14:11:40Z</dcterms:modified>
</cp:coreProperties>
</file>