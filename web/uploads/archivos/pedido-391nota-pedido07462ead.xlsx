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\Downloads\"/>
    </mc:Choice>
  </mc:AlternateContent>
  <xr:revisionPtr revIDLastSave="0" documentId="8_{C471B41D-7A7D-49D9-BDE0-439F9B4397F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2" l="1"/>
  <c r="K13" i="2"/>
  <c r="C13" i="2"/>
  <c r="B13" i="2"/>
  <c r="I11" i="1"/>
  <c r="I12" i="1"/>
  <c r="A14" i="2"/>
  <c r="B14" i="2"/>
  <c r="C14" i="2"/>
  <c r="J14" i="2"/>
  <c r="K14" i="2"/>
  <c r="D11" i="1"/>
  <c r="K12" i="2"/>
  <c r="J12" i="2"/>
  <c r="C12" i="2"/>
  <c r="B12" i="2"/>
  <c r="D12" i="1"/>
  <c r="I10" i="1"/>
  <c r="D10" i="1"/>
  <c r="I15" i="3" l="1"/>
  <c r="J15" i="2" l="1"/>
  <c r="I13" i="1" l="1"/>
  <c r="Q15" i="3" s="1"/>
  <c r="Q16" i="3" s="1"/>
  <c r="G6" i="3" l="1"/>
  <c r="G7" i="3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<sst xmlns="http://schemas.openxmlformats.org/spreadsheetml/2006/main" count="100" uniqueCount="88">
  <si>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</si>
  <si>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</si>
  <si>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</si>
  <si>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</si>
  <si>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</si>
  <si>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</si>
  <si>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</si>
  <si>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</si>
  <si>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</si>
  <si>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</si>
  <si>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</si>
  <si>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</si>
  <si>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</si>
  <si>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</si>
  <si>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</si>
  <si>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</si>
  <si>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</si>
  <si>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</si>
  <si>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</si>
  <si>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</si>
  <si>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</si>
  <si>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</si>
  <si>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</si>
  <si>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</si>
  <si>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</si>
  <si>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</si>
  <si>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</si>
  <si>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</si>
  <si>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</si>
  <si>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</si>
  <si>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</si>
  <si>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</si>
  <si>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</si>
  <si>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</si>
  <si>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</si>
  <si>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</si>
  <si>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</si>
  <si>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</si>
  <si>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</si>
  <si>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</si>
  <si>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</si>
  <si>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</si>
  <si>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</si>
  <si>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</si>
  <si>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</si>
  <si>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</si>
  <si>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</si>
  <si>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</si>
  <si>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</si>
  <si>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</si>
  <si>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</si>
  <si>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 xml:space="preserve">TOTAL DE PESOS: </t>
  </si>
  <si>
    <t>JUSTIFICACIÓN:</t>
  </si>
  <si>
    <t xml:space="preserve">JURISDICCIÓN: </t>
  </si>
  <si>
    <t>SAF:</t>
  </si>
  <si>
    <t xml:space="preserve">DEPENDENCIA SOLICITANTE: </t>
  </si>
  <si>
    <t>90 - Ministerio de Seguridad</t>
  </si>
  <si>
    <t>7 - Direccion de Administracion de la Policia de la Provincia de Catamarca</t>
  </si>
  <si>
    <t>ALIMENTOS</t>
  </si>
  <si>
    <t>Policía de la Provincia de Catamarca</t>
  </si>
  <si>
    <t>NO</t>
  </si>
  <si>
    <t>1.1</t>
  </si>
  <si>
    <t>Especificidades de todos los Items.</t>
  </si>
  <si>
    <t>Adquisición de alimentos para animales.</t>
  </si>
  <si>
    <t>División Policía Montada  y División Canes - Policía de Catamarca.</t>
  </si>
  <si>
    <t>FARDO</t>
  </si>
  <si>
    <t>2.1.2-2888.2</t>
  </si>
  <si>
    <t>ALIMENTOS Y FORRAJES; TIPO: HENO DE ALFALFA, PRESENTACION: FARDO X 25 A 40 Kg, CAPACIDAD: 25 A 40 Kg, DESTINATARIO: GANADO EQUINO, USO: GANADO EQUINO</t>
  </si>
  <si>
    <t>UNIDAD</t>
  </si>
  <si>
    <t>2.1.2-2875.2</t>
  </si>
  <si>
    <t>ALIMENTO P/PERRO; TIPO: PERRO ADULTO, SABOR: POLLO-PESCADO-CARNE, PRESENTACION: BOLSA X 20 Kg, CAPACIDAD: 20 Kg</t>
  </si>
  <si>
    <t>Para ITEM 3 Alimento para Canes. Deberá contener:  Proteína cruda (min) 30%, grasas (min) (20,0%); Fibra cruda (máx.) 3.0; Calcio (min) 1.2 %, calcio (máx.) 1.3%, fosforo (min) 0.9%. Fósforo (máx.) 1.1%, Humedad (máx) 10%, cenizas 7%. Vitamina A 20.000 UI/KG, Vitamina D3 2.500 UI/Kg., Vitamina E 250 UI/Kg., Vitamina C (ácido ascórbico) 150mg/Kg. Glucosamina 280 mg/kg. Condroilin. Sulfato 250 mg/kg. Omega 3 (min) 0,4%. Omega 6 (min) 2,4%. Energía Metabolizable 4.380 Kcal/Kg.-</t>
  </si>
  <si>
    <t>SI</t>
  </si>
  <si>
    <t>Adquisición de alimentos para Animales, destinados a la  División Policía Montada y Division Canes de la Policía de la Provincia de Catamarca
con el fin de Realizar las Racciones Diarias que Consumen los Estudiantes Alojados en esta Dependencia.</t>
  </si>
  <si>
    <t xml:space="preserve">Que Cumpla con lo Solicitado de Forma Integra. Primera Calidad.- 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</si>
  <si>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</si>
  <si>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1° Trimestre - Año 2021</t>
  </si>
  <si>
    <r>
      <t>AUTORIZACIÓN</t>
    </r>
    <r>
      <rPr>
        <b/>
        <sz val="10"/>
        <rFont val="Century Gothic"/>
        <family val="2"/>
      </rPr>
      <t>:</t>
    </r>
  </si>
  <si>
    <t>*</t>
  </si>
  <si>
    <t>12/2021</t>
  </si>
  <si>
    <t>2.1.2-2888.16</t>
  </si>
  <si>
    <t>ALIMENTOS Y FORRAJES; TIPO: MAIZ, PRESENTACION: GRANEL, CAPACIDAD: SIN VALOR, DESTINATARIO: GANADO EQUINO, USO: GANADO EQUINO</t>
  </si>
  <si>
    <t>BOLSA</t>
  </si>
  <si>
    <t>Para ITEM 2 maiz quebrado presentacion en bolsas. Primera Calidad.-</t>
  </si>
  <si>
    <t>KILOGRAMOS</t>
  </si>
  <si>
    <t xml:space="preserve">Costo total estimado: PESOS UN MILLÓN NOVENCIENTOS CINCUENTA Y OCHO MIL TRECIENTOS UNO CON 60/100.- </t>
  </si>
  <si>
    <t xml:space="preserve">PESOS UN MILLÓN NOVENCIENTOS CINCUENTA Y OCHO MIL TRECIENTOS UNO CON 60/100.- </t>
  </si>
  <si>
    <t>ALIMENTOS PARA ANIMALES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</si>
</sst>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u/>
      <sz val="10"/>
      <name val="Century Gothic"/>
      <family val="2"/>
    </font>
    <font>
      <b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u/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0">
    <xf numFmtId="0" fontId="0" fillId="0" borderId="0" xfId="0"/>
    <xf numFmtId="166" fontId="14" fillId="3" borderId="40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9" fontId="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0" fontId="9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left" wrapText="1"/>
    </xf>
    <xf numFmtId="0" fontId="9" fillId="3" borderId="0" xfId="0" applyFont="1" applyFill="1" applyAlignment="1">
      <alignment horizontal="left" wrapText="1"/>
    </xf>
    <xf numFmtId="0" fontId="10" fillId="3" borderId="52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5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50" xfId="0" applyFont="1" applyFill="1" applyBorder="1" applyAlignment="1">
      <alignment horizontal="left" vertical="center" wrapText="1"/>
    </xf>
    <xf numFmtId="169" fontId="10" fillId="3" borderId="2" xfId="0" applyNumberFormat="1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5" fillId="3" borderId="51" xfId="0" applyFont="1" applyFill="1" applyBorder="1"/>
    <xf numFmtId="0" fontId="12" fillId="3" borderId="5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/>
    </xf>
    <xf numFmtId="169" fontId="5" fillId="3" borderId="4" xfId="1" applyNumberFormat="1" applyFont="1" applyFill="1" applyBorder="1" applyAlignment="1" applyProtection="1">
      <alignment horizontal="center" vertical="center"/>
    </xf>
    <xf numFmtId="169" fontId="5" fillId="3" borderId="5" xfId="0" applyNumberFormat="1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/>
    </xf>
    <xf numFmtId="0" fontId="5" fillId="3" borderId="7" xfId="0" applyFont="1" applyFill="1" applyBorder="1"/>
    <xf numFmtId="0" fontId="12" fillId="3" borderId="55" xfId="0" applyFont="1" applyFill="1" applyBorder="1" applyAlignment="1">
      <alignment horizontal="center" vertical="center" wrapText="1"/>
    </xf>
    <xf numFmtId="0" fontId="12" fillId="3" borderId="57" xfId="0" applyFont="1" applyFill="1" applyBorder="1" applyAlignment="1">
      <alignment horizontal="center" vertical="center" wrapText="1"/>
    </xf>
    <xf numFmtId="3" fontId="5" fillId="3" borderId="7" xfId="0" applyNumberFormat="1" applyFont="1" applyFill="1" applyBorder="1" applyAlignment="1">
      <alignment horizontal="center" vertical="center"/>
    </xf>
    <xf numFmtId="169" fontId="5" fillId="3" borderId="7" xfId="1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/>
    </xf>
    <xf numFmtId="169" fontId="5" fillId="3" borderId="20" xfId="0" applyNumberFormat="1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9" xfId="0" applyFont="1" applyFill="1" applyBorder="1"/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0" xfId="0" applyFont="1" applyFill="1" applyBorder="1"/>
    <xf numFmtId="0" fontId="5" fillId="3" borderId="12" xfId="0" applyFont="1" applyFill="1" applyBorder="1" applyAlignment="1">
      <alignment horizontal="left"/>
    </xf>
    <xf numFmtId="0" fontId="13" fillId="3" borderId="11" xfId="0" applyFont="1" applyFill="1" applyBorder="1" applyAlignment="1">
      <alignment horizontal="left"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left" wrapText="1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4" xfId="0" applyFont="1" applyFill="1" applyBorder="1"/>
    <xf numFmtId="0" fontId="5" fillId="3" borderId="15" xfId="0" applyFont="1" applyFill="1" applyBorder="1" applyAlignment="1">
      <alignment horizontal="left"/>
    </xf>
    <xf numFmtId="0" fontId="5" fillId="3" borderId="0" xfId="0" applyFont="1" applyFill="1" applyAlignment="1">
      <alignment horizontal="left" vertical="center"/>
    </xf>
    <xf numFmtId="0" fontId="15" fillId="3" borderId="16" xfId="0" applyFont="1" applyFill="1" applyBorder="1" applyAlignment="1">
      <alignment horizontal="right" vertical="center"/>
    </xf>
    <xf numFmtId="49" fontId="16" fillId="3" borderId="17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5" fillId="3" borderId="18" xfId="0" applyFont="1" applyFill="1" applyBorder="1" applyAlignment="1">
      <alignment vertical="center"/>
    </xf>
    <xf numFmtId="0" fontId="15" fillId="3" borderId="0" xfId="0" applyFont="1" applyFill="1" applyBorder="1" applyAlignment="1">
      <alignment vertical="center"/>
    </xf>
    <xf numFmtId="0" fontId="17" fillId="3" borderId="0" xfId="0" applyFont="1" applyFill="1" applyBorder="1" applyAlignment="1">
      <alignment horizontal="left" vertical="center"/>
    </xf>
    <xf numFmtId="0" fontId="16" fillId="3" borderId="0" xfId="0" applyFont="1" applyFill="1" applyBorder="1" applyAlignment="1">
      <alignment horizontal="left" vertical="center" wrapText="1" inden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3" fontId="18" fillId="3" borderId="0" xfId="0" applyNumberFormat="1" applyFont="1" applyFill="1" applyBorder="1" applyAlignment="1"/>
    <xf numFmtId="168" fontId="5" fillId="3" borderId="0" xfId="0" applyNumberFormat="1" applyFont="1" applyFill="1" applyAlignment="1">
      <alignment horizontal="left"/>
    </xf>
    <xf numFmtId="0" fontId="5" fillId="3" borderId="16" xfId="0" applyFont="1" applyFill="1" applyBorder="1"/>
    <xf numFmtId="0" fontId="5" fillId="3" borderId="30" xfId="0" applyFont="1" applyFill="1" applyBorder="1"/>
    <xf numFmtId="0" fontId="5" fillId="3" borderId="18" xfId="0" applyFont="1" applyFill="1" applyBorder="1"/>
    <xf numFmtId="0" fontId="5" fillId="3" borderId="18" xfId="0" applyFont="1" applyFill="1" applyBorder="1" applyAlignment="1">
      <alignment horizontal="left"/>
    </xf>
    <xf numFmtId="0" fontId="5" fillId="3" borderId="31" xfId="0" applyFont="1" applyFill="1" applyBorder="1"/>
    <xf numFmtId="0" fontId="14" fillId="3" borderId="33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left" vertical="center"/>
    </xf>
    <xf numFmtId="0" fontId="14" fillId="3" borderId="35" xfId="0" applyFont="1" applyFill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/>
    </xf>
    <xf numFmtId="166" fontId="5" fillId="3" borderId="39" xfId="3" applyNumberFormat="1" applyFont="1" applyFill="1" applyBorder="1" applyAlignment="1" applyProtection="1">
      <alignment horizontal="center" vertical="center"/>
    </xf>
    <xf numFmtId="0" fontId="5" fillId="3" borderId="12" xfId="0" applyFont="1" applyFill="1" applyBorder="1" applyAlignment="1">
      <alignment horizontal="left"/>
    </xf>
    <xf numFmtId="0" fontId="11" fillId="3" borderId="58" xfId="0" applyFont="1" applyFill="1" applyBorder="1" applyAlignment="1">
      <alignment horizontal="center" vertical="center"/>
    </xf>
    <xf numFmtId="0" fontId="12" fillId="3" borderId="59" xfId="0" applyFont="1" applyFill="1" applyBorder="1" applyAlignment="1">
      <alignment horizontal="center" vertical="center" wrapText="1"/>
    </xf>
    <xf numFmtId="3" fontId="5" fillId="3" borderId="51" xfId="0" applyNumberFormat="1" applyFont="1" applyFill="1" applyBorder="1" applyAlignment="1">
      <alignment horizontal="center" vertical="center"/>
    </xf>
    <xf numFmtId="169" fontId="5" fillId="3" borderId="51" xfId="1" applyNumberFormat="1" applyFont="1" applyFill="1" applyBorder="1" applyAlignment="1" applyProtection="1">
      <alignment horizontal="center" vertical="center"/>
    </xf>
    <xf numFmtId="49" fontId="0" fillId="0" borderId="0" xfId="0" applyNumberFormat="1"/>
    <xf numFmtId="0" fontId="5" fillId="3" borderId="60" xfId="0" applyFont="1" applyFill="1" applyBorder="1"/>
    <xf numFmtId="0" fontId="5" fillId="3" borderId="6" xfId="0" applyFont="1" applyFill="1" applyBorder="1" applyAlignment="1">
      <alignment horizontal="center" vertical="center" wrapText="1"/>
    </xf>
    <xf numFmtId="0" fontId="5" fillId="3" borderId="54" xfId="0" applyFont="1" applyFill="1" applyBorder="1" applyAlignment="1">
      <alignment wrapText="1"/>
    </xf>
    <xf numFmtId="0" fontId="12" fillId="3" borderId="6" xfId="0" applyFont="1" applyFill="1" applyBorder="1" applyAlignment="1">
      <alignment horizontal="center" vertical="center" wrapText="1"/>
    </xf>
    <xf numFmtId="0" fontId="5" fillId="3" borderId="58" xfId="0" applyFont="1" applyFill="1" applyBorder="1" applyAlignment="1">
      <alignment horizontal="center" vertical="center" wrapText="1"/>
    </xf>
    <xf numFmtId="0" fontId="5" fillId="3" borderId="51" xfId="0" applyFont="1" applyFill="1" applyBorder="1" applyAlignment="1">
      <alignment horizontal="center" vertical="center"/>
    </xf>
    <xf numFmtId="0" fontId="5" fillId="3" borderId="51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left" wrapText="1" indent="1"/>
    </xf>
    <xf numFmtId="0" fontId="5" fillId="3" borderId="0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left" wrapText="1"/>
    </xf>
    <xf numFmtId="0" fontId="5" fillId="3" borderId="12" xfId="0" applyFont="1" applyFill="1" applyBorder="1" applyAlignment="1">
      <alignment horizontal="left" wrapText="1"/>
    </xf>
    <xf numFmtId="0" fontId="15" fillId="3" borderId="0" xfId="0" applyFont="1" applyFill="1" applyBorder="1" applyAlignment="1">
      <alignment horizontal="center" vertical="center"/>
    </xf>
    <xf numFmtId="0" fontId="17" fillId="3" borderId="19" xfId="0" applyFont="1" applyFill="1" applyBorder="1" applyAlignment="1">
      <alignment horizontal="left" vertical="center" wrapText="1"/>
    </xf>
    <xf numFmtId="0" fontId="16" fillId="3" borderId="20" xfId="0" applyFont="1" applyFill="1" applyBorder="1" applyAlignment="1">
      <alignment horizontal="left" vertical="center" wrapText="1" indent="1"/>
    </xf>
    <xf numFmtId="0" fontId="17" fillId="3" borderId="21" xfId="0" applyFont="1" applyFill="1" applyBorder="1" applyAlignment="1">
      <alignment horizontal="left" vertical="center" wrapText="1"/>
    </xf>
    <xf numFmtId="0" fontId="16" fillId="3" borderId="47" xfId="0" applyFont="1" applyFill="1" applyBorder="1" applyAlignment="1">
      <alignment horizontal="left" vertical="center" wrapText="1" indent="1"/>
    </xf>
    <xf numFmtId="167" fontId="17" fillId="3" borderId="47" xfId="0" applyNumberFormat="1" applyFont="1" applyFill="1" applyBorder="1" applyAlignment="1">
      <alignment horizontal="center" vertical="center"/>
    </xf>
    <xf numFmtId="0" fontId="16" fillId="3" borderId="23" xfId="0" applyFont="1" applyFill="1" applyBorder="1" applyAlignment="1">
      <alignment horizontal="left" vertical="center" wrapText="1" indent="1"/>
    </xf>
    <xf numFmtId="0" fontId="18" fillId="3" borderId="22" xfId="0" applyFont="1" applyFill="1" applyBorder="1" applyAlignment="1">
      <alignment horizontal="center" vertical="center"/>
    </xf>
    <xf numFmtId="0" fontId="18" fillId="3" borderId="44" xfId="0" applyFont="1" applyFill="1" applyBorder="1" applyAlignment="1">
      <alignment horizontal="center" vertical="center"/>
    </xf>
    <xf numFmtId="0" fontId="18" fillId="3" borderId="24" xfId="0" applyFont="1" applyFill="1" applyBorder="1" applyAlignment="1">
      <alignment horizontal="center" vertical="center" wrapText="1"/>
    </xf>
    <xf numFmtId="0" fontId="18" fillId="3" borderId="45" xfId="0" applyFont="1" applyFill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0" fontId="18" fillId="3" borderId="46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wrapText="1"/>
    </xf>
    <xf numFmtId="0" fontId="5" fillId="3" borderId="55" xfId="0" applyFont="1" applyFill="1" applyBorder="1" applyAlignment="1">
      <alignment horizontal="left" wrapText="1"/>
    </xf>
    <xf numFmtId="0" fontId="5" fillId="3" borderId="61" xfId="0" applyFont="1" applyFill="1" applyBorder="1" applyAlignment="1">
      <alignment horizontal="left" wrapText="1"/>
    </xf>
    <xf numFmtId="0" fontId="5" fillId="3" borderId="56" xfId="0" applyFont="1" applyFill="1" applyBorder="1" applyAlignment="1">
      <alignment horizontal="left" wrapText="1"/>
    </xf>
    <xf numFmtId="0" fontId="5" fillId="3" borderId="25" xfId="0" applyFont="1" applyFill="1" applyBorder="1" applyAlignment="1">
      <alignment horizontal="center"/>
    </xf>
    <xf numFmtId="3" fontId="18" fillId="3" borderId="26" xfId="0" applyNumberFormat="1" applyFont="1" applyFill="1" applyBorder="1" applyAlignment="1">
      <alignment horizontal="center"/>
    </xf>
    <xf numFmtId="0" fontId="16" fillId="3" borderId="17" xfId="0" applyFont="1" applyFill="1" applyBorder="1" applyAlignment="1">
      <alignment horizontal="center" vertical="center" wrapText="1"/>
    </xf>
    <xf numFmtId="0" fontId="5" fillId="3" borderId="17" xfId="0" applyFont="1" applyFill="1" applyBorder="1"/>
    <xf numFmtId="0" fontId="19" fillId="3" borderId="17" xfId="0" applyFont="1" applyFill="1" applyBorder="1" applyAlignment="1">
      <alignment horizontal="left" indent="1"/>
    </xf>
    <xf numFmtId="0" fontId="5" fillId="3" borderId="19" xfId="0" applyFont="1" applyFill="1" applyBorder="1" applyAlignment="1">
      <alignment horizontal="left" vertical="center" wrapText="1"/>
    </xf>
    <xf numFmtId="0" fontId="5" fillId="3" borderId="42" xfId="0" applyFont="1" applyFill="1" applyBorder="1" applyAlignment="1">
      <alignment horizontal="left" vertical="center" wrapText="1"/>
    </xf>
    <xf numFmtId="0" fontId="5" fillId="3" borderId="43" xfId="0" applyFont="1" applyFill="1" applyBorder="1" applyAlignment="1">
      <alignment horizontal="left" vertical="center" wrapText="1"/>
    </xf>
    <xf numFmtId="0" fontId="20" fillId="3" borderId="17" xfId="0" applyFont="1" applyFill="1" applyBorder="1" applyAlignment="1">
      <alignment horizontal="left"/>
    </xf>
    <xf numFmtId="0" fontId="5" fillId="3" borderId="38" xfId="0" applyFont="1" applyFill="1" applyBorder="1" applyAlignment="1">
      <alignment horizontal="left" vertical="center" wrapText="1"/>
    </xf>
    <xf numFmtId="0" fontId="5" fillId="3" borderId="48" xfId="0" applyFont="1" applyFill="1" applyBorder="1" applyAlignment="1">
      <alignment horizontal="left" vertical="center" wrapText="1"/>
    </xf>
    <xf numFmtId="0" fontId="19" fillId="3" borderId="28" xfId="0" applyFont="1" applyFill="1" applyBorder="1"/>
    <xf numFmtId="0" fontId="19" fillId="3" borderId="29" xfId="0" applyFont="1" applyFill="1" applyBorder="1" applyAlignment="1">
      <alignment horizontal="left" vertical="center" wrapText="1" indent="1"/>
    </xf>
    <xf numFmtId="0" fontId="14" fillId="3" borderId="27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 wrapText="1"/>
    </xf>
    <xf numFmtId="0" fontId="14" fillId="3" borderId="32" xfId="0" applyFont="1" applyFill="1" applyBorder="1" applyAlignment="1">
      <alignment horizontal="center" vertical="center"/>
    </xf>
    <xf numFmtId="0" fontId="18" fillId="3" borderId="25" xfId="0" applyFont="1" applyFill="1" applyBorder="1" applyAlignment="1">
      <alignment vertical="center" wrapText="1"/>
    </xf>
    <xf numFmtId="0" fontId="18" fillId="3" borderId="41" xfId="0" applyFont="1" applyFill="1" applyBorder="1" applyAlignment="1">
      <alignment vertical="center" wrapText="1"/>
    </xf>
    <xf numFmtId="0" fontId="18" fillId="3" borderId="23" xfId="0" applyFont="1" applyFill="1" applyBorder="1" applyAlignment="1">
      <alignment vertical="center" wrapText="1"/>
    </xf>
    <xf numFmtId="0" fontId="19" fillId="3" borderId="32" xfId="0" applyFont="1" applyFill="1" applyBorder="1" applyAlignment="1">
      <alignment vertical="center" wrapText="1"/>
    </xf>
    <xf numFmtId="0" fontId="19" fillId="3" borderId="28" xfId="0" applyFont="1" applyFill="1" applyBorder="1" applyAlignment="1">
      <alignment horizontal="left" vertical="center" wrapText="1"/>
    </xf>
    <xf numFmtId="0" fontId="19" fillId="3" borderId="0" xfId="0" applyFont="1" applyFill="1" applyBorder="1" applyAlignment="1">
      <alignment horizontal="left" vertical="center" wrapText="1"/>
    </xf>
    <xf numFmtId="0" fontId="19" fillId="3" borderId="16" xfId="0" applyFont="1" applyFill="1" applyBorder="1" applyAlignment="1">
      <alignment horizontal="left" vertical="center" wrapText="1"/>
    </xf>
    <xf numFmtId="0" fontId="19" fillId="3" borderId="30" xfId="0" applyFont="1" applyFill="1" applyBorder="1" applyAlignment="1">
      <alignment horizontal="left" vertical="center" wrapText="1"/>
    </xf>
    <xf numFmtId="0" fontId="19" fillId="3" borderId="18" xfId="0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left" vertical="center" wrapText="1"/>
    </xf>
    <xf numFmtId="0" fontId="18" fillId="3" borderId="40" xfId="0" applyFont="1" applyFill="1" applyBorder="1" applyAlignment="1">
      <alignment horizontal="left" vertical="center" wrapText="1"/>
    </xf>
    <xf numFmtId="0" fontId="14" fillId="3" borderId="21" xfId="0" applyFont="1" applyFill="1" applyBorder="1" applyAlignment="1">
      <alignment vertical="center"/>
    </xf>
    <xf numFmtId="0" fontId="14" fillId="3" borderId="49" xfId="0" applyFont="1" applyFill="1" applyBorder="1" applyAlignment="1">
      <alignment vertical="center"/>
    </xf>
    <xf numFmtId="0" fontId="14" fillId="3" borderId="32" xfId="0" applyFont="1" applyFill="1" applyBorder="1" applyAlignment="1">
      <alignment vertical="center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8"/>
  <sheetViews>
    <sheetView tabSelected="1" zoomScale="70" zoomScaleNormal="70" workbookViewId="0">
      <selection activeCell="C20" sqref="B20:E22"/>
    </sheetView>
  </sheetViews>
  <sheetFormatPr baseColWidth="10" defaultColWidth="11" defaultRowHeight="13.5" x14ac:dyDescent="0.25"/>
  <cols>
    <col min="1" max="1" width="7.140625" style="2" customWidth="1"/>
    <col min="2" max="2" width="12.85546875" style="2" customWidth="1"/>
    <col min="3" max="3" width="23.7109375" style="2" customWidth="1"/>
    <col min="4" max="4" width="8.42578125" style="4" customWidth="1"/>
    <col min="5" max="5" width="147.7109375" style="28" customWidth="1"/>
    <col min="6" max="6" width="14.28515625" style="2" bestFit="1" customWidth="1"/>
    <col min="7" max="7" width="12.7109375" style="2" customWidth="1"/>
    <col min="8" max="8" width="13.85546875" style="2" customWidth="1"/>
    <col min="9" max="9" width="18.5703125" style="3" customWidth="1"/>
    <col min="10" max="16384" width="11" style="4"/>
  </cols>
  <sheetData>
    <row r="2" spans="1:9" ht="28.5" x14ac:dyDescent="0.4">
      <c r="B2" s="93" t="s">
        <v>0</v>
      </c>
      <c r="C2" s="93"/>
      <c r="D2" s="93"/>
      <c r="E2" s="93"/>
      <c r="F2" s="93"/>
      <c r="G2" s="93"/>
      <c r="H2" s="93"/>
    </row>
    <row r="4" spans="1:9" ht="18" customHeight="1" x14ac:dyDescent="0.25">
      <c r="A4" s="94" t="s">
        <v>1</v>
      </c>
      <c r="B4" s="94"/>
      <c r="C4" s="95" t="s">
        <v>56</v>
      </c>
      <c r="D4" s="95"/>
      <c r="E4" s="95"/>
      <c r="F4" s="5"/>
      <c r="G4" s="5"/>
      <c r="H4" s="5"/>
    </row>
    <row r="5" spans="1:9" ht="18" customHeight="1" x14ac:dyDescent="0.25">
      <c r="A5" s="94" t="s">
        <v>2</v>
      </c>
      <c r="B5" s="94"/>
      <c r="C5" s="95" t="s">
        <v>57</v>
      </c>
      <c r="D5" s="95"/>
      <c r="E5" s="95"/>
      <c r="F5" s="5"/>
      <c r="G5" s="5"/>
      <c r="H5" s="5"/>
    </row>
    <row r="6" spans="1:9" ht="16.5" customHeight="1" x14ac:dyDescent="0.25">
      <c r="A6" s="94" t="s">
        <v>3</v>
      </c>
      <c r="B6" s="94"/>
      <c r="C6" s="6">
        <v>2021</v>
      </c>
      <c r="D6" s="7"/>
      <c r="E6" s="7"/>
      <c r="F6" s="5"/>
      <c r="G6" s="5"/>
      <c r="H6" s="5"/>
    </row>
    <row r="7" spans="1:9" ht="16.5" customHeight="1" x14ac:dyDescent="0.25">
      <c r="A7" s="94" t="s">
        <v>4</v>
      </c>
      <c r="B7" s="94"/>
      <c r="C7" s="6">
        <v>1</v>
      </c>
      <c r="D7" s="7"/>
      <c r="E7" s="7"/>
      <c r="F7" s="5"/>
      <c r="G7" s="5"/>
      <c r="H7" s="5"/>
    </row>
    <row r="8" spans="1:9" ht="14.25" thickBot="1" x14ac:dyDescent="0.3">
      <c r="B8" s="5"/>
      <c r="C8" s="5"/>
      <c r="D8" s="8"/>
      <c r="E8" s="8"/>
      <c r="F8" s="5"/>
      <c r="G8" s="5"/>
      <c r="H8" s="5"/>
    </row>
    <row r="9" spans="1:9" ht="39.75" thickTop="1" thickBot="1" x14ac:dyDescent="0.3">
      <c r="A9" s="9" t="s">
        <v>5</v>
      </c>
      <c r="B9" s="10" t="s">
        <v>6</v>
      </c>
      <c r="C9" s="11" t="s">
        <v>7</v>
      </c>
      <c r="D9" s="12" t="s">
        <v>8</v>
      </c>
      <c r="E9" s="13" t="s">
        <v>9</v>
      </c>
      <c r="F9" s="12" t="s">
        <v>10</v>
      </c>
      <c r="G9" s="12" t="s">
        <v>11</v>
      </c>
      <c r="H9" s="12" t="s">
        <v>12</v>
      </c>
      <c r="I9" s="14" t="s">
        <v>13</v>
      </c>
    </row>
    <row r="10" spans="1:9" ht="29.25" customHeight="1" thickBot="1" x14ac:dyDescent="0.3">
      <c r="A10" s="15">
        <v>1</v>
      </c>
      <c r="B10" s="16" t="s">
        <v>66</v>
      </c>
      <c r="C10" s="17" t="s">
        <v>58</v>
      </c>
      <c r="D10" s="18" t="str">
        <f t="shared" ref="D10:D12" si="0">LEFT(B10,5)</f>
        <v>2.1.2</v>
      </c>
      <c r="E10" s="86" t="s">
        <v>67</v>
      </c>
      <c r="F10" s="55" t="s">
        <v>65</v>
      </c>
      <c r="G10" s="19">
        <v>2000</v>
      </c>
      <c r="H10" s="20">
        <v>700</v>
      </c>
      <c r="I10" s="21">
        <f>G10*H10</f>
        <v>1400000</v>
      </c>
    </row>
    <row r="11" spans="1:9" ht="15" thickBot="1" x14ac:dyDescent="0.3">
      <c r="A11" s="79">
        <v>2</v>
      </c>
      <c r="B11" s="83" t="s">
        <v>80</v>
      </c>
      <c r="C11" s="80" t="s">
        <v>58</v>
      </c>
      <c r="D11" s="87" t="str">
        <f t="shared" si="0"/>
        <v>2.1.2</v>
      </c>
      <c r="E11" s="83" t="s">
        <v>81</v>
      </c>
      <c r="F11" s="85" t="s">
        <v>84</v>
      </c>
      <c r="G11" s="81">
        <v>6480</v>
      </c>
      <c r="H11" s="82">
        <v>40.17</v>
      </c>
      <c r="I11" s="21">
        <f>G11*H11</f>
        <v>260301.6</v>
      </c>
    </row>
    <row r="12" spans="1:9" ht="15" thickBot="1" x14ac:dyDescent="0.3">
      <c r="A12" s="22">
        <v>3</v>
      </c>
      <c r="B12" s="23" t="s">
        <v>69</v>
      </c>
      <c r="C12" s="24" t="s">
        <v>58</v>
      </c>
      <c r="D12" s="25" t="str">
        <f t="shared" si="0"/>
        <v>2.1.2</v>
      </c>
      <c r="E12" s="84" t="s">
        <v>70</v>
      </c>
      <c r="F12" s="85" t="s">
        <v>68</v>
      </c>
      <c r="G12" s="26">
        <v>50</v>
      </c>
      <c r="H12" s="27">
        <v>5960</v>
      </c>
      <c r="I12" s="21">
        <f t="shared" ref="I12" si="1">G12*H12</f>
        <v>298000</v>
      </c>
    </row>
    <row r="13" spans="1:9" ht="14.25" thickBot="1" x14ac:dyDescent="0.3">
      <c r="I13" s="29">
        <f>SUM(I10:I12)</f>
        <v>1958301.6</v>
      </c>
    </row>
    <row r="14" spans="1:9" x14ac:dyDescent="0.25">
      <c r="B14" s="30" t="s">
        <v>62</v>
      </c>
      <c r="C14" s="31"/>
      <c r="D14" s="32"/>
      <c r="E14" s="33"/>
    </row>
    <row r="15" spans="1:9" x14ac:dyDescent="0.25">
      <c r="B15" s="38" t="s">
        <v>14</v>
      </c>
      <c r="C15" s="35"/>
      <c r="D15" s="36"/>
      <c r="E15" s="78"/>
    </row>
    <row r="16" spans="1:9" ht="9.75" customHeight="1" x14ac:dyDescent="0.25">
      <c r="B16" s="38"/>
      <c r="C16" s="91"/>
      <c r="D16" s="91"/>
      <c r="E16" s="92"/>
    </row>
    <row r="17" spans="1:9" s="39" customFormat="1" ht="21.75" customHeight="1" x14ac:dyDescent="0.2">
      <c r="A17" s="2"/>
      <c r="B17" s="38"/>
      <c r="C17" s="91" t="s">
        <v>83</v>
      </c>
      <c r="D17" s="91"/>
      <c r="E17" s="92"/>
      <c r="F17" s="2"/>
      <c r="G17" s="2"/>
      <c r="H17" s="2"/>
      <c r="I17" s="3"/>
    </row>
    <row r="18" spans="1:9" x14ac:dyDescent="0.25">
      <c r="B18" s="38" t="s">
        <v>14</v>
      </c>
      <c r="C18" s="35"/>
      <c r="D18" s="36"/>
      <c r="E18" s="37"/>
    </row>
    <row r="19" spans="1:9" ht="9.75" customHeight="1" x14ac:dyDescent="0.25">
      <c r="B19" s="38"/>
      <c r="C19" s="91"/>
      <c r="D19" s="91"/>
      <c r="E19" s="92"/>
    </row>
    <row r="20" spans="1:9" s="39" customFormat="1" ht="57" customHeight="1" x14ac:dyDescent="0.2">
      <c r="A20" s="2"/>
      <c r="B20" s="38"/>
      <c r="C20" s="91" t="s">
        <v>71</v>
      </c>
      <c r="D20" s="91"/>
      <c r="E20" s="92"/>
      <c r="F20" s="2"/>
      <c r="G20" s="2"/>
      <c r="H20" s="2"/>
      <c r="I20" s="3"/>
    </row>
    <row r="21" spans="1:9" x14ac:dyDescent="0.25">
      <c r="B21" s="38" t="s">
        <v>15</v>
      </c>
      <c r="C21" s="35"/>
      <c r="D21" s="36"/>
      <c r="E21" s="37"/>
    </row>
    <row r="22" spans="1:9" ht="82.5" customHeight="1" x14ac:dyDescent="0.25">
      <c r="B22" s="34"/>
      <c r="C22" s="91" t="s">
        <v>75</v>
      </c>
      <c r="D22" s="91"/>
      <c r="E22" s="92"/>
    </row>
    <row r="23" spans="1:9" x14ac:dyDescent="0.25">
      <c r="B23" s="34"/>
      <c r="C23" s="98"/>
      <c r="D23" s="98"/>
      <c r="E23" s="98"/>
    </row>
    <row r="24" spans="1:9" x14ac:dyDescent="0.25">
      <c r="B24" s="38" t="s">
        <v>16</v>
      </c>
      <c r="C24" s="35"/>
      <c r="D24" s="36"/>
      <c r="E24" s="37"/>
    </row>
    <row r="25" spans="1:9" ht="25.5" customHeight="1" x14ac:dyDescent="0.25">
      <c r="B25" s="34"/>
      <c r="C25" s="91" t="s">
        <v>74</v>
      </c>
      <c r="D25" s="91"/>
      <c r="E25" s="92"/>
    </row>
    <row r="26" spans="1:9" x14ac:dyDescent="0.25">
      <c r="B26" s="38" t="s">
        <v>17</v>
      </c>
      <c r="C26" s="40"/>
      <c r="D26" s="41"/>
      <c r="E26" s="42"/>
    </row>
    <row r="27" spans="1:9" ht="18.75" customHeight="1" x14ac:dyDescent="0.25">
      <c r="B27" s="34"/>
      <c r="C27" s="99" t="s">
        <v>78</v>
      </c>
      <c r="D27" s="99"/>
      <c r="E27" s="100"/>
    </row>
    <row r="28" spans="1:9" x14ac:dyDescent="0.25">
      <c r="B28" s="38" t="s">
        <v>18</v>
      </c>
      <c r="C28" s="35"/>
      <c r="D28" s="36"/>
      <c r="E28" s="37"/>
    </row>
    <row r="29" spans="1:9" x14ac:dyDescent="0.25">
      <c r="B29" s="38"/>
      <c r="C29" s="96" t="s">
        <v>78</v>
      </c>
      <c r="D29" s="96"/>
      <c r="E29" s="97"/>
    </row>
    <row r="30" spans="1:9" ht="14.25" thickBot="1" x14ac:dyDescent="0.3">
      <c r="B30" s="43"/>
      <c r="C30" s="44"/>
      <c r="D30" s="45"/>
      <c r="E30" s="46"/>
    </row>
    <row r="31" spans="1:9" x14ac:dyDescent="0.25">
      <c r="B31" s="47"/>
    </row>
    <row r="32" spans="1:9" x14ac:dyDescent="0.25">
      <c r="B32" s="47"/>
    </row>
    <row r="38" spans="1:4" customFormat="1" ht="12.75" x14ac:dyDescent="0.2">
      <c r="A38" s="83"/>
      <c r="B38" s="83"/>
      <c r="C38" s="83"/>
      <c r="D38" s="83"/>
    </row>
  </sheetData>
  <mergeCells count="16">
    <mergeCell ref="C29:E29"/>
    <mergeCell ref="C20:E20"/>
    <mergeCell ref="C22:E22"/>
    <mergeCell ref="C23:E23"/>
    <mergeCell ref="C25:E25"/>
    <mergeCell ref="C27:E27"/>
    <mergeCell ref="C19:E19"/>
    <mergeCell ref="B2:H2"/>
    <mergeCell ref="A4:B4"/>
    <mergeCell ref="C4:E4"/>
    <mergeCell ref="A5:B5"/>
    <mergeCell ref="C5:E5"/>
    <mergeCell ref="A6:B6"/>
    <mergeCell ref="A7:B7"/>
    <mergeCell ref="C16:E16"/>
    <mergeCell ref="C17:E17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5"/>
  <sheetViews>
    <sheetView zoomScale="70" zoomScaleNormal="70" workbookViewId="0">
      <selection activeCell="A16" sqref="A16"/>
    </sheetView>
  </sheetViews>
  <sheetFormatPr baseColWidth="10" defaultColWidth="9.140625" defaultRowHeight="13.5" x14ac:dyDescent="0.25"/>
  <cols>
    <col min="1" max="1" width="5.42578125" style="50" customWidth="1"/>
    <col min="2" max="2" width="12.28515625" style="50" customWidth="1"/>
    <col min="3" max="3" width="14.140625" style="50" customWidth="1"/>
    <col min="4" max="4" width="26" style="50" customWidth="1"/>
    <col min="5" max="5" width="8" style="50" customWidth="1"/>
    <col min="6" max="6" width="7.85546875" style="50" customWidth="1"/>
    <col min="7" max="7" width="71.85546875" style="50" customWidth="1"/>
    <col min="8" max="8" width="10.5703125" style="50" customWidth="1"/>
    <col min="9" max="9" width="12" style="50" customWidth="1"/>
    <col min="10" max="10" width="11.42578125" style="50" customWidth="1"/>
    <col min="11" max="11" width="10.85546875" style="50" customWidth="1"/>
    <col min="12" max="14" width="5.85546875" style="50" customWidth="1"/>
    <col min="15" max="15" width="12.5703125" style="50" customWidth="1"/>
    <col min="16" max="1024" width="9.140625" style="50"/>
    <col min="1025" max="16384" width="9.140625" style="4"/>
  </cols>
  <sheetData>
    <row r="1" spans="1:1024" ht="18" customHeight="1" x14ac:dyDescent="0.25">
      <c r="A1" s="101" t="s">
        <v>19</v>
      </c>
      <c r="B1" s="101"/>
      <c r="C1" s="101"/>
      <c r="D1" s="101"/>
      <c r="E1" s="101"/>
      <c r="F1" s="101"/>
      <c r="G1" s="101"/>
      <c r="H1" s="101"/>
      <c r="I1" s="101"/>
      <c r="J1" s="48" t="s">
        <v>20</v>
      </c>
      <c r="K1" s="49" t="s">
        <v>79</v>
      </c>
    </row>
    <row r="2" spans="1:1024" ht="18.75" customHeight="1" thickBot="1" x14ac:dyDescent="0.3">
      <c r="A2" s="51"/>
      <c r="B2" s="51"/>
      <c r="C2" s="51"/>
      <c r="D2" s="52"/>
      <c r="E2" s="52"/>
      <c r="F2" s="52"/>
      <c r="G2" s="52"/>
      <c r="H2" s="52"/>
      <c r="I2" s="52"/>
      <c r="J2" s="52"/>
      <c r="K2" s="52"/>
    </row>
    <row r="3" spans="1:1024" ht="18.75" customHeight="1" thickBot="1" x14ac:dyDescent="0.3">
      <c r="A3" s="102" t="s">
        <v>53</v>
      </c>
      <c r="B3" s="102"/>
      <c r="C3" s="102"/>
      <c r="D3" s="103" t="str">
        <f>'Necesidades Trimestrales'!C4</f>
        <v>90 - Ministerio de Seguridad</v>
      </c>
      <c r="E3" s="103"/>
      <c r="F3" s="103"/>
      <c r="G3" s="103"/>
      <c r="H3" s="103"/>
      <c r="I3" s="103"/>
      <c r="J3" s="103"/>
      <c r="K3" s="103"/>
    </row>
    <row r="4" spans="1:1024" ht="18.75" customHeight="1" thickBot="1" x14ac:dyDescent="0.3">
      <c r="A4" s="104" t="s">
        <v>54</v>
      </c>
      <c r="B4" s="104"/>
      <c r="C4" s="104"/>
      <c r="D4" s="103" t="str">
        <f>'Necesidades Trimestrales'!C5</f>
        <v>7 - Direccion de Administracion de la Policia de la Provincia de Catamarca</v>
      </c>
      <c r="E4" s="103"/>
      <c r="F4" s="103"/>
      <c r="G4" s="103"/>
      <c r="H4" s="103"/>
      <c r="I4" s="103"/>
      <c r="J4" s="103"/>
      <c r="K4" s="103"/>
    </row>
    <row r="5" spans="1:1024" ht="18.75" customHeight="1" thickBot="1" x14ac:dyDescent="0.3">
      <c r="A5" s="104" t="s">
        <v>32</v>
      </c>
      <c r="B5" s="104"/>
      <c r="C5" s="104"/>
      <c r="D5" s="103" t="s">
        <v>59</v>
      </c>
      <c r="E5" s="103"/>
      <c r="F5" s="103"/>
      <c r="G5" s="103"/>
      <c r="H5" s="103"/>
      <c r="I5" s="103"/>
      <c r="J5" s="103"/>
      <c r="K5" s="103"/>
    </row>
    <row r="6" spans="1:1024" ht="16.5" customHeight="1" thickBot="1" x14ac:dyDescent="0.3">
      <c r="A6" s="102" t="s">
        <v>55</v>
      </c>
      <c r="B6" s="102"/>
      <c r="C6" s="102"/>
      <c r="D6" s="103" t="s">
        <v>64</v>
      </c>
      <c r="E6" s="103"/>
      <c r="F6" s="103"/>
      <c r="G6" s="103"/>
      <c r="H6" s="103"/>
      <c r="I6" s="103"/>
      <c r="J6" s="103"/>
      <c r="K6" s="103"/>
    </row>
    <row r="7" spans="1:1024" ht="16.5" customHeight="1" thickBot="1" x14ac:dyDescent="0.3">
      <c r="A7" s="104" t="s">
        <v>21</v>
      </c>
      <c r="B7" s="104"/>
      <c r="C7" s="104"/>
      <c r="D7" s="103" t="s">
        <v>76</v>
      </c>
      <c r="E7" s="103"/>
      <c r="F7" s="103"/>
      <c r="G7" s="103"/>
      <c r="H7" s="103"/>
      <c r="I7" s="103"/>
      <c r="J7" s="103"/>
      <c r="K7" s="103"/>
    </row>
    <row r="8" spans="1:1024" ht="16.5" customHeight="1" thickBot="1" x14ac:dyDescent="0.3">
      <c r="A8" s="114" t="s">
        <v>22</v>
      </c>
      <c r="B8" s="114"/>
      <c r="C8" s="114"/>
      <c r="D8" s="107" t="s">
        <v>63</v>
      </c>
      <c r="E8" s="107"/>
      <c r="F8" s="107"/>
      <c r="G8" s="107"/>
      <c r="H8" s="107"/>
      <c r="I8" s="107"/>
      <c r="J8" s="107"/>
      <c r="K8" s="107"/>
    </row>
    <row r="9" spans="1:1024" ht="18" thickBot="1" x14ac:dyDescent="0.3">
      <c r="A9" s="53"/>
      <c r="B9" s="53"/>
      <c r="C9" s="53"/>
      <c r="D9" s="54"/>
      <c r="E9" s="54"/>
      <c r="F9" s="54"/>
      <c r="G9" s="54"/>
      <c r="H9" s="54"/>
      <c r="I9" s="54"/>
      <c r="J9" s="54"/>
      <c r="K9" s="54"/>
    </row>
    <row r="10" spans="1:1024" ht="14.25" thickBot="1" x14ac:dyDescent="0.3">
      <c r="A10" s="108" t="s">
        <v>23</v>
      </c>
      <c r="B10" s="110" t="s">
        <v>24</v>
      </c>
      <c r="C10" s="110" t="s">
        <v>25</v>
      </c>
      <c r="D10" s="110"/>
      <c r="E10" s="110"/>
      <c r="F10" s="110"/>
      <c r="G10" s="110"/>
      <c r="H10" s="110" t="s">
        <v>26</v>
      </c>
      <c r="I10" s="110" t="s">
        <v>27</v>
      </c>
      <c r="J10" s="110" t="s">
        <v>28</v>
      </c>
      <c r="K10" s="112" t="s">
        <v>29</v>
      </c>
    </row>
    <row r="11" spans="1:1024" ht="14.25" thickBot="1" x14ac:dyDescent="0.3">
      <c r="A11" s="109"/>
      <c r="B11" s="111"/>
      <c r="C11" s="111"/>
      <c r="D11" s="111"/>
      <c r="E11" s="111"/>
      <c r="F11" s="111"/>
      <c r="G11" s="111"/>
      <c r="H11" s="111"/>
      <c r="I11" s="111"/>
      <c r="J11" s="111"/>
      <c r="K11" s="113"/>
    </row>
    <row r="12" spans="1:1024" ht="28.5" customHeight="1" thickBot="1" x14ac:dyDescent="0.3">
      <c r="A12" s="55">
        <v>1</v>
      </c>
      <c r="B12" s="23" t="str">
        <f>'Necesidades Trimestrales'!B10</f>
        <v>2.1.2-2888.2</v>
      </c>
      <c r="C12" s="115" t="str">
        <f>'Necesidades Trimestrales'!E10</f>
        <v>ALIMENTOS Y FORRAJES; TIPO: HENO DE ALFALFA, PRESENTACION: FARDO X 25 A 40 Kg, CAPACIDAD: 25 A 40 Kg, DESTINATARIO: GANADO EQUINO, USO: GANADO EQUINO</v>
      </c>
      <c r="D12" s="115"/>
      <c r="E12" s="115"/>
      <c r="F12" s="115"/>
      <c r="G12" s="115"/>
      <c r="H12" s="56" t="s">
        <v>60</v>
      </c>
      <c r="I12" s="57" t="s">
        <v>65</v>
      </c>
      <c r="J12" s="20">
        <f>'Necesidades Trimestrales'!H10</f>
        <v>700</v>
      </c>
      <c r="K12" s="19">
        <f>'Necesidades Trimestrales'!G10</f>
        <v>2000</v>
      </c>
    </row>
    <row r="13" spans="1:1024" ht="28.5" customHeight="1" thickBot="1" x14ac:dyDescent="0.3">
      <c r="A13" s="88">
        <v>2</v>
      </c>
      <c r="B13" s="23" t="str">
        <f>'Necesidades Trimestrales'!B11</f>
        <v>2.1.2-2888.16</v>
      </c>
      <c r="C13" s="115" t="str">
        <f>'Necesidades Trimestrales'!E11</f>
        <v>ALIMENTOS Y FORRAJES; TIPO: MAIZ, PRESENTACION: GRANEL, CAPACIDAD: SIN VALOR, DESTINATARIO: GANADO EQUINO, USO: GANADO EQUINO</v>
      </c>
      <c r="D13" s="115"/>
      <c r="E13" s="115"/>
      <c r="F13" s="115"/>
      <c r="G13" s="115"/>
      <c r="H13" s="89" t="s">
        <v>72</v>
      </c>
      <c r="I13" s="90" t="s">
        <v>82</v>
      </c>
      <c r="J13" s="20">
        <f>'Necesidades Trimestrales'!H11</f>
        <v>40.17</v>
      </c>
      <c r="K13" s="19">
        <f>'Necesidades Trimestrales'!G11</f>
        <v>6480</v>
      </c>
    </row>
    <row r="14" spans="1:1024" ht="19.5" customHeight="1" x14ac:dyDescent="0.25">
      <c r="A14" s="58">
        <f>'Necesidades Trimestrales'!A12</f>
        <v>3</v>
      </c>
      <c r="B14" s="23" t="str">
        <f>'Necesidades Trimestrales'!B12</f>
        <v>2.1.2-2875.2</v>
      </c>
      <c r="C14" s="116" t="str">
        <f>'Necesidades Trimestrales'!E12</f>
        <v>ALIMENTO P/PERRO; TIPO: PERRO ADULTO, SABOR: POLLO-PESCADO-CARNE, PRESENTACION: BOLSA X 20 Kg, CAPACIDAD: 20 Kg</v>
      </c>
      <c r="D14" s="117"/>
      <c r="E14" s="117"/>
      <c r="F14" s="117"/>
      <c r="G14" s="118"/>
      <c r="H14" s="59" t="s">
        <v>72</v>
      </c>
      <c r="I14" s="60" t="s">
        <v>68</v>
      </c>
      <c r="J14" s="20">
        <f>'Necesidades Trimestrales'!H12</f>
        <v>5960</v>
      </c>
      <c r="K14" s="19">
        <f>'Necesidades Trimestrales'!G12</f>
        <v>50</v>
      </c>
    </row>
    <row r="15" spans="1:1024" ht="18" thickBot="1" x14ac:dyDescent="0.3">
      <c r="A15" s="105" t="s">
        <v>85</v>
      </c>
      <c r="B15" s="105"/>
      <c r="C15" s="105"/>
      <c r="D15" s="105"/>
      <c r="E15" s="105"/>
      <c r="F15" s="105"/>
      <c r="G15" s="105"/>
      <c r="H15" s="105"/>
      <c r="I15" s="105"/>
      <c r="J15" s="106">
        <f>SUMPRODUCT(+J12:J14,K12:K14)</f>
        <v>1958301.6</v>
      </c>
      <c r="K15" s="10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</row>
  </sheetData>
  <mergeCells count="25"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2:G12"/>
    <mergeCell ref="C14:G14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zoomScale="69" zoomScaleNormal="69" workbookViewId="0">
      <selection activeCell="U5" sqref="U5"/>
    </sheetView>
  </sheetViews>
  <sheetFormatPr baseColWidth="10" defaultColWidth="11" defaultRowHeight="13.5" x14ac:dyDescent="0.25"/>
  <cols>
    <col min="1" max="6" width="4.42578125" style="4" customWidth="1"/>
    <col min="7" max="7" width="4.42578125" style="28" customWidth="1"/>
    <col min="8" max="8" width="4.42578125" style="4" customWidth="1"/>
    <col min="9" max="9" width="5.140625" style="4" customWidth="1"/>
    <col min="10" max="14" width="4.42578125" style="4" customWidth="1"/>
    <col min="15" max="16" width="14.85546875" style="4" customWidth="1"/>
    <col min="17" max="17" width="16.140625" style="4" bestFit="1" customWidth="1"/>
    <col min="18" max="16384" width="11" style="4"/>
  </cols>
  <sheetData>
    <row r="1" spans="1:17" ht="15.75" customHeight="1" x14ac:dyDescent="0.25">
      <c r="A1" s="119" t="s">
        <v>3</v>
      </c>
      <c r="B1" s="119"/>
      <c r="C1" s="119"/>
      <c r="D1" s="120">
        <f>'Necesidades Trimestrales'!C6</f>
        <v>2021</v>
      </c>
      <c r="E1" s="120"/>
      <c r="F1" s="61"/>
      <c r="G1" s="61"/>
      <c r="H1" s="62"/>
      <c r="I1" s="62"/>
      <c r="J1" s="62"/>
      <c r="K1" s="62"/>
      <c r="L1" s="62"/>
      <c r="M1" s="62"/>
      <c r="N1" s="62"/>
      <c r="P1" s="121" t="s">
        <v>30</v>
      </c>
      <c r="Q1" s="121"/>
    </row>
    <row r="2" spans="1:17" ht="15.75" customHeight="1" x14ac:dyDescent="0.25">
      <c r="H2" s="62"/>
      <c r="I2" s="62"/>
      <c r="J2" s="62"/>
      <c r="K2" s="62"/>
      <c r="L2" s="62"/>
      <c r="M2" s="62"/>
      <c r="N2" s="62"/>
      <c r="P2" s="121"/>
      <c r="Q2" s="121"/>
    </row>
    <row r="4" spans="1:17" ht="18" customHeight="1" thickBot="1" x14ac:dyDescent="0.35">
      <c r="A4" s="122" t="s">
        <v>31</v>
      </c>
      <c r="B4" s="122"/>
      <c r="C4" s="122"/>
      <c r="D4" s="122"/>
      <c r="E4" s="122"/>
      <c r="F4" s="122"/>
      <c r="G4" s="123" t="str">
        <f>' NotaPedido'!D3</f>
        <v>90 - Ministerio de Seguridad</v>
      </c>
      <c r="H4" s="123"/>
      <c r="I4" s="123"/>
      <c r="J4" s="123"/>
      <c r="K4" s="123"/>
      <c r="L4" s="123"/>
      <c r="M4" s="123"/>
      <c r="N4" s="123"/>
      <c r="O4" s="123"/>
      <c r="P4" s="123"/>
      <c r="Q4" s="123"/>
    </row>
    <row r="5" spans="1:17" ht="18" customHeight="1" thickBot="1" x14ac:dyDescent="0.35">
      <c r="A5" s="124" t="s">
        <v>54</v>
      </c>
      <c r="B5" s="125"/>
      <c r="C5" s="125"/>
      <c r="D5" s="125"/>
      <c r="E5" s="125"/>
      <c r="F5" s="126"/>
      <c r="G5" s="123" t="str">
        <f>' NotaPedido'!D4</f>
        <v>7 - Direccion de Administracion de la Policia de la Provincia de Catamarca</v>
      </c>
      <c r="H5" s="123"/>
      <c r="I5" s="123"/>
      <c r="J5" s="123"/>
      <c r="K5" s="123"/>
      <c r="L5" s="123"/>
      <c r="M5" s="123"/>
      <c r="N5" s="123"/>
      <c r="O5" s="123"/>
      <c r="P5" s="123"/>
      <c r="Q5" s="123"/>
    </row>
    <row r="6" spans="1:17" ht="18" customHeight="1" thickBot="1" x14ac:dyDescent="0.35">
      <c r="A6" s="124" t="s">
        <v>32</v>
      </c>
      <c r="B6" s="125"/>
      <c r="C6" s="125"/>
      <c r="D6" s="125"/>
      <c r="E6" s="125"/>
      <c r="F6" s="126"/>
      <c r="G6" s="123" t="str">
        <f>' NotaPedido'!D5</f>
        <v>Policía de la Provincia de Catamarca</v>
      </c>
      <c r="H6" s="123"/>
      <c r="I6" s="123"/>
      <c r="J6" s="123"/>
      <c r="K6" s="123"/>
      <c r="L6" s="123"/>
      <c r="M6" s="123"/>
      <c r="N6" s="123"/>
      <c r="O6" s="123"/>
      <c r="P6" s="123"/>
      <c r="Q6" s="123"/>
    </row>
    <row r="7" spans="1:17" ht="25.5" customHeight="1" thickBot="1" x14ac:dyDescent="0.35">
      <c r="A7" s="124" t="s">
        <v>55</v>
      </c>
      <c r="B7" s="125"/>
      <c r="C7" s="125"/>
      <c r="D7" s="125"/>
      <c r="E7" s="125"/>
      <c r="F7" s="126"/>
      <c r="G7" s="123" t="str">
        <f>' NotaPedido'!D6</f>
        <v>División Policía Montada  y División Canes - Policía de Catamarca.</v>
      </c>
      <c r="H7" s="123"/>
      <c r="I7" s="123"/>
      <c r="J7" s="123"/>
      <c r="K7" s="123"/>
      <c r="L7" s="123"/>
      <c r="M7" s="123"/>
      <c r="N7" s="123"/>
      <c r="O7" s="123"/>
      <c r="P7" s="123"/>
      <c r="Q7" s="123"/>
    </row>
    <row r="8" spans="1:17" ht="18" customHeight="1" thickBot="1" x14ac:dyDescent="0.3">
      <c r="A8" s="127" t="s">
        <v>77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</row>
    <row r="9" spans="1:17" ht="18" customHeight="1" x14ac:dyDescent="0.3">
      <c r="A9" s="130" t="s">
        <v>33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36"/>
      <c r="P9" s="36"/>
      <c r="Q9" s="63"/>
    </row>
    <row r="10" spans="1:17" ht="54.75" customHeight="1" x14ac:dyDescent="0.25">
      <c r="A10" s="13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12/2021,  afectando la erogación resultante a los créditos presupuestarios aprobados a favor de esta Unidad Ejecutora, conforme al siguiente detalle: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</row>
    <row r="11" spans="1:17" ht="9" customHeight="1" x14ac:dyDescent="0.25">
      <c r="A11" s="64"/>
      <c r="B11" s="65"/>
      <c r="C11" s="65"/>
      <c r="D11" s="65"/>
      <c r="E11" s="65"/>
      <c r="F11" s="65"/>
      <c r="G11" s="66"/>
      <c r="H11" s="65"/>
      <c r="I11" s="65"/>
      <c r="J11" s="65"/>
      <c r="K11" s="65"/>
      <c r="L11" s="65"/>
      <c r="M11" s="65"/>
      <c r="N11" s="65"/>
      <c r="O11" s="65"/>
      <c r="P11" s="65"/>
      <c r="Q11" s="67"/>
    </row>
    <row r="12" spans="1:17" ht="15.75" customHeight="1" x14ac:dyDescent="0.25">
      <c r="A12" s="132" t="s">
        <v>34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</row>
    <row r="13" spans="1:17" ht="15.75" customHeight="1" x14ac:dyDescent="0.25">
      <c r="A13" s="133" t="s">
        <v>35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4" t="s">
        <v>36</v>
      </c>
      <c r="P13" s="134"/>
      <c r="Q13" s="135" t="s">
        <v>37</v>
      </c>
    </row>
    <row r="14" spans="1:17" ht="15.75" customHeight="1" thickBot="1" x14ac:dyDescent="0.3">
      <c r="A14" s="68" t="s">
        <v>38</v>
      </c>
      <c r="B14" s="69" t="s">
        <v>39</v>
      </c>
      <c r="C14" s="69" t="s">
        <v>40</v>
      </c>
      <c r="D14" s="69" t="s">
        <v>41</v>
      </c>
      <c r="E14" s="69" t="s">
        <v>42</v>
      </c>
      <c r="F14" s="69" t="s">
        <v>43</v>
      </c>
      <c r="G14" s="70" t="s">
        <v>44</v>
      </c>
      <c r="H14" s="69" t="s">
        <v>45</v>
      </c>
      <c r="I14" s="69" t="s">
        <v>46</v>
      </c>
      <c r="J14" s="69" t="s">
        <v>47</v>
      </c>
      <c r="K14" s="69" t="s">
        <v>47</v>
      </c>
      <c r="L14" s="69" t="s">
        <v>48</v>
      </c>
      <c r="M14" s="71" t="s">
        <v>49</v>
      </c>
      <c r="N14" s="72" t="s">
        <v>50</v>
      </c>
      <c r="O14" s="134"/>
      <c r="P14" s="134"/>
      <c r="Q14" s="135"/>
    </row>
    <row r="15" spans="1:17" ht="17.25" customHeight="1" x14ac:dyDescent="0.25">
      <c r="A15" s="73">
        <v>16</v>
      </c>
      <c r="B15" s="74">
        <v>0</v>
      </c>
      <c r="C15" s="74">
        <v>0</v>
      </c>
      <c r="D15" s="74">
        <v>1</v>
      </c>
      <c r="E15" s="74">
        <v>0</v>
      </c>
      <c r="F15" s="74">
        <v>10</v>
      </c>
      <c r="G15" s="74">
        <v>2</v>
      </c>
      <c r="H15" s="74">
        <v>210</v>
      </c>
      <c r="I15" s="75" t="str">
        <f t="shared" ref="I15" si="0">LEFT(G15,5)</f>
        <v>2</v>
      </c>
      <c r="J15" s="74">
        <v>1</v>
      </c>
      <c r="K15" s="74">
        <v>2</v>
      </c>
      <c r="L15" s="74">
        <v>0</v>
      </c>
      <c r="M15" s="76">
        <v>1</v>
      </c>
      <c r="N15" s="74" t="s">
        <v>61</v>
      </c>
      <c r="O15" s="128" t="s">
        <v>87</v>
      </c>
      <c r="P15" s="129"/>
      <c r="Q15" s="77">
        <f>'Necesidades Trimestrales'!I13</f>
        <v>1958301.6</v>
      </c>
    </row>
    <row r="16" spans="1:17" ht="20.25" customHeight="1" thickBot="1" x14ac:dyDescent="0.3">
      <c r="A16" s="146" t="s">
        <v>51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">
        <f>Q15</f>
        <v>1958301.6</v>
      </c>
    </row>
    <row r="17" spans="1:17" ht="18" customHeight="1" thickBot="1" x14ac:dyDescent="0.3">
      <c r="A17" s="147" t="s">
        <v>86</v>
      </c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9"/>
    </row>
    <row r="18" spans="1:17" ht="17.25" customHeight="1" thickBot="1" x14ac:dyDescent="0.3">
      <c r="A18" s="136" t="s">
        <v>52</v>
      </c>
      <c r="B18" s="137"/>
      <c r="C18" s="137"/>
      <c r="D18" s="137"/>
      <c r="E18" s="137"/>
      <c r="F18" s="138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</row>
    <row r="19" spans="1:17" ht="18" customHeight="1" x14ac:dyDescent="0.25">
      <c r="A19" s="140" t="s">
        <v>73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2"/>
    </row>
    <row r="20" spans="1:17" ht="15" customHeight="1" thickBot="1" x14ac:dyDescent="0.3">
      <c r="A20" s="143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5"/>
    </row>
  </sheetData>
  <mergeCells count="24">
    <mergeCell ref="A18:F18"/>
    <mergeCell ref="G18:Q18"/>
    <mergeCell ref="A19:Q20"/>
    <mergeCell ref="A16:P16"/>
    <mergeCell ref="A17:Q17"/>
    <mergeCell ref="O15:P15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2021-08-17T12:53:51Z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