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58418B6-9C1C-4E0D-94EE-4C41A2D348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Trimestrales'!$A$9:$I$48</definedName>
  </definedNames>
  <calcPr calcId="181029"/>
</workbook>
</file>

<file path=xl/calcChain.xml><?xml version="1.0" encoding="utf-8"?>
<calcChain xmlns="http://schemas.openxmlformats.org/spreadsheetml/2006/main">
  <c r="I47" i="1" l="1"/>
  <c r="D47" i="1"/>
  <c r="I48" i="1" l="1"/>
  <c r="I27" i="1" l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34" i="1" l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D48" i="1"/>
  <c r="I46" i="1"/>
  <c r="D46" i="1"/>
  <c r="I45" i="1"/>
  <c r="D45" i="1"/>
  <c r="I44" i="1"/>
  <c r="D44" i="1"/>
  <c r="I43" i="1"/>
  <c r="D43" i="1"/>
  <c r="I42" i="1"/>
  <c r="D42" i="1"/>
</calcChain>
</file>

<file path=xl/sharedStrings.xml><?xml version="1.0" encoding="utf-8"?>
<sst xmlns="http://schemas.openxmlformats.org/spreadsheetml/2006/main" count="239" uniqueCount="127">
  <si>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</si>
  <si>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</si>
  <si>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</si>
  <si>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</si>
  <si>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</si>
  <si>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</si>
  <si>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</si>
  <si>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</si>
  <si>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</si>
  <si>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</si>
  <si>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</si>
  <si>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</si>
  <si>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</si>
  <si>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</si>
  <si>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40 - Ministerio de Salud</t>
  </si>
  <si>
    <t>28 - MATERNIDAD PROVINCIAL 25 DE MAYO</t>
  </si>
  <si>
    <t>unidad</t>
  </si>
  <si>
    <t>caja</t>
  </si>
  <si>
    <t>2.9.2-262.40</t>
  </si>
  <si>
    <t>2.9.2-317.1</t>
  </si>
  <si>
    <t>2.9.2-317.5</t>
  </si>
  <si>
    <t>2.9.2-317.17</t>
  </si>
  <si>
    <t>2.9.2-317.32</t>
  </si>
  <si>
    <t>2.9.2-700.2</t>
  </si>
  <si>
    <t>2.9.2-700.56</t>
  </si>
  <si>
    <t>2.9.2-6873.6</t>
  </si>
  <si>
    <t>2.9.2-1153.19</t>
  </si>
  <si>
    <t>2.9.2-1153.166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</si>
  <si>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</si>
  <si>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</si>
  <si>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</si>
  <si>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</si>
  <si>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</si>
  <si>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</si>
  <si>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</si>
  <si>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</si>
  <si>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</si>
  <si>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</si>
  <si>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</si>
  <si>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</si>
  <si>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</si>
  <si>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</si>
  <si>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</si>
  <si>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</si>
  <si>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</si>
  <si>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2.9.2-674.9</t>
  </si>
  <si>
    <t>2.9.2-1354.18</t>
  </si>
  <si>
    <t>2.9.2-1354.28</t>
  </si>
  <si>
    <t>2.9.2-1354.29</t>
  </si>
  <si>
    <t>2.3.1-6590.476</t>
  </si>
  <si>
    <t>2.3.1-6590.539</t>
  </si>
  <si>
    <t>2.3.1-6590.558</t>
  </si>
  <si>
    <t>LIBRERIA,PAP. Y UTILES OFICINA</t>
  </si>
  <si>
    <t>ADHESIVOS P/PAPEL; PRESENTACION: 50 mL, TIPO: SINTETICO TRANSPARENTE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</si>
  <si>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</si>
  <si>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</si>
  <si>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</si>
  <si>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</si>
  <si>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</si>
  <si>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</si>
  <si>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</si>
  <si>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</si>
  <si>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CINTAS ADHESIVAS; TIPO: P/EMBALAR, ANCHO: 48 mm, LARGO: 40 M, MATERIAL: TRANSPARENTE, ACCESORIO: SIN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</si>
  <si>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</si>
  <si>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</si>
  <si>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</si>
  <si>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</si>
  <si>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</si>
  <si>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</si>
  <si>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</si>
  <si>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</si>
  <si>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</si>
  <si>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</si>
  <si>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</si>
  <si>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</si>
  <si>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</si>
  <si>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</si>
  <si>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</si>
  <si>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</si>
  <si>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</si>
  <si>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</si>
  <si>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</si>
  <si>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</si>
  <si>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</si>
  <si>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</si>
  <si>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</si>
  <si>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</si>
  <si>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>FICHAS P/ARCHIVOS; MATERIAL: CARTULINA, IMPRESION: RAYADA, DIMENSION: 14,8 X 21 Cm, PAQUETE: X 100 HOJAS, FONDO: BLANCO</t>
  </si>
  <si>
    <t>Descripción técnica</t>
  </si>
  <si>
    <t>BOLIGRAFOS; TRAZO 1,0mm TINTA COLOR AZUL. TIPO BIG</t>
  </si>
  <si>
    <t>MATERNIDAD PROVINCIAL 25 DE MAYO , HERNADO DE PEDRAZA 1650-SECTOR ECONOMATO</t>
  </si>
  <si>
    <t>Calidad Minima esperada</t>
  </si>
  <si>
    <t>Mantenimiento</t>
  </si>
  <si>
    <t>Garantia</t>
  </si>
  <si>
    <t>BOLIGRAFOS; TRAZO: 0,8 mm TINTA COLOR NEGRA . TIPO BIG</t>
  </si>
  <si>
    <t>Especificidades Item N° 3:</t>
  </si>
  <si>
    <t xml:space="preserve">PAPELES EN HOJA; TIPO DE PAPEL: CARTULINA, DIMENSION: 45 X 63 Cm, GRAMAJE: 115/125 GR/M2, PRESENTACION: UNIDAD, CERTIFICADO FORESTAL (GFS): SIN, PORC. FIBRAS RECICLADAS: SIN, CERT. FIBRA ALTERNATIVA (FCA): SIN COLOR AMARILLO </t>
  </si>
  <si>
    <t>2.9.2-1428.14</t>
  </si>
  <si>
    <t>BANDAS ELASTICAS; DIAMETRO: 5 Cm, PRESENTACION: CAJA DE 50 GR, ESPESOR: 2 mm</t>
  </si>
  <si>
    <t>2.9.2-674.8</t>
  </si>
  <si>
    <t>REGLAS GRADUADAS; LONG.DE CUERPO: 20 Cm, TIPO: PLANA, MATERIAL: PLASTICO</t>
  </si>
  <si>
    <t>2.9.2-696.15</t>
  </si>
  <si>
    <t>SACAPUNTAS; MATERIAL: METALICO, FIJACION: SIN VALOR, N° CARACTERISTICO: SIN VALOR, N° BOCAS: 1, TIPO: ESCOLAR, NUMERO: SIN VALOR, CANTIDAD DE BOCAS: 1</t>
  </si>
  <si>
    <t>Nº 25</t>
  </si>
  <si>
    <t xml:space="preserve">PAPELES EN HOJA; TIPO DE PAPEL: P/FORRAR, DIMENSION: 48 X 80 Cm, GRAMAJE: NO CORRESPONDE, PRESENTACION: UNIDAD, CERTIFICADO FORESTAL (GFS): SIN, PORC. FIBRAS RECICLADAS: 0 %, CERT. FIBRA ALTERNATIVA (FCA): SIN VARIOS COLORES </t>
  </si>
  <si>
    <t>Plazos de entrega</t>
  </si>
  <si>
    <t>10 Dias habiles desde la firma del instrumento contractual</t>
  </si>
  <si>
    <t>Lugar de Entrega :</t>
  </si>
  <si>
    <t>Hora de entrega:</t>
  </si>
  <si>
    <t>8 a 12 Hs</t>
  </si>
  <si>
    <t>Lugar de entrega:</t>
  </si>
  <si>
    <t>Especificidades Item N°  4</t>
  </si>
  <si>
    <t>Especificidades Item N° 6:</t>
  </si>
  <si>
    <t>Plazos  de entrega:</t>
  </si>
  <si>
    <t>Lugar de entrega</t>
  </si>
  <si>
    <t>Especificidades Item N° 26:</t>
  </si>
  <si>
    <t xml:space="preserve">3er. </t>
  </si>
  <si>
    <t>2.5.8-5590.58</t>
  </si>
  <si>
    <t>FILMS DE POLIETILENO; ESPESOR: 30 Mn, ANCHO: 38 Cm, PRESENTACION: ENVASE X 150 M, USO: ALIMENTARIO</t>
  </si>
  <si>
    <t>ROLLO</t>
  </si>
  <si>
    <t>10 Dias Habiles desde la firma del instrumento contractual</t>
  </si>
  <si>
    <t>Hora de Entrega:</t>
  </si>
  <si>
    <t>8 hs a 11 hs, previa coordinacion con los encargados del servicio.</t>
  </si>
  <si>
    <t>Especificidades Item N° 38:</t>
  </si>
  <si>
    <t>30 dias</t>
  </si>
  <si>
    <t>2.3.1-860.19</t>
  </si>
  <si>
    <t>ROLLO PAPEL FILM PVC 38cm POR 150 Mts. ADHERENTE APTO PARA HORNO - TIPO ROLOPACK O BANDEX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</si>
</sst>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</numFmts>
  <fonts count="2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u/>
      <sz val="1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8" fillId="0" borderId="0" applyBorder="0" applyProtection="0"/>
    <xf numFmtId="0" fontId="5" fillId="0" borderId="1" applyProtection="0"/>
    <xf numFmtId="0" fontId="7" fillId="2" borderId="0" applyBorder="0" applyProtection="0"/>
    <xf numFmtId="0" fontId="4" fillId="5" borderId="0" applyNumberFormat="0" applyBorder="0" applyAlignment="0" applyProtection="0"/>
    <xf numFmtId="0" fontId="17" fillId="0" borderId="16" applyNumberFormat="0" applyFill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0" borderId="0"/>
  </cellStyleXfs>
  <cellXfs count="112">
    <xf numFmtId="0" fontId="0" fillId="0" borderId="0" xfId="0"/>
    <xf numFmtId="0" fontId="9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9" fillId="0" borderId="0" xfId="0" applyFont="1" applyBorder="1"/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66" fontId="16" fillId="3" borderId="6" xfId="1" applyNumberFormat="1" applyFont="1" applyFill="1" applyBorder="1" applyAlignment="1" applyProtection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66" fontId="16" fillId="3" borderId="10" xfId="1" applyNumberFormat="1" applyFont="1" applyFill="1" applyBorder="1" applyAlignment="1" applyProtection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indent="3"/>
    </xf>
    <xf numFmtId="0" fontId="14" fillId="3" borderId="0" xfId="0" applyFont="1" applyFill="1" applyAlignment="1">
      <alignment horizontal="left" wrapText="1" indent="1"/>
    </xf>
    <xf numFmtId="0" fontId="13" fillId="4" borderId="0" xfId="0" applyFont="1" applyFill="1" applyAlignment="1">
      <alignment horizontal="left" wrapText="1"/>
    </xf>
    <xf numFmtId="0" fontId="4" fillId="4" borderId="7" xfId="4" applyFill="1" applyBorder="1" applyAlignment="1">
      <alignment horizontal="center" vertical="center" wrapText="1"/>
    </xf>
    <xf numFmtId="0" fontId="4" fillId="4" borderId="7" xfId="4" applyFill="1" applyBorder="1" applyAlignment="1">
      <alignment horizontal="center" vertical="center"/>
    </xf>
    <xf numFmtId="0" fontId="3" fillId="4" borderId="7" xfId="6" applyFill="1" applyBorder="1" applyAlignment="1">
      <alignment horizontal="center" vertical="center" wrapText="1"/>
    </xf>
    <xf numFmtId="0" fontId="3" fillId="4" borderId="7" xfId="6" applyFill="1" applyBorder="1" applyAlignment="1">
      <alignment horizontal="center" vertical="center"/>
    </xf>
    <xf numFmtId="0" fontId="3" fillId="4" borderId="15" xfId="6" applyFill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4" borderId="17" xfId="6" applyFill="1" applyBorder="1" applyAlignment="1">
      <alignment horizontal="center" vertical="center"/>
    </xf>
    <xf numFmtId="0" fontId="3" fillId="4" borderId="9" xfId="6" applyFill="1" applyBorder="1" applyAlignment="1">
      <alignment horizontal="center" vertical="center"/>
    </xf>
    <xf numFmtId="167" fontId="9" fillId="0" borderId="7" xfId="0" applyNumberFormat="1" applyFont="1" applyBorder="1" applyAlignment="1">
      <alignment horizontal="center" vertical="center"/>
    </xf>
    <xf numFmtId="167" fontId="9" fillId="0" borderId="15" xfId="0" applyNumberFormat="1" applyFont="1" applyBorder="1" applyAlignment="1">
      <alignment horizontal="center" vertical="center"/>
    </xf>
    <xf numFmtId="167" fontId="3" fillId="4" borderId="7" xfId="5" applyNumberFormat="1" applyFont="1" applyFill="1" applyBorder="1" applyAlignment="1">
      <alignment horizontal="center" vertical="center"/>
    </xf>
    <xf numFmtId="167" fontId="9" fillId="0" borderId="17" xfId="0" applyNumberFormat="1" applyFont="1" applyBorder="1" applyAlignment="1">
      <alignment horizontal="center" vertical="center"/>
    </xf>
    <xf numFmtId="0" fontId="2" fillId="4" borderId="7" xfId="7" applyFont="1" applyFill="1" applyBorder="1" applyAlignment="1">
      <alignment horizontal="center" vertical="center" wrapText="1"/>
    </xf>
    <xf numFmtId="0" fontId="18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8" xfId="0" applyFont="1" applyBorder="1"/>
    <xf numFmtId="0" fontId="9" fillId="0" borderId="19" xfId="0" applyFont="1" applyBorder="1"/>
    <xf numFmtId="0" fontId="18" fillId="0" borderId="18" xfId="0" applyFont="1" applyBorder="1" applyAlignment="1">
      <alignment horizontal="left" indent="3"/>
    </xf>
    <xf numFmtId="0" fontId="9" fillId="0" borderId="0" xfId="0" applyFont="1" applyFill="1" applyBorder="1"/>
    <xf numFmtId="0" fontId="9" fillId="0" borderId="19" xfId="0" applyFont="1" applyFill="1" applyBorder="1"/>
    <xf numFmtId="0" fontId="9" fillId="0" borderId="18" xfId="0" applyFont="1" applyBorder="1" applyAlignment="1">
      <alignment horizontal="left" indent="3"/>
    </xf>
    <xf numFmtId="0" fontId="9" fillId="0" borderId="0" xfId="0" applyFont="1" applyFill="1" applyBorder="1" applyAlignment="1">
      <alignment horizontal="center" wrapText="1"/>
    </xf>
    <xf numFmtId="0" fontId="9" fillId="0" borderId="19" xfId="0" applyFont="1" applyFill="1" applyBorder="1" applyAlignment="1">
      <alignment horizontal="center" wrapText="1"/>
    </xf>
    <xf numFmtId="0" fontId="9" fillId="0" borderId="20" xfId="0" applyFont="1" applyBorder="1" applyAlignment="1">
      <alignment horizontal="left" indent="3"/>
    </xf>
    <xf numFmtId="0" fontId="9" fillId="0" borderId="21" xfId="0" applyFont="1" applyBorder="1"/>
    <xf numFmtId="0" fontId="9" fillId="0" borderId="22" xfId="0" applyFont="1" applyBorder="1"/>
    <xf numFmtId="0" fontId="9" fillId="0" borderId="0" xfId="0" applyFont="1" applyFill="1" applyBorder="1" applyAlignment="1">
      <alignment horizontal="center" wrapText="1"/>
    </xf>
    <xf numFmtId="0" fontId="9" fillId="0" borderId="19" xfId="0" applyFont="1" applyFill="1" applyBorder="1" applyAlignment="1">
      <alignment horizontal="center" wrapText="1"/>
    </xf>
    <xf numFmtId="0" fontId="0" fillId="4" borderId="0" xfId="0" applyFill="1"/>
    <xf numFmtId="0" fontId="8" fillId="4" borderId="2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9" fillId="4" borderId="7" xfId="0" applyFont="1" applyFill="1" applyBorder="1" applyAlignment="1">
      <alignment horizontal="left"/>
    </xf>
    <xf numFmtId="0" fontId="20" fillId="4" borderId="7" xfId="0" applyFont="1" applyFill="1" applyBorder="1"/>
    <xf numFmtId="0" fontId="0" fillId="4" borderId="0" xfId="0" applyFill="1" applyAlignment="1">
      <alignment wrapText="1"/>
    </xf>
    <xf numFmtId="0" fontId="20" fillId="4" borderId="7" xfId="0" applyFont="1" applyFill="1" applyBorder="1" applyAlignment="1">
      <alignment wrapText="1"/>
    </xf>
    <xf numFmtId="0" fontId="16" fillId="0" borderId="0" xfId="0" applyFont="1" applyFill="1" applyBorder="1" applyAlignment="1">
      <alignment horizontal="center" wrapText="1"/>
    </xf>
    <xf numFmtId="0" fontId="16" fillId="0" borderId="19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4" fillId="4" borderId="0" xfId="4" applyFill="1" applyBorder="1" applyAlignment="1">
      <alignment horizontal="center" vertical="center" wrapText="1"/>
    </xf>
    <xf numFmtId="0" fontId="2" fillId="4" borderId="0" xfId="7" applyFont="1" applyFill="1" applyBorder="1" applyAlignment="1">
      <alignment horizontal="center" vertical="center" wrapText="1"/>
    </xf>
    <xf numFmtId="167" fontId="9" fillId="0" borderId="0" xfId="0" applyNumberFormat="1" applyFont="1" applyBorder="1" applyAlignment="1">
      <alignment horizontal="center" vertical="center"/>
    </xf>
    <xf numFmtId="166" fontId="16" fillId="3" borderId="0" xfId="1" applyNumberFormat="1" applyFont="1" applyFill="1" applyBorder="1" applyAlignment="1" applyProtection="1">
      <alignment horizontal="center" vertical="center" wrapText="1"/>
    </xf>
    <xf numFmtId="0" fontId="18" fillId="0" borderId="18" xfId="0" applyFont="1" applyBorder="1" applyAlignment="1"/>
    <xf numFmtId="0" fontId="18" fillId="0" borderId="18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2" xfId="0" applyFont="1" applyFill="1" applyBorder="1"/>
    <xf numFmtId="0" fontId="9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center" wrapText="1"/>
    </xf>
    <xf numFmtId="0" fontId="18" fillId="0" borderId="18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9" fillId="0" borderId="19" xfId="0" applyFont="1" applyFill="1" applyBorder="1" applyAlignment="1">
      <alignment horizontal="left" vertical="center" wrapText="1"/>
    </xf>
    <xf numFmtId="0" fontId="0" fillId="0" borderId="18" xfId="0" applyFill="1" applyBorder="1"/>
    <xf numFmtId="0" fontId="1" fillId="0" borderId="0" xfId="8" applyFill="1" applyBorder="1"/>
    <xf numFmtId="0" fontId="9" fillId="0" borderId="0" xfId="0" applyFont="1" applyFill="1" applyBorder="1" applyAlignment="1">
      <alignment horizontal="left" wrapText="1"/>
    </xf>
    <xf numFmtId="0" fontId="9" fillId="0" borderId="19" xfId="0" applyFont="1" applyFill="1" applyBorder="1" applyAlignment="1">
      <alignment horizontal="left" wrapText="1"/>
    </xf>
    <xf numFmtId="0" fontId="18" fillId="0" borderId="0" xfId="0" applyFont="1" applyFill="1" applyBorder="1" applyAlignment="1"/>
    <xf numFmtId="0" fontId="18" fillId="0" borderId="0" xfId="0" applyFont="1" applyFill="1" applyBorder="1" applyAlignment="1">
      <alignment horizontal="left" indent="3"/>
    </xf>
    <xf numFmtId="0" fontId="9" fillId="0" borderId="0" xfId="0" applyFont="1" applyBorder="1" applyAlignment="1">
      <alignment vertical="center"/>
    </xf>
    <xf numFmtId="0" fontId="9" fillId="0" borderId="19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top" wrapText="1"/>
    </xf>
    <xf numFmtId="0" fontId="18" fillId="0" borderId="18" xfId="0" applyFont="1" applyFill="1" applyBorder="1" applyAlignment="1">
      <alignment horizontal="left" indent="3"/>
    </xf>
    <xf numFmtId="0" fontId="9" fillId="0" borderId="18" xfId="0" applyFont="1" applyFill="1" applyBorder="1" applyAlignment="1">
      <alignment horizontal="left" indent="3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18" fillId="0" borderId="20" xfId="0" applyFont="1" applyFill="1" applyBorder="1" applyAlignment="1">
      <alignment horizontal="left" indent="3"/>
    </xf>
    <xf numFmtId="0" fontId="15" fillId="0" borderId="1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9" fillId="0" borderId="22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left" wrapText="1"/>
    </xf>
    <xf numFmtId="0" fontId="9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19" xfId="0" applyFont="1" applyFill="1" applyBorder="1" applyAlignment="1">
      <alignment horizontal="center" wrapText="1"/>
    </xf>
    <xf numFmtId="0" fontId="1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/>
    </xf>
    <xf numFmtId="0" fontId="14" fillId="3" borderId="0" xfId="0" applyFont="1" applyFill="1" applyBorder="1" applyAlignment="1">
      <alignment horizontal="left" wrapText="1" indent="1"/>
    </xf>
    <xf numFmtId="0" fontId="18" fillId="0" borderId="18" xfId="0" applyFont="1" applyBorder="1" applyAlignment="1">
      <alignment horizontal="left"/>
    </xf>
    <xf numFmtId="0" fontId="18" fillId="0" borderId="0" xfId="0" applyFont="1" applyBorder="1" applyAlignment="1">
      <alignment horizontal="left"/>
    </xf>
  </cellXfs>
  <cellStyles count="9">
    <cellStyle name="20% - Énfasis4" xfId="4" builtinId="42"/>
    <cellStyle name="20% - Énfasis5" xfId="6" builtinId="46"/>
    <cellStyle name="20% - Énfasis6" xfId="7" builtinId="50"/>
    <cellStyle name="Encabezado 1" xfId="2" xr:uid="{00000000-0005-0000-0000-000003000000}"/>
    <cellStyle name="Moneda" xfId="1" builtinId="4"/>
    <cellStyle name="Neutral 1" xfId="3" xr:uid="{00000000-0005-0000-0000-000006000000}"/>
    <cellStyle name="Normal" xfId="0" builtinId="0"/>
    <cellStyle name="Normal 2" xfId="8" xr:uid="{00000000-0005-0000-0000-000008000000}"/>
    <cellStyle name="Total" xfId="5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3"/>
  <sheetViews>
    <sheetView tabSelected="1" topLeftCell="A41" zoomScale="90" zoomScaleNormal="90" workbookViewId="0">
      <selection activeCell="I49" sqref="I49"/>
    </sheetView>
  </sheetViews>
  <sheetFormatPr baseColWidth="10" defaultColWidth="11" defaultRowHeight="12.75" x14ac:dyDescent="0.2"/>
  <cols>
    <col min="1" max="1" width="4.5703125" style="1" customWidth="1"/>
    <col min="2" max="2" width="14" style="1" customWidth="1"/>
    <col min="3" max="3" width="21.710937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108" t="s">
        <v>0</v>
      </c>
      <c r="C2" s="108"/>
      <c r="D2" s="108"/>
      <c r="E2" s="108"/>
      <c r="F2" s="108"/>
      <c r="G2" s="108"/>
      <c r="H2" s="108"/>
    </row>
    <row r="4" spans="1:9" ht="18" customHeight="1" x14ac:dyDescent="0.25">
      <c r="A4" s="107" t="s">
        <v>1</v>
      </c>
      <c r="B4" s="107"/>
      <c r="C4" s="109" t="s">
        <v>14</v>
      </c>
      <c r="D4" s="109"/>
      <c r="E4" s="109"/>
      <c r="F4" s="2"/>
      <c r="G4" s="3"/>
      <c r="H4" s="2"/>
    </row>
    <row r="5" spans="1:9" ht="18" customHeight="1" x14ac:dyDescent="0.25">
      <c r="A5" s="107" t="s">
        <v>2</v>
      </c>
      <c r="B5" s="107"/>
      <c r="C5" s="109" t="s">
        <v>15</v>
      </c>
      <c r="D5" s="109"/>
      <c r="E5" s="109"/>
      <c r="F5" s="2"/>
      <c r="G5" s="3"/>
      <c r="H5" s="2"/>
    </row>
    <row r="6" spans="1:9" ht="16.5" customHeight="1" x14ac:dyDescent="0.25">
      <c r="A6" s="107" t="s">
        <v>3</v>
      </c>
      <c r="B6" s="107"/>
      <c r="C6" s="18">
        <v>2021</v>
      </c>
      <c r="D6" s="19"/>
      <c r="E6" s="19"/>
      <c r="F6" s="2"/>
      <c r="G6" s="3"/>
      <c r="H6" s="2"/>
    </row>
    <row r="7" spans="1:9" ht="16.5" customHeight="1" x14ac:dyDescent="0.25">
      <c r="A7" s="107" t="s">
        <v>4</v>
      </c>
      <c r="B7" s="107"/>
      <c r="C7" s="18" t="s">
        <v>116</v>
      </c>
      <c r="D7" s="19"/>
      <c r="E7" s="19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5" t="s">
        <v>5</v>
      </c>
      <c r="B9" s="15" t="s">
        <v>6</v>
      </c>
      <c r="C9" s="5" t="s">
        <v>7</v>
      </c>
      <c r="D9" s="9" t="s">
        <v>8</v>
      </c>
      <c r="E9" s="6" t="s">
        <v>9</v>
      </c>
      <c r="F9" s="8" t="s">
        <v>10</v>
      </c>
      <c r="G9" s="6" t="s">
        <v>11</v>
      </c>
      <c r="H9" s="7" t="s">
        <v>12</v>
      </c>
      <c r="I9" s="6" t="s">
        <v>13</v>
      </c>
    </row>
    <row r="10" spans="1:9" ht="31.9" customHeight="1" x14ac:dyDescent="0.2">
      <c r="A10" s="13">
        <v>1</v>
      </c>
      <c r="B10" s="11" t="s">
        <v>18</v>
      </c>
      <c r="C10" s="10" t="s">
        <v>52</v>
      </c>
      <c r="D10" s="11" t="str">
        <f t="shared" ref="D10:D27" si="0">LEFT(B10,5)</f>
        <v>2.9.2</v>
      </c>
      <c r="E10" s="20" t="s">
        <v>53</v>
      </c>
      <c r="F10" s="22" t="s">
        <v>16</v>
      </c>
      <c r="G10" s="21">
        <v>100</v>
      </c>
      <c r="H10" s="28">
        <v>90</v>
      </c>
      <c r="I10" s="14">
        <f t="shared" ref="I10:I27" si="1">G10*H10</f>
        <v>9000</v>
      </c>
    </row>
    <row r="11" spans="1:9" ht="31.9" customHeight="1" x14ac:dyDescent="0.2">
      <c r="A11" s="13">
        <v>2</v>
      </c>
      <c r="B11" s="11" t="s">
        <v>97</v>
      </c>
      <c r="C11" s="10" t="s">
        <v>52</v>
      </c>
      <c r="D11" s="11" t="str">
        <f t="shared" si="0"/>
        <v>2.9.2</v>
      </c>
      <c r="E11" s="52" t="s">
        <v>98</v>
      </c>
      <c r="F11" s="50" t="s">
        <v>17</v>
      </c>
      <c r="G11" s="51">
        <v>100</v>
      </c>
      <c r="H11" s="28">
        <v>90</v>
      </c>
      <c r="I11" s="14">
        <f t="shared" si="1"/>
        <v>9000</v>
      </c>
    </row>
    <row r="12" spans="1:9" ht="31.9" customHeight="1" x14ac:dyDescent="0.2">
      <c r="A12" s="13">
        <v>3</v>
      </c>
      <c r="B12" s="11" t="s">
        <v>19</v>
      </c>
      <c r="C12" s="10" t="s">
        <v>52</v>
      </c>
      <c r="D12" s="11" t="str">
        <f t="shared" si="0"/>
        <v>2.9.2</v>
      </c>
      <c r="E12" s="20" t="s">
        <v>54</v>
      </c>
      <c r="F12" s="22" t="s">
        <v>16</v>
      </c>
      <c r="G12" s="20">
        <v>300</v>
      </c>
      <c r="H12" s="28">
        <v>48</v>
      </c>
      <c r="I12" s="14">
        <f t="shared" si="1"/>
        <v>14400</v>
      </c>
    </row>
    <row r="13" spans="1:9" ht="31.9" customHeight="1" thickBot="1" x14ac:dyDescent="0.25">
      <c r="A13" s="92">
        <v>4</v>
      </c>
      <c r="B13" s="11" t="s">
        <v>20</v>
      </c>
      <c r="C13" s="10" t="s">
        <v>52</v>
      </c>
      <c r="D13" s="11" t="str">
        <f t="shared" si="0"/>
        <v>2.9.2</v>
      </c>
      <c r="E13" s="20" t="s">
        <v>55</v>
      </c>
      <c r="F13" s="22" t="s">
        <v>16</v>
      </c>
      <c r="G13" s="20">
        <v>300</v>
      </c>
      <c r="H13" s="28">
        <v>35</v>
      </c>
      <c r="I13" s="14">
        <f t="shared" si="1"/>
        <v>10500</v>
      </c>
    </row>
    <row r="14" spans="1:9" ht="45.75" customHeight="1" x14ac:dyDescent="0.2">
      <c r="A14" s="13">
        <v>5</v>
      </c>
      <c r="B14" s="16" t="s">
        <v>21</v>
      </c>
      <c r="C14" s="10" t="s">
        <v>52</v>
      </c>
      <c r="D14" s="11" t="str">
        <f t="shared" si="0"/>
        <v>2.9.2</v>
      </c>
      <c r="E14" s="20" t="s">
        <v>56</v>
      </c>
      <c r="F14" s="22" t="s">
        <v>16</v>
      </c>
      <c r="G14" s="20">
        <v>300</v>
      </c>
      <c r="H14" s="28">
        <v>40</v>
      </c>
      <c r="I14" s="12">
        <f t="shared" si="1"/>
        <v>12000</v>
      </c>
    </row>
    <row r="15" spans="1:9" ht="31.9" customHeight="1" x14ac:dyDescent="0.2">
      <c r="A15" s="92">
        <v>6</v>
      </c>
      <c r="B15" s="11" t="s">
        <v>22</v>
      </c>
      <c r="C15" s="10" t="s">
        <v>52</v>
      </c>
      <c r="D15" s="11" t="str">
        <f t="shared" si="0"/>
        <v>2.9.2</v>
      </c>
      <c r="E15" s="20" t="s">
        <v>57</v>
      </c>
      <c r="F15" s="22" t="s">
        <v>16</v>
      </c>
      <c r="G15" s="20">
        <v>300</v>
      </c>
      <c r="H15" s="28">
        <v>48</v>
      </c>
      <c r="I15" s="14">
        <f t="shared" si="1"/>
        <v>14400</v>
      </c>
    </row>
    <row r="16" spans="1:9" ht="31.9" customHeight="1" x14ac:dyDescent="0.2">
      <c r="A16" s="13">
        <v>7</v>
      </c>
      <c r="B16" s="11" t="s">
        <v>23</v>
      </c>
      <c r="C16" s="10" t="s">
        <v>52</v>
      </c>
      <c r="D16" s="11" t="str">
        <f t="shared" si="0"/>
        <v>2.9.2</v>
      </c>
      <c r="E16" s="20" t="s">
        <v>58</v>
      </c>
      <c r="F16" s="22" t="s">
        <v>17</v>
      </c>
      <c r="G16" s="20">
        <v>100</v>
      </c>
      <c r="H16" s="28">
        <v>88</v>
      </c>
      <c r="I16" s="14">
        <f t="shared" si="1"/>
        <v>8800</v>
      </c>
    </row>
    <row r="17" spans="1:9" ht="31.9" customHeight="1" x14ac:dyDescent="0.2">
      <c r="A17" s="13">
        <v>8</v>
      </c>
      <c r="B17" s="11" t="s">
        <v>24</v>
      </c>
      <c r="C17" s="10" t="s">
        <v>52</v>
      </c>
      <c r="D17" s="11" t="str">
        <f t="shared" si="0"/>
        <v>2.9.2</v>
      </c>
      <c r="E17" s="20" t="s">
        <v>59</v>
      </c>
      <c r="F17" s="22" t="s">
        <v>17</v>
      </c>
      <c r="G17" s="20">
        <v>100</v>
      </c>
      <c r="H17" s="28">
        <v>80</v>
      </c>
      <c r="I17" s="14">
        <f t="shared" si="1"/>
        <v>8000</v>
      </c>
    </row>
    <row r="18" spans="1:9" ht="31.9" customHeight="1" thickBot="1" x14ac:dyDescent="0.25">
      <c r="A18" s="13">
        <v>9</v>
      </c>
      <c r="B18" s="11" t="s">
        <v>25</v>
      </c>
      <c r="C18" s="10" t="s">
        <v>52</v>
      </c>
      <c r="D18" s="11" t="str">
        <f t="shared" si="0"/>
        <v>2.9.2</v>
      </c>
      <c r="E18" s="20" t="s">
        <v>60</v>
      </c>
      <c r="F18" s="22" t="s">
        <v>17</v>
      </c>
      <c r="G18" s="20">
        <v>300</v>
      </c>
      <c r="H18" s="28">
        <v>220</v>
      </c>
      <c r="I18" s="14">
        <f t="shared" si="1"/>
        <v>66000</v>
      </c>
    </row>
    <row r="19" spans="1:9" ht="45.75" customHeight="1" x14ac:dyDescent="0.2">
      <c r="A19" s="13">
        <v>10</v>
      </c>
      <c r="B19" s="16" t="s">
        <v>26</v>
      </c>
      <c r="C19" s="10" t="s">
        <v>52</v>
      </c>
      <c r="D19" s="11" t="str">
        <f t="shared" si="0"/>
        <v>2.9.2</v>
      </c>
      <c r="E19" s="20" t="s">
        <v>61</v>
      </c>
      <c r="F19" s="22" t="s">
        <v>16</v>
      </c>
      <c r="G19" s="20">
        <v>350</v>
      </c>
      <c r="H19" s="28">
        <v>300</v>
      </c>
      <c r="I19" s="12">
        <f t="shared" si="1"/>
        <v>105000</v>
      </c>
    </row>
    <row r="20" spans="1:9" ht="31.9" customHeight="1" x14ac:dyDescent="0.2">
      <c r="A20" s="13">
        <v>11</v>
      </c>
      <c r="B20" s="11" t="s">
        <v>27</v>
      </c>
      <c r="C20" s="10" t="s">
        <v>52</v>
      </c>
      <c r="D20" s="11" t="str">
        <f t="shared" si="0"/>
        <v>2.9.2</v>
      </c>
      <c r="E20" s="20" t="s">
        <v>62</v>
      </c>
      <c r="F20" s="22" t="s">
        <v>16</v>
      </c>
      <c r="G20" s="20">
        <v>100</v>
      </c>
      <c r="H20" s="28">
        <v>130</v>
      </c>
      <c r="I20" s="14">
        <f t="shared" si="1"/>
        <v>13000</v>
      </c>
    </row>
    <row r="21" spans="1:9" ht="31.9" customHeight="1" x14ac:dyDescent="0.2">
      <c r="A21" s="13">
        <v>12</v>
      </c>
      <c r="B21" s="11" t="s">
        <v>28</v>
      </c>
      <c r="C21" s="10" t="s">
        <v>52</v>
      </c>
      <c r="D21" s="11" t="str">
        <f t="shared" si="0"/>
        <v>2.9.2</v>
      </c>
      <c r="E21" s="20" t="s">
        <v>63</v>
      </c>
      <c r="F21" s="22" t="s">
        <v>17</v>
      </c>
      <c r="G21" s="20">
        <v>100</v>
      </c>
      <c r="H21" s="28">
        <v>90</v>
      </c>
      <c r="I21" s="14">
        <f t="shared" si="1"/>
        <v>9000</v>
      </c>
    </row>
    <row r="22" spans="1:9" ht="31.9" customHeight="1" x14ac:dyDescent="0.2">
      <c r="A22" s="13">
        <v>13</v>
      </c>
      <c r="B22" s="11" t="s">
        <v>29</v>
      </c>
      <c r="C22" s="10" t="s">
        <v>52</v>
      </c>
      <c r="D22" s="11" t="str">
        <f t="shared" si="0"/>
        <v>2.9.2</v>
      </c>
      <c r="E22" s="20" t="s">
        <v>64</v>
      </c>
      <c r="F22" s="22" t="s">
        <v>17</v>
      </c>
      <c r="G22" s="20">
        <v>80</v>
      </c>
      <c r="H22" s="28">
        <v>280</v>
      </c>
      <c r="I22" s="14">
        <f t="shared" si="1"/>
        <v>22400</v>
      </c>
    </row>
    <row r="23" spans="1:9" ht="31.9" customHeight="1" x14ac:dyDescent="0.2">
      <c r="A23" s="13">
        <v>14</v>
      </c>
      <c r="B23" s="11" t="s">
        <v>30</v>
      </c>
      <c r="C23" s="10" t="s">
        <v>52</v>
      </c>
      <c r="D23" s="11" t="str">
        <f t="shared" si="0"/>
        <v>2.9.2</v>
      </c>
      <c r="E23" s="20" t="s">
        <v>65</v>
      </c>
      <c r="F23" s="22" t="s">
        <v>16</v>
      </c>
      <c r="G23" s="20">
        <v>100</v>
      </c>
      <c r="H23" s="28">
        <v>75</v>
      </c>
      <c r="I23" s="14">
        <f t="shared" si="1"/>
        <v>7500</v>
      </c>
    </row>
    <row r="24" spans="1:9" ht="31.9" customHeight="1" x14ac:dyDescent="0.2">
      <c r="A24" s="13">
        <v>15</v>
      </c>
      <c r="B24" s="11" t="s">
        <v>31</v>
      </c>
      <c r="C24" s="10" t="s">
        <v>52</v>
      </c>
      <c r="D24" s="11" t="str">
        <f t="shared" si="0"/>
        <v>2.9.2</v>
      </c>
      <c r="E24" s="20" t="s">
        <v>66</v>
      </c>
      <c r="F24" s="22" t="s">
        <v>16</v>
      </c>
      <c r="G24" s="20">
        <v>50</v>
      </c>
      <c r="H24" s="28">
        <v>170</v>
      </c>
      <c r="I24" s="14">
        <f t="shared" si="1"/>
        <v>8500</v>
      </c>
    </row>
    <row r="25" spans="1:9" ht="31.9" customHeight="1" thickBot="1" x14ac:dyDescent="0.25">
      <c r="A25" s="13">
        <v>16</v>
      </c>
      <c r="B25" s="11" t="s">
        <v>32</v>
      </c>
      <c r="C25" s="10" t="s">
        <v>52</v>
      </c>
      <c r="D25" s="11" t="str">
        <f t="shared" si="0"/>
        <v>2.9.2</v>
      </c>
      <c r="E25" s="20" t="s">
        <v>67</v>
      </c>
      <c r="F25" s="22" t="s">
        <v>16</v>
      </c>
      <c r="G25" s="20">
        <v>500</v>
      </c>
      <c r="H25" s="28">
        <v>10</v>
      </c>
      <c r="I25" s="14">
        <f t="shared" si="1"/>
        <v>5000</v>
      </c>
    </row>
    <row r="26" spans="1:9" ht="31.9" customHeight="1" x14ac:dyDescent="0.2">
      <c r="A26" s="13">
        <v>17</v>
      </c>
      <c r="B26" s="16" t="s">
        <v>33</v>
      </c>
      <c r="C26" s="10" t="s">
        <v>52</v>
      </c>
      <c r="D26" s="11" t="str">
        <f t="shared" si="0"/>
        <v>2.9.2</v>
      </c>
      <c r="E26" s="20" t="s">
        <v>68</v>
      </c>
      <c r="F26" s="22" t="s">
        <v>16</v>
      </c>
      <c r="G26" s="20">
        <v>300</v>
      </c>
      <c r="H26" s="28">
        <v>9</v>
      </c>
      <c r="I26" s="12">
        <f t="shared" si="1"/>
        <v>2700</v>
      </c>
    </row>
    <row r="27" spans="1:9" ht="30.75" thickBot="1" x14ac:dyDescent="0.25">
      <c r="A27" s="13">
        <v>18</v>
      </c>
      <c r="B27" s="11" t="s">
        <v>34</v>
      </c>
      <c r="C27" s="10" t="s">
        <v>52</v>
      </c>
      <c r="D27" s="11" t="str">
        <f t="shared" si="0"/>
        <v>2.9.2</v>
      </c>
      <c r="E27" s="21" t="s">
        <v>69</v>
      </c>
      <c r="F27" s="22" t="s">
        <v>16</v>
      </c>
      <c r="G27" s="21">
        <v>100</v>
      </c>
      <c r="H27" s="28">
        <v>20</v>
      </c>
      <c r="I27" s="14">
        <f t="shared" si="1"/>
        <v>2000</v>
      </c>
    </row>
    <row r="28" spans="1:9" ht="30" x14ac:dyDescent="0.2">
      <c r="A28" s="13">
        <v>19</v>
      </c>
      <c r="B28" s="16" t="s">
        <v>35</v>
      </c>
      <c r="C28" s="10" t="s">
        <v>52</v>
      </c>
      <c r="D28" s="11" t="str">
        <f t="shared" ref="D28:D34" si="2">LEFT(B28,5)</f>
        <v>2.9.2</v>
      </c>
      <c r="E28" s="20" t="s">
        <v>70</v>
      </c>
      <c r="F28" s="22" t="s">
        <v>16</v>
      </c>
      <c r="G28" s="20">
        <v>50</v>
      </c>
      <c r="H28" s="28">
        <v>170</v>
      </c>
      <c r="I28" s="12">
        <f t="shared" ref="I28:I34" si="3">G28*H28</f>
        <v>8500</v>
      </c>
    </row>
    <row r="29" spans="1:9" ht="30" x14ac:dyDescent="0.2">
      <c r="A29" s="13">
        <v>20</v>
      </c>
      <c r="B29" s="11" t="s">
        <v>36</v>
      </c>
      <c r="C29" s="10" t="s">
        <v>52</v>
      </c>
      <c r="D29" s="11" t="str">
        <f t="shared" si="2"/>
        <v>2.9.2</v>
      </c>
      <c r="E29" s="20" t="s">
        <v>71</v>
      </c>
      <c r="F29" s="22" t="s">
        <v>16</v>
      </c>
      <c r="G29" s="20">
        <v>100</v>
      </c>
      <c r="H29" s="28">
        <v>130</v>
      </c>
      <c r="I29" s="14">
        <f t="shared" si="3"/>
        <v>13000</v>
      </c>
    </row>
    <row r="30" spans="1:9" ht="30" x14ac:dyDescent="0.2">
      <c r="A30" s="13">
        <v>21</v>
      </c>
      <c r="B30" s="11" t="s">
        <v>37</v>
      </c>
      <c r="C30" s="10" t="s">
        <v>52</v>
      </c>
      <c r="D30" s="11" t="str">
        <f t="shared" si="2"/>
        <v>2.9.2</v>
      </c>
      <c r="E30" s="20" t="s">
        <v>72</v>
      </c>
      <c r="F30" s="22" t="s">
        <v>16</v>
      </c>
      <c r="G30" s="21">
        <v>200</v>
      </c>
      <c r="H30" s="28">
        <v>170</v>
      </c>
      <c r="I30" s="14">
        <f t="shared" si="3"/>
        <v>34000</v>
      </c>
    </row>
    <row r="31" spans="1:9" ht="30" x14ac:dyDescent="0.2">
      <c r="A31" s="13">
        <v>22</v>
      </c>
      <c r="B31" s="11" t="s">
        <v>38</v>
      </c>
      <c r="C31" s="10" t="s">
        <v>52</v>
      </c>
      <c r="D31" s="11" t="str">
        <f t="shared" si="2"/>
        <v>2.9.2</v>
      </c>
      <c r="E31" s="20" t="s">
        <v>73</v>
      </c>
      <c r="F31" s="23" t="s">
        <v>16</v>
      </c>
      <c r="G31" s="20">
        <v>150</v>
      </c>
      <c r="H31" s="28">
        <v>120</v>
      </c>
      <c r="I31" s="14">
        <f t="shared" si="3"/>
        <v>18000</v>
      </c>
    </row>
    <row r="32" spans="1:9" ht="30" x14ac:dyDescent="0.2">
      <c r="A32" s="13">
        <v>23</v>
      </c>
      <c r="B32" s="11" t="s">
        <v>39</v>
      </c>
      <c r="C32" s="10" t="s">
        <v>52</v>
      </c>
      <c r="D32" s="11" t="str">
        <f t="shared" si="2"/>
        <v>2.3.1</v>
      </c>
      <c r="E32" s="20" t="s">
        <v>74</v>
      </c>
      <c r="F32" s="23" t="s">
        <v>16</v>
      </c>
      <c r="G32" s="20">
        <v>400</v>
      </c>
      <c r="H32" s="28">
        <v>630</v>
      </c>
      <c r="I32" s="14">
        <f t="shared" si="3"/>
        <v>252000</v>
      </c>
    </row>
    <row r="33" spans="1:9" ht="30" x14ac:dyDescent="0.2">
      <c r="A33" s="13">
        <v>24</v>
      </c>
      <c r="B33" s="11" t="s">
        <v>40</v>
      </c>
      <c r="C33" s="10" t="s">
        <v>52</v>
      </c>
      <c r="D33" s="11" t="str">
        <f t="shared" si="2"/>
        <v>2.3.1</v>
      </c>
      <c r="E33" s="20" t="s">
        <v>75</v>
      </c>
      <c r="F33" s="23" t="s">
        <v>16</v>
      </c>
      <c r="G33" s="20">
        <v>400</v>
      </c>
      <c r="H33" s="28">
        <v>680</v>
      </c>
      <c r="I33" s="14">
        <f t="shared" si="3"/>
        <v>272000</v>
      </c>
    </row>
    <row r="34" spans="1:9" ht="45.75" thickBot="1" x14ac:dyDescent="0.25">
      <c r="A34" s="92">
        <v>25</v>
      </c>
      <c r="B34" s="11" t="s">
        <v>41</v>
      </c>
      <c r="C34" s="10" t="s">
        <v>52</v>
      </c>
      <c r="D34" s="11" t="str">
        <f t="shared" si="2"/>
        <v>2.3.1</v>
      </c>
      <c r="E34" s="20" t="s">
        <v>76</v>
      </c>
      <c r="F34" s="23" t="s">
        <v>16</v>
      </c>
      <c r="G34" s="20">
        <v>5000</v>
      </c>
      <c r="H34" s="28">
        <v>35</v>
      </c>
      <c r="I34" s="14">
        <f t="shared" si="3"/>
        <v>175000</v>
      </c>
    </row>
    <row r="35" spans="1:9" ht="45" x14ac:dyDescent="0.2">
      <c r="A35" s="92">
        <v>26</v>
      </c>
      <c r="B35" s="16" t="s">
        <v>42</v>
      </c>
      <c r="C35" s="10" t="s">
        <v>52</v>
      </c>
      <c r="D35" s="11" t="str">
        <f t="shared" ref="D35:D41" si="4">LEFT(B35,5)</f>
        <v>2.3.1</v>
      </c>
      <c r="E35" s="20" t="s">
        <v>77</v>
      </c>
      <c r="F35" s="23" t="s">
        <v>16</v>
      </c>
      <c r="G35" s="20">
        <v>100</v>
      </c>
      <c r="H35" s="28">
        <v>48</v>
      </c>
      <c r="I35" s="12">
        <f t="shared" ref="I35:I41" si="5">G35*H35</f>
        <v>4800</v>
      </c>
    </row>
    <row r="36" spans="1:9" ht="30" x14ac:dyDescent="0.2">
      <c r="A36" s="13">
        <v>27</v>
      </c>
      <c r="B36" s="11" t="s">
        <v>43</v>
      </c>
      <c r="C36" s="10" t="s">
        <v>52</v>
      </c>
      <c r="D36" s="11" t="str">
        <f t="shared" si="4"/>
        <v>2.3.1</v>
      </c>
      <c r="E36" s="20" t="s">
        <v>78</v>
      </c>
      <c r="F36" s="23" t="s">
        <v>16</v>
      </c>
      <c r="G36" s="20">
        <v>200</v>
      </c>
      <c r="H36" s="28">
        <v>800</v>
      </c>
      <c r="I36" s="14">
        <f t="shared" si="5"/>
        <v>160000</v>
      </c>
    </row>
    <row r="37" spans="1:9" ht="45" x14ac:dyDescent="0.2">
      <c r="A37" s="13">
        <v>28</v>
      </c>
      <c r="B37" s="11" t="s">
        <v>44</v>
      </c>
      <c r="C37" s="10" t="s">
        <v>52</v>
      </c>
      <c r="D37" s="11" t="str">
        <f t="shared" si="4"/>
        <v>2.3.1</v>
      </c>
      <c r="E37" s="20" t="s">
        <v>79</v>
      </c>
      <c r="F37" s="23" t="s">
        <v>16</v>
      </c>
      <c r="G37" s="20">
        <v>200</v>
      </c>
      <c r="H37" s="28">
        <v>530</v>
      </c>
      <c r="I37" s="14">
        <f t="shared" si="5"/>
        <v>106000</v>
      </c>
    </row>
    <row r="38" spans="1:9" ht="30" x14ac:dyDescent="0.25">
      <c r="A38" s="13">
        <v>29</v>
      </c>
      <c r="B38" s="49" t="s">
        <v>99</v>
      </c>
      <c r="C38" s="10" t="s">
        <v>52</v>
      </c>
      <c r="D38" s="11" t="str">
        <f t="shared" si="4"/>
        <v>2.9.2</v>
      </c>
      <c r="E38" s="53" t="s">
        <v>100</v>
      </c>
      <c r="F38" s="23" t="s">
        <v>16</v>
      </c>
      <c r="G38" s="20">
        <v>50</v>
      </c>
      <c r="H38" s="28">
        <v>50</v>
      </c>
      <c r="I38" s="14">
        <f t="shared" si="5"/>
        <v>2500</v>
      </c>
    </row>
    <row r="39" spans="1:9" ht="30" x14ac:dyDescent="0.2">
      <c r="A39" s="13">
        <v>30</v>
      </c>
      <c r="B39" s="11" t="s">
        <v>45</v>
      </c>
      <c r="C39" s="10" t="s">
        <v>52</v>
      </c>
      <c r="D39" s="11" t="str">
        <f t="shared" si="4"/>
        <v>2.9.2</v>
      </c>
      <c r="E39" s="20" t="s">
        <v>80</v>
      </c>
      <c r="F39" s="24" t="s">
        <v>16</v>
      </c>
      <c r="G39" s="20">
        <v>50</v>
      </c>
      <c r="H39" s="29">
        <v>65</v>
      </c>
      <c r="I39" s="14">
        <f t="shared" si="5"/>
        <v>3250</v>
      </c>
    </row>
    <row r="40" spans="1:9" ht="30" x14ac:dyDescent="0.2">
      <c r="A40" s="13">
        <v>31</v>
      </c>
      <c r="B40" s="11" t="s">
        <v>46</v>
      </c>
      <c r="C40" s="10" t="s">
        <v>52</v>
      </c>
      <c r="D40" s="11" t="str">
        <f t="shared" si="4"/>
        <v>2.9.2</v>
      </c>
      <c r="E40" s="20" t="s">
        <v>81</v>
      </c>
      <c r="F40" s="25" t="s">
        <v>16</v>
      </c>
      <c r="G40" s="20">
        <v>30</v>
      </c>
      <c r="H40" s="30">
        <v>50</v>
      </c>
      <c r="I40" s="14">
        <f t="shared" si="5"/>
        <v>1500</v>
      </c>
    </row>
    <row r="41" spans="1:9" ht="30.75" thickBot="1" x14ac:dyDescent="0.25">
      <c r="A41" s="13">
        <v>32</v>
      </c>
      <c r="B41" s="11" t="s">
        <v>47</v>
      </c>
      <c r="C41" s="10" t="s">
        <v>52</v>
      </c>
      <c r="D41" s="11" t="str">
        <f t="shared" si="4"/>
        <v>2.9.2</v>
      </c>
      <c r="E41" s="20" t="s">
        <v>82</v>
      </c>
      <c r="F41" s="26" t="s">
        <v>16</v>
      </c>
      <c r="G41" s="20">
        <v>150</v>
      </c>
      <c r="H41" s="31">
        <v>50</v>
      </c>
      <c r="I41" s="14">
        <f t="shared" si="5"/>
        <v>7500</v>
      </c>
    </row>
    <row r="42" spans="1:9" ht="30" x14ac:dyDescent="0.2">
      <c r="A42" s="13">
        <v>33</v>
      </c>
      <c r="B42" s="16" t="s">
        <v>48</v>
      </c>
      <c r="C42" s="10" t="s">
        <v>52</v>
      </c>
      <c r="D42" s="11" t="str">
        <f t="shared" ref="D42:D48" si="6">LEFT(B42,5)</f>
        <v>2.9.2</v>
      </c>
      <c r="E42" s="20" t="s">
        <v>83</v>
      </c>
      <c r="F42" s="23" t="s">
        <v>16</v>
      </c>
      <c r="G42" s="20">
        <v>80</v>
      </c>
      <c r="H42" s="28">
        <v>50</v>
      </c>
      <c r="I42" s="12">
        <f t="shared" ref="I42:I48" si="7">G42*H42</f>
        <v>4000</v>
      </c>
    </row>
    <row r="43" spans="1:9" ht="30" x14ac:dyDescent="0.25">
      <c r="A43" s="13">
        <v>34</v>
      </c>
      <c r="B43" s="54" t="s">
        <v>101</v>
      </c>
      <c r="C43" s="10" t="s">
        <v>52</v>
      </c>
      <c r="D43" s="11" t="str">
        <f t="shared" si="6"/>
        <v>2.9.2</v>
      </c>
      <c r="E43" s="55" t="s">
        <v>102</v>
      </c>
      <c r="F43" s="23" t="s">
        <v>16</v>
      </c>
      <c r="G43" s="20">
        <v>50</v>
      </c>
      <c r="H43" s="28">
        <v>70</v>
      </c>
      <c r="I43" s="14">
        <f t="shared" si="7"/>
        <v>3500</v>
      </c>
    </row>
    <row r="44" spans="1:9" ht="45" x14ac:dyDescent="0.2">
      <c r="A44" s="13">
        <v>35</v>
      </c>
      <c r="B44" s="11" t="s">
        <v>49</v>
      </c>
      <c r="C44" s="10" t="s">
        <v>52</v>
      </c>
      <c r="D44" s="11" t="str">
        <f t="shared" si="6"/>
        <v>2.3.1</v>
      </c>
      <c r="E44" s="20" t="s">
        <v>84</v>
      </c>
      <c r="F44" s="23" t="s">
        <v>16</v>
      </c>
      <c r="G44" s="20">
        <v>2</v>
      </c>
      <c r="H44" s="28">
        <v>1800</v>
      </c>
      <c r="I44" s="14">
        <f t="shared" si="7"/>
        <v>3600</v>
      </c>
    </row>
    <row r="45" spans="1:9" ht="45" x14ac:dyDescent="0.2">
      <c r="A45" s="13">
        <v>36</v>
      </c>
      <c r="B45" s="11" t="s">
        <v>50</v>
      </c>
      <c r="C45" s="10" t="s">
        <v>52</v>
      </c>
      <c r="D45" s="11" t="str">
        <f t="shared" si="6"/>
        <v>2.3.1</v>
      </c>
      <c r="E45" s="20" t="s">
        <v>85</v>
      </c>
      <c r="F45" s="23" t="s">
        <v>16</v>
      </c>
      <c r="G45" s="20">
        <v>3</v>
      </c>
      <c r="H45" s="28">
        <v>950</v>
      </c>
      <c r="I45" s="14">
        <f t="shared" si="7"/>
        <v>2850</v>
      </c>
    </row>
    <row r="46" spans="1:9" ht="45.75" thickBot="1" x14ac:dyDescent="0.25">
      <c r="A46" s="13">
        <v>37</v>
      </c>
      <c r="B46" s="11" t="s">
        <v>51</v>
      </c>
      <c r="C46" s="10" t="s">
        <v>52</v>
      </c>
      <c r="D46" s="11" t="str">
        <f t="shared" si="6"/>
        <v>2.3.1</v>
      </c>
      <c r="E46" s="20" t="s">
        <v>86</v>
      </c>
      <c r="F46" s="27" t="s">
        <v>16</v>
      </c>
      <c r="G46" s="20">
        <v>50</v>
      </c>
      <c r="H46" s="28">
        <v>6</v>
      </c>
      <c r="I46" s="14">
        <f t="shared" si="7"/>
        <v>300</v>
      </c>
    </row>
    <row r="47" spans="1:9" ht="69.75" customHeight="1" x14ac:dyDescent="0.2">
      <c r="A47" s="92">
        <v>38</v>
      </c>
      <c r="B47" s="11" t="s">
        <v>117</v>
      </c>
      <c r="C47" s="10" t="s">
        <v>52</v>
      </c>
      <c r="D47" s="11" t="str">
        <f t="shared" si="6"/>
        <v>2.5.8</v>
      </c>
      <c r="E47" s="20" t="s">
        <v>118</v>
      </c>
      <c r="F47" s="24" t="s">
        <v>119</v>
      </c>
      <c r="G47" s="20">
        <v>27</v>
      </c>
      <c r="H47" s="28">
        <v>2000</v>
      </c>
      <c r="I47" s="14">
        <f t="shared" si="7"/>
        <v>54000</v>
      </c>
    </row>
    <row r="48" spans="1:9" ht="30" x14ac:dyDescent="0.2">
      <c r="A48" s="13">
        <v>39</v>
      </c>
      <c r="B48" t="s">
        <v>125</v>
      </c>
      <c r="C48" s="10" t="s">
        <v>52</v>
      </c>
      <c r="D48" s="11" t="str">
        <f t="shared" si="6"/>
        <v>2.3.1</v>
      </c>
      <c r="E48" s="20" t="s">
        <v>87</v>
      </c>
      <c r="F48" s="32" t="s">
        <v>16</v>
      </c>
      <c r="G48" s="20">
        <v>50</v>
      </c>
      <c r="H48" s="28">
        <v>150</v>
      </c>
      <c r="I48" s="14">
        <f t="shared" si="7"/>
        <v>7500</v>
      </c>
    </row>
    <row r="49" spans="1:9" ht="15" x14ac:dyDescent="0.2">
      <c r="A49" s="60"/>
      <c r="B49" s="60"/>
      <c r="C49" s="60"/>
      <c r="D49" s="60"/>
      <c r="E49" s="61"/>
      <c r="F49" s="62"/>
      <c r="G49" s="61"/>
      <c r="H49" s="63"/>
      <c r="I49" s="64"/>
    </row>
    <row r="50" spans="1:9" ht="15" x14ac:dyDescent="0.2">
      <c r="A50" s="60"/>
      <c r="B50" s="60"/>
      <c r="C50" s="60"/>
      <c r="D50" s="60"/>
      <c r="E50" s="61"/>
      <c r="F50" s="62"/>
      <c r="G50" s="61"/>
      <c r="H50" s="63"/>
      <c r="I50" s="64"/>
    </row>
    <row r="51" spans="1:9" ht="15" x14ac:dyDescent="0.2">
      <c r="A51" s="60"/>
      <c r="B51" s="60"/>
      <c r="C51" s="60"/>
      <c r="D51" s="60"/>
      <c r="E51" s="61"/>
      <c r="F51" s="62"/>
      <c r="G51" s="61"/>
      <c r="H51" s="63"/>
      <c r="I51" s="64"/>
    </row>
    <row r="52" spans="1:9" ht="15" x14ac:dyDescent="0.2">
      <c r="A52" s="60"/>
      <c r="B52" s="60"/>
      <c r="C52" s="60"/>
      <c r="D52" s="60"/>
      <c r="E52" s="61"/>
      <c r="F52" s="62"/>
      <c r="G52" s="61"/>
      <c r="H52" s="63"/>
      <c r="I52" s="64"/>
    </row>
    <row r="53" spans="1:9" ht="15" x14ac:dyDescent="0.2">
      <c r="A53" s="60"/>
      <c r="B53" s="60"/>
      <c r="C53" s="60"/>
      <c r="D53" s="60"/>
      <c r="E53" s="61"/>
      <c r="F53" s="62"/>
      <c r="G53" s="61"/>
      <c r="H53" s="63"/>
      <c r="I53" s="64"/>
    </row>
    <row r="54" spans="1:9" ht="15" x14ac:dyDescent="0.2">
      <c r="A54" s="60"/>
      <c r="B54" s="60"/>
      <c r="C54" s="60"/>
      <c r="D54" s="60"/>
      <c r="E54" s="61"/>
      <c r="F54" s="62"/>
      <c r="G54" s="61"/>
      <c r="H54" s="63"/>
      <c r="I54" s="64"/>
    </row>
    <row r="55" spans="1:9" ht="15" x14ac:dyDescent="0.2">
      <c r="A55" s="60"/>
      <c r="B55" s="60"/>
      <c r="C55" s="60"/>
      <c r="D55" s="60"/>
      <c r="E55" s="61"/>
      <c r="F55" s="62"/>
      <c r="G55" s="61"/>
      <c r="H55" s="63"/>
      <c r="I55" s="64"/>
    </row>
    <row r="56" spans="1:9" ht="15" x14ac:dyDescent="0.2">
      <c r="A56" s="60"/>
      <c r="B56" s="60"/>
      <c r="C56" s="60"/>
      <c r="D56" s="60"/>
      <c r="E56" s="61"/>
      <c r="F56" s="62"/>
      <c r="G56" s="61"/>
      <c r="H56" s="63"/>
      <c r="I56" s="64"/>
    </row>
    <row r="57" spans="1:9" ht="15" x14ac:dyDescent="0.2">
      <c r="A57" s="60"/>
      <c r="B57" s="60"/>
      <c r="C57" s="60"/>
      <c r="D57" s="60"/>
      <c r="E57" s="61"/>
      <c r="F57" s="62"/>
      <c r="G57" s="61"/>
      <c r="H57" s="63"/>
      <c r="I57" s="64"/>
    </row>
    <row r="58" spans="1:9" ht="15" x14ac:dyDescent="0.2">
      <c r="A58" s="60"/>
      <c r="B58" s="60"/>
      <c r="C58" s="60"/>
      <c r="D58" s="60"/>
      <c r="E58" s="61"/>
      <c r="F58" s="62"/>
      <c r="G58" s="61"/>
      <c r="H58" s="63"/>
      <c r="I58" s="64"/>
    </row>
    <row r="59" spans="1:9" ht="13.5" thickBot="1" x14ac:dyDescent="0.25">
      <c r="B59" s="17"/>
      <c r="C59" s="4"/>
      <c r="D59" s="4"/>
      <c r="E59" s="4"/>
    </row>
    <row r="60" spans="1:9" x14ac:dyDescent="0.2">
      <c r="B60" s="33" t="s">
        <v>111</v>
      </c>
      <c r="C60" s="34"/>
      <c r="D60" s="34"/>
      <c r="E60" s="35"/>
    </row>
    <row r="61" spans="1:9" ht="5.25" customHeight="1" x14ac:dyDescent="0.2">
      <c r="B61" s="36"/>
      <c r="C61" s="4"/>
      <c r="D61" s="4"/>
      <c r="E61" s="37"/>
    </row>
    <row r="62" spans="1:9" x14ac:dyDescent="0.2">
      <c r="B62" s="38" t="s">
        <v>88</v>
      </c>
      <c r="C62" s="4"/>
      <c r="D62" s="4"/>
      <c r="E62" s="37"/>
    </row>
    <row r="63" spans="1:9" ht="41.25" customHeight="1" x14ac:dyDescent="0.25">
      <c r="B63" s="38"/>
      <c r="C63" s="105" t="s">
        <v>89</v>
      </c>
      <c r="D63" s="105"/>
      <c r="E63" s="106"/>
    </row>
    <row r="64" spans="1:9" ht="41.25" customHeight="1" x14ac:dyDescent="0.25">
      <c r="B64" s="38"/>
      <c r="C64" s="56"/>
      <c r="D64" s="56"/>
      <c r="E64" s="57"/>
    </row>
    <row r="65" spans="2:5" x14ac:dyDescent="0.2">
      <c r="B65" s="65" t="s">
        <v>105</v>
      </c>
      <c r="C65" s="99" t="s">
        <v>106</v>
      </c>
      <c r="D65" s="99"/>
      <c r="E65" s="100"/>
    </row>
    <row r="66" spans="2:5" x14ac:dyDescent="0.2">
      <c r="B66" s="65"/>
      <c r="C66" s="58"/>
      <c r="D66" s="58"/>
      <c r="E66" s="59"/>
    </row>
    <row r="67" spans="2:5" x14ac:dyDescent="0.2">
      <c r="B67" s="65" t="s">
        <v>110</v>
      </c>
      <c r="C67" s="99" t="s">
        <v>90</v>
      </c>
      <c r="D67" s="99"/>
      <c r="E67" s="100"/>
    </row>
    <row r="68" spans="2:5" x14ac:dyDescent="0.2">
      <c r="B68" s="41"/>
      <c r="C68" s="99"/>
      <c r="D68" s="99"/>
      <c r="E68" s="100"/>
    </row>
    <row r="69" spans="2:5" x14ac:dyDescent="0.2">
      <c r="B69" s="110" t="s">
        <v>108</v>
      </c>
      <c r="C69" s="111"/>
      <c r="D69" s="99" t="s">
        <v>109</v>
      </c>
      <c r="E69" s="100"/>
    </row>
    <row r="70" spans="2:5" x14ac:dyDescent="0.2">
      <c r="B70" s="66"/>
      <c r="C70" s="67"/>
      <c r="D70" s="58"/>
      <c r="E70" s="59"/>
    </row>
    <row r="71" spans="2:5" x14ac:dyDescent="0.2">
      <c r="B71" s="38" t="s">
        <v>91</v>
      </c>
      <c r="C71" s="39"/>
      <c r="D71" s="39"/>
      <c r="E71" s="40"/>
    </row>
    <row r="72" spans="2:5" ht="26.25" customHeight="1" x14ac:dyDescent="0.2">
      <c r="B72" s="41"/>
      <c r="C72" s="94"/>
      <c r="D72" s="94"/>
      <c r="E72" s="93"/>
    </row>
    <row r="73" spans="2:5" x14ac:dyDescent="0.2">
      <c r="B73" s="38" t="s">
        <v>92</v>
      </c>
      <c r="C73" s="42"/>
      <c r="D73" s="42"/>
      <c r="E73" s="43"/>
    </row>
    <row r="74" spans="2:5" ht="26.25" customHeight="1" x14ac:dyDescent="0.2">
      <c r="B74" s="41"/>
      <c r="C74" s="94" t="s">
        <v>124</v>
      </c>
      <c r="D74" s="94"/>
      <c r="E74" s="93"/>
    </row>
    <row r="75" spans="2:5" x14ac:dyDescent="0.2">
      <c r="B75" s="38" t="s">
        <v>93</v>
      </c>
      <c r="C75" s="39"/>
      <c r="D75" s="39"/>
      <c r="E75" s="40"/>
    </row>
    <row r="76" spans="2:5" ht="23.25" customHeight="1" x14ac:dyDescent="0.2">
      <c r="B76" s="38"/>
      <c r="C76" s="99"/>
      <c r="D76" s="99"/>
      <c r="E76" s="100"/>
    </row>
    <row r="77" spans="2:5" ht="13.5" thickBot="1" x14ac:dyDescent="0.25">
      <c r="B77" s="44"/>
      <c r="C77" s="45"/>
      <c r="D77" s="45"/>
      <c r="E77" s="46"/>
    </row>
    <row r="78" spans="2:5" ht="13.5" thickBot="1" x14ac:dyDescent="0.25"/>
    <row r="79" spans="2:5" x14ac:dyDescent="0.2">
      <c r="B79" s="33" t="s">
        <v>112</v>
      </c>
      <c r="C79" s="34"/>
      <c r="D79" s="34"/>
      <c r="E79" s="35"/>
    </row>
    <row r="80" spans="2:5" ht="7.5" customHeight="1" x14ac:dyDescent="0.2">
      <c r="B80" s="36"/>
      <c r="C80" s="4"/>
      <c r="D80" s="4"/>
      <c r="E80" s="37"/>
    </row>
    <row r="81" spans="2:5" x14ac:dyDescent="0.2">
      <c r="B81" s="38" t="s">
        <v>88</v>
      </c>
      <c r="C81" s="4"/>
      <c r="D81" s="4"/>
      <c r="E81" s="37"/>
    </row>
    <row r="82" spans="2:5" ht="39" customHeight="1" x14ac:dyDescent="0.25">
      <c r="B82" s="38"/>
      <c r="C82" s="105" t="s">
        <v>94</v>
      </c>
      <c r="D82" s="105"/>
      <c r="E82" s="106"/>
    </row>
    <row r="83" spans="2:5" ht="15" customHeight="1" x14ac:dyDescent="0.25">
      <c r="B83" s="38"/>
      <c r="C83" s="56"/>
      <c r="D83" s="56"/>
      <c r="E83" s="57"/>
    </row>
    <row r="84" spans="2:5" x14ac:dyDescent="0.2">
      <c r="B84" s="65" t="s">
        <v>113</v>
      </c>
      <c r="C84" s="39"/>
      <c r="D84" s="99" t="s">
        <v>106</v>
      </c>
      <c r="E84" s="100"/>
    </row>
    <row r="85" spans="2:5" x14ac:dyDescent="0.2">
      <c r="B85" s="65"/>
      <c r="C85" s="99"/>
      <c r="D85" s="99"/>
      <c r="E85" s="100"/>
    </row>
    <row r="86" spans="2:5" x14ac:dyDescent="0.2">
      <c r="B86" s="65" t="s">
        <v>114</v>
      </c>
      <c r="C86" s="99" t="s">
        <v>90</v>
      </c>
      <c r="D86" s="99"/>
      <c r="E86" s="100"/>
    </row>
    <row r="87" spans="2:5" x14ac:dyDescent="0.2">
      <c r="B87" s="65"/>
      <c r="C87" s="58"/>
      <c r="D87" s="58"/>
      <c r="E87" s="59"/>
    </row>
    <row r="88" spans="2:5" x14ac:dyDescent="0.2">
      <c r="B88" s="65" t="s">
        <v>108</v>
      </c>
      <c r="C88" s="99" t="s">
        <v>109</v>
      </c>
      <c r="D88" s="99"/>
      <c r="E88" s="100"/>
    </row>
    <row r="89" spans="2:5" x14ac:dyDescent="0.2">
      <c r="B89" s="65"/>
      <c r="C89" s="58"/>
      <c r="D89" s="58"/>
      <c r="E89" s="59"/>
    </row>
    <row r="90" spans="2:5" x14ac:dyDescent="0.2">
      <c r="B90" s="38" t="s">
        <v>91</v>
      </c>
      <c r="C90" s="39"/>
      <c r="D90" s="39"/>
      <c r="E90" s="40"/>
    </row>
    <row r="91" spans="2:5" x14ac:dyDescent="0.2">
      <c r="B91" s="41"/>
      <c r="C91" s="94"/>
      <c r="D91" s="94"/>
      <c r="E91" s="93"/>
    </row>
    <row r="92" spans="2:5" x14ac:dyDescent="0.2">
      <c r="B92" s="38" t="s">
        <v>92</v>
      </c>
      <c r="C92" s="42"/>
      <c r="D92" s="42"/>
      <c r="E92" s="43"/>
    </row>
    <row r="93" spans="2:5" x14ac:dyDescent="0.2">
      <c r="B93" s="41"/>
      <c r="C93" s="94" t="s">
        <v>124</v>
      </c>
      <c r="D93" s="94"/>
      <c r="E93" s="93"/>
    </row>
    <row r="94" spans="2:5" x14ac:dyDescent="0.2">
      <c r="B94" s="38" t="s">
        <v>93</v>
      </c>
      <c r="C94" s="39"/>
      <c r="D94" s="39"/>
      <c r="E94" s="40"/>
    </row>
    <row r="95" spans="2:5" x14ac:dyDescent="0.2">
      <c r="B95" s="38"/>
      <c r="C95" s="99"/>
      <c r="D95" s="99"/>
      <c r="E95" s="100"/>
    </row>
    <row r="96" spans="2:5" ht="13.5" thickBot="1" x14ac:dyDescent="0.25">
      <c r="B96" s="44"/>
      <c r="C96" s="45"/>
      <c r="D96" s="45"/>
      <c r="E96" s="46"/>
    </row>
    <row r="97" spans="2:5" ht="13.5" thickBot="1" x14ac:dyDescent="0.25"/>
    <row r="98" spans="2:5" x14ac:dyDescent="0.2">
      <c r="B98" s="33" t="s">
        <v>95</v>
      </c>
      <c r="C98" s="34" t="s">
        <v>103</v>
      </c>
      <c r="D98" s="34"/>
      <c r="E98" s="35"/>
    </row>
    <row r="99" spans="2:5" ht="5.25" customHeight="1" x14ac:dyDescent="0.2">
      <c r="B99" s="36"/>
      <c r="C99" s="4"/>
      <c r="D99" s="4"/>
      <c r="E99" s="37"/>
    </row>
    <row r="100" spans="2:5" x14ac:dyDescent="0.2">
      <c r="B100" s="38" t="s">
        <v>88</v>
      </c>
      <c r="C100" s="4"/>
      <c r="D100" s="4"/>
      <c r="E100" s="37"/>
    </row>
    <row r="101" spans="2:5" ht="41.25" customHeight="1" x14ac:dyDescent="0.25">
      <c r="B101" s="38"/>
      <c r="C101" s="105" t="s">
        <v>96</v>
      </c>
      <c r="D101" s="105"/>
      <c r="E101" s="106"/>
    </row>
    <row r="102" spans="2:5" x14ac:dyDescent="0.2">
      <c r="B102" s="65" t="s">
        <v>113</v>
      </c>
      <c r="C102" s="99" t="s">
        <v>106</v>
      </c>
      <c r="D102" s="99"/>
      <c r="E102" s="100"/>
    </row>
    <row r="103" spans="2:5" x14ac:dyDescent="0.2">
      <c r="B103" s="41"/>
      <c r="C103" s="99"/>
      <c r="D103" s="99"/>
      <c r="E103" s="100"/>
    </row>
    <row r="104" spans="2:5" x14ac:dyDescent="0.2">
      <c r="B104" s="65" t="s">
        <v>114</v>
      </c>
      <c r="C104" s="99" t="s">
        <v>90</v>
      </c>
      <c r="D104" s="99"/>
      <c r="E104" s="100"/>
    </row>
    <row r="105" spans="2:5" x14ac:dyDescent="0.2">
      <c r="B105" s="65"/>
      <c r="C105" s="58"/>
      <c r="D105" s="58"/>
      <c r="E105" s="59"/>
    </row>
    <row r="106" spans="2:5" x14ac:dyDescent="0.2">
      <c r="B106" s="65" t="s">
        <v>108</v>
      </c>
      <c r="C106" s="99" t="s">
        <v>109</v>
      </c>
      <c r="D106" s="99"/>
      <c r="E106" s="100"/>
    </row>
    <row r="107" spans="2:5" x14ac:dyDescent="0.2">
      <c r="B107" s="65"/>
      <c r="C107" s="58"/>
      <c r="D107" s="58"/>
      <c r="E107" s="59"/>
    </row>
    <row r="108" spans="2:5" x14ac:dyDescent="0.2">
      <c r="B108" s="38" t="s">
        <v>91</v>
      </c>
      <c r="C108" s="39"/>
      <c r="D108" s="39"/>
      <c r="E108" s="40"/>
    </row>
    <row r="109" spans="2:5" ht="26.25" customHeight="1" x14ac:dyDescent="0.2">
      <c r="B109" s="41"/>
      <c r="C109" s="94"/>
      <c r="D109" s="94"/>
      <c r="E109" s="93"/>
    </row>
    <row r="110" spans="2:5" x14ac:dyDescent="0.2">
      <c r="B110" s="38" t="s">
        <v>92</v>
      </c>
      <c r="C110" s="42"/>
      <c r="D110" s="42"/>
      <c r="E110" s="43"/>
    </row>
    <row r="111" spans="2:5" ht="26.25" customHeight="1" x14ac:dyDescent="0.2">
      <c r="B111" s="41"/>
      <c r="C111" s="94" t="s">
        <v>124</v>
      </c>
      <c r="D111" s="94"/>
      <c r="E111" s="93"/>
    </row>
    <row r="112" spans="2:5" x14ac:dyDescent="0.2">
      <c r="B112" s="38" t="s">
        <v>93</v>
      </c>
      <c r="C112" s="39"/>
      <c r="D112" s="39"/>
      <c r="E112" s="40"/>
    </row>
    <row r="113" spans="2:5" ht="23.25" customHeight="1" x14ac:dyDescent="0.2">
      <c r="B113" s="38"/>
      <c r="C113" s="99"/>
      <c r="D113" s="99"/>
      <c r="E113" s="100"/>
    </row>
    <row r="114" spans="2:5" ht="13.5" thickBot="1" x14ac:dyDescent="0.25">
      <c r="B114" s="44"/>
      <c r="C114" s="45"/>
      <c r="D114" s="45"/>
      <c r="E114" s="46"/>
    </row>
    <row r="116" spans="2:5" ht="13.5" thickBot="1" x14ac:dyDescent="0.25"/>
    <row r="117" spans="2:5" x14ac:dyDescent="0.2">
      <c r="B117" s="33" t="s">
        <v>115</v>
      </c>
      <c r="C117" s="34"/>
      <c r="D117" s="34"/>
      <c r="E117" s="35"/>
    </row>
    <row r="118" spans="2:5" x14ac:dyDescent="0.2">
      <c r="B118" s="36"/>
      <c r="C118" s="4"/>
      <c r="D118" s="4"/>
      <c r="E118" s="37"/>
    </row>
    <row r="119" spans="2:5" x14ac:dyDescent="0.2">
      <c r="B119" s="38" t="s">
        <v>88</v>
      </c>
      <c r="C119" s="4"/>
      <c r="D119" s="4"/>
      <c r="E119" s="37"/>
    </row>
    <row r="120" spans="2:5" ht="12.75" customHeight="1" x14ac:dyDescent="0.2">
      <c r="B120" s="38"/>
      <c r="C120" s="103" t="s">
        <v>104</v>
      </c>
      <c r="D120" s="103"/>
      <c r="E120" s="104"/>
    </row>
    <row r="121" spans="2:5" ht="12.75" customHeight="1" x14ac:dyDescent="0.2">
      <c r="B121" s="38"/>
      <c r="C121" s="103"/>
      <c r="D121" s="103"/>
      <c r="E121" s="104"/>
    </row>
    <row r="122" spans="2:5" ht="15" customHeight="1" x14ac:dyDescent="0.2">
      <c r="B122" s="38"/>
      <c r="C122" s="103"/>
      <c r="D122" s="103"/>
      <c r="E122" s="104"/>
    </row>
    <row r="123" spans="2:5" x14ac:dyDescent="0.2">
      <c r="B123" s="65" t="s">
        <v>113</v>
      </c>
      <c r="C123" s="99" t="s">
        <v>106</v>
      </c>
      <c r="D123" s="99"/>
      <c r="E123" s="100"/>
    </row>
    <row r="124" spans="2:5" x14ac:dyDescent="0.2">
      <c r="B124" s="65"/>
      <c r="C124" s="58"/>
      <c r="D124" s="58"/>
      <c r="E124" s="59"/>
    </row>
    <row r="125" spans="2:5" x14ac:dyDescent="0.2">
      <c r="B125" s="65" t="s">
        <v>114</v>
      </c>
      <c r="C125" s="99" t="s">
        <v>90</v>
      </c>
      <c r="D125" s="99"/>
      <c r="E125" s="100"/>
    </row>
    <row r="126" spans="2:5" x14ac:dyDescent="0.2">
      <c r="B126" s="65"/>
      <c r="C126" s="58"/>
      <c r="D126" s="58"/>
      <c r="E126" s="59"/>
    </row>
    <row r="127" spans="2:5" x14ac:dyDescent="0.2">
      <c r="B127" s="65" t="s">
        <v>108</v>
      </c>
      <c r="C127" s="99" t="s">
        <v>109</v>
      </c>
      <c r="D127" s="99"/>
      <c r="E127" s="100"/>
    </row>
    <row r="128" spans="2:5" x14ac:dyDescent="0.2">
      <c r="B128" s="65"/>
      <c r="C128" s="58"/>
      <c r="D128" s="58"/>
      <c r="E128" s="59"/>
    </row>
    <row r="129" spans="2:5" x14ac:dyDescent="0.2">
      <c r="B129" s="38" t="s">
        <v>91</v>
      </c>
      <c r="C129" s="39"/>
      <c r="D129" s="39"/>
      <c r="E129" s="40"/>
    </row>
    <row r="130" spans="2:5" x14ac:dyDescent="0.2">
      <c r="B130" s="41"/>
      <c r="C130" s="94"/>
      <c r="D130" s="94"/>
      <c r="E130" s="93"/>
    </row>
    <row r="131" spans="2:5" x14ac:dyDescent="0.2">
      <c r="B131" s="38" t="s">
        <v>92</v>
      </c>
      <c r="C131" s="47"/>
      <c r="D131" s="47"/>
      <c r="E131" s="48"/>
    </row>
    <row r="132" spans="2:5" x14ac:dyDescent="0.2">
      <c r="B132" s="41"/>
      <c r="C132" s="94" t="s">
        <v>124</v>
      </c>
      <c r="D132" s="94"/>
      <c r="E132" s="93"/>
    </row>
    <row r="133" spans="2:5" x14ac:dyDescent="0.2">
      <c r="B133" s="38" t="s">
        <v>93</v>
      </c>
      <c r="C133" s="39"/>
      <c r="D133" s="39"/>
      <c r="E133" s="40"/>
    </row>
    <row r="134" spans="2:5" x14ac:dyDescent="0.2">
      <c r="B134" s="38"/>
      <c r="C134" s="99"/>
      <c r="D134" s="99"/>
      <c r="E134" s="100"/>
    </row>
    <row r="135" spans="2:5" ht="13.5" thickBot="1" x14ac:dyDescent="0.25">
      <c r="B135" s="44"/>
      <c r="C135" s="45"/>
      <c r="D135" s="45"/>
      <c r="E135" s="46"/>
    </row>
    <row r="136" spans="2:5" ht="13.5" thickBot="1" x14ac:dyDescent="0.25"/>
    <row r="137" spans="2:5" x14ac:dyDescent="0.2">
      <c r="B137" s="68" t="s">
        <v>123</v>
      </c>
      <c r="C137" s="69"/>
      <c r="D137" s="70"/>
      <c r="E137" s="71"/>
    </row>
    <row r="138" spans="2:5" x14ac:dyDescent="0.2">
      <c r="B138" s="72"/>
      <c r="C138" s="73"/>
      <c r="D138" s="74"/>
      <c r="E138" s="75"/>
    </row>
    <row r="139" spans="2:5" x14ac:dyDescent="0.2">
      <c r="B139" s="72" t="s">
        <v>88</v>
      </c>
      <c r="C139" s="73"/>
      <c r="D139" s="74"/>
      <c r="E139" s="75"/>
    </row>
    <row r="140" spans="2:5" x14ac:dyDescent="0.2">
      <c r="B140" s="76"/>
      <c r="C140" s="96" t="s">
        <v>126</v>
      </c>
      <c r="D140" s="96"/>
      <c r="E140" s="96"/>
    </row>
    <row r="141" spans="2:5" ht="15" x14ac:dyDescent="0.25">
      <c r="B141" s="77"/>
      <c r="C141" s="78"/>
      <c r="D141" s="78"/>
      <c r="E141" s="79"/>
    </row>
    <row r="142" spans="2:5" ht="15" x14ac:dyDescent="0.25">
      <c r="B142" s="77"/>
      <c r="C142" s="78"/>
      <c r="D142" s="78"/>
      <c r="E142" s="79"/>
    </row>
    <row r="143" spans="2:5" x14ac:dyDescent="0.2">
      <c r="B143" s="80" t="s">
        <v>105</v>
      </c>
      <c r="C143" s="97" t="s">
        <v>120</v>
      </c>
      <c r="D143" s="97"/>
      <c r="E143" s="98"/>
    </row>
    <row r="144" spans="2:5" x14ac:dyDescent="0.2">
      <c r="B144" s="81"/>
      <c r="C144" s="82"/>
      <c r="D144" s="4"/>
      <c r="E144" s="83"/>
    </row>
    <row r="145" spans="2:5" ht="12.75" customHeight="1" x14ac:dyDescent="0.2">
      <c r="B145" s="80" t="s">
        <v>107</v>
      </c>
      <c r="C145" s="99" t="s">
        <v>90</v>
      </c>
      <c r="D145" s="99"/>
      <c r="E145" s="100"/>
    </row>
    <row r="146" spans="2:5" x14ac:dyDescent="0.2">
      <c r="B146" s="84"/>
      <c r="C146" s="94"/>
      <c r="D146" s="94"/>
      <c r="E146" s="93"/>
    </row>
    <row r="147" spans="2:5" x14ac:dyDescent="0.2">
      <c r="B147" s="84" t="s">
        <v>121</v>
      </c>
      <c r="C147" s="101" t="s">
        <v>122</v>
      </c>
      <c r="D147" s="101"/>
      <c r="E147" s="102"/>
    </row>
    <row r="148" spans="2:5" x14ac:dyDescent="0.2">
      <c r="B148" s="85" t="s">
        <v>91</v>
      </c>
      <c r="C148" s="82"/>
      <c r="D148" s="4"/>
      <c r="E148" s="83"/>
    </row>
    <row r="149" spans="2:5" x14ac:dyDescent="0.2">
      <c r="B149" s="86"/>
      <c r="C149" s="93"/>
      <c r="D149" s="93"/>
      <c r="E149" s="93"/>
    </row>
    <row r="150" spans="2:5" x14ac:dyDescent="0.2">
      <c r="B150" s="85" t="s">
        <v>92</v>
      </c>
      <c r="C150" s="87"/>
      <c r="D150" s="88"/>
      <c r="E150" s="89"/>
    </row>
    <row r="151" spans="2:5" x14ac:dyDescent="0.2">
      <c r="B151" s="86"/>
      <c r="C151" s="94" t="s">
        <v>124</v>
      </c>
      <c r="D151" s="94"/>
      <c r="E151" s="93"/>
    </row>
    <row r="152" spans="2:5" x14ac:dyDescent="0.2">
      <c r="B152" s="85" t="s">
        <v>93</v>
      </c>
      <c r="C152" s="90"/>
      <c r="D152" s="39"/>
      <c r="E152" s="83"/>
    </row>
    <row r="153" spans="2:5" ht="13.5" thickBot="1" x14ac:dyDescent="0.25">
      <c r="B153" s="91"/>
      <c r="C153" s="95"/>
      <c r="D153" s="95"/>
      <c r="E153" s="95"/>
    </row>
  </sheetData>
  <mergeCells count="47">
    <mergeCell ref="B69:C69"/>
    <mergeCell ref="D69:E69"/>
    <mergeCell ref="C65:E65"/>
    <mergeCell ref="C63:E63"/>
    <mergeCell ref="C67:E67"/>
    <mergeCell ref="C68:E68"/>
    <mergeCell ref="A6:B6"/>
    <mergeCell ref="A7:B7"/>
    <mergeCell ref="B2:H2"/>
    <mergeCell ref="A4:B4"/>
    <mergeCell ref="C4:E4"/>
    <mergeCell ref="A5:B5"/>
    <mergeCell ref="C5:E5"/>
    <mergeCell ref="C72:E72"/>
    <mergeCell ref="C74:E74"/>
    <mergeCell ref="C76:E76"/>
    <mergeCell ref="C82:E82"/>
    <mergeCell ref="C85:E85"/>
    <mergeCell ref="C86:E86"/>
    <mergeCell ref="C91:E91"/>
    <mergeCell ref="D84:E84"/>
    <mergeCell ref="C88:E88"/>
    <mergeCell ref="C109:E109"/>
    <mergeCell ref="C111:E111"/>
    <mergeCell ref="C113:E113"/>
    <mergeCell ref="C93:E93"/>
    <mergeCell ref="C95:E95"/>
    <mergeCell ref="C101:E101"/>
    <mergeCell ref="C103:E103"/>
    <mergeCell ref="C104:E104"/>
    <mergeCell ref="C102:E102"/>
    <mergeCell ref="C106:E106"/>
    <mergeCell ref="C134:E134"/>
    <mergeCell ref="C120:E122"/>
    <mergeCell ref="C125:E125"/>
    <mergeCell ref="C127:E127"/>
    <mergeCell ref="C130:E130"/>
    <mergeCell ref="C132:E132"/>
    <mergeCell ref="C123:E123"/>
    <mergeCell ref="C149:E149"/>
    <mergeCell ref="C151:E151"/>
    <mergeCell ref="C153:E153"/>
    <mergeCell ref="C140:E140"/>
    <mergeCell ref="C143:E143"/>
    <mergeCell ref="C145:E145"/>
    <mergeCell ref="C146:E146"/>
    <mergeCell ref="C147:E14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2021-02-02T14:16:25Z</cp:lastPrinted>
  <dcterms:created xsi:type="dcterms:W3CDTF">2020-07-17T23:44:49Z</dcterms:created>
  <dcterms:modified xsi:type="dcterms:W3CDTF">2021-08-10T12:16:49Z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