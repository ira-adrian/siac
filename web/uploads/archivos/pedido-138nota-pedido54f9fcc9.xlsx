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COMPRAS\Downloads\"/>
    </mc:Choice>
  </mc:AlternateContent>
  <xr:revisionPtr revIDLastSave="0" documentId="8_{4E61CB7F-C73B-4953-B5F3-B5C7D6215B3D}" xr6:coauthVersionLast="46" xr6:coauthVersionMax="46" xr10:uidLastSave="{00000000-0000-0000-0000-000000000000}"/>
  <bookViews>
    <workbookView xWindow="-120" yWindow="-120" windowWidth="29040" windowHeight="15840" xr2:uid="{B339A5DA-F18B-4556-A045-499CA48AAE4B}"/>
  </bookViews>
  <sheets>
    <sheet name="MINISTERIO DE SALUD "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0" i="1" l="1"/>
  <c r="AS10" i="1"/>
  <c r="AU10" i="1" s="1"/>
  <c r="T11" i="1"/>
  <c r="AS11" i="1"/>
  <c r="AU11" i="1"/>
  <c r="T12" i="1"/>
  <c r="AS12" i="1"/>
  <c r="AU12" i="1" s="1"/>
  <c r="T13" i="1"/>
  <c r="AS13" i="1"/>
  <c r="AU13" i="1"/>
  <c r="T14" i="1"/>
  <c r="AS14" i="1"/>
  <c r="AU14" i="1" s="1"/>
  <c r="T15" i="1"/>
  <c r="AS15" i="1"/>
  <c r="AU15" i="1"/>
  <c r="T16" i="1"/>
  <c r="AS16" i="1"/>
  <c r="AU16" i="1" s="1"/>
  <c r="T17" i="1"/>
  <c r="AS17" i="1"/>
  <c r="AU17" i="1"/>
  <c r="T18" i="1"/>
  <c r="AS18" i="1"/>
  <c r="AU18" i="1" s="1"/>
  <c r="T19" i="1"/>
  <c r="AS19" i="1"/>
  <c r="AU19" i="1"/>
  <c r="T20" i="1"/>
  <c r="AS20" i="1"/>
  <c r="AU20" i="1" s="1"/>
  <c r="T21" i="1"/>
  <c r="AU21" i="1"/>
  <c r="T22" i="1"/>
  <c r="AS22" i="1"/>
  <c r="AU22" i="1"/>
  <c r="T23" i="1"/>
  <c r="AS23" i="1"/>
  <c r="AU23" i="1" s="1"/>
  <c r="T24" i="1"/>
  <c r="AS24" i="1"/>
  <c r="AU24" i="1"/>
  <c r="T25" i="1"/>
  <c r="AS25" i="1"/>
  <c r="AU25" i="1"/>
  <c r="AU26" i="1" l="1"/>
</calcChain>
</file>

<file path=xl/sharedStrings.xml><?xml version="1.0" encoding="utf-8"?>
<sst xmlns="http://schemas.openxmlformats.org/spreadsheetml/2006/main" count="113" uniqueCount="83">
  <si>
    <t>cuarenta y cinco (45) días</t>
  </si>
  <si>
    <t>Mantenimiento</t>
  </si>
  <si>
    <t>Calidad Minima esperada</t>
  </si>
  <si>
    <t>DIR. PROV. DE FARMACIA E INSUMOS - CHACABUCO N° 169 - en el horario de 8:00hs a 12:00hs de lunes a viernes</t>
  </si>
  <si>
    <t>Lugar de Entrega:</t>
  </si>
  <si>
    <t>veinte (20) dias corridos</t>
  </si>
  <si>
    <t>Plazos de entrega</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</si>
  <si>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                                                                                      5- En el caso de Medicamentos cuya forma farmaceutica Oral sea Comprimidos , y / o capsulas la presentacion del envase primario es decir los blister deberan contener la minima cantidad de comprimidos para poder realizar la administracion a pacientes ambulatorios, de acuerdo al tratamiento prescripto y considerando que se deben administrar blister completos .Podra ser el envase secundario de mayor tamaño sin probl ema, es decir una caja puede tener 100 comprimidos en blister de 10 comprimidos.-Existe la excepcion de algunos medicamentos que solo tienen una presentacion , que por supuesto debe ser esa.</t>
  </si>
  <si>
    <t>DETALLE TECNICO Y ESPECIFICACIONES</t>
  </si>
  <si>
    <t xml:space="preserve">TOTAL TERAPIA DERMATOLOGICA </t>
  </si>
  <si>
    <t>UNIDAD</t>
  </si>
  <si>
    <t>VALERATO DE ESTRADIO  2MG COMPRIMIDO</t>
  </si>
  <si>
    <t>PROD. MEDICO/FARMACEUTICOS/LAB</t>
  </si>
  <si>
    <t>UNDECANOATO DE TESTOSTERONA 100MG/4ML</t>
  </si>
  <si>
    <t>TESTOSTERONA GEL 1%</t>
  </si>
  <si>
    <t>OXCITOCINA 10 UI INYECTABLE</t>
  </si>
  <si>
    <t>NITROFURAZONA 0,2 % APOSITOS CAJA X 20 UNIDADES</t>
  </si>
  <si>
    <t>MISOPROSTOL 200 MG COMPRIMIDOS</t>
  </si>
  <si>
    <t>MEDROXIPROGESTERONA ACETATO 150 MG (AMP POR 1 ML)</t>
  </si>
  <si>
    <t>LEVOTIROXINA 75 MG</t>
  </si>
  <si>
    <t>LEVOTIROXINA 25 MG</t>
  </si>
  <si>
    <t>LEVOTIROXINA 100 MG</t>
  </si>
  <si>
    <t>LEVONORGESTREL 0,75 MG</t>
  </si>
  <si>
    <t>LEVOFLOXACINA 500 MG COMPRIMIDO</t>
  </si>
  <si>
    <t>FINASTERIDE 5MG COMPRIMIDO</t>
  </si>
  <si>
    <t>ESTRADIOL GEL 0,06%</t>
  </si>
  <si>
    <t>ESPIRONOLACTONA 100MG COMPRIMIDO</t>
  </si>
  <si>
    <t>ACETATO DE CIPROTERONA 50MG COMPRIMIDO</t>
  </si>
  <si>
    <t xml:space="preserve">IMPORTE TOTAL ESTIMADO </t>
  </si>
  <si>
    <t>PRECIO UNITARIO ESTIMADO</t>
  </si>
  <si>
    <t>CANTIDAD TOTAL</t>
  </si>
  <si>
    <t>TOTAL DPAS</t>
  </si>
  <si>
    <t>AREAS Y DPAS</t>
  </si>
  <si>
    <t>TOTAL SALUD MENTAL</t>
  </si>
  <si>
    <t>SALUD MENTAL</t>
  </si>
  <si>
    <t>TOTAL PLANIFICA</t>
  </si>
  <si>
    <t>PLANIFICACION</t>
  </si>
  <si>
    <t>TOTAL CUR</t>
  </si>
  <si>
    <t>CUR</t>
  </si>
  <si>
    <t xml:space="preserve">TOTAL SUMAR </t>
  </si>
  <si>
    <t>SUMAR</t>
  </si>
  <si>
    <t>TOTAL DE VECT Y ZOON</t>
  </si>
  <si>
    <t>VECTORES Y ZOONOSIS</t>
  </si>
  <si>
    <t>TOTAL SALUD Y MEDIO AMBIENTE</t>
  </si>
  <si>
    <t>SALUD Y MEDIO AMBIENTE</t>
  </si>
  <si>
    <t>TOTAL SEC EN ASIS EN SAL</t>
  </si>
  <si>
    <t>SEC DE ASIST EN SALUD PUB</t>
  </si>
  <si>
    <t xml:space="preserve">total maternidad </t>
  </si>
  <si>
    <t>maternidade e infancia</t>
  </si>
  <si>
    <t>HOSPITAL MALBRAN</t>
  </si>
  <si>
    <t>MALBRAN</t>
  </si>
  <si>
    <t>TOTAL DE SAME</t>
  </si>
  <si>
    <t>SAME</t>
  </si>
  <si>
    <t>TOTAL DE ODONTOLOG</t>
  </si>
  <si>
    <t>ODONTOLOGIA</t>
  </si>
  <si>
    <t>TOTAL FARMACIA</t>
  </si>
  <si>
    <t>FARMACIA</t>
  </si>
  <si>
    <t>TOTAL DE DIR DE CANCER</t>
  </si>
  <si>
    <t xml:space="preserve">DIR DE CANCER </t>
  </si>
  <si>
    <t>TOTAL ATENCION PRI</t>
  </si>
  <si>
    <t>ATENCION PRIMARIA</t>
  </si>
  <si>
    <t xml:space="preserve">TOTAL BANCO DE SANGRE </t>
  </si>
  <si>
    <t xml:space="preserve">BCO DE SANGRE </t>
  </si>
  <si>
    <t>TOTAL DE LAB CENTRAL</t>
  </si>
  <si>
    <t>DIR. LAB. CENTRAL</t>
  </si>
  <si>
    <t>TOTAL SEC PREVEN</t>
  </si>
  <si>
    <t>SEC PREV</t>
  </si>
  <si>
    <t>TOTAL DIR ADM</t>
  </si>
  <si>
    <t>DIR DE ADM</t>
  </si>
  <si>
    <t>UNIDAD DE MEDIDA</t>
  </si>
  <si>
    <t>DESCRIPCION</t>
  </si>
  <si>
    <t xml:space="preserve">I.P.P. </t>
  </si>
  <si>
    <t>RUBRO DE COMPRA</t>
  </si>
  <si>
    <t>CODIGO ITEM</t>
  </si>
  <si>
    <t>ID</t>
  </si>
  <si>
    <t>TERCER TRIMESTRE</t>
  </si>
  <si>
    <t>TRIMESTRE:</t>
  </si>
  <si>
    <t>EJERCICIO:</t>
  </si>
  <si>
    <t>11 - DIRECCION PROVINCIAL DE ADMINISTRACION - MINISTERIO DE SALUD</t>
  </si>
  <si>
    <t xml:space="preserve">SAF N°: </t>
  </si>
  <si>
    <t>40 - MINISTERIO DE SALUD</t>
  </si>
  <si>
    <t>JURISDICCION:</t>
  </si>
  <si>
    <t>Pedido de Necesidades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</si>
</sst>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2C0A]\ * #,##0.00_-;\-[$$-2C0A]\ * #,##0.00_-;_-[$$-2C0A]\ * &quot;-&quot;??_-;_-@_-"/>
    <numFmt numFmtId="165" formatCode="[$$-2C0A]\ #,##0.00"/>
    <numFmt numFmtId="166" formatCode="&quot;$&quot;\ #,##0.00"/>
  </numFmts>
  <fonts count="17" x14ac:knownFonts="1">
    <font>
      <sz val="11"/>
      <color theme="1"/>
      <name val="Calibri"/>
      <family val="2"/>
      <scheme val="minor"/>
    </font>
    <font>
      <sz val="11"/>
      <color theme="1"/>
      <name val="Calibri"/>
      <family val="2"/>
      <scheme val="minor"/>
    </font>
    <font>
      <sz val="10"/>
      <name val="Times New Roman"/>
      <family val="1"/>
    </font>
    <font>
      <sz val="11"/>
      <name val="Arial"/>
      <family val="2"/>
    </font>
    <font>
      <sz val="11"/>
      <name val="Times New Roman"/>
      <family val="1"/>
    </font>
    <font>
      <sz val="10"/>
      <name val="Arial"/>
      <family val="2"/>
    </font>
    <font>
      <b/>
      <sz val="11"/>
      <color rgb="FFFF0000"/>
      <name val="Times New Roman"/>
      <family val="1"/>
    </font>
    <font>
      <sz val="11"/>
      <color rgb="FFFF0000"/>
      <name val="Times New Roman"/>
      <family val="1"/>
    </font>
    <font>
      <b/>
      <sz val="11"/>
      <color theme="1"/>
      <name val="Times New Roman"/>
      <family val="1"/>
    </font>
    <font>
      <sz val="11"/>
      <color theme="1"/>
      <name val="Times New Roman"/>
      <family val="1"/>
    </font>
    <font>
      <b/>
      <sz val="11"/>
      <name val="Times New Roman"/>
      <family val="1"/>
    </font>
    <font>
      <b/>
      <sz val="11"/>
      <color rgb="FF000000"/>
      <name val="Times New Roman"/>
      <family val="1"/>
    </font>
    <font>
      <sz val="10"/>
      <color rgb="FF000000"/>
      <name val="Times New Roman"/>
      <family val="1"/>
    </font>
    <font>
      <sz val="11"/>
      <color rgb="FF000000"/>
      <name val="Times New Roman"/>
      <family val="1"/>
    </font>
    <font>
      <b/>
      <sz val="10"/>
      <color rgb="FF000000"/>
      <name val="Times New Roman"/>
      <family val="1"/>
    </font>
    <font>
      <b/>
      <sz val="12"/>
      <color rgb="FF000000"/>
      <name val="Times New Roman"/>
      <family val="1"/>
    </font>
    <font>
      <b/>
      <sz val="2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5" fillId="0" borderId="0"/>
    <xf numFmtId="0" fontId="1" fillId="0" borderId="0"/>
  </cellStyleXfs>
  <cellXfs count="90">
    <xf numFmtId="0" fontId="0" fillId="0" borderId="0" xfId="0"/>
    <xf numFmtId="0" fontId="2" fillId="0" borderId="0" xfId="0" applyFont="1"/>
    <xf numFmtId="164" fontId="2" fillId="0" borderId="0" xfId="0" applyNumberFormat="1" applyFont="1" applyAlignment="1">
      <alignment vertical="center"/>
    </xf>
    <xf numFmtId="164" fontId="3" fillId="0" borderId="0" xfId="1" applyNumberFormat="1" applyFont="1" applyAlignment="1">
      <alignment vertical="center"/>
    </xf>
    <xf numFmtId="3" fontId="2" fillId="0" borderId="0" xfId="0" applyNumberFormat="1" applyFont="1" applyAlignment="1">
      <alignment horizontal="center" vertical="center"/>
    </xf>
    <xf numFmtId="0" fontId="2" fillId="0" borderId="0" xfId="0" applyFont="1" applyAlignment="1">
      <alignment horizontal="center"/>
    </xf>
    <xf numFmtId="3" fontId="2" fillId="0" borderId="0" xfId="0" applyNumberFormat="1" applyFont="1" applyAlignment="1">
      <alignment horizontal="center"/>
    </xf>
    <xf numFmtId="1" fontId="2" fillId="0" borderId="0" xfId="0" applyNumberFormat="1" applyFont="1" applyAlignment="1">
      <alignment horizontal="center"/>
    </xf>
    <xf numFmtId="165" fontId="2" fillId="0" borderId="0" xfId="0" applyNumberFormat="1" applyFont="1" applyAlignment="1">
      <alignment horizontal="center"/>
    </xf>
    <xf numFmtId="166" fontId="2" fillId="0" borderId="0" xfId="0" applyNumberFormat="1"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center" wrapText="1"/>
    </xf>
    <xf numFmtId="0" fontId="2" fillId="0" borderId="1" xfId="2" applyFont="1" applyBorder="1" applyAlignment="1">
      <alignment horizontal="center" vertical="center"/>
    </xf>
    <xf numFmtId="0" fontId="2" fillId="0" borderId="2" xfId="2" applyFont="1" applyBorder="1" applyAlignment="1">
      <alignment horizontal="center" vertical="center" wrapText="1"/>
    </xf>
    <xf numFmtId="0" fontId="2" fillId="0" borderId="2" xfId="2" applyFont="1" applyBorder="1" applyAlignment="1">
      <alignment horizontal="center" vertical="center"/>
    </xf>
    <xf numFmtId="0" fontId="2" fillId="0" borderId="2" xfId="2" applyFont="1" applyBorder="1" applyAlignment="1">
      <alignment horizontal="left" vertical="center"/>
    </xf>
    <xf numFmtId="0" fontId="4" fillId="0" borderId="3" xfId="2" applyFont="1" applyBorder="1" applyAlignment="1">
      <alignment horizontal="center" vertical="center" wrapText="1"/>
    </xf>
    <xf numFmtId="0" fontId="2" fillId="0" borderId="4" xfId="2" applyFont="1" applyBorder="1" applyAlignment="1">
      <alignment horizontal="center" vertical="center"/>
    </xf>
    <xf numFmtId="0" fontId="2" fillId="0" borderId="0" xfId="2" applyFont="1" applyAlignment="1">
      <alignment horizontal="center" vertical="center" wrapText="1"/>
    </xf>
    <xf numFmtId="0" fontId="2" fillId="0" borderId="0" xfId="2" applyFont="1" applyAlignment="1">
      <alignment horizontal="center" vertical="center"/>
    </xf>
    <xf numFmtId="0" fontId="4" fillId="0" borderId="5" xfId="2" applyFont="1" applyBorder="1" applyAlignment="1">
      <alignment horizontal="center" vertical="center" wrapText="1"/>
    </xf>
    <xf numFmtId="0" fontId="2" fillId="0" borderId="4" xfId="2" applyFont="1" applyBorder="1" applyAlignment="1">
      <alignment horizontal="left" vertical="center"/>
    </xf>
    <xf numFmtId="0" fontId="2" fillId="0" borderId="0" xfId="2" applyFont="1" applyAlignment="1">
      <alignment horizontal="left" vertical="center"/>
    </xf>
    <xf numFmtId="0" fontId="2" fillId="0" borderId="0" xfId="2" applyFont="1" applyAlignment="1">
      <alignment horizontal="left" vertical="center"/>
    </xf>
    <xf numFmtId="0" fontId="2" fillId="0" borderId="6" xfId="2" applyFont="1" applyBorder="1" applyAlignment="1">
      <alignment horizontal="left" vertical="center" wrapText="1"/>
    </xf>
    <xf numFmtId="0" fontId="2" fillId="0" borderId="7" xfId="2" applyFont="1" applyBorder="1" applyAlignment="1">
      <alignment horizontal="left" vertical="center" wrapText="1"/>
    </xf>
    <xf numFmtId="0" fontId="4" fillId="0" borderId="8" xfId="2" applyFont="1" applyBorder="1" applyAlignment="1">
      <alignment horizontal="center" vertical="center" wrapText="1"/>
    </xf>
    <xf numFmtId="0" fontId="4" fillId="0" borderId="0" xfId="0" applyFont="1"/>
    <xf numFmtId="164" fontId="6" fillId="0" borderId="9" xfId="0" applyNumberFormat="1" applyFont="1" applyBorder="1" applyAlignment="1">
      <alignment vertical="center"/>
    </xf>
    <xf numFmtId="164" fontId="7" fillId="0" borderId="9" xfId="1" applyNumberFormat="1" applyFont="1" applyBorder="1" applyAlignment="1">
      <alignment vertical="center"/>
    </xf>
    <xf numFmtId="3" fontId="7" fillId="0" borderId="9" xfId="0" applyNumberFormat="1" applyFont="1" applyBorder="1" applyAlignment="1">
      <alignment horizontal="center" vertical="center"/>
    </xf>
    <xf numFmtId="0" fontId="7" fillId="0" borderId="9" xfId="0" applyFont="1" applyBorder="1" applyAlignment="1">
      <alignment horizontal="center" vertical="center"/>
    </xf>
    <xf numFmtId="0" fontId="6" fillId="0" borderId="9" xfId="0" applyFont="1" applyBorder="1" applyAlignment="1">
      <alignment horizontal="center" vertical="center"/>
    </xf>
    <xf numFmtId="165" fontId="6" fillId="2" borderId="9" xfId="0" applyNumberFormat="1" applyFont="1" applyFill="1" applyBorder="1" applyAlignment="1">
      <alignment horizontal="center" vertical="center"/>
    </xf>
    <xf numFmtId="0" fontId="6" fillId="2" borderId="9" xfId="0" applyFont="1" applyFill="1" applyBorder="1" applyAlignment="1">
      <alignment horizontal="center" vertical="center"/>
    </xf>
    <xf numFmtId="0" fontId="4" fillId="2" borderId="9" xfId="0" applyFont="1" applyFill="1" applyBorder="1" applyAlignment="1">
      <alignment horizontal="center" vertical="center"/>
    </xf>
    <xf numFmtId="0" fontId="4" fillId="0" borderId="9" xfId="0" applyFont="1" applyBorder="1" applyAlignment="1">
      <alignment horizontal="center" vertical="center" wrapText="1"/>
    </xf>
    <xf numFmtId="0" fontId="4" fillId="0" borderId="9" xfId="0" applyFont="1" applyBorder="1" applyAlignment="1">
      <alignment horizontal="center" vertical="center"/>
    </xf>
    <xf numFmtId="164" fontId="4" fillId="0" borderId="0" xfId="0" applyNumberFormat="1" applyFont="1"/>
    <xf numFmtId="164" fontId="4" fillId="0" borderId="9" xfId="0" applyNumberFormat="1" applyFont="1" applyBorder="1" applyAlignment="1">
      <alignment vertical="center"/>
    </xf>
    <xf numFmtId="164" fontId="4" fillId="0" borderId="9" xfId="0" applyNumberFormat="1" applyFont="1" applyBorder="1" applyAlignment="1">
      <alignment horizontal="center" vertical="center"/>
    </xf>
    <xf numFmtId="3" fontId="4" fillId="0" borderId="9" xfId="0" applyNumberFormat="1" applyFont="1" applyBorder="1" applyAlignment="1">
      <alignment horizontal="center" vertical="center"/>
    </xf>
    <xf numFmtId="1" fontId="4" fillId="0" borderId="9" xfId="0" applyNumberFormat="1" applyFont="1" applyBorder="1" applyAlignment="1">
      <alignment horizontal="center" vertical="center"/>
    </xf>
    <xf numFmtId="165" fontId="4" fillId="0" borderId="9" xfId="0" applyNumberFormat="1" applyFont="1" applyBorder="1" applyAlignment="1">
      <alignment horizontal="center" vertical="center"/>
    </xf>
    <xf numFmtId="166" fontId="4" fillId="0" borderId="9" xfId="0" applyNumberFormat="1" applyFont="1" applyBorder="1" applyAlignment="1">
      <alignment horizontal="center" vertical="center"/>
    </xf>
    <xf numFmtId="0" fontId="4" fillId="2" borderId="9" xfId="0" applyFont="1" applyFill="1" applyBorder="1" applyAlignment="1">
      <alignment vertical="center" wrapText="1"/>
    </xf>
    <xf numFmtId="0" fontId="8" fillId="2" borderId="9" xfId="0" applyFont="1" applyFill="1" applyBorder="1" applyAlignment="1">
      <alignment horizontal="center" vertical="center"/>
    </xf>
    <xf numFmtId="0" fontId="4" fillId="0" borderId="9" xfId="0" applyFont="1" applyBorder="1" applyAlignment="1">
      <alignment vertical="center"/>
    </xf>
    <xf numFmtId="165" fontId="4" fillId="2" borderId="9" xfId="0" applyNumberFormat="1" applyFont="1" applyFill="1" applyBorder="1" applyAlignment="1">
      <alignment horizontal="center" vertical="center"/>
    </xf>
    <xf numFmtId="3" fontId="4" fillId="2" borderId="9" xfId="0" applyNumberFormat="1" applyFont="1" applyFill="1" applyBorder="1" applyAlignment="1">
      <alignment horizontal="center" vertical="center"/>
    </xf>
    <xf numFmtId="1" fontId="4" fillId="2" borderId="9" xfId="0" applyNumberFormat="1" applyFont="1" applyFill="1" applyBorder="1" applyAlignment="1">
      <alignment horizontal="center" vertical="center"/>
    </xf>
    <xf numFmtId="166" fontId="4" fillId="2" borderId="9" xfId="0" applyNumberFormat="1" applyFont="1" applyFill="1" applyBorder="1" applyAlignment="1">
      <alignment horizontal="center" vertical="center"/>
    </xf>
    <xf numFmtId="164" fontId="4" fillId="2" borderId="9" xfId="0" applyNumberFormat="1" applyFont="1" applyFill="1" applyBorder="1" applyAlignment="1">
      <alignment horizontal="center" vertical="center" wrapText="1"/>
    </xf>
    <xf numFmtId="0" fontId="4" fillId="2" borderId="9" xfId="0" applyFont="1" applyFill="1" applyBorder="1" applyAlignment="1">
      <alignment horizontal="left" vertical="center"/>
    </xf>
    <xf numFmtId="164" fontId="4" fillId="2" borderId="9" xfId="0" applyNumberFormat="1" applyFont="1" applyFill="1" applyBorder="1" applyAlignment="1">
      <alignment horizontal="center" vertical="center"/>
    </xf>
    <xf numFmtId="3" fontId="9" fillId="2" borderId="9" xfId="0" applyNumberFormat="1" applyFont="1" applyFill="1" applyBorder="1" applyAlignment="1">
      <alignment horizontal="center" vertical="center" wrapText="1"/>
    </xf>
    <xf numFmtId="0" fontId="4" fillId="2" borderId="9" xfId="0" applyFont="1" applyFill="1" applyBorder="1" applyAlignment="1">
      <alignment horizontal="left" vertical="center" wrapText="1"/>
    </xf>
    <xf numFmtId="3" fontId="9" fillId="2" borderId="9" xfId="0" applyNumberFormat="1" applyFont="1" applyFill="1" applyBorder="1" applyAlignment="1">
      <alignment horizontal="center" vertical="center"/>
    </xf>
    <xf numFmtId="0" fontId="9" fillId="2" borderId="9" xfId="3" applyFont="1" applyFill="1" applyBorder="1" applyAlignment="1">
      <alignment horizontal="left" vertical="center"/>
    </xf>
    <xf numFmtId="164" fontId="9" fillId="2" borderId="9" xfId="0" applyNumberFormat="1" applyFont="1" applyFill="1" applyBorder="1" applyAlignment="1">
      <alignment horizontal="center" vertical="center" wrapText="1"/>
    </xf>
    <xf numFmtId="0" fontId="9" fillId="2" borderId="9" xfId="0" applyFont="1" applyFill="1" applyBorder="1" applyAlignment="1">
      <alignment horizontal="left" vertical="center" wrapText="1"/>
    </xf>
    <xf numFmtId="0" fontId="9" fillId="2" borderId="9" xfId="0" applyFont="1" applyFill="1" applyBorder="1" applyAlignment="1">
      <alignment horizontal="left" vertical="center"/>
    </xf>
    <xf numFmtId="0" fontId="10" fillId="0" borderId="0" xfId="0" applyFont="1"/>
    <xf numFmtId="0" fontId="10" fillId="0" borderId="0" xfId="0" applyFont="1" applyAlignment="1">
      <alignment wrapText="1"/>
    </xf>
    <xf numFmtId="164" fontId="11" fillId="0" borderId="9" xfId="0" applyNumberFormat="1" applyFont="1" applyBorder="1" applyAlignment="1">
      <alignment vertical="center" wrapText="1"/>
    </xf>
    <xf numFmtId="164" fontId="10" fillId="0" borderId="9" xfId="1" applyNumberFormat="1" applyFont="1" applyBorder="1" applyAlignment="1">
      <alignment vertical="center" wrapText="1"/>
    </xf>
    <xf numFmtId="3" fontId="11" fillId="0" borderId="9" xfId="0" applyNumberFormat="1" applyFont="1" applyBorder="1" applyAlignment="1">
      <alignment horizontal="center" vertical="center" wrapText="1"/>
    </xf>
    <xf numFmtId="0" fontId="11" fillId="0" borderId="9" xfId="0" applyFont="1" applyBorder="1" applyAlignment="1">
      <alignment horizontal="center" vertical="center" wrapText="1"/>
    </xf>
    <xf numFmtId="3" fontId="11" fillId="3" borderId="9" xfId="0" applyNumberFormat="1" applyFont="1" applyFill="1" applyBorder="1" applyAlignment="1">
      <alignment horizontal="center" vertical="center" wrapText="1"/>
    </xf>
    <xf numFmtId="1" fontId="11" fillId="0" borderId="9" xfId="0" applyNumberFormat="1" applyFont="1" applyBorder="1" applyAlignment="1">
      <alignment horizontal="center" vertical="center" wrapText="1"/>
    </xf>
    <xf numFmtId="165" fontId="11" fillId="0" borderId="9" xfId="0" applyNumberFormat="1" applyFont="1" applyBorder="1" applyAlignment="1">
      <alignment horizontal="center" vertical="center" wrapText="1"/>
    </xf>
    <xf numFmtId="166" fontId="11" fillId="0" borderId="9" xfId="0" applyNumberFormat="1" applyFont="1" applyBorder="1" applyAlignment="1">
      <alignment horizontal="center" vertical="center" wrapText="1"/>
    </xf>
    <xf numFmtId="0" fontId="11" fillId="0" borderId="9" xfId="0" applyFont="1" applyBorder="1" applyAlignment="1">
      <alignment horizontal="center" vertical="center"/>
    </xf>
    <xf numFmtId="3" fontId="12" fillId="0" borderId="0" xfId="0" applyNumberFormat="1" applyFont="1" applyAlignment="1">
      <alignment horizontal="center" vertical="center" wrapText="1"/>
    </xf>
    <xf numFmtId="0" fontId="12" fillId="0" borderId="0" xfId="0" applyFont="1" applyAlignment="1">
      <alignment horizontal="center" wrapText="1"/>
    </xf>
    <xf numFmtId="3" fontId="12" fillId="0" borderId="0" xfId="0" applyNumberFormat="1" applyFont="1" applyAlignment="1">
      <alignment horizontal="center" wrapText="1"/>
    </xf>
    <xf numFmtId="1" fontId="12" fillId="0" borderId="0" xfId="0" applyNumberFormat="1" applyFont="1" applyAlignment="1">
      <alignment horizontal="center" wrapText="1"/>
    </xf>
    <xf numFmtId="165" fontId="12" fillId="0" borderId="0" xfId="0" applyNumberFormat="1" applyFont="1" applyAlignment="1">
      <alignment horizontal="center" wrapText="1"/>
    </xf>
    <xf numFmtId="166" fontId="12" fillId="0" borderId="0" xfId="0" applyNumberFormat="1" applyFont="1" applyAlignment="1">
      <alignment horizontal="center" wrapText="1"/>
    </xf>
    <xf numFmtId="0" fontId="12" fillId="0" borderId="0" xfId="0" applyFont="1" applyAlignment="1">
      <alignment horizontal="center" vertical="center" wrapText="1"/>
    </xf>
    <xf numFmtId="0" fontId="13" fillId="0" borderId="0" xfId="0" applyFont="1" applyAlignment="1">
      <alignment horizont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11" fillId="0" borderId="0" xfId="0" applyFont="1" applyAlignment="1">
      <alignment horizontal="left" vertical="center" wrapText="1"/>
    </xf>
    <xf numFmtId="0" fontId="15" fillId="0" borderId="0" xfId="0" applyFont="1" applyAlignment="1">
      <alignment horizontal="left" vertical="center" wrapText="1"/>
    </xf>
    <xf numFmtId="0" fontId="16" fillId="0" borderId="0" xfId="0" applyFont="1" applyAlignment="1">
      <alignment horizontal="right" vertical="center"/>
    </xf>
    <xf numFmtId="0" fontId="16" fillId="0" borderId="0" xfId="0" applyFont="1" applyAlignment="1">
      <alignment horizontal="center" vertical="center"/>
    </xf>
    <xf numFmtId="0" fontId="16" fillId="0" borderId="0" xfId="0" applyFont="1" applyAlignment="1">
      <alignment horizontal="center"/>
    </xf>
    <xf numFmtId="3" fontId="3" fillId="2" borderId="9" xfId="0" applyNumberFormat="1" applyFont="1" applyFill="1" applyBorder="1" applyAlignment="1">
      <alignment horizontal="center" vertical="center" wrapText="1"/>
    </xf>
  </cellXfs>
  <cellStyles count="4">
    <cellStyle name="Moneda" xfId="1" builtinId="4"/>
    <cellStyle name="Normal" xfId="0" builtinId="0"/>
    <cellStyle name="Normal 2 2" xfId="2" xr:uid="{F945864C-C652-48DC-86FB-23D712AD7563}"/>
    <cellStyle name="Normal 7" xfId="3" xr:uid="{1A4B58E3-ED6A-4BFE-9466-C46CDE9AD631}"/>
  </cellStyles>
  <dxfs count="23">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7110-F4D4-4BED-8E6B-9EE80948A1DB}">
  <dimension ref="A1:AW35"/>
  <sheetViews>
    <sheetView tabSelected="1" workbookViewId="0">
      <selection activeCell="E25" sqref="E25"/>
    </sheetView>
  </sheetViews>
  <sheetFormatPr baseColWidth="10" defaultColWidth="10.85546875" defaultRowHeight="15" x14ac:dyDescent="0.25"/>
  <cols>
    <col min="1" max="1" width="9.140625" style="11" customWidth="1"/>
    <col min="2" max="2" width="12" style="12" customWidth="1"/>
    <col min="3" max="3" width="42.28515625" style="11" customWidth="1"/>
    <col min="4" max="4" width="8.42578125" style="5" customWidth="1"/>
    <col min="5" max="5" width="46.28515625" style="10" customWidth="1"/>
    <col min="6" max="6" width="11" style="5" customWidth="1"/>
    <col min="7" max="7" width="11" style="5" hidden="1" customWidth="1"/>
    <col min="8" max="8" width="14.85546875" style="5" hidden="1" customWidth="1"/>
    <col min="9" max="9" width="11" style="5" hidden="1" customWidth="1"/>
    <col min="10" max="11" width="14.85546875" style="5" hidden="1" customWidth="1"/>
    <col min="12" max="12" width="24" style="5" hidden="1" customWidth="1"/>
    <col min="13" max="13" width="12.85546875" style="7" hidden="1" customWidth="1"/>
    <col min="14" max="14" width="18.85546875" style="9" hidden="1" customWidth="1"/>
    <col min="15" max="15" width="18.85546875" style="6" hidden="1" customWidth="1"/>
    <col min="16" max="16" width="28.5703125" style="5" hidden="1" customWidth="1"/>
    <col min="17" max="17" width="18.85546875" style="7" hidden="1" customWidth="1"/>
    <col min="18" max="18" width="18.85546875" style="5" hidden="1" customWidth="1"/>
    <col min="19" max="19" width="18.85546875" style="6" hidden="1" customWidth="1"/>
    <col min="20" max="20" width="18.85546875" style="8" hidden="1" customWidth="1"/>
    <col min="21" max="21" width="18.85546875" style="7" hidden="1" customWidth="1"/>
    <col min="22" max="22" width="18.85546875" style="5" hidden="1" customWidth="1"/>
    <col min="23" max="23" width="18.85546875" style="6" hidden="1" customWidth="1"/>
    <col min="24" max="24" width="18.85546875" style="5" hidden="1" customWidth="1"/>
    <col min="25" max="25" width="18.85546875" style="6" hidden="1" customWidth="1"/>
    <col min="26" max="26" width="18.85546875" style="5" hidden="1" customWidth="1"/>
    <col min="27" max="27" width="18.85546875" style="6" hidden="1" customWidth="1"/>
    <col min="28" max="28" width="18.85546875" style="5" hidden="1" customWidth="1"/>
    <col min="29" max="29" width="18.85546875" style="6" hidden="1" customWidth="1"/>
    <col min="30" max="30" width="18.85546875" style="5" hidden="1" customWidth="1"/>
    <col min="31" max="31" width="19.85546875" style="6" hidden="1" customWidth="1"/>
    <col min="32" max="32" width="19.85546875" style="5" hidden="1" customWidth="1"/>
    <col min="33" max="33" width="19.85546875" style="6" hidden="1" customWidth="1"/>
    <col min="34" max="34" width="19.85546875" style="5" hidden="1" customWidth="1"/>
    <col min="35" max="35" width="19.85546875" style="6" hidden="1" customWidth="1"/>
    <col min="36" max="36" width="19.85546875" style="5" hidden="1" customWidth="1"/>
    <col min="37" max="37" width="18.85546875" style="6" hidden="1" customWidth="1"/>
    <col min="38" max="38" width="18.85546875" style="5" hidden="1" customWidth="1"/>
    <col min="39" max="39" width="18.85546875" style="6" hidden="1" customWidth="1"/>
    <col min="40" max="40" width="18.85546875" style="5" hidden="1" customWidth="1"/>
    <col min="41" max="41" width="18.85546875" style="6" hidden="1" customWidth="1"/>
    <col min="42" max="42" width="18.85546875" style="5" hidden="1" customWidth="1"/>
    <col min="43" max="43" width="18.85546875" style="6" hidden="1" customWidth="1"/>
    <col min="44" max="44" width="18.85546875" style="5" hidden="1" customWidth="1"/>
    <col min="45" max="45" width="13.140625" style="4" customWidth="1"/>
    <col min="46" max="46" width="16.5703125" style="3" bestFit="1" customWidth="1"/>
    <col min="47" max="47" width="22.5703125" style="2" customWidth="1"/>
    <col min="48" max="48" width="23.5703125" style="1" customWidth="1"/>
    <col min="49" max="49" width="12.85546875" style="1" bestFit="1" customWidth="1"/>
    <col min="50" max="16384" width="10.85546875" style="1"/>
  </cols>
  <sheetData>
    <row r="1" spans="1:49" x14ac:dyDescent="0.25">
      <c r="A1" s="89">
        <v>2021</v>
      </c>
    </row>
    <row r="2" spans="1:49" ht="25.5" x14ac:dyDescent="0.35">
      <c r="B2" s="88" t="s">
        <v>82</v>
      </c>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7"/>
      <c r="AT2" s="86"/>
    </row>
    <row r="4" spans="1:49" ht="15.75" x14ac:dyDescent="0.2">
      <c r="A4" s="84" t="s">
        <v>81</v>
      </c>
      <c r="B4" s="84"/>
      <c r="C4" s="85" t="s">
        <v>80</v>
      </c>
      <c r="D4" s="85"/>
      <c r="E4" s="85"/>
      <c r="F4" s="75"/>
      <c r="G4" s="75"/>
      <c r="H4" s="75"/>
      <c r="I4" s="75"/>
      <c r="J4" s="75"/>
      <c r="K4" s="75"/>
      <c r="L4" s="75"/>
      <c r="M4" s="77"/>
      <c r="N4" s="79"/>
      <c r="O4" s="76"/>
      <c r="P4" s="75"/>
      <c r="Q4" s="77"/>
      <c r="R4" s="75"/>
      <c r="S4" s="76"/>
      <c r="T4" s="78"/>
      <c r="U4" s="77"/>
      <c r="V4" s="75"/>
      <c r="W4" s="76"/>
      <c r="X4" s="75"/>
      <c r="Y4" s="76"/>
      <c r="Z4" s="75"/>
      <c r="AA4" s="76"/>
      <c r="AB4" s="75"/>
      <c r="AC4" s="76"/>
      <c r="AD4" s="75"/>
      <c r="AE4" s="76"/>
      <c r="AF4" s="75"/>
      <c r="AG4" s="76"/>
      <c r="AH4" s="75"/>
      <c r="AI4" s="76"/>
      <c r="AJ4" s="75"/>
      <c r="AK4" s="76"/>
      <c r="AL4" s="75"/>
      <c r="AM4" s="76"/>
      <c r="AN4" s="75"/>
      <c r="AO4" s="76"/>
      <c r="AP4" s="75"/>
      <c r="AQ4" s="76"/>
      <c r="AR4" s="75"/>
      <c r="AS4" s="74"/>
    </row>
    <row r="5" spans="1:49" ht="15.75" x14ac:dyDescent="0.2">
      <c r="A5" s="84" t="s">
        <v>79</v>
      </c>
      <c r="B5" s="84"/>
      <c r="C5" s="85" t="s">
        <v>78</v>
      </c>
      <c r="D5" s="85"/>
      <c r="E5" s="85"/>
      <c r="F5" s="75"/>
      <c r="G5" s="75"/>
      <c r="H5" s="75"/>
      <c r="I5" s="75"/>
      <c r="J5" s="75"/>
      <c r="K5" s="75"/>
      <c r="L5" s="75"/>
      <c r="M5" s="77"/>
      <c r="N5" s="79"/>
      <c r="O5" s="76"/>
      <c r="P5" s="75"/>
      <c r="Q5" s="77"/>
      <c r="R5" s="75"/>
      <c r="S5" s="76"/>
      <c r="T5" s="78"/>
      <c r="U5" s="77"/>
      <c r="V5" s="75"/>
      <c r="W5" s="76"/>
      <c r="X5" s="75"/>
      <c r="Y5" s="76"/>
      <c r="Z5" s="75"/>
      <c r="AA5" s="76"/>
      <c r="AB5" s="75"/>
      <c r="AC5" s="76"/>
      <c r="AD5" s="75"/>
      <c r="AE5" s="76"/>
      <c r="AF5" s="75"/>
      <c r="AG5" s="76"/>
      <c r="AH5" s="75"/>
      <c r="AI5" s="76"/>
      <c r="AJ5" s="75"/>
      <c r="AK5" s="76"/>
      <c r="AL5" s="75"/>
      <c r="AM5" s="76"/>
      <c r="AN5" s="75"/>
      <c r="AO5" s="76"/>
      <c r="AP5" s="75"/>
      <c r="AQ5" s="76"/>
      <c r="AR5" s="75"/>
      <c r="AS5" s="74"/>
    </row>
    <row r="6" spans="1:49" ht="15.75" x14ac:dyDescent="0.2">
      <c r="A6" s="84" t="s">
        <v>77</v>
      </c>
      <c r="B6" s="84"/>
      <c r="C6" s="83">
        <v>2021</v>
      </c>
      <c r="D6" s="82"/>
      <c r="E6" s="82"/>
      <c r="F6" s="75"/>
      <c r="G6" s="75"/>
      <c r="H6" s="75"/>
      <c r="I6" s="75"/>
      <c r="J6" s="75"/>
      <c r="K6" s="75"/>
      <c r="L6" s="75"/>
      <c r="M6" s="77"/>
      <c r="N6" s="79"/>
      <c r="O6" s="76"/>
      <c r="P6" s="75"/>
      <c r="Q6" s="77"/>
      <c r="R6" s="75"/>
      <c r="S6" s="76"/>
      <c r="T6" s="78"/>
      <c r="U6" s="77"/>
      <c r="V6" s="75"/>
      <c r="W6" s="76"/>
      <c r="X6" s="75"/>
      <c r="Y6" s="76"/>
      <c r="Z6" s="75"/>
      <c r="AA6" s="76"/>
      <c r="AB6" s="75"/>
      <c r="AC6" s="76"/>
      <c r="AD6" s="75"/>
      <c r="AE6" s="76"/>
      <c r="AF6" s="75"/>
      <c r="AG6" s="76"/>
      <c r="AH6" s="75"/>
      <c r="AI6" s="76"/>
      <c r="AJ6" s="75"/>
      <c r="AK6" s="76"/>
      <c r="AL6" s="75"/>
      <c r="AM6" s="76"/>
      <c r="AN6" s="75"/>
      <c r="AO6" s="76"/>
      <c r="AP6" s="75"/>
      <c r="AQ6" s="76"/>
      <c r="AR6" s="75"/>
      <c r="AS6" s="74"/>
    </row>
    <row r="7" spans="1:49" ht="15.75" x14ac:dyDescent="0.2">
      <c r="A7" s="84" t="s">
        <v>76</v>
      </c>
      <c r="B7" s="84"/>
      <c r="C7" s="83" t="s">
        <v>75</v>
      </c>
      <c r="D7" s="82"/>
      <c r="E7" s="82"/>
      <c r="F7" s="75"/>
      <c r="G7" s="75"/>
      <c r="H7" s="75"/>
      <c r="I7" s="75"/>
      <c r="J7" s="75"/>
      <c r="K7" s="75"/>
      <c r="L7" s="75"/>
      <c r="M7" s="77"/>
      <c r="N7" s="79"/>
      <c r="O7" s="76"/>
      <c r="P7" s="75"/>
      <c r="Q7" s="77"/>
      <c r="R7" s="75"/>
      <c r="S7" s="76"/>
      <c r="T7" s="78"/>
      <c r="U7" s="77"/>
      <c r="V7" s="75"/>
      <c r="W7" s="76"/>
      <c r="X7" s="75"/>
      <c r="Y7" s="76"/>
      <c r="Z7" s="75"/>
      <c r="AA7" s="76"/>
      <c r="AB7" s="75"/>
      <c r="AC7" s="76"/>
      <c r="AD7" s="75"/>
      <c r="AE7" s="76"/>
      <c r="AF7" s="75"/>
      <c r="AG7" s="76"/>
      <c r="AH7" s="75"/>
      <c r="AI7" s="76"/>
      <c r="AJ7" s="75"/>
      <c r="AK7" s="76"/>
      <c r="AL7" s="75"/>
      <c r="AM7" s="76"/>
      <c r="AN7" s="75"/>
      <c r="AO7" s="76"/>
      <c r="AP7" s="75"/>
      <c r="AQ7" s="76"/>
      <c r="AR7" s="75"/>
      <c r="AS7" s="74"/>
    </row>
    <row r="8" spans="1:49" ht="2.25" customHeight="1" x14ac:dyDescent="0.25">
      <c r="B8" s="81"/>
      <c r="C8" s="80"/>
      <c r="D8" s="75"/>
      <c r="E8" s="80"/>
      <c r="F8" s="75"/>
      <c r="G8" s="75"/>
      <c r="H8" s="75"/>
      <c r="I8" s="75"/>
      <c r="J8" s="75"/>
      <c r="K8" s="75"/>
      <c r="L8" s="75"/>
      <c r="M8" s="77"/>
      <c r="N8" s="79"/>
      <c r="O8" s="76"/>
      <c r="P8" s="75"/>
      <c r="Q8" s="77"/>
      <c r="R8" s="75"/>
      <c r="S8" s="76"/>
      <c r="T8" s="78"/>
      <c r="U8" s="77"/>
      <c r="V8" s="75"/>
      <c r="W8" s="76"/>
      <c r="X8" s="75"/>
      <c r="Y8" s="76"/>
      <c r="Z8" s="75"/>
      <c r="AA8" s="76"/>
      <c r="AB8" s="75"/>
      <c r="AC8" s="76"/>
      <c r="AD8" s="75"/>
      <c r="AE8" s="76"/>
      <c r="AF8" s="75"/>
      <c r="AG8" s="76"/>
      <c r="AH8" s="75"/>
      <c r="AI8" s="76"/>
      <c r="AJ8" s="75"/>
      <c r="AK8" s="76"/>
      <c r="AL8" s="75"/>
      <c r="AM8" s="76"/>
      <c r="AN8" s="75"/>
      <c r="AO8" s="76"/>
      <c r="AP8" s="75"/>
      <c r="AQ8" s="76"/>
      <c r="AR8" s="75"/>
      <c r="AS8" s="74"/>
    </row>
    <row r="9" spans="1:49" s="63" customFormat="1" ht="42.75" x14ac:dyDescent="0.2">
      <c r="A9" s="73" t="s">
        <v>74</v>
      </c>
      <c r="B9" s="68" t="s">
        <v>73</v>
      </c>
      <c r="C9" s="68" t="s">
        <v>72</v>
      </c>
      <c r="D9" s="73" t="s">
        <v>71</v>
      </c>
      <c r="E9" s="68" t="s">
        <v>70</v>
      </c>
      <c r="F9" s="68" t="s">
        <v>69</v>
      </c>
      <c r="G9" s="68" t="s">
        <v>68</v>
      </c>
      <c r="H9" s="68" t="s">
        <v>67</v>
      </c>
      <c r="I9" s="68" t="s">
        <v>66</v>
      </c>
      <c r="J9" s="68" t="s">
        <v>65</v>
      </c>
      <c r="K9" s="68" t="s">
        <v>64</v>
      </c>
      <c r="L9" s="68" t="s">
        <v>63</v>
      </c>
      <c r="M9" s="70" t="s">
        <v>62</v>
      </c>
      <c r="N9" s="72" t="s">
        <v>61</v>
      </c>
      <c r="O9" s="67" t="s">
        <v>60</v>
      </c>
      <c r="P9" s="68" t="s">
        <v>59</v>
      </c>
      <c r="Q9" s="70" t="s">
        <v>58</v>
      </c>
      <c r="R9" s="68" t="s">
        <v>57</v>
      </c>
      <c r="S9" s="67" t="s">
        <v>56</v>
      </c>
      <c r="T9" s="71" t="s">
        <v>55</v>
      </c>
      <c r="U9" s="70" t="s">
        <v>54</v>
      </c>
      <c r="V9" s="68" t="s">
        <v>53</v>
      </c>
      <c r="W9" s="67" t="s">
        <v>52</v>
      </c>
      <c r="X9" s="68" t="s">
        <v>51</v>
      </c>
      <c r="Y9" s="67" t="s">
        <v>50</v>
      </c>
      <c r="Z9" s="68" t="s">
        <v>49</v>
      </c>
      <c r="AA9" s="67" t="s">
        <v>48</v>
      </c>
      <c r="AB9" s="68" t="s">
        <v>47</v>
      </c>
      <c r="AC9" s="69" t="s">
        <v>46</v>
      </c>
      <c r="AD9" s="68" t="s">
        <v>45</v>
      </c>
      <c r="AE9" s="67" t="s">
        <v>44</v>
      </c>
      <c r="AF9" s="68" t="s">
        <v>43</v>
      </c>
      <c r="AG9" s="67" t="s">
        <v>42</v>
      </c>
      <c r="AH9" s="68" t="s">
        <v>41</v>
      </c>
      <c r="AI9" s="67" t="s">
        <v>40</v>
      </c>
      <c r="AJ9" s="68" t="s">
        <v>39</v>
      </c>
      <c r="AK9" s="67" t="s">
        <v>38</v>
      </c>
      <c r="AL9" s="68" t="s">
        <v>37</v>
      </c>
      <c r="AM9" s="69" t="s">
        <v>36</v>
      </c>
      <c r="AN9" s="68" t="s">
        <v>35</v>
      </c>
      <c r="AO9" s="67" t="s">
        <v>34</v>
      </c>
      <c r="AP9" s="68" t="s">
        <v>33</v>
      </c>
      <c r="AQ9" s="67" t="s">
        <v>32</v>
      </c>
      <c r="AR9" s="68" t="s">
        <v>31</v>
      </c>
      <c r="AS9" s="67" t="s">
        <v>30</v>
      </c>
      <c r="AT9" s="66" t="s">
        <v>29</v>
      </c>
      <c r="AU9" s="65" t="s">
        <v>28</v>
      </c>
      <c r="AV9" s="64"/>
    </row>
    <row r="10" spans="1:49" s="28" customFormat="1" ht="30" x14ac:dyDescent="0.25">
      <c r="A10" s="38">
        <v>1</v>
      </c>
      <c r="B10" s="48"/>
      <c r="C10" s="47" t="s">
        <v>12</v>
      </c>
      <c r="D10" s="36">
        <v>252</v>
      </c>
      <c r="E10" s="46" t="s">
        <v>27</v>
      </c>
      <c r="F10" s="36" t="s">
        <v>10</v>
      </c>
      <c r="G10" s="38"/>
      <c r="H10" s="38"/>
      <c r="I10" s="38"/>
      <c r="J10" s="38"/>
      <c r="K10" s="38"/>
      <c r="L10" s="38"/>
      <c r="M10" s="43"/>
      <c r="N10" s="45"/>
      <c r="O10" s="42"/>
      <c r="P10" s="38"/>
      <c r="Q10" s="43"/>
      <c r="R10" s="38"/>
      <c r="S10" s="42">
        <v>400</v>
      </c>
      <c r="T10" s="44">
        <f>+S10*AT10</f>
        <v>22000</v>
      </c>
      <c r="U10" s="43"/>
      <c r="V10" s="38"/>
      <c r="W10" s="42"/>
      <c r="X10" s="38"/>
      <c r="Y10" s="42"/>
      <c r="Z10" s="38"/>
      <c r="AA10" s="42"/>
      <c r="AB10" s="38"/>
      <c r="AC10" s="42"/>
      <c r="AD10" s="38"/>
      <c r="AE10" s="42"/>
      <c r="AF10" s="38"/>
      <c r="AG10" s="42"/>
      <c r="AH10" s="38"/>
      <c r="AI10" s="42"/>
      <c r="AJ10" s="38"/>
      <c r="AK10" s="42"/>
      <c r="AL10" s="38"/>
      <c r="AM10" s="42"/>
      <c r="AN10" s="38"/>
      <c r="AO10" s="42"/>
      <c r="AP10" s="38"/>
      <c r="AQ10" s="42"/>
      <c r="AR10" s="38"/>
      <c r="AS10" s="42">
        <f>+S10</f>
        <v>400</v>
      </c>
      <c r="AT10" s="41">
        <v>55</v>
      </c>
      <c r="AU10" s="40">
        <f>+AT10*AS10</f>
        <v>22000</v>
      </c>
      <c r="AW10" s="39"/>
    </row>
    <row r="11" spans="1:49" s="28" customFormat="1" ht="22.5" customHeight="1" x14ac:dyDescent="0.25">
      <c r="A11" s="38">
        <v>2</v>
      </c>
      <c r="B11" s="48"/>
      <c r="C11" s="47" t="s">
        <v>12</v>
      </c>
      <c r="D11" s="36">
        <v>252</v>
      </c>
      <c r="E11" s="46" t="s">
        <v>26</v>
      </c>
      <c r="F11" s="36" t="s">
        <v>10</v>
      </c>
      <c r="G11" s="38"/>
      <c r="H11" s="38"/>
      <c r="I11" s="38"/>
      <c r="J11" s="38"/>
      <c r="K11" s="38"/>
      <c r="L11" s="38"/>
      <c r="M11" s="43"/>
      <c r="N11" s="45"/>
      <c r="O11" s="42"/>
      <c r="P11" s="38"/>
      <c r="Q11" s="43"/>
      <c r="R11" s="38"/>
      <c r="S11" s="42">
        <v>1000</v>
      </c>
      <c r="T11" s="44">
        <f>+S11*AT11</f>
        <v>22430</v>
      </c>
      <c r="U11" s="43"/>
      <c r="V11" s="38"/>
      <c r="W11" s="42"/>
      <c r="X11" s="38"/>
      <c r="Y11" s="42"/>
      <c r="Z11" s="38"/>
      <c r="AA11" s="42"/>
      <c r="AB11" s="38"/>
      <c r="AC11" s="42"/>
      <c r="AD11" s="38"/>
      <c r="AE11" s="42"/>
      <c r="AF11" s="38"/>
      <c r="AG11" s="42"/>
      <c r="AH11" s="38"/>
      <c r="AI11" s="42"/>
      <c r="AJ11" s="38"/>
      <c r="AK11" s="42"/>
      <c r="AL11" s="38"/>
      <c r="AM11" s="42"/>
      <c r="AN11" s="38"/>
      <c r="AO11" s="42"/>
      <c r="AP11" s="38"/>
      <c r="AQ11" s="42"/>
      <c r="AR11" s="38"/>
      <c r="AS11" s="42">
        <f>+S11</f>
        <v>1000</v>
      </c>
      <c r="AT11" s="41">
        <v>22.43</v>
      </c>
      <c r="AU11" s="40">
        <f>+AT11*AS11</f>
        <v>22430</v>
      </c>
      <c r="AW11" s="39"/>
    </row>
    <row r="12" spans="1:49" s="28" customFormat="1" ht="22.5" customHeight="1" x14ac:dyDescent="0.25">
      <c r="A12" s="38">
        <v>3</v>
      </c>
      <c r="B12" s="48"/>
      <c r="C12" s="47" t="s">
        <v>12</v>
      </c>
      <c r="D12" s="36">
        <v>252</v>
      </c>
      <c r="E12" s="46" t="s">
        <v>25</v>
      </c>
      <c r="F12" s="36" t="s">
        <v>10</v>
      </c>
      <c r="G12" s="38"/>
      <c r="H12" s="38"/>
      <c r="I12" s="38"/>
      <c r="J12" s="38"/>
      <c r="K12" s="38"/>
      <c r="L12" s="38"/>
      <c r="M12" s="43"/>
      <c r="N12" s="45"/>
      <c r="O12" s="42"/>
      <c r="P12" s="38"/>
      <c r="Q12" s="43"/>
      <c r="R12" s="38"/>
      <c r="S12" s="42">
        <v>60</v>
      </c>
      <c r="T12" s="44">
        <f>+S12*AT12</f>
        <v>150000</v>
      </c>
      <c r="U12" s="43"/>
      <c r="V12" s="38"/>
      <c r="W12" s="42"/>
      <c r="X12" s="38"/>
      <c r="Y12" s="42"/>
      <c r="Z12" s="38"/>
      <c r="AA12" s="42"/>
      <c r="AB12" s="38"/>
      <c r="AC12" s="42"/>
      <c r="AD12" s="38"/>
      <c r="AE12" s="42"/>
      <c r="AF12" s="38"/>
      <c r="AG12" s="42"/>
      <c r="AH12" s="38"/>
      <c r="AI12" s="42"/>
      <c r="AJ12" s="38"/>
      <c r="AK12" s="42"/>
      <c r="AL12" s="38"/>
      <c r="AM12" s="42"/>
      <c r="AN12" s="38"/>
      <c r="AO12" s="42"/>
      <c r="AP12" s="38"/>
      <c r="AQ12" s="42"/>
      <c r="AR12" s="38"/>
      <c r="AS12" s="42">
        <f>+S12</f>
        <v>60</v>
      </c>
      <c r="AT12" s="41">
        <v>2500</v>
      </c>
      <c r="AU12" s="40">
        <f>+AT12*AS12</f>
        <v>150000</v>
      </c>
      <c r="AW12" s="39"/>
    </row>
    <row r="13" spans="1:49" s="28" customFormat="1" ht="22.5" customHeight="1" x14ac:dyDescent="0.25">
      <c r="A13" s="38">
        <v>4</v>
      </c>
      <c r="B13" s="48"/>
      <c r="C13" s="47" t="s">
        <v>12</v>
      </c>
      <c r="D13" s="36">
        <v>252</v>
      </c>
      <c r="E13" s="46" t="s">
        <v>24</v>
      </c>
      <c r="F13" s="36" t="s">
        <v>10</v>
      </c>
      <c r="G13" s="38"/>
      <c r="H13" s="38"/>
      <c r="I13" s="38"/>
      <c r="J13" s="38"/>
      <c r="K13" s="38"/>
      <c r="L13" s="38"/>
      <c r="M13" s="43"/>
      <c r="N13" s="45"/>
      <c r="O13" s="42"/>
      <c r="P13" s="38"/>
      <c r="Q13" s="43"/>
      <c r="R13" s="38"/>
      <c r="S13" s="42">
        <v>500</v>
      </c>
      <c r="T13" s="44">
        <f>+S13*AT13</f>
        <v>5150</v>
      </c>
      <c r="U13" s="43"/>
      <c r="V13" s="38"/>
      <c r="W13" s="42"/>
      <c r="X13" s="38"/>
      <c r="Y13" s="42"/>
      <c r="Z13" s="38"/>
      <c r="AA13" s="42"/>
      <c r="AB13" s="38"/>
      <c r="AC13" s="42"/>
      <c r="AD13" s="38"/>
      <c r="AE13" s="42"/>
      <c r="AF13" s="38"/>
      <c r="AG13" s="42"/>
      <c r="AH13" s="38"/>
      <c r="AI13" s="42"/>
      <c r="AJ13" s="38"/>
      <c r="AK13" s="42"/>
      <c r="AL13" s="38"/>
      <c r="AM13" s="42"/>
      <c r="AN13" s="38"/>
      <c r="AO13" s="42"/>
      <c r="AP13" s="38"/>
      <c r="AQ13" s="42"/>
      <c r="AR13" s="38"/>
      <c r="AS13" s="42">
        <f>+S13</f>
        <v>500</v>
      </c>
      <c r="AT13" s="41">
        <v>10.3</v>
      </c>
      <c r="AU13" s="40">
        <f>+AT13*AS13</f>
        <v>5150</v>
      </c>
      <c r="AW13" s="39"/>
    </row>
    <row r="14" spans="1:49" s="28" customFormat="1" ht="22.5" customHeight="1" x14ac:dyDescent="0.25">
      <c r="A14" s="38">
        <v>5</v>
      </c>
      <c r="B14" s="37"/>
      <c r="C14" s="47" t="s">
        <v>12</v>
      </c>
      <c r="D14" s="36">
        <v>252</v>
      </c>
      <c r="E14" s="57" t="s">
        <v>23</v>
      </c>
      <c r="F14" s="36" t="s">
        <v>10</v>
      </c>
      <c r="G14" s="38"/>
      <c r="H14" s="38"/>
      <c r="I14" s="38"/>
      <c r="J14" s="38"/>
      <c r="K14" s="38"/>
      <c r="L14" s="38"/>
      <c r="M14" s="43"/>
      <c r="N14" s="45"/>
      <c r="O14" s="42"/>
      <c r="P14" s="38"/>
      <c r="Q14" s="43"/>
      <c r="R14" s="38"/>
      <c r="S14" s="50">
        <v>2000</v>
      </c>
      <c r="T14" s="44">
        <f>+S14*AT14</f>
        <v>26000</v>
      </c>
      <c r="U14" s="43"/>
      <c r="V14" s="38"/>
      <c r="W14" s="42"/>
      <c r="X14" s="38"/>
      <c r="Y14" s="42"/>
      <c r="Z14" s="38"/>
      <c r="AA14" s="42"/>
      <c r="AB14" s="38"/>
      <c r="AC14" s="42"/>
      <c r="AD14" s="38"/>
      <c r="AE14" s="42"/>
      <c r="AF14" s="38"/>
      <c r="AG14" s="42"/>
      <c r="AH14" s="38"/>
      <c r="AI14" s="42"/>
      <c r="AJ14" s="38"/>
      <c r="AK14" s="42"/>
      <c r="AL14" s="38"/>
      <c r="AM14" s="42"/>
      <c r="AN14" s="38"/>
      <c r="AO14" s="42"/>
      <c r="AP14" s="38"/>
      <c r="AQ14" s="42"/>
      <c r="AR14" s="38"/>
      <c r="AS14" s="42">
        <f>+S14</f>
        <v>2000</v>
      </c>
      <c r="AT14" s="53">
        <v>13</v>
      </c>
      <c r="AU14" s="40">
        <f>+AT14*AS14</f>
        <v>26000</v>
      </c>
      <c r="AW14" s="39"/>
    </row>
    <row r="15" spans="1:49" s="28" customFormat="1" ht="22.5" customHeight="1" x14ac:dyDescent="0.25">
      <c r="A15" s="38">
        <v>6</v>
      </c>
      <c r="B15" s="37"/>
      <c r="C15" s="47" t="s">
        <v>12</v>
      </c>
      <c r="D15" s="36">
        <v>252</v>
      </c>
      <c r="E15" s="62" t="s">
        <v>22</v>
      </c>
      <c r="F15" s="36" t="s">
        <v>10</v>
      </c>
      <c r="G15" s="38"/>
      <c r="H15" s="38"/>
      <c r="I15" s="38"/>
      <c r="J15" s="38"/>
      <c r="K15" s="38"/>
      <c r="L15" s="38"/>
      <c r="M15" s="43"/>
      <c r="N15" s="45"/>
      <c r="O15" s="42"/>
      <c r="P15" s="38"/>
      <c r="Q15" s="43"/>
      <c r="R15" s="38"/>
      <c r="S15" s="58">
        <v>10000</v>
      </c>
      <c r="T15" s="44">
        <f>+S15*AT15</f>
        <v>1900000</v>
      </c>
      <c r="U15" s="43"/>
      <c r="V15" s="38"/>
      <c r="W15" s="42"/>
      <c r="X15" s="38"/>
      <c r="Y15" s="42"/>
      <c r="Z15" s="38"/>
      <c r="AA15" s="42"/>
      <c r="AB15" s="38"/>
      <c r="AC15" s="42"/>
      <c r="AD15" s="38"/>
      <c r="AE15" s="42"/>
      <c r="AF15" s="38"/>
      <c r="AG15" s="42"/>
      <c r="AH15" s="38"/>
      <c r="AI15" s="42"/>
      <c r="AJ15" s="38"/>
      <c r="AK15" s="42"/>
      <c r="AL15" s="38"/>
      <c r="AM15" s="42"/>
      <c r="AN15" s="38"/>
      <c r="AO15" s="42"/>
      <c r="AP15" s="38"/>
      <c r="AQ15" s="42"/>
      <c r="AR15" s="38"/>
      <c r="AS15" s="42">
        <f>+S15</f>
        <v>10000</v>
      </c>
      <c r="AT15" s="55">
        <v>190</v>
      </c>
      <c r="AU15" s="40">
        <f>+AT15*AS15</f>
        <v>1900000</v>
      </c>
      <c r="AW15" s="39"/>
    </row>
    <row r="16" spans="1:49" s="28" customFormat="1" ht="22.5" customHeight="1" x14ac:dyDescent="0.25">
      <c r="A16" s="38">
        <v>7</v>
      </c>
      <c r="B16" s="37"/>
      <c r="C16" s="47" t="s">
        <v>12</v>
      </c>
      <c r="D16" s="36">
        <v>252</v>
      </c>
      <c r="E16" s="57" t="s">
        <v>21</v>
      </c>
      <c r="F16" s="36" t="s">
        <v>10</v>
      </c>
      <c r="G16" s="38"/>
      <c r="H16" s="38"/>
      <c r="I16" s="38"/>
      <c r="J16" s="38"/>
      <c r="K16" s="38"/>
      <c r="L16" s="38"/>
      <c r="M16" s="43"/>
      <c r="N16" s="45"/>
      <c r="O16" s="42"/>
      <c r="P16" s="38"/>
      <c r="Q16" s="43"/>
      <c r="R16" s="38"/>
      <c r="S16" s="50">
        <v>20000</v>
      </c>
      <c r="T16" s="44">
        <f>+S16*AT16</f>
        <v>252000</v>
      </c>
      <c r="U16" s="43"/>
      <c r="V16" s="38"/>
      <c r="W16" s="42"/>
      <c r="X16" s="38"/>
      <c r="Y16" s="42"/>
      <c r="Z16" s="38"/>
      <c r="AA16" s="42"/>
      <c r="AB16" s="38"/>
      <c r="AC16" s="42"/>
      <c r="AD16" s="38"/>
      <c r="AE16" s="42"/>
      <c r="AF16" s="38"/>
      <c r="AG16" s="42"/>
      <c r="AH16" s="38"/>
      <c r="AI16" s="42"/>
      <c r="AJ16" s="38"/>
      <c r="AK16" s="42"/>
      <c r="AL16" s="38"/>
      <c r="AM16" s="42"/>
      <c r="AN16" s="38"/>
      <c r="AO16" s="42"/>
      <c r="AP16" s="38"/>
      <c r="AQ16" s="42"/>
      <c r="AR16" s="38"/>
      <c r="AS16" s="42">
        <f>+S16</f>
        <v>20000</v>
      </c>
      <c r="AT16" s="53">
        <v>12.6</v>
      </c>
      <c r="AU16" s="40">
        <f>+AT16*AS16</f>
        <v>252000</v>
      </c>
      <c r="AW16" s="39"/>
    </row>
    <row r="17" spans="1:49" s="28" customFormat="1" ht="22.5" customHeight="1" x14ac:dyDescent="0.25">
      <c r="A17" s="38">
        <v>8</v>
      </c>
      <c r="B17" s="37"/>
      <c r="C17" s="47" t="s">
        <v>12</v>
      </c>
      <c r="D17" s="36">
        <v>252</v>
      </c>
      <c r="E17" s="61" t="s">
        <v>20</v>
      </c>
      <c r="F17" s="36" t="s">
        <v>10</v>
      </c>
      <c r="G17" s="38"/>
      <c r="H17" s="38"/>
      <c r="I17" s="38"/>
      <c r="J17" s="38"/>
      <c r="K17" s="38"/>
      <c r="L17" s="38"/>
      <c r="M17" s="43"/>
      <c r="N17" s="45"/>
      <c r="O17" s="42"/>
      <c r="P17" s="38"/>
      <c r="Q17" s="43"/>
      <c r="R17" s="38"/>
      <c r="S17" s="56">
        <v>10000</v>
      </c>
      <c r="T17" s="44">
        <f>+S17*AT17</f>
        <v>53000</v>
      </c>
      <c r="U17" s="43"/>
      <c r="V17" s="38"/>
      <c r="W17" s="42"/>
      <c r="X17" s="38"/>
      <c r="Y17" s="42"/>
      <c r="Z17" s="38"/>
      <c r="AA17" s="42"/>
      <c r="AB17" s="38"/>
      <c r="AC17" s="42"/>
      <c r="AD17" s="38"/>
      <c r="AE17" s="42"/>
      <c r="AF17" s="38"/>
      <c r="AG17" s="42"/>
      <c r="AH17" s="38"/>
      <c r="AI17" s="42"/>
      <c r="AJ17" s="38"/>
      <c r="AK17" s="42"/>
      <c r="AL17" s="38"/>
      <c r="AM17" s="42"/>
      <c r="AN17" s="38"/>
      <c r="AO17" s="42"/>
      <c r="AP17" s="38"/>
      <c r="AQ17" s="42"/>
      <c r="AR17" s="38"/>
      <c r="AS17" s="42">
        <f>+S17</f>
        <v>10000</v>
      </c>
      <c r="AT17" s="60">
        <v>5.3</v>
      </c>
      <c r="AU17" s="40">
        <f>+AT17*AS17</f>
        <v>53000</v>
      </c>
      <c r="AW17" s="39"/>
    </row>
    <row r="18" spans="1:49" s="28" customFormat="1" ht="22.5" customHeight="1" x14ac:dyDescent="0.25">
      <c r="A18" s="38">
        <v>9</v>
      </c>
      <c r="B18" s="37"/>
      <c r="C18" s="47" t="s">
        <v>12</v>
      </c>
      <c r="D18" s="36">
        <v>252</v>
      </c>
      <c r="E18" s="61" t="s">
        <v>19</v>
      </c>
      <c r="F18" s="36" t="s">
        <v>10</v>
      </c>
      <c r="G18" s="38"/>
      <c r="H18" s="38"/>
      <c r="I18" s="38"/>
      <c r="J18" s="38"/>
      <c r="K18" s="38"/>
      <c r="L18" s="38"/>
      <c r="M18" s="43"/>
      <c r="N18" s="45"/>
      <c r="O18" s="42"/>
      <c r="P18" s="38"/>
      <c r="Q18" s="43"/>
      <c r="R18" s="38"/>
      <c r="S18" s="56">
        <v>30000</v>
      </c>
      <c r="T18" s="44">
        <f>+S18*AT18</f>
        <v>264000</v>
      </c>
      <c r="U18" s="43"/>
      <c r="V18" s="38"/>
      <c r="W18" s="42"/>
      <c r="X18" s="38"/>
      <c r="Y18" s="42"/>
      <c r="Z18" s="38"/>
      <c r="AA18" s="42"/>
      <c r="AB18" s="38"/>
      <c r="AC18" s="42"/>
      <c r="AD18" s="38"/>
      <c r="AE18" s="42"/>
      <c r="AF18" s="38"/>
      <c r="AG18" s="42"/>
      <c r="AH18" s="38"/>
      <c r="AI18" s="42"/>
      <c r="AJ18" s="38"/>
      <c r="AK18" s="42"/>
      <c r="AL18" s="38"/>
      <c r="AM18" s="42"/>
      <c r="AN18" s="38"/>
      <c r="AO18" s="42"/>
      <c r="AP18" s="38"/>
      <c r="AQ18" s="42"/>
      <c r="AR18" s="38"/>
      <c r="AS18" s="42">
        <f>+S18</f>
        <v>30000</v>
      </c>
      <c r="AT18" s="60">
        <v>8.8000000000000007</v>
      </c>
      <c r="AU18" s="40">
        <f>+AT18*AS18</f>
        <v>264000</v>
      </c>
      <c r="AW18" s="39"/>
    </row>
    <row r="19" spans="1:49" s="28" customFormat="1" ht="30" x14ac:dyDescent="0.25">
      <c r="A19" s="38">
        <v>10</v>
      </c>
      <c r="B19" s="48"/>
      <c r="C19" s="47" t="s">
        <v>12</v>
      </c>
      <c r="D19" s="36">
        <v>252</v>
      </c>
      <c r="E19" s="46" t="s">
        <v>18</v>
      </c>
      <c r="F19" s="36" t="s">
        <v>10</v>
      </c>
      <c r="G19" s="38"/>
      <c r="H19" s="38"/>
      <c r="I19" s="38"/>
      <c r="J19" s="38"/>
      <c r="K19" s="38"/>
      <c r="L19" s="38"/>
      <c r="M19" s="43"/>
      <c r="N19" s="45"/>
      <c r="O19" s="42"/>
      <c r="P19" s="38"/>
      <c r="Q19" s="43"/>
      <c r="R19" s="38"/>
      <c r="S19" s="50">
        <v>4000</v>
      </c>
      <c r="T19" s="49">
        <f>+S19*AT19</f>
        <v>1736000</v>
      </c>
      <c r="U19" s="51"/>
      <c r="V19" s="36"/>
      <c r="W19" s="50"/>
      <c r="X19" s="36"/>
      <c r="Y19" s="50"/>
      <c r="Z19" s="36"/>
      <c r="AA19" s="50"/>
      <c r="AB19" s="36"/>
      <c r="AC19" s="50"/>
      <c r="AD19" s="36"/>
      <c r="AE19" s="50"/>
      <c r="AF19" s="36"/>
      <c r="AG19" s="50"/>
      <c r="AH19" s="36"/>
      <c r="AI19" s="50"/>
      <c r="AJ19" s="36"/>
      <c r="AK19" s="50"/>
      <c r="AL19" s="36"/>
      <c r="AM19" s="50"/>
      <c r="AN19" s="36"/>
      <c r="AO19" s="50"/>
      <c r="AP19" s="36"/>
      <c r="AQ19" s="50"/>
      <c r="AR19" s="36"/>
      <c r="AS19" s="50">
        <f>+S19</f>
        <v>4000</v>
      </c>
      <c r="AT19" s="55">
        <v>434</v>
      </c>
      <c r="AU19" s="40">
        <f>+AT19*AS19</f>
        <v>1736000</v>
      </c>
      <c r="AW19" s="39"/>
    </row>
    <row r="20" spans="1:49" s="28" customFormat="1" ht="22.5" customHeight="1" x14ac:dyDescent="0.25">
      <c r="A20" s="38">
        <v>11</v>
      </c>
      <c r="B20" s="37"/>
      <c r="C20" s="47" t="s">
        <v>12</v>
      </c>
      <c r="D20" s="36">
        <v>252</v>
      </c>
      <c r="E20" s="59" t="s">
        <v>17</v>
      </c>
      <c r="F20" s="36" t="s">
        <v>10</v>
      </c>
      <c r="G20" s="38"/>
      <c r="H20" s="38"/>
      <c r="I20" s="38"/>
      <c r="J20" s="38"/>
      <c r="K20" s="38"/>
      <c r="L20" s="38"/>
      <c r="M20" s="43"/>
      <c r="N20" s="45"/>
      <c r="O20" s="42"/>
      <c r="P20" s="38"/>
      <c r="Q20" s="43"/>
      <c r="R20" s="38"/>
      <c r="S20" s="58">
        <v>2400</v>
      </c>
      <c r="T20" s="44">
        <f>+S20*AT20</f>
        <v>1008000</v>
      </c>
      <c r="U20" s="43"/>
      <c r="V20" s="38"/>
      <c r="W20" s="42"/>
      <c r="X20" s="38"/>
      <c r="Y20" s="42"/>
      <c r="Z20" s="38"/>
      <c r="AA20" s="42"/>
      <c r="AB20" s="38"/>
      <c r="AC20" s="42"/>
      <c r="AD20" s="38"/>
      <c r="AE20" s="42"/>
      <c r="AF20" s="38"/>
      <c r="AG20" s="42"/>
      <c r="AH20" s="38"/>
      <c r="AI20" s="42"/>
      <c r="AJ20" s="38"/>
      <c r="AK20" s="42"/>
      <c r="AL20" s="38"/>
      <c r="AM20" s="42"/>
      <c r="AN20" s="38"/>
      <c r="AO20" s="42"/>
      <c r="AP20" s="38"/>
      <c r="AQ20" s="42"/>
      <c r="AR20" s="38"/>
      <c r="AS20" s="42">
        <f>+S20</f>
        <v>2400</v>
      </c>
      <c r="AT20" s="55">
        <v>420</v>
      </c>
      <c r="AU20" s="40">
        <f>+AT20*AS20</f>
        <v>1008000</v>
      </c>
      <c r="AW20" s="39"/>
    </row>
    <row r="21" spans="1:49" s="28" customFormat="1" ht="30" x14ac:dyDescent="0.25">
      <c r="A21" s="38">
        <v>12</v>
      </c>
      <c r="B21" s="37"/>
      <c r="C21" s="47" t="s">
        <v>12</v>
      </c>
      <c r="D21" s="36">
        <v>252</v>
      </c>
      <c r="E21" s="57" t="s">
        <v>16</v>
      </c>
      <c r="F21" s="36" t="s">
        <v>10</v>
      </c>
      <c r="G21" s="38"/>
      <c r="H21" s="38"/>
      <c r="I21" s="38"/>
      <c r="J21" s="38"/>
      <c r="K21" s="38"/>
      <c r="L21" s="38"/>
      <c r="M21" s="43"/>
      <c r="N21" s="45"/>
      <c r="O21" s="42"/>
      <c r="P21" s="38"/>
      <c r="Q21" s="43"/>
      <c r="R21" s="38"/>
      <c r="S21" s="56">
        <v>1000</v>
      </c>
      <c r="T21" s="44">
        <f>+S21*AT21</f>
        <v>550000</v>
      </c>
      <c r="U21" s="43"/>
      <c r="V21" s="38"/>
      <c r="W21" s="42"/>
      <c r="X21" s="38"/>
      <c r="Y21" s="42"/>
      <c r="Z21" s="38"/>
      <c r="AA21" s="42"/>
      <c r="AB21" s="38"/>
      <c r="AC21" s="42"/>
      <c r="AD21" s="38"/>
      <c r="AE21" s="42"/>
      <c r="AF21" s="38"/>
      <c r="AG21" s="42"/>
      <c r="AH21" s="38"/>
      <c r="AI21" s="42"/>
      <c r="AJ21" s="38"/>
      <c r="AK21" s="42"/>
      <c r="AL21" s="38"/>
      <c r="AM21" s="42"/>
      <c r="AN21" s="38"/>
      <c r="AO21" s="42"/>
      <c r="AP21" s="38"/>
      <c r="AQ21" s="42"/>
      <c r="AR21" s="38"/>
      <c r="AS21" s="42">
        <v>50</v>
      </c>
      <c r="AT21" s="55">
        <v>550</v>
      </c>
      <c r="AU21" s="40">
        <f>+AT21*AS21</f>
        <v>27500</v>
      </c>
      <c r="AW21" s="39"/>
    </row>
    <row r="22" spans="1:49" s="28" customFormat="1" ht="22.5" customHeight="1" x14ac:dyDescent="0.25">
      <c r="A22" s="38">
        <v>13</v>
      </c>
      <c r="B22" s="37"/>
      <c r="C22" s="47" t="s">
        <v>12</v>
      </c>
      <c r="D22" s="36">
        <v>252</v>
      </c>
      <c r="E22" s="54" t="s">
        <v>15</v>
      </c>
      <c r="F22" s="36" t="s">
        <v>10</v>
      </c>
      <c r="G22" s="38"/>
      <c r="H22" s="38"/>
      <c r="I22" s="38"/>
      <c r="J22" s="38"/>
      <c r="K22" s="38"/>
      <c r="L22" s="38"/>
      <c r="M22" s="43"/>
      <c r="N22" s="45"/>
      <c r="O22" s="42"/>
      <c r="P22" s="38"/>
      <c r="Q22" s="43"/>
      <c r="R22" s="38"/>
      <c r="S22" s="50">
        <v>3000</v>
      </c>
      <c r="T22" s="44">
        <f>+S22*AT22</f>
        <v>159600</v>
      </c>
      <c r="U22" s="43"/>
      <c r="V22" s="38"/>
      <c r="W22" s="42"/>
      <c r="X22" s="38"/>
      <c r="Y22" s="42"/>
      <c r="Z22" s="38"/>
      <c r="AA22" s="42"/>
      <c r="AB22" s="38"/>
      <c r="AC22" s="42"/>
      <c r="AD22" s="38"/>
      <c r="AE22" s="42"/>
      <c r="AF22" s="38"/>
      <c r="AG22" s="42"/>
      <c r="AH22" s="38"/>
      <c r="AI22" s="42"/>
      <c r="AJ22" s="38"/>
      <c r="AK22" s="42"/>
      <c r="AL22" s="38"/>
      <c r="AM22" s="42"/>
      <c r="AN22" s="38"/>
      <c r="AO22" s="42"/>
      <c r="AP22" s="38"/>
      <c r="AQ22" s="42"/>
      <c r="AR22" s="38"/>
      <c r="AS22" s="42">
        <f>+S22</f>
        <v>3000</v>
      </c>
      <c r="AT22" s="53">
        <v>53.2</v>
      </c>
      <c r="AU22" s="40">
        <f>+AT22*AS22</f>
        <v>159600</v>
      </c>
      <c r="AW22" s="39"/>
    </row>
    <row r="23" spans="1:49" s="28" customFormat="1" ht="22.5" customHeight="1" x14ac:dyDescent="0.25">
      <c r="A23" s="38">
        <v>14</v>
      </c>
      <c r="B23" s="48"/>
      <c r="C23" s="47" t="s">
        <v>12</v>
      </c>
      <c r="D23" s="36">
        <v>252</v>
      </c>
      <c r="E23" s="46" t="s">
        <v>14</v>
      </c>
      <c r="F23" s="36" t="s">
        <v>10</v>
      </c>
      <c r="G23" s="36"/>
      <c r="H23" s="36"/>
      <c r="I23" s="36"/>
      <c r="J23" s="36"/>
      <c r="K23" s="36"/>
      <c r="L23" s="36"/>
      <c r="M23" s="51"/>
      <c r="N23" s="52"/>
      <c r="O23" s="50"/>
      <c r="P23" s="36"/>
      <c r="Q23" s="51"/>
      <c r="R23" s="36"/>
      <c r="S23" s="50">
        <v>40</v>
      </c>
      <c r="T23" s="49">
        <f>+S23*AT23</f>
        <v>92000</v>
      </c>
      <c r="U23" s="43"/>
      <c r="V23" s="38"/>
      <c r="W23" s="42"/>
      <c r="X23" s="38"/>
      <c r="Y23" s="42"/>
      <c r="Z23" s="38"/>
      <c r="AA23" s="42"/>
      <c r="AB23" s="38"/>
      <c r="AC23" s="42"/>
      <c r="AD23" s="38"/>
      <c r="AE23" s="42"/>
      <c r="AF23" s="38"/>
      <c r="AG23" s="42"/>
      <c r="AH23" s="38"/>
      <c r="AI23" s="42"/>
      <c r="AJ23" s="38"/>
      <c r="AK23" s="42"/>
      <c r="AL23" s="38"/>
      <c r="AM23" s="42"/>
      <c r="AN23" s="38"/>
      <c r="AO23" s="42"/>
      <c r="AP23" s="38"/>
      <c r="AQ23" s="42"/>
      <c r="AR23" s="38"/>
      <c r="AS23" s="42">
        <f>+S23</f>
        <v>40</v>
      </c>
      <c r="AT23" s="41">
        <v>2300</v>
      </c>
      <c r="AU23" s="40">
        <f>+AT23*AS23</f>
        <v>92000</v>
      </c>
      <c r="AW23" s="39"/>
    </row>
    <row r="24" spans="1:49" s="28" customFormat="1" ht="30" x14ac:dyDescent="0.25">
      <c r="A24" s="38">
        <v>15</v>
      </c>
      <c r="B24" s="48"/>
      <c r="C24" s="47" t="s">
        <v>12</v>
      </c>
      <c r="D24" s="36">
        <v>252</v>
      </c>
      <c r="E24" s="46" t="s">
        <v>13</v>
      </c>
      <c r="F24" s="36" t="s">
        <v>10</v>
      </c>
      <c r="G24" s="36"/>
      <c r="H24" s="36"/>
      <c r="I24" s="36"/>
      <c r="J24" s="36"/>
      <c r="K24" s="36"/>
      <c r="L24" s="36"/>
      <c r="M24" s="51"/>
      <c r="N24" s="52"/>
      <c r="O24" s="50"/>
      <c r="P24" s="36"/>
      <c r="Q24" s="51"/>
      <c r="R24" s="36"/>
      <c r="S24" s="50">
        <v>40</v>
      </c>
      <c r="T24" s="49">
        <f>+S24*AT24</f>
        <v>200000</v>
      </c>
      <c r="U24" s="43"/>
      <c r="V24" s="38"/>
      <c r="W24" s="42"/>
      <c r="X24" s="38"/>
      <c r="Y24" s="42"/>
      <c r="Z24" s="38"/>
      <c r="AA24" s="42"/>
      <c r="AB24" s="38"/>
      <c r="AC24" s="42"/>
      <c r="AD24" s="38"/>
      <c r="AE24" s="42"/>
      <c r="AF24" s="38"/>
      <c r="AG24" s="42"/>
      <c r="AH24" s="38"/>
      <c r="AI24" s="42"/>
      <c r="AJ24" s="38"/>
      <c r="AK24" s="42"/>
      <c r="AL24" s="38"/>
      <c r="AM24" s="42"/>
      <c r="AN24" s="38"/>
      <c r="AO24" s="42"/>
      <c r="AP24" s="38"/>
      <c r="AQ24" s="42"/>
      <c r="AR24" s="38"/>
      <c r="AS24" s="42">
        <f>+S24</f>
        <v>40</v>
      </c>
      <c r="AT24" s="41">
        <v>5000</v>
      </c>
      <c r="AU24" s="40">
        <f>+AT24*AS24</f>
        <v>200000</v>
      </c>
      <c r="AW24" s="39"/>
    </row>
    <row r="25" spans="1:49" s="28" customFormat="1" ht="30" x14ac:dyDescent="0.25">
      <c r="A25" s="38">
        <v>16</v>
      </c>
      <c r="B25" s="48"/>
      <c r="C25" s="47" t="s">
        <v>12</v>
      </c>
      <c r="D25" s="36">
        <v>252</v>
      </c>
      <c r="E25" s="46" t="s">
        <v>11</v>
      </c>
      <c r="F25" s="36" t="s">
        <v>10</v>
      </c>
      <c r="G25" s="38"/>
      <c r="H25" s="38"/>
      <c r="I25" s="38"/>
      <c r="J25" s="38"/>
      <c r="K25" s="38"/>
      <c r="L25" s="38"/>
      <c r="M25" s="43"/>
      <c r="N25" s="45"/>
      <c r="O25" s="42"/>
      <c r="P25" s="38"/>
      <c r="Q25" s="43"/>
      <c r="R25" s="38"/>
      <c r="S25" s="42">
        <v>5000</v>
      </c>
      <c r="T25" s="44">
        <f>+S25*AT25</f>
        <v>80000</v>
      </c>
      <c r="U25" s="43"/>
      <c r="V25" s="38"/>
      <c r="W25" s="42"/>
      <c r="X25" s="38"/>
      <c r="Y25" s="42"/>
      <c r="Z25" s="38"/>
      <c r="AA25" s="42"/>
      <c r="AB25" s="38"/>
      <c r="AC25" s="42"/>
      <c r="AD25" s="38"/>
      <c r="AE25" s="42"/>
      <c r="AF25" s="38"/>
      <c r="AG25" s="42"/>
      <c r="AH25" s="38"/>
      <c r="AI25" s="42"/>
      <c r="AJ25" s="38"/>
      <c r="AK25" s="42"/>
      <c r="AL25" s="38"/>
      <c r="AM25" s="42"/>
      <c r="AN25" s="38"/>
      <c r="AO25" s="42"/>
      <c r="AP25" s="38"/>
      <c r="AQ25" s="42"/>
      <c r="AR25" s="38"/>
      <c r="AS25" s="42">
        <f>+S25</f>
        <v>5000</v>
      </c>
      <c r="AT25" s="41">
        <v>16</v>
      </c>
      <c r="AU25" s="40">
        <f>+AT25*AS25</f>
        <v>80000</v>
      </c>
      <c r="AW25" s="39"/>
    </row>
    <row r="26" spans="1:49" s="28" customFormat="1" ht="26.25" customHeight="1" x14ac:dyDescent="0.25">
      <c r="A26" s="38"/>
      <c r="B26" s="37"/>
      <c r="C26" s="36"/>
      <c r="D26" s="36"/>
      <c r="E26" s="35" t="s">
        <v>9</v>
      </c>
      <c r="F26" s="35"/>
      <c r="G26" s="35"/>
      <c r="H26" s="35"/>
      <c r="I26" s="35"/>
      <c r="J26" s="35"/>
      <c r="K26" s="35"/>
      <c r="L26" s="35"/>
      <c r="M26" s="35"/>
      <c r="N26" s="35"/>
      <c r="O26" s="35"/>
      <c r="P26" s="35"/>
      <c r="Q26" s="35"/>
      <c r="R26" s="35"/>
      <c r="S26" s="35"/>
      <c r="T26" s="34"/>
      <c r="U26" s="33"/>
      <c r="V26" s="33"/>
      <c r="W26" s="33"/>
      <c r="X26" s="33"/>
      <c r="Y26" s="33"/>
      <c r="Z26" s="33"/>
      <c r="AA26" s="33"/>
      <c r="AB26" s="33"/>
      <c r="AC26" s="33"/>
      <c r="AD26" s="33"/>
      <c r="AE26" s="33"/>
      <c r="AF26" s="33"/>
      <c r="AG26" s="33"/>
      <c r="AH26" s="32"/>
      <c r="AI26" s="31"/>
      <c r="AJ26" s="32"/>
      <c r="AK26" s="31"/>
      <c r="AL26" s="32"/>
      <c r="AM26" s="31"/>
      <c r="AN26" s="32"/>
      <c r="AO26" s="31"/>
      <c r="AP26" s="32"/>
      <c r="AQ26" s="31"/>
      <c r="AR26" s="32"/>
      <c r="AS26" s="31"/>
      <c r="AT26" s="30"/>
      <c r="AU26" s="29">
        <f>SUM(AU10:AU25)</f>
        <v>5997680</v>
      </c>
    </row>
    <row r="27" spans="1:49" ht="15.75" thickBot="1" x14ac:dyDescent="0.3"/>
    <row r="28" spans="1:49" ht="157.5" customHeight="1" x14ac:dyDescent="0.2">
      <c r="B28" s="27" t="s">
        <v>8</v>
      </c>
      <c r="C28" s="26" t="s">
        <v>7</v>
      </c>
      <c r="D28" s="26"/>
      <c r="E28" s="26"/>
      <c r="F28" s="25"/>
    </row>
    <row r="29" spans="1:49" ht="30" x14ac:dyDescent="0.2">
      <c r="B29" s="21" t="s">
        <v>6</v>
      </c>
      <c r="C29" s="24" t="s">
        <v>5</v>
      </c>
      <c r="D29" s="20"/>
      <c r="E29" s="19"/>
      <c r="F29" s="18"/>
    </row>
    <row r="30" spans="1:49" x14ac:dyDescent="0.2">
      <c r="B30" s="21"/>
      <c r="C30" s="20"/>
      <c r="D30" s="20"/>
      <c r="E30" s="19"/>
      <c r="F30" s="18"/>
    </row>
    <row r="31" spans="1:49" ht="30" x14ac:dyDescent="0.2">
      <c r="B31" s="21" t="s">
        <v>4</v>
      </c>
      <c r="C31" s="23" t="s">
        <v>3</v>
      </c>
      <c r="D31" s="23"/>
      <c r="E31" s="23"/>
      <c r="F31" s="22"/>
    </row>
    <row r="32" spans="1:49" x14ac:dyDescent="0.2">
      <c r="B32" s="21"/>
      <c r="C32" s="23"/>
      <c r="D32" s="23"/>
      <c r="E32" s="23"/>
      <c r="F32" s="22"/>
    </row>
    <row r="33" spans="2:6" ht="45" x14ac:dyDescent="0.2">
      <c r="B33" s="21" t="s">
        <v>2</v>
      </c>
      <c r="C33" s="20"/>
      <c r="D33" s="20"/>
      <c r="E33" s="19"/>
      <c r="F33" s="18"/>
    </row>
    <row r="34" spans="2:6" x14ac:dyDescent="0.2">
      <c r="B34" s="21"/>
      <c r="C34" s="20"/>
      <c r="D34" s="20"/>
      <c r="E34" s="19"/>
      <c r="F34" s="18"/>
    </row>
    <row r="35" spans="2:6" ht="30.75" thickBot="1" x14ac:dyDescent="0.25">
      <c r="B35" s="17" t="s">
        <v>1</v>
      </c>
      <c r="C35" s="16" t="s">
        <v>0</v>
      </c>
      <c r="D35" s="15"/>
      <c r="E35" s="14"/>
      <c r="F35" s="13"/>
    </row>
  </sheetData>
  <mergeCells count="10">
    <mergeCell ref="A7:B7"/>
    <mergeCell ref="C28:F28"/>
    <mergeCell ref="C31:F31"/>
    <mergeCell ref="C32:F32"/>
    <mergeCell ref="B2:AT2"/>
    <mergeCell ref="A4:B4"/>
    <mergeCell ref="C4:E4"/>
    <mergeCell ref="A5:B5"/>
    <mergeCell ref="C5:E5"/>
    <mergeCell ref="A6:B6"/>
  </mergeCells>
  <conditionalFormatting sqref="B26 B11:B24">
    <cfRule type="duplicateValues" dxfId="22" priority="13"/>
  </conditionalFormatting>
  <conditionalFormatting sqref="E26 E11:E24">
    <cfRule type="duplicateValues" dxfId="21" priority="14"/>
  </conditionalFormatting>
  <conditionalFormatting sqref="E26 E11:E24 B11:B24 B26">
    <cfRule type="duplicateValues" dxfId="20" priority="15"/>
  </conditionalFormatting>
  <conditionalFormatting sqref="E26 E11:E24">
    <cfRule type="duplicateValues" dxfId="19" priority="16"/>
    <cfRule type="duplicateValues" dxfId="18" priority="17"/>
  </conditionalFormatting>
  <conditionalFormatting sqref="B25 B1:B9 B27 B36:B1048576">
    <cfRule type="duplicateValues" dxfId="17" priority="18"/>
  </conditionalFormatting>
  <conditionalFormatting sqref="E27 E1:E9 E36:E1048576">
    <cfRule type="duplicateValues" dxfId="16" priority="19"/>
  </conditionalFormatting>
  <conditionalFormatting sqref="E27 E36:E1048576">
    <cfRule type="duplicateValues" dxfId="15" priority="20"/>
  </conditionalFormatting>
  <conditionalFormatting sqref="E27 E1:E9 E36:E1048576">
    <cfRule type="duplicateValues" dxfId="14" priority="21"/>
    <cfRule type="duplicateValues" dxfId="13" priority="22"/>
  </conditionalFormatting>
  <conditionalFormatting sqref="E33:E35 E29:E30">
    <cfRule type="duplicateValues" dxfId="12" priority="5"/>
  </conditionalFormatting>
  <conditionalFormatting sqref="E33:E35 B29:B35 E29:E30">
    <cfRule type="duplicateValues" dxfId="11" priority="4"/>
  </conditionalFormatting>
  <conditionalFormatting sqref="E33:E35">
    <cfRule type="duplicateValues" dxfId="10" priority="3"/>
  </conditionalFormatting>
  <conditionalFormatting sqref="E33:E35 E29:E30">
    <cfRule type="duplicateValues" dxfId="9" priority="1"/>
    <cfRule type="duplicateValues" dxfId="8" priority="2"/>
  </conditionalFormatting>
  <conditionalFormatting sqref="B29:B35">
    <cfRule type="duplicateValues" dxfId="7" priority="6"/>
  </conditionalFormatting>
  <conditionalFormatting sqref="E29:E35">
    <cfRule type="duplicateValues" dxfId="6" priority="7"/>
    <cfRule type="duplicateValues" dxfId="5" priority="8"/>
  </conditionalFormatting>
  <conditionalFormatting sqref="E29:E35">
    <cfRule type="duplicateValues" dxfId="4" priority="9"/>
  </conditionalFormatting>
  <conditionalFormatting sqref="E29:E35">
    <cfRule type="duplicateValues" dxfId="3" priority="10"/>
  </conditionalFormatting>
  <conditionalFormatting sqref="B29:B35 E29:E35">
    <cfRule type="duplicateValues" dxfId="2" priority="11"/>
  </conditionalFormatting>
  <conditionalFormatting sqref="B29:B35">
    <cfRule type="duplicateValues" dxfId="1" priority="12"/>
  </conditionalFormatting>
  <conditionalFormatting sqref="E27 B25 B1:B9 E1:E9 B27 B36:B1048576 E36:E1048576">
    <cfRule type="duplicateValues" dxfId="0" priority="2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MINISTERIO DE SALUD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COMPRAS</dc:creator>
  <cp:lastModifiedBy>COMPRAS</cp:lastModifiedBy>
  <dcterms:created xsi:type="dcterms:W3CDTF">2021-08-12T12:20:58Z</dcterms:created>
  <dcterms:modified xsi:type="dcterms:W3CDTF">2021-08-12T12:21:54Z</dcterms:modified>
</cp:coreProperties>
</file>