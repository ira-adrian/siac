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640" windowHeight="11160"/>
  </bookViews>
  <sheets>
    <sheet name="NECESIDADES TRIMESTRALES" sheetId="1" r:id="rId1"/>
    <sheet name="NPyE MEDICAMENTOS" sheetId="3" r:id="rId2"/>
    <sheet name="APG MEDICAMENTOS" sheetId="2" r:id="rId3"/>
  </sheets>
  <externalReferences>
    <externalReference r:id="rId4"/>
    <externalReference r:id="rId5"/>
  </externalReferences>
  <definedNames>
    <definedName name="_xlnm._FilterDatabase" localSheetId="0" hidden="1">'NECESIDADES TRIMESTRALES'!$A$9:$I$55</definedName>
  </definedNames>
  <calcPr calcId="124519"/>
</workbook>
</file>

<file path=xl/calcChain.xml><?xml version="1.0" encoding="utf-8"?>
<calcChain xmlns="http://schemas.openxmlformats.org/spreadsheetml/2006/main">
  <c r="J23" i="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13"/>
  <c r="J14"/>
  <c r="J15"/>
  <c r="J16"/>
  <c r="J17"/>
  <c r="J18"/>
  <c r="J19"/>
  <c r="J20"/>
  <c r="J21"/>
  <c r="J22"/>
  <c r="J12"/>
  <c r="D3"/>
  <c r="D4"/>
  <c r="G6" i="2"/>
  <c r="G5"/>
  <c r="G4"/>
  <c r="I55" i="1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56" l="1"/>
  <c r="Q15" i="2" s="1"/>
  <c r="Q19" s="1"/>
  <c r="J58" i="3"/>
</calcChain>
</file>

<file path=xl/sharedStrings.xml><?xml version="1.0" encoding="utf-8"?>
<sst xmlns="http://schemas.openxmlformats.org/spreadsheetml/2006/main" count="674" uniqueCount="172">
  <si>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</si>
  <si>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</si>
  <si>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</si>
  <si>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</si>
  <si>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</si>
  <si>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</si>
  <si>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</si>
  <si>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</si>
  <si>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</si>
  <si>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</si>
  <si>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</si>
  <si>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</si>
  <si>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</si>
  <si>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</si>
  <si>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</si>
  <si>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</si>
  <si>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2.5.2-1849.3</t>
  </si>
  <si>
    <t>PROD. MEDICO/FARMACEUTICOS/LAB</t>
  </si>
  <si>
    <t>2.5.2</t>
  </si>
  <si>
    <t>ANTIULCEROSOS; TIPO: MONODROGA, DROGA GENERICA: OMEPRAZOL, FORMA FARMACEUTICA: CAPSULA, PRESENTACION: 20 mGr</t>
  </si>
  <si>
    <t>COMP</t>
  </si>
  <si>
    <t>2.5.2-1843.1</t>
  </si>
  <si>
    <t>ANTIESPASMODICOS; TIPO: MONODROGA, PRESENTACION: 10 mGr, FORMA FARMACEUTICA: COMPRIMIDO, DROGA GENERICA: HIOSCINA N-BUTILBROMURO</t>
  </si>
  <si>
    <t>2.5.2-1821.9</t>
  </si>
  <si>
    <t>ANTIBIOTICOS P/PERSONAS; TIPO: MONODROGA, DROGA GENERICA: AMOXICILINA, PRESENTACION: 500 mGr, FORMA FARMACEUTICA: COMPRIMIDOS</t>
  </si>
  <si>
    <t>2.5.2-1821.15</t>
  </si>
  <si>
    <t>ANTIBIOTICOS P/PERSONAS; TIPO: MONODROGA, DROGA GENERICA: CEFALEXINA, PRESENTACION: 500 mGr, FORMA FARMACEUTICA: CAPSULA</t>
  </si>
  <si>
    <t>2.5.2-1821.37</t>
  </si>
  <si>
    <t>ANTIBIOTICOS P/PERSONAS; TIPO: MONODROGA, DROGA GENERICA: CLARITROMICINA, FORMA FARMACEUTICA: COMPRIMIDO, PRESENTACION: 500 mGr</t>
  </si>
  <si>
    <t>2.5.2-1821.46</t>
  </si>
  <si>
    <t>ANTIBIOTICOS P/PERSONAS; TIPO: MONODROGA, FORMA FARMACEUTICA: COMPRIMIDO, PRESENTACION: 500 mGr, DROGA GENERICA: CIPROFLOXACINA</t>
  </si>
  <si>
    <t>2.5.2-1725.9</t>
  </si>
  <si>
    <t>ANTIINFLAMATORIOS NO ESTEROIDE; TIPO: MONODROGA, FORMA FARMACEUTICA: COMPRIMIDO, PRESENTACION: 75 mGr, DROGA GENERICA: DICLOFENAC SODICO</t>
  </si>
  <si>
    <t>2.5.2-1725.68</t>
  </si>
  <si>
    <t>ANTIINFLAMATORIOS NO ESTEROIDE; TIPO: MONODROGA, DROGA GENERICA: IBUPROFENO, FORMA FARMACEUTICA: COMPRIMIDO, PRESENTACION: 400 mGr</t>
  </si>
  <si>
    <t>2.5.2-1724.8</t>
  </si>
  <si>
    <t>ANALGESICOS ; TIPO: MONODROGA, FORMA FARMACEUTICA: COMPRIMIDO, PRESENTACION: 0,5 GR, DROGA GENERICA: PARACETAMOL</t>
  </si>
  <si>
    <t>2.5.2-1725.49</t>
  </si>
  <si>
    <t>ANTIINFLAMATORIOS NO ESTEROIDE; DROGA GENERICA: KETOROLAC, FORMA FARMACEUTICA: COMPRIMIDO, PRESENTACION: 10 mGr, TIPO: MONODROGA</t>
  </si>
  <si>
    <t>2.5.2-1823.16</t>
  </si>
  <si>
    <t>ANTIMICOTICOS; TIPO: ASOCIACION, DROGA GENERICA: CLOTRIMAZOL + BETAMETASONA, FORMA FARMACEUTICA: CREMA, PRESENTACION: 30 GR</t>
  </si>
  <si>
    <t>POMO</t>
  </si>
  <si>
    <t>2.5.2-1883.148</t>
  </si>
  <si>
    <t>ANESTESICOS LOCALES; TIPO: ANALG. LOCAL Y ANTIBACTERIANO, DROGA GENERICA: LIDOCAINA+SULFADIAZINA+VITAM A, FORMA FARMACEUTICA: CREMA, PRESENTACION: ENVASE X 200 GR</t>
  </si>
  <si>
    <t>2.5.2-1816.3</t>
  </si>
  <si>
    <t>ANTIDIARREICOS; TIPO: MONODROGA, DROGA GENERICA: LOPERAMIDA, FORMA FARMACEUTICA: COMPRIMIDO, PRESENTACION: 2 mGr</t>
  </si>
  <si>
    <t>2.5.2-1903.20</t>
  </si>
  <si>
    <t>RECONSTITUYENTE GENERAL; TIPO: MONODROGA, DROGA GENERICA: HORMONA TIROIDEA LEVOTIROXINA, PRESENTACION: 100 mGr, FORMA FARMACEUTICA: COMPRIMIDO</t>
  </si>
  <si>
    <t>2.5.2-1903.39</t>
  </si>
  <si>
    <t>RECONSTITUYENTE GENERAL; TIPO: MONODROGA, DROGA GENERICA: LEVOTIROXINA SODICA, FORMA FARMACEUTICA: COMPRIMIDO, PRESENTACION: 150 mGr</t>
  </si>
  <si>
    <t>2.5.2-1837.7</t>
  </si>
  <si>
    <t>HIPOTENSORES; DROGA GENERICA: ENALAPRIL, FORMA FARMACEUTICA: COMPRIMIDO, TIPO: MONODROGA, PRESENTACION: 10 mGr</t>
  </si>
  <si>
    <t>2.5.2-1837.17</t>
  </si>
  <si>
    <t>HIPOTENSORES; TIPO: MONODROGA, DROGA GENERICA: LOSARTAN, FORMA FARMACEUTICA: COMPRIMIDO, PRESENTACION: 50 mGr</t>
  </si>
  <si>
    <t>2.5.2-1837.42</t>
  </si>
  <si>
    <t>HIPOTENSORES; TIPO: MONODROGA, DROGA GENERICA: CARVEDILOL, FORMA FARMACEUTICA: COMPRIMIDO, PRESENTACION: 6,25 mGr</t>
  </si>
  <si>
    <t>2.5.2-1837.33</t>
  </si>
  <si>
    <t>HIPOTENSORES; TIPO: MONODROGA, DROGA GENERICA: VALSARTAN, FORMA FARMACEUTICA: CAPSULA, PRESENTACION: 80 mGr</t>
  </si>
  <si>
    <t>2.5.2-1834.1</t>
  </si>
  <si>
    <t>ANTIARRITMICOS; TIPO: MONODROGA, DROGA GENERICA: AMIODARONA, PRESENTACION: 200 mGr, FORMA FARMACEUTICA: CAPSULA</t>
  </si>
  <si>
    <t>2.5.2-1835.17</t>
  </si>
  <si>
    <t>DIURETICOS; TIPO: MONODROGA, DROGA GENERICA: ESPIRONOLACTONA, FORMA FARMACEUTICA: COMPRIMIDO, PRESENTACION: 25 mGr</t>
  </si>
  <si>
    <t>2.5.2-7255.1</t>
  </si>
  <si>
    <t>ANTITROMBOTICOS; TIPO: MONODROGA, DROGA GENERICA: CLOPIDOGREL, FORMA FARMACEUTICA: COMPRIMIDO, PRESENTACION: CAJA X 75 mGr</t>
  </si>
  <si>
    <t>2.5.2-1862.16</t>
  </si>
  <si>
    <t>HIPOGLUCEMIANTES ORALES; TIPO: MONODROGA, DROGA GENERICA: METFORMINA, FORMA FARMACEUTICA: COMPRIMIDO, PRESENTACION: 850 mGr</t>
  </si>
  <si>
    <t>2.5.2-1724.16</t>
  </si>
  <si>
    <t>ANALGESICOS ; TIPO: MONODROGA, DROGA GENERICA: ACIDO ACETILSALICILICO, PRESENTACION: 100 mGr, FORMA FARMACEUTICA: COMPRIMIDO</t>
  </si>
  <si>
    <t>2.5.2-2233.5</t>
  </si>
  <si>
    <t>ANTICONVULSIVANTES; TIPO: MONODROGA, FORMA FARMACEUTICA: COMPRIMIDO, PRESENTACION: 100 mGr, DROGA GENERICA: FENITOINA</t>
  </si>
  <si>
    <t>2.5.2-1866.24</t>
  </si>
  <si>
    <t>ANTIPARKINSONIANOS; TIPO: ASOCIACION, DROGA GENERICA: LEVODOPA + BENSERAZIDA 200/50 mGr, FORMA FARMACEUTICA: COMPRIMIDO, PRESENTACION: UNIDAD</t>
  </si>
  <si>
    <t>2.5.2-4817.33</t>
  </si>
  <si>
    <t>ANTIHIPERTENSIVOS; TIPO: MONODROGA, DROGA GENERICA: BISOPROLOL X 2,5 mGr, FORMA FARMACEUTICA: COMPRIMIDOS, PRESENTACION: ENVASE X 10 UN</t>
  </si>
  <si>
    <t>2.5.2-1867.7</t>
  </si>
  <si>
    <t>VASODILATADORES CEREBRALES; TIPO: MONODROGA, DROGA GENERICA: FLUNARIZINA, FORMA FARMACEUTICA: COMPRIMIDO, PRESENTACION: 10 mGr</t>
  </si>
  <si>
    <t>2.5.2-1835.10</t>
  </si>
  <si>
    <t>DIURETICOS; TIPO: MONODROGA, DROGA GENERICA: FUROSEMIDA, FORMA FARMACEUTICA: COMPRIMIDO, PRESENTACION: 40 mGr</t>
  </si>
  <si>
    <t>2.5.2-7125.1</t>
  </si>
  <si>
    <t>HIPOLIPIDEMIANTES; TIPO: MONODROGA, DROGA GENERICA: ARTOVASTATIN, FORMA FARMACEUTICA: COMPRIMIDO, PRESENTACION: 10 mGr</t>
  </si>
  <si>
    <t>2.5.2-1862.3</t>
  </si>
  <si>
    <t>HIPOGLUCEMIANTES ORALES; TIPO: MONODROGA, FORMA FARMACEUTICA: COMPRIMIDO, PRESENTACION: 5 mGr, DROGA GENERICA: GLIBENCLAMIDA</t>
  </si>
  <si>
    <t>2.5.2-1862.8</t>
  </si>
  <si>
    <t>HIPOGLUCEMIANTES ORALES; TIPO: MONODROGA, DROGA GENERICA: GLIMEPIRIDA, FORMA FARMACEUTICA: COMPRIMIDO, PRESENTACION: 4 mGr</t>
  </si>
  <si>
    <t>2.5.2-1837.79</t>
  </si>
  <si>
    <t>HIPOTENSORES; TIPO: MONODROGA, DROGA GENERICA: VALSARTAN 160 mGr, FORMA FARMACEUTICA: COMPRIMIDOS, PRESENTACION: UNIDAD</t>
  </si>
  <si>
    <t>2.5.2-1868.12</t>
  </si>
  <si>
    <t>ANSIOLITICOS; TIPO: MONODROGA, DROGA GENERICA: ALPRAZOLAM, FORMA FARMACEUTICA: COMPRIMIDOS, PRESENTACION: 2 mGr</t>
  </si>
  <si>
    <t>2.5.2-1868.37</t>
  </si>
  <si>
    <t>ANSIOLITICOS; TIPO: MONODROGA, DROGA GENERICA: CLONAZEPAN 2 MG, FORMA FARMACEUTICA: COMPRIMIDOS, PRESENTACION: UNIDAD</t>
  </si>
  <si>
    <t>2.5.2-7316.19</t>
  </si>
  <si>
    <t>ANTIPSICOTICOS; PRESENTACION: COMPRIMIDO, TIPO: MONODROGA, DROGA GENERICA: LEVOMEPROMAZINA 25 MG</t>
  </si>
  <si>
    <t>2.5.2-2233.4</t>
  </si>
  <si>
    <t>ANTICONVULSIVANTES; TIPO: MONODROGA, FORMA FARMACEUTICA: COMPRIMIDO, PRESENTACION: 200 mGr, DROGA GENERICA: CARBAMACEPINA</t>
  </si>
  <si>
    <t>2.5.2-1868.55</t>
  </si>
  <si>
    <t>ANSIOLITICOS; TIPO: MONODROGA, DROGA GENERICA: DIVALPROATO DE SODIO 500 MG, FORMA FARMACEUTICA: COMPRIMIDO, PRESENTACION: UNIDAD</t>
  </si>
  <si>
    <t>2.5.2-7316.6</t>
  </si>
  <si>
    <t>ANTIPSICOTICOS; PRESENTACION: COMPRIMIDOS, TIPO: MONODROGA, DROGA GENERICA: QUETIAPINA 200 mGr</t>
  </si>
  <si>
    <t>2.5.2-1868.8</t>
  </si>
  <si>
    <t>ANSIOLITICOS; TIPO: MONODROGA, DROGA GENERICA: LORAZEPAN, FORMA FARMACEUTICA: COMPRIMIDO, PRESENTACION: 2,5 mGr</t>
  </si>
  <si>
    <t>2.5.2-1869.14</t>
  </si>
  <si>
    <t>ANTIDEPRESIVOS; TIPO: MONODROGA, DROGA GENERICA: SERTRALINA, FORMA FARMACEUTICA: COMPRIMIDO, PRESENTACION: 50 mGr</t>
  </si>
  <si>
    <t>2.5.2-1868.6</t>
  </si>
  <si>
    <t>ANSIOLITICOS; TIPO: MONODROGA, FORMA FARMACEUTICA: COMPRIMIDO, PRESENTACION: 10 mGr, DROGA GENERICA: DIAZEPAN</t>
  </si>
  <si>
    <t>2.5.2-1871.89</t>
  </si>
  <si>
    <t>NEUROLEPTICOS; TIPO: MONODROGA, DROGA GENERICA: ARIPIPRAZOL, FORMA FARMACEUTICA: COMPRIMIDO, PRESENTACION: ENVASE X 10 mGr</t>
  </si>
  <si>
    <t>2.5.2-1869.1</t>
  </si>
  <si>
    <t>ANTIDEPRESIVOS; FORMA FARMACEUTICA: COMPRIMIDO, PRESENTACION: 25 mGr, TIPO: MONODROGA, DROGA GENERICA: AMITRIPTILINA</t>
  </si>
  <si>
    <t>2.5.2-1871.8</t>
  </si>
  <si>
    <t>NEUROLEPTICOS; TIPO: MONODROGA, FORMA FARMACEUTICA: AMPOLLA, PRESENTACION: 25 mGr, DROGA GENERICA: LEVOMEPROMAZINA</t>
  </si>
  <si>
    <t>AMPOLLAS</t>
  </si>
  <si>
    <t>2.5.2-1868.39</t>
  </si>
  <si>
    <t>ANSIOLITICOS; TIPO: MONODROGA, DROGA GENERICA: PROMETAZINA, FORMA FARMACEUTICA: AMPOLLA, PRESENTACION: 10 mGr</t>
  </si>
  <si>
    <t>Especificidades Item N° 1:</t>
  </si>
  <si>
    <t>Descripción técnica</t>
  </si>
  <si>
    <t>Tendran una fecha de vencimiento minimo de 365 dias a partir de la fecha de recepción</t>
  </si>
  <si>
    <t>Plazos y lugares de entrega</t>
  </si>
  <si>
    <t>Calidad Minima esperada</t>
  </si>
  <si>
    <t>Mantenimiento</t>
  </si>
  <si>
    <t>Garantia</t>
  </si>
  <si>
    <t>Especificidades Item N° 2:</t>
  </si>
  <si>
    <t>AUTORIZACION PARA GASTAR</t>
  </si>
  <si>
    <t>JURISDICCIÓN:</t>
  </si>
  <si>
    <t>SAF:</t>
  </si>
  <si>
    <t>UNIDAD EJECUTORA:</t>
  </si>
  <si>
    <t xml:space="preserve">DEPENDENCIA SOLICITANTE: </t>
  </si>
  <si>
    <t>Division Sanidad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</si>
  <si>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</si>
  <si>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</si>
  <si>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</si>
  <si>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</si>
  <si>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</si>
  <si>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</si>
  <si>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</si>
  <si>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</si>
  <si>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</si>
  <si>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</si>
  <si>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</si>
  <si>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</si>
  <si>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</si>
  <si>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</si>
  <si>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</si>
  <si>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</si>
  <si>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</si>
  <si>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</si>
  <si>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</si>
  <si>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</si>
  <si>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Productos Farmaceuticos y Medicinales</t>
  </si>
  <si>
    <t>JUSTIFICACIÓN:</t>
  </si>
  <si>
    <t>Costo total estimado:</t>
  </si>
  <si>
    <t>NO</t>
  </si>
  <si>
    <t>Cantidad Solicitada</t>
  </si>
  <si>
    <t>Precio Unitario Estimado</t>
  </si>
  <si>
    <t>Unidad Medida</t>
  </si>
  <si>
    <t>Adjunta Detalle Técnico</t>
  </si>
  <si>
    <t>DESCRIPCIÓN</t>
  </si>
  <si>
    <t>Codigo Item</t>
  </si>
  <si>
    <t>Ítem</t>
  </si>
  <si>
    <t>Adquisicón de Medicamentos con destino a los internos alojados en la institución</t>
  </si>
  <si>
    <t>OBJETO:</t>
  </si>
  <si>
    <t>1° Trimestre -2021</t>
  </si>
  <si>
    <t>PERIODO UTILIZACIÓN:</t>
  </si>
  <si>
    <t>Sanidad</t>
  </si>
  <si>
    <t>Direccion General Servicio Penitenciario Provincial</t>
  </si>
  <si>
    <t xml:space="preserve">JURISDICCIÓN: </t>
  </si>
  <si>
    <t>N°</t>
  </si>
  <si>
    <t>NOTA DE PEDIDO</t>
  </si>
  <si>
    <t>10 dias de recibida la Orden de Compras - Ruta Nacional 38 Miraflores Capayan</t>
  </si>
  <si>
    <t>TOTAL DE PESOS: Un Millon Cincuenta y Nueve Mil Seiscientos Cuarenta con 50/100.</t>
  </si>
  <si>
    <t>05/2021</t>
  </si>
  <si>
    <r>
      <t xml:space="preserve"> Autorizo la realización de los  trámites correspondientes, a fin de proveer a  este Organismo los bienes y/o servicios que se detallan en </t>
    </r>
    <r>
      <rPr>
        <sz val="11"/>
        <rFont val="Arial"/>
        <family val="2"/>
      </rPr>
      <t>Nota  de Pedido N°05/2021</t>
    </r>
    <r>
      <rPr>
        <sz val="11"/>
        <rFont val="Arial"/>
        <family val="2"/>
        <charset val="1"/>
      </rPr>
      <t>,  afectando la erogación resultante a los créditos presupuestarios aprobados a favor de esta Unidad Ejecutora, conforme al siguiente detalle:"</t>
    </r>
  </si>
  <si>
    <t>Adquisicion de Medicamentos con destino al suministro de la poblacion penal.</t>
  </si>
</sst>
</file>

<file path=xl/styles.xml><?xml version="1.0" encoding="utf-8"?>
<styleSheet xmlns="http://schemas.openxmlformats.org/spreadsheetml/2006/main">
  <numFmts count="6">
    <numFmt numFmtId="164" formatCode="_-* #,##0.00&quot; €&quot;_-;\-* #,##0.00&quot; €&quot;_-;_-* \-??&quot; €&quot;_-;_-@_-"/>
    <numFmt numFmtId="165" formatCode="[$$-2C0A]\ #,##0.00;[$$-2C0A]&quot; -&quot;#,##0.00"/>
    <numFmt numFmtId="166" formatCode="&quot;$&quot;#,##0.00"/>
    <numFmt numFmtId="167" formatCode="_(\$* #,##0.00_);_(\$* \(#,##0.00\);_(\$* \-??_);_(@_)"/>
    <numFmt numFmtId="168" formatCode="dd\-mm\-yy;@"/>
    <numFmt numFmtId="169" formatCode="[$$-2C0A]\ #,##0.00"/>
  </numFmts>
  <fonts count="26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Times New Roman"/>
      <family val="1"/>
      <charset val="1"/>
    </font>
    <font>
      <b/>
      <u/>
      <sz val="12"/>
      <name val="Times New Roman"/>
      <family val="1"/>
      <charset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6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/>
      <right style="medium">
        <color indexed="64"/>
      </right>
      <top style="medium">
        <color rgb="FF3D3D3D"/>
      </top>
      <bottom/>
      <diagonal/>
    </border>
    <border>
      <left style="medium">
        <color indexed="64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3D3D3D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Border="0" applyProtection="0"/>
    <xf numFmtId="0" fontId="11" fillId="0" borderId="17" applyProtection="0"/>
    <xf numFmtId="167" fontId="12" fillId="0" borderId="0" applyBorder="0" applyProtection="0"/>
    <xf numFmtId="0" fontId="13" fillId="3" borderId="0" applyBorder="0" applyProtection="0"/>
  </cellStyleXfs>
  <cellXfs count="142">
    <xf numFmtId="0" fontId="0" fillId="0" borderId="0" xfId="0"/>
    <xf numFmtId="0" fontId="2" fillId="0" borderId="0" xfId="0" applyFont="1"/>
    <xf numFmtId="0" fontId="2" fillId="2" borderId="0" xfId="0" applyFont="1" applyFill="1"/>
    <xf numFmtId="0" fontId="8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wrapText="1"/>
    </xf>
    <xf numFmtId="166" fontId="6" fillId="0" borderId="6" xfId="0" applyNumberFormat="1" applyFont="1" applyFill="1" applyBorder="1" applyAlignment="1">
      <alignment horizontal="right" wrapText="1"/>
    </xf>
    <xf numFmtId="165" fontId="8" fillId="0" borderId="4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Fill="1"/>
    <xf numFmtId="3" fontId="14" fillId="0" borderId="0" xfId="0" applyNumberFormat="1" applyFont="1"/>
    <xf numFmtId="16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left"/>
    </xf>
    <xf numFmtId="0" fontId="0" fillId="0" borderId="29" xfId="0" applyBorder="1"/>
    <xf numFmtId="0" fontId="19" fillId="0" borderId="34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35" xfId="0" applyFont="1" applyBorder="1" applyAlignment="1">
      <alignment horizontal="left" vertical="center"/>
    </xf>
    <xf numFmtId="0" fontId="19" fillId="0" borderId="36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5" fontId="0" fillId="0" borderId="43" xfId="3" applyNumberFormat="1" applyFont="1" applyBorder="1" applyAlignment="1" applyProtection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65" fontId="0" fillId="0" borderId="50" xfId="3" applyNumberFormat="1" applyFont="1" applyBorder="1" applyAlignment="1" applyProtection="1">
      <alignment horizontal="center" vertical="center"/>
    </xf>
    <xf numFmtId="165" fontId="19" fillId="0" borderId="51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0" fillId="0" borderId="52" xfId="0" applyBorder="1"/>
    <xf numFmtId="0" fontId="12" fillId="0" borderId="0" xfId="0" applyFont="1" applyAlignment="1">
      <alignment vertical="center"/>
    </xf>
    <xf numFmtId="0" fontId="24" fillId="0" borderId="25" xfId="0" applyFont="1" applyFill="1" applyBorder="1" applyAlignment="1">
      <alignment horizontal="right" vertical="center"/>
    </xf>
    <xf numFmtId="0" fontId="24" fillId="0" borderId="28" xfId="0" applyFont="1" applyFill="1" applyBorder="1" applyAlignment="1">
      <alignment vertical="center"/>
    </xf>
    <xf numFmtId="0" fontId="24" fillId="0" borderId="0" xfId="0" applyFont="1" applyFill="1" applyAlignment="1">
      <alignment vertical="center"/>
    </xf>
    <xf numFmtId="0" fontId="20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 wrapText="1" indent="1"/>
    </xf>
    <xf numFmtId="0" fontId="17" fillId="0" borderId="5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left" vertical="center"/>
    </xf>
    <xf numFmtId="0" fontId="17" fillId="0" borderId="5" xfId="0" applyFont="1" applyFill="1" applyBorder="1" applyAlignment="1">
      <alignment horizontal="center" vertical="center" wrapText="1"/>
    </xf>
    <xf numFmtId="165" fontId="17" fillId="0" borderId="5" xfId="1" applyNumberFormat="1" applyFont="1" applyFill="1" applyBorder="1" applyAlignment="1" applyProtection="1">
      <alignment horizontal="right" vertical="center" wrapText="1"/>
    </xf>
    <xf numFmtId="3" fontId="17" fillId="0" borderId="5" xfId="0" applyNumberFormat="1" applyFont="1" applyFill="1" applyBorder="1" applyAlignment="1">
      <alignment horizontal="center" vertical="center"/>
    </xf>
    <xf numFmtId="0" fontId="22" fillId="0" borderId="50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6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left" wrapText="1" indent="1"/>
    </xf>
    <xf numFmtId="0" fontId="7" fillId="0" borderId="0" xfId="0" applyFont="1" applyFill="1" applyAlignment="1">
      <alignment horizontal="left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center" wrapText="1"/>
    </xf>
    <xf numFmtId="165" fontId="6" fillId="0" borderId="8" xfId="0" applyNumberFormat="1" applyFont="1" applyFill="1" applyBorder="1" applyAlignment="1">
      <alignment horizontal="right" wrapText="1"/>
    </xf>
    <xf numFmtId="0" fontId="10" fillId="0" borderId="9" xfId="0" applyFont="1" applyFill="1" applyBorder="1"/>
    <xf numFmtId="0" fontId="2" fillId="0" borderId="10" xfId="0" applyFont="1" applyFill="1" applyBorder="1"/>
    <xf numFmtId="0" fontId="2" fillId="0" borderId="11" xfId="0" applyFont="1" applyFill="1" applyBorder="1"/>
    <xf numFmtId="0" fontId="2" fillId="0" borderId="12" xfId="0" applyFont="1" applyFill="1" applyBorder="1"/>
    <xf numFmtId="0" fontId="2" fillId="0" borderId="13" xfId="0" applyFont="1" applyFill="1" applyBorder="1"/>
    <xf numFmtId="0" fontId="10" fillId="0" borderId="12" xfId="0" applyFont="1" applyFill="1" applyBorder="1" applyAlignment="1">
      <alignment horizontal="left" indent="3"/>
    </xf>
    <xf numFmtId="0" fontId="2" fillId="0" borderId="12" xfId="0" applyFont="1" applyFill="1" applyBorder="1" applyAlignment="1">
      <alignment horizontal="left" indent="3"/>
    </xf>
    <xf numFmtId="0" fontId="2" fillId="0" borderId="0" xfId="0" applyFont="1" applyFill="1" applyAlignment="1">
      <alignment horizontal="center" wrapText="1"/>
    </xf>
    <xf numFmtId="0" fontId="2" fillId="0" borderId="13" xfId="0" applyFont="1" applyFill="1" applyBorder="1" applyAlignment="1">
      <alignment horizontal="center" wrapText="1"/>
    </xf>
    <xf numFmtId="0" fontId="2" fillId="0" borderId="14" xfId="0" applyFont="1" applyFill="1" applyBorder="1" applyAlignment="1">
      <alignment horizontal="left" indent="3"/>
    </xf>
    <xf numFmtId="0" fontId="2" fillId="0" borderId="15" xfId="0" applyFont="1" applyFill="1" applyBorder="1"/>
    <xf numFmtId="0" fontId="2" fillId="0" borderId="16" xfId="0" applyFont="1" applyFill="1" applyBorder="1"/>
    <xf numFmtId="0" fontId="0" fillId="0" borderId="49" xfId="0" applyBorder="1" applyAlignment="1">
      <alignment horizontal="left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67" xfId="0" applyBorder="1" applyAlignment="1">
      <alignment horizontal="left" vertical="center" wrapText="1"/>
    </xf>
    <xf numFmtId="165" fontId="0" fillId="0" borderId="68" xfId="3" applyNumberFormat="1" applyFont="1" applyBorder="1" applyAlignment="1" applyProtection="1">
      <alignment horizontal="center" vertical="center"/>
    </xf>
    <xf numFmtId="49" fontId="21" fillId="0" borderId="20" xfId="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wrapText="1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wrapText="1" indent="1"/>
    </xf>
    <xf numFmtId="0" fontId="2" fillId="0" borderId="13" xfId="0" applyFont="1" applyFill="1" applyBorder="1" applyAlignment="1">
      <alignment horizontal="center"/>
    </xf>
    <xf numFmtId="0" fontId="9" fillId="0" borderId="58" xfId="0" applyFont="1" applyFill="1" applyBorder="1" applyAlignment="1">
      <alignment horizontal="left" vertical="center" wrapText="1"/>
    </xf>
    <xf numFmtId="0" fontId="9" fillId="0" borderId="57" xfId="0" applyFont="1" applyFill="1" applyBorder="1" applyAlignment="1">
      <alignment horizontal="left" vertical="center" wrapText="1"/>
    </xf>
    <xf numFmtId="0" fontId="9" fillId="0" borderId="56" xfId="0" applyFont="1" applyFill="1" applyBorder="1" applyAlignment="1">
      <alignment horizontal="left" vertical="center" wrapText="1"/>
    </xf>
    <xf numFmtId="169" fontId="20" fillId="0" borderId="55" xfId="0" applyNumberFormat="1" applyFont="1" applyFill="1" applyBorder="1" applyAlignment="1">
      <alignment horizontal="center" vertical="center"/>
    </xf>
    <xf numFmtId="0" fontId="21" fillId="0" borderId="55" xfId="0" applyFont="1" applyFill="1" applyBorder="1" applyAlignment="1">
      <alignment horizontal="left" vertical="center" wrapText="1" indent="1"/>
    </xf>
    <xf numFmtId="0" fontId="17" fillId="0" borderId="5" xfId="0" applyFont="1" applyFill="1" applyBorder="1" applyAlignment="1">
      <alignment horizontal="left" vertical="center" wrapText="1"/>
    </xf>
    <xf numFmtId="0" fontId="20" fillId="0" borderId="60" xfId="0" applyFont="1" applyFill="1" applyBorder="1" applyAlignment="1">
      <alignment horizontal="left" vertical="center"/>
    </xf>
    <xf numFmtId="0" fontId="21" fillId="0" borderId="54" xfId="0" applyFont="1" applyFill="1" applyBorder="1" applyAlignment="1">
      <alignment horizontal="left" vertical="center" wrapText="1" indent="1"/>
    </xf>
    <xf numFmtId="0" fontId="23" fillId="0" borderId="60" xfId="0" applyFont="1" applyFill="1" applyBorder="1" applyAlignment="1">
      <alignment horizontal="center" vertical="center"/>
    </xf>
    <xf numFmtId="0" fontId="23" fillId="0" borderId="59" xfId="0" applyFont="1" applyFill="1" applyBorder="1" applyAlignment="1">
      <alignment horizontal="center" vertical="center" wrapText="1"/>
    </xf>
    <xf numFmtId="0" fontId="23" fillId="0" borderId="54" xfId="0" applyFont="1" applyFill="1" applyBorder="1" applyAlignment="1">
      <alignment horizontal="center" vertical="center" wrapText="1"/>
    </xf>
    <xf numFmtId="0" fontId="20" fillId="0" borderId="61" xfId="0" applyFont="1" applyFill="1" applyBorder="1" applyAlignment="1">
      <alignment horizontal="left" vertical="center" wrapText="1"/>
    </xf>
    <xf numFmtId="0" fontId="20" fillId="0" borderId="21" xfId="0" applyFont="1" applyFill="1" applyBorder="1" applyAlignment="1">
      <alignment horizontal="left" vertical="center" wrapText="1"/>
    </xf>
    <xf numFmtId="0" fontId="24" fillId="0" borderId="0" xfId="0" applyFont="1" applyFill="1" applyAlignment="1">
      <alignment horizontal="center" vertical="center"/>
    </xf>
    <xf numFmtId="0" fontId="17" fillId="0" borderId="21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indent="1"/>
    </xf>
    <xf numFmtId="0" fontId="0" fillId="0" borderId="18" xfId="0" applyBorder="1" applyAlignment="1">
      <alignment horizontal="center"/>
    </xf>
    <xf numFmtId="3" fontId="14" fillId="0" borderId="19" xfId="0" applyNumberFormat="1" applyFont="1" applyBorder="1" applyAlignment="1">
      <alignment horizontal="center"/>
    </xf>
    <xf numFmtId="0" fontId="15" fillId="0" borderId="20" xfId="0" applyFont="1" applyBorder="1" applyAlignment="1">
      <alignment horizontal="center" vertical="center" wrapText="1"/>
    </xf>
    <xf numFmtId="0" fontId="12" fillId="0" borderId="20" xfId="0" applyFont="1" applyBorder="1"/>
    <xf numFmtId="0" fontId="0" fillId="0" borderId="40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18" fillId="0" borderId="20" xfId="0" applyFont="1" applyBorder="1" applyAlignment="1">
      <alignment horizontal="left"/>
    </xf>
    <xf numFmtId="0" fontId="16" fillId="0" borderId="24" xfId="0" applyFont="1" applyBorder="1"/>
    <xf numFmtId="0" fontId="16" fillId="0" borderId="26" xfId="0" applyFont="1" applyBorder="1" applyAlignment="1">
      <alignment horizontal="left" vertical="center" wrapText="1" indent="1"/>
    </xf>
    <xf numFmtId="0" fontId="19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4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25" xfId="0" applyFont="1" applyBorder="1" applyAlignment="1">
      <alignment horizontal="left" vertical="center" wrapText="1"/>
    </xf>
    <xf numFmtId="0" fontId="14" fillId="0" borderId="18" xfId="0" applyFont="1" applyBorder="1" applyAlignment="1">
      <alignment vertical="center" wrapText="1"/>
    </xf>
    <xf numFmtId="0" fontId="14" fillId="0" borderId="53" xfId="0" applyFont="1" applyBorder="1" applyAlignment="1">
      <alignment vertical="center" wrapText="1"/>
    </xf>
    <xf numFmtId="0" fontId="14" fillId="0" borderId="54" xfId="0" applyFont="1" applyBorder="1" applyAlignment="1">
      <alignment vertical="center" wrapText="1"/>
    </xf>
    <xf numFmtId="0" fontId="16" fillId="0" borderId="52" xfId="0" applyFont="1" applyBorder="1" applyAlignment="1">
      <alignment vertical="center" wrapText="1"/>
    </xf>
    <xf numFmtId="0" fontId="16" fillId="0" borderId="51" xfId="0" applyFont="1" applyBorder="1" applyAlignment="1">
      <alignment horizontal="left" vertical="center" wrapText="1"/>
    </xf>
    <xf numFmtId="0" fontId="0" fillId="0" borderId="62" xfId="0" applyBorder="1" applyAlignment="1">
      <alignment horizontal="left" vertical="center" wrapText="1"/>
    </xf>
    <xf numFmtId="0" fontId="0" fillId="0" borderId="65" xfId="0" applyBorder="1" applyAlignment="1">
      <alignment horizontal="left" vertical="center" wrapText="1"/>
    </xf>
    <xf numFmtId="0" fontId="0" fillId="0" borderId="64" xfId="0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LOS\Desktop\APUNTES%20LEGALES%20SPP\PEDIDOS%20SECRETARIA%20DE%20COMPRA\NOTA%20DE%20PEDIDO%20Y%20AUTORIZACION%20PARA%20GASTAR%20FRUT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curos%20y%20Compras%20Directas\CONCURSOS\CP&#168;COMPRAR\ALIMENTOS\Pedido%20Nota%20de%20Pedido%20y%20APG%20Alimento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90 - MINISTERIO DE SEGURIDAD</v>
          </cell>
        </row>
        <row r="5">
          <cell r="C5" t="str">
            <v>8 - DIRECCION GENERAL SERVICIO PENITENCIARIO PROVINCIAL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 refreshError="1"/>
      <sheetData sheetId="1" refreshError="1">
        <row r="3">
          <cell r="D3" t="str">
            <v>90 - MINISTERIO DE SEGURIDAD</v>
          </cell>
        </row>
        <row r="4">
          <cell r="D4" t="str">
            <v>8 - DIRECCION GENERAL SERVICIO PENITENCIARIO PROVINCIAL</v>
          </cell>
        </row>
        <row r="5">
          <cell r="D5" t="str">
            <v>Servicio Penitenciario Provincial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87"/>
  <sheetViews>
    <sheetView tabSelected="1" topLeftCell="D7" workbookViewId="0">
      <selection activeCell="E13" sqref="E13"/>
    </sheetView>
  </sheetViews>
  <sheetFormatPr baseColWidth="10" defaultColWidth="11" defaultRowHeight="12.75"/>
  <cols>
    <col min="1" max="1" width="4.85546875" style="9" customWidth="1"/>
    <col min="2" max="2" width="12.85546875" style="9" customWidth="1"/>
    <col min="3" max="3" width="33.140625" style="9" customWidth="1"/>
    <col min="4" max="4" width="9.7109375" style="9" bestFit="1" customWidth="1"/>
    <col min="5" max="5" width="79" style="9" customWidth="1"/>
    <col min="6" max="6" width="11" style="9"/>
    <col min="7" max="7" width="12.7109375" style="9" customWidth="1"/>
    <col min="8" max="8" width="13.85546875" style="9" customWidth="1"/>
    <col min="9" max="9" width="18.5703125" style="9" customWidth="1"/>
    <col min="10" max="11" width="11" style="9"/>
    <col min="12" max="16384" width="11" style="1"/>
  </cols>
  <sheetData>
    <row r="2" spans="1:9" ht="27">
      <c r="B2" s="92" t="s">
        <v>0</v>
      </c>
      <c r="C2" s="92"/>
      <c r="D2" s="92"/>
      <c r="E2" s="92"/>
      <c r="F2" s="92"/>
      <c r="G2" s="92"/>
      <c r="H2" s="92"/>
    </row>
    <row r="4" spans="1:9" ht="18" customHeight="1">
      <c r="A4" s="93" t="s">
        <v>1</v>
      </c>
      <c r="B4" s="93"/>
      <c r="C4" s="94" t="s">
        <v>2</v>
      </c>
      <c r="D4" s="94"/>
      <c r="E4" s="94"/>
      <c r="F4" s="53"/>
      <c r="G4" s="54"/>
      <c r="H4" s="53"/>
    </row>
    <row r="5" spans="1:9" ht="18" customHeight="1">
      <c r="A5" s="93" t="s">
        <v>3</v>
      </c>
      <c r="B5" s="93"/>
      <c r="C5" s="94" t="s">
        <v>4</v>
      </c>
      <c r="D5" s="94"/>
      <c r="E5" s="94"/>
      <c r="F5" s="53"/>
      <c r="G5" s="54"/>
      <c r="H5" s="53"/>
    </row>
    <row r="6" spans="1:9" ht="16.5" customHeight="1">
      <c r="A6" s="93" t="s">
        <v>5</v>
      </c>
      <c r="B6" s="93"/>
      <c r="C6" s="55">
        <v>2021</v>
      </c>
      <c r="D6" s="56"/>
      <c r="E6" s="56"/>
      <c r="F6" s="53"/>
      <c r="G6" s="54"/>
      <c r="H6" s="53"/>
    </row>
    <row r="7" spans="1:9" ht="16.5" customHeight="1">
      <c r="A7" s="93" t="s">
        <v>6</v>
      </c>
      <c r="B7" s="93"/>
      <c r="C7" s="55">
        <v>1</v>
      </c>
      <c r="D7" s="56"/>
      <c r="E7" s="56"/>
      <c r="F7" s="53"/>
      <c r="G7" s="54"/>
      <c r="H7" s="53"/>
    </row>
    <row r="8" spans="1:9" ht="13.5" thickBot="1">
      <c r="B8" s="53"/>
      <c r="C8" s="54"/>
      <c r="D8" s="53"/>
      <c r="E8" s="53"/>
      <c r="F8" s="53"/>
      <c r="G8" s="54"/>
      <c r="H8" s="53"/>
    </row>
    <row r="9" spans="1:9" ht="39.75" thickTop="1" thickBot="1">
      <c r="A9" s="57" t="s">
        <v>7</v>
      </c>
      <c r="B9" s="57" t="s">
        <v>8</v>
      </c>
      <c r="C9" s="57" t="s">
        <v>9</v>
      </c>
      <c r="D9" s="57" t="s">
        <v>10</v>
      </c>
      <c r="E9" s="57" t="s">
        <v>11</v>
      </c>
      <c r="F9" s="57" t="s">
        <v>12</v>
      </c>
      <c r="G9" s="57" t="s">
        <v>13</v>
      </c>
      <c r="H9" s="57" t="s">
        <v>14</v>
      </c>
      <c r="I9" s="57" t="s">
        <v>15</v>
      </c>
    </row>
    <row r="10" spans="1:9" ht="24.75" thickBot="1">
      <c r="A10" s="3">
        <v>1</v>
      </c>
      <c r="B10" s="58" t="s">
        <v>16</v>
      </c>
      <c r="C10" s="5" t="s">
        <v>17</v>
      </c>
      <c r="D10" s="4" t="s">
        <v>18</v>
      </c>
      <c r="E10" s="59" t="s">
        <v>19</v>
      </c>
      <c r="F10" s="58" t="s">
        <v>20</v>
      </c>
      <c r="G10" s="58">
        <v>4000</v>
      </c>
      <c r="H10" s="8">
        <v>2.15</v>
      </c>
      <c r="I10" s="8">
        <f>+G10*H10</f>
        <v>8600</v>
      </c>
    </row>
    <row r="11" spans="1:9" ht="24.75" thickBot="1">
      <c r="A11" s="3">
        <v>2</v>
      </c>
      <c r="B11" s="4" t="s">
        <v>21</v>
      </c>
      <c r="C11" s="5" t="s">
        <v>17</v>
      </c>
      <c r="D11" s="4" t="s">
        <v>18</v>
      </c>
      <c r="E11" s="5" t="s">
        <v>22</v>
      </c>
      <c r="F11" s="6" t="s">
        <v>20</v>
      </c>
      <c r="G11" s="6">
        <v>4000</v>
      </c>
      <c r="H11" s="8">
        <v>18.7</v>
      </c>
      <c r="I11" s="8">
        <f t="shared" ref="I11:I55" si="0">+G11*H11</f>
        <v>74800</v>
      </c>
    </row>
    <row r="12" spans="1:9" ht="24.75" thickBot="1">
      <c r="A12" s="3">
        <v>3</v>
      </c>
      <c r="B12" s="4" t="s">
        <v>23</v>
      </c>
      <c r="C12" s="5" t="s">
        <v>17</v>
      </c>
      <c r="D12" s="4" t="s">
        <v>18</v>
      </c>
      <c r="E12" s="5" t="s">
        <v>24</v>
      </c>
      <c r="F12" s="6" t="s">
        <v>20</v>
      </c>
      <c r="G12" s="6">
        <v>3000</v>
      </c>
      <c r="H12" s="8">
        <v>6.91</v>
      </c>
      <c r="I12" s="8">
        <f t="shared" si="0"/>
        <v>20730</v>
      </c>
    </row>
    <row r="13" spans="1:9" ht="24.75" thickBot="1">
      <c r="A13" s="3">
        <v>4</v>
      </c>
      <c r="B13" s="4" t="s">
        <v>25</v>
      </c>
      <c r="C13" s="5" t="s">
        <v>17</v>
      </c>
      <c r="D13" s="4" t="s">
        <v>18</v>
      </c>
      <c r="E13" s="5" t="s">
        <v>26</v>
      </c>
      <c r="F13" s="6" t="s">
        <v>20</v>
      </c>
      <c r="G13" s="6">
        <v>3000</v>
      </c>
      <c r="H13" s="8">
        <v>13.8</v>
      </c>
      <c r="I13" s="8">
        <f t="shared" si="0"/>
        <v>41400</v>
      </c>
    </row>
    <row r="14" spans="1:9" ht="24.75" thickBot="1">
      <c r="A14" s="3">
        <v>5</v>
      </c>
      <c r="B14" s="4" t="s">
        <v>27</v>
      </c>
      <c r="C14" s="5" t="s">
        <v>17</v>
      </c>
      <c r="D14" s="4" t="s">
        <v>18</v>
      </c>
      <c r="E14" s="5" t="s">
        <v>28</v>
      </c>
      <c r="F14" s="6" t="s">
        <v>20</v>
      </c>
      <c r="G14" s="6">
        <v>1000</v>
      </c>
      <c r="H14" s="8">
        <v>48</v>
      </c>
      <c r="I14" s="8">
        <f t="shared" si="0"/>
        <v>48000</v>
      </c>
    </row>
    <row r="15" spans="1:9" ht="24.75" thickBot="1">
      <c r="A15" s="3">
        <v>6</v>
      </c>
      <c r="B15" s="4" t="s">
        <v>29</v>
      </c>
      <c r="C15" s="5" t="s">
        <v>17</v>
      </c>
      <c r="D15" s="4" t="s">
        <v>18</v>
      </c>
      <c r="E15" s="5" t="s">
        <v>30</v>
      </c>
      <c r="F15" s="6" t="s">
        <v>20</v>
      </c>
      <c r="G15" s="6">
        <v>1000</v>
      </c>
      <c r="H15" s="8">
        <v>11.2</v>
      </c>
      <c r="I15" s="8">
        <f t="shared" si="0"/>
        <v>11200</v>
      </c>
    </row>
    <row r="16" spans="1:9" ht="24.75" thickBot="1">
      <c r="A16" s="3">
        <v>7</v>
      </c>
      <c r="B16" s="4" t="s">
        <v>31</v>
      </c>
      <c r="C16" s="5" t="s">
        <v>17</v>
      </c>
      <c r="D16" s="4" t="s">
        <v>18</v>
      </c>
      <c r="E16" s="5" t="s">
        <v>32</v>
      </c>
      <c r="F16" s="6" t="s">
        <v>20</v>
      </c>
      <c r="G16" s="6">
        <v>4500</v>
      </c>
      <c r="H16" s="8">
        <v>2.9</v>
      </c>
      <c r="I16" s="8">
        <f t="shared" si="0"/>
        <v>13050</v>
      </c>
    </row>
    <row r="17" spans="1:11" s="2" customFormat="1" ht="24.75" customHeight="1" thickBot="1">
      <c r="A17" s="3">
        <v>8</v>
      </c>
      <c r="B17" s="60" t="s">
        <v>33</v>
      </c>
      <c r="C17" s="61" t="s">
        <v>17</v>
      </c>
      <c r="D17" s="62" t="s">
        <v>18</v>
      </c>
      <c r="E17" s="61" t="s">
        <v>34</v>
      </c>
      <c r="F17" s="6" t="s">
        <v>20</v>
      </c>
      <c r="G17" s="63">
        <v>4000</v>
      </c>
      <c r="H17" s="8">
        <v>4.34</v>
      </c>
      <c r="I17" s="8">
        <f t="shared" si="0"/>
        <v>17360</v>
      </c>
      <c r="J17" s="9"/>
      <c r="K17" s="9"/>
    </row>
    <row r="18" spans="1:11" ht="24.75" thickBot="1">
      <c r="A18" s="3">
        <v>9</v>
      </c>
      <c r="B18" s="4" t="s">
        <v>35</v>
      </c>
      <c r="C18" s="5" t="s">
        <v>17</v>
      </c>
      <c r="D18" s="4" t="s">
        <v>18</v>
      </c>
      <c r="E18" s="5" t="s">
        <v>36</v>
      </c>
      <c r="F18" s="6" t="s">
        <v>20</v>
      </c>
      <c r="G18" s="6">
        <v>4000</v>
      </c>
      <c r="H18" s="8">
        <v>4</v>
      </c>
      <c r="I18" s="8">
        <f t="shared" si="0"/>
        <v>16000</v>
      </c>
    </row>
    <row r="19" spans="1:11" ht="24.75" thickBot="1">
      <c r="A19" s="3">
        <v>10</v>
      </c>
      <c r="B19" s="4" t="s">
        <v>37</v>
      </c>
      <c r="C19" s="5" t="s">
        <v>17</v>
      </c>
      <c r="D19" s="4" t="s">
        <v>18</v>
      </c>
      <c r="E19" s="5" t="s">
        <v>38</v>
      </c>
      <c r="F19" s="6" t="s">
        <v>20</v>
      </c>
      <c r="G19" s="6">
        <v>1000</v>
      </c>
      <c r="H19" s="8">
        <v>3.2</v>
      </c>
      <c r="I19" s="8">
        <f t="shared" si="0"/>
        <v>3200</v>
      </c>
    </row>
    <row r="20" spans="1:11" ht="24.75" thickBot="1">
      <c r="A20" s="3">
        <v>11</v>
      </c>
      <c r="B20" s="4" t="s">
        <v>39</v>
      </c>
      <c r="C20" s="5" t="s">
        <v>17</v>
      </c>
      <c r="D20" s="4" t="s">
        <v>18</v>
      </c>
      <c r="E20" s="5" t="s">
        <v>40</v>
      </c>
      <c r="F20" s="6" t="s">
        <v>41</v>
      </c>
      <c r="G20" s="6">
        <v>150</v>
      </c>
      <c r="H20" s="8">
        <v>171.2</v>
      </c>
      <c r="I20" s="8">
        <f t="shared" si="0"/>
        <v>25680</v>
      </c>
    </row>
    <row r="21" spans="1:11" s="9" customFormat="1" ht="36.75" thickBot="1">
      <c r="A21" s="3">
        <v>12</v>
      </c>
      <c r="B21" s="4" t="s">
        <v>42</v>
      </c>
      <c r="C21" s="5" t="s">
        <v>17</v>
      </c>
      <c r="D21" s="4" t="s">
        <v>18</v>
      </c>
      <c r="E21" s="5" t="s">
        <v>43</v>
      </c>
      <c r="F21" s="6" t="s">
        <v>41</v>
      </c>
      <c r="G21" s="6">
        <v>100</v>
      </c>
      <c r="H21" s="7">
        <v>1950</v>
      </c>
      <c r="I21" s="8">
        <f t="shared" si="0"/>
        <v>195000</v>
      </c>
    </row>
    <row r="22" spans="1:11" ht="24.75" thickBot="1">
      <c r="A22" s="3">
        <v>13</v>
      </c>
      <c r="B22" s="4" t="s">
        <v>44</v>
      </c>
      <c r="C22" s="5" t="s">
        <v>17</v>
      </c>
      <c r="D22" s="4" t="s">
        <v>18</v>
      </c>
      <c r="E22" s="5" t="s">
        <v>45</v>
      </c>
      <c r="F22" s="6" t="s">
        <v>20</v>
      </c>
      <c r="G22" s="6">
        <v>1000</v>
      </c>
      <c r="H22" s="7">
        <v>2</v>
      </c>
      <c r="I22" s="8">
        <f t="shared" si="0"/>
        <v>2000</v>
      </c>
    </row>
    <row r="23" spans="1:11" ht="36.75" thickBot="1">
      <c r="A23" s="3">
        <v>14</v>
      </c>
      <c r="B23" s="4" t="s">
        <v>46</v>
      </c>
      <c r="C23" s="5" t="s">
        <v>17</v>
      </c>
      <c r="D23" s="4" t="s">
        <v>18</v>
      </c>
      <c r="E23" s="5" t="s">
        <v>47</v>
      </c>
      <c r="F23" s="6" t="s">
        <v>20</v>
      </c>
      <c r="G23" s="6">
        <v>600</v>
      </c>
      <c r="H23" s="7">
        <v>11.08</v>
      </c>
      <c r="I23" s="8">
        <f t="shared" si="0"/>
        <v>6648</v>
      </c>
    </row>
    <row r="24" spans="1:11" ht="24.75" thickBot="1">
      <c r="A24" s="3">
        <v>15</v>
      </c>
      <c r="B24" s="4" t="s">
        <v>48</v>
      </c>
      <c r="C24" s="5" t="s">
        <v>17</v>
      </c>
      <c r="D24" s="4" t="s">
        <v>18</v>
      </c>
      <c r="E24" s="5" t="s">
        <v>49</v>
      </c>
      <c r="F24" s="6" t="s">
        <v>20</v>
      </c>
      <c r="G24" s="6">
        <v>300</v>
      </c>
      <c r="H24" s="7">
        <v>17.38</v>
      </c>
      <c r="I24" s="8">
        <f t="shared" si="0"/>
        <v>5214</v>
      </c>
    </row>
    <row r="25" spans="1:11" ht="24.75" thickBot="1">
      <c r="A25" s="3">
        <v>16</v>
      </c>
      <c r="B25" s="4" t="s">
        <v>50</v>
      </c>
      <c r="C25" s="5" t="s">
        <v>17</v>
      </c>
      <c r="D25" s="4" t="s">
        <v>18</v>
      </c>
      <c r="E25" s="5" t="s">
        <v>51</v>
      </c>
      <c r="F25" s="6" t="s">
        <v>20</v>
      </c>
      <c r="G25" s="6">
        <v>2000</v>
      </c>
      <c r="H25" s="7">
        <v>2.59</v>
      </c>
      <c r="I25" s="8">
        <f t="shared" si="0"/>
        <v>5180</v>
      </c>
    </row>
    <row r="26" spans="1:11" ht="24.75" thickBot="1">
      <c r="A26" s="3">
        <v>17</v>
      </c>
      <c r="B26" s="4" t="s">
        <v>52</v>
      </c>
      <c r="C26" s="5" t="s">
        <v>17</v>
      </c>
      <c r="D26" s="4" t="s">
        <v>18</v>
      </c>
      <c r="E26" s="5" t="s">
        <v>53</v>
      </c>
      <c r="F26" s="6" t="s">
        <v>20</v>
      </c>
      <c r="G26" s="6">
        <v>1000</v>
      </c>
      <c r="H26" s="7">
        <v>4.84</v>
      </c>
      <c r="I26" s="8">
        <f t="shared" si="0"/>
        <v>4840</v>
      </c>
    </row>
    <row r="27" spans="1:11" ht="24.75" thickBot="1">
      <c r="A27" s="3">
        <v>18</v>
      </c>
      <c r="B27" s="4" t="s">
        <v>54</v>
      </c>
      <c r="C27" s="5" t="s">
        <v>17</v>
      </c>
      <c r="D27" s="4" t="s">
        <v>18</v>
      </c>
      <c r="E27" s="5" t="s">
        <v>55</v>
      </c>
      <c r="F27" s="6" t="s">
        <v>20</v>
      </c>
      <c r="G27" s="6">
        <v>200</v>
      </c>
      <c r="H27" s="7">
        <v>3.35</v>
      </c>
      <c r="I27" s="8">
        <f t="shared" si="0"/>
        <v>670</v>
      </c>
    </row>
    <row r="28" spans="1:11" ht="24.75" thickBot="1">
      <c r="A28" s="3">
        <v>19</v>
      </c>
      <c r="B28" s="4" t="s">
        <v>56</v>
      </c>
      <c r="C28" s="5" t="s">
        <v>17</v>
      </c>
      <c r="D28" s="4" t="s">
        <v>18</v>
      </c>
      <c r="E28" s="5" t="s">
        <v>57</v>
      </c>
      <c r="F28" s="6" t="s">
        <v>20</v>
      </c>
      <c r="G28" s="6">
        <v>200</v>
      </c>
      <c r="H28" s="7">
        <v>23.25</v>
      </c>
      <c r="I28" s="8">
        <f t="shared" si="0"/>
        <v>4650</v>
      </c>
    </row>
    <row r="29" spans="1:11" ht="24.75" thickBot="1">
      <c r="A29" s="3">
        <v>20</v>
      </c>
      <c r="B29" s="4" t="s">
        <v>58</v>
      </c>
      <c r="C29" s="5" t="s">
        <v>17</v>
      </c>
      <c r="D29" s="4" t="s">
        <v>18</v>
      </c>
      <c r="E29" s="5" t="s">
        <v>59</v>
      </c>
      <c r="F29" s="6" t="s">
        <v>20</v>
      </c>
      <c r="G29" s="6">
        <v>300</v>
      </c>
      <c r="H29" s="7">
        <v>11.76</v>
      </c>
      <c r="I29" s="8">
        <f t="shared" si="0"/>
        <v>3528</v>
      </c>
    </row>
    <row r="30" spans="1:11" ht="24.75" thickBot="1">
      <c r="A30" s="3">
        <v>21</v>
      </c>
      <c r="B30" s="4" t="s">
        <v>60</v>
      </c>
      <c r="C30" s="5" t="s">
        <v>17</v>
      </c>
      <c r="D30" s="4" t="s">
        <v>18</v>
      </c>
      <c r="E30" s="5" t="s">
        <v>61</v>
      </c>
      <c r="F30" s="6" t="s">
        <v>20</v>
      </c>
      <c r="G30" s="6">
        <v>200</v>
      </c>
      <c r="H30" s="7">
        <v>15.52</v>
      </c>
      <c r="I30" s="8">
        <f t="shared" si="0"/>
        <v>3104</v>
      </c>
    </row>
    <row r="31" spans="1:11" ht="24.75" thickBot="1">
      <c r="A31" s="3">
        <v>22</v>
      </c>
      <c r="B31" s="4" t="s">
        <v>62</v>
      </c>
      <c r="C31" s="5" t="s">
        <v>17</v>
      </c>
      <c r="D31" s="4" t="s">
        <v>18</v>
      </c>
      <c r="E31" s="5" t="s">
        <v>63</v>
      </c>
      <c r="F31" s="6" t="s">
        <v>20</v>
      </c>
      <c r="G31" s="6">
        <v>400</v>
      </c>
      <c r="H31" s="7">
        <v>8.8000000000000007</v>
      </c>
      <c r="I31" s="8">
        <f t="shared" si="0"/>
        <v>3520.0000000000005</v>
      </c>
    </row>
    <row r="32" spans="1:11" ht="24.75" thickBot="1">
      <c r="A32" s="3">
        <v>23</v>
      </c>
      <c r="B32" s="4" t="s">
        <v>64</v>
      </c>
      <c r="C32" s="5" t="s">
        <v>17</v>
      </c>
      <c r="D32" s="4" t="s">
        <v>18</v>
      </c>
      <c r="E32" s="5" t="s">
        <v>65</v>
      </c>
      <c r="F32" s="6" t="s">
        <v>20</v>
      </c>
      <c r="G32" s="6">
        <v>2000</v>
      </c>
      <c r="H32" s="7">
        <v>7.2</v>
      </c>
      <c r="I32" s="8">
        <f t="shared" si="0"/>
        <v>14400</v>
      </c>
    </row>
    <row r="33" spans="1:9" ht="24.75" thickBot="1">
      <c r="A33" s="3">
        <v>24</v>
      </c>
      <c r="B33" s="4" t="s">
        <v>66</v>
      </c>
      <c r="C33" s="5" t="s">
        <v>17</v>
      </c>
      <c r="D33" s="4" t="s">
        <v>18</v>
      </c>
      <c r="E33" s="5" t="s">
        <v>67</v>
      </c>
      <c r="F33" s="6" t="s">
        <v>20</v>
      </c>
      <c r="G33" s="6">
        <v>4000</v>
      </c>
      <c r="H33" s="7">
        <v>1.6</v>
      </c>
      <c r="I33" s="8">
        <f t="shared" si="0"/>
        <v>6400</v>
      </c>
    </row>
    <row r="34" spans="1:9" ht="24.75" thickBot="1">
      <c r="A34" s="3">
        <v>25</v>
      </c>
      <c r="B34" s="4" t="s">
        <v>68</v>
      </c>
      <c r="C34" s="5" t="s">
        <v>17</v>
      </c>
      <c r="D34" s="4" t="s">
        <v>18</v>
      </c>
      <c r="E34" s="5" t="s">
        <v>69</v>
      </c>
      <c r="F34" s="6" t="s">
        <v>20</v>
      </c>
      <c r="G34" s="6">
        <v>3500</v>
      </c>
      <c r="H34" s="7">
        <v>11.8</v>
      </c>
      <c r="I34" s="8">
        <f t="shared" si="0"/>
        <v>41300</v>
      </c>
    </row>
    <row r="35" spans="1:9" ht="36.75" thickBot="1">
      <c r="A35" s="3">
        <v>26</v>
      </c>
      <c r="B35" s="4" t="s">
        <v>70</v>
      </c>
      <c r="C35" s="5" t="s">
        <v>17</v>
      </c>
      <c r="D35" s="4" t="s">
        <v>18</v>
      </c>
      <c r="E35" s="5" t="s">
        <v>71</v>
      </c>
      <c r="F35" s="6" t="s">
        <v>20</v>
      </c>
      <c r="G35" s="6">
        <v>500</v>
      </c>
      <c r="H35" s="7">
        <v>46</v>
      </c>
      <c r="I35" s="8">
        <f t="shared" si="0"/>
        <v>23000</v>
      </c>
    </row>
    <row r="36" spans="1:9" ht="24.75" thickBot="1">
      <c r="A36" s="3">
        <v>27</v>
      </c>
      <c r="B36" s="4" t="s">
        <v>72</v>
      </c>
      <c r="C36" s="5" t="s">
        <v>17</v>
      </c>
      <c r="D36" s="4" t="s">
        <v>18</v>
      </c>
      <c r="E36" s="5" t="s">
        <v>73</v>
      </c>
      <c r="F36" s="6" t="s">
        <v>20</v>
      </c>
      <c r="G36" s="6">
        <v>300</v>
      </c>
      <c r="H36" s="7">
        <v>15</v>
      </c>
      <c r="I36" s="8">
        <f t="shared" si="0"/>
        <v>4500</v>
      </c>
    </row>
    <row r="37" spans="1:9" ht="24.75" thickBot="1">
      <c r="A37" s="3">
        <v>28</v>
      </c>
      <c r="B37" s="4" t="s">
        <v>74</v>
      </c>
      <c r="C37" s="5" t="s">
        <v>17</v>
      </c>
      <c r="D37" s="4" t="s">
        <v>18</v>
      </c>
      <c r="E37" s="5" t="s">
        <v>75</v>
      </c>
      <c r="F37" s="6" t="s">
        <v>20</v>
      </c>
      <c r="G37" s="6">
        <v>100</v>
      </c>
      <c r="H37" s="7">
        <v>14.9</v>
      </c>
      <c r="I37" s="8">
        <f t="shared" si="0"/>
        <v>1490</v>
      </c>
    </row>
    <row r="38" spans="1:9" ht="24.75" thickBot="1">
      <c r="A38" s="3">
        <v>29</v>
      </c>
      <c r="B38" s="4" t="s">
        <v>76</v>
      </c>
      <c r="C38" s="5" t="s">
        <v>17</v>
      </c>
      <c r="D38" s="4" t="s">
        <v>18</v>
      </c>
      <c r="E38" s="5" t="s">
        <v>77</v>
      </c>
      <c r="F38" s="6" t="s">
        <v>20</v>
      </c>
      <c r="G38" s="6">
        <v>400</v>
      </c>
      <c r="H38" s="7">
        <v>3.92</v>
      </c>
      <c r="I38" s="8">
        <f t="shared" si="0"/>
        <v>1568</v>
      </c>
    </row>
    <row r="39" spans="1:9" ht="24.75" thickBot="1">
      <c r="A39" s="3">
        <v>30</v>
      </c>
      <c r="B39" s="4" t="s">
        <v>78</v>
      </c>
      <c r="C39" s="5" t="s">
        <v>17</v>
      </c>
      <c r="D39" s="4" t="s">
        <v>18</v>
      </c>
      <c r="E39" s="5" t="s">
        <v>79</v>
      </c>
      <c r="F39" s="6" t="s">
        <v>20</v>
      </c>
      <c r="G39" s="6">
        <v>150</v>
      </c>
      <c r="H39" s="7">
        <v>4.93</v>
      </c>
      <c r="I39" s="8">
        <f t="shared" si="0"/>
        <v>739.5</v>
      </c>
    </row>
    <row r="40" spans="1:9" ht="24.75" thickBot="1">
      <c r="A40" s="3">
        <v>31</v>
      </c>
      <c r="B40" s="4" t="s">
        <v>80</v>
      </c>
      <c r="C40" s="5" t="s">
        <v>17</v>
      </c>
      <c r="D40" s="4" t="s">
        <v>18</v>
      </c>
      <c r="E40" s="5" t="s">
        <v>81</v>
      </c>
      <c r="F40" s="6" t="s">
        <v>20</v>
      </c>
      <c r="G40" s="6">
        <v>1000</v>
      </c>
      <c r="H40" s="7">
        <v>3.6</v>
      </c>
      <c r="I40" s="8">
        <f t="shared" si="0"/>
        <v>3600</v>
      </c>
    </row>
    <row r="41" spans="1:9" ht="24.75" thickBot="1">
      <c r="A41" s="3">
        <v>32</v>
      </c>
      <c r="B41" s="4" t="s">
        <v>82</v>
      </c>
      <c r="C41" s="5" t="s">
        <v>17</v>
      </c>
      <c r="D41" s="4" t="s">
        <v>18</v>
      </c>
      <c r="E41" s="5" t="s">
        <v>83</v>
      </c>
      <c r="F41" s="6" t="s">
        <v>20</v>
      </c>
      <c r="G41" s="6">
        <v>300</v>
      </c>
      <c r="H41" s="7">
        <v>8.44</v>
      </c>
      <c r="I41" s="8">
        <f t="shared" si="0"/>
        <v>2532</v>
      </c>
    </row>
    <row r="42" spans="1:9" ht="24.75" thickBot="1">
      <c r="A42" s="3">
        <v>33</v>
      </c>
      <c r="B42" s="4" t="s">
        <v>84</v>
      </c>
      <c r="C42" s="5" t="s">
        <v>17</v>
      </c>
      <c r="D42" s="4" t="s">
        <v>18</v>
      </c>
      <c r="E42" s="5" t="s">
        <v>85</v>
      </c>
      <c r="F42" s="6" t="s">
        <v>20</v>
      </c>
      <c r="G42" s="6">
        <v>100</v>
      </c>
      <c r="H42" s="7">
        <v>20.53</v>
      </c>
      <c r="I42" s="8">
        <f t="shared" si="0"/>
        <v>2053</v>
      </c>
    </row>
    <row r="43" spans="1:9" ht="24.75" thickBot="1">
      <c r="A43" s="3">
        <v>34</v>
      </c>
      <c r="B43" s="4" t="s">
        <v>86</v>
      </c>
      <c r="C43" s="5" t="s">
        <v>17</v>
      </c>
      <c r="D43" s="4" t="s">
        <v>18</v>
      </c>
      <c r="E43" s="5" t="s">
        <v>87</v>
      </c>
      <c r="F43" s="6" t="s">
        <v>20</v>
      </c>
      <c r="G43" s="6">
        <v>9000</v>
      </c>
      <c r="H43" s="7">
        <v>10.89</v>
      </c>
      <c r="I43" s="8">
        <f t="shared" si="0"/>
        <v>98010</v>
      </c>
    </row>
    <row r="44" spans="1:9" ht="24.75" thickBot="1">
      <c r="A44" s="3">
        <v>35</v>
      </c>
      <c r="B44" s="4" t="s">
        <v>88</v>
      </c>
      <c r="C44" s="5" t="s">
        <v>17</v>
      </c>
      <c r="D44" s="4" t="s">
        <v>18</v>
      </c>
      <c r="E44" s="5" t="s">
        <v>89</v>
      </c>
      <c r="F44" s="6" t="s">
        <v>20</v>
      </c>
      <c r="G44" s="6">
        <v>4000</v>
      </c>
      <c r="H44" s="7">
        <v>4.24</v>
      </c>
      <c r="I44" s="8">
        <f t="shared" si="0"/>
        <v>16960</v>
      </c>
    </row>
    <row r="45" spans="1:9" ht="24.75" thickBot="1">
      <c r="A45" s="3">
        <v>36</v>
      </c>
      <c r="B45" s="4" t="s">
        <v>90</v>
      </c>
      <c r="C45" s="5" t="s">
        <v>17</v>
      </c>
      <c r="D45" s="4" t="s">
        <v>18</v>
      </c>
      <c r="E45" s="5" t="s">
        <v>91</v>
      </c>
      <c r="F45" s="6" t="s">
        <v>20</v>
      </c>
      <c r="G45" s="6">
        <v>4000</v>
      </c>
      <c r="H45" s="7">
        <v>7.45</v>
      </c>
      <c r="I45" s="8">
        <f t="shared" si="0"/>
        <v>29800</v>
      </c>
    </row>
    <row r="46" spans="1:9" ht="24.75" thickBot="1">
      <c r="A46" s="3">
        <v>37</v>
      </c>
      <c r="B46" s="4" t="s">
        <v>92</v>
      </c>
      <c r="C46" s="5" t="s">
        <v>17</v>
      </c>
      <c r="D46" s="4" t="s">
        <v>18</v>
      </c>
      <c r="E46" s="5" t="s">
        <v>93</v>
      </c>
      <c r="F46" s="6" t="s">
        <v>20</v>
      </c>
      <c r="G46" s="6">
        <v>1000</v>
      </c>
      <c r="H46" s="7">
        <v>9.44</v>
      </c>
      <c r="I46" s="8">
        <f t="shared" si="0"/>
        <v>9440</v>
      </c>
    </row>
    <row r="47" spans="1:9" s="9" customFormat="1" ht="24.75" thickBot="1">
      <c r="A47" s="3">
        <v>38</v>
      </c>
      <c r="B47" s="4" t="s">
        <v>94</v>
      </c>
      <c r="C47" s="5" t="s">
        <v>17</v>
      </c>
      <c r="D47" s="4" t="s">
        <v>18</v>
      </c>
      <c r="E47" s="5" t="s">
        <v>95</v>
      </c>
      <c r="F47" s="6" t="s">
        <v>20</v>
      </c>
      <c r="G47" s="6">
        <v>2000</v>
      </c>
      <c r="H47" s="7">
        <v>67.8</v>
      </c>
      <c r="I47" s="8">
        <f t="shared" si="0"/>
        <v>135600</v>
      </c>
    </row>
    <row r="48" spans="1:9" ht="24.75" thickBot="1">
      <c r="A48" s="3">
        <v>39</v>
      </c>
      <c r="B48" s="4" t="s">
        <v>96</v>
      </c>
      <c r="C48" s="5" t="s">
        <v>17</v>
      </c>
      <c r="D48" s="4" t="s">
        <v>18</v>
      </c>
      <c r="E48" s="5" t="s">
        <v>97</v>
      </c>
      <c r="F48" s="6" t="s">
        <v>20</v>
      </c>
      <c r="G48" s="6">
        <v>3500</v>
      </c>
      <c r="H48" s="7">
        <v>23.84</v>
      </c>
      <c r="I48" s="8">
        <f t="shared" si="0"/>
        <v>83440</v>
      </c>
    </row>
    <row r="49" spans="1:9" ht="24.75" thickBot="1">
      <c r="A49" s="3">
        <v>40</v>
      </c>
      <c r="B49" s="4" t="s">
        <v>98</v>
      </c>
      <c r="C49" s="5" t="s">
        <v>17</v>
      </c>
      <c r="D49" s="4" t="s">
        <v>18</v>
      </c>
      <c r="E49" s="5" t="s">
        <v>99</v>
      </c>
      <c r="F49" s="6" t="s">
        <v>20</v>
      </c>
      <c r="G49" s="6">
        <v>600</v>
      </c>
      <c r="H49" s="7">
        <v>3.44</v>
      </c>
      <c r="I49" s="8">
        <f t="shared" si="0"/>
        <v>2064</v>
      </c>
    </row>
    <row r="50" spans="1:9" ht="24.75" thickBot="1">
      <c r="A50" s="3">
        <v>41</v>
      </c>
      <c r="B50" s="4" t="s">
        <v>100</v>
      </c>
      <c r="C50" s="5" t="s">
        <v>17</v>
      </c>
      <c r="D50" s="4" t="s">
        <v>18</v>
      </c>
      <c r="E50" s="5" t="s">
        <v>101</v>
      </c>
      <c r="F50" s="6" t="s">
        <v>20</v>
      </c>
      <c r="G50" s="6">
        <v>4000</v>
      </c>
      <c r="H50" s="7">
        <v>5.64</v>
      </c>
      <c r="I50" s="8">
        <f t="shared" si="0"/>
        <v>22560</v>
      </c>
    </row>
    <row r="51" spans="1:9" ht="24.75" thickBot="1">
      <c r="A51" s="3">
        <v>42</v>
      </c>
      <c r="B51" s="4" t="s">
        <v>102</v>
      </c>
      <c r="C51" s="5" t="s">
        <v>17</v>
      </c>
      <c r="D51" s="4" t="s">
        <v>18</v>
      </c>
      <c r="E51" s="5" t="s">
        <v>103</v>
      </c>
      <c r="F51" s="6" t="s">
        <v>20</v>
      </c>
      <c r="G51" s="6">
        <v>2000</v>
      </c>
      <c r="H51" s="7">
        <v>4.84</v>
      </c>
      <c r="I51" s="8">
        <f t="shared" si="0"/>
        <v>9680</v>
      </c>
    </row>
    <row r="52" spans="1:9" s="9" customFormat="1" ht="24.75" thickBot="1">
      <c r="A52" s="3">
        <v>43</v>
      </c>
      <c r="B52" s="4" t="s">
        <v>104</v>
      </c>
      <c r="C52" s="5" t="s">
        <v>17</v>
      </c>
      <c r="D52" s="4" t="s">
        <v>18</v>
      </c>
      <c r="E52" s="5" t="s">
        <v>105</v>
      </c>
      <c r="F52" s="6" t="s">
        <v>20</v>
      </c>
      <c r="G52" s="6">
        <v>200</v>
      </c>
      <c r="H52" s="7">
        <v>47.6</v>
      </c>
      <c r="I52" s="8">
        <f t="shared" si="0"/>
        <v>9520</v>
      </c>
    </row>
    <row r="53" spans="1:9" s="9" customFormat="1" ht="24.75" thickBot="1">
      <c r="A53" s="3">
        <v>44</v>
      </c>
      <c r="B53" s="4" t="s">
        <v>106</v>
      </c>
      <c r="C53" s="5" t="s">
        <v>17</v>
      </c>
      <c r="D53" s="4" t="s">
        <v>18</v>
      </c>
      <c r="E53" s="5" t="s">
        <v>107</v>
      </c>
      <c r="F53" s="6" t="s">
        <v>20</v>
      </c>
      <c r="G53" s="6">
        <v>200</v>
      </c>
      <c r="H53" s="7">
        <v>23.6</v>
      </c>
      <c r="I53" s="8">
        <f t="shared" si="0"/>
        <v>4720</v>
      </c>
    </row>
    <row r="54" spans="1:9" ht="24.75" thickBot="1">
      <c r="A54" s="3">
        <v>45</v>
      </c>
      <c r="B54" s="4" t="s">
        <v>108</v>
      </c>
      <c r="C54" s="5" t="s">
        <v>17</v>
      </c>
      <c r="D54" s="4" t="s">
        <v>18</v>
      </c>
      <c r="E54" s="5" t="s">
        <v>109</v>
      </c>
      <c r="F54" s="6" t="s">
        <v>110</v>
      </c>
      <c r="G54" s="6">
        <v>50</v>
      </c>
      <c r="H54" s="7">
        <v>318.39999999999998</v>
      </c>
      <c r="I54" s="8">
        <f t="shared" si="0"/>
        <v>15919.999999999998</v>
      </c>
    </row>
    <row r="55" spans="1:9" s="9" customFormat="1" ht="24">
      <c r="A55" s="3">
        <v>46</v>
      </c>
      <c r="B55" s="4" t="s">
        <v>111</v>
      </c>
      <c r="C55" s="5" t="s">
        <v>17</v>
      </c>
      <c r="D55" s="4" t="s">
        <v>18</v>
      </c>
      <c r="E55" s="5" t="s">
        <v>112</v>
      </c>
      <c r="F55" s="6" t="s">
        <v>110</v>
      </c>
      <c r="G55" s="6">
        <v>50</v>
      </c>
      <c r="H55" s="7">
        <v>119.4</v>
      </c>
      <c r="I55" s="8">
        <f t="shared" si="0"/>
        <v>5970</v>
      </c>
    </row>
    <row r="56" spans="1:9" ht="13.5" thickBot="1">
      <c r="A56" s="3"/>
      <c r="B56" s="64"/>
      <c r="C56" s="65"/>
      <c r="D56" s="64"/>
      <c r="E56" s="65"/>
      <c r="F56" s="66"/>
      <c r="G56" s="66"/>
      <c r="H56" s="66"/>
      <c r="I56" s="67">
        <f>SUM(I10:I55)</f>
        <v>1059640.5</v>
      </c>
    </row>
    <row r="59" spans="1:9">
      <c r="B59" s="68" t="s">
        <v>113</v>
      </c>
      <c r="C59" s="69"/>
      <c r="D59" s="69"/>
      <c r="E59" s="70"/>
    </row>
    <row r="60" spans="1:9" ht="5.25" customHeight="1">
      <c r="B60" s="71"/>
      <c r="E60" s="72"/>
    </row>
    <row r="61" spans="1:9">
      <c r="B61" s="73" t="s">
        <v>114</v>
      </c>
      <c r="E61" s="72"/>
    </row>
    <row r="62" spans="1:9" ht="41.25" customHeight="1">
      <c r="B62" s="73"/>
      <c r="C62" s="91" t="s">
        <v>115</v>
      </c>
      <c r="D62" s="91"/>
      <c r="E62" s="91"/>
    </row>
    <row r="63" spans="1:9">
      <c r="B63" s="73" t="s">
        <v>116</v>
      </c>
      <c r="E63" s="72"/>
    </row>
    <row r="64" spans="1:9">
      <c r="B64" s="74"/>
      <c r="C64" s="95" t="s">
        <v>167</v>
      </c>
      <c r="D64" s="95"/>
      <c r="E64" s="95"/>
    </row>
    <row r="65" spans="2:5">
      <c r="B65" s="74"/>
      <c r="C65" s="95"/>
      <c r="D65" s="95"/>
      <c r="E65" s="95"/>
    </row>
    <row r="66" spans="2:5">
      <c r="B66" s="73" t="s">
        <v>117</v>
      </c>
      <c r="E66" s="72"/>
    </row>
    <row r="67" spans="2:5" ht="26.25" customHeight="1">
      <c r="B67" s="74"/>
      <c r="C67" s="91"/>
      <c r="D67" s="91"/>
      <c r="E67" s="91"/>
    </row>
    <row r="68" spans="2:5">
      <c r="B68" s="73" t="s">
        <v>118</v>
      </c>
      <c r="C68" s="75"/>
      <c r="D68" s="75"/>
      <c r="E68" s="76"/>
    </row>
    <row r="69" spans="2:5" ht="26.25" customHeight="1">
      <c r="B69" s="74"/>
      <c r="C69" s="91"/>
      <c r="D69" s="91"/>
      <c r="E69" s="91"/>
    </row>
    <row r="70" spans="2:5">
      <c r="B70" s="73" t="s">
        <v>119</v>
      </c>
      <c r="E70" s="72"/>
    </row>
    <row r="71" spans="2:5" ht="23.25" customHeight="1">
      <c r="B71" s="73"/>
      <c r="C71" s="95"/>
      <c r="D71" s="95"/>
      <c r="E71" s="95"/>
    </row>
    <row r="72" spans="2:5" ht="13.5" thickBot="1">
      <c r="B72" s="77"/>
      <c r="C72" s="78"/>
      <c r="D72" s="78"/>
      <c r="E72" s="79"/>
    </row>
    <row r="74" spans="2:5">
      <c r="B74" s="68" t="s">
        <v>120</v>
      </c>
      <c r="C74" s="69"/>
      <c r="D74" s="69"/>
      <c r="E74" s="70"/>
    </row>
    <row r="75" spans="2:5" ht="7.5" customHeight="1">
      <c r="B75" s="71"/>
      <c r="E75" s="72"/>
    </row>
    <row r="76" spans="2:5">
      <c r="B76" s="73" t="s">
        <v>114</v>
      </c>
      <c r="E76" s="72"/>
    </row>
    <row r="77" spans="2:5" ht="39" customHeight="1">
      <c r="B77" s="73"/>
      <c r="C77" s="91"/>
      <c r="D77" s="91"/>
      <c r="E77" s="91"/>
    </row>
    <row r="78" spans="2:5">
      <c r="B78" s="73" t="s">
        <v>116</v>
      </c>
      <c r="E78" s="72"/>
    </row>
    <row r="79" spans="2:5">
      <c r="B79" s="74"/>
      <c r="C79" s="95"/>
      <c r="D79" s="95"/>
      <c r="E79" s="95"/>
    </row>
    <row r="80" spans="2:5">
      <c r="B80" s="74"/>
      <c r="C80" s="95"/>
      <c r="D80" s="95"/>
      <c r="E80" s="95"/>
    </row>
    <row r="81" spans="2:5">
      <c r="B81" s="73" t="s">
        <v>117</v>
      </c>
      <c r="E81" s="72"/>
    </row>
    <row r="82" spans="2:5">
      <c r="B82" s="74"/>
      <c r="C82" s="91"/>
      <c r="D82" s="91"/>
      <c r="E82" s="91"/>
    </row>
    <row r="83" spans="2:5">
      <c r="B83" s="73" t="s">
        <v>118</v>
      </c>
      <c r="C83" s="75"/>
      <c r="D83" s="75"/>
      <c r="E83" s="76"/>
    </row>
    <row r="84" spans="2:5">
      <c r="B84" s="74"/>
      <c r="C84" s="91"/>
      <c r="D84" s="91"/>
      <c r="E84" s="91"/>
    </row>
    <row r="85" spans="2:5">
      <c r="B85" s="73" t="s">
        <v>119</v>
      </c>
      <c r="E85" s="72"/>
    </row>
    <row r="86" spans="2:5">
      <c r="B86" s="73"/>
      <c r="C86" s="95"/>
      <c r="D86" s="95"/>
      <c r="E86" s="95"/>
    </row>
    <row r="87" spans="2:5" ht="13.5" thickBot="1">
      <c r="B87" s="77"/>
      <c r="C87" s="78"/>
      <c r="D87" s="78"/>
      <c r="E87" s="79"/>
    </row>
  </sheetData>
  <autoFilter ref="A9:I55"/>
  <mergeCells count="19">
    <mergeCell ref="C86:E86"/>
    <mergeCell ref="C71:E71"/>
    <mergeCell ref="C77:E77"/>
    <mergeCell ref="C79:E79"/>
    <mergeCell ref="C80:E80"/>
    <mergeCell ref="C82:E82"/>
    <mergeCell ref="C84:E84"/>
    <mergeCell ref="C69:E69"/>
    <mergeCell ref="B2:H2"/>
    <mergeCell ref="A4:B4"/>
    <mergeCell ref="C4:E4"/>
    <mergeCell ref="A5:B5"/>
    <mergeCell ref="C5:E5"/>
    <mergeCell ref="A6:B6"/>
    <mergeCell ref="A7:B7"/>
    <mergeCell ref="C62:E62"/>
    <mergeCell ref="C64:E64"/>
    <mergeCell ref="C65:E65"/>
    <mergeCell ref="C67:E6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58"/>
  <sheetViews>
    <sheetView workbookViewId="0">
      <selection activeCell="K1" sqref="K1"/>
    </sheetView>
  </sheetViews>
  <sheetFormatPr baseColWidth="10" defaultColWidth="9.140625" defaultRowHeight="12.75"/>
  <cols>
    <col min="1" max="1" width="5.5703125" style="52" customWidth="1"/>
    <col min="2" max="2" width="15.140625" style="52" customWidth="1"/>
    <col min="3" max="3" width="14.140625" style="52" customWidth="1"/>
    <col min="4" max="4" width="26" style="52" customWidth="1"/>
    <col min="5" max="5" width="8" style="52" customWidth="1"/>
    <col min="6" max="6" width="7.85546875" style="52" customWidth="1"/>
    <col min="7" max="7" width="42" style="52" customWidth="1"/>
    <col min="8" max="8" width="9.28515625" style="52" customWidth="1"/>
    <col min="9" max="9" width="15.5703125" style="52" customWidth="1"/>
    <col min="10" max="10" width="14.7109375" style="52" customWidth="1"/>
    <col min="11" max="11" width="15.5703125" style="52" customWidth="1"/>
    <col min="12" max="14" width="5.85546875" style="40" customWidth="1"/>
    <col min="15" max="15" width="12.5703125" style="40" customWidth="1"/>
    <col min="16" max="1024" width="9.140625" style="40"/>
  </cols>
  <sheetData>
    <row r="1" spans="1:11" s="40" customFormat="1" ht="16.5" thickBot="1">
      <c r="A1" s="109" t="s">
        <v>166</v>
      </c>
      <c r="B1" s="109"/>
      <c r="C1" s="109"/>
      <c r="D1" s="109"/>
      <c r="E1" s="109"/>
      <c r="F1" s="109"/>
      <c r="G1" s="109"/>
      <c r="H1" s="109"/>
      <c r="I1" s="109"/>
      <c r="J1" s="41" t="s">
        <v>165</v>
      </c>
      <c r="K1" s="90" t="s">
        <v>169</v>
      </c>
    </row>
    <row r="2" spans="1:11" s="40" customFormat="1" ht="16.5" thickBot="1">
      <c r="A2" s="42"/>
      <c r="B2" s="42"/>
      <c r="C2" s="42"/>
      <c r="D2" s="43"/>
      <c r="E2" s="43"/>
      <c r="F2" s="43"/>
      <c r="G2" s="43"/>
      <c r="H2" s="43"/>
      <c r="I2" s="43"/>
      <c r="J2" s="43"/>
      <c r="K2" s="43"/>
    </row>
    <row r="3" spans="1:11" s="40" customFormat="1" ht="16.5" thickBot="1">
      <c r="A3" s="108" t="s">
        <v>164</v>
      </c>
      <c r="B3" s="108"/>
      <c r="C3" s="108"/>
      <c r="D3" s="100" t="str">
        <f>'[1]Necesidades Trimestrales'!C4</f>
        <v>90 - MINISTERIO DE SEGURIDAD</v>
      </c>
      <c r="E3" s="100"/>
      <c r="F3" s="100"/>
      <c r="G3" s="100"/>
      <c r="H3" s="100"/>
      <c r="I3" s="100"/>
      <c r="J3" s="100"/>
      <c r="K3" s="100"/>
    </row>
    <row r="4" spans="1:11" s="40" customFormat="1" ht="16.5" thickBot="1">
      <c r="A4" s="107" t="s">
        <v>123</v>
      </c>
      <c r="B4" s="107"/>
      <c r="C4" s="107"/>
      <c r="D4" s="100" t="str">
        <f>'[1]Necesidades Trimestrales'!C5</f>
        <v>8 - DIRECCION GENERAL SERVICIO PENITENCIARIO PROVINCIAL</v>
      </c>
      <c r="E4" s="100"/>
      <c r="F4" s="100"/>
      <c r="G4" s="100"/>
      <c r="H4" s="100"/>
      <c r="I4" s="100"/>
      <c r="J4" s="100"/>
      <c r="K4" s="100"/>
    </row>
    <row r="5" spans="1:11" s="40" customFormat="1" ht="16.5" thickBot="1">
      <c r="A5" s="107" t="s">
        <v>124</v>
      </c>
      <c r="B5" s="107"/>
      <c r="C5" s="107"/>
      <c r="D5" s="100" t="s">
        <v>163</v>
      </c>
      <c r="E5" s="100"/>
      <c r="F5" s="100"/>
      <c r="G5" s="100"/>
      <c r="H5" s="100"/>
      <c r="I5" s="100"/>
      <c r="J5" s="100"/>
      <c r="K5" s="100"/>
    </row>
    <row r="6" spans="1:11" s="40" customFormat="1" ht="16.5" thickBot="1">
      <c r="A6" s="108" t="s">
        <v>125</v>
      </c>
      <c r="B6" s="108"/>
      <c r="C6" s="108"/>
      <c r="D6" s="100" t="s">
        <v>162</v>
      </c>
      <c r="E6" s="100"/>
      <c r="F6" s="100"/>
      <c r="G6" s="100"/>
      <c r="H6" s="100"/>
      <c r="I6" s="100"/>
      <c r="J6" s="100"/>
      <c r="K6" s="100"/>
    </row>
    <row r="7" spans="1:11" s="40" customFormat="1" ht="16.5" thickBot="1">
      <c r="A7" s="107" t="s">
        <v>161</v>
      </c>
      <c r="B7" s="107"/>
      <c r="C7" s="107"/>
      <c r="D7" s="100" t="s">
        <v>160</v>
      </c>
      <c r="E7" s="100"/>
      <c r="F7" s="100"/>
      <c r="G7" s="100"/>
      <c r="H7" s="100"/>
      <c r="I7" s="100"/>
      <c r="J7" s="100"/>
      <c r="K7" s="100"/>
    </row>
    <row r="8" spans="1:11" s="40" customFormat="1" ht="16.5" thickBot="1">
      <c r="A8" s="102" t="s">
        <v>159</v>
      </c>
      <c r="B8" s="102"/>
      <c r="C8" s="102"/>
      <c r="D8" s="103" t="s">
        <v>158</v>
      </c>
      <c r="E8" s="103"/>
      <c r="F8" s="103"/>
      <c r="G8" s="103"/>
      <c r="H8" s="103"/>
      <c r="I8" s="103"/>
      <c r="J8" s="103"/>
      <c r="K8" s="103"/>
    </row>
    <row r="9" spans="1:11" s="40" customFormat="1" ht="16.5" thickBot="1">
      <c r="A9" s="44"/>
      <c r="B9" s="44"/>
      <c r="C9" s="44"/>
      <c r="D9" s="45"/>
      <c r="E9" s="45"/>
      <c r="F9" s="45"/>
      <c r="G9" s="45"/>
      <c r="H9" s="45"/>
      <c r="I9" s="45"/>
      <c r="J9" s="45"/>
      <c r="K9" s="45"/>
    </row>
    <row r="10" spans="1:11" s="40" customFormat="1" ht="18.75" customHeight="1" thickBot="1">
      <c r="A10" s="104" t="s">
        <v>157</v>
      </c>
      <c r="B10" s="105" t="s">
        <v>156</v>
      </c>
      <c r="C10" s="105" t="s">
        <v>155</v>
      </c>
      <c r="D10" s="105"/>
      <c r="E10" s="105"/>
      <c r="F10" s="105"/>
      <c r="G10" s="105"/>
      <c r="H10" s="105" t="s">
        <v>154</v>
      </c>
      <c r="I10" s="105" t="s">
        <v>153</v>
      </c>
      <c r="J10" s="105" t="s">
        <v>152</v>
      </c>
      <c r="K10" s="106" t="s">
        <v>151</v>
      </c>
    </row>
    <row r="11" spans="1:11" s="40" customFormat="1" ht="24" customHeight="1" thickBot="1">
      <c r="A11" s="104"/>
      <c r="B11" s="105"/>
      <c r="C11" s="105"/>
      <c r="D11" s="105"/>
      <c r="E11" s="105"/>
      <c r="F11" s="105"/>
      <c r="G11" s="105"/>
      <c r="H11" s="105"/>
      <c r="I11" s="105"/>
      <c r="J11" s="105"/>
      <c r="K11" s="106"/>
    </row>
    <row r="12" spans="1:11" s="40" customFormat="1" ht="33" customHeight="1" thickBot="1">
      <c r="A12" s="46">
        <v>1</v>
      </c>
      <c r="B12" s="47" t="s">
        <v>16</v>
      </c>
      <c r="C12" s="96" t="s">
        <v>19</v>
      </c>
      <c r="D12" s="97"/>
      <c r="E12" s="97"/>
      <c r="F12" s="97"/>
      <c r="G12" s="98"/>
      <c r="H12" s="46" t="s">
        <v>150</v>
      </c>
      <c r="I12" s="48" t="s">
        <v>20</v>
      </c>
      <c r="J12" s="49">
        <f>'NECESIDADES TRIMESTRALES'!H10</f>
        <v>2.15</v>
      </c>
      <c r="K12" s="50">
        <v>4000</v>
      </c>
    </row>
    <row r="13" spans="1:11" s="40" customFormat="1" ht="26.25" customHeight="1" thickBot="1">
      <c r="A13" s="51">
        <v>2</v>
      </c>
      <c r="B13" s="47" t="s">
        <v>21</v>
      </c>
      <c r="C13" s="96" t="s">
        <v>22</v>
      </c>
      <c r="D13" s="97" t="s">
        <v>22</v>
      </c>
      <c r="E13" s="97" t="s">
        <v>22</v>
      </c>
      <c r="F13" s="97" t="s">
        <v>22</v>
      </c>
      <c r="G13" s="98" t="s">
        <v>22</v>
      </c>
      <c r="H13" s="46" t="s">
        <v>150</v>
      </c>
      <c r="I13" s="48" t="s">
        <v>20</v>
      </c>
      <c r="J13" s="49">
        <f>'NECESIDADES TRIMESTRALES'!H11</f>
        <v>18.7</v>
      </c>
      <c r="K13" s="50">
        <v>4000</v>
      </c>
    </row>
    <row r="14" spans="1:11" s="40" customFormat="1" ht="27" customHeight="1" thickBot="1">
      <c r="A14" s="46">
        <v>3</v>
      </c>
      <c r="B14" s="47" t="s">
        <v>23</v>
      </c>
      <c r="C14" s="96" t="s">
        <v>24</v>
      </c>
      <c r="D14" s="97" t="s">
        <v>24</v>
      </c>
      <c r="E14" s="97" t="s">
        <v>24</v>
      </c>
      <c r="F14" s="97" t="s">
        <v>24</v>
      </c>
      <c r="G14" s="98" t="s">
        <v>24</v>
      </c>
      <c r="H14" s="46" t="s">
        <v>150</v>
      </c>
      <c r="I14" s="48" t="s">
        <v>20</v>
      </c>
      <c r="J14" s="49">
        <f>'NECESIDADES TRIMESTRALES'!H12</f>
        <v>6.91</v>
      </c>
      <c r="K14" s="50">
        <v>3000</v>
      </c>
    </row>
    <row r="15" spans="1:11" s="40" customFormat="1" ht="25.5" customHeight="1" thickBot="1">
      <c r="A15" s="51">
        <v>4</v>
      </c>
      <c r="B15" s="47" t="s">
        <v>25</v>
      </c>
      <c r="C15" s="96" t="s">
        <v>26</v>
      </c>
      <c r="D15" s="97" t="s">
        <v>26</v>
      </c>
      <c r="E15" s="97" t="s">
        <v>26</v>
      </c>
      <c r="F15" s="97" t="s">
        <v>26</v>
      </c>
      <c r="G15" s="98" t="s">
        <v>26</v>
      </c>
      <c r="H15" s="46" t="s">
        <v>150</v>
      </c>
      <c r="I15" s="48" t="s">
        <v>20</v>
      </c>
      <c r="J15" s="49">
        <f>'NECESIDADES TRIMESTRALES'!H13</f>
        <v>13.8</v>
      </c>
      <c r="K15" s="50">
        <v>3000</v>
      </c>
    </row>
    <row r="16" spans="1:11" s="40" customFormat="1" ht="30.75" customHeight="1" thickBot="1">
      <c r="A16" s="46">
        <v>5</v>
      </c>
      <c r="B16" s="47" t="s">
        <v>27</v>
      </c>
      <c r="C16" s="96" t="s">
        <v>28</v>
      </c>
      <c r="D16" s="97" t="s">
        <v>28</v>
      </c>
      <c r="E16" s="97" t="s">
        <v>28</v>
      </c>
      <c r="F16" s="97" t="s">
        <v>28</v>
      </c>
      <c r="G16" s="98" t="s">
        <v>28</v>
      </c>
      <c r="H16" s="46" t="s">
        <v>150</v>
      </c>
      <c r="I16" s="48" t="s">
        <v>20</v>
      </c>
      <c r="J16" s="49">
        <f>'NECESIDADES TRIMESTRALES'!H14</f>
        <v>48</v>
      </c>
      <c r="K16" s="50">
        <v>1000</v>
      </c>
    </row>
    <row r="17" spans="1:11" s="40" customFormat="1" ht="23.25" customHeight="1" thickBot="1">
      <c r="A17" s="51">
        <v>6</v>
      </c>
      <c r="B17" s="47" t="s">
        <v>29</v>
      </c>
      <c r="C17" s="96" t="s">
        <v>30</v>
      </c>
      <c r="D17" s="97" t="s">
        <v>30</v>
      </c>
      <c r="E17" s="97" t="s">
        <v>30</v>
      </c>
      <c r="F17" s="97" t="s">
        <v>30</v>
      </c>
      <c r="G17" s="98" t="s">
        <v>30</v>
      </c>
      <c r="H17" s="46" t="s">
        <v>150</v>
      </c>
      <c r="I17" s="48" t="s">
        <v>20</v>
      </c>
      <c r="J17" s="49">
        <f>'NECESIDADES TRIMESTRALES'!H15</f>
        <v>11.2</v>
      </c>
      <c r="K17" s="50">
        <v>1000</v>
      </c>
    </row>
    <row r="18" spans="1:11" s="40" customFormat="1" ht="22.5" customHeight="1" thickBot="1">
      <c r="A18" s="46">
        <v>7</v>
      </c>
      <c r="B18" s="47" t="s">
        <v>31</v>
      </c>
      <c r="C18" s="96" t="s">
        <v>32</v>
      </c>
      <c r="D18" s="97" t="s">
        <v>32</v>
      </c>
      <c r="E18" s="97" t="s">
        <v>32</v>
      </c>
      <c r="F18" s="97" t="s">
        <v>32</v>
      </c>
      <c r="G18" s="98" t="s">
        <v>32</v>
      </c>
      <c r="H18" s="46" t="s">
        <v>150</v>
      </c>
      <c r="I18" s="48" t="s">
        <v>20</v>
      </c>
      <c r="J18" s="49">
        <f>'NECESIDADES TRIMESTRALES'!H16</f>
        <v>2.9</v>
      </c>
      <c r="K18" s="50">
        <v>4500</v>
      </c>
    </row>
    <row r="19" spans="1:11" s="40" customFormat="1" ht="26.25" customHeight="1" thickBot="1">
      <c r="A19" s="51">
        <v>8</v>
      </c>
      <c r="B19" s="47" t="s">
        <v>33</v>
      </c>
      <c r="C19" s="101" t="s">
        <v>34</v>
      </c>
      <c r="D19" s="101"/>
      <c r="E19" s="101"/>
      <c r="F19" s="101"/>
      <c r="G19" s="101"/>
      <c r="H19" s="46" t="s">
        <v>150</v>
      </c>
      <c r="I19" s="48" t="s">
        <v>20</v>
      </c>
      <c r="J19" s="49">
        <f>'NECESIDADES TRIMESTRALES'!H17</f>
        <v>4.34</v>
      </c>
      <c r="K19" s="50">
        <v>4000</v>
      </c>
    </row>
    <row r="20" spans="1:11" s="40" customFormat="1" ht="24.75" customHeight="1" thickBot="1">
      <c r="A20" s="46">
        <v>9</v>
      </c>
      <c r="B20" s="47" t="s">
        <v>35</v>
      </c>
      <c r="C20" s="96" t="s">
        <v>36</v>
      </c>
      <c r="D20" s="97" t="s">
        <v>36</v>
      </c>
      <c r="E20" s="97" t="s">
        <v>36</v>
      </c>
      <c r="F20" s="97" t="s">
        <v>36</v>
      </c>
      <c r="G20" s="98" t="s">
        <v>36</v>
      </c>
      <c r="H20" s="46" t="s">
        <v>150</v>
      </c>
      <c r="I20" s="48" t="s">
        <v>20</v>
      </c>
      <c r="J20" s="49">
        <f>'NECESIDADES TRIMESTRALES'!H18</f>
        <v>4</v>
      </c>
      <c r="K20" s="50">
        <v>4000</v>
      </c>
    </row>
    <row r="21" spans="1:11" s="40" customFormat="1" ht="27" customHeight="1" thickBot="1">
      <c r="A21" s="51">
        <v>10</v>
      </c>
      <c r="B21" s="47" t="s">
        <v>37</v>
      </c>
      <c r="C21" s="96" t="s">
        <v>38</v>
      </c>
      <c r="D21" s="97" t="s">
        <v>38</v>
      </c>
      <c r="E21" s="97" t="s">
        <v>38</v>
      </c>
      <c r="F21" s="97" t="s">
        <v>38</v>
      </c>
      <c r="G21" s="98" t="s">
        <v>38</v>
      </c>
      <c r="H21" s="46" t="s">
        <v>150</v>
      </c>
      <c r="I21" s="48" t="s">
        <v>20</v>
      </c>
      <c r="J21" s="49">
        <f>'NECESIDADES TRIMESTRALES'!H19</f>
        <v>3.2</v>
      </c>
      <c r="K21" s="50">
        <v>1000</v>
      </c>
    </row>
    <row r="22" spans="1:11" s="40" customFormat="1" ht="27" customHeight="1" thickBot="1">
      <c r="A22" s="46">
        <v>11</v>
      </c>
      <c r="B22" s="47" t="s">
        <v>39</v>
      </c>
      <c r="C22" s="96" t="s">
        <v>40</v>
      </c>
      <c r="D22" s="97" t="s">
        <v>40</v>
      </c>
      <c r="E22" s="97" t="s">
        <v>40</v>
      </c>
      <c r="F22" s="97" t="s">
        <v>40</v>
      </c>
      <c r="G22" s="98" t="s">
        <v>40</v>
      </c>
      <c r="H22" s="46" t="s">
        <v>150</v>
      </c>
      <c r="I22" s="48" t="s">
        <v>41</v>
      </c>
      <c r="J22" s="49">
        <f>'NECESIDADES TRIMESTRALES'!H20</f>
        <v>171.2</v>
      </c>
      <c r="K22" s="50">
        <v>150</v>
      </c>
    </row>
    <row r="23" spans="1:11" s="40" customFormat="1" ht="28.5" customHeight="1" thickBot="1">
      <c r="A23" s="51">
        <v>12</v>
      </c>
      <c r="B23" s="47" t="s">
        <v>42</v>
      </c>
      <c r="C23" s="96" t="s">
        <v>43</v>
      </c>
      <c r="D23" s="97" t="s">
        <v>43</v>
      </c>
      <c r="E23" s="97" t="s">
        <v>43</v>
      </c>
      <c r="F23" s="97" t="s">
        <v>43</v>
      </c>
      <c r="G23" s="98" t="s">
        <v>43</v>
      </c>
      <c r="H23" s="46" t="s">
        <v>150</v>
      </c>
      <c r="I23" s="48" t="s">
        <v>41</v>
      </c>
      <c r="J23" s="49">
        <f>'NECESIDADES TRIMESTRALES'!H21</f>
        <v>1950</v>
      </c>
      <c r="K23" s="50">
        <v>100</v>
      </c>
    </row>
    <row r="24" spans="1:11" s="40" customFormat="1" ht="26.25" customHeight="1" thickBot="1">
      <c r="A24" s="46">
        <v>13</v>
      </c>
      <c r="B24" s="46" t="s">
        <v>44</v>
      </c>
      <c r="C24" s="96" t="s">
        <v>45</v>
      </c>
      <c r="D24" s="97" t="s">
        <v>45</v>
      </c>
      <c r="E24" s="97" t="s">
        <v>45</v>
      </c>
      <c r="F24" s="97" t="s">
        <v>45</v>
      </c>
      <c r="G24" s="98" t="s">
        <v>45</v>
      </c>
      <c r="H24" s="46" t="s">
        <v>150</v>
      </c>
      <c r="I24" s="48" t="s">
        <v>20</v>
      </c>
      <c r="J24" s="49">
        <f>'NECESIDADES TRIMESTRALES'!H22</f>
        <v>2</v>
      </c>
      <c r="K24" s="50">
        <v>1000</v>
      </c>
    </row>
    <row r="25" spans="1:11" s="40" customFormat="1" ht="24.75" customHeight="1" thickBot="1">
      <c r="A25" s="51">
        <v>14</v>
      </c>
      <c r="B25" s="46" t="s">
        <v>46</v>
      </c>
      <c r="C25" s="96" t="s">
        <v>47</v>
      </c>
      <c r="D25" s="97" t="s">
        <v>47</v>
      </c>
      <c r="E25" s="97" t="s">
        <v>47</v>
      </c>
      <c r="F25" s="97" t="s">
        <v>47</v>
      </c>
      <c r="G25" s="98" t="s">
        <v>47</v>
      </c>
      <c r="H25" s="46" t="s">
        <v>150</v>
      </c>
      <c r="I25" s="48" t="s">
        <v>20</v>
      </c>
      <c r="J25" s="49">
        <f>'NECESIDADES TRIMESTRALES'!H23</f>
        <v>11.08</v>
      </c>
      <c r="K25" s="50">
        <v>600</v>
      </c>
    </row>
    <row r="26" spans="1:11" s="40" customFormat="1" ht="24.75" customHeight="1" thickBot="1">
      <c r="A26" s="46">
        <v>15</v>
      </c>
      <c r="B26" s="46" t="s">
        <v>48</v>
      </c>
      <c r="C26" s="96" t="s">
        <v>49</v>
      </c>
      <c r="D26" s="97" t="s">
        <v>49</v>
      </c>
      <c r="E26" s="97" t="s">
        <v>49</v>
      </c>
      <c r="F26" s="97" t="s">
        <v>49</v>
      </c>
      <c r="G26" s="98" t="s">
        <v>49</v>
      </c>
      <c r="H26" s="46" t="s">
        <v>150</v>
      </c>
      <c r="I26" s="48" t="s">
        <v>20</v>
      </c>
      <c r="J26" s="49">
        <f>'NECESIDADES TRIMESTRALES'!H24</f>
        <v>17.38</v>
      </c>
      <c r="K26" s="50">
        <v>300</v>
      </c>
    </row>
    <row r="27" spans="1:11" s="40" customFormat="1" ht="30" customHeight="1" thickBot="1">
      <c r="A27" s="51">
        <v>16</v>
      </c>
      <c r="B27" s="46" t="s">
        <v>50</v>
      </c>
      <c r="C27" s="96" t="s">
        <v>51</v>
      </c>
      <c r="D27" s="97" t="s">
        <v>51</v>
      </c>
      <c r="E27" s="97" t="s">
        <v>51</v>
      </c>
      <c r="F27" s="97" t="s">
        <v>51</v>
      </c>
      <c r="G27" s="98" t="s">
        <v>51</v>
      </c>
      <c r="H27" s="46" t="s">
        <v>150</v>
      </c>
      <c r="I27" s="48" t="s">
        <v>20</v>
      </c>
      <c r="J27" s="49">
        <f>'NECESIDADES TRIMESTRALES'!H25</f>
        <v>2.59</v>
      </c>
      <c r="K27" s="50">
        <v>2000</v>
      </c>
    </row>
    <row r="28" spans="1:11" s="40" customFormat="1" ht="29.25" customHeight="1" thickBot="1">
      <c r="A28" s="46">
        <v>17</v>
      </c>
      <c r="B28" s="46" t="s">
        <v>52</v>
      </c>
      <c r="C28" s="96" t="s">
        <v>53</v>
      </c>
      <c r="D28" s="97" t="s">
        <v>53</v>
      </c>
      <c r="E28" s="97" t="s">
        <v>53</v>
      </c>
      <c r="F28" s="97" t="s">
        <v>53</v>
      </c>
      <c r="G28" s="98" t="s">
        <v>53</v>
      </c>
      <c r="H28" s="46" t="s">
        <v>150</v>
      </c>
      <c r="I28" s="48" t="s">
        <v>20</v>
      </c>
      <c r="J28" s="49">
        <f>'NECESIDADES TRIMESTRALES'!H26</f>
        <v>4.84</v>
      </c>
      <c r="K28" s="50">
        <v>1000</v>
      </c>
    </row>
    <row r="29" spans="1:11" s="40" customFormat="1" ht="24" customHeight="1" thickBot="1">
      <c r="A29" s="51">
        <v>18</v>
      </c>
      <c r="B29" s="46" t="s">
        <v>54</v>
      </c>
      <c r="C29" s="96" t="s">
        <v>55</v>
      </c>
      <c r="D29" s="97" t="s">
        <v>55</v>
      </c>
      <c r="E29" s="97" t="s">
        <v>55</v>
      </c>
      <c r="F29" s="97" t="s">
        <v>55</v>
      </c>
      <c r="G29" s="98" t="s">
        <v>55</v>
      </c>
      <c r="H29" s="46" t="s">
        <v>150</v>
      </c>
      <c r="I29" s="48" t="s">
        <v>20</v>
      </c>
      <c r="J29" s="49">
        <f>'NECESIDADES TRIMESTRALES'!H27</f>
        <v>3.35</v>
      </c>
      <c r="K29" s="50">
        <v>200</v>
      </c>
    </row>
    <row r="30" spans="1:11" s="40" customFormat="1" ht="24" customHeight="1" thickBot="1">
      <c r="A30" s="46">
        <v>19</v>
      </c>
      <c r="B30" s="46" t="s">
        <v>56</v>
      </c>
      <c r="C30" s="96" t="s">
        <v>57</v>
      </c>
      <c r="D30" s="97" t="s">
        <v>57</v>
      </c>
      <c r="E30" s="97" t="s">
        <v>57</v>
      </c>
      <c r="F30" s="97" t="s">
        <v>57</v>
      </c>
      <c r="G30" s="98" t="s">
        <v>57</v>
      </c>
      <c r="H30" s="46" t="s">
        <v>150</v>
      </c>
      <c r="I30" s="48" t="s">
        <v>20</v>
      </c>
      <c r="J30" s="49">
        <f>'NECESIDADES TRIMESTRALES'!H28</f>
        <v>23.25</v>
      </c>
      <c r="K30" s="50">
        <v>200</v>
      </c>
    </row>
    <row r="31" spans="1:11" s="40" customFormat="1" ht="26.25" customHeight="1" thickBot="1">
      <c r="A31" s="51">
        <v>20</v>
      </c>
      <c r="B31" s="46" t="s">
        <v>58</v>
      </c>
      <c r="C31" s="96" t="s">
        <v>59</v>
      </c>
      <c r="D31" s="97" t="s">
        <v>59</v>
      </c>
      <c r="E31" s="97" t="s">
        <v>59</v>
      </c>
      <c r="F31" s="97" t="s">
        <v>59</v>
      </c>
      <c r="G31" s="98" t="s">
        <v>59</v>
      </c>
      <c r="H31" s="46" t="s">
        <v>150</v>
      </c>
      <c r="I31" s="48" t="s">
        <v>20</v>
      </c>
      <c r="J31" s="49">
        <f>'NECESIDADES TRIMESTRALES'!H29</f>
        <v>11.76</v>
      </c>
      <c r="K31" s="50">
        <v>300</v>
      </c>
    </row>
    <row r="32" spans="1:11" s="40" customFormat="1" ht="26.25" customHeight="1" thickBot="1">
      <c r="A32" s="46">
        <v>21</v>
      </c>
      <c r="B32" s="46" t="s">
        <v>60</v>
      </c>
      <c r="C32" s="96" t="s">
        <v>61</v>
      </c>
      <c r="D32" s="97" t="s">
        <v>61</v>
      </c>
      <c r="E32" s="97" t="s">
        <v>61</v>
      </c>
      <c r="F32" s="97" t="s">
        <v>61</v>
      </c>
      <c r="G32" s="98" t="s">
        <v>61</v>
      </c>
      <c r="H32" s="46" t="s">
        <v>150</v>
      </c>
      <c r="I32" s="48" t="s">
        <v>20</v>
      </c>
      <c r="J32" s="49">
        <f>'NECESIDADES TRIMESTRALES'!H30</f>
        <v>15.52</v>
      </c>
      <c r="K32" s="50">
        <v>200</v>
      </c>
    </row>
    <row r="33" spans="1:11" s="40" customFormat="1" ht="27.75" customHeight="1" thickBot="1">
      <c r="A33" s="51">
        <v>22</v>
      </c>
      <c r="B33" s="46" t="s">
        <v>62</v>
      </c>
      <c r="C33" s="96" t="s">
        <v>63</v>
      </c>
      <c r="D33" s="97" t="s">
        <v>63</v>
      </c>
      <c r="E33" s="97" t="s">
        <v>63</v>
      </c>
      <c r="F33" s="97" t="s">
        <v>63</v>
      </c>
      <c r="G33" s="98" t="s">
        <v>63</v>
      </c>
      <c r="H33" s="46" t="s">
        <v>150</v>
      </c>
      <c r="I33" s="48" t="s">
        <v>20</v>
      </c>
      <c r="J33" s="49">
        <f>'NECESIDADES TRIMESTRALES'!H31</f>
        <v>8.8000000000000007</v>
      </c>
      <c r="K33" s="50">
        <v>400</v>
      </c>
    </row>
    <row r="34" spans="1:11" s="40" customFormat="1" ht="30.75" customHeight="1" thickBot="1">
      <c r="A34" s="46">
        <v>23</v>
      </c>
      <c r="B34" s="46" t="s">
        <v>64</v>
      </c>
      <c r="C34" s="96" t="s">
        <v>65</v>
      </c>
      <c r="D34" s="97" t="s">
        <v>65</v>
      </c>
      <c r="E34" s="97" t="s">
        <v>65</v>
      </c>
      <c r="F34" s="97" t="s">
        <v>65</v>
      </c>
      <c r="G34" s="98" t="s">
        <v>65</v>
      </c>
      <c r="H34" s="46" t="s">
        <v>150</v>
      </c>
      <c r="I34" s="48" t="s">
        <v>20</v>
      </c>
      <c r="J34" s="49">
        <f>'NECESIDADES TRIMESTRALES'!H32</f>
        <v>7.2</v>
      </c>
      <c r="K34" s="50">
        <v>2000</v>
      </c>
    </row>
    <row r="35" spans="1:11" s="40" customFormat="1" ht="26.25" customHeight="1" thickBot="1">
      <c r="A35" s="51">
        <v>24</v>
      </c>
      <c r="B35" s="46" t="s">
        <v>66</v>
      </c>
      <c r="C35" s="96" t="s">
        <v>67</v>
      </c>
      <c r="D35" s="97" t="s">
        <v>67</v>
      </c>
      <c r="E35" s="97" t="s">
        <v>67</v>
      </c>
      <c r="F35" s="97" t="s">
        <v>67</v>
      </c>
      <c r="G35" s="98" t="s">
        <v>67</v>
      </c>
      <c r="H35" s="46" t="s">
        <v>150</v>
      </c>
      <c r="I35" s="48" t="s">
        <v>20</v>
      </c>
      <c r="J35" s="49">
        <f>'NECESIDADES TRIMESTRALES'!H33</f>
        <v>1.6</v>
      </c>
      <c r="K35" s="50">
        <v>4000</v>
      </c>
    </row>
    <row r="36" spans="1:11" s="40" customFormat="1" ht="24.75" customHeight="1" thickBot="1">
      <c r="A36" s="46">
        <v>25</v>
      </c>
      <c r="B36" s="46" t="s">
        <v>68</v>
      </c>
      <c r="C36" s="96" t="s">
        <v>69</v>
      </c>
      <c r="D36" s="97" t="s">
        <v>69</v>
      </c>
      <c r="E36" s="97" t="s">
        <v>69</v>
      </c>
      <c r="F36" s="97" t="s">
        <v>69</v>
      </c>
      <c r="G36" s="98" t="s">
        <v>69</v>
      </c>
      <c r="H36" s="46" t="s">
        <v>150</v>
      </c>
      <c r="I36" s="48" t="s">
        <v>20</v>
      </c>
      <c r="J36" s="49">
        <f>'NECESIDADES TRIMESTRALES'!H34</f>
        <v>11.8</v>
      </c>
      <c r="K36" s="50">
        <v>3500</v>
      </c>
    </row>
    <row r="37" spans="1:11" s="40" customFormat="1" ht="29.25" customHeight="1" thickBot="1">
      <c r="A37" s="51">
        <v>26</v>
      </c>
      <c r="B37" s="46" t="s">
        <v>70</v>
      </c>
      <c r="C37" s="96" t="s">
        <v>71</v>
      </c>
      <c r="D37" s="97" t="s">
        <v>71</v>
      </c>
      <c r="E37" s="97" t="s">
        <v>71</v>
      </c>
      <c r="F37" s="97" t="s">
        <v>71</v>
      </c>
      <c r="G37" s="98" t="s">
        <v>71</v>
      </c>
      <c r="H37" s="46" t="s">
        <v>150</v>
      </c>
      <c r="I37" s="48" t="s">
        <v>20</v>
      </c>
      <c r="J37" s="49">
        <f>'NECESIDADES TRIMESTRALES'!H35</f>
        <v>46</v>
      </c>
      <c r="K37" s="50">
        <v>500</v>
      </c>
    </row>
    <row r="38" spans="1:11" s="40" customFormat="1" ht="28.5" customHeight="1" thickBot="1">
      <c r="A38" s="46">
        <v>27</v>
      </c>
      <c r="B38" s="46" t="s">
        <v>72</v>
      </c>
      <c r="C38" s="96" t="s">
        <v>73</v>
      </c>
      <c r="D38" s="97" t="s">
        <v>73</v>
      </c>
      <c r="E38" s="97" t="s">
        <v>73</v>
      </c>
      <c r="F38" s="97" t="s">
        <v>73</v>
      </c>
      <c r="G38" s="98" t="s">
        <v>73</v>
      </c>
      <c r="H38" s="46" t="s">
        <v>150</v>
      </c>
      <c r="I38" s="48" t="s">
        <v>20</v>
      </c>
      <c r="J38" s="49">
        <f>'NECESIDADES TRIMESTRALES'!H36</f>
        <v>15</v>
      </c>
      <c r="K38" s="50">
        <v>300</v>
      </c>
    </row>
    <row r="39" spans="1:11" s="40" customFormat="1" ht="23.25" customHeight="1" thickBot="1">
      <c r="A39" s="51">
        <v>28</v>
      </c>
      <c r="B39" s="46" t="s">
        <v>74</v>
      </c>
      <c r="C39" s="96" t="s">
        <v>75</v>
      </c>
      <c r="D39" s="97" t="s">
        <v>75</v>
      </c>
      <c r="E39" s="97" t="s">
        <v>75</v>
      </c>
      <c r="F39" s="97" t="s">
        <v>75</v>
      </c>
      <c r="G39" s="98" t="s">
        <v>75</v>
      </c>
      <c r="H39" s="46" t="s">
        <v>150</v>
      </c>
      <c r="I39" s="48" t="s">
        <v>20</v>
      </c>
      <c r="J39" s="49">
        <f>'NECESIDADES TRIMESTRALES'!H37</f>
        <v>14.9</v>
      </c>
      <c r="K39" s="50">
        <v>100</v>
      </c>
    </row>
    <row r="40" spans="1:11" s="40" customFormat="1" ht="24.75" customHeight="1" thickBot="1">
      <c r="A40" s="46">
        <v>29</v>
      </c>
      <c r="B40" s="46" t="s">
        <v>76</v>
      </c>
      <c r="C40" s="96" t="s">
        <v>77</v>
      </c>
      <c r="D40" s="97" t="s">
        <v>77</v>
      </c>
      <c r="E40" s="97" t="s">
        <v>77</v>
      </c>
      <c r="F40" s="97" t="s">
        <v>77</v>
      </c>
      <c r="G40" s="98" t="s">
        <v>77</v>
      </c>
      <c r="H40" s="46" t="s">
        <v>150</v>
      </c>
      <c r="I40" s="48" t="s">
        <v>20</v>
      </c>
      <c r="J40" s="49">
        <f>'NECESIDADES TRIMESTRALES'!H38</f>
        <v>3.92</v>
      </c>
      <c r="K40" s="50">
        <v>400</v>
      </c>
    </row>
    <row r="41" spans="1:11" s="40" customFormat="1" ht="26.25" customHeight="1" thickBot="1">
      <c r="A41" s="51">
        <v>30</v>
      </c>
      <c r="B41" s="46" t="s">
        <v>78</v>
      </c>
      <c r="C41" s="96" t="s">
        <v>79</v>
      </c>
      <c r="D41" s="97" t="s">
        <v>79</v>
      </c>
      <c r="E41" s="97" t="s">
        <v>79</v>
      </c>
      <c r="F41" s="97" t="s">
        <v>79</v>
      </c>
      <c r="G41" s="98" t="s">
        <v>79</v>
      </c>
      <c r="H41" s="46" t="s">
        <v>150</v>
      </c>
      <c r="I41" s="48" t="s">
        <v>20</v>
      </c>
      <c r="J41" s="49">
        <f>'NECESIDADES TRIMESTRALES'!H39</f>
        <v>4.93</v>
      </c>
      <c r="K41" s="50">
        <v>150</v>
      </c>
    </row>
    <row r="42" spans="1:11" s="40" customFormat="1" ht="25.5" customHeight="1" thickBot="1">
      <c r="A42" s="46">
        <v>31</v>
      </c>
      <c r="B42" s="46" t="s">
        <v>80</v>
      </c>
      <c r="C42" s="96" t="s">
        <v>81</v>
      </c>
      <c r="D42" s="97" t="s">
        <v>81</v>
      </c>
      <c r="E42" s="97" t="s">
        <v>81</v>
      </c>
      <c r="F42" s="97" t="s">
        <v>81</v>
      </c>
      <c r="G42" s="98" t="s">
        <v>81</v>
      </c>
      <c r="H42" s="46" t="s">
        <v>150</v>
      </c>
      <c r="I42" s="48" t="s">
        <v>20</v>
      </c>
      <c r="J42" s="49">
        <f>'NECESIDADES TRIMESTRALES'!H40</f>
        <v>3.6</v>
      </c>
      <c r="K42" s="50">
        <v>1000</v>
      </c>
    </row>
    <row r="43" spans="1:11" s="40" customFormat="1" ht="22.5" customHeight="1" thickBot="1">
      <c r="A43" s="51">
        <v>32</v>
      </c>
      <c r="B43" s="46" t="s">
        <v>82</v>
      </c>
      <c r="C43" s="96" t="s">
        <v>83</v>
      </c>
      <c r="D43" s="97" t="s">
        <v>83</v>
      </c>
      <c r="E43" s="97" t="s">
        <v>83</v>
      </c>
      <c r="F43" s="97" t="s">
        <v>83</v>
      </c>
      <c r="G43" s="98" t="s">
        <v>83</v>
      </c>
      <c r="H43" s="46" t="s">
        <v>150</v>
      </c>
      <c r="I43" s="48" t="s">
        <v>20</v>
      </c>
      <c r="J43" s="49">
        <f>'NECESIDADES TRIMESTRALES'!H41</f>
        <v>8.44</v>
      </c>
      <c r="K43" s="50">
        <v>300</v>
      </c>
    </row>
    <row r="44" spans="1:11" s="40" customFormat="1" ht="25.5" customHeight="1" thickBot="1">
      <c r="A44" s="46">
        <v>33</v>
      </c>
      <c r="B44" s="46" t="s">
        <v>84</v>
      </c>
      <c r="C44" s="96" t="s">
        <v>85</v>
      </c>
      <c r="D44" s="97" t="s">
        <v>85</v>
      </c>
      <c r="E44" s="97" t="s">
        <v>85</v>
      </c>
      <c r="F44" s="97" t="s">
        <v>85</v>
      </c>
      <c r="G44" s="98" t="s">
        <v>85</v>
      </c>
      <c r="H44" s="46" t="s">
        <v>150</v>
      </c>
      <c r="I44" s="48" t="s">
        <v>20</v>
      </c>
      <c r="J44" s="49">
        <f>'NECESIDADES TRIMESTRALES'!H42</f>
        <v>20.53</v>
      </c>
      <c r="K44" s="50">
        <v>100</v>
      </c>
    </row>
    <row r="45" spans="1:11" s="40" customFormat="1" ht="25.5" customHeight="1" thickBot="1">
      <c r="A45" s="51">
        <v>34</v>
      </c>
      <c r="B45" s="46" t="s">
        <v>86</v>
      </c>
      <c r="C45" s="96" t="s">
        <v>87</v>
      </c>
      <c r="D45" s="97" t="s">
        <v>87</v>
      </c>
      <c r="E45" s="97" t="s">
        <v>87</v>
      </c>
      <c r="F45" s="97" t="s">
        <v>87</v>
      </c>
      <c r="G45" s="98" t="s">
        <v>87</v>
      </c>
      <c r="H45" s="46" t="s">
        <v>150</v>
      </c>
      <c r="I45" s="48" t="s">
        <v>20</v>
      </c>
      <c r="J45" s="49">
        <f>'NECESIDADES TRIMESTRALES'!H43</f>
        <v>10.89</v>
      </c>
      <c r="K45" s="50">
        <v>9000</v>
      </c>
    </row>
    <row r="46" spans="1:11" s="40" customFormat="1" ht="22.5" customHeight="1" thickBot="1">
      <c r="A46" s="46">
        <v>35</v>
      </c>
      <c r="B46" s="46" t="s">
        <v>88</v>
      </c>
      <c r="C46" s="96" t="s">
        <v>89</v>
      </c>
      <c r="D46" s="97" t="s">
        <v>89</v>
      </c>
      <c r="E46" s="97" t="s">
        <v>89</v>
      </c>
      <c r="F46" s="97" t="s">
        <v>89</v>
      </c>
      <c r="G46" s="98" t="s">
        <v>89</v>
      </c>
      <c r="H46" s="46" t="s">
        <v>150</v>
      </c>
      <c r="I46" s="48" t="s">
        <v>20</v>
      </c>
      <c r="J46" s="49">
        <f>'NECESIDADES TRIMESTRALES'!H44</f>
        <v>4.24</v>
      </c>
      <c r="K46" s="50">
        <v>4000</v>
      </c>
    </row>
    <row r="47" spans="1:11" s="40" customFormat="1" ht="27" customHeight="1" thickBot="1">
      <c r="A47" s="51">
        <v>36</v>
      </c>
      <c r="B47" s="46" t="s">
        <v>90</v>
      </c>
      <c r="C47" s="96" t="s">
        <v>91</v>
      </c>
      <c r="D47" s="97" t="s">
        <v>91</v>
      </c>
      <c r="E47" s="97" t="s">
        <v>91</v>
      </c>
      <c r="F47" s="97" t="s">
        <v>91</v>
      </c>
      <c r="G47" s="98" t="s">
        <v>91</v>
      </c>
      <c r="H47" s="46" t="s">
        <v>150</v>
      </c>
      <c r="I47" s="48" t="s">
        <v>20</v>
      </c>
      <c r="J47" s="49">
        <f>'NECESIDADES TRIMESTRALES'!H45</f>
        <v>7.45</v>
      </c>
      <c r="K47" s="50">
        <v>4000</v>
      </c>
    </row>
    <row r="48" spans="1:11" s="40" customFormat="1" ht="26.25" customHeight="1" thickBot="1">
      <c r="A48" s="46">
        <v>37</v>
      </c>
      <c r="B48" s="46" t="s">
        <v>92</v>
      </c>
      <c r="C48" s="96" t="s">
        <v>93</v>
      </c>
      <c r="D48" s="97" t="s">
        <v>93</v>
      </c>
      <c r="E48" s="97" t="s">
        <v>93</v>
      </c>
      <c r="F48" s="97" t="s">
        <v>93</v>
      </c>
      <c r="G48" s="98" t="s">
        <v>93</v>
      </c>
      <c r="H48" s="46" t="s">
        <v>150</v>
      </c>
      <c r="I48" s="48" t="s">
        <v>20</v>
      </c>
      <c r="J48" s="49">
        <f>'NECESIDADES TRIMESTRALES'!H46</f>
        <v>9.44</v>
      </c>
      <c r="K48" s="50">
        <v>1000</v>
      </c>
    </row>
    <row r="49" spans="1:11" s="40" customFormat="1" ht="32.25" customHeight="1" thickBot="1">
      <c r="A49" s="51">
        <v>38</v>
      </c>
      <c r="B49" s="46" t="s">
        <v>94</v>
      </c>
      <c r="C49" s="96" t="s">
        <v>95</v>
      </c>
      <c r="D49" s="97" t="s">
        <v>95</v>
      </c>
      <c r="E49" s="97" t="s">
        <v>95</v>
      </c>
      <c r="F49" s="97" t="s">
        <v>95</v>
      </c>
      <c r="G49" s="98" t="s">
        <v>95</v>
      </c>
      <c r="H49" s="46" t="s">
        <v>150</v>
      </c>
      <c r="I49" s="48" t="s">
        <v>20</v>
      </c>
      <c r="J49" s="49">
        <f>'NECESIDADES TRIMESTRALES'!H47</f>
        <v>67.8</v>
      </c>
      <c r="K49" s="50">
        <v>2000</v>
      </c>
    </row>
    <row r="50" spans="1:11" s="40" customFormat="1" ht="23.25" customHeight="1" thickBot="1">
      <c r="A50" s="46">
        <v>39</v>
      </c>
      <c r="B50" s="46" t="s">
        <v>96</v>
      </c>
      <c r="C50" s="96" t="s">
        <v>97</v>
      </c>
      <c r="D50" s="97" t="s">
        <v>97</v>
      </c>
      <c r="E50" s="97" t="s">
        <v>97</v>
      </c>
      <c r="F50" s="97" t="s">
        <v>97</v>
      </c>
      <c r="G50" s="98" t="s">
        <v>97</v>
      </c>
      <c r="H50" s="46" t="s">
        <v>150</v>
      </c>
      <c r="I50" s="48" t="s">
        <v>20</v>
      </c>
      <c r="J50" s="49">
        <f>'NECESIDADES TRIMESTRALES'!H48</f>
        <v>23.84</v>
      </c>
      <c r="K50" s="50">
        <v>3500</v>
      </c>
    </row>
    <row r="51" spans="1:11" s="40" customFormat="1" ht="24.75" customHeight="1" thickBot="1">
      <c r="A51" s="51">
        <v>40</v>
      </c>
      <c r="B51" s="46" t="s">
        <v>98</v>
      </c>
      <c r="C51" s="96" t="s">
        <v>99</v>
      </c>
      <c r="D51" s="97" t="s">
        <v>99</v>
      </c>
      <c r="E51" s="97" t="s">
        <v>99</v>
      </c>
      <c r="F51" s="97" t="s">
        <v>99</v>
      </c>
      <c r="G51" s="98" t="s">
        <v>99</v>
      </c>
      <c r="H51" s="46" t="s">
        <v>150</v>
      </c>
      <c r="I51" s="48" t="s">
        <v>20</v>
      </c>
      <c r="J51" s="49">
        <f>'NECESIDADES TRIMESTRALES'!H49</f>
        <v>3.44</v>
      </c>
      <c r="K51" s="50">
        <v>600</v>
      </c>
    </row>
    <row r="52" spans="1:11" s="40" customFormat="1" ht="27.75" customHeight="1" thickBot="1">
      <c r="A52" s="46">
        <v>41</v>
      </c>
      <c r="B52" s="46" t="s">
        <v>100</v>
      </c>
      <c r="C52" s="96" t="s">
        <v>101</v>
      </c>
      <c r="D52" s="97" t="s">
        <v>101</v>
      </c>
      <c r="E52" s="97" t="s">
        <v>101</v>
      </c>
      <c r="F52" s="97" t="s">
        <v>101</v>
      </c>
      <c r="G52" s="98" t="s">
        <v>101</v>
      </c>
      <c r="H52" s="46" t="s">
        <v>150</v>
      </c>
      <c r="I52" s="48" t="s">
        <v>20</v>
      </c>
      <c r="J52" s="49">
        <f>'NECESIDADES TRIMESTRALES'!H50</f>
        <v>5.64</v>
      </c>
      <c r="K52" s="50">
        <v>4000</v>
      </c>
    </row>
    <row r="53" spans="1:11" s="40" customFormat="1" ht="24" customHeight="1" thickBot="1">
      <c r="A53" s="51">
        <v>42</v>
      </c>
      <c r="B53" s="46" t="s">
        <v>102</v>
      </c>
      <c r="C53" s="96" t="s">
        <v>103</v>
      </c>
      <c r="D53" s="97" t="s">
        <v>103</v>
      </c>
      <c r="E53" s="97" t="s">
        <v>103</v>
      </c>
      <c r="F53" s="97" t="s">
        <v>103</v>
      </c>
      <c r="G53" s="98" t="s">
        <v>103</v>
      </c>
      <c r="H53" s="46" t="s">
        <v>150</v>
      </c>
      <c r="I53" s="48" t="s">
        <v>20</v>
      </c>
      <c r="J53" s="49">
        <f>'NECESIDADES TRIMESTRALES'!H51</f>
        <v>4.84</v>
      </c>
      <c r="K53" s="50">
        <v>2000</v>
      </c>
    </row>
    <row r="54" spans="1:11" s="40" customFormat="1" ht="24.75" customHeight="1" thickBot="1">
      <c r="A54" s="46">
        <v>43</v>
      </c>
      <c r="B54" s="46" t="s">
        <v>104</v>
      </c>
      <c r="C54" s="96" t="s">
        <v>105</v>
      </c>
      <c r="D54" s="97" t="s">
        <v>105</v>
      </c>
      <c r="E54" s="97" t="s">
        <v>105</v>
      </c>
      <c r="F54" s="97" t="s">
        <v>105</v>
      </c>
      <c r="G54" s="98" t="s">
        <v>105</v>
      </c>
      <c r="H54" s="46" t="s">
        <v>150</v>
      </c>
      <c r="I54" s="48" t="s">
        <v>20</v>
      </c>
      <c r="J54" s="49">
        <f>'NECESIDADES TRIMESTRALES'!H52</f>
        <v>47.6</v>
      </c>
      <c r="K54" s="50">
        <v>200</v>
      </c>
    </row>
    <row r="55" spans="1:11" s="40" customFormat="1" ht="26.25" customHeight="1" thickBot="1">
      <c r="A55" s="51">
        <v>44</v>
      </c>
      <c r="B55" s="46" t="s">
        <v>106</v>
      </c>
      <c r="C55" s="96" t="s">
        <v>107</v>
      </c>
      <c r="D55" s="97" t="s">
        <v>107</v>
      </c>
      <c r="E55" s="97" t="s">
        <v>107</v>
      </c>
      <c r="F55" s="97" t="s">
        <v>107</v>
      </c>
      <c r="G55" s="98" t="s">
        <v>107</v>
      </c>
      <c r="H55" s="46" t="s">
        <v>150</v>
      </c>
      <c r="I55" s="48" t="s">
        <v>20</v>
      </c>
      <c r="J55" s="49">
        <f>'NECESIDADES TRIMESTRALES'!H53</f>
        <v>23.6</v>
      </c>
      <c r="K55" s="50">
        <v>200</v>
      </c>
    </row>
    <row r="56" spans="1:11" s="40" customFormat="1" ht="26.25" customHeight="1" thickBot="1">
      <c r="A56" s="46">
        <v>45</v>
      </c>
      <c r="B56" s="46" t="s">
        <v>108</v>
      </c>
      <c r="C56" s="96" t="s">
        <v>109</v>
      </c>
      <c r="D56" s="97" t="s">
        <v>109</v>
      </c>
      <c r="E56" s="97" t="s">
        <v>109</v>
      </c>
      <c r="F56" s="97" t="s">
        <v>109</v>
      </c>
      <c r="G56" s="98" t="s">
        <v>109</v>
      </c>
      <c r="H56" s="46" t="s">
        <v>150</v>
      </c>
      <c r="I56" s="48" t="s">
        <v>110</v>
      </c>
      <c r="J56" s="49">
        <f>'NECESIDADES TRIMESTRALES'!H54</f>
        <v>318.39999999999998</v>
      </c>
      <c r="K56" s="50">
        <v>50</v>
      </c>
    </row>
    <row r="57" spans="1:11" s="40" customFormat="1" ht="29.25" customHeight="1" thickBot="1">
      <c r="A57" s="51">
        <v>46</v>
      </c>
      <c r="B57" s="46" t="s">
        <v>111</v>
      </c>
      <c r="C57" s="96" t="s">
        <v>112</v>
      </c>
      <c r="D57" s="97" t="s">
        <v>112</v>
      </c>
      <c r="E57" s="97" t="s">
        <v>112</v>
      </c>
      <c r="F57" s="97" t="s">
        <v>112</v>
      </c>
      <c r="G57" s="98" t="s">
        <v>112</v>
      </c>
      <c r="H57" s="46" t="s">
        <v>150</v>
      </c>
      <c r="I57" s="48" t="s">
        <v>110</v>
      </c>
      <c r="J57" s="49">
        <f>'NECESIDADES TRIMESTRALES'!H55</f>
        <v>119.4</v>
      </c>
      <c r="K57" s="50">
        <v>50</v>
      </c>
    </row>
    <row r="58" spans="1:11" s="40" customFormat="1" ht="16.5" thickBot="1">
      <c r="A58" s="100" t="s">
        <v>149</v>
      </c>
      <c r="B58" s="100"/>
      <c r="C58" s="100"/>
      <c r="D58" s="100"/>
      <c r="E58" s="100"/>
      <c r="F58" s="100"/>
      <c r="G58" s="100"/>
      <c r="H58" s="100"/>
      <c r="I58" s="100"/>
      <c r="J58" s="99">
        <f>SUMPRODUCT(J12:J57,K12:K57)</f>
        <v>1059640.5</v>
      </c>
      <c r="K58" s="99"/>
    </row>
  </sheetData>
  <mergeCells count="68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J58:K58"/>
    <mergeCell ref="C53:G53"/>
    <mergeCell ref="C54:G54"/>
    <mergeCell ref="C55:G55"/>
    <mergeCell ref="C56:G56"/>
    <mergeCell ref="C57:G57"/>
    <mergeCell ref="A58:I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3"/>
  <sheetViews>
    <sheetView topLeftCell="A16" workbookViewId="0">
      <selection activeCell="A22" sqref="A22:Q23"/>
    </sheetView>
  </sheetViews>
  <sheetFormatPr baseColWidth="10" defaultColWidth="11" defaultRowHeight="12.75"/>
  <cols>
    <col min="1" max="5" width="4.42578125" customWidth="1"/>
    <col min="6" max="6" width="6.28515625" bestFit="1" customWidth="1"/>
    <col min="7" max="7" width="4.42578125" style="12" customWidth="1"/>
    <col min="8" max="14" width="4.42578125" customWidth="1"/>
    <col min="15" max="16" width="14.85546875" customWidth="1"/>
    <col min="17" max="17" width="16.7109375" customWidth="1"/>
  </cols>
  <sheetData>
    <row r="1" spans="1:17" ht="15.75" thickBot="1">
      <c r="A1" s="114" t="s">
        <v>5</v>
      </c>
      <c r="B1" s="114"/>
      <c r="C1" s="114"/>
      <c r="D1" s="115">
        <v>2021</v>
      </c>
      <c r="E1" s="115"/>
      <c r="F1" s="10"/>
      <c r="G1" s="10"/>
      <c r="H1" s="11"/>
      <c r="I1" s="11"/>
      <c r="J1" s="11"/>
      <c r="K1" s="11"/>
      <c r="L1" s="11"/>
      <c r="M1" s="11"/>
      <c r="N1" s="11"/>
      <c r="P1" s="116" t="s">
        <v>121</v>
      </c>
      <c r="Q1" s="116"/>
    </row>
    <row r="2" spans="1:17" ht="13.5" thickBot="1">
      <c r="H2" s="11"/>
      <c r="I2" s="11"/>
      <c r="J2" s="11"/>
      <c r="K2" s="11"/>
      <c r="L2" s="11"/>
      <c r="M2" s="11"/>
      <c r="N2" s="11"/>
      <c r="P2" s="116"/>
      <c r="Q2" s="116"/>
    </row>
    <row r="3" spans="1:17" ht="13.5" thickBot="1"/>
    <row r="4" spans="1:17" s="13" customFormat="1" ht="15" thickBot="1">
      <c r="A4" s="117" t="s">
        <v>122</v>
      </c>
      <c r="B4" s="117"/>
      <c r="C4" s="117"/>
      <c r="D4" s="117"/>
      <c r="E4" s="117"/>
      <c r="F4" s="117"/>
      <c r="G4" s="113" t="str">
        <f>'[2] NotaPedido'!D3</f>
        <v>90 - MINISTERIO DE SEGURIDAD</v>
      </c>
      <c r="H4" s="113"/>
      <c r="I4" s="113"/>
      <c r="J4" s="113"/>
      <c r="K4" s="113"/>
      <c r="L4" s="113"/>
      <c r="M4" s="113"/>
      <c r="N4" s="113"/>
      <c r="O4" s="113"/>
      <c r="P4" s="113"/>
      <c r="Q4" s="113"/>
    </row>
    <row r="5" spans="1:17" s="13" customFormat="1" ht="15" thickBot="1">
      <c r="A5" s="110" t="s">
        <v>123</v>
      </c>
      <c r="B5" s="111"/>
      <c r="C5" s="111"/>
      <c r="D5" s="111"/>
      <c r="E5" s="111"/>
      <c r="F5" s="112"/>
      <c r="G5" s="113" t="str">
        <f>'[2] NotaPedido'!D4</f>
        <v>8 - DIRECCION GENERAL SERVICIO PENITENCIARIO PROVINCIAL</v>
      </c>
      <c r="H5" s="113"/>
      <c r="I5" s="113"/>
      <c r="J5" s="113"/>
      <c r="K5" s="113"/>
      <c r="L5" s="113"/>
      <c r="M5" s="113"/>
      <c r="N5" s="113"/>
      <c r="O5" s="113"/>
      <c r="P5" s="113"/>
      <c r="Q5" s="113"/>
    </row>
    <row r="6" spans="1:17" s="13" customFormat="1" ht="15" thickBot="1">
      <c r="A6" s="110" t="s">
        <v>124</v>
      </c>
      <c r="B6" s="111"/>
      <c r="C6" s="111"/>
      <c r="D6" s="111"/>
      <c r="E6" s="111"/>
      <c r="F6" s="112"/>
      <c r="G6" s="113" t="str">
        <f>'[2] NotaPedido'!D5</f>
        <v>Servicio Penitenciario Provincial</v>
      </c>
      <c r="H6" s="113"/>
      <c r="I6" s="113"/>
      <c r="J6" s="113"/>
      <c r="K6" s="113"/>
      <c r="L6" s="113"/>
      <c r="M6" s="113"/>
      <c r="N6" s="113"/>
      <c r="O6" s="113"/>
      <c r="P6" s="113"/>
      <c r="Q6" s="113"/>
    </row>
    <row r="7" spans="1:17" s="13" customFormat="1" ht="15" thickBot="1">
      <c r="A7" s="110" t="s">
        <v>125</v>
      </c>
      <c r="B7" s="111"/>
      <c r="C7" s="111"/>
      <c r="D7" s="111"/>
      <c r="E7" s="111"/>
      <c r="F7" s="112"/>
      <c r="G7" s="113" t="s">
        <v>126</v>
      </c>
      <c r="H7" s="113"/>
      <c r="I7" s="113"/>
      <c r="J7" s="113"/>
      <c r="K7" s="113"/>
      <c r="L7" s="113"/>
      <c r="M7" s="113"/>
      <c r="N7" s="113"/>
      <c r="O7" s="113"/>
      <c r="P7" s="113"/>
      <c r="Q7" s="113"/>
    </row>
    <row r="8" spans="1:17" ht="13.5" thickBot="1">
      <c r="A8" s="120" t="s">
        <v>127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</row>
    <row r="9" spans="1:17" ht="14.25">
      <c r="A9" s="121" t="s">
        <v>128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Q9" s="14"/>
    </row>
    <row r="10" spans="1:17" ht="49.5" customHeight="1">
      <c r="A10" s="122" t="s">
        <v>170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13.5" thickBot="1">
      <c r="A11" s="15"/>
      <c r="B11" s="16"/>
      <c r="C11" s="16"/>
      <c r="D11" s="16"/>
      <c r="E11" s="16"/>
      <c r="F11" s="16"/>
      <c r="G11" s="17"/>
      <c r="H11" s="16"/>
      <c r="I11" s="16"/>
      <c r="J11" s="16"/>
      <c r="K11" s="16"/>
      <c r="L11" s="16"/>
      <c r="M11" s="16"/>
      <c r="N11" s="16"/>
      <c r="O11" s="16"/>
      <c r="P11" s="16"/>
      <c r="Q11" s="18"/>
    </row>
    <row r="12" spans="1:17" ht="13.5" thickBot="1">
      <c r="A12" s="123" t="s">
        <v>129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3.5" thickBot="1">
      <c r="A13" s="124" t="s">
        <v>130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6" t="s">
        <v>131</v>
      </c>
      <c r="P13" s="126"/>
      <c r="Q13" s="128" t="s">
        <v>132</v>
      </c>
    </row>
    <row r="14" spans="1:17" ht="13.5" thickBot="1">
      <c r="A14" s="19" t="s">
        <v>133</v>
      </c>
      <c r="B14" s="20" t="s">
        <v>134</v>
      </c>
      <c r="C14" s="20" t="s">
        <v>135</v>
      </c>
      <c r="D14" s="20" t="s">
        <v>136</v>
      </c>
      <c r="E14" s="20" t="s">
        <v>137</v>
      </c>
      <c r="F14" s="20" t="s">
        <v>138</v>
      </c>
      <c r="G14" s="21" t="s">
        <v>139</v>
      </c>
      <c r="H14" s="20" t="s">
        <v>140</v>
      </c>
      <c r="I14" s="20" t="s">
        <v>141</v>
      </c>
      <c r="J14" s="20" t="s">
        <v>142</v>
      </c>
      <c r="K14" s="20" t="s">
        <v>142</v>
      </c>
      <c r="L14" s="20" t="s">
        <v>143</v>
      </c>
      <c r="M14" s="22" t="s">
        <v>144</v>
      </c>
      <c r="N14" s="23" t="s">
        <v>145</v>
      </c>
      <c r="O14" s="127"/>
      <c r="P14" s="127"/>
      <c r="Q14" s="129"/>
    </row>
    <row r="15" spans="1:17" ht="34.5" customHeight="1">
      <c r="A15" s="24">
        <v>21</v>
      </c>
      <c r="B15" s="25"/>
      <c r="C15" s="25"/>
      <c r="D15" s="25">
        <v>1</v>
      </c>
      <c r="E15" s="25"/>
      <c r="F15" s="25">
        <v>4201</v>
      </c>
      <c r="G15" s="25">
        <v>2</v>
      </c>
      <c r="H15" s="25">
        <v>220</v>
      </c>
      <c r="I15" s="26">
        <v>2</v>
      </c>
      <c r="J15" s="26">
        <v>5</v>
      </c>
      <c r="K15" s="26">
        <v>2</v>
      </c>
      <c r="L15" s="25"/>
      <c r="M15" s="27">
        <v>1</v>
      </c>
      <c r="N15" s="25" t="s">
        <v>146</v>
      </c>
      <c r="O15" s="118" t="s">
        <v>147</v>
      </c>
      <c r="P15" s="119"/>
      <c r="Q15" s="28">
        <f>'NECESIDADES TRIMESTRALES'!I56</f>
        <v>1059640.5</v>
      </c>
    </row>
    <row r="16" spans="1:17" ht="30.75" customHeight="1">
      <c r="A16" s="81"/>
      <c r="B16" s="82"/>
      <c r="C16" s="82"/>
      <c r="D16" s="82"/>
      <c r="E16" s="82"/>
      <c r="F16" s="82"/>
      <c r="G16" s="82"/>
      <c r="H16" s="83"/>
      <c r="I16" s="84"/>
      <c r="J16" s="84"/>
      <c r="K16" s="84"/>
      <c r="L16" s="85"/>
      <c r="M16" s="83"/>
      <c r="N16" s="34"/>
      <c r="O16" s="138"/>
      <c r="P16" s="139"/>
      <c r="Q16" s="35"/>
    </row>
    <row r="17" spans="1:17" ht="30.7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87"/>
      <c r="O17" s="80"/>
      <c r="P17" s="88"/>
      <c r="Q17" s="35"/>
    </row>
    <row r="18" spans="1:17" ht="30.75" customHeight="1" thickBot="1">
      <c r="A18" s="29"/>
      <c r="B18" s="30"/>
      <c r="C18" s="30"/>
      <c r="D18" s="30"/>
      <c r="E18" s="30"/>
      <c r="F18" s="30"/>
      <c r="G18" s="30"/>
      <c r="H18" s="31"/>
      <c r="I18" s="86"/>
      <c r="J18" s="86"/>
      <c r="K18" s="86"/>
      <c r="L18" s="33"/>
      <c r="M18" s="31"/>
      <c r="N18" s="86"/>
      <c r="O18" s="140"/>
      <c r="P18" s="141"/>
      <c r="Q18" s="89"/>
    </row>
    <row r="19" spans="1:17" ht="13.5" thickBot="1">
      <c r="A19" s="130" t="s">
        <v>168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36">
        <f>SUM(Q15:Q18)</f>
        <v>1059640.5</v>
      </c>
    </row>
    <row r="20" spans="1:17" ht="15.75" thickBot="1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9"/>
    </row>
    <row r="21" spans="1:17" ht="15.75" thickBot="1">
      <c r="A21" s="133" t="s">
        <v>148</v>
      </c>
      <c r="B21" s="134"/>
      <c r="C21" s="134"/>
      <c r="D21" s="134"/>
      <c r="E21" s="134"/>
      <c r="F21" s="135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</row>
    <row r="22" spans="1:17" ht="13.5" thickBot="1">
      <c r="A22" s="137" t="s">
        <v>171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</row>
    <row r="23" spans="1:17" ht="13.5" thickBot="1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</row>
  </sheetData>
  <mergeCells count="25">
    <mergeCell ref="A19:P19"/>
    <mergeCell ref="A21:F21"/>
    <mergeCell ref="G21:Q21"/>
    <mergeCell ref="A22:Q23"/>
    <mergeCell ref="O16:P16"/>
    <mergeCell ref="O18:P18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.31496062992125984" right="0.51181102362204722" top="0.74803149606299213" bottom="0.74803149606299213" header="0.31496062992125984" footer="0.31496062992125984"/>
  <pageSetup paperSize="9" scale="8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NPyE MEDICAMENTOS</vt:lpstr>
      <vt:lpstr>APG MEDICAMENTOS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2021-02-10T13:44:02Z</cp:lastPrinted>
  <dcterms:created xsi:type="dcterms:W3CDTF">2021-02-09T13:30:07Z</dcterms:created>
  <dcterms:modified xsi:type="dcterms:W3CDTF">2021-02-24T14:17:27Z</dcterms:modified>
</cp:coreProperties>
</file>