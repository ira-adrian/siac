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5" windowWidth="20730" windowHeight="11640" tabRatio="500" activeTab="1"/>
  </bookViews>
  <sheets>
    <sheet name="Necesidades Trimestrales" sheetId="1" r:id="rId1"/>
    <sheet name="NDP" sheetId="2" r:id="rId2"/>
    <sheet name="APG" sheetId="3" r:id="rId3"/>
  </sheets>
  <definedNames>
    <definedName name="_xlnm.Print_Area" localSheetId="0">'Necesidades Trimestrales'!$A$1:$I$22</definedName>
  </definedNames>
  <calcPr calcId="124519"/>
</workbook>
</file>

<file path=xl/calcChain.xml><?xml version="1.0" encoding="utf-8"?>
<calcChain xmlns="http://schemas.openxmlformats.org/spreadsheetml/2006/main">
  <c r="G9" i="1"/>
  <c r="I9"/>
  <c r="H9"/>
  <c r="J13" i="2"/>
  <c r="Q15" i="3" l="1"/>
  <c r="Q21" s="1"/>
  <c r="D9" i="1" l="1"/>
</calcChain>
</file>

<file path=xl/sharedStrings.xml><?xml version="1.0" encoding="utf-8"?>
<sst xmlns="http://schemas.openxmlformats.org/spreadsheetml/2006/main" count="96" uniqueCount="84">
  <si>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</si>
  <si>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</si>
  <si>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</si>
  <si>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</si>
  <si>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</si>
  <si>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</si>
  <si>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</si>
  <si>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</si>
  <si>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</si>
  <si>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</si>
  <si>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</si>
  <si>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</si>
  <si>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</si>
  <si>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</si>
  <si>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50 - MINISTERIO DE EDUCACIÓN</t>
  </si>
  <si>
    <t>26 - DIRECCIÓN PROVINCIAL DE ADMINISTRACIÓN</t>
  </si>
  <si>
    <t>NOTA DE PEDIDO</t>
  </si>
  <si>
    <t>N°</t>
  </si>
  <si>
    <t xml:space="preserve">JURISDICCIÓN: </t>
  </si>
  <si>
    <t>MINISTERIO DE EDUCACIÓN</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</si>
  <si>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</si>
  <si>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</si>
  <si>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</si>
  <si>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</si>
  <si>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</si>
  <si>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</si>
  <si>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</si>
  <si>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</si>
  <si>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</si>
  <si>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</si>
  <si>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</si>
  <si>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</si>
  <si>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AUTORIZACIÓN PARA GASTAR</t>
  </si>
  <si>
    <t>JURISDICCIÓN:</t>
  </si>
  <si>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</si>
  <si>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</si>
  <si>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</si>
  <si>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</si>
  <si>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</si>
  <si>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</si>
  <si>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</si>
  <si>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</si>
  <si>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</si>
  <si>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</si>
  <si>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</si>
  <si>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</si>
  <si>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</si>
  <si>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</si>
  <si>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</si>
  <si>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</si>
  <si>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</si>
  <si>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</si>
  <si>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</si>
  <si>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</si>
  <si>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3.9.9-3161.1</t>
  </si>
  <si>
    <t>ALIMENTOS</t>
  </si>
  <si>
    <t>SERVICIO DE COMIDA; DESCRIPCION: SERVICIO DE COMIDA</t>
  </si>
  <si>
    <t>Especificidades Items N°  1:</t>
  </si>
  <si>
    <t>OTROS N.E.P.</t>
  </si>
  <si>
    <t>D.P. DE RESIDENCIA UNIVERSITARIA</t>
  </si>
  <si>
    <t>SERVICIO DE CATERING</t>
  </si>
  <si>
    <t>NO</t>
  </si>
  <si>
    <t>SERVICIO</t>
  </si>
  <si>
    <r>
      <t>AUTORIZACIÓN</t>
    </r>
    <r>
      <rPr>
        <b/>
        <sz val="11"/>
        <rFont val="Times New Roman"/>
        <family val="1"/>
      </rPr>
      <t>:</t>
    </r>
  </si>
  <si>
    <t>Autorizo la realización de los  trámites correspondientes, a fin de proveer a este Organismo los bienes y/o servicios que se detallan en Nota  de Pedido N°15/2022, afectando la erogación resultante a los créditos presupuestarios aprobados a favor de esta Unidad Ejecutora, conforme al siguiente detalle:</t>
  </si>
  <si>
    <t>15/2022</t>
  </si>
  <si>
    <r>
      <rPr>
        <u/>
        <sz val="10"/>
        <rFont val="Times New Roman"/>
        <family val="1"/>
      </rPr>
      <t>Mozos y Personal de limpieza</t>
    </r>
    <r>
      <rPr>
        <sz val="10"/>
        <rFont val="Times New Roman"/>
        <family val="1"/>
      </rPr>
      <t xml:space="preserve"> : la cantidad optima seria de 1 (uno) mozo cada 20 residentes.El servicio no es para servir en  las mesas, sino simplemente para entregarles o servirles la comida en el plato a los residentes.El personal que se  contrata, debe tambien hacerse responsable de la Limpieza de la zona de entrega y de la cocina.(no del comedor que ocupan los residentes).</t>
    </r>
  </si>
  <si>
    <r>
      <rPr>
        <u/>
        <sz val="10"/>
        <rFont val="Times New Roman"/>
        <family val="1"/>
      </rPr>
      <t>Vajilla</t>
    </r>
    <r>
      <rPr>
        <sz val="10"/>
        <rFont val="Times New Roman"/>
        <family val="1"/>
      </rPr>
      <t>:dependera en gran medida del modo que el prestador del servicio realice los alimentos.Los cubiertos deben ser los usuales de un comedor y no descartables de Plastico.Por las actuales exigencias de las normas sanitarias, es posible que se permita la entrega de Alimentos en bandejas descartables.Los vasos cubiertos y tazas deben ser en vajilla comun es decir de loza o similar.</t>
    </r>
  </si>
  <si>
    <t>Para la elaboracion de los Alimentos: El contratista podra utilizar las instalaciones de la cocina de la residencia Universitaria,que consta de horno industrial, cocina industrial, freidora profesional, isla de preparacion  de alimentos, suministro de gas envasado por tubos de 45 kilos ( que estara a cargo del Servicio de Catering),heladeras sin  freezer tipo vitrina, deposito propio y baño para el personal exclusivo de cocina).</t>
  </si>
  <si>
    <r>
      <rPr>
        <u/>
        <sz val="10"/>
        <rFont val="Times New Roman"/>
        <family val="1"/>
      </rPr>
      <t xml:space="preserve">Dias de servicio </t>
    </r>
    <r>
      <rPr>
        <sz val="10"/>
        <rFont val="Times New Roman"/>
        <family val="1"/>
      </rPr>
      <t>:de lunes a domingos-El Servicio abarca Desayuno ( de 07:00 hs a 09:00 hs), Almuerzo ( de 11:30 hs a 13:30) , merienda ( 17:00 hs a 18:30 hs) y Cena (21:00 hs a 22:30)</t>
    </r>
  </si>
  <si>
    <t>El pago se realizará en forma parcial por cada SOLICITUD DE PROVISION emitida, a los treinta (30) días corridos de la recepción definitiva de los bienes solicitados en la Solicitud de provisión respectiva.</t>
  </si>
  <si>
    <t>Plazo y forma de pago:</t>
  </si>
  <si>
    <t xml:space="preserve">Desayuno: infusión de mate cocido, té negro o verde, café, café con leche, leche, pan con grasa o mingón de pan francés, manteca, mermelada.
Amuerzo:  carnes de vaca, pollo, pescado y cerdo. Constará de plato principal con guarnición, postre y pan.
Merienda: Igual desayuno. Se propone que todos los días MIERCOLES los alumnos consuman 1 vaso/pote de yogur con fruta, el cual será entregado en busca de asegurar un equilibrio y variar su alimentación.
Cena:. Se sugiere que la cena sea elaborada con vegetales y/o cereales y legumbres, sin carnes ni pan, para buscar un equilibrio calórico en el consumo de los estudiantes y ayudar a un mejor rendimiento académico. Constará de plato principal y postre.                                                                                                                                                                                  Se adaptará a los menús sugeridos por las Lic. En Nutrición de la residencia, respondiendo a las necesidades de cada estudiante y según la patología que presente cada uno de ellos ( hipertensión, diabetes, celiaquía entre otros).                                                                                                                                                                                                                  Menus de personas hipertensas, celiacos y diabeticas:En el contrato se debera preveer por lo menos 5 platos diarios para residentes con estas patologias.Los residentes deben confirmar su situacion en la Direccion con Certificado medico.Luego se le informara al servicio de Catering cuantos chicos hay con esta situacion, pero solo con certificado medico que avale.
</t>
  </si>
  <si>
    <r>
      <rPr>
        <u/>
        <sz val="9"/>
        <rFont val="Times New Roman"/>
        <family val="1"/>
      </rPr>
      <t xml:space="preserve">Frecuencia y Cantidad  de Solicitudes de Provision: </t>
    </r>
    <r>
      <rPr>
        <sz val="9"/>
        <rFont val="Times New Roman"/>
        <family val="1"/>
      </rPr>
      <t>se estiman DOS (2) Solicitudes de Provision. La frecuencia aproximada sera cada 30 dias corridos, la primera dentro de los cinco dias corridos de adjudicado el servicio y la segunda a los 30 dias corridos aproximadamente de realizada la primera solicitud de provision</t>
    </r>
    <r>
      <rPr>
        <sz val="9"/>
        <color rgb="FFFF0000"/>
        <rFont val="Times New Roman"/>
        <family val="1"/>
      </rPr>
      <t xml:space="preserve">. </t>
    </r>
  </si>
  <si>
    <t>60 DIAS CORRIDOS</t>
  </si>
  <si>
    <r>
      <t>Calidad Minima esperada:</t>
    </r>
    <r>
      <rPr>
        <sz val="10"/>
        <rFont val="Times New Roman"/>
        <family val="1"/>
      </rPr>
      <t xml:space="preserve"> DE ACUERDO A PROYECCIÓN Y PLANIFICACIÓN REALIZADA POR NUTRICIONISTA.</t>
    </r>
  </si>
  <si>
    <t>SERVICIO DE CATERING con destino a la Residencia Universitaria, con vajilla incluída, para 85 comensales máximo, 4 veces al día, durante 60 días corridos; incluye desayuno tipo autoservicio, almuerzo con plato principal, guarnición, postre y bebida; merienda tipo autoservicio; cena con plato principal, guarnición, postre y bebida. Se incluye un porcentaje de raciones libres de gluten de trigo, avena, cebada, centeno (sin TACC), y raciones para pacientes diabéticos, insulinodependientes o no.</t>
  </si>
  <si>
    <r>
      <rPr>
        <u/>
        <sz val="9"/>
        <rFont val="Times New Roman"/>
        <family val="1"/>
      </rPr>
      <t>Formas y terminos de entrega:</t>
    </r>
    <r>
      <rPr>
        <sz val="9"/>
        <rFont val="Times New Roman"/>
        <family val="1"/>
      </rPr>
      <t xml:space="preserve"> Según requerimiento de la Residencia Universitaria, se estima un total de 2550 unidades (raciones) por solicitud de provision. Cabe aclarar que cada RACION se compone por las cuatro comidas diarias (desayuno, almuerzo, merienda y  cena) donde se calcula 85 comensales diarios por los 30 dias corridos. </t>
    </r>
  </si>
  <si>
    <r>
      <t>Mantenimiento de oferta:</t>
    </r>
    <r>
      <rPr>
        <sz val="10"/>
        <rFont val="Times New Roman"/>
        <family val="1"/>
      </rPr>
      <t xml:space="preserve"> Treinta (30) días habiles.</t>
    </r>
  </si>
  <si>
    <r>
      <t>Plazos y lugares de entrega:</t>
    </r>
    <r>
      <rPr>
        <sz val="10"/>
        <rFont val="Times New Roman"/>
        <family val="1"/>
      </rPr>
      <t xml:space="preserve"> Sera de 60 dias corridos contados a partir del perfeccionamiento de la Orden de compra abierta respectiva, CON OPCION A PRORROGA POR IGUAL PERIODO. En la RESIDENCIA UNIVERSITARIA "ABUELAS DE PLAZA DE MAYO". Sito en calle Maximio Victoria S/N. San Fernando del Valle de Catamarca.- </t>
    </r>
  </si>
  <si>
    <t>1° TRIMESTRE</t>
  </si>
  <si>
    <t>TOTAL DE PESOS: CINCO MILLONES CIEN MIL CON 00/100.</t>
  </si>
  <si>
    <t xml:space="preserve">Costo total estimado:  PESOS CINCO MILLONES CIEN MIL CON 00/100 </t>
  </si>
  <si>
    <t>PROVISIÓN DEL SERVICIO DE CATERING CON DESTINO A 85 ESTUDIANTES DE LA RESIDENCIA UNIVERSITARIA POR UN PERIODO DE 60 DÍAS CORRIDOS, CON OPCION A PRORROGA POR IGUAL PERIODO.</t>
  </si>
</sst>
</file>

<file path=xl/styles.xml><?xml version="1.0" encoding="utf-8"?>
<styleSheet xmlns="http://schemas.openxmlformats.org/spreadsheetml/2006/main">
  <numFmts count="9">
    <numFmt numFmtId="8" formatCode="&quot;$&quot;\ #,##0.00;[Red]&quot;$&quot;\ \-#,##0.00"/>
    <numFmt numFmtId="164" formatCode="_-&quot;$&quot;* #,##0.00_-;\-&quot;$&quot;* #,##0.00_-;_-&quot;$&quot;* &quot;-&quot;??_-;_-@_-"/>
    <numFmt numFmtId="165" formatCode="_-* #,##0.00&quot; €&quot;_-;\-* #,##0.00&quot; €&quot;_-;_-* \-??&quot; €&quot;_-;_-@_-"/>
    <numFmt numFmtId="166" formatCode="[$$-2C0A]\ #,##0.00;[$$-2C0A]&quot; -&quot;#,##0.00"/>
    <numFmt numFmtId="167" formatCode="[$$-2C0A]\ #,##0.00"/>
    <numFmt numFmtId="168" formatCode="&quot;$&quot;\ #,##0.00"/>
    <numFmt numFmtId="169" formatCode="dd\-mm\-yy;@"/>
    <numFmt numFmtId="170" formatCode="_(\$* #,##0.00_);_(\$* \(#,##0.00\);_(\$* \-??_);_(@_)"/>
    <numFmt numFmtId="171" formatCode="#,##0.00\ [$€-1];[Red]\-#,##0.00\ [$€-1]"/>
  </numFmts>
  <fonts count="26">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10"/>
      <name val="Arial"/>
      <family val="2"/>
      <charset val="1"/>
    </font>
    <font>
      <sz val="10"/>
      <name val="Times New Roman"/>
      <family val="1"/>
      <charset val="1"/>
    </font>
    <font>
      <b/>
      <sz val="11"/>
      <name val="Times New Roman"/>
      <family val="1"/>
    </font>
    <font>
      <sz val="11"/>
      <name val="Times New Roman"/>
      <family val="1"/>
    </font>
    <font>
      <b/>
      <u/>
      <sz val="11"/>
      <name val="Times New Roman"/>
      <family val="1"/>
    </font>
    <font>
      <b/>
      <sz val="10"/>
      <name val="Arial"/>
      <family val="2"/>
    </font>
    <font>
      <sz val="9"/>
      <name val="Symbol"/>
      <family val="1"/>
      <charset val="2"/>
    </font>
    <font>
      <u/>
      <sz val="9"/>
      <name val="Times New Roman"/>
      <family val="1"/>
    </font>
    <font>
      <sz val="9"/>
      <color rgb="FFFF000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2">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rgb="FF3D3D3D"/>
      </left>
      <right style="medium">
        <color rgb="FF3D3D3D"/>
      </right>
      <top style="medium">
        <color auto="1"/>
      </top>
      <bottom style="medium">
        <color rgb="FF3D3D3D"/>
      </bottom>
      <diagonal/>
    </border>
    <border>
      <left style="medium">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diagonal/>
    </border>
    <border>
      <left/>
      <right/>
      <top style="medium">
        <color indexed="64"/>
      </top>
      <bottom style="medium">
        <color indexed="64"/>
      </bottom>
      <diagonal/>
    </border>
  </borders>
  <cellStyleXfs count="6">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xf numFmtId="170" fontId="17" fillId="0" borderId="0" applyBorder="0" applyProtection="0"/>
  </cellStyleXfs>
  <cellXfs count="161">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4" fillId="0" borderId="6" xfId="0" applyFont="1" applyBorder="1"/>
    <xf numFmtId="0" fontId="4" fillId="0" borderId="7" xfId="0" applyFont="1" applyBorder="1"/>
    <xf numFmtId="0" fontId="4" fillId="0" borderId="8" xfId="0" applyFont="1" applyBorder="1"/>
    <xf numFmtId="0" fontId="4" fillId="0" borderId="0" xfId="0" applyFont="1" applyBorder="1"/>
    <xf numFmtId="0" fontId="4" fillId="0" borderId="9" xfId="0" applyFont="1" applyBorder="1"/>
    <xf numFmtId="0" fontId="11" fillId="0" borderId="8" xfId="0" applyFont="1" applyBorder="1" applyAlignment="1">
      <alignment horizontal="left" indent="3"/>
    </xf>
    <xf numFmtId="0" fontId="4" fillId="0" borderId="8" xfId="0" applyFont="1" applyBorder="1" applyAlignment="1">
      <alignment horizontal="left" indent="3"/>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5"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10" fillId="0" borderId="4" xfId="0" applyFont="1" applyBorder="1" applyAlignment="1">
      <alignment horizontal="center" vertical="center" wrapText="1"/>
    </xf>
    <xf numFmtId="0" fontId="9" fillId="0" borderId="14" xfId="0" applyFont="1" applyBorder="1" applyAlignment="1">
      <alignment horizontal="center" vertical="center"/>
    </xf>
    <xf numFmtId="0" fontId="10" fillId="4" borderId="15" xfId="0" applyFont="1" applyFill="1" applyBorder="1" applyAlignment="1">
      <alignment horizontal="center" vertical="center" wrapText="1"/>
    </xf>
    <xf numFmtId="167" fontId="10" fillId="0" borderId="16" xfId="0" applyNumberFormat="1" applyFont="1" applyBorder="1" applyAlignment="1">
      <alignment horizontal="right" vertical="center" wrapText="1"/>
    </xf>
    <xf numFmtId="0" fontId="8" fillId="0" borderId="13" xfId="0" applyFont="1" applyBorder="1" applyAlignment="1">
      <alignment horizontal="center" vertical="center" wrapText="1"/>
    </xf>
    <xf numFmtId="0" fontId="14" fillId="0" borderId="17" xfId="0" applyFont="1" applyBorder="1" applyAlignment="1">
      <alignment horizontal="right" vertical="center"/>
    </xf>
    <xf numFmtId="0" fontId="14" fillId="0" borderId="19" xfId="0" applyFont="1" applyBorder="1" applyAlignment="1">
      <alignment vertical="center"/>
    </xf>
    <xf numFmtId="0" fontId="14" fillId="0" borderId="20" xfId="0" applyFont="1" applyBorder="1" applyAlignment="1">
      <alignment vertical="center"/>
    </xf>
    <xf numFmtId="0" fontId="14" fillId="0" borderId="0" xfId="0" applyFont="1" applyBorder="1" applyAlignment="1">
      <alignment vertical="center"/>
    </xf>
    <xf numFmtId="0" fontId="14" fillId="0" borderId="9" xfId="0" applyFont="1" applyBorder="1" applyAlignment="1">
      <alignment vertical="center"/>
    </xf>
    <xf numFmtId="0" fontId="16" fillId="0" borderId="8" xfId="0" applyFont="1" applyBorder="1" applyAlignment="1">
      <alignment horizontal="left" vertical="center"/>
    </xf>
    <xf numFmtId="0" fontId="16" fillId="0" borderId="0" xfId="0" applyFont="1" applyBorder="1" applyAlignment="1">
      <alignment horizontal="left" vertical="center"/>
    </xf>
    <xf numFmtId="0" fontId="15" fillId="0" borderId="0" xfId="0" applyFont="1" applyBorder="1" applyAlignment="1">
      <alignment horizontal="left" vertical="center" wrapText="1" indent="1"/>
    </xf>
    <xf numFmtId="0" fontId="15" fillId="0" borderId="9" xfId="0" applyFont="1" applyBorder="1" applyAlignment="1">
      <alignment horizontal="left" vertical="center" wrapText="1" indent="1"/>
    </xf>
    <xf numFmtId="0" fontId="16" fillId="0" borderId="29"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center" vertical="center" wrapText="1"/>
    </xf>
    <xf numFmtId="168" fontId="16" fillId="0" borderId="2" xfId="0" applyNumberFormat="1" applyFont="1" applyBorder="1" applyAlignment="1">
      <alignment horizontal="center" vertical="center" wrapText="1"/>
    </xf>
    <xf numFmtId="3" fontId="16" fillId="0" borderId="3" xfId="0" applyNumberFormat="1" applyFont="1" applyBorder="1" applyAlignment="1">
      <alignment horizontal="center" vertical="center"/>
    </xf>
    <xf numFmtId="168" fontId="0" fillId="0" borderId="0" xfId="0" applyNumberFormat="1"/>
    <xf numFmtId="0" fontId="17" fillId="0" borderId="0" xfId="0" applyFont="1"/>
    <xf numFmtId="0" fontId="0" fillId="0" borderId="0" xfId="0" applyAlignment="1">
      <alignment horizontal="left"/>
    </xf>
    <xf numFmtId="0" fontId="8" fillId="0" borderId="60" xfId="0" applyFont="1" applyBorder="1" applyAlignment="1">
      <alignment horizontal="center" vertical="center" wrapText="1"/>
    </xf>
    <xf numFmtId="0" fontId="10" fillId="4" borderId="4" xfId="0" applyFont="1" applyFill="1" applyBorder="1" applyAlignment="1">
      <alignment horizontal="center" vertical="center" wrapText="1"/>
    </xf>
    <xf numFmtId="0" fontId="10" fillId="0" borderId="4" xfId="0" applyFont="1" applyBorder="1" applyAlignment="1">
      <alignment horizontal="left" vertical="center" wrapText="1"/>
    </xf>
    <xf numFmtId="164" fontId="18" fillId="0" borderId="4" xfId="4" applyFont="1" applyBorder="1" applyAlignment="1">
      <alignment horizontal="center" vertical="center" wrapText="1"/>
    </xf>
    <xf numFmtId="0" fontId="11" fillId="0" borderId="8" xfId="0" applyFont="1" applyFill="1" applyBorder="1" applyAlignment="1">
      <alignment horizontal="left" indent="3"/>
    </xf>
    <xf numFmtId="3" fontId="19" fillId="0" borderId="6" xfId="0" applyNumberFormat="1" applyFont="1" applyBorder="1" applyAlignment="1"/>
    <xf numFmtId="169" fontId="20" fillId="0" borderId="6" xfId="0" applyNumberFormat="1" applyFont="1" applyBorder="1" applyAlignment="1">
      <alignment horizontal="left"/>
    </xf>
    <xf numFmtId="0" fontId="20" fillId="0" borderId="6" xfId="0" applyFont="1" applyBorder="1"/>
    <xf numFmtId="0" fontId="20" fillId="0" borderId="8" xfId="0" applyFont="1" applyBorder="1"/>
    <xf numFmtId="0" fontId="20" fillId="0" borderId="0" xfId="0" applyFont="1" applyBorder="1"/>
    <xf numFmtId="0" fontId="20" fillId="0" borderId="0" xfId="0" applyFont="1" applyBorder="1" applyAlignment="1">
      <alignment horizontal="left"/>
    </xf>
    <xf numFmtId="169" fontId="20" fillId="0" borderId="0" xfId="0" applyNumberFormat="1" applyFont="1" applyBorder="1" applyAlignment="1">
      <alignment horizontal="left"/>
    </xf>
    <xf numFmtId="0" fontId="20" fillId="0" borderId="9" xfId="0" applyFont="1" applyBorder="1"/>
    <xf numFmtId="0" fontId="20" fillId="0" borderId="19" xfId="0" applyFont="1" applyBorder="1"/>
    <xf numFmtId="0" fontId="20" fillId="0" borderId="20" xfId="0" applyFont="1" applyBorder="1"/>
    <xf numFmtId="0" fontId="20" fillId="0" borderId="20" xfId="0" applyFont="1" applyBorder="1" applyAlignment="1">
      <alignment horizontal="left"/>
    </xf>
    <xf numFmtId="0" fontId="20" fillId="0" borderId="38" xfId="0" applyFont="1" applyBorder="1"/>
    <xf numFmtId="0" fontId="19" fillId="0" borderId="41" xfId="0" applyFont="1" applyBorder="1" applyAlignment="1">
      <alignment horizontal="center" vertical="center"/>
    </xf>
    <xf numFmtId="0" fontId="19" fillId="0" borderId="42" xfId="0" applyFont="1" applyBorder="1" applyAlignment="1">
      <alignment horizontal="center" vertical="center"/>
    </xf>
    <xf numFmtId="0" fontId="19" fillId="0" borderId="42" xfId="0" applyFont="1" applyBorder="1" applyAlignment="1">
      <alignment horizontal="left" vertical="center"/>
    </xf>
    <xf numFmtId="0" fontId="19" fillId="0" borderId="43" xfId="0" applyFont="1" applyBorder="1" applyAlignment="1">
      <alignment horizontal="center" vertical="center"/>
    </xf>
    <xf numFmtId="0" fontId="19" fillId="0" borderId="44" xfId="0" applyFont="1" applyBorder="1" applyAlignment="1">
      <alignment horizontal="center" vertical="center"/>
    </xf>
    <xf numFmtId="0" fontId="20" fillId="0" borderId="45" xfId="0" applyFont="1" applyBorder="1" applyAlignment="1">
      <alignment horizontal="center" vertical="center"/>
    </xf>
    <xf numFmtId="0" fontId="20" fillId="0" borderId="46" xfId="0" applyFont="1" applyBorder="1" applyAlignment="1">
      <alignment horizontal="center" vertical="center"/>
    </xf>
    <xf numFmtId="0" fontId="20" fillId="0" borderId="47" xfId="0" applyFont="1" applyBorder="1" applyAlignment="1">
      <alignment horizontal="center" vertical="center"/>
    </xf>
    <xf numFmtId="166" fontId="20" fillId="0" borderId="48" xfId="5" applyNumberFormat="1" applyFont="1" applyBorder="1" applyAlignment="1" applyProtection="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51" xfId="0" applyFont="1" applyBorder="1" applyAlignment="1">
      <alignment horizontal="center" vertical="center"/>
    </xf>
    <xf numFmtId="0" fontId="20" fillId="0" borderId="52" xfId="0" applyFont="1" applyBorder="1" applyAlignment="1">
      <alignment horizontal="center" vertical="center"/>
    </xf>
    <xf numFmtId="166" fontId="20" fillId="0" borderId="53" xfId="5" applyNumberFormat="1" applyFont="1" applyBorder="1" applyAlignment="1" applyProtection="1">
      <alignment horizontal="center" vertical="center"/>
    </xf>
    <xf numFmtId="0" fontId="20" fillId="0" borderId="54" xfId="0" applyFont="1" applyBorder="1" applyAlignment="1">
      <alignment horizontal="center" vertical="center"/>
    </xf>
    <xf numFmtId="0" fontId="20" fillId="0" borderId="55" xfId="0" applyFont="1" applyBorder="1" applyAlignment="1">
      <alignment horizontal="center" vertical="center"/>
    </xf>
    <xf numFmtId="0" fontId="20" fillId="0" borderId="56" xfId="0" applyFont="1" applyBorder="1" applyAlignment="1">
      <alignment horizontal="center" vertical="center"/>
    </xf>
    <xf numFmtId="166" fontId="20" fillId="0" borderId="57" xfId="5" applyNumberFormat="1" applyFont="1" applyBorder="1" applyAlignment="1" applyProtection="1">
      <alignment horizontal="center" vertical="center"/>
    </xf>
    <xf numFmtId="166" fontId="19" fillId="0" borderId="59" xfId="0" applyNumberFormat="1" applyFont="1" applyBorder="1" applyAlignment="1">
      <alignment horizontal="center" vertical="center"/>
    </xf>
    <xf numFmtId="167" fontId="0" fillId="0" borderId="0" xfId="0" applyNumberFormat="1"/>
    <xf numFmtId="165" fontId="3" fillId="0" borderId="0" xfId="1"/>
    <xf numFmtId="8" fontId="0" fillId="0" borderId="0" xfId="0" applyNumberFormat="1"/>
    <xf numFmtId="171" fontId="0" fillId="0" borderId="0" xfId="0" applyNumberFormat="1"/>
    <xf numFmtId="0" fontId="22" fillId="0" borderId="0" xfId="0" applyFont="1"/>
    <xf numFmtId="166" fontId="20" fillId="0" borderId="0" xfId="5" applyNumberFormat="1" applyFont="1" applyBorder="1" applyAlignment="1" applyProtection="1">
      <alignment horizontal="center" vertical="center"/>
    </xf>
    <xf numFmtId="0" fontId="0" fillId="0" borderId="0" xfId="0" applyBorder="1"/>
    <xf numFmtId="0" fontId="15" fillId="0" borderId="18" xfId="0" applyFont="1" applyFill="1" applyBorder="1" applyAlignment="1">
      <alignment horizontal="center" vertical="center"/>
    </xf>
    <xf numFmtId="0" fontId="4" fillId="0" borderId="0" xfId="0" applyFont="1" applyBorder="1" applyAlignment="1">
      <alignment horizontal="center" wrapText="1"/>
    </xf>
    <xf numFmtId="0" fontId="4" fillId="0" borderId="9" xfId="0" applyFont="1" applyBorder="1" applyAlignment="1">
      <alignment horizontal="center" wrapText="1"/>
    </xf>
    <xf numFmtId="0" fontId="4" fillId="0" borderId="0" xfId="0" applyFont="1" applyFill="1" applyBorder="1" applyAlignment="1">
      <alignment horizontal="left" vertical="top" wrapText="1"/>
    </xf>
    <xf numFmtId="0" fontId="4" fillId="0" borderId="9" xfId="0" applyFont="1" applyFill="1" applyBorder="1" applyAlignment="1">
      <alignment horizontal="left" vertical="top" wrapText="1"/>
    </xf>
    <xf numFmtId="0" fontId="9" fillId="0" borderId="5" xfId="0" applyFont="1" applyBorder="1" applyAlignment="1">
      <alignment horizontal="left" vertical="top" wrapText="1"/>
    </xf>
    <xf numFmtId="0" fontId="23" fillId="0" borderId="6" xfId="0" applyFont="1" applyBorder="1" applyAlignment="1">
      <alignment horizontal="left" vertical="top" wrapText="1"/>
    </xf>
    <xf numFmtId="0" fontId="23" fillId="0" borderId="7" xfId="0" applyFont="1" applyBorder="1" applyAlignment="1">
      <alignment horizontal="left" vertical="top" wrapText="1"/>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9" fillId="0" borderId="31" xfId="0" applyFont="1" applyBorder="1" applyAlignment="1">
      <alignment horizontal="center" vertical="top" wrapText="1"/>
    </xf>
    <xf numFmtId="0" fontId="23" fillId="0" borderId="61" xfId="0" applyFont="1" applyBorder="1" applyAlignment="1">
      <alignment horizontal="center" vertical="top" wrapText="1"/>
    </xf>
    <xf numFmtId="0" fontId="23" fillId="0" borderId="32" xfId="0" applyFont="1" applyBorder="1" applyAlignment="1">
      <alignment horizontal="center" vertical="top" wrapText="1"/>
    </xf>
    <xf numFmtId="0" fontId="4" fillId="4" borderId="0"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applyAlignment="1">
      <alignment horizontal="left" vertical="top" wrapText="1"/>
    </xf>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4" borderId="0" xfId="0" applyFont="1" applyFill="1" applyBorder="1" applyAlignment="1">
      <alignment horizontal="left" wrapText="1" indent="1"/>
    </xf>
    <xf numFmtId="0" fontId="4" fillId="0" borderId="5" xfId="0" applyFont="1" applyBorder="1" applyAlignment="1">
      <alignment horizontal="center" wrapText="1"/>
    </xf>
    <xf numFmtId="0" fontId="11" fillId="0" borderId="6" xfId="0" applyFont="1" applyBorder="1" applyAlignment="1">
      <alignment horizontal="center" wrapText="1"/>
    </xf>
    <xf numFmtId="0" fontId="11" fillId="0" borderId="7" xfId="0" applyFont="1" applyBorder="1" applyAlignment="1">
      <alignment horizontal="center" wrapText="1"/>
    </xf>
    <xf numFmtId="0" fontId="4" fillId="0" borderId="8" xfId="0" applyFont="1" applyBorder="1" applyAlignment="1">
      <alignment horizontal="center" wrapText="1"/>
    </xf>
    <xf numFmtId="0" fontId="4" fillId="0" borderId="0" xfId="0" applyFont="1" applyBorder="1" applyAlignment="1">
      <alignment horizontal="center" wrapText="1"/>
    </xf>
    <xf numFmtId="0" fontId="4" fillId="0" borderId="9" xfId="0" applyFont="1" applyBorder="1" applyAlignment="1">
      <alignment horizontal="center" wrapText="1"/>
    </xf>
    <xf numFmtId="0" fontId="10" fillId="0" borderId="8"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9"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30" xfId="0" applyFont="1" applyBorder="1" applyAlignment="1">
      <alignment horizontal="left" vertical="center" wrapText="1" indent="1"/>
    </xf>
    <xf numFmtId="167" fontId="16" fillId="0" borderId="30" xfId="0" applyNumberFormat="1"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wrapText="1"/>
    </xf>
    <xf numFmtId="0" fontId="15" fillId="0" borderId="28" xfId="0" applyFont="1" applyBorder="1" applyAlignment="1">
      <alignment horizontal="center" vertical="center" wrapText="1"/>
    </xf>
    <xf numFmtId="0" fontId="16" fillId="0" borderId="21" xfId="0" applyFont="1" applyBorder="1" applyAlignment="1">
      <alignment horizontal="left" vertical="center" wrapText="1"/>
    </xf>
    <xf numFmtId="0" fontId="15" fillId="0" borderId="13" xfId="0" applyFont="1" applyBorder="1" applyAlignment="1">
      <alignment horizontal="left" vertical="center" wrapText="1" indent="1"/>
    </xf>
    <xf numFmtId="0" fontId="16" fillId="0" borderId="22" xfId="0" applyFont="1" applyBorder="1" applyAlignment="1">
      <alignment horizontal="left" vertical="center" wrapText="1"/>
    </xf>
    <xf numFmtId="0" fontId="16" fillId="0" borderId="23" xfId="0" applyFont="1" applyBorder="1" applyAlignment="1">
      <alignment horizontal="left" vertical="center"/>
    </xf>
    <xf numFmtId="0" fontId="15" fillId="0" borderId="24" xfId="0" applyFont="1" applyBorder="1" applyAlignment="1">
      <alignment horizontal="left" vertical="center" wrapText="1" indent="1"/>
    </xf>
    <xf numFmtId="0" fontId="13" fillId="0" borderId="5" xfId="0" applyFont="1" applyBorder="1" applyAlignment="1">
      <alignment horizontal="center" vertical="center"/>
    </xf>
    <xf numFmtId="0" fontId="20" fillId="0" borderId="36" xfId="0" applyFont="1" applyBorder="1"/>
    <xf numFmtId="0" fontId="19" fillId="0" borderId="13" xfId="0" applyFont="1" applyBorder="1" applyAlignment="1">
      <alignment vertical="center" wrapText="1"/>
    </xf>
    <xf numFmtId="0" fontId="20" fillId="0" borderId="40" xfId="0" applyFont="1" applyBorder="1" applyAlignment="1">
      <alignment vertical="center" wrapText="1"/>
    </xf>
    <xf numFmtId="0" fontId="20" fillId="0" borderId="30" xfId="0" applyFont="1" applyBorder="1" applyAlignment="1">
      <alignment horizontal="left" vertical="center" wrapText="1" indent="1"/>
    </xf>
    <xf numFmtId="0" fontId="20" fillId="0" borderId="52" xfId="0" applyFont="1" applyBorder="1" applyAlignment="1">
      <alignment horizontal="left" vertical="center"/>
    </xf>
    <xf numFmtId="0" fontId="20" fillId="0" borderId="52" xfId="0" applyFont="1" applyBorder="1" applyAlignment="1">
      <alignment horizontal="center"/>
    </xf>
    <xf numFmtId="0" fontId="20" fillId="0" borderId="52" xfId="0" applyFont="1" applyBorder="1" applyAlignment="1">
      <alignment horizontal="center" vertical="center"/>
    </xf>
    <xf numFmtId="0" fontId="20" fillId="0" borderId="55" xfId="0" applyFont="1" applyBorder="1" applyAlignment="1">
      <alignment horizontal="left" vertical="center"/>
    </xf>
    <xf numFmtId="0" fontId="19" fillId="0" borderId="58" xfId="0" applyFont="1" applyBorder="1" applyAlignment="1">
      <alignment horizontal="left" vertical="center" wrapText="1"/>
    </xf>
    <xf numFmtId="0" fontId="20" fillId="0" borderId="46" xfId="0" applyFont="1" applyBorder="1" applyAlignment="1">
      <alignment horizontal="left" vertical="center" wrapText="1"/>
    </xf>
    <xf numFmtId="0" fontId="20" fillId="0" borderId="33" xfId="0" applyFont="1" applyBorder="1" applyAlignment="1">
      <alignment horizontal="left" vertical="center" wrapText="1"/>
    </xf>
    <xf numFmtId="0" fontId="20" fillId="0" borderId="34" xfId="0" applyFont="1" applyBorder="1" applyAlignment="1">
      <alignment horizontal="left" indent="1"/>
    </xf>
    <xf numFmtId="0" fontId="21" fillId="0" borderId="35" xfId="0" applyFont="1" applyBorder="1" applyAlignment="1">
      <alignment horizontal="left"/>
    </xf>
    <xf numFmtId="0" fontId="20" fillId="0" borderId="36" xfId="0" applyFont="1" applyBorder="1" applyAlignment="1">
      <alignment horizontal="left"/>
    </xf>
    <xf numFmtId="0" fontId="4" fillId="0" borderId="37" xfId="0" applyNumberFormat="1" applyFont="1" applyBorder="1" applyAlignment="1">
      <alignment horizontal="justify" vertical="center" wrapText="1"/>
    </xf>
    <xf numFmtId="0" fontId="19" fillId="0" borderId="36" xfId="0" applyFont="1" applyBorder="1" applyAlignment="1">
      <alignment horizontal="center" vertical="center"/>
    </xf>
    <xf numFmtId="0" fontId="19" fillId="0" borderId="33" xfId="0" applyFont="1" applyBorder="1" applyAlignment="1">
      <alignment horizontal="center" vertical="center"/>
    </xf>
    <xf numFmtId="0" fontId="19" fillId="0" borderId="39" xfId="0" applyFont="1" applyBorder="1" applyAlignment="1">
      <alignment horizontal="center" vertical="center" wrapText="1"/>
    </xf>
    <xf numFmtId="0" fontId="19" fillId="0" borderId="40" xfId="0" applyFont="1" applyBorder="1" applyAlignment="1">
      <alignment horizontal="center" vertical="center"/>
    </xf>
    <xf numFmtId="0" fontId="20" fillId="0" borderId="31" xfId="0" applyFont="1" applyBorder="1" applyAlignment="1">
      <alignment horizontal="center"/>
    </xf>
    <xf numFmtId="0" fontId="19" fillId="0" borderId="32" xfId="0" applyNumberFormat="1" applyFont="1" applyBorder="1" applyAlignment="1">
      <alignment horizontal="center"/>
    </xf>
    <xf numFmtId="0" fontId="19" fillId="0" borderId="18" xfId="0" applyFont="1" applyBorder="1" applyAlignment="1">
      <alignment horizontal="center" vertical="center" wrapText="1"/>
    </xf>
    <xf numFmtId="0" fontId="20" fillId="0" borderId="33" xfId="0" applyFont="1" applyBorder="1"/>
    <xf numFmtId="0" fontId="11" fillId="0" borderId="10" xfId="0" applyFont="1" applyBorder="1" applyAlignment="1">
      <alignment horizontal="left" vertical="top"/>
    </xf>
    <xf numFmtId="0" fontId="9" fillId="0" borderId="31" xfId="0" applyFont="1" applyBorder="1" applyAlignment="1">
      <alignment horizontal="left" vertical="top" wrapText="1"/>
    </xf>
    <xf numFmtId="0" fontId="23" fillId="0" borderId="61" xfId="0" applyFont="1" applyBorder="1" applyAlignment="1">
      <alignment horizontal="left" vertical="top" wrapText="1"/>
    </xf>
    <xf numFmtId="0" fontId="23" fillId="0" borderId="32" xfId="0" applyFont="1" applyBorder="1" applyAlignment="1">
      <alignment horizontal="left" vertical="top" wrapText="1"/>
    </xf>
    <xf numFmtId="0" fontId="11" fillId="0" borderId="8" xfId="0" applyFont="1" applyBorder="1" applyAlignment="1">
      <alignment horizontal="center" wrapText="1"/>
    </xf>
    <xf numFmtId="0" fontId="11" fillId="0" borderId="0" xfId="0" applyFont="1" applyBorder="1" applyAlignment="1">
      <alignment horizontal="center" wrapText="1"/>
    </xf>
    <xf numFmtId="0" fontId="11" fillId="0" borderId="9" xfId="0" applyFont="1" applyBorder="1" applyAlignment="1">
      <alignment horizontal="center" wrapText="1"/>
    </xf>
    <xf numFmtId="0" fontId="3" fillId="0" borderId="0" xfId="0" applyFont="1"/>
    <xf numFmtId="3" fontId="10" fillId="4" borderId="4" xfId="0" applyNumberFormat="1" applyFont="1" applyFill="1" applyBorder="1" applyAlignment="1">
      <alignment horizontal="center" vertical="center" wrapText="1"/>
    </xf>
  </cellXfs>
  <cellStyles count="6">
    <cellStyle name="Encabezado 1" xfId="2"/>
    <cellStyle name="Moneda" xfId="1" builtinId="4"/>
    <cellStyle name="Moneda 2" xfId="4"/>
    <cellStyle name="Moneda_AUTORIZACION Y NOTA DE PEDIDO" xfId="5"/>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34"/>
  <sheetViews>
    <sheetView topLeftCell="A19" workbookViewId="0">
      <selection sqref="A1:I29"/>
    </sheetView>
  </sheetViews>
  <sheetFormatPr baseColWidth="10" defaultRowHeight="12.75"/>
  <cols>
    <col min="1" max="1" width="4.5703125" style="1" customWidth="1"/>
    <col min="2" max="2" width="18" style="1" customWidth="1"/>
    <col min="3" max="3" width="35.140625" style="1" customWidth="1"/>
    <col min="4" max="4" width="8.42578125" style="1" customWidth="1"/>
    <col min="5" max="5" width="62.7109375" style="1" customWidth="1"/>
    <col min="6" max="6" width="9.85546875" style="1" customWidth="1"/>
    <col min="7" max="7" width="11" style="1" customWidth="1"/>
    <col min="8" max="8" width="13" style="1" customWidth="1"/>
    <col min="9" max="9" width="12.28515625" style="1" customWidth="1"/>
    <col min="10" max="16384" width="11.42578125" style="1"/>
  </cols>
  <sheetData>
    <row r="1" spans="1:9" ht="27">
      <c r="B1" s="104" t="s">
        <v>0</v>
      </c>
      <c r="C1" s="104"/>
      <c r="D1" s="104"/>
      <c r="E1" s="104"/>
      <c r="F1" s="104"/>
      <c r="G1" s="104"/>
      <c r="H1" s="104"/>
    </row>
    <row r="3" spans="1:9" ht="18" customHeight="1">
      <c r="A3" s="105" t="s">
        <v>1</v>
      </c>
      <c r="B3" s="105"/>
      <c r="C3" s="106" t="s">
        <v>14</v>
      </c>
      <c r="D3" s="106"/>
      <c r="E3" s="106"/>
      <c r="F3" s="2"/>
      <c r="G3" s="3"/>
      <c r="H3" s="2"/>
    </row>
    <row r="4" spans="1:9" ht="18" customHeight="1">
      <c r="A4" s="105" t="s">
        <v>2</v>
      </c>
      <c r="B4" s="105"/>
      <c r="C4" s="106" t="s">
        <v>15</v>
      </c>
      <c r="D4" s="106"/>
      <c r="E4" s="106"/>
      <c r="F4" s="2"/>
      <c r="G4" s="3"/>
      <c r="H4" s="2"/>
    </row>
    <row r="5" spans="1:9" ht="16.5" customHeight="1">
      <c r="A5" s="105" t="s">
        <v>3</v>
      </c>
      <c r="B5" s="105"/>
      <c r="C5" s="11">
        <v>2022</v>
      </c>
      <c r="D5" s="12"/>
      <c r="E5" s="12"/>
      <c r="F5" s="2"/>
      <c r="G5" s="3"/>
      <c r="H5" s="2"/>
    </row>
    <row r="6" spans="1:9" ht="16.5" customHeight="1">
      <c r="A6" s="105" t="s">
        <v>4</v>
      </c>
      <c r="B6" s="105"/>
      <c r="C6" s="11" t="s">
        <v>80</v>
      </c>
      <c r="D6" s="12"/>
      <c r="E6" s="12"/>
      <c r="F6" s="2"/>
      <c r="G6" s="3"/>
      <c r="H6" s="2"/>
    </row>
    <row r="7" spans="1:9" ht="13.5" thickBot="1">
      <c r="B7" s="2"/>
      <c r="C7" s="3"/>
      <c r="D7" s="2"/>
      <c r="E7" s="2"/>
      <c r="F7" s="2"/>
      <c r="G7" s="3"/>
      <c r="H7" s="2"/>
    </row>
    <row r="8" spans="1:9" ht="39" thickBot="1">
      <c r="A8" s="25" t="s">
        <v>5</v>
      </c>
      <c r="B8" s="43" t="s">
        <v>6</v>
      </c>
      <c r="C8" s="43" t="s">
        <v>7</v>
      </c>
      <c r="D8" s="43" t="s">
        <v>8</v>
      </c>
      <c r="E8" s="43" t="s">
        <v>9</v>
      </c>
      <c r="F8" s="25" t="s">
        <v>10</v>
      </c>
      <c r="G8" s="25" t="s">
        <v>11</v>
      </c>
      <c r="H8" s="25" t="s">
        <v>12</v>
      </c>
      <c r="I8" s="25" t="s">
        <v>13</v>
      </c>
    </row>
    <row r="9" spans="1:9" ht="30" customHeight="1">
      <c r="A9" s="22">
        <v>1</v>
      </c>
      <c r="B9" s="44" t="s">
        <v>54</v>
      </c>
      <c r="C9" s="45" t="s">
        <v>55</v>
      </c>
      <c r="D9" s="21" t="str">
        <f t="shared" ref="D9" si="0">LEFT(B9,5)</f>
        <v>3.9.9</v>
      </c>
      <c r="E9" s="45" t="s">
        <v>56</v>
      </c>
      <c r="F9" s="23" t="s">
        <v>62</v>
      </c>
      <c r="G9" s="160">
        <f>+NDP!K12</f>
        <v>5100</v>
      </c>
      <c r="H9" s="46">
        <f>+NDP!J12</f>
        <v>1000</v>
      </c>
      <c r="I9" s="24">
        <f>+APG!Q15</f>
        <v>5100000</v>
      </c>
    </row>
    <row r="10" spans="1:9" ht="13.5" thickBot="1">
      <c r="A10" s="13"/>
      <c r="B10" s="20"/>
      <c r="C10" s="15"/>
      <c r="D10" s="19"/>
      <c r="E10" s="16"/>
      <c r="F10" s="14"/>
      <c r="G10" s="14"/>
      <c r="H10" s="17"/>
      <c r="I10" s="17"/>
    </row>
    <row r="11" spans="1:9">
      <c r="B11" s="18" t="s">
        <v>57</v>
      </c>
      <c r="C11" s="4"/>
      <c r="D11" s="4"/>
      <c r="E11" s="5"/>
    </row>
    <row r="12" spans="1:9" ht="5.25" customHeight="1">
      <c r="B12" s="6"/>
      <c r="C12" s="7"/>
      <c r="D12" s="7"/>
      <c r="E12" s="8"/>
    </row>
    <row r="13" spans="1:9" ht="12.75" customHeight="1">
      <c r="B13" s="113" t="s">
        <v>76</v>
      </c>
      <c r="C13" s="114"/>
      <c r="D13" s="114"/>
      <c r="E13" s="115"/>
    </row>
    <row r="14" spans="1:9" ht="34.5" customHeight="1">
      <c r="B14" s="113"/>
      <c r="C14" s="114"/>
      <c r="D14" s="114"/>
      <c r="E14" s="115"/>
    </row>
    <row r="15" spans="1:9" ht="34.5" customHeight="1" thickBot="1">
      <c r="B15" s="110" t="s">
        <v>69</v>
      </c>
      <c r="C15" s="111"/>
      <c r="D15" s="111"/>
      <c r="E15" s="112"/>
    </row>
    <row r="16" spans="1:9" ht="34.5" customHeight="1">
      <c r="B16" s="91" t="s">
        <v>72</v>
      </c>
      <c r="C16" s="92"/>
      <c r="D16" s="92"/>
      <c r="E16" s="93"/>
    </row>
    <row r="17" spans="2:5" ht="121.5" customHeight="1" thickBot="1">
      <c r="B17" s="94"/>
      <c r="C17" s="95"/>
      <c r="D17" s="95"/>
      <c r="E17" s="96"/>
    </row>
    <row r="18" spans="2:5" ht="36.75" customHeight="1" thickBot="1">
      <c r="B18" s="97" t="s">
        <v>73</v>
      </c>
      <c r="C18" s="98"/>
      <c r="D18" s="98"/>
      <c r="E18" s="99"/>
    </row>
    <row r="19" spans="2:5" ht="36.75" customHeight="1" thickBot="1">
      <c r="B19" s="153" t="s">
        <v>77</v>
      </c>
      <c r="C19" s="154"/>
      <c r="D19" s="154"/>
      <c r="E19" s="155"/>
    </row>
    <row r="20" spans="2:5" ht="48.75" customHeight="1">
      <c r="B20" s="107" t="s">
        <v>66</v>
      </c>
      <c r="C20" s="108"/>
      <c r="D20" s="108"/>
      <c r="E20" s="109"/>
    </row>
    <row r="21" spans="2:5" ht="48.75" customHeight="1">
      <c r="B21" s="110" t="s">
        <v>67</v>
      </c>
      <c r="C21" s="111"/>
      <c r="D21" s="111"/>
      <c r="E21" s="112"/>
    </row>
    <row r="22" spans="2:5" ht="48.75" customHeight="1">
      <c r="B22" s="110" t="s">
        <v>68</v>
      </c>
      <c r="C22" s="111"/>
      <c r="D22" s="111"/>
      <c r="E22" s="112"/>
    </row>
    <row r="23" spans="2:5">
      <c r="B23" s="6"/>
      <c r="C23" s="7"/>
      <c r="D23" s="7"/>
      <c r="E23" s="8"/>
    </row>
    <row r="24" spans="2:5" ht="41.25" customHeight="1">
      <c r="B24" s="156" t="s">
        <v>79</v>
      </c>
      <c r="C24" s="157"/>
      <c r="D24" s="157"/>
      <c r="E24" s="158"/>
    </row>
    <row r="25" spans="2:5">
      <c r="B25" s="10"/>
      <c r="C25" s="89"/>
      <c r="D25" s="89"/>
      <c r="E25" s="90"/>
    </row>
    <row r="26" spans="2:5">
      <c r="B26" s="9" t="s">
        <v>75</v>
      </c>
      <c r="C26" s="7"/>
      <c r="D26" s="7"/>
      <c r="E26" s="8"/>
    </row>
    <row r="27" spans="2:5">
      <c r="B27" s="10"/>
      <c r="C27" s="100"/>
      <c r="D27" s="100"/>
      <c r="E27" s="101"/>
    </row>
    <row r="28" spans="2:5">
      <c r="B28" s="47" t="s">
        <v>78</v>
      </c>
      <c r="C28" s="87"/>
      <c r="D28" s="87"/>
      <c r="E28" s="88"/>
    </row>
    <row r="29" spans="2:5" ht="48" customHeight="1" thickBot="1">
      <c r="B29" s="152" t="s">
        <v>71</v>
      </c>
      <c r="C29" s="102" t="s">
        <v>70</v>
      </c>
      <c r="D29" s="102"/>
      <c r="E29" s="103"/>
    </row>
    <row r="34" spans="5:5">
      <c r="E34"/>
    </row>
  </sheetData>
  <mergeCells count="18">
    <mergeCell ref="A5:B5"/>
    <mergeCell ref="A6:B6"/>
    <mergeCell ref="B20:E20"/>
    <mergeCell ref="B21:E21"/>
    <mergeCell ref="B13:E14"/>
    <mergeCell ref="B15:E15"/>
    <mergeCell ref="B19:E19"/>
    <mergeCell ref="B1:H1"/>
    <mergeCell ref="A3:B3"/>
    <mergeCell ref="C3:E3"/>
    <mergeCell ref="A4:B4"/>
    <mergeCell ref="C4:E4"/>
    <mergeCell ref="B16:E17"/>
    <mergeCell ref="B18:E18"/>
    <mergeCell ref="C27:E27"/>
    <mergeCell ref="C29:E29"/>
    <mergeCell ref="B22:E22"/>
    <mergeCell ref="B24:E24"/>
  </mergeCells>
  <pageMargins left="0.25" right="0.25" top="0.75" bottom="0.75" header="0.3" footer="0.3"/>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O13"/>
  <sheetViews>
    <sheetView tabSelected="1" workbookViewId="0">
      <selection activeCell="H18" sqref="H18"/>
    </sheetView>
  </sheetViews>
  <sheetFormatPr baseColWidth="10" defaultColWidth="9.140625" defaultRowHeight="12.75"/>
  <cols>
    <col min="1" max="1" width="5.85546875" customWidth="1"/>
    <col min="2" max="2" width="9.7109375" customWidth="1"/>
    <col min="3" max="3" width="4.7109375" customWidth="1"/>
    <col min="4" max="4" width="7.7109375" customWidth="1"/>
    <col min="5" max="5" width="7" customWidth="1"/>
    <col min="6" max="6" width="6.7109375" customWidth="1"/>
    <col min="7" max="7" width="4.42578125" customWidth="1"/>
    <col min="8" max="8" width="8.5703125" customWidth="1"/>
    <col min="9" max="9" width="10.7109375" customWidth="1"/>
    <col min="10" max="10" width="15.5703125" customWidth="1"/>
    <col min="11" max="11" width="10" customWidth="1"/>
    <col min="12" max="12" width="17" customWidth="1"/>
    <col min="13" max="13" width="15.42578125" bestFit="1" customWidth="1"/>
    <col min="15" max="15" width="18.28515625" customWidth="1"/>
  </cols>
  <sheetData>
    <row r="1" spans="1:15" ht="16.5" thickBot="1">
      <c r="A1" s="128" t="s">
        <v>16</v>
      </c>
      <c r="B1" s="128"/>
      <c r="C1" s="128"/>
      <c r="D1" s="128"/>
      <c r="E1" s="128"/>
      <c r="F1" s="128"/>
      <c r="G1" s="128"/>
      <c r="H1" s="128"/>
      <c r="I1" s="128"/>
      <c r="J1" s="26" t="s">
        <v>17</v>
      </c>
      <c r="K1" s="86" t="s">
        <v>65</v>
      </c>
    </row>
    <row r="2" spans="1:15" ht="15" thickBot="1">
      <c r="A2" s="27"/>
      <c r="B2" s="28"/>
      <c r="C2" s="28"/>
      <c r="D2" s="29"/>
      <c r="E2" s="29"/>
      <c r="F2" s="29"/>
      <c r="G2" s="29"/>
      <c r="H2" s="29"/>
      <c r="I2" s="29"/>
      <c r="J2" s="29"/>
      <c r="K2" s="30"/>
    </row>
    <row r="3" spans="1:15" ht="15.75" thickBot="1">
      <c r="A3" s="123" t="s">
        <v>18</v>
      </c>
      <c r="B3" s="123"/>
      <c r="C3" s="123"/>
      <c r="D3" s="124" t="s">
        <v>19</v>
      </c>
      <c r="E3" s="124"/>
      <c r="F3" s="124"/>
      <c r="G3" s="124"/>
      <c r="H3" s="124"/>
      <c r="I3" s="124"/>
      <c r="J3" s="124"/>
      <c r="K3" s="124"/>
    </row>
    <row r="4" spans="1:15" ht="15.75" thickBot="1">
      <c r="A4" s="125" t="s">
        <v>20</v>
      </c>
      <c r="B4" s="125"/>
      <c r="C4" s="125"/>
      <c r="D4" s="124">
        <v>26</v>
      </c>
      <c r="E4" s="124"/>
      <c r="F4" s="124"/>
      <c r="G4" s="124"/>
      <c r="H4" s="124"/>
      <c r="I4" s="124"/>
      <c r="J4" s="124"/>
      <c r="K4" s="124"/>
    </row>
    <row r="5" spans="1:15" ht="15.75" thickBot="1">
      <c r="A5" s="125" t="s">
        <v>21</v>
      </c>
      <c r="B5" s="125"/>
      <c r="C5" s="125"/>
      <c r="D5" s="124" t="s">
        <v>59</v>
      </c>
      <c r="E5" s="124"/>
      <c r="F5" s="124"/>
      <c r="G5" s="124"/>
      <c r="H5" s="124"/>
      <c r="I5" s="124"/>
      <c r="J5" s="124"/>
      <c r="K5" s="124"/>
    </row>
    <row r="6" spans="1:15" ht="15.75" customHeight="1" thickBot="1">
      <c r="A6" s="123" t="s">
        <v>22</v>
      </c>
      <c r="B6" s="123"/>
      <c r="C6" s="123"/>
      <c r="D6" s="124" t="s">
        <v>59</v>
      </c>
      <c r="E6" s="124"/>
      <c r="F6" s="124"/>
      <c r="G6" s="124"/>
      <c r="H6" s="124"/>
      <c r="I6" s="124"/>
      <c r="J6" s="124"/>
      <c r="K6" s="124"/>
    </row>
    <row r="7" spans="1:15" ht="15.75" thickBot="1">
      <c r="A7" s="125" t="s">
        <v>23</v>
      </c>
      <c r="B7" s="125"/>
      <c r="C7" s="125"/>
      <c r="D7" s="124" t="s">
        <v>74</v>
      </c>
      <c r="E7" s="124"/>
      <c r="F7" s="124"/>
      <c r="G7" s="124"/>
      <c r="H7" s="124"/>
      <c r="I7" s="124"/>
      <c r="J7" s="124"/>
      <c r="K7" s="124"/>
    </row>
    <row r="8" spans="1:15" ht="15.75" thickBot="1">
      <c r="A8" s="126" t="s">
        <v>24</v>
      </c>
      <c r="B8" s="126"/>
      <c r="C8" s="126"/>
      <c r="D8" s="127" t="s">
        <v>60</v>
      </c>
      <c r="E8" s="127"/>
      <c r="F8" s="127"/>
      <c r="G8" s="127"/>
      <c r="H8" s="127"/>
      <c r="I8" s="127"/>
      <c r="J8" s="127"/>
      <c r="K8" s="127"/>
    </row>
    <row r="9" spans="1:15" ht="15.75" thickBot="1">
      <c r="A9" s="31"/>
      <c r="B9" s="32"/>
      <c r="C9" s="32"/>
      <c r="D9" s="33"/>
      <c r="E9" s="33"/>
      <c r="F9" s="33"/>
      <c r="G9" s="33"/>
      <c r="H9" s="33"/>
      <c r="I9" s="33"/>
      <c r="J9" s="33"/>
      <c r="K9" s="34"/>
    </row>
    <row r="10" spans="1:15" ht="13.5" thickBot="1">
      <c r="A10" s="120" t="s">
        <v>25</v>
      </c>
      <c r="B10" s="121" t="s">
        <v>26</v>
      </c>
      <c r="C10" s="121" t="s">
        <v>27</v>
      </c>
      <c r="D10" s="121"/>
      <c r="E10" s="121"/>
      <c r="F10" s="121"/>
      <c r="G10" s="121"/>
      <c r="H10" s="121" t="s">
        <v>28</v>
      </c>
      <c r="I10" s="121" t="s">
        <v>29</v>
      </c>
      <c r="J10" s="121" t="s">
        <v>30</v>
      </c>
      <c r="K10" s="116" t="s">
        <v>31</v>
      </c>
      <c r="M10" s="40"/>
    </row>
    <row r="11" spans="1:15" ht="17.25" customHeight="1" thickBot="1">
      <c r="A11" s="120"/>
      <c r="B11" s="122"/>
      <c r="C11" s="121"/>
      <c r="D11" s="121"/>
      <c r="E11" s="121"/>
      <c r="F11" s="121"/>
      <c r="G11" s="121"/>
      <c r="H11" s="121"/>
      <c r="I11" s="121"/>
      <c r="J11" s="121"/>
      <c r="K11" s="116"/>
      <c r="O11" s="159"/>
    </row>
    <row r="12" spans="1:15" ht="51.75" customHeight="1">
      <c r="A12" s="35">
        <v>1</v>
      </c>
      <c r="B12" s="44" t="s">
        <v>54</v>
      </c>
      <c r="C12" s="117" t="s">
        <v>56</v>
      </c>
      <c r="D12" s="117"/>
      <c r="E12" s="117"/>
      <c r="F12" s="117"/>
      <c r="G12" s="117"/>
      <c r="H12" s="36" t="s">
        <v>61</v>
      </c>
      <c r="I12" s="37" t="s">
        <v>62</v>
      </c>
      <c r="J12" s="38">
        <v>1000</v>
      </c>
      <c r="K12" s="39">
        <v>5100</v>
      </c>
      <c r="M12" s="80"/>
      <c r="O12" s="40"/>
    </row>
    <row r="13" spans="1:15" ht="44.25" customHeight="1" thickBot="1">
      <c r="A13" s="118" t="s">
        <v>82</v>
      </c>
      <c r="B13" s="118"/>
      <c r="C13" s="118"/>
      <c r="D13" s="118"/>
      <c r="E13" s="118"/>
      <c r="F13" s="118"/>
      <c r="G13" s="118"/>
      <c r="H13" s="118"/>
      <c r="I13" s="118"/>
      <c r="J13" s="119">
        <f>J12*K12</f>
        <v>5100000</v>
      </c>
      <c r="K13" s="119"/>
      <c r="M13" s="79"/>
    </row>
  </sheetData>
  <mergeCells count="23">
    <mergeCell ref="A5:C5"/>
    <mergeCell ref="D5:K5"/>
    <mergeCell ref="A1:I1"/>
    <mergeCell ref="A3:C3"/>
    <mergeCell ref="D3:K3"/>
    <mergeCell ref="A4:C4"/>
    <mergeCell ref="D4:K4"/>
    <mergeCell ref="A6:C6"/>
    <mergeCell ref="D6:K6"/>
    <mergeCell ref="A7:C7"/>
    <mergeCell ref="D7:K7"/>
    <mergeCell ref="A8:C8"/>
    <mergeCell ref="D8:K8"/>
    <mergeCell ref="K10:K11"/>
    <mergeCell ref="C12:G12"/>
    <mergeCell ref="A13:I13"/>
    <mergeCell ref="J13:K13"/>
    <mergeCell ref="A10:A11"/>
    <mergeCell ref="B10:B11"/>
    <mergeCell ref="C10:G11"/>
    <mergeCell ref="H10:H11"/>
    <mergeCell ref="I10:I11"/>
    <mergeCell ref="J10:J11"/>
  </mergeCells>
  <pageMargins left="0.7" right="0.7" top="0.75" bottom="0.75" header="0.3" footer="0.3"/>
  <pageSetup paperSize="5" orientation="portrait" r:id="rId1"/>
</worksheet>
</file>

<file path=xl/worksheets/sheet3.xml><?xml version="1.0" encoding="utf-8"?>
<worksheet xmlns="http://schemas.openxmlformats.org/spreadsheetml/2006/main" xmlns:r="http://schemas.openxmlformats.org/officeDocument/2006/relationships">
  <dimension ref="A1:W27"/>
  <sheetViews>
    <sheetView topLeftCell="A10" workbookViewId="0">
      <selection activeCell="V20" sqref="V20"/>
    </sheetView>
  </sheetViews>
  <sheetFormatPr baseColWidth="10" defaultColWidth="11" defaultRowHeight="12.75"/>
  <cols>
    <col min="1" max="1" width="3.85546875" customWidth="1"/>
    <col min="2" max="2" width="4" customWidth="1"/>
    <col min="3" max="3" width="3.7109375" customWidth="1"/>
    <col min="4" max="5" width="4" customWidth="1"/>
    <col min="6" max="6" width="5.140625" customWidth="1"/>
    <col min="7" max="7" width="4" style="42" customWidth="1"/>
    <col min="8" max="8" width="4.42578125" customWidth="1"/>
    <col min="9" max="9" width="3.7109375" customWidth="1"/>
    <col min="10" max="10" width="3.5703125" customWidth="1"/>
    <col min="11" max="11" width="3.42578125" customWidth="1"/>
    <col min="12" max="14" width="4.42578125" customWidth="1"/>
    <col min="15" max="15" width="11.5703125" customWidth="1"/>
    <col min="16" max="16" width="6.5703125" customWidth="1"/>
    <col min="17" max="17" width="17.42578125" customWidth="1"/>
    <col min="18" max="18" width="11" customWidth="1"/>
    <col min="19" max="19" width="3.28515625" customWidth="1"/>
    <col min="20" max="20" width="18.5703125" bestFit="1" customWidth="1"/>
    <col min="21" max="21" width="11.28515625" customWidth="1"/>
    <col min="22" max="22" width="18.140625" customWidth="1"/>
    <col min="23" max="23" width="15.140625" customWidth="1"/>
  </cols>
  <sheetData>
    <row r="1" spans="1:23" ht="15.75" thickBot="1">
      <c r="A1" s="148" t="s">
        <v>3</v>
      </c>
      <c r="B1" s="148"/>
      <c r="C1" s="148"/>
      <c r="D1" s="149">
        <v>2022</v>
      </c>
      <c r="E1" s="149"/>
      <c r="F1" s="48"/>
      <c r="G1" s="48"/>
      <c r="H1" s="49"/>
      <c r="I1" s="49"/>
      <c r="J1" s="49"/>
      <c r="K1" s="49"/>
      <c r="L1" s="49"/>
      <c r="M1" s="49"/>
      <c r="N1" s="49"/>
      <c r="O1" s="50"/>
      <c r="P1" s="150" t="s">
        <v>32</v>
      </c>
      <c r="Q1" s="150"/>
    </row>
    <row r="2" spans="1:23" ht="29.25" customHeight="1" thickBot="1">
      <c r="A2" s="51"/>
      <c r="B2" s="52"/>
      <c r="C2" s="52"/>
      <c r="D2" s="52"/>
      <c r="E2" s="52"/>
      <c r="F2" s="52"/>
      <c r="G2" s="53"/>
      <c r="H2" s="54"/>
      <c r="I2" s="54"/>
      <c r="J2" s="54"/>
      <c r="K2" s="54"/>
      <c r="L2" s="54"/>
      <c r="M2" s="54"/>
      <c r="N2" s="54"/>
      <c r="O2" s="52"/>
      <c r="P2" s="150"/>
      <c r="Q2" s="150"/>
    </row>
    <row r="3" spans="1:23" ht="15.75" thickBot="1">
      <c r="A3" s="51"/>
      <c r="B3" s="52"/>
      <c r="C3" s="52"/>
      <c r="D3" s="52"/>
      <c r="E3" s="52"/>
      <c r="F3" s="52"/>
      <c r="G3" s="53"/>
      <c r="H3" s="52"/>
      <c r="I3" s="52"/>
      <c r="J3" s="52"/>
      <c r="K3" s="52"/>
      <c r="L3" s="52"/>
      <c r="M3" s="52"/>
      <c r="N3" s="52"/>
      <c r="O3" s="52"/>
      <c r="P3" s="52"/>
      <c r="Q3" s="55"/>
    </row>
    <row r="4" spans="1:23" s="41" customFormat="1" ht="15.75" thickBot="1">
      <c r="A4" s="151" t="s">
        <v>33</v>
      </c>
      <c r="B4" s="151"/>
      <c r="C4" s="151"/>
      <c r="D4" s="151"/>
      <c r="E4" s="151"/>
      <c r="F4" s="151"/>
      <c r="G4" s="140" t="s">
        <v>19</v>
      </c>
      <c r="H4" s="140"/>
      <c r="I4" s="140"/>
      <c r="J4" s="140"/>
      <c r="K4" s="140"/>
      <c r="L4" s="140"/>
      <c r="M4" s="140"/>
      <c r="N4" s="140"/>
      <c r="O4" s="140"/>
      <c r="P4" s="140"/>
      <c r="Q4" s="140"/>
    </row>
    <row r="5" spans="1:23" s="41" customFormat="1" ht="15.75" thickBot="1">
      <c r="A5" s="139" t="s">
        <v>20</v>
      </c>
      <c r="B5" s="139"/>
      <c r="C5" s="139"/>
      <c r="D5" s="139"/>
      <c r="E5" s="139"/>
      <c r="F5" s="139"/>
      <c r="G5" s="140">
        <v>26</v>
      </c>
      <c r="H5" s="140"/>
      <c r="I5" s="140"/>
      <c r="J5" s="140"/>
      <c r="K5" s="140"/>
      <c r="L5" s="140"/>
      <c r="M5" s="140"/>
      <c r="N5" s="140"/>
      <c r="O5" s="140"/>
      <c r="P5" s="140"/>
      <c r="Q5" s="140"/>
    </row>
    <row r="6" spans="1:23" s="41" customFormat="1" ht="15.75" thickBot="1">
      <c r="A6" s="139" t="s">
        <v>21</v>
      </c>
      <c r="B6" s="139"/>
      <c r="C6" s="139"/>
      <c r="D6" s="139"/>
      <c r="E6" s="139"/>
      <c r="F6" s="139"/>
      <c r="G6" s="140" t="s">
        <v>59</v>
      </c>
      <c r="H6" s="140"/>
      <c r="I6" s="140"/>
      <c r="J6" s="140"/>
      <c r="K6" s="140"/>
      <c r="L6" s="140"/>
      <c r="M6" s="140"/>
      <c r="N6" s="140"/>
      <c r="O6" s="140"/>
      <c r="P6" s="140"/>
      <c r="Q6" s="140"/>
    </row>
    <row r="7" spans="1:23" s="41" customFormat="1" ht="15.75" thickBot="1">
      <c r="A7" s="139" t="s">
        <v>22</v>
      </c>
      <c r="B7" s="139"/>
      <c r="C7" s="139"/>
      <c r="D7" s="139"/>
      <c r="E7" s="139"/>
      <c r="F7" s="139"/>
      <c r="G7" s="140" t="s">
        <v>59</v>
      </c>
      <c r="H7" s="140"/>
      <c r="I7" s="140"/>
      <c r="J7" s="140"/>
      <c r="K7" s="140"/>
      <c r="L7" s="140"/>
      <c r="M7" s="140"/>
      <c r="N7" s="140"/>
      <c r="O7" s="140"/>
      <c r="P7" s="140"/>
      <c r="Q7" s="140"/>
    </row>
    <row r="8" spans="1:23" ht="15" thickBot="1">
      <c r="A8" s="141" t="s">
        <v>63</v>
      </c>
      <c r="B8" s="141"/>
      <c r="C8" s="141"/>
      <c r="D8" s="141"/>
      <c r="E8" s="141"/>
      <c r="F8" s="141"/>
      <c r="G8" s="141"/>
      <c r="H8" s="141"/>
      <c r="I8" s="141"/>
      <c r="J8" s="141"/>
      <c r="K8" s="141"/>
      <c r="L8" s="141"/>
      <c r="M8" s="141"/>
      <c r="N8" s="141"/>
      <c r="O8" s="141"/>
      <c r="P8" s="141"/>
      <c r="Q8" s="141"/>
    </row>
    <row r="9" spans="1:23" ht="15">
      <c r="A9" s="142" t="s">
        <v>34</v>
      </c>
      <c r="B9" s="142"/>
      <c r="C9" s="142"/>
      <c r="D9" s="142"/>
      <c r="E9" s="142"/>
      <c r="F9" s="142"/>
      <c r="G9" s="142"/>
      <c r="H9" s="142"/>
      <c r="I9" s="142"/>
      <c r="J9" s="142"/>
      <c r="K9" s="142"/>
      <c r="L9" s="142"/>
      <c r="M9" s="142"/>
      <c r="N9" s="142"/>
      <c r="O9" s="142"/>
      <c r="P9" s="142"/>
      <c r="Q9" s="142"/>
    </row>
    <row r="10" spans="1:23" ht="108" customHeight="1">
      <c r="A10" s="143" t="s">
        <v>64</v>
      </c>
      <c r="B10" s="143"/>
      <c r="C10" s="143"/>
      <c r="D10" s="143"/>
      <c r="E10" s="143"/>
      <c r="F10" s="143"/>
      <c r="G10" s="143"/>
      <c r="H10" s="143"/>
      <c r="I10" s="143"/>
      <c r="J10" s="143"/>
      <c r="K10" s="143"/>
      <c r="L10" s="143"/>
      <c r="M10" s="143"/>
      <c r="N10" s="143"/>
      <c r="O10" s="143"/>
      <c r="P10" s="143"/>
      <c r="Q10" s="143"/>
    </row>
    <row r="11" spans="1:23" ht="15.75" thickBot="1">
      <c r="A11" s="56"/>
      <c r="B11" s="57"/>
      <c r="C11" s="57"/>
      <c r="D11" s="57"/>
      <c r="E11" s="57"/>
      <c r="F11" s="57"/>
      <c r="G11" s="58"/>
      <c r="H11" s="57"/>
      <c r="I11" s="57"/>
      <c r="J11" s="57"/>
      <c r="K11" s="57"/>
      <c r="L11" s="57"/>
      <c r="M11" s="57"/>
      <c r="N11" s="57"/>
      <c r="O11" s="57"/>
      <c r="P11" s="57"/>
      <c r="Q11" s="59"/>
    </row>
    <row r="12" spans="1:23" ht="15" thickBot="1">
      <c r="A12" s="144" t="s">
        <v>35</v>
      </c>
      <c r="B12" s="144"/>
      <c r="C12" s="144"/>
      <c r="D12" s="144"/>
      <c r="E12" s="144"/>
      <c r="F12" s="144"/>
      <c r="G12" s="144"/>
      <c r="H12" s="144"/>
      <c r="I12" s="144"/>
      <c r="J12" s="144"/>
      <c r="K12" s="144"/>
      <c r="L12" s="144"/>
      <c r="M12" s="144"/>
      <c r="N12" s="144"/>
      <c r="O12" s="144"/>
      <c r="P12" s="144"/>
      <c r="Q12" s="144"/>
    </row>
    <row r="13" spans="1:23" ht="15" thickBot="1">
      <c r="A13" s="145" t="s">
        <v>36</v>
      </c>
      <c r="B13" s="145"/>
      <c r="C13" s="145"/>
      <c r="D13" s="145"/>
      <c r="E13" s="145"/>
      <c r="F13" s="145"/>
      <c r="G13" s="145"/>
      <c r="H13" s="145"/>
      <c r="I13" s="145"/>
      <c r="J13" s="145"/>
      <c r="K13" s="145"/>
      <c r="L13" s="145"/>
      <c r="M13" s="145"/>
      <c r="N13" s="145"/>
      <c r="O13" s="146" t="s">
        <v>37</v>
      </c>
      <c r="P13" s="146"/>
      <c r="Q13" s="147" t="s">
        <v>38</v>
      </c>
    </row>
    <row r="14" spans="1:23" ht="60.75" customHeight="1" thickBot="1">
      <c r="A14" s="60" t="s">
        <v>39</v>
      </c>
      <c r="B14" s="61" t="s">
        <v>40</v>
      </c>
      <c r="C14" s="61" t="s">
        <v>41</v>
      </c>
      <c r="D14" s="61" t="s">
        <v>42</v>
      </c>
      <c r="E14" s="61" t="s">
        <v>43</v>
      </c>
      <c r="F14" s="61" t="s">
        <v>44</v>
      </c>
      <c r="G14" s="62" t="s">
        <v>45</v>
      </c>
      <c r="H14" s="61" t="s">
        <v>46</v>
      </c>
      <c r="I14" s="61" t="s">
        <v>47</v>
      </c>
      <c r="J14" s="61" t="s">
        <v>48</v>
      </c>
      <c r="K14" s="61" t="s">
        <v>48</v>
      </c>
      <c r="L14" s="61" t="s">
        <v>49</v>
      </c>
      <c r="M14" s="63" t="s">
        <v>50</v>
      </c>
      <c r="N14" s="64" t="s">
        <v>51</v>
      </c>
      <c r="O14" s="146"/>
      <c r="P14" s="146"/>
      <c r="Q14" s="147"/>
      <c r="V14" s="80"/>
    </row>
    <row r="15" spans="1:23" ht="15">
      <c r="A15" s="65">
        <v>1</v>
      </c>
      <c r="B15" s="66">
        <v>0</v>
      </c>
      <c r="C15" s="66">
        <v>0</v>
      </c>
      <c r="D15" s="66">
        <v>5</v>
      </c>
      <c r="E15" s="66">
        <v>0</v>
      </c>
      <c r="F15" s="66">
        <v>4901</v>
      </c>
      <c r="G15" s="66">
        <v>3</v>
      </c>
      <c r="H15" s="66">
        <v>4</v>
      </c>
      <c r="I15" s="66">
        <v>3</v>
      </c>
      <c r="J15" s="66">
        <v>9</v>
      </c>
      <c r="K15" s="66">
        <v>9</v>
      </c>
      <c r="L15" s="66">
        <v>0</v>
      </c>
      <c r="M15" s="67">
        <v>1</v>
      </c>
      <c r="N15" s="66" t="s">
        <v>52</v>
      </c>
      <c r="O15" s="138" t="s">
        <v>58</v>
      </c>
      <c r="P15" s="138"/>
      <c r="Q15" s="68">
        <f>+NDP!J13</f>
        <v>5100000</v>
      </c>
    </row>
    <row r="16" spans="1:23" ht="15">
      <c r="A16" s="69"/>
      <c r="B16" s="70"/>
      <c r="C16" s="70"/>
      <c r="D16" s="70"/>
      <c r="E16" s="70"/>
      <c r="F16" s="70"/>
      <c r="G16" s="70"/>
      <c r="H16" s="70"/>
      <c r="I16" s="70"/>
      <c r="J16" s="70"/>
      <c r="K16" s="70"/>
      <c r="L16" s="70"/>
      <c r="M16" s="71"/>
      <c r="N16" s="72"/>
      <c r="O16" s="133"/>
      <c r="P16" s="133"/>
      <c r="Q16" s="73"/>
      <c r="W16" s="84"/>
    </row>
    <row r="17" spans="1:23" ht="15">
      <c r="A17" s="69"/>
      <c r="B17" s="70"/>
      <c r="C17" s="70"/>
      <c r="D17" s="70"/>
      <c r="E17" s="70"/>
      <c r="F17" s="70"/>
      <c r="G17" s="70"/>
      <c r="H17" s="70"/>
      <c r="I17" s="70"/>
      <c r="J17" s="70"/>
      <c r="K17" s="70"/>
      <c r="L17" s="70"/>
      <c r="M17" s="71"/>
      <c r="N17" s="72"/>
      <c r="O17" s="134"/>
      <c r="P17" s="134"/>
      <c r="Q17" s="73"/>
      <c r="V17" s="81"/>
      <c r="W17" s="84"/>
    </row>
    <row r="18" spans="1:23" ht="15">
      <c r="A18" s="69"/>
      <c r="B18" s="70"/>
      <c r="C18" s="70"/>
      <c r="D18" s="70"/>
      <c r="E18" s="70"/>
      <c r="F18" s="70"/>
      <c r="G18" s="70"/>
      <c r="H18" s="70"/>
      <c r="I18" s="70"/>
      <c r="J18" s="70"/>
      <c r="K18" s="70"/>
      <c r="L18" s="70"/>
      <c r="M18" s="71"/>
      <c r="N18" s="72"/>
      <c r="O18" s="135"/>
      <c r="P18" s="135"/>
      <c r="Q18" s="73"/>
      <c r="V18" s="81"/>
      <c r="W18" s="84"/>
    </row>
    <row r="19" spans="1:23" ht="15">
      <c r="A19" s="69"/>
      <c r="B19" s="70"/>
      <c r="C19" s="70"/>
      <c r="D19" s="70"/>
      <c r="E19" s="70"/>
      <c r="F19" s="70"/>
      <c r="G19" s="70"/>
      <c r="H19" s="70"/>
      <c r="I19" s="70"/>
      <c r="J19" s="70"/>
      <c r="K19" s="70"/>
      <c r="L19" s="70"/>
      <c r="M19" s="71"/>
      <c r="N19" s="72"/>
      <c r="O19" s="135"/>
      <c r="P19" s="135"/>
      <c r="Q19" s="73"/>
      <c r="W19" s="84"/>
    </row>
    <row r="20" spans="1:23" ht="15.75" thickBot="1">
      <c r="A20" s="74"/>
      <c r="B20" s="75"/>
      <c r="C20" s="75"/>
      <c r="D20" s="75"/>
      <c r="E20" s="75"/>
      <c r="F20" s="75"/>
      <c r="G20" s="75"/>
      <c r="H20" s="75"/>
      <c r="I20" s="75"/>
      <c r="J20" s="75"/>
      <c r="K20" s="75"/>
      <c r="L20" s="75"/>
      <c r="M20" s="76"/>
      <c r="N20" s="75"/>
      <c r="O20" s="136"/>
      <c r="P20" s="136"/>
      <c r="Q20" s="77"/>
      <c r="T20" s="83"/>
      <c r="W20" s="84"/>
    </row>
    <row r="21" spans="1:23" ht="36.75" customHeight="1" thickBot="1">
      <c r="A21" s="137" t="s">
        <v>81</v>
      </c>
      <c r="B21" s="137"/>
      <c r="C21" s="137"/>
      <c r="D21" s="137"/>
      <c r="E21" s="137"/>
      <c r="F21" s="137"/>
      <c r="G21" s="137"/>
      <c r="H21" s="137"/>
      <c r="I21" s="137"/>
      <c r="J21" s="137"/>
      <c r="K21" s="137"/>
      <c r="L21" s="137"/>
      <c r="M21" s="137"/>
      <c r="N21" s="137"/>
      <c r="O21" s="137"/>
      <c r="P21" s="137"/>
      <c r="Q21" s="78">
        <f>SUM(Q15:Q20)</f>
        <v>5100000</v>
      </c>
      <c r="U21" s="80"/>
      <c r="V21" s="81"/>
      <c r="W21" s="85"/>
    </row>
    <row r="22" spans="1:23" ht="15.75" thickBot="1">
      <c r="A22" s="129"/>
      <c r="B22" s="129"/>
      <c r="C22" s="129"/>
      <c r="D22" s="129"/>
      <c r="E22" s="129"/>
      <c r="F22" s="129"/>
      <c r="G22" s="129"/>
      <c r="H22" s="129"/>
      <c r="I22" s="129"/>
      <c r="J22" s="129"/>
      <c r="K22" s="129"/>
      <c r="L22" s="129"/>
      <c r="M22" s="129"/>
      <c r="N22" s="129"/>
      <c r="O22" s="129"/>
      <c r="P22" s="129"/>
      <c r="Q22" s="129"/>
      <c r="W22" s="84"/>
    </row>
    <row r="23" spans="1:23" ht="15.75" thickBot="1">
      <c r="A23" s="130" t="s">
        <v>53</v>
      </c>
      <c r="B23" s="130"/>
      <c r="C23" s="130"/>
      <c r="D23" s="130"/>
      <c r="E23" s="130"/>
      <c r="F23" s="130"/>
      <c r="G23" s="131"/>
      <c r="H23" s="131"/>
      <c r="I23" s="131"/>
      <c r="J23" s="131"/>
      <c r="K23" s="131"/>
      <c r="L23" s="131"/>
      <c r="M23" s="131"/>
      <c r="N23" s="131"/>
      <c r="O23" s="131"/>
      <c r="P23" s="131"/>
      <c r="Q23" s="131"/>
      <c r="T23" s="82"/>
    </row>
    <row r="24" spans="1:23" ht="13.5" thickBot="1">
      <c r="A24" s="132" t="s">
        <v>83</v>
      </c>
      <c r="B24" s="132"/>
      <c r="C24" s="132"/>
      <c r="D24" s="132"/>
      <c r="E24" s="132"/>
      <c r="F24" s="132"/>
      <c r="G24" s="132"/>
      <c r="H24" s="132"/>
      <c r="I24" s="132"/>
      <c r="J24" s="132"/>
      <c r="K24" s="132"/>
      <c r="L24" s="132"/>
      <c r="M24" s="132"/>
      <c r="N24" s="132"/>
      <c r="O24" s="132"/>
      <c r="P24" s="132"/>
      <c r="Q24" s="132"/>
    </row>
    <row r="25" spans="1:23" ht="40.5" customHeight="1" thickBot="1">
      <c r="A25" s="132"/>
      <c r="B25" s="132"/>
      <c r="C25" s="132"/>
      <c r="D25" s="132"/>
      <c r="E25" s="132"/>
      <c r="F25" s="132"/>
      <c r="G25" s="132"/>
      <c r="H25" s="132"/>
      <c r="I25" s="132"/>
      <c r="J25" s="132"/>
      <c r="K25" s="132"/>
      <c r="L25" s="132"/>
      <c r="M25" s="132"/>
      <c r="N25" s="132"/>
      <c r="O25" s="132"/>
      <c r="P25" s="132"/>
      <c r="Q25" s="132"/>
    </row>
    <row r="27" spans="1:23">
      <c r="U27" s="80"/>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25" right="0.25" top="0.75" bottom="0.75" header="0.3" footer="0.3"/>
  <pageSetup paperSize="5"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PROPIETARIO</cp:lastModifiedBy>
  <cp:revision>2</cp:revision>
  <cp:lastPrinted>2022-03-03T14:00:05Z</cp:lastPrinted>
  <dcterms:created xsi:type="dcterms:W3CDTF">2020-07-17T23:44:49Z</dcterms:created>
  <dcterms:modified xsi:type="dcterms:W3CDTF">2022-03-03T14:11:28Z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