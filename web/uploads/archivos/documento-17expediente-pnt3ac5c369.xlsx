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A#PC" sheetId="2" r:id="rId5"/>
    <sheet name="APG DA#PC" sheetId="3" r:id="rId6"/>
    <sheet name="Nota Pedido MIDSP" sheetId="4" r:id="rId7"/>
    <sheet name="APG MIDSP" sheetId="5" r:id="rId8"/>
    <sheet name="Nota Pedido MGJDH" sheetId="6" r:id="rId9"/>
    <sheet name="APG MGJDH" sheetId="7" r:id="rId10"/>
    <sheet name="Nota Pedido DA#HNEP" sheetId="8" r:id="rId11"/>
    <sheet name="APG DA#HNEP" sheetId="9" r:id="rId12"/>
    <sheet name="Nota Pedido MIRLT" sheetId="10" r:id="rId13"/>
    <sheet name="APG MIRLT" sheetId="11" r:id="rId14"/>
  </sheets>
  <definedNames>
    <definedName name="_xlnm.Print_Area" localSheetId="1">'Nota Pedido DA#PC'!$A$1:$G$66</definedName>
    <definedName name="_xlnm.Print_Area" localSheetId="2">'APG DA#PC'!$A$1:$Q$24</definedName>
    <definedName name="_xlnm.Print_Area" localSheetId="3">'Nota Pedido MIDSP'!$A$1:$G$23</definedName>
    <definedName name="_xlnm.Print_Area" localSheetId="4">'APG MIDSP'!$A$1:$Q$24</definedName>
    <definedName name="_xlnm.Print_Area" localSheetId="5">'Nota Pedido MGJDH'!$A$1:$G$23</definedName>
    <definedName name="_xlnm.Print_Area" localSheetId="6">'APG MGJDH'!$A$1:$Q$24</definedName>
    <definedName name="_xlnm.Print_Area" localSheetId="7">'Nota Pedido DA#HNEP'!$A$1:$G$24</definedName>
    <definedName name="_xlnm.Print_Area" localSheetId="8">'APG DA#HNEP'!$A$1:$Q$24</definedName>
    <definedName name="_xlnm.Print_Area" localSheetId="9">'Nota Pedido MIRLT'!$A$1:$G$23</definedName>
    <definedName name="_xlnm.Print_Area" localSheetId="10">'APG MIRLT'!$A$1:$Q$24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<sst xmlns="http://schemas.openxmlformats.org/spreadsheetml/2006/main" uniqueCount="171">
  <si>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</si>
  <si>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</si>
  <si>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</si>
  <si>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</si>
  <si>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</si>
  <si>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</si>
  <si>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</si>
  <si>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</si>
  <si>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</si>
  <si>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</si>
  <si>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</si>
  <si>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</si>
  <si>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</si>
  <si>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</si>
  <si>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</si>
  <si>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</si>
  <si>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</si>
  <si>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</si>
  <si>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2.5.6-797.39</t>
  </si>
  <si>
    <t>COMBUSTIBLES Y LUBRICANTES</t>
  </si>
  <si>
    <t>2.5.6</t>
  </si>
  <si>
    <t>NAFTA SUPER; TIPO: SUPER, OCTANO: 95, PRESENTACION: POR LITRO, DESTINO: DPTO. S.F.V. DE CATAMARCA</t>
  </si>
  <si>
    <t>LITRO</t>
  </si>
  <si>
    <t>2.5.6-797.21</t>
  </si>
  <si>
    <t>NAFTA SUPER; TIPO: ULTRA GRADO 3, OCTANO: 98, PRESENTACION: POR LITRO, DESTINO: SIN VALOR</t>
  </si>
  <si>
    <t>LITROS EN VALES</t>
  </si>
  <si>
    <t>Se debe contar con mas de una Boca de expendio para Actividad 1(CAPITAL) y 7 (INTERIOR - VALLE CENTRAL) - DESTINO: DPTO S.F.V. DE CATAMARCA</t>
  </si>
  <si>
    <t>DESTINO: DPTO LA PAZ</t>
  </si>
  <si>
    <t>DESTINO: DPTO BELEN</t>
  </si>
  <si>
    <t>DESTINO: DPTO ANDALGALA</t>
  </si>
  <si>
    <t>DESTINO: DPTO TINOGASTA</t>
  </si>
  <si>
    <t>DESTINO: DPTO EL ALTO</t>
  </si>
  <si>
    <t>DESTINO: DPTO SANTA MARÍA</t>
  </si>
  <si>
    <t>DESTINO: DPTO POMÁN</t>
  </si>
  <si>
    <t>2.5.6-793.31</t>
  </si>
  <si>
    <t>GAS OIL; PRESENTACION: POR LITRO, USO: MOTORES DIESEL, COMERCIALIZACION: GRADO 3, DESTINO: DPTO. S.F.V. DE CATAMARCA</t>
  </si>
  <si>
    <t>LITROS</t>
  </si>
  <si>
    <t xml:space="preserve">Se debe contar con mas de una Boca de expendio para Actividad 1(CAPITAL) y 7 (INTERIOR - VALLE CENTRAL) - GAS OIL; PRESENTACION: POR LITRO, USO: MOTORES DIESEL, COMERCIALIZACION: GRADO 3  </t>
  </si>
  <si>
    <t>2.5.6-793.35</t>
  </si>
  <si>
    <t>GAS OIL; PRESENTACION: POR LITRO, USO: MOTORES DIESEL, COMERCIALIZACION: GRADO 3, DESTINO: DPTO. LA PAZ</t>
  </si>
  <si>
    <t xml:space="preserve">GAS OIL; PRESENTACION: POR LITRO, USO: MOTORES DIESEL, COMERCIALIZACION: GRADO 3  </t>
  </si>
  <si>
    <t>2.5.6-793.37</t>
  </si>
  <si>
    <t>GAS OIL; PRESENTACION: POR LITRO, USO: MOTORES DIESEL, COMERCIALIZACION: GRADO 3, DESTINO: DPTO. BELEN</t>
  </si>
  <si>
    <t>2.5.6-793.45</t>
  </si>
  <si>
    <t>GAS OIL; PRESENTACION: POR LITRO, USO: MOTORES DIESEL, COMERCIALIZACION: GRADO 3, DESTINO: DPTO. ANDALGALA</t>
  </si>
  <si>
    <t>2.5.6-793.36</t>
  </si>
  <si>
    <t>GAS OIL; PRESENTACION: POR LITRO, USO: MOTORES DIESEL, COMERCIALIZACION: GRADO 3, DESTINO: DPTO. TINOGASTA</t>
  </si>
  <si>
    <t>2.5.6-793.39</t>
  </si>
  <si>
    <t>GAS OIL; PRESENTACION: POR LITRO, USO: MOTORES DIESEL, COMERCIALIZACION: GRADO 3, DESTINO: DPTO. EL ALTO</t>
  </si>
  <si>
    <t>2.5.6-793.38</t>
  </si>
  <si>
    <t>GAS OIL; PRESENTACION: POR LITRO, USO: MOTORES DIESEL, COMERCIALIZACION: GRADO 3, DESTINO: DPTO. STA. MARIA</t>
  </si>
  <si>
    <t>2.5.6-793.33</t>
  </si>
  <si>
    <t>GAS OIL; PRESENTACION: POR LITRO, USO: MOTORES DIESEL, COMERCIALIZACION: GRADO 3, DESTINO: DPTO. POMAN</t>
  </si>
  <si>
    <t>2.5.6-7104.414</t>
  </si>
  <si>
    <t>ACEITES LUBRICANTES; USO: REFRIGERANTE, PRESENTACION: ENVASE X 1 L, NORMA: 150 SUS/32 CST, COMERCIALIZACION: SIN</t>
  </si>
  <si>
    <t>UNIDAD</t>
  </si>
  <si>
    <t xml:space="preserve">Refrigerante Automotor  Embase Por 1 Litro </t>
  </si>
  <si>
    <t>2.5.6-7104.302</t>
  </si>
  <si>
    <t>ACEITES LUBRICANTES; USO: AUTOMOTOR, PRESENTACION: ENVASE X 205 L, NORMA: SAE 10 W 40</t>
  </si>
  <si>
    <t xml:space="preserve">Aceite  Sintético 10W40 con normas  ACEA  A3/B3, A3/B4. API SN, S, SL, SJ. Para Camioneta  Tambor x 205 lts.      </t>
  </si>
  <si>
    <t>2.5.6-7104.31</t>
  </si>
  <si>
    <t>ACEITES LUBRICANTES; DENOMINACION: SAE 20 W 50, USO: AUTOMOTOR, PRESENTACION: TAMBOR X 205 L, NORMA: SAE 20 W 50</t>
  </si>
  <si>
    <t>Aceite Semi sintético 20W50 con normas API SL/SJ, SH, SG, JASO MA para motos  Tambor x 205 lts</t>
  </si>
  <si>
    <t>2.5.6-7104.261</t>
  </si>
  <si>
    <t>ACEITES LUBRICANTES; USO: AUTOMOTOR, PRESENTACION: TAMBOR X 205 L</t>
  </si>
  <si>
    <t xml:space="preserve">Aceite sintético 10W50  con normas  API SL/SJ, SH, SG, JASO MA para motos  Tambor x 205 lts  </t>
  </si>
  <si>
    <t>2.5.6-7104.578</t>
  </si>
  <si>
    <t>ACEITES LUBRICANTES; DENOMINACION: SAE 15 W 50, USO: AUTOMOTOR, PRESENTACION: TAMBOR X 205 L, NORMA: SAE 15 W 50</t>
  </si>
  <si>
    <t xml:space="preserve"> Aceite Semi sintético 15W50  con normas  API SL/SJ, SH, SG, JASO MA para motos  Tambor x 205 lts  </t>
  </si>
  <si>
    <t>2.5.6-7104.577</t>
  </si>
  <si>
    <t>ACEITES LUBRICANTES; DENOMINACION: SAE 5 W 30, USO: AUTOMOTOR, PRESENTACION: TAMBOR X 205 L, NORMA: SAE 5 W 30</t>
  </si>
  <si>
    <t xml:space="preserve">Aceite Semi sintético 5W30  con normas  ACEA  A3/B3, A3/B4. API SN, S, SL, SJ. Para Camionetas .  Envase x 205 lts  </t>
  </si>
  <si>
    <t>OCHENTA Y UNO MILLONES TRES MIL OCHOCIENTOS CUATRO CON 10/100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</si>
  <si>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</si>
  <si>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</si>
  <si>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</si>
  <si>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</si>
  <si>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</si>
  <si>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</si>
  <si>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</si>
  <si>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</si>
  <si>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</si>
  <si>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</si>
  <si>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</si>
  <si>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543 / 2022</t>
  </si>
  <si>
    <t xml:space="preserve">JURISDICCIÓN: </t>
  </si>
  <si>
    <t>SAF:</t>
  </si>
  <si>
    <t>UNIDAD EJECUTORA:</t>
  </si>
  <si>
    <t>SAF 7 - POLICIA DE LA PROVINCIA DE CATAMARCA</t>
  </si>
  <si>
    <t xml:space="preserve">DEPENDENCIA SOLICITANTE: </t>
  </si>
  <si>
    <t>PERIODO UTILIZACIÓN:</t>
  </si>
  <si>
    <t>4° TRIMESTRE - 2022</t>
  </si>
  <si>
    <t>OBJETO:</t>
  </si>
  <si>
    <t>256 - COMBUSTIBLES Y LUBRICANTES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</si>
  <si>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</si>
  <si>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</si>
  <si>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</si>
  <si>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</si>
  <si>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</si>
  <si>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</si>
  <si>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</si>
  <si>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SÍ</t>
  </si>
  <si>
    <t xml:space="preserve">Costo total estimado: </t>
  </si>
  <si>
    <t>SESENTA Y NUEVE MILLONES NOVECIENTOS CINCUENTA Y NUEVE MIL DOSCIENTOS NOVENTA CON 00/100 PESOS</t>
  </si>
  <si>
    <t>DETALLE TECNICO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</si>
  <si>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</si>
  <si>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</si>
  <si>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</si>
  <si>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</si>
  <si>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</si>
  <si>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</si>
  <si>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</si>
  <si>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</si>
  <si>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</si>
  <si>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</si>
  <si>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</si>
  <si>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</si>
  <si>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</si>
  <si>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</si>
  <si>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</si>
  <si>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</si>
  <si>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</si>
  <si>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</si>
  <si>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</si>
  <si>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</si>
  <si>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</si>
  <si>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</si>
  <si>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</si>
  <si>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</si>
  <si>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</si>
  <si>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</si>
  <si>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543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</si>
  <si>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</si>
  <si>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</si>
  <si>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</si>
  <si>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</si>
  <si>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</si>
  <si>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</si>
  <si>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</si>
  <si>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</si>
  <si>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</si>
  <si>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</si>
  <si>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</si>
  <si>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</si>
  <si>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</si>
  <si>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</si>
  <si>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</si>
  <si>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</si>
  <si>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</si>
  <si>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</si>
  <si>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</si>
  <si>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>OBSERVACIONES:</t>
  </si>
  <si>
    <t>567 / 2022</t>
  </si>
  <si>
    <t>SAF 33 - MINISTERIO DE INCLUSIÓN DIGITAL Y SISTEMA PRODUCTIVOS</t>
  </si>
  <si>
    <t>256 - COMBUSTIBLES</t>
  </si>
  <si>
    <t>NO</t>
  </si>
  <si>
    <t>CUATRO MILLONES NOVECIENTOS NOVENTA Y NUEVE MIL TRESCIENTOS TREINTA Y CINCO CON 00/100 PESOS</t>
  </si>
  <si>
    <t xml:space="preserve"> Autorizo la realización de los  trámites correspondientes, a fin de proveer a  este Organismo los bienes y/o servicios que se detallan en Nota  de Pedido N° 567 / 2022,  afectando la erogación resultante a los créditos presupuestarios aprobados a favor de esta Unidad Ejecutora, conforme al siguiente detalle:</t>
  </si>
  <si>
    <t>568 / 2022</t>
  </si>
  <si>
    <t>SAF 6 - MINISTERIO DE GOBIERNO, JUSTICIA Y DERECHOS HUMANOS</t>
  </si>
  <si>
    <t>CINCO MILLONES CIENTO SEIS CON 00/100 PESOS</t>
  </si>
  <si>
    <t xml:space="preserve"> Autorizo la realización de los  trámites correspondientes, a fin de proveer a  este Organismo los bienes y/o servicios que se detallan en Nota  de Pedido N° 568 / 2022,  afectando la erogación resultante a los créditos presupuestarios aprobados a favor de esta Unidad Ejecutora, conforme al siguiente detalle:</t>
  </si>
  <si>
    <t>575 / 2022</t>
  </si>
  <si>
    <t>SAF 24 - HOSPITAL INTERZONAL DE NIÑOS EVA PERON</t>
  </si>
  <si>
    <t>SETECIENTOS CUARENTA Y CUATRO MIL CON 00/100 PESOS</t>
  </si>
  <si>
    <t xml:space="preserve"> Autorizo la realización de los  trámites correspondientes, a fin de proveer a  este Organismo los bienes y/o servicios que se detallan en Nota  de Pedido N° 575 / 2022,  afectando la erogación resultante a los créditos presupuestarios aprobados a favor de esta Unidad Ejecutora, conforme al siguiente detalle:</t>
  </si>
  <si>
    <t>583 / 2022</t>
  </si>
  <si>
    <t>SAF 32 - MINISTERIO DE INTEGRACIÓN REGIONAL, LOGÍSTICA Y TRANSPORTE</t>
  </si>
  <si>
    <t>COMBUSTIBLE</t>
  </si>
  <si>
    <t>TRESCIENTOS CUARENTA Y OCHO MIL CON 00/100 PESOS</t>
  </si>
  <si>
    <t xml:space="preserve"> Autorizo la realización de los  trámites correspondientes, a fin de proveer a  este Organismo los bienes y/o servicios que se detallan en Nota  de Pedido N° 583 / 2022,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</si>
</sst>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6"/>
  <sheetViews>
    <sheetView tabSelected="1" workbookViewId="0" showGridLines="true" showRowColHeaders="1">
      <selection activeCell="I36" sqref="I36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1200</v>
      </c>
      <c r="H10" s="82">
        <v>156.0</v>
      </c>
      <c r="I10" s="82">
        <v>187200.0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25</v>
      </c>
      <c r="G11" s="81">
        <v>32000</v>
      </c>
      <c r="H11" s="82">
        <v>190.0</v>
      </c>
      <c r="I11" s="82">
        <v>6080000.0</v>
      </c>
      <c r="J11" s="80" t="s">
        <v>26</v>
      </c>
    </row>
    <row r="12" spans="1:10" customHeight="1" ht="20.25">
      <c r="A12" s="79">
        <v>3</v>
      </c>
      <c r="B12" s="80" t="s">
        <v>23</v>
      </c>
      <c r="C12" s="80" t="s">
        <v>19</v>
      </c>
      <c r="D12" s="79" t="s">
        <v>20</v>
      </c>
      <c r="E12" s="80" t="s">
        <v>24</v>
      </c>
      <c r="F12" s="81" t="s">
        <v>25</v>
      </c>
      <c r="G12" s="81">
        <v>12000</v>
      </c>
      <c r="H12" s="82">
        <v>192.0</v>
      </c>
      <c r="I12" s="82">
        <v>2304000.0</v>
      </c>
      <c r="J12" s="80" t="s">
        <v>27</v>
      </c>
    </row>
    <row r="13" spans="1:10" customHeight="1" ht="20.25">
      <c r="A13" s="79">
        <v>4</v>
      </c>
      <c r="B13" s="80" t="s">
        <v>23</v>
      </c>
      <c r="C13" s="80" t="s">
        <v>19</v>
      </c>
      <c r="D13" s="79" t="s">
        <v>20</v>
      </c>
      <c r="E13" s="80" t="s">
        <v>24</v>
      </c>
      <c r="F13" s="81" t="s">
        <v>25</v>
      </c>
      <c r="G13" s="81">
        <v>12000</v>
      </c>
      <c r="H13" s="82">
        <v>192.0</v>
      </c>
      <c r="I13" s="82">
        <v>2304000.0</v>
      </c>
      <c r="J13" s="80" t="s">
        <v>28</v>
      </c>
    </row>
    <row r="14" spans="1:10" customHeight="1" ht="20.25">
      <c r="A14" s="79">
        <v>5</v>
      </c>
      <c r="B14" s="80" t="s">
        <v>23</v>
      </c>
      <c r="C14" s="80" t="s">
        <v>19</v>
      </c>
      <c r="D14" s="79" t="s">
        <v>20</v>
      </c>
      <c r="E14" s="80" t="s">
        <v>24</v>
      </c>
      <c r="F14" s="81" t="s">
        <v>25</v>
      </c>
      <c r="G14" s="81">
        <v>12000</v>
      </c>
      <c r="H14" s="82">
        <v>192.0</v>
      </c>
      <c r="I14" s="82">
        <v>2304000.0</v>
      </c>
      <c r="J14" s="80" t="s">
        <v>29</v>
      </c>
    </row>
    <row r="15" spans="1:10" customHeight="1" ht="20.25">
      <c r="A15" s="79">
        <v>6</v>
      </c>
      <c r="B15" s="80" t="s">
        <v>23</v>
      </c>
      <c r="C15" s="80" t="s">
        <v>19</v>
      </c>
      <c r="D15" s="79" t="s">
        <v>20</v>
      </c>
      <c r="E15" s="80" t="s">
        <v>24</v>
      </c>
      <c r="F15" s="81" t="s">
        <v>25</v>
      </c>
      <c r="G15" s="81">
        <v>12000</v>
      </c>
      <c r="H15" s="82">
        <v>192.0</v>
      </c>
      <c r="I15" s="82">
        <v>2304000.0</v>
      </c>
      <c r="J15" s="80" t="s">
        <v>30</v>
      </c>
    </row>
    <row r="16" spans="1:10" customHeight="1" ht="20.25">
      <c r="A16" s="79">
        <v>7</v>
      </c>
      <c r="B16" s="80" t="s">
        <v>23</v>
      </c>
      <c r="C16" s="80" t="s">
        <v>19</v>
      </c>
      <c r="D16" s="79" t="s">
        <v>20</v>
      </c>
      <c r="E16" s="80" t="s">
        <v>24</v>
      </c>
      <c r="F16" s="81" t="s">
        <v>25</v>
      </c>
      <c r="G16" s="81">
        <v>12000</v>
      </c>
      <c r="H16" s="82">
        <v>192.0</v>
      </c>
      <c r="I16" s="82">
        <v>2304000.0</v>
      </c>
      <c r="J16" s="80" t="s">
        <v>31</v>
      </c>
    </row>
    <row r="17" spans="1:10" customHeight="1" ht="20.25">
      <c r="A17" s="79">
        <v>8</v>
      </c>
      <c r="B17" s="80" t="s">
        <v>23</v>
      </c>
      <c r="C17" s="80" t="s">
        <v>19</v>
      </c>
      <c r="D17" s="79" t="s">
        <v>20</v>
      </c>
      <c r="E17" s="80" t="s">
        <v>24</v>
      </c>
      <c r="F17" s="81" t="s">
        <v>25</v>
      </c>
      <c r="G17" s="81">
        <v>12000</v>
      </c>
      <c r="H17" s="82">
        <v>192.0</v>
      </c>
      <c r="I17" s="82">
        <v>2304000.0</v>
      </c>
      <c r="J17" s="80" t="s">
        <v>32</v>
      </c>
    </row>
    <row r="18" spans="1:10" customHeight="1" ht="20.25">
      <c r="A18" s="79">
        <v>9</v>
      </c>
      <c r="B18" s="80" t="s">
        <v>23</v>
      </c>
      <c r="C18" s="80" t="s">
        <v>19</v>
      </c>
      <c r="D18" s="79" t="s">
        <v>20</v>
      </c>
      <c r="E18" s="80" t="s">
        <v>24</v>
      </c>
      <c r="F18" s="81" t="s">
        <v>25</v>
      </c>
      <c r="G18" s="81">
        <v>12000</v>
      </c>
      <c r="H18" s="82">
        <v>192.0</v>
      </c>
      <c r="I18" s="82">
        <v>2304000.0</v>
      </c>
      <c r="J18" s="80" t="s">
        <v>33</v>
      </c>
    </row>
    <row r="19" spans="1:10" customHeight="1" ht="20.25">
      <c r="A19" s="79">
        <v>10</v>
      </c>
      <c r="B19" s="80" t="s">
        <v>34</v>
      </c>
      <c r="C19" s="80" t="s">
        <v>19</v>
      </c>
      <c r="D19" s="79" t="s">
        <v>20</v>
      </c>
      <c r="E19" s="80" t="s">
        <v>35</v>
      </c>
      <c r="F19" s="81" t="s">
        <v>36</v>
      </c>
      <c r="G19" s="81">
        <v>48973</v>
      </c>
      <c r="H19" s="82">
        <v>221.7</v>
      </c>
      <c r="I19" s="82">
        <v>10857314.1</v>
      </c>
      <c r="J19" s="80"/>
    </row>
    <row r="20" spans="1:10" customHeight="1" ht="20.25">
      <c r="A20" s="79">
        <v>11</v>
      </c>
      <c r="B20" s="80" t="s">
        <v>34</v>
      </c>
      <c r="C20" s="80" t="s">
        <v>19</v>
      </c>
      <c r="D20" s="79" t="s">
        <v>20</v>
      </c>
      <c r="E20" s="80" t="s">
        <v>35</v>
      </c>
      <c r="F20" s="81" t="s">
        <v>25</v>
      </c>
      <c r="G20" s="81">
        <v>70000</v>
      </c>
      <c r="H20" s="82">
        <v>225.0</v>
      </c>
      <c r="I20" s="82">
        <v>15750000.0</v>
      </c>
      <c r="J20" s="80" t="s">
        <v>37</v>
      </c>
    </row>
    <row r="21" spans="1:10" customHeight="1" ht="20.25">
      <c r="A21" s="79">
        <v>12</v>
      </c>
      <c r="B21" s="80" t="s">
        <v>38</v>
      </c>
      <c r="C21" s="80" t="s">
        <v>19</v>
      </c>
      <c r="D21" s="79" t="s">
        <v>20</v>
      </c>
      <c r="E21" s="80" t="s">
        <v>39</v>
      </c>
      <c r="F21" s="81" t="s">
        <v>25</v>
      </c>
      <c r="G21" s="81">
        <v>17000</v>
      </c>
      <c r="H21" s="82">
        <v>227.0</v>
      </c>
      <c r="I21" s="82">
        <v>3859000.0</v>
      </c>
      <c r="J21" s="80" t="s">
        <v>40</v>
      </c>
    </row>
    <row r="22" spans="1:10" customHeight="1" ht="20.25">
      <c r="A22" s="79">
        <v>13</v>
      </c>
      <c r="B22" s="80" t="s">
        <v>41</v>
      </c>
      <c r="C22" s="80" t="s">
        <v>19</v>
      </c>
      <c r="D22" s="79" t="s">
        <v>20</v>
      </c>
      <c r="E22" s="80" t="s">
        <v>42</v>
      </c>
      <c r="F22" s="81" t="s">
        <v>25</v>
      </c>
      <c r="G22" s="81">
        <v>17000</v>
      </c>
      <c r="H22" s="82">
        <v>227.0</v>
      </c>
      <c r="I22" s="82">
        <v>3859000.0</v>
      </c>
      <c r="J22" s="80" t="s">
        <v>40</v>
      </c>
    </row>
    <row r="23" spans="1:10" customHeight="1" ht="20.25">
      <c r="A23" s="79">
        <v>14</v>
      </c>
      <c r="B23" s="80" t="s">
        <v>43</v>
      </c>
      <c r="C23" s="80" t="s">
        <v>19</v>
      </c>
      <c r="D23" s="79" t="s">
        <v>20</v>
      </c>
      <c r="E23" s="80" t="s">
        <v>44</v>
      </c>
      <c r="F23" s="81" t="s">
        <v>25</v>
      </c>
      <c r="G23" s="81">
        <v>17000</v>
      </c>
      <c r="H23" s="82">
        <v>227.0</v>
      </c>
      <c r="I23" s="82">
        <v>3859000.0</v>
      </c>
      <c r="J23" s="80" t="s">
        <v>40</v>
      </c>
    </row>
    <row r="24" spans="1:10" customHeight="1" ht="20.25">
      <c r="A24" s="79">
        <v>15</v>
      </c>
      <c r="B24" s="80" t="s">
        <v>45</v>
      </c>
      <c r="C24" s="80" t="s">
        <v>19</v>
      </c>
      <c r="D24" s="79" t="s">
        <v>20</v>
      </c>
      <c r="E24" s="80" t="s">
        <v>46</v>
      </c>
      <c r="F24" s="81" t="s">
        <v>25</v>
      </c>
      <c r="G24" s="81">
        <v>17000</v>
      </c>
      <c r="H24" s="82">
        <v>227.0</v>
      </c>
      <c r="I24" s="82">
        <v>3859000.0</v>
      </c>
      <c r="J24" s="80" t="s">
        <v>40</v>
      </c>
    </row>
    <row r="25" spans="1:10" customHeight="1" ht="20.25">
      <c r="A25" s="79">
        <v>16</v>
      </c>
      <c r="B25" s="80" t="s">
        <v>47</v>
      </c>
      <c r="C25" s="80" t="s">
        <v>19</v>
      </c>
      <c r="D25" s="79" t="s">
        <v>20</v>
      </c>
      <c r="E25" s="80" t="s">
        <v>48</v>
      </c>
      <c r="F25" s="81" t="s">
        <v>25</v>
      </c>
      <c r="G25" s="81">
        <v>17000</v>
      </c>
      <c r="H25" s="82">
        <v>227.0</v>
      </c>
      <c r="I25" s="82">
        <v>3859000.0</v>
      </c>
      <c r="J25" s="80" t="s">
        <v>40</v>
      </c>
    </row>
    <row r="26" spans="1:10" customHeight="1" ht="20.25">
      <c r="A26" s="79">
        <v>17</v>
      </c>
      <c r="B26" s="80" t="s">
        <v>49</v>
      </c>
      <c r="C26" s="80" t="s">
        <v>19</v>
      </c>
      <c r="D26" s="79" t="s">
        <v>20</v>
      </c>
      <c r="E26" s="80" t="s">
        <v>50</v>
      </c>
      <c r="F26" s="81" t="s">
        <v>25</v>
      </c>
      <c r="G26" s="81">
        <v>17000</v>
      </c>
      <c r="H26" s="82">
        <v>227.0</v>
      </c>
      <c r="I26" s="82">
        <v>3859000.0</v>
      </c>
      <c r="J26" s="80" t="s">
        <v>40</v>
      </c>
    </row>
    <row r="27" spans="1:10" customHeight="1" ht="20.25">
      <c r="A27" s="79">
        <v>18</v>
      </c>
      <c r="B27" s="80" t="s">
        <v>51</v>
      </c>
      <c r="C27" s="80" t="s">
        <v>19</v>
      </c>
      <c r="D27" s="79" t="s">
        <v>20</v>
      </c>
      <c r="E27" s="80" t="s">
        <v>52</v>
      </c>
      <c r="F27" s="81" t="s">
        <v>25</v>
      </c>
      <c r="G27" s="81">
        <v>17000</v>
      </c>
      <c r="H27" s="82">
        <v>227.0</v>
      </c>
      <c r="I27" s="82">
        <v>3859000.0</v>
      </c>
      <c r="J27" s="80" t="s">
        <v>40</v>
      </c>
    </row>
    <row r="28" spans="1:10" customHeight="1" ht="20.25">
      <c r="A28" s="79">
        <v>19</v>
      </c>
      <c r="B28" s="80" t="s">
        <v>53</v>
      </c>
      <c r="C28" s="80" t="s">
        <v>19</v>
      </c>
      <c r="D28" s="79" t="s">
        <v>20</v>
      </c>
      <c r="E28" s="80" t="s">
        <v>54</v>
      </c>
      <c r="F28" s="81" t="s">
        <v>55</v>
      </c>
      <c r="G28" s="81">
        <v>20</v>
      </c>
      <c r="H28" s="82">
        <v>319.2</v>
      </c>
      <c r="I28" s="82">
        <v>6384.0</v>
      </c>
      <c r="J28" s="80" t="s">
        <v>56</v>
      </c>
    </row>
    <row r="29" spans="1:10" customHeight="1" ht="20.25">
      <c r="A29" s="79">
        <v>20</v>
      </c>
      <c r="B29" s="80" t="s">
        <v>57</v>
      </c>
      <c r="C29" s="80" t="s">
        <v>19</v>
      </c>
      <c r="D29" s="79" t="s">
        <v>20</v>
      </c>
      <c r="E29" s="80" t="s">
        <v>58</v>
      </c>
      <c r="F29" s="81" t="s">
        <v>55</v>
      </c>
      <c r="G29" s="81">
        <v>2</v>
      </c>
      <c r="H29" s="82">
        <v>200000.0</v>
      </c>
      <c r="I29" s="82">
        <v>400000.0</v>
      </c>
      <c r="J29" s="80" t="s">
        <v>59</v>
      </c>
    </row>
    <row r="30" spans="1:10" customHeight="1" ht="20.25">
      <c r="A30" s="79">
        <v>21</v>
      </c>
      <c r="B30" s="80" t="s">
        <v>60</v>
      </c>
      <c r="C30" s="80" t="s">
        <v>19</v>
      </c>
      <c r="D30" s="79" t="s">
        <v>20</v>
      </c>
      <c r="E30" s="80" t="s">
        <v>61</v>
      </c>
      <c r="F30" s="81" t="s">
        <v>55</v>
      </c>
      <c r="G30" s="81">
        <v>2</v>
      </c>
      <c r="H30" s="82">
        <v>252408.0</v>
      </c>
      <c r="I30" s="82">
        <v>504816.0</v>
      </c>
      <c r="J30" s="80" t="s">
        <v>62</v>
      </c>
    </row>
    <row r="31" spans="1:10" customHeight="1" ht="20.25">
      <c r="A31" s="79">
        <v>22</v>
      </c>
      <c r="B31" s="80" t="s">
        <v>63</v>
      </c>
      <c r="C31" s="80" t="s">
        <v>19</v>
      </c>
      <c r="D31" s="79" t="s">
        <v>20</v>
      </c>
      <c r="E31" s="80" t="s">
        <v>64</v>
      </c>
      <c r="F31" s="81" t="s">
        <v>55</v>
      </c>
      <c r="G31" s="81">
        <v>2</v>
      </c>
      <c r="H31" s="82">
        <v>282000.0</v>
      </c>
      <c r="I31" s="82">
        <v>564000.0</v>
      </c>
      <c r="J31" s="80" t="s">
        <v>65</v>
      </c>
    </row>
    <row r="32" spans="1:10" customHeight="1" ht="20.25">
      <c r="A32" s="79">
        <v>23</v>
      </c>
      <c r="B32" s="80" t="s">
        <v>66</v>
      </c>
      <c r="C32" s="80" t="s">
        <v>19</v>
      </c>
      <c r="D32" s="79" t="s">
        <v>20</v>
      </c>
      <c r="E32" s="80" t="s">
        <v>67</v>
      </c>
      <c r="F32" s="81" t="s">
        <v>55</v>
      </c>
      <c r="G32" s="81">
        <v>2</v>
      </c>
      <c r="H32" s="82">
        <v>495600.0</v>
      </c>
      <c r="I32" s="82">
        <v>991200.0</v>
      </c>
      <c r="J32" s="80" t="s">
        <v>68</v>
      </c>
    </row>
    <row r="33" spans="1:10" customHeight="1" ht="20.25">
      <c r="A33" s="79">
        <v>24</v>
      </c>
      <c r="B33" s="80" t="s">
        <v>69</v>
      </c>
      <c r="C33" s="80" t="s">
        <v>19</v>
      </c>
      <c r="D33" s="79" t="s">
        <v>20</v>
      </c>
      <c r="E33" s="80" t="s">
        <v>70</v>
      </c>
      <c r="F33" s="81" t="s">
        <v>55</v>
      </c>
      <c r="G33" s="81">
        <v>5</v>
      </c>
      <c r="H33" s="82">
        <v>504378.0</v>
      </c>
      <c r="I33" s="82">
        <v>2521890.0</v>
      </c>
      <c r="J33" s="80" t="s">
        <v>71</v>
      </c>
    </row>
    <row r="34" spans="1:10" customHeight="1" ht="20.25">
      <c r="A34" s="79"/>
      <c r="B34" s="80"/>
      <c r="C34" s="80"/>
      <c r="D34" s="79"/>
      <c r="E34" s="80"/>
      <c r="F34" s="81"/>
      <c r="G34" s="81"/>
      <c r="H34" s="82"/>
      <c r="I34" s="82"/>
      <c r="J34" s="80"/>
    </row>
    <row r="35" spans="1:10" customHeight="1" ht="17.25" s="22" customFormat="1">
      <c r="A35" s="23"/>
      <c r="B35" s="27"/>
      <c r="C35" s="27"/>
      <c r="D35" s="23"/>
      <c r="E35" s="80"/>
      <c r="F35" s="23"/>
      <c r="G35" s="23"/>
      <c r="H35" s="24"/>
      <c r="I35" s="24"/>
      <c r="J35" s="80"/>
    </row>
    <row r="36" spans="1:10" customHeight="1" ht="13.5">
      <c r="C36" s="10" t="s">
        <v>72</v>
      </c>
      <c r="H36" s="25" t="s">
        <v>73</v>
      </c>
      <c r="I36" s="26">
        <f>SUM(I10:I35)</f>
        <v>81003804.1</v>
      </c>
      <c r="J36" s="10"/>
    </row>
    <row r="37" spans="1:10" customHeight="1" ht="15">
      <c r="B37" s="11"/>
      <c r="C37" s="12"/>
      <c r="D37" s="12"/>
      <c r="E37" s="13"/>
      <c r="F37" s="9"/>
    </row>
    <row r="38" spans="1:10" customHeight="1" ht="15">
      <c r="B38" s="87" t="s">
        <v>74</v>
      </c>
      <c r="C38" s="88"/>
      <c r="D38" s="88"/>
      <c r="E38" s="89"/>
    </row>
    <row r="39" spans="1:10" customHeight="1" ht="128.25">
      <c r="B39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39" s="94"/>
      <c r="D39" s="94"/>
      <c r="E39" s="95"/>
    </row>
    <row r="40" spans="1:10" customHeight="1" ht="16.5">
      <c r="B40" s="87" t="s">
        <v>76</v>
      </c>
      <c r="C40" s="88"/>
      <c r="D40" s="88"/>
      <c r="E40" s="89"/>
    </row>
    <row r="41" spans="1:10" customHeight="1" ht="15">
      <c r="B41" s="90" t="s">
        <v>77</v>
      </c>
      <c r="C41" s="91"/>
      <c r="D41" s="91"/>
      <c r="E41" s="92"/>
    </row>
    <row r="42" spans="1:10" customHeight="1" ht="15">
      <c r="B42" s="87" t="s">
        <v>78</v>
      </c>
      <c r="C42" s="88"/>
      <c r="D42" s="88"/>
      <c r="E42" s="89"/>
    </row>
    <row r="43" spans="1:10" customHeight="1" ht="15">
      <c r="B43" s="90" t="s">
        <v>79</v>
      </c>
      <c r="C43" s="91"/>
      <c r="D43" s="91"/>
      <c r="E43" s="92"/>
    </row>
    <row r="44" spans="1:10" customHeight="1" ht="15">
      <c r="B44" s="87" t="s">
        <v>80</v>
      </c>
      <c r="C44" s="88"/>
      <c r="D44" s="88"/>
      <c r="E44" s="89"/>
    </row>
    <row r="45" spans="1:10" customHeight="1" ht="31.5">
      <c r="B45" s="84" t="s">
        <v>81</v>
      </c>
      <c r="C45" s="85"/>
      <c r="D45" s="85"/>
      <c r="E45" s="86"/>
    </row>
    <row r="46" spans="1:10" customHeight="1" ht="12.75">
      <c r="C46" s="2"/>
      <c r="D46" s="2"/>
      <c r="E46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43:E43"/>
    <mergeCell ref="A4:B4"/>
    <mergeCell ref="A5:B5"/>
    <mergeCell ref="A6:B6"/>
    <mergeCell ref="A7:B7"/>
    <mergeCell ref="B45:E45"/>
    <mergeCell ref="B38:E38"/>
    <mergeCell ref="B40:E40"/>
    <mergeCell ref="B42:E42"/>
    <mergeCell ref="B44:E44"/>
    <mergeCell ref="B41:E41"/>
    <mergeCell ref="B39:E39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82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83</v>
      </c>
      <c r="G2" s="41" t="s">
        <v>84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85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86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87</v>
      </c>
      <c r="B6" s="128"/>
      <c r="C6" s="112" t="s">
        <v>88</v>
      </c>
      <c r="D6" s="113"/>
      <c r="E6" s="113"/>
      <c r="F6" s="113"/>
      <c r="G6" s="114"/>
    </row>
    <row r="7" spans="1:7" customHeight="1" ht="32.25">
      <c r="A7" s="127" t="s">
        <v>89</v>
      </c>
      <c r="B7" s="128"/>
      <c r="C7" s="112" t="s">
        <v>88</v>
      </c>
      <c r="D7" s="113"/>
      <c r="E7" s="113"/>
      <c r="F7" s="113"/>
      <c r="G7" s="114"/>
    </row>
    <row r="8" spans="1:7" customHeight="1" ht="16.5">
      <c r="A8" s="127" t="s">
        <v>90</v>
      </c>
      <c r="B8" s="128"/>
      <c r="C8" s="112" t="s">
        <v>91</v>
      </c>
      <c r="D8" s="113"/>
      <c r="E8" s="113"/>
      <c r="F8" s="113"/>
      <c r="G8" s="114"/>
    </row>
    <row r="9" spans="1:7" customHeight="1" ht="27.75">
      <c r="A9" s="117" t="s">
        <v>92</v>
      </c>
      <c r="B9" s="118"/>
      <c r="C9" s="124" t="s">
        <v>93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94</v>
      </c>
      <c r="B11" s="131" t="s">
        <v>95</v>
      </c>
      <c r="C11" s="119" t="s">
        <v>96</v>
      </c>
      <c r="D11" s="135" t="s">
        <v>97</v>
      </c>
      <c r="E11" s="135" t="s">
        <v>98</v>
      </c>
      <c r="F11" s="135" t="s">
        <v>99</v>
      </c>
      <c r="G11" s="135" t="s">
        <v>100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23</v>
      </c>
      <c r="C13" s="35" t="s">
        <v>24</v>
      </c>
      <c r="D13" s="31" t="s">
        <v>101</v>
      </c>
      <c r="E13" s="31" t="s">
        <v>25</v>
      </c>
      <c r="F13" s="32">
        <v>190.0</v>
      </c>
      <c r="G13" s="33">
        <v>32000</v>
      </c>
    </row>
    <row r="14" spans="1:7" customHeight="1" ht="15">
      <c r="A14" s="44">
        <v>2</v>
      </c>
      <c r="B14" s="34" t="s">
        <v>34</v>
      </c>
      <c r="C14" s="35" t="s">
        <v>35</v>
      </c>
      <c r="D14" s="31" t="s">
        <v>101</v>
      </c>
      <c r="E14" s="31" t="s">
        <v>25</v>
      </c>
      <c r="F14" s="32">
        <v>225.0</v>
      </c>
      <c r="G14" s="33">
        <v>70000</v>
      </c>
    </row>
    <row r="15" spans="1:7" customHeight="1" ht="15">
      <c r="A15" s="44">
        <v>3</v>
      </c>
      <c r="B15" s="34" t="s">
        <v>23</v>
      </c>
      <c r="C15" s="35" t="s">
        <v>24</v>
      </c>
      <c r="D15" s="31" t="s">
        <v>101</v>
      </c>
      <c r="E15" s="31" t="s">
        <v>25</v>
      </c>
      <c r="F15" s="32">
        <v>192.0</v>
      </c>
      <c r="G15" s="33">
        <v>12000</v>
      </c>
    </row>
    <row r="16" spans="1:7" customHeight="1" ht="15">
      <c r="A16" s="44">
        <v>4</v>
      </c>
      <c r="B16" s="34" t="s">
        <v>38</v>
      </c>
      <c r="C16" s="35" t="s">
        <v>39</v>
      </c>
      <c r="D16" s="31" t="s">
        <v>101</v>
      </c>
      <c r="E16" s="31" t="s">
        <v>25</v>
      </c>
      <c r="F16" s="32">
        <v>227.0</v>
      </c>
      <c r="G16" s="33">
        <v>17000</v>
      </c>
    </row>
    <row r="17" spans="1:7" customHeight="1" ht="15">
      <c r="A17" s="44">
        <v>5</v>
      </c>
      <c r="B17" s="34" t="s">
        <v>23</v>
      </c>
      <c r="C17" s="35" t="s">
        <v>24</v>
      </c>
      <c r="D17" s="31" t="s">
        <v>101</v>
      </c>
      <c r="E17" s="31" t="s">
        <v>25</v>
      </c>
      <c r="F17" s="32">
        <v>192.0</v>
      </c>
      <c r="G17" s="33">
        <v>12000</v>
      </c>
    </row>
    <row r="18" spans="1:7" customHeight="1" ht="15">
      <c r="A18" s="44">
        <v>6</v>
      </c>
      <c r="B18" s="34" t="s">
        <v>41</v>
      </c>
      <c r="C18" s="35" t="s">
        <v>42</v>
      </c>
      <c r="D18" s="31" t="s">
        <v>101</v>
      </c>
      <c r="E18" s="31" t="s">
        <v>25</v>
      </c>
      <c r="F18" s="32">
        <v>227.0</v>
      </c>
      <c r="G18" s="33">
        <v>17000</v>
      </c>
    </row>
    <row r="19" spans="1:7" customHeight="1" ht="15">
      <c r="A19" s="44">
        <v>7</v>
      </c>
      <c r="B19" s="34" t="s">
        <v>23</v>
      </c>
      <c r="C19" s="35" t="s">
        <v>24</v>
      </c>
      <c r="D19" s="31" t="s">
        <v>101</v>
      </c>
      <c r="E19" s="31" t="s">
        <v>25</v>
      </c>
      <c r="F19" s="32">
        <v>192.0</v>
      </c>
      <c r="G19" s="33">
        <v>12000</v>
      </c>
    </row>
    <row r="20" spans="1:7" customHeight="1" ht="15">
      <c r="A20" s="44">
        <v>8</v>
      </c>
      <c r="B20" s="34" t="s">
        <v>43</v>
      </c>
      <c r="C20" s="35" t="s">
        <v>44</v>
      </c>
      <c r="D20" s="31" t="s">
        <v>101</v>
      </c>
      <c r="E20" s="31" t="s">
        <v>25</v>
      </c>
      <c r="F20" s="32">
        <v>227.0</v>
      </c>
      <c r="G20" s="33">
        <v>17000</v>
      </c>
    </row>
    <row r="21" spans="1:7" customHeight="1" ht="15">
      <c r="A21" s="44">
        <v>9</v>
      </c>
      <c r="B21" s="34" t="s">
        <v>23</v>
      </c>
      <c r="C21" s="35" t="s">
        <v>24</v>
      </c>
      <c r="D21" s="31" t="s">
        <v>101</v>
      </c>
      <c r="E21" s="31" t="s">
        <v>25</v>
      </c>
      <c r="F21" s="32">
        <v>192.0</v>
      </c>
      <c r="G21" s="33">
        <v>12000</v>
      </c>
    </row>
    <row r="22" spans="1:7" customHeight="1" ht="15">
      <c r="A22" s="44">
        <v>10</v>
      </c>
      <c r="B22" s="34" t="s">
        <v>45</v>
      </c>
      <c r="C22" s="35" t="s">
        <v>46</v>
      </c>
      <c r="D22" s="31" t="s">
        <v>101</v>
      </c>
      <c r="E22" s="31" t="s">
        <v>25</v>
      </c>
      <c r="F22" s="32">
        <v>227.0</v>
      </c>
      <c r="G22" s="33">
        <v>17000</v>
      </c>
    </row>
    <row r="23" spans="1:7" customHeight="1" ht="15">
      <c r="A23" s="44">
        <v>11</v>
      </c>
      <c r="B23" s="34" t="s">
        <v>23</v>
      </c>
      <c r="C23" s="35" t="s">
        <v>24</v>
      </c>
      <c r="D23" s="31" t="s">
        <v>101</v>
      </c>
      <c r="E23" s="31" t="s">
        <v>25</v>
      </c>
      <c r="F23" s="32">
        <v>192.0</v>
      </c>
      <c r="G23" s="33">
        <v>12000</v>
      </c>
    </row>
    <row r="24" spans="1:7" customHeight="1" ht="15">
      <c r="A24" s="44">
        <v>12</v>
      </c>
      <c r="B24" s="34" t="s">
        <v>47</v>
      </c>
      <c r="C24" s="35" t="s">
        <v>48</v>
      </c>
      <c r="D24" s="31" t="s">
        <v>101</v>
      </c>
      <c r="E24" s="31" t="s">
        <v>25</v>
      </c>
      <c r="F24" s="32">
        <v>227.0</v>
      </c>
      <c r="G24" s="33">
        <v>17000</v>
      </c>
    </row>
    <row r="25" spans="1:7" customHeight="1" ht="15">
      <c r="A25" s="44">
        <v>13</v>
      </c>
      <c r="B25" s="34" t="s">
        <v>23</v>
      </c>
      <c r="C25" s="35" t="s">
        <v>24</v>
      </c>
      <c r="D25" s="31" t="s">
        <v>101</v>
      </c>
      <c r="E25" s="31" t="s">
        <v>25</v>
      </c>
      <c r="F25" s="32">
        <v>192.0</v>
      </c>
      <c r="G25" s="33">
        <v>12000</v>
      </c>
    </row>
    <row r="26" spans="1:7" customHeight="1" ht="15">
      <c r="A26" s="44">
        <v>14</v>
      </c>
      <c r="B26" s="34" t="s">
        <v>49</v>
      </c>
      <c r="C26" s="35" t="s">
        <v>50</v>
      </c>
      <c r="D26" s="31" t="s">
        <v>101</v>
      </c>
      <c r="E26" s="31" t="s">
        <v>25</v>
      </c>
      <c r="F26" s="32">
        <v>227.0</v>
      </c>
      <c r="G26" s="33">
        <v>17000</v>
      </c>
    </row>
    <row r="27" spans="1:7" customHeight="1" ht="15">
      <c r="A27" s="44">
        <v>15</v>
      </c>
      <c r="B27" s="34" t="s">
        <v>23</v>
      </c>
      <c r="C27" s="35" t="s">
        <v>24</v>
      </c>
      <c r="D27" s="31" t="s">
        <v>101</v>
      </c>
      <c r="E27" s="31" t="s">
        <v>25</v>
      </c>
      <c r="F27" s="32">
        <v>192.0</v>
      </c>
      <c r="G27" s="33">
        <v>12000</v>
      </c>
    </row>
    <row r="28" spans="1:7" customHeight="1" ht="15">
      <c r="A28" s="44">
        <v>16</v>
      </c>
      <c r="B28" s="34" t="s">
        <v>51</v>
      </c>
      <c r="C28" s="35" t="s">
        <v>52</v>
      </c>
      <c r="D28" s="31" t="s">
        <v>101</v>
      </c>
      <c r="E28" s="31" t="s">
        <v>25</v>
      </c>
      <c r="F28" s="32">
        <v>227.0</v>
      </c>
      <c r="G28" s="33">
        <v>17000</v>
      </c>
    </row>
    <row r="29" spans="1:7" customHeight="1" ht="15">
      <c r="A29" s="44">
        <v>17</v>
      </c>
      <c r="B29" s="34" t="s">
        <v>57</v>
      </c>
      <c r="C29" s="35" t="s">
        <v>58</v>
      </c>
      <c r="D29" s="31" t="s">
        <v>101</v>
      </c>
      <c r="E29" s="31" t="s">
        <v>55</v>
      </c>
      <c r="F29" s="32">
        <v>200000.0</v>
      </c>
      <c r="G29" s="33">
        <v>2</v>
      </c>
    </row>
    <row r="30" spans="1:7" customHeight="1" ht="15">
      <c r="A30" s="44">
        <v>18</v>
      </c>
      <c r="B30" s="34" t="s">
        <v>69</v>
      </c>
      <c r="C30" s="35" t="s">
        <v>70</v>
      </c>
      <c r="D30" s="31" t="s">
        <v>101</v>
      </c>
      <c r="E30" s="31" t="s">
        <v>55</v>
      </c>
      <c r="F30" s="32">
        <v>504378.0</v>
      </c>
      <c r="G30" s="33">
        <v>5</v>
      </c>
    </row>
    <row r="31" spans="1:7" customHeight="1" ht="15">
      <c r="A31" s="44">
        <v>19</v>
      </c>
      <c r="B31" s="34" t="s">
        <v>63</v>
      </c>
      <c r="C31" s="35" t="s">
        <v>64</v>
      </c>
      <c r="D31" s="31" t="s">
        <v>101</v>
      </c>
      <c r="E31" s="31" t="s">
        <v>55</v>
      </c>
      <c r="F31" s="32">
        <v>282000.0</v>
      </c>
      <c r="G31" s="33">
        <v>2</v>
      </c>
    </row>
    <row r="32" spans="1:7" customHeight="1" ht="15">
      <c r="A32" s="44">
        <v>20</v>
      </c>
      <c r="B32" s="34" t="s">
        <v>66</v>
      </c>
      <c r="C32" s="35" t="s">
        <v>67</v>
      </c>
      <c r="D32" s="31" t="s">
        <v>101</v>
      </c>
      <c r="E32" s="31" t="s">
        <v>55</v>
      </c>
      <c r="F32" s="32">
        <v>495600.0</v>
      </c>
      <c r="G32" s="33">
        <v>2</v>
      </c>
    </row>
    <row r="33" spans="1:7" customHeight="1" ht="15">
      <c r="A33" s="44">
        <v>21</v>
      </c>
      <c r="B33" s="34" t="s">
        <v>60</v>
      </c>
      <c r="C33" s="35" t="s">
        <v>61</v>
      </c>
      <c r="D33" s="31" t="s">
        <v>101</v>
      </c>
      <c r="E33" s="31" t="s">
        <v>55</v>
      </c>
      <c r="F33" s="32">
        <v>252408.0</v>
      </c>
      <c r="G33" s="33">
        <v>2</v>
      </c>
    </row>
    <row r="34" spans="1:7" customHeight="1" ht="15">
      <c r="A34" s="44">
        <v>22</v>
      </c>
      <c r="B34" s="34" t="s">
        <v>53</v>
      </c>
      <c r="C34" s="35" t="s">
        <v>54</v>
      </c>
      <c r="D34" s="31" t="s">
        <v>101</v>
      </c>
      <c r="E34" s="31" t="s">
        <v>55</v>
      </c>
      <c r="F34" s="32">
        <v>319.2</v>
      </c>
      <c r="G34" s="33">
        <v>20</v>
      </c>
    </row>
    <row r="35" spans="1:7" customHeight="1" ht="15">
      <c r="A35" s="44"/>
      <c r="B35" s="34"/>
      <c r="C35" s="35"/>
      <c r="D35" s="31"/>
      <c r="E35" s="31"/>
      <c r="F35" s="32"/>
      <c r="G35" s="33"/>
    </row>
    <row r="36" spans="1:7" customHeight="1" ht="15.75">
      <c r="A36" s="45"/>
      <c r="B36" s="36"/>
      <c r="C36" s="37"/>
      <c r="D36" s="28"/>
      <c r="E36" s="28"/>
      <c r="F36" s="29"/>
      <c r="G36" s="30"/>
    </row>
    <row r="37" spans="1:7" customHeight="1" ht="20.25">
      <c r="A37" s="122" t="s">
        <v>102</v>
      </c>
      <c r="B37" s="123"/>
      <c r="C37" s="133" t="s">
        <v>103</v>
      </c>
      <c r="D37" s="133"/>
      <c r="E37" s="134"/>
      <c r="F37" s="121">
        <f>SUMPRODUCT(F13:F36,G13:G36)</f>
        <v>69959290</v>
      </c>
      <c r="G37" s="121"/>
    </row>
    <row r="41" spans="1:7" customHeight="1" ht="13.5"/>
    <row r="42" spans="1:7" customHeight="1" ht="15.75">
      <c r="A42" s="46"/>
      <c r="B42" s="115" t="s">
        <v>104</v>
      </c>
      <c r="C42" s="115"/>
      <c r="D42" s="116"/>
    </row>
    <row r="43" spans="1:7" customHeight="1" ht="18.75">
      <c r="A43" s="47" t="s">
        <v>105</v>
      </c>
      <c r="B43" s="48" t="s">
        <v>26</v>
      </c>
      <c r="C43" s="49"/>
      <c r="D43" s="50"/>
    </row>
    <row r="44" spans="1:7" customHeight="1" ht="18.75">
      <c r="A44" s="47" t="s">
        <v>106</v>
      </c>
      <c r="B44" s="48" t="s">
        <v>37</v>
      </c>
      <c r="C44" s="49"/>
      <c r="D44" s="50"/>
    </row>
    <row r="45" spans="1:7" customHeight="1" ht="18.75">
      <c r="A45" s="47" t="s">
        <v>107</v>
      </c>
      <c r="B45" s="48" t="s">
        <v>27</v>
      </c>
      <c r="C45" s="49"/>
      <c r="D45" s="50"/>
    </row>
    <row r="46" spans="1:7" customHeight="1" ht="18.75">
      <c r="A46" s="47" t="s">
        <v>108</v>
      </c>
      <c r="B46" s="48" t="s">
        <v>40</v>
      </c>
      <c r="C46" s="49"/>
      <c r="D46" s="50"/>
    </row>
    <row r="47" spans="1:7" customHeight="1" ht="18.75">
      <c r="A47" s="47" t="s">
        <v>109</v>
      </c>
      <c r="B47" s="48" t="s">
        <v>28</v>
      </c>
      <c r="C47" s="49"/>
      <c r="D47" s="50"/>
    </row>
    <row r="48" spans="1:7" customHeight="1" ht="18.75">
      <c r="A48" s="47" t="s">
        <v>110</v>
      </c>
      <c r="B48" s="48" t="s">
        <v>40</v>
      </c>
      <c r="C48" s="49"/>
      <c r="D48" s="50"/>
    </row>
    <row r="49" spans="1:7" customHeight="1" ht="18.75">
      <c r="A49" s="47" t="s">
        <v>111</v>
      </c>
      <c r="B49" s="48" t="s">
        <v>29</v>
      </c>
      <c r="C49" s="49"/>
      <c r="D49" s="50"/>
    </row>
    <row r="50" spans="1:7" customHeight="1" ht="18.75">
      <c r="A50" s="47" t="s">
        <v>112</v>
      </c>
      <c r="B50" s="48" t="s">
        <v>40</v>
      </c>
      <c r="C50" s="49"/>
      <c r="D50" s="50"/>
    </row>
    <row r="51" spans="1:7" customHeight="1" ht="18.75">
      <c r="A51" s="47" t="s">
        <v>113</v>
      </c>
      <c r="B51" s="48" t="s">
        <v>30</v>
      </c>
      <c r="C51" s="49"/>
      <c r="D51" s="50"/>
    </row>
    <row r="52" spans="1:7" customHeight="1" ht="18.75">
      <c r="A52" s="47" t="s">
        <v>114</v>
      </c>
      <c r="B52" s="48" t="s">
        <v>40</v>
      </c>
      <c r="C52" s="49"/>
      <c r="D52" s="50"/>
    </row>
    <row r="53" spans="1:7" customHeight="1" ht="18.75">
      <c r="A53" s="47" t="s">
        <v>115</v>
      </c>
      <c r="B53" s="48" t="s">
        <v>31</v>
      </c>
      <c r="C53" s="49"/>
      <c r="D53" s="50"/>
    </row>
    <row r="54" spans="1:7" customHeight="1" ht="18.75">
      <c r="A54" s="47" t="s">
        <v>116</v>
      </c>
      <c r="B54" s="48" t="s">
        <v>40</v>
      </c>
      <c r="C54" s="49"/>
      <c r="D54" s="50"/>
    </row>
    <row r="55" spans="1:7" customHeight="1" ht="18.75">
      <c r="A55" s="47" t="s">
        <v>117</v>
      </c>
      <c r="B55" s="48" t="s">
        <v>32</v>
      </c>
      <c r="C55" s="49"/>
      <c r="D55" s="50"/>
    </row>
    <row r="56" spans="1:7" customHeight="1" ht="18.75">
      <c r="A56" s="47" t="s">
        <v>118</v>
      </c>
      <c r="B56" s="48" t="s">
        <v>40</v>
      </c>
      <c r="C56" s="49"/>
      <c r="D56" s="50"/>
    </row>
    <row r="57" spans="1:7" customHeight="1" ht="18.75">
      <c r="A57" s="47" t="s">
        <v>119</v>
      </c>
      <c r="B57" s="48" t="s">
        <v>33</v>
      </c>
      <c r="C57" s="49"/>
      <c r="D57" s="50"/>
    </row>
    <row r="58" spans="1:7" customHeight="1" ht="18.75">
      <c r="A58" s="47" t="s">
        <v>120</v>
      </c>
      <c r="B58" s="48" t="s">
        <v>40</v>
      </c>
      <c r="C58" s="49"/>
      <c r="D58" s="50"/>
    </row>
    <row r="59" spans="1:7" customHeight="1" ht="18.75">
      <c r="A59" s="47" t="s">
        <v>121</v>
      </c>
      <c r="B59" s="48" t="s">
        <v>59</v>
      </c>
      <c r="C59" s="49"/>
      <c r="D59" s="50"/>
    </row>
    <row r="60" spans="1:7" customHeight="1" ht="18.75">
      <c r="A60" s="47" t="s">
        <v>122</v>
      </c>
      <c r="B60" s="48" t="s">
        <v>71</v>
      </c>
      <c r="C60" s="49"/>
      <c r="D60" s="50"/>
    </row>
    <row r="61" spans="1:7" customHeight="1" ht="18.75">
      <c r="A61" s="47" t="s">
        <v>123</v>
      </c>
      <c r="B61" s="48" t="s">
        <v>65</v>
      </c>
      <c r="C61" s="49"/>
      <c r="D61" s="50"/>
    </row>
    <row r="62" spans="1:7" customHeight="1" ht="18.75">
      <c r="A62" s="47" t="s">
        <v>124</v>
      </c>
      <c r="B62" s="48" t="s">
        <v>68</v>
      </c>
      <c r="C62" s="49"/>
      <c r="D62" s="50"/>
    </row>
    <row r="63" spans="1:7" customHeight="1" ht="18.75">
      <c r="A63" s="47" t="s">
        <v>125</v>
      </c>
      <c r="B63" s="48" t="s">
        <v>62</v>
      </c>
      <c r="C63" s="49"/>
      <c r="D63" s="50"/>
    </row>
    <row r="64" spans="1:7" customHeight="1" ht="18.75">
      <c r="A64" s="47" t="s">
        <v>126</v>
      </c>
      <c r="B64" s="48" t="s">
        <v>56</v>
      </c>
      <c r="C64" s="49"/>
      <c r="D64" s="50"/>
    </row>
    <row r="65" spans="1:7" customHeight="1" ht="18.75">
      <c r="A65" s="47"/>
      <c r="B65" s="48"/>
      <c r="C65" s="49"/>
      <c r="D65" s="50"/>
    </row>
    <row r="66" spans="1:7" customHeight="1" ht="18.75">
      <c r="A66" s="51"/>
      <c r="B66" s="52"/>
      <c r="C66" s="53"/>
      <c r="D6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37:B37"/>
    <mergeCell ref="C9:G9"/>
    <mergeCell ref="A8:B8"/>
    <mergeCell ref="A11:A12"/>
    <mergeCell ref="B11:B12"/>
    <mergeCell ref="C37:E37"/>
    <mergeCell ref="F11:F12"/>
    <mergeCell ref="G11:G12"/>
    <mergeCell ref="E11:E12"/>
    <mergeCell ref="A1:G1"/>
    <mergeCell ref="C4:G4"/>
    <mergeCell ref="C5:G5"/>
    <mergeCell ref="C6:G6"/>
    <mergeCell ref="C7:G7"/>
    <mergeCell ref="B42:D42"/>
    <mergeCell ref="C8:G8"/>
    <mergeCell ref="A9:B9"/>
    <mergeCell ref="C11:C12"/>
    <mergeCell ref="F37:G3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127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128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86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87</v>
      </c>
      <c r="B6" s="165"/>
      <c r="C6" s="165"/>
      <c r="D6" s="165"/>
      <c r="E6" s="165"/>
      <c r="F6" s="166"/>
      <c r="G6" s="163" t="s">
        <v>88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89</v>
      </c>
      <c r="B7" s="165"/>
      <c r="C7" s="165"/>
      <c r="D7" s="165"/>
      <c r="E7" s="165"/>
      <c r="F7" s="166"/>
      <c r="G7" s="170" t="s">
        <v>88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129</v>
      </c>
      <c r="B8" s="139"/>
      <c r="C8" s="139" t="s">
        <v>91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130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131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133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134</v>
      </c>
      <c r="P13" s="149"/>
      <c r="Q13" s="152" t="s">
        <v>135</v>
      </c>
    </row>
    <row r="14" spans="1:17" customHeight="1" ht="15.75">
      <c r="A14" s="66" t="s">
        <v>136</v>
      </c>
      <c r="B14" s="66" t="s">
        <v>137</v>
      </c>
      <c r="C14" s="66" t="s">
        <v>138</v>
      </c>
      <c r="D14" s="66" t="s">
        <v>139</v>
      </c>
      <c r="E14" s="66" t="s">
        <v>140</v>
      </c>
      <c r="F14" s="66" t="s">
        <v>141</v>
      </c>
      <c r="G14" s="67" t="s">
        <v>142</v>
      </c>
      <c r="H14" s="66" t="s">
        <v>143</v>
      </c>
      <c r="I14" s="66" t="s">
        <v>144</v>
      </c>
      <c r="J14" s="66" t="s">
        <v>145</v>
      </c>
      <c r="K14" s="66" t="s">
        <v>145</v>
      </c>
      <c r="L14" s="66" t="s">
        <v>146</v>
      </c>
      <c r="M14" s="66" t="s">
        <v>147</v>
      </c>
      <c r="N14" s="66" t="s">
        <v>148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69959290.0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149</v>
      </c>
      <c r="B18" s="155"/>
      <c r="C18" s="156" t="s">
        <v>103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69959290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150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93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151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82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83</v>
      </c>
      <c r="G2" s="41" t="s">
        <v>152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85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86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87</v>
      </c>
      <c r="B6" s="128"/>
      <c r="C6" s="112" t="s">
        <v>153</v>
      </c>
      <c r="D6" s="113"/>
      <c r="E6" s="113"/>
      <c r="F6" s="113"/>
      <c r="G6" s="114"/>
    </row>
    <row r="7" spans="1:7" customHeight="1" ht="32.25">
      <c r="A7" s="127" t="s">
        <v>89</v>
      </c>
      <c r="B7" s="128"/>
      <c r="C7" s="112" t="s">
        <v>153</v>
      </c>
      <c r="D7" s="113"/>
      <c r="E7" s="113"/>
      <c r="F7" s="113"/>
      <c r="G7" s="114"/>
    </row>
    <row r="8" spans="1:7" customHeight="1" ht="16.5">
      <c r="A8" s="127" t="s">
        <v>90</v>
      </c>
      <c r="B8" s="128"/>
      <c r="C8" s="112" t="s">
        <v>91</v>
      </c>
      <c r="D8" s="113"/>
      <c r="E8" s="113"/>
      <c r="F8" s="113"/>
      <c r="G8" s="114"/>
    </row>
    <row r="9" spans="1:7" customHeight="1" ht="27.75">
      <c r="A9" s="117" t="s">
        <v>92</v>
      </c>
      <c r="B9" s="118"/>
      <c r="C9" s="124" t="s">
        <v>154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94</v>
      </c>
      <c r="B11" s="131" t="s">
        <v>95</v>
      </c>
      <c r="C11" s="119" t="s">
        <v>96</v>
      </c>
      <c r="D11" s="135" t="s">
        <v>97</v>
      </c>
      <c r="E11" s="135" t="s">
        <v>98</v>
      </c>
      <c r="F11" s="135" t="s">
        <v>99</v>
      </c>
      <c r="G11" s="135" t="s">
        <v>100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34</v>
      </c>
      <c r="C13" s="35" t="s">
        <v>35</v>
      </c>
      <c r="D13" s="31" t="s">
        <v>155</v>
      </c>
      <c r="E13" s="31" t="s">
        <v>36</v>
      </c>
      <c r="F13" s="32">
        <v>221.7</v>
      </c>
      <c r="G13" s="33">
        <v>22550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102</v>
      </c>
      <c r="B16" s="123"/>
      <c r="C16" s="133" t="s">
        <v>156</v>
      </c>
      <c r="D16" s="133"/>
      <c r="E16" s="134"/>
      <c r="F16" s="121">
        <f>SUMPRODUCT(F13:F15,G13:G15)</f>
        <v>4999335</v>
      </c>
      <c r="G16" s="121"/>
    </row>
    <row r="20" spans="1:7" customHeight="1" ht="13.5"/>
    <row r="21" spans="1:7" customHeight="1" ht="15.75">
      <c r="A21" s="46"/>
      <c r="B21" s="115" t="s">
        <v>104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127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128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86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87</v>
      </c>
      <c r="B6" s="165"/>
      <c r="C6" s="165"/>
      <c r="D6" s="165"/>
      <c r="E6" s="165"/>
      <c r="F6" s="166"/>
      <c r="G6" s="163" t="s">
        <v>153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89</v>
      </c>
      <c r="B7" s="165"/>
      <c r="C7" s="165"/>
      <c r="D7" s="165"/>
      <c r="E7" s="165"/>
      <c r="F7" s="166"/>
      <c r="G7" s="170" t="s">
        <v>153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129</v>
      </c>
      <c r="B8" s="139"/>
      <c r="C8" s="139" t="s">
        <v>91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130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157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133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134</v>
      </c>
      <c r="P13" s="149"/>
      <c r="Q13" s="152" t="s">
        <v>135</v>
      </c>
    </row>
    <row r="14" spans="1:17" customHeight="1" ht="15.75">
      <c r="A14" s="66" t="s">
        <v>136</v>
      </c>
      <c r="B14" s="66" t="s">
        <v>137</v>
      </c>
      <c r="C14" s="66" t="s">
        <v>138</v>
      </c>
      <c r="D14" s="66" t="s">
        <v>139</v>
      </c>
      <c r="E14" s="66" t="s">
        <v>140</v>
      </c>
      <c r="F14" s="66" t="s">
        <v>141</v>
      </c>
      <c r="G14" s="67" t="s">
        <v>142</v>
      </c>
      <c r="H14" s="66" t="s">
        <v>143</v>
      </c>
      <c r="I14" s="66" t="s">
        <v>144</v>
      </c>
      <c r="J14" s="66" t="s">
        <v>145</v>
      </c>
      <c r="K14" s="66" t="s">
        <v>145</v>
      </c>
      <c r="L14" s="66" t="s">
        <v>146</v>
      </c>
      <c r="M14" s="66" t="s">
        <v>147</v>
      </c>
      <c r="N14" s="66" t="s">
        <v>148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4999335.0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149</v>
      </c>
      <c r="B18" s="155"/>
      <c r="C18" s="156" t="s">
        <v>156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4999335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150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154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151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82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83</v>
      </c>
      <c r="G2" s="41" t="s">
        <v>158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85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86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87</v>
      </c>
      <c r="B6" s="128"/>
      <c r="C6" s="112" t="s">
        <v>159</v>
      </c>
      <c r="D6" s="113"/>
      <c r="E6" s="113"/>
      <c r="F6" s="113"/>
      <c r="G6" s="114"/>
    </row>
    <row r="7" spans="1:7" customHeight="1" ht="32.25">
      <c r="A7" s="127" t="s">
        <v>89</v>
      </c>
      <c r="B7" s="128"/>
      <c r="C7" s="112" t="s">
        <v>159</v>
      </c>
      <c r="D7" s="113"/>
      <c r="E7" s="113"/>
      <c r="F7" s="113"/>
      <c r="G7" s="114"/>
    </row>
    <row r="8" spans="1:7" customHeight="1" ht="16.5">
      <c r="A8" s="127" t="s">
        <v>90</v>
      </c>
      <c r="B8" s="128"/>
      <c r="C8" s="112" t="s">
        <v>91</v>
      </c>
      <c r="D8" s="113"/>
      <c r="E8" s="113"/>
      <c r="F8" s="113"/>
      <c r="G8" s="114"/>
    </row>
    <row r="9" spans="1:7" customHeight="1" ht="27.75">
      <c r="A9" s="117" t="s">
        <v>92</v>
      </c>
      <c r="B9" s="118"/>
      <c r="C9" s="124" t="s">
        <v>93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94</v>
      </c>
      <c r="B11" s="131" t="s">
        <v>95</v>
      </c>
      <c r="C11" s="119" t="s">
        <v>96</v>
      </c>
      <c r="D11" s="135" t="s">
        <v>97</v>
      </c>
      <c r="E11" s="135" t="s">
        <v>98</v>
      </c>
      <c r="F11" s="135" t="s">
        <v>99</v>
      </c>
      <c r="G11" s="135" t="s">
        <v>100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34</v>
      </c>
      <c r="C13" s="35" t="s">
        <v>35</v>
      </c>
      <c r="D13" s="31" t="s">
        <v>155</v>
      </c>
      <c r="E13" s="31" t="s">
        <v>36</v>
      </c>
      <c r="F13" s="32">
        <v>222.0</v>
      </c>
      <c r="G13" s="33">
        <v>22523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102</v>
      </c>
      <c r="B16" s="123"/>
      <c r="C16" s="133" t="s">
        <v>160</v>
      </c>
      <c r="D16" s="133"/>
      <c r="E16" s="134"/>
      <c r="F16" s="121">
        <f>SUMPRODUCT(F13:F15,G13:G15)</f>
        <v>5000106</v>
      </c>
      <c r="G16" s="121"/>
    </row>
    <row r="20" spans="1:7" customHeight="1" ht="13.5"/>
    <row r="21" spans="1:7" customHeight="1" ht="15.75">
      <c r="A21" s="46"/>
      <c r="B21" s="115" t="s">
        <v>104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127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128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86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87</v>
      </c>
      <c r="B6" s="165"/>
      <c r="C6" s="165"/>
      <c r="D6" s="165"/>
      <c r="E6" s="165"/>
      <c r="F6" s="166"/>
      <c r="G6" s="163" t="s">
        <v>159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89</v>
      </c>
      <c r="B7" s="165"/>
      <c r="C7" s="165"/>
      <c r="D7" s="165"/>
      <c r="E7" s="165"/>
      <c r="F7" s="166"/>
      <c r="G7" s="170" t="s">
        <v>159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129</v>
      </c>
      <c r="B8" s="139"/>
      <c r="C8" s="139" t="s">
        <v>91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130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161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133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134</v>
      </c>
      <c r="P13" s="149"/>
      <c r="Q13" s="152" t="s">
        <v>135</v>
      </c>
    </row>
    <row r="14" spans="1:17" customHeight="1" ht="15.75">
      <c r="A14" s="66" t="s">
        <v>136</v>
      </c>
      <c r="B14" s="66" t="s">
        <v>137</v>
      </c>
      <c r="C14" s="66" t="s">
        <v>138</v>
      </c>
      <c r="D14" s="66" t="s">
        <v>139</v>
      </c>
      <c r="E14" s="66" t="s">
        <v>140</v>
      </c>
      <c r="F14" s="66" t="s">
        <v>141</v>
      </c>
      <c r="G14" s="67" t="s">
        <v>142</v>
      </c>
      <c r="H14" s="66" t="s">
        <v>143</v>
      </c>
      <c r="I14" s="66" t="s">
        <v>144</v>
      </c>
      <c r="J14" s="66" t="s">
        <v>145</v>
      </c>
      <c r="K14" s="66" t="s">
        <v>145</v>
      </c>
      <c r="L14" s="66" t="s">
        <v>146</v>
      </c>
      <c r="M14" s="66" t="s">
        <v>147</v>
      </c>
      <c r="N14" s="66" t="s">
        <v>148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5000106.0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149</v>
      </c>
      <c r="B18" s="155"/>
      <c r="C18" s="156" t="s">
        <v>160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5000106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150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93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151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82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83</v>
      </c>
      <c r="G2" s="41" t="s">
        <v>162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85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86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87</v>
      </c>
      <c r="B6" s="128"/>
      <c r="C6" s="112" t="s">
        <v>163</v>
      </c>
      <c r="D6" s="113"/>
      <c r="E6" s="113"/>
      <c r="F6" s="113"/>
      <c r="G6" s="114"/>
    </row>
    <row r="7" spans="1:7" customHeight="1" ht="32.25">
      <c r="A7" s="127" t="s">
        <v>89</v>
      </c>
      <c r="B7" s="128"/>
      <c r="C7" s="112" t="s">
        <v>163</v>
      </c>
      <c r="D7" s="113"/>
      <c r="E7" s="113"/>
      <c r="F7" s="113"/>
      <c r="G7" s="114"/>
    </row>
    <row r="8" spans="1:7" customHeight="1" ht="16.5">
      <c r="A8" s="127" t="s">
        <v>90</v>
      </c>
      <c r="B8" s="128"/>
      <c r="C8" s="112" t="s">
        <v>91</v>
      </c>
      <c r="D8" s="113"/>
      <c r="E8" s="113"/>
      <c r="F8" s="113"/>
      <c r="G8" s="114"/>
    </row>
    <row r="9" spans="1:7" customHeight="1" ht="27.75">
      <c r="A9" s="117" t="s">
        <v>92</v>
      </c>
      <c r="B9" s="118"/>
      <c r="C9" s="124" t="s">
        <v>93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94</v>
      </c>
      <c r="B11" s="131" t="s">
        <v>95</v>
      </c>
      <c r="C11" s="119" t="s">
        <v>96</v>
      </c>
      <c r="D11" s="135" t="s">
        <v>97</v>
      </c>
      <c r="E11" s="135" t="s">
        <v>98</v>
      </c>
      <c r="F11" s="135" t="s">
        <v>99</v>
      </c>
      <c r="G11" s="135" t="s">
        <v>100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18</v>
      </c>
      <c r="C13" s="35" t="s">
        <v>21</v>
      </c>
      <c r="D13" s="31" t="s">
        <v>155</v>
      </c>
      <c r="E13" s="31" t="s">
        <v>22</v>
      </c>
      <c r="F13" s="32">
        <v>156.0</v>
      </c>
      <c r="G13" s="33">
        <v>1200</v>
      </c>
    </row>
    <row r="14" spans="1:7" customHeight="1" ht="15">
      <c r="A14" s="44">
        <v>2</v>
      </c>
      <c r="B14" s="34" t="s">
        <v>34</v>
      </c>
      <c r="C14" s="35" t="s">
        <v>35</v>
      </c>
      <c r="D14" s="31" t="s">
        <v>155</v>
      </c>
      <c r="E14" s="31" t="s">
        <v>22</v>
      </c>
      <c r="F14" s="32">
        <v>232.0</v>
      </c>
      <c r="G14" s="33">
        <v>2400</v>
      </c>
    </row>
    <row r="15" spans="1:7" customHeight="1" ht="15">
      <c r="A15" s="44"/>
      <c r="B15" s="34"/>
      <c r="C15" s="35"/>
      <c r="D15" s="31"/>
      <c r="E15" s="31"/>
      <c r="F15" s="32"/>
      <c r="G15" s="33"/>
    </row>
    <row r="16" spans="1:7" customHeight="1" ht="15.75">
      <c r="A16" s="45"/>
      <c r="B16" s="36"/>
      <c r="C16" s="37"/>
      <c r="D16" s="28"/>
      <c r="E16" s="28"/>
      <c r="F16" s="29"/>
      <c r="G16" s="30"/>
    </row>
    <row r="17" spans="1:7" customHeight="1" ht="20.25">
      <c r="A17" s="122" t="s">
        <v>102</v>
      </c>
      <c r="B17" s="123"/>
      <c r="C17" s="133" t="s">
        <v>164</v>
      </c>
      <c r="D17" s="133"/>
      <c r="E17" s="134"/>
      <c r="F17" s="121">
        <f>SUMPRODUCT(F13:F16,G13:G16)</f>
        <v>744000</v>
      </c>
      <c r="G17" s="121"/>
    </row>
    <row r="21" spans="1:7" customHeight="1" ht="13.5"/>
    <row r="22" spans="1:7" customHeight="1" ht="15.75">
      <c r="A22" s="46"/>
      <c r="B22" s="115" t="s">
        <v>104</v>
      </c>
      <c r="C22" s="115"/>
      <c r="D22" s="116"/>
    </row>
    <row r="23" spans="1:7" customHeight="1" ht="18.75">
      <c r="A23" s="47"/>
      <c r="B23" s="48"/>
      <c r="C23" s="49"/>
      <c r="D23" s="50"/>
    </row>
    <row r="24" spans="1:7" customHeight="1" ht="18.75">
      <c r="A24" s="51"/>
      <c r="B24" s="52"/>
      <c r="C24" s="53"/>
      <c r="D24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7:B17"/>
    <mergeCell ref="C9:G9"/>
    <mergeCell ref="A8:B8"/>
    <mergeCell ref="A11:A12"/>
    <mergeCell ref="B11:B12"/>
    <mergeCell ref="C17:E17"/>
    <mergeCell ref="F11:F12"/>
    <mergeCell ref="G11:G12"/>
    <mergeCell ref="E11:E12"/>
    <mergeCell ref="A1:G1"/>
    <mergeCell ref="C4:G4"/>
    <mergeCell ref="C5:G5"/>
    <mergeCell ref="C6:G6"/>
    <mergeCell ref="C7:G7"/>
    <mergeCell ref="B22:D22"/>
    <mergeCell ref="C8:G8"/>
    <mergeCell ref="A9:B9"/>
    <mergeCell ref="C11:C12"/>
    <mergeCell ref="F17:G1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127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128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86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87</v>
      </c>
      <c r="B6" s="165"/>
      <c r="C6" s="165"/>
      <c r="D6" s="165"/>
      <c r="E6" s="165"/>
      <c r="F6" s="166"/>
      <c r="G6" s="163" t="s">
        <v>163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89</v>
      </c>
      <c r="B7" s="165"/>
      <c r="C7" s="165"/>
      <c r="D7" s="165"/>
      <c r="E7" s="165"/>
      <c r="F7" s="166"/>
      <c r="G7" s="170" t="s">
        <v>163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129</v>
      </c>
      <c r="B8" s="139"/>
      <c r="C8" s="139" t="s">
        <v>91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130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165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133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134</v>
      </c>
      <c r="P13" s="149"/>
      <c r="Q13" s="152" t="s">
        <v>135</v>
      </c>
    </row>
    <row r="14" spans="1:17" customHeight="1" ht="15.75">
      <c r="A14" s="66" t="s">
        <v>136</v>
      </c>
      <c r="B14" s="66" t="s">
        <v>137</v>
      </c>
      <c r="C14" s="66" t="s">
        <v>138</v>
      </c>
      <c r="D14" s="66" t="s">
        <v>139</v>
      </c>
      <c r="E14" s="66" t="s">
        <v>140</v>
      </c>
      <c r="F14" s="66" t="s">
        <v>141</v>
      </c>
      <c r="G14" s="67" t="s">
        <v>142</v>
      </c>
      <c r="H14" s="66" t="s">
        <v>143</v>
      </c>
      <c r="I14" s="66" t="s">
        <v>144</v>
      </c>
      <c r="J14" s="66" t="s">
        <v>145</v>
      </c>
      <c r="K14" s="66" t="s">
        <v>145</v>
      </c>
      <c r="L14" s="66" t="s">
        <v>146</v>
      </c>
      <c r="M14" s="66" t="s">
        <v>147</v>
      </c>
      <c r="N14" s="66" t="s">
        <v>148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744000.0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149</v>
      </c>
      <c r="B18" s="155"/>
      <c r="C18" s="156" t="s">
        <v>164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744000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150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93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151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82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83</v>
      </c>
      <c r="G2" s="41" t="s">
        <v>166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85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86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87</v>
      </c>
      <c r="B6" s="128"/>
      <c r="C6" s="112" t="s">
        <v>167</v>
      </c>
      <c r="D6" s="113"/>
      <c r="E6" s="113"/>
      <c r="F6" s="113"/>
      <c r="G6" s="114"/>
    </row>
    <row r="7" spans="1:7" customHeight="1" ht="32.25">
      <c r="A7" s="127" t="s">
        <v>89</v>
      </c>
      <c r="B7" s="128"/>
      <c r="C7" s="112" t="s">
        <v>167</v>
      </c>
      <c r="D7" s="113"/>
      <c r="E7" s="113"/>
      <c r="F7" s="113"/>
      <c r="G7" s="114"/>
    </row>
    <row r="8" spans="1:7" customHeight="1" ht="16.5">
      <c r="A8" s="127" t="s">
        <v>90</v>
      </c>
      <c r="B8" s="128"/>
      <c r="C8" s="112" t="s">
        <v>91</v>
      </c>
      <c r="D8" s="113"/>
      <c r="E8" s="113"/>
      <c r="F8" s="113"/>
      <c r="G8" s="114"/>
    </row>
    <row r="9" spans="1:7" customHeight="1" ht="27.75">
      <c r="A9" s="117" t="s">
        <v>92</v>
      </c>
      <c r="B9" s="118"/>
      <c r="C9" s="124" t="s">
        <v>168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94</v>
      </c>
      <c r="B11" s="131" t="s">
        <v>95</v>
      </c>
      <c r="C11" s="119" t="s">
        <v>96</v>
      </c>
      <c r="D11" s="135" t="s">
        <v>97</v>
      </c>
      <c r="E11" s="135" t="s">
        <v>98</v>
      </c>
      <c r="F11" s="135" t="s">
        <v>99</v>
      </c>
      <c r="G11" s="135" t="s">
        <v>100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34</v>
      </c>
      <c r="C13" s="35" t="s">
        <v>35</v>
      </c>
      <c r="D13" s="31" t="s">
        <v>155</v>
      </c>
      <c r="E13" s="31" t="s">
        <v>36</v>
      </c>
      <c r="F13" s="32">
        <v>232.0</v>
      </c>
      <c r="G13" s="33">
        <v>1500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102</v>
      </c>
      <c r="B16" s="123"/>
      <c r="C16" s="133" t="s">
        <v>169</v>
      </c>
      <c r="D16" s="133"/>
      <c r="E16" s="134"/>
      <c r="F16" s="121">
        <f>SUMPRODUCT(F13:F15,G13:G15)</f>
        <v>348000</v>
      </c>
      <c r="G16" s="121"/>
    </row>
    <row r="20" spans="1:7" customHeight="1" ht="13.5"/>
    <row r="21" spans="1:7" customHeight="1" ht="15.75">
      <c r="A21" s="46"/>
      <c r="B21" s="115" t="s">
        <v>104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127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128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86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87</v>
      </c>
      <c r="B6" s="165"/>
      <c r="C6" s="165"/>
      <c r="D6" s="165"/>
      <c r="E6" s="165"/>
      <c r="F6" s="166"/>
      <c r="G6" s="163" t="s">
        <v>167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89</v>
      </c>
      <c r="B7" s="165"/>
      <c r="C7" s="165"/>
      <c r="D7" s="165"/>
      <c r="E7" s="165"/>
      <c r="F7" s="166"/>
      <c r="G7" s="170" t="s">
        <v>167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129</v>
      </c>
      <c r="B8" s="139"/>
      <c r="C8" s="139" t="s">
        <v>91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130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170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133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134</v>
      </c>
      <c r="P13" s="149"/>
      <c r="Q13" s="152" t="s">
        <v>135</v>
      </c>
    </row>
    <row r="14" spans="1:17" customHeight="1" ht="15.75">
      <c r="A14" s="66" t="s">
        <v>136</v>
      </c>
      <c r="B14" s="66" t="s">
        <v>137</v>
      </c>
      <c r="C14" s="66" t="s">
        <v>138</v>
      </c>
      <c r="D14" s="66" t="s">
        <v>139</v>
      </c>
      <c r="E14" s="66" t="s">
        <v>140</v>
      </c>
      <c r="F14" s="66" t="s">
        <v>141</v>
      </c>
      <c r="G14" s="67" t="s">
        <v>142</v>
      </c>
      <c r="H14" s="66" t="s">
        <v>143</v>
      </c>
      <c r="I14" s="66" t="s">
        <v>144</v>
      </c>
      <c r="J14" s="66" t="s">
        <v>145</v>
      </c>
      <c r="K14" s="66" t="s">
        <v>145</v>
      </c>
      <c r="L14" s="66" t="s">
        <v>146</v>
      </c>
      <c r="M14" s="66" t="s">
        <v>147</v>
      </c>
      <c r="N14" s="66" t="s">
        <v>148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348000.0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149</v>
      </c>
      <c r="B18" s="155"/>
      <c r="C18" s="156" t="s">
        <v>169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348000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150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168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151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Necesidades Trimestrales</vt:lpstr>
      <vt:lpstr>Nota Pedido DA#PC</vt:lpstr>
      <vt:lpstr>APG DA#PC</vt:lpstr>
      <vt:lpstr>Nota Pedido MIDSP</vt:lpstr>
      <vt:lpstr>APG MIDSP</vt:lpstr>
      <vt:lpstr>Nota Pedido MGJDH</vt:lpstr>
      <vt:lpstr>APG MGJDH</vt:lpstr>
      <vt:lpstr>Nota Pedido DA#HNEP</vt:lpstr>
      <vt:lpstr>APG DA#HNEP</vt:lpstr>
      <vt:lpstr>Nota Pedido MIRLT</vt:lpstr>
      <vt:lpstr>APG MIRLT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