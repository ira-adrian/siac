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F087B0B-816E-4E23-B3AE-B6DBFD7C7361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Trimestrales'!$A$9:$I$25</definedName>
    <definedName name="_xlnm.Print_Area" localSheetId="1">' NotaPedido'!$A$1:$K$28</definedName>
    <definedName name="_xlnm.Print_Area" localSheetId="2">'Autor Gastar'!$A$1:$Q$25</definedName>
    <definedName name="_xlnm.Print_Area" localSheetId="0">'Necesidades Trimestrales'!$E$9:$E$25</definedName>
  </definedNames>
  <calcPr calcId="181029"/>
</workbook>
</file>

<file path=xl/calcChain.xml><?xml version="1.0" encoding="utf-8"?>
<calcChain xmlns="http://schemas.openxmlformats.org/spreadsheetml/2006/main">
  <c r="J23" i="2" l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J13" i="2"/>
  <c r="J14" i="2"/>
  <c r="J15" i="2"/>
  <c r="J16" i="2"/>
  <c r="J17" i="2"/>
  <c r="J18" i="2"/>
  <c r="J19" i="2"/>
  <c r="J20" i="2"/>
  <c r="J21" i="2"/>
  <c r="J22" i="2"/>
  <c r="J24" i="2"/>
  <c r="J25" i="2"/>
  <c r="J26" i="2"/>
  <c r="J27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28" i="2" l="1"/>
  <c r="Q21" i="3"/>
</calcChain>
</file>

<file path=xl/sharedStrings.xml><?xml version="1.0" encoding="utf-8"?>
<sst xmlns="http://schemas.openxmlformats.org/spreadsheetml/2006/main" count="138" uniqueCount="85">
  <si>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</si>
  <si>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</si>
  <si>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</si>
  <si>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</si>
  <si>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</si>
  <si>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</si>
  <si>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</si>
  <si>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</si>
  <si>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</si>
  <si>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</si>
  <si>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</si>
  <si>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</si>
  <si>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</si>
  <si>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</si>
  <si>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</si>
  <si>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</si>
  <si>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</si>
  <si>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</si>
  <si>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</si>
  <si>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</si>
  <si>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</si>
  <si>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</si>
  <si>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</si>
  <si>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</si>
  <si>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</si>
  <si>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</si>
  <si>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</si>
  <si>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</si>
  <si>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</si>
  <si>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</si>
  <si>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</si>
  <si>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</si>
  <si>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</si>
  <si>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</si>
  <si>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</si>
  <si>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</si>
  <si>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</si>
  <si>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</si>
  <si>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</si>
  <si>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</si>
  <si>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</si>
  <si>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</si>
  <si>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</si>
  <si>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</si>
  <si>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</si>
  <si>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</si>
  <si>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</si>
  <si>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</si>
  <si>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</si>
  <si>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</si>
  <si>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</si>
  <si>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</si>
  <si>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</si>
  <si>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</si>
  <si>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</si>
  <si>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</si>
  <si>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</si>
  <si>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</si>
  <si>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AGUA DESTILADA EN AMPOLLAS</t>
  </si>
  <si>
    <t>BICARBONATO 1 MOLAR SACHET X 100 ML</t>
  </si>
  <si>
    <t>CLORURO DE POTASIO SACHET X 100ML</t>
  </si>
  <si>
    <t>SOLUCION DEXTROSA AL 5% SACHET X 100 ML</t>
  </si>
  <si>
    <t>SOLUCION DEXTROSA AL 10% SACHET DE 500 ML</t>
  </si>
  <si>
    <t>SOLUCION DEXTROSA 50%SACHET X 500ML</t>
  </si>
  <si>
    <t>SOLUCION DEXTROSA AL 5 % SACHET DE 500 ML</t>
  </si>
  <si>
    <t>SOLUCION FISIOLOGICA 0,9 % SACHET X 500 ML</t>
  </si>
  <si>
    <t>SOLUCION FISIOLOGICA 0,9% SACHET X 100 ML</t>
  </si>
  <si>
    <t>SOLUCION FISIOLOGICA EN AMPOLLAS</t>
  </si>
  <si>
    <t>SOLUCION MANITOL DE SACHET 500 ML</t>
  </si>
  <si>
    <t>SOLUCION RINGER LACTATO DE 500 ML</t>
  </si>
  <si>
    <t>SULFATO DE MAGNESIO 25%  AMPOLLAS</t>
  </si>
  <si>
    <t>SOLUCION PARA DIALISIS PERITONEAL X 200OML TIPO RIVERO</t>
  </si>
  <si>
    <t>Nutricion y Soluciones que Afectan el Equilibrio Hidroelectrolitico y Soluciones para Dialisis</t>
  </si>
  <si>
    <t>Para la adquisición de Insumos relacionados a la Nutricion y Soluciones que Afectan el Equilibrio Hidroelectrolitico y Soluciones para Dialisis destinados al Servicio de Farmacia del Hospital Interzonal de Niños Eva Peron, para el normal funcionamiento del organismo.</t>
  </si>
  <si>
    <t>PROD. MEDICO/FARMACEUTICOS/LAB</t>
  </si>
  <si>
    <t>UNIDAD</t>
  </si>
  <si>
    <t xml:space="preserve">SOLUCION GLUCOSADA AL 25 % AMPOLLAS </t>
  </si>
  <si>
    <t>SULFATO DE ZINC AMPOLLA X 5 ML</t>
  </si>
  <si>
    <t>099/2021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</si>
  <si>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</si>
  <si>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</si>
  <si>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</si>
  <si>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veinte (20) días corridos de notificada la Orden de Compra</t>
    </r>
  </si>
  <si>
    <t>Costo total estimado: Un Millon Ochocientos Treinta Y Tres Mil Trescientos Ochenta Y Seis Con 50/100.</t>
  </si>
  <si>
    <t>TOTAL DE PESOS: UN MILLON OCHOCIENTOS TREINTA Y TRES MIL TRESCIENTOS OCHENTA Y SEIS CON 50/100.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</si>
</sst>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#,##0.00;\-&quot;$&quot;#,##0.00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rgb="FF33333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8">
    <xf numFmtId="0" fontId="0" fillId="0" borderId="0"/>
    <xf numFmtId="166" fontId="1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  <xf numFmtId="0" fontId="15" fillId="0" borderId="0"/>
  </cellStyleXfs>
  <cellXfs count="15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0" xfId="0" applyFont="1" applyBorder="1"/>
    <xf numFmtId="167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7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8" fontId="16" fillId="0" borderId="0" xfId="0" applyNumberFormat="1" applyFont="1"/>
    <xf numFmtId="170" fontId="21" fillId="0" borderId="0" xfId="0" applyNumberFormat="1" applyFont="1"/>
    <xf numFmtId="170" fontId="22" fillId="0" borderId="0" xfId="0" applyNumberFormat="1" applyFont="1" applyAlignment="1">
      <alignment horizontal="left" wrapText="1"/>
    </xf>
    <xf numFmtId="168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170" fontId="21" fillId="0" borderId="0" xfId="0" applyNumberFormat="1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167" fontId="21" fillId="4" borderId="58" xfId="1" applyNumberFormat="1" applyFont="1" applyFill="1" applyBorder="1" applyAlignment="1" applyProtection="1">
      <alignment horizontal="right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167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16" fillId="0" borderId="0" xfId="0" applyFont="1" applyFill="1" applyBorder="1"/>
    <xf numFmtId="0" fontId="21" fillId="0" borderId="61" xfId="0" applyFont="1" applyBorder="1" applyAlignment="1">
      <alignment horizontal="center" vertical="center"/>
    </xf>
    <xf numFmtId="0" fontId="0" fillId="0" borderId="60" xfId="0" applyBorder="1"/>
    <xf numFmtId="167" fontId="21" fillId="4" borderId="62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0" fontId="25" fillId="0" borderId="16" xfId="0" applyNumberFormat="1" applyFont="1" applyBorder="1" applyAlignment="1">
      <alignment horizontal="center" vertical="center" wrapText="1"/>
    </xf>
    <xf numFmtId="0" fontId="19" fillId="0" borderId="56" xfId="0" applyFont="1" applyBorder="1" applyAlignment="1">
      <alignment vertical="center" wrapText="1"/>
    </xf>
    <xf numFmtId="0" fontId="27" fillId="0" borderId="56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left" vertical="center" wrapText="1"/>
    </xf>
    <xf numFmtId="3" fontId="16" fillId="0" borderId="56" xfId="0" applyNumberFormat="1" applyFont="1" applyFill="1" applyBorder="1" applyAlignment="1">
      <alignment horizontal="center" vertical="center"/>
    </xf>
    <xf numFmtId="0" fontId="19" fillId="0" borderId="56" xfId="0" applyFont="1" applyFill="1" applyBorder="1" applyAlignment="1">
      <alignment vertical="center" wrapText="1"/>
    </xf>
    <xf numFmtId="0" fontId="19" fillId="5" borderId="56" xfId="0" applyFont="1" applyFill="1" applyBorder="1" applyAlignment="1">
      <alignment vertical="center" wrapText="1"/>
    </xf>
    <xf numFmtId="0" fontId="16" fillId="0" borderId="56" xfId="0" applyFont="1" applyBorder="1" applyAlignment="1">
      <alignment horizontal="left" vertical="center" wrapText="1"/>
    </xf>
    <xf numFmtId="0" fontId="19" fillId="0" borderId="56" xfId="0" applyFont="1" applyFill="1" applyBorder="1" applyAlignment="1">
      <alignment horizontal="center" vertical="center"/>
    </xf>
    <xf numFmtId="164" fontId="16" fillId="0" borderId="56" xfId="1" applyNumberFormat="1" applyFont="1" applyFill="1" applyBorder="1" applyAlignment="1">
      <alignment horizontal="center" vertical="center" wrapText="1"/>
    </xf>
    <xf numFmtId="164" fontId="19" fillId="0" borderId="56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 indent="3"/>
    </xf>
    <xf numFmtId="0" fontId="23" fillId="0" borderId="9" xfId="0" applyFont="1" applyBorder="1" applyAlignment="1"/>
    <xf numFmtId="0" fontId="16" fillId="0" borderId="10" xfId="0" applyFont="1" applyBorder="1" applyAlignment="1">
      <alignment horizontal="center" wrapText="1"/>
    </xf>
    <xf numFmtId="0" fontId="16" fillId="0" borderId="10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7" xfId="0" applyFont="1" applyFill="1" applyBorder="1"/>
    <xf numFmtId="0" fontId="16" fillId="0" borderId="0" xfId="0" applyFont="1" applyBorder="1" applyAlignment="1">
      <alignment horizontal="left" indent="3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5" fillId="3" borderId="56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168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9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23" xfId="0" applyBorder="1"/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</cellXfs>
  <cellStyles count="8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4" xfId="7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6"/>
  <sheetViews>
    <sheetView tabSelected="1" zoomScale="93" zoomScaleNormal="93" workbookViewId="0">
      <selection activeCell="F4" sqref="F4"/>
    </sheetView>
  </sheetViews>
  <sheetFormatPr baseColWidth="10" defaultColWidth="11" defaultRowHeight="12.75" x14ac:dyDescent="0.2"/>
  <cols>
    <col min="1" max="1" width="6.42578125" style="26" customWidth="1"/>
    <col min="2" max="2" width="11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03" t="s">
        <v>0</v>
      </c>
      <c r="C2" s="103"/>
      <c r="D2" s="103"/>
      <c r="E2" s="103"/>
      <c r="F2" s="103"/>
      <c r="G2" s="103"/>
      <c r="H2" s="103"/>
    </row>
    <row r="3" spans="1:10" ht="12" customHeight="1" x14ac:dyDescent="0.2"/>
    <row r="4" spans="1:10" ht="18" customHeight="1" x14ac:dyDescent="0.25">
      <c r="A4" s="102" t="s">
        <v>1</v>
      </c>
      <c r="B4" s="102"/>
      <c r="C4" s="104" t="s">
        <v>52</v>
      </c>
      <c r="D4" s="104"/>
      <c r="E4" s="104"/>
      <c r="F4" s="27"/>
      <c r="G4" s="28"/>
      <c r="H4" s="52"/>
    </row>
    <row r="5" spans="1:10" ht="18" customHeight="1" x14ac:dyDescent="0.25">
      <c r="A5" s="102" t="s">
        <v>2</v>
      </c>
      <c r="B5" s="102"/>
      <c r="C5" s="104" t="s">
        <v>51</v>
      </c>
      <c r="D5" s="104"/>
      <c r="E5" s="104"/>
      <c r="F5" s="27"/>
      <c r="G5" s="28" t="s">
        <v>55</v>
      </c>
      <c r="H5" s="52"/>
    </row>
    <row r="6" spans="1:10" ht="16.5" customHeight="1" x14ac:dyDescent="0.25">
      <c r="A6" s="102" t="s">
        <v>3</v>
      </c>
      <c r="B6" s="102"/>
      <c r="C6" s="42">
        <v>2021</v>
      </c>
      <c r="D6" s="43"/>
      <c r="E6" s="43"/>
      <c r="F6" s="27"/>
      <c r="G6" s="28"/>
      <c r="H6" s="52"/>
    </row>
    <row r="7" spans="1:10" ht="16.5" customHeight="1" x14ac:dyDescent="0.25">
      <c r="A7" s="102" t="s">
        <v>4</v>
      </c>
      <c r="B7" s="102"/>
      <c r="C7" s="42">
        <v>3</v>
      </c>
      <c r="D7" s="43"/>
      <c r="E7" s="43"/>
      <c r="F7" s="27"/>
      <c r="G7" s="28"/>
      <c r="H7" s="52"/>
    </row>
    <row r="8" spans="1:10" ht="13.5" thickBot="1" x14ac:dyDescent="0.25">
      <c r="B8" s="27"/>
      <c r="C8" s="28"/>
      <c r="D8" s="27"/>
      <c r="E8" s="27"/>
      <c r="F8" s="27"/>
      <c r="G8" s="28"/>
      <c r="H8" s="52"/>
      <c r="J8" s="50"/>
    </row>
    <row r="9" spans="1:10" ht="36.75" thickBot="1" x14ac:dyDescent="0.25">
      <c r="A9" s="80" t="s">
        <v>5</v>
      </c>
      <c r="B9" s="80" t="s">
        <v>6</v>
      </c>
      <c r="C9" s="80" t="s">
        <v>7</v>
      </c>
      <c r="D9" s="80" t="s">
        <v>8</v>
      </c>
      <c r="E9" s="80" t="s">
        <v>9</v>
      </c>
      <c r="F9" s="80" t="s">
        <v>10</v>
      </c>
      <c r="G9" s="80" t="s">
        <v>11</v>
      </c>
      <c r="H9" s="81" t="s">
        <v>12</v>
      </c>
      <c r="I9" s="80" t="s">
        <v>13</v>
      </c>
    </row>
    <row r="10" spans="1:10" ht="25.5" x14ac:dyDescent="0.2">
      <c r="A10" s="77">
        <v>1</v>
      </c>
      <c r="B10" s="78"/>
      <c r="C10" s="82" t="s">
        <v>74</v>
      </c>
      <c r="D10" s="83">
        <v>252</v>
      </c>
      <c r="E10" s="84" t="s">
        <v>58</v>
      </c>
      <c r="F10" s="83" t="s">
        <v>75</v>
      </c>
      <c r="G10" s="85">
        <v>5000</v>
      </c>
      <c r="H10" s="90">
        <v>31.5</v>
      </c>
      <c r="I10" s="79">
        <f>+G10*H10</f>
        <v>157500</v>
      </c>
    </row>
    <row r="11" spans="1:10" ht="25.5" x14ac:dyDescent="0.2">
      <c r="A11" s="68">
        <v>2</v>
      </c>
      <c r="B11" s="67"/>
      <c r="C11" s="82" t="s">
        <v>74</v>
      </c>
      <c r="D11" s="83">
        <v>252</v>
      </c>
      <c r="E11" s="82" t="s">
        <v>59</v>
      </c>
      <c r="F11" s="83" t="s">
        <v>75</v>
      </c>
      <c r="G11" s="85">
        <v>200</v>
      </c>
      <c r="H11" s="90">
        <v>290</v>
      </c>
      <c r="I11" s="69">
        <f t="shared" ref="I11:I25" si="0">+G11*H11</f>
        <v>58000</v>
      </c>
    </row>
    <row r="12" spans="1:10" ht="25.5" x14ac:dyDescent="0.2">
      <c r="A12" s="68">
        <v>3</v>
      </c>
      <c r="B12" s="67"/>
      <c r="C12" s="82" t="s">
        <v>74</v>
      </c>
      <c r="D12" s="83">
        <v>252</v>
      </c>
      <c r="E12" s="86" t="s">
        <v>60</v>
      </c>
      <c r="F12" s="83" t="s">
        <v>75</v>
      </c>
      <c r="G12" s="85">
        <v>1000</v>
      </c>
      <c r="H12" s="90">
        <v>298</v>
      </c>
      <c r="I12" s="69">
        <f t="shared" si="0"/>
        <v>298000</v>
      </c>
    </row>
    <row r="13" spans="1:10" ht="25.5" x14ac:dyDescent="0.2">
      <c r="A13" s="68">
        <v>4</v>
      </c>
      <c r="B13" s="67"/>
      <c r="C13" s="82" t="s">
        <v>74</v>
      </c>
      <c r="D13" s="83">
        <v>252</v>
      </c>
      <c r="E13" s="87" t="s">
        <v>63</v>
      </c>
      <c r="F13" s="83" t="s">
        <v>75</v>
      </c>
      <c r="G13" s="85">
        <v>50</v>
      </c>
      <c r="H13" s="90">
        <v>906.03</v>
      </c>
      <c r="I13" s="69">
        <f t="shared" si="0"/>
        <v>45301.5</v>
      </c>
    </row>
    <row r="14" spans="1:10" ht="25.5" x14ac:dyDescent="0.2">
      <c r="A14" s="68">
        <v>5</v>
      </c>
      <c r="B14" s="67"/>
      <c r="C14" s="87" t="s">
        <v>74</v>
      </c>
      <c r="D14" s="83">
        <v>252</v>
      </c>
      <c r="E14" s="86" t="s">
        <v>62</v>
      </c>
      <c r="F14" s="83" t="s">
        <v>75</v>
      </c>
      <c r="G14" s="85">
        <v>250</v>
      </c>
      <c r="H14" s="90">
        <v>95</v>
      </c>
      <c r="I14" s="69">
        <f t="shared" si="0"/>
        <v>23750</v>
      </c>
    </row>
    <row r="15" spans="1:10" ht="25.5" x14ac:dyDescent="0.2">
      <c r="A15" s="68">
        <v>6</v>
      </c>
      <c r="B15" s="67"/>
      <c r="C15" s="87" t="s">
        <v>74</v>
      </c>
      <c r="D15" s="83">
        <v>252</v>
      </c>
      <c r="E15" s="88" t="s">
        <v>64</v>
      </c>
      <c r="F15" s="83" t="s">
        <v>75</v>
      </c>
      <c r="G15" s="89">
        <v>7500</v>
      </c>
      <c r="H15" s="91">
        <v>56.85</v>
      </c>
      <c r="I15" s="69">
        <f t="shared" si="0"/>
        <v>426375</v>
      </c>
    </row>
    <row r="16" spans="1:10" ht="25.5" x14ac:dyDescent="0.2">
      <c r="A16" s="68">
        <v>7</v>
      </c>
      <c r="B16" s="67"/>
      <c r="C16" s="87" t="s">
        <v>74</v>
      </c>
      <c r="D16" s="83">
        <v>252</v>
      </c>
      <c r="E16" s="82" t="s">
        <v>61</v>
      </c>
      <c r="F16" s="83" t="s">
        <v>75</v>
      </c>
      <c r="G16" s="85">
        <v>2000</v>
      </c>
      <c r="H16" s="90">
        <v>48</v>
      </c>
      <c r="I16" s="69">
        <f t="shared" si="0"/>
        <v>96000</v>
      </c>
    </row>
    <row r="17" spans="1:9" ht="25.5" x14ac:dyDescent="0.2">
      <c r="A17" s="68">
        <v>8</v>
      </c>
      <c r="B17" s="67"/>
      <c r="C17" s="87" t="s">
        <v>74</v>
      </c>
      <c r="D17" s="83">
        <v>252</v>
      </c>
      <c r="E17" s="86" t="s">
        <v>65</v>
      </c>
      <c r="F17" s="83" t="s">
        <v>75</v>
      </c>
      <c r="G17" s="85">
        <v>6000</v>
      </c>
      <c r="H17" s="90">
        <v>51.18</v>
      </c>
      <c r="I17" s="69">
        <f t="shared" si="0"/>
        <v>307080</v>
      </c>
    </row>
    <row r="18" spans="1:9" ht="25.5" x14ac:dyDescent="0.2">
      <c r="A18" s="68">
        <v>9</v>
      </c>
      <c r="B18" s="67"/>
      <c r="C18" s="87" t="s">
        <v>74</v>
      </c>
      <c r="D18" s="83">
        <v>252</v>
      </c>
      <c r="E18" s="82" t="s">
        <v>66</v>
      </c>
      <c r="F18" s="83" t="s">
        <v>75</v>
      </c>
      <c r="G18" s="89">
        <v>2000</v>
      </c>
      <c r="H18" s="91">
        <v>48</v>
      </c>
      <c r="I18" s="69">
        <f t="shared" si="0"/>
        <v>96000</v>
      </c>
    </row>
    <row r="19" spans="1:9" ht="25.5" x14ac:dyDescent="0.2">
      <c r="A19" s="68">
        <v>10</v>
      </c>
      <c r="B19" s="67"/>
      <c r="C19" s="87" t="s">
        <v>74</v>
      </c>
      <c r="D19" s="83">
        <v>252</v>
      </c>
      <c r="E19" s="86" t="s">
        <v>67</v>
      </c>
      <c r="F19" s="83" t="s">
        <v>75</v>
      </c>
      <c r="G19" s="89">
        <v>3000</v>
      </c>
      <c r="H19" s="91">
        <v>34</v>
      </c>
      <c r="I19" s="69">
        <f t="shared" si="0"/>
        <v>102000</v>
      </c>
    </row>
    <row r="20" spans="1:9" ht="25.5" x14ac:dyDescent="0.2">
      <c r="A20" s="68">
        <v>11</v>
      </c>
      <c r="B20" s="67"/>
      <c r="C20" s="87" t="s">
        <v>74</v>
      </c>
      <c r="D20" s="83">
        <v>252</v>
      </c>
      <c r="E20" s="82" t="s">
        <v>76</v>
      </c>
      <c r="F20" s="83" t="s">
        <v>75</v>
      </c>
      <c r="G20" s="89">
        <v>200</v>
      </c>
      <c r="H20" s="91">
        <v>55.4</v>
      </c>
      <c r="I20" s="69">
        <f t="shared" si="0"/>
        <v>11080</v>
      </c>
    </row>
    <row r="21" spans="1:9" ht="25.5" x14ac:dyDescent="0.2">
      <c r="A21" s="68">
        <v>12</v>
      </c>
      <c r="B21" s="67"/>
      <c r="C21" s="87" t="s">
        <v>74</v>
      </c>
      <c r="D21" s="83">
        <v>252</v>
      </c>
      <c r="E21" s="82" t="s">
        <v>68</v>
      </c>
      <c r="F21" s="83" t="s">
        <v>75</v>
      </c>
      <c r="G21" s="89">
        <v>100</v>
      </c>
      <c r="H21" s="91">
        <v>363</v>
      </c>
      <c r="I21" s="69">
        <f t="shared" si="0"/>
        <v>36300</v>
      </c>
    </row>
    <row r="22" spans="1:9" ht="25.5" x14ac:dyDescent="0.2">
      <c r="A22" s="68">
        <v>13</v>
      </c>
      <c r="B22" s="67"/>
      <c r="C22" s="87" t="s">
        <v>74</v>
      </c>
      <c r="D22" s="83">
        <v>252</v>
      </c>
      <c r="E22" s="87" t="s">
        <v>71</v>
      </c>
      <c r="F22" s="83" t="s">
        <v>75</v>
      </c>
      <c r="G22" s="89">
        <v>100</v>
      </c>
      <c r="H22" s="91">
        <v>1440</v>
      </c>
      <c r="I22" s="69">
        <f t="shared" si="0"/>
        <v>144000</v>
      </c>
    </row>
    <row r="23" spans="1:9" ht="25.5" x14ac:dyDescent="0.2">
      <c r="A23" s="68">
        <v>14</v>
      </c>
      <c r="B23" s="67"/>
      <c r="C23" s="87" t="s">
        <v>74</v>
      </c>
      <c r="D23" s="83">
        <v>252</v>
      </c>
      <c r="E23" s="82" t="s">
        <v>69</v>
      </c>
      <c r="F23" s="83" t="s">
        <v>75</v>
      </c>
      <c r="G23" s="89">
        <v>100</v>
      </c>
      <c r="H23" s="91">
        <v>90</v>
      </c>
      <c r="I23" s="69">
        <f t="shared" si="0"/>
        <v>9000</v>
      </c>
    </row>
    <row r="24" spans="1:9" ht="25.5" x14ac:dyDescent="0.2">
      <c r="A24" s="68">
        <v>15</v>
      </c>
      <c r="B24" s="67"/>
      <c r="C24" s="87" t="s">
        <v>74</v>
      </c>
      <c r="D24" s="83">
        <v>252</v>
      </c>
      <c r="E24" s="86" t="s">
        <v>70</v>
      </c>
      <c r="F24" s="83" t="s">
        <v>75</v>
      </c>
      <c r="G24" s="89">
        <v>300</v>
      </c>
      <c r="H24" s="91">
        <v>35</v>
      </c>
      <c r="I24" s="69">
        <f t="shared" si="0"/>
        <v>10500</v>
      </c>
    </row>
    <row r="25" spans="1:9" ht="25.5" x14ac:dyDescent="0.2">
      <c r="A25" s="68">
        <v>16</v>
      </c>
      <c r="B25" s="67"/>
      <c r="C25" s="87" t="s">
        <v>74</v>
      </c>
      <c r="D25" s="83">
        <v>252</v>
      </c>
      <c r="E25" s="82" t="s">
        <v>77</v>
      </c>
      <c r="F25" s="83" t="s">
        <v>75</v>
      </c>
      <c r="G25" s="89">
        <v>100</v>
      </c>
      <c r="H25" s="91">
        <v>125</v>
      </c>
      <c r="I25" s="69">
        <f t="shared" si="0"/>
        <v>12500</v>
      </c>
    </row>
    <row r="26" spans="1:9" x14ac:dyDescent="0.2">
      <c r="I26" s="33"/>
    </row>
    <row r="27" spans="1:9" ht="13.5" thickBot="1" x14ac:dyDescent="0.25">
      <c r="I27" s="33"/>
    </row>
    <row r="28" spans="1:9" x14ac:dyDescent="0.2">
      <c r="B28" s="92" t="s">
        <v>79</v>
      </c>
      <c r="C28" s="29"/>
      <c r="D28" s="29"/>
      <c r="E28" s="30"/>
    </row>
    <row r="29" spans="1:9" ht="19.5" customHeight="1" x14ac:dyDescent="0.2">
      <c r="B29" s="99" t="s">
        <v>80</v>
      </c>
      <c r="C29" s="100"/>
      <c r="D29" s="100"/>
      <c r="E29" s="101"/>
      <c r="F29" s="31"/>
      <c r="G29" s="32"/>
    </row>
    <row r="30" spans="1:9" ht="20.25" customHeight="1" x14ac:dyDescent="0.2">
      <c r="B30" s="99"/>
      <c r="C30" s="100"/>
      <c r="D30" s="100"/>
      <c r="E30" s="101"/>
      <c r="F30" s="31"/>
      <c r="G30" s="32"/>
    </row>
    <row r="31" spans="1:9" ht="12.75" customHeight="1" x14ac:dyDescent="0.2">
      <c r="B31" s="99" t="s">
        <v>82</v>
      </c>
      <c r="C31" s="100"/>
      <c r="D31" s="100"/>
      <c r="E31" s="101"/>
      <c r="F31" s="31"/>
      <c r="G31" s="32"/>
    </row>
    <row r="32" spans="1:9" s="54" customFormat="1" ht="13.5" thickBot="1" x14ac:dyDescent="0.25">
      <c r="A32" s="26"/>
      <c r="B32" s="93" t="s">
        <v>81</v>
      </c>
      <c r="C32" s="94"/>
      <c r="D32" s="95"/>
      <c r="E32" s="96"/>
      <c r="F32" s="97"/>
      <c r="G32" s="76"/>
      <c r="H32" s="55"/>
    </row>
    <row r="33" spans="1:7" x14ac:dyDescent="0.2">
      <c r="A33" s="98"/>
      <c r="B33" s="32"/>
      <c r="C33" s="32"/>
      <c r="D33" s="32"/>
      <c r="E33" s="32"/>
      <c r="F33" s="32"/>
      <c r="G33" s="32"/>
    </row>
    <row r="34" spans="1:7" ht="12" customHeight="1" x14ac:dyDescent="0.2"/>
    <row r="36" spans="1:7" x14ac:dyDescent="0.2">
      <c r="E36" s="26" t="s">
        <v>55</v>
      </c>
    </row>
  </sheetData>
  <autoFilter ref="A9:I25" xr:uid="{00000000-0009-0000-0000-000000000000}"/>
  <mergeCells count="9">
    <mergeCell ref="B29:E30"/>
    <mergeCell ref="B31:E31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8"/>
  <sheetViews>
    <sheetView topLeftCell="A16" zoomScale="80" zoomScaleNormal="80" workbookViewId="0">
      <selection activeCell="A29" sqref="A29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12" t="s">
        <v>14</v>
      </c>
      <c r="B1" s="112"/>
      <c r="C1" s="112"/>
      <c r="D1" s="112"/>
      <c r="E1" s="112"/>
      <c r="F1" s="112"/>
      <c r="G1" s="112"/>
      <c r="H1" s="112"/>
      <c r="I1" s="112"/>
      <c r="J1" s="34" t="s">
        <v>15</v>
      </c>
      <c r="K1" s="35" t="s">
        <v>78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13" t="s">
        <v>48</v>
      </c>
      <c r="B3" s="113"/>
      <c r="C3" s="113"/>
      <c r="D3" s="107" t="str">
        <f>'Necesidades Trimestrales'!C4</f>
        <v>040 -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14" t="s">
        <v>49</v>
      </c>
      <c r="B4" s="114"/>
      <c r="C4" s="114"/>
      <c r="D4" s="107" t="str">
        <f>'Necesidades Trimestrales'!C5</f>
        <v>024 - Hospital Interzonal de Niños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14" t="s">
        <v>27</v>
      </c>
      <c r="B5" s="114"/>
      <c r="C5" s="114"/>
      <c r="D5" s="107" t="s">
        <v>51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13" t="s">
        <v>50</v>
      </c>
      <c r="B6" s="113"/>
      <c r="C6" s="113"/>
      <c r="D6" s="107" t="s">
        <v>57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14" t="s">
        <v>16</v>
      </c>
      <c r="B7" s="114"/>
      <c r="C7" s="114"/>
      <c r="D7" s="107" t="str">
        <f>'Necesidades Trimestrales'!C7 &amp; "° Trimestre - Año " &amp; 'Necesidades Trimestrales'!C6</f>
        <v>3° Trimestre - Año 2021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115" t="s">
        <v>17</v>
      </c>
      <c r="B8" s="115"/>
      <c r="C8" s="115"/>
      <c r="D8" s="116" t="s">
        <v>72</v>
      </c>
      <c r="E8" s="116"/>
      <c r="F8" s="116"/>
      <c r="G8" s="116"/>
      <c r="H8" s="116"/>
      <c r="I8" s="116"/>
      <c r="J8" s="116"/>
      <c r="K8" s="116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17" t="s">
        <v>18</v>
      </c>
      <c r="B10" s="111" t="s">
        <v>19</v>
      </c>
      <c r="C10" s="111" t="s">
        <v>20</v>
      </c>
      <c r="D10" s="111"/>
      <c r="E10" s="111"/>
      <c r="F10" s="111"/>
      <c r="G10" s="111"/>
      <c r="H10" s="111" t="s">
        <v>21</v>
      </c>
      <c r="I10" s="111" t="s">
        <v>22</v>
      </c>
      <c r="J10" s="111" t="s">
        <v>23</v>
      </c>
      <c r="K10" s="106" t="s">
        <v>24</v>
      </c>
    </row>
    <row r="11" spans="1:11" ht="24" customHeight="1" thickBot="1" x14ac:dyDescent="0.25">
      <c r="A11" s="117"/>
      <c r="B11" s="111"/>
      <c r="C11" s="111"/>
      <c r="D11" s="111"/>
      <c r="E11" s="111"/>
      <c r="F11" s="111"/>
      <c r="G11" s="111"/>
      <c r="H11" s="111"/>
      <c r="I11" s="111"/>
      <c r="J11" s="111"/>
      <c r="K11" s="106"/>
    </row>
    <row r="12" spans="1:11" ht="27.75" customHeight="1" x14ac:dyDescent="0.2">
      <c r="A12" s="44">
        <v>1</v>
      </c>
      <c r="B12" s="45"/>
      <c r="C12" s="109" t="str">
        <f>'Necesidades Trimestrales'!E10</f>
        <v>AGUA DESTILADA EN AMPOLLAS</v>
      </c>
      <c r="D12" s="109"/>
      <c r="E12" s="109"/>
      <c r="F12" s="109"/>
      <c r="G12" s="109"/>
      <c r="H12" s="46" t="s">
        <v>54</v>
      </c>
      <c r="I12" s="47" t="str">
        <f>'Necesidades Trimestrales'!F10</f>
        <v>UNIDAD</v>
      </c>
      <c r="J12" s="48">
        <f>'Necesidades Trimestrales'!H10</f>
        <v>31.5</v>
      </c>
      <c r="K12" s="49">
        <f>'Necesidades Trimestrales'!G10</f>
        <v>5000</v>
      </c>
    </row>
    <row r="13" spans="1:11" ht="27.75" customHeight="1" x14ac:dyDescent="0.2">
      <c r="A13" s="70">
        <v>2</v>
      </c>
      <c r="B13" s="71"/>
      <c r="C13" s="110" t="str">
        <f>'Necesidades Trimestrales'!E11</f>
        <v>BICARBONATO 1 MOLAR SACHET X 100 ML</v>
      </c>
      <c r="D13" s="110"/>
      <c r="E13" s="110"/>
      <c r="F13" s="110"/>
      <c r="G13" s="110"/>
      <c r="H13" s="74" t="s">
        <v>54</v>
      </c>
      <c r="I13" s="75" t="str">
        <f>'Necesidades Trimestrales'!F11</f>
        <v>UNIDAD</v>
      </c>
      <c r="J13" s="73">
        <f>'Necesidades Trimestrales'!H11</f>
        <v>290</v>
      </c>
      <c r="K13" s="72">
        <f>'Necesidades Trimestrales'!G11</f>
        <v>200</v>
      </c>
    </row>
    <row r="14" spans="1:11" ht="27.75" customHeight="1" x14ac:dyDescent="0.2">
      <c r="A14" s="70">
        <v>3</v>
      </c>
      <c r="B14" s="71"/>
      <c r="C14" s="105" t="str">
        <f>'Necesidades Trimestrales'!E12</f>
        <v>CLORURO DE POTASIO SACHET X 100ML</v>
      </c>
      <c r="D14" s="105"/>
      <c r="E14" s="105"/>
      <c r="F14" s="105"/>
      <c r="G14" s="105"/>
      <c r="H14" s="74" t="s">
        <v>54</v>
      </c>
      <c r="I14" s="75" t="str">
        <f>'Necesidades Trimestrales'!F12</f>
        <v>UNIDAD</v>
      </c>
      <c r="J14" s="73">
        <f>'Necesidades Trimestrales'!H12</f>
        <v>298</v>
      </c>
      <c r="K14" s="72">
        <f>'Necesidades Trimestrales'!G12</f>
        <v>1000</v>
      </c>
    </row>
    <row r="15" spans="1:11" ht="27.75" customHeight="1" x14ac:dyDescent="0.2">
      <c r="A15" s="70">
        <v>4</v>
      </c>
      <c r="B15" s="71"/>
      <c r="C15" s="105" t="str">
        <f>'Necesidades Trimestrales'!E13</f>
        <v>SOLUCION DEXTROSA 50%SACHET X 500ML</v>
      </c>
      <c r="D15" s="105"/>
      <c r="E15" s="105"/>
      <c r="F15" s="105"/>
      <c r="G15" s="105"/>
      <c r="H15" s="74" t="s">
        <v>54</v>
      </c>
      <c r="I15" s="75" t="str">
        <f>'Necesidades Trimestrales'!F13</f>
        <v>UNIDAD</v>
      </c>
      <c r="J15" s="73">
        <f>'Necesidades Trimestrales'!H13</f>
        <v>906.03</v>
      </c>
      <c r="K15" s="72">
        <f>'Necesidades Trimestrales'!G13</f>
        <v>50</v>
      </c>
    </row>
    <row r="16" spans="1:11" ht="27.75" customHeight="1" x14ac:dyDescent="0.2">
      <c r="A16" s="70">
        <v>5</v>
      </c>
      <c r="B16" s="71"/>
      <c r="C16" s="105" t="str">
        <f>'Necesidades Trimestrales'!E14</f>
        <v>SOLUCION DEXTROSA AL 10% SACHET DE 500 ML</v>
      </c>
      <c r="D16" s="105"/>
      <c r="E16" s="105"/>
      <c r="F16" s="105"/>
      <c r="G16" s="105"/>
      <c r="H16" s="74" t="s">
        <v>54</v>
      </c>
      <c r="I16" s="75" t="str">
        <f>'Necesidades Trimestrales'!F14</f>
        <v>UNIDAD</v>
      </c>
      <c r="J16" s="73">
        <f>'Necesidades Trimestrales'!H14</f>
        <v>95</v>
      </c>
      <c r="K16" s="72">
        <f>'Necesidades Trimestrales'!G14</f>
        <v>250</v>
      </c>
    </row>
    <row r="17" spans="1:14" ht="27.75" customHeight="1" x14ac:dyDescent="0.2">
      <c r="A17" s="70">
        <v>6</v>
      </c>
      <c r="B17" s="71"/>
      <c r="C17" s="105" t="str">
        <f>'Necesidades Trimestrales'!E15</f>
        <v>SOLUCION DEXTROSA AL 5 % SACHET DE 500 ML</v>
      </c>
      <c r="D17" s="105"/>
      <c r="E17" s="105"/>
      <c r="F17" s="105"/>
      <c r="G17" s="105"/>
      <c r="H17" s="74" t="s">
        <v>54</v>
      </c>
      <c r="I17" s="75" t="str">
        <f>'Necesidades Trimestrales'!F15</f>
        <v>UNIDAD</v>
      </c>
      <c r="J17" s="73">
        <f>'Necesidades Trimestrales'!H15</f>
        <v>56.85</v>
      </c>
      <c r="K17" s="72">
        <f>'Necesidades Trimestrales'!G15</f>
        <v>7500</v>
      </c>
    </row>
    <row r="18" spans="1:14" ht="27.75" customHeight="1" x14ac:dyDescent="0.2">
      <c r="A18" s="70">
        <v>7</v>
      </c>
      <c r="B18" s="71"/>
      <c r="C18" s="105" t="str">
        <f>'Necesidades Trimestrales'!E16</f>
        <v>SOLUCION DEXTROSA AL 5% SACHET X 100 ML</v>
      </c>
      <c r="D18" s="105"/>
      <c r="E18" s="105"/>
      <c r="F18" s="105"/>
      <c r="G18" s="105"/>
      <c r="H18" s="74" t="s">
        <v>54</v>
      </c>
      <c r="I18" s="75" t="str">
        <f>'Necesidades Trimestrales'!F16</f>
        <v>UNIDAD</v>
      </c>
      <c r="J18" s="73">
        <f>'Necesidades Trimestrales'!H16</f>
        <v>48</v>
      </c>
      <c r="K18" s="72">
        <f>'Necesidades Trimestrales'!G16</f>
        <v>2000</v>
      </c>
    </row>
    <row r="19" spans="1:14" ht="27.75" customHeight="1" x14ac:dyDescent="0.2">
      <c r="A19" s="70">
        <v>8</v>
      </c>
      <c r="B19" s="71"/>
      <c r="C19" s="105" t="str">
        <f>'Necesidades Trimestrales'!E17</f>
        <v>SOLUCION FISIOLOGICA 0,9 % SACHET X 500 ML</v>
      </c>
      <c r="D19" s="105"/>
      <c r="E19" s="105"/>
      <c r="F19" s="105"/>
      <c r="G19" s="105"/>
      <c r="H19" s="74" t="s">
        <v>54</v>
      </c>
      <c r="I19" s="75" t="str">
        <f>'Necesidades Trimestrales'!F17</f>
        <v>UNIDAD</v>
      </c>
      <c r="J19" s="73">
        <f>'Necesidades Trimestrales'!H17</f>
        <v>51.18</v>
      </c>
      <c r="K19" s="72">
        <f>'Necesidades Trimestrales'!G17</f>
        <v>6000</v>
      </c>
    </row>
    <row r="20" spans="1:14" ht="27.75" customHeight="1" x14ac:dyDescent="0.2">
      <c r="A20" s="70">
        <v>9</v>
      </c>
      <c r="B20" s="71"/>
      <c r="C20" s="105" t="str">
        <f>'Necesidades Trimestrales'!E18</f>
        <v>SOLUCION FISIOLOGICA 0,9% SACHET X 100 ML</v>
      </c>
      <c r="D20" s="105"/>
      <c r="E20" s="105"/>
      <c r="F20" s="105"/>
      <c r="G20" s="105"/>
      <c r="H20" s="74" t="s">
        <v>54</v>
      </c>
      <c r="I20" s="75" t="str">
        <f>'Necesidades Trimestrales'!F18</f>
        <v>UNIDAD</v>
      </c>
      <c r="J20" s="73">
        <f>'Necesidades Trimestrales'!H18</f>
        <v>48</v>
      </c>
      <c r="K20" s="72">
        <f>'Necesidades Trimestrales'!G18</f>
        <v>2000</v>
      </c>
    </row>
    <row r="21" spans="1:14" ht="27.75" customHeight="1" x14ac:dyDescent="0.2">
      <c r="A21" s="70">
        <v>10</v>
      </c>
      <c r="B21" s="71"/>
      <c r="C21" s="105" t="str">
        <f>'Necesidades Trimestrales'!E19</f>
        <v>SOLUCION FISIOLOGICA EN AMPOLLAS</v>
      </c>
      <c r="D21" s="105"/>
      <c r="E21" s="105"/>
      <c r="F21" s="105"/>
      <c r="G21" s="105"/>
      <c r="H21" s="74" t="s">
        <v>54</v>
      </c>
      <c r="I21" s="75" t="str">
        <f>'Necesidades Trimestrales'!F19</f>
        <v>UNIDAD</v>
      </c>
      <c r="J21" s="73">
        <f>'Necesidades Trimestrales'!H19</f>
        <v>34</v>
      </c>
      <c r="K21" s="72">
        <f>'Necesidades Trimestrales'!G19</f>
        <v>3000</v>
      </c>
    </row>
    <row r="22" spans="1:14" ht="27.75" customHeight="1" x14ac:dyDescent="0.2">
      <c r="A22" s="70">
        <v>11</v>
      </c>
      <c r="B22" s="71"/>
      <c r="C22" s="105" t="str">
        <f>'Necesidades Trimestrales'!E20</f>
        <v xml:space="preserve">SOLUCION GLUCOSADA AL 25 % AMPOLLAS </v>
      </c>
      <c r="D22" s="105"/>
      <c r="E22" s="105"/>
      <c r="F22" s="105"/>
      <c r="G22" s="105"/>
      <c r="H22" s="74" t="s">
        <v>54</v>
      </c>
      <c r="I22" s="75" t="str">
        <f>'Necesidades Trimestrales'!F20</f>
        <v>UNIDAD</v>
      </c>
      <c r="J22" s="73">
        <f>'Necesidades Trimestrales'!H20</f>
        <v>55.4</v>
      </c>
      <c r="K22" s="72">
        <f>'Necesidades Trimestrales'!G20</f>
        <v>200</v>
      </c>
    </row>
    <row r="23" spans="1:14" ht="27.75" customHeight="1" x14ac:dyDescent="0.2">
      <c r="A23" s="70">
        <v>12</v>
      </c>
      <c r="B23" s="71"/>
      <c r="C23" s="105" t="str">
        <f>'Necesidades Trimestrales'!E21</f>
        <v>SOLUCION MANITOL DE SACHET 500 ML</v>
      </c>
      <c r="D23" s="105"/>
      <c r="E23" s="105"/>
      <c r="F23" s="105"/>
      <c r="G23" s="105"/>
      <c r="H23" s="74" t="s">
        <v>54</v>
      </c>
      <c r="I23" s="75" t="str">
        <f>'Necesidades Trimestrales'!F21</f>
        <v>UNIDAD</v>
      </c>
      <c r="J23" s="73">
        <f>'Necesidades Trimestrales'!H21</f>
        <v>363</v>
      </c>
      <c r="K23" s="72">
        <f>'Necesidades Trimestrales'!G21</f>
        <v>100</v>
      </c>
    </row>
    <row r="24" spans="1:14" ht="27.75" customHeight="1" x14ac:dyDescent="0.2">
      <c r="A24" s="70">
        <v>13</v>
      </c>
      <c r="B24" s="71"/>
      <c r="C24" s="105" t="str">
        <f>'Necesidades Trimestrales'!E22</f>
        <v>SOLUCION PARA DIALISIS PERITONEAL X 200OML TIPO RIVERO</v>
      </c>
      <c r="D24" s="105"/>
      <c r="E24" s="105"/>
      <c r="F24" s="105"/>
      <c r="G24" s="105"/>
      <c r="H24" s="74" t="s">
        <v>54</v>
      </c>
      <c r="I24" s="75" t="str">
        <f>'Necesidades Trimestrales'!F22</f>
        <v>UNIDAD</v>
      </c>
      <c r="J24" s="73">
        <f>'Necesidades Trimestrales'!H22</f>
        <v>1440</v>
      </c>
      <c r="K24" s="72">
        <f>'Necesidades Trimestrales'!G22</f>
        <v>100</v>
      </c>
    </row>
    <row r="25" spans="1:14" ht="27.75" customHeight="1" x14ac:dyDescent="0.2">
      <c r="A25" s="70">
        <v>14</v>
      </c>
      <c r="B25" s="71"/>
      <c r="C25" s="105" t="str">
        <f>'Necesidades Trimestrales'!E23</f>
        <v>SOLUCION RINGER LACTATO DE 500 ML</v>
      </c>
      <c r="D25" s="105"/>
      <c r="E25" s="105"/>
      <c r="F25" s="105"/>
      <c r="G25" s="105"/>
      <c r="H25" s="74" t="s">
        <v>54</v>
      </c>
      <c r="I25" s="75" t="str">
        <f>'Necesidades Trimestrales'!F23</f>
        <v>UNIDAD</v>
      </c>
      <c r="J25" s="73">
        <f>'Necesidades Trimestrales'!H23</f>
        <v>90</v>
      </c>
      <c r="K25" s="72">
        <f>'Necesidades Trimestrales'!G23</f>
        <v>100</v>
      </c>
    </row>
    <row r="26" spans="1:14" ht="27.75" customHeight="1" x14ac:dyDescent="0.2">
      <c r="A26" s="70">
        <v>15</v>
      </c>
      <c r="B26" s="71"/>
      <c r="C26" s="105" t="str">
        <f>'Necesidades Trimestrales'!E24</f>
        <v>SULFATO DE MAGNESIO 25%  AMPOLLAS</v>
      </c>
      <c r="D26" s="105"/>
      <c r="E26" s="105"/>
      <c r="F26" s="105"/>
      <c r="G26" s="105"/>
      <c r="H26" s="74" t="s">
        <v>54</v>
      </c>
      <c r="I26" s="75" t="str">
        <f>'Necesidades Trimestrales'!F24</f>
        <v>UNIDAD</v>
      </c>
      <c r="J26" s="73">
        <f>'Necesidades Trimestrales'!H24</f>
        <v>35</v>
      </c>
      <c r="K26" s="72">
        <f>'Necesidades Trimestrales'!G24</f>
        <v>300</v>
      </c>
    </row>
    <row r="27" spans="1:14" ht="27.75" customHeight="1" thickBot="1" x14ac:dyDescent="0.25">
      <c r="A27" s="70">
        <v>16</v>
      </c>
      <c r="B27" s="71"/>
      <c r="C27" s="105" t="str">
        <f>'Necesidades Trimestrales'!E25</f>
        <v>SULFATO DE ZINC AMPOLLA X 5 ML</v>
      </c>
      <c r="D27" s="105"/>
      <c r="E27" s="105"/>
      <c r="F27" s="105"/>
      <c r="G27" s="105"/>
      <c r="H27" s="74" t="s">
        <v>54</v>
      </c>
      <c r="I27" s="75" t="str">
        <f>'Necesidades Trimestrales'!F25</f>
        <v>UNIDAD</v>
      </c>
      <c r="J27" s="73">
        <f>'Necesidades Trimestrales'!H25</f>
        <v>125</v>
      </c>
      <c r="K27" s="72">
        <f>'Necesidades Trimestrales'!G25</f>
        <v>100</v>
      </c>
    </row>
    <row r="28" spans="1:14" ht="20.25" customHeight="1" thickBot="1" x14ac:dyDescent="0.25">
      <c r="A28" s="107" t="s">
        <v>83</v>
      </c>
      <c r="B28" s="107"/>
      <c r="C28" s="107"/>
      <c r="D28" s="107"/>
      <c r="E28" s="107"/>
      <c r="F28" s="107"/>
      <c r="G28" s="107"/>
      <c r="H28" s="107"/>
      <c r="I28" s="107"/>
      <c r="J28" s="108">
        <f>SUMPRODUCT(J12:J27,K12:K27)</f>
        <v>1833386.5</v>
      </c>
      <c r="K28" s="108"/>
      <c r="N28" s="53"/>
    </row>
  </sheetData>
  <mergeCells count="38">
    <mergeCell ref="A10:A11"/>
    <mergeCell ref="J10:J11"/>
    <mergeCell ref="C26:G26"/>
    <mergeCell ref="C27:G2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C24:G24"/>
    <mergeCell ref="B10:B11"/>
    <mergeCell ref="C10:G11"/>
    <mergeCell ref="H10:H11"/>
    <mergeCell ref="I10:I11"/>
    <mergeCell ref="C25:G25"/>
    <mergeCell ref="K10:K11"/>
    <mergeCell ref="A28:I28"/>
    <mergeCell ref="J28:K2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A22" sqref="A22:Q2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6" t="s">
        <v>3</v>
      </c>
      <c r="B1" s="146"/>
      <c r="C1" s="146"/>
      <c r="D1" s="147">
        <f>'Necesidades Trimestrales'!C6</f>
        <v>2021</v>
      </c>
      <c r="E1" s="147"/>
      <c r="F1" s="3"/>
      <c r="G1" s="3"/>
      <c r="H1" s="4"/>
      <c r="I1" s="4"/>
      <c r="J1" s="4"/>
      <c r="K1" s="4"/>
      <c r="L1" s="4"/>
      <c r="M1" s="4"/>
      <c r="N1" s="4"/>
      <c r="P1" s="148" t="s">
        <v>25</v>
      </c>
      <c r="Q1" s="14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8"/>
      <c r="Q2" s="148"/>
    </row>
    <row r="4" spans="1:17" s="5" customFormat="1" ht="18" customHeight="1" thickBot="1" x14ac:dyDescent="0.25">
      <c r="A4" s="149" t="s">
        <v>26</v>
      </c>
      <c r="B4" s="149"/>
      <c r="C4" s="149"/>
      <c r="D4" s="149"/>
      <c r="E4" s="149"/>
      <c r="F4" s="149"/>
      <c r="G4" s="144" t="str">
        <f>' NotaPedido'!D3</f>
        <v>040 - 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5" customFormat="1" ht="18" customHeight="1" thickBot="1" x14ac:dyDescent="0.25">
      <c r="A5" s="141" t="s">
        <v>49</v>
      </c>
      <c r="B5" s="142"/>
      <c r="C5" s="142"/>
      <c r="D5" s="142"/>
      <c r="E5" s="142"/>
      <c r="F5" s="143"/>
      <c r="G5" s="144" t="str">
        <f>' NotaPedido'!D4</f>
        <v>024 - Hospital Interzonal de Niños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5" customFormat="1" ht="18" customHeight="1" thickBot="1" x14ac:dyDescent="0.25">
      <c r="A6" s="141" t="s">
        <v>27</v>
      </c>
      <c r="B6" s="142"/>
      <c r="C6" s="142"/>
      <c r="D6" s="142"/>
      <c r="E6" s="142"/>
      <c r="F6" s="143"/>
      <c r="G6" s="144" t="str">
        <f>' NotaPedido'!D5</f>
        <v>024 - Hospital Interzonal de Niños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5" customFormat="1" ht="18" customHeight="1" thickBot="1" x14ac:dyDescent="0.25">
      <c r="A7" s="141" t="s">
        <v>50</v>
      </c>
      <c r="B7" s="142"/>
      <c r="C7" s="142"/>
      <c r="D7" s="142"/>
      <c r="E7" s="142"/>
      <c r="F7" s="143"/>
      <c r="G7" s="144" t="s">
        <v>57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28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0" t="s">
        <v>29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6"/>
    </row>
    <row r="10" spans="1:17" ht="54.75" customHeight="1" x14ac:dyDescent="0.2">
      <c r="A10" s="13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099/2021,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2" t="s">
        <v>30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thickBot="1" x14ac:dyDescent="0.25">
      <c r="A13" s="133" t="s">
        <v>31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5" t="s">
        <v>32</v>
      </c>
      <c r="P13" s="136"/>
      <c r="Q13" s="139" t="s">
        <v>33</v>
      </c>
    </row>
    <row r="14" spans="1:17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37"/>
      <c r="P14" s="138"/>
      <c r="Q14" s="140"/>
    </row>
    <row r="15" spans="1:17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5</v>
      </c>
      <c r="K15" s="57">
        <v>2</v>
      </c>
      <c r="L15" s="57"/>
      <c r="M15" s="58">
        <v>1</v>
      </c>
      <c r="N15" s="59" t="s">
        <v>53</v>
      </c>
      <c r="O15" s="124" t="s">
        <v>56</v>
      </c>
      <c r="P15" s="124"/>
      <c r="Q15" s="65">
        <v>1833386.5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6"/>
      <c r="O16" s="125"/>
      <c r="P16" s="119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19"/>
      <c r="P17" s="119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19"/>
      <c r="P18" s="119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20"/>
      <c r="P19" s="120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21"/>
      <c r="P20" s="121"/>
      <c r="Q20" s="24"/>
    </row>
    <row r="21" spans="1:18" ht="29.25" customHeight="1" x14ac:dyDescent="0.2">
      <c r="A21" s="122" t="s">
        <v>84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25">
        <f>SUM(Q15:Q20)</f>
        <v>1833386.5</v>
      </c>
    </row>
    <row r="22" spans="1:18" ht="18" customHeight="1" thickBot="1" x14ac:dyDescent="0.25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</row>
    <row r="23" spans="1:18" ht="17.25" customHeight="1" thickBot="1" x14ac:dyDescent="0.25">
      <c r="A23" s="126" t="s">
        <v>47</v>
      </c>
      <c r="B23" s="127"/>
      <c r="C23" s="127"/>
      <c r="D23" s="127"/>
      <c r="E23" s="127"/>
      <c r="F23" s="128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</row>
    <row r="24" spans="1:18" ht="18" customHeight="1" thickBot="1" x14ac:dyDescent="0.25">
      <c r="A24" s="118" t="s">
        <v>73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</row>
    <row r="25" spans="1:18" ht="25.5" customHeight="1" x14ac:dyDescent="0.2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2020-07-23T13:47:13Z</cp:lastPrinted>
  <dcterms:created xsi:type="dcterms:W3CDTF">2020-07-17T23:44:49Z</dcterms:created>
  <dcterms:modified xsi:type="dcterms:W3CDTF">2021-08-12T11:36:19Z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