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heckCompatibility="1" defaultThemeVersion="124226"/>
  <bookViews>
    <workbookView xWindow="-105" yWindow="-105" windowWidth="20640" windowHeight="11760" tabRatio="488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Trimestrales'!$A$9:$I$74</definedName>
    <definedName name="_xlnm.Print_Area" localSheetId="1">' NotaPedido'!$A$1:$K$77</definedName>
    <definedName name="_xlnm.Print_Area" localSheetId="2">'Autor Gastar'!$A$1:$Q$25</definedName>
    <definedName name="_xlnm.Print_Area" localSheetId="0">'Necesidades Trimestrales'!$E$9:$E$74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48" i="2" l="1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48" i="2"/>
  <c r="C49" i="2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K32" i="2" l="1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32" i="2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C13" i="2" l="1"/>
  <c r="C14" i="2" l="1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10" i="1"/>
  <c r="A10" i="3" l="1"/>
  <c r="G6" i="3" l="1"/>
  <c r="D7" i="2"/>
  <c r="D3" i="2"/>
  <c r="G4" i="3" s="1"/>
  <c r="D4" i="2"/>
  <c r="G5" i="3" s="1"/>
  <c r="D1" i="3" l="1"/>
  <c r="K12" i="2"/>
  <c r="J12" i="2"/>
  <c r="I12" i="2"/>
  <c r="C12" i="2"/>
  <c r="J77" i="2" l="1"/>
  <c r="Q21" i="3"/>
</calcChain>
</file>

<file path=xl/sharedStrings.xml><?xml version="1.0" encoding="utf-8"?>
<sst xmlns="http://schemas.openxmlformats.org/spreadsheetml/2006/main" count="337" uniqueCount="136">
  <si>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</si>
  <si>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</si>
  <si>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</si>
  <si>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</si>
  <si>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</si>
  <si>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</si>
  <si>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</si>
  <si>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</si>
  <si>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</si>
  <si>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</si>
  <si>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</si>
  <si>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</si>
  <si>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</si>
  <si>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</si>
  <si>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</si>
  <si>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</si>
  <si>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</si>
  <si>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</si>
  <si>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</si>
  <si>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</si>
  <si>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</si>
  <si>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</si>
  <si>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</si>
  <si>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</si>
  <si>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</si>
  <si>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</si>
  <si>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</si>
  <si>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</si>
  <si>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</si>
  <si>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</si>
  <si>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</si>
  <si>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</si>
  <si>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</si>
  <si>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</si>
  <si>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</si>
  <si>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</si>
  <si>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</si>
  <si>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</si>
  <si>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</si>
  <si>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</si>
  <si>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</si>
  <si>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</si>
  <si>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</si>
  <si>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</si>
  <si>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</si>
  <si>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</si>
  <si>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</si>
  <si>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</si>
  <si>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</si>
  <si>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</si>
  <si>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</si>
  <si>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</si>
  <si>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</si>
  <si>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</si>
  <si>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</si>
  <si>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 xml:space="preserve"> </t>
  </si>
  <si>
    <t>PRODUCTOS FARMACEUTICOS Y MEDICINALES</t>
  </si>
  <si>
    <t>Servicio de Farmacia</t>
  </si>
  <si>
    <t>PROD. MEDICO/ FARMACEUTICOS/LAB</t>
  </si>
  <si>
    <t>unidad</t>
  </si>
  <si>
    <t>FENITOINA AMPOLLAS</t>
  </si>
  <si>
    <t xml:space="preserve">FENOBARBITAL 15 MG COMPRIMIDO </t>
  </si>
  <si>
    <t>FENOBARBITAL 200MG AMPOLLAS</t>
  </si>
  <si>
    <t>FENOBARBITAL 100MG COMPRIMIDO</t>
  </si>
  <si>
    <t>FENITOINA SUSPENSION X 120ML</t>
  </si>
  <si>
    <t>CLONAZEPAM  2,5 MG/ML X 20 ML</t>
  </si>
  <si>
    <t>CLONAZEPAM 0,5 MG COMPRIMIDOS</t>
  </si>
  <si>
    <t>CLONAZEPAM 2 MG COMPRIMIDOS</t>
  </si>
  <si>
    <t>LORAZEPAM 1MG SUBLINGUAL COMPRIMIDO</t>
  </si>
  <si>
    <t>LORAZEPAM 1 MG COMPRIMIDO</t>
  </si>
  <si>
    <t>LORAZEPAM 4 MG/2ML AMPOLLA</t>
  </si>
  <si>
    <t>LAMOTRIGINA 50MG COMPRIMIDO</t>
  </si>
  <si>
    <t>CARBAMAZEPINA SUSPENSION ORAL 2%</t>
  </si>
  <si>
    <t>ACIDO VALPROICO 500MG/5ML AMPOLLA</t>
  </si>
  <si>
    <t>VALPROATO DE SODIO 5GR X 120 ML</t>
  </si>
  <si>
    <t>VALPROATO DE MAGNESIO 200MG COMPRIMIDO</t>
  </si>
  <si>
    <t>DIVALPROATO DE SODIO 500MG COMPRIMIDO</t>
  </si>
  <si>
    <t>PREGABALINA 75MG COMPRIMIDO</t>
  </si>
  <si>
    <t>LEVETIRACETAM 500MG COMPRIIDO</t>
  </si>
  <si>
    <t>LEVETIRACETAM 100MG/ML</t>
  </si>
  <si>
    <t>BIPIRIDENO 2 MG COMPRIMIDO</t>
  </si>
  <si>
    <t>ARIPIPRAZOL 10 MG COMPRIMIDO</t>
  </si>
  <si>
    <t>LEVOMEPROMAZINA 25 MG COMPRIMIDO</t>
  </si>
  <si>
    <t>LEVOMEPROMAZINA 25 MG AMPOLLA</t>
  </si>
  <si>
    <t>CLORPROMAZINA 25MG  AMPOLLA IM</t>
  </si>
  <si>
    <t>HALOPERIDOL 5 MG AMPOLLA</t>
  </si>
  <si>
    <t>HALOPERIDOL 10 MG COMPRINIDO</t>
  </si>
  <si>
    <t>HALOPERIDOL 2MG/ML GOTAS</t>
  </si>
  <si>
    <t>OLANZAPINA 10MG COMPRIMIDO</t>
  </si>
  <si>
    <t>RISPERIDONA 1MG COMPRIMIDO</t>
  </si>
  <si>
    <t>RISPERIDONA 2 MG COMPRIMIDO</t>
  </si>
  <si>
    <t>RISPERIDONA 3 MG COMPRIMIDO</t>
  </si>
  <si>
    <t>ALPRAZOLAM 1MG COMPRIMIDO</t>
  </si>
  <si>
    <t>ALPRAZOLAM 0,5MG  COMPRIMIDO</t>
  </si>
  <si>
    <t>DIAZEPAM 10 MG AMPOLLA</t>
  </si>
  <si>
    <t>DIAZEPAM 10 MG COMPRIMIDO</t>
  </si>
  <si>
    <t>DIAZEPAM 5 MG COMPRIMIDO</t>
  </si>
  <si>
    <t>MIDAZOLAM 15 MG AMPOLLA</t>
  </si>
  <si>
    <t>FLUOXETINA 20MG CAPSULAS</t>
  </si>
  <si>
    <t>SERTRALINA 50MG COMPRIMIDOS</t>
  </si>
  <si>
    <t xml:space="preserve">CAFEINA 25% AMPOLLA </t>
  </si>
  <si>
    <t>NEOSTIGMINA AMPOLLAS</t>
  </si>
  <si>
    <t>ACETIL CISTEINA 600 MG COMPRIMIDO EFERVESCENTE</t>
  </si>
  <si>
    <t>BUDESONIDE AEROSOL 200 MCG/PUFF ( 100 DOSIS )</t>
  </si>
  <si>
    <t>BUDESONIDE SOLUCION 0,1%</t>
  </si>
  <si>
    <t>IPRATROPIO SOLUCION PARA NEBULIZAR 0,1%GOTAS</t>
  </si>
  <si>
    <t xml:space="preserve">SALBUTAMOL AEROSOL CON  AEROCAMARA </t>
  </si>
  <si>
    <t>SALBUTAMOL GOTAS</t>
  </si>
  <si>
    <t>DIFENILHIDRAMINA 10MG AMPOLLAS</t>
  </si>
  <si>
    <t>DIFENHIDRAMINA 0,25% JARABE</t>
  </si>
  <si>
    <t>HIDROXIZINA CLORHIDRATO 25MG COMPRIMIDOS</t>
  </si>
  <si>
    <t>CIPROFLOXACINA 0,3% +DEXAMETASONA 01% COLIRIO</t>
  </si>
  <si>
    <t>TOBRAMICINA 0,3% COLIRIO</t>
  </si>
  <si>
    <t>TOBRAMICINA 0,3%+DEXAMETASONA COLIRIO</t>
  </si>
  <si>
    <t>ERITROMICINA 0,1GR COLIRIO</t>
  </si>
  <si>
    <t xml:space="preserve">ERITROMICINA O,5 %UNGUENTO OFTALMICO </t>
  </si>
  <si>
    <t>FLUORESCEINA SODICA O,25% COLIRIO</t>
  </si>
  <si>
    <t>PROPARACAINA CLORHIDRATO 0,5% COLIRIO</t>
  </si>
  <si>
    <t>ACIDO POLIACRILICO0,02% GEL</t>
  </si>
  <si>
    <t xml:space="preserve">CICLOPENTOLATO 1%X 5ML </t>
  </si>
  <si>
    <t>TROPICAMIDA 0,5%+ FENILEFRINA 5% COLIRIO</t>
  </si>
  <si>
    <t>GENTAMINA SULFATO 3% GOTAS</t>
  </si>
  <si>
    <t>NALOXONA 0,4 MG / ML AMPOLLA</t>
  </si>
  <si>
    <t>PROTAMINA SULFATO 50MG AMPOLLA</t>
  </si>
  <si>
    <t>FLUMAZENIL AMPOLLAS</t>
  </si>
  <si>
    <t>056/2021</t>
  </si>
  <si>
    <t>TOTAL DE PESOS: CUATRO MILLONES SEISCIENTOS TREINTA Y NUEVE MIL SEISCIENTOS CUARENTA Y TRES CON 30/100.</t>
  </si>
  <si>
    <t>Costo total estimado: Cuatro Millones Seiscientos Treinta y Nueve Mil Seiscientos Cuarenta y Tres Con 30/100.</t>
  </si>
  <si>
    <t>ANTIEPILEPTICOS/ANTIPARKINSONIANOS/PSICOLEPTICOS/APARATO RESPIRATORIO/OFTALMICOS/ANTIDOTOS</t>
  </si>
  <si>
    <t>Para la adquisición de ANTIEPILEPTICOS/ANTIPARKINSONIANOS/PSICOLEPTICOS/APARATO RESPIRATORIO/OFTALMICOS/ANTIDOTOS  destinados al Servicio de Farmacia del Hospital Interzonal de Niños Eva Peron, para el normal funcionamiento del organismo.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</si>
  <si>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</si>
  <si>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</si>
  <si>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vencimiento de los bienes ofrecidos:</t>
    </r>
    <r>
      <rPr>
        <sz val="10"/>
        <rFont val="Times New Roman"/>
        <family val="1"/>
      </rPr>
      <t xml:space="preserve"> No podrán ser inferior a los 18 meses.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</si>
  <si>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10 días corridos de notificada la Orden de Compra</t>
    </r>
  </si>
  <si>
    <t>Mantenimiento de Oferta:</t>
  </si>
  <si>
    <t xml:space="preserve">45 dias habiles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</si>
</sst>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&quot;$&quot;#,##0.00;\-&quot;$&quot;#,##0.00"/>
    <numFmt numFmtId="165" formatCode="_-* #,##0.00_-;\-* #,##0.00_-;_-* &quot;-&quot;??_-;_-@_-"/>
    <numFmt numFmtId="166" formatCode="_(\$* #,##0.00_);_(\$* \(#,##0.00\);_(\$* \-??_);_(@_)"/>
    <numFmt numFmtId="167" formatCode="_-* #,##0.00&quot; €&quot;_-;\-* #,##0.00&quot; €&quot;_-;_-* \-??&quot; €&quot;_-;_-@_-"/>
    <numFmt numFmtId="168" formatCode="[$$-2C0A]\ #,##0.00;[$$-2C0A]&quot; -&quot;#,##0.00"/>
    <numFmt numFmtId="169" formatCode="[$$-2C0A]\ #,##0.00"/>
    <numFmt numFmtId="170" formatCode="dd\-mm\-yy;@"/>
    <numFmt numFmtId="171" formatCode="&quot;$&quot;\ #,##0.00"/>
  </numFmts>
  <fonts count="2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167" fontId="15" fillId="0" borderId="0" applyBorder="0" applyProtection="0"/>
    <xf numFmtId="0" fontId="2" fillId="0" borderId="1" applyProtection="0"/>
    <xf numFmtId="166" fontId="3" fillId="0" borderId="0" applyBorder="0" applyProtection="0"/>
    <xf numFmtId="0" fontId="4" fillId="2" borderId="0" applyBorder="0" applyProtection="0"/>
    <xf numFmtId="0" fontId="15" fillId="0" borderId="0"/>
    <xf numFmtId="165" fontId="1" fillId="0" borderId="0" applyFont="0" applyFill="0" applyBorder="0" applyAlignment="0" applyProtection="0"/>
  </cellStyleXfs>
  <cellXfs count="163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70" fontId="0" fillId="0" borderId="0" xfId="0" applyNumberFormat="1" applyAlignment="1">
      <alignment horizontal="left"/>
    </xf>
    <xf numFmtId="0" fontId="3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168" fontId="0" fillId="0" borderId="33" xfId="3" applyNumberFormat="1" applyFont="1" applyBorder="1" applyAlignment="1" applyProtection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8" fontId="0" fillId="0" borderId="37" xfId="3" applyNumberFormat="1" applyFont="1" applyBorder="1" applyAlignment="1" applyProtection="1">
      <alignment horizontal="center" vertical="center"/>
    </xf>
    <xf numFmtId="168" fontId="14" fillId="0" borderId="38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16" fillId="0" borderId="5" xfId="0" applyFont="1" applyBorder="1"/>
    <xf numFmtId="0" fontId="16" fillId="0" borderId="6" xfId="0" applyFont="1" applyBorder="1"/>
    <xf numFmtId="0" fontId="16" fillId="0" borderId="9" xfId="0" applyFont="1" applyBorder="1" applyAlignment="1">
      <alignment horizontal="left" indent="3"/>
    </xf>
    <xf numFmtId="0" fontId="16" fillId="0" borderId="10" xfId="0" applyFont="1" applyBorder="1"/>
    <xf numFmtId="0" fontId="16" fillId="0" borderId="11" xfId="0" applyFont="1" applyBorder="1"/>
    <xf numFmtId="168" fontId="16" fillId="0" borderId="0" xfId="0" applyNumberFormat="1" applyFont="1"/>
    <xf numFmtId="0" fontId="6" fillId="3" borderId="12" xfId="0" applyFont="1" applyFill="1" applyBorder="1" applyAlignment="1">
      <alignment horizontal="right" vertical="center"/>
    </xf>
    <xf numFmtId="0" fontId="7" fillId="4" borderId="13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0" fillId="3" borderId="0" xfId="0" applyFill="1"/>
    <xf numFmtId="0" fontId="6" fillId="3" borderId="14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 indent="1"/>
    </xf>
    <xf numFmtId="0" fontId="24" fillId="4" borderId="0" xfId="0" applyFont="1" applyFill="1" applyAlignment="1">
      <alignment horizontal="left" wrapText="1" indent="1"/>
    </xf>
    <xf numFmtId="0" fontId="20" fillId="3" borderId="0" xfId="0" applyFont="1" applyFill="1" applyAlignment="1">
      <alignment horizontal="left" wrapText="1"/>
    </xf>
    <xf numFmtId="0" fontId="5" fillId="3" borderId="4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168" fontId="5" fillId="3" borderId="2" xfId="1" applyNumberFormat="1" applyFont="1" applyFill="1" applyBorder="1" applyAlignment="1" applyProtection="1">
      <alignment horizontal="right" vertical="center" wrapText="1"/>
    </xf>
    <xf numFmtId="3" fontId="5" fillId="3" borderId="3" xfId="0" applyNumberFormat="1" applyFont="1" applyFill="1" applyBorder="1" applyAlignment="1">
      <alignment horizontal="center" vertical="center"/>
    </xf>
    <xf numFmtId="169" fontId="16" fillId="0" borderId="0" xfId="0" applyNumberFormat="1" applyFont="1"/>
    <xf numFmtId="171" fontId="21" fillId="0" borderId="0" xfId="0" applyNumberFormat="1" applyFont="1"/>
    <xf numFmtId="171" fontId="22" fillId="0" borderId="0" xfId="0" applyNumberFormat="1" applyFont="1" applyAlignment="1">
      <alignment horizontal="left" wrapText="1"/>
    </xf>
    <xf numFmtId="169" fontId="3" fillId="3" borderId="0" xfId="0" applyNumberFormat="1" applyFont="1" applyFill="1" applyBorder="1" applyAlignment="1">
      <alignment vertical="center"/>
    </xf>
    <xf numFmtId="0" fontId="16" fillId="0" borderId="0" xfId="0" applyFont="1" applyFill="1"/>
    <xf numFmtId="0" fontId="0" fillId="0" borderId="29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15" fillId="0" borderId="30" xfId="0" applyFont="1" applyFill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0" borderId="48" xfId="0" applyFont="1" applyBorder="1" applyAlignment="1">
      <alignment horizontal="left" vertical="center"/>
    </xf>
    <xf numFmtId="0" fontId="14" fillId="0" borderId="49" xfId="0" applyFont="1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168" fontId="0" fillId="0" borderId="53" xfId="3" applyNumberFormat="1" applyFont="1" applyBorder="1" applyAlignment="1" applyProtection="1">
      <alignment horizontal="center" vertical="center"/>
    </xf>
    <xf numFmtId="0" fontId="16" fillId="0" borderId="7" xfId="0" applyFont="1" applyBorder="1" applyAlignment="1">
      <alignment horizontal="left" indent="3"/>
    </xf>
    <xf numFmtId="0" fontId="15" fillId="0" borderId="32" xfId="0" applyFont="1" applyBorder="1" applyAlignment="1">
      <alignment horizontal="center" vertical="center"/>
    </xf>
    <xf numFmtId="0" fontId="0" fillId="0" borderId="56" xfId="0" applyBorder="1"/>
    <xf numFmtId="0" fontId="21" fillId="0" borderId="57" xfId="0" applyFont="1" applyBorder="1" applyAlignment="1">
      <alignment horizontal="center" vertical="center"/>
    </xf>
    <xf numFmtId="0" fontId="15" fillId="0" borderId="56" xfId="0" applyFont="1" applyBorder="1" applyAlignment="1">
      <alignment wrapText="1"/>
    </xf>
    <xf numFmtId="168" fontId="21" fillId="4" borderId="58" xfId="1" applyNumberFormat="1" applyFont="1" applyFill="1" applyBorder="1" applyAlignment="1" applyProtection="1">
      <alignment horizontal="right" vertical="center" wrapText="1"/>
    </xf>
    <xf numFmtId="0" fontId="0" fillId="0" borderId="59" xfId="0" applyBorder="1"/>
    <xf numFmtId="0" fontId="15" fillId="0" borderId="59" xfId="0" applyFont="1" applyBorder="1" applyAlignment="1">
      <alignment wrapText="1"/>
    </xf>
    <xf numFmtId="0" fontId="22" fillId="0" borderId="59" xfId="0" applyFont="1" applyBorder="1" applyAlignment="1">
      <alignment horizontal="center" vertical="center" wrapText="1"/>
    </xf>
    <xf numFmtId="168" fontId="21" fillId="4" borderId="60" xfId="1" applyNumberFormat="1" applyFont="1" applyFill="1" applyBorder="1" applyAlignment="1" applyProtection="1">
      <alignment horizontal="right" vertical="center" wrapText="1"/>
    </xf>
    <xf numFmtId="0" fontId="22" fillId="0" borderId="56" xfId="0" applyFont="1" applyBorder="1" applyAlignment="1">
      <alignment horizontal="center" vertical="center" wrapText="1"/>
    </xf>
    <xf numFmtId="0" fontId="5" fillId="3" borderId="57" xfId="0" applyFont="1" applyFill="1" applyBorder="1" applyAlignment="1">
      <alignment horizontal="center" vertical="center"/>
    </xf>
    <xf numFmtId="0" fontId="5" fillId="3" borderId="56" xfId="0" applyFont="1" applyFill="1" applyBorder="1" applyAlignment="1">
      <alignment horizontal="left" vertical="center"/>
    </xf>
    <xf numFmtId="3" fontId="5" fillId="3" borderId="58" xfId="0" applyNumberFormat="1" applyFont="1" applyFill="1" applyBorder="1" applyAlignment="1">
      <alignment horizontal="center" vertical="center"/>
    </xf>
    <xf numFmtId="168" fontId="5" fillId="3" borderId="56" xfId="1" applyNumberFormat="1" applyFont="1" applyFill="1" applyBorder="1" applyAlignment="1" applyProtection="1">
      <alignment horizontal="right" vertical="center" wrapText="1"/>
    </xf>
    <xf numFmtId="0" fontId="5" fillId="4" borderId="56" xfId="0" applyFont="1" applyFill="1" applyBorder="1" applyAlignment="1">
      <alignment horizontal="center" vertical="center"/>
    </xf>
    <xf numFmtId="0" fontId="5" fillId="3" borderId="56" xfId="0" applyFont="1" applyFill="1" applyBorder="1" applyAlignment="1">
      <alignment horizontal="center" vertical="center" wrapText="1"/>
    </xf>
    <xf numFmtId="0" fontId="21" fillId="0" borderId="64" xfId="0" applyFont="1" applyBorder="1" applyAlignment="1">
      <alignment horizontal="center" vertical="center"/>
    </xf>
    <xf numFmtId="0" fontId="0" fillId="0" borderId="63" xfId="0" applyBorder="1"/>
    <xf numFmtId="0" fontId="15" fillId="0" borderId="63" xfId="0" applyFont="1" applyBorder="1" applyAlignment="1">
      <alignment wrapText="1"/>
    </xf>
    <xf numFmtId="0" fontId="22" fillId="0" borderId="63" xfId="0" applyFont="1" applyBorder="1" applyAlignment="1">
      <alignment horizontal="center" vertical="center" wrapText="1"/>
    </xf>
    <xf numFmtId="168" fontId="21" fillId="4" borderId="65" xfId="1" applyNumberFormat="1" applyFont="1" applyFill="1" applyBorder="1" applyAlignment="1" applyProtection="1">
      <alignment horizontal="right" vertical="center" wrapText="1"/>
    </xf>
    <xf numFmtId="0" fontId="20" fillId="0" borderId="16" xfId="0" applyFont="1" applyBorder="1" applyAlignment="1">
      <alignment horizontal="center" vertical="center" wrapText="1"/>
    </xf>
    <xf numFmtId="171" fontId="25" fillId="0" borderId="16" xfId="0" applyNumberFormat="1" applyFont="1" applyBorder="1" applyAlignment="1">
      <alignment horizontal="center" vertical="center" wrapText="1"/>
    </xf>
    <xf numFmtId="0" fontId="0" fillId="0" borderId="61" xfId="0" applyBorder="1"/>
    <xf numFmtId="0" fontId="5" fillId="3" borderId="61" xfId="0" applyFont="1" applyFill="1" applyBorder="1" applyAlignment="1">
      <alignment horizontal="left" vertical="center"/>
    </xf>
    <xf numFmtId="0" fontId="27" fillId="0" borderId="56" xfId="0" applyFont="1" applyFill="1" applyBorder="1" applyAlignment="1">
      <alignment horizontal="left" vertical="center" wrapText="1"/>
    </xf>
    <xf numFmtId="0" fontId="0" fillId="0" borderId="62" xfId="0" applyFill="1" applyBorder="1" applyAlignment="1">
      <alignment horizontal="center" vertical="top" wrapText="1"/>
    </xf>
    <xf numFmtId="0" fontId="0" fillId="0" borderId="56" xfId="0" applyFill="1" applyBorder="1" applyAlignment="1">
      <alignment horizontal="center" vertical="center" wrapText="1"/>
    </xf>
    <xf numFmtId="164" fontId="0" fillId="0" borderId="56" xfId="1" applyNumberFormat="1" applyFont="1" applyFill="1" applyBorder="1" applyAlignment="1">
      <alignment vertical="center" wrapText="1"/>
    </xf>
    <xf numFmtId="0" fontId="15" fillId="0" borderId="56" xfId="0" applyFont="1" applyFill="1" applyBorder="1" applyAlignment="1">
      <alignment horizontal="left" vertical="center" wrapText="1"/>
    </xf>
    <xf numFmtId="0" fontId="15" fillId="0" borderId="67" xfId="0" applyFont="1" applyFill="1" applyBorder="1" applyAlignment="1">
      <alignment horizontal="left" vertical="center" wrapText="1"/>
    </xf>
    <xf numFmtId="0" fontId="0" fillId="0" borderId="56" xfId="0" applyFill="1" applyBorder="1"/>
    <xf numFmtId="0" fontId="15" fillId="0" borderId="56" xfId="0" applyFont="1" applyFill="1" applyBorder="1" applyAlignment="1">
      <alignment horizontal="left" vertical="center"/>
    </xf>
    <xf numFmtId="0" fontId="21" fillId="0" borderId="68" xfId="0" applyFont="1" applyBorder="1" applyAlignment="1">
      <alignment horizontal="center" vertical="center"/>
    </xf>
    <xf numFmtId="0" fontId="27" fillId="0" borderId="59" xfId="0" applyFont="1" applyFill="1" applyBorder="1" applyAlignment="1">
      <alignment horizontal="left" vertical="center" wrapText="1"/>
    </xf>
    <xf numFmtId="0" fontId="0" fillId="0" borderId="66" xfId="0" applyFill="1" applyBorder="1" applyAlignment="1">
      <alignment horizontal="center" vertical="top" wrapText="1"/>
    </xf>
    <xf numFmtId="0" fontId="0" fillId="0" borderId="59" xfId="0" applyFill="1" applyBorder="1" applyAlignment="1">
      <alignment horizontal="center" vertical="center" wrapText="1"/>
    </xf>
    <xf numFmtId="164" fontId="0" fillId="0" borderId="59" xfId="1" applyNumberFormat="1" applyFont="1" applyFill="1" applyBorder="1" applyAlignment="1">
      <alignment vertical="center" wrapText="1"/>
    </xf>
    <xf numFmtId="0" fontId="18" fillId="0" borderId="0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center"/>
    </xf>
    <xf numFmtId="0" fontId="24" fillId="4" borderId="0" xfId="0" applyFont="1" applyFill="1" applyBorder="1" applyAlignment="1">
      <alignment horizontal="left" wrapText="1" indent="1"/>
    </xf>
    <xf numFmtId="0" fontId="5" fillId="3" borderId="56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left" vertical="center" wrapText="1"/>
    </xf>
    <xf numFmtId="0" fontId="7" fillId="3" borderId="16" xfId="0" applyFont="1" applyFill="1" applyBorder="1" applyAlignment="1">
      <alignment horizontal="left" vertical="center" wrapText="1" indent="1"/>
    </xf>
    <xf numFmtId="0" fontId="8" fillId="3" borderId="17" xfId="0" applyFont="1" applyFill="1" applyBorder="1" applyAlignment="1">
      <alignment horizontal="left" vertical="center" wrapText="1"/>
    </xf>
    <xf numFmtId="0" fontId="8" fillId="3" borderId="18" xfId="0" applyFont="1" applyFill="1" applyBorder="1" applyAlignment="1">
      <alignment horizontal="left" vertical="center"/>
    </xf>
    <xf numFmtId="0" fontId="7" fillId="4" borderId="19" xfId="0" applyFont="1" applyFill="1" applyBorder="1" applyAlignment="1">
      <alignment horizontal="left" vertical="center" wrapText="1" indent="1"/>
    </xf>
    <xf numFmtId="0" fontId="9" fillId="3" borderId="18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169" fontId="8" fillId="3" borderId="16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61" xfId="0" applyFont="1" applyFill="1" applyBorder="1" applyAlignment="1">
      <alignment horizontal="left" vertical="center" wrapText="1"/>
    </xf>
    <xf numFmtId="0" fontId="0" fillId="0" borderId="21" xfId="0" applyFont="1" applyBorder="1" applyAlignment="1">
      <alignment horizontal="center"/>
    </xf>
    <xf numFmtId="3" fontId="10" fillId="0" borderId="22" xfId="0" applyNumberFormat="1" applyFont="1" applyBorder="1" applyAlignment="1">
      <alignment horizontal="center"/>
    </xf>
    <xf numFmtId="0" fontId="11" fillId="0" borderId="13" xfId="0" applyFont="1" applyBorder="1" applyAlignment="1">
      <alignment horizontal="center" vertical="center" wrapText="1"/>
    </xf>
    <xf numFmtId="0" fontId="3" fillId="0" borderId="13" xfId="0" applyFont="1" applyBorder="1"/>
    <xf numFmtId="0" fontId="12" fillId="0" borderId="13" xfId="0" applyFont="1" applyBorder="1" applyAlignment="1">
      <alignment horizontal="left" indent="1"/>
    </xf>
    <xf numFmtId="0" fontId="5" fillId="0" borderId="15" xfId="0" applyFont="1" applyBorder="1" applyAlignment="1">
      <alignment horizontal="left" vertical="center" wrapText="1"/>
    </xf>
    <xf numFmtId="0" fontId="5" fillId="0" borderId="40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/>
    </xf>
    <xf numFmtId="0" fontId="12" fillId="0" borderId="24" xfId="0" applyFont="1" applyBorder="1"/>
    <xf numFmtId="0" fontId="12" fillId="0" borderId="25" xfId="0" applyFont="1" applyBorder="1" applyAlignment="1">
      <alignment horizontal="left" vertical="center" wrapText="1" indent="1"/>
    </xf>
    <xf numFmtId="0" fontId="14" fillId="0" borderId="23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4" fillId="0" borderId="46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0" fontId="26" fillId="0" borderId="30" xfId="0" applyFont="1" applyFill="1" applyBorder="1" applyAlignment="1">
      <alignment horizontal="left" vertical="center" wrapText="1"/>
    </xf>
    <xf numFmtId="0" fontId="15" fillId="0" borderId="32" xfId="0" applyFont="1" applyBorder="1" applyAlignment="1">
      <alignment horizontal="left" vertical="center"/>
    </xf>
    <xf numFmtId="0" fontId="0" fillId="0" borderId="32" xfId="0" applyFont="1" applyBorder="1" applyAlignment="1">
      <alignment horizontal="left" vertical="center"/>
    </xf>
    <xf numFmtId="0" fontId="10" fillId="0" borderId="21" xfId="0" applyFont="1" applyBorder="1" applyAlignment="1">
      <alignment vertical="center" wrapText="1"/>
    </xf>
    <xf numFmtId="0" fontId="10" fillId="0" borderId="39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4" borderId="38" xfId="0" applyFont="1" applyFill="1" applyBorder="1" applyAlignment="1">
      <alignment horizontal="left" vertical="center" wrapText="1" indent="1"/>
    </xf>
    <xf numFmtId="0" fontId="0" fillId="0" borderId="32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10" fillId="0" borderId="38" xfId="0" applyFont="1" applyBorder="1" applyAlignment="1">
      <alignment horizontal="left" vertical="center" wrapText="1"/>
    </xf>
    <xf numFmtId="0" fontId="0" fillId="0" borderId="23" xfId="0" applyBorder="1"/>
    <xf numFmtId="0" fontId="23" fillId="0" borderId="4" xfId="0" applyFont="1" applyBorder="1" applyAlignment="1">
      <alignment horizontal="left" indent="3"/>
    </xf>
    <xf numFmtId="0" fontId="16" fillId="0" borderId="0" xfId="0" applyFont="1" applyAlignment="1">
      <alignment vertical="center"/>
    </xf>
    <xf numFmtId="0" fontId="16" fillId="4" borderId="7" xfId="5" applyFont="1" applyFill="1" applyBorder="1" applyAlignment="1">
      <alignment horizontal="left" wrapText="1"/>
    </xf>
    <xf numFmtId="0" fontId="16" fillId="4" borderId="0" xfId="5" applyFont="1" applyFill="1" applyBorder="1" applyAlignment="1">
      <alignment horizontal="left" wrapText="1"/>
    </xf>
    <xf numFmtId="0" fontId="16" fillId="4" borderId="8" xfId="5" applyFont="1" applyFill="1" applyBorder="1" applyAlignment="1">
      <alignment horizontal="left" wrapText="1"/>
    </xf>
    <xf numFmtId="0" fontId="23" fillId="0" borderId="7" xfId="0" applyFont="1" applyBorder="1" applyAlignment="1"/>
    <xf numFmtId="0" fontId="16" fillId="0" borderId="0" xfId="0" applyFont="1" applyBorder="1" applyAlignment="1">
      <alignment horizontal="center" wrapText="1"/>
    </xf>
    <xf numFmtId="0" fontId="16" fillId="0" borderId="0" xfId="0" applyFont="1" applyFill="1" applyBorder="1" applyAlignment="1">
      <alignment horizontal="center" wrapText="1"/>
    </xf>
    <xf numFmtId="0" fontId="16" fillId="0" borderId="8" xfId="0" applyFont="1" applyBorder="1" applyAlignment="1">
      <alignment horizontal="center" wrapText="1"/>
    </xf>
    <xf numFmtId="0" fontId="16" fillId="4" borderId="8" xfId="0" applyFont="1" applyFill="1" applyBorder="1" applyAlignment="1">
      <alignment horizontal="left" wrapText="1"/>
    </xf>
  </cellXfs>
  <cellStyles count="7">
    <cellStyle name="Encabezado 1" xfId="2"/>
    <cellStyle name="Millares 2" xfId="6"/>
    <cellStyle name="Moneda" xfId="1" builtinId="4"/>
    <cellStyle name="Moneda_AUTORIZACION Y NOTA DE PEDIDO" xfId="3"/>
    <cellStyle name="Neutral 1" xfId="4"/>
    <cellStyle name="Normal" xfId="0" builtinId="0"/>
    <cellStyle name="Normal 2 3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87"/>
  <sheetViews>
    <sheetView tabSelected="1" zoomScale="93" zoomScaleNormal="93" workbookViewId="0">
      <selection activeCell="E94" sqref="E94"/>
    </sheetView>
  </sheetViews>
  <sheetFormatPr baseColWidth="10" defaultColWidth="11" defaultRowHeight="12.75" x14ac:dyDescent="0.2"/>
  <cols>
    <col min="1" max="1" width="6.42578125" style="26" customWidth="1"/>
    <col min="2" max="2" width="8.5703125" style="26" customWidth="1"/>
    <col min="3" max="3" width="28.42578125" style="26" customWidth="1"/>
    <col min="4" max="4" width="8.42578125" style="26" customWidth="1"/>
    <col min="5" max="5" width="57.7109375" style="26" customWidth="1"/>
    <col min="6" max="6" width="11" style="26"/>
    <col min="7" max="7" width="10.42578125" style="26" bestFit="1" customWidth="1"/>
    <col min="8" max="8" width="13.85546875" style="52" customWidth="1"/>
    <col min="9" max="9" width="18.5703125" style="26" customWidth="1"/>
    <col min="10" max="11" width="11" style="26"/>
    <col min="12" max="12" width="13.140625" style="26" customWidth="1"/>
    <col min="13" max="16384" width="11" style="26"/>
  </cols>
  <sheetData>
    <row r="2" spans="1:10" ht="27" x14ac:dyDescent="0.35">
      <c r="B2" s="106" t="s">
        <v>0</v>
      </c>
      <c r="C2" s="106"/>
      <c r="D2" s="106"/>
      <c r="E2" s="106"/>
      <c r="F2" s="106"/>
      <c r="G2" s="106"/>
      <c r="H2" s="106"/>
    </row>
    <row r="3" spans="1:10" ht="12" customHeight="1" x14ac:dyDescent="0.2"/>
    <row r="4" spans="1:10" ht="18" customHeight="1" x14ac:dyDescent="0.25">
      <c r="A4" s="105" t="s">
        <v>1</v>
      </c>
      <c r="B4" s="105"/>
      <c r="C4" s="107" t="s">
        <v>52</v>
      </c>
      <c r="D4" s="107"/>
      <c r="E4" s="107"/>
      <c r="F4" s="27"/>
      <c r="G4" s="28"/>
      <c r="H4" s="53"/>
    </row>
    <row r="5" spans="1:10" ht="18" customHeight="1" x14ac:dyDescent="0.25">
      <c r="A5" s="105" t="s">
        <v>2</v>
      </c>
      <c r="B5" s="105"/>
      <c r="C5" s="107" t="s">
        <v>51</v>
      </c>
      <c r="D5" s="107"/>
      <c r="E5" s="107"/>
      <c r="F5" s="27"/>
      <c r="G5" s="28" t="s">
        <v>55</v>
      </c>
      <c r="H5" s="53"/>
    </row>
    <row r="6" spans="1:10" ht="16.5" customHeight="1" x14ac:dyDescent="0.25">
      <c r="A6" s="105" t="s">
        <v>3</v>
      </c>
      <c r="B6" s="105"/>
      <c r="C6" s="43">
        <v>2021</v>
      </c>
      <c r="D6" s="44"/>
      <c r="E6" s="44"/>
      <c r="F6" s="27"/>
      <c r="G6" s="28"/>
      <c r="H6" s="53"/>
    </row>
    <row r="7" spans="1:10" ht="16.5" customHeight="1" x14ac:dyDescent="0.25">
      <c r="A7" s="105" t="s">
        <v>4</v>
      </c>
      <c r="B7" s="105"/>
      <c r="C7" s="43">
        <v>2</v>
      </c>
      <c r="D7" s="44"/>
      <c r="E7" s="44"/>
      <c r="F7" s="27"/>
      <c r="G7" s="28"/>
      <c r="H7" s="53"/>
    </row>
    <row r="8" spans="1:10" ht="13.5" thickBot="1" x14ac:dyDescent="0.25">
      <c r="B8" s="27"/>
      <c r="C8" s="28"/>
      <c r="D8" s="27"/>
      <c r="E8" s="27"/>
      <c r="F8" s="27"/>
      <c r="G8" s="28"/>
      <c r="H8" s="53"/>
      <c r="J8" s="51"/>
    </row>
    <row r="9" spans="1:10" ht="36.75" thickBot="1" x14ac:dyDescent="0.25">
      <c r="A9" s="88" t="s">
        <v>5</v>
      </c>
      <c r="B9" s="88" t="s">
        <v>6</v>
      </c>
      <c r="C9" s="88" t="s">
        <v>7</v>
      </c>
      <c r="D9" s="88" t="s">
        <v>8</v>
      </c>
      <c r="E9" s="88" t="s">
        <v>9</v>
      </c>
      <c r="F9" s="88" t="s">
        <v>10</v>
      </c>
      <c r="G9" s="88" t="s">
        <v>11</v>
      </c>
      <c r="H9" s="89" t="s">
        <v>12</v>
      </c>
      <c r="I9" s="88" t="s">
        <v>13</v>
      </c>
    </row>
    <row r="10" spans="1:10" ht="25.5" x14ac:dyDescent="0.2">
      <c r="A10" s="83">
        <v>1</v>
      </c>
      <c r="B10" s="84"/>
      <c r="C10" s="85" t="s">
        <v>58</v>
      </c>
      <c r="D10" s="86">
        <v>252</v>
      </c>
      <c r="E10" s="92" t="s">
        <v>60</v>
      </c>
      <c r="F10" s="93" t="s">
        <v>59</v>
      </c>
      <c r="G10" s="94">
        <v>600</v>
      </c>
      <c r="H10" s="95">
        <v>185</v>
      </c>
      <c r="I10" s="87">
        <f>+G10*H10</f>
        <v>111000</v>
      </c>
    </row>
    <row r="11" spans="1:10" ht="25.5" x14ac:dyDescent="0.2">
      <c r="A11" s="69">
        <v>2</v>
      </c>
      <c r="B11" s="68"/>
      <c r="C11" s="70" t="s">
        <v>58</v>
      </c>
      <c r="D11" s="76">
        <v>252</v>
      </c>
      <c r="E11" s="96" t="s">
        <v>61</v>
      </c>
      <c r="F11" s="93" t="s">
        <v>59</v>
      </c>
      <c r="G11" s="94">
        <v>1000</v>
      </c>
      <c r="H11" s="95">
        <v>10.4</v>
      </c>
      <c r="I11" s="71">
        <f t="shared" ref="I11:I74" si="0">+G11*H11</f>
        <v>10400</v>
      </c>
    </row>
    <row r="12" spans="1:10" ht="25.5" x14ac:dyDescent="0.2">
      <c r="A12" s="69">
        <v>3</v>
      </c>
      <c r="B12" s="68"/>
      <c r="C12" s="70" t="s">
        <v>58</v>
      </c>
      <c r="D12" s="76">
        <v>252</v>
      </c>
      <c r="E12" s="96" t="s">
        <v>62</v>
      </c>
      <c r="F12" s="93" t="s">
        <v>59</v>
      </c>
      <c r="G12" s="94">
        <v>1500</v>
      </c>
      <c r="H12" s="95">
        <v>456.15</v>
      </c>
      <c r="I12" s="71">
        <f t="shared" si="0"/>
        <v>684225</v>
      </c>
    </row>
    <row r="13" spans="1:10" ht="25.5" x14ac:dyDescent="0.2">
      <c r="A13" s="69">
        <v>4</v>
      </c>
      <c r="B13" s="68"/>
      <c r="C13" s="70" t="s">
        <v>58</v>
      </c>
      <c r="D13" s="76">
        <v>252</v>
      </c>
      <c r="E13" s="96" t="s">
        <v>63</v>
      </c>
      <c r="F13" s="93" t="s">
        <v>59</v>
      </c>
      <c r="G13" s="94">
        <v>400</v>
      </c>
      <c r="H13" s="95">
        <v>13.66</v>
      </c>
      <c r="I13" s="71">
        <f t="shared" si="0"/>
        <v>5464</v>
      </c>
    </row>
    <row r="14" spans="1:10" ht="25.5" x14ac:dyDescent="0.2">
      <c r="A14" s="69">
        <v>5</v>
      </c>
      <c r="B14" s="68"/>
      <c r="C14" s="70" t="s">
        <v>58</v>
      </c>
      <c r="D14" s="76">
        <v>252</v>
      </c>
      <c r="E14" s="96" t="s">
        <v>64</v>
      </c>
      <c r="F14" s="93" t="s">
        <v>59</v>
      </c>
      <c r="G14" s="94">
        <v>20</v>
      </c>
      <c r="H14" s="95">
        <v>824</v>
      </c>
      <c r="I14" s="71">
        <f t="shared" si="0"/>
        <v>16480</v>
      </c>
    </row>
    <row r="15" spans="1:10" ht="25.5" x14ac:dyDescent="0.2">
      <c r="A15" s="69">
        <v>6</v>
      </c>
      <c r="B15" s="68"/>
      <c r="C15" s="70" t="s">
        <v>58</v>
      </c>
      <c r="D15" s="76">
        <v>252</v>
      </c>
      <c r="E15" s="96" t="s">
        <v>65</v>
      </c>
      <c r="F15" s="93" t="s">
        <v>59</v>
      </c>
      <c r="G15" s="94">
        <v>10</v>
      </c>
      <c r="H15" s="95">
        <v>245</v>
      </c>
      <c r="I15" s="71">
        <f t="shared" si="0"/>
        <v>2450</v>
      </c>
    </row>
    <row r="16" spans="1:10" ht="25.5" x14ac:dyDescent="0.2">
      <c r="A16" s="69">
        <v>7</v>
      </c>
      <c r="B16" s="68"/>
      <c r="C16" s="70" t="s">
        <v>58</v>
      </c>
      <c r="D16" s="76">
        <v>252</v>
      </c>
      <c r="E16" s="96" t="s">
        <v>66</v>
      </c>
      <c r="F16" s="93" t="s">
        <v>59</v>
      </c>
      <c r="G16" s="94">
        <v>600</v>
      </c>
      <c r="H16" s="95">
        <v>1.25</v>
      </c>
      <c r="I16" s="71">
        <f t="shared" si="0"/>
        <v>750</v>
      </c>
    </row>
    <row r="17" spans="1:9" ht="25.5" x14ac:dyDescent="0.2">
      <c r="A17" s="69">
        <v>8</v>
      </c>
      <c r="B17" s="68"/>
      <c r="C17" s="70" t="s">
        <v>58</v>
      </c>
      <c r="D17" s="76">
        <v>252</v>
      </c>
      <c r="E17" s="96" t="s">
        <v>67</v>
      </c>
      <c r="F17" s="93" t="s">
        <v>59</v>
      </c>
      <c r="G17" s="94">
        <v>600</v>
      </c>
      <c r="H17" s="95">
        <v>3.5</v>
      </c>
      <c r="I17" s="71">
        <f t="shared" si="0"/>
        <v>2100</v>
      </c>
    </row>
    <row r="18" spans="1:9" ht="25.5" x14ac:dyDescent="0.2">
      <c r="A18" s="69">
        <v>9</v>
      </c>
      <c r="B18" s="68"/>
      <c r="C18" s="70" t="s">
        <v>58</v>
      </c>
      <c r="D18" s="76">
        <v>252</v>
      </c>
      <c r="E18" s="96" t="s">
        <v>68</v>
      </c>
      <c r="F18" s="93" t="s">
        <v>59</v>
      </c>
      <c r="G18" s="94">
        <v>200</v>
      </c>
      <c r="H18" s="95">
        <v>2.94</v>
      </c>
      <c r="I18" s="71">
        <f t="shared" si="0"/>
        <v>588</v>
      </c>
    </row>
    <row r="19" spans="1:9" ht="25.5" x14ac:dyDescent="0.2">
      <c r="A19" s="69">
        <v>10</v>
      </c>
      <c r="B19" s="68"/>
      <c r="C19" s="70" t="s">
        <v>58</v>
      </c>
      <c r="D19" s="76">
        <v>252</v>
      </c>
      <c r="E19" s="96" t="s">
        <v>69</v>
      </c>
      <c r="F19" s="93" t="s">
        <v>59</v>
      </c>
      <c r="G19" s="94">
        <v>200</v>
      </c>
      <c r="H19" s="95">
        <v>1.35</v>
      </c>
      <c r="I19" s="71">
        <f t="shared" si="0"/>
        <v>270</v>
      </c>
    </row>
    <row r="20" spans="1:9" ht="25.5" x14ac:dyDescent="0.2">
      <c r="A20" s="69">
        <v>11</v>
      </c>
      <c r="B20" s="68"/>
      <c r="C20" s="70" t="s">
        <v>58</v>
      </c>
      <c r="D20" s="76">
        <v>252</v>
      </c>
      <c r="E20" s="96" t="s">
        <v>70</v>
      </c>
      <c r="F20" s="93" t="s">
        <v>59</v>
      </c>
      <c r="G20" s="94">
        <v>1200</v>
      </c>
      <c r="H20" s="95">
        <v>116</v>
      </c>
      <c r="I20" s="71">
        <f t="shared" si="0"/>
        <v>139200</v>
      </c>
    </row>
    <row r="21" spans="1:9" ht="25.5" x14ac:dyDescent="0.2">
      <c r="A21" s="69">
        <v>12</v>
      </c>
      <c r="B21" s="68"/>
      <c r="C21" s="70" t="s">
        <v>58</v>
      </c>
      <c r="D21" s="76">
        <v>252</v>
      </c>
      <c r="E21" s="96" t="s">
        <v>71</v>
      </c>
      <c r="F21" s="93" t="s">
        <v>59</v>
      </c>
      <c r="G21" s="94">
        <v>200</v>
      </c>
      <c r="H21" s="95">
        <v>80</v>
      </c>
      <c r="I21" s="71">
        <f t="shared" si="0"/>
        <v>16000</v>
      </c>
    </row>
    <row r="22" spans="1:9" ht="25.5" x14ac:dyDescent="0.2">
      <c r="A22" s="69">
        <v>13</v>
      </c>
      <c r="B22" s="68"/>
      <c r="C22" s="70" t="s">
        <v>58</v>
      </c>
      <c r="D22" s="76">
        <v>252</v>
      </c>
      <c r="E22" s="96" t="s">
        <v>72</v>
      </c>
      <c r="F22" s="93" t="s">
        <v>59</v>
      </c>
      <c r="G22" s="94">
        <v>10</v>
      </c>
      <c r="H22" s="95">
        <v>457</v>
      </c>
      <c r="I22" s="71">
        <f t="shared" si="0"/>
        <v>4570</v>
      </c>
    </row>
    <row r="23" spans="1:9" ht="25.5" x14ac:dyDescent="0.2">
      <c r="A23" s="69">
        <v>14</v>
      </c>
      <c r="B23" s="68"/>
      <c r="C23" s="70" t="s">
        <v>58</v>
      </c>
      <c r="D23" s="76">
        <v>252</v>
      </c>
      <c r="E23" s="96" t="s">
        <v>73</v>
      </c>
      <c r="F23" s="93" t="s">
        <v>59</v>
      </c>
      <c r="G23" s="94">
        <v>60</v>
      </c>
      <c r="H23" s="95">
        <v>848</v>
      </c>
      <c r="I23" s="71">
        <f t="shared" si="0"/>
        <v>50880</v>
      </c>
    </row>
    <row r="24" spans="1:9" ht="25.5" x14ac:dyDescent="0.2">
      <c r="A24" s="69">
        <v>15</v>
      </c>
      <c r="B24" s="68"/>
      <c r="C24" s="70" t="s">
        <v>58</v>
      </c>
      <c r="D24" s="76">
        <v>252</v>
      </c>
      <c r="E24" s="96" t="s">
        <v>74</v>
      </c>
      <c r="F24" s="93" t="s">
        <v>59</v>
      </c>
      <c r="G24" s="94">
        <v>20</v>
      </c>
      <c r="H24" s="95">
        <v>626</v>
      </c>
      <c r="I24" s="71">
        <f t="shared" si="0"/>
        <v>12520</v>
      </c>
    </row>
    <row r="25" spans="1:9" ht="25.5" x14ac:dyDescent="0.2">
      <c r="A25" s="69">
        <v>16</v>
      </c>
      <c r="B25" s="68"/>
      <c r="C25" s="70" t="s">
        <v>58</v>
      </c>
      <c r="D25" s="76">
        <v>252</v>
      </c>
      <c r="E25" s="96" t="s">
        <v>75</v>
      </c>
      <c r="F25" s="93" t="s">
        <v>59</v>
      </c>
      <c r="G25" s="94">
        <v>200</v>
      </c>
      <c r="H25" s="95">
        <v>25</v>
      </c>
      <c r="I25" s="71">
        <f t="shared" si="0"/>
        <v>5000</v>
      </c>
    </row>
    <row r="26" spans="1:9" ht="25.5" x14ac:dyDescent="0.2">
      <c r="A26" s="69">
        <v>17</v>
      </c>
      <c r="B26" s="68"/>
      <c r="C26" s="70" t="s">
        <v>58</v>
      </c>
      <c r="D26" s="76">
        <v>252</v>
      </c>
      <c r="E26" s="96" t="s">
        <v>76</v>
      </c>
      <c r="F26" s="93" t="s">
        <v>59</v>
      </c>
      <c r="G26" s="94">
        <v>200</v>
      </c>
      <c r="H26" s="95">
        <v>37.5</v>
      </c>
      <c r="I26" s="71">
        <f t="shared" si="0"/>
        <v>7500</v>
      </c>
    </row>
    <row r="27" spans="1:9" ht="25.5" x14ac:dyDescent="0.2">
      <c r="A27" s="69">
        <v>18</v>
      </c>
      <c r="B27" s="68"/>
      <c r="C27" s="70" t="s">
        <v>58</v>
      </c>
      <c r="D27" s="76">
        <v>252</v>
      </c>
      <c r="E27" s="96" t="s">
        <v>77</v>
      </c>
      <c r="F27" s="93" t="s">
        <v>59</v>
      </c>
      <c r="G27" s="94">
        <v>300</v>
      </c>
      <c r="H27" s="95">
        <v>45</v>
      </c>
      <c r="I27" s="71">
        <f t="shared" si="0"/>
        <v>13500</v>
      </c>
    </row>
    <row r="28" spans="1:9" ht="25.5" x14ac:dyDescent="0.2">
      <c r="A28" s="69">
        <v>19</v>
      </c>
      <c r="B28" s="68"/>
      <c r="C28" s="70" t="s">
        <v>58</v>
      </c>
      <c r="D28" s="76">
        <v>252</v>
      </c>
      <c r="E28" s="96" t="s">
        <v>78</v>
      </c>
      <c r="F28" s="93" t="s">
        <v>59</v>
      </c>
      <c r="G28" s="94">
        <v>500</v>
      </c>
      <c r="H28" s="95">
        <v>14.2</v>
      </c>
      <c r="I28" s="71">
        <f t="shared" si="0"/>
        <v>7100</v>
      </c>
    </row>
    <row r="29" spans="1:9" ht="25.5" x14ac:dyDescent="0.2">
      <c r="A29" s="69">
        <v>20</v>
      </c>
      <c r="B29" s="68"/>
      <c r="C29" s="70" t="s">
        <v>58</v>
      </c>
      <c r="D29" s="76">
        <v>252</v>
      </c>
      <c r="E29" s="96" t="s">
        <v>79</v>
      </c>
      <c r="F29" s="93" t="s">
        <v>59</v>
      </c>
      <c r="G29" s="94">
        <v>60</v>
      </c>
      <c r="H29" s="95">
        <v>477</v>
      </c>
      <c r="I29" s="71">
        <f t="shared" si="0"/>
        <v>28620</v>
      </c>
    </row>
    <row r="30" spans="1:9" ht="25.5" x14ac:dyDescent="0.2">
      <c r="A30" s="69">
        <v>21</v>
      </c>
      <c r="B30" s="90"/>
      <c r="C30" s="70" t="s">
        <v>58</v>
      </c>
      <c r="D30" s="76">
        <v>252</v>
      </c>
      <c r="E30" s="96" t="s">
        <v>80</v>
      </c>
      <c r="F30" s="93" t="s">
        <v>59</v>
      </c>
      <c r="G30" s="94">
        <v>100</v>
      </c>
      <c r="H30" s="95">
        <v>3.5</v>
      </c>
      <c r="I30" s="71">
        <f t="shared" si="0"/>
        <v>350</v>
      </c>
    </row>
    <row r="31" spans="1:9" ht="25.5" x14ac:dyDescent="0.2">
      <c r="A31" s="69">
        <v>22</v>
      </c>
      <c r="B31" s="90"/>
      <c r="C31" s="70" t="s">
        <v>58</v>
      </c>
      <c r="D31" s="76">
        <v>252</v>
      </c>
      <c r="E31" s="92" t="s">
        <v>81</v>
      </c>
      <c r="F31" s="93" t="s">
        <v>59</v>
      </c>
      <c r="G31" s="94">
        <v>300</v>
      </c>
      <c r="H31" s="95">
        <v>21.75</v>
      </c>
      <c r="I31" s="71">
        <f t="shared" si="0"/>
        <v>6525</v>
      </c>
    </row>
    <row r="32" spans="1:9" ht="25.5" x14ac:dyDescent="0.2">
      <c r="A32" s="69">
        <v>23</v>
      </c>
      <c r="B32" s="90"/>
      <c r="C32" s="70" t="s">
        <v>58</v>
      </c>
      <c r="D32" s="76">
        <v>252</v>
      </c>
      <c r="E32" s="92" t="s">
        <v>82</v>
      </c>
      <c r="F32" s="93" t="s">
        <v>59</v>
      </c>
      <c r="G32" s="94">
        <v>600</v>
      </c>
      <c r="H32" s="95">
        <v>269.5</v>
      </c>
      <c r="I32" s="71">
        <f t="shared" si="0"/>
        <v>161700</v>
      </c>
    </row>
    <row r="33" spans="1:9" ht="25.5" x14ac:dyDescent="0.2">
      <c r="A33" s="69">
        <v>24</v>
      </c>
      <c r="B33" s="90"/>
      <c r="C33" s="70" t="s">
        <v>58</v>
      </c>
      <c r="D33" s="76">
        <v>252</v>
      </c>
      <c r="E33" s="92" t="s">
        <v>83</v>
      </c>
      <c r="F33" s="93" t="s">
        <v>59</v>
      </c>
      <c r="G33" s="94">
        <v>200</v>
      </c>
      <c r="H33" s="95">
        <v>300</v>
      </c>
      <c r="I33" s="71">
        <f t="shared" si="0"/>
        <v>60000</v>
      </c>
    </row>
    <row r="34" spans="1:9" ht="25.5" x14ac:dyDescent="0.2">
      <c r="A34" s="69">
        <v>25</v>
      </c>
      <c r="B34" s="90"/>
      <c r="C34" s="70" t="s">
        <v>58</v>
      </c>
      <c r="D34" s="76">
        <v>252</v>
      </c>
      <c r="E34" s="96" t="s">
        <v>84</v>
      </c>
      <c r="F34" s="93" t="s">
        <v>59</v>
      </c>
      <c r="G34" s="94">
        <v>100</v>
      </c>
      <c r="H34" s="95">
        <v>111.1</v>
      </c>
      <c r="I34" s="71">
        <f t="shared" si="0"/>
        <v>11110</v>
      </c>
    </row>
    <row r="35" spans="1:9" ht="25.5" x14ac:dyDescent="0.2">
      <c r="A35" s="69">
        <v>26</v>
      </c>
      <c r="B35" s="90"/>
      <c r="C35" s="70" t="s">
        <v>58</v>
      </c>
      <c r="D35" s="76">
        <v>252</v>
      </c>
      <c r="E35" s="96" t="s">
        <v>85</v>
      </c>
      <c r="F35" s="93" t="s">
        <v>59</v>
      </c>
      <c r="G35" s="94">
        <v>300</v>
      </c>
      <c r="H35" s="95">
        <v>375.5</v>
      </c>
      <c r="I35" s="71">
        <f t="shared" si="0"/>
        <v>112650</v>
      </c>
    </row>
    <row r="36" spans="1:9" ht="25.5" x14ac:dyDescent="0.2">
      <c r="A36" s="69">
        <v>27</v>
      </c>
      <c r="B36" s="90"/>
      <c r="C36" s="70" t="s">
        <v>58</v>
      </c>
      <c r="D36" s="76">
        <v>252</v>
      </c>
      <c r="E36" s="97" t="s">
        <v>86</v>
      </c>
      <c r="F36" s="93" t="s">
        <v>59</v>
      </c>
      <c r="G36" s="94">
        <v>200</v>
      </c>
      <c r="H36" s="95">
        <v>73.2</v>
      </c>
      <c r="I36" s="71">
        <f t="shared" si="0"/>
        <v>14640</v>
      </c>
    </row>
    <row r="37" spans="1:9" ht="25.5" x14ac:dyDescent="0.2">
      <c r="A37" s="69">
        <v>28</v>
      </c>
      <c r="B37" s="90"/>
      <c r="C37" s="70" t="s">
        <v>58</v>
      </c>
      <c r="D37" s="76">
        <v>252</v>
      </c>
      <c r="E37" s="96" t="s">
        <v>87</v>
      </c>
      <c r="F37" s="93" t="s">
        <v>59</v>
      </c>
      <c r="G37" s="94">
        <v>10</v>
      </c>
      <c r="H37" s="95">
        <v>679</v>
      </c>
      <c r="I37" s="71">
        <f t="shared" si="0"/>
        <v>6790</v>
      </c>
    </row>
    <row r="38" spans="1:9" ht="25.5" x14ac:dyDescent="0.2">
      <c r="A38" s="69">
        <v>29</v>
      </c>
      <c r="B38" s="90"/>
      <c r="C38" s="70" t="s">
        <v>58</v>
      </c>
      <c r="D38" s="76">
        <v>252</v>
      </c>
      <c r="E38" s="96" t="s">
        <v>88</v>
      </c>
      <c r="F38" s="93" t="s">
        <v>59</v>
      </c>
      <c r="G38" s="94">
        <v>100</v>
      </c>
      <c r="H38" s="95">
        <v>83</v>
      </c>
      <c r="I38" s="71">
        <f t="shared" si="0"/>
        <v>8300</v>
      </c>
    </row>
    <row r="39" spans="1:9" ht="25.5" x14ac:dyDescent="0.2">
      <c r="A39" s="69">
        <v>30</v>
      </c>
      <c r="B39" s="90"/>
      <c r="C39" s="70" t="s">
        <v>58</v>
      </c>
      <c r="D39" s="76">
        <v>252</v>
      </c>
      <c r="E39" s="96" t="s">
        <v>89</v>
      </c>
      <c r="F39" s="93" t="s">
        <v>59</v>
      </c>
      <c r="G39" s="94">
        <v>200</v>
      </c>
      <c r="H39" s="95">
        <v>1.48</v>
      </c>
      <c r="I39" s="71">
        <f t="shared" si="0"/>
        <v>296</v>
      </c>
    </row>
    <row r="40" spans="1:9" ht="25.5" x14ac:dyDescent="0.2">
      <c r="A40" s="69">
        <v>31</v>
      </c>
      <c r="B40" s="90"/>
      <c r="C40" s="70" t="s">
        <v>58</v>
      </c>
      <c r="D40" s="76">
        <v>252</v>
      </c>
      <c r="E40" s="96" t="s">
        <v>90</v>
      </c>
      <c r="F40" s="93" t="s">
        <v>59</v>
      </c>
      <c r="G40" s="94">
        <v>200</v>
      </c>
      <c r="H40" s="95">
        <v>1.51</v>
      </c>
      <c r="I40" s="71">
        <f t="shared" si="0"/>
        <v>302</v>
      </c>
    </row>
    <row r="41" spans="1:9" ht="25.5" x14ac:dyDescent="0.2">
      <c r="A41" s="69">
        <v>32</v>
      </c>
      <c r="B41" s="90"/>
      <c r="C41" s="70" t="s">
        <v>58</v>
      </c>
      <c r="D41" s="76">
        <v>252</v>
      </c>
      <c r="E41" s="96" t="s">
        <v>91</v>
      </c>
      <c r="F41" s="93" t="s">
        <v>59</v>
      </c>
      <c r="G41" s="94">
        <v>200</v>
      </c>
      <c r="H41" s="95">
        <v>1.83</v>
      </c>
      <c r="I41" s="71">
        <f t="shared" si="0"/>
        <v>366</v>
      </c>
    </row>
    <row r="42" spans="1:9" ht="25.5" x14ac:dyDescent="0.2">
      <c r="A42" s="69">
        <v>33</v>
      </c>
      <c r="B42" s="90"/>
      <c r="C42" s="70" t="s">
        <v>58</v>
      </c>
      <c r="D42" s="76">
        <v>252</v>
      </c>
      <c r="E42" s="96" t="s">
        <v>92</v>
      </c>
      <c r="F42" s="93" t="s">
        <v>59</v>
      </c>
      <c r="G42" s="94">
        <v>600</v>
      </c>
      <c r="H42" s="95">
        <v>2.73</v>
      </c>
      <c r="I42" s="71">
        <f t="shared" si="0"/>
        <v>1638</v>
      </c>
    </row>
    <row r="43" spans="1:9" ht="25.5" x14ac:dyDescent="0.2">
      <c r="A43" s="69">
        <v>34</v>
      </c>
      <c r="B43" s="90"/>
      <c r="C43" s="70" t="s">
        <v>58</v>
      </c>
      <c r="D43" s="76">
        <v>252</v>
      </c>
      <c r="E43" s="96" t="s">
        <v>93</v>
      </c>
      <c r="F43" s="93" t="s">
        <v>59</v>
      </c>
      <c r="G43" s="94">
        <v>600</v>
      </c>
      <c r="H43" s="95">
        <v>7.8</v>
      </c>
      <c r="I43" s="71">
        <f t="shared" si="0"/>
        <v>4680</v>
      </c>
    </row>
    <row r="44" spans="1:9" ht="25.5" x14ac:dyDescent="0.2">
      <c r="A44" s="69">
        <v>35</v>
      </c>
      <c r="B44" s="90"/>
      <c r="C44" s="70" t="s">
        <v>58</v>
      </c>
      <c r="D44" s="76">
        <v>252</v>
      </c>
      <c r="E44" s="96" t="s">
        <v>94</v>
      </c>
      <c r="F44" s="93" t="s">
        <v>59</v>
      </c>
      <c r="G44" s="94">
        <v>200</v>
      </c>
      <c r="H44" s="95">
        <v>32.5</v>
      </c>
      <c r="I44" s="71">
        <f t="shared" si="0"/>
        <v>6500</v>
      </c>
    </row>
    <row r="45" spans="1:9" ht="25.5" x14ac:dyDescent="0.2">
      <c r="A45" s="69">
        <v>36</v>
      </c>
      <c r="B45" s="90"/>
      <c r="C45" s="70" t="s">
        <v>58</v>
      </c>
      <c r="D45" s="76">
        <v>252</v>
      </c>
      <c r="E45" s="96" t="s">
        <v>95</v>
      </c>
      <c r="F45" s="93" t="s">
        <v>59</v>
      </c>
      <c r="G45" s="94">
        <v>1000</v>
      </c>
      <c r="H45" s="95">
        <v>4.95</v>
      </c>
      <c r="I45" s="71">
        <f t="shared" si="0"/>
        <v>4950</v>
      </c>
    </row>
    <row r="46" spans="1:9" ht="25.5" x14ac:dyDescent="0.2">
      <c r="A46" s="69">
        <v>37</v>
      </c>
      <c r="B46" s="90"/>
      <c r="C46" s="70" t="s">
        <v>58</v>
      </c>
      <c r="D46" s="76">
        <v>252</v>
      </c>
      <c r="E46" s="96" t="s">
        <v>96</v>
      </c>
      <c r="F46" s="93" t="s">
        <v>59</v>
      </c>
      <c r="G46" s="94">
        <v>600</v>
      </c>
      <c r="H46" s="95">
        <v>4.99</v>
      </c>
      <c r="I46" s="71">
        <f t="shared" si="0"/>
        <v>2994</v>
      </c>
    </row>
    <row r="47" spans="1:9" ht="25.5" x14ac:dyDescent="0.2">
      <c r="A47" s="69">
        <v>38</v>
      </c>
      <c r="B47" s="90"/>
      <c r="C47" s="70" t="s">
        <v>58</v>
      </c>
      <c r="D47" s="76">
        <v>252</v>
      </c>
      <c r="E47" s="96" t="s">
        <v>97</v>
      </c>
      <c r="F47" s="93" t="s">
        <v>59</v>
      </c>
      <c r="G47" s="94">
        <v>2000</v>
      </c>
      <c r="H47" s="95">
        <v>738</v>
      </c>
      <c r="I47" s="71">
        <f t="shared" si="0"/>
        <v>1476000</v>
      </c>
    </row>
    <row r="48" spans="1:9" ht="25.5" x14ac:dyDescent="0.2">
      <c r="A48" s="69">
        <v>39</v>
      </c>
      <c r="B48" s="90"/>
      <c r="C48" s="70" t="s">
        <v>58</v>
      </c>
      <c r="D48" s="76">
        <v>252</v>
      </c>
      <c r="E48" s="98" t="s">
        <v>98</v>
      </c>
      <c r="F48" s="93" t="s">
        <v>59</v>
      </c>
      <c r="G48" s="94">
        <v>200</v>
      </c>
      <c r="H48" s="95">
        <v>35</v>
      </c>
      <c r="I48" s="71">
        <f t="shared" si="0"/>
        <v>7000</v>
      </c>
    </row>
    <row r="49" spans="1:9" ht="25.5" x14ac:dyDescent="0.2">
      <c r="A49" s="69">
        <v>40</v>
      </c>
      <c r="B49" s="90"/>
      <c r="C49" s="70" t="s">
        <v>58</v>
      </c>
      <c r="D49" s="76">
        <v>252</v>
      </c>
      <c r="E49" s="98" t="s">
        <v>99</v>
      </c>
      <c r="F49" s="93" t="s">
        <v>59</v>
      </c>
      <c r="G49" s="94">
        <v>600</v>
      </c>
      <c r="H49" s="95">
        <v>5.9</v>
      </c>
      <c r="I49" s="71">
        <f t="shared" si="0"/>
        <v>3540</v>
      </c>
    </row>
    <row r="50" spans="1:9" ht="25.5" x14ac:dyDescent="0.2">
      <c r="A50" s="69">
        <v>41</v>
      </c>
      <c r="B50" s="90"/>
      <c r="C50" s="70" t="s">
        <v>58</v>
      </c>
      <c r="D50" s="76">
        <v>252</v>
      </c>
      <c r="E50" s="98" t="s">
        <v>100</v>
      </c>
      <c r="F50" s="93" t="s">
        <v>59</v>
      </c>
      <c r="G50" s="94">
        <v>100</v>
      </c>
      <c r="H50" s="95">
        <v>28</v>
      </c>
      <c r="I50" s="71">
        <f t="shared" si="0"/>
        <v>2800</v>
      </c>
    </row>
    <row r="51" spans="1:9" ht="25.5" x14ac:dyDescent="0.2">
      <c r="A51" s="69">
        <v>42</v>
      </c>
      <c r="B51" s="90"/>
      <c r="C51" s="70" t="s">
        <v>58</v>
      </c>
      <c r="D51" s="76">
        <v>252</v>
      </c>
      <c r="E51" s="99" t="s">
        <v>101</v>
      </c>
      <c r="F51" s="93" t="s">
        <v>59</v>
      </c>
      <c r="G51" s="94">
        <v>100</v>
      </c>
      <c r="H51" s="95">
        <v>32.200000000000003</v>
      </c>
      <c r="I51" s="71">
        <f t="shared" si="0"/>
        <v>3220.0000000000005</v>
      </c>
    </row>
    <row r="52" spans="1:9" ht="25.5" x14ac:dyDescent="0.2">
      <c r="A52" s="69">
        <v>43</v>
      </c>
      <c r="B52" s="90"/>
      <c r="C52" s="70" t="s">
        <v>58</v>
      </c>
      <c r="D52" s="76">
        <v>252</v>
      </c>
      <c r="E52" s="92" t="s">
        <v>102</v>
      </c>
      <c r="F52" s="93" t="s">
        <v>59</v>
      </c>
      <c r="G52" s="94">
        <v>40</v>
      </c>
      <c r="H52" s="95">
        <v>76.5</v>
      </c>
      <c r="I52" s="71">
        <f t="shared" si="0"/>
        <v>3060</v>
      </c>
    </row>
    <row r="53" spans="1:9" ht="25.5" x14ac:dyDescent="0.2">
      <c r="A53" s="69">
        <v>44</v>
      </c>
      <c r="B53" s="90"/>
      <c r="C53" s="70" t="s">
        <v>58</v>
      </c>
      <c r="D53" s="76">
        <v>252</v>
      </c>
      <c r="E53" s="99" t="s">
        <v>103</v>
      </c>
      <c r="F53" s="93" t="s">
        <v>59</v>
      </c>
      <c r="G53" s="94">
        <v>200</v>
      </c>
      <c r="H53" s="95">
        <v>968.34</v>
      </c>
      <c r="I53" s="71">
        <f t="shared" si="0"/>
        <v>193668</v>
      </c>
    </row>
    <row r="54" spans="1:9" ht="25.5" x14ac:dyDescent="0.2">
      <c r="A54" s="69">
        <v>45</v>
      </c>
      <c r="B54" s="90"/>
      <c r="C54" s="70" t="s">
        <v>58</v>
      </c>
      <c r="D54" s="76">
        <v>252</v>
      </c>
      <c r="E54" s="99" t="s">
        <v>104</v>
      </c>
      <c r="F54" s="93" t="s">
        <v>59</v>
      </c>
      <c r="G54" s="94">
        <v>200</v>
      </c>
      <c r="H54" s="95">
        <v>400.14</v>
      </c>
      <c r="I54" s="71">
        <f t="shared" si="0"/>
        <v>80028</v>
      </c>
    </row>
    <row r="55" spans="1:9" ht="25.5" x14ac:dyDescent="0.2">
      <c r="A55" s="69">
        <v>46</v>
      </c>
      <c r="B55" s="90"/>
      <c r="C55" s="70" t="s">
        <v>58</v>
      </c>
      <c r="D55" s="76">
        <v>252</v>
      </c>
      <c r="E55" s="99" t="s">
        <v>105</v>
      </c>
      <c r="F55" s="93" t="s">
        <v>59</v>
      </c>
      <c r="G55" s="94">
        <v>300</v>
      </c>
      <c r="H55" s="95">
        <v>422</v>
      </c>
      <c r="I55" s="71">
        <f t="shared" si="0"/>
        <v>126600</v>
      </c>
    </row>
    <row r="56" spans="1:9" ht="25.5" x14ac:dyDescent="0.2">
      <c r="A56" s="69">
        <v>47</v>
      </c>
      <c r="B56" s="90"/>
      <c r="C56" s="70" t="s">
        <v>58</v>
      </c>
      <c r="D56" s="76">
        <v>252</v>
      </c>
      <c r="E56" s="99" t="s">
        <v>106</v>
      </c>
      <c r="F56" s="93" t="s">
        <v>59</v>
      </c>
      <c r="G56" s="94">
        <v>300</v>
      </c>
      <c r="H56" s="95">
        <v>631</v>
      </c>
      <c r="I56" s="71">
        <f t="shared" si="0"/>
        <v>189300</v>
      </c>
    </row>
    <row r="57" spans="1:9" ht="25.5" x14ac:dyDescent="0.2">
      <c r="A57" s="69">
        <v>48</v>
      </c>
      <c r="B57" s="90"/>
      <c r="C57" s="70" t="s">
        <v>58</v>
      </c>
      <c r="D57" s="76">
        <v>252</v>
      </c>
      <c r="E57" s="99" t="s">
        <v>107</v>
      </c>
      <c r="F57" s="93" t="s">
        <v>59</v>
      </c>
      <c r="G57" s="94">
        <v>200</v>
      </c>
      <c r="H57" s="95">
        <v>422</v>
      </c>
      <c r="I57" s="71">
        <f t="shared" si="0"/>
        <v>84400</v>
      </c>
    </row>
    <row r="58" spans="1:9" ht="25.5" x14ac:dyDescent="0.2">
      <c r="A58" s="69">
        <v>49</v>
      </c>
      <c r="B58" s="90"/>
      <c r="C58" s="70" t="s">
        <v>58</v>
      </c>
      <c r="D58" s="76">
        <v>252</v>
      </c>
      <c r="E58" s="96" t="s">
        <v>108</v>
      </c>
      <c r="F58" s="93" t="s">
        <v>59</v>
      </c>
      <c r="G58" s="94">
        <v>4000</v>
      </c>
      <c r="H58" s="95">
        <v>139.32</v>
      </c>
      <c r="I58" s="71">
        <f t="shared" si="0"/>
        <v>557280</v>
      </c>
    </row>
    <row r="59" spans="1:9" ht="25.5" x14ac:dyDescent="0.2">
      <c r="A59" s="69">
        <v>50</v>
      </c>
      <c r="B59" s="90"/>
      <c r="C59" s="70" t="s">
        <v>58</v>
      </c>
      <c r="D59" s="76">
        <v>252</v>
      </c>
      <c r="E59" s="96" t="s">
        <v>109</v>
      </c>
      <c r="F59" s="93" t="s">
        <v>59</v>
      </c>
      <c r="G59" s="94">
        <v>500</v>
      </c>
      <c r="H59" s="95">
        <v>120</v>
      </c>
      <c r="I59" s="71">
        <f t="shared" si="0"/>
        <v>60000</v>
      </c>
    </row>
    <row r="60" spans="1:9" ht="25.5" x14ac:dyDescent="0.2">
      <c r="A60" s="69">
        <v>51</v>
      </c>
      <c r="B60" s="90"/>
      <c r="C60" s="70" t="s">
        <v>58</v>
      </c>
      <c r="D60" s="76">
        <v>252</v>
      </c>
      <c r="E60" s="96" t="s">
        <v>110</v>
      </c>
      <c r="F60" s="93" t="s">
        <v>59</v>
      </c>
      <c r="G60" s="94">
        <v>100</v>
      </c>
      <c r="H60" s="95">
        <v>25.33</v>
      </c>
      <c r="I60" s="71">
        <f t="shared" si="0"/>
        <v>2533</v>
      </c>
    </row>
    <row r="61" spans="1:9" ht="25.5" x14ac:dyDescent="0.2">
      <c r="A61" s="69">
        <v>52</v>
      </c>
      <c r="B61" s="90"/>
      <c r="C61" s="70" t="s">
        <v>58</v>
      </c>
      <c r="D61" s="76">
        <v>252</v>
      </c>
      <c r="E61" s="96" t="s">
        <v>111</v>
      </c>
      <c r="F61" s="93" t="s">
        <v>59</v>
      </c>
      <c r="G61" s="94">
        <v>20</v>
      </c>
      <c r="H61" s="95">
        <v>606</v>
      </c>
      <c r="I61" s="71">
        <f t="shared" si="0"/>
        <v>12120</v>
      </c>
    </row>
    <row r="62" spans="1:9" ht="25.5" x14ac:dyDescent="0.2">
      <c r="A62" s="69">
        <v>53</v>
      </c>
      <c r="B62" s="90"/>
      <c r="C62" s="70" t="s">
        <v>58</v>
      </c>
      <c r="D62" s="76">
        <v>252</v>
      </c>
      <c r="E62" s="96" t="s">
        <v>112</v>
      </c>
      <c r="F62" s="93" t="s">
        <v>59</v>
      </c>
      <c r="G62" s="94">
        <v>300</v>
      </c>
      <c r="H62" s="95">
        <v>94.91</v>
      </c>
      <c r="I62" s="71">
        <f t="shared" si="0"/>
        <v>28473</v>
      </c>
    </row>
    <row r="63" spans="1:9" ht="25.5" x14ac:dyDescent="0.2">
      <c r="A63" s="69">
        <v>54</v>
      </c>
      <c r="B63" s="90"/>
      <c r="C63" s="70" t="s">
        <v>58</v>
      </c>
      <c r="D63" s="76">
        <v>252</v>
      </c>
      <c r="E63" s="96" t="s">
        <v>113</v>
      </c>
      <c r="F63" s="93" t="s">
        <v>59</v>
      </c>
      <c r="G63" s="94">
        <v>300</v>
      </c>
      <c r="H63" s="95">
        <v>138.46</v>
      </c>
      <c r="I63" s="71">
        <f t="shared" si="0"/>
        <v>41538</v>
      </c>
    </row>
    <row r="64" spans="1:9" ht="25.5" x14ac:dyDescent="0.2">
      <c r="A64" s="69">
        <v>55</v>
      </c>
      <c r="B64" s="90"/>
      <c r="C64" s="70" t="s">
        <v>58</v>
      </c>
      <c r="D64" s="76">
        <v>252</v>
      </c>
      <c r="E64" s="96" t="s">
        <v>114</v>
      </c>
      <c r="F64" s="93" t="s">
        <v>59</v>
      </c>
      <c r="G64" s="94">
        <v>40</v>
      </c>
      <c r="H64" s="95">
        <v>880.74</v>
      </c>
      <c r="I64" s="71">
        <f t="shared" si="0"/>
        <v>35229.599999999999</v>
      </c>
    </row>
    <row r="65" spans="1:9" ht="25.5" x14ac:dyDescent="0.2">
      <c r="A65" s="69">
        <v>56</v>
      </c>
      <c r="B65" s="90"/>
      <c r="C65" s="70" t="s">
        <v>58</v>
      </c>
      <c r="D65" s="76">
        <v>252</v>
      </c>
      <c r="E65" s="96" t="s">
        <v>115</v>
      </c>
      <c r="F65" s="93" t="s">
        <v>59</v>
      </c>
      <c r="G65" s="94">
        <v>40</v>
      </c>
      <c r="H65" s="95">
        <v>500</v>
      </c>
      <c r="I65" s="71">
        <f t="shared" si="0"/>
        <v>20000</v>
      </c>
    </row>
    <row r="66" spans="1:9" ht="25.5" x14ac:dyDescent="0.2">
      <c r="A66" s="69">
        <v>57</v>
      </c>
      <c r="B66" s="90"/>
      <c r="C66" s="70" t="s">
        <v>58</v>
      </c>
      <c r="D66" s="76">
        <v>252</v>
      </c>
      <c r="E66" s="96" t="s">
        <v>116</v>
      </c>
      <c r="F66" s="93" t="s">
        <v>59</v>
      </c>
      <c r="G66" s="94">
        <v>10</v>
      </c>
      <c r="H66" s="95">
        <v>365.47</v>
      </c>
      <c r="I66" s="71">
        <f t="shared" si="0"/>
        <v>3654.7000000000003</v>
      </c>
    </row>
    <row r="67" spans="1:9" ht="25.5" x14ac:dyDescent="0.2">
      <c r="A67" s="69">
        <v>58</v>
      </c>
      <c r="B67" s="90"/>
      <c r="C67" s="70" t="s">
        <v>58</v>
      </c>
      <c r="D67" s="76">
        <v>252</v>
      </c>
      <c r="E67" s="96" t="s">
        <v>117</v>
      </c>
      <c r="F67" s="93" t="s">
        <v>59</v>
      </c>
      <c r="G67" s="94">
        <v>10</v>
      </c>
      <c r="H67" s="95">
        <v>467.99</v>
      </c>
      <c r="I67" s="71">
        <f t="shared" si="0"/>
        <v>4679.8999999999996</v>
      </c>
    </row>
    <row r="68" spans="1:9" ht="25.5" x14ac:dyDescent="0.2">
      <c r="A68" s="69">
        <v>59</v>
      </c>
      <c r="B68" s="90"/>
      <c r="C68" s="70" t="s">
        <v>58</v>
      </c>
      <c r="D68" s="76">
        <v>252</v>
      </c>
      <c r="E68" s="96" t="s">
        <v>118</v>
      </c>
      <c r="F68" s="93" t="s">
        <v>59</v>
      </c>
      <c r="G68" s="94">
        <v>20</v>
      </c>
      <c r="H68" s="95">
        <v>1088.3900000000001</v>
      </c>
      <c r="I68" s="71">
        <f t="shared" si="0"/>
        <v>21767.800000000003</v>
      </c>
    </row>
    <row r="69" spans="1:9" ht="25.5" x14ac:dyDescent="0.2">
      <c r="A69" s="69">
        <v>60</v>
      </c>
      <c r="B69" s="90"/>
      <c r="C69" s="70" t="s">
        <v>58</v>
      </c>
      <c r="D69" s="76">
        <v>252</v>
      </c>
      <c r="E69" s="96" t="s">
        <v>119</v>
      </c>
      <c r="F69" s="93" t="s">
        <v>59</v>
      </c>
      <c r="G69" s="94">
        <v>20</v>
      </c>
      <c r="H69" s="95">
        <v>583.44000000000005</v>
      </c>
      <c r="I69" s="71">
        <f t="shared" si="0"/>
        <v>11668.800000000001</v>
      </c>
    </row>
    <row r="70" spans="1:9" ht="25.5" x14ac:dyDescent="0.2">
      <c r="A70" s="69">
        <v>61</v>
      </c>
      <c r="B70" s="90"/>
      <c r="C70" s="70" t="s">
        <v>58</v>
      </c>
      <c r="D70" s="76">
        <v>252</v>
      </c>
      <c r="E70" s="96" t="s">
        <v>120</v>
      </c>
      <c r="F70" s="93" t="s">
        <v>59</v>
      </c>
      <c r="G70" s="94">
        <v>50</v>
      </c>
      <c r="H70" s="95">
        <v>506.62</v>
      </c>
      <c r="I70" s="71">
        <f t="shared" si="0"/>
        <v>25331</v>
      </c>
    </row>
    <row r="71" spans="1:9" ht="25.5" x14ac:dyDescent="0.2">
      <c r="A71" s="69">
        <v>62</v>
      </c>
      <c r="B71" s="90"/>
      <c r="C71" s="70" t="s">
        <v>58</v>
      </c>
      <c r="D71" s="76">
        <v>252</v>
      </c>
      <c r="E71" s="96" t="s">
        <v>121</v>
      </c>
      <c r="F71" s="93" t="s">
        <v>59</v>
      </c>
      <c r="G71" s="94">
        <v>30</v>
      </c>
      <c r="H71" s="95">
        <v>291.95</v>
      </c>
      <c r="I71" s="71">
        <f t="shared" si="0"/>
        <v>8758.5</v>
      </c>
    </row>
    <row r="72" spans="1:9" ht="25.5" x14ac:dyDescent="0.2">
      <c r="A72" s="69">
        <v>63</v>
      </c>
      <c r="B72" s="90"/>
      <c r="C72" s="70" t="s">
        <v>58</v>
      </c>
      <c r="D72" s="76">
        <v>252</v>
      </c>
      <c r="E72" s="99" t="s">
        <v>122</v>
      </c>
      <c r="F72" s="93" t="s">
        <v>59</v>
      </c>
      <c r="G72" s="94">
        <v>150</v>
      </c>
      <c r="H72" s="95">
        <v>213</v>
      </c>
      <c r="I72" s="71">
        <f t="shared" si="0"/>
        <v>31950</v>
      </c>
    </row>
    <row r="73" spans="1:9" ht="25.5" x14ac:dyDescent="0.2">
      <c r="A73" s="69">
        <v>64</v>
      </c>
      <c r="B73" s="90"/>
      <c r="C73" s="70" t="s">
        <v>58</v>
      </c>
      <c r="D73" s="76">
        <v>252</v>
      </c>
      <c r="E73" s="99" t="s">
        <v>123</v>
      </c>
      <c r="F73" s="93" t="s">
        <v>59</v>
      </c>
      <c r="G73" s="94">
        <v>100</v>
      </c>
      <c r="H73" s="95">
        <v>506.35</v>
      </c>
      <c r="I73" s="71">
        <f t="shared" si="0"/>
        <v>50635</v>
      </c>
    </row>
    <row r="74" spans="1:9" ht="26.25" thickBot="1" x14ac:dyDescent="0.25">
      <c r="A74" s="100">
        <v>65</v>
      </c>
      <c r="B74" s="72"/>
      <c r="C74" s="73" t="s">
        <v>58</v>
      </c>
      <c r="D74" s="74">
        <v>252</v>
      </c>
      <c r="E74" s="101" t="s">
        <v>124</v>
      </c>
      <c r="F74" s="102" t="s">
        <v>59</v>
      </c>
      <c r="G74" s="103">
        <v>200</v>
      </c>
      <c r="H74" s="104">
        <v>160</v>
      </c>
      <c r="I74" s="75">
        <f t="shared" si="0"/>
        <v>32000</v>
      </c>
    </row>
    <row r="75" spans="1:9" x14ac:dyDescent="0.2">
      <c r="I75" s="34"/>
    </row>
    <row r="76" spans="1:9" ht="13.5" thickBot="1" x14ac:dyDescent="0.25">
      <c r="I76" s="34"/>
    </row>
    <row r="77" spans="1:9" x14ac:dyDescent="0.2">
      <c r="B77" s="153" t="s">
        <v>130</v>
      </c>
      <c r="C77" s="29"/>
      <c r="D77" s="29"/>
      <c r="E77" s="30"/>
      <c r="F77" s="154"/>
      <c r="G77" s="55"/>
      <c r="H77" s="26"/>
    </row>
    <row r="78" spans="1:9" ht="12.75" customHeight="1" x14ac:dyDescent="0.2">
      <c r="B78" s="155" t="s">
        <v>131</v>
      </c>
      <c r="C78" s="156"/>
      <c r="D78" s="156"/>
      <c r="E78" s="157"/>
      <c r="F78" s="154"/>
      <c r="G78" s="55"/>
      <c r="H78" s="26"/>
    </row>
    <row r="79" spans="1:9" ht="57.75" customHeight="1" x14ac:dyDescent="0.2">
      <c r="B79" s="155"/>
      <c r="C79" s="156"/>
      <c r="D79" s="156"/>
      <c r="E79" s="157"/>
      <c r="F79" s="154"/>
      <c r="G79" s="55"/>
      <c r="H79" s="26"/>
    </row>
    <row r="80" spans="1:9" x14ac:dyDescent="0.2">
      <c r="B80" s="155" t="s">
        <v>132</v>
      </c>
      <c r="C80" s="156"/>
      <c r="D80" s="156"/>
      <c r="E80" s="157"/>
      <c r="F80" s="154"/>
      <c r="G80" s="55"/>
      <c r="H80" s="26"/>
    </row>
    <row r="81" spans="2:8" x14ac:dyDescent="0.2">
      <c r="B81" s="155" t="s">
        <v>133</v>
      </c>
      <c r="C81" s="156"/>
      <c r="D81" s="156"/>
      <c r="E81" s="157"/>
      <c r="F81" s="154"/>
      <c r="G81" s="55"/>
      <c r="H81" s="26"/>
    </row>
    <row r="82" spans="2:8" x14ac:dyDescent="0.2">
      <c r="B82" s="158" t="s">
        <v>134</v>
      </c>
      <c r="C82" s="159"/>
      <c r="D82" s="160"/>
      <c r="E82" s="161"/>
      <c r="F82" s="154"/>
      <c r="G82" s="55"/>
      <c r="H82" s="26"/>
    </row>
    <row r="83" spans="2:8" x14ac:dyDescent="0.2">
      <c r="B83" s="66"/>
      <c r="C83" s="162" t="s">
        <v>135</v>
      </c>
      <c r="D83" s="162"/>
      <c r="E83" s="162"/>
      <c r="F83" s="154"/>
      <c r="G83" s="55"/>
      <c r="H83" s="26"/>
    </row>
    <row r="84" spans="2:8" ht="13.5" thickBot="1" x14ac:dyDescent="0.25">
      <c r="B84" s="31"/>
      <c r="C84" s="32"/>
      <c r="D84" s="32"/>
      <c r="E84" s="33"/>
      <c r="F84" s="154"/>
      <c r="G84" s="55"/>
      <c r="H84" s="26"/>
    </row>
    <row r="87" spans="2:8" x14ac:dyDescent="0.2">
      <c r="E87" s="26" t="s">
        <v>55</v>
      </c>
    </row>
  </sheetData>
  <autoFilter ref="A9:I74"/>
  <mergeCells count="11">
    <mergeCell ref="A6:B6"/>
    <mergeCell ref="A7:B7"/>
    <mergeCell ref="B2:H2"/>
    <mergeCell ref="A4:B4"/>
    <mergeCell ref="C4:E4"/>
    <mergeCell ref="A5:B5"/>
    <mergeCell ref="C5:E5"/>
    <mergeCell ref="B78:E79"/>
    <mergeCell ref="B80:E80"/>
    <mergeCell ref="B81:E81"/>
    <mergeCell ref="C83:E83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77"/>
  <sheetViews>
    <sheetView zoomScale="80" zoomScaleNormal="80" workbookViewId="0">
      <selection activeCell="C14" sqref="C14:G14"/>
    </sheetView>
  </sheetViews>
  <sheetFormatPr baseColWidth="10" defaultColWidth="9.140625" defaultRowHeight="12.75" x14ac:dyDescent="0.2"/>
  <cols>
    <col min="1" max="1" width="5.5703125" style="37" customWidth="1"/>
    <col min="2" max="2" width="15.140625" style="37" customWidth="1"/>
    <col min="3" max="3" width="14.140625" style="37" customWidth="1"/>
    <col min="4" max="4" width="26" style="37" customWidth="1"/>
    <col min="5" max="5" width="8" style="37" customWidth="1"/>
    <col min="6" max="6" width="7.85546875" style="37" customWidth="1"/>
    <col min="7" max="7" width="48.5703125" style="37" customWidth="1"/>
    <col min="8" max="8" width="9.28515625" style="37" customWidth="1"/>
    <col min="9" max="9" width="15.5703125" style="37" customWidth="1"/>
    <col min="10" max="10" width="14.7109375" style="37" customWidth="1"/>
    <col min="11" max="11" width="15.5703125" style="37" customWidth="1"/>
    <col min="12" max="13" width="5.85546875" style="37" customWidth="1"/>
    <col min="14" max="14" width="14.140625" style="37" customWidth="1"/>
    <col min="15" max="15" width="12.5703125" style="37" customWidth="1"/>
    <col min="16" max="1024" width="9.140625" style="37"/>
    <col min="1025" max="16384" width="9.140625" style="38"/>
  </cols>
  <sheetData>
    <row r="1" spans="1:11" ht="18" customHeight="1" x14ac:dyDescent="0.2">
      <c r="A1" s="109" t="s">
        <v>14</v>
      </c>
      <c r="B1" s="109"/>
      <c r="C1" s="109"/>
      <c r="D1" s="109"/>
      <c r="E1" s="109"/>
      <c r="F1" s="109"/>
      <c r="G1" s="109"/>
      <c r="H1" s="109"/>
      <c r="I1" s="109"/>
      <c r="J1" s="35" t="s">
        <v>15</v>
      </c>
      <c r="K1" s="36" t="s">
        <v>125</v>
      </c>
    </row>
    <row r="2" spans="1:11" ht="18.75" customHeight="1" thickBot="1" x14ac:dyDescent="0.25">
      <c r="A2" s="39"/>
      <c r="B2" s="39"/>
      <c r="C2" s="39"/>
      <c r="D2" s="40"/>
      <c r="E2" s="40"/>
      <c r="F2" s="40"/>
      <c r="G2" s="40"/>
      <c r="H2" s="40"/>
      <c r="I2" s="40"/>
      <c r="J2" s="40"/>
      <c r="K2" s="40"/>
    </row>
    <row r="3" spans="1:11" ht="18.75" customHeight="1" thickBot="1" x14ac:dyDescent="0.25">
      <c r="A3" s="110" t="s">
        <v>48</v>
      </c>
      <c r="B3" s="110"/>
      <c r="C3" s="110"/>
      <c r="D3" s="111" t="str">
        <f>'Necesidades Trimestrales'!C4</f>
        <v>040 - Ministerio de Salud</v>
      </c>
      <c r="E3" s="111"/>
      <c r="F3" s="111"/>
      <c r="G3" s="111"/>
      <c r="H3" s="111"/>
      <c r="I3" s="111"/>
      <c r="J3" s="111"/>
      <c r="K3" s="111"/>
    </row>
    <row r="4" spans="1:11" ht="18.75" customHeight="1" thickBot="1" x14ac:dyDescent="0.25">
      <c r="A4" s="112" t="s">
        <v>49</v>
      </c>
      <c r="B4" s="112"/>
      <c r="C4" s="112"/>
      <c r="D4" s="111" t="str">
        <f>'Necesidades Trimestrales'!C5</f>
        <v>024 - Hospital Interzonal de Niños</v>
      </c>
      <c r="E4" s="111"/>
      <c r="F4" s="111"/>
      <c r="G4" s="111"/>
      <c r="H4" s="111"/>
      <c r="I4" s="111"/>
      <c r="J4" s="111"/>
      <c r="K4" s="111"/>
    </row>
    <row r="5" spans="1:11" ht="18.75" customHeight="1" thickBot="1" x14ac:dyDescent="0.25">
      <c r="A5" s="112" t="s">
        <v>27</v>
      </c>
      <c r="B5" s="112"/>
      <c r="C5" s="112"/>
      <c r="D5" s="111" t="s">
        <v>51</v>
      </c>
      <c r="E5" s="111"/>
      <c r="F5" s="111"/>
      <c r="G5" s="111"/>
      <c r="H5" s="111"/>
      <c r="I5" s="111"/>
      <c r="J5" s="111"/>
      <c r="K5" s="111"/>
    </row>
    <row r="6" spans="1:11" ht="16.5" customHeight="1" thickBot="1" x14ac:dyDescent="0.25">
      <c r="A6" s="110" t="s">
        <v>50</v>
      </c>
      <c r="B6" s="110"/>
      <c r="C6" s="110"/>
      <c r="D6" s="111" t="s">
        <v>57</v>
      </c>
      <c r="E6" s="111"/>
      <c r="F6" s="111"/>
      <c r="G6" s="111"/>
      <c r="H6" s="111"/>
      <c r="I6" s="111"/>
      <c r="J6" s="111"/>
      <c r="K6" s="111"/>
    </row>
    <row r="7" spans="1:11" ht="16.5" customHeight="1" x14ac:dyDescent="0.2">
      <c r="A7" s="112" t="s">
        <v>16</v>
      </c>
      <c r="B7" s="112"/>
      <c r="C7" s="112"/>
      <c r="D7" s="111" t="str">
        <f>'Necesidades Trimestrales'!C7 &amp; "° Trimestre - Año " &amp; 'Necesidades Trimestrales'!C6</f>
        <v>2° Trimestre - Año 2021</v>
      </c>
      <c r="E7" s="111"/>
      <c r="F7" s="111"/>
      <c r="G7" s="111"/>
      <c r="H7" s="111"/>
      <c r="I7" s="111"/>
      <c r="J7" s="111"/>
      <c r="K7" s="111"/>
    </row>
    <row r="8" spans="1:11" ht="16.5" customHeight="1" x14ac:dyDescent="0.2">
      <c r="A8" s="113" t="s">
        <v>17</v>
      </c>
      <c r="B8" s="113"/>
      <c r="C8" s="113"/>
      <c r="D8" s="114" t="s">
        <v>128</v>
      </c>
      <c r="E8" s="114"/>
      <c r="F8" s="114"/>
      <c r="G8" s="114"/>
      <c r="H8" s="114"/>
      <c r="I8" s="114"/>
      <c r="J8" s="114"/>
      <c r="K8" s="114"/>
    </row>
    <row r="9" spans="1:11" ht="15.75" x14ac:dyDescent="0.2">
      <c r="A9" s="41"/>
      <c r="B9" s="41"/>
      <c r="C9" s="41"/>
      <c r="D9" s="42"/>
      <c r="E9" s="42"/>
      <c r="F9" s="42"/>
      <c r="G9" s="42"/>
      <c r="H9" s="42"/>
      <c r="I9" s="42"/>
      <c r="J9" s="42"/>
      <c r="K9" s="42"/>
    </row>
    <row r="10" spans="1:11" ht="18.75" customHeight="1" x14ac:dyDescent="0.2">
      <c r="A10" s="115" t="s">
        <v>18</v>
      </c>
      <c r="B10" s="116" t="s">
        <v>19</v>
      </c>
      <c r="C10" s="116" t="s">
        <v>20</v>
      </c>
      <c r="D10" s="116"/>
      <c r="E10" s="116"/>
      <c r="F10" s="116"/>
      <c r="G10" s="116"/>
      <c r="H10" s="116" t="s">
        <v>21</v>
      </c>
      <c r="I10" s="116" t="s">
        <v>22</v>
      </c>
      <c r="J10" s="116" t="s">
        <v>23</v>
      </c>
      <c r="K10" s="117" t="s">
        <v>24</v>
      </c>
    </row>
    <row r="11" spans="1:11" ht="24" customHeight="1" thickBot="1" x14ac:dyDescent="0.25">
      <c r="A11" s="115"/>
      <c r="B11" s="116"/>
      <c r="C11" s="116"/>
      <c r="D11" s="116"/>
      <c r="E11" s="116"/>
      <c r="F11" s="116"/>
      <c r="G11" s="116"/>
      <c r="H11" s="116"/>
      <c r="I11" s="116"/>
      <c r="J11" s="116"/>
      <c r="K11" s="117"/>
    </row>
    <row r="12" spans="1:11" ht="27.75" customHeight="1" x14ac:dyDescent="0.2">
      <c r="A12" s="45">
        <v>1</v>
      </c>
      <c r="B12" s="46"/>
      <c r="C12" s="119" t="str">
        <f>'Necesidades Trimestrales'!E10</f>
        <v>FENITOINA AMPOLLAS</v>
      </c>
      <c r="D12" s="119"/>
      <c r="E12" s="119"/>
      <c r="F12" s="119"/>
      <c r="G12" s="119"/>
      <c r="H12" s="47" t="s">
        <v>54</v>
      </c>
      <c r="I12" s="48" t="str">
        <f>'Necesidades Trimestrales'!F10</f>
        <v>unidad</v>
      </c>
      <c r="J12" s="49">
        <f>'Necesidades Trimestrales'!H10</f>
        <v>185</v>
      </c>
      <c r="K12" s="50">
        <f>'Necesidades Trimestrales'!G10</f>
        <v>600</v>
      </c>
    </row>
    <row r="13" spans="1:11" ht="27.75" customHeight="1" x14ac:dyDescent="0.2">
      <c r="A13" s="77">
        <v>2</v>
      </c>
      <c r="B13" s="78"/>
      <c r="C13" s="120" t="str">
        <f>'Necesidades Trimestrales'!E11</f>
        <v xml:space="preserve">FENOBARBITAL 15 MG COMPRIMIDO </v>
      </c>
      <c r="D13" s="120"/>
      <c r="E13" s="120"/>
      <c r="F13" s="120"/>
      <c r="G13" s="120"/>
      <c r="H13" s="81" t="s">
        <v>54</v>
      </c>
      <c r="I13" s="82" t="str">
        <f>'Necesidades Trimestrales'!F11</f>
        <v>unidad</v>
      </c>
      <c r="J13" s="80">
        <f>'Necesidades Trimestrales'!H11</f>
        <v>10.4</v>
      </c>
      <c r="K13" s="79">
        <f>'Necesidades Trimestrales'!G11</f>
        <v>1000</v>
      </c>
    </row>
    <row r="14" spans="1:11" ht="27.75" customHeight="1" x14ac:dyDescent="0.2">
      <c r="A14" s="77">
        <v>3</v>
      </c>
      <c r="B14" s="78"/>
      <c r="C14" s="108" t="str">
        <f>'Necesidades Trimestrales'!E12</f>
        <v>FENOBARBITAL 200MG AMPOLLAS</v>
      </c>
      <c r="D14" s="108"/>
      <c r="E14" s="108"/>
      <c r="F14" s="108"/>
      <c r="G14" s="108"/>
      <c r="H14" s="81" t="s">
        <v>54</v>
      </c>
      <c r="I14" s="82" t="str">
        <f>'Necesidades Trimestrales'!F12</f>
        <v>unidad</v>
      </c>
      <c r="J14" s="80">
        <f>'Necesidades Trimestrales'!H12</f>
        <v>456.15</v>
      </c>
      <c r="K14" s="79">
        <f>'Necesidades Trimestrales'!G12</f>
        <v>1500</v>
      </c>
    </row>
    <row r="15" spans="1:11" ht="27.75" customHeight="1" x14ac:dyDescent="0.2">
      <c r="A15" s="77">
        <v>4</v>
      </c>
      <c r="B15" s="78"/>
      <c r="C15" s="108" t="str">
        <f>'Necesidades Trimestrales'!E13</f>
        <v>FENOBARBITAL 100MG COMPRIMIDO</v>
      </c>
      <c r="D15" s="108"/>
      <c r="E15" s="108"/>
      <c r="F15" s="108"/>
      <c r="G15" s="108"/>
      <c r="H15" s="81" t="s">
        <v>54</v>
      </c>
      <c r="I15" s="82" t="str">
        <f>'Necesidades Trimestrales'!F13</f>
        <v>unidad</v>
      </c>
      <c r="J15" s="80">
        <f>'Necesidades Trimestrales'!H13</f>
        <v>13.66</v>
      </c>
      <c r="K15" s="79">
        <f>'Necesidades Trimestrales'!G13</f>
        <v>400</v>
      </c>
    </row>
    <row r="16" spans="1:11" ht="27.75" customHeight="1" x14ac:dyDescent="0.2">
      <c r="A16" s="77">
        <v>5</v>
      </c>
      <c r="B16" s="78"/>
      <c r="C16" s="108" t="str">
        <f>'Necesidades Trimestrales'!E14</f>
        <v>FENITOINA SUSPENSION X 120ML</v>
      </c>
      <c r="D16" s="108"/>
      <c r="E16" s="108"/>
      <c r="F16" s="108"/>
      <c r="G16" s="108"/>
      <c r="H16" s="81" t="s">
        <v>54</v>
      </c>
      <c r="I16" s="82" t="str">
        <f>'Necesidades Trimestrales'!F14</f>
        <v>unidad</v>
      </c>
      <c r="J16" s="80">
        <f>'Necesidades Trimestrales'!H14</f>
        <v>824</v>
      </c>
      <c r="K16" s="79">
        <f>'Necesidades Trimestrales'!G14</f>
        <v>20</v>
      </c>
    </row>
    <row r="17" spans="1:11" ht="27.75" customHeight="1" x14ac:dyDescent="0.2">
      <c r="A17" s="77">
        <v>6</v>
      </c>
      <c r="B17" s="78"/>
      <c r="C17" s="108" t="str">
        <f>'Necesidades Trimestrales'!E15</f>
        <v>CLONAZEPAM  2,5 MG/ML X 20 ML</v>
      </c>
      <c r="D17" s="108"/>
      <c r="E17" s="108"/>
      <c r="F17" s="108"/>
      <c r="G17" s="108"/>
      <c r="H17" s="81" t="s">
        <v>54</v>
      </c>
      <c r="I17" s="82" t="str">
        <f>'Necesidades Trimestrales'!F15</f>
        <v>unidad</v>
      </c>
      <c r="J17" s="80">
        <f>'Necesidades Trimestrales'!H15</f>
        <v>245</v>
      </c>
      <c r="K17" s="79">
        <f>'Necesidades Trimestrales'!G15</f>
        <v>10</v>
      </c>
    </row>
    <row r="18" spans="1:11" ht="27.75" customHeight="1" x14ac:dyDescent="0.2">
      <c r="A18" s="77">
        <v>7</v>
      </c>
      <c r="B18" s="78"/>
      <c r="C18" s="108" t="str">
        <f>'Necesidades Trimestrales'!E16</f>
        <v>CLONAZEPAM 0,5 MG COMPRIMIDOS</v>
      </c>
      <c r="D18" s="108"/>
      <c r="E18" s="108"/>
      <c r="F18" s="108"/>
      <c r="G18" s="108"/>
      <c r="H18" s="81" t="s">
        <v>54</v>
      </c>
      <c r="I18" s="82" t="str">
        <f>'Necesidades Trimestrales'!F16</f>
        <v>unidad</v>
      </c>
      <c r="J18" s="80">
        <f>'Necesidades Trimestrales'!H16</f>
        <v>1.25</v>
      </c>
      <c r="K18" s="79">
        <f>'Necesidades Trimestrales'!G16</f>
        <v>600</v>
      </c>
    </row>
    <row r="19" spans="1:11" ht="27.75" customHeight="1" x14ac:dyDescent="0.2">
      <c r="A19" s="77">
        <v>8</v>
      </c>
      <c r="B19" s="78"/>
      <c r="C19" s="108" t="str">
        <f>'Necesidades Trimestrales'!E17</f>
        <v>CLONAZEPAM 2 MG COMPRIMIDOS</v>
      </c>
      <c r="D19" s="108"/>
      <c r="E19" s="108"/>
      <c r="F19" s="108"/>
      <c r="G19" s="108"/>
      <c r="H19" s="81" t="s">
        <v>54</v>
      </c>
      <c r="I19" s="82" t="str">
        <f>'Necesidades Trimestrales'!F17</f>
        <v>unidad</v>
      </c>
      <c r="J19" s="80">
        <f>'Necesidades Trimestrales'!H17</f>
        <v>3.5</v>
      </c>
      <c r="K19" s="79">
        <f>'Necesidades Trimestrales'!G17</f>
        <v>600</v>
      </c>
    </row>
    <row r="20" spans="1:11" ht="27.75" customHeight="1" x14ac:dyDescent="0.2">
      <c r="A20" s="77">
        <v>9</v>
      </c>
      <c r="B20" s="78"/>
      <c r="C20" s="108" t="str">
        <f>'Necesidades Trimestrales'!E18</f>
        <v>LORAZEPAM 1MG SUBLINGUAL COMPRIMIDO</v>
      </c>
      <c r="D20" s="108"/>
      <c r="E20" s="108"/>
      <c r="F20" s="108"/>
      <c r="G20" s="108"/>
      <c r="H20" s="81" t="s">
        <v>54</v>
      </c>
      <c r="I20" s="82" t="str">
        <f>'Necesidades Trimestrales'!F18</f>
        <v>unidad</v>
      </c>
      <c r="J20" s="80">
        <f>'Necesidades Trimestrales'!H18</f>
        <v>2.94</v>
      </c>
      <c r="K20" s="79">
        <f>'Necesidades Trimestrales'!G18</f>
        <v>200</v>
      </c>
    </row>
    <row r="21" spans="1:11" ht="27.75" customHeight="1" x14ac:dyDescent="0.2">
      <c r="A21" s="77">
        <v>10</v>
      </c>
      <c r="B21" s="78"/>
      <c r="C21" s="108" t="str">
        <f>'Necesidades Trimestrales'!E19</f>
        <v>LORAZEPAM 1 MG COMPRIMIDO</v>
      </c>
      <c r="D21" s="108"/>
      <c r="E21" s="108"/>
      <c r="F21" s="108"/>
      <c r="G21" s="108"/>
      <c r="H21" s="81" t="s">
        <v>54</v>
      </c>
      <c r="I21" s="82" t="str">
        <f>'Necesidades Trimestrales'!F19</f>
        <v>unidad</v>
      </c>
      <c r="J21" s="80">
        <f>'Necesidades Trimestrales'!H19</f>
        <v>1.35</v>
      </c>
      <c r="K21" s="79">
        <f>'Necesidades Trimestrales'!G19</f>
        <v>200</v>
      </c>
    </row>
    <row r="22" spans="1:11" ht="27.75" customHeight="1" x14ac:dyDescent="0.2">
      <c r="A22" s="77">
        <v>11</v>
      </c>
      <c r="B22" s="78"/>
      <c r="C22" s="108" t="str">
        <f>'Necesidades Trimestrales'!E20</f>
        <v>LORAZEPAM 4 MG/2ML AMPOLLA</v>
      </c>
      <c r="D22" s="108"/>
      <c r="E22" s="108"/>
      <c r="F22" s="108"/>
      <c r="G22" s="108"/>
      <c r="H22" s="81" t="s">
        <v>54</v>
      </c>
      <c r="I22" s="82" t="str">
        <f>'Necesidades Trimestrales'!F20</f>
        <v>unidad</v>
      </c>
      <c r="J22" s="80">
        <f>'Necesidades Trimestrales'!H20</f>
        <v>116</v>
      </c>
      <c r="K22" s="79">
        <f>'Necesidades Trimestrales'!G20</f>
        <v>1200</v>
      </c>
    </row>
    <row r="23" spans="1:11" ht="27.75" customHeight="1" x14ac:dyDescent="0.2">
      <c r="A23" s="77">
        <v>12</v>
      </c>
      <c r="B23" s="78"/>
      <c r="C23" s="108" t="str">
        <f>'Necesidades Trimestrales'!E21</f>
        <v>LAMOTRIGINA 50MG COMPRIMIDO</v>
      </c>
      <c r="D23" s="108"/>
      <c r="E23" s="108"/>
      <c r="F23" s="108"/>
      <c r="G23" s="108"/>
      <c r="H23" s="81" t="s">
        <v>54</v>
      </c>
      <c r="I23" s="82" t="str">
        <f>'Necesidades Trimestrales'!F21</f>
        <v>unidad</v>
      </c>
      <c r="J23" s="80">
        <f>'Necesidades Trimestrales'!H21</f>
        <v>80</v>
      </c>
      <c r="K23" s="79">
        <f>'Necesidades Trimestrales'!G21</f>
        <v>200</v>
      </c>
    </row>
    <row r="24" spans="1:11" ht="27.75" customHeight="1" x14ac:dyDescent="0.2">
      <c r="A24" s="77">
        <v>13</v>
      </c>
      <c r="B24" s="78"/>
      <c r="C24" s="108" t="str">
        <f>'Necesidades Trimestrales'!E22</f>
        <v>CARBAMAZEPINA SUSPENSION ORAL 2%</v>
      </c>
      <c r="D24" s="108"/>
      <c r="E24" s="108"/>
      <c r="F24" s="108"/>
      <c r="G24" s="108"/>
      <c r="H24" s="81" t="s">
        <v>54</v>
      </c>
      <c r="I24" s="82" t="str">
        <f>'Necesidades Trimestrales'!F22</f>
        <v>unidad</v>
      </c>
      <c r="J24" s="80">
        <f>'Necesidades Trimestrales'!H22</f>
        <v>457</v>
      </c>
      <c r="K24" s="79">
        <f>'Necesidades Trimestrales'!G22</f>
        <v>10</v>
      </c>
    </row>
    <row r="25" spans="1:11" ht="27.75" customHeight="1" x14ac:dyDescent="0.2">
      <c r="A25" s="77">
        <v>14</v>
      </c>
      <c r="B25" s="78"/>
      <c r="C25" s="108" t="str">
        <f>'Necesidades Trimestrales'!E23</f>
        <v>ACIDO VALPROICO 500MG/5ML AMPOLLA</v>
      </c>
      <c r="D25" s="108"/>
      <c r="E25" s="108"/>
      <c r="F25" s="108"/>
      <c r="G25" s="108"/>
      <c r="H25" s="81" t="s">
        <v>54</v>
      </c>
      <c r="I25" s="82" t="str">
        <f>'Necesidades Trimestrales'!F23</f>
        <v>unidad</v>
      </c>
      <c r="J25" s="80">
        <f>'Necesidades Trimestrales'!H23</f>
        <v>848</v>
      </c>
      <c r="K25" s="79">
        <f>'Necesidades Trimestrales'!G23</f>
        <v>60</v>
      </c>
    </row>
    <row r="26" spans="1:11" ht="27.75" customHeight="1" x14ac:dyDescent="0.2">
      <c r="A26" s="77">
        <v>15</v>
      </c>
      <c r="B26" s="78"/>
      <c r="C26" s="108" t="str">
        <f>'Necesidades Trimestrales'!E24</f>
        <v>VALPROATO DE SODIO 5GR X 120 ML</v>
      </c>
      <c r="D26" s="108"/>
      <c r="E26" s="108"/>
      <c r="F26" s="108"/>
      <c r="G26" s="108"/>
      <c r="H26" s="81" t="s">
        <v>54</v>
      </c>
      <c r="I26" s="82" t="str">
        <f>'Necesidades Trimestrales'!F24</f>
        <v>unidad</v>
      </c>
      <c r="J26" s="80">
        <f>'Necesidades Trimestrales'!H24</f>
        <v>626</v>
      </c>
      <c r="K26" s="79">
        <f>'Necesidades Trimestrales'!G24</f>
        <v>20</v>
      </c>
    </row>
    <row r="27" spans="1:11" ht="27.75" customHeight="1" x14ac:dyDescent="0.2">
      <c r="A27" s="77">
        <v>16</v>
      </c>
      <c r="B27" s="78"/>
      <c r="C27" s="108" t="str">
        <f>'Necesidades Trimestrales'!E25</f>
        <v>VALPROATO DE MAGNESIO 200MG COMPRIMIDO</v>
      </c>
      <c r="D27" s="108"/>
      <c r="E27" s="108"/>
      <c r="F27" s="108"/>
      <c r="G27" s="108"/>
      <c r="H27" s="81" t="s">
        <v>54</v>
      </c>
      <c r="I27" s="82" t="str">
        <f>'Necesidades Trimestrales'!F25</f>
        <v>unidad</v>
      </c>
      <c r="J27" s="80">
        <f>'Necesidades Trimestrales'!H25</f>
        <v>25</v>
      </c>
      <c r="K27" s="79">
        <f>'Necesidades Trimestrales'!G25</f>
        <v>200</v>
      </c>
    </row>
    <row r="28" spans="1:11" ht="27.75" customHeight="1" x14ac:dyDescent="0.2">
      <c r="A28" s="77">
        <v>17</v>
      </c>
      <c r="B28" s="78"/>
      <c r="C28" s="108" t="str">
        <f>'Necesidades Trimestrales'!E26</f>
        <v>DIVALPROATO DE SODIO 500MG COMPRIMIDO</v>
      </c>
      <c r="D28" s="108"/>
      <c r="E28" s="108"/>
      <c r="F28" s="108"/>
      <c r="G28" s="108"/>
      <c r="H28" s="81" t="s">
        <v>54</v>
      </c>
      <c r="I28" s="82" t="str">
        <f>'Necesidades Trimestrales'!F26</f>
        <v>unidad</v>
      </c>
      <c r="J28" s="80">
        <f>'Necesidades Trimestrales'!H26</f>
        <v>37.5</v>
      </c>
      <c r="K28" s="79">
        <f>'Necesidades Trimestrales'!G26</f>
        <v>200</v>
      </c>
    </row>
    <row r="29" spans="1:11" ht="27.75" customHeight="1" x14ac:dyDescent="0.2">
      <c r="A29" s="77">
        <v>18</v>
      </c>
      <c r="B29" s="78"/>
      <c r="C29" s="108" t="str">
        <f>'Necesidades Trimestrales'!E27</f>
        <v>PREGABALINA 75MG COMPRIMIDO</v>
      </c>
      <c r="D29" s="108"/>
      <c r="E29" s="108"/>
      <c r="F29" s="108"/>
      <c r="G29" s="108"/>
      <c r="H29" s="81" t="s">
        <v>54</v>
      </c>
      <c r="I29" s="82" t="str">
        <f>'Necesidades Trimestrales'!F27</f>
        <v>unidad</v>
      </c>
      <c r="J29" s="80">
        <f>'Necesidades Trimestrales'!H27</f>
        <v>45</v>
      </c>
      <c r="K29" s="79">
        <f>'Necesidades Trimestrales'!G27</f>
        <v>300</v>
      </c>
    </row>
    <row r="30" spans="1:11" ht="27.75" customHeight="1" x14ac:dyDescent="0.2">
      <c r="A30" s="77">
        <v>19</v>
      </c>
      <c r="B30" s="78"/>
      <c r="C30" s="108" t="str">
        <f>'Necesidades Trimestrales'!E28</f>
        <v>LEVETIRACETAM 500MG COMPRIIDO</v>
      </c>
      <c r="D30" s="108"/>
      <c r="E30" s="108"/>
      <c r="F30" s="108"/>
      <c r="G30" s="108"/>
      <c r="H30" s="81" t="s">
        <v>54</v>
      </c>
      <c r="I30" s="82" t="str">
        <f>'Necesidades Trimestrales'!F28</f>
        <v>unidad</v>
      </c>
      <c r="J30" s="80">
        <f>'Necesidades Trimestrales'!H28</f>
        <v>14.2</v>
      </c>
      <c r="K30" s="79">
        <f>'Necesidades Trimestrales'!G28</f>
        <v>500</v>
      </c>
    </row>
    <row r="31" spans="1:11" ht="27.75" customHeight="1" x14ac:dyDescent="0.2">
      <c r="A31" s="77">
        <v>20</v>
      </c>
      <c r="B31" s="78"/>
      <c r="C31" s="108" t="str">
        <f>'Necesidades Trimestrales'!E29</f>
        <v>LEVETIRACETAM 100MG/ML</v>
      </c>
      <c r="D31" s="108"/>
      <c r="E31" s="108"/>
      <c r="F31" s="108"/>
      <c r="G31" s="108"/>
      <c r="H31" s="81" t="s">
        <v>54</v>
      </c>
      <c r="I31" s="82" t="str">
        <f>'Necesidades Trimestrales'!F29</f>
        <v>unidad</v>
      </c>
      <c r="J31" s="80">
        <f>'Necesidades Trimestrales'!H29</f>
        <v>477</v>
      </c>
      <c r="K31" s="79">
        <f>'Necesidades Trimestrales'!G29</f>
        <v>60</v>
      </c>
    </row>
    <row r="32" spans="1:11" ht="27.75" customHeight="1" x14ac:dyDescent="0.2">
      <c r="A32" s="77">
        <v>21</v>
      </c>
      <c r="B32" s="91"/>
      <c r="C32" s="108" t="str">
        <f>'Necesidades Trimestrales'!E30</f>
        <v>BIPIRIDENO 2 MG COMPRIMIDO</v>
      </c>
      <c r="D32" s="108"/>
      <c r="E32" s="108"/>
      <c r="F32" s="108"/>
      <c r="G32" s="108"/>
      <c r="H32" s="81" t="s">
        <v>54</v>
      </c>
      <c r="I32" s="82" t="str">
        <f>'Necesidades Trimestrales'!F30</f>
        <v>unidad</v>
      </c>
      <c r="J32" s="80">
        <f>'Necesidades Trimestrales'!H30</f>
        <v>3.5</v>
      </c>
      <c r="K32" s="79">
        <f>'Necesidades Trimestrales'!G30</f>
        <v>100</v>
      </c>
    </row>
    <row r="33" spans="1:14" ht="27.75" customHeight="1" x14ac:dyDescent="0.2">
      <c r="A33" s="77">
        <v>22</v>
      </c>
      <c r="B33" s="91"/>
      <c r="C33" s="108" t="str">
        <f>'Necesidades Trimestrales'!E31</f>
        <v>ARIPIPRAZOL 10 MG COMPRIMIDO</v>
      </c>
      <c r="D33" s="108"/>
      <c r="E33" s="108"/>
      <c r="F33" s="108"/>
      <c r="G33" s="108"/>
      <c r="H33" s="81" t="s">
        <v>54</v>
      </c>
      <c r="I33" s="82" t="str">
        <f>'Necesidades Trimestrales'!F31</f>
        <v>unidad</v>
      </c>
      <c r="J33" s="80">
        <f>'Necesidades Trimestrales'!H31</f>
        <v>21.75</v>
      </c>
      <c r="K33" s="79">
        <f>'Necesidades Trimestrales'!G31</f>
        <v>300</v>
      </c>
    </row>
    <row r="34" spans="1:14" ht="27.75" customHeight="1" x14ac:dyDescent="0.2">
      <c r="A34" s="77">
        <v>23</v>
      </c>
      <c r="B34" s="91"/>
      <c r="C34" s="108" t="str">
        <f>'Necesidades Trimestrales'!E32</f>
        <v>LEVOMEPROMAZINA 25 MG COMPRIMIDO</v>
      </c>
      <c r="D34" s="108"/>
      <c r="E34" s="108"/>
      <c r="F34" s="108"/>
      <c r="G34" s="108"/>
      <c r="H34" s="81" t="s">
        <v>54</v>
      </c>
      <c r="I34" s="82" t="str">
        <f>'Necesidades Trimestrales'!F32</f>
        <v>unidad</v>
      </c>
      <c r="J34" s="80">
        <f>'Necesidades Trimestrales'!H32</f>
        <v>269.5</v>
      </c>
      <c r="K34" s="79">
        <f>'Necesidades Trimestrales'!G32</f>
        <v>600</v>
      </c>
    </row>
    <row r="35" spans="1:14" ht="27.75" customHeight="1" x14ac:dyDescent="0.2">
      <c r="A35" s="77">
        <v>24</v>
      </c>
      <c r="B35" s="91"/>
      <c r="C35" s="108" t="str">
        <f>'Necesidades Trimestrales'!E33</f>
        <v>LEVOMEPROMAZINA 25 MG AMPOLLA</v>
      </c>
      <c r="D35" s="108"/>
      <c r="E35" s="108"/>
      <c r="F35" s="108"/>
      <c r="G35" s="108"/>
      <c r="H35" s="81" t="s">
        <v>54</v>
      </c>
      <c r="I35" s="82" t="str">
        <f>'Necesidades Trimestrales'!F33</f>
        <v>unidad</v>
      </c>
      <c r="J35" s="80">
        <f>'Necesidades Trimestrales'!H33</f>
        <v>300</v>
      </c>
      <c r="K35" s="79">
        <f>'Necesidades Trimestrales'!G33</f>
        <v>200</v>
      </c>
    </row>
    <row r="36" spans="1:14" ht="27.75" customHeight="1" x14ac:dyDescent="0.2">
      <c r="A36" s="77">
        <v>25</v>
      </c>
      <c r="B36" s="91"/>
      <c r="C36" s="108" t="str">
        <f>'Necesidades Trimestrales'!E34</f>
        <v>CLORPROMAZINA 25MG  AMPOLLA IM</v>
      </c>
      <c r="D36" s="108"/>
      <c r="E36" s="108"/>
      <c r="F36" s="108"/>
      <c r="G36" s="108"/>
      <c r="H36" s="81" t="s">
        <v>54</v>
      </c>
      <c r="I36" s="82" t="str">
        <f>'Necesidades Trimestrales'!F34</f>
        <v>unidad</v>
      </c>
      <c r="J36" s="80">
        <f>'Necesidades Trimestrales'!H34</f>
        <v>111.1</v>
      </c>
      <c r="K36" s="79">
        <f>'Necesidades Trimestrales'!G34</f>
        <v>100</v>
      </c>
    </row>
    <row r="37" spans="1:14" ht="27.75" customHeight="1" x14ac:dyDescent="0.2">
      <c r="A37" s="77">
        <v>26</v>
      </c>
      <c r="B37" s="91"/>
      <c r="C37" s="108" t="str">
        <f>'Necesidades Trimestrales'!E35</f>
        <v>HALOPERIDOL 5 MG AMPOLLA</v>
      </c>
      <c r="D37" s="108"/>
      <c r="E37" s="108"/>
      <c r="F37" s="108"/>
      <c r="G37" s="108"/>
      <c r="H37" s="81" t="s">
        <v>54</v>
      </c>
      <c r="I37" s="82" t="str">
        <f>'Necesidades Trimestrales'!F35</f>
        <v>unidad</v>
      </c>
      <c r="J37" s="80">
        <f>'Necesidades Trimestrales'!H35</f>
        <v>375.5</v>
      </c>
      <c r="K37" s="79">
        <f>'Necesidades Trimestrales'!G35</f>
        <v>300</v>
      </c>
    </row>
    <row r="38" spans="1:14" ht="27.75" customHeight="1" x14ac:dyDescent="0.2">
      <c r="A38" s="77">
        <v>27</v>
      </c>
      <c r="B38" s="91"/>
      <c r="C38" s="108" t="str">
        <f>'Necesidades Trimestrales'!E36</f>
        <v>HALOPERIDOL 10 MG COMPRINIDO</v>
      </c>
      <c r="D38" s="108"/>
      <c r="E38" s="108"/>
      <c r="F38" s="108"/>
      <c r="G38" s="108"/>
      <c r="H38" s="81" t="s">
        <v>54</v>
      </c>
      <c r="I38" s="82" t="str">
        <f>'Necesidades Trimestrales'!F36</f>
        <v>unidad</v>
      </c>
      <c r="J38" s="80">
        <f>'Necesidades Trimestrales'!H36</f>
        <v>73.2</v>
      </c>
      <c r="K38" s="79">
        <f>'Necesidades Trimestrales'!G36</f>
        <v>200</v>
      </c>
    </row>
    <row r="39" spans="1:14" ht="27.75" customHeight="1" x14ac:dyDescent="0.2">
      <c r="A39" s="77">
        <v>28</v>
      </c>
      <c r="B39" s="91"/>
      <c r="C39" s="108" t="str">
        <f>'Necesidades Trimestrales'!E37</f>
        <v>HALOPERIDOL 2MG/ML GOTAS</v>
      </c>
      <c r="D39" s="108"/>
      <c r="E39" s="108"/>
      <c r="F39" s="108"/>
      <c r="G39" s="108"/>
      <c r="H39" s="81" t="s">
        <v>54</v>
      </c>
      <c r="I39" s="82" t="str">
        <f>'Necesidades Trimestrales'!F37</f>
        <v>unidad</v>
      </c>
      <c r="J39" s="80">
        <f>'Necesidades Trimestrales'!H37</f>
        <v>679</v>
      </c>
      <c r="K39" s="79">
        <f>'Necesidades Trimestrales'!G37</f>
        <v>10</v>
      </c>
    </row>
    <row r="40" spans="1:14" ht="27.75" customHeight="1" x14ac:dyDescent="0.2">
      <c r="A40" s="77">
        <v>29</v>
      </c>
      <c r="B40" s="91"/>
      <c r="C40" s="108" t="str">
        <f>'Necesidades Trimestrales'!E38</f>
        <v>OLANZAPINA 10MG COMPRIMIDO</v>
      </c>
      <c r="D40" s="108"/>
      <c r="E40" s="108"/>
      <c r="F40" s="108"/>
      <c r="G40" s="108"/>
      <c r="H40" s="81" t="s">
        <v>54</v>
      </c>
      <c r="I40" s="82" t="str">
        <f>'Necesidades Trimestrales'!F38</f>
        <v>unidad</v>
      </c>
      <c r="J40" s="80">
        <f>'Necesidades Trimestrales'!H38</f>
        <v>83</v>
      </c>
      <c r="K40" s="79">
        <f>'Necesidades Trimestrales'!G38</f>
        <v>100</v>
      </c>
    </row>
    <row r="41" spans="1:14" ht="27.75" customHeight="1" x14ac:dyDescent="0.2">
      <c r="A41" s="77">
        <v>30</v>
      </c>
      <c r="B41" s="91"/>
      <c r="C41" s="108" t="str">
        <f>'Necesidades Trimestrales'!E39</f>
        <v>RISPERIDONA 1MG COMPRIMIDO</v>
      </c>
      <c r="D41" s="108"/>
      <c r="E41" s="108"/>
      <c r="F41" s="108"/>
      <c r="G41" s="108"/>
      <c r="H41" s="81" t="s">
        <v>54</v>
      </c>
      <c r="I41" s="82" t="str">
        <f>'Necesidades Trimestrales'!F39</f>
        <v>unidad</v>
      </c>
      <c r="J41" s="80">
        <f>'Necesidades Trimestrales'!H39</f>
        <v>1.48</v>
      </c>
      <c r="K41" s="79">
        <f>'Necesidades Trimestrales'!G39</f>
        <v>200</v>
      </c>
    </row>
    <row r="42" spans="1:14" ht="27.75" customHeight="1" x14ac:dyDescent="0.2">
      <c r="A42" s="77">
        <v>31</v>
      </c>
      <c r="B42" s="91"/>
      <c r="C42" s="108" t="str">
        <f>'Necesidades Trimestrales'!E40</f>
        <v>RISPERIDONA 2 MG COMPRIMIDO</v>
      </c>
      <c r="D42" s="108"/>
      <c r="E42" s="108"/>
      <c r="F42" s="108"/>
      <c r="G42" s="108"/>
      <c r="H42" s="81" t="s">
        <v>54</v>
      </c>
      <c r="I42" s="82" t="str">
        <f>'Necesidades Trimestrales'!F40</f>
        <v>unidad</v>
      </c>
      <c r="J42" s="80">
        <f>'Necesidades Trimestrales'!H40</f>
        <v>1.51</v>
      </c>
      <c r="K42" s="79">
        <f>'Necesidades Trimestrales'!G40</f>
        <v>200</v>
      </c>
    </row>
    <row r="43" spans="1:14" ht="27.75" customHeight="1" x14ac:dyDescent="0.2">
      <c r="A43" s="77">
        <v>32</v>
      </c>
      <c r="B43" s="91"/>
      <c r="C43" s="108" t="str">
        <f>'Necesidades Trimestrales'!E41</f>
        <v>RISPERIDONA 3 MG COMPRIMIDO</v>
      </c>
      <c r="D43" s="108"/>
      <c r="E43" s="108"/>
      <c r="F43" s="108"/>
      <c r="G43" s="108"/>
      <c r="H43" s="81" t="s">
        <v>54</v>
      </c>
      <c r="I43" s="82" t="str">
        <f>'Necesidades Trimestrales'!F41</f>
        <v>unidad</v>
      </c>
      <c r="J43" s="80">
        <f>'Necesidades Trimestrales'!H41</f>
        <v>1.83</v>
      </c>
      <c r="K43" s="79">
        <f>'Necesidades Trimestrales'!G41</f>
        <v>200</v>
      </c>
    </row>
    <row r="44" spans="1:14" ht="27.75" customHeight="1" x14ac:dyDescent="0.2">
      <c r="A44" s="77">
        <v>33</v>
      </c>
      <c r="B44" s="91"/>
      <c r="C44" s="108" t="str">
        <f>'Necesidades Trimestrales'!E42</f>
        <v>ALPRAZOLAM 1MG COMPRIMIDO</v>
      </c>
      <c r="D44" s="108"/>
      <c r="E44" s="108"/>
      <c r="F44" s="108"/>
      <c r="G44" s="108"/>
      <c r="H44" s="81" t="s">
        <v>54</v>
      </c>
      <c r="I44" s="82" t="str">
        <f>'Necesidades Trimestrales'!F42</f>
        <v>unidad</v>
      </c>
      <c r="J44" s="80">
        <f>'Necesidades Trimestrales'!H42</f>
        <v>2.73</v>
      </c>
      <c r="K44" s="79">
        <f>'Necesidades Trimestrales'!G42</f>
        <v>600</v>
      </c>
    </row>
    <row r="45" spans="1:14" ht="27.75" customHeight="1" x14ac:dyDescent="0.2">
      <c r="A45" s="77">
        <v>34</v>
      </c>
      <c r="B45" s="91"/>
      <c r="C45" s="108" t="str">
        <f>'Necesidades Trimestrales'!E43</f>
        <v>ALPRAZOLAM 0,5MG  COMPRIMIDO</v>
      </c>
      <c r="D45" s="108"/>
      <c r="E45" s="108"/>
      <c r="F45" s="108"/>
      <c r="G45" s="108"/>
      <c r="H45" s="81" t="s">
        <v>54</v>
      </c>
      <c r="I45" s="82" t="str">
        <f>'Necesidades Trimestrales'!F43</f>
        <v>unidad</v>
      </c>
      <c r="J45" s="80">
        <f>'Necesidades Trimestrales'!H43</f>
        <v>7.8</v>
      </c>
      <c r="K45" s="79">
        <f>'Necesidades Trimestrales'!G43</f>
        <v>600</v>
      </c>
    </row>
    <row r="46" spans="1:14" ht="27.75" customHeight="1" x14ac:dyDescent="0.2">
      <c r="A46" s="77">
        <v>35</v>
      </c>
      <c r="B46" s="91"/>
      <c r="C46" s="108" t="str">
        <f>'Necesidades Trimestrales'!E44</f>
        <v>DIAZEPAM 10 MG AMPOLLA</v>
      </c>
      <c r="D46" s="108"/>
      <c r="E46" s="108"/>
      <c r="F46" s="108"/>
      <c r="G46" s="108"/>
      <c r="H46" s="81" t="s">
        <v>54</v>
      </c>
      <c r="I46" s="82" t="str">
        <f>'Necesidades Trimestrales'!F44</f>
        <v>unidad</v>
      </c>
      <c r="J46" s="80">
        <f>'Necesidades Trimestrales'!H44</f>
        <v>32.5</v>
      </c>
      <c r="K46" s="79">
        <f>'Necesidades Trimestrales'!G44</f>
        <v>200</v>
      </c>
    </row>
    <row r="47" spans="1:14" ht="27.75" customHeight="1" x14ac:dyDescent="0.2">
      <c r="A47" s="77">
        <v>36</v>
      </c>
      <c r="B47" s="91"/>
      <c r="C47" s="108" t="str">
        <f>'Necesidades Trimestrales'!E45</f>
        <v>DIAZEPAM 10 MG COMPRIMIDO</v>
      </c>
      <c r="D47" s="108"/>
      <c r="E47" s="108"/>
      <c r="F47" s="108"/>
      <c r="G47" s="108"/>
      <c r="H47" s="81" t="s">
        <v>54</v>
      </c>
      <c r="I47" s="82" t="str">
        <f>'Necesidades Trimestrales'!F45</f>
        <v>unidad</v>
      </c>
      <c r="J47" s="80">
        <f>'Necesidades Trimestrales'!H45</f>
        <v>4.95</v>
      </c>
      <c r="K47" s="79">
        <f>'Necesidades Trimestrales'!G45</f>
        <v>1000</v>
      </c>
      <c r="N47" s="37" t="s">
        <v>55</v>
      </c>
    </row>
    <row r="48" spans="1:14" ht="27.75" customHeight="1" x14ac:dyDescent="0.2">
      <c r="A48" s="77">
        <v>37</v>
      </c>
      <c r="B48" s="91"/>
      <c r="C48" s="108" t="str">
        <f>'Necesidades Trimestrales'!E46</f>
        <v>DIAZEPAM 5 MG COMPRIMIDO</v>
      </c>
      <c r="D48" s="108"/>
      <c r="E48" s="108"/>
      <c r="F48" s="108"/>
      <c r="G48" s="108"/>
      <c r="H48" s="81" t="s">
        <v>54</v>
      </c>
      <c r="I48" s="82" t="str">
        <f>'Necesidades Trimestrales'!F46</f>
        <v>unidad</v>
      </c>
      <c r="J48" s="80">
        <f>'Necesidades Trimestrales'!H46</f>
        <v>4.99</v>
      </c>
      <c r="K48" s="79">
        <f>'Necesidades Trimestrales'!G46</f>
        <v>600</v>
      </c>
    </row>
    <row r="49" spans="1:11" ht="27.75" customHeight="1" x14ac:dyDescent="0.2">
      <c r="A49" s="77">
        <v>38</v>
      </c>
      <c r="B49" s="91"/>
      <c r="C49" s="108" t="str">
        <f>'Necesidades Trimestrales'!E47</f>
        <v>MIDAZOLAM 15 MG AMPOLLA</v>
      </c>
      <c r="D49" s="108"/>
      <c r="E49" s="108"/>
      <c r="F49" s="108"/>
      <c r="G49" s="108"/>
      <c r="H49" s="81" t="s">
        <v>54</v>
      </c>
      <c r="I49" s="82" t="str">
        <f>'Necesidades Trimestrales'!F47</f>
        <v>unidad</v>
      </c>
      <c r="J49" s="80">
        <f>'Necesidades Trimestrales'!H47</f>
        <v>738</v>
      </c>
      <c r="K49" s="79">
        <f>'Necesidades Trimestrales'!G47</f>
        <v>2000</v>
      </c>
    </row>
    <row r="50" spans="1:11" ht="27.75" customHeight="1" x14ac:dyDescent="0.2">
      <c r="A50" s="77">
        <v>39</v>
      </c>
      <c r="B50" s="91"/>
      <c r="C50" s="108" t="str">
        <f>'Necesidades Trimestrales'!E48</f>
        <v>FLUOXETINA 20MG CAPSULAS</v>
      </c>
      <c r="D50" s="108"/>
      <c r="E50" s="108"/>
      <c r="F50" s="108"/>
      <c r="G50" s="108"/>
      <c r="H50" s="81" t="s">
        <v>54</v>
      </c>
      <c r="I50" s="82" t="str">
        <f>'Necesidades Trimestrales'!F48</f>
        <v>unidad</v>
      </c>
      <c r="J50" s="80">
        <f>'Necesidades Trimestrales'!H48</f>
        <v>35</v>
      </c>
      <c r="K50" s="79">
        <f>'Necesidades Trimestrales'!G48</f>
        <v>200</v>
      </c>
    </row>
    <row r="51" spans="1:11" ht="27.75" customHeight="1" x14ac:dyDescent="0.2">
      <c r="A51" s="77">
        <v>40</v>
      </c>
      <c r="B51" s="91"/>
      <c r="C51" s="108" t="str">
        <f>'Necesidades Trimestrales'!E49</f>
        <v>SERTRALINA 50MG COMPRIMIDOS</v>
      </c>
      <c r="D51" s="108"/>
      <c r="E51" s="108"/>
      <c r="F51" s="108"/>
      <c r="G51" s="108"/>
      <c r="H51" s="81" t="s">
        <v>54</v>
      </c>
      <c r="I51" s="82" t="str">
        <f>'Necesidades Trimestrales'!F49</f>
        <v>unidad</v>
      </c>
      <c r="J51" s="80">
        <f>'Necesidades Trimestrales'!H49</f>
        <v>5.9</v>
      </c>
      <c r="K51" s="79">
        <f>'Necesidades Trimestrales'!G49</f>
        <v>600</v>
      </c>
    </row>
    <row r="52" spans="1:11" ht="27.75" customHeight="1" x14ac:dyDescent="0.2">
      <c r="A52" s="77">
        <v>41</v>
      </c>
      <c r="B52" s="91"/>
      <c r="C52" s="108" t="str">
        <f>'Necesidades Trimestrales'!E50</f>
        <v xml:space="preserve">CAFEINA 25% AMPOLLA </v>
      </c>
      <c r="D52" s="108"/>
      <c r="E52" s="108"/>
      <c r="F52" s="108"/>
      <c r="G52" s="108"/>
      <c r="H52" s="81" t="s">
        <v>54</v>
      </c>
      <c r="I52" s="82" t="str">
        <f>'Necesidades Trimestrales'!F50</f>
        <v>unidad</v>
      </c>
      <c r="J52" s="80">
        <f>'Necesidades Trimestrales'!H50</f>
        <v>28</v>
      </c>
      <c r="K52" s="79">
        <f>'Necesidades Trimestrales'!G50</f>
        <v>100</v>
      </c>
    </row>
    <row r="53" spans="1:11" ht="27.75" customHeight="1" x14ac:dyDescent="0.2">
      <c r="A53" s="77">
        <v>42</v>
      </c>
      <c r="B53" s="91"/>
      <c r="C53" s="108" t="str">
        <f>'Necesidades Trimestrales'!E51</f>
        <v>NEOSTIGMINA AMPOLLAS</v>
      </c>
      <c r="D53" s="108"/>
      <c r="E53" s="108"/>
      <c r="F53" s="108"/>
      <c r="G53" s="108"/>
      <c r="H53" s="81" t="s">
        <v>54</v>
      </c>
      <c r="I53" s="82" t="str">
        <f>'Necesidades Trimestrales'!F51</f>
        <v>unidad</v>
      </c>
      <c r="J53" s="80">
        <f>'Necesidades Trimestrales'!H51</f>
        <v>32.200000000000003</v>
      </c>
      <c r="K53" s="79">
        <f>'Necesidades Trimestrales'!G51</f>
        <v>100</v>
      </c>
    </row>
    <row r="54" spans="1:11" ht="27.75" customHeight="1" x14ac:dyDescent="0.2">
      <c r="A54" s="77">
        <v>43</v>
      </c>
      <c r="B54" s="91"/>
      <c r="C54" s="108" t="str">
        <f>'Necesidades Trimestrales'!E52</f>
        <v>ACETIL CISTEINA 600 MG COMPRIMIDO EFERVESCENTE</v>
      </c>
      <c r="D54" s="108"/>
      <c r="E54" s="108"/>
      <c r="F54" s="108"/>
      <c r="G54" s="108"/>
      <c r="H54" s="81" t="s">
        <v>54</v>
      </c>
      <c r="I54" s="82" t="str">
        <f>'Necesidades Trimestrales'!F52</f>
        <v>unidad</v>
      </c>
      <c r="J54" s="80">
        <f>'Necesidades Trimestrales'!H52</f>
        <v>76.5</v>
      </c>
      <c r="K54" s="79">
        <f>'Necesidades Trimestrales'!G52</f>
        <v>40</v>
      </c>
    </row>
    <row r="55" spans="1:11" ht="27.75" customHeight="1" x14ac:dyDescent="0.2">
      <c r="A55" s="77">
        <v>44</v>
      </c>
      <c r="B55" s="91"/>
      <c r="C55" s="108" t="str">
        <f>'Necesidades Trimestrales'!E53</f>
        <v>BUDESONIDE AEROSOL 200 MCG/PUFF ( 100 DOSIS )</v>
      </c>
      <c r="D55" s="108"/>
      <c r="E55" s="108"/>
      <c r="F55" s="108"/>
      <c r="G55" s="108"/>
      <c r="H55" s="81" t="s">
        <v>54</v>
      </c>
      <c r="I55" s="82" t="str">
        <f>'Necesidades Trimestrales'!F53</f>
        <v>unidad</v>
      </c>
      <c r="J55" s="80">
        <f>'Necesidades Trimestrales'!H53</f>
        <v>968.34</v>
      </c>
      <c r="K55" s="79">
        <f>'Necesidades Trimestrales'!G53</f>
        <v>200</v>
      </c>
    </row>
    <row r="56" spans="1:11" ht="27.75" customHeight="1" x14ac:dyDescent="0.2">
      <c r="A56" s="77">
        <v>45</v>
      </c>
      <c r="B56" s="91"/>
      <c r="C56" s="108" t="str">
        <f>'Necesidades Trimestrales'!E54</f>
        <v>BUDESONIDE SOLUCION 0,1%</v>
      </c>
      <c r="D56" s="108"/>
      <c r="E56" s="108"/>
      <c r="F56" s="108"/>
      <c r="G56" s="108"/>
      <c r="H56" s="81" t="s">
        <v>54</v>
      </c>
      <c r="I56" s="82" t="str">
        <f>'Necesidades Trimestrales'!F54</f>
        <v>unidad</v>
      </c>
      <c r="J56" s="80">
        <f>'Necesidades Trimestrales'!H54</f>
        <v>400.14</v>
      </c>
      <c r="K56" s="79">
        <f>'Necesidades Trimestrales'!G54</f>
        <v>200</v>
      </c>
    </row>
    <row r="57" spans="1:11" ht="27.75" customHeight="1" x14ac:dyDescent="0.2">
      <c r="A57" s="77">
        <v>46</v>
      </c>
      <c r="B57" s="91"/>
      <c r="C57" s="108" t="str">
        <f>'Necesidades Trimestrales'!E55</f>
        <v>IPRATROPIO SOLUCION PARA NEBULIZAR 0,1%GOTAS</v>
      </c>
      <c r="D57" s="108"/>
      <c r="E57" s="108"/>
      <c r="F57" s="108"/>
      <c r="G57" s="108"/>
      <c r="H57" s="81" t="s">
        <v>54</v>
      </c>
      <c r="I57" s="82" t="str">
        <f>'Necesidades Trimestrales'!F55</f>
        <v>unidad</v>
      </c>
      <c r="J57" s="80">
        <f>'Necesidades Trimestrales'!H55</f>
        <v>422</v>
      </c>
      <c r="K57" s="79">
        <f>'Necesidades Trimestrales'!G55</f>
        <v>300</v>
      </c>
    </row>
    <row r="58" spans="1:11" ht="27.75" customHeight="1" x14ac:dyDescent="0.2">
      <c r="A58" s="77">
        <v>47</v>
      </c>
      <c r="B58" s="91"/>
      <c r="C58" s="108" t="str">
        <f>'Necesidades Trimestrales'!E56</f>
        <v xml:space="preserve">SALBUTAMOL AEROSOL CON  AEROCAMARA </v>
      </c>
      <c r="D58" s="108"/>
      <c r="E58" s="108"/>
      <c r="F58" s="108"/>
      <c r="G58" s="108"/>
      <c r="H58" s="81" t="s">
        <v>54</v>
      </c>
      <c r="I58" s="82" t="str">
        <f>'Necesidades Trimestrales'!F56</f>
        <v>unidad</v>
      </c>
      <c r="J58" s="80">
        <f>'Necesidades Trimestrales'!H56</f>
        <v>631</v>
      </c>
      <c r="K58" s="79">
        <f>'Necesidades Trimestrales'!G56</f>
        <v>300</v>
      </c>
    </row>
    <row r="59" spans="1:11" ht="27.75" customHeight="1" x14ac:dyDescent="0.2">
      <c r="A59" s="77">
        <v>48</v>
      </c>
      <c r="B59" s="91"/>
      <c r="C59" s="108" t="str">
        <f>'Necesidades Trimestrales'!E57</f>
        <v>SALBUTAMOL GOTAS</v>
      </c>
      <c r="D59" s="108"/>
      <c r="E59" s="108"/>
      <c r="F59" s="108"/>
      <c r="G59" s="108"/>
      <c r="H59" s="81" t="s">
        <v>54</v>
      </c>
      <c r="I59" s="82" t="str">
        <f>'Necesidades Trimestrales'!F57</f>
        <v>unidad</v>
      </c>
      <c r="J59" s="80">
        <f>'Necesidades Trimestrales'!H57</f>
        <v>422</v>
      </c>
      <c r="K59" s="79">
        <f>'Necesidades Trimestrales'!G57</f>
        <v>200</v>
      </c>
    </row>
    <row r="60" spans="1:11" ht="27.75" customHeight="1" x14ac:dyDescent="0.2">
      <c r="A60" s="77">
        <v>49</v>
      </c>
      <c r="B60" s="91"/>
      <c r="C60" s="108" t="str">
        <f>'Necesidades Trimestrales'!E58</f>
        <v>DIFENILHIDRAMINA 10MG AMPOLLAS</v>
      </c>
      <c r="D60" s="108"/>
      <c r="E60" s="108"/>
      <c r="F60" s="108"/>
      <c r="G60" s="108"/>
      <c r="H60" s="81" t="s">
        <v>54</v>
      </c>
      <c r="I60" s="82" t="str">
        <f>'Necesidades Trimestrales'!F58</f>
        <v>unidad</v>
      </c>
      <c r="J60" s="80">
        <f>'Necesidades Trimestrales'!H58</f>
        <v>139.32</v>
      </c>
      <c r="K60" s="79">
        <f>'Necesidades Trimestrales'!G58</f>
        <v>4000</v>
      </c>
    </row>
    <row r="61" spans="1:11" ht="27.75" customHeight="1" x14ac:dyDescent="0.2">
      <c r="A61" s="77">
        <v>50</v>
      </c>
      <c r="B61" s="91"/>
      <c r="C61" s="108" t="str">
        <f>'Necesidades Trimestrales'!E59</f>
        <v>DIFENHIDRAMINA 0,25% JARABE</v>
      </c>
      <c r="D61" s="108"/>
      <c r="E61" s="108"/>
      <c r="F61" s="108"/>
      <c r="G61" s="108"/>
      <c r="H61" s="81" t="s">
        <v>54</v>
      </c>
      <c r="I61" s="82" t="str">
        <f>'Necesidades Trimestrales'!F59</f>
        <v>unidad</v>
      </c>
      <c r="J61" s="80">
        <f>'Necesidades Trimestrales'!H59</f>
        <v>120</v>
      </c>
      <c r="K61" s="79">
        <f>'Necesidades Trimestrales'!G59</f>
        <v>500</v>
      </c>
    </row>
    <row r="62" spans="1:11" ht="27.75" customHeight="1" x14ac:dyDescent="0.2">
      <c r="A62" s="77">
        <v>51</v>
      </c>
      <c r="B62" s="91"/>
      <c r="C62" s="108" t="str">
        <f>'Necesidades Trimestrales'!E60</f>
        <v>HIDROXIZINA CLORHIDRATO 25MG COMPRIMIDOS</v>
      </c>
      <c r="D62" s="108"/>
      <c r="E62" s="108"/>
      <c r="F62" s="108"/>
      <c r="G62" s="108"/>
      <c r="H62" s="81" t="s">
        <v>54</v>
      </c>
      <c r="I62" s="82" t="str">
        <f>'Necesidades Trimestrales'!F60</f>
        <v>unidad</v>
      </c>
      <c r="J62" s="80">
        <f>'Necesidades Trimestrales'!H60</f>
        <v>25.33</v>
      </c>
      <c r="K62" s="79">
        <f>'Necesidades Trimestrales'!G60</f>
        <v>100</v>
      </c>
    </row>
    <row r="63" spans="1:11" ht="27.75" customHeight="1" x14ac:dyDescent="0.2">
      <c r="A63" s="77">
        <v>52</v>
      </c>
      <c r="B63" s="91"/>
      <c r="C63" s="108" t="str">
        <f>'Necesidades Trimestrales'!E61</f>
        <v>CIPROFLOXACINA 0,3% +DEXAMETASONA 01% COLIRIO</v>
      </c>
      <c r="D63" s="108"/>
      <c r="E63" s="108"/>
      <c r="F63" s="108"/>
      <c r="G63" s="108"/>
      <c r="H63" s="81" t="s">
        <v>54</v>
      </c>
      <c r="I63" s="82" t="str">
        <f>'Necesidades Trimestrales'!F61</f>
        <v>unidad</v>
      </c>
      <c r="J63" s="80">
        <f>'Necesidades Trimestrales'!H61</f>
        <v>606</v>
      </c>
      <c r="K63" s="79">
        <f>'Necesidades Trimestrales'!G61</f>
        <v>20</v>
      </c>
    </row>
    <row r="64" spans="1:11" ht="27.75" customHeight="1" x14ac:dyDescent="0.2">
      <c r="A64" s="77">
        <v>53</v>
      </c>
      <c r="B64" s="91"/>
      <c r="C64" s="108" t="str">
        <f>'Necesidades Trimestrales'!E62</f>
        <v>TOBRAMICINA 0,3% COLIRIO</v>
      </c>
      <c r="D64" s="108"/>
      <c r="E64" s="108"/>
      <c r="F64" s="108"/>
      <c r="G64" s="108"/>
      <c r="H64" s="81" t="s">
        <v>54</v>
      </c>
      <c r="I64" s="82" t="str">
        <f>'Necesidades Trimestrales'!F62</f>
        <v>unidad</v>
      </c>
      <c r="J64" s="80">
        <f>'Necesidades Trimestrales'!H62</f>
        <v>94.91</v>
      </c>
      <c r="K64" s="79">
        <f>'Necesidades Trimestrales'!G62</f>
        <v>300</v>
      </c>
    </row>
    <row r="65" spans="1:14" ht="27.75" customHeight="1" x14ac:dyDescent="0.2">
      <c r="A65" s="77">
        <v>54</v>
      </c>
      <c r="B65" s="91"/>
      <c r="C65" s="108" t="str">
        <f>'Necesidades Trimestrales'!E63</f>
        <v>TOBRAMICINA 0,3%+DEXAMETASONA COLIRIO</v>
      </c>
      <c r="D65" s="108"/>
      <c r="E65" s="108"/>
      <c r="F65" s="108"/>
      <c r="G65" s="108"/>
      <c r="H65" s="81" t="s">
        <v>54</v>
      </c>
      <c r="I65" s="82" t="str">
        <f>'Necesidades Trimestrales'!F63</f>
        <v>unidad</v>
      </c>
      <c r="J65" s="80">
        <f>'Necesidades Trimestrales'!H63</f>
        <v>138.46</v>
      </c>
      <c r="K65" s="79">
        <f>'Necesidades Trimestrales'!G63</f>
        <v>300</v>
      </c>
    </row>
    <row r="66" spans="1:14" ht="27.75" customHeight="1" x14ac:dyDescent="0.2">
      <c r="A66" s="77">
        <v>55</v>
      </c>
      <c r="B66" s="91"/>
      <c r="C66" s="108" t="str">
        <f>'Necesidades Trimestrales'!E64</f>
        <v>ERITROMICINA 0,1GR COLIRIO</v>
      </c>
      <c r="D66" s="108"/>
      <c r="E66" s="108"/>
      <c r="F66" s="108"/>
      <c r="G66" s="108"/>
      <c r="H66" s="81" t="s">
        <v>54</v>
      </c>
      <c r="I66" s="82" t="str">
        <f>'Necesidades Trimestrales'!F64</f>
        <v>unidad</v>
      </c>
      <c r="J66" s="80">
        <f>'Necesidades Trimestrales'!H64</f>
        <v>880.74</v>
      </c>
      <c r="K66" s="79">
        <f>'Necesidades Trimestrales'!G64</f>
        <v>40</v>
      </c>
    </row>
    <row r="67" spans="1:14" ht="27.75" customHeight="1" x14ac:dyDescent="0.2">
      <c r="A67" s="77">
        <v>56</v>
      </c>
      <c r="B67" s="91"/>
      <c r="C67" s="108" t="str">
        <f>'Necesidades Trimestrales'!E65</f>
        <v xml:space="preserve">ERITROMICINA O,5 %UNGUENTO OFTALMICO </v>
      </c>
      <c r="D67" s="108"/>
      <c r="E67" s="108"/>
      <c r="F67" s="108"/>
      <c r="G67" s="108"/>
      <c r="H67" s="81" t="s">
        <v>54</v>
      </c>
      <c r="I67" s="82" t="str">
        <f>'Necesidades Trimestrales'!F65</f>
        <v>unidad</v>
      </c>
      <c r="J67" s="80">
        <f>'Necesidades Trimestrales'!H65</f>
        <v>500</v>
      </c>
      <c r="K67" s="79">
        <f>'Necesidades Trimestrales'!G65</f>
        <v>40</v>
      </c>
    </row>
    <row r="68" spans="1:14" ht="27.75" customHeight="1" x14ac:dyDescent="0.2">
      <c r="A68" s="77">
        <v>57</v>
      </c>
      <c r="B68" s="91"/>
      <c r="C68" s="108" t="str">
        <f>'Necesidades Trimestrales'!E66</f>
        <v>FLUORESCEINA SODICA O,25% COLIRIO</v>
      </c>
      <c r="D68" s="108"/>
      <c r="E68" s="108"/>
      <c r="F68" s="108"/>
      <c r="G68" s="108"/>
      <c r="H68" s="81" t="s">
        <v>54</v>
      </c>
      <c r="I68" s="82" t="str">
        <f>'Necesidades Trimestrales'!F66</f>
        <v>unidad</v>
      </c>
      <c r="J68" s="80">
        <f>'Necesidades Trimestrales'!H66</f>
        <v>365.47</v>
      </c>
      <c r="K68" s="79">
        <f>'Necesidades Trimestrales'!G66</f>
        <v>10</v>
      </c>
    </row>
    <row r="69" spans="1:14" ht="27.75" customHeight="1" x14ac:dyDescent="0.2">
      <c r="A69" s="77">
        <v>58</v>
      </c>
      <c r="B69" s="91"/>
      <c r="C69" s="108" t="str">
        <f>'Necesidades Trimestrales'!E67</f>
        <v>PROPARACAINA CLORHIDRATO 0,5% COLIRIO</v>
      </c>
      <c r="D69" s="108"/>
      <c r="E69" s="108"/>
      <c r="F69" s="108"/>
      <c r="G69" s="108"/>
      <c r="H69" s="81" t="s">
        <v>54</v>
      </c>
      <c r="I69" s="82" t="str">
        <f>'Necesidades Trimestrales'!F67</f>
        <v>unidad</v>
      </c>
      <c r="J69" s="80">
        <f>'Necesidades Trimestrales'!H67</f>
        <v>467.99</v>
      </c>
      <c r="K69" s="79">
        <f>'Necesidades Trimestrales'!G67</f>
        <v>10</v>
      </c>
    </row>
    <row r="70" spans="1:14" ht="27.75" customHeight="1" x14ac:dyDescent="0.2">
      <c r="A70" s="77">
        <v>59</v>
      </c>
      <c r="B70" s="91"/>
      <c r="C70" s="108" t="str">
        <f>'Necesidades Trimestrales'!E68</f>
        <v>ACIDO POLIACRILICO0,02% GEL</v>
      </c>
      <c r="D70" s="108"/>
      <c r="E70" s="108"/>
      <c r="F70" s="108"/>
      <c r="G70" s="108"/>
      <c r="H70" s="81" t="s">
        <v>54</v>
      </c>
      <c r="I70" s="82" t="str">
        <f>'Necesidades Trimestrales'!F68</f>
        <v>unidad</v>
      </c>
      <c r="J70" s="80">
        <f>'Necesidades Trimestrales'!H68</f>
        <v>1088.3900000000001</v>
      </c>
      <c r="K70" s="79">
        <f>'Necesidades Trimestrales'!G68</f>
        <v>20</v>
      </c>
    </row>
    <row r="71" spans="1:14" ht="27.75" customHeight="1" x14ac:dyDescent="0.2">
      <c r="A71" s="77">
        <v>60</v>
      </c>
      <c r="B71" s="91"/>
      <c r="C71" s="108" t="str">
        <f>'Necesidades Trimestrales'!E69</f>
        <v xml:space="preserve">CICLOPENTOLATO 1%X 5ML </v>
      </c>
      <c r="D71" s="108"/>
      <c r="E71" s="108"/>
      <c r="F71" s="108"/>
      <c r="G71" s="108"/>
      <c r="H71" s="81" t="s">
        <v>54</v>
      </c>
      <c r="I71" s="82" t="str">
        <f>'Necesidades Trimestrales'!F69</f>
        <v>unidad</v>
      </c>
      <c r="J71" s="80">
        <f>'Necesidades Trimestrales'!H69</f>
        <v>583.44000000000005</v>
      </c>
      <c r="K71" s="79">
        <f>'Necesidades Trimestrales'!G69</f>
        <v>20</v>
      </c>
    </row>
    <row r="72" spans="1:14" ht="27.75" customHeight="1" x14ac:dyDescent="0.2">
      <c r="A72" s="77">
        <v>61</v>
      </c>
      <c r="B72" s="91"/>
      <c r="C72" s="108" t="str">
        <f>'Necesidades Trimestrales'!E70</f>
        <v>TROPICAMIDA 0,5%+ FENILEFRINA 5% COLIRIO</v>
      </c>
      <c r="D72" s="108"/>
      <c r="E72" s="108"/>
      <c r="F72" s="108"/>
      <c r="G72" s="108"/>
      <c r="H72" s="81" t="s">
        <v>54</v>
      </c>
      <c r="I72" s="82" t="str">
        <f>'Necesidades Trimestrales'!F70</f>
        <v>unidad</v>
      </c>
      <c r="J72" s="80">
        <f>'Necesidades Trimestrales'!H70</f>
        <v>506.62</v>
      </c>
      <c r="K72" s="79">
        <f>'Necesidades Trimestrales'!G70</f>
        <v>50</v>
      </c>
    </row>
    <row r="73" spans="1:14" ht="27.75" customHeight="1" x14ac:dyDescent="0.2">
      <c r="A73" s="77">
        <v>62</v>
      </c>
      <c r="B73" s="91"/>
      <c r="C73" s="108" t="str">
        <f>'Necesidades Trimestrales'!E71</f>
        <v>GENTAMINA SULFATO 3% GOTAS</v>
      </c>
      <c r="D73" s="108"/>
      <c r="E73" s="108"/>
      <c r="F73" s="108"/>
      <c r="G73" s="108"/>
      <c r="H73" s="81" t="s">
        <v>54</v>
      </c>
      <c r="I73" s="82" t="str">
        <f>'Necesidades Trimestrales'!F71</f>
        <v>unidad</v>
      </c>
      <c r="J73" s="80">
        <f>'Necesidades Trimestrales'!H71</f>
        <v>291.95</v>
      </c>
      <c r="K73" s="79">
        <f>'Necesidades Trimestrales'!G71</f>
        <v>30</v>
      </c>
    </row>
    <row r="74" spans="1:14" ht="27.75" customHeight="1" x14ac:dyDescent="0.2">
      <c r="A74" s="77">
        <v>63</v>
      </c>
      <c r="B74" s="91"/>
      <c r="C74" s="108" t="str">
        <f>'Necesidades Trimestrales'!E72</f>
        <v>NALOXONA 0,4 MG / ML AMPOLLA</v>
      </c>
      <c r="D74" s="108"/>
      <c r="E74" s="108"/>
      <c r="F74" s="108"/>
      <c r="G74" s="108"/>
      <c r="H74" s="81" t="s">
        <v>54</v>
      </c>
      <c r="I74" s="82" t="str">
        <f>'Necesidades Trimestrales'!F72</f>
        <v>unidad</v>
      </c>
      <c r="J74" s="80">
        <f>'Necesidades Trimestrales'!H72</f>
        <v>213</v>
      </c>
      <c r="K74" s="79">
        <f>'Necesidades Trimestrales'!G72</f>
        <v>150</v>
      </c>
    </row>
    <row r="75" spans="1:14" ht="27.75" customHeight="1" x14ac:dyDescent="0.2">
      <c r="A75" s="77">
        <v>64</v>
      </c>
      <c r="B75" s="91"/>
      <c r="C75" s="108" t="str">
        <f>'Necesidades Trimestrales'!E73</f>
        <v>PROTAMINA SULFATO 50MG AMPOLLA</v>
      </c>
      <c r="D75" s="108"/>
      <c r="E75" s="108"/>
      <c r="F75" s="108"/>
      <c r="G75" s="108"/>
      <c r="H75" s="81" t="s">
        <v>54</v>
      </c>
      <c r="I75" s="82" t="str">
        <f>'Necesidades Trimestrales'!F73</f>
        <v>unidad</v>
      </c>
      <c r="J75" s="80">
        <f>'Necesidades Trimestrales'!H73</f>
        <v>506.35</v>
      </c>
      <c r="K75" s="79">
        <f>'Necesidades Trimestrales'!G73</f>
        <v>100</v>
      </c>
    </row>
    <row r="76" spans="1:14" ht="27.75" customHeight="1" thickBot="1" x14ac:dyDescent="0.25">
      <c r="A76" s="77">
        <v>65</v>
      </c>
      <c r="B76" s="91"/>
      <c r="C76" s="108" t="str">
        <f>'Necesidades Trimestrales'!E74</f>
        <v>FLUMAZENIL AMPOLLAS</v>
      </c>
      <c r="D76" s="108"/>
      <c r="E76" s="108"/>
      <c r="F76" s="108"/>
      <c r="G76" s="108"/>
      <c r="H76" s="81" t="s">
        <v>54</v>
      </c>
      <c r="I76" s="82" t="str">
        <f>'Necesidades Trimestrales'!F74</f>
        <v>unidad</v>
      </c>
      <c r="J76" s="80">
        <f>'Necesidades Trimestrales'!H74</f>
        <v>160</v>
      </c>
      <c r="K76" s="79">
        <f>'Necesidades Trimestrales'!G74</f>
        <v>200</v>
      </c>
    </row>
    <row r="77" spans="1:14" ht="20.25" customHeight="1" thickBot="1" x14ac:dyDescent="0.25">
      <c r="A77" s="111" t="s">
        <v>127</v>
      </c>
      <c r="B77" s="111"/>
      <c r="C77" s="111"/>
      <c r="D77" s="111"/>
      <c r="E77" s="111"/>
      <c r="F77" s="111"/>
      <c r="G77" s="111"/>
      <c r="H77" s="111"/>
      <c r="I77" s="111"/>
      <c r="J77" s="118">
        <f>SUMPRODUCT(J12:J76,K12:K76)</f>
        <v>4639643.3</v>
      </c>
      <c r="K77" s="118"/>
      <c r="N77" s="54"/>
    </row>
  </sheetData>
  <mergeCells count="87">
    <mergeCell ref="A77:I77"/>
    <mergeCell ref="J77:K77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D8:K8"/>
    <mergeCell ref="A10:A11"/>
    <mergeCell ref="B10:B11"/>
    <mergeCell ref="C10:G11"/>
    <mergeCell ref="H10:H11"/>
    <mergeCell ref="I10:I11"/>
    <mergeCell ref="J10:J11"/>
    <mergeCell ref="K10:K11"/>
    <mergeCell ref="C37:G37"/>
    <mergeCell ref="C38:G38"/>
    <mergeCell ref="C39:G39"/>
    <mergeCell ref="C40:G40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C32:G32"/>
    <mergeCell ref="C33:G33"/>
    <mergeCell ref="C34:G34"/>
    <mergeCell ref="C35:G35"/>
    <mergeCell ref="C36:G36"/>
    <mergeCell ref="C31:G31"/>
    <mergeCell ref="C26:G26"/>
    <mergeCell ref="C27:G27"/>
    <mergeCell ref="C28:G28"/>
    <mergeCell ref="C29:G29"/>
    <mergeCell ref="C30:G30"/>
    <mergeCell ref="C46:G46"/>
    <mergeCell ref="C47:G47"/>
    <mergeCell ref="C41:G41"/>
    <mergeCell ref="C42:G42"/>
    <mergeCell ref="C43:G43"/>
    <mergeCell ref="C44:G44"/>
    <mergeCell ref="C45:G45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59:G59"/>
    <mergeCell ref="C60:G60"/>
    <mergeCell ref="C61:G61"/>
    <mergeCell ref="C62:G62"/>
    <mergeCell ref="C63:G63"/>
    <mergeCell ref="C64:G64"/>
    <mergeCell ref="C65:G65"/>
    <mergeCell ref="C66:G66"/>
    <mergeCell ref="C67:G67"/>
    <mergeCell ref="C73:G73"/>
    <mergeCell ref="C74:G74"/>
    <mergeCell ref="C75:G75"/>
    <mergeCell ref="C76:G76"/>
    <mergeCell ref="C68:G68"/>
    <mergeCell ref="C69:G69"/>
    <mergeCell ref="C70:G70"/>
    <mergeCell ref="C71:G71"/>
    <mergeCell ref="C72:G72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topLeftCell="A10" zoomScale="130" zoomScaleNormal="130" workbookViewId="0">
      <selection activeCell="I18" sqref="I18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21" t="s">
        <v>3</v>
      </c>
      <c r="B1" s="121"/>
      <c r="C1" s="121"/>
      <c r="D1" s="122">
        <f>'Necesidades Trimestrales'!C6</f>
        <v>2021</v>
      </c>
      <c r="E1" s="122"/>
      <c r="F1" s="3"/>
      <c r="G1" s="3"/>
      <c r="H1" s="4"/>
      <c r="I1" s="4"/>
      <c r="J1" s="4"/>
      <c r="K1" s="4"/>
      <c r="L1" s="4"/>
      <c r="M1" s="4"/>
      <c r="N1" s="4"/>
      <c r="P1" s="123" t="s">
        <v>25</v>
      </c>
      <c r="Q1" s="123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23"/>
      <c r="Q2" s="123"/>
    </row>
    <row r="4" spans="1:17" s="5" customFormat="1" ht="18" customHeight="1" thickBot="1" x14ac:dyDescent="0.25">
      <c r="A4" s="124" t="s">
        <v>26</v>
      </c>
      <c r="B4" s="124"/>
      <c r="C4" s="124"/>
      <c r="D4" s="124"/>
      <c r="E4" s="124"/>
      <c r="F4" s="124"/>
      <c r="G4" s="125" t="str">
        <f>' NotaPedido'!D3</f>
        <v>040 - Ministerio de Salud</v>
      </c>
      <c r="H4" s="125"/>
      <c r="I4" s="125"/>
      <c r="J4" s="125"/>
      <c r="K4" s="125"/>
      <c r="L4" s="125"/>
      <c r="M4" s="125"/>
      <c r="N4" s="125"/>
      <c r="O4" s="125"/>
      <c r="P4" s="125"/>
      <c r="Q4" s="125"/>
    </row>
    <row r="5" spans="1:17" s="5" customFormat="1" ht="18" customHeight="1" thickBot="1" x14ac:dyDescent="0.25">
      <c r="A5" s="126" t="s">
        <v>49</v>
      </c>
      <c r="B5" s="127"/>
      <c r="C5" s="127"/>
      <c r="D5" s="127"/>
      <c r="E5" s="127"/>
      <c r="F5" s="128"/>
      <c r="G5" s="125" t="str">
        <f>' NotaPedido'!D4</f>
        <v>024 - Hospital Interzonal de Niños</v>
      </c>
      <c r="H5" s="125"/>
      <c r="I5" s="125"/>
      <c r="J5" s="125"/>
      <c r="K5" s="125"/>
      <c r="L5" s="125"/>
      <c r="M5" s="125"/>
      <c r="N5" s="125"/>
      <c r="O5" s="125"/>
      <c r="P5" s="125"/>
      <c r="Q5" s="125"/>
    </row>
    <row r="6" spans="1:17" s="5" customFormat="1" ht="18" customHeight="1" thickBot="1" x14ac:dyDescent="0.25">
      <c r="A6" s="126" t="s">
        <v>27</v>
      </c>
      <c r="B6" s="127"/>
      <c r="C6" s="127"/>
      <c r="D6" s="127"/>
      <c r="E6" s="127"/>
      <c r="F6" s="128"/>
      <c r="G6" s="125" t="str">
        <f>' NotaPedido'!D5</f>
        <v>024 - Hospital Interzonal de Niños</v>
      </c>
      <c r="H6" s="125"/>
      <c r="I6" s="125"/>
      <c r="J6" s="125"/>
      <c r="K6" s="125"/>
      <c r="L6" s="125"/>
      <c r="M6" s="125"/>
      <c r="N6" s="125"/>
      <c r="O6" s="125"/>
      <c r="P6" s="125"/>
      <c r="Q6" s="125"/>
    </row>
    <row r="7" spans="1:17" s="5" customFormat="1" ht="18" customHeight="1" thickBot="1" x14ac:dyDescent="0.25">
      <c r="A7" s="126" t="s">
        <v>50</v>
      </c>
      <c r="B7" s="127"/>
      <c r="C7" s="127"/>
      <c r="D7" s="127"/>
      <c r="E7" s="127"/>
      <c r="F7" s="128"/>
      <c r="G7" s="125" t="s">
        <v>57</v>
      </c>
      <c r="H7" s="125"/>
      <c r="I7" s="125"/>
      <c r="J7" s="125"/>
      <c r="K7" s="125"/>
      <c r="L7" s="125"/>
      <c r="M7" s="125"/>
      <c r="N7" s="125"/>
      <c r="O7" s="125"/>
      <c r="P7" s="125"/>
      <c r="Q7" s="125"/>
    </row>
    <row r="8" spans="1:17" ht="18" customHeight="1" thickBot="1" x14ac:dyDescent="0.25">
      <c r="A8" s="129" t="s">
        <v>28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</row>
    <row r="9" spans="1:17" ht="18" customHeight="1" x14ac:dyDescent="0.2">
      <c r="A9" s="130" t="s">
        <v>29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"/>
      <c r="P9" s="1"/>
      <c r="Q9" s="6"/>
    </row>
    <row r="10" spans="1:17" ht="54.75" customHeight="1" x14ac:dyDescent="0.2">
      <c r="A10" s="131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056/2021,  afectando la erogación resultante a los créditos presupuestarios aprobados a favor de esta Unidad Ejecutora, conforme al siguiente detalle: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32" t="s">
        <v>30</v>
      </c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</row>
    <row r="13" spans="1:17" ht="15.75" customHeight="1" thickBot="1" x14ac:dyDescent="0.25">
      <c r="A13" s="133" t="s">
        <v>31</v>
      </c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5" t="s">
        <v>32</v>
      </c>
      <c r="P13" s="136"/>
      <c r="Q13" s="139" t="s">
        <v>33</v>
      </c>
    </row>
    <row r="14" spans="1:17" ht="15.75" customHeight="1" thickBot="1" x14ac:dyDescent="0.25">
      <c r="A14" s="60" t="s">
        <v>34</v>
      </c>
      <c r="B14" s="61" t="s">
        <v>35</v>
      </c>
      <c r="C14" s="61" t="s">
        <v>36</v>
      </c>
      <c r="D14" s="61" t="s">
        <v>37</v>
      </c>
      <c r="E14" s="61" t="s">
        <v>38</v>
      </c>
      <c r="F14" s="61" t="s">
        <v>39</v>
      </c>
      <c r="G14" s="62" t="s">
        <v>40</v>
      </c>
      <c r="H14" s="61" t="s">
        <v>41</v>
      </c>
      <c r="I14" s="61" t="s">
        <v>42</v>
      </c>
      <c r="J14" s="61" t="s">
        <v>43</v>
      </c>
      <c r="K14" s="61" t="s">
        <v>43</v>
      </c>
      <c r="L14" s="61" t="s">
        <v>44</v>
      </c>
      <c r="M14" s="63" t="s">
        <v>45</v>
      </c>
      <c r="N14" s="64" t="s">
        <v>46</v>
      </c>
      <c r="O14" s="137"/>
      <c r="P14" s="138"/>
      <c r="Q14" s="140"/>
    </row>
    <row r="15" spans="1:17" ht="26.25" customHeight="1" x14ac:dyDescent="0.2">
      <c r="A15" s="56">
        <v>36</v>
      </c>
      <c r="B15" s="57"/>
      <c r="C15" s="57"/>
      <c r="D15" s="57">
        <v>1</v>
      </c>
      <c r="E15" s="57"/>
      <c r="F15" s="57">
        <v>4901</v>
      </c>
      <c r="G15" s="57">
        <v>3</v>
      </c>
      <c r="H15" s="57">
        <v>310</v>
      </c>
      <c r="I15" s="57">
        <v>2</v>
      </c>
      <c r="J15" s="57">
        <v>5</v>
      </c>
      <c r="K15" s="57">
        <v>2</v>
      </c>
      <c r="L15" s="57"/>
      <c r="M15" s="58">
        <v>1</v>
      </c>
      <c r="N15" s="59" t="s">
        <v>53</v>
      </c>
      <c r="O15" s="141" t="s">
        <v>56</v>
      </c>
      <c r="P15" s="141"/>
      <c r="Q15" s="65">
        <v>4639643.3</v>
      </c>
    </row>
    <row r="16" spans="1:17" ht="17.25" customHeight="1" x14ac:dyDescent="0.2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67"/>
      <c r="O16" s="142"/>
      <c r="P16" s="143"/>
      <c r="Q16" s="15"/>
    </row>
    <row r="17" spans="1:18" ht="17.25" customHeight="1" x14ac:dyDescent="0.2">
      <c r="A17" s="11"/>
      <c r="B17" s="12"/>
      <c r="C17" s="12"/>
      <c r="D17" s="12"/>
      <c r="E17" s="12"/>
      <c r="F17" s="14"/>
      <c r="G17" s="12"/>
      <c r="H17" s="12"/>
      <c r="I17" s="12"/>
      <c r="J17" s="12"/>
      <c r="K17" s="12"/>
      <c r="L17" s="12"/>
      <c r="M17" s="13"/>
      <c r="N17" s="14"/>
      <c r="O17" s="143"/>
      <c r="P17" s="143"/>
      <c r="Q17" s="15"/>
    </row>
    <row r="18" spans="1:18" ht="17.25" customHeight="1" x14ac:dyDescent="0.2">
      <c r="A18" s="11"/>
      <c r="B18" s="12"/>
      <c r="C18" s="12"/>
      <c r="D18" s="12"/>
      <c r="E18" s="12"/>
      <c r="F18" s="14"/>
      <c r="G18" s="12"/>
      <c r="H18" s="12"/>
      <c r="I18" s="12"/>
      <c r="J18" s="12"/>
      <c r="K18" s="12"/>
      <c r="L18" s="12"/>
      <c r="M18" s="13"/>
      <c r="N18" s="14"/>
      <c r="O18" s="143"/>
      <c r="P18" s="143"/>
      <c r="Q18" s="15"/>
    </row>
    <row r="19" spans="1:18" ht="17.25" customHeight="1" x14ac:dyDescent="0.2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9"/>
      <c r="N19" s="20"/>
      <c r="O19" s="149"/>
      <c r="P19" s="149"/>
      <c r="Q19" s="15"/>
      <c r="R19" s="1"/>
    </row>
    <row r="20" spans="1:18" ht="17.2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2"/>
      <c r="O20" s="150"/>
      <c r="P20" s="150"/>
      <c r="Q20" s="24"/>
    </row>
    <row r="21" spans="1:18" ht="29.25" customHeight="1" x14ac:dyDescent="0.2">
      <c r="A21" s="151" t="s">
        <v>126</v>
      </c>
      <c r="B21" s="151"/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25">
        <f>SUM(Q15:Q20)</f>
        <v>4639643.3</v>
      </c>
    </row>
    <row r="22" spans="1:18" ht="18" customHeight="1" thickBot="1" x14ac:dyDescent="0.25">
      <c r="A22" s="152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</row>
    <row r="23" spans="1:18" ht="17.25" customHeight="1" thickBot="1" x14ac:dyDescent="0.25">
      <c r="A23" s="144" t="s">
        <v>47</v>
      </c>
      <c r="B23" s="145"/>
      <c r="C23" s="145"/>
      <c r="D23" s="145"/>
      <c r="E23" s="145"/>
      <c r="F23" s="146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</row>
    <row r="24" spans="1:18" ht="18" customHeight="1" thickBot="1" x14ac:dyDescent="0.25">
      <c r="A24" s="148" t="s">
        <v>129</v>
      </c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</row>
    <row r="25" spans="1:18" ht="26.25" customHeight="1" x14ac:dyDescent="0.2">
      <c r="A25" s="148"/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</row>
  </sheetData>
  <mergeCells count="29">
    <mergeCell ref="A24:Q25"/>
    <mergeCell ref="O18:P18"/>
    <mergeCell ref="O19:P19"/>
    <mergeCell ref="O20:P20"/>
    <mergeCell ref="A21:P21"/>
    <mergeCell ref="A22:Q22"/>
    <mergeCell ref="O15:P15"/>
    <mergeCell ref="O16:P16"/>
    <mergeCell ref="O17:P17"/>
    <mergeCell ref="A23:F23"/>
    <mergeCell ref="G23:Q23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Lorena</cp:lastModifiedBy>
  <cp:revision>2</cp:revision>
  <cp:lastPrinted>2020-07-23T13:47:13Z</cp:lastPrinted>
  <dcterms:created xsi:type="dcterms:W3CDTF">2020-07-17T23:44:49Z</dcterms:created>
  <dcterms:modified xsi:type="dcterms:W3CDTF">2021-03-22T16:39:33Z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