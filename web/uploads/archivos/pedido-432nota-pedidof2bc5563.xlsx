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3 TRIMESTRE 2022\HNEP\tracto\"/>
    </mc:Choice>
  </mc:AlternateContent>
  <xr:revisionPtr revIDLastSave="0" documentId="8_{C6EBC4F1-B2AE-485D-A537-16C83A7CD046}" xr6:coauthVersionLast="47" xr6:coauthVersionMax="47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Trimestrales'!$A$9:$I$24</definedName>
    <definedName name="_xlnm.Print_Area" localSheetId="1">' NotaPedido'!$A$1:$K$36</definedName>
    <definedName name="_xlnm.Print_Area" localSheetId="2">'Autor Gastar'!$A$1:$Q$25</definedName>
    <definedName name="_xlnm.Print_Area" localSheetId="0">'Necesidades Trimestrales'!$E$9:$E$24</definedName>
  </definedNames>
  <calcPr calcId="181029"/>
</workbook>
</file>

<file path=xl/calcChain.xml><?xml version="1.0" encoding="utf-8"?>
<calcChain xmlns="http://schemas.openxmlformats.org/spreadsheetml/2006/main">
  <c r="B35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13" i="2"/>
  <c r="B12" i="2"/>
  <c r="K27" i="2" l="1"/>
  <c r="K28" i="2"/>
  <c r="K29" i="2"/>
  <c r="K30" i="2"/>
  <c r="K31" i="2"/>
  <c r="K32" i="2"/>
  <c r="K33" i="2"/>
  <c r="K34" i="2"/>
  <c r="K35" i="2"/>
  <c r="J27" i="2"/>
  <c r="J28" i="2"/>
  <c r="J29" i="2"/>
  <c r="J30" i="2"/>
  <c r="J31" i="2"/>
  <c r="J32" i="2"/>
  <c r="J33" i="2"/>
  <c r="J34" i="2"/>
  <c r="J35" i="2"/>
  <c r="I27" i="2"/>
  <c r="I28" i="2"/>
  <c r="I29" i="2"/>
  <c r="I30" i="2"/>
  <c r="I31" i="2"/>
  <c r="I32" i="2"/>
  <c r="I33" i="2"/>
  <c r="I34" i="2"/>
  <c r="I35" i="2"/>
  <c r="C27" i="2"/>
  <c r="C28" i="2"/>
  <c r="C29" i="2"/>
  <c r="C30" i="2"/>
  <c r="C31" i="2"/>
  <c r="C32" i="2"/>
  <c r="C33" i="2"/>
  <c r="C34" i="2"/>
  <c r="C35" i="2"/>
  <c r="I25" i="1"/>
  <c r="I26" i="1"/>
  <c r="I27" i="1"/>
  <c r="I28" i="1"/>
  <c r="I29" i="1"/>
  <c r="I30" i="1"/>
  <c r="I31" i="1"/>
  <c r="I32" i="1"/>
  <c r="I33" i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10" i="1"/>
  <c r="A10" i="3" l="1"/>
  <c r="G6" i="3" l="1"/>
  <c r="D3" i="2"/>
  <c r="G4" i="3" s="1"/>
  <c r="D4" i="2"/>
  <c r="G5" i="3" s="1"/>
  <c r="D1" i="3" l="1"/>
  <c r="K12" i="2"/>
  <c r="J12" i="2"/>
  <c r="J36" i="2" s="1"/>
  <c r="I12" i="2"/>
  <c r="C12" i="2"/>
  <c r="Q21" i="3" l="1"/>
</calcChain>
</file>

<file path=xl/sharedStrings.xml><?xml version="1.0" encoding="utf-8"?>
<sst xmlns="http://schemas.openxmlformats.org/spreadsheetml/2006/main" count="200" uniqueCount="132">
  <si>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</si>
  <si>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</si>
  <si>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</si>
  <si>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</si>
  <si>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</si>
  <si>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</si>
  <si>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</si>
  <si>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</si>
  <si>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</si>
  <si>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</si>
  <si>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</si>
  <si>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</si>
  <si>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</si>
  <si>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</si>
  <si>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</si>
  <si>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</si>
  <si>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</si>
  <si>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</si>
  <si>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</si>
  <si>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</si>
  <si>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</si>
  <si>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</si>
  <si>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</si>
  <si>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</si>
  <si>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</si>
  <si>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</si>
  <si>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</si>
  <si>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</si>
  <si>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</si>
  <si>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</si>
  <si>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</si>
  <si>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</si>
  <si>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</si>
  <si>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</si>
  <si>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</si>
  <si>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</si>
  <si>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</si>
  <si>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</si>
  <si>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</si>
  <si>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</si>
  <si>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</si>
  <si>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</si>
  <si>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</si>
  <si>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</si>
  <si>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</si>
  <si>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</si>
  <si>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</si>
  <si>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</si>
  <si>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</si>
  <si>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</si>
  <si>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</si>
  <si>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</si>
  <si>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</si>
  <si>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</si>
  <si>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</si>
  <si>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</si>
  <si>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</si>
  <si>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Tracto Alimentario y  Metabolismo</t>
  </si>
  <si>
    <t>Para la adquisición de Insumos relacionados al Tracto Alimentario y Metabolismo destinados al Servicio de Farmacia del Hospital Interzonal de Niños Eva Peron, para el normal funcionamiento del organismo.</t>
  </si>
  <si>
    <t>COMPRIMIDO</t>
  </si>
  <si>
    <t>FRASCO</t>
  </si>
  <si>
    <t>AMPOLLA</t>
  </si>
  <si>
    <t>GOTERO</t>
  </si>
  <si>
    <t>CAPSULA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</si>
  <si>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</si>
  <si>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</si>
  <si>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CAJA</t>
  </si>
  <si>
    <t>Semestral</t>
  </si>
  <si>
    <t>2.5.2-3259.11</t>
  </si>
  <si>
    <t>PROD. MEDICO/FARMACEUTICOS/LAB</t>
  </si>
  <si>
    <t>DIGESTIVOS; TIPO: MONODROGA, DROGA GENERICA: ACIDO URSODESOXICOLICO, FORMA FARMACEUTICA: COMPRIMIDO, PRESENTACION: 150 MGR</t>
  </si>
  <si>
    <t>2.5.2-1841.33</t>
  </si>
  <si>
    <t>ANTIACIDOS; TIPO: ASOCIACION, DROGA GENERICA: HIDROX. ALUM. + HIDROX. MAG., FORMA FARMACEUTICA: SUSPENSION, PRESENTACION: ENVASE X 160 ML</t>
  </si>
  <si>
    <t>2.5.2-1843.63</t>
  </si>
  <si>
    <t>ANTIESPASMODICOS; TIPO: MONODROGA, DROGA GENERICA: ATROPINA 1%, FORMA FARMACEUTICA: AMPOLLA, PRESENTACION: ENVASE X 1 mL</t>
  </si>
  <si>
    <t>2.5.2-1843.51</t>
  </si>
  <si>
    <t>ANTIESPASMODICOS; TIPO: MONODROGA, DROGA GENERICA: HIOSCINA N-BUTILBROMURO 20 MG, FORMA FARMACEUTICA: AMPOLLA, PRESENTACION: 1 ML</t>
  </si>
  <si>
    <t>2.5.2-1903.66</t>
  </si>
  <si>
    <t>RECONSTITUYENTE GENERAL; TIPO: MONODROGA, DROGA GENERICA: CALCIO CARBONATO, FORMA FARMACEUTICA: COMPRIMIDO, PRESENTACION: 1250 mGr</t>
  </si>
  <si>
    <t>2.5.2-8078.68</t>
  </si>
  <si>
    <t>QUIMICOS</t>
  </si>
  <si>
    <t>EXCIPIENTES; TIPO: MONODROGA, PRESENTACION: ENVASE X 1 Kg, COMPUESTO: CARBON ACTIVADO, CONCENTRACION/PUREZA: 100 %</t>
  </si>
  <si>
    <t>UNIDAD</t>
  </si>
  <si>
    <t>2.5.2-1901.7</t>
  </si>
  <si>
    <t>VITAMINAS; FORMA FARMACEUTICA: AMPOLLA, PRESENTACION: 2 mL, TIPO: MONODROGA, DROGA GENERICA: VITAMINA B</t>
  </si>
  <si>
    <t>2.5.2-1872.65</t>
  </si>
  <si>
    <t>ANTIANEMICOS; TIPO: MONODROGA, DROGA GENERICA: COMPLEJO VITAMINICO B, FORMA FARMACEUTICA: COMPRIMIDO, PRESENTACION: UNIDAD</t>
  </si>
  <si>
    <t>2.5.2-6910.3</t>
  </si>
  <si>
    <t>ANTIEMETICOS; TIPO: MONODROGA, DROGA GENERICA: DOMPERIDONA 4 MG, FORMA FARMACEUTICA: AMPOLLA, PRESENTACION: 3 ML</t>
  </si>
  <si>
    <t>2.5.2-6910.11</t>
  </si>
  <si>
    <t>ANTIEMETICOS; TIPO: MONODROGA, DROGA GENERICA: DOMPERIDONA 1%, FORMA FARMACEUTICA: GOTAS, PRESENTACION: ENVASE X 20 ML</t>
  </si>
  <si>
    <t>2.5.2-2689.1</t>
  </si>
  <si>
    <t>NORMALIZADORES DE CALCEMIA; TIPO: MONODROGA, FORMA FARMACEUTICA: ELIXIR, PRESENTACION: 150 mL, DROGA GENERICA: GLUCONATO DE POTASIO</t>
  </si>
  <si>
    <t>2.5.2-1861.38</t>
  </si>
  <si>
    <t>HIPOGLUCEMIANTES INYECTABLES; TIPO: MONODROGA, DROGA GENERICA: INSULINA ASPARTICA, FORMA FARMACEUTICA: LAPICERA PRELLENADA, PRESENTACION: 5 UNIDADES</t>
  </si>
  <si>
    <t>2.5.2-1861.39</t>
  </si>
  <si>
    <t>HIPOGLUCEMIANTES INYECTABLES; TIPO: MONODROGA, DROGA GENERICA: INSULINA HUMANA NHP 100 UI, FORMA FARMACEUTICA: LAPICERA PRELLENADA, PRESENTACION: 5 AMPOLLAS</t>
  </si>
  <si>
    <t>2.5.2-2804.1</t>
  </si>
  <si>
    <t>REGULADORES INTESTINALES; TIPO: MONODROGA, DROGA GENERICA: LACTULOSA, FORMA FARMACEUTICA: JARABE, PRESENTACION: 120 mL</t>
  </si>
  <si>
    <t>2.5.2-2480.14</t>
  </si>
  <si>
    <t>ANTIHEMETICOS; TIPO: MONODROGA, DROGA GENERICA: METOCLOPRAMIDA 0,2 %, FORMA FARMACEUTICA: GOTAS, PRESENTACION: 20 ML</t>
  </si>
  <si>
    <t>2.5.2-6910.6</t>
  </si>
  <si>
    <t>ANTIEMETICOS; TIPO: MONODROGA, DROGA GENERICA: METOCLOPRAMIDA, FORMA FARMACEUTICA: AMPOLLA, PRESENTACION: 2 mL</t>
  </si>
  <si>
    <t>2.5.2-1823.46</t>
  </si>
  <si>
    <t>ANTIMICOTICOS; TIPO: MONODROGA, DROGA GENERICA: NISTATINA 100000 UI/ML, FORMA FARMACEUTICA: SUSPENSION, PRESENTACION: ENVASE X 60 mL</t>
  </si>
  <si>
    <t>2.5.2-1849.3</t>
  </si>
  <si>
    <t>ANTIULCEROSOS; TIPO: MONODROGA, DROGA GENERICA: OMEPRAZOL, FORMA FARMACEUTICA: CAPSULA, PRESENTACION: 20 mGr</t>
  </si>
  <si>
    <t>2.5.2-1849.19</t>
  </si>
  <si>
    <t>ANTIULCEROSOS; TIPO: MONODROGA, DROGA GENERICA: OMEPRAZOL 40 mGr, FORMA FARMACEUTICA: AMPOLLA, PRESENTACION: UNIDAD</t>
  </si>
  <si>
    <t>2.5.2-1901.127</t>
  </si>
  <si>
    <t>VITAMINAS; TIPO: ASOCIACION, DROGA GENERICA: VIT.A +D+C, FORMA FARMACEUTICA: GOTA, PRESENTACION: 30 ML</t>
  </si>
  <si>
    <t>2.5.2-1841.17</t>
  </si>
  <si>
    <t>ANTIACIDOS; TIPO: MONODROGA, DROGA GENERICA: RANITIDINA, FORMA FARMACEUTICA: AMPOLLA, PRESENTACION: UNIDAD</t>
  </si>
  <si>
    <t>2.5.2-5520.5</t>
  </si>
  <si>
    <t>VASELINA; TIPO: LIQUIDA, PRESENTACION: ENVASE X 1000 mL</t>
  </si>
  <si>
    <t>2.5.2-1901.129</t>
  </si>
  <si>
    <t>VITAMINAS; TIPO: MONODROGA, DROGA GENERICA: VITAMINA C, FORMA FARMACEUTICA: COMPRIMIDOS, PRESENTACION: 10 COMPRIMIDOS</t>
  </si>
  <si>
    <t>2.5.2-1901.130</t>
  </si>
  <si>
    <t>VITAMINAS; TIPO: MONODROGA, DROGA GENERICA: VITAMINA D3 2000 UI/ML, FORMA FARMACEUTICA: SOLUCION, PRESENTACION: 2 ML</t>
  </si>
  <si>
    <t>Especificidades Item N° 13:</t>
  </si>
  <si>
    <r>
      <rPr>
        <b/>
        <sz val="11"/>
        <rFont val="Calibri"/>
      </rPr>
      <t xml:space="preserve">Descripción técnica: </t>
    </r>
    <r>
      <rPr>
        <sz val="11"/>
        <rFont val="Calibri"/>
      </rPr>
      <t>INSULINA CORRIENTE HUMANA 100 UI FCO AMP 10 ML</t>
    </r>
  </si>
  <si>
    <t>Especificidades Item N° 23:</t>
  </si>
  <si>
    <r>
      <rPr>
        <b/>
        <sz val="11"/>
        <rFont val="Calibri"/>
      </rPr>
      <t>Descripción técnica:</t>
    </r>
    <r>
      <rPr>
        <sz val="11"/>
        <rFont val="Calibri"/>
      </rPr>
      <t xml:space="preserve"> VITAMINA C , CONCENTRACION 2GRS , COMPRIMIDOS EFERVESCENTES </t>
    </r>
  </si>
  <si>
    <t>Especificidades Item N° 7:</t>
  </si>
  <si>
    <r>
      <t>Mantenimiento de Oferta</t>
    </r>
    <r>
      <rPr>
        <sz val="10"/>
        <rFont val="Times New Roman"/>
        <family val="1"/>
      </rPr>
      <t xml:space="preserve">: Cuarenta y Cinco (45) dias habiles. 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</si>
  <si>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</si>
  <si>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024 - Direccion de Administracion del Hospital Interzonal de Niños</t>
  </si>
  <si>
    <t>Costo total estimado: Un Millon Ciento Cincuenta y Un Mil Novecientos Cuarenta y Ocho Con 00/100.</t>
  </si>
  <si>
    <t>SI</t>
  </si>
  <si>
    <r>
      <t>Descripción técnica:</t>
    </r>
    <r>
      <rPr>
        <sz val="10"/>
        <rFont val="Calibri"/>
        <family val="2"/>
      </rPr>
      <t xml:space="preserve"> </t>
    </r>
    <r>
      <rPr>
        <sz val="11"/>
        <rFont val="Calibri"/>
        <family val="2"/>
      </rPr>
      <t>VITAMINAS; FORMA FARMACEUTICA: AMPOLLA, PRESENTACION: 2 mL, TIPO: BECOZYM NF AMPOLLAS</t>
    </r>
  </si>
  <si>
    <t>TOTAL DE PESOS: UN MILLON CIENTO CINCUENTA Y UN MIL NOVECIENTOS CUARENTA Y OCHO CON 00/100.</t>
  </si>
  <si>
    <t>070/2022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</si>
</sst>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&quot;$&quot;\ * #,##0.00_-;\-&quot;$&quot;\ * #,##0.00_-;_-&quot;$&quot;\ * &quot;-&quot;??_-;_-@"/>
  </numFmts>
  <fonts count="3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u/>
      <sz val="10"/>
      <name val="Times New Roman"/>
      <family val="1"/>
    </font>
    <font>
      <sz val="10"/>
      <name val="Arial"/>
    </font>
    <font>
      <b/>
      <u/>
      <sz val="11"/>
      <name val="Calibri"/>
    </font>
    <font>
      <b/>
      <sz val="11"/>
      <name val="Calibri"/>
    </font>
    <font>
      <sz val="11"/>
      <name val="Calibri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7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5" fillId="0" borderId="0"/>
    <xf numFmtId="43" fontId="1" fillId="0" borderId="0" applyFont="0" applyFill="0" applyBorder="0" applyAlignment="0" applyProtection="0"/>
  </cellStyleXfs>
  <cellXfs count="17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4" xfId="0" applyBorder="1"/>
    <xf numFmtId="0" fontId="0" fillId="0" borderId="18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19" xfId="0" applyBorder="1"/>
    <xf numFmtId="0" fontId="0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166" fontId="0" fillId="0" borderId="25" xfId="3" applyNumberFormat="1" applyFont="1" applyBorder="1" applyAlignment="1" applyProtection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166" fontId="14" fillId="0" borderId="30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166" fontId="16" fillId="0" borderId="0" xfId="0" applyNumberFormat="1" applyFont="1"/>
    <xf numFmtId="0" fontId="6" fillId="3" borderId="4" xfId="0" applyFont="1" applyFill="1" applyBorder="1" applyAlignment="1">
      <alignment horizontal="right" vertical="center"/>
    </xf>
    <xf numFmtId="0" fontId="7" fillId="4" borderId="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6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3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3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7" fontId="16" fillId="0" borderId="0" xfId="0" applyNumberFormat="1" applyFont="1"/>
    <xf numFmtId="169" fontId="21" fillId="0" borderId="0" xfId="0" applyNumberFormat="1" applyFont="1"/>
    <xf numFmtId="169" fontId="22" fillId="0" borderId="0" xfId="0" applyNumberFormat="1" applyFont="1" applyAlignment="1">
      <alignment horizontal="left" wrapText="1"/>
    </xf>
    <xf numFmtId="167" fontId="3" fillId="3" borderId="0" xfId="0" applyNumberFormat="1" applyFont="1" applyFill="1" applyBorder="1" applyAlignment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15" fillId="0" borderId="22" xfId="0" applyFont="1" applyFill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0" xfId="0" applyFont="1" applyBorder="1" applyAlignment="1">
      <alignment horizontal="left" vertical="center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166" fontId="21" fillId="4" borderId="50" xfId="1" applyNumberFormat="1" applyFont="1" applyFill="1" applyBorder="1" applyAlignment="1" applyProtection="1">
      <alignment horizontal="right" vertical="center" wrapText="1"/>
    </xf>
    <xf numFmtId="0" fontId="5" fillId="3" borderId="49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left" vertical="center"/>
    </xf>
    <xf numFmtId="3" fontId="5" fillId="3" borderId="50" xfId="0" applyNumberFormat="1" applyFont="1" applyFill="1" applyBorder="1" applyAlignment="1">
      <alignment horizontal="center" vertical="center"/>
    </xf>
    <xf numFmtId="166" fontId="5" fillId="3" borderId="48" xfId="1" applyNumberFormat="1" applyFont="1" applyFill="1" applyBorder="1" applyAlignment="1" applyProtection="1">
      <alignment horizontal="right" vertical="center" wrapText="1"/>
    </xf>
    <xf numFmtId="0" fontId="5" fillId="4" borderId="48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69" fontId="24" fillId="0" borderId="8" xfId="0" applyNumberFormat="1" applyFont="1" applyBorder="1" applyAlignment="1">
      <alignment horizontal="center" vertical="center" wrapText="1"/>
    </xf>
    <xf numFmtId="0" fontId="26" fillId="0" borderId="55" xfId="0" applyFont="1" applyBorder="1" applyAlignment="1">
      <alignment horizontal="left" indent="3"/>
    </xf>
    <xf numFmtId="0" fontId="16" fillId="0" borderId="56" xfId="0" applyFont="1" applyBorder="1"/>
    <xf numFmtId="0" fontId="16" fillId="0" borderId="57" xfId="0" applyFont="1" applyBorder="1"/>
    <xf numFmtId="0" fontId="16" fillId="0" borderId="58" xfId="0" applyFont="1" applyBorder="1"/>
    <xf numFmtId="0" fontId="26" fillId="0" borderId="60" xfId="0" applyFont="1" applyBorder="1" applyAlignment="1"/>
    <xf numFmtId="0" fontId="16" fillId="0" borderId="61" xfId="0" applyFont="1" applyBorder="1" applyAlignment="1">
      <alignment horizontal="center" wrapText="1"/>
    </xf>
    <xf numFmtId="0" fontId="16" fillId="0" borderId="61" xfId="0" applyFont="1" applyFill="1" applyBorder="1" applyAlignment="1">
      <alignment horizontal="center" wrapText="1"/>
    </xf>
    <xf numFmtId="0" fontId="16" fillId="0" borderId="62" xfId="0" applyFont="1" applyBorder="1" applyAlignment="1">
      <alignment horizont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54" xfId="0" applyFont="1" applyBorder="1" applyAlignment="1">
      <alignment horizontal="left" vertical="center" wrapText="1"/>
    </xf>
    <xf numFmtId="3" fontId="27" fillId="0" borderId="54" xfId="0" applyNumberFormat="1" applyFont="1" applyBorder="1" applyAlignment="1">
      <alignment horizontal="center" vertical="center"/>
    </xf>
    <xf numFmtId="170" fontId="27" fillId="0" borderId="54" xfId="0" applyNumberFormat="1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 wrapText="1"/>
    </xf>
    <xf numFmtId="170" fontId="27" fillId="0" borderId="54" xfId="0" applyNumberFormat="1" applyFont="1" applyBorder="1" applyAlignment="1">
      <alignment horizontal="right" vertical="center"/>
    </xf>
    <xf numFmtId="0" fontId="27" fillId="0" borderId="0" xfId="0" applyFont="1" applyBorder="1" applyAlignment="1">
      <alignment horizontal="center" vertical="center"/>
    </xf>
    <xf numFmtId="0" fontId="28" fillId="0" borderId="64" xfId="0" applyFont="1" applyBorder="1"/>
    <xf numFmtId="0" fontId="27" fillId="0" borderId="65" xfId="0" applyFont="1" applyBorder="1"/>
    <xf numFmtId="0" fontId="27" fillId="0" borderId="66" xfId="0" applyFont="1" applyBorder="1"/>
    <xf numFmtId="0" fontId="29" fillId="0" borderId="67" xfId="0" applyFont="1" applyBorder="1"/>
    <xf numFmtId="0" fontId="27" fillId="0" borderId="68" xfId="0" applyFont="1" applyBorder="1"/>
    <xf numFmtId="0" fontId="27" fillId="0" borderId="69" xfId="0" applyFont="1" applyBorder="1"/>
    <xf numFmtId="0" fontId="32" fillId="0" borderId="67" xfId="0" applyFont="1" applyBorder="1"/>
    <xf numFmtId="0" fontId="16" fillId="4" borderId="58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59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28" fillId="0" borderId="64" xfId="0" applyFont="1" applyBorder="1" applyAlignment="1">
      <alignment horizontal="left"/>
    </xf>
    <xf numFmtId="0" fontId="27" fillId="0" borderId="65" xfId="0" applyFont="1" applyBorder="1"/>
    <xf numFmtId="0" fontId="27" fillId="0" borderId="66" xfId="0" applyFont="1" applyBorder="1"/>
    <xf numFmtId="0" fontId="7" fillId="3" borderId="8" xfId="0" applyFont="1" applyFill="1" applyBorder="1" applyAlignment="1">
      <alignment horizontal="left" vertical="center" wrapText="1" indent="1"/>
    </xf>
    <xf numFmtId="167" fontId="8" fillId="3" borderId="8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51" xfId="0" applyFont="1" applyFill="1" applyBorder="1" applyAlignment="1">
      <alignment horizontal="left" vertical="center" wrapText="1"/>
    </xf>
    <xf numFmtId="0" fontId="5" fillId="3" borderId="48" xfId="0" applyFont="1" applyFill="1" applyBorder="1" applyAlignment="1">
      <alignment horizontal="left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 wrapText="1" indent="1"/>
    </xf>
    <xf numFmtId="0" fontId="9" fillId="3" borderId="10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left" vertical="center" wrapText="1" indent="1"/>
    </xf>
    <xf numFmtId="0" fontId="0" fillId="0" borderId="24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0" fillId="0" borderId="30" xfId="0" applyFont="1" applyBorder="1" applyAlignment="1">
      <alignment horizontal="left" vertical="center" wrapText="1"/>
    </xf>
    <xf numFmtId="0" fontId="0" fillId="0" borderId="15" xfId="0" applyBorder="1"/>
    <xf numFmtId="0" fontId="25" fillId="0" borderId="22" xfId="0" applyFont="1" applyFill="1" applyBorder="1" applyAlignment="1">
      <alignment horizontal="left" vertical="center" wrapText="1"/>
    </xf>
    <xf numFmtId="0" fontId="15" fillId="0" borderId="24" xfId="0" applyFont="1" applyBorder="1" applyAlignment="1">
      <alignment horizontal="left" vertical="center"/>
    </xf>
    <xf numFmtId="0" fontId="10" fillId="0" borderId="13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16" xfId="0" applyFont="1" applyBorder="1"/>
    <xf numFmtId="0" fontId="12" fillId="0" borderId="17" xfId="0" applyFont="1" applyBorder="1" applyAlignment="1">
      <alignment horizontal="left" vertical="center" wrapText="1" indent="1"/>
    </xf>
    <xf numFmtId="0" fontId="14" fillId="0" borderId="15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indent="1"/>
    </xf>
    <xf numFmtId="0" fontId="13" fillId="0" borderId="5" xfId="0" applyFont="1" applyBorder="1" applyAlignment="1">
      <alignment horizontal="left"/>
    </xf>
    <xf numFmtId="0" fontId="0" fillId="0" borderId="13" xfId="0" applyFont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3" fillId="0" borderId="5" xfId="0" applyFont="1" applyBorder="1"/>
    <xf numFmtId="0" fontId="27" fillId="5" borderId="54" xfId="0" applyFont="1" applyFill="1" applyBorder="1" applyAlignment="1">
      <alignment horizontal="center" vertical="center" wrapText="1"/>
    </xf>
    <xf numFmtId="0" fontId="27" fillId="5" borderId="54" xfId="0" applyFont="1" applyFill="1" applyBorder="1" applyAlignment="1">
      <alignment horizontal="left" vertical="center" wrapText="1"/>
    </xf>
    <xf numFmtId="0" fontId="21" fillId="5" borderId="49" xfId="0" applyFont="1" applyFill="1" applyBorder="1" applyAlignment="1">
      <alignment horizontal="center" vertical="center"/>
    </xf>
    <xf numFmtId="3" fontId="27" fillId="5" borderId="54" xfId="0" applyNumberFormat="1" applyFont="1" applyFill="1" applyBorder="1" applyAlignment="1">
      <alignment horizontal="center" vertical="center"/>
    </xf>
    <xf numFmtId="170" fontId="27" fillId="5" borderId="54" xfId="0" applyNumberFormat="1" applyFont="1" applyFill="1" applyBorder="1" applyAlignment="1">
      <alignment horizontal="center" vertical="center"/>
    </xf>
    <xf numFmtId="166" fontId="21" fillId="6" borderId="50" xfId="1" applyNumberFormat="1" applyFont="1" applyFill="1" applyBorder="1" applyAlignment="1" applyProtection="1">
      <alignment horizontal="right" vertical="center" wrapText="1"/>
    </xf>
    <xf numFmtId="0" fontId="0" fillId="5" borderId="54" xfId="0" applyFont="1" applyFill="1" applyBorder="1" applyAlignment="1">
      <alignment horizontal="center" vertical="center" wrapText="1"/>
    </xf>
    <xf numFmtId="0" fontId="21" fillId="0" borderId="52" xfId="0" applyFont="1" applyFill="1" applyBorder="1" applyAlignment="1">
      <alignment horizontal="center" vertical="center"/>
    </xf>
    <xf numFmtId="0" fontId="27" fillId="0" borderId="63" xfId="0" applyFont="1" applyFill="1" applyBorder="1" applyAlignment="1">
      <alignment horizontal="center" vertical="center" wrapText="1"/>
    </xf>
    <xf numFmtId="0" fontId="27" fillId="0" borderId="54" xfId="0" applyFont="1" applyFill="1" applyBorder="1" applyAlignment="1">
      <alignment horizontal="center" vertical="center" wrapText="1"/>
    </xf>
    <xf numFmtId="0" fontId="0" fillId="0" borderId="63" xfId="0" applyFont="1" applyFill="1" applyBorder="1" applyAlignment="1">
      <alignment horizontal="center" vertical="center" wrapText="1"/>
    </xf>
    <xf numFmtId="0" fontId="27" fillId="0" borderId="54" xfId="0" applyFont="1" applyFill="1" applyBorder="1" applyAlignment="1">
      <alignment horizontal="left" vertical="center" wrapText="1"/>
    </xf>
    <xf numFmtId="3" fontId="27" fillId="0" borderId="63" xfId="0" applyNumberFormat="1" applyFont="1" applyFill="1" applyBorder="1" applyAlignment="1">
      <alignment horizontal="center" vertical="center"/>
    </xf>
    <xf numFmtId="170" fontId="27" fillId="0" borderId="63" xfId="0" applyNumberFormat="1" applyFont="1" applyFill="1" applyBorder="1" applyAlignment="1">
      <alignment horizontal="center" vertical="center"/>
    </xf>
    <xf numFmtId="166" fontId="21" fillId="0" borderId="53" xfId="1" applyNumberFormat="1" applyFont="1" applyFill="1" applyBorder="1" applyAlignment="1" applyProtection="1">
      <alignment horizontal="right" vertical="center" wrapText="1"/>
    </xf>
    <xf numFmtId="0" fontId="21" fillId="0" borderId="49" xfId="0" applyFont="1" applyFill="1" applyBorder="1" applyAlignment="1">
      <alignment horizontal="center" vertical="center"/>
    </xf>
    <xf numFmtId="3" fontId="27" fillId="0" borderId="54" xfId="0" applyNumberFormat="1" applyFont="1" applyFill="1" applyBorder="1" applyAlignment="1">
      <alignment horizontal="center" vertical="center"/>
    </xf>
    <xf numFmtId="170" fontId="27" fillId="0" borderId="54" xfId="0" applyNumberFormat="1" applyFont="1" applyFill="1" applyBorder="1" applyAlignment="1">
      <alignment horizontal="center" vertical="center"/>
    </xf>
    <xf numFmtId="166" fontId="21" fillId="0" borderId="50" xfId="1" applyNumberFormat="1" applyFont="1" applyFill="1" applyBorder="1" applyAlignment="1" applyProtection="1">
      <alignment horizontal="right" vertical="center" wrapText="1"/>
    </xf>
    <xf numFmtId="0" fontId="0" fillId="0" borderId="54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left" vertical="center" wrapText="1"/>
    </xf>
    <xf numFmtId="0" fontId="27" fillId="0" borderId="54" xfId="0" applyFont="1" applyFill="1" applyBorder="1" applyAlignment="1">
      <alignment horizontal="center" vertical="center"/>
    </xf>
    <xf numFmtId="170" fontId="27" fillId="0" borderId="54" xfId="0" applyNumberFormat="1" applyFont="1" applyFill="1" applyBorder="1" applyAlignment="1">
      <alignment horizontal="right" vertical="center"/>
    </xf>
  </cellXfs>
  <cellStyles count="7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48"/>
  <sheetViews>
    <sheetView tabSelected="1" topLeftCell="A19" zoomScale="93" zoomScaleNormal="93" workbookViewId="0">
      <selection activeCell="N27" sqref="N27"/>
    </sheetView>
  </sheetViews>
  <sheetFormatPr baseColWidth="10" defaultColWidth="11" defaultRowHeight="12.75" x14ac:dyDescent="0.2"/>
  <cols>
    <col min="1" max="1" width="6.42578125" style="26" customWidth="1"/>
    <col min="2" max="2" width="15.1406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3.5703125" style="26" customWidth="1"/>
    <col min="7" max="7" width="10.42578125" style="26" bestFit="1" customWidth="1"/>
    <col min="8" max="8" width="13.85546875" style="47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97" t="s">
        <v>0</v>
      </c>
      <c r="C2" s="97"/>
      <c r="D2" s="97"/>
      <c r="E2" s="97"/>
      <c r="F2" s="97"/>
      <c r="G2" s="97"/>
      <c r="H2" s="97"/>
    </row>
    <row r="3" spans="1:10" ht="12" customHeight="1" x14ac:dyDescent="0.2"/>
    <row r="4" spans="1:10" ht="18" customHeight="1" x14ac:dyDescent="0.25">
      <c r="A4" s="96" t="s">
        <v>1</v>
      </c>
      <c r="B4" s="96"/>
      <c r="C4" s="98" t="s">
        <v>51</v>
      </c>
      <c r="D4" s="98"/>
      <c r="E4" s="98"/>
      <c r="F4" s="27"/>
      <c r="G4" s="28"/>
      <c r="H4" s="48"/>
    </row>
    <row r="5" spans="1:10" ht="18" customHeight="1" x14ac:dyDescent="0.25">
      <c r="A5" s="96" t="s">
        <v>2</v>
      </c>
      <c r="B5" s="96"/>
      <c r="C5" s="98" t="s">
        <v>126</v>
      </c>
      <c r="D5" s="98"/>
      <c r="E5" s="98"/>
      <c r="F5" s="27"/>
      <c r="G5" s="28" t="s">
        <v>54</v>
      </c>
      <c r="H5" s="48"/>
    </row>
    <row r="6" spans="1:10" ht="16.5" customHeight="1" x14ac:dyDescent="0.25">
      <c r="A6" s="96" t="s">
        <v>3</v>
      </c>
      <c r="B6" s="96"/>
      <c r="C6" s="38">
        <v>2022</v>
      </c>
      <c r="D6" s="39"/>
      <c r="E6" s="39"/>
      <c r="F6" s="27"/>
      <c r="G6" s="28"/>
      <c r="H6" s="48"/>
    </row>
    <row r="7" spans="1:10" ht="16.5" customHeight="1" x14ac:dyDescent="0.25">
      <c r="A7" s="96" t="s">
        <v>4</v>
      </c>
      <c r="B7" s="96"/>
      <c r="C7" s="38">
        <v>3</v>
      </c>
      <c r="D7" s="39"/>
      <c r="E7" s="39"/>
      <c r="F7" s="27"/>
      <c r="G7" s="28"/>
      <c r="H7" s="48"/>
    </row>
    <row r="8" spans="1:10" ht="13.5" thickBot="1" x14ac:dyDescent="0.25">
      <c r="B8" s="27"/>
      <c r="C8" s="28"/>
      <c r="D8" s="27"/>
      <c r="E8" s="27"/>
      <c r="F8" s="27"/>
      <c r="G8" s="28"/>
      <c r="H8" s="48"/>
      <c r="J8" s="46"/>
    </row>
    <row r="9" spans="1:10" ht="36.75" thickBot="1" x14ac:dyDescent="0.25">
      <c r="A9" s="69" t="s">
        <v>5</v>
      </c>
      <c r="B9" s="69" t="s">
        <v>6</v>
      </c>
      <c r="C9" s="69" t="s">
        <v>7</v>
      </c>
      <c r="D9" s="69" t="s">
        <v>8</v>
      </c>
      <c r="E9" s="69" t="s">
        <v>9</v>
      </c>
      <c r="F9" s="69" t="s">
        <v>10</v>
      </c>
      <c r="G9" s="69" t="s">
        <v>11</v>
      </c>
      <c r="H9" s="70" t="s">
        <v>12</v>
      </c>
      <c r="I9" s="69" t="s">
        <v>13</v>
      </c>
    </row>
    <row r="10" spans="1:10" ht="38.25" x14ac:dyDescent="0.2">
      <c r="A10" s="154">
        <v>1</v>
      </c>
      <c r="B10" s="155" t="s">
        <v>68</v>
      </c>
      <c r="C10" s="156" t="s">
        <v>69</v>
      </c>
      <c r="D10" s="157">
        <v>252</v>
      </c>
      <c r="E10" s="158" t="s">
        <v>70</v>
      </c>
      <c r="F10" s="155" t="s">
        <v>59</v>
      </c>
      <c r="G10" s="159">
        <v>100</v>
      </c>
      <c r="H10" s="160">
        <v>58.5</v>
      </c>
      <c r="I10" s="161">
        <f>+G10*H10</f>
        <v>5850</v>
      </c>
    </row>
    <row r="11" spans="1:10" ht="38.25" x14ac:dyDescent="0.2">
      <c r="A11" s="162">
        <v>2</v>
      </c>
      <c r="B11" s="156" t="s">
        <v>71</v>
      </c>
      <c r="C11" s="156" t="s">
        <v>69</v>
      </c>
      <c r="D11" s="156">
        <v>252</v>
      </c>
      <c r="E11" s="158" t="s">
        <v>72</v>
      </c>
      <c r="F11" s="156" t="s">
        <v>60</v>
      </c>
      <c r="G11" s="163">
        <v>100</v>
      </c>
      <c r="H11" s="164">
        <v>260</v>
      </c>
      <c r="I11" s="165">
        <f t="shared" ref="I11:I33" si="0">+G11*H11</f>
        <v>26000</v>
      </c>
    </row>
    <row r="12" spans="1:10" ht="38.25" x14ac:dyDescent="0.2">
      <c r="A12" s="162">
        <v>3</v>
      </c>
      <c r="B12" s="156" t="s">
        <v>73</v>
      </c>
      <c r="C12" s="156" t="s">
        <v>69</v>
      </c>
      <c r="D12" s="166">
        <v>252</v>
      </c>
      <c r="E12" s="158" t="s">
        <v>74</v>
      </c>
      <c r="F12" s="156" t="s">
        <v>61</v>
      </c>
      <c r="G12" s="163">
        <v>300</v>
      </c>
      <c r="H12" s="164">
        <v>50.4</v>
      </c>
      <c r="I12" s="165">
        <f t="shared" si="0"/>
        <v>15120</v>
      </c>
    </row>
    <row r="13" spans="1:10" ht="38.25" x14ac:dyDescent="0.2">
      <c r="A13" s="162">
        <v>4</v>
      </c>
      <c r="B13" s="156" t="s">
        <v>75</v>
      </c>
      <c r="C13" s="156" t="s">
        <v>69</v>
      </c>
      <c r="D13" s="166">
        <v>252</v>
      </c>
      <c r="E13" s="167" t="s">
        <v>76</v>
      </c>
      <c r="F13" s="156" t="s">
        <v>61</v>
      </c>
      <c r="G13" s="163">
        <v>300</v>
      </c>
      <c r="H13" s="164">
        <v>65</v>
      </c>
      <c r="I13" s="165">
        <f t="shared" si="0"/>
        <v>19500</v>
      </c>
    </row>
    <row r="14" spans="1:10" ht="38.25" x14ac:dyDescent="0.2">
      <c r="A14" s="162">
        <v>5</v>
      </c>
      <c r="B14" s="156" t="s">
        <v>77</v>
      </c>
      <c r="C14" s="156" t="s">
        <v>69</v>
      </c>
      <c r="D14" s="166">
        <v>252</v>
      </c>
      <c r="E14" s="158" t="s">
        <v>78</v>
      </c>
      <c r="F14" s="156" t="s">
        <v>59</v>
      </c>
      <c r="G14" s="163">
        <v>200</v>
      </c>
      <c r="H14" s="164">
        <v>6.3</v>
      </c>
      <c r="I14" s="165">
        <f t="shared" si="0"/>
        <v>1260</v>
      </c>
    </row>
    <row r="15" spans="1:10" ht="38.25" x14ac:dyDescent="0.2">
      <c r="A15" s="162">
        <v>6</v>
      </c>
      <c r="B15" s="156" t="s">
        <v>79</v>
      </c>
      <c r="C15" s="168" t="s">
        <v>80</v>
      </c>
      <c r="D15" s="166">
        <v>252</v>
      </c>
      <c r="E15" s="167" t="s">
        <v>81</v>
      </c>
      <c r="F15" s="156" t="s">
        <v>82</v>
      </c>
      <c r="G15" s="163">
        <v>3</v>
      </c>
      <c r="H15" s="164">
        <v>1800</v>
      </c>
      <c r="I15" s="165">
        <f t="shared" si="0"/>
        <v>5400</v>
      </c>
    </row>
    <row r="16" spans="1:10" ht="38.25" x14ac:dyDescent="0.2">
      <c r="A16" s="162">
        <v>7</v>
      </c>
      <c r="B16" s="156" t="s">
        <v>83</v>
      </c>
      <c r="C16" s="156" t="s">
        <v>69</v>
      </c>
      <c r="D16" s="166">
        <v>252</v>
      </c>
      <c r="E16" s="158" t="s">
        <v>84</v>
      </c>
      <c r="F16" s="156" t="s">
        <v>61</v>
      </c>
      <c r="G16" s="163">
        <v>30</v>
      </c>
      <c r="H16" s="164">
        <v>110</v>
      </c>
      <c r="I16" s="165">
        <f t="shared" si="0"/>
        <v>3300</v>
      </c>
    </row>
    <row r="17" spans="1:9" ht="38.25" x14ac:dyDescent="0.2">
      <c r="A17" s="162">
        <v>8</v>
      </c>
      <c r="B17" s="156" t="s">
        <v>85</v>
      </c>
      <c r="C17" s="156" t="s">
        <v>69</v>
      </c>
      <c r="D17" s="166">
        <v>252</v>
      </c>
      <c r="E17" s="158" t="s">
        <v>86</v>
      </c>
      <c r="F17" s="156" t="s">
        <v>59</v>
      </c>
      <c r="G17" s="163">
        <v>100</v>
      </c>
      <c r="H17" s="164">
        <v>17.8</v>
      </c>
      <c r="I17" s="165">
        <f t="shared" si="0"/>
        <v>1780</v>
      </c>
    </row>
    <row r="18" spans="1:9" ht="38.25" x14ac:dyDescent="0.2">
      <c r="A18" s="162">
        <v>9</v>
      </c>
      <c r="B18" s="156" t="s">
        <v>87</v>
      </c>
      <c r="C18" s="156" t="s">
        <v>69</v>
      </c>
      <c r="D18" s="166">
        <v>252</v>
      </c>
      <c r="E18" s="167" t="s">
        <v>88</v>
      </c>
      <c r="F18" s="156" t="s">
        <v>61</v>
      </c>
      <c r="G18" s="163">
        <v>2000</v>
      </c>
      <c r="H18" s="164">
        <v>60</v>
      </c>
      <c r="I18" s="165">
        <f t="shared" si="0"/>
        <v>120000</v>
      </c>
    </row>
    <row r="19" spans="1:9" ht="38.25" x14ac:dyDescent="0.2">
      <c r="A19" s="162">
        <v>10</v>
      </c>
      <c r="B19" s="156" t="s">
        <v>89</v>
      </c>
      <c r="C19" s="156" t="s">
        <v>69</v>
      </c>
      <c r="D19" s="166">
        <v>252</v>
      </c>
      <c r="E19" s="158" t="s">
        <v>90</v>
      </c>
      <c r="F19" s="156" t="s">
        <v>62</v>
      </c>
      <c r="G19" s="163">
        <v>200</v>
      </c>
      <c r="H19" s="164">
        <v>210</v>
      </c>
      <c r="I19" s="165">
        <f t="shared" si="0"/>
        <v>42000</v>
      </c>
    </row>
    <row r="20" spans="1:9" ht="38.25" x14ac:dyDescent="0.2">
      <c r="A20" s="162">
        <v>11</v>
      </c>
      <c r="B20" s="156" t="s">
        <v>91</v>
      </c>
      <c r="C20" s="156" t="s">
        <v>69</v>
      </c>
      <c r="D20" s="166">
        <v>252</v>
      </c>
      <c r="E20" s="158" t="s">
        <v>92</v>
      </c>
      <c r="F20" s="156" t="s">
        <v>60</v>
      </c>
      <c r="G20" s="163">
        <v>50</v>
      </c>
      <c r="H20" s="164">
        <v>676.74</v>
      </c>
      <c r="I20" s="165">
        <f t="shared" si="0"/>
        <v>33837</v>
      </c>
    </row>
    <row r="21" spans="1:9" ht="51" x14ac:dyDescent="0.2">
      <c r="A21" s="162">
        <v>12</v>
      </c>
      <c r="B21" s="156" t="s">
        <v>93</v>
      </c>
      <c r="C21" s="156" t="s">
        <v>69</v>
      </c>
      <c r="D21" s="166">
        <v>252</v>
      </c>
      <c r="E21" s="158" t="s">
        <v>94</v>
      </c>
      <c r="F21" s="156" t="s">
        <v>66</v>
      </c>
      <c r="G21" s="163">
        <v>1</v>
      </c>
      <c r="H21" s="164">
        <v>15552</v>
      </c>
      <c r="I21" s="165">
        <f t="shared" si="0"/>
        <v>15552</v>
      </c>
    </row>
    <row r="22" spans="1:9" ht="51" x14ac:dyDescent="0.2">
      <c r="A22" s="149">
        <v>13</v>
      </c>
      <c r="B22" s="147" t="s">
        <v>95</v>
      </c>
      <c r="C22" s="147" t="s">
        <v>69</v>
      </c>
      <c r="D22" s="153">
        <v>252</v>
      </c>
      <c r="E22" s="148" t="s">
        <v>96</v>
      </c>
      <c r="F22" s="147" t="s">
        <v>66</v>
      </c>
      <c r="G22" s="150">
        <v>1</v>
      </c>
      <c r="H22" s="151">
        <v>8934</v>
      </c>
      <c r="I22" s="152">
        <f t="shared" si="0"/>
        <v>8934</v>
      </c>
    </row>
    <row r="23" spans="1:9" ht="38.25" x14ac:dyDescent="0.2">
      <c r="A23" s="61">
        <v>14</v>
      </c>
      <c r="B23" s="79" t="s">
        <v>97</v>
      </c>
      <c r="C23" s="79" t="s">
        <v>69</v>
      </c>
      <c r="D23" s="83">
        <v>252</v>
      </c>
      <c r="E23" s="80" t="s">
        <v>98</v>
      </c>
      <c r="F23" s="79" t="s">
        <v>60</v>
      </c>
      <c r="G23" s="81">
        <v>100</v>
      </c>
      <c r="H23" s="82">
        <v>365</v>
      </c>
      <c r="I23" s="62">
        <f t="shared" si="0"/>
        <v>36500</v>
      </c>
    </row>
    <row r="24" spans="1:9" ht="38.25" x14ac:dyDescent="0.2">
      <c r="A24" s="162">
        <v>15</v>
      </c>
      <c r="B24" s="156" t="s">
        <v>99</v>
      </c>
      <c r="C24" s="156" t="s">
        <v>69</v>
      </c>
      <c r="D24" s="166">
        <v>252</v>
      </c>
      <c r="E24" s="158" t="s">
        <v>100</v>
      </c>
      <c r="F24" s="156" t="s">
        <v>62</v>
      </c>
      <c r="G24" s="163">
        <v>1000</v>
      </c>
      <c r="H24" s="164">
        <v>145</v>
      </c>
      <c r="I24" s="165">
        <f t="shared" si="0"/>
        <v>145000</v>
      </c>
    </row>
    <row r="25" spans="1:9" ht="38.25" x14ac:dyDescent="0.2">
      <c r="A25" s="162">
        <v>16</v>
      </c>
      <c r="B25" s="156" t="s">
        <v>101</v>
      </c>
      <c r="C25" s="156" t="s">
        <v>69</v>
      </c>
      <c r="D25" s="166">
        <v>252</v>
      </c>
      <c r="E25" s="158" t="s">
        <v>102</v>
      </c>
      <c r="F25" s="156" t="s">
        <v>61</v>
      </c>
      <c r="G25" s="163">
        <v>100</v>
      </c>
      <c r="H25" s="164">
        <v>35.799999999999997</v>
      </c>
      <c r="I25" s="165">
        <f t="shared" si="0"/>
        <v>3579.9999999999995</v>
      </c>
    </row>
    <row r="26" spans="1:9" ht="38.25" x14ac:dyDescent="0.2">
      <c r="A26" s="162">
        <v>17</v>
      </c>
      <c r="B26" s="156" t="s">
        <v>103</v>
      </c>
      <c r="C26" s="156" t="s">
        <v>69</v>
      </c>
      <c r="D26" s="166">
        <v>252</v>
      </c>
      <c r="E26" s="158" t="s">
        <v>104</v>
      </c>
      <c r="F26" s="156" t="s">
        <v>60</v>
      </c>
      <c r="G26" s="163">
        <v>50</v>
      </c>
      <c r="H26" s="164">
        <v>285</v>
      </c>
      <c r="I26" s="165">
        <f t="shared" si="0"/>
        <v>14250</v>
      </c>
    </row>
    <row r="27" spans="1:9" ht="38.25" x14ac:dyDescent="0.2">
      <c r="A27" s="162">
        <v>18</v>
      </c>
      <c r="B27" s="156" t="s">
        <v>105</v>
      </c>
      <c r="C27" s="156" t="s">
        <v>69</v>
      </c>
      <c r="D27" s="166">
        <v>252</v>
      </c>
      <c r="E27" s="158" t="s">
        <v>106</v>
      </c>
      <c r="F27" s="156" t="s">
        <v>63</v>
      </c>
      <c r="G27" s="163">
        <v>3000</v>
      </c>
      <c r="H27" s="164">
        <v>2.2999999999999998</v>
      </c>
      <c r="I27" s="165">
        <f t="shared" si="0"/>
        <v>6899.9999999999991</v>
      </c>
    </row>
    <row r="28" spans="1:9" ht="38.25" x14ac:dyDescent="0.2">
      <c r="A28" s="162">
        <v>19</v>
      </c>
      <c r="B28" s="156" t="s">
        <v>107</v>
      </c>
      <c r="C28" s="156" t="s">
        <v>69</v>
      </c>
      <c r="D28" s="166">
        <v>252</v>
      </c>
      <c r="E28" s="158" t="s">
        <v>108</v>
      </c>
      <c r="F28" s="156" t="s">
        <v>61</v>
      </c>
      <c r="G28" s="163">
        <v>500</v>
      </c>
      <c r="H28" s="164">
        <v>550</v>
      </c>
      <c r="I28" s="165">
        <f t="shared" si="0"/>
        <v>275000</v>
      </c>
    </row>
    <row r="29" spans="1:9" ht="38.25" x14ac:dyDescent="0.2">
      <c r="A29" s="162">
        <v>20</v>
      </c>
      <c r="B29" s="156" t="s">
        <v>109</v>
      </c>
      <c r="C29" s="156" t="s">
        <v>69</v>
      </c>
      <c r="D29" s="166">
        <v>252</v>
      </c>
      <c r="E29" s="167" t="s">
        <v>110</v>
      </c>
      <c r="F29" s="156" t="s">
        <v>60</v>
      </c>
      <c r="G29" s="163">
        <v>200</v>
      </c>
      <c r="H29" s="169">
        <v>210</v>
      </c>
      <c r="I29" s="165">
        <f t="shared" si="0"/>
        <v>42000</v>
      </c>
    </row>
    <row r="30" spans="1:9" ht="38.25" x14ac:dyDescent="0.2">
      <c r="A30" s="162">
        <v>21</v>
      </c>
      <c r="B30" s="156" t="s">
        <v>111</v>
      </c>
      <c r="C30" s="156" t="s">
        <v>69</v>
      </c>
      <c r="D30" s="166">
        <v>252</v>
      </c>
      <c r="E30" s="158" t="s">
        <v>112</v>
      </c>
      <c r="F30" s="156" t="s">
        <v>61</v>
      </c>
      <c r="G30" s="163">
        <v>5000</v>
      </c>
      <c r="H30" s="169">
        <v>47.5</v>
      </c>
      <c r="I30" s="165">
        <f t="shared" si="0"/>
        <v>237500</v>
      </c>
    </row>
    <row r="31" spans="1:9" ht="38.25" x14ac:dyDescent="0.2">
      <c r="A31" s="162">
        <v>22</v>
      </c>
      <c r="B31" s="156" t="s">
        <v>113</v>
      </c>
      <c r="C31" s="156" t="s">
        <v>69</v>
      </c>
      <c r="D31" s="166">
        <v>252</v>
      </c>
      <c r="E31" s="158" t="s">
        <v>114</v>
      </c>
      <c r="F31" s="156" t="s">
        <v>60</v>
      </c>
      <c r="G31" s="163">
        <v>30</v>
      </c>
      <c r="H31" s="169">
        <v>980</v>
      </c>
      <c r="I31" s="165">
        <f t="shared" si="0"/>
        <v>29400</v>
      </c>
    </row>
    <row r="32" spans="1:9" ht="38.25" x14ac:dyDescent="0.2">
      <c r="A32" s="61">
        <v>23</v>
      </c>
      <c r="B32" s="85" t="s">
        <v>115</v>
      </c>
      <c r="C32" s="79" t="s">
        <v>69</v>
      </c>
      <c r="D32" s="83">
        <v>252</v>
      </c>
      <c r="E32" s="80" t="s">
        <v>116</v>
      </c>
      <c r="F32" s="79" t="s">
        <v>66</v>
      </c>
      <c r="G32" s="81">
        <v>50</v>
      </c>
      <c r="H32" s="84">
        <v>882.5</v>
      </c>
      <c r="I32" s="62">
        <f t="shared" si="0"/>
        <v>44125</v>
      </c>
    </row>
    <row r="33" spans="1:9" ht="38.25" x14ac:dyDescent="0.2">
      <c r="A33" s="61">
        <v>24</v>
      </c>
      <c r="B33" s="79" t="s">
        <v>117</v>
      </c>
      <c r="C33" s="79" t="s">
        <v>69</v>
      </c>
      <c r="D33" s="83">
        <v>252</v>
      </c>
      <c r="E33" s="80" t="s">
        <v>118</v>
      </c>
      <c r="F33" s="79" t="s">
        <v>60</v>
      </c>
      <c r="G33" s="81">
        <v>20</v>
      </c>
      <c r="H33" s="84">
        <v>958</v>
      </c>
      <c r="I33" s="62">
        <f t="shared" si="0"/>
        <v>19160</v>
      </c>
    </row>
    <row r="34" spans="1:9" ht="13.5" thickBot="1" x14ac:dyDescent="0.25">
      <c r="I34" s="29"/>
    </row>
    <row r="35" spans="1:9" ht="15" x14ac:dyDescent="0.25">
      <c r="B35" s="99" t="s">
        <v>123</v>
      </c>
      <c r="C35" s="100"/>
      <c r="D35" s="100"/>
      <c r="E35" s="101"/>
      <c r="I35" s="29"/>
    </row>
    <row r="36" spans="1:9" ht="15.75" thickBot="1" x14ac:dyDescent="0.3">
      <c r="B36" s="92" t="s">
        <v>129</v>
      </c>
      <c r="C36" s="90"/>
      <c r="D36" s="90"/>
      <c r="E36" s="91"/>
      <c r="I36" s="29"/>
    </row>
    <row r="37" spans="1:9" ht="13.5" thickBot="1" x14ac:dyDescent="0.25">
      <c r="I37" s="29"/>
    </row>
    <row r="38" spans="1:9" ht="15" x14ac:dyDescent="0.25">
      <c r="B38" s="86" t="s">
        <v>119</v>
      </c>
      <c r="C38" s="87"/>
      <c r="D38" s="87"/>
      <c r="E38" s="88"/>
      <c r="I38" s="29"/>
    </row>
    <row r="39" spans="1:9" ht="15.75" thickBot="1" x14ac:dyDescent="0.3">
      <c r="B39" s="89" t="s">
        <v>120</v>
      </c>
      <c r="C39" s="90"/>
      <c r="D39" s="90"/>
      <c r="E39" s="91"/>
      <c r="I39" s="29"/>
    </row>
    <row r="40" spans="1:9" ht="13.5" thickBot="1" x14ac:dyDescent="0.25">
      <c r="I40" s="29"/>
    </row>
    <row r="41" spans="1:9" ht="15" x14ac:dyDescent="0.25">
      <c r="B41" s="99" t="s">
        <v>121</v>
      </c>
      <c r="C41" s="100"/>
      <c r="D41" s="100"/>
      <c r="E41" s="101"/>
      <c r="I41" s="29"/>
    </row>
    <row r="42" spans="1:9" ht="15.75" thickBot="1" x14ac:dyDescent="0.3">
      <c r="B42" s="89" t="s">
        <v>122</v>
      </c>
      <c r="C42" s="90"/>
      <c r="D42" s="90"/>
      <c r="E42" s="91"/>
      <c r="I42" s="29"/>
    </row>
    <row r="43" spans="1:9" ht="13.5" thickBot="1" x14ac:dyDescent="0.25">
      <c r="I43" s="29"/>
    </row>
    <row r="44" spans="1:9" x14ac:dyDescent="0.2">
      <c r="B44" s="71" t="s">
        <v>64</v>
      </c>
      <c r="C44" s="72"/>
      <c r="D44" s="72"/>
      <c r="E44" s="73"/>
      <c r="I44" s="29"/>
    </row>
    <row r="45" spans="1:9" ht="12.75" customHeight="1" x14ac:dyDescent="0.2">
      <c r="B45" s="93" t="s">
        <v>65</v>
      </c>
      <c r="C45" s="94"/>
      <c r="D45" s="94"/>
      <c r="E45" s="95"/>
    </row>
    <row r="46" spans="1:9" ht="27" customHeight="1" x14ac:dyDescent="0.2">
      <c r="B46" s="93"/>
      <c r="C46" s="94"/>
      <c r="D46" s="94"/>
      <c r="E46" s="95"/>
      <c r="F46" s="74"/>
    </row>
    <row r="47" spans="1:9" ht="17.25" customHeight="1" x14ac:dyDescent="0.2">
      <c r="B47" s="93" t="s">
        <v>125</v>
      </c>
      <c r="C47" s="94"/>
      <c r="D47" s="94"/>
      <c r="E47" s="95"/>
      <c r="F47" s="74"/>
    </row>
    <row r="48" spans="1:9" ht="20.25" customHeight="1" thickBot="1" x14ac:dyDescent="0.25">
      <c r="B48" s="75" t="s">
        <v>124</v>
      </c>
      <c r="C48" s="76"/>
      <c r="D48" s="77"/>
      <c r="E48" s="78"/>
      <c r="F48" s="74"/>
    </row>
  </sheetData>
  <autoFilter ref="A9:I24" xr:uid="{00000000-0009-0000-0000-000000000000}"/>
  <mergeCells count="11">
    <mergeCell ref="B45:E46"/>
    <mergeCell ref="B47:E47"/>
    <mergeCell ref="A6:B6"/>
    <mergeCell ref="A7:B7"/>
    <mergeCell ref="B2:H2"/>
    <mergeCell ref="A4:B4"/>
    <mergeCell ref="C4:E4"/>
    <mergeCell ref="A5:B5"/>
    <mergeCell ref="C5:E5"/>
    <mergeCell ref="B41:E41"/>
    <mergeCell ref="B35:E3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36"/>
  <sheetViews>
    <sheetView zoomScale="80" zoomScaleNormal="80" workbookViewId="0">
      <selection activeCell="D8" sqref="D8:K8"/>
    </sheetView>
  </sheetViews>
  <sheetFormatPr baseColWidth="10" defaultColWidth="9.140625" defaultRowHeight="12.75" x14ac:dyDescent="0.2"/>
  <cols>
    <col min="1" max="1" width="5.5703125" style="32" customWidth="1"/>
    <col min="2" max="2" width="15.140625" style="32" customWidth="1"/>
    <col min="3" max="3" width="14.140625" style="32" customWidth="1"/>
    <col min="4" max="4" width="26" style="32" customWidth="1"/>
    <col min="5" max="5" width="8" style="32" customWidth="1"/>
    <col min="6" max="6" width="7.85546875" style="32" customWidth="1"/>
    <col min="7" max="7" width="48.5703125" style="32" customWidth="1"/>
    <col min="8" max="8" width="9.28515625" style="32" customWidth="1"/>
    <col min="9" max="9" width="15.5703125" style="32" customWidth="1"/>
    <col min="10" max="10" width="14.7109375" style="32" customWidth="1"/>
    <col min="11" max="11" width="15.5703125" style="32" customWidth="1"/>
    <col min="12" max="13" width="5.85546875" style="32" customWidth="1"/>
    <col min="14" max="14" width="14.140625" style="32" customWidth="1"/>
    <col min="15" max="15" width="12.5703125" style="32" customWidth="1"/>
    <col min="16" max="1024" width="9.140625" style="32"/>
    <col min="1025" max="16384" width="9.140625" style="33"/>
  </cols>
  <sheetData>
    <row r="1" spans="1:11" ht="18" customHeight="1" x14ac:dyDescent="0.2">
      <c r="A1" s="109" t="s">
        <v>14</v>
      </c>
      <c r="B1" s="109"/>
      <c r="C1" s="109"/>
      <c r="D1" s="109"/>
      <c r="E1" s="109"/>
      <c r="F1" s="109"/>
      <c r="G1" s="109"/>
      <c r="H1" s="109"/>
      <c r="I1" s="109"/>
      <c r="J1" s="30" t="s">
        <v>15</v>
      </c>
      <c r="K1" s="31" t="s">
        <v>131</v>
      </c>
    </row>
    <row r="2" spans="1:11" ht="18.75" customHeight="1" thickBot="1" x14ac:dyDescent="0.25">
      <c r="A2" s="34"/>
      <c r="B2" s="34"/>
      <c r="C2" s="34"/>
      <c r="D2" s="35"/>
      <c r="E2" s="35"/>
      <c r="F2" s="35"/>
      <c r="G2" s="35"/>
      <c r="H2" s="35"/>
      <c r="I2" s="35"/>
      <c r="J2" s="35"/>
      <c r="K2" s="35"/>
    </row>
    <row r="3" spans="1:11" ht="18.75" customHeight="1" thickBot="1" x14ac:dyDescent="0.25">
      <c r="A3" s="110" t="s">
        <v>48</v>
      </c>
      <c r="B3" s="110"/>
      <c r="C3" s="110"/>
      <c r="D3" s="102" t="str">
        <f>'Necesidades Trimestrales'!C4</f>
        <v>040 - Ministerio de Salud</v>
      </c>
      <c r="E3" s="102"/>
      <c r="F3" s="102"/>
      <c r="G3" s="102"/>
      <c r="H3" s="102"/>
      <c r="I3" s="102"/>
      <c r="J3" s="102"/>
      <c r="K3" s="102"/>
    </row>
    <row r="4" spans="1:11" ht="18.75" customHeight="1" thickBot="1" x14ac:dyDescent="0.25">
      <c r="A4" s="111" t="s">
        <v>49</v>
      </c>
      <c r="B4" s="111"/>
      <c r="C4" s="111"/>
      <c r="D4" s="102" t="str">
        <f>'Necesidades Trimestrales'!C5</f>
        <v>024 - Direccion de Administracion del Hospital Interzonal de Niños</v>
      </c>
      <c r="E4" s="102"/>
      <c r="F4" s="102"/>
      <c r="G4" s="102"/>
      <c r="H4" s="102"/>
      <c r="I4" s="102"/>
      <c r="J4" s="102"/>
      <c r="K4" s="102"/>
    </row>
    <row r="5" spans="1:11" ht="18.75" customHeight="1" thickBot="1" x14ac:dyDescent="0.25">
      <c r="A5" s="111" t="s">
        <v>27</v>
      </c>
      <c r="B5" s="111"/>
      <c r="C5" s="111"/>
      <c r="D5" s="102" t="s">
        <v>126</v>
      </c>
      <c r="E5" s="102"/>
      <c r="F5" s="102"/>
      <c r="G5" s="102"/>
      <c r="H5" s="102"/>
      <c r="I5" s="102"/>
      <c r="J5" s="102"/>
      <c r="K5" s="102"/>
    </row>
    <row r="6" spans="1:11" ht="16.5" customHeight="1" thickBot="1" x14ac:dyDescent="0.25">
      <c r="A6" s="110" t="s">
        <v>50</v>
      </c>
      <c r="B6" s="110"/>
      <c r="C6" s="110"/>
      <c r="D6" s="102" t="s">
        <v>56</v>
      </c>
      <c r="E6" s="102"/>
      <c r="F6" s="102"/>
      <c r="G6" s="102"/>
      <c r="H6" s="102"/>
      <c r="I6" s="102"/>
      <c r="J6" s="102"/>
      <c r="K6" s="102"/>
    </row>
    <row r="7" spans="1:11" ht="16.5" customHeight="1" x14ac:dyDescent="0.2">
      <c r="A7" s="111" t="s">
        <v>16</v>
      </c>
      <c r="B7" s="111"/>
      <c r="C7" s="111"/>
      <c r="D7" s="102" t="s">
        <v>67</v>
      </c>
      <c r="E7" s="102"/>
      <c r="F7" s="102"/>
      <c r="G7" s="102"/>
      <c r="H7" s="102"/>
      <c r="I7" s="102"/>
      <c r="J7" s="102"/>
      <c r="K7" s="102"/>
    </row>
    <row r="8" spans="1:11" ht="16.5" customHeight="1" x14ac:dyDescent="0.2">
      <c r="A8" s="112" t="s">
        <v>17</v>
      </c>
      <c r="B8" s="112"/>
      <c r="C8" s="112"/>
      <c r="D8" s="113" t="s">
        <v>57</v>
      </c>
      <c r="E8" s="113"/>
      <c r="F8" s="113"/>
      <c r="G8" s="113"/>
      <c r="H8" s="113"/>
      <c r="I8" s="113"/>
      <c r="J8" s="113"/>
      <c r="K8" s="113"/>
    </row>
    <row r="9" spans="1:11" ht="15.75" x14ac:dyDescent="0.2">
      <c r="A9" s="36"/>
      <c r="B9" s="36"/>
      <c r="C9" s="36"/>
      <c r="D9" s="37"/>
      <c r="E9" s="37"/>
      <c r="F9" s="37"/>
      <c r="G9" s="37"/>
      <c r="H9" s="37"/>
      <c r="I9" s="37"/>
      <c r="J9" s="37"/>
      <c r="K9" s="37"/>
    </row>
    <row r="10" spans="1:11" ht="18.75" customHeight="1" x14ac:dyDescent="0.2">
      <c r="A10" s="114" t="s">
        <v>18</v>
      </c>
      <c r="B10" s="107" t="s">
        <v>19</v>
      </c>
      <c r="C10" s="107" t="s">
        <v>20</v>
      </c>
      <c r="D10" s="107"/>
      <c r="E10" s="107"/>
      <c r="F10" s="107"/>
      <c r="G10" s="107"/>
      <c r="H10" s="107" t="s">
        <v>21</v>
      </c>
      <c r="I10" s="107" t="s">
        <v>22</v>
      </c>
      <c r="J10" s="107" t="s">
        <v>23</v>
      </c>
      <c r="K10" s="108" t="s">
        <v>24</v>
      </c>
    </row>
    <row r="11" spans="1:11" ht="24" customHeight="1" thickBot="1" x14ac:dyDescent="0.25">
      <c r="A11" s="114"/>
      <c r="B11" s="107"/>
      <c r="C11" s="107"/>
      <c r="D11" s="107"/>
      <c r="E11" s="107"/>
      <c r="F11" s="107"/>
      <c r="G11" s="107"/>
      <c r="H11" s="107"/>
      <c r="I11" s="107"/>
      <c r="J11" s="107"/>
      <c r="K11" s="108"/>
    </row>
    <row r="12" spans="1:11" ht="27.75" customHeight="1" x14ac:dyDescent="0.2">
      <c r="A12" s="40">
        <v>1</v>
      </c>
      <c r="B12" s="41" t="str">
        <f>'Necesidades Trimestrales'!B10</f>
        <v>2.5.2-3259.11</v>
      </c>
      <c r="C12" s="104" t="str">
        <f>'Necesidades Trimestrales'!E10</f>
        <v>DIGESTIVOS; TIPO: MONODROGA, DROGA GENERICA: ACIDO URSODESOXICOLICO, FORMA FARMACEUTICA: COMPRIMIDO, PRESENTACION: 150 MGR</v>
      </c>
      <c r="D12" s="104"/>
      <c r="E12" s="104"/>
      <c r="F12" s="104"/>
      <c r="G12" s="104"/>
      <c r="H12" s="42" t="s">
        <v>53</v>
      </c>
      <c r="I12" s="43" t="str">
        <f>'Necesidades Trimestrales'!F10</f>
        <v>COMPRIMIDO</v>
      </c>
      <c r="J12" s="44">
        <f>'Necesidades Trimestrales'!H10</f>
        <v>58.5</v>
      </c>
      <c r="K12" s="45">
        <f>'Necesidades Trimestrales'!G10</f>
        <v>100</v>
      </c>
    </row>
    <row r="13" spans="1:11" ht="27.75" customHeight="1" x14ac:dyDescent="0.2">
      <c r="A13" s="63">
        <v>2</v>
      </c>
      <c r="B13" s="64" t="str">
        <f>'Necesidades Trimestrales'!B11</f>
        <v>2.5.2-1841.33</v>
      </c>
      <c r="C13" s="105" t="str">
        <f>'Necesidades Trimestrales'!E11</f>
        <v>ANTIACIDOS; TIPO: ASOCIACION, DROGA GENERICA: HIDROX. ALUM. + HIDROX. MAG., FORMA FARMACEUTICA: SUSPENSION, PRESENTACION: ENVASE X 160 ML</v>
      </c>
      <c r="D13" s="105"/>
      <c r="E13" s="105"/>
      <c r="F13" s="105"/>
      <c r="G13" s="105"/>
      <c r="H13" s="67" t="s">
        <v>53</v>
      </c>
      <c r="I13" s="68" t="str">
        <f>'Necesidades Trimestrales'!F11</f>
        <v>FRASCO</v>
      </c>
      <c r="J13" s="66">
        <f>'Necesidades Trimestrales'!H11</f>
        <v>260</v>
      </c>
      <c r="K13" s="65">
        <f>'Necesidades Trimestrales'!G11</f>
        <v>100</v>
      </c>
    </row>
    <row r="14" spans="1:11" ht="27.75" customHeight="1" x14ac:dyDescent="0.2">
      <c r="A14" s="63">
        <v>3</v>
      </c>
      <c r="B14" s="64" t="str">
        <f>'Necesidades Trimestrales'!B12</f>
        <v>2.5.2-1843.63</v>
      </c>
      <c r="C14" s="106" t="str">
        <f>'Necesidades Trimestrales'!E12</f>
        <v>ANTIESPASMODICOS; TIPO: MONODROGA, DROGA GENERICA: ATROPINA 1%, FORMA FARMACEUTICA: AMPOLLA, PRESENTACION: ENVASE X 1 mL</v>
      </c>
      <c r="D14" s="106"/>
      <c r="E14" s="106"/>
      <c r="F14" s="106"/>
      <c r="G14" s="106"/>
      <c r="H14" s="67" t="s">
        <v>53</v>
      </c>
      <c r="I14" s="68" t="str">
        <f>'Necesidades Trimestrales'!F12</f>
        <v>AMPOLLA</v>
      </c>
      <c r="J14" s="66">
        <f>'Necesidades Trimestrales'!H12</f>
        <v>50.4</v>
      </c>
      <c r="K14" s="65">
        <f>'Necesidades Trimestrales'!G12</f>
        <v>300</v>
      </c>
    </row>
    <row r="15" spans="1:11" ht="27.75" customHeight="1" x14ac:dyDescent="0.2">
      <c r="A15" s="63">
        <v>4</v>
      </c>
      <c r="B15" s="64" t="str">
        <f>'Necesidades Trimestrales'!B13</f>
        <v>2.5.2-1843.51</v>
      </c>
      <c r="C15" s="106" t="str">
        <f>'Necesidades Trimestrales'!E13</f>
        <v>ANTIESPASMODICOS; TIPO: MONODROGA, DROGA GENERICA: HIOSCINA N-BUTILBROMURO 20 MG, FORMA FARMACEUTICA: AMPOLLA, PRESENTACION: 1 ML</v>
      </c>
      <c r="D15" s="106"/>
      <c r="E15" s="106"/>
      <c r="F15" s="106"/>
      <c r="G15" s="106"/>
      <c r="H15" s="67" t="s">
        <v>53</v>
      </c>
      <c r="I15" s="68" t="str">
        <f>'Necesidades Trimestrales'!F13</f>
        <v>AMPOLLA</v>
      </c>
      <c r="J15" s="66">
        <f>'Necesidades Trimestrales'!H13</f>
        <v>65</v>
      </c>
      <c r="K15" s="65">
        <f>'Necesidades Trimestrales'!G13</f>
        <v>300</v>
      </c>
    </row>
    <row r="16" spans="1:11" ht="27.75" customHeight="1" x14ac:dyDescent="0.2">
      <c r="A16" s="63">
        <v>5</v>
      </c>
      <c r="B16" s="64" t="str">
        <f>'Necesidades Trimestrales'!B14</f>
        <v>2.5.2-1903.66</v>
      </c>
      <c r="C16" s="106" t="str">
        <f>'Necesidades Trimestrales'!E14</f>
        <v>RECONSTITUYENTE GENERAL; TIPO: MONODROGA, DROGA GENERICA: CALCIO CARBONATO, FORMA FARMACEUTICA: COMPRIMIDO, PRESENTACION: 1250 mGr</v>
      </c>
      <c r="D16" s="106"/>
      <c r="E16" s="106"/>
      <c r="F16" s="106"/>
      <c r="G16" s="106"/>
      <c r="H16" s="67" t="s">
        <v>53</v>
      </c>
      <c r="I16" s="68" t="str">
        <f>'Necesidades Trimestrales'!F14</f>
        <v>COMPRIMIDO</v>
      </c>
      <c r="J16" s="66">
        <f>'Necesidades Trimestrales'!H14</f>
        <v>6.3</v>
      </c>
      <c r="K16" s="65">
        <f>'Necesidades Trimestrales'!G14</f>
        <v>200</v>
      </c>
    </row>
    <row r="17" spans="1:11" ht="27.75" customHeight="1" x14ac:dyDescent="0.2">
      <c r="A17" s="63">
        <v>6</v>
      </c>
      <c r="B17" s="64" t="str">
        <f>'Necesidades Trimestrales'!B15</f>
        <v>2.5.2-8078.68</v>
      </c>
      <c r="C17" s="106" t="str">
        <f>'Necesidades Trimestrales'!E15</f>
        <v>EXCIPIENTES; TIPO: MONODROGA, PRESENTACION: ENVASE X 1 Kg, COMPUESTO: CARBON ACTIVADO, CONCENTRACION/PUREZA: 100 %</v>
      </c>
      <c r="D17" s="106"/>
      <c r="E17" s="106"/>
      <c r="F17" s="106"/>
      <c r="G17" s="106"/>
      <c r="H17" s="67" t="s">
        <v>53</v>
      </c>
      <c r="I17" s="68" t="str">
        <f>'Necesidades Trimestrales'!F15</f>
        <v>UNIDAD</v>
      </c>
      <c r="J17" s="66">
        <f>'Necesidades Trimestrales'!H15</f>
        <v>1800</v>
      </c>
      <c r="K17" s="65">
        <f>'Necesidades Trimestrales'!G15</f>
        <v>3</v>
      </c>
    </row>
    <row r="18" spans="1:11" ht="27.75" customHeight="1" x14ac:dyDescent="0.2">
      <c r="A18" s="63">
        <v>7</v>
      </c>
      <c r="B18" s="64" t="str">
        <f>'Necesidades Trimestrales'!B16</f>
        <v>2.5.2-1901.7</v>
      </c>
      <c r="C18" s="106" t="str">
        <f>'Necesidades Trimestrales'!E16</f>
        <v>VITAMINAS; FORMA FARMACEUTICA: AMPOLLA, PRESENTACION: 2 mL, TIPO: MONODROGA, DROGA GENERICA: VITAMINA B</v>
      </c>
      <c r="D18" s="106"/>
      <c r="E18" s="106"/>
      <c r="F18" s="106"/>
      <c r="G18" s="106"/>
      <c r="H18" s="67" t="s">
        <v>128</v>
      </c>
      <c r="I18" s="68" t="str">
        <f>'Necesidades Trimestrales'!F16</f>
        <v>AMPOLLA</v>
      </c>
      <c r="J18" s="66">
        <f>'Necesidades Trimestrales'!H16</f>
        <v>110</v>
      </c>
      <c r="K18" s="65">
        <f>'Necesidades Trimestrales'!G16</f>
        <v>30</v>
      </c>
    </row>
    <row r="19" spans="1:11" ht="27.75" customHeight="1" x14ac:dyDescent="0.2">
      <c r="A19" s="63">
        <v>8</v>
      </c>
      <c r="B19" s="64" t="str">
        <f>'Necesidades Trimestrales'!B17</f>
        <v>2.5.2-1872.65</v>
      </c>
      <c r="C19" s="106" t="str">
        <f>'Necesidades Trimestrales'!E17</f>
        <v>ANTIANEMICOS; TIPO: MONODROGA, DROGA GENERICA: COMPLEJO VITAMINICO B, FORMA FARMACEUTICA: COMPRIMIDO, PRESENTACION: UNIDAD</v>
      </c>
      <c r="D19" s="106"/>
      <c r="E19" s="106"/>
      <c r="F19" s="106"/>
      <c r="G19" s="106"/>
      <c r="H19" s="67" t="s">
        <v>53</v>
      </c>
      <c r="I19" s="68" t="str">
        <f>'Necesidades Trimestrales'!F17</f>
        <v>COMPRIMIDO</v>
      </c>
      <c r="J19" s="66">
        <f>'Necesidades Trimestrales'!H17</f>
        <v>17.8</v>
      </c>
      <c r="K19" s="65">
        <f>'Necesidades Trimestrales'!G17</f>
        <v>100</v>
      </c>
    </row>
    <row r="20" spans="1:11" ht="27.75" customHeight="1" x14ac:dyDescent="0.2">
      <c r="A20" s="63">
        <v>9</v>
      </c>
      <c r="B20" s="64" t="str">
        <f>'Necesidades Trimestrales'!B18</f>
        <v>2.5.2-6910.3</v>
      </c>
      <c r="C20" s="106" t="str">
        <f>'Necesidades Trimestrales'!E18</f>
        <v>ANTIEMETICOS; TIPO: MONODROGA, DROGA GENERICA: DOMPERIDONA 4 MG, FORMA FARMACEUTICA: AMPOLLA, PRESENTACION: 3 ML</v>
      </c>
      <c r="D20" s="106"/>
      <c r="E20" s="106"/>
      <c r="F20" s="106"/>
      <c r="G20" s="106"/>
      <c r="H20" s="67" t="s">
        <v>53</v>
      </c>
      <c r="I20" s="68" t="str">
        <f>'Necesidades Trimestrales'!F18</f>
        <v>AMPOLLA</v>
      </c>
      <c r="J20" s="66">
        <f>'Necesidades Trimestrales'!H18</f>
        <v>60</v>
      </c>
      <c r="K20" s="65">
        <f>'Necesidades Trimestrales'!G18</f>
        <v>2000</v>
      </c>
    </row>
    <row r="21" spans="1:11" ht="27.75" customHeight="1" x14ac:dyDescent="0.2">
      <c r="A21" s="63">
        <v>10</v>
      </c>
      <c r="B21" s="64" t="str">
        <f>'Necesidades Trimestrales'!B19</f>
        <v>2.5.2-6910.11</v>
      </c>
      <c r="C21" s="106" t="str">
        <f>'Necesidades Trimestrales'!E19</f>
        <v>ANTIEMETICOS; TIPO: MONODROGA, DROGA GENERICA: DOMPERIDONA 1%, FORMA FARMACEUTICA: GOTAS, PRESENTACION: ENVASE X 20 ML</v>
      </c>
      <c r="D21" s="106"/>
      <c r="E21" s="106"/>
      <c r="F21" s="106"/>
      <c r="G21" s="106"/>
      <c r="H21" s="67" t="s">
        <v>53</v>
      </c>
      <c r="I21" s="68" t="str">
        <f>'Necesidades Trimestrales'!F19</f>
        <v>GOTERO</v>
      </c>
      <c r="J21" s="66">
        <f>'Necesidades Trimestrales'!H19</f>
        <v>210</v>
      </c>
      <c r="K21" s="65">
        <f>'Necesidades Trimestrales'!G19</f>
        <v>200</v>
      </c>
    </row>
    <row r="22" spans="1:11" ht="27.75" customHeight="1" x14ac:dyDescent="0.2">
      <c r="A22" s="63">
        <v>11</v>
      </c>
      <c r="B22" s="64" t="str">
        <f>'Necesidades Trimestrales'!B20</f>
        <v>2.5.2-2689.1</v>
      </c>
      <c r="C22" s="106" t="str">
        <f>'Necesidades Trimestrales'!E20</f>
        <v>NORMALIZADORES DE CALCEMIA; TIPO: MONODROGA, FORMA FARMACEUTICA: ELIXIR, PRESENTACION: 150 mL, DROGA GENERICA: GLUCONATO DE POTASIO</v>
      </c>
      <c r="D22" s="106"/>
      <c r="E22" s="106"/>
      <c r="F22" s="106"/>
      <c r="G22" s="106"/>
      <c r="H22" s="67" t="s">
        <v>53</v>
      </c>
      <c r="I22" s="68" t="str">
        <f>'Necesidades Trimestrales'!F20</f>
        <v>FRASCO</v>
      </c>
      <c r="J22" s="66">
        <f>'Necesidades Trimestrales'!H20</f>
        <v>676.74</v>
      </c>
      <c r="K22" s="65">
        <f>'Necesidades Trimestrales'!G20</f>
        <v>50</v>
      </c>
    </row>
    <row r="23" spans="1:11" ht="27.75" customHeight="1" x14ac:dyDescent="0.2">
      <c r="A23" s="63">
        <v>12</v>
      </c>
      <c r="B23" s="64" t="str">
        <f>'Necesidades Trimestrales'!B21</f>
        <v>2.5.2-1861.38</v>
      </c>
      <c r="C23" s="106" t="str">
        <f>'Necesidades Trimestrales'!E21</f>
        <v>HIPOGLUCEMIANTES INYECTABLES; TIPO: MONODROGA, DROGA GENERICA: INSULINA ASPARTICA, FORMA FARMACEUTICA: LAPICERA PRELLENADA, PRESENTACION: 5 UNIDADES</v>
      </c>
      <c r="D23" s="106"/>
      <c r="E23" s="106"/>
      <c r="F23" s="106"/>
      <c r="G23" s="106"/>
      <c r="H23" s="67" t="s">
        <v>53</v>
      </c>
      <c r="I23" s="68" t="str">
        <f>'Necesidades Trimestrales'!F21</f>
        <v>CAJA</v>
      </c>
      <c r="J23" s="66">
        <f>'Necesidades Trimestrales'!H21</f>
        <v>15552</v>
      </c>
      <c r="K23" s="65">
        <f>'Necesidades Trimestrales'!G21</f>
        <v>1</v>
      </c>
    </row>
    <row r="24" spans="1:11" ht="27.75" customHeight="1" x14ac:dyDescent="0.2">
      <c r="A24" s="63">
        <v>13</v>
      </c>
      <c r="B24" s="64" t="str">
        <f>'Necesidades Trimestrales'!B22</f>
        <v>2.5.2-1861.39</v>
      </c>
      <c r="C24" s="106" t="str">
        <f>'Necesidades Trimestrales'!E22</f>
        <v>HIPOGLUCEMIANTES INYECTABLES; TIPO: MONODROGA, DROGA GENERICA: INSULINA HUMANA NHP 100 UI, FORMA FARMACEUTICA: LAPICERA PRELLENADA, PRESENTACION: 5 AMPOLLAS</v>
      </c>
      <c r="D24" s="106"/>
      <c r="E24" s="106"/>
      <c r="F24" s="106"/>
      <c r="G24" s="106"/>
      <c r="H24" s="67" t="s">
        <v>128</v>
      </c>
      <c r="I24" s="68" t="str">
        <f>'Necesidades Trimestrales'!F22</f>
        <v>CAJA</v>
      </c>
      <c r="J24" s="66">
        <f>'Necesidades Trimestrales'!H22</f>
        <v>8934</v>
      </c>
      <c r="K24" s="65">
        <f>'Necesidades Trimestrales'!G22</f>
        <v>1</v>
      </c>
    </row>
    <row r="25" spans="1:11" ht="27.75" customHeight="1" x14ac:dyDescent="0.2">
      <c r="A25" s="63">
        <v>14</v>
      </c>
      <c r="B25" s="64" t="str">
        <f>'Necesidades Trimestrales'!B23</f>
        <v>2.5.2-2804.1</v>
      </c>
      <c r="C25" s="106" t="str">
        <f>'Necesidades Trimestrales'!E23</f>
        <v>REGULADORES INTESTINALES; TIPO: MONODROGA, DROGA GENERICA: LACTULOSA, FORMA FARMACEUTICA: JARABE, PRESENTACION: 120 mL</v>
      </c>
      <c r="D25" s="106"/>
      <c r="E25" s="106"/>
      <c r="F25" s="106"/>
      <c r="G25" s="106"/>
      <c r="H25" s="67" t="s">
        <v>53</v>
      </c>
      <c r="I25" s="68" t="str">
        <f>'Necesidades Trimestrales'!F23</f>
        <v>FRASCO</v>
      </c>
      <c r="J25" s="66">
        <f>'Necesidades Trimestrales'!H23</f>
        <v>365</v>
      </c>
      <c r="K25" s="65">
        <f>'Necesidades Trimestrales'!G23</f>
        <v>100</v>
      </c>
    </row>
    <row r="26" spans="1:11" ht="27.75" customHeight="1" x14ac:dyDescent="0.2">
      <c r="A26" s="63">
        <v>15</v>
      </c>
      <c r="B26" s="64" t="str">
        <f>'Necesidades Trimestrales'!B24</f>
        <v>2.5.2-2480.14</v>
      </c>
      <c r="C26" s="106" t="str">
        <f>'Necesidades Trimestrales'!E24</f>
        <v>ANTIHEMETICOS; TIPO: MONODROGA, DROGA GENERICA: METOCLOPRAMIDA 0,2 %, FORMA FARMACEUTICA: GOTAS, PRESENTACION: 20 ML</v>
      </c>
      <c r="D26" s="106"/>
      <c r="E26" s="106"/>
      <c r="F26" s="106"/>
      <c r="G26" s="106"/>
      <c r="H26" s="67" t="s">
        <v>53</v>
      </c>
      <c r="I26" s="68" t="str">
        <f>'Necesidades Trimestrales'!F24</f>
        <v>GOTERO</v>
      </c>
      <c r="J26" s="66">
        <f>'Necesidades Trimestrales'!H24</f>
        <v>145</v>
      </c>
      <c r="K26" s="65">
        <f>'Necesidades Trimestrales'!G24</f>
        <v>1000</v>
      </c>
    </row>
    <row r="27" spans="1:11" ht="27.75" customHeight="1" x14ac:dyDescent="0.2">
      <c r="A27" s="63">
        <v>16</v>
      </c>
      <c r="B27" s="64" t="str">
        <f>'Necesidades Trimestrales'!B25</f>
        <v>2.5.2-6910.6</v>
      </c>
      <c r="C27" s="106" t="str">
        <f>'Necesidades Trimestrales'!E25</f>
        <v>ANTIEMETICOS; TIPO: MONODROGA, DROGA GENERICA: METOCLOPRAMIDA, FORMA FARMACEUTICA: AMPOLLA, PRESENTACION: 2 mL</v>
      </c>
      <c r="D27" s="106"/>
      <c r="E27" s="106"/>
      <c r="F27" s="106"/>
      <c r="G27" s="106"/>
      <c r="H27" s="67" t="s">
        <v>53</v>
      </c>
      <c r="I27" s="68" t="str">
        <f>'Necesidades Trimestrales'!F25</f>
        <v>AMPOLLA</v>
      </c>
      <c r="J27" s="66">
        <f>'Necesidades Trimestrales'!H25</f>
        <v>35.799999999999997</v>
      </c>
      <c r="K27" s="65">
        <f>'Necesidades Trimestrales'!G25</f>
        <v>100</v>
      </c>
    </row>
    <row r="28" spans="1:11" ht="27.75" customHeight="1" x14ac:dyDescent="0.2">
      <c r="A28" s="63">
        <v>17</v>
      </c>
      <c r="B28" s="64" t="str">
        <f>'Necesidades Trimestrales'!B26</f>
        <v>2.5.2-1823.46</v>
      </c>
      <c r="C28" s="106" t="str">
        <f>'Necesidades Trimestrales'!E26</f>
        <v>ANTIMICOTICOS; TIPO: MONODROGA, DROGA GENERICA: NISTATINA 100000 UI/ML, FORMA FARMACEUTICA: SUSPENSION, PRESENTACION: ENVASE X 60 mL</v>
      </c>
      <c r="D28" s="106"/>
      <c r="E28" s="106"/>
      <c r="F28" s="106"/>
      <c r="G28" s="106"/>
      <c r="H28" s="67" t="s">
        <v>53</v>
      </c>
      <c r="I28" s="68" t="str">
        <f>'Necesidades Trimestrales'!F26</f>
        <v>FRASCO</v>
      </c>
      <c r="J28" s="66">
        <f>'Necesidades Trimestrales'!H26</f>
        <v>285</v>
      </c>
      <c r="K28" s="65">
        <f>'Necesidades Trimestrales'!G26</f>
        <v>50</v>
      </c>
    </row>
    <row r="29" spans="1:11" ht="27.75" customHeight="1" x14ac:dyDescent="0.2">
      <c r="A29" s="63">
        <v>18</v>
      </c>
      <c r="B29" s="64" t="str">
        <f>'Necesidades Trimestrales'!B27</f>
        <v>2.5.2-1849.3</v>
      </c>
      <c r="C29" s="106" t="str">
        <f>'Necesidades Trimestrales'!E27</f>
        <v>ANTIULCEROSOS; TIPO: MONODROGA, DROGA GENERICA: OMEPRAZOL, FORMA FARMACEUTICA: CAPSULA, PRESENTACION: 20 mGr</v>
      </c>
      <c r="D29" s="106"/>
      <c r="E29" s="106"/>
      <c r="F29" s="106"/>
      <c r="G29" s="106"/>
      <c r="H29" s="67" t="s">
        <v>53</v>
      </c>
      <c r="I29" s="68" t="str">
        <f>'Necesidades Trimestrales'!F27</f>
        <v>CAPSULA</v>
      </c>
      <c r="J29" s="66">
        <f>'Necesidades Trimestrales'!H27</f>
        <v>2.2999999999999998</v>
      </c>
      <c r="K29" s="65">
        <f>'Necesidades Trimestrales'!G27</f>
        <v>3000</v>
      </c>
    </row>
    <row r="30" spans="1:11" ht="27.75" customHeight="1" x14ac:dyDescent="0.2">
      <c r="A30" s="63">
        <v>19</v>
      </c>
      <c r="B30" s="64" t="str">
        <f>'Necesidades Trimestrales'!B28</f>
        <v>2.5.2-1849.19</v>
      </c>
      <c r="C30" s="106" t="str">
        <f>'Necesidades Trimestrales'!E28</f>
        <v>ANTIULCEROSOS; TIPO: MONODROGA, DROGA GENERICA: OMEPRAZOL 40 mGr, FORMA FARMACEUTICA: AMPOLLA, PRESENTACION: UNIDAD</v>
      </c>
      <c r="D30" s="106"/>
      <c r="E30" s="106"/>
      <c r="F30" s="106"/>
      <c r="G30" s="106"/>
      <c r="H30" s="67" t="s">
        <v>53</v>
      </c>
      <c r="I30" s="68" t="str">
        <f>'Necesidades Trimestrales'!F28</f>
        <v>AMPOLLA</v>
      </c>
      <c r="J30" s="66">
        <f>'Necesidades Trimestrales'!H28</f>
        <v>550</v>
      </c>
      <c r="K30" s="65">
        <f>'Necesidades Trimestrales'!G28</f>
        <v>500</v>
      </c>
    </row>
    <row r="31" spans="1:11" ht="27.75" customHeight="1" x14ac:dyDescent="0.2">
      <c r="A31" s="63">
        <v>20</v>
      </c>
      <c r="B31" s="64" t="str">
        <f>'Necesidades Trimestrales'!B29</f>
        <v>2.5.2-1901.127</v>
      </c>
      <c r="C31" s="106" t="str">
        <f>'Necesidades Trimestrales'!E29</f>
        <v>VITAMINAS; TIPO: ASOCIACION, DROGA GENERICA: VIT.A +D+C, FORMA FARMACEUTICA: GOTA, PRESENTACION: 30 ML</v>
      </c>
      <c r="D31" s="106"/>
      <c r="E31" s="106"/>
      <c r="F31" s="106"/>
      <c r="G31" s="106"/>
      <c r="H31" s="67" t="s">
        <v>53</v>
      </c>
      <c r="I31" s="68" t="str">
        <f>'Necesidades Trimestrales'!F29</f>
        <v>FRASCO</v>
      </c>
      <c r="J31" s="66">
        <f>'Necesidades Trimestrales'!H29</f>
        <v>210</v>
      </c>
      <c r="K31" s="65">
        <f>'Necesidades Trimestrales'!G29</f>
        <v>200</v>
      </c>
    </row>
    <row r="32" spans="1:11" ht="27.75" customHeight="1" x14ac:dyDescent="0.2">
      <c r="A32" s="63">
        <v>21</v>
      </c>
      <c r="B32" s="64" t="str">
        <f>'Necesidades Trimestrales'!B30</f>
        <v>2.5.2-1841.17</v>
      </c>
      <c r="C32" s="106" t="str">
        <f>'Necesidades Trimestrales'!E30</f>
        <v>ANTIACIDOS; TIPO: MONODROGA, DROGA GENERICA: RANITIDINA, FORMA FARMACEUTICA: AMPOLLA, PRESENTACION: UNIDAD</v>
      </c>
      <c r="D32" s="106"/>
      <c r="E32" s="106"/>
      <c r="F32" s="106"/>
      <c r="G32" s="106"/>
      <c r="H32" s="67" t="s">
        <v>53</v>
      </c>
      <c r="I32" s="68" t="str">
        <f>'Necesidades Trimestrales'!F30</f>
        <v>AMPOLLA</v>
      </c>
      <c r="J32" s="66">
        <f>'Necesidades Trimestrales'!H30</f>
        <v>47.5</v>
      </c>
      <c r="K32" s="65">
        <f>'Necesidades Trimestrales'!G30</f>
        <v>5000</v>
      </c>
    </row>
    <row r="33" spans="1:14" ht="27.75" customHeight="1" x14ac:dyDescent="0.2">
      <c r="A33" s="63">
        <v>22</v>
      </c>
      <c r="B33" s="64" t="str">
        <f>'Necesidades Trimestrales'!B31</f>
        <v>2.5.2-5520.5</v>
      </c>
      <c r="C33" s="106" t="str">
        <f>'Necesidades Trimestrales'!E31</f>
        <v>VASELINA; TIPO: LIQUIDA, PRESENTACION: ENVASE X 1000 mL</v>
      </c>
      <c r="D33" s="106"/>
      <c r="E33" s="106"/>
      <c r="F33" s="106"/>
      <c r="G33" s="106"/>
      <c r="H33" s="67" t="s">
        <v>53</v>
      </c>
      <c r="I33" s="68" t="str">
        <f>'Necesidades Trimestrales'!F31</f>
        <v>FRASCO</v>
      </c>
      <c r="J33" s="66">
        <f>'Necesidades Trimestrales'!H31</f>
        <v>980</v>
      </c>
      <c r="K33" s="65">
        <f>'Necesidades Trimestrales'!G31</f>
        <v>30</v>
      </c>
    </row>
    <row r="34" spans="1:14" ht="27.75" customHeight="1" x14ac:dyDescent="0.2">
      <c r="A34" s="63">
        <v>23</v>
      </c>
      <c r="B34" s="64" t="str">
        <f>'Necesidades Trimestrales'!B32</f>
        <v>2.5.2-1901.129</v>
      </c>
      <c r="C34" s="106" t="str">
        <f>'Necesidades Trimestrales'!E32</f>
        <v>VITAMINAS; TIPO: MONODROGA, DROGA GENERICA: VITAMINA C, FORMA FARMACEUTICA: COMPRIMIDOS, PRESENTACION: 10 COMPRIMIDOS</v>
      </c>
      <c r="D34" s="106"/>
      <c r="E34" s="106"/>
      <c r="F34" s="106"/>
      <c r="G34" s="106"/>
      <c r="H34" s="67" t="s">
        <v>128</v>
      </c>
      <c r="I34" s="68" t="str">
        <f>'Necesidades Trimestrales'!F32</f>
        <v>CAJA</v>
      </c>
      <c r="J34" s="66">
        <f>'Necesidades Trimestrales'!H32</f>
        <v>882.5</v>
      </c>
      <c r="K34" s="65">
        <f>'Necesidades Trimestrales'!G32</f>
        <v>50</v>
      </c>
    </row>
    <row r="35" spans="1:14" ht="27.75" customHeight="1" thickBot="1" x14ac:dyDescent="0.25">
      <c r="A35" s="63">
        <v>24</v>
      </c>
      <c r="B35" s="64" t="str">
        <f>'Necesidades Trimestrales'!B33</f>
        <v>2.5.2-1901.130</v>
      </c>
      <c r="C35" s="106" t="str">
        <f>'Necesidades Trimestrales'!E33</f>
        <v>VITAMINAS; TIPO: MONODROGA, DROGA GENERICA: VITAMINA D3 2000 UI/ML, FORMA FARMACEUTICA: SOLUCION, PRESENTACION: 2 ML</v>
      </c>
      <c r="D35" s="106"/>
      <c r="E35" s="106"/>
      <c r="F35" s="106"/>
      <c r="G35" s="106"/>
      <c r="H35" s="67" t="s">
        <v>53</v>
      </c>
      <c r="I35" s="68" t="str">
        <f>'Necesidades Trimestrales'!F33</f>
        <v>FRASCO</v>
      </c>
      <c r="J35" s="66">
        <f>'Necesidades Trimestrales'!H33</f>
        <v>958</v>
      </c>
      <c r="K35" s="65">
        <f>'Necesidades Trimestrales'!G33</f>
        <v>20</v>
      </c>
    </row>
    <row r="36" spans="1:14" ht="20.25" customHeight="1" thickBot="1" x14ac:dyDescent="0.25">
      <c r="A36" s="102" t="s">
        <v>127</v>
      </c>
      <c r="B36" s="102"/>
      <c r="C36" s="102"/>
      <c r="D36" s="102"/>
      <c r="E36" s="102"/>
      <c r="F36" s="102"/>
      <c r="G36" s="102"/>
      <c r="H36" s="102"/>
      <c r="I36" s="102"/>
      <c r="J36" s="103">
        <f>SUMPRODUCT(J12:J35,K12:K35)</f>
        <v>1151948</v>
      </c>
      <c r="K36" s="103"/>
      <c r="N36" s="49"/>
    </row>
  </sheetData>
  <mergeCells count="46">
    <mergeCell ref="C32:G32"/>
    <mergeCell ref="C33:G33"/>
    <mergeCell ref="C34:G34"/>
    <mergeCell ref="C35:G35"/>
    <mergeCell ref="C27:G27"/>
    <mergeCell ref="C28:G28"/>
    <mergeCell ref="C29:G29"/>
    <mergeCell ref="C30:G30"/>
    <mergeCell ref="C31:G31"/>
    <mergeCell ref="C26:G2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6:I36"/>
    <mergeCell ref="J36:K36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</mergeCells>
  <printOptions horizontalCentered="1"/>
  <pageMargins left="0.19685039370078741" right="0.19685039370078741" top="0.39370078740157483" bottom="0.39370078740157483" header="0" footer="0"/>
  <pageSetup paperSize="5" scale="89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opLeftCell="A25" zoomScale="130" zoomScaleNormal="130" workbookViewId="0">
      <selection activeCell="A22" sqref="A22:Q2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3" t="s">
        <v>3</v>
      </c>
      <c r="B1" s="143"/>
      <c r="C1" s="143"/>
      <c r="D1" s="144">
        <f>'Necesidades Trimestrales'!C6</f>
        <v>2022</v>
      </c>
      <c r="E1" s="144"/>
      <c r="F1" s="3"/>
      <c r="G1" s="3"/>
      <c r="H1" s="4"/>
      <c r="I1" s="4"/>
      <c r="J1" s="4"/>
      <c r="K1" s="4"/>
      <c r="L1" s="4"/>
      <c r="M1" s="4"/>
      <c r="N1" s="4"/>
      <c r="P1" s="145" t="s">
        <v>25</v>
      </c>
      <c r="Q1" s="145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5"/>
      <c r="Q2" s="145"/>
    </row>
    <row r="4" spans="1:17" s="5" customFormat="1" ht="18" customHeight="1" thickBot="1" x14ac:dyDescent="0.25">
      <c r="A4" s="146" t="s">
        <v>26</v>
      </c>
      <c r="B4" s="146"/>
      <c r="C4" s="146"/>
      <c r="D4" s="146"/>
      <c r="E4" s="146"/>
      <c r="F4" s="146"/>
      <c r="G4" s="141" t="str">
        <f>' NotaPedido'!D3</f>
        <v>040 - Ministerio de Salud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7" s="5" customFormat="1" ht="18" customHeight="1" thickBot="1" x14ac:dyDescent="0.25">
      <c r="A5" s="138" t="s">
        <v>49</v>
      </c>
      <c r="B5" s="139"/>
      <c r="C5" s="139"/>
      <c r="D5" s="139"/>
      <c r="E5" s="139"/>
      <c r="F5" s="140"/>
      <c r="G5" s="141" t="str">
        <f>' NotaPedido'!D4</f>
        <v>024 - Direccion de Administracion del Hospital Interzonal de Niños</v>
      </c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17" s="5" customFormat="1" ht="18" customHeight="1" thickBot="1" x14ac:dyDescent="0.25">
      <c r="A6" s="138" t="s">
        <v>27</v>
      </c>
      <c r="B6" s="139"/>
      <c r="C6" s="139"/>
      <c r="D6" s="139"/>
      <c r="E6" s="139"/>
      <c r="F6" s="140"/>
      <c r="G6" s="141" t="str">
        <f>' NotaPedido'!D5</f>
        <v>024 - Direccion de Administracion del Hospital Interzonal de Niños</v>
      </c>
      <c r="H6" s="141"/>
      <c r="I6" s="141"/>
      <c r="J6" s="141"/>
      <c r="K6" s="141"/>
      <c r="L6" s="141"/>
      <c r="M6" s="141"/>
      <c r="N6" s="141"/>
      <c r="O6" s="141"/>
      <c r="P6" s="141"/>
      <c r="Q6" s="141"/>
    </row>
    <row r="7" spans="1:17" s="5" customFormat="1" ht="18" customHeight="1" thickBot="1" x14ac:dyDescent="0.25">
      <c r="A7" s="138" t="s">
        <v>50</v>
      </c>
      <c r="B7" s="139"/>
      <c r="C7" s="139"/>
      <c r="D7" s="139"/>
      <c r="E7" s="139"/>
      <c r="F7" s="140"/>
      <c r="G7" s="141" t="s">
        <v>56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</row>
    <row r="8" spans="1:17" ht="18" customHeight="1" thickBot="1" x14ac:dyDescent="0.25">
      <c r="A8" s="142" t="s">
        <v>28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 x14ac:dyDescent="0.2">
      <c r="A9" s="127" t="s">
        <v>29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"/>
      <c r="P9" s="1"/>
      <c r="Q9" s="6"/>
    </row>
    <row r="10" spans="1:17" ht="54.75" customHeight="1" x14ac:dyDescent="0.2">
      <c r="A10" s="12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070/2022,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29" t="s">
        <v>30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7" ht="15.75" customHeight="1" thickBot="1" x14ac:dyDescent="0.25">
      <c r="A13" s="130" t="s">
        <v>31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2" t="s">
        <v>32</v>
      </c>
      <c r="P13" s="133"/>
      <c r="Q13" s="136" t="s">
        <v>33</v>
      </c>
    </row>
    <row r="14" spans="1:17" ht="15.75" customHeight="1" thickBot="1" x14ac:dyDescent="0.25">
      <c r="A14" s="54" t="s">
        <v>34</v>
      </c>
      <c r="B14" s="55" t="s">
        <v>35</v>
      </c>
      <c r="C14" s="55" t="s">
        <v>36</v>
      </c>
      <c r="D14" s="55" t="s">
        <v>37</v>
      </c>
      <c r="E14" s="55" t="s">
        <v>38</v>
      </c>
      <c r="F14" s="55" t="s">
        <v>39</v>
      </c>
      <c r="G14" s="56" t="s">
        <v>40</v>
      </c>
      <c r="H14" s="55" t="s">
        <v>41</v>
      </c>
      <c r="I14" s="55" t="s">
        <v>42</v>
      </c>
      <c r="J14" s="55" t="s">
        <v>43</v>
      </c>
      <c r="K14" s="55" t="s">
        <v>43</v>
      </c>
      <c r="L14" s="55" t="s">
        <v>44</v>
      </c>
      <c r="M14" s="57" t="s">
        <v>45</v>
      </c>
      <c r="N14" s="58" t="s">
        <v>46</v>
      </c>
      <c r="O14" s="134"/>
      <c r="P14" s="135"/>
      <c r="Q14" s="137"/>
    </row>
    <row r="15" spans="1:17" ht="26.25" customHeight="1" x14ac:dyDescent="0.2">
      <c r="A15" s="50">
        <v>36</v>
      </c>
      <c r="B15" s="51"/>
      <c r="C15" s="51"/>
      <c r="D15" s="51">
        <v>1</v>
      </c>
      <c r="E15" s="51"/>
      <c r="F15" s="51">
        <v>4901</v>
      </c>
      <c r="G15" s="51">
        <v>3</v>
      </c>
      <c r="H15" s="51">
        <v>310</v>
      </c>
      <c r="I15" s="51">
        <v>2</v>
      </c>
      <c r="J15" s="51">
        <v>5</v>
      </c>
      <c r="K15" s="51">
        <v>2</v>
      </c>
      <c r="L15" s="51"/>
      <c r="M15" s="52">
        <v>1</v>
      </c>
      <c r="N15" s="53" t="s">
        <v>52</v>
      </c>
      <c r="O15" s="121" t="s">
        <v>55</v>
      </c>
      <c r="P15" s="121"/>
      <c r="Q15" s="59">
        <v>1151948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0"/>
      <c r="O16" s="122"/>
      <c r="P16" s="116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16"/>
      <c r="P17" s="116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16"/>
      <c r="P18" s="116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17"/>
      <c r="P19" s="117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18"/>
      <c r="P20" s="118"/>
      <c r="Q20" s="24"/>
    </row>
    <row r="21" spans="1:18" ht="29.25" customHeight="1" x14ac:dyDescent="0.2">
      <c r="A21" s="119" t="s">
        <v>130</v>
      </c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25">
        <f>SUM(Q15:Q20)</f>
        <v>1151948</v>
      </c>
    </row>
    <row r="22" spans="1:18" ht="18" customHeight="1" thickBot="1" x14ac:dyDescent="0.25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</row>
    <row r="23" spans="1:18" ht="17.25" customHeight="1" thickBot="1" x14ac:dyDescent="0.25">
      <c r="A23" s="123" t="s">
        <v>47</v>
      </c>
      <c r="B23" s="124"/>
      <c r="C23" s="124"/>
      <c r="D23" s="124"/>
      <c r="E23" s="124"/>
      <c r="F23" s="125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</row>
    <row r="24" spans="1:18" ht="18" customHeight="1" thickBot="1" x14ac:dyDescent="0.25">
      <c r="A24" s="115" t="s">
        <v>58</v>
      </c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</row>
    <row r="25" spans="1:18" ht="15" customHeight="1" x14ac:dyDescent="0.2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2021-09-15T13:15:16Z</cp:lastPrinted>
  <dcterms:created xsi:type="dcterms:W3CDTF">2020-07-17T23:44:49Z</dcterms:created>
  <dcterms:modified xsi:type="dcterms:W3CDTF">2022-08-11T13:10:21Z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