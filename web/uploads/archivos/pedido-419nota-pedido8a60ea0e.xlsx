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5" yWindow="6390" windowWidth="28830" windowHeight="6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Trimestrales'!$A$9:$I$66</definedName>
    <definedName name="_xlnm.Print_Area" localSheetId="1">' NotaPedido'!$A$1:$K$69</definedName>
    <definedName name="_xlnm.Print_Area" localSheetId="2">'Autor Gastar'!$A$1:$Q$27</definedName>
    <definedName name="_xlnm.Print_Area" localSheetId="0">'Necesidades Trimestrales'!$E$9:$E$66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6" i="3" l="1"/>
  <c r="K12" i="2" l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I10" i="1" l="1"/>
  <c r="K10" i="1" s="1"/>
  <c r="I11" i="1"/>
  <c r="K11" i="1" s="1"/>
  <c r="I12" i="1"/>
  <c r="K12" i="1" s="1"/>
  <c r="I13" i="1"/>
  <c r="K13" i="1" s="1"/>
  <c r="I14" i="1"/>
  <c r="K14" i="1" s="1"/>
  <c r="I15" i="1"/>
  <c r="K15" i="1" s="1"/>
  <c r="I16" i="1"/>
  <c r="K16" i="1" s="1"/>
  <c r="I17" i="1"/>
  <c r="K17" i="1" s="1"/>
  <c r="I18" i="1"/>
  <c r="K18" i="1" s="1"/>
  <c r="I19" i="1"/>
  <c r="K19" i="1" s="1"/>
  <c r="I20" i="1"/>
  <c r="K20" i="1" s="1"/>
  <c r="I21" i="1"/>
  <c r="K21" i="1" s="1"/>
  <c r="I22" i="1"/>
  <c r="K22" i="1" s="1"/>
  <c r="I23" i="1"/>
  <c r="K23" i="1" s="1"/>
  <c r="I24" i="1"/>
  <c r="K24" i="1" s="1"/>
  <c r="I25" i="1"/>
  <c r="K25" i="1" s="1"/>
  <c r="I26" i="1"/>
  <c r="K26" i="1" s="1"/>
  <c r="I27" i="1"/>
  <c r="L27" i="1" s="1"/>
  <c r="L67" i="1" s="1"/>
  <c r="Q15" i="3" s="1"/>
  <c r="I31" i="1"/>
  <c r="K31" i="1" s="1"/>
  <c r="I32" i="1"/>
  <c r="K32" i="1" s="1"/>
  <c r="I33" i="1"/>
  <c r="K33" i="1" s="1"/>
  <c r="I30" i="1"/>
  <c r="K30" i="1" s="1"/>
  <c r="I29" i="1"/>
  <c r="K29" i="1" s="1"/>
  <c r="I34" i="1"/>
  <c r="K34" i="1" s="1"/>
  <c r="I28" i="1"/>
  <c r="K28" i="1" s="1"/>
  <c r="I35" i="1"/>
  <c r="K35" i="1" s="1"/>
  <c r="I36" i="1"/>
  <c r="K36" i="1" s="1"/>
  <c r="I37" i="1"/>
  <c r="K37" i="1" s="1"/>
  <c r="I38" i="1"/>
  <c r="K38" i="1" s="1"/>
  <c r="I39" i="1"/>
  <c r="K39" i="1" s="1"/>
  <c r="I40" i="1"/>
  <c r="K40" i="1" s="1"/>
  <c r="I41" i="1"/>
  <c r="K41" i="1" s="1"/>
  <c r="I42" i="1"/>
  <c r="K42" i="1" s="1"/>
  <c r="I43" i="1"/>
  <c r="K43" i="1" s="1"/>
  <c r="I44" i="1"/>
  <c r="K44" i="1" s="1"/>
  <c r="I45" i="1"/>
  <c r="K45" i="1" s="1"/>
  <c r="I46" i="1"/>
  <c r="K46" i="1" s="1"/>
  <c r="I47" i="1"/>
  <c r="K47" i="1" s="1"/>
  <c r="I48" i="1"/>
  <c r="K48" i="1" s="1"/>
  <c r="I49" i="1"/>
  <c r="K49" i="1" s="1"/>
  <c r="I50" i="1"/>
  <c r="K50" i="1" s="1"/>
  <c r="I51" i="1"/>
  <c r="K51" i="1" s="1"/>
  <c r="I52" i="1"/>
  <c r="K52" i="1" s="1"/>
  <c r="I53" i="1"/>
  <c r="K53" i="1" s="1"/>
  <c r="I54" i="1"/>
  <c r="K54" i="1" s="1"/>
  <c r="I55" i="1"/>
  <c r="K55" i="1" s="1"/>
  <c r="I56" i="1"/>
  <c r="K56" i="1" s="1"/>
  <c r="I57" i="1"/>
  <c r="K57" i="1" s="1"/>
  <c r="I58" i="1"/>
  <c r="K58" i="1" s="1"/>
  <c r="I59" i="1"/>
  <c r="K59" i="1" s="1"/>
  <c r="I60" i="1"/>
  <c r="K60" i="1" s="1"/>
  <c r="I61" i="1"/>
  <c r="K61" i="1" s="1"/>
  <c r="I62" i="1"/>
  <c r="K62" i="1" s="1"/>
  <c r="I63" i="1"/>
  <c r="K63" i="1" s="1"/>
  <c r="I64" i="1"/>
  <c r="K64" i="1" s="1"/>
  <c r="I65" i="1"/>
  <c r="K65" i="1" s="1"/>
  <c r="I66" i="1"/>
  <c r="K66" i="1" s="1"/>
  <c r="K67" i="1" l="1"/>
  <c r="I67" i="1"/>
  <c r="J69" i="2"/>
  <c r="M67" i="1" l="1"/>
  <c r="Q16" i="3"/>
  <c r="Q23" i="3" s="1"/>
  <c r="A10" i="3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<sst xmlns="http://schemas.openxmlformats.org/spreadsheetml/2006/main" count="375" uniqueCount="201">
  <si>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</si>
  <si>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</si>
  <si>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</si>
  <si>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</si>
  <si>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</si>
  <si>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</si>
  <si>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</si>
  <si>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</si>
  <si>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</si>
  <si>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</si>
  <si>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</si>
  <si>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</si>
  <si>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</si>
  <si>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</si>
  <si>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</si>
  <si>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</si>
  <si>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</si>
  <si>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</si>
  <si>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</si>
  <si>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</si>
  <si>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</si>
  <si>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</si>
  <si>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</si>
  <si>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</si>
  <si>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</si>
  <si>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</si>
  <si>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</si>
  <si>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</si>
  <si>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</si>
  <si>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</si>
  <si>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</si>
  <si>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</si>
  <si>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</si>
  <si>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</si>
  <si>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</si>
  <si>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</si>
  <si>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</si>
  <si>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</si>
  <si>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</si>
  <si>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</si>
  <si>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</si>
  <si>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</si>
  <si>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</si>
  <si>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</si>
  <si>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</si>
  <si>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</si>
  <si>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</si>
  <si>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</si>
  <si>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</si>
  <si>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</si>
  <si>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</si>
  <si>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040 - Ministerio de Salud</t>
  </si>
  <si>
    <t>1.1</t>
  </si>
  <si>
    <t>NO</t>
  </si>
  <si>
    <t>xxx/2022</t>
  </si>
  <si>
    <t>Semestral</t>
  </si>
  <si>
    <t>UNIDAD</t>
  </si>
  <si>
    <t>Adquisición de Descartable Complejo</t>
  </si>
  <si>
    <t>2.9.5-2161.147</t>
  </si>
  <si>
    <t>CATETERES/SONDAS; NUMERO: 3, TIPO: FOGARTY</t>
  </si>
  <si>
    <t>2.9.5-2161.519</t>
  </si>
  <si>
    <t>CATETERES/SONDAS; NUMERO: 4 , TIPO: FOGARTY</t>
  </si>
  <si>
    <t>CATETERES/SONDAS; NUMERO: 5, TIPO: FOGARTY</t>
  </si>
  <si>
    <t>2.9.5-2161.148</t>
  </si>
  <si>
    <t>2.9.5-6286.5</t>
  </si>
  <si>
    <t>HEMOSTATICOS ABSORBIBLES; TIPO: SURGIEL, MEDIDA: 5 X 7,5 Cm, PRESENTACION: UNIDAD</t>
  </si>
  <si>
    <t>PROD. MEDICO/FARMACEUTICOS/LAB</t>
  </si>
  <si>
    <t>CATETERES/SONDAS; NUMERO: 24, TIPO: HEMATURIA</t>
  </si>
  <si>
    <t>2.9.5-2161.101</t>
  </si>
  <si>
    <t>CATETERES/SONDAS; NUMERO: 18, TIPO: HEMATURIA</t>
  </si>
  <si>
    <t>2.9.5-2161.215</t>
  </si>
  <si>
    <t>CATETERES/SONDAS; NUMERO: 22, TIPO: HEMATURIA</t>
  </si>
  <si>
    <t>2.9.5-2161.100</t>
  </si>
  <si>
    <t>CATETERES/SONDAS; NUMERO: 20, TIPO: HEMATURIA</t>
  </si>
  <si>
    <t>2.9.5-2161.394</t>
  </si>
  <si>
    <t>CATETERES/SONDAS; NUMERO: 4 FRENCH 13 CM, TIPO: P/VIA CENTRAL DOBLE LUMEN</t>
  </si>
  <si>
    <t>2.9.5-2161.547</t>
  </si>
  <si>
    <t>2.9.5-3020.3</t>
  </si>
  <si>
    <t>CATETERES/SONDAS; NUMERO: 12 FRENCH, TIPO: DIALISIS PERITONEAL</t>
  </si>
  <si>
    <t>CATETERES/SONDAS; NUMERO: 15 FRENCH, TIPO: DIALISIS PERITONEAL</t>
  </si>
  <si>
    <t>2.9.5-2161.473</t>
  </si>
  <si>
    <t>CANASTILLAS DE DORMIA; TIPO: HELICOIDAL, DIMENSION: 2.8 mm, USO: P/EXTRACCION DE CALCULOS</t>
  </si>
  <si>
    <t>2.9.5-8220.15</t>
  </si>
  <si>
    <t>CATETERES/SONDAS; NUMERO: SIN DATOS, TIPO: DOBLE P/LAVADO BRONCO ALVEOLAR P/DIAGNOSTICO NEUMONIA</t>
  </si>
  <si>
    <t>2.9.5-2161.556</t>
  </si>
  <si>
    <t>2.9.5-2161.554</t>
  </si>
  <si>
    <t>2.9.5-2161.555</t>
  </si>
  <si>
    <t>CATETERES/SONDAS; NUMERO: 10 FR, TIPO: GASTRICA SILICONA 100% CON LÍNEA RADIOPACA</t>
  </si>
  <si>
    <t>2.9.5-2161.549</t>
  </si>
  <si>
    <t>CATETERES/SONDAS; NUMERO: 7 FR, TIPO: GASTRICA SILICONA 100% CON LÍNEA RADIOPACA</t>
  </si>
  <si>
    <t>2.9.5-2161.550</t>
  </si>
  <si>
    <t>CATETERES/SONDAS; NUMERO: 9 FR, TIPO: GASTRICA SILICONA 100% CON LÍNEA RADIOPACA</t>
  </si>
  <si>
    <t>2.9.5-2161.551</t>
  </si>
  <si>
    <t>CATETERES/SONDAS; NUMERO: 12 FR, TIPO: GASTRICA SILICONA 100% CON LÍNEA RADIOPACA</t>
  </si>
  <si>
    <t>CATETERES/SONDAS; NUMERO: 14 FR, TIPO: GASTRICA SILICONA 100% CON LÍNEA RADIOPACA</t>
  </si>
  <si>
    <t>TROCAR DE PUNCION; USO: PUNCION TORAXICO, TIPO: N°10, CAMISA: SIN</t>
  </si>
  <si>
    <t>TROCAR DE PUNCION; USO: PUNCION TORAXICO, TIPO: N°12, CAMISA: SIN</t>
  </si>
  <si>
    <t>2.9.5-6700.5</t>
  </si>
  <si>
    <t>2.9.5-6700.4</t>
  </si>
  <si>
    <t>TROCAR DE PUNCION; USO: PUNCION TORAXICA, TIPO: Nº 14, CAMISA: SIN</t>
  </si>
  <si>
    <t>2.9.5-6700.28</t>
  </si>
  <si>
    <t>2.9.5-2161.358</t>
  </si>
  <si>
    <t>FRASCOS ESTERILES; CAPACIDAD: 750 CC, PRESENTACION: UNIDAD, GRABADO: SIN, USO: BITUBULADO DRENAJE</t>
  </si>
  <si>
    <t>2.9.5-448.95</t>
  </si>
  <si>
    <t>2.9.5-6752.2</t>
  </si>
  <si>
    <t>SUTURAS MECANICAS; TIPO: LIGA CLIPS MEDIUM LT200, USO: QUIRURGICO, PRESENTACION: UNIDAD</t>
  </si>
  <si>
    <t>2.9.5-2496.403</t>
  </si>
  <si>
    <t>SUTURAS MECANICAS; TIPO: LIGA CLIPS LARGE LT300, USO: QUIRURGICO, PRESENTACION: UNIDAD</t>
  </si>
  <si>
    <t>2.9.5-2496.402</t>
  </si>
  <si>
    <t>2.9.5-7517.9</t>
  </si>
  <si>
    <t>2.9.5-7517.6</t>
  </si>
  <si>
    <t>CLAVIJAS DE CIRUGIA; TIPO: KIRSCHNER, MATERIAL: ACERO INOXIDABLE, DIAMETRO: 0,5 mm, PRESENTACION: UNIDAD</t>
  </si>
  <si>
    <t>2.9.5-6379.1</t>
  </si>
  <si>
    <t>CLAVIJAS DE CIRUGIA; TIPO: KIRSCHNER, MATERIAL: ACERO INOXIDABLE, DIAMETRO: 1 mm, PRESENTACION: UNIDAD</t>
  </si>
  <si>
    <t>2.9.5-6379.2</t>
  </si>
  <si>
    <t>CLAVIJAS DE CIRUGIA; TIPO: KIRSCHNER, MATERIAL: ACERO INOXIDABLE, DIAMETRO: 1,5 mm, PRESENTACION: UNIDAD</t>
  </si>
  <si>
    <t>2.9.5-6379.3</t>
  </si>
  <si>
    <t>2.9.5-6379.5</t>
  </si>
  <si>
    <t>2.9.5-6379.6</t>
  </si>
  <si>
    <t>CLAVIJAS DE CIRUGIA; TIPO: STEIMANN, MATERIAL: ACERO INOXIDABLE, DIAMETRO: 4 mm, PRESENTACION: UNIDAD</t>
  </si>
  <si>
    <t>2.9.5-6379.7</t>
  </si>
  <si>
    <t>HEMOSTATICOS ABSORBIBLES; TIPO: TOPICO, MEDIDA: 5 X 7,5 Cm, PRESENTACION: UNIDAD</t>
  </si>
  <si>
    <t>2.9.5-6286.11</t>
  </si>
  <si>
    <t>2.9.5-2161.496</t>
  </si>
  <si>
    <t>BOLSAS P/COLOSTOMIA; TIPO: DESCARTABLE ADHESIVA P/ ADULTOS, DIAMETRO DE ARO: SIN ARO</t>
  </si>
  <si>
    <t>ELEMENTOS DESC. P/CIRUGIAS; TIPO: CAMPO QUIRURGICO 60 X 45 Cm, PRESENTACION: UNIDAD</t>
  </si>
  <si>
    <t>2.9.5-4198.93</t>
  </si>
  <si>
    <t>ELEMENTOS DESC. P/CIRUGIAS; TIPO: CAMPO QUIRURGICO 120 X 130 Cm, PRESENTACION: UNIDAD</t>
  </si>
  <si>
    <t>2.9.5-4198.41</t>
  </si>
  <si>
    <t>CATETERES/SONDAS; NUMERO: 4,7 FR X 26 CM, TIPO: DOBLE J COOK</t>
  </si>
  <si>
    <t>2.9.5-2161.586</t>
  </si>
  <si>
    <t>CATETERES/SONDAS; NUMERO: 9 FR X 15 CM TIPO DOBLE LUMEN HEMODIALISIS</t>
  </si>
  <si>
    <t>2.9.5-2161.590</t>
  </si>
  <si>
    <t>CATETERES/SONDAS; NUMERO: 12 FR X 20 CM , TIPO: DOBLE LUMEN HEMODIALISIS SUBCLAVIA</t>
  </si>
  <si>
    <t>CATETERES/SONDAS; NUMERO: 3,5 FR, TIPO: UMBILICAL VENOSO, PRESENTACION: UNIDAD</t>
  </si>
  <si>
    <t>2.9.5-2161.571</t>
  </si>
  <si>
    <t>CATETERES/SONDAS; NUMERO: 5 FR, TIPO: UMBILICAL VENOSO, PRESENTACION: UNIDAD</t>
  </si>
  <si>
    <t>2.9.5-2161.573</t>
  </si>
  <si>
    <t>CATETERES/SONDAS; NUMERO: 2,5 FR, TIPO: UMBILICAL VENOSO, PRESENTACION: UNIDAD</t>
  </si>
  <si>
    <t>2.9.5-2161.574</t>
  </si>
  <si>
    <t>2.9.5-5294.5</t>
  </si>
  <si>
    <t>CERAS P/HUESOS; USO: HEMOSTASIA, PRESENTACION: UNIDAD ESTERIL DE 2,5 GR</t>
  </si>
  <si>
    <t>2.9.5-6379.10</t>
  </si>
  <si>
    <t>CLAVIJAS DE CIRUGIA; TIPO: STEIMANN, MATERIAL: ACERO INOXIDABLE, DIAMETRO: 5 MM, PRESENTACION: UNIDAD</t>
  </si>
  <si>
    <t>CLAVIJAS DE CIRUGIA; TIPO: KIRSCHNER, MATERIAL: ACERO INOXIDABLE, DIAMETRO: 2 MM, PRESENTACION: UNIDAD</t>
  </si>
  <si>
    <t>CLAVIJAS DE CIRUGÍA; TIPO: KIRSCHNER; DIÁMETRO: 2,5 MM; MATERIAL: ACERO INOXIDABLE; PRESENTACIÓN: UNIDAD</t>
  </si>
  <si>
    <t>ASPIRADORES MÉDICOS; TIPO: HEMOSUCTOR PLÁSTICO; CAPACIDAD: 750/800 CM3; EQUIPO: INDIVIDUAL, USO: QUIRÚRGICO</t>
  </si>
  <si>
    <t>MALLAS P/EVENTRACCIÓN; MEDIDA: 30 X 30 CM; TIPO: VICRYL; MATERIAL: POLIGLACTINA; USO: CIRUGÍA</t>
  </si>
  <si>
    <t>MALLAS P/EVENTRACCION; MEDIDA: 30 X 30 CM; TIPO: PROLENE; MATERIAL: POLIPROPILENO; USO: CIRUGÍA</t>
  </si>
  <si>
    <t>2.9.5-6543.41</t>
  </si>
  <si>
    <t>SET P/ANESTESIA; TIPO: PERIDURAL, CANTIDAD DE COMPONENTES: IGUAL O MAS DE 5; CON AGUJA TUOHY 20G; COMPONENTES: CON AGUJA TUOHY 20G</t>
  </si>
  <si>
    <t>CATÉTERES/SONDAS; NÚMERO: 14 FRENCH; TIPO: SET MALECOT P/NEFROSTOMÍA COOK</t>
  </si>
  <si>
    <t>CATÉTERES/SONDAS; NÚMERO: 16 FRENCH; TIPO: SET MALECOT P/NEFROSTOMÍA COOK</t>
  </si>
  <si>
    <t>2.9.5-2161.564</t>
  </si>
  <si>
    <t>2.9.5-2161.581</t>
  </si>
  <si>
    <t>2.9.5-2161.580</t>
  </si>
  <si>
    <t>TROCAR DE PUNCION; USO: PUNCION TORAXICO, TIPO: N°16 FR, CAMISA: SIN</t>
  </si>
  <si>
    <t>2.9.5-6700.3</t>
  </si>
  <si>
    <t>TROCAR DE PUNCION; USO: PUNCION TORAXICA, TIPO: N° 18 FR, CAMISA: SIN</t>
  </si>
  <si>
    <t>2.9.5-6700.27</t>
  </si>
  <si>
    <t>TROCAR DE PUNCION; USO: PUNCION TORAXICO, TIPO: Nº20 FR, CAMISA: SIN</t>
  </si>
  <si>
    <t>2.9.5-6700.17</t>
  </si>
  <si>
    <t>TROCAR DE PUNCION; USO: PUNCION TORAXICO, TIPO: N° 22 FR, CAMISA: SIN</t>
  </si>
  <si>
    <t>2.9.5-6700.30</t>
  </si>
  <si>
    <t>TROCAR DE PUNCION; USO: PUNCION TORAXICA, TIPO: N° 24 FR, CAMISA: SIN</t>
  </si>
  <si>
    <t>2.9.5-6700.26</t>
  </si>
  <si>
    <t>CATETERES/SONDAS; NUMERO: 7 FR X 26 CM, TIPO: DOBLE J COOK</t>
  </si>
  <si>
    <t>SUTURAS MECANICAS; TIPO: LIGA CLIPS LARGE LT400, USO: QUIRURGICO, PRESENTACION: UNIDAD</t>
  </si>
  <si>
    <t>2.9.5-2496.461</t>
  </si>
  <si>
    <t>SI</t>
  </si>
  <si>
    <t>2.9.5-2161.523</t>
  </si>
  <si>
    <t>CATETERES/SONDAS; NUMERO: 28, TIPO: DRENAJE TORAXICO</t>
  </si>
  <si>
    <t>CATÉTERES/SONDAS; NÚMERO: 40; TIPO: DRENAJE TORÁXICO</t>
  </si>
  <si>
    <t>2.9.5-2161.597</t>
  </si>
  <si>
    <t>Útiles Menores Médico, Quirúrgico y de Laboratorio</t>
  </si>
  <si>
    <t>Productos Farmacéuticos y Medicinales</t>
  </si>
  <si>
    <t>011 - Direccion Provincial de Administracion - MS</t>
  </si>
  <si>
    <t>TOTAL RUBRO DESCARTABLE COMPLEJO</t>
  </si>
  <si>
    <t>DETALLE TECNICO Y ESPECIFICACIONES</t>
  </si>
  <si>
    <t>ANEXO
1-Para oferentes de la Provincia de Catamarca deberán presentar Habilitación Provincial para comercializar el producto que cotizan.
2-Para el resto de oferentes deberán presentar Certificado de Inscripción de ANMAT vigente al momento de la oferta, el mismo deberá ser correspondiente al objeto de la contratación y de encontrarse vencido adjuntar la solicitud de renovación.
3-No se aceptarán ofertas de productos no registrados y autorizada su venta por ANMAT. Se deberá especificar en cada ítem de la propuesta, marca y número de certificado otorgado por dicho ente regulador.
4-Los productos deberán tener un vencimiento posterior a doce (12) meses a partir de la fecha de su recepción.</t>
  </si>
  <si>
    <t>Plazos de entrega</t>
  </si>
  <si>
    <t>veinte (20) dias habiles</t>
  </si>
  <si>
    <t>Lugar de Entrega:</t>
  </si>
  <si>
    <t>DIR. PROV. DE FARMACIA E INSUMOS - CHACABUCO N° 169 - en el horario de 8:00hs a 12:00hs de lunes a viernes</t>
  </si>
  <si>
    <t>Calidad Minima esperada</t>
  </si>
  <si>
    <t>Mantenimiento</t>
  </si>
  <si>
    <t>cuarenta y cinco (45) días</t>
  </si>
  <si>
    <t>469 - DIRECCION PROVINCIAL DE FARMACIA E INSUMOS</t>
  </si>
  <si>
    <t>Costo total estimado: CUATRO MILLONES SETECIENTOS SIETE MIL NOVECIENTOS DIECINUEVE con 50/100.</t>
  </si>
  <si>
    <t>TOTAL DE PESOS: CUATRO MILLONES SETECIENTOS SIETE MIL NOVECIENTOS DIECINUEVE CON 50/100.</t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</si>
  <si>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  TIPO STERIDRAPE 1050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</si>
  <si>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3 TIPO UDRAPE 1015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</si>
  <si>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5 Y 6 CON CUFF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</si>
  <si>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  TIPO FUJIFILM MEDWORCK 2,8 mm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</si>
  <si>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:ITEMS 7, 8, 35 y 36  tipo COOK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</si>
  <si>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DEL 15 AL 17  Y DEL 42 AL 46  TIPO SILMAG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</si>
  <si>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47 SONDA PARA DRENAJE TORACICO LONGITUD 150 TIPO SILMAG CODIGO 150-28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</si>
  <si>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48 SONDA PARA DRENAJE TORACICO LONGITUD 150 TIPO SILMAG CODIGO 150-40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</si>
  <si>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26  TIPO SPONGOSTAN ESTÁNDAR 5 X 7 X 1 CM ETHICON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</si>
  <si>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 29, 30, 31, 32, 33 Y 49  TIPO ETHICON</t>
    </r>
  </si>
  <si>
    <r>
      <rPr>
        <u/>
        <sz val="10"/>
        <rFont val="Times New Roman"/>
        <family val="1"/>
      </rPr>
      <t>Especificidades</t>
    </r>
    <r>
      <rPr>
        <sz val="10"/>
        <rFont val="Times New Roman"/>
        <family val="1"/>
      </rPr>
      <t>: ITEMS  37 TIPO ARROW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</si>
</sst>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$&quot;\ * #,##0.00_-;\-&quot;$&quot;\ * #,##0.00_-;_-&quot;$&quot;\ * &quot;-&quot;??_-;_-@_-"/>
    <numFmt numFmtId="164" formatCode="_-&quot;$&quot;* #,##0.00_-;\-&quot;$&quot;* #,##0.00_-;_-&quot;$&quot;* &quot;-&quot;??_-;_-@_-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32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name val="Times New Roman"/>
      <family val="1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0"/>
      <color theme="1"/>
      <name val="Roboto"/>
    </font>
    <font>
      <sz val="11"/>
      <color theme="1"/>
      <name val="Calibri"/>
      <family val="2"/>
    </font>
    <font>
      <sz val="10"/>
      <color rgb="FF424242"/>
      <name val="Arial"/>
      <family val="2"/>
    </font>
    <font>
      <b/>
      <sz val="10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66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8">
    <xf numFmtId="0" fontId="0" fillId="0" borderId="0"/>
    <xf numFmtId="166" fontId="1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14" fillId="0" borderId="0"/>
    <xf numFmtId="0" fontId="14" fillId="0" borderId="0"/>
    <xf numFmtId="0" fontId="14" fillId="0" borderId="0"/>
  </cellStyleXfs>
  <cellXfs count="201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9" fontId="0" fillId="0" borderId="0" xfId="0" applyNumberFormat="1" applyAlignment="1">
      <alignment horizontal="left"/>
    </xf>
    <xf numFmtId="0" fontId="2" fillId="0" borderId="0" xfId="0" applyFont="1"/>
    <xf numFmtId="0" fontId="0" fillId="0" borderId="25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6" xfId="0" applyBorder="1"/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36" xfId="0" applyFont="1" applyBorder="1" applyAlignment="1">
      <alignment horizontal="center" vertical="center"/>
    </xf>
    <xf numFmtId="0" fontId="0" fillId="0" borderId="37" xfId="0" applyFont="1" applyBorder="1" applyAlignment="1">
      <alignment horizontal="center" vertical="center"/>
    </xf>
    <xf numFmtId="0" fontId="0" fillId="0" borderId="38" xfId="0" applyFont="1" applyBorder="1" applyAlignment="1">
      <alignment horizontal="center" vertical="center"/>
    </xf>
    <xf numFmtId="167" fontId="0" fillId="0" borderId="39" xfId="3" applyNumberFormat="1" applyFont="1" applyBorder="1" applyAlignment="1" applyProtection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11" fillId="0" borderId="37" xfId="0" applyFont="1" applyBorder="1" applyAlignment="1">
      <alignment horizontal="center" vertical="center"/>
    </xf>
    <xf numFmtId="0" fontId="11" fillId="0" borderId="38" xfId="0" applyFon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7" fontId="0" fillId="0" borderId="43" xfId="3" applyNumberFormat="1" applyFont="1" applyBorder="1" applyAlignment="1" applyProtection="1">
      <alignment horizontal="center" vertical="center"/>
    </xf>
    <xf numFmtId="0" fontId="22" fillId="0" borderId="58" xfId="0" applyFont="1" applyFill="1" applyBorder="1" applyAlignment="1">
      <alignment horizontal="center" vertical="center" wrapText="1"/>
    </xf>
    <xf numFmtId="0" fontId="22" fillId="0" borderId="59" xfId="0" applyFont="1" applyFill="1" applyBorder="1" applyAlignment="1">
      <alignment horizontal="center" vertical="center" wrapText="1"/>
    </xf>
    <xf numFmtId="0" fontId="22" fillId="0" borderId="60" xfId="0" applyFont="1" applyFill="1" applyBorder="1" applyAlignment="1">
      <alignment horizontal="center" vertical="center" wrapText="1"/>
    </xf>
    <xf numFmtId="0" fontId="22" fillId="0" borderId="14" xfId="0" applyFont="1" applyFill="1" applyBorder="1" applyAlignment="1">
      <alignment horizontal="center" vertical="center" wrapText="1"/>
    </xf>
    <xf numFmtId="0" fontId="22" fillId="0" borderId="61" xfId="0" applyFont="1" applyFill="1" applyBorder="1" applyAlignment="1">
      <alignment horizontal="center" vertical="center" wrapText="1"/>
    </xf>
    <xf numFmtId="164" fontId="22" fillId="0" borderId="62" xfId="0" applyNumberFormat="1" applyFont="1" applyFill="1" applyBorder="1" applyAlignment="1">
      <alignment horizontal="center" vertical="center" wrapText="1"/>
    </xf>
    <xf numFmtId="0" fontId="14" fillId="0" borderId="52" xfId="0" applyFont="1" applyFill="1" applyBorder="1" applyAlignment="1">
      <alignment horizontal="center" vertical="center"/>
    </xf>
    <xf numFmtId="0" fontId="14" fillId="0" borderId="52" xfId="0" applyFont="1" applyFill="1" applyBorder="1" applyAlignment="1">
      <alignment horizontal="left" vertical="center"/>
    </xf>
    <xf numFmtId="0" fontId="23" fillId="0" borderId="52" xfId="0" applyFont="1" applyFill="1" applyBorder="1" applyAlignment="1">
      <alignment horizontal="center" vertical="center" wrapText="1"/>
    </xf>
    <xf numFmtId="3" fontId="14" fillId="0" borderId="52" xfId="0" applyNumberFormat="1" applyFont="1" applyFill="1" applyBorder="1" applyAlignment="1">
      <alignment horizontal="center" vertical="center"/>
    </xf>
    <xf numFmtId="44" fontId="14" fillId="0" borderId="56" xfId="1" applyNumberFormat="1" applyFont="1" applyFill="1" applyBorder="1" applyAlignment="1">
      <alignment horizontal="center" vertical="center"/>
    </xf>
    <xf numFmtId="0" fontId="15" fillId="0" borderId="0" xfId="0" applyFont="1" applyFill="1" applyAlignment="1">
      <alignment vertical="center"/>
    </xf>
    <xf numFmtId="0" fontId="0" fillId="0" borderId="52" xfId="0" applyFill="1" applyBorder="1" applyAlignment="1">
      <alignment horizontal="left" vertical="center" wrapText="1"/>
    </xf>
    <xf numFmtId="164" fontId="14" fillId="0" borderId="48" xfId="1" applyNumberFormat="1" applyFont="1" applyFill="1" applyBorder="1" applyAlignment="1" applyProtection="1">
      <alignment horizontal="right" vertical="center" wrapText="1"/>
    </xf>
    <xf numFmtId="0" fontId="14" fillId="0" borderId="48" xfId="0" applyFont="1" applyFill="1" applyBorder="1" applyAlignment="1">
      <alignment horizontal="left" vertical="center"/>
    </xf>
    <xf numFmtId="0" fontId="0" fillId="0" borderId="48" xfId="0" applyFill="1" applyBorder="1" applyAlignment="1">
      <alignment horizontal="left" vertical="center" wrapText="1"/>
    </xf>
    <xf numFmtId="0" fontId="23" fillId="0" borderId="48" xfId="0" applyFont="1" applyFill="1" applyBorder="1" applyAlignment="1">
      <alignment horizontal="center" vertical="center" wrapText="1"/>
    </xf>
    <xf numFmtId="0" fontId="0" fillId="0" borderId="48" xfId="0" applyFill="1" applyBorder="1" applyAlignment="1">
      <alignment vertical="center" wrapText="1"/>
    </xf>
    <xf numFmtId="0" fontId="14" fillId="0" borderId="48" xfId="0" applyFont="1" applyFill="1" applyBorder="1" applyAlignment="1">
      <alignment horizontal="center" vertical="center"/>
    </xf>
    <xf numFmtId="3" fontId="14" fillId="0" borderId="48" xfId="0" applyNumberFormat="1" applyFont="1" applyFill="1" applyBorder="1" applyAlignment="1">
      <alignment horizontal="center" vertical="center"/>
    </xf>
    <xf numFmtId="44" fontId="14" fillId="0" borderId="54" xfId="1" applyNumberFormat="1" applyFont="1" applyFill="1" applyBorder="1" applyAlignment="1">
      <alignment horizontal="center" vertical="center"/>
    </xf>
    <xf numFmtId="0" fontId="14" fillId="0" borderId="48" xfId="0" applyFont="1" applyFill="1" applyBorder="1" applyAlignment="1">
      <alignment horizontal="left" vertical="center" wrapText="1"/>
    </xf>
    <xf numFmtId="0" fontId="14" fillId="0" borderId="48" xfId="0" applyFont="1" applyFill="1" applyBorder="1" applyAlignment="1">
      <alignment vertical="center" wrapText="1"/>
    </xf>
    <xf numFmtId="0" fontId="0" fillId="0" borderId="48" xfId="0" applyFill="1" applyBorder="1" applyAlignment="1">
      <alignment vertical="center"/>
    </xf>
    <xf numFmtId="0" fontId="14" fillId="0" borderId="48" xfId="0" applyFont="1" applyFill="1" applyBorder="1" applyAlignment="1">
      <alignment vertical="center"/>
    </xf>
    <xf numFmtId="164" fontId="14" fillId="0" borderId="48" xfId="1" applyNumberFormat="1" applyFont="1" applyFill="1" applyBorder="1" applyAlignment="1" applyProtection="1">
      <alignment horizontal="center" vertical="center" wrapText="1"/>
    </xf>
    <xf numFmtId="0" fontId="29" fillId="0" borderId="48" xfId="0" applyFont="1" applyFill="1" applyBorder="1" applyAlignment="1">
      <alignment horizontal="left" vertical="center"/>
    </xf>
    <xf numFmtId="0" fontId="27" fillId="0" borderId="48" xfId="0" applyFont="1" applyFill="1" applyBorder="1" applyAlignment="1">
      <alignment vertical="center" wrapText="1"/>
    </xf>
    <xf numFmtId="0" fontId="28" fillId="0" borderId="48" xfId="0" applyFont="1" applyFill="1" applyBorder="1" applyAlignment="1">
      <alignment horizontal="left" vertical="center"/>
    </xf>
    <xf numFmtId="44" fontId="14" fillId="0" borderId="54" xfId="1" applyNumberFormat="1" applyFont="1" applyFill="1" applyBorder="1" applyAlignment="1">
      <alignment vertical="center"/>
    </xf>
    <xf numFmtId="164" fontId="14" fillId="0" borderId="48" xfId="1" applyNumberFormat="1" applyFont="1" applyFill="1" applyBorder="1" applyAlignment="1" applyProtection="1">
      <alignment vertical="center" wrapText="1"/>
    </xf>
    <xf numFmtId="0" fontId="28" fillId="0" borderId="48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center"/>
    </xf>
    <xf numFmtId="0" fontId="0" fillId="0" borderId="48" xfId="0" applyFill="1" applyBorder="1" applyAlignment="1">
      <alignment horizontal="left" vertical="center"/>
    </xf>
    <xf numFmtId="0" fontId="14" fillId="0" borderId="0" xfId="0" applyFont="1" applyFill="1" applyAlignment="1">
      <alignment horizontal="center" vertical="center" wrapText="1"/>
    </xf>
    <xf numFmtId="0" fontId="14" fillId="0" borderId="51" xfId="0" applyFont="1" applyFill="1" applyBorder="1" applyAlignment="1">
      <alignment horizontal="left" vertical="center"/>
    </xf>
    <xf numFmtId="0" fontId="0" fillId="0" borderId="51" xfId="0" applyFill="1" applyBorder="1" applyAlignment="1">
      <alignment horizontal="left" vertical="center" wrapText="1"/>
    </xf>
    <xf numFmtId="0" fontId="23" fillId="0" borderId="51" xfId="0" applyFont="1" applyFill="1" applyBorder="1" applyAlignment="1">
      <alignment horizontal="center" vertical="center" wrapText="1"/>
    </xf>
    <xf numFmtId="0" fontId="14" fillId="0" borderId="51" xfId="0" applyFont="1" applyFill="1" applyBorder="1" applyAlignment="1">
      <alignment horizontal="center" vertical="center"/>
    </xf>
    <xf numFmtId="3" fontId="14" fillId="0" borderId="51" xfId="0" applyNumberFormat="1" applyFont="1" applyFill="1" applyBorder="1" applyAlignment="1">
      <alignment horizontal="center" vertical="center"/>
    </xf>
    <xf numFmtId="44" fontId="14" fillId="0" borderId="57" xfId="1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 wrapText="1"/>
    </xf>
    <xf numFmtId="0" fontId="25" fillId="0" borderId="48" xfId="0" applyFon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/>
    </xf>
    <xf numFmtId="0" fontId="14" fillId="0" borderId="53" xfId="0" applyFont="1" applyFill="1" applyBorder="1" applyAlignment="1">
      <alignment horizontal="center" vertical="center"/>
    </xf>
    <xf numFmtId="3" fontId="14" fillId="0" borderId="53" xfId="0" applyNumberFormat="1" applyFont="1" applyFill="1" applyBorder="1" applyAlignment="1">
      <alignment horizontal="center" vertical="center"/>
    </xf>
    <xf numFmtId="0" fontId="14" fillId="0" borderId="0" xfId="0" applyFont="1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51" xfId="0" applyFill="1" applyBorder="1" applyAlignment="1">
      <alignment horizontal="left" vertical="center"/>
    </xf>
    <xf numFmtId="0" fontId="23" fillId="0" borderId="51" xfId="0" applyFont="1" applyFill="1" applyBorder="1" applyAlignment="1">
      <alignment horizontal="left" vertical="center" wrapText="1"/>
    </xf>
    <xf numFmtId="0" fontId="26" fillId="0" borderId="51" xfId="0" applyFont="1" applyFill="1" applyBorder="1" applyAlignment="1">
      <alignment vertical="center" wrapText="1"/>
    </xf>
    <xf numFmtId="0" fontId="23" fillId="0" borderId="52" xfId="0" applyFont="1" applyFill="1" applyBorder="1" applyAlignment="1">
      <alignment horizontal="left" vertical="center" wrapText="1"/>
    </xf>
    <xf numFmtId="0" fontId="26" fillId="0" borderId="52" xfId="0" applyFont="1" applyFill="1" applyBorder="1" applyAlignment="1">
      <alignment vertical="center" wrapText="1"/>
    </xf>
    <xf numFmtId="164" fontId="14" fillId="0" borderId="51" xfId="1" applyNumberFormat="1" applyFont="1" applyFill="1" applyBorder="1" applyAlignment="1" applyProtection="1">
      <alignment horizontal="right" vertical="center" wrapText="1"/>
    </xf>
    <xf numFmtId="44" fontId="14" fillId="0" borderId="48" xfId="1" applyNumberFormat="1" applyFont="1" applyFill="1" applyBorder="1" applyAlignment="1">
      <alignment horizontal="center" vertical="center"/>
    </xf>
    <xf numFmtId="0" fontId="0" fillId="0" borderId="0" xfId="0" applyFill="1"/>
    <xf numFmtId="0" fontId="14" fillId="0" borderId="55" xfId="0" applyFont="1" applyFill="1" applyBorder="1" applyAlignment="1">
      <alignment horizontal="center" vertical="center"/>
    </xf>
    <xf numFmtId="0" fontId="14" fillId="0" borderId="51" xfId="0" applyFont="1" applyFill="1" applyBorder="1" applyAlignment="1">
      <alignment vertical="center" wrapText="1"/>
    </xf>
    <xf numFmtId="3" fontId="14" fillId="0" borderId="48" xfId="6" applyNumberFormat="1" applyFont="1" applyFill="1" applyBorder="1" applyAlignment="1">
      <alignment horizontal="center" vertical="center"/>
    </xf>
    <xf numFmtId="0" fontId="24" fillId="0" borderId="5" xfId="7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vertical="center"/>
    </xf>
    <xf numFmtId="164" fontId="15" fillId="0" borderId="0" xfId="0" applyNumberFormat="1" applyFont="1" applyFill="1" applyAlignment="1">
      <alignment vertical="center"/>
    </xf>
    <xf numFmtId="0" fontId="18" fillId="0" borderId="0" xfId="0" applyFont="1" applyFill="1" applyAlignment="1">
      <alignment horizontal="left" vertical="center" wrapText="1"/>
    </xf>
    <xf numFmtId="0" fontId="18" fillId="0" borderId="0" xfId="0" applyFont="1" applyFill="1" applyAlignment="1">
      <alignment horizontal="center" vertical="center" wrapText="1"/>
    </xf>
    <xf numFmtId="0" fontId="21" fillId="0" borderId="0" xfId="0" applyFont="1" applyFill="1" applyAlignment="1">
      <alignment horizontal="left" vertical="center" wrapText="1"/>
    </xf>
    <xf numFmtId="0" fontId="19" fillId="0" borderId="0" xfId="0" applyFont="1" applyFill="1" applyAlignment="1">
      <alignment horizontal="left" vertical="center" wrapText="1"/>
    </xf>
    <xf numFmtId="0" fontId="0" fillId="0" borderId="0" xfId="0" applyFill="1" applyAlignment="1">
      <alignment vertical="center"/>
    </xf>
    <xf numFmtId="0" fontId="15" fillId="0" borderId="3" xfId="0" applyFont="1" applyFill="1" applyBorder="1" applyAlignment="1">
      <alignment vertical="center"/>
    </xf>
    <xf numFmtId="0" fontId="15" fillId="0" borderId="4" xfId="0" applyFont="1" applyFill="1" applyBorder="1" applyAlignment="1">
      <alignment vertical="center"/>
    </xf>
    <xf numFmtId="0" fontId="20" fillId="0" borderId="7" xfId="0" applyFont="1" applyFill="1" applyBorder="1" applyAlignment="1">
      <alignment vertical="center"/>
    </xf>
    <xf numFmtId="0" fontId="15" fillId="0" borderId="8" xfId="0" applyFont="1" applyFill="1" applyBorder="1" applyAlignment="1">
      <alignment vertical="center"/>
    </xf>
    <xf numFmtId="0" fontId="15" fillId="0" borderId="9" xfId="0" applyFont="1" applyFill="1" applyBorder="1" applyAlignment="1">
      <alignment vertical="center"/>
    </xf>
    <xf numFmtId="0" fontId="15" fillId="0" borderId="0" xfId="0" applyFont="1" applyFill="1" applyBorder="1" applyAlignment="1">
      <alignment vertical="center"/>
    </xf>
    <xf numFmtId="0" fontId="15" fillId="0" borderId="6" xfId="0" applyFont="1" applyFill="1" applyBorder="1" applyAlignment="1">
      <alignment vertical="center"/>
    </xf>
    <xf numFmtId="0" fontId="24" fillId="0" borderId="5" xfId="7" applyFont="1" applyFill="1" applyBorder="1" applyAlignment="1">
      <alignment horizontal="center" wrapText="1"/>
    </xf>
    <xf numFmtId="0" fontId="14" fillId="0" borderId="51" xfId="0" applyFont="1" applyFill="1" applyBorder="1" applyAlignment="1">
      <alignment vertical="center"/>
    </xf>
    <xf numFmtId="3" fontId="14" fillId="0" borderId="51" xfId="6" applyNumberFormat="1" applyFont="1" applyFill="1" applyBorder="1" applyAlignment="1">
      <alignment horizontal="center" vertical="center"/>
    </xf>
    <xf numFmtId="164" fontId="30" fillId="0" borderId="62" xfId="0" applyNumberFormat="1" applyFont="1" applyFill="1" applyBorder="1" applyAlignment="1">
      <alignment vertical="center"/>
    </xf>
    <xf numFmtId="0" fontId="24" fillId="0" borderId="2" xfId="7" applyFont="1" applyFill="1" applyBorder="1" applyAlignment="1">
      <alignment horizontal="center" vertical="center" wrapText="1"/>
    </xf>
    <xf numFmtId="0" fontId="15" fillId="0" borderId="0" xfId="7" applyFont="1" applyFill="1" applyBorder="1" applyAlignment="1">
      <alignment horizontal="left" vertical="center" wrapText="1"/>
    </xf>
    <xf numFmtId="0" fontId="15" fillId="0" borderId="0" xfId="7" applyFont="1" applyFill="1" applyBorder="1" applyAlignment="1">
      <alignment horizontal="left" vertical="center"/>
    </xf>
    <xf numFmtId="0" fontId="15" fillId="0" borderId="0" xfId="7" applyFont="1" applyFill="1" applyBorder="1" applyAlignment="1">
      <alignment horizontal="center" vertical="center"/>
    </xf>
    <xf numFmtId="0" fontId="15" fillId="0" borderId="0" xfId="7" applyFont="1" applyFill="1" applyBorder="1" applyAlignment="1">
      <alignment vertical="center"/>
    </xf>
    <xf numFmtId="0" fontId="24" fillId="0" borderId="5" xfId="7" applyFont="1" applyBorder="1" applyAlignment="1">
      <alignment horizontal="center" wrapText="1"/>
    </xf>
    <xf numFmtId="0" fontId="15" fillId="0" borderId="0" xfId="7" applyFont="1" applyBorder="1" applyAlignment="1">
      <alignment horizontal="center" vertical="center"/>
    </xf>
    <xf numFmtId="0" fontId="15" fillId="0" borderId="7" xfId="0" applyFont="1" applyFill="1" applyBorder="1" applyAlignment="1">
      <alignment vertical="center"/>
    </xf>
    <xf numFmtId="0" fontId="15" fillId="0" borderId="0" xfId="7" applyFont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6" fillId="0" borderId="1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5" fillId="0" borderId="12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 wrapText="1" indent="1"/>
    </xf>
    <xf numFmtId="0" fontId="4" fillId="0" borderId="49" xfId="0" applyFont="1" applyFill="1" applyBorder="1" applyAlignment="1">
      <alignment horizontal="center" vertical="center"/>
    </xf>
    <xf numFmtId="0" fontId="4" fillId="0" borderId="49" xfId="0" applyFont="1" applyFill="1" applyBorder="1" applyAlignment="1">
      <alignment horizontal="center" vertical="center" wrapText="1"/>
    </xf>
    <xf numFmtId="167" fontId="4" fillId="0" borderId="49" xfId="1" applyNumberFormat="1" applyFont="1" applyFill="1" applyBorder="1" applyAlignment="1" applyProtection="1">
      <alignment horizontal="right" vertical="center" wrapText="1"/>
    </xf>
    <xf numFmtId="3" fontId="4" fillId="0" borderId="49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 applyBorder="1"/>
    <xf numFmtId="0" fontId="0" fillId="0" borderId="10" xfId="0" applyFill="1" applyBorder="1"/>
    <xf numFmtId="0" fontId="0" fillId="0" borderId="31" xfId="0" applyFont="1" applyFill="1" applyBorder="1" applyAlignment="1">
      <alignment horizontal="center" vertical="center"/>
    </xf>
    <xf numFmtId="0" fontId="0" fillId="0" borderId="32" xfId="0" applyFont="1" applyFill="1" applyBorder="1" applyAlignment="1">
      <alignment horizontal="center" vertical="center"/>
    </xf>
    <xf numFmtId="0" fontId="0" fillId="0" borderId="33" xfId="0" applyFont="1" applyFill="1" applyBorder="1" applyAlignment="1">
      <alignment horizontal="center" vertical="center"/>
    </xf>
    <xf numFmtId="0" fontId="14" fillId="0" borderId="32" xfId="0" applyFont="1" applyFill="1" applyBorder="1" applyAlignment="1">
      <alignment horizontal="center" vertical="center"/>
    </xf>
    <xf numFmtId="167" fontId="0" fillId="0" borderId="34" xfId="3" applyNumberFormat="1" applyFont="1" applyFill="1" applyBorder="1" applyAlignment="1" applyProtection="1">
      <alignment horizontal="center" vertical="center"/>
    </xf>
    <xf numFmtId="0" fontId="0" fillId="0" borderId="35" xfId="0" applyFont="1" applyFill="1" applyBorder="1" applyAlignment="1">
      <alignment horizontal="center" vertical="center"/>
    </xf>
    <xf numFmtId="0" fontId="0" fillId="0" borderId="36" xfId="0" applyFont="1" applyFill="1" applyBorder="1" applyAlignment="1">
      <alignment horizontal="center" vertical="center"/>
    </xf>
    <xf numFmtId="0" fontId="0" fillId="0" borderId="37" xfId="0" applyFont="1" applyFill="1" applyBorder="1" applyAlignment="1">
      <alignment horizontal="center" vertical="center"/>
    </xf>
    <xf numFmtId="0" fontId="0" fillId="0" borderId="38" xfId="0" applyFont="1" applyFill="1" applyBorder="1" applyAlignment="1">
      <alignment horizontal="center" vertical="center"/>
    </xf>
    <xf numFmtId="167" fontId="0" fillId="0" borderId="39" xfId="3" applyNumberFormat="1" applyFont="1" applyFill="1" applyBorder="1" applyAlignment="1" applyProtection="1">
      <alignment horizontal="center" vertical="center"/>
    </xf>
    <xf numFmtId="167" fontId="13" fillId="0" borderId="44" xfId="0" applyNumberFormat="1" applyFont="1" applyFill="1" applyBorder="1" applyAlignment="1">
      <alignment horizontal="center" vertical="center"/>
    </xf>
    <xf numFmtId="0" fontId="31" fillId="0" borderId="0" xfId="0" applyFont="1" applyFill="1" applyAlignment="1">
      <alignment vertical="center"/>
    </xf>
    <xf numFmtId="164" fontId="31" fillId="0" borderId="0" xfId="0" applyNumberFormat="1" applyFont="1" applyFill="1" applyAlignment="1">
      <alignment vertical="center"/>
    </xf>
    <xf numFmtId="0" fontId="5" fillId="0" borderId="12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vertical="center" wrapText="1"/>
    </xf>
    <xf numFmtId="0" fontId="15" fillId="0" borderId="5" xfId="6" applyFont="1" applyFill="1" applyBorder="1" applyAlignment="1">
      <alignment horizontal="left" vertical="center" wrapText="1"/>
    </xf>
    <xf numFmtId="0" fontId="15" fillId="0" borderId="0" xfId="6" applyFont="1" applyFill="1" applyBorder="1" applyAlignment="1">
      <alignment horizontal="left" vertical="center" wrapText="1"/>
    </xf>
    <xf numFmtId="0" fontId="15" fillId="0" borderId="6" xfId="6" applyFont="1" applyFill="1" applyBorder="1" applyAlignment="1">
      <alignment horizontal="left" vertical="center" wrapText="1"/>
    </xf>
    <xf numFmtId="0" fontId="30" fillId="0" borderId="63" xfId="0" applyFont="1" applyFill="1" applyBorder="1" applyAlignment="1">
      <alignment horizontal="center" vertical="center"/>
    </xf>
    <xf numFmtId="0" fontId="30" fillId="0" borderId="64" xfId="0" applyFont="1" applyFill="1" applyBorder="1" applyAlignment="1">
      <alignment horizontal="center" vertical="center"/>
    </xf>
    <xf numFmtId="0" fontId="15" fillId="0" borderId="3" xfId="7" applyFont="1" applyFill="1" applyBorder="1" applyAlignment="1">
      <alignment horizontal="left" vertical="center" wrapText="1"/>
    </xf>
    <xf numFmtId="0" fontId="15" fillId="0" borderId="4" xfId="7" applyFont="1" applyFill="1" applyBorder="1" applyAlignment="1">
      <alignment horizontal="left" vertical="center" wrapText="1"/>
    </xf>
    <xf numFmtId="0" fontId="4" fillId="0" borderId="49" xfId="0" applyFont="1" applyFill="1" applyBorder="1" applyAlignment="1">
      <alignment horizontal="left" vertical="center" wrapText="1"/>
    </xf>
    <xf numFmtId="0" fontId="6" fillId="0" borderId="14" xfId="0" applyFont="1" applyFill="1" applyBorder="1" applyAlignment="1">
      <alignment horizontal="left" vertical="center" wrapText="1" indent="1"/>
    </xf>
    <xf numFmtId="0" fontId="6" fillId="0" borderId="50" xfId="0" applyFont="1" applyFill="1" applyBorder="1" applyAlignment="1">
      <alignment horizontal="left" vertical="center" wrapText="1" indent="1"/>
    </xf>
    <xf numFmtId="168" fontId="7" fillId="0" borderId="14" xfId="0" applyNumberFormat="1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left" vertical="center"/>
    </xf>
    <xf numFmtId="0" fontId="6" fillId="0" borderId="45" xfId="0" applyFont="1" applyFill="1" applyBorder="1" applyAlignment="1">
      <alignment horizontal="left" vertical="center" wrapText="1"/>
    </xf>
    <xf numFmtId="0" fontId="6" fillId="0" borderId="65" xfId="0" applyFont="1" applyFill="1" applyBorder="1" applyAlignment="1">
      <alignment horizontal="left" vertical="center" wrapText="1"/>
    </xf>
    <xf numFmtId="0" fontId="6" fillId="0" borderId="21" xfId="0" applyFont="1" applyFill="1" applyBorder="1" applyAlignment="1">
      <alignment horizontal="left" vertical="center" wrapText="1"/>
    </xf>
    <xf numFmtId="0" fontId="8" fillId="0" borderId="16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left" vertical="center" wrapText="1"/>
    </xf>
    <xf numFmtId="0" fontId="7" fillId="0" borderId="15" xfId="0" applyFont="1" applyFill="1" applyBorder="1" applyAlignment="1">
      <alignment horizontal="left" vertical="center" wrapText="1"/>
    </xf>
    <xf numFmtId="0" fontId="9" fillId="0" borderId="20" xfId="0" applyFont="1" applyFill="1" applyBorder="1" applyAlignment="1">
      <alignment vertical="center" wrapText="1"/>
    </xf>
    <xf numFmtId="0" fontId="9" fillId="0" borderId="45" xfId="0" applyFont="1" applyFill="1" applyBorder="1" applyAlignment="1">
      <alignment vertical="center" wrapText="1"/>
    </xf>
    <xf numFmtId="0" fontId="9" fillId="0" borderId="17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44" xfId="0" applyFont="1" applyFill="1" applyBorder="1" applyAlignment="1">
      <alignment horizontal="left" vertical="center" wrapText="1" indent="1"/>
    </xf>
    <xf numFmtId="0" fontId="0" fillId="0" borderId="38" xfId="0" applyFont="1" applyBorder="1" applyAlignment="1">
      <alignment horizontal="left" vertical="center"/>
    </xf>
    <xf numFmtId="0" fontId="0" fillId="0" borderId="38" xfId="0" applyBorder="1" applyAlignment="1">
      <alignment horizontal="left" vertical="center"/>
    </xf>
    <xf numFmtId="0" fontId="0" fillId="0" borderId="41" xfId="0" applyBorder="1" applyAlignment="1">
      <alignment horizontal="left" vertical="center"/>
    </xf>
    <xf numFmtId="0" fontId="9" fillId="0" borderId="44" xfId="0" applyFont="1" applyFill="1" applyBorder="1" applyAlignment="1">
      <alignment horizontal="left" vertical="center" wrapText="1"/>
    </xf>
    <xf numFmtId="0" fontId="0" fillId="0" borderId="22" xfId="0" applyFill="1" applyBorder="1"/>
    <xf numFmtId="0" fontId="14" fillId="0" borderId="32" xfId="0" applyFont="1" applyFill="1" applyBorder="1" applyAlignment="1">
      <alignment horizontal="left" vertical="center" wrapText="1"/>
    </xf>
    <xf numFmtId="0" fontId="0" fillId="0" borderId="32" xfId="0" applyFont="1" applyFill="1" applyBorder="1" applyAlignment="1">
      <alignment horizontal="left" vertical="center" wrapText="1"/>
    </xf>
    <xf numFmtId="0" fontId="14" fillId="0" borderId="38" xfId="0" applyFont="1" applyFill="1" applyBorder="1" applyAlignment="1">
      <alignment horizontal="left" vertical="center" wrapText="1"/>
    </xf>
    <xf numFmtId="0" fontId="0" fillId="0" borderId="38" xfId="0" applyFont="1" applyFill="1" applyBorder="1" applyAlignment="1">
      <alignment horizontal="left" vertical="center" wrapText="1"/>
    </xf>
    <xf numFmtId="0" fontId="11" fillId="0" borderId="23" xfId="0" applyFont="1" applyFill="1" applyBorder="1"/>
    <xf numFmtId="0" fontId="11" fillId="0" borderId="24" xfId="0" applyFont="1" applyFill="1" applyBorder="1" applyAlignment="1">
      <alignment horizontal="left" vertical="center" wrapText="1" indent="1"/>
    </xf>
    <xf numFmtId="0" fontId="13" fillId="0" borderId="2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/>
    </xf>
    <xf numFmtId="0" fontId="4" fillId="0" borderId="13" xfId="0" applyFont="1" applyFill="1" applyBorder="1" applyAlignment="1">
      <alignment horizontal="left" vertical="center" wrapText="1"/>
    </xf>
    <xf numFmtId="0" fontId="4" fillId="0" borderId="46" xfId="0" applyFont="1" applyFill="1" applyBorder="1" applyAlignment="1">
      <alignment horizontal="left" vertical="center" wrapText="1"/>
    </xf>
    <xf numFmtId="0" fontId="4" fillId="0" borderId="47" xfId="0" applyFont="1" applyFill="1" applyBorder="1" applyAlignment="1">
      <alignment horizontal="left" vertical="center" wrapText="1"/>
    </xf>
    <xf numFmtId="0" fontId="11" fillId="0" borderId="11" xfId="0" applyFont="1" applyFill="1" applyBorder="1" applyAlignment="1">
      <alignment horizontal="left" indent="1"/>
    </xf>
    <xf numFmtId="0" fontId="12" fillId="0" borderId="11" xfId="0" applyFont="1" applyFill="1" applyBorder="1" applyAlignment="1">
      <alignment horizontal="left"/>
    </xf>
    <xf numFmtId="0" fontId="0" fillId="0" borderId="20" xfId="0" applyFont="1" applyBorder="1" applyAlignment="1">
      <alignment horizontal="center"/>
    </xf>
    <xf numFmtId="3" fontId="9" fillId="0" borderId="2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2" fillId="0" borderId="11" xfId="0" applyFont="1" applyBorder="1"/>
    <xf numFmtId="0" fontId="11" fillId="0" borderId="11" xfId="0" applyFont="1" applyBorder="1" applyAlignment="1">
      <alignment horizontal="left" indent="1"/>
    </xf>
  </cellXfs>
  <cellStyles count="8">
    <cellStyle name="Encabezado 1" xfId="2"/>
    <cellStyle name="Moneda" xfId="1" builtinId="4"/>
    <cellStyle name="Moneda_AUTORIZACION Y NOTA DE PEDIDO" xfId="3"/>
    <cellStyle name="Neutral 1" xfId="4"/>
    <cellStyle name="Normal" xfId="0" builtinId="0"/>
    <cellStyle name="Normal 2" xfId="5"/>
    <cellStyle name="Normal 2 2" xfId="7"/>
    <cellStyle name="Normal 2 3" xfId="6"/>
  </cellStyles>
  <dxfs count="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M103"/>
  <sheetViews>
    <sheetView tabSelected="1" topLeftCell="A70" zoomScaleNormal="100" workbookViewId="0">
      <selection activeCell="B63" sqref="B63"/>
    </sheetView>
  </sheetViews>
  <sheetFormatPr baseColWidth="10" defaultColWidth="11" defaultRowHeight="12.75"/>
  <cols>
    <col min="1" max="1" width="4.5703125" style="40" customWidth="1"/>
    <col min="2" max="2" width="20.5703125" style="40" customWidth="1"/>
    <col min="3" max="3" width="35.85546875" style="40" bestFit="1" customWidth="1"/>
    <col min="4" max="4" width="8.42578125" style="40" customWidth="1"/>
    <col min="5" max="5" width="116.42578125" style="40" customWidth="1"/>
    <col min="6" max="6" width="11" style="40"/>
    <col min="7" max="7" width="14.7109375" style="40" customWidth="1"/>
    <col min="8" max="8" width="15.7109375" style="40" customWidth="1"/>
    <col min="9" max="9" width="18.5703125" style="90" customWidth="1"/>
    <col min="10" max="10" width="11" style="40"/>
    <col min="11" max="13" width="12" style="142" bestFit="1" customWidth="1"/>
    <col min="14" max="16384" width="11" style="40"/>
  </cols>
  <sheetData>
    <row r="2" spans="1:12" ht="27">
      <c r="B2" s="147" t="s">
        <v>0</v>
      </c>
      <c r="C2" s="147"/>
      <c r="D2" s="147"/>
      <c r="E2" s="147"/>
      <c r="F2" s="147"/>
      <c r="G2" s="147"/>
      <c r="H2" s="147"/>
    </row>
    <row r="3" spans="1:12" ht="12" customHeight="1"/>
    <row r="4" spans="1:12" ht="18" customHeight="1">
      <c r="A4" s="148" t="s">
        <v>1</v>
      </c>
      <c r="B4" s="148"/>
      <c r="C4" s="149" t="s">
        <v>51</v>
      </c>
      <c r="D4" s="149"/>
      <c r="E4" s="149"/>
      <c r="F4" s="91"/>
      <c r="G4" s="92"/>
      <c r="H4" s="91"/>
    </row>
    <row r="5" spans="1:12" ht="18" customHeight="1">
      <c r="A5" s="148" t="s">
        <v>2</v>
      </c>
      <c r="B5" s="148"/>
      <c r="C5" s="149" t="s">
        <v>176</v>
      </c>
      <c r="D5" s="149"/>
      <c r="E5" s="149"/>
      <c r="F5" s="91"/>
      <c r="G5" s="92"/>
      <c r="H5" s="91"/>
    </row>
    <row r="6" spans="1:12" ht="16.5" customHeight="1">
      <c r="A6" s="148" t="s">
        <v>3</v>
      </c>
      <c r="B6" s="148"/>
      <c r="C6" s="93">
        <v>2022</v>
      </c>
      <c r="D6" s="94"/>
      <c r="E6" s="94"/>
      <c r="F6" s="91"/>
      <c r="G6" s="92"/>
      <c r="H6" s="91"/>
    </row>
    <row r="7" spans="1:12" ht="16.5" customHeight="1">
      <c r="A7" s="148" t="s">
        <v>4</v>
      </c>
      <c r="B7" s="148"/>
      <c r="C7" s="93">
        <v>3</v>
      </c>
      <c r="D7" s="94"/>
      <c r="E7" s="94"/>
      <c r="F7" s="91"/>
      <c r="G7" s="92"/>
      <c r="H7" s="91"/>
    </row>
    <row r="8" spans="1:12" ht="13.5" thickBot="1">
      <c r="B8" s="91"/>
      <c r="C8" s="92"/>
      <c r="D8" s="91"/>
      <c r="E8" s="91"/>
      <c r="F8" s="91"/>
      <c r="G8" s="92"/>
      <c r="H8" s="91"/>
    </row>
    <row r="9" spans="1:12" ht="39" thickBot="1">
      <c r="A9" s="29" t="s">
        <v>5</v>
      </c>
      <c r="B9" s="30" t="s">
        <v>6</v>
      </c>
      <c r="C9" s="30" t="s">
        <v>7</v>
      </c>
      <c r="D9" s="31" t="s">
        <v>8</v>
      </c>
      <c r="E9" s="32" t="s">
        <v>9</v>
      </c>
      <c r="F9" s="33" t="s">
        <v>10</v>
      </c>
      <c r="G9" s="30" t="s">
        <v>11</v>
      </c>
      <c r="H9" s="31" t="s">
        <v>12</v>
      </c>
      <c r="I9" s="34" t="s">
        <v>13</v>
      </c>
      <c r="K9" s="142">
        <v>295</v>
      </c>
      <c r="L9" s="142">
        <v>252</v>
      </c>
    </row>
    <row r="10" spans="1:12" ht="18" customHeight="1">
      <c r="A10" s="35">
        <v>1</v>
      </c>
      <c r="B10" s="43" t="s">
        <v>77</v>
      </c>
      <c r="C10" s="50" t="s">
        <v>66</v>
      </c>
      <c r="D10" s="45">
        <v>295</v>
      </c>
      <c r="E10" s="51" t="s">
        <v>124</v>
      </c>
      <c r="F10" s="47" t="s">
        <v>56</v>
      </c>
      <c r="G10" s="48">
        <v>20</v>
      </c>
      <c r="H10" s="49">
        <v>225</v>
      </c>
      <c r="I10" s="42">
        <f t="shared" ref="I10:I41" si="0">+G10*H10</f>
        <v>4500</v>
      </c>
      <c r="K10" s="143">
        <f>+I10</f>
        <v>4500</v>
      </c>
      <c r="L10" s="143"/>
    </row>
    <row r="11" spans="1:12" ht="18" customHeight="1">
      <c r="A11" s="35">
        <v>2</v>
      </c>
      <c r="B11" s="43" t="s">
        <v>126</v>
      </c>
      <c r="C11" s="44" t="s">
        <v>66</v>
      </c>
      <c r="D11" s="45">
        <v>295</v>
      </c>
      <c r="E11" s="53" t="s">
        <v>125</v>
      </c>
      <c r="F11" s="47" t="s">
        <v>56</v>
      </c>
      <c r="G11" s="48">
        <v>20</v>
      </c>
      <c r="H11" s="49">
        <v>870</v>
      </c>
      <c r="I11" s="42">
        <f t="shared" si="0"/>
        <v>17400</v>
      </c>
      <c r="K11" s="143">
        <f t="shared" ref="K11:K66" si="1">+I11</f>
        <v>17400</v>
      </c>
      <c r="L11" s="143"/>
    </row>
    <row r="12" spans="1:12" ht="18" customHeight="1">
      <c r="A12" s="35">
        <v>3</v>
      </c>
      <c r="B12" s="43" t="s">
        <v>128</v>
      </c>
      <c r="C12" s="44" t="s">
        <v>66</v>
      </c>
      <c r="D12" s="45">
        <v>295</v>
      </c>
      <c r="E12" s="53" t="s">
        <v>127</v>
      </c>
      <c r="F12" s="47" t="s">
        <v>56</v>
      </c>
      <c r="G12" s="48">
        <v>15</v>
      </c>
      <c r="H12" s="49">
        <v>750</v>
      </c>
      <c r="I12" s="42">
        <f t="shared" si="0"/>
        <v>11250</v>
      </c>
      <c r="K12" s="143">
        <f t="shared" si="1"/>
        <v>11250</v>
      </c>
      <c r="L12" s="143"/>
    </row>
    <row r="13" spans="1:12" ht="18" customHeight="1">
      <c r="A13" s="35">
        <v>4</v>
      </c>
      <c r="B13" s="55" t="s">
        <v>82</v>
      </c>
      <c r="C13" s="44" t="s">
        <v>66</v>
      </c>
      <c r="D13" s="45">
        <v>295</v>
      </c>
      <c r="E13" s="56" t="s">
        <v>81</v>
      </c>
      <c r="F13" s="47" t="s">
        <v>56</v>
      </c>
      <c r="G13" s="48">
        <v>3</v>
      </c>
      <c r="H13" s="49">
        <v>55600</v>
      </c>
      <c r="I13" s="42">
        <f t="shared" si="0"/>
        <v>166800</v>
      </c>
      <c r="K13" s="143">
        <f t="shared" si="1"/>
        <v>166800</v>
      </c>
      <c r="L13" s="143"/>
    </row>
    <row r="14" spans="1:12" ht="18" customHeight="1">
      <c r="A14" s="35">
        <v>5</v>
      </c>
      <c r="B14" s="55" t="s">
        <v>85</v>
      </c>
      <c r="C14" s="44" t="s">
        <v>66</v>
      </c>
      <c r="D14" s="45">
        <v>295</v>
      </c>
      <c r="E14" s="57" t="s">
        <v>78</v>
      </c>
      <c r="F14" s="47" t="s">
        <v>56</v>
      </c>
      <c r="G14" s="48">
        <v>3</v>
      </c>
      <c r="H14" s="49">
        <v>33500</v>
      </c>
      <c r="I14" s="42">
        <f t="shared" si="0"/>
        <v>100500</v>
      </c>
      <c r="K14" s="143">
        <f t="shared" si="1"/>
        <v>100500</v>
      </c>
      <c r="L14" s="143"/>
    </row>
    <row r="15" spans="1:12" ht="18" customHeight="1">
      <c r="A15" s="35">
        <v>6</v>
      </c>
      <c r="B15" s="55" t="s">
        <v>86</v>
      </c>
      <c r="C15" s="44" t="s">
        <v>66</v>
      </c>
      <c r="D15" s="45">
        <v>295</v>
      </c>
      <c r="E15" s="57" t="s">
        <v>79</v>
      </c>
      <c r="F15" s="47" t="s">
        <v>56</v>
      </c>
      <c r="G15" s="48">
        <v>3</v>
      </c>
      <c r="H15" s="49">
        <v>33500</v>
      </c>
      <c r="I15" s="42">
        <f t="shared" si="0"/>
        <v>100500</v>
      </c>
      <c r="K15" s="143">
        <f t="shared" si="1"/>
        <v>100500</v>
      </c>
      <c r="L15" s="143"/>
    </row>
    <row r="16" spans="1:12" ht="18" customHeight="1">
      <c r="A16" s="35">
        <v>7</v>
      </c>
      <c r="B16" s="43" t="s">
        <v>130</v>
      </c>
      <c r="C16" s="44" t="s">
        <v>66</v>
      </c>
      <c r="D16" s="45">
        <v>295</v>
      </c>
      <c r="E16" s="53" t="s">
        <v>129</v>
      </c>
      <c r="F16" s="47" t="s">
        <v>56</v>
      </c>
      <c r="G16" s="48">
        <v>10</v>
      </c>
      <c r="H16" s="49">
        <v>13500</v>
      </c>
      <c r="I16" s="42">
        <f t="shared" si="0"/>
        <v>135000</v>
      </c>
      <c r="K16" s="143">
        <f t="shared" si="1"/>
        <v>135000</v>
      </c>
      <c r="L16" s="143"/>
    </row>
    <row r="17" spans="1:12" ht="18" customHeight="1">
      <c r="A17" s="35">
        <v>8</v>
      </c>
      <c r="B17" s="43" t="s">
        <v>80</v>
      </c>
      <c r="C17" s="44" t="s">
        <v>66</v>
      </c>
      <c r="D17" s="45">
        <v>295</v>
      </c>
      <c r="E17" s="52" t="s">
        <v>166</v>
      </c>
      <c r="F17" s="47" t="s">
        <v>56</v>
      </c>
      <c r="G17" s="48">
        <v>6</v>
      </c>
      <c r="H17" s="58">
        <v>13500</v>
      </c>
      <c r="I17" s="59">
        <f t="shared" si="0"/>
        <v>81000</v>
      </c>
      <c r="K17" s="143">
        <f t="shared" si="1"/>
        <v>81000</v>
      </c>
      <c r="L17" s="143"/>
    </row>
    <row r="18" spans="1:12" ht="18" customHeight="1">
      <c r="A18" s="35">
        <v>9</v>
      </c>
      <c r="B18" s="55" t="s">
        <v>84</v>
      </c>
      <c r="C18" s="44" t="s">
        <v>66</v>
      </c>
      <c r="D18" s="45">
        <v>295</v>
      </c>
      <c r="E18" s="60" t="s">
        <v>83</v>
      </c>
      <c r="F18" s="47" t="s">
        <v>56</v>
      </c>
      <c r="G18" s="48">
        <v>3</v>
      </c>
      <c r="H18" s="49">
        <v>8500</v>
      </c>
      <c r="I18" s="54">
        <f t="shared" si="0"/>
        <v>25500</v>
      </c>
      <c r="K18" s="143">
        <f t="shared" si="1"/>
        <v>25500</v>
      </c>
      <c r="L18" s="143"/>
    </row>
    <row r="19" spans="1:12" ht="18" customHeight="1">
      <c r="A19" s="35">
        <v>10</v>
      </c>
      <c r="B19" s="43" t="s">
        <v>58</v>
      </c>
      <c r="C19" s="44" t="s">
        <v>66</v>
      </c>
      <c r="D19" s="45">
        <v>295</v>
      </c>
      <c r="E19" s="52" t="s">
        <v>59</v>
      </c>
      <c r="F19" s="47" t="s">
        <v>56</v>
      </c>
      <c r="G19" s="48">
        <v>10</v>
      </c>
      <c r="H19" s="49">
        <v>4500</v>
      </c>
      <c r="I19" s="42">
        <f t="shared" si="0"/>
        <v>45000</v>
      </c>
      <c r="K19" s="143">
        <f t="shared" si="1"/>
        <v>45000</v>
      </c>
      <c r="L19" s="143"/>
    </row>
    <row r="20" spans="1:12" ht="18" customHeight="1">
      <c r="A20" s="35">
        <v>11</v>
      </c>
      <c r="B20" s="43" t="s">
        <v>60</v>
      </c>
      <c r="C20" s="44" t="s">
        <v>66</v>
      </c>
      <c r="D20" s="45">
        <v>295</v>
      </c>
      <c r="E20" s="52" t="s">
        <v>61</v>
      </c>
      <c r="F20" s="47" t="s">
        <v>56</v>
      </c>
      <c r="G20" s="48">
        <v>10</v>
      </c>
      <c r="H20" s="49">
        <v>4500</v>
      </c>
      <c r="I20" s="42">
        <f t="shared" si="0"/>
        <v>45000</v>
      </c>
      <c r="K20" s="143">
        <f t="shared" si="1"/>
        <v>45000</v>
      </c>
      <c r="L20" s="143"/>
    </row>
    <row r="21" spans="1:12" ht="18" customHeight="1">
      <c r="A21" s="35">
        <v>12</v>
      </c>
      <c r="B21" s="43" t="s">
        <v>63</v>
      </c>
      <c r="C21" s="44" t="s">
        <v>66</v>
      </c>
      <c r="D21" s="45">
        <v>295</v>
      </c>
      <c r="E21" s="52" t="s">
        <v>62</v>
      </c>
      <c r="F21" s="47" t="s">
        <v>56</v>
      </c>
      <c r="G21" s="48">
        <v>10</v>
      </c>
      <c r="H21" s="49">
        <v>4500</v>
      </c>
      <c r="I21" s="42">
        <f t="shared" si="0"/>
        <v>45000</v>
      </c>
      <c r="K21" s="143">
        <f t="shared" si="1"/>
        <v>45000</v>
      </c>
      <c r="L21" s="143"/>
    </row>
    <row r="22" spans="1:12" ht="18" customHeight="1">
      <c r="A22" s="35">
        <v>13</v>
      </c>
      <c r="B22" s="43" t="s">
        <v>132</v>
      </c>
      <c r="C22" s="44" t="s">
        <v>66</v>
      </c>
      <c r="D22" s="45">
        <v>295</v>
      </c>
      <c r="E22" s="51" t="s">
        <v>131</v>
      </c>
      <c r="F22" s="63" t="s">
        <v>56</v>
      </c>
      <c r="G22" s="48">
        <v>3</v>
      </c>
      <c r="H22" s="49">
        <v>29800</v>
      </c>
      <c r="I22" s="42">
        <f t="shared" si="0"/>
        <v>89400</v>
      </c>
      <c r="K22" s="143">
        <f t="shared" si="1"/>
        <v>89400</v>
      </c>
      <c r="L22" s="143"/>
    </row>
    <row r="23" spans="1:12" ht="18" customHeight="1">
      <c r="A23" s="35">
        <v>14</v>
      </c>
      <c r="B23" s="62" t="s">
        <v>101</v>
      </c>
      <c r="C23" s="44" t="s">
        <v>66</v>
      </c>
      <c r="D23" s="45">
        <v>295</v>
      </c>
      <c r="E23" s="53" t="s">
        <v>133</v>
      </c>
      <c r="F23" s="47" t="s">
        <v>56</v>
      </c>
      <c r="G23" s="48">
        <v>3</v>
      </c>
      <c r="H23" s="49">
        <v>26000</v>
      </c>
      <c r="I23" s="42">
        <f t="shared" si="0"/>
        <v>78000</v>
      </c>
      <c r="K23" s="143">
        <f t="shared" si="1"/>
        <v>78000</v>
      </c>
      <c r="L23" s="143"/>
    </row>
    <row r="24" spans="1:12" ht="18" customHeight="1">
      <c r="A24" s="35">
        <v>15</v>
      </c>
      <c r="B24" s="43" t="s">
        <v>135</v>
      </c>
      <c r="C24" s="44" t="s">
        <v>66</v>
      </c>
      <c r="D24" s="45">
        <v>295</v>
      </c>
      <c r="E24" s="53" t="s">
        <v>134</v>
      </c>
      <c r="F24" s="47" t="s">
        <v>56</v>
      </c>
      <c r="G24" s="48">
        <v>20</v>
      </c>
      <c r="H24" s="49">
        <v>2500</v>
      </c>
      <c r="I24" s="42">
        <f t="shared" si="0"/>
        <v>50000</v>
      </c>
      <c r="K24" s="143">
        <f t="shared" si="1"/>
        <v>50000</v>
      </c>
      <c r="L24" s="143"/>
    </row>
    <row r="25" spans="1:12" ht="18" customHeight="1">
      <c r="A25" s="35">
        <v>16</v>
      </c>
      <c r="B25" s="43" t="s">
        <v>137</v>
      </c>
      <c r="C25" s="44" t="s">
        <v>66</v>
      </c>
      <c r="D25" s="45">
        <v>295</v>
      </c>
      <c r="E25" s="53" t="s">
        <v>136</v>
      </c>
      <c r="F25" s="47" t="s">
        <v>56</v>
      </c>
      <c r="G25" s="48">
        <v>20</v>
      </c>
      <c r="H25" s="49">
        <v>2500</v>
      </c>
      <c r="I25" s="42">
        <f t="shared" si="0"/>
        <v>50000</v>
      </c>
      <c r="K25" s="143">
        <f t="shared" si="1"/>
        <v>50000</v>
      </c>
      <c r="L25" s="143"/>
    </row>
    <row r="26" spans="1:12" ht="18" customHeight="1">
      <c r="A26" s="35">
        <v>17</v>
      </c>
      <c r="B26" s="43" t="s">
        <v>139</v>
      </c>
      <c r="C26" s="44" t="s">
        <v>66</v>
      </c>
      <c r="D26" s="45">
        <v>295</v>
      </c>
      <c r="E26" s="53" t="s">
        <v>138</v>
      </c>
      <c r="F26" s="47" t="s">
        <v>56</v>
      </c>
      <c r="G26" s="48">
        <v>20</v>
      </c>
      <c r="H26" s="49">
        <v>2500</v>
      </c>
      <c r="I26" s="42">
        <f t="shared" si="0"/>
        <v>50000</v>
      </c>
      <c r="K26" s="143">
        <f t="shared" si="1"/>
        <v>50000</v>
      </c>
      <c r="L26" s="143"/>
    </row>
    <row r="27" spans="1:12" ht="18" customHeight="1">
      <c r="A27" s="35">
        <v>18</v>
      </c>
      <c r="B27" s="62" t="s">
        <v>140</v>
      </c>
      <c r="C27" s="44" t="s">
        <v>66</v>
      </c>
      <c r="D27" s="45">
        <v>252</v>
      </c>
      <c r="E27" s="53" t="s">
        <v>141</v>
      </c>
      <c r="F27" s="47" t="s">
        <v>56</v>
      </c>
      <c r="G27" s="48">
        <v>10</v>
      </c>
      <c r="H27" s="49">
        <v>488</v>
      </c>
      <c r="I27" s="42">
        <f t="shared" si="0"/>
        <v>4880</v>
      </c>
      <c r="K27" s="143"/>
      <c r="L27" s="143">
        <f t="shared" ref="L27" si="2">+I27</f>
        <v>4880</v>
      </c>
    </row>
    <row r="28" spans="1:12" ht="18" customHeight="1">
      <c r="A28" s="35">
        <v>19</v>
      </c>
      <c r="B28" s="43" t="s">
        <v>142</v>
      </c>
      <c r="C28" s="44" t="s">
        <v>66</v>
      </c>
      <c r="D28" s="45">
        <v>295</v>
      </c>
      <c r="E28" s="70" t="s">
        <v>143</v>
      </c>
      <c r="F28" s="47" t="s">
        <v>56</v>
      </c>
      <c r="G28" s="48">
        <v>20</v>
      </c>
      <c r="H28" s="49">
        <v>530</v>
      </c>
      <c r="I28" s="42">
        <f t="shared" si="0"/>
        <v>10600</v>
      </c>
      <c r="K28" s="143">
        <f t="shared" si="1"/>
        <v>10600</v>
      </c>
      <c r="L28" s="143"/>
    </row>
    <row r="29" spans="1:12" ht="18" customHeight="1">
      <c r="A29" s="35">
        <v>20</v>
      </c>
      <c r="B29" s="62" t="s">
        <v>112</v>
      </c>
      <c r="C29" s="44" t="s">
        <v>66</v>
      </c>
      <c r="D29" s="45">
        <v>295</v>
      </c>
      <c r="E29" s="46" t="s">
        <v>111</v>
      </c>
      <c r="F29" s="47" t="s">
        <v>56</v>
      </c>
      <c r="G29" s="48">
        <v>100</v>
      </c>
      <c r="H29" s="49">
        <v>421.2</v>
      </c>
      <c r="I29" s="42">
        <f t="shared" si="0"/>
        <v>42120</v>
      </c>
      <c r="K29" s="143">
        <f t="shared" si="1"/>
        <v>42120</v>
      </c>
      <c r="L29" s="143"/>
    </row>
    <row r="30" spans="1:12" ht="18" customHeight="1">
      <c r="A30" s="35">
        <v>21</v>
      </c>
      <c r="B30" s="62" t="s">
        <v>114</v>
      </c>
      <c r="C30" s="44" t="s">
        <v>66</v>
      </c>
      <c r="D30" s="45">
        <v>295</v>
      </c>
      <c r="E30" s="71" t="s">
        <v>113</v>
      </c>
      <c r="F30" s="47" t="s">
        <v>56</v>
      </c>
      <c r="G30" s="48">
        <v>80</v>
      </c>
      <c r="H30" s="49">
        <v>390</v>
      </c>
      <c r="I30" s="42">
        <f t="shared" si="0"/>
        <v>31200</v>
      </c>
      <c r="K30" s="143">
        <f t="shared" si="1"/>
        <v>31200</v>
      </c>
      <c r="L30" s="143"/>
    </row>
    <row r="31" spans="1:12" ht="18" customHeight="1">
      <c r="A31" s="35">
        <v>22</v>
      </c>
      <c r="B31" s="62" t="s">
        <v>116</v>
      </c>
      <c r="C31" s="44" t="s">
        <v>66</v>
      </c>
      <c r="D31" s="45">
        <v>295</v>
      </c>
      <c r="E31" s="71" t="s">
        <v>115</v>
      </c>
      <c r="F31" s="47" t="s">
        <v>56</v>
      </c>
      <c r="G31" s="48">
        <v>100</v>
      </c>
      <c r="H31" s="49">
        <v>395</v>
      </c>
      <c r="I31" s="42">
        <f t="shared" si="0"/>
        <v>39500</v>
      </c>
      <c r="K31" s="143">
        <f t="shared" si="1"/>
        <v>39500</v>
      </c>
      <c r="L31" s="143"/>
    </row>
    <row r="32" spans="1:12" ht="18" customHeight="1">
      <c r="A32" s="35">
        <v>23</v>
      </c>
      <c r="B32" s="62" t="s">
        <v>117</v>
      </c>
      <c r="C32" s="44" t="s">
        <v>66</v>
      </c>
      <c r="D32" s="45">
        <v>295</v>
      </c>
      <c r="E32" s="70" t="s">
        <v>144</v>
      </c>
      <c r="F32" s="47" t="s">
        <v>56</v>
      </c>
      <c r="G32" s="48">
        <v>100</v>
      </c>
      <c r="H32" s="49">
        <v>392.6</v>
      </c>
      <c r="I32" s="42">
        <f t="shared" si="0"/>
        <v>39260</v>
      </c>
      <c r="K32" s="143">
        <f t="shared" si="1"/>
        <v>39260</v>
      </c>
      <c r="L32" s="143"/>
    </row>
    <row r="33" spans="1:12" ht="18" customHeight="1">
      <c r="A33" s="35">
        <v>24</v>
      </c>
      <c r="B33" s="72" t="s">
        <v>118</v>
      </c>
      <c r="C33" s="41" t="s">
        <v>66</v>
      </c>
      <c r="D33" s="37">
        <v>295</v>
      </c>
      <c r="E33" s="51" t="s">
        <v>145</v>
      </c>
      <c r="F33" s="73" t="s">
        <v>56</v>
      </c>
      <c r="G33" s="74">
        <v>100</v>
      </c>
      <c r="H33" s="39">
        <v>451.1</v>
      </c>
      <c r="I33" s="42">
        <f t="shared" si="0"/>
        <v>45110</v>
      </c>
      <c r="K33" s="143">
        <f t="shared" si="1"/>
        <v>45110</v>
      </c>
      <c r="L33" s="143"/>
    </row>
    <row r="34" spans="1:12" ht="18" customHeight="1">
      <c r="A34" s="35">
        <v>25</v>
      </c>
      <c r="B34" s="62" t="s">
        <v>120</v>
      </c>
      <c r="C34" s="44" t="s">
        <v>66</v>
      </c>
      <c r="D34" s="45">
        <v>295</v>
      </c>
      <c r="E34" s="71" t="s">
        <v>119</v>
      </c>
      <c r="F34" s="47" t="s">
        <v>56</v>
      </c>
      <c r="G34" s="48">
        <v>30</v>
      </c>
      <c r="H34" s="49">
        <v>453.7</v>
      </c>
      <c r="I34" s="42">
        <f t="shared" si="0"/>
        <v>13611</v>
      </c>
      <c r="K34" s="143">
        <f t="shared" si="1"/>
        <v>13611</v>
      </c>
      <c r="L34" s="143"/>
    </row>
    <row r="35" spans="1:12" ht="18" customHeight="1">
      <c r="A35" s="35">
        <v>26</v>
      </c>
      <c r="B35" s="62" t="s">
        <v>122</v>
      </c>
      <c r="C35" s="44" t="s">
        <v>66</v>
      </c>
      <c r="D35" s="45">
        <v>295</v>
      </c>
      <c r="E35" s="52" t="s">
        <v>121</v>
      </c>
      <c r="F35" s="47" t="s">
        <v>56</v>
      </c>
      <c r="G35" s="48">
        <v>50</v>
      </c>
      <c r="H35" s="49">
        <v>768.4</v>
      </c>
      <c r="I35" s="42">
        <f t="shared" si="0"/>
        <v>38420</v>
      </c>
      <c r="K35" s="143">
        <f t="shared" si="1"/>
        <v>38420</v>
      </c>
      <c r="L35" s="143"/>
    </row>
    <row r="36" spans="1:12" ht="18" customHeight="1">
      <c r="A36" s="35">
        <v>27</v>
      </c>
      <c r="B36" s="62" t="s">
        <v>103</v>
      </c>
      <c r="C36" s="44" t="s">
        <v>66</v>
      </c>
      <c r="D36" s="45">
        <v>295</v>
      </c>
      <c r="E36" s="71" t="s">
        <v>102</v>
      </c>
      <c r="F36" s="47" t="s">
        <v>56</v>
      </c>
      <c r="G36" s="48">
        <v>20</v>
      </c>
      <c r="H36" s="49">
        <v>330</v>
      </c>
      <c r="I36" s="42">
        <f t="shared" si="0"/>
        <v>6600</v>
      </c>
      <c r="K36" s="143">
        <f t="shared" si="1"/>
        <v>6600</v>
      </c>
      <c r="L36" s="143"/>
    </row>
    <row r="37" spans="1:12" ht="18" customHeight="1">
      <c r="A37" s="35">
        <v>28</v>
      </c>
      <c r="B37" s="62" t="s">
        <v>104</v>
      </c>
      <c r="C37" s="44" t="s">
        <v>66</v>
      </c>
      <c r="D37" s="45">
        <v>295</v>
      </c>
      <c r="E37" s="51" t="s">
        <v>146</v>
      </c>
      <c r="F37" s="47" t="s">
        <v>56</v>
      </c>
      <c r="G37" s="48">
        <v>50</v>
      </c>
      <c r="H37" s="49">
        <v>1387.5</v>
      </c>
      <c r="I37" s="42">
        <f t="shared" si="0"/>
        <v>69375</v>
      </c>
      <c r="K37" s="143">
        <f t="shared" si="1"/>
        <v>69375</v>
      </c>
      <c r="L37" s="143"/>
    </row>
    <row r="38" spans="1:12" ht="18" customHeight="1">
      <c r="A38" s="35">
        <v>29</v>
      </c>
      <c r="B38" s="62" t="s">
        <v>106</v>
      </c>
      <c r="C38" s="44" t="s">
        <v>66</v>
      </c>
      <c r="D38" s="45">
        <v>295</v>
      </c>
      <c r="E38" s="52" t="s">
        <v>105</v>
      </c>
      <c r="F38" s="47" t="s">
        <v>56</v>
      </c>
      <c r="G38" s="48">
        <v>20</v>
      </c>
      <c r="H38" s="49">
        <v>2600</v>
      </c>
      <c r="I38" s="42">
        <f t="shared" si="0"/>
        <v>52000</v>
      </c>
      <c r="K38" s="143">
        <f t="shared" si="1"/>
        <v>52000</v>
      </c>
      <c r="L38" s="143"/>
    </row>
    <row r="39" spans="1:12" ht="18" customHeight="1">
      <c r="A39" s="35">
        <v>30</v>
      </c>
      <c r="B39" s="62" t="s">
        <v>108</v>
      </c>
      <c r="C39" s="44" t="s">
        <v>66</v>
      </c>
      <c r="D39" s="45">
        <v>295</v>
      </c>
      <c r="E39" s="52" t="s">
        <v>107</v>
      </c>
      <c r="F39" s="47" t="s">
        <v>56</v>
      </c>
      <c r="G39" s="48">
        <v>50</v>
      </c>
      <c r="H39" s="49">
        <v>2600</v>
      </c>
      <c r="I39" s="42">
        <f t="shared" si="0"/>
        <v>130000</v>
      </c>
      <c r="K39" s="143">
        <f t="shared" si="1"/>
        <v>130000</v>
      </c>
      <c r="L39" s="143"/>
    </row>
    <row r="40" spans="1:12" ht="18" customHeight="1">
      <c r="A40" s="35">
        <v>31</v>
      </c>
      <c r="B40" s="61" t="s">
        <v>168</v>
      </c>
      <c r="C40" s="41" t="s">
        <v>66</v>
      </c>
      <c r="D40" s="37">
        <v>295</v>
      </c>
      <c r="E40" s="52" t="s">
        <v>167</v>
      </c>
      <c r="F40" s="35" t="s">
        <v>56</v>
      </c>
      <c r="G40" s="38">
        <v>20</v>
      </c>
      <c r="H40" s="39">
        <v>2980</v>
      </c>
      <c r="I40" s="42">
        <f t="shared" si="0"/>
        <v>59600</v>
      </c>
      <c r="K40" s="143">
        <f t="shared" si="1"/>
        <v>59600</v>
      </c>
      <c r="L40" s="143"/>
    </row>
    <row r="41" spans="1:12" ht="18" customHeight="1">
      <c r="A41" s="35">
        <v>32</v>
      </c>
      <c r="B41" s="64" t="s">
        <v>110</v>
      </c>
      <c r="C41" s="65" t="s">
        <v>66</v>
      </c>
      <c r="D41" s="66">
        <v>295</v>
      </c>
      <c r="E41" s="76" t="s">
        <v>147</v>
      </c>
      <c r="F41" s="67" t="s">
        <v>56</v>
      </c>
      <c r="G41" s="68">
        <v>20</v>
      </c>
      <c r="H41" s="69">
        <v>41500</v>
      </c>
      <c r="I41" s="42">
        <f t="shared" si="0"/>
        <v>830000</v>
      </c>
      <c r="K41" s="143">
        <f t="shared" si="1"/>
        <v>830000</v>
      </c>
      <c r="L41" s="143"/>
    </row>
    <row r="42" spans="1:12" ht="18" customHeight="1">
      <c r="A42" s="35">
        <v>33</v>
      </c>
      <c r="B42" s="77" t="s">
        <v>109</v>
      </c>
      <c r="C42" s="65" t="s">
        <v>66</v>
      </c>
      <c r="D42" s="66">
        <v>295</v>
      </c>
      <c r="E42" s="51" t="s">
        <v>148</v>
      </c>
      <c r="F42" s="67" t="s">
        <v>56</v>
      </c>
      <c r="G42" s="68">
        <v>20</v>
      </c>
      <c r="H42" s="69">
        <v>31000</v>
      </c>
      <c r="I42" s="42">
        <f t="shared" ref="I42:I73" si="3">+G42*H42</f>
        <v>620000</v>
      </c>
      <c r="K42" s="143">
        <f t="shared" si="1"/>
        <v>620000</v>
      </c>
      <c r="L42" s="143"/>
    </row>
    <row r="43" spans="1:12" ht="30" customHeight="1">
      <c r="A43" s="35">
        <v>34</v>
      </c>
      <c r="B43" s="43" t="s">
        <v>149</v>
      </c>
      <c r="C43" s="44" t="s">
        <v>66</v>
      </c>
      <c r="D43" s="45">
        <v>295</v>
      </c>
      <c r="E43" s="51" t="s">
        <v>150</v>
      </c>
      <c r="F43" s="47" t="s">
        <v>56</v>
      </c>
      <c r="G43" s="48">
        <v>5</v>
      </c>
      <c r="H43" s="49">
        <v>5200</v>
      </c>
      <c r="I43" s="42">
        <f t="shared" si="3"/>
        <v>26000</v>
      </c>
      <c r="K43" s="143">
        <f t="shared" si="1"/>
        <v>26000</v>
      </c>
      <c r="L43" s="143"/>
    </row>
    <row r="44" spans="1:12" ht="18" customHeight="1">
      <c r="A44" s="35">
        <v>35</v>
      </c>
      <c r="B44" s="62" t="s">
        <v>123</v>
      </c>
      <c r="C44" s="44" t="s">
        <v>66</v>
      </c>
      <c r="D44" s="45">
        <v>295</v>
      </c>
      <c r="E44" s="75" t="s">
        <v>151</v>
      </c>
      <c r="F44" s="47" t="s">
        <v>56</v>
      </c>
      <c r="G44" s="48">
        <v>5</v>
      </c>
      <c r="H44" s="49">
        <v>28000</v>
      </c>
      <c r="I44" s="54">
        <f t="shared" si="3"/>
        <v>140000</v>
      </c>
      <c r="K44" s="143">
        <f t="shared" si="1"/>
        <v>140000</v>
      </c>
      <c r="L44" s="143"/>
    </row>
    <row r="45" spans="1:12" ht="18" customHeight="1">
      <c r="A45" s="35">
        <v>36</v>
      </c>
      <c r="B45" s="43" t="s">
        <v>153</v>
      </c>
      <c r="C45" s="44" t="s">
        <v>66</v>
      </c>
      <c r="D45" s="45">
        <v>295</v>
      </c>
      <c r="E45" s="53" t="s">
        <v>152</v>
      </c>
      <c r="F45" s="47" t="s">
        <v>56</v>
      </c>
      <c r="G45" s="48">
        <v>5</v>
      </c>
      <c r="H45" s="49">
        <v>28000</v>
      </c>
      <c r="I45" s="42">
        <f t="shared" si="3"/>
        <v>140000</v>
      </c>
      <c r="K45" s="143">
        <f t="shared" si="1"/>
        <v>140000</v>
      </c>
      <c r="L45" s="143"/>
    </row>
    <row r="46" spans="1:12" ht="18" customHeight="1">
      <c r="A46" s="35">
        <v>37</v>
      </c>
      <c r="B46" s="43" t="s">
        <v>76</v>
      </c>
      <c r="C46" s="44" t="s">
        <v>66</v>
      </c>
      <c r="D46" s="45">
        <v>295</v>
      </c>
      <c r="E46" s="52" t="s">
        <v>75</v>
      </c>
      <c r="F46" s="47" t="s">
        <v>56</v>
      </c>
      <c r="G46" s="48">
        <v>20</v>
      </c>
      <c r="H46" s="49">
        <v>8564.4</v>
      </c>
      <c r="I46" s="42">
        <f t="shared" si="3"/>
        <v>171288</v>
      </c>
      <c r="K46" s="143">
        <f t="shared" si="1"/>
        <v>171288</v>
      </c>
      <c r="L46" s="143"/>
    </row>
    <row r="47" spans="1:12" ht="18" customHeight="1">
      <c r="A47" s="35">
        <v>38</v>
      </c>
      <c r="B47" s="43" t="s">
        <v>74</v>
      </c>
      <c r="C47" s="44" t="s">
        <v>66</v>
      </c>
      <c r="D47" s="45">
        <v>295</v>
      </c>
      <c r="E47" s="52" t="s">
        <v>73</v>
      </c>
      <c r="F47" s="47" t="s">
        <v>56</v>
      </c>
      <c r="G47" s="48">
        <v>50</v>
      </c>
      <c r="H47" s="49">
        <v>2151.5</v>
      </c>
      <c r="I47" s="42">
        <f t="shared" si="3"/>
        <v>107575</v>
      </c>
      <c r="K47" s="143">
        <f t="shared" si="1"/>
        <v>107575</v>
      </c>
      <c r="L47" s="143"/>
    </row>
    <row r="48" spans="1:12" ht="18" customHeight="1">
      <c r="A48" s="35">
        <v>39</v>
      </c>
      <c r="B48" s="43" t="s">
        <v>72</v>
      </c>
      <c r="C48" s="44" t="s">
        <v>66</v>
      </c>
      <c r="D48" s="45">
        <v>295</v>
      </c>
      <c r="E48" s="52" t="s">
        <v>71</v>
      </c>
      <c r="F48" s="47" t="s">
        <v>56</v>
      </c>
      <c r="G48" s="48">
        <v>20</v>
      </c>
      <c r="H48" s="49">
        <v>2151.5</v>
      </c>
      <c r="I48" s="42">
        <f t="shared" si="3"/>
        <v>43030</v>
      </c>
      <c r="K48" s="143">
        <f t="shared" si="1"/>
        <v>43030</v>
      </c>
      <c r="L48" s="143"/>
    </row>
    <row r="49" spans="1:12" ht="18" customHeight="1">
      <c r="A49" s="35">
        <v>40</v>
      </c>
      <c r="B49" s="43" t="s">
        <v>70</v>
      </c>
      <c r="C49" s="44" t="s">
        <v>66</v>
      </c>
      <c r="D49" s="45">
        <v>295</v>
      </c>
      <c r="E49" s="52" t="s">
        <v>69</v>
      </c>
      <c r="F49" s="47" t="s">
        <v>56</v>
      </c>
      <c r="G49" s="48">
        <v>40</v>
      </c>
      <c r="H49" s="49">
        <v>2151.5</v>
      </c>
      <c r="I49" s="42">
        <f t="shared" si="3"/>
        <v>86060</v>
      </c>
      <c r="K49" s="143">
        <f t="shared" si="1"/>
        <v>86060</v>
      </c>
      <c r="L49" s="143"/>
    </row>
    <row r="50" spans="1:12" ht="18" customHeight="1">
      <c r="A50" s="35">
        <v>41</v>
      </c>
      <c r="B50" s="43" t="s">
        <v>68</v>
      </c>
      <c r="C50" s="44" t="s">
        <v>66</v>
      </c>
      <c r="D50" s="45">
        <v>295</v>
      </c>
      <c r="E50" s="52" t="s">
        <v>67</v>
      </c>
      <c r="F50" s="47" t="s">
        <v>56</v>
      </c>
      <c r="G50" s="48">
        <v>15</v>
      </c>
      <c r="H50" s="49">
        <v>2151.5</v>
      </c>
      <c r="I50" s="42">
        <f t="shared" si="3"/>
        <v>32272.5</v>
      </c>
      <c r="K50" s="143">
        <f t="shared" si="1"/>
        <v>32272.5</v>
      </c>
      <c r="L50" s="143"/>
    </row>
    <row r="51" spans="1:12" ht="18" customHeight="1">
      <c r="A51" s="35">
        <v>42</v>
      </c>
      <c r="B51" s="78" t="s">
        <v>88</v>
      </c>
      <c r="C51" s="65" t="s">
        <v>66</v>
      </c>
      <c r="D51" s="66">
        <v>295</v>
      </c>
      <c r="E51" s="79" t="s">
        <v>87</v>
      </c>
      <c r="F51" s="67" t="s">
        <v>56</v>
      </c>
      <c r="G51" s="68">
        <v>40</v>
      </c>
      <c r="H51" s="69">
        <v>1658.8</v>
      </c>
      <c r="I51" s="42">
        <f t="shared" si="3"/>
        <v>66352</v>
      </c>
      <c r="K51" s="143">
        <f t="shared" si="1"/>
        <v>66352</v>
      </c>
      <c r="L51" s="143"/>
    </row>
    <row r="52" spans="1:12" ht="18" customHeight="1">
      <c r="A52" s="35">
        <v>43</v>
      </c>
      <c r="B52" s="50" t="s">
        <v>155</v>
      </c>
      <c r="C52" s="44" t="s">
        <v>66</v>
      </c>
      <c r="D52" s="45">
        <v>295</v>
      </c>
      <c r="E52" s="53" t="s">
        <v>93</v>
      </c>
      <c r="F52" s="47" t="s">
        <v>56</v>
      </c>
      <c r="G52" s="48">
        <v>40</v>
      </c>
      <c r="H52" s="49">
        <v>1658.8</v>
      </c>
      <c r="I52" s="42">
        <f t="shared" si="3"/>
        <v>66352</v>
      </c>
      <c r="K52" s="143">
        <f t="shared" si="1"/>
        <v>66352</v>
      </c>
      <c r="L52" s="143"/>
    </row>
    <row r="53" spans="1:12" ht="18" customHeight="1">
      <c r="A53" s="35">
        <v>44</v>
      </c>
      <c r="B53" s="43" t="s">
        <v>154</v>
      </c>
      <c r="C53" s="44" t="s">
        <v>66</v>
      </c>
      <c r="D53" s="45">
        <v>295</v>
      </c>
      <c r="E53" s="53" t="s">
        <v>94</v>
      </c>
      <c r="F53" s="47" t="s">
        <v>56</v>
      </c>
      <c r="G53" s="48">
        <v>40</v>
      </c>
      <c r="H53" s="49">
        <v>1658.8</v>
      </c>
      <c r="I53" s="42">
        <f t="shared" si="3"/>
        <v>66352</v>
      </c>
      <c r="K53" s="143">
        <f t="shared" si="1"/>
        <v>66352</v>
      </c>
      <c r="L53" s="143"/>
    </row>
    <row r="54" spans="1:12" ht="18" customHeight="1">
      <c r="A54" s="35">
        <v>45</v>
      </c>
      <c r="B54" s="80" t="s">
        <v>90</v>
      </c>
      <c r="C54" s="41" t="s">
        <v>66</v>
      </c>
      <c r="D54" s="37">
        <v>295</v>
      </c>
      <c r="E54" s="81" t="s">
        <v>89</v>
      </c>
      <c r="F54" s="35" t="s">
        <v>56</v>
      </c>
      <c r="G54" s="38">
        <v>40</v>
      </c>
      <c r="H54" s="39">
        <v>1658.8</v>
      </c>
      <c r="I54" s="42">
        <f t="shared" si="3"/>
        <v>66352</v>
      </c>
      <c r="K54" s="143">
        <f t="shared" si="1"/>
        <v>66352</v>
      </c>
      <c r="L54" s="143"/>
    </row>
    <row r="55" spans="1:12" ht="18" customHeight="1">
      <c r="A55" s="35">
        <v>46</v>
      </c>
      <c r="B55" s="78" t="s">
        <v>92</v>
      </c>
      <c r="C55" s="65" t="s">
        <v>66</v>
      </c>
      <c r="D55" s="66">
        <v>295</v>
      </c>
      <c r="E55" s="79" t="s">
        <v>91</v>
      </c>
      <c r="F55" s="67" t="s">
        <v>56</v>
      </c>
      <c r="G55" s="68">
        <v>40</v>
      </c>
      <c r="H55" s="69">
        <v>1658.8</v>
      </c>
      <c r="I55" s="82">
        <f t="shared" si="3"/>
        <v>66352</v>
      </c>
      <c r="K55" s="143">
        <f t="shared" si="1"/>
        <v>66352</v>
      </c>
      <c r="L55" s="143"/>
    </row>
    <row r="56" spans="1:12" ht="18" customHeight="1">
      <c r="A56" s="35">
        <v>47</v>
      </c>
      <c r="B56" s="52" t="s">
        <v>170</v>
      </c>
      <c r="C56" s="44" t="s">
        <v>66</v>
      </c>
      <c r="D56" s="45">
        <v>295</v>
      </c>
      <c r="E56" s="52" t="s">
        <v>171</v>
      </c>
      <c r="F56" s="47" t="s">
        <v>56</v>
      </c>
      <c r="G56" s="48">
        <v>40</v>
      </c>
      <c r="H56" s="83">
        <v>3720.6</v>
      </c>
      <c r="I56" s="42">
        <f t="shared" si="3"/>
        <v>148824</v>
      </c>
      <c r="K56" s="143">
        <f t="shared" si="1"/>
        <v>148824</v>
      </c>
      <c r="L56" s="143"/>
    </row>
    <row r="57" spans="1:12" ht="18" customHeight="1">
      <c r="A57" s="35">
        <v>48</v>
      </c>
      <c r="B57" s="43" t="s">
        <v>173</v>
      </c>
      <c r="C57" s="44" t="s">
        <v>66</v>
      </c>
      <c r="D57" s="45">
        <v>295</v>
      </c>
      <c r="E57" s="95" t="s">
        <v>172</v>
      </c>
      <c r="F57" s="47" t="s">
        <v>56</v>
      </c>
      <c r="G57" s="48">
        <v>20</v>
      </c>
      <c r="H57" s="83">
        <v>5374.2</v>
      </c>
      <c r="I57" s="42">
        <f t="shared" si="3"/>
        <v>107484</v>
      </c>
      <c r="K57" s="143">
        <f t="shared" si="1"/>
        <v>107484</v>
      </c>
      <c r="L57" s="143"/>
    </row>
    <row r="58" spans="1:12" ht="18" customHeight="1">
      <c r="A58" s="35">
        <v>49</v>
      </c>
      <c r="B58" s="36" t="s">
        <v>64</v>
      </c>
      <c r="C58" s="41" t="s">
        <v>66</v>
      </c>
      <c r="D58" s="37">
        <v>295</v>
      </c>
      <c r="E58" s="52" t="s">
        <v>65</v>
      </c>
      <c r="F58" s="35" t="s">
        <v>56</v>
      </c>
      <c r="G58" s="38">
        <v>20</v>
      </c>
      <c r="H58" s="39">
        <v>4900</v>
      </c>
      <c r="I58" s="42">
        <f t="shared" si="3"/>
        <v>98000</v>
      </c>
      <c r="K58" s="143">
        <f t="shared" si="1"/>
        <v>98000</v>
      </c>
      <c r="L58" s="143"/>
    </row>
    <row r="59" spans="1:12" ht="18" customHeight="1">
      <c r="A59" s="35">
        <v>50</v>
      </c>
      <c r="B59" s="43" t="s">
        <v>97</v>
      </c>
      <c r="C59" s="44" t="s">
        <v>66</v>
      </c>
      <c r="D59" s="45">
        <v>295</v>
      </c>
      <c r="E59" s="52" t="s">
        <v>95</v>
      </c>
      <c r="F59" s="85" t="s">
        <v>56</v>
      </c>
      <c r="G59" s="48">
        <v>10</v>
      </c>
      <c r="H59" s="49">
        <v>1350</v>
      </c>
      <c r="I59" s="42">
        <f t="shared" si="3"/>
        <v>13500</v>
      </c>
      <c r="K59" s="143">
        <f t="shared" si="1"/>
        <v>13500</v>
      </c>
      <c r="L59" s="143"/>
    </row>
    <row r="60" spans="1:12" ht="18" customHeight="1">
      <c r="A60" s="35">
        <v>51</v>
      </c>
      <c r="B60" s="43" t="s">
        <v>98</v>
      </c>
      <c r="C60" s="44" t="s">
        <v>66</v>
      </c>
      <c r="D60" s="45">
        <v>295</v>
      </c>
      <c r="E60" s="52" t="s">
        <v>96</v>
      </c>
      <c r="F60" s="85" t="s">
        <v>56</v>
      </c>
      <c r="G60" s="48">
        <v>10</v>
      </c>
      <c r="H60" s="49">
        <v>1350</v>
      </c>
      <c r="I60" s="42">
        <f t="shared" si="3"/>
        <v>13500</v>
      </c>
      <c r="K60" s="143">
        <f t="shared" si="1"/>
        <v>13500</v>
      </c>
      <c r="L60" s="143"/>
    </row>
    <row r="61" spans="1:12" ht="18" customHeight="1">
      <c r="A61" s="35">
        <v>52</v>
      </c>
      <c r="B61" s="43" t="s">
        <v>100</v>
      </c>
      <c r="C61" s="44" t="s">
        <v>66</v>
      </c>
      <c r="D61" s="45">
        <v>295</v>
      </c>
      <c r="E61" s="52" t="s">
        <v>99</v>
      </c>
      <c r="F61" s="85" t="s">
        <v>56</v>
      </c>
      <c r="G61" s="48">
        <v>10</v>
      </c>
      <c r="H61" s="49">
        <v>1350</v>
      </c>
      <c r="I61" s="42">
        <f t="shared" si="3"/>
        <v>13500</v>
      </c>
      <c r="K61" s="143">
        <f t="shared" si="1"/>
        <v>13500</v>
      </c>
      <c r="L61" s="143"/>
    </row>
    <row r="62" spans="1:12" ht="18" customHeight="1">
      <c r="A62" s="35">
        <v>53</v>
      </c>
      <c r="B62" s="64" t="s">
        <v>157</v>
      </c>
      <c r="C62" s="65" t="s">
        <v>66</v>
      </c>
      <c r="D62" s="66">
        <v>295</v>
      </c>
      <c r="E62" s="86" t="s">
        <v>156</v>
      </c>
      <c r="F62" s="63" t="s">
        <v>56</v>
      </c>
      <c r="G62" s="68">
        <v>10</v>
      </c>
      <c r="H62" s="49">
        <v>1350</v>
      </c>
      <c r="I62" s="42">
        <f t="shared" si="3"/>
        <v>13500</v>
      </c>
      <c r="K62" s="143">
        <f t="shared" si="1"/>
        <v>13500</v>
      </c>
      <c r="L62" s="143"/>
    </row>
    <row r="63" spans="1:12" ht="18" customHeight="1">
      <c r="A63" s="35">
        <v>54</v>
      </c>
      <c r="B63" s="43" t="s">
        <v>159</v>
      </c>
      <c r="C63" s="44" t="s">
        <v>66</v>
      </c>
      <c r="D63" s="45">
        <v>295</v>
      </c>
      <c r="E63" s="53" t="s">
        <v>158</v>
      </c>
      <c r="F63" s="47" t="s">
        <v>56</v>
      </c>
      <c r="G63" s="48">
        <v>30</v>
      </c>
      <c r="H63" s="49">
        <v>1350</v>
      </c>
      <c r="I63" s="42">
        <f t="shared" si="3"/>
        <v>40500</v>
      </c>
      <c r="K63" s="143">
        <f t="shared" si="1"/>
        <v>40500</v>
      </c>
      <c r="L63" s="143"/>
    </row>
    <row r="64" spans="1:12" ht="18" customHeight="1">
      <c r="A64" s="35">
        <v>55</v>
      </c>
      <c r="B64" s="43" t="s">
        <v>161</v>
      </c>
      <c r="C64" s="44" t="s">
        <v>66</v>
      </c>
      <c r="D64" s="45">
        <v>295</v>
      </c>
      <c r="E64" s="53" t="s">
        <v>160</v>
      </c>
      <c r="F64" s="47" t="s">
        <v>56</v>
      </c>
      <c r="G64" s="48">
        <v>20</v>
      </c>
      <c r="H64" s="49">
        <v>1350</v>
      </c>
      <c r="I64" s="42">
        <f t="shared" si="3"/>
        <v>27000</v>
      </c>
      <c r="K64" s="143">
        <f t="shared" si="1"/>
        <v>27000</v>
      </c>
      <c r="L64" s="143"/>
    </row>
    <row r="65" spans="1:13" ht="18" customHeight="1">
      <c r="A65" s="35">
        <v>56</v>
      </c>
      <c r="B65" s="43" t="s">
        <v>163</v>
      </c>
      <c r="C65" s="44" t="s">
        <v>66</v>
      </c>
      <c r="D65" s="45">
        <v>295</v>
      </c>
      <c r="E65" s="53" t="s">
        <v>162</v>
      </c>
      <c r="F65" s="47" t="s">
        <v>56</v>
      </c>
      <c r="G65" s="87">
        <v>10</v>
      </c>
      <c r="H65" s="49">
        <v>1350</v>
      </c>
      <c r="I65" s="42">
        <f t="shared" si="3"/>
        <v>13500</v>
      </c>
      <c r="K65" s="143">
        <f t="shared" si="1"/>
        <v>13500</v>
      </c>
      <c r="L65" s="143"/>
    </row>
    <row r="66" spans="1:13" ht="18" customHeight="1" thickBot="1">
      <c r="A66" s="35">
        <v>57</v>
      </c>
      <c r="B66" s="64" t="s">
        <v>165</v>
      </c>
      <c r="C66" s="65" t="s">
        <v>66</v>
      </c>
      <c r="D66" s="66">
        <v>295</v>
      </c>
      <c r="E66" s="104" t="s">
        <v>164</v>
      </c>
      <c r="F66" s="67" t="s">
        <v>56</v>
      </c>
      <c r="G66" s="105">
        <v>10</v>
      </c>
      <c r="H66" s="69">
        <v>1350</v>
      </c>
      <c r="I66" s="82">
        <f t="shared" si="3"/>
        <v>13500</v>
      </c>
      <c r="K66" s="143">
        <f t="shared" si="1"/>
        <v>13500</v>
      </c>
      <c r="L66" s="143"/>
    </row>
    <row r="67" spans="1:13" ht="21.75" customHeight="1" thickBot="1">
      <c r="A67" s="153" t="s">
        <v>177</v>
      </c>
      <c r="B67" s="154"/>
      <c r="C67" s="154"/>
      <c r="D67" s="154"/>
      <c r="E67" s="154"/>
      <c r="F67" s="154"/>
      <c r="G67" s="154"/>
      <c r="H67" s="154"/>
      <c r="I67" s="106">
        <f>SUM(I10:I66)</f>
        <v>4707919.5</v>
      </c>
      <c r="K67" s="143">
        <f>SUM(K10:K66)</f>
        <v>4703039.5</v>
      </c>
      <c r="L67" s="143">
        <f>SUM(L10:L66)</f>
        <v>4880</v>
      </c>
      <c r="M67" s="143">
        <f>SUM(K67:L67)</f>
        <v>4707919.5</v>
      </c>
    </row>
    <row r="69" spans="1:13" ht="13.5" thickBot="1"/>
    <row r="70" spans="1:13" ht="108.75" customHeight="1">
      <c r="B70" s="107" t="s">
        <v>178</v>
      </c>
      <c r="C70" s="155" t="s">
        <v>179</v>
      </c>
      <c r="D70" s="155"/>
      <c r="E70" s="156"/>
    </row>
    <row r="71" spans="1:13" ht="15">
      <c r="B71" s="88"/>
      <c r="C71" s="108"/>
      <c r="D71" s="101"/>
      <c r="E71" s="102"/>
    </row>
    <row r="72" spans="1:13" ht="15">
      <c r="B72" s="103" t="s">
        <v>180</v>
      </c>
      <c r="C72" s="109" t="s">
        <v>181</v>
      </c>
      <c r="D72" s="101"/>
      <c r="E72" s="102"/>
    </row>
    <row r="73" spans="1:13" ht="15">
      <c r="B73" s="103"/>
      <c r="C73" s="110"/>
      <c r="D73" s="101"/>
      <c r="E73" s="102"/>
    </row>
    <row r="74" spans="1:13" ht="15">
      <c r="B74" s="103" t="s">
        <v>182</v>
      </c>
      <c r="C74" s="111" t="s">
        <v>183</v>
      </c>
      <c r="D74" s="101"/>
      <c r="E74" s="102"/>
    </row>
    <row r="75" spans="1:13" ht="15">
      <c r="B75" s="103"/>
      <c r="C75" s="111"/>
      <c r="D75" s="101"/>
      <c r="E75" s="102"/>
    </row>
    <row r="76" spans="1:13" ht="30">
      <c r="B76" s="112" t="s">
        <v>184</v>
      </c>
      <c r="C76" s="113"/>
      <c r="D76" s="101"/>
      <c r="E76" s="102"/>
    </row>
    <row r="77" spans="1:13" ht="15">
      <c r="B77" s="112"/>
      <c r="C77" s="113"/>
      <c r="D77" s="101"/>
      <c r="E77" s="102"/>
    </row>
    <row r="78" spans="1:13" ht="15">
      <c r="B78" s="112" t="s">
        <v>185</v>
      </c>
      <c r="C78" s="115" t="s">
        <v>186</v>
      </c>
      <c r="D78" s="101"/>
      <c r="E78" s="102"/>
    </row>
    <row r="79" spans="1:13" ht="13.5" thickBot="1">
      <c r="B79" s="114"/>
      <c r="C79" s="99"/>
      <c r="D79" s="99"/>
      <c r="E79" s="100"/>
    </row>
    <row r="80" spans="1:13" ht="13.5" thickBot="1"/>
    <row r="81" spans="2:5" ht="15" customHeight="1">
      <c r="B81" s="89" t="s">
        <v>190</v>
      </c>
      <c r="C81" s="96"/>
      <c r="D81" s="96"/>
      <c r="E81" s="97"/>
    </row>
    <row r="82" spans="2:5" ht="15" customHeight="1" thickBot="1">
      <c r="B82" s="150"/>
      <c r="C82" s="151"/>
      <c r="D82" s="151"/>
      <c r="E82" s="152"/>
    </row>
    <row r="83" spans="2:5" ht="15" customHeight="1">
      <c r="B83" s="89" t="s">
        <v>191</v>
      </c>
      <c r="C83" s="96"/>
      <c r="D83" s="96"/>
      <c r="E83" s="97"/>
    </row>
    <row r="84" spans="2:5" ht="15" customHeight="1">
      <c r="B84" s="150"/>
      <c r="C84" s="151"/>
      <c r="D84" s="151"/>
      <c r="E84" s="152"/>
    </row>
    <row r="85" spans="2:5" ht="15" customHeight="1" thickBot="1">
      <c r="B85" s="150"/>
      <c r="C85" s="151"/>
      <c r="D85" s="151"/>
      <c r="E85" s="152"/>
    </row>
    <row r="86" spans="2:5" ht="15" customHeight="1">
      <c r="B86" s="89" t="s">
        <v>193</v>
      </c>
      <c r="C86" s="96"/>
      <c r="D86" s="96"/>
      <c r="E86" s="97"/>
    </row>
    <row r="87" spans="2:5" ht="15" customHeight="1" thickBot="1">
      <c r="B87" s="150"/>
      <c r="C87" s="151"/>
      <c r="D87" s="151"/>
      <c r="E87" s="152"/>
    </row>
    <row r="88" spans="2:5" ht="15" customHeight="1">
      <c r="B88" s="89" t="s">
        <v>192</v>
      </c>
      <c r="C88" s="96"/>
      <c r="D88" s="96"/>
      <c r="E88" s="97"/>
    </row>
    <row r="89" spans="2:5" ht="15" customHeight="1" thickBot="1">
      <c r="B89" s="98"/>
      <c r="C89" s="99"/>
      <c r="D89" s="99"/>
      <c r="E89" s="100"/>
    </row>
    <row r="90" spans="2:5" ht="15" customHeight="1">
      <c r="B90" s="89" t="s">
        <v>194</v>
      </c>
      <c r="C90" s="96"/>
      <c r="D90" s="96"/>
      <c r="E90" s="97"/>
    </row>
    <row r="91" spans="2:5" ht="15" customHeight="1" thickBot="1">
      <c r="B91" s="98"/>
      <c r="C91" s="99"/>
      <c r="D91" s="99"/>
      <c r="E91" s="100"/>
    </row>
    <row r="92" spans="2:5" ht="15" customHeight="1">
      <c r="B92" s="89" t="s">
        <v>195</v>
      </c>
      <c r="C92" s="96"/>
      <c r="D92" s="96"/>
      <c r="E92" s="97"/>
    </row>
    <row r="93" spans="2:5" ht="15" customHeight="1" thickBot="1">
      <c r="B93" s="98"/>
      <c r="C93" s="99"/>
      <c r="D93" s="99"/>
      <c r="E93" s="100"/>
    </row>
    <row r="94" spans="2:5" ht="15" customHeight="1">
      <c r="B94" s="89" t="s">
        <v>196</v>
      </c>
      <c r="C94" s="96"/>
      <c r="D94" s="96"/>
      <c r="E94" s="97"/>
    </row>
    <row r="95" spans="2:5" ht="15" customHeight="1" thickBot="1">
      <c r="B95" s="98"/>
      <c r="C95" s="99"/>
      <c r="D95" s="99"/>
      <c r="E95" s="100"/>
    </row>
    <row r="96" spans="2:5" ht="15" customHeight="1">
      <c r="B96" s="89" t="s">
        <v>197</v>
      </c>
      <c r="C96" s="96"/>
      <c r="D96" s="96"/>
      <c r="E96" s="97"/>
    </row>
    <row r="97" spans="2:5" ht="15" customHeight="1" thickBot="1">
      <c r="B97" s="98"/>
      <c r="C97" s="99"/>
      <c r="D97" s="99"/>
      <c r="E97" s="100"/>
    </row>
    <row r="98" spans="2:5" ht="15" customHeight="1">
      <c r="B98" s="89" t="s">
        <v>198</v>
      </c>
      <c r="C98" s="96"/>
      <c r="D98" s="96"/>
      <c r="E98" s="97"/>
    </row>
    <row r="99" spans="2:5" ht="15" customHeight="1" thickBot="1">
      <c r="B99" s="98"/>
      <c r="C99" s="99"/>
      <c r="D99" s="99"/>
      <c r="E99" s="100"/>
    </row>
    <row r="100" spans="2:5" ht="15" customHeight="1">
      <c r="B100" s="89" t="s">
        <v>199</v>
      </c>
      <c r="C100" s="96"/>
      <c r="D100" s="96"/>
      <c r="E100" s="97"/>
    </row>
    <row r="101" spans="2:5" ht="15" customHeight="1" thickBot="1">
      <c r="B101" s="98"/>
      <c r="C101" s="99"/>
      <c r="D101" s="99"/>
      <c r="E101" s="100"/>
    </row>
    <row r="102" spans="2:5" ht="15" customHeight="1">
      <c r="B102" s="89" t="s">
        <v>200</v>
      </c>
      <c r="C102" s="96"/>
      <c r="D102" s="96"/>
      <c r="E102" s="97"/>
    </row>
    <row r="103" spans="2:5" ht="15" customHeight="1" thickBot="1">
      <c r="B103" s="98"/>
      <c r="C103" s="99"/>
      <c r="D103" s="99"/>
      <c r="E103" s="100"/>
    </row>
  </sheetData>
  <sortState ref="A10:K135">
    <sortCondition ref="E10:E135"/>
  </sortState>
  <mergeCells count="12">
    <mergeCell ref="A6:B6"/>
    <mergeCell ref="A7:B7"/>
    <mergeCell ref="B87:E87"/>
    <mergeCell ref="B84:E85"/>
    <mergeCell ref="B82:E82"/>
    <mergeCell ref="A67:H67"/>
    <mergeCell ref="C70:E70"/>
    <mergeCell ref="B2:H2"/>
    <mergeCell ref="A4:B4"/>
    <mergeCell ref="C4:E4"/>
    <mergeCell ref="A5:B5"/>
    <mergeCell ref="C5:E5"/>
  </mergeCells>
  <conditionalFormatting sqref="B72:B78">
    <cfRule type="duplicateValues" dxfId="3" priority="1"/>
  </conditionalFormatting>
  <conditionalFormatting sqref="B72:B78">
    <cfRule type="duplicateValues" dxfId="2" priority="2"/>
  </conditionalFormatting>
  <conditionalFormatting sqref="B72:B78">
    <cfRule type="duplicateValues" dxfId="1" priority="3"/>
  </conditionalFormatting>
  <conditionalFormatting sqref="B72:B78">
    <cfRule type="duplicateValues" dxfId="0" priority="4"/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69"/>
  <sheetViews>
    <sheetView topLeftCell="A64" zoomScaleNormal="100" workbookViewId="0">
      <selection activeCell="C32" sqref="C32:G32"/>
    </sheetView>
  </sheetViews>
  <sheetFormatPr baseColWidth="10" defaultColWidth="9.140625" defaultRowHeight="12.75"/>
  <cols>
    <col min="1" max="1" width="5.5703125" style="118" customWidth="1"/>
    <col min="2" max="2" width="15.140625" style="146" customWidth="1"/>
    <col min="3" max="3" width="14.140625" style="118" customWidth="1"/>
    <col min="4" max="4" width="26" style="118" customWidth="1"/>
    <col min="5" max="5" width="8" style="118" customWidth="1"/>
    <col min="6" max="6" width="7.85546875" style="118" customWidth="1"/>
    <col min="7" max="7" width="59.28515625" style="118" customWidth="1"/>
    <col min="8" max="8" width="9.28515625" style="118" customWidth="1"/>
    <col min="9" max="9" width="15.5703125" style="118" customWidth="1"/>
    <col min="10" max="10" width="14.7109375" style="118" customWidth="1"/>
    <col min="11" max="11" width="15.5703125" style="118" customWidth="1"/>
    <col min="12" max="14" width="5.85546875" style="118" customWidth="1"/>
    <col min="15" max="15" width="12.5703125" style="118" customWidth="1"/>
    <col min="16" max="1024" width="9.140625" style="118"/>
    <col min="1025" max="16384" width="9.140625" style="84"/>
  </cols>
  <sheetData>
    <row r="1" spans="1:11" ht="18" customHeight="1" thickBot="1">
      <c r="A1" s="168" t="s">
        <v>14</v>
      </c>
      <c r="B1" s="168"/>
      <c r="C1" s="168"/>
      <c r="D1" s="168"/>
      <c r="E1" s="168"/>
      <c r="F1" s="168"/>
      <c r="G1" s="168"/>
      <c r="H1" s="168"/>
      <c r="I1" s="168"/>
      <c r="J1" s="116" t="s">
        <v>15</v>
      </c>
      <c r="K1" s="117" t="s">
        <v>54</v>
      </c>
    </row>
    <row r="2" spans="1:11" ht="18.75" customHeight="1" thickBot="1">
      <c r="A2" s="119"/>
      <c r="B2" s="144"/>
      <c r="C2" s="119"/>
      <c r="D2" s="120"/>
      <c r="E2" s="120"/>
      <c r="F2" s="120"/>
      <c r="G2" s="120"/>
      <c r="H2" s="120"/>
      <c r="I2" s="120"/>
      <c r="J2" s="120"/>
      <c r="K2" s="120"/>
    </row>
    <row r="3" spans="1:11" ht="18.75" customHeight="1" thickBot="1">
      <c r="A3" s="169" t="s">
        <v>48</v>
      </c>
      <c r="B3" s="169"/>
      <c r="C3" s="169"/>
      <c r="D3" s="158" t="str">
        <f>'Necesidades Trimestrales'!C4</f>
        <v>040 - Ministerio de Salud</v>
      </c>
      <c r="E3" s="158"/>
      <c r="F3" s="158"/>
      <c r="G3" s="158"/>
      <c r="H3" s="158"/>
      <c r="I3" s="158"/>
      <c r="J3" s="158"/>
      <c r="K3" s="158"/>
    </row>
    <row r="4" spans="1:11" ht="18.75" customHeight="1" thickBot="1">
      <c r="A4" s="170" t="s">
        <v>49</v>
      </c>
      <c r="B4" s="170"/>
      <c r="C4" s="170"/>
      <c r="D4" s="158" t="str">
        <f>'Necesidades Trimestrales'!C5</f>
        <v>011 - Direccion Provincial de Administracion - MS</v>
      </c>
      <c r="E4" s="158"/>
      <c r="F4" s="158"/>
      <c r="G4" s="158"/>
      <c r="H4" s="158"/>
      <c r="I4" s="158"/>
      <c r="J4" s="158"/>
      <c r="K4" s="158"/>
    </row>
    <row r="5" spans="1:11" ht="18.75" customHeight="1" thickBot="1">
      <c r="A5" s="170" t="s">
        <v>27</v>
      </c>
      <c r="B5" s="170"/>
      <c r="C5" s="170"/>
      <c r="D5" s="158" t="s">
        <v>187</v>
      </c>
      <c r="E5" s="158"/>
      <c r="F5" s="158"/>
      <c r="G5" s="158"/>
      <c r="H5" s="158"/>
      <c r="I5" s="158"/>
      <c r="J5" s="158"/>
      <c r="K5" s="158"/>
    </row>
    <row r="6" spans="1:11" ht="16.5" customHeight="1" thickBot="1">
      <c r="A6" s="169" t="s">
        <v>50</v>
      </c>
      <c r="B6" s="169"/>
      <c r="C6" s="169"/>
      <c r="D6" s="158" t="s">
        <v>187</v>
      </c>
      <c r="E6" s="158"/>
      <c r="F6" s="158"/>
      <c r="G6" s="158"/>
      <c r="H6" s="158"/>
      <c r="I6" s="158"/>
      <c r="J6" s="158"/>
      <c r="K6" s="158"/>
    </row>
    <row r="7" spans="1:11" ht="16.5" customHeight="1" thickBot="1">
      <c r="A7" s="170" t="s">
        <v>16</v>
      </c>
      <c r="B7" s="170"/>
      <c r="C7" s="170"/>
      <c r="D7" s="158" t="s">
        <v>55</v>
      </c>
      <c r="E7" s="158"/>
      <c r="F7" s="158"/>
      <c r="G7" s="158"/>
      <c r="H7" s="158"/>
      <c r="I7" s="158"/>
      <c r="J7" s="158"/>
      <c r="K7" s="158"/>
    </row>
    <row r="8" spans="1:11" ht="16.5" customHeight="1" thickBot="1">
      <c r="A8" s="161" t="s">
        <v>17</v>
      </c>
      <c r="B8" s="161"/>
      <c r="C8" s="161"/>
      <c r="D8" s="162" t="s">
        <v>57</v>
      </c>
      <c r="E8" s="163"/>
      <c r="F8" s="163"/>
      <c r="G8" s="163"/>
      <c r="H8" s="163"/>
      <c r="I8" s="163"/>
      <c r="J8" s="163"/>
      <c r="K8" s="164"/>
    </row>
    <row r="9" spans="1:11" ht="16.5" thickBot="1">
      <c r="A9" s="121"/>
      <c r="B9" s="145"/>
      <c r="C9" s="121"/>
      <c r="D9" s="122"/>
      <c r="E9" s="122"/>
      <c r="F9" s="122"/>
      <c r="G9" s="122"/>
      <c r="H9" s="122"/>
      <c r="I9" s="122"/>
      <c r="J9" s="122"/>
      <c r="K9" s="122"/>
    </row>
    <row r="10" spans="1:11" ht="18.75" customHeight="1" thickBot="1">
      <c r="A10" s="165" t="s">
        <v>18</v>
      </c>
      <c r="B10" s="166" t="s">
        <v>19</v>
      </c>
      <c r="C10" s="166" t="s">
        <v>20</v>
      </c>
      <c r="D10" s="166"/>
      <c r="E10" s="166"/>
      <c r="F10" s="166"/>
      <c r="G10" s="166"/>
      <c r="H10" s="166" t="s">
        <v>21</v>
      </c>
      <c r="I10" s="166" t="s">
        <v>22</v>
      </c>
      <c r="J10" s="166" t="s">
        <v>23</v>
      </c>
      <c r="K10" s="167" t="s">
        <v>24</v>
      </c>
    </row>
    <row r="11" spans="1:11" ht="24" customHeight="1" thickBot="1">
      <c r="A11" s="165"/>
      <c r="B11" s="166"/>
      <c r="C11" s="166"/>
      <c r="D11" s="166"/>
      <c r="E11" s="166"/>
      <c r="F11" s="166"/>
      <c r="G11" s="166"/>
      <c r="H11" s="166"/>
      <c r="I11" s="166"/>
      <c r="J11" s="166"/>
      <c r="K11" s="167"/>
    </row>
    <row r="12" spans="1:11" ht="42.75" customHeight="1" thickBot="1">
      <c r="A12" s="123">
        <v>1</v>
      </c>
      <c r="B12" s="123" t="str">
        <f>+'Necesidades Trimestrales'!B10</f>
        <v>2.9.5-3020.3</v>
      </c>
      <c r="C12" s="157" t="str">
        <f>+'Necesidades Trimestrales'!E10</f>
        <v>BOLSAS P/COLOSTOMIA; TIPO: DESCARTABLE ADHESIVA P/ ADULTOS, DIAMETRO DE ARO: SIN ARO</v>
      </c>
      <c r="D12" s="157"/>
      <c r="E12" s="157"/>
      <c r="F12" s="157"/>
      <c r="G12" s="157"/>
      <c r="H12" s="127" t="s">
        <v>53</v>
      </c>
      <c r="I12" s="124" t="str">
        <f>+'Necesidades Trimestrales'!F10</f>
        <v>UNIDAD</v>
      </c>
      <c r="J12" s="125">
        <f>+'Necesidades Trimestrales'!H10</f>
        <v>225</v>
      </c>
      <c r="K12" s="126">
        <f>+'Necesidades Trimestrales'!G10</f>
        <v>20</v>
      </c>
    </row>
    <row r="13" spans="1:11" ht="42.75" customHeight="1" thickBot="1">
      <c r="A13" s="123">
        <v>2</v>
      </c>
      <c r="B13" s="123" t="str">
        <f>+'Necesidades Trimestrales'!B11</f>
        <v>2.9.5-4198.93</v>
      </c>
      <c r="C13" s="157" t="str">
        <f>+'Necesidades Trimestrales'!E11</f>
        <v>ELEMENTOS DESC. P/CIRUGIAS; TIPO: CAMPO QUIRURGICO 60 X 45 Cm, PRESENTACION: UNIDAD</v>
      </c>
      <c r="D13" s="157"/>
      <c r="E13" s="157"/>
      <c r="F13" s="157"/>
      <c r="G13" s="157"/>
      <c r="H13" s="127" t="s">
        <v>169</v>
      </c>
      <c r="I13" s="124" t="str">
        <f>+'Necesidades Trimestrales'!F11</f>
        <v>UNIDAD</v>
      </c>
      <c r="J13" s="125">
        <f>+'Necesidades Trimestrales'!H11</f>
        <v>870</v>
      </c>
      <c r="K13" s="126">
        <f>+'Necesidades Trimestrales'!G11</f>
        <v>20</v>
      </c>
    </row>
    <row r="14" spans="1:11" ht="42.75" customHeight="1" thickBot="1">
      <c r="A14" s="123">
        <v>3</v>
      </c>
      <c r="B14" s="123" t="str">
        <f>+'Necesidades Trimestrales'!B12</f>
        <v>2.9.5-4198.41</v>
      </c>
      <c r="C14" s="157" t="str">
        <f>+'Necesidades Trimestrales'!E12</f>
        <v>ELEMENTOS DESC. P/CIRUGIAS; TIPO: CAMPO QUIRURGICO 120 X 130 Cm, PRESENTACION: UNIDAD</v>
      </c>
      <c r="D14" s="157"/>
      <c r="E14" s="157"/>
      <c r="F14" s="157"/>
      <c r="G14" s="157"/>
      <c r="H14" s="127" t="s">
        <v>169</v>
      </c>
      <c r="I14" s="124" t="str">
        <f>+'Necesidades Trimestrales'!F12</f>
        <v>UNIDAD</v>
      </c>
      <c r="J14" s="125">
        <f>+'Necesidades Trimestrales'!H12</f>
        <v>750</v>
      </c>
      <c r="K14" s="126">
        <f>+'Necesidades Trimestrales'!G12</f>
        <v>15</v>
      </c>
    </row>
    <row r="15" spans="1:11" ht="42.75" customHeight="1" thickBot="1">
      <c r="A15" s="123">
        <v>4</v>
      </c>
      <c r="B15" s="123" t="str">
        <f>+'Necesidades Trimestrales'!B13</f>
        <v>2.9.5-8220.15</v>
      </c>
      <c r="C15" s="157" t="str">
        <f>+'Necesidades Trimestrales'!E13</f>
        <v>CANASTILLAS DE DORMIA; TIPO: HELICOIDAL, DIMENSION: 2.8 mm, USO: P/EXTRACCION DE CALCULOS</v>
      </c>
      <c r="D15" s="157"/>
      <c r="E15" s="157"/>
      <c r="F15" s="157"/>
      <c r="G15" s="157"/>
      <c r="H15" s="127" t="s">
        <v>169</v>
      </c>
      <c r="I15" s="124" t="str">
        <f>+'Necesidades Trimestrales'!F13</f>
        <v>UNIDAD</v>
      </c>
      <c r="J15" s="125">
        <f>+'Necesidades Trimestrales'!H13</f>
        <v>55600</v>
      </c>
      <c r="K15" s="126">
        <f>+'Necesidades Trimestrales'!G13</f>
        <v>3</v>
      </c>
    </row>
    <row r="16" spans="1:11" ht="42.75" customHeight="1" thickBot="1">
      <c r="A16" s="123">
        <v>5</v>
      </c>
      <c r="B16" s="123" t="str">
        <f>+'Necesidades Trimestrales'!B14</f>
        <v>2.9.5-2161.554</v>
      </c>
      <c r="C16" s="157" t="str">
        <f>+'Necesidades Trimestrales'!E14</f>
        <v>CATETERES/SONDAS; NUMERO: 12 FRENCH, TIPO: DIALISIS PERITONEAL</v>
      </c>
      <c r="D16" s="157"/>
      <c r="E16" s="157"/>
      <c r="F16" s="157"/>
      <c r="G16" s="157"/>
      <c r="H16" s="127" t="s">
        <v>169</v>
      </c>
      <c r="I16" s="124" t="str">
        <f>+'Necesidades Trimestrales'!F14</f>
        <v>UNIDAD</v>
      </c>
      <c r="J16" s="125">
        <f>+'Necesidades Trimestrales'!H14</f>
        <v>33500</v>
      </c>
      <c r="K16" s="126">
        <f>+'Necesidades Trimestrales'!G14</f>
        <v>3</v>
      </c>
    </row>
    <row r="17" spans="1:11" ht="42.75" customHeight="1" thickBot="1">
      <c r="A17" s="123">
        <v>6</v>
      </c>
      <c r="B17" s="123" t="str">
        <f>+'Necesidades Trimestrales'!B15</f>
        <v>2.9.5-2161.555</v>
      </c>
      <c r="C17" s="157" t="str">
        <f>+'Necesidades Trimestrales'!E15</f>
        <v>CATETERES/SONDAS; NUMERO: 15 FRENCH, TIPO: DIALISIS PERITONEAL</v>
      </c>
      <c r="D17" s="157"/>
      <c r="E17" s="157"/>
      <c r="F17" s="157"/>
      <c r="G17" s="157"/>
      <c r="H17" s="127" t="s">
        <v>169</v>
      </c>
      <c r="I17" s="124" t="str">
        <f>+'Necesidades Trimestrales'!F15</f>
        <v>UNIDAD</v>
      </c>
      <c r="J17" s="125">
        <f>+'Necesidades Trimestrales'!H15</f>
        <v>33500</v>
      </c>
      <c r="K17" s="126">
        <f>+'Necesidades Trimestrales'!G15</f>
        <v>3</v>
      </c>
    </row>
    <row r="18" spans="1:11" ht="42.75" customHeight="1" thickBot="1">
      <c r="A18" s="123">
        <v>7</v>
      </c>
      <c r="B18" s="123" t="str">
        <f>+'Necesidades Trimestrales'!B16</f>
        <v>2.9.5-2161.586</v>
      </c>
      <c r="C18" s="157" t="str">
        <f>+'Necesidades Trimestrales'!E16</f>
        <v>CATETERES/SONDAS; NUMERO: 4,7 FR X 26 CM, TIPO: DOBLE J COOK</v>
      </c>
      <c r="D18" s="157"/>
      <c r="E18" s="157"/>
      <c r="F18" s="157"/>
      <c r="G18" s="157"/>
      <c r="H18" s="127" t="s">
        <v>169</v>
      </c>
      <c r="I18" s="124" t="str">
        <f>+'Necesidades Trimestrales'!F16</f>
        <v>UNIDAD</v>
      </c>
      <c r="J18" s="125">
        <f>+'Necesidades Trimestrales'!H16</f>
        <v>13500</v>
      </c>
      <c r="K18" s="126">
        <f>+'Necesidades Trimestrales'!G16</f>
        <v>10</v>
      </c>
    </row>
    <row r="19" spans="1:11" ht="42.75" customHeight="1" thickBot="1">
      <c r="A19" s="123">
        <v>8</v>
      </c>
      <c r="B19" s="123" t="str">
        <f>+'Necesidades Trimestrales'!B17</f>
        <v>2.9.5-2161.473</v>
      </c>
      <c r="C19" s="157" t="str">
        <f>+'Necesidades Trimestrales'!E17</f>
        <v>CATETERES/SONDAS; NUMERO: 7 FR X 26 CM, TIPO: DOBLE J COOK</v>
      </c>
      <c r="D19" s="157"/>
      <c r="E19" s="157"/>
      <c r="F19" s="157"/>
      <c r="G19" s="157"/>
      <c r="H19" s="127" t="s">
        <v>169</v>
      </c>
      <c r="I19" s="124" t="str">
        <f>+'Necesidades Trimestrales'!F17</f>
        <v>UNIDAD</v>
      </c>
      <c r="J19" s="125">
        <f>+'Necesidades Trimestrales'!H17</f>
        <v>13500</v>
      </c>
      <c r="K19" s="126">
        <f>+'Necesidades Trimestrales'!G17</f>
        <v>6</v>
      </c>
    </row>
    <row r="20" spans="1:11" ht="42.75" customHeight="1" thickBot="1">
      <c r="A20" s="123">
        <v>9</v>
      </c>
      <c r="B20" s="123" t="str">
        <f>+'Necesidades Trimestrales'!B18</f>
        <v>2.9.5-2161.556</v>
      </c>
      <c r="C20" s="157" t="str">
        <f>+'Necesidades Trimestrales'!E18</f>
        <v>CATETERES/SONDAS; NUMERO: SIN DATOS, TIPO: DOBLE P/LAVADO BRONCO ALVEOLAR P/DIAGNOSTICO NEUMONIA</v>
      </c>
      <c r="D20" s="157"/>
      <c r="E20" s="157"/>
      <c r="F20" s="157"/>
      <c r="G20" s="157"/>
      <c r="H20" s="127" t="s">
        <v>53</v>
      </c>
      <c r="I20" s="124" t="str">
        <f>+'Necesidades Trimestrales'!F18</f>
        <v>UNIDAD</v>
      </c>
      <c r="J20" s="125">
        <f>+'Necesidades Trimestrales'!H18</f>
        <v>8500</v>
      </c>
      <c r="K20" s="126">
        <f>+'Necesidades Trimestrales'!G18</f>
        <v>3</v>
      </c>
    </row>
    <row r="21" spans="1:11" ht="42.75" customHeight="1" thickBot="1">
      <c r="A21" s="123">
        <v>10</v>
      </c>
      <c r="B21" s="123" t="str">
        <f>+'Necesidades Trimestrales'!B19</f>
        <v>2.9.5-2161.147</v>
      </c>
      <c r="C21" s="157" t="str">
        <f>+'Necesidades Trimestrales'!E19</f>
        <v>CATETERES/SONDAS; NUMERO: 3, TIPO: FOGARTY</v>
      </c>
      <c r="D21" s="157"/>
      <c r="E21" s="157"/>
      <c r="F21" s="157"/>
      <c r="G21" s="157"/>
      <c r="H21" s="127" t="s">
        <v>53</v>
      </c>
      <c r="I21" s="124" t="str">
        <f>+'Necesidades Trimestrales'!F19</f>
        <v>UNIDAD</v>
      </c>
      <c r="J21" s="125">
        <f>+'Necesidades Trimestrales'!H19</f>
        <v>4500</v>
      </c>
      <c r="K21" s="126">
        <f>+'Necesidades Trimestrales'!G19</f>
        <v>10</v>
      </c>
    </row>
    <row r="22" spans="1:11" ht="42.75" customHeight="1" thickBot="1">
      <c r="A22" s="123">
        <v>11</v>
      </c>
      <c r="B22" s="123" t="str">
        <f>+'Necesidades Trimestrales'!B20</f>
        <v>2.9.5-2161.519</v>
      </c>
      <c r="C22" s="157" t="str">
        <f>+'Necesidades Trimestrales'!E20</f>
        <v>CATETERES/SONDAS; NUMERO: 4 , TIPO: FOGARTY</v>
      </c>
      <c r="D22" s="157"/>
      <c r="E22" s="157"/>
      <c r="F22" s="157"/>
      <c r="G22" s="157"/>
      <c r="H22" s="127" t="s">
        <v>53</v>
      </c>
      <c r="I22" s="124" t="str">
        <f>+'Necesidades Trimestrales'!F20</f>
        <v>UNIDAD</v>
      </c>
      <c r="J22" s="125">
        <f>+'Necesidades Trimestrales'!H20</f>
        <v>4500</v>
      </c>
      <c r="K22" s="126">
        <f>+'Necesidades Trimestrales'!G20</f>
        <v>10</v>
      </c>
    </row>
    <row r="23" spans="1:11" ht="42.75" customHeight="1" thickBot="1">
      <c r="A23" s="123">
        <v>12</v>
      </c>
      <c r="B23" s="123" t="str">
        <f>+'Necesidades Trimestrales'!B21</f>
        <v>2.9.5-2161.148</v>
      </c>
      <c r="C23" s="157" t="str">
        <f>+'Necesidades Trimestrales'!E21</f>
        <v>CATETERES/SONDAS; NUMERO: 5, TIPO: FOGARTY</v>
      </c>
      <c r="D23" s="157"/>
      <c r="E23" s="157"/>
      <c r="F23" s="157"/>
      <c r="G23" s="157"/>
      <c r="H23" s="127" t="s">
        <v>53</v>
      </c>
      <c r="I23" s="124" t="str">
        <f>+'Necesidades Trimestrales'!F21</f>
        <v>UNIDAD</v>
      </c>
      <c r="J23" s="125">
        <f>+'Necesidades Trimestrales'!H21</f>
        <v>4500</v>
      </c>
      <c r="K23" s="126">
        <f>+'Necesidades Trimestrales'!G21</f>
        <v>10</v>
      </c>
    </row>
    <row r="24" spans="1:11" ht="42.75" customHeight="1" thickBot="1">
      <c r="A24" s="123">
        <v>13</v>
      </c>
      <c r="B24" s="123" t="str">
        <f>+'Necesidades Trimestrales'!B22</f>
        <v>2.9.5-2161.590</v>
      </c>
      <c r="C24" s="157" t="str">
        <f>+'Necesidades Trimestrales'!E22</f>
        <v>CATETERES/SONDAS; NUMERO: 9 FR X 15 CM TIPO DOBLE LUMEN HEMODIALISIS</v>
      </c>
      <c r="D24" s="157"/>
      <c r="E24" s="157"/>
      <c r="F24" s="157"/>
      <c r="G24" s="157"/>
      <c r="H24" s="127" t="s">
        <v>53</v>
      </c>
      <c r="I24" s="124" t="str">
        <f>+'Necesidades Trimestrales'!F22</f>
        <v>UNIDAD</v>
      </c>
      <c r="J24" s="125">
        <f>+'Necesidades Trimestrales'!H22</f>
        <v>29800</v>
      </c>
      <c r="K24" s="126">
        <f>+'Necesidades Trimestrales'!G22</f>
        <v>3</v>
      </c>
    </row>
    <row r="25" spans="1:11" ht="42.75" customHeight="1" thickBot="1">
      <c r="A25" s="123">
        <v>14</v>
      </c>
      <c r="B25" s="123" t="str">
        <f>+'Necesidades Trimestrales'!B23</f>
        <v>2.9.5-2161.358</v>
      </c>
      <c r="C25" s="157" t="str">
        <f>+'Necesidades Trimestrales'!E23</f>
        <v>CATETERES/SONDAS; NUMERO: 12 FR X 20 CM , TIPO: DOBLE LUMEN HEMODIALISIS SUBCLAVIA</v>
      </c>
      <c r="D25" s="157"/>
      <c r="E25" s="157"/>
      <c r="F25" s="157"/>
      <c r="G25" s="157"/>
      <c r="H25" s="127" t="s">
        <v>53</v>
      </c>
      <c r="I25" s="124" t="str">
        <f>+'Necesidades Trimestrales'!F23</f>
        <v>UNIDAD</v>
      </c>
      <c r="J25" s="125">
        <f>+'Necesidades Trimestrales'!H23</f>
        <v>26000</v>
      </c>
      <c r="K25" s="126">
        <f>+'Necesidades Trimestrales'!G23</f>
        <v>3</v>
      </c>
    </row>
    <row r="26" spans="1:11" ht="42.75" customHeight="1" thickBot="1">
      <c r="A26" s="123">
        <v>15</v>
      </c>
      <c r="B26" s="123" t="str">
        <f>+'Necesidades Trimestrales'!B24</f>
        <v>2.9.5-2161.571</v>
      </c>
      <c r="C26" s="157" t="str">
        <f>+'Necesidades Trimestrales'!E24</f>
        <v>CATETERES/SONDAS; NUMERO: 3,5 FR, TIPO: UMBILICAL VENOSO, PRESENTACION: UNIDAD</v>
      </c>
      <c r="D26" s="157"/>
      <c r="E26" s="157"/>
      <c r="F26" s="157"/>
      <c r="G26" s="157"/>
      <c r="H26" s="127" t="s">
        <v>169</v>
      </c>
      <c r="I26" s="124" t="str">
        <f>+'Necesidades Trimestrales'!F24</f>
        <v>UNIDAD</v>
      </c>
      <c r="J26" s="125">
        <f>+'Necesidades Trimestrales'!H24</f>
        <v>2500</v>
      </c>
      <c r="K26" s="126">
        <f>+'Necesidades Trimestrales'!G24</f>
        <v>20</v>
      </c>
    </row>
    <row r="27" spans="1:11" ht="42.75" customHeight="1" thickBot="1">
      <c r="A27" s="123">
        <v>16</v>
      </c>
      <c r="B27" s="123" t="str">
        <f>+'Necesidades Trimestrales'!B25</f>
        <v>2.9.5-2161.573</v>
      </c>
      <c r="C27" s="157" t="str">
        <f>+'Necesidades Trimestrales'!E25</f>
        <v>CATETERES/SONDAS; NUMERO: 5 FR, TIPO: UMBILICAL VENOSO, PRESENTACION: UNIDAD</v>
      </c>
      <c r="D27" s="157"/>
      <c r="E27" s="157"/>
      <c r="F27" s="157"/>
      <c r="G27" s="157"/>
      <c r="H27" s="127" t="s">
        <v>169</v>
      </c>
      <c r="I27" s="124" t="str">
        <f>+'Necesidades Trimestrales'!F25</f>
        <v>UNIDAD</v>
      </c>
      <c r="J27" s="125">
        <f>+'Necesidades Trimestrales'!H25</f>
        <v>2500</v>
      </c>
      <c r="K27" s="126">
        <f>+'Necesidades Trimestrales'!G25</f>
        <v>20</v>
      </c>
    </row>
    <row r="28" spans="1:11" ht="42.75" customHeight="1" thickBot="1">
      <c r="A28" s="123">
        <v>17</v>
      </c>
      <c r="B28" s="123" t="str">
        <f>+'Necesidades Trimestrales'!B26</f>
        <v>2.9.5-2161.574</v>
      </c>
      <c r="C28" s="157" t="str">
        <f>+'Necesidades Trimestrales'!E26</f>
        <v>CATETERES/SONDAS; NUMERO: 2,5 FR, TIPO: UMBILICAL VENOSO, PRESENTACION: UNIDAD</v>
      </c>
      <c r="D28" s="157"/>
      <c r="E28" s="157"/>
      <c r="F28" s="157"/>
      <c r="G28" s="157"/>
      <c r="H28" s="127" t="s">
        <v>169</v>
      </c>
      <c r="I28" s="124" t="str">
        <f>+'Necesidades Trimestrales'!F26</f>
        <v>UNIDAD</v>
      </c>
      <c r="J28" s="125">
        <f>+'Necesidades Trimestrales'!H26</f>
        <v>2500</v>
      </c>
      <c r="K28" s="126">
        <f>+'Necesidades Trimestrales'!G26</f>
        <v>20</v>
      </c>
    </row>
    <row r="29" spans="1:11" ht="42.75" customHeight="1" thickBot="1">
      <c r="A29" s="123">
        <v>18</v>
      </c>
      <c r="B29" s="123" t="str">
        <f>+'Necesidades Trimestrales'!B27</f>
        <v>2.9.5-5294.5</v>
      </c>
      <c r="C29" s="157" t="str">
        <f>+'Necesidades Trimestrales'!E27</f>
        <v>CERAS P/HUESOS; USO: HEMOSTASIA, PRESENTACION: UNIDAD ESTERIL DE 2,5 GR</v>
      </c>
      <c r="D29" s="157"/>
      <c r="E29" s="157"/>
      <c r="F29" s="157"/>
      <c r="G29" s="157"/>
      <c r="H29" s="127" t="s">
        <v>53</v>
      </c>
      <c r="I29" s="124" t="str">
        <f>+'Necesidades Trimestrales'!F27</f>
        <v>UNIDAD</v>
      </c>
      <c r="J29" s="125">
        <f>+'Necesidades Trimestrales'!H27</f>
        <v>488</v>
      </c>
      <c r="K29" s="126">
        <f>+'Necesidades Trimestrales'!G27</f>
        <v>10</v>
      </c>
    </row>
    <row r="30" spans="1:11" ht="42.75" customHeight="1" thickBot="1">
      <c r="A30" s="123">
        <v>19</v>
      </c>
      <c r="B30" s="123" t="str">
        <f>+'Necesidades Trimestrales'!B28</f>
        <v>2.9.5-6379.10</v>
      </c>
      <c r="C30" s="157" t="str">
        <f>+'Necesidades Trimestrales'!E28</f>
        <v>CLAVIJAS DE CIRUGIA; TIPO: STEIMANN, MATERIAL: ACERO INOXIDABLE, DIAMETRO: 5 MM, PRESENTACION: UNIDAD</v>
      </c>
      <c r="D30" s="157"/>
      <c r="E30" s="157"/>
      <c r="F30" s="157"/>
      <c r="G30" s="157"/>
      <c r="H30" s="127" t="s">
        <v>53</v>
      </c>
      <c r="I30" s="124" t="str">
        <f>+'Necesidades Trimestrales'!F28</f>
        <v>UNIDAD</v>
      </c>
      <c r="J30" s="125">
        <f>+'Necesidades Trimestrales'!H28</f>
        <v>530</v>
      </c>
      <c r="K30" s="126">
        <f>+'Necesidades Trimestrales'!G28</f>
        <v>20</v>
      </c>
    </row>
    <row r="31" spans="1:11" ht="42.75" customHeight="1" thickBot="1">
      <c r="A31" s="123">
        <v>20</v>
      </c>
      <c r="B31" s="123" t="str">
        <f>+'Necesidades Trimestrales'!B29</f>
        <v>2.9.5-6379.1</v>
      </c>
      <c r="C31" s="157" t="str">
        <f>+'Necesidades Trimestrales'!E29</f>
        <v>CLAVIJAS DE CIRUGIA; TIPO: KIRSCHNER, MATERIAL: ACERO INOXIDABLE, DIAMETRO: 0,5 mm, PRESENTACION: UNIDAD</v>
      </c>
      <c r="D31" s="157"/>
      <c r="E31" s="157"/>
      <c r="F31" s="157"/>
      <c r="G31" s="157"/>
      <c r="H31" s="127" t="s">
        <v>53</v>
      </c>
      <c r="I31" s="124" t="str">
        <f>+'Necesidades Trimestrales'!F29</f>
        <v>UNIDAD</v>
      </c>
      <c r="J31" s="125">
        <f>+'Necesidades Trimestrales'!H29</f>
        <v>421.2</v>
      </c>
      <c r="K31" s="126">
        <f>+'Necesidades Trimestrales'!G29</f>
        <v>100</v>
      </c>
    </row>
    <row r="32" spans="1:11" ht="42.75" customHeight="1" thickBot="1">
      <c r="A32" s="123">
        <v>21</v>
      </c>
      <c r="B32" s="123" t="str">
        <f>+'Necesidades Trimestrales'!B30</f>
        <v>2.9.5-6379.2</v>
      </c>
      <c r="C32" s="157" t="str">
        <f>+'Necesidades Trimestrales'!E30</f>
        <v>CLAVIJAS DE CIRUGIA; TIPO: KIRSCHNER, MATERIAL: ACERO INOXIDABLE, DIAMETRO: 1 mm, PRESENTACION: UNIDAD</v>
      </c>
      <c r="D32" s="157"/>
      <c r="E32" s="157"/>
      <c r="F32" s="157"/>
      <c r="G32" s="157"/>
      <c r="H32" s="127" t="s">
        <v>53</v>
      </c>
      <c r="I32" s="124" t="str">
        <f>+'Necesidades Trimestrales'!F30</f>
        <v>UNIDAD</v>
      </c>
      <c r="J32" s="125">
        <f>+'Necesidades Trimestrales'!H30</f>
        <v>390</v>
      </c>
      <c r="K32" s="126">
        <f>+'Necesidades Trimestrales'!G30</f>
        <v>80</v>
      </c>
    </row>
    <row r="33" spans="1:11" ht="42.75" customHeight="1" thickBot="1">
      <c r="A33" s="123">
        <v>22</v>
      </c>
      <c r="B33" s="123" t="str">
        <f>+'Necesidades Trimestrales'!B31</f>
        <v>2.9.5-6379.3</v>
      </c>
      <c r="C33" s="157" t="str">
        <f>+'Necesidades Trimestrales'!E31</f>
        <v>CLAVIJAS DE CIRUGIA; TIPO: KIRSCHNER, MATERIAL: ACERO INOXIDABLE, DIAMETRO: 1,5 mm, PRESENTACION: UNIDAD</v>
      </c>
      <c r="D33" s="157"/>
      <c r="E33" s="157"/>
      <c r="F33" s="157"/>
      <c r="G33" s="157"/>
      <c r="H33" s="127" t="s">
        <v>53</v>
      </c>
      <c r="I33" s="124" t="str">
        <f>+'Necesidades Trimestrales'!F31</f>
        <v>UNIDAD</v>
      </c>
      <c r="J33" s="125">
        <f>+'Necesidades Trimestrales'!H31</f>
        <v>395</v>
      </c>
      <c r="K33" s="126">
        <f>+'Necesidades Trimestrales'!G31</f>
        <v>100</v>
      </c>
    </row>
    <row r="34" spans="1:11" ht="42.75" customHeight="1" thickBot="1">
      <c r="A34" s="123">
        <v>23</v>
      </c>
      <c r="B34" s="123" t="str">
        <f>+'Necesidades Trimestrales'!B32</f>
        <v>2.9.5-6379.5</v>
      </c>
      <c r="C34" s="157" t="str">
        <f>+'Necesidades Trimestrales'!E32</f>
        <v>CLAVIJAS DE CIRUGIA; TIPO: KIRSCHNER, MATERIAL: ACERO INOXIDABLE, DIAMETRO: 2 MM, PRESENTACION: UNIDAD</v>
      </c>
      <c r="D34" s="157"/>
      <c r="E34" s="157"/>
      <c r="F34" s="157"/>
      <c r="G34" s="157"/>
      <c r="H34" s="127" t="s">
        <v>53</v>
      </c>
      <c r="I34" s="124" t="str">
        <f>+'Necesidades Trimestrales'!F32</f>
        <v>UNIDAD</v>
      </c>
      <c r="J34" s="125">
        <f>+'Necesidades Trimestrales'!H32</f>
        <v>392.6</v>
      </c>
      <c r="K34" s="126">
        <f>+'Necesidades Trimestrales'!G32</f>
        <v>100</v>
      </c>
    </row>
    <row r="35" spans="1:11" ht="42.75" customHeight="1" thickBot="1">
      <c r="A35" s="123">
        <v>24</v>
      </c>
      <c r="B35" s="123" t="str">
        <f>+'Necesidades Trimestrales'!B33</f>
        <v>2.9.5-6379.6</v>
      </c>
      <c r="C35" s="157" t="str">
        <f>+'Necesidades Trimestrales'!E33</f>
        <v>CLAVIJAS DE CIRUGÍA; TIPO: KIRSCHNER; DIÁMETRO: 2,5 MM; MATERIAL: ACERO INOXIDABLE; PRESENTACIÓN: UNIDAD</v>
      </c>
      <c r="D35" s="157"/>
      <c r="E35" s="157"/>
      <c r="F35" s="157"/>
      <c r="G35" s="157"/>
      <c r="H35" s="127" t="s">
        <v>53</v>
      </c>
      <c r="I35" s="124" t="str">
        <f>+'Necesidades Trimestrales'!F33</f>
        <v>UNIDAD</v>
      </c>
      <c r="J35" s="125">
        <f>+'Necesidades Trimestrales'!H33</f>
        <v>451.1</v>
      </c>
      <c r="K35" s="126">
        <f>+'Necesidades Trimestrales'!G33</f>
        <v>100</v>
      </c>
    </row>
    <row r="36" spans="1:11" ht="42.75" customHeight="1" thickBot="1">
      <c r="A36" s="123">
        <v>25</v>
      </c>
      <c r="B36" s="123" t="str">
        <f>+'Necesidades Trimestrales'!B34</f>
        <v>2.9.5-6379.7</v>
      </c>
      <c r="C36" s="157" t="str">
        <f>+'Necesidades Trimestrales'!E34</f>
        <v>CLAVIJAS DE CIRUGIA; TIPO: STEIMANN, MATERIAL: ACERO INOXIDABLE, DIAMETRO: 4 mm, PRESENTACION: UNIDAD</v>
      </c>
      <c r="D36" s="157"/>
      <c r="E36" s="157"/>
      <c r="F36" s="157"/>
      <c r="G36" s="157"/>
      <c r="H36" s="127" t="s">
        <v>53</v>
      </c>
      <c r="I36" s="124" t="str">
        <f>+'Necesidades Trimestrales'!F34</f>
        <v>UNIDAD</v>
      </c>
      <c r="J36" s="125">
        <f>+'Necesidades Trimestrales'!H34</f>
        <v>453.7</v>
      </c>
      <c r="K36" s="126">
        <f>+'Necesidades Trimestrales'!G34</f>
        <v>30</v>
      </c>
    </row>
    <row r="37" spans="1:11" ht="42.75" customHeight="1" thickBot="1">
      <c r="A37" s="123">
        <v>26</v>
      </c>
      <c r="B37" s="123" t="str">
        <f>+'Necesidades Trimestrales'!B35</f>
        <v>2.9.5-6286.11</v>
      </c>
      <c r="C37" s="157" t="str">
        <f>+'Necesidades Trimestrales'!E35</f>
        <v>HEMOSTATICOS ABSORBIBLES; TIPO: TOPICO, MEDIDA: 5 X 7,5 Cm, PRESENTACION: UNIDAD</v>
      </c>
      <c r="D37" s="157"/>
      <c r="E37" s="157"/>
      <c r="F37" s="157"/>
      <c r="G37" s="157"/>
      <c r="H37" s="127" t="s">
        <v>169</v>
      </c>
      <c r="I37" s="124" t="str">
        <f>+'Necesidades Trimestrales'!F35</f>
        <v>UNIDAD</v>
      </c>
      <c r="J37" s="125">
        <f>+'Necesidades Trimestrales'!H35</f>
        <v>768.4</v>
      </c>
      <c r="K37" s="126">
        <f>+'Necesidades Trimestrales'!G35</f>
        <v>50</v>
      </c>
    </row>
    <row r="38" spans="1:11" ht="42.75" customHeight="1" thickBot="1">
      <c r="A38" s="123">
        <v>27</v>
      </c>
      <c r="B38" s="123" t="str">
        <f>+'Necesidades Trimestrales'!B36</f>
        <v>2.9.5-448.95</v>
      </c>
      <c r="C38" s="157" t="str">
        <f>+'Necesidades Trimestrales'!E36</f>
        <v>FRASCOS ESTERILES; CAPACIDAD: 750 CC, PRESENTACION: UNIDAD, GRABADO: SIN, USO: BITUBULADO DRENAJE</v>
      </c>
      <c r="D38" s="157"/>
      <c r="E38" s="157"/>
      <c r="F38" s="157"/>
      <c r="G38" s="157"/>
      <c r="H38" s="127" t="s">
        <v>53</v>
      </c>
      <c r="I38" s="124" t="str">
        <f>+'Necesidades Trimestrales'!F36</f>
        <v>UNIDAD</v>
      </c>
      <c r="J38" s="125">
        <f>+'Necesidades Trimestrales'!H36</f>
        <v>330</v>
      </c>
      <c r="K38" s="126">
        <f>+'Necesidades Trimestrales'!G36</f>
        <v>20</v>
      </c>
    </row>
    <row r="39" spans="1:11" ht="42.75" customHeight="1" thickBot="1">
      <c r="A39" s="123">
        <v>28</v>
      </c>
      <c r="B39" s="123" t="str">
        <f>+'Necesidades Trimestrales'!B37</f>
        <v>2.9.5-6752.2</v>
      </c>
      <c r="C39" s="157" t="str">
        <f>+'Necesidades Trimestrales'!E37</f>
        <v>ASPIRADORES MÉDICOS; TIPO: HEMOSUCTOR PLÁSTICO; CAPACIDAD: 750/800 CM3; EQUIPO: INDIVIDUAL, USO: QUIRÚRGICO</v>
      </c>
      <c r="D39" s="157"/>
      <c r="E39" s="157"/>
      <c r="F39" s="157"/>
      <c r="G39" s="157"/>
      <c r="H39" s="127" t="s">
        <v>53</v>
      </c>
      <c r="I39" s="124" t="str">
        <f>+'Necesidades Trimestrales'!F37</f>
        <v>UNIDAD</v>
      </c>
      <c r="J39" s="125">
        <f>+'Necesidades Trimestrales'!H37</f>
        <v>1387.5</v>
      </c>
      <c r="K39" s="126">
        <f>+'Necesidades Trimestrales'!G37</f>
        <v>50</v>
      </c>
    </row>
    <row r="40" spans="1:11" ht="42.75" customHeight="1" thickBot="1">
      <c r="A40" s="123">
        <v>29</v>
      </c>
      <c r="B40" s="123" t="str">
        <f>+'Necesidades Trimestrales'!B38</f>
        <v>2.9.5-2496.403</v>
      </c>
      <c r="C40" s="157" t="str">
        <f>+'Necesidades Trimestrales'!E38</f>
        <v>SUTURAS MECANICAS; TIPO: LIGA CLIPS MEDIUM LT200, USO: QUIRURGICO, PRESENTACION: UNIDAD</v>
      </c>
      <c r="D40" s="157"/>
      <c r="E40" s="157"/>
      <c r="F40" s="157"/>
      <c r="G40" s="157"/>
      <c r="H40" s="127" t="s">
        <v>169</v>
      </c>
      <c r="I40" s="124" t="str">
        <f>+'Necesidades Trimestrales'!F38</f>
        <v>UNIDAD</v>
      </c>
      <c r="J40" s="125">
        <f>+'Necesidades Trimestrales'!H38</f>
        <v>2600</v>
      </c>
      <c r="K40" s="126">
        <f>+'Necesidades Trimestrales'!G38</f>
        <v>20</v>
      </c>
    </row>
    <row r="41" spans="1:11" ht="42.75" customHeight="1" thickBot="1">
      <c r="A41" s="123">
        <v>30</v>
      </c>
      <c r="B41" s="123" t="str">
        <f>+'Necesidades Trimestrales'!B39</f>
        <v>2.9.5-2496.402</v>
      </c>
      <c r="C41" s="157" t="str">
        <f>+'Necesidades Trimestrales'!E39</f>
        <v>SUTURAS MECANICAS; TIPO: LIGA CLIPS LARGE LT300, USO: QUIRURGICO, PRESENTACION: UNIDAD</v>
      </c>
      <c r="D41" s="157"/>
      <c r="E41" s="157"/>
      <c r="F41" s="157"/>
      <c r="G41" s="157"/>
      <c r="H41" s="127" t="s">
        <v>169</v>
      </c>
      <c r="I41" s="124" t="str">
        <f>+'Necesidades Trimestrales'!F39</f>
        <v>UNIDAD</v>
      </c>
      <c r="J41" s="125">
        <f>+'Necesidades Trimestrales'!H39</f>
        <v>2600</v>
      </c>
      <c r="K41" s="126">
        <f>+'Necesidades Trimestrales'!G39</f>
        <v>50</v>
      </c>
    </row>
    <row r="42" spans="1:11" ht="42.75" customHeight="1" thickBot="1">
      <c r="A42" s="123">
        <v>31</v>
      </c>
      <c r="B42" s="123" t="str">
        <f>+'Necesidades Trimestrales'!B40</f>
        <v>2.9.5-2496.461</v>
      </c>
      <c r="C42" s="157" t="str">
        <f>+'Necesidades Trimestrales'!E40</f>
        <v>SUTURAS MECANICAS; TIPO: LIGA CLIPS LARGE LT400, USO: QUIRURGICO, PRESENTACION: UNIDAD</v>
      </c>
      <c r="D42" s="157"/>
      <c r="E42" s="157"/>
      <c r="F42" s="157"/>
      <c r="G42" s="157"/>
      <c r="H42" s="127" t="s">
        <v>169</v>
      </c>
      <c r="I42" s="124" t="str">
        <f>+'Necesidades Trimestrales'!F40</f>
        <v>UNIDAD</v>
      </c>
      <c r="J42" s="125">
        <f>+'Necesidades Trimestrales'!H40</f>
        <v>2980</v>
      </c>
      <c r="K42" s="126">
        <f>+'Necesidades Trimestrales'!G40</f>
        <v>20</v>
      </c>
    </row>
    <row r="43" spans="1:11" ht="42.75" customHeight="1" thickBot="1">
      <c r="A43" s="123">
        <v>32</v>
      </c>
      <c r="B43" s="123" t="str">
        <f>+'Necesidades Trimestrales'!B41</f>
        <v>2.9.5-7517.6</v>
      </c>
      <c r="C43" s="157" t="str">
        <f>+'Necesidades Trimestrales'!E41</f>
        <v>MALLAS P/EVENTRACCIÓN; MEDIDA: 30 X 30 CM; TIPO: VICRYL; MATERIAL: POLIGLACTINA; USO: CIRUGÍA</v>
      </c>
      <c r="D43" s="157"/>
      <c r="E43" s="157"/>
      <c r="F43" s="157"/>
      <c r="G43" s="157"/>
      <c r="H43" s="127" t="s">
        <v>169</v>
      </c>
      <c r="I43" s="124" t="str">
        <f>+'Necesidades Trimestrales'!F41</f>
        <v>UNIDAD</v>
      </c>
      <c r="J43" s="125">
        <f>+'Necesidades Trimestrales'!H41</f>
        <v>41500</v>
      </c>
      <c r="K43" s="126">
        <f>+'Necesidades Trimestrales'!G41</f>
        <v>20</v>
      </c>
    </row>
    <row r="44" spans="1:11" ht="42.75" customHeight="1" thickBot="1">
      <c r="A44" s="123">
        <v>33</v>
      </c>
      <c r="B44" s="123" t="str">
        <f>+'Necesidades Trimestrales'!B42</f>
        <v>2.9.5-7517.9</v>
      </c>
      <c r="C44" s="157" t="str">
        <f>+'Necesidades Trimestrales'!E42</f>
        <v>MALLAS P/EVENTRACCION; MEDIDA: 30 X 30 CM; TIPO: PROLENE; MATERIAL: POLIPROPILENO; USO: CIRUGÍA</v>
      </c>
      <c r="D44" s="157"/>
      <c r="E44" s="157"/>
      <c r="F44" s="157"/>
      <c r="G44" s="157"/>
      <c r="H44" s="127" t="s">
        <v>169</v>
      </c>
      <c r="I44" s="124" t="str">
        <f>+'Necesidades Trimestrales'!F42</f>
        <v>UNIDAD</v>
      </c>
      <c r="J44" s="125">
        <f>+'Necesidades Trimestrales'!H42</f>
        <v>31000</v>
      </c>
      <c r="K44" s="126">
        <f>+'Necesidades Trimestrales'!G42</f>
        <v>20</v>
      </c>
    </row>
    <row r="45" spans="1:11" ht="42.75" customHeight="1" thickBot="1">
      <c r="A45" s="123">
        <v>34</v>
      </c>
      <c r="B45" s="123" t="str">
        <f>+'Necesidades Trimestrales'!B43</f>
        <v>2.9.5-6543.41</v>
      </c>
      <c r="C45" s="157" t="str">
        <f>+'Necesidades Trimestrales'!E43</f>
        <v>SET P/ANESTESIA; TIPO: PERIDURAL, CANTIDAD DE COMPONENTES: IGUAL O MAS DE 5; CON AGUJA TUOHY 20G; COMPONENTES: CON AGUJA TUOHY 20G</v>
      </c>
      <c r="D45" s="157"/>
      <c r="E45" s="157"/>
      <c r="F45" s="157"/>
      <c r="G45" s="157"/>
      <c r="H45" s="127" t="s">
        <v>53</v>
      </c>
      <c r="I45" s="124" t="str">
        <f>+'Necesidades Trimestrales'!F43</f>
        <v>UNIDAD</v>
      </c>
      <c r="J45" s="125">
        <f>+'Necesidades Trimestrales'!H43</f>
        <v>5200</v>
      </c>
      <c r="K45" s="126">
        <f>+'Necesidades Trimestrales'!G43</f>
        <v>5</v>
      </c>
    </row>
    <row r="46" spans="1:11" ht="42.75" customHeight="1" thickBot="1">
      <c r="A46" s="123">
        <v>35</v>
      </c>
      <c r="B46" s="123" t="str">
        <f>+'Necesidades Trimestrales'!B44</f>
        <v>2.9.5-2161.496</v>
      </c>
      <c r="C46" s="157" t="str">
        <f>+'Necesidades Trimestrales'!E44</f>
        <v>CATÉTERES/SONDAS; NÚMERO: 14 FRENCH; TIPO: SET MALECOT P/NEFROSTOMÍA COOK</v>
      </c>
      <c r="D46" s="157"/>
      <c r="E46" s="157"/>
      <c r="F46" s="157"/>
      <c r="G46" s="157"/>
      <c r="H46" s="127" t="s">
        <v>169</v>
      </c>
      <c r="I46" s="124" t="str">
        <f>+'Necesidades Trimestrales'!F44</f>
        <v>UNIDAD</v>
      </c>
      <c r="J46" s="125">
        <f>+'Necesidades Trimestrales'!H44</f>
        <v>28000</v>
      </c>
      <c r="K46" s="126">
        <f>+'Necesidades Trimestrales'!G44</f>
        <v>5</v>
      </c>
    </row>
    <row r="47" spans="1:11" ht="42.75" customHeight="1" thickBot="1">
      <c r="A47" s="123">
        <v>36</v>
      </c>
      <c r="B47" s="123" t="str">
        <f>+'Necesidades Trimestrales'!B45</f>
        <v>2.9.5-2161.564</v>
      </c>
      <c r="C47" s="157" t="str">
        <f>+'Necesidades Trimestrales'!E45</f>
        <v>CATÉTERES/SONDAS; NÚMERO: 16 FRENCH; TIPO: SET MALECOT P/NEFROSTOMÍA COOK</v>
      </c>
      <c r="D47" s="157"/>
      <c r="E47" s="157"/>
      <c r="F47" s="157"/>
      <c r="G47" s="157"/>
      <c r="H47" s="127" t="s">
        <v>169</v>
      </c>
      <c r="I47" s="124" t="str">
        <f>+'Necesidades Trimestrales'!F45</f>
        <v>UNIDAD</v>
      </c>
      <c r="J47" s="125">
        <f>+'Necesidades Trimestrales'!H45</f>
        <v>28000</v>
      </c>
      <c r="K47" s="126">
        <f>+'Necesidades Trimestrales'!G45</f>
        <v>5</v>
      </c>
    </row>
    <row r="48" spans="1:11" ht="42.75" customHeight="1" thickBot="1">
      <c r="A48" s="123">
        <v>37</v>
      </c>
      <c r="B48" s="123" t="str">
        <f>+'Necesidades Trimestrales'!B46</f>
        <v>2.9.5-2161.547</v>
      </c>
      <c r="C48" s="157" t="str">
        <f>+'Necesidades Trimestrales'!E46</f>
        <v>CATETERES/SONDAS; NUMERO: 4 FRENCH 13 CM, TIPO: P/VIA CENTRAL DOBLE LUMEN</v>
      </c>
      <c r="D48" s="157"/>
      <c r="E48" s="157"/>
      <c r="F48" s="157"/>
      <c r="G48" s="157"/>
      <c r="H48" s="127" t="s">
        <v>169</v>
      </c>
      <c r="I48" s="124" t="str">
        <f>+'Necesidades Trimestrales'!F46</f>
        <v>UNIDAD</v>
      </c>
      <c r="J48" s="125">
        <f>+'Necesidades Trimestrales'!H46</f>
        <v>8564.4</v>
      </c>
      <c r="K48" s="126">
        <f>+'Necesidades Trimestrales'!G46</f>
        <v>20</v>
      </c>
    </row>
    <row r="49" spans="1:11" ht="42.75" customHeight="1" thickBot="1">
      <c r="A49" s="123">
        <v>38</v>
      </c>
      <c r="B49" s="123" t="str">
        <f>+'Necesidades Trimestrales'!B47</f>
        <v>2.9.5-2161.394</v>
      </c>
      <c r="C49" s="157" t="str">
        <f>+'Necesidades Trimestrales'!E47</f>
        <v>CATETERES/SONDAS; NUMERO: 20, TIPO: HEMATURIA</v>
      </c>
      <c r="D49" s="157"/>
      <c r="E49" s="157"/>
      <c r="F49" s="157"/>
      <c r="G49" s="157"/>
      <c r="H49" s="127" t="s">
        <v>53</v>
      </c>
      <c r="I49" s="124" t="str">
        <f>+'Necesidades Trimestrales'!F47</f>
        <v>UNIDAD</v>
      </c>
      <c r="J49" s="125">
        <f>+'Necesidades Trimestrales'!H47</f>
        <v>2151.5</v>
      </c>
      <c r="K49" s="126">
        <f>+'Necesidades Trimestrales'!G47</f>
        <v>50</v>
      </c>
    </row>
    <row r="50" spans="1:11" ht="42.75" customHeight="1" thickBot="1">
      <c r="A50" s="123">
        <v>39</v>
      </c>
      <c r="B50" s="123" t="str">
        <f>+'Necesidades Trimestrales'!B48</f>
        <v>2.9.5-2161.100</v>
      </c>
      <c r="C50" s="157" t="str">
        <f>+'Necesidades Trimestrales'!E48</f>
        <v>CATETERES/SONDAS; NUMERO: 22, TIPO: HEMATURIA</v>
      </c>
      <c r="D50" s="157"/>
      <c r="E50" s="157"/>
      <c r="F50" s="157"/>
      <c r="G50" s="157"/>
      <c r="H50" s="127" t="s">
        <v>53</v>
      </c>
      <c r="I50" s="124" t="str">
        <f>+'Necesidades Trimestrales'!F48</f>
        <v>UNIDAD</v>
      </c>
      <c r="J50" s="125">
        <f>+'Necesidades Trimestrales'!H48</f>
        <v>2151.5</v>
      </c>
      <c r="K50" s="126">
        <f>+'Necesidades Trimestrales'!G48</f>
        <v>20</v>
      </c>
    </row>
    <row r="51" spans="1:11" ht="42.75" customHeight="1" thickBot="1">
      <c r="A51" s="123">
        <v>40</v>
      </c>
      <c r="B51" s="123" t="str">
        <f>+'Necesidades Trimestrales'!B49</f>
        <v>2.9.5-2161.215</v>
      </c>
      <c r="C51" s="157" t="str">
        <f>+'Necesidades Trimestrales'!E49</f>
        <v>CATETERES/SONDAS; NUMERO: 18, TIPO: HEMATURIA</v>
      </c>
      <c r="D51" s="157"/>
      <c r="E51" s="157"/>
      <c r="F51" s="157"/>
      <c r="G51" s="157"/>
      <c r="H51" s="127" t="s">
        <v>53</v>
      </c>
      <c r="I51" s="124" t="str">
        <f>+'Necesidades Trimestrales'!F49</f>
        <v>UNIDAD</v>
      </c>
      <c r="J51" s="125">
        <f>+'Necesidades Trimestrales'!H49</f>
        <v>2151.5</v>
      </c>
      <c r="K51" s="126">
        <f>+'Necesidades Trimestrales'!G49</f>
        <v>40</v>
      </c>
    </row>
    <row r="52" spans="1:11" ht="42.75" customHeight="1" thickBot="1">
      <c r="A52" s="123">
        <v>41</v>
      </c>
      <c r="B52" s="123" t="str">
        <f>+'Necesidades Trimestrales'!B50</f>
        <v>2.9.5-2161.101</v>
      </c>
      <c r="C52" s="157" t="str">
        <f>+'Necesidades Trimestrales'!E50</f>
        <v>CATETERES/SONDAS; NUMERO: 24, TIPO: HEMATURIA</v>
      </c>
      <c r="D52" s="157"/>
      <c r="E52" s="157"/>
      <c r="F52" s="157"/>
      <c r="G52" s="157"/>
      <c r="H52" s="127" t="s">
        <v>53</v>
      </c>
      <c r="I52" s="124" t="str">
        <f>+'Necesidades Trimestrales'!F50</f>
        <v>UNIDAD</v>
      </c>
      <c r="J52" s="125">
        <f>+'Necesidades Trimestrales'!H50</f>
        <v>2151.5</v>
      </c>
      <c r="K52" s="126">
        <f>+'Necesidades Trimestrales'!G50</f>
        <v>15</v>
      </c>
    </row>
    <row r="53" spans="1:11" ht="42.75" customHeight="1" thickBot="1">
      <c r="A53" s="123">
        <v>42</v>
      </c>
      <c r="B53" s="123" t="str">
        <f>+'Necesidades Trimestrales'!B51</f>
        <v>2.9.5-2161.549</v>
      </c>
      <c r="C53" s="157" t="str">
        <f>+'Necesidades Trimestrales'!E51</f>
        <v>CATETERES/SONDAS; NUMERO: 10 FR, TIPO: GASTRICA SILICONA 100% CON LÍNEA RADIOPACA</v>
      </c>
      <c r="D53" s="157"/>
      <c r="E53" s="157"/>
      <c r="F53" s="157"/>
      <c r="G53" s="157"/>
      <c r="H53" s="127" t="s">
        <v>169</v>
      </c>
      <c r="I53" s="124" t="str">
        <f>+'Necesidades Trimestrales'!F51</f>
        <v>UNIDAD</v>
      </c>
      <c r="J53" s="125">
        <f>+'Necesidades Trimestrales'!H51</f>
        <v>1658.8</v>
      </c>
      <c r="K53" s="126">
        <f>+'Necesidades Trimestrales'!G51</f>
        <v>40</v>
      </c>
    </row>
    <row r="54" spans="1:11" ht="42.75" customHeight="1" thickBot="1">
      <c r="A54" s="123">
        <v>43</v>
      </c>
      <c r="B54" s="123" t="str">
        <f>+'Necesidades Trimestrales'!B52</f>
        <v>2.9.5-2161.580</v>
      </c>
      <c r="C54" s="157" t="str">
        <f>+'Necesidades Trimestrales'!E52</f>
        <v>CATETERES/SONDAS; NUMERO: 12 FR, TIPO: GASTRICA SILICONA 100% CON LÍNEA RADIOPACA</v>
      </c>
      <c r="D54" s="157"/>
      <c r="E54" s="157"/>
      <c r="F54" s="157"/>
      <c r="G54" s="157"/>
      <c r="H54" s="127" t="s">
        <v>169</v>
      </c>
      <c r="I54" s="124" t="str">
        <f>+'Necesidades Trimestrales'!F52</f>
        <v>UNIDAD</v>
      </c>
      <c r="J54" s="125">
        <f>+'Necesidades Trimestrales'!H52</f>
        <v>1658.8</v>
      </c>
      <c r="K54" s="126">
        <f>+'Necesidades Trimestrales'!G52</f>
        <v>40</v>
      </c>
    </row>
    <row r="55" spans="1:11" ht="42.75" customHeight="1" thickBot="1">
      <c r="A55" s="123">
        <v>44</v>
      </c>
      <c r="B55" s="123" t="str">
        <f>+'Necesidades Trimestrales'!B53</f>
        <v>2.9.5-2161.581</v>
      </c>
      <c r="C55" s="157" t="str">
        <f>+'Necesidades Trimestrales'!E53</f>
        <v>CATETERES/SONDAS; NUMERO: 14 FR, TIPO: GASTRICA SILICONA 100% CON LÍNEA RADIOPACA</v>
      </c>
      <c r="D55" s="157"/>
      <c r="E55" s="157"/>
      <c r="F55" s="157"/>
      <c r="G55" s="157"/>
      <c r="H55" s="127" t="s">
        <v>169</v>
      </c>
      <c r="I55" s="124" t="str">
        <f>+'Necesidades Trimestrales'!F53</f>
        <v>UNIDAD</v>
      </c>
      <c r="J55" s="125">
        <f>+'Necesidades Trimestrales'!H53</f>
        <v>1658.8</v>
      </c>
      <c r="K55" s="126">
        <f>+'Necesidades Trimestrales'!G53</f>
        <v>40</v>
      </c>
    </row>
    <row r="56" spans="1:11" ht="42.75" customHeight="1" thickBot="1">
      <c r="A56" s="123">
        <v>45</v>
      </c>
      <c r="B56" s="123" t="str">
        <f>+'Necesidades Trimestrales'!B54</f>
        <v>2.9.5-2161.550</v>
      </c>
      <c r="C56" s="157" t="str">
        <f>+'Necesidades Trimestrales'!E54</f>
        <v>CATETERES/SONDAS; NUMERO: 7 FR, TIPO: GASTRICA SILICONA 100% CON LÍNEA RADIOPACA</v>
      </c>
      <c r="D56" s="157"/>
      <c r="E56" s="157"/>
      <c r="F56" s="157"/>
      <c r="G56" s="157"/>
      <c r="H56" s="127" t="s">
        <v>169</v>
      </c>
      <c r="I56" s="124" t="str">
        <f>+'Necesidades Trimestrales'!F54</f>
        <v>UNIDAD</v>
      </c>
      <c r="J56" s="125">
        <f>+'Necesidades Trimestrales'!H54</f>
        <v>1658.8</v>
      </c>
      <c r="K56" s="126">
        <f>+'Necesidades Trimestrales'!G54</f>
        <v>40</v>
      </c>
    </row>
    <row r="57" spans="1:11" ht="42.75" customHeight="1" thickBot="1">
      <c r="A57" s="123">
        <v>46</v>
      </c>
      <c r="B57" s="123" t="str">
        <f>+'Necesidades Trimestrales'!B55</f>
        <v>2.9.5-2161.551</v>
      </c>
      <c r="C57" s="157" t="str">
        <f>+'Necesidades Trimestrales'!E55</f>
        <v>CATETERES/SONDAS; NUMERO: 9 FR, TIPO: GASTRICA SILICONA 100% CON LÍNEA RADIOPACA</v>
      </c>
      <c r="D57" s="157"/>
      <c r="E57" s="157"/>
      <c r="F57" s="157"/>
      <c r="G57" s="157"/>
      <c r="H57" s="127" t="s">
        <v>169</v>
      </c>
      <c r="I57" s="124" t="str">
        <f>+'Necesidades Trimestrales'!F55</f>
        <v>UNIDAD</v>
      </c>
      <c r="J57" s="125">
        <f>+'Necesidades Trimestrales'!H55</f>
        <v>1658.8</v>
      </c>
      <c r="K57" s="126">
        <f>+'Necesidades Trimestrales'!G55</f>
        <v>40</v>
      </c>
    </row>
    <row r="58" spans="1:11" ht="42.75" customHeight="1" thickBot="1">
      <c r="A58" s="123">
        <v>47</v>
      </c>
      <c r="B58" s="123" t="str">
        <f>+'Necesidades Trimestrales'!B56</f>
        <v>2.9.5-2161.523</v>
      </c>
      <c r="C58" s="157" t="str">
        <f>+'Necesidades Trimestrales'!E56</f>
        <v>CATETERES/SONDAS; NUMERO: 28, TIPO: DRENAJE TORAXICO</v>
      </c>
      <c r="D58" s="157"/>
      <c r="E58" s="157"/>
      <c r="F58" s="157"/>
      <c r="G58" s="157"/>
      <c r="H58" s="127" t="s">
        <v>169</v>
      </c>
      <c r="I58" s="124" t="str">
        <f>+'Necesidades Trimestrales'!F56</f>
        <v>UNIDAD</v>
      </c>
      <c r="J58" s="125">
        <f>+'Necesidades Trimestrales'!H56</f>
        <v>3720.6</v>
      </c>
      <c r="K58" s="126">
        <f>+'Necesidades Trimestrales'!G56</f>
        <v>40</v>
      </c>
    </row>
    <row r="59" spans="1:11" ht="42.75" customHeight="1" thickBot="1">
      <c r="A59" s="123">
        <v>48</v>
      </c>
      <c r="B59" s="123" t="str">
        <f>+'Necesidades Trimestrales'!B57</f>
        <v>2.9.5-2161.597</v>
      </c>
      <c r="C59" s="157" t="str">
        <f>+'Necesidades Trimestrales'!E57</f>
        <v>CATÉTERES/SONDAS; NÚMERO: 40; TIPO: DRENAJE TORÁXICO</v>
      </c>
      <c r="D59" s="157"/>
      <c r="E59" s="157"/>
      <c r="F59" s="157"/>
      <c r="G59" s="157"/>
      <c r="H59" s="127" t="s">
        <v>169</v>
      </c>
      <c r="I59" s="124" t="str">
        <f>+'Necesidades Trimestrales'!F57</f>
        <v>UNIDAD</v>
      </c>
      <c r="J59" s="125">
        <f>+'Necesidades Trimestrales'!H57</f>
        <v>5374.2</v>
      </c>
      <c r="K59" s="126">
        <f>+'Necesidades Trimestrales'!G57</f>
        <v>20</v>
      </c>
    </row>
    <row r="60" spans="1:11" ht="42.75" customHeight="1" thickBot="1">
      <c r="A60" s="123">
        <v>49</v>
      </c>
      <c r="B60" s="123" t="str">
        <f>+'Necesidades Trimestrales'!B58</f>
        <v>2.9.5-6286.5</v>
      </c>
      <c r="C60" s="157" t="str">
        <f>+'Necesidades Trimestrales'!E58</f>
        <v>HEMOSTATICOS ABSORBIBLES; TIPO: SURGIEL, MEDIDA: 5 X 7,5 Cm, PRESENTACION: UNIDAD</v>
      </c>
      <c r="D60" s="157"/>
      <c r="E60" s="157"/>
      <c r="F60" s="157"/>
      <c r="G60" s="157"/>
      <c r="H60" s="127" t="s">
        <v>169</v>
      </c>
      <c r="I60" s="124" t="str">
        <f>+'Necesidades Trimestrales'!F58</f>
        <v>UNIDAD</v>
      </c>
      <c r="J60" s="125">
        <f>+'Necesidades Trimestrales'!H58</f>
        <v>4900</v>
      </c>
      <c r="K60" s="126">
        <f>+'Necesidades Trimestrales'!G58</f>
        <v>20</v>
      </c>
    </row>
    <row r="61" spans="1:11" ht="42.75" customHeight="1" thickBot="1">
      <c r="A61" s="123">
        <v>50</v>
      </c>
      <c r="B61" s="123" t="str">
        <f>+'Necesidades Trimestrales'!B59</f>
        <v>2.9.5-6700.5</v>
      </c>
      <c r="C61" s="157" t="str">
        <f>+'Necesidades Trimestrales'!E59</f>
        <v>TROCAR DE PUNCION; USO: PUNCION TORAXICO, TIPO: N°10, CAMISA: SIN</v>
      </c>
      <c r="D61" s="157"/>
      <c r="E61" s="157"/>
      <c r="F61" s="157"/>
      <c r="G61" s="157"/>
      <c r="H61" s="127" t="s">
        <v>53</v>
      </c>
      <c r="I61" s="124" t="str">
        <f>+'Necesidades Trimestrales'!F59</f>
        <v>UNIDAD</v>
      </c>
      <c r="J61" s="125">
        <f>+'Necesidades Trimestrales'!H59</f>
        <v>1350</v>
      </c>
      <c r="K61" s="126">
        <f>+'Necesidades Trimestrales'!G59</f>
        <v>10</v>
      </c>
    </row>
    <row r="62" spans="1:11" ht="42.75" customHeight="1" thickBot="1">
      <c r="A62" s="123">
        <v>51</v>
      </c>
      <c r="B62" s="123" t="str">
        <f>+'Necesidades Trimestrales'!B60</f>
        <v>2.9.5-6700.4</v>
      </c>
      <c r="C62" s="157" t="str">
        <f>+'Necesidades Trimestrales'!E60</f>
        <v>TROCAR DE PUNCION; USO: PUNCION TORAXICO, TIPO: N°12, CAMISA: SIN</v>
      </c>
      <c r="D62" s="157"/>
      <c r="E62" s="157"/>
      <c r="F62" s="157"/>
      <c r="G62" s="157"/>
      <c r="H62" s="127" t="s">
        <v>53</v>
      </c>
      <c r="I62" s="124" t="str">
        <f>+'Necesidades Trimestrales'!F60</f>
        <v>UNIDAD</v>
      </c>
      <c r="J62" s="125">
        <f>+'Necesidades Trimestrales'!H60</f>
        <v>1350</v>
      </c>
      <c r="K62" s="126">
        <f>+'Necesidades Trimestrales'!G60</f>
        <v>10</v>
      </c>
    </row>
    <row r="63" spans="1:11" ht="42.75" customHeight="1" thickBot="1">
      <c r="A63" s="123">
        <v>52</v>
      </c>
      <c r="B63" s="123" t="str">
        <f>+'Necesidades Trimestrales'!B61</f>
        <v>2.9.5-6700.28</v>
      </c>
      <c r="C63" s="157" t="str">
        <f>+'Necesidades Trimestrales'!E61</f>
        <v>TROCAR DE PUNCION; USO: PUNCION TORAXICA, TIPO: Nº 14, CAMISA: SIN</v>
      </c>
      <c r="D63" s="157"/>
      <c r="E63" s="157"/>
      <c r="F63" s="157"/>
      <c r="G63" s="157"/>
      <c r="H63" s="127" t="s">
        <v>53</v>
      </c>
      <c r="I63" s="124" t="str">
        <f>+'Necesidades Trimestrales'!F61</f>
        <v>UNIDAD</v>
      </c>
      <c r="J63" s="125">
        <f>+'Necesidades Trimestrales'!H61</f>
        <v>1350</v>
      </c>
      <c r="K63" s="126">
        <f>+'Necesidades Trimestrales'!G61</f>
        <v>10</v>
      </c>
    </row>
    <row r="64" spans="1:11" ht="42.75" customHeight="1" thickBot="1">
      <c r="A64" s="123">
        <v>53</v>
      </c>
      <c r="B64" s="123" t="str">
        <f>+'Necesidades Trimestrales'!B62</f>
        <v>2.9.5-6700.3</v>
      </c>
      <c r="C64" s="157" t="str">
        <f>+'Necesidades Trimestrales'!E62</f>
        <v>TROCAR DE PUNCION; USO: PUNCION TORAXICO, TIPO: N°16 FR, CAMISA: SIN</v>
      </c>
      <c r="D64" s="157"/>
      <c r="E64" s="157"/>
      <c r="F64" s="157"/>
      <c r="G64" s="157"/>
      <c r="H64" s="127" t="s">
        <v>53</v>
      </c>
      <c r="I64" s="124" t="str">
        <f>+'Necesidades Trimestrales'!F62</f>
        <v>UNIDAD</v>
      </c>
      <c r="J64" s="125">
        <f>+'Necesidades Trimestrales'!H62</f>
        <v>1350</v>
      </c>
      <c r="K64" s="126">
        <f>+'Necesidades Trimestrales'!G62</f>
        <v>10</v>
      </c>
    </row>
    <row r="65" spans="1:11" ht="42.75" customHeight="1" thickBot="1">
      <c r="A65" s="123">
        <v>54</v>
      </c>
      <c r="B65" s="123" t="str">
        <f>+'Necesidades Trimestrales'!B63</f>
        <v>2.9.5-6700.27</v>
      </c>
      <c r="C65" s="157" t="str">
        <f>+'Necesidades Trimestrales'!E63</f>
        <v>TROCAR DE PUNCION; USO: PUNCION TORAXICA, TIPO: N° 18 FR, CAMISA: SIN</v>
      </c>
      <c r="D65" s="157"/>
      <c r="E65" s="157"/>
      <c r="F65" s="157"/>
      <c r="G65" s="157"/>
      <c r="H65" s="127" t="s">
        <v>53</v>
      </c>
      <c r="I65" s="124" t="str">
        <f>+'Necesidades Trimestrales'!F63</f>
        <v>UNIDAD</v>
      </c>
      <c r="J65" s="125">
        <f>+'Necesidades Trimestrales'!H63</f>
        <v>1350</v>
      </c>
      <c r="K65" s="126">
        <f>+'Necesidades Trimestrales'!G63</f>
        <v>30</v>
      </c>
    </row>
    <row r="66" spans="1:11" ht="42.75" customHeight="1" thickBot="1">
      <c r="A66" s="123">
        <v>55</v>
      </c>
      <c r="B66" s="123" t="str">
        <f>+'Necesidades Trimestrales'!B64</f>
        <v>2.9.5-6700.17</v>
      </c>
      <c r="C66" s="157" t="str">
        <f>+'Necesidades Trimestrales'!E64</f>
        <v>TROCAR DE PUNCION; USO: PUNCION TORAXICO, TIPO: Nº20 FR, CAMISA: SIN</v>
      </c>
      <c r="D66" s="157"/>
      <c r="E66" s="157"/>
      <c r="F66" s="157"/>
      <c r="G66" s="157"/>
      <c r="H66" s="127" t="s">
        <v>53</v>
      </c>
      <c r="I66" s="124" t="str">
        <f>+'Necesidades Trimestrales'!F64</f>
        <v>UNIDAD</v>
      </c>
      <c r="J66" s="125">
        <f>+'Necesidades Trimestrales'!H64</f>
        <v>1350</v>
      </c>
      <c r="K66" s="126">
        <f>+'Necesidades Trimestrales'!G64</f>
        <v>20</v>
      </c>
    </row>
    <row r="67" spans="1:11" ht="42.75" customHeight="1" thickBot="1">
      <c r="A67" s="123">
        <v>56</v>
      </c>
      <c r="B67" s="123" t="str">
        <f>+'Necesidades Trimestrales'!B65</f>
        <v>2.9.5-6700.30</v>
      </c>
      <c r="C67" s="157" t="str">
        <f>+'Necesidades Trimestrales'!E65</f>
        <v>TROCAR DE PUNCION; USO: PUNCION TORAXICO, TIPO: N° 22 FR, CAMISA: SIN</v>
      </c>
      <c r="D67" s="157"/>
      <c r="E67" s="157"/>
      <c r="F67" s="157"/>
      <c r="G67" s="157"/>
      <c r="H67" s="127" t="s">
        <v>53</v>
      </c>
      <c r="I67" s="124" t="str">
        <f>+'Necesidades Trimestrales'!F65</f>
        <v>UNIDAD</v>
      </c>
      <c r="J67" s="125">
        <f>+'Necesidades Trimestrales'!H65</f>
        <v>1350</v>
      </c>
      <c r="K67" s="126">
        <f>+'Necesidades Trimestrales'!G65</f>
        <v>10</v>
      </c>
    </row>
    <row r="68" spans="1:11" ht="42.75" customHeight="1" thickBot="1">
      <c r="A68" s="123">
        <v>57</v>
      </c>
      <c r="B68" s="123" t="str">
        <f>+'Necesidades Trimestrales'!B66</f>
        <v>2.9.5-6700.26</v>
      </c>
      <c r="C68" s="157" t="str">
        <f>+'Necesidades Trimestrales'!E66</f>
        <v>TROCAR DE PUNCION; USO: PUNCION TORAXICA, TIPO: N° 24 FR, CAMISA: SIN</v>
      </c>
      <c r="D68" s="157"/>
      <c r="E68" s="157"/>
      <c r="F68" s="157"/>
      <c r="G68" s="157"/>
      <c r="H68" s="127" t="s">
        <v>53</v>
      </c>
      <c r="I68" s="124" t="str">
        <f>+'Necesidades Trimestrales'!F66</f>
        <v>UNIDAD</v>
      </c>
      <c r="J68" s="125">
        <f>+'Necesidades Trimestrales'!H66</f>
        <v>1350</v>
      </c>
      <c r="K68" s="126">
        <f>+'Necesidades Trimestrales'!G66</f>
        <v>10</v>
      </c>
    </row>
    <row r="69" spans="1:11" ht="16.5" thickBot="1">
      <c r="A69" s="158" t="s">
        <v>188</v>
      </c>
      <c r="B69" s="158"/>
      <c r="C69" s="158"/>
      <c r="D69" s="158"/>
      <c r="E69" s="158"/>
      <c r="F69" s="158"/>
      <c r="G69" s="158"/>
      <c r="H69" s="159"/>
      <c r="I69" s="158"/>
      <c r="J69" s="160">
        <f>SUMPRODUCT(J12:J68,K12:K68)</f>
        <v>4707919.5</v>
      </c>
      <c r="K69" s="160"/>
    </row>
  </sheetData>
  <mergeCells count="79">
    <mergeCell ref="C67:G67"/>
    <mergeCell ref="C68:G68"/>
    <mergeCell ref="C63:G63"/>
    <mergeCell ref="C64:G64"/>
    <mergeCell ref="C65:G65"/>
    <mergeCell ref="C66:G66"/>
    <mergeCell ref="C61:G61"/>
    <mergeCell ref="C60:G60"/>
    <mergeCell ref="C57:G57"/>
    <mergeCell ref="C58:G58"/>
    <mergeCell ref="C59:G59"/>
    <mergeCell ref="C62:G62"/>
    <mergeCell ref="C53:G53"/>
    <mergeCell ref="C54:G54"/>
    <mergeCell ref="C55:G55"/>
    <mergeCell ref="C56:G56"/>
    <mergeCell ref="C49:G49"/>
    <mergeCell ref="C50:G50"/>
    <mergeCell ref="C51:G51"/>
    <mergeCell ref="C48:G48"/>
    <mergeCell ref="C43:G43"/>
    <mergeCell ref="C46:G46"/>
    <mergeCell ref="C47:G47"/>
    <mergeCell ref="C52:G52"/>
    <mergeCell ref="C44:G44"/>
    <mergeCell ref="C45:G45"/>
    <mergeCell ref="C39:G39"/>
    <mergeCell ref="C40:G40"/>
    <mergeCell ref="C41:G4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69:I69"/>
    <mergeCell ref="J69:K69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C17:G17"/>
    <mergeCell ref="C18:G18"/>
    <mergeCell ref="C19:G19"/>
    <mergeCell ref="C37:G37"/>
    <mergeCell ref="C35:G35"/>
    <mergeCell ref="C12:G12"/>
    <mergeCell ref="C20:G20"/>
    <mergeCell ref="C13:G13"/>
    <mergeCell ref="C14:G14"/>
    <mergeCell ref="C15:G15"/>
    <mergeCell ref="C16:G16"/>
    <mergeCell ref="C38:G38"/>
    <mergeCell ref="C36:G36"/>
    <mergeCell ref="C42:G42"/>
    <mergeCell ref="C21:G21"/>
    <mergeCell ref="C22:G22"/>
    <mergeCell ref="C23:G23"/>
    <mergeCell ref="C24:G24"/>
    <mergeCell ref="C25:G25"/>
    <mergeCell ref="C26:G26"/>
    <mergeCell ref="C31:G31"/>
    <mergeCell ref="C32:G32"/>
    <mergeCell ref="C33:G33"/>
    <mergeCell ref="C34:G34"/>
    <mergeCell ref="C27:G27"/>
    <mergeCell ref="C28:G28"/>
    <mergeCell ref="C29:G29"/>
    <mergeCell ref="C30:G30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7"/>
  <sheetViews>
    <sheetView topLeftCell="A4" zoomScale="130" zoomScaleNormal="130" workbookViewId="0">
      <selection activeCell="J16" sqref="J16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96" t="s">
        <v>3</v>
      </c>
      <c r="B1" s="196"/>
      <c r="C1" s="196"/>
      <c r="D1" s="197">
        <f>'Necesidades Trimestrales'!C6</f>
        <v>2022</v>
      </c>
      <c r="E1" s="197"/>
      <c r="F1" s="3"/>
      <c r="G1" s="3"/>
      <c r="H1" s="4"/>
      <c r="I1" s="4"/>
      <c r="J1" s="4"/>
      <c r="K1" s="4"/>
      <c r="L1" s="4"/>
      <c r="M1" s="4"/>
      <c r="N1" s="4"/>
      <c r="P1" s="198" t="s">
        <v>25</v>
      </c>
      <c r="Q1" s="198"/>
    </row>
    <row r="2" spans="1:17" ht="15.75" customHeight="1">
      <c r="H2" s="4"/>
      <c r="I2" s="4"/>
      <c r="J2" s="4"/>
      <c r="K2" s="4"/>
      <c r="L2" s="4"/>
      <c r="M2" s="4"/>
      <c r="N2" s="4"/>
      <c r="P2" s="198"/>
      <c r="Q2" s="198"/>
    </row>
    <row r="4" spans="1:17" s="5" customFormat="1" ht="18" customHeight="1" thickBot="1">
      <c r="A4" s="199" t="s">
        <v>26</v>
      </c>
      <c r="B4" s="199"/>
      <c r="C4" s="199"/>
      <c r="D4" s="199"/>
      <c r="E4" s="199"/>
      <c r="F4" s="199"/>
      <c r="G4" s="200" t="str">
        <f>' NotaPedido'!D3</f>
        <v>040 - Ministerio de Salud</v>
      </c>
      <c r="H4" s="200"/>
      <c r="I4" s="200"/>
      <c r="J4" s="200"/>
      <c r="K4" s="200"/>
      <c r="L4" s="200"/>
      <c r="M4" s="200"/>
      <c r="N4" s="200"/>
      <c r="O4" s="200"/>
      <c r="P4" s="200"/>
      <c r="Q4" s="200"/>
    </row>
    <row r="5" spans="1:17" s="128" customFormat="1" ht="18" customHeight="1" thickBot="1">
      <c r="A5" s="191" t="s">
        <v>49</v>
      </c>
      <c r="B5" s="192"/>
      <c r="C5" s="192"/>
      <c r="D5" s="192"/>
      <c r="E5" s="192"/>
      <c r="F5" s="193"/>
      <c r="G5" s="194" t="str">
        <f>' NotaPedido'!D4</f>
        <v>011 - Direccion Provincial de Administracion - MS</v>
      </c>
      <c r="H5" s="194"/>
      <c r="I5" s="194"/>
      <c r="J5" s="194"/>
      <c r="K5" s="194"/>
      <c r="L5" s="194"/>
      <c r="M5" s="194"/>
      <c r="N5" s="194"/>
      <c r="O5" s="194"/>
      <c r="P5" s="194"/>
      <c r="Q5" s="194"/>
    </row>
    <row r="6" spans="1:17" s="128" customFormat="1" ht="18" customHeight="1" thickBot="1">
      <c r="A6" s="191" t="s">
        <v>27</v>
      </c>
      <c r="B6" s="192"/>
      <c r="C6" s="192"/>
      <c r="D6" s="192"/>
      <c r="E6" s="192"/>
      <c r="F6" s="193"/>
      <c r="G6" s="194" t="str">
        <f>' NotaPedido'!D5</f>
        <v>469 - DIRECCION PROVINCIAL DE FARMACIA E INSUMOS</v>
      </c>
      <c r="H6" s="194"/>
      <c r="I6" s="194"/>
      <c r="J6" s="194"/>
      <c r="K6" s="194"/>
      <c r="L6" s="194"/>
      <c r="M6" s="194"/>
      <c r="N6" s="194"/>
      <c r="O6" s="194"/>
      <c r="P6" s="194"/>
      <c r="Q6" s="194"/>
    </row>
    <row r="7" spans="1:17" s="128" customFormat="1" ht="18" customHeight="1" thickBot="1">
      <c r="A7" s="191" t="s">
        <v>50</v>
      </c>
      <c r="B7" s="192"/>
      <c r="C7" s="192"/>
      <c r="D7" s="192"/>
      <c r="E7" s="192"/>
      <c r="F7" s="193"/>
      <c r="G7" s="194" t="str">
        <f>' NotaPedido'!D6</f>
        <v>469 - DIRECCION PROVINCIAL DE FARMACIA E INSUMOS</v>
      </c>
      <c r="H7" s="194"/>
      <c r="I7" s="194"/>
      <c r="J7" s="194"/>
      <c r="K7" s="194"/>
      <c r="L7" s="194"/>
      <c r="M7" s="194"/>
      <c r="N7" s="194"/>
      <c r="O7" s="194"/>
      <c r="P7" s="194"/>
      <c r="Q7" s="194"/>
    </row>
    <row r="8" spans="1:17" s="84" customFormat="1" ht="18" customHeight="1" thickBot="1">
      <c r="A8" s="195" t="s">
        <v>28</v>
      </c>
      <c r="B8" s="195"/>
      <c r="C8" s="195"/>
      <c r="D8" s="195"/>
      <c r="E8" s="195"/>
      <c r="F8" s="195"/>
      <c r="G8" s="195"/>
      <c r="H8" s="195"/>
      <c r="I8" s="195"/>
      <c r="J8" s="195"/>
      <c r="K8" s="195"/>
      <c r="L8" s="195"/>
      <c r="M8" s="195"/>
      <c r="N8" s="195"/>
      <c r="O8" s="195"/>
      <c r="P8" s="195"/>
      <c r="Q8" s="195"/>
    </row>
    <row r="9" spans="1:17" s="84" customFormat="1" ht="18" customHeight="1">
      <c r="A9" s="185" t="s">
        <v>29</v>
      </c>
      <c r="B9" s="185"/>
      <c r="C9" s="185"/>
      <c r="D9" s="185"/>
      <c r="E9" s="185"/>
      <c r="F9" s="185"/>
      <c r="G9" s="185"/>
      <c r="H9" s="185"/>
      <c r="I9" s="185"/>
      <c r="J9" s="185"/>
      <c r="K9" s="185"/>
      <c r="L9" s="185"/>
      <c r="M9" s="185"/>
      <c r="N9" s="185"/>
      <c r="O9" s="129"/>
      <c r="P9" s="129"/>
      <c r="Q9" s="130"/>
    </row>
    <row r="10" spans="1:17" s="84" customFormat="1" ht="54.75" customHeight="1">
      <c r="A10" s="18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xxx/2022,  afectando la erogación resultante a los créditos presupuestarios aprobados a favor de esta Unidad Ejecutora, conforme al siguiente detalle:</v>
      </c>
      <c r="B10" s="186"/>
      <c r="C10" s="186"/>
      <c r="D10" s="186"/>
      <c r="E10" s="186"/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</row>
    <row r="11" spans="1:17" ht="9" customHeight="1">
      <c r="A11" s="6"/>
      <c r="B11" s="7"/>
      <c r="C11" s="7"/>
      <c r="D11" s="7"/>
      <c r="E11" s="7"/>
      <c r="F11" s="7"/>
      <c r="G11" s="8"/>
      <c r="H11" s="7"/>
      <c r="I11" s="7"/>
      <c r="J11" s="7"/>
      <c r="K11" s="7"/>
      <c r="L11" s="7"/>
      <c r="M11" s="7"/>
      <c r="N11" s="7"/>
      <c r="O11" s="7"/>
      <c r="P11" s="7"/>
      <c r="Q11" s="9"/>
    </row>
    <row r="12" spans="1:17" ht="15.75" customHeight="1">
      <c r="A12" s="187" t="s">
        <v>30</v>
      </c>
      <c r="B12" s="187"/>
      <c r="C12" s="187"/>
      <c r="D12" s="187"/>
      <c r="E12" s="187"/>
      <c r="F12" s="187"/>
      <c r="G12" s="187"/>
      <c r="H12" s="187"/>
      <c r="I12" s="187"/>
      <c r="J12" s="187"/>
      <c r="K12" s="187"/>
      <c r="L12" s="187"/>
      <c r="M12" s="187"/>
      <c r="N12" s="187"/>
      <c r="O12" s="187"/>
      <c r="P12" s="187"/>
      <c r="Q12" s="187"/>
    </row>
    <row r="13" spans="1:17" ht="15.75" customHeight="1">
      <c r="A13" s="188" t="s">
        <v>31</v>
      </c>
      <c r="B13" s="188"/>
      <c r="C13" s="188"/>
      <c r="D13" s="188"/>
      <c r="E13" s="188"/>
      <c r="F13" s="188"/>
      <c r="G13" s="188"/>
      <c r="H13" s="188"/>
      <c r="I13" s="188"/>
      <c r="J13" s="188"/>
      <c r="K13" s="188"/>
      <c r="L13" s="188"/>
      <c r="M13" s="188"/>
      <c r="N13" s="188"/>
      <c r="O13" s="189" t="s">
        <v>32</v>
      </c>
      <c r="P13" s="189"/>
      <c r="Q13" s="190" t="s">
        <v>33</v>
      </c>
    </row>
    <row r="14" spans="1:17" ht="15.75" customHeight="1">
      <c r="A14" s="10" t="s">
        <v>34</v>
      </c>
      <c r="B14" s="11" t="s">
        <v>35</v>
      </c>
      <c r="C14" s="11" t="s">
        <v>36</v>
      </c>
      <c r="D14" s="11" t="s">
        <v>37</v>
      </c>
      <c r="E14" s="11" t="s">
        <v>38</v>
      </c>
      <c r="F14" s="11" t="s">
        <v>39</v>
      </c>
      <c r="G14" s="12" t="s">
        <v>40</v>
      </c>
      <c r="H14" s="11" t="s">
        <v>41</v>
      </c>
      <c r="I14" s="11" t="s">
        <v>42</v>
      </c>
      <c r="J14" s="11" t="s">
        <v>43</v>
      </c>
      <c r="K14" s="11" t="s">
        <v>43</v>
      </c>
      <c r="L14" s="11" t="s">
        <v>44</v>
      </c>
      <c r="M14" s="13" t="s">
        <v>45</v>
      </c>
      <c r="N14" s="14" t="s">
        <v>46</v>
      </c>
      <c r="O14" s="189"/>
      <c r="P14" s="189"/>
      <c r="Q14" s="190"/>
    </row>
    <row r="15" spans="1:17" s="84" customFormat="1" ht="28.5" customHeight="1">
      <c r="A15" s="131">
        <v>30</v>
      </c>
      <c r="B15" s="132"/>
      <c r="C15" s="132"/>
      <c r="D15" s="132">
        <v>1</v>
      </c>
      <c r="E15" s="132"/>
      <c r="F15" s="132">
        <v>4901</v>
      </c>
      <c r="G15" s="132">
        <v>3</v>
      </c>
      <c r="H15" s="132">
        <v>1</v>
      </c>
      <c r="I15" s="132">
        <v>2</v>
      </c>
      <c r="J15" s="132">
        <v>5</v>
      </c>
      <c r="K15" s="132">
        <v>2</v>
      </c>
      <c r="L15" s="132"/>
      <c r="M15" s="133">
        <v>1</v>
      </c>
      <c r="N15" s="134" t="s">
        <v>52</v>
      </c>
      <c r="O15" s="181" t="s">
        <v>175</v>
      </c>
      <c r="P15" s="182"/>
      <c r="Q15" s="135">
        <f>'Necesidades Trimestrales'!L67</f>
        <v>4880</v>
      </c>
    </row>
    <row r="16" spans="1:17" s="84" customFormat="1" ht="25.5" customHeight="1">
      <c r="A16" s="136">
        <v>30</v>
      </c>
      <c r="B16" s="137"/>
      <c r="C16" s="137"/>
      <c r="D16" s="137">
        <v>1</v>
      </c>
      <c r="E16" s="137"/>
      <c r="F16" s="137">
        <v>4901</v>
      </c>
      <c r="G16" s="137">
        <v>3</v>
      </c>
      <c r="H16" s="137">
        <v>1</v>
      </c>
      <c r="I16" s="137">
        <v>2</v>
      </c>
      <c r="J16" s="137">
        <v>9</v>
      </c>
      <c r="K16" s="137">
        <v>5</v>
      </c>
      <c r="L16" s="137"/>
      <c r="M16" s="138">
        <v>1</v>
      </c>
      <c r="N16" s="139" t="s">
        <v>52</v>
      </c>
      <c r="O16" s="183" t="s">
        <v>174</v>
      </c>
      <c r="P16" s="184"/>
      <c r="Q16" s="140">
        <f>'Necesidades Trimestrales'!K67</f>
        <v>4703039.5</v>
      </c>
    </row>
    <row r="17" spans="1:18" ht="17.25" customHeight="1">
      <c r="A17" s="15"/>
      <c r="B17" s="16"/>
      <c r="C17" s="16"/>
      <c r="D17" s="16"/>
      <c r="E17" s="16"/>
      <c r="F17" s="18"/>
      <c r="G17" s="16"/>
      <c r="H17" s="16"/>
      <c r="I17" s="16"/>
      <c r="J17" s="16"/>
      <c r="K17" s="16"/>
      <c r="L17" s="16"/>
      <c r="M17" s="17"/>
      <c r="N17" s="18"/>
      <c r="O17" s="176"/>
      <c r="P17" s="176"/>
      <c r="Q17" s="19"/>
    </row>
    <row r="18" spans="1:18" ht="17.25" customHeight="1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7"/>
      <c r="N18" s="18"/>
      <c r="O18" s="176"/>
      <c r="P18" s="176"/>
      <c r="Q18" s="19"/>
    </row>
    <row r="19" spans="1:18" ht="17.25" customHeight="1">
      <c r="A19" s="15"/>
      <c r="B19" s="16"/>
      <c r="C19" s="16"/>
      <c r="D19" s="16"/>
      <c r="E19" s="16"/>
      <c r="F19" s="18"/>
      <c r="G19" s="16"/>
      <c r="H19" s="16"/>
      <c r="I19" s="16"/>
      <c r="J19" s="16"/>
      <c r="K19" s="16"/>
      <c r="L19" s="16"/>
      <c r="M19" s="17"/>
      <c r="N19" s="18"/>
      <c r="O19" s="176"/>
      <c r="P19" s="176"/>
      <c r="Q19" s="19"/>
    </row>
    <row r="20" spans="1:18" ht="17.25" customHeight="1">
      <c r="A20" s="15"/>
      <c r="B20" s="16"/>
      <c r="C20" s="16"/>
      <c r="D20" s="16"/>
      <c r="E20" s="16"/>
      <c r="F20" s="18"/>
      <c r="G20" s="16"/>
      <c r="H20" s="16"/>
      <c r="I20" s="16"/>
      <c r="J20" s="16"/>
      <c r="K20" s="16"/>
      <c r="L20" s="16"/>
      <c r="M20" s="17"/>
      <c r="N20" s="18"/>
      <c r="O20" s="176"/>
      <c r="P20" s="176"/>
      <c r="Q20" s="19"/>
    </row>
    <row r="21" spans="1:18" ht="17.25" customHeight="1">
      <c r="A21" s="20"/>
      <c r="B21" s="21"/>
      <c r="C21" s="21"/>
      <c r="D21" s="21"/>
      <c r="E21" s="21"/>
      <c r="F21" s="22"/>
      <c r="G21" s="21"/>
      <c r="H21" s="21"/>
      <c r="I21" s="21"/>
      <c r="J21" s="21"/>
      <c r="K21" s="21"/>
      <c r="L21" s="21"/>
      <c r="M21" s="23"/>
      <c r="N21" s="24"/>
      <c r="O21" s="177"/>
      <c r="P21" s="177"/>
      <c r="Q21" s="19"/>
      <c r="R21" s="1"/>
    </row>
    <row r="22" spans="1:18" ht="17.25" customHeight="1">
      <c r="A22" s="2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7"/>
      <c r="N22" s="26"/>
      <c r="O22" s="178"/>
      <c r="P22" s="178"/>
      <c r="Q22" s="28"/>
    </row>
    <row r="23" spans="1:18" s="84" customFormat="1" ht="29.25" customHeight="1">
      <c r="A23" s="179" t="s">
        <v>189</v>
      </c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  <c r="N23" s="179"/>
      <c r="O23" s="179"/>
      <c r="P23" s="179"/>
      <c r="Q23" s="141">
        <f>SUM(Q15:Q22)</f>
        <v>4707919.5</v>
      </c>
    </row>
    <row r="24" spans="1:18" s="84" customFormat="1" ht="18" customHeight="1" thickBot="1">
      <c r="A24" s="180"/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  <c r="N24" s="180"/>
      <c r="O24" s="180"/>
      <c r="P24" s="180"/>
      <c r="Q24" s="180"/>
    </row>
    <row r="25" spans="1:18" s="84" customFormat="1" ht="17.25" customHeight="1" thickBot="1">
      <c r="A25" s="171" t="s">
        <v>47</v>
      </c>
      <c r="B25" s="172"/>
      <c r="C25" s="172"/>
      <c r="D25" s="172"/>
      <c r="E25" s="172"/>
      <c r="F25" s="173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</row>
    <row r="26" spans="1:18" s="84" customFormat="1" ht="18" customHeight="1" thickBot="1">
      <c r="A26" s="175" t="str">
        <f>' NotaPedido'!D8</f>
        <v>Adquisición de Descartable Complejo</v>
      </c>
      <c r="B26" s="175"/>
      <c r="C26" s="175"/>
      <c r="D26" s="175"/>
      <c r="E26" s="175"/>
      <c r="F26" s="175"/>
      <c r="G26" s="175"/>
      <c r="H26" s="175"/>
      <c r="I26" s="175"/>
      <c r="J26" s="175"/>
      <c r="K26" s="175"/>
      <c r="L26" s="175"/>
      <c r="M26" s="175"/>
      <c r="N26" s="175"/>
      <c r="O26" s="175"/>
      <c r="P26" s="175"/>
      <c r="Q26" s="175"/>
    </row>
    <row r="27" spans="1:18" s="84" customFormat="1" ht="15" customHeight="1">
      <c r="A27" s="175"/>
      <c r="B27" s="175"/>
      <c r="C27" s="175"/>
      <c r="D27" s="175"/>
      <c r="E27" s="175"/>
      <c r="F27" s="175"/>
      <c r="G27" s="175"/>
      <c r="H27" s="175"/>
      <c r="I27" s="175"/>
      <c r="J27" s="175"/>
      <c r="K27" s="175"/>
      <c r="L27" s="175"/>
      <c r="M27" s="175"/>
      <c r="N27" s="175"/>
      <c r="O27" s="175"/>
      <c r="P27" s="175"/>
      <c r="Q27" s="175"/>
    </row>
  </sheetData>
  <mergeCells count="31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A25:F25"/>
    <mergeCell ref="G25:Q25"/>
    <mergeCell ref="A26:Q27"/>
    <mergeCell ref="O20:P20"/>
    <mergeCell ref="O21:P21"/>
    <mergeCell ref="O22:P22"/>
    <mergeCell ref="A23:P23"/>
    <mergeCell ref="A24:Q2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2022-08-16T17:29:29Z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