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228"/>
  <workbookPr/>
  <mc:AlternateContent xmlns:mc="http://schemas.openxmlformats.org/markup-compatibility/2006">
    <mc:Choice Requires="x15">
      <x15ac:absPath xmlns:x15ac="http://schemas.microsoft.com/office/spreadsheetml/2010/11/ac" url="C:\Users\COMPRAS\Downloads\"/>
    </mc:Choice>
  </mc:AlternateContent>
  <xr:revisionPtr revIDLastSave="0" documentId="13_ncr:1_{FB4A6468-6E5E-4060-A719-7ADC930CB74C}" xr6:coauthVersionLast="47" xr6:coauthVersionMax="47" xr10:uidLastSave="{00000000-0000-0000-0000-000000000000}"/>
  <bookViews>
    <workbookView xWindow="-120" yWindow="-120" windowWidth="29040" windowHeight="15840" xr2:uid="{00000000-000D-0000-FFFF-FFFF00000000}"/>
  </bookViews>
  <sheets>
    <sheet name="Necesidades Trimestrales" sheetId="1" r:id="rId1"/>
    <sheet name="Nota de Pedido" sheetId="2" r:id="rId2"/>
    <sheet name="Auto Gastar" sheetId="3" r:id="rId3"/>
  </sheets>
  <externalReferences>
    <externalReference r:id="rId4"/>
  </externalReferences>
  <definedNames>
    <definedName name="_xlnm.Print_Area" localSheetId="0">'Necesidades Trimestrales'!$A$1:$I$239</definedName>
  </definedNames>
  <calcPr calcId="181029"/>
</workbook>
</file>

<file path=xl/calcChain.xml><?xml version="1.0" encoding="utf-8"?>
<calcChain xmlns="http://schemas.openxmlformats.org/spreadsheetml/2006/main">
  <c r="K13" i="2" l="1"/>
  <c r="K14" i="2"/>
  <c r="K15" i="2"/>
  <c r="K16" i="2"/>
  <c r="K17" i="2"/>
  <c r="K18" i="2"/>
  <c r="K19" i="2"/>
  <c r="K20" i="2"/>
  <c r="K21" i="2"/>
  <c r="K22" i="2"/>
  <c r="K23" i="2"/>
  <c r="K24" i="2"/>
  <c r="K25" i="2"/>
  <c r="K26" i="2"/>
  <c r="K27" i="2"/>
  <c r="K12" i="2"/>
  <c r="J13" i="2"/>
  <c r="J14" i="2"/>
  <c r="J15" i="2"/>
  <c r="J16" i="2"/>
  <c r="J17" i="2"/>
  <c r="J18" i="2"/>
  <c r="J19" i="2"/>
  <c r="J20" i="2"/>
  <c r="J21" i="2"/>
  <c r="J22" i="2"/>
  <c r="J23" i="2"/>
  <c r="J24" i="2"/>
  <c r="J25" i="2"/>
  <c r="J26" i="2"/>
  <c r="J27" i="2"/>
  <c r="J12" i="2"/>
  <c r="C13" i="2"/>
  <c r="C14" i="2"/>
  <c r="C15" i="2"/>
  <c r="C16" i="2"/>
  <c r="C17" i="2"/>
  <c r="C18" i="2"/>
  <c r="C19" i="2"/>
  <c r="C20" i="2"/>
  <c r="C21" i="2"/>
  <c r="C22" i="2"/>
  <c r="C23" i="2"/>
  <c r="C24" i="2"/>
  <c r="C25" i="2"/>
  <c r="C26" i="2"/>
  <c r="C27" i="2"/>
  <c r="C12" i="2"/>
  <c r="B13" i="2"/>
  <c r="B14" i="2"/>
  <c r="B15" i="2"/>
  <c r="B16" i="2"/>
  <c r="B17" i="2"/>
  <c r="B18" i="2"/>
  <c r="B19" i="2"/>
  <c r="B20" i="2"/>
  <c r="B21" i="2"/>
  <c r="B22" i="2"/>
  <c r="B23" i="2"/>
  <c r="B24" i="2"/>
  <c r="B25" i="2"/>
  <c r="B26" i="2"/>
  <c r="B27" i="2"/>
  <c r="B12" i="2"/>
  <c r="Q23" i="3"/>
  <c r="G7" i="3"/>
  <c r="G5" i="3"/>
  <c r="G4" i="3"/>
  <c r="D1" i="3"/>
  <c r="J28" i="2" l="1"/>
  <c r="D14" i="1"/>
  <c r="I14" i="1"/>
  <c r="I9" i="1" l="1"/>
  <c r="I10" i="1"/>
  <c r="I11" i="1"/>
  <c r="I12" i="1"/>
  <c r="I13" i="1"/>
  <c r="I15" i="1"/>
  <c r="I16" i="1"/>
  <c r="I17" i="1"/>
  <c r="I18" i="1"/>
  <c r="I19" i="1"/>
  <c r="I20" i="1"/>
  <c r="I21" i="1"/>
  <c r="I22" i="1"/>
  <c r="I23" i="1"/>
  <c r="I24" i="1"/>
  <c r="D9" i="1"/>
  <c r="D10" i="1"/>
  <c r="D11" i="1"/>
  <c r="D12" i="1"/>
  <c r="D13" i="1"/>
  <c r="D15" i="1"/>
  <c r="D16" i="1"/>
  <c r="D17" i="1"/>
  <c r="D18" i="1"/>
  <c r="D19" i="1"/>
  <c r="D20" i="1"/>
  <c r="D21" i="1"/>
  <c r="D22" i="1"/>
  <c r="D23" i="1"/>
  <c r="D24" i="1"/>
  <c r="I25" i="1" l="1"/>
</calcChain>
</file>

<file path=xl/sharedStrings.xml><?xml version="1.0" encoding="utf-8"?>
<sst xmlns="http://schemas.openxmlformats.org/spreadsheetml/2006/main" count="333" uniqueCount="138">
  <si>
    <t>Pedido de Necesidades Trimestrales</t>
  </si>
  <si>
    <t>JURISDICCION:</t>
  </si>
  <si>
    <t xml:space="preserve">SAF N°: </t>
  </si>
  <si>
    <t>EJERCICIO:</t>
  </si>
  <si>
    <t>TRIMESTRE:</t>
  </si>
  <si>
    <t>UNIDAD</t>
  </si>
  <si>
    <t>INFORMATICA</t>
  </si>
  <si>
    <t>EQUIPO DE OFICINA Y MUEBLES</t>
  </si>
  <si>
    <t>EQUIPOS</t>
  </si>
  <si>
    <t>Descripción técnica</t>
  </si>
  <si>
    <t>Plazos y lugares de entrega</t>
  </si>
  <si>
    <t>Calidad Minima esperada</t>
  </si>
  <si>
    <t>Mantenimiento</t>
  </si>
  <si>
    <t>Garantia</t>
  </si>
  <si>
    <t>70 - MINISTERIO DE CIENCIA E INNOVACION TECNOLOGICA</t>
  </si>
  <si>
    <t>20 - MINISTERIO DE CIENCIA E INNOVACION TECNOLOGICA</t>
  </si>
  <si>
    <t>4.3.5-8922.8</t>
  </si>
  <si>
    <t>ARTICULOS DEL HOGAR</t>
  </si>
  <si>
    <t>JUEGOS DE SALON; TIPO: CONSOLA DE VIDEOJUEGOS</t>
  </si>
  <si>
    <t>Especificidades Item N° 1</t>
  </si>
  <si>
    <t>mínima de Un (1) año</t>
  </si>
  <si>
    <t>Especificidades Item N° 2</t>
  </si>
  <si>
    <t>Especificidades Item N° 3</t>
  </si>
  <si>
    <t>Especificidades Item N° 4</t>
  </si>
  <si>
    <t>Especificidades Item N° 5</t>
  </si>
  <si>
    <t>Especificidades Item N° 6</t>
  </si>
  <si>
    <t>Especificidades Item N° 7</t>
  </si>
  <si>
    <t>Especificidades Item N° 8</t>
  </si>
  <si>
    <t>Especificidades Item N° 9</t>
  </si>
  <si>
    <t>Especificidades Item N° 10</t>
  </si>
  <si>
    <t>Especificidades Item N° 11</t>
  </si>
  <si>
    <t>Especificidades Item N° 12</t>
  </si>
  <si>
    <t>Especificidades Item N° 13</t>
  </si>
  <si>
    <t>Especificidades Item N° 14</t>
  </si>
  <si>
    <t>Especificidades Item N° 15</t>
  </si>
  <si>
    <t>Especificidades Item N° 16</t>
  </si>
  <si>
    <t>4.3.5-9163.64</t>
  </si>
  <si>
    <t>4.3.7-46.128</t>
  </si>
  <si>
    <t>4.3.6-9707.20</t>
  </si>
  <si>
    <t>4.3.7-45.517</t>
  </si>
  <si>
    <t>4.3.7-1362.52</t>
  </si>
  <si>
    <t>4.3.5-241.105</t>
  </si>
  <si>
    <t>4.3.7-56.26</t>
  </si>
  <si>
    <t>4.3.5-9163.90</t>
  </si>
  <si>
    <t>4.3.6-6160.222</t>
  </si>
  <si>
    <t>4.3.5-9163.76</t>
  </si>
  <si>
    <t>Costo total estimado: PROYECTO LABORATORIO DE ROBOTICA</t>
  </si>
  <si>
    <t>EQUIPOS DIDACTICOS TECNICOS; NOMBRE: SISTEMA DE SONIDO, TIPO: ESTEREO</t>
  </si>
  <si>
    <t>SILLONES EJECUTIVOS; TAPIZADO: ECOCUERO, ALTURA: REGULABLE, GIRATORIO: SI, MATERIAL: ACERO Y PLASTICO</t>
  </si>
  <si>
    <t>IMPRESORA 3D; TIPO: FDM, DIMENSION: 220 X 220 X 260 MM, RESOLUCION: SEGÚN PLIEGO, PRECISION: SEGÚN PLIEGO, ESPESOR CAPA: SEGÚN PLIEGO</t>
  </si>
  <si>
    <t>SILLAS; MATERIAL ESTRUCTURA: METAL, TAPIZADO: SIN, ALTURA: 77 Cm, GIRATORIA: NO</t>
  </si>
  <si>
    <t>MESAS CURVAS; CURVA: CIRCULAR, DIMENSION: DIAMETRO 120 Cm, MATERIAL: METAL, TERMINACION: FIBRA DE VIDRIO</t>
  </si>
  <si>
    <t>TELEVISORES; PANTALLA: SMART LED FULL HD 60 pulg, NORMA: MULTINORMA, CANTIDAD DE CANALES: INDEFINIDO, APAGADO: CON, VISION MULTICANAL: CON</t>
  </si>
  <si>
    <t>MESAS P/TELEVISORES; MATERIAL: AGLOMERADO, TAMAÑO: 110 X 110 X 60 Cm, PATAS: CON RUEDAS, ESTANTE: 2</t>
  </si>
  <si>
    <t>EQUIPOS DIDACTICOS TECNICOS; NOMBRE: KIT EXPERIMENTAL , TIPO: SEGÚN PLIEGO</t>
  </si>
  <si>
    <t>COMPUTADORAS; TIPO: NOTEBOOK, CODIGO ETAP: PC-007, VERSION ETAP: 23.0</t>
  </si>
  <si>
    <t>EQUIPOS DIDACTICOS TECNICOS; NOMBRE: ROBOT DIDACTICO, TIPO: 4 EJES</t>
  </si>
  <si>
    <t>EQUIPOS DIDACTICOS TECNICOS; NOMBRE: KIT EXPERIMENTAL , EQUIPOS DIDACTICOS TECNICOS; NOMBRE: KIT EXPERIMENTAL , TIPO: SEGÚN PLIEGO SEGÚN PLIEGO</t>
  </si>
  <si>
    <t xml:space="preserve">Treinta (30) Días hábiles. </t>
  </si>
  <si>
    <t>Consola de video juego Tipo Sony Playstation 5 825GB standart</t>
  </si>
  <si>
    <t>Sillon de escritorio Tipo  Ideon Extreme Hunter Pro gamer ergonómica negra y azul con tapizado de cuero sintético</t>
  </si>
  <si>
    <t>Mesa  redonda 1,2m  de diamentro Tipo Eamer Decototale</t>
  </si>
  <si>
    <t>Mesa Con Ruedas Auxiliar Armada para Objetos  como Smart Tv Led Audio</t>
  </si>
  <si>
    <t xml:space="preserve">El Kit incluye: Arduino UNO SMD con chipset CH340
 20 Cables de Conexion para Protoboard MACHO-HEMBRA 10cm de longitud
 Protoboard de 400 puntos
 18 Diodo LEDS de 5MM DIFUSO ( 6 AMARILLOS, 6 VERDES y 6 ROJOS )
 30 Resistencias de 1/4 WATT ( 10 de 1k, 10 de 10k y 10 de 220 )
 2 Fotorresistores LDR
 6 Pulsadores SWITCH Arduino con protectores
 Adaptador para Bateria de 9v 
</t>
  </si>
  <si>
    <t xml:space="preserve">1)- Arduino Uno SMD compatible Chipset de comunicación usb CH340 o FT232R . 2)- Integrado 74HC595N. 3)- Buzzer. 4)- Sensor infrarrojo. 5)- Receptor Sensor Infrarrojo 1838B.
6)- Ball switch. 7)- Juegos de cables macho-macho. 8)- Sensor de temperatura LM35. 9)- Protectores para pulsadores. 10)- Pulsadores. 11)- Modulo Joystick. 12)- Fotoresistores. 13)- Protoboard de 830 puntos. 14)- Control remoto de 21 botones. 15)- Modulo RTC. 16).Motor paso a paso 28BYJ-48. 17)- Cables de protoboard macho-hembra (paquete de 20 unidades, 20cm de longitud por cable). 18)- Modulo Relay rele de 1 canal con entrada TTL. 19)-Cable USB A/B. 20)- Display de 1 digito, 8 segmentos. 21)- Display de 4 digitos, 8 segmentos. 22)- Modulo controlador de motores paso a paso SBT0811. 23)- Matriz led 8x8. 24)- Matriz de pulsadores 4x4. 25)- Juego de resistencias 1K / 10K / 220R. 26)- kit con lector RFID-RC522, llavero, tarjeta y juego de pines. 27)- Adaptador de bateria de 9V a pin de carga. 28)- Modulo sensor microfono KY-037. 29)- Modulo RGB KY-016. 30)- Servo sg90. 31)- Sensor de Nivel de agua. 32)- Display LCD 16*2 fondo azul. 33)- Juego de Leds. 34)- Modulo dht11 de temperatura y humedad.
35)- Potenciometro B10k
</t>
  </si>
  <si>
    <t>Sillas metalica  con apoya brazos Tipo Master Decototale</t>
  </si>
  <si>
    <t xml:space="preserve"># 1 x 4DOF Robot Kit de brazo
# 4 x Mg90s Servo
# 1 x Joystick botón controlador
# 1x Arduino UNO SMD
# 1x Cable Arduino USB A/B
# 1 x adaptador de corriente USB Cable Plug
# 1 x Fuente alimentacion USB 5v 2a
</t>
  </si>
  <si>
    <t># 1 Núcleo Rasti basado en Arduino Nano: Pantalla incorporada al núcleo. # 8 puertos de entrada / salida con conectores RJ11. # Conexión vía: USB / Bluetooth / Infrarrojo. # 17 sensores, actuadores y motores: • 2 motoreductores. • 1 motor Rasti. • 1 LED bicolor. • 1 Sensor pulsador. • 1 Servomotor. • 1 Sensor ultrasónico. • 2 Sensores de velocidad encoder. • 1 Sensor de gas. • 1 Sensor de luz. • 1 Sensor de humedad del suelo. • 1 Sensor barrera infrarroja. • 1 Sensor de temperatura y humedad. • 1 Sensor de sonido. • 2 Sensores siguelíneas. #  485 Bloques, engranajes y accesorios Rasti. # 2 Pilas recargables tipo 18650 incluidas. # Carga por puerto microUSB estándar. # Cargador 220v. incluido. #  Software de Programación RastiBlock: Open Source (código abierto), gratuito y libre. Basado en Scratch para programar en bloques.. # APP para celulares y tablets con sistema Android para controlar por ejemplo un vehículo. Mas Valija.</t>
  </si>
  <si>
    <t>4.3.7-40.1320</t>
  </si>
  <si>
    <t>ESCRITORIOS; MATERIAL ESTRUCTURA: AGLOMERADO, TERMINACION: ENCHAPADO EN MELAMINA, DIM. DEL PLANO DE APOYO: 1,20 X 0,60 X 0,75 M, CANTIDAD DE CAJONES: 2</t>
  </si>
  <si>
    <t>El plazo de entrega  no podrá ser superior a los diez (10) días hábiles a partir de la fecha de recepción de la respectiva Orden de Compra en el domicilio especial electrónico constituido, en virtud del método de contratación. La entrega de dichos bienes se realizará en  el Ministerio de Ciencia e Innovación Tecnologica, sito en Avenida Republica de Venezuela S/N° - CAPE- Pabellón N° 26 San Fernando del Valle de Catamarca.  Se presentará Remito que deberá cumplimentar lo dispuesto por la R.G. AFIP  1415/03, sin excepción.</t>
  </si>
  <si>
    <t>Impresora 3 d  tipo Creality Ender 3 V2. Tecnología de Impresión 3D: FDM. Cantidad de extrusores: 2. Apta para filamentos ABS, PLA y Nylon. Largo de la zona de impresión: 220mm. Ancho de la zona de impresión: 220mm. Altura de la zona de impresión: 260mm. Resolución mínima y máxima de la capa: 390um – 100um. Temperatura máxima de la cama caliente: 110°C</t>
  </si>
  <si>
    <t>Escritorio de 1,20 X 0,60 X 0,75 M con 2 cajones.</t>
  </si>
  <si>
    <t>Smart Tv 60". Resolucion FHD 1920x1080. Entradas HDMI y puertos USB disponibles. Sintonizador digital incorporado con funcion PVR y Timeshift para grabar tus programas favoritos. Wi-fi. Netflix, Youtube y Vewd (ex Opera store).</t>
  </si>
  <si>
    <t>NOTEBOOK – Pantalla HD 15.6” Resolución 1366px x 768px mínimo.  Procesador Tipo Intel Core i3 1005G1 hasta 3.4GHz. Memoria del Sistema 4GB DDR4 2666mhz. Conectividad Lector de Tarjeta 4 en 1. HDMI. USB 4 (2X 3.29), (2X3.2 Type C). Almacenamiento HDD 1TB 5400rpm. Sistema Operativo WINDOWS 10/ 11 Pro. Batería li-ion 3 celdas 36wh mínimo. Wifi.</t>
  </si>
  <si>
    <t>Kit didactico Tipo LEGO® Education SPIKE ™ Prime.  Dispositivo con forma de ladrillo, con 6 puertos de entrada / salida, matriz de luz 5x5, conectividad Bluetooth, un altavoz, un giroscopio de 6 ejes y una batería recargable. Motores y sensores de alta precisión que permiten a los estudiantes diseñar y construir divertidos robots, dispositivos dinámicos y otros modelos interactivos.  Incluye sensores y motores de gran precisión que, junto con una amplia variedad de elementos de construcción LEGO de colores</t>
  </si>
  <si>
    <t xml:space="preserve"> kit Auto Robot Inteligente 4wd Bluetooth:
# Arduino uno con cable (no original) # Sensor Shield Para Arduino Uno # SR04 sensor ultrasónico # Servomotor SG90 #  Bluetooth HC05 Maestro-Esclavo #  Puente H L298 #  Control Remoto #  Modulo IR #  3 Modulos seguidor de lineas TCRT5000 #  Kit cables Macho-Macho x 20 unidades #  Kit cables para soldar(4 pares de cables negros-rojos) # Chasis acrilico transparente # 4 motores con motoreductor # 4 Ruedas de plastico con goma # 4 Ruedas para encoder # Porta Pilas # Armazon Plastico para montaje de sensor SR04 con servo #kit de tornillos, separadores y tuercas para armado.
</t>
  </si>
  <si>
    <t>NOTA DE PEDIDO</t>
  </si>
  <si>
    <t>N°</t>
  </si>
  <si>
    <t xml:space="preserve">JURISDICCIÓN: </t>
  </si>
  <si>
    <t>SAF:</t>
  </si>
  <si>
    <t>UNIDAD EJECUTORA:</t>
  </si>
  <si>
    <t xml:space="preserve">DEPENDENCIA SOLICITANTE: </t>
  </si>
  <si>
    <t>DIRECCION PROVINCIAL DE GESTION ADMINISTRATIVA RECURSOS HUMANOS</t>
  </si>
  <si>
    <t>PERIODO UTILIZACIÓN:</t>
  </si>
  <si>
    <t>OBJETO:</t>
  </si>
  <si>
    <t>Ítem</t>
  </si>
  <si>
    <t>Codigo Item</t>
  </si>
  <si>
    <t>DESCRIPCIÓN</t>
  </si>
  <si>
    <t>Adjunta Detalle Técnico</t>
  </si>
  <si>
    <t>Unidad Medida</t>
  </si>
  <si>
    <t>Precio Unitario Estimado</t>
  </si>
  <si>
    <t>Cantidad Solicitada</t>
  </si>
  <si>
    <t>SI</t>
  </si>
  <si>
    <t>AUTORIZACION PARA GASTAR</t>
  </si>
  <si>
    <t>JURISDICCIÓN:</t>
  </si>
  <si>
    <r>
      <rPr>
        <b/>
        <u/>
        <sz val="10"/>
        <rFont val="Arial"/>
        <family val="2"/>
        <charset val="1"/>
      </rPr>
      <t>AUTORIZACIÓN</t>
    </r>
    <r>
      <rPr>
        <b/>
        <sz val="10"/>
        <rFont val="Arial"/>
        <family val="2"/>
        <charset val="1"/>
      </rPr>
      <t>:</t>
    </r>
  </si>
  <si>
    <t>Señor Jefe de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</si>
  <si>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</si>
  <si>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</si>
  <si>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</si>
  <si>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</si>
  <si>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</si>
  <si>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</si>
  <si>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</si>
  <si>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</si>
  <si>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</si>
  <si>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</si>
  <si>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</si>
  <si>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</si>
  <si>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</si>
  <si>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</si>
  <si>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</si>
  <si>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</si>
  <si>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</si>
  <si>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1.1</t>
  </si>
  <si>
    <t>Equipos para Computación</t>
  </si>
  <si>
    <t>Equipo Educacional y Recreativo</t>
  </si>
  <si>
    <t>JUSTIFICACIÓN:</t>
  </si>
  <si>
    <t>4° TRIMESTRE 2021</t>
  </si>
  <si>
    <t>Equipos de Oficina y Muebles</t>
  </si>
  <si>
    <t>Autorizo la realización de los  trámites correspondientes, a fin de proveer a  este Organismo los bienes y/o servicios que se detallan en Nota  de Pedido N° 038/2021,  afectando la erogación resultante a los créditos presupuestarios aprobados a favor de esta Unidad Ejecutora, conforme al siguiente detalle:</t>
  </si>
  <si>
    <t>038/2021</t>
  </si>
  <si>
    <t xml:space="preserve"> SECRETARIA DE CIENCIA Y TECNOLOGIA - SECRETARIA DE INNOVACION TECNOLOGICA</t>
  </si>
  <si>
    <t>SECRETARIA DE CIENCIA Y TECNOLOGIA - SECRETARIA DE INNOVACION TECNOLOGICA</t>
  </si>
  <si>
    <t xml:space="preserve">ADQUISICIÓN DE  EQUIPOS PARA LOS LABORATORIO DE ROBOTICA DE LAS  SECRETARIA DE CIENCIA Y TECNOLOGIA  Y  SECRETARIA DE INNOVACION TECNOLOGICA DEL MCIT.- </t>
  </si>
  <si>
    <t>Asistente virtual tipo alexa pantalla Parlante  inteligente integrada de 2,5" black</t>
  </si>
  <si>
    <t>PESOS: PESOS OCHO MILLONES DOSCIENTOS SESETENTA Y UN MIL SEISCIENTOS DIECISEIS CON 00/100.-</t>
  </si>
  <si>
    <t>Costo total estimado:  PESOS OCHO MILLONES DOSCIENTOS SESETENTA Y UN MIL SEISCIENTOS DIECISEIS CON 00/100.-</t>
  </si>
  <si>
    <t>ID</t>
  </si>
  <si>
    <t>CODIGO ITEM</t>
  </si>
  <si>
    <t>RUBRO DE COMPRA</t>
  </si>
  <si>
    <t xml:space="preserve">I.P.P. </t>
  </si>
  <si>
    <t>DESCRIPCION</t>
  </si>
  <si>
    <t>UNIDAD DE MEDIDA</t>
  </si>
  <si>
    <t>CANTIDAD</t>
  </si>
  <si>
    <t>PRECIO UNITARIO ESTIMADO</t>
  </si>
  <si>
    <t xml:space="preserve">IMPORTE TOTAL ESTIMADO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</si>
</sst>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quot;$&quot;\ #,##0.00"/>
    <numFmt numFmtId="165" formatCode="_-[$$-2C0A]\ * #,##0.00_-;\-[$$-2C0A]\ * #,##0.00_-;_-[$$-2C0A]\ * &quot;-&quot;??_-;_-@"/>
    <numFmt numFmtId="166" formatCode="[$$-2C0A]\ #,##0.00"/>
    <numFmt numFmtId="167" formatCode="_(\$* #,##0.00_);_(\$* \(#,##0.00\);_(\$* \-??_);_(@_)"/>
    <numFmt numFmtId="168" formatCode="_-* #,##0.00&quot; €&quot;_-;\-* #,##0.00&quot; €&quot;_-;_-* \-??&quot; €&quot;_-;_-@_-"/>
    <numFmt numFmtId="169" formatCode="[$$-2C0A]\ #,##0.00;[$$-2C0A]&quot; -&quot;#,##0.00"/>
    <numFmt numFmtId="170" formatCode="dd\-mm\-yy;@"/>
    <numFmt numFmtId="171" formatCode="_-[$$-2C0A]\ * #,##0.00_-;\-[$$-2C0A]\ * #,##0.00_-;_-[$$-2C0A]\ * &quot;-&quot;??_-;_-@_-"/>
  </numFmts>
  <fonts count="49" x14ac:knownFonts="1">
    <font>
      <sz val="10"/>
      <color rgb="FF000000"/>
      <name val="Arial"/>
    </font>
    <font>
      <sz val="11"/>
      <color theme="1"/>
      <name val="Calibri"/>
      <family val="2"/>
      <scheme val="minor"/>
    </font>
    <font>
      <sz val="10"/>
      <name val="Times New Roman"/>
      <family val="1"/>
    </font>
    <font>
      <sz val="11"/>
      <name val="Times New Roman"/>
      <family val="1"/>
    </font>
    <font>
      <b/>
      <sz val="22"/>
      <name val="Times New Roman"/>
      <family val="1"/>
    </font>
    <font>
      <b/>
      <sz val="11"/>
      <color rgb="FF333333"/>
      <name val="Arial"/>
      <family val="2"/>
    </font>
    <font>
      <sz val="10"/>
      <name val="Arial"/>
      <family val="2"/>
    </font>
    <font>
      <sz val="11"/>
      <color rgb="FF333333"/>
      <name val="Arial"/>
      <family val="2"/>
    </font>
    <font>
      <sz val="11"/>
      <name val="Arial"/>
      <family val="2"/>
    </font>
    <font>
      <b/>
      <sz val="11"/>
      <name val="Arial"/>
      <family val="2"/>
    </font>
    <font>
      <b/>
      <sz val="11"/>
      <name val="Times New Roman"/>
      <family val="1"/>
    </font>
    <font>
      <u/>
      <sz val="11"/>
      <name val="Arial"/>
      <family val="2"/>
    </font>
    <font>
      <sz val="11"/>
      <name val="Arial"/>
      <family val="2"/>
    </font>
    <font>
      <sz val="10"/>
      <name val="Arial"/>
      <family val="2"/>
    </font>
    <font>
      <sz val="11"/>
      <color indexed="8"/>
      <name val="Calibri"/>
      <family val="2"/>
    </font>
    <font>
      <sz val="11"/>
      <color indexed="9"/>
      <name val="Calibri"/>
      <family val="2"/>
    </font>
    <font>
      <sz val="11"/>
      <color indexed="17"/>
      <name val="Calibri"/>
      <family val="2"/>
    </font>
    <font>
      <b/>
      <sz val="11"/>
      <color indexed="9"/>
      <name val="Calibri"/>
      <family val="2"/>
    </font>
    <font>
      <sz val="11"/>
      <color indexed="52"/>
      <name val="Calibri"/>
      <family val="2"/>
    </font>
    <font>
      <b/>
      <sz val="11"/>
      <color indexed="52"/>
      <name val="Calibri"/>
      <family val="2"/>
    </font>
    <font>
      <b/>
      <sz val="15"/>
      <color indexed="54"/>
      <name val="Calibri"/>
      <family val="2"/>
    </font>
    <font>
      <b/>
      <sz val="11"/>
      <color indexed="54"/>
      <name val="Calibri"/>
      <family val="2"/>
    </font>
    <font>
      <sz val="11"/>
      <color indexed="62"/>
      <name val="Calibri"/>
      <family val="2"/>
    </font>
    <font>
      <sz val="11"/>
      <color indexed="20"/>
      <name val="Calibri"/>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1"/>
      <color indexed="8"/>
      <name val="Calibri"/>
      <family val="2"/>
    </font>
    <font>
      <sz val="18"/>
      <color indexed="54"/>
      <name val="Calibri Light"/>
      <family val="2"/>
    </font>
    <font>
      <b/>
      <sz val="13"/>
      <color indexed="54"/>
      <name val="Calibri"/>
      <family val="2"/>
    </font>
    <font>
      <sz val="11"/>
      <color theme="1"/>
      <name val="Arial"/>
      <family val="2"/>
    </font>
    <font>
      <sz val="10"/>
      <name val="Arial"/>
      <charset val="1"/>
    </font>
    <font>
      <b/>
      <sz val="15"/>
      <color rgb="FF666699"/>
      <name val="Calibri"/>
      <family val="2"/>
      <charset val="1"/>
    </font>
    <font>
      <sz val="10"/>
      <name val="Arial"/>
      <family val="2"/>
      <charset val="1"/>
    </font>
    <font>
      <sz val="11"/>
      <color rgb="FF993300"/>
      <name val="Calibri"/>
      <family val="2"/>
      <charset val="1"/>
    </font>
    <font>
      <sz val="10"/>
      <name val="Times New Roman"/>
      <family val="1"/>
      <charset val="1"/>
    </font>
    <font>
      <b/>
      <u/>
      <sz val="12"/>
      <name val="Times New Roman"/>
      <family val="1"/>
      <charset val="1"/>
    </font>
    <font>
      <b/>
      <sz val="12"/>
      <name val="Times New Roman"/>
      <family val="1"/>
      <charset val="1"/>
    </font>
    <font>
      <sz val="12"/>
      <name val="Times New Roman"/>
      <family val="1"/>
      <charset val="1"/>
    </font>
    <font>
      <b/>
      <sz val="11"/>
      <name val="Times New Roman"/>
      <family val="1"/>
      <charset val="1"/>
    </font>
    <font>
      <sz val="11"/>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9"/>
      <name val="Arial"/>
      <family val="2"/>
      <charset val="1"/>
    </font>
    <font>
      <b/>
      <sz val="10"/>
      <color rgb="FF000000"/>
      <name val="Times New Roman"/>
      <family val="1"/>
    </font>
  </fonts>
  <fills count="24">
    <fill>
      <patternFill patternType="none"/>
    </fill>
    <fill>
      <patternFill patternType="gray125"/>
    </fill>
    <fill>
      <patternFill patternType="solid">
        <fgColor rgb="FFC0C0C0"/>
        <bgColor rgb="FFC0C0C0"/>
      </patternFill>
    </fill>
    <fill>
      <patternFill patternType="solid">
        <fgColor rgb="FFCCFFFF"/>
        <bgColor rgb="FFCCFFFF"/>
      </patternFill>
    </fill>
    <fill>
      <patternFill patternType="solid">
        <fgColor theme="0"/>
        <bgColor rgb="FFFFFF00"/>
      </patternFill>
    </fill>
    <fill>
      <patternFill patternType="solid">
        <fgColor indexed="27"/>
        <bgColor indexed="41"/>
      </patternFill>
    </fill>
    <fill>
      <patternFill patternType="solid">
        <fgColor indexed="47"/>
        <bgColor indexed="22"/>
      </patternFill>
    </fill>
    <fill>
      <patternFill patternType="solid">
        <fgColor indexed="9"/>
        <bgColor indexed="26"/>
      </patternFill>
    </fill>
    <fill>
      <patternFill patternType="solid">
        <fgColor indexed="26"/>
        <bgColor indexed="9"/>
      </patternFill>
    </fill>
    <fill>
      <patternFill patternType="solid">
        <fgColor indexed="31"/>
        <bgColor indexed="22"/>
      </patternFill>
    </fill>
    <fill>
      <patternFill patternType="solid">
        <fgColor indexed="42"/>
        <bgColor indexed="27"/>
      </patternFill>
    </fill>
    <fill>
      <patternFill patternType="solid">
        <fgColor indexed="44"/>
        <bgColor indexed="31"/>
      </patternFill>
    </fill>
    <fill>
      <patternFill patternType="solid">
        <fgColor indexed="22"/>
        <bgColor indexed="31"/>
      </patternFill>
    </fill>
    <fill>
      <patternFill patternType="solid">
        <fgColor indexed="43"/>
        <bgColor indexed="26"/>
      </patternFill>
    </fill>
    <fill>
      <patternFill patternType="solid">
        <fgColor indexed="49"/>
        <bgColor indexed="40"/>
      </patternFill>
    </fill>
    <fill>
      <patternFill patternType="solid">
        <fgColor indexed="57"/>
        <bgColor indexed="21"/>
      </patternFill>
    </fill>
    <fill>
      <patternFill patternType="solid">
        <fgColor indexed="55"/>
        <bgColor indexed="23"/>
      </patternFill>
    </fill>
    <fill>
      <patternFill patternType="solid">
        <fgColor indexed="53"/>
        <bgColor indexed="52"/>
      </patternFill>
    </fill>
    <fill>
      <patternFill patternType="solid">
        <fgColor indexed="51"/>
        <bgColor indexed="13"/>
      </patternFill>
    </fill>
    <fill>
      <patternFill patternType="solid">
        <fgColor indexed="62"/>
        <bgColor indexed="59"/>
      </patternFill>
    </fill>
    <fill>
      <patternFill patternType="solid">
        <fgColor indexed="45"/>
        <bgColor indexed="29"/>
      </patternFill>
    </fill>
    <fill>
      <patternFill patternType="solid">
        <fgColor theme="0" tint="-0.249977111117893"/>
        <bgColor indexed="64"/>
      </patternFill>
    </fill>
    <fill>
      <patternFill patternType="solid">
        <fgColor rgb="FFFFFF99"/>
        <bgColor rgb="FFFFFFCC"/>
      </patternFill>
    </fill>
    <fill>
      <patternFill patternType="solid">
        <fgColor theme="0"/>
        <bgColor indexed="64"/>
      </patternFill>
    </fill>
  </fills>
  <borders count="57">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right style="medium">
        <color rgb="FF000000"/>
      </right>
      <top/>
      <bottom/>
      <diagonal/>
    </border>
    <border>
      <left/>
      <right style="medium">
        <color rgb="FF000000"/>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49"/>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44"/>
      </bottom>
      <diagonal/>
    </border>
    <border>
      <left/>
      <right/>
      <top/>
      <bottom style="medium">
        <color indexed="44"/>
      </bottom>
      <diagonal/>
    </border>
    <border>
      <left/>
      <right/>
      <top style="thin">
        <color indexed="49"/>
      </top>
      <bottom style="double">
        <color indexed="49"/>
      </bottom>
      <diagonal/>
    </border>
    <border>
      <left/>
      <right/>
      <top/>
      <bottom style="thick">
        <color rgb="FF33CCCC"/>
      </bottom>
      <diagonal/>
    </border>
    <border>
      <left/>
      <right style="medium">
        <color rgb="FF3D3D3D"/>
      </right>
      <top/>
      <bottom/>
      <diagonal/>
    </border>
    <border>
      <left style="medium">
        <color rgb="FF3D3D3D"/>
      </left>
      <right style="medium">
        <color rgb="FF3D3D3D"/>
      </right>
      <top style="medium">
        <color rgb="FF3D3D3D"/>
      </top>
      <bottom style="medium">
        <color rgb="FF3D3D3D"/>
      </bottom>
      <diagonal/>
    </border>
    <border>
      <left/>
      <right/>
      <top/>
      <bottom style="medium">
        <color rgb="FF3D3D3D"/>
      </bottom>
      <diagonal/>
    </border>
    <border>
      <left style="medium">
        <color rgb="FF3D3D3D"/>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rgb="FF3D3D3D"/>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rgb="FF3D3D3D"/>
      </left>
      <right style="medium">
        <color rgb="FF3D3D3D"/>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rgb="FF3D3D3D"/>
      </right>
      <top style="medium">
        <color rgb="FF3D3D3D"/>
      </top>
      <bottom/>
      <diagonal/>
    </border>
    <border>
      <left style="medium">
        <color rgb="FF3D3D3D"/>
      </left>
      <right/>
      <top/>
      <bottom/>
      <diagonal/>
    </border>
    <border>
      <left style="medium">
        <color rgb="FF3D3D3D"/>
      </left>
      <right style="medium">
        <color rgb="FF3D3D3D"/>
      </right>
      <top/>
      <bottom/>
      <diagonal/>
    </border>
    <border>
      <left style="medium">
        <color rgb="FF3D3D3D"/>
      </left>
      <right/>
      <top/>
      <bottom style="medium">
        <color rgb="FF3D3D3D"/>
      </bottom>
      <diagonal/>
    </border>
    <border>
      <left/>
      <right style="medium">
        <color rgb="FF3D3D3D"/>
      </right>
      <top/>
      <bottom style="medium">
        <color rgb="FF3D3D3D"/>
      </bottom>
      <diagonal/>
    </border>
    <border>
      <left/>
      <right style="medium">
        <color rgb="FF3D3D3D"/>
      </right>
      <top style="medium">
        <color rgb="FF3D3D3D"/>
      </top>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thin">
        <color rgb="FF3D3D3D"/>
      </left>
      <right style="thin">
        <color rgb="FF3D3D3D"/>
      </right>
      <top style="medium">
        <color rgb="FF3D3D3D"/>
      </top>
      <bottom style="thin">
        <color rgb="FF3D3D3D"/>
      </bottom>
      <diagonal/>
    </border>
    <border>
      <left style="thin">
        <color rgb="FF3D3D3D"/>
      </left>
      <right style="thin">
        <color rgb="FF3D3D3D"/>
      </right>
      <top style="thin">
        <color rgb="FF3D3D3D"/>
      </top>
      <bottom style="thin">
        <color rgb="FF3D3D3D"/>
      </bottom>
      <diagonal/>
    </border>
    <border>
      <left style="medium">
        <color rgb="FF3D3D3D"/>
      </left>
      <right style="medium">
        <color rgb="FF3D3D3D"/>
      </right>
      <top/>
      <bottom style="medium">
        <color rgb="FF3D3D3D"/>
      </bottom>
      <diagonal/>
    </border>
    <border>
      <left style="medium">
        <color rgb="FF3D3D3D"/>
      </left>
      <right/>
      <top style="medium">
        <color indexed="64"/>
      </top>
      <bottom style="medium">
        <color indexed="64"/>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thick">
        <color auto="1"/>
      </left>
      <right style="thick">
        <color auto="1"/>
      </right>
      <top style="thick">
        <color auto="1"/>
      </top>
      <bottom style="thin">
        <color indexed="64"/>
      </bottom>
      <diagonal/>
    </border>
  </borders>
  <cellStyleXfs count="50">
    <xf numFmtId="0" fontId="0" fillId="0" borderId="0"/>
    <xf numFmtId="0" fontId="1" fillId="0" borderId="3"/>
    <xf numFmtId="0" fontId="13" fillId="0" borderId="3"/>
    <xf numFmtId="0" fontId="14" fillId="5" borderId="3" applyNumberFormat="0" applyBorder="0" applyAlignment="0" applyProtection="0"/>
    <xf numFmtId="0" fontId="14" fillId="6" borderId="3" applyNumberFormat="0" applyBorder="0" applyAlignment="0" applyProtection="0"/>
    <xf numFmtId="0" fontId="14" fillId="7" borderId="3" applyNumberFormat="0" applyBorder="0" applyAlignment="0" applyProtection="0"/>
    <xf numFmtId="0" fontId="14" fillId="8" borderId="3" applyNumberFormat="0" applyBorder="0" applyAlignment="0" applyProtection="0"/>
    <xf numFmtId="0" fontId="14" fillId="9" borderId="3" applyNumberFormat="0" applyBorder="0" applyAlignment="0" applyProtection="0"/>
    <xf numFmtId="0" fontId="14" fillId="10" borderId="3" applyNumberFormat="0" applyBorder="0" applyAlignment="0" applyProtection="0"/>
    <xf numFmtId="0" fontId="14" fillId="11" borderId="3" applyNumberFormat="0" applyBorder="0" applyAlignment="0" applyProtection="0"/>
    <xf numFmtId="0" fontId="14" fillId="6" borderId="3" applyNumberFormat="0" applyBorder="0" applyAlignment="0" applyProtection="0"/>
    <xf numFmtId="0" fontId="14" fillId="12" borderId="3" applyNumberFormat="0" applyBorder="0" applyAlignment="0" applyProtection="0"/>
    <xf numFmtId="0" fontId="14" fillId="13" borderId="3" applyNumberFormat="0" applyBorder="0" applyAlignment="0" applyProtection="0"/>
    <xf numFmtId="0" fontId="14" fillId="11" borderId="3" applyNumberFormat="0" applyBorder="0" applyAlignment="0" applyProtection="0"/>
    <xf numFmtId="0" fontId="14" fillId="13" borderId="3" applyNumberFormat="0" applyBorder="0" applyAlignment="0" applyProtection="0"/>
    <xf numFmtId="0" fontId="15" fillId="11" borderId="3" applyNumberFormat="0" applyBorder="0" applyAlignment="0" applyProtection="0"/>
    <xf numFmtId="0" fontId="15" fillId="6" borderId="3" applyNumberFormat="0" applyBorder="0" applyAlignment="0" applyProtection="0"/>
    <xf numFmtId="0" fontId="15" fillId="12" borderId="3" applyNumberFormat="0" applyBorder="0" applyAlignment="0" applyProtection="0"/>
    <xf numFmtId="0" fontId="15" fillId="13" borderId="3" applyNumberFormat="0" applyBorder="0" applyAlignment="0" applyProtection="0"/>
    <xf numFmtId="0" fontId="15" fillId="14" borderId="3" applyNumberFormat="0" applyBorder="0" applyAlignment="0" applyProtection="0"/>
    <xf numFmtId="0" fontId="15" fillId="15" borderId="3" applyNumberFormat="0" applyBorder="0" applyAlignment="0" applyProtection="0"/>
    <xf numFmtId="0" fontId="16" fillId="10" borderId="3" applyNumberFormat="0" applyBorder="0" applyAlignment="0" applyProtection="0"/>
    <xf numFmtId="0" fontId="19" fillId="12" borderId="20" applyNumberFormat="0" applyAlignment="0" applyProtection="0"/>
    <xf numFmtId="0" fontId="17" fillId="16" borderId="21" applyNumberFormat="0" applyAlignment="0" applyProtection="0"/>
    <xf numFmtId="0" fontId="18" fillId="0" borderId="22" applyNumberFormat="0" applyFill="0" applyAlignment="0" applyProtection="0"/>
    <xf numFmtId="0" fontId="20" fillId="0" borderId="23" applyNumberFormat="0" applyFill="0" applyAlignment="0" applyProtection="0"/>
    <xf numFmtId="0" fontId="21" fillId="0" borderId="3" applyNumberFormat="0" applyFill="0" applyBorder="0" applyAlignment="0" applyProtection="0"/>
    <xf numFmtId="0" fontId="15" fillId="14" borderId="3" applyNumberFormat="0" applyBorder="0" applyAlignment="0" applyProtection="0"/>
    <xf numFmtId="0" fontId="15" fillId="17" borderId="3" applyNumberFormat="0" applyBorder="0" applyAlignment="0" applyProtection="0"/>
    <xf numFmtId="0" fontId="15" fillId="16" borderId="3" applyNumberFormat="0" applyBorder="0" applyAlignment="0" applyProtection="0"/>
    <xf numFmtId="0" fontId="15" fillId="18" borderId="3" applyNumberFormat="0" applyBorder="0" applyAlignment="0" applyProtection="0"/>
    <xf numFmtId="0" fontId="15" fillId="19" borderId="3" applyNumberFormat="0" applyBorder="0" applyAlignment="0" applyProtection="0"/>
    <xf numFmtId="0" fontId="15" fillId="15" borderId="3" applyNumberFormat="0" applyBorder="0" applyAlignment="0" applyProtection="0"/>
    <xf numFmtId="0" fontId="22" fillId="6" borderId="20" applyNumberFormat="0" applyAlignment="0" applyProtection="0"/>
    <xf numFmtId="0" fontId="23" fillId="20" borderId="3" applyNumberFormat="0" applyBorder="0" applyAlignment="0" applyProtection="0"/>
    <xf numFmtId="0" fontId="24" fillId="13" borderId="3" applyNumberFormat="0" applyBorder="0" applyAlignment="0" applyProtection="0"/>
    <xf numFmtId="0" fontId="6" fillId="8" borderId="24" applyNumberFormat="0" applyAlignment="0" applyProtection="0"/>
    <xf numFmtId="0" fontId="25" fillId="12" borderId="25" applyNumberFormat="0" applyAlignment="0" applyProtection="0"/>
    <xf numFmtId="0" fontId="26" fillId="0" borderId="3" applyNumberFormat="0" applyFill="0" applyBorder="0" applyAlignment="0" applyProtection="0"/>
    <xf numFmtId="0" fontId="27" fillId="0" borderId="3" applyNumberFormat="0" applyFill="0" applyBorder="0" applyAlignment="0" applyProtection="0"/>
    <xf numFmtId="0" fontId="29" fillId="0" borderId="3" applyNumberFormat="0" applyFill="0" applyBorder="0" applyAlignment="0" applyProtection="0"/>
    <xf numFmtId="0" fontId="30" fillId="0" borderId="26" applyNumberFormat="0" applyFill="0" applyAlignment="0" applyProtection="0"/>
    <xf numFmtId="0" fontId="21" fillId="0" borderId="27" applyNumberFormat="0" applyFill="0" applyAlignment="0" applyProtection="0"/>
    <xf numFmtId="0" fontId="28" fillId="0" borderId="28" applyNumberFormat="0" applyFill="0" applyAlignment="0" applyProtection="0"/>
    <xf numFmtId="0" fontId="31" fillId="0" borderId="3"/>
    <xf numFmtId="0" fontId="32" fillId="0" borderId="3"/>
    <xf numFmtId="168" fontId="6" fillId="0" borderId="3" applyBorder="0" applyProtection="0"/>
    <xf numFmtId="0" fontId="33" fillId="0" borderId="29" applyProtection="0"/>
    <xf numFmtId="167" fontId="34" fillId="0" borderId="3" applyBorder="0" applyProtection="0"/>
    <xf numFmtId="0" fontId="35" fillId="22" borderId="3" applyBorder="0" applyProtection="0"/>
  </cellStyleXfs>
  <cellXfs count="149">
    <xf numFmtId="0" fontId="0" fillId="0" borderId="0" xfId="0" applyFont="1" applyAlignment="1"/>
    <xf numFmtId="0" fontId="2" fillId="0" borderId="0" xfId="0" applyFont="1"/>
    <xf numFmtId="0" fontId="2" fillId="0" borderId="0" xfId="0" applyFont="1" applyAlignment="1">
      <alignment horizontal="center" vertical="center"/>
    </xf>
    <xf numFmtId="0" fontId="2" fillId="0" borderId="0" xfId="0" applyFont="1" applyAlignment="1">
      <alignment horizontal="center"/>
    </xf>
    <xf numFmtId="0" fontId="3" fillId="0" borderId="0" xfId="0" applyFont="1" applyAlignment="1">
      <alignment horizontal="left" vertical="top"/>
    </xf>
    <xf numFmtId="164" fontId="2" fillId="0" borderId="0" xfId="0" applyNumberFormat="1" applyFont="1" applyAlignment="1">
      <alignment horizontal="center"/>
    </xf>
    <xf numFmtId="0" fontId="7" fillId="0" borderId="0" xfId="0" applyFont="1" applyAlignment="1">
      <alignment horizontal="left" wrapText="1"/>
    </xf>
    <xf numFmtId="0" fontId="7" fillId="0" borderId="0" xfId="0" applyFont="1" applyAlignment="1">
      <alignment horizontal="center" wrapText="1"/>
    </xf>
    <xf numFmtId="164" fontId="7" fillId="0" borderId="0" xfId="0" applyNumberFormat="1" applyFont="1" applyAlignment="1">
      <alignment horizontal="center" wrapText="1"/>
    </xf>
    <xf numFmtId="0" fontId="8" fillId="0" borderId="0" xfId="0" applyFont="1"/>
    <xf numFmtId="0" fontId="5" fillId="2" borderId="3" xfId="0" applyFont="1" applyFill="1" applyBorder="1" applyAlignment="1">
      <alignment horizontal="left" wrapText="1"/>
    </xf>
    <xf numFmtId="0" fontId="5" fillId="2" borderId="3" xfId="0" applyFont="1" applyFill="1" applyBorder="1" applyAlignment="1">
      <alignment horizontal="left" vertical="top" wrapText="1"/>
    </xf>
    <xf numFmtId="0" fontId="3" fillId="2" borderId="4" xfId="0" applyFont="1" applyFill="1" applyBorder="1" applyAlignment="1">
      <alignment horizontal="center" vertical="center"/>
    </xf>
    <xf numFmtId="0" fontId="3" fillId="0" borderId="4" xfId="0" applyFont="1" applyBorder="1" applyAlignment="1">
      <alignment horizontal="center" vertical="center"/>
    </xf>
    <xf numFmtId="165" fontId="3" fillId="0" borderId="4" xfId="0" applyNumberFormat="1" applyFont="1" applyBorder="1" applyAlignment="1">
      <alignment vertical="center"/>
    </xf>
    <xf numFmtId="0" fontId="3" fillId="2" borderId="4" xfId="0" applyFont="1" applyFill="1" applyBorder="1" applyAlignment="1">
      <alignment horizontal="left" vertical="center" wrapText="1"/>
    </xf>
    <xf numFmtId="165" fontId="10" fillId="3" borderId="5" xfId="0" applyNumberFormat="1" applyFont="1" applyFill="1" applyBorder="1" applyAlignment="1">
      <alignment vertical="center"/>
    </xf>
    <xf numFmtId="0" fontId="11" fillId="0" borderId="13" xfId="0" applyFont="1" applyBorder="1" applyAlignment="1">
      <alignment horizontal="left"/>
    </xf>
    <xf numFmtId="0" fontId="8" fillId="0" borderId="14" xfId="0" applyFont="1" applyBorder="1"/>
    <xf numFmtId="0" fontId="8" fillId="0" borderId="13" xfId="0" applyFont="1" applyBorder="1" applyAlignment="1">
      <alignment horizontal="left"/>
    </xf>
    <xf numFmtId="0" fontId="8" fillId="2" borderId="3" xfId="0" applyFont="1" applyFill="1" applyBorder="1"/>
    <xf numFmtId="0" fontId="8" fillId="2" borderId="16" xfId="0" applyFont="1" applyFill="1" applyBorder="1"/>
    <xf numFmtId="0" fontId="8" fillId="2" borderId="3" xfId="0" applyFont="1" applyFill="1" applyBorder="1" applyAlignment="1">
      <alignment horizontal="center" wrapText="1"/>
    </xf>
    <xf numFmtId="0" fontId="8" fillId="2" borderId="16" xfId="0" applyFont="1" applyFill="1" applyBorder="1" applyAlignment="1">
      <alignment horizontal="center" wrapText="1"/>
    </xf>
    <xf numFmtId="0" fontId="8" fillId="0" borderId="17" xfId="0" applyFont="1" applyBorder="1" applyAlignment="1">
      <alignment horizontal="left"/>
    </xf>
    <xf numFmtId="0" fontId="8" fillId="0" borderId="9" xfId="0" applyFont="1" applyBorder="1"/>
    <xf numFmtId="0" fontId="8" fillId="0" borderId="18" xfId="0" applyFont="1" applyBorder="1"/>
    <xf numFmtId="0" fontId="0" fillId="0" borderId="0" xfId="0" applyFont="1" applyAlignment="1"/>
    <xf numFmtId="0" fontId="3" fillId="4" borderId="4" xfId="0" applyFont="1" applyFill="1" applyBorder="1" applyAlignment="1">
      <alignment horizontal="center" vertical="center"/>
    </xf>
    <xf numFmtId="0" fontId="8" fillId="0" borderId="3" xfId="0" applyFont="1" applyBorder="1"/>
    <xf numFmtId="0" fontId="8" fillId="0" borderId="3" xfId="0" applyFont="1" applyBorder="1" applyAlignment="1">
      <alignment horizontal="left"/>
    </xf>
    <xf numFmtId="0" fontId="0" fillId="0" borderId="0" xfId="0" applyFont="1" applyAlignment="1"/>
    <xf numFmtId="0" fontId="3" fillId="0" borderId="3" xfId="0" applyFont="1" applyBorder="1"/>
    <xf numFmtId="0" fontId="3" fillId="0" borderId="3" xfId="0" applyFont="1" applyBorder="1" applyAlignment="1">
      <alignment horizontal="center" vertical="center"/>
    </xf>
    <xf numFmtId="0" fontId="3" fillId="0" borderId="3" xfId="0" applyFont="1" applyBorder="1" applyAlignment="1">
      <alignment horizontal="center"/>
    </xf>
    <xf numFmtId="0" fontId="3" fillId="0" borderId="3" xfId="0" applyFont="1" applyBorder="1" applyAlignment="1">
      <alignment horizontal="left" vertical="top"/>
    </xf>
    <xf numFmtId="164" fontId="3" fillId="0" borderId="3" xfId="0" applyNumberFormat="1" applyFont="1" applyBorder="1" applyAlignment="1">
      <alignment horizontal="center"/>
    </xf>
    <xf numFmtId="165" fontId="3" fillId="0" borderId="3" xfId="0" applyNumberFormat="1" applyFont="1" applyBorder="1"/>
    <xf numFmtId="0" fontId="0" fillId="0" borderId="19" xfId="0" applyBorder="1" applyAlignment="1">
      <alignment horizontal="center" vertical="center"/>
    </xf>
    <xf numFmtId="164" fontId="0" fillId="0" borderId="19" xfId="0" applyNumberFormat="1" applyBorder="1" applyAlignment="1">
      <alignment horizontal="center" vertical="center"/>
    </xf>
    <xf numFmtId="0" fontId="0" fillId="0" borderId="0" xfId="0" applyFont="1" applyAlignment="1"/>
    <xf numFmtId="170" fontId="0" fillId="0" borderId="0" xfId="0" applyNumberFormat="1" applyAlignment="1">
      <alignment horizontal="left"/>
    </xf>
    <xf numFmtId="0" fontId="0" fillId="0" borderId="0" xfId="0"/>
    <xf numFmtId="3" fontId="42" fillId="0" borderId="3" xfId="0" applyNumberFormat="1" applyFont="1" applyBorder="1"/>
    <xf numFmtId="0" fontId="37" fillId="0" borderId="30" xfId="45" applyFont="1" applyBorder="1" applyAlignment="1">
      <alignment horizontal="right" vertical="center"/>
    </xf>
    <xf numFmtId="0" fontId="37" fillId="0" borderId="32" xfId="45" applyFont="1" applyBorder="1" applyAlignment="1">
      <alignment vertical="center"/>
    </xf>
    <xf numFmtId="0" fontId="37" fillId="0" borderId="3" xfId="45" applyFont="1" applyBorder="1" applyAlignment="1">
      <alignment vertical="center"/>
    </xf>
    <xf numFmtId="0" fontId="39" fillId="0" borderId="3" xfId="45" applyFont="1" applyBorder="1" applyAlignment="1">
      <alignment horizontal="left" vertical="center"/>
    </xf>
    <xf numFmtId="0" fontId="38" fillId="0" borderId="3" xfId="45" applyFont="1" applyBorder="1" applyAlignment="1">
      <alignment horizontal="left" vertical="center" wrapText="1" indent="1"/>
    </xf>
    <xf numFmtId="0" fontId="38" fillId="4" borderId="31" xfId="45" applyFont="1" applyFill="1" applyBorder="1" applyAlignment="1">
      <alignment horizontal="center" vertical="center"/>
    </xf>
    <xf numFmtId="0" fontId="41" fillId="0" borderId="34" xfId="45" applyFont="1" applyBorder="1" applyAlignment="1">
      <alignment horizontal="center" vertical="center"/>
    </xf>
    <xf numFmtId="0" fontId="41" fillId="0" borderId="34" xfId="45" applyFont="1" applyBorder="1" applyAlignment="1">
      <alignment horizontal="left" vertical="center"/>
    </xf>
    <xf numFmtId="0" fontId="36" fillId="4" borderId="34" xfId="45" applyFont="1" applyFill="1" applyBorder="1" applyAlignment="1">
      <alignment horizontal="center" vertical="center"/>
    </xf>
    <xf numFmtId="0" fontId="36" fillId="23" borderId="34" xfId="45" applyFont="1" applyFill="1" applyBorder="1" applyAlignment="1">
      <alignment horizontal="center" vertical="center" wrapText="1"/>
    </xf>
    <xf numFmtId="169" fontId="36" fillId="23" borderId="34" xfId="46" applyNumberFormat="1" applyFont="1" applyFill="1" applyBorder="1" applyAlignment="1" applyProtection="1">
      <alignment horizontal="right" vertical="center" wrapText="1"/>
    </xf>
    <xf numFmtId="3" fontId="36" fillId="23" borderId="34" xfId="45" applyNumberFormat="1" applyFont="1" applyFill="1" applyBorder="1" applyAlignment="1">
      <alignment horizontal="center" vertical="center"/>
    </xf>
    <xf numFmtId="0" fontId="0" fillId="0" borderId="0" xfId="0" applyAlignment="1">
      <alignment horizontal="left"/>
    </xf>
    <xf numFmtId="0" fontId="0" fillId="0" borderId="3" xfId="0" applyBorder="1"/>
    <xf numFmtId="0" fontId="0" fillId="0" borderId="30" xfId="0" applyBorder="1"/>
    <xf numFmtId="0" fontId="0" fillId="0" borderId="44" xfId="0" applyBorder="1"/>
    <xf numFmtId="0" fontId="0" fillId="0" borderId="32" xfId="0" applyBorder="1"/>
    <xf numFmtId="0" fontId="0" fillId="0" borderId="32" xfId="0" applyBorder="1" applyAlignment="1">
      <alignment horizontal="left"/>
    </xf>
    <xf numFmtId="0" fontId="0" fillId="0" borderId="45" xfId="0" applyBorder="1"/>
    <xf numFmtId="0" fontId="46" fillId="0" borderId="47" xfId="0" applyFont="1" applyBorder="1" applyAlignment="1">
      <alignment horizontal="center" vertical="center"/>
    </xf>
    <xf numFmtId="0" fontId="46" fillId="0" borderId="48" xfId="0" applyFont="1" applyBorder="1" applyAlignment="1">
      <alignment horizontal="center" vertical="center"/>
    </xf>
    <xf numFmtId="0" fontId="46" fillId="0" borderId="48" xfId="0" applyFont="1" applyBorder="1" applyAlignment="1">
      <alignment horizontal="left" vertical="center"/>
    </xf>
    <xf numFmtId="0" fontId="46" fillId="0" borderId="49" xfId="0" applyFont="1" applyBorder="1" applyAlignment="1">
      <alignment horizontal="center" vertical="center"/>
    </xf>
    <xf numFmtId="0" fontId="46" fillId="0" borderId="43" xfId="0" applyFont="1" applyBorder="1" applyAlignment="1">
      <alignment horizontal="center" vertical="center"/>
    </xf>
    <xf numFmtId="0" fontId="0" fillId="4" borderId="50" xfId="0" applyFill="1" applyBorder="1" applyAlignment="1">
      <alignment horizontal="center" vertical="center"/>
    </xf>
    <xf numFmtId="0" fontId="0" fillId="0" borderId="50" xfId="0" applyBorder="1" applyAlignment="1">
      <alignment horizontal="center" vertical="center"/>
    </xf>
    <xf numFmtId="171" fontId="0" fillId="23" borderId="50" xfId="48" applyNumberFormat="1" applyFont="1" applyFill="1" applyBorder="1" applyAlignment="1" applyProtection="1">
      <alignment horizontal="center" vertical="center"/>
    </xf>
    <xf numFmtId="0" fontId="0" fillId="4" borderId="51" xfId="0" applyFill="1" applyBorder="1" applyAlignment="1">
      <alignment horizontal="center" vertical="center"/>
    </xf>
    <xf numFmtId="0" fontId="0" fillId="0" borderId="51" xfId="0" applyBorder="1" applyAlignment="1">
      <alignment horizontal="center" vertical="center"/>
    </xf>
    <xf numFmtId="171" fontId="0" fillId="0" borderId="51" xfId="48" applyNumberFormat="1" applyFont="1" applyBorder="1" applyAlignment="1" applyProtection="1">
      <alignment horizontal="center" vertical="center"/>
    </xf>
    <xf numFmtId="169" fontId="0" fillId="0" borderId="51" xfId="48" applyNumberFormat="1" applyFont="1" applyBorder="1" applyAlignment="1" applyProtection="1">
      <alignment horizontal="center" vertical="center"/>
    </xf>
    <xf numFmtId="0" fontId="44" fillId="0" borderId="51" xfId="0" applyFont="1" applyBorder="1" applyAlignment="1">
      <alignment horizontal="center" vertical="center"/>
    </xf>
    <xf numFmtId="169" fontId="46" fillId="23" borderId="52" xfId="0" applyNumberFormat="1" applyFont="1" applyFill="1" applyBorder="1" applyAlignment="1">
      <alignment horizontal="center" vertical="center"/>
    </xf>
    <xf numFmtId="0" fontId="48" fillId="0" borderId="56" xfId="0" applyFont="1" applyBorder="1" applyAlignment="1">
      <alignment horizontal="center" vertical="center" wrapText="1"/>
    </xf>
    <xf numFmtId="0" fontId="9" fillId="21" borderId="10" xfId="0" applyFont="1" applyFill="1" applyBorder="1" applyAlignment="1">
      <alignment horizontal="left" vertical="center" wrapText="1"/>
    </xf>
    <xf numFmtId="0" fontId="6" fillId="21" borderId="11" xfId="0" applyFont="1" applyFill="1" applyBorder="1"/>
    <xf numFmtId="0" fontId="6" fillId="21" borderId="12" xfId="0" applyFont="1" applyFill="1" applyBorder="1"/>
    <xf numFmtId="0" fontId="8" fillId="2" borderId="3" xfId="0" applyFont="1" applyFill="1" applyBorder="1" applyAlignment="1">
      <alignment horizontal="left" vertical="center" wrapText="1"/>
    </xf>
    <xf numFmtId="0" fontId="6" fillId="0" borderId="3" xfId="0" applyFont="1" applyBorder="1" applyAlignment="1">
      <alignment vertical="center"/>
    </xf>
    <xf numFmtId="0" fontId="6" fillId="0" borderId="16" xfId="0" applyFont="1" applyBorder="1" applyAlignment="1">
      <alignment vertical="center"/>
    </xf>
    <xf numFmtId="0" fontId="10" fillId="3" borderId="6" xfId="0" applyFont="1" applyFill="1" applyBorder="1" applyAlignment="1">
      <alignment horizontal="center" vertical="center" wrapText="1"/>
    </xf>
    <xf numFmtId="0" fontId="6" fillId="0" borderId="7" xfId="0" applyFont="1" applyBorder="1"/>
    <xf numFmtId="0" fontId="6" fillId="0" borderId="8" xfId="0" applyFont="1" applyBorder="1"/>
    <xf numFmtId="0" fontId="5" fillId="0" borderId="0" xfId="0" applyFont="1" applyAlignment="1">
      <alignment horizontal="left" vertical="center" wrapText="1"/>
    </xf>
    <xf numFmtId="0" fontId="0" fillId="0" borderId="0" xfId="0" applyFont="1" applyAlignment="1"/>
    <xf numFmtId="0" fontId="4" fillId="0" borderId="0" xfId="0" applyFont="1" applyAlignment="1">
      <alignment horizontal="center"/>
    </xf>
    <xf numFmtId="0" fontId="5" fillId="2" borderId="1" xfId="0" applyFont="1" applyFill="1" applyBorder="1" applyAlignment="1">
      <alignment horizontal="left" wrapText="1"/>
    </xf>
    <xf numFmtId="0" fontId="6" fillId="0" borderId="2" xfId="0" applyFont="1" applyBorder="1"/>
    <xf numFmtId="0" fontId="8" fillId="2" borderId="1" xfId="0" applyFont="1" applyFill="1" applyBorder="1" applyAlignment="1">
      <alignment horizontal="center" wrapText="1"/>
    </xf>
    <xf numFmtId="0" fontId="6" fillId="0" borderId="15" xfId="0" applyFont="1" applyBorder="1"/>
    <xf numFmtId="0" fontId="6" fillId="0" borderId="3" xfId="0" applyFont="1" applyBorder="1" applyAlignment="1">
      <alignment horizontal="left" vertical="center"/>
    </xf>
    <xf numFmtId="0" fontId="6" fillId="0" borderId="16" xfId="0" applyFont="1" applyBorder="1" applyAlignment="1">
      <alignment horizontal="left" vertical="center"/>
    </xf>
    <xf numFmtId="0" fontId="12" fillId="2" borderId="3" xfId="0" applyFont="1" applyFill="1" applyBorder="1" applyAlignment="1">
      <alignment horizontal="left" vertical="center"/>
    </xf>
    <xf numFmtId="0" fontId="9" fillId="21" borderId="11" xfId="0" applyFont="1" applyFill="1" applyBorder="1" applyAlignment="1">
      <alignment horizontal="left" vertical="center" wrapText="1"/>
    </xf>
    <xf numFmtId="0" fontId="9" fillId="21" borderId="12" xfId="0" applyFont="1" applyFill="1" applyBorder="1" applyAlignment="1">
      <alignment horizontal="left" vertical="center" wrapText="1"/>
    </xf>
    <xf numFmtId="0" fontId="8" fillId="2" borderId="16" xfId="0" applyFont="1" applyFill="1" applyBorder="1" applyAlignment="1">
      <alignment horizontal="left" vertical="center" wrapText="1"/>
    </xf>
    <xf numFmtId="0" fontId="8" fillId="2" borderId="3" xfId="0" applyFont="1" applyFill="1" applyBorder="1" applyAlignment="1">
      <alignment horizontal="center" wrapText="1"/>
    </xf>
    <xf numFmtId="0" fontId="8" fillId="2" borderId="16" xfId="0" applyFont="1" applyFill="1" applyBorder="1" applyAlignment="1">
      <alignment horizontal="center" wrapText="1"/>
    </xf>
    <xf numFmtId="0" fontId="12" fillId="2" borderId="16" xfId="0" applyFont="1" applyFill="1" applyBorder="1" applyAlignment="1">
      <alignment horizontal="left" vertical="center"/>
    </xf>
    <xf numFmtId="0" fontId="8" fillId="2" borderId="3" xfId="0" applyFont="1" applyFill="1" applyBorder="1" applyAlignment="1">
      <alignment horizontal="left" wrapText="1"/>
    </xf>
    <xf numFmtId="0" fontId="6" fillId="0" borderId="3" xfId="0" applyFont="1" applyBorder="1" applyAlignment="1"/>
    <xf numFmtId="0" fontId="6" fillId="0" borderId="16" xfId="0" applyFont="1" applyBorder="1" applyAlignment="1"/>
    <xf numFmtId="0" fontId="36" fillId="0" borderId="34" xfId="45" applyFont="1" applyBorder="1" applyAlignment="1">
      <alignment horizontal="left" vertical="center" wrapText="1"/>
    </xf>
    <xf numFmtId="0" fontId="39" fillId="0" borderId="33" xfId="45" applyFont="1" applyBorder="1" applyAlignment="1">
      <alignment horizontal="left" vertical="center" wrapText="1"/>
    </xf>
    <xf numFmtId="0" fontId="38" fillId="23" borderId="34" xfId="45" applyFont="1" applyFill="1" applyBorder="1" applyAlignment="1">
      <alignment horizontal="left" vertical="center" wrapText="1" indent="1"/>
    </xf>
    <xf numFmtId="0" fontId="39" fillId="0" borderId="35" xfId="45" applyFont="1" applyBorder="1" applyAlignment="1">
      <alignment horizontal="left" vertical="center" wrapText="1"/>
    </xf>
    <xf numFmtId="0" fontId="40" fillId="23" borderId="34" xfId="45" applyFont="1" applyFill="1" applyBorder="1" applyAlignment="1">
      <alignment horizontal="left" vertical="center" wrapText="1" indent="1"/>
    </xf>
    <xf numFmtId="166" fontId="39" fillId="23" borderId="34" xfId="45" applyNumberFormat="1" applyFont="1" applyFill="1" applyBorder="1" applyAlignment="1">
      <alignment horizontal="center" vertical="center"/>
    </xf>
    <xf numFmtId="0" fontId="39" fillId="0" borderId="36" xfId="45" applyFont="1" applyBorder="1" applyAlignment="1">
      <alignment horizontal="left" vertical="center"/>
    </xf>
    <xf numFmtId="0" fontId="2" fillId="4" borderId="37" xfId="45" applyFont="1" applyFill="1" applyBorder="1" applyAlignment="1">
      <alignment horizontal="left" vertical="center" wrapText="1" indent="1"/>
    </xf>
    <xf numFmtId="0" fontId="40" fillId="0" borderId="36" xfId="45" applyFont="1" applyBorder="1" applyAlignment="1">
      <alignment horizontal="center" vertical="center"/>
    </xf>
    <xf numFmtId="0" fontId="40" fillId="0" borderId="38" xfId="45" applyFont="1" applyBorder="1" applyAlignment="1">
      <alignment horizontal="center" vertical="center" wrapText="1"/>
    </xf>
    <xf numFmtId="0" fontId="40" fillId="0" borderId="37" xfId="45" applyFont="1" applyBorder="1" applyAlignment="1">
      <alignment horizontal="center" vertical="center" wrapText="1"/>
    </xf>
    <xf numFmtId="0" fontId="37" fillId="0" borderId="3" xfId="45" applyFont="1" applyBorder="1" applyAlignment="1">
      <alignment horizontal="center" vertical="center"/>
    </xf>
    <xf numFmtId="0" fontId="6" fillId="4" borderId="52" xfId="0" applyFont="1" applyFill="1" applyBorder="1" applyAlignment="1">
      <alignment horizontal="left" vertical="center" wrapText="1" indent="1"/>
    </xf>
    <xf numFmtId="0" fontId="34" fillId="4" borderId="52" xfId="0" applyFont="1" applyFill="1" applyBorder="1" applyAlignment="1">
      <alignment horizontal="left" vertical="center" wrapText="1" indent="1"/>
    </xf>
    <xf numFmtId="0" fontId="6" fillId="0" borderId="51" xfId="0" applyFont="1" applyBorder="1" applyAlignment="1">
      <alignment horizontal="left" vertical="center" wrapText="1"/>
    </xf>
    <xf numFmtId="0" fontId="0" fillId="0" borderId="51" xfId="0" applyBorder="1" applyAlignment="1">
      <alignment horizontal="left" vertical="center" wrapText="1"/>
    </xf>
    <xf numFmtId="0" fontId="6" fillId="0" borderId="51" xfId="0" applyFont="1" applyBorder="1" applyAlignment="1">
      <alignment horizontal="left" vertical="center"/>
    </xf>
    <xf numFmtId="0" fontId="0" fillId="0" borderId="51" xfId="0" applyBorder="1" applyAlignment="1">
      <alignment horizontal="left" vertical="center"/>
    </xf>
    <xf numFmtId="0" fontId="42" fillId="23" borderId="52" xfId="0" applyFont="1" applyFill="1" applyBorder="1" applyAlignment="1">
      <alignment horizontal="left" vertical="center" wrapText="1"/>
    </xf>
    <xf numFmtId="0" fontId="0" fillId="0" borderId="41" xfId="0" applyBorder="1"/>
    <xf numFmtId="0" fontId="42" fillId="0" borderId="39" xfId="0" applyFont="1" applyBorder="1" applyAlignment="1">
      <alignment vertical="center" wrapText="1"/>
    </xf>
    <xf numFmtId="0" fontId="42" fillId="0" borderId="53" xfId="0" applyFont="1" applyBorder="1" applyAlignment="1">
      <alignment vertical="center" wrapText="1"/>
    </xf>
    <xf numFmtId="0" fontId="42" fillId="0" borderId="37" xfId="0" applyFont="1" applyBorder="1" applyAlignment="1">
      <alignment vertical="center" wrapText="1"/>
    </xf>
    <xf numFmtId="0" fontId="44" fillId="0" borderId="46" xfId="0" applyFont="1" applyBorder="1" applyAlignment="1">
      <alignment vertical="center" wrapText="1"/>
    </xf>
    <xf numFmtId="0" fontId="6" fillId="0" borderId="50" xfId="0" applyFont="1" applyBorder="1" applyAlignment="1">
      <alignment horizontal="left" vertical="center" wrapText="1"/>
    </xf>
    <xf numFmtId="0" fontId="0" fillId="0" borderId="50" xfId="0" applyBorder="1" applyAlignment="1">
      <alignment horizontal="left" vertical="center" wrapText="1"/>
    </xf>
    <xf numFmtId="0" fontId="36" fillId="0" borderId="33" xfId="0" applyFont="1" applyBorder="1" applyAlignment="1">
      <alignment horizontal="left" vertical="center" wrapText="1"/>
    </xf>
    <xf numFmtId="0" fontId="36" fillId="0" borderId="54" xfId="0" applyFont="1" applyBorder="1" applyAlignment="1">
      <alignment horizontal="left" vertical="center" wrapText="1"/>
    </xf>
    <xf numFmtId="0" fontId="36" fillId="0" borderId="55" xfId="0" applyFont="1" applyBorder="1" applyAlignment="1">
      <alignment horizontal="left" vertical="center" wrapText="1"/>
    </xf>
    <xf numFmtId="0" fontId="47" fillId="0" borderId="31" xfId="0" applyFont="1" applyBorder="1" applyAlignment="1">
      <alignment horizontal="left" indent="1"/>
    </xf>
    <xf numFmtId="0" fontId="34" fillId="0" borderId="31" xfId="0" applyFont="1" applyBorder="1" applyAlignment="1">
      <alignment horizontal="left" indent="1"/>
    </xf>
    <xf numFmtId="0" fontId="45" fillId="0" borderId="31" xfId="0" applyFont="1" applyBorder="1" applyAlignment="1">
      <alignment horizontal="left"/>
    </xf>
    <xf numFmtId="0" fontId="44" fillId="0" borderId="42" xfId="0" applyFont="1" applyBorder="1"/>
    <xf numFmtId="0" fontId="44" fillId="0" borderId="43" xfId="0" applyFont="1" applyBorder="1" applyAlignment="1">
      <alignment horizontal="left" vertical="center" wrapText="1" indent="1"/>
    </xf>
    <xf numFmtId="0" fontId="46" fillId="0" borderId="41" xfId="0" applyFont="1" applyBorder="1" applyAlignment="1">
      <alignment horizontal="center" vertical="center"/>
    </xf>
    <xf numFmtId="0" fontId="46" fillId="0" borderId="31" xfId="0" applyFont="1" applyBorder="1" applyAlignment="1">
      <alignment horizontal="center" vertical="center"/>
    </xf>
    <xf numFmtId="0" fontId="46" fillId="0" borderId="41" xfId="0" applyFont="1" applyBorder="1" applyAlignment="1">
      <alignment horizontal="center" vertical="center" wrapText="1"/>
    </xf>
    <xf numFmtId="0" fontId="46" fillId="0" borderId="46" xfId="0" applyFont="1" applyBorder="1" applyAlignment="1">
      <alignment horizontal="center" vertical="center"/>
    </xf>
    <xf numFmtId="0" fontId="44" fillId="0" borderId="31" xfId="0" applyFont="1" applyBorder="1" applyAlignment="1">
      <alignment horizontal="left" indent="1"/>
    </xf>
    <xf numFmtId="0" fontId="0" fillId="0" borderId="39" xfId="0" applyBorder="1" applyAlignment="1">
      <alignment horizontal="center"/>
    </xf>
    <xf numFmtId="3" fontId="42" fillId="0" borderId="40" xfId="0" applyNumberFormat="1" applyFont="1" applyBorder="1" applyAlignment="1">
      <alignment horizontal="center"/>
    </xf>
    <xf numFmtId="0" fontId="43" fillId="0" borderId="31" xfId="0" applyFont="1" applyBorder="1" applyAlignment="1">
      <alignment horizontal="center" vertical="center" wrapText="1"/>
    </xf>
    <xf numFmtId="0" fontId="34" fillId="0" borderId="31" xfId="0" applyFont="1" applyBorder="1"/>
  </cellXfs>
  <cellStyles count="50">
    <cellStyle name="20% - Énfasis1 2" xfId="3" xr:uid="{00000000-0005-0000-0000-000000000000}"/>
    <cellStyle name="20% - Énfasis2 2" xfId="4" xr:uid="{00000000-0005-0000-0000-000001000000}"/>
    <cellStyle name="20% - Énfasis3 2" xfId="5" xr:uid="{00000000-0005-0000-0000-000002000000}"/>
    <cellStyle name="20% - Énfasis4 2" xfId="6" xr:uid="{00000000-0005-0000-0000-000003000000}"/>
    <cellStyle name="20% - Énfasis5 2" xfId="7" xr:uid="{00000000-0005-0000-0000-000004000000}"/>
    <cellStyle name="20% - Énfasis6 2" xfId="8" xr:uid="{00000000-0005-0000-0000-000005000000}"/>
    <cellStyle name="40% - Énfasis1 2" xfId="9" xr:uid="{00000000-0005-0000-0000-000006000000}"/>
    <cellStyle name="40% - Énfasis2 2" xfId="10" xr:uid="{00000000-0005-0000-0000-000007000000}"/>
    <cellStyle name="40% - Énfasis3 2" xfId="11" xr:uid="{00000000-0005-0000-0000-000008000000}"/>
    <cellStyle name="40% - Énfasis4 2" xfId="12" xr:uid="{00000000-0005-0000-0000-000009000000}"/>
    <cellStyle name="40% - Énfasis5 2" xfId="13" xr:uid="{00000000-0005-0000-0000-00000A000000}"/>
    <cellStyle name="40% - Énfasis6 2" xfId="14" xr:uid="{00000000-0005-0000-0000-00000B000000}"/>
    <cellStyle name="60% - Énfasis1 2" xfId="15" xr:uid="{00000000-0005-0000-0000-00000C000000}"/>
    <cellStyle name="60% - Énfasis2 2" xfId="16" xr:uid="{00000000-0005-0000-0000-00000D000000}"/>
    <cellStyle name="60% - Énfasis3 2" xfId="17" xr:uid="{00000000-0005-0000-0000-00000E000000}"/>
    <cellStyle name="60% - Énfasis4 2" xfId="18" xr:uid="{00000000-0005-0000-0000-00000F000000}"/>
    <cellStyle name="60% - Énfasis5 2" xfId="19" xr:uid="{00000000-0005-0000-0000-000010000000}"/>
    <cellStyle name="60% - Énfasis6 2" xfId="20" xr:uid="{00000000-0005-0000-0000-000011000000}"/>
    <cellStyle name="Buena 2" xfId="21" xr:uid="{00000000-0005-0000-0000-000012000000}"/>
    <cellStyle name="Cálculo 2" xfId="22" xr:uid="{00000000-0005-0000-0000-000013000000}"/>
    <cellStyle name="Celda de comprobación 2" xfId="23" xr:uid="{00000000-0005-0000-0000-000014000000}"/>
    <cellStyle name="Celda vinculada 2" xfId="24" xr:uid="{00000000-0005-0000-0000-000015000000}"/>
    <cellStyle name="Encabezado 1" xfId="25" xr:uid="{00000000-0005-0000-0000-000016000000}"/>
    <cellStyle name="Encabezado 1 2" xfId="47" xr:uid="{00000000-0005-0000-0000-000017000000}"/>
    <cellStyle name="Encabezado 4 2" xfId="26" xr:uid="{00000000-0005-0000-0000-000018000000}"/>
    <cellStyle name="Énfasis1 2" xfId="27" xr:uid="{00000000-0005-0000-0000-000019000000}"/>
    <cellStyle name="Énfasis2 2" xfId="28" xr:uid="{00000000-0005-0000-0000-00001A000000}"/>
    <cellStyle name="Énfasis3 2" xfId="29" xr:uid="{00000000-0005-0000-0000-00001B000000}"/>
    <cellStyle name="Énfasis4 2" xfId="30" xr:uid="{00000000-0005-0000-0000-00001C000000}"/>
    <cellStyle name="Énfasis5 2" xfId="31" xr:uid="{00000000-0005-0000-0000-00001D000000}"/>
    <cellStyle name="Énfasis6 2" xfId="32" xr:uid="{00000000-0005-0000-0000-00001E000000}"/>
    <cellStyle name="Entrada 2" xfId="33" xr:uid="{00000000-0005-0000-0000-00001F000000}"/>
    <cellStyle name="Incorrecto 2" xfId="34" xr:uid="{00000000-0005-0000-0000-000020000000}"/>
    <cellStyle name="Moneda 2" xfId="46" xr:uid="{00000000-0005-0000-0000-000021000000}"/>
    <cellStyle name="Moneda_AUTORIZACION Y NOTA DE PEDIDO" xfId="48" xr:uid="{00000000-0005-0000-0000-000022000000}"/>
    <cellStyle name="Neutral 1" xfId="35" xr:uid="{00000000-0005-0000-0000-000023000000}"/>
    <cellStyle name="Neutral 1 2" xfId="49" xr:uid="{00000000-0005-0000-0000-000024000000}"/>
    <cellStyle name="Normal" xfId="0" builtinId="0"/>
    <cellStyle name="Normal 2" xfId="2" xr:uid="{00000000-0005-0000-0000-000026000000}"/>
    <cellStyle name="Normal 3" xfId="44" xr:uid="{00000000-0005-0000-0000-000027000000}"/>
    <cellStyle name="Normal 4" xfId="1" xr:uid="{00000000-0005-0000-0000-000028000000}"/>
    <cellStyle name="Normal 5" xfId="45" xr:uid="{00000000-0005-0000-0000-000029000000}"/>
    <cellStyle name="Notas 2" xfId="36" xr:uid="{00000000-0005-0000-0000-00002A000000}"/>
    <cellStyle name="Salida 2" xfId="37" xr:uid="{00000000-0005-0000-0000-00002B000000}"/>
    <cellStyle name="Texto de advertencia 2" xfId="38" xr:uid="{00000000-0005-0000-0000-00002C000000}"/>
    <cellStyle name="Texto explicativo 2" xfId="39" xr:uid="{00000000-0005-0000-0000-00002D000000}"/>
    <cellStyle name="Título 2 2" xfId="41" xr:uid="{00000000-0005-0000-0000-00002E000000}"/>
    <cellStyle name="Título 3 2" xfId="42" xr:uid="{00000000-0005-0000-0000-00002F000000}"/>
    <cellStyle name="Título 4" xfId="40" xr:uid="{00000000-0005-0000-0000-000030000000}"/>
    <cellStyle name="Total 2" xfId="43" xr:uid="{00000000-0005-0000-0000-00003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RUIZ%202021/TRAMITES%20COMPRAR/bienes%20de%20capital/BIENES%20DE%20CAPITAL%20DE%20AGUSTIN/NecesidadesTrimestrales-NP-APG%20bienes%20de%20capit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ecesidades Trimestrales"/>
      <sheetName val=" NotaPedido"/>
      <sheetName val="Autor Gastar"/>
    </sheetNames>
    <sheetDataSet>
      <sheetData sheetId="0">
        <row r="6">
          <cell r="C6">
            <v>2021</v>
          </cell>
        </row>
      </sheetData>
      <sheetData sheetId="1">
        <row r="3">
          <cell r="D3" t="str">
            <v>70 - MINISTERIO DE CIENCIA E INNOVACION TECNOLOGICA</v>
          </cell>
        </row>
        <row r="4">
          <cell r="D4" t="str">
            <v>20 - MINISTERIO DE CIENCIA E INNOVACION TECNOLOGICA</v>
          </cell>
        </row>
        <row r="6">
          <cell r="D6" t="str">
            <v>DIRECCION PROVINCIAL DE GESTION ADMINISTRATIVA RECURSOS HUMANOS</v>
          </cell>
        </row>
      </sheetData>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1360"/>
  <sheetViews>
    <sheetView tabSelected="1" zoomScale="62" zoomScaleNormal="62" workbookViewId="0">
      <selection activeCell="A172" sqref="A8:XFD172"/>
    </sheetView>
  </sheetViews>
  <sheetFormatPr baseColWidth="10" defaultColWidth="12.5703125" defaultRowHeight="15" customHeight="1" x14ac:dyDescent="0.2"/>
  <cols>
    <col min="1" max="1" width="6.42578125" customWidth="1"/>
    <col min="2" max="2" width="16.85546875" customWidth="1"/>
    <col min="3" max="3" width="39.7109375" customWidth="1"/>
    <col min="4" max="4" width="8.42578125" customWidth="1"/>
    <col min="5" max="5" width="139.7109375" customWidth="1"/>
    <col min="6" max="6" width="11" customWidth="1"/>
    <col min="7" max="7" width="15.42578125" customWidth="1"/>
    <col min="8" max="8" width="18.5703125" customWidth="1"/>
    <col min="9" max="9" width="22.85546875" customWidth="1"/>
  </cols>
  <sheetData>
    <row r="1" spans="1:9" x14ac:dyDescent="0.2">
      <c r="A1" s="1"/>
      <c r="B1" s="2"/>
      <c r="C1" s="3"/>
      <c r="D1" s="1"/>
      <c r="E1" s="4"/>
      <c r="F1" s="1"/>
      <c r="G1" s="1"/>
      <c r="H1" s="5"/>
      <c r="I1" s="1"/>
    </row>
    <row r="2" spans="1:9" ht="27" x14ac:dyDescent="0.35">
      <c r="A2" s="1"/>
      <c r="B2" s="89" t="s">
        <v>0</v>
      </c>
      <c r="C2" s="88"/>
      <c r="D2" s="88"/>
      <c r="E2" s="88"/>
      <c r="F2" s="88"/>
      <c r="G2" s="88"/>
      <c r="H2" s="88"/>
      <c r="I2" s="1"/>
    </row>
    <row r="3" spans="1:9" x14ac:dyDescent="0.2">
      <c r="A3" s="1"/>
      <c r="B3" s="2"/>
      <c r="C3" s="3"/>
      <c r="D3" s="1"/>
      <c r="E3" s="4"/>
      <c r="F3" s="1"/>
      <c r="G3" s="1"/>
      <c r="H3" s="5"/>
      <c r="I3" s="1"/>
    </row>
    <row r="4" spans="1:9" ht="18" customHeight="1" x14ac:dyDescent="0.25">
      <c r="A4" s="87" t="s">
        <v>1</v>
      </c>
      <c r="B4" s="88"/>
      <c r="C4" s="90" t="s">
        <v>14</v>
      </c>
      <c r="D4" s="91"/>
      <c r="E4" s="91"/>
      <c r="F4" s="6"/>
      <c r="G4" s="7"/>
      <c r="H4" s="8"/>
      <c r="I4" s="9"/>
    </row>
    <row r="5" spans="1:9" ht="18" customHeight="1" x14ac:dyDescent="0.25">
      <c r="A5" s="87" t="s">
        <v>2</v>
      </c>
      <c r="B5" s="88"/>
      <c r="C5" s="90" t="s">
        <v>15</v>
      </c>
      <c r="D5" s="91"/>
      <c r="E5" s="91"/>
      <c r="F5" s="6"/>
      <c r="G5" s="7"/>
      <c r="H5" s="8"/>
      <c r="I5" s="9"/>
    </row>
    <row r="6" spans="1:9" ht="16.5" customHeight="1" x14ac:dyDescent="0.25">
      <c r="A6" s="87" t="s">
        <v>3</v>
      </c>
      <c r="B6" s="88"/>
      <c r="C6" s="10">
        <v>2021</v>
      </c>
      <c r="D6" s="10"/>
      <c r="E6" s="11"/>
      <c r="F6" s="6"/>
      <c r="G6" s="7"/>
      <c r="H6" s="8"/>
      <c r="I6" s="9"/>
    </row>
    <row r="7" spans="1:9" ht="16.5" customHeight="1" thickBot="1" x14ac:dyDescent="0.3">
      <c r="A7" s="87" t="s">
        <v>4</v>
      </c>
      <c r="B7" s="88"/>
      <c r="C7" s="10">
        <v>4</v>
      </c>
      <c r="D7" s="10"/>
      <c r="E7" s="11"/>
      <c r="F7" s="6"/>
      <c r="G7" s="7"/>
      <c r="H7" s="8"/>
      <c r="I7" s="9"/>
    </row>
    <row r="8" spans="1:9" ht="48.75" customHeight="1" thickTop="1" x14ac:dyDescent="0.2">
      <c r="A8" s="77" t="s">
        <v>129</v>
      </c>
      <c r="B8" s="77" t="s">
        <v>130</v>
      </c>
      <c r="C8" s="77" t="s">
        <v>131</v>
      </c>
      <c r="D8" s="77" t="s">
        <v>132</v>
      </c>
      <c r="E8" s="77" t="s">
        <v>133</v>
      </c>
      <c r="F8" s="77" t="s">
        <v>134</v>
      </c>
      <c r="G8" s="77" t="s">
        <v>135</v>
      </c>
      <c r="H8" s="77" t="s">
        <v>136</v>
      </c>
      <c r="I8" s="77" t="s">
        <v>137</v>
      </c>
    </row>
    <row r="9" spans="1:9" s="31" customFormat="1" ht="30.75" customHeight="1" x14ac:dyDescent="0.2">
      <c r="A9" s="28">
        <v>1</v>
      </c>
      <c r="B9" s="28" t="s">
        <v>16</v>
      </c>
      <c r="C9" s="12" t="s">
        <v>17</v>
      </c>
      <c r="D9" s="12" t="str">
        <f t="shared" ref="D9:D24" si="0">LEFT(B9,5)</f>
        <v>4.3.5</v>
      </c>
      <c r="E9" s="15" t="s">
        <v>18</v>
      </c>
      <c r="F9" s="13" t="s">
        <v>5</v>
      </c>
      <c r="G9" s="38">
        <v>3</v>
      </c>
      <c r="H9" s="39">
        <v>185000</v>
      </c>
      <c r="I9" s="14">
        <f t="shared" ref="I9:I24" si="1">G9*H9</f>
        <v>555000</v>
      </c>
    </row>
    <row r="10" spans="1:9" s="31" customFormat="1" ht="30.75" customHeight="1" x14ac:dyDescent="0.2">
      <c r="A10" s="28">
        <v>2</v>
      </c>
      <c r="B10" s="28" t="s">
        <v>36</v>
      </c>
      <c r="C10" s="12" t="s">
        <v>8</v>
      </c>
      <c r="D10" s="12" t="str">
        <f t="shared" si="0"/>
        <v>4.3.5</v>
      </c>
      <c r="E10" s="15" t="s">
        <v>47</v>
      </c>
      <c r="F10" s="13" t="s">
        <v>5</v>
      </c>
      <c r="G10" s="38">
        <v>4</v>
      </c>
      <c r="H10" s="39">
        <v>10000</v>
      </c>
      <c r="I10" s="14">
        <f t="shared" si="1"/>
        <v>40000</v>
      </c>
    </row>
    <row r="11" spans="1:9" s="31" customFormat="1" ht="30.75" customHeight="1" x14ac:dyDescent="0.2">
      <c r="A11" s="28">
        <v>3</v>
      </c>
      <c r="B11" s="28" t="s">
        <v>37</v>
      </c>
      <c r="C11" s="12" t="s">
        <v>7</v>
      </c>
      <c r="D11" s="12" t="str">
        <f t="shared" si="0"/>
        <v>4.3.7</v>
      </c>
      <c r="E11" s="15" t="s">
        <v>48</v>
      </c>
      <c r="F11" s="13" t="s">
        <v>5</v>
      </c>
      <c r="G11" s="38">
        <v>6</v>
      </c>
      <c r="H11" s="39">
        <v>34800</v>
      </c>
      <c r="I11" s="14">
        <f t="shared" si="1"/>
        <v>208800</v>
      </c>
    </row>
    <row r="12" spans="1:9" s="31" customFormat="1" ht="30.75" customHeight="1" x14ac:dyDescent="0.2">
      <c r="A12" s="28">
        <v>4</v>
      </c>
      <c r="B12" s="28" t="s">
        <v>38</v>
      </c>
      <c r="C12" s="12" t="s">
        <v>8</v>
      </c>
      <c r="D12" s="12" t="str">
        <f t="shared" si="0"/>
        <v>4.3.6</v>
      </c>
      <c r="E12" s="15" t="s">
        <v>49</v>
      </c>
      <c r="F12" s="13" t="s">
        <v>5</v>
      </c>
      <c r="G12" s="38">
        <v>16</v>
      </c>
      <c r="H12" s="39">
        <v>43200</v>
      </c>
      <c r="I12" s="14">
        <f t="shared" si="1"/>
        <v>691200</v>
      </c>
    </row>
    <row r="13" spans="1:9" s="31" customFormat="1" ht="30.75" customHeight="1" x14ac:dyDescent="0.2">
      <c r="A13" s="28">
        <v>5</v>
      </c>
      <c r="B13" s="28" t="s">
        <v>39</v>
      </c>
      <c r="C13" s="12" t="s">
        <v>7</v>
      </c>
      <c r="D13" s="12" t="str">
        <f t="shared" si="0"/>
        <v>4.3.7</v>
      </c>
      <c r="E13" s="15" t="s">
        <v>50</v>
      </c>
      <c r="F13" s="13" t="s">
        <v>5</v>
      </c>
      <c r="G13" s="38">
        <v>80</v>
      </c>
      <c r="H13" s="39">
        <v>7900</v>
      </c>
      <c r="I13" s="14">
        <f t="shared" si="1"/>
        <v>632000</v>
      </c>
    </row>
    <row r="14" spans="1:9" s="40" customFormat="1" ht="30.75" customHeight="1" x14ac:dyDescent="0.2">
      <c r="A14" s="28">
        <v>6</v>
      </c>
      <c r="B14" s="28" t="s">
        <v>68</v>
      </c>
      <c r="C14" s="12" t="s">
        <v>7</v>
      </c>
      <c r="D14" s="12" t="str">
        <f t="shared" si="0"/>
        <v>4.3.7</v>
      </c>
      <c r="E14" s="15" t="s">
        <v>69</v>
      </c>
      <c r="F14" s="13" t="s">
        <v>5</v>
      </c>
      <c r="G14" s="38">
        <v>8</v>
      </c>
      <c r="H14" s="39">
        <v>15000</v>
      </c>
      <c r="I14" s="14">
        <f t="shared" si="1"/>
        <v>120000</v>
      </c>
    </row>
    <row r="15" spans="1:9" s="31" customFormat="1" ht="30.75" customHeight="1" x14ac:dyDescent="0.2">
      <c r="A15" s="28">
        <v>7</v>
      </c>
      <c r="B15" s="28" t="s">
        <v>40</v>
      </c>
      <c r="C15" s="12" t="s">
        <v>7</v>
      </c>
      <c r="D15" s="12" t="str">
        <f t="shared" si="0"/>
        <v>4.3.7</v>
      </c>
      <c r="E15" s="15" t="s">
        <v>51</v>
      </c>
      <c r="F15" s="13" t="s">
        <v>5</v>
      </c>
      <c r="G15" s="38">
        <v>16</v>
      </c>
      <c r="H15" s="39">
        <v>34500</v>
      </c>
      <c r="I15" s="14">
        <f t="shared" si="1"/>
        <v>552000</v>
      </c>
    </row>
    <row r="16" spans="1:9" s="31" customFormat="1" ht="30.75" customHeight="1" x14ac:dyDescent="0.2">
      <c r="A16" s="28">
        <v>8</v>
      </c>
      <c r="B16" s="28" t="s">
        <v>41</v>
      </c>
      <c r="C16" s="12" t="s">
        <v>17</v>
      </c>
      <c r="D16" s="12" t="str">
        <f t="shared" si="0"/>
        <v>4.3.5</v>
      </c>
      <c r="E16" s="15" t="s">
        <v>52</v>
      </c>
      <c r="F16" s="13" t="s">
        <v>5</v>
      </c>
      <c r="G16" s="38">
        <v>4</v>
      </c>
      <c r="H16" s="39">
        <v>110000</v>
      </c>
      <c r="I16" s="14">
        <f t="shared" si="1"/>
        <v>440000</v>
      </c>
    </row>
    <row r="17" spans="1:9" s="31" customFormat="1" ht="30.75" customHeight="1" x14ac:dyDescent="0.2">
      <c r="A17" s="28">
        <v>9</v>
      </c>
      <c r="B17" s="28" t="s">
        <v>42</v>
      </c>
      <c r="C17" s="12" t="s">
        <v>7</v>
      </c>
      <c r="D17" s="12" t="str">
        <f t="shared" si="0"/>
        <v>4.3.7</v>
      </c>
      <c r="E17" s="15" t="s">
        <v>53</v>
      </c>
      <c r="F17" s="13" t="s">
        <v>5</v>
      </c>
      <c r="G17" s="38">
        <v>4</v>
      </c>
      <c r="H17" s="39">
        <v>6200</v>
      </c>
      <c r="I17" s="14">
        <f t="shared" si="1"/>
        <v>24800</v>
      </c>
    </row>
    <row r="18" spans="1:9" s="31" customFormat="1" ht="30.75" customHeight="1" x14ac:dyDescent="0.2">
      <c r="A18" s="28">
        <v>10</v>
      </c>
      <c r="B18" s="28" t="s">
        <v>43</v>
      </c>
      <c r="C18" s="12" t="s">
        <v>8</v>
      </c>
      <c r="D18" s="12" t="str">
        <f t="shared" si="0"/>
        <v>4.3.5</v>
      </c>
      <c r="E18" s="15" t="s">
        <v>54</v>
      </c>
      <c r="F18" s="13" t="s">
        <v>5</v>
      </c>
      <c r="G18" s="38">
        <v>80</v>
      </c>
      <c r="H18" s="39">
        <v>2200</v>
      </c>
      <c r="I18" s="14">
        <f t="shared" si="1"/>
        <v>176000</v>
      </c>
    </row>
    <row r="19" spans="1:9" s="31" customFormat="1" ht="30.75" customHeight="1" x14ac:dyDescent="0.2">
      <c r="A19" s="28">
        <v>11</v>
      </c>
      <c r="B19" s="28" t="s">
        <v>43</v>
      </c>
      <c r="C19" s="12" t="s">
        <v>8</v>
      </c>
      <c r="D19" s="12" t="str">
        <f t="shared" si="0"/>
        <v>4.3.5</v>
      </c>
      <c r="E19" s="15" t="s">
        <v>54</v>
      </c>
      <c r="F19" s="13" t="s">
        <v>5</v>
      </c>
      <c r="G19" s="38">
        <v>80</v>
      </c>
      <c r="H19" s="39">
        <v>14999</v>
      </c>
      <c r="I19" s="14">
        <f t="shared" si="1"/>
        <v>1199920</v>
      </c>
    </row>
    <row r="20" spans="1:9" s="31" customFormat="1" ht="30.75" customHeight="1" x14ac:dyDescent="0.2">
      <c r="A20" s="28">
        <v>12</v>
      </c>
      <c r="B20" s="28" t="s">
        <v>44</v>
      </c>
      <c r="C20" s="12" t="s">
        <v>6</v>
      </c>
      <c r="D20" s="12" t="str">
        <f t="shared" si="0"/>
        <v>4.3.6</v>
      </c>
      <c r="E20" s="15" t="s">
        <v>55</v>
      </c>
      <c r="F20" s="13" t="s">
        <v>5</v>
      </c>
      <c r="G20" s="38">
        <v>24</v>
      </c>
      <c r="H20" s="39">
        <v>89999</v>
      </c>
      <c r="I20" s="14">
        <f t="shared" si="1"/>
        <v>2159976</v>
      </c>
    </row>
    <row r="21" spans="1:9" s="31" customFormat="1" ht="30.75" customHeight="1" x14ac:dyDescent="0.2">
      <c r="A21" s="28">
        <v>13</v>
      </c>
      <c r="B21" s="28" t="s">
        <v>45</v>
      </c>
      <c r="C21" s="12" t="s">
        <v>8</v>
      </c>
      <c r="D21" s="12" t="str">
        <f t="shared" si="0"/>
        <v>4.3.5</v>
      </c>
      <c r="E21" s="15" t="s">
        <v>56</v>
      </c>
      <c r="F21" s="13" t="s">
        <v>5</v>
      </c>
      <c r="G21" s="38">
        <v>8</v>
      </c>
      <c r="H21" s="39">
        <v>11800</v>
      </c>
      <c r="I21" s="14">
        <f t="shared" si="1"/>
        <v>94400</v>
      </c>
    </row>
    <row r="22" spans="1:9" s="31" customFormat="1" ht="30.75" customHeight="1" x14ac:dyDescent="0.2">
      <c r="A22" s="28">
        <v>14</v>
      </c>
      <c r="B22" s="28" t="s">
        <v>43</v>
      </c>
      <c r="C22" s="12" t="s">
        <v>8</v>
      </c>
      <c r="D22" s="12" t="str">
        <f t="shared" si="0"/>
        <v>4.3.5</v>
      </c>
      <c r="E22" s="15" t="s">
        <v>57</v>
      </c>
      <c r="F22" s="13" t="s">
        <v>5</v>
      </c>
      <c r="G22" s="38">
        <v>8</v>
      </c>
      <c r="H22" s="39">
        <v>99000</v>
      </c>
      <c r="I22" s="14">
        <f t="shared" si="1"/>
        <v>792000</v>
      </c>
    </row>
    <row r="23" spans="1:9" s="31" customFormat="1" ht="30.75" customHeight="1" x14ac:dyDescent="0.2">
      <c r="A23" s="28">
        <v>15</v>
      </c>
      <c r="B23" s="28" t="s">
        <v>43</v>
      </c>
      <c r="C23" s="12" t="s">
        <v>8</v>
      </c>
      <c r="D23" s="12" t="str">
        <f t="shared" si="0"/>
        <v>4.3.5</v>
      </c>
      <c r="E23" s="15" t="s">
        <v>54</v>
      </c>
      <c r="F23" s="13" t="s">
        <v>5</v>
      </c>
      <c r="G23" s="38">
        <v>8</v>
      </c>
      <c r="H23" s="39">
        <v>62140</v>
      </c>
      <c r="I23" s="14">
        <f t="shared" si="1"/>
        <v>497120</v>
      </c>
    </row>
    <row r="24" spans="1:9" s="31" customFormat="1" ht="30.75" customHeight="1" x14ac:dyDescent="0.2">
      <c r="A24" s="28">
        <v>16</v>
      </c>
      <c r="B24" s="28" t="s">
        <v>43</v>
      </c>
      <c r="C24" s="12" t="s">
        <v>8</v>
      </c>
      <c r="D24" s="12" t="str">
        <f t="shared" si="0"/>
        <v>4.3.5</v>
      </c>
      <c r="E24" s="15" t="s">
        <v>54</v>
      </c>
      <c r="F24" s="13" t="s">
        <v>5</v>
      </c>
      <c r="G24" s="38">
        <v>8</v>
      </c>
      <c r="H24" s="39">
        <v>9800</v>
      </c>
      <c r="I24" s="14">
        <f t="shared" si="1"/>
        <v>78400</v>
      </c>
    </row>
    <row r="25" spans="1:9" s="31" customFormat="1" ht="30.75" customHeight="1" x14ac:dyDescent="0.2">
      <c r="A25" s="84" t="s">
        <v>46</v>
      </c>
      <c r="B25" s="85"/>
      <c r="C25" s="85"/>
      <c r="D25" s="85"/>
      <c r="E25" s="85"/>
      <c r="F25" s="85"/>
      <c r="G25" s="85"/>
      <c r="H25" s="86"/>
      <c r="I25" s="16">
        <f>SUM(I9:I24)</f>
        <v>8261616</v>
      </c>
    </row>
    <row r="26" spans="1:9" s="31" customFormat="1" ht="30.75" customHeight="1" x14ac:dyDescent="0.25">
      <c r="A26" s="32"/>
      <c r="B26" s="33"/>
      <c r="C26" s="34"/>
      <c r="D26" s="32"/>
      <c r="E26" s="35"/>
      <c r="F26" s="32"/>
      <c r="G26" s="32"/>
      <c r="H26" s="36"/>
      <c r="I26" s="37"/>
    </row>
    <row r="27" spans="1:9" s="31" customFormat="1" ht="30.75" customHeight="1" x14ac:dyDescent="0.2">
      <c r="A27" s="1"/>
      <c r="B27" s="1"/>
      <c r="C27" s="1"/>
      <c r="D27" s="1"/>
      <c r="E27" s="1"/>
      <c r="F27" s="1"/>
      <c r="G27" s="1"/>
      <c r="H27" s="1"/>
      <c r="I27" s="1"/>
    </row>
    <row r="28" spans="1:9" ht="30.75" customHeight="1" thickBot="1" x14ac:dyDescent="0.25"/>
    <row r="29" spans="1:9" ht="30.75" customHeight="1" thickBot="1" x14ac:dyDescent="0.25">
      <c r="B29" s="78" t="s">
        <v>19</v>
      </c>
      <c r="C29" s="79"/>
      <c r="D29" s="79"/>
      <c r="E29" s="80"/>
    </row>
    <row r="30" spans="1:9" ht="42.75" customHeight="1" x14ac:dyDescent="0.2">
      <c r="B30" s="17" t="s">
        <v>9</v>
      </c>
      <c r="C30" s="9"/>
      <c r="D30" s="9"/>
      <c r="E30" s="18"/>
    </row>
    <row r="31" spans="1:9" ht="30.75" customHeight="1" x14ac:dyDescent="0.2">
      <c r="B31" s="17"/>
      <c r="C31" s="81" t="s">
        <v>59</v>
      </c>
      <c r="D31" s="82"/>
      <c r="E31" s="83"/>
    </row>
    <row r="32" spans="1:9" ht="42" customHeight="1" x14ac:dyDescent="0.2">
      <c r="B32" s="17" t="s">
        <v>10</v>
      </c>
      <c r="C32" s="9"/>
      <c r="D32" s="9"/>
      <c r="E32" s="18"/>
    </row>
    <row r="33" spans="1:9" ht="64.5" customHeight="1" x14ac:dyDescent="0.2">
      <c r="B33" s="19"/>
      <c r="C33" s="81" t="s">
        <v>70</v>
      </c>
      <c r="D33" s="82"/>
      <c r="E33" s="83"/>
    </row>
    <row r="34" spans="1:9" ht="11.25" customHeight="1" x14ac:dyDescent="0.2">
      <c r="B34" s="17" t="s">
        <v>11</v>
      </c>
      <c r="C34" s="20"/>
      <c r="D34" s="20"/>
      <c r="E34" s="21"/>
    </row>
    <row r="35" spans="1:9" ht="21" customHeight="1" x14ac:dyDescent="0.2">
      <c r="B35" s="19"/>
      <c r="C35" s="92"/>
      <c r="D35" s="91"/>
      <c r="E35" s="93"/>
    </row>
    <row r="36" spans="1:9" ht="0.75" customHeight="1" x14ac:dyDescent="0.2">
      <c r="B36" s="17" t="s">
        <v>12</v>
      </c>
      <c r="C36" s="22"/>
      <c r="D36" s="22"/>
      <c r="E36" s="23"/>
    </row>
    <row r="37" spans="1:9" ht="12" customHeight="1" x14ac:dyDescent="0.2">
      <c r="B37" s="19"/>
      <c r="C37" s="81" t="s">
        <v>58</v>
      </c>
      <c r="D37" s="94"/>
      <c r="E37" s="95"/>
    </row>
    <row r="38" spans="1:9" ht="30.75" customHeight="1" x14ac:dyDescent="0.2">
      <c r="B38" s="17" t="s">
        <v>13</v>
      </c>
      <c r="C38" s="20"/>
      <c r="D38" s="20"/>
      <c r="E38" s="21"/>
    </row>
    <row r="39" spans="1:9" ht="21.75" customHeight="1" x14ac:dyDescent="0.2">
      <c r="B39" s="17"/>
      <c r="C39" s="96" t="s">
        <v>20</v>
      </c>
      <c r="D39" s="94"/>
      <c r="E39" s="95"/>
    </row>
    <row r="40" spans="1:9" s="27" customFormat="1" ht="30.75" customHeight="1" thickBot="1" x14ac:dyDescent="0.25">
      <c r="A40"/>
      <c r="B40" s="24"/>
      <c r="C40" s="25"/>
      <c r="D40" s="25"/>
      <c r="E40" s="26"/>
      <c r="F40"/>
      <c r="G40"/>
      <c r="H40"/>
      <c r="I40"/>
    </row>
    <row r="41" spans="1:9" ht="30.75" customHeight="1" thickBot="1" x14ac:dyDescent="0.25"/>
    <row r="42" spans="1:9" ht="30.75" customHeight="1" thickBot="1" x14ac:dyDescent="0.25">
      <c r="B42" s="78" t="s">
        <v>21</v>
      </c>
      <c r="C42" s="79"/>
      <c r="D42" s="79"/>
      <c r="E42" s="80"/>
    </row>
    <row r="43" spans="1:9" ht="30.75" customHeight="1" x14ac:dyDescent="0.2">
      <c r="B43" s="17" t="s">
        <v>9</v>
      </c>
      <c r="C43" s="9"/>
      <c r="D43" s="9"/>
      <c r="E43" s="18"/>
    </row>
    <row r="44" spans="1:9" ht="35.25" customHeight="1" x14ac:dyDescent="0.2">
      <c r="B44" s="17"/>
      <c r="C44" s="81" t="s">
        <v>126</v>
      </c>
      <c r="D44" s="82"/>
      <c r="E44" s="83"/>
    </row>
    <row r="45" spans="1:9" ht="12.75" customHeight="1" x14ac:dyDescent="0.2">
      <c r="B45" s="17" t="s">
        <v>10</v>
      </c>
      <c r="C45" s="9"/>
      <c r="D45" s="9"/>
      <c r="E45" s="18"/>
    </row>
    <row r="46" spans="1:9" ht="65.25" customHeight="1" x14ac:dyDescent="0.2">
      <c r="B46" s="19"/>
      <c r="C46" s="81" t="s">
        <v>70</v>
      </c>
      <c r="D46" s="82"/>
      <c r="E46" s="83"/>
    </row>
    <row r="47" spans="1:9" ht="13.5" customHeight="1" x14ac:dyDescent="0.2">
      <c r="B47" s="17" t="s">
        <v>11</v>
      </c>
      <c r="C47" s="20"/>
      <c r="D47" s="20"/>
      <c r="E47" s="21"/>
    </row>
    <row r="48" spans="1:9" ht="3" customHeight="1" x14ac:dyDescent="0.2">
      <c r="B48" s="19"/>
      <c r="C48" s="92"/>
      <c r="D48" s="91"/>
      <c r="E48" s="93"/>
    </row>
    <row r="49" spans="2:5" ht="30.75" customHeight="1" x14ac:dyDescent="0.2">
      <c r="B49" s="17" t="s">
        <v>12</v>
      </c>
      <c r="C49" s="22"/>
      <c r="D49" s="22"/>
      <c r="E49" s="23"/>
    </row>
    <row r="50" spans="2:5" ht="30.75" customHeight="1" x14ac:dyDescent="0.2">
      <c r="B50" s="19"/>
      <c r="C50" s="81" t="s">
        <v>58</v>
      </c>
      <c r="D50" s="94"/>
      <c r="E50" s="95"/>
    </row>
    <row r="51" spans="2:5" ht="30.75" customHeight="1" x14ac:dyDescent="0.2">
      <c r="B51" s="17" t="s">
        <v>13</v>
      </c>
      <c r="C51" s="20"/>
      <c r="D51" s="20"/>
      <c r="E51" s="21"/>
    </row>
    <row r="52" spans="2:5" ht="30.75" customHeight="1" x14ac:dyDescent="0.2">
      <c r="B52" s="17"/>
      <c r="C52" s="96" t="s">
        <v>20</v>
      </c>
      <c r="D52" s="94"/>
      <c r="E52" s="95"/>
    </row>
    <row r="53" spans="2:5" ht="30.75" customHeight="1" thickBot="1" x14ac:dyDescent="0.25">
      <c r="B53" s="24"/>
      <c r="C53" s="25"/>
      <c r="D53" s="25"/>
      <c r="E53" s="26"/>
    </row>
    <row r="54" spans="2:5" ht="30.75" customHeight="1" thickBot="1" x14ac:dyDescent="0.25"/>
    <row r="55" spans="2:5" ht="30.75" customHeight="1" thickBot="1" x14ac:dyDescent="0.25">
      <c r="B55" s="78" t="s">
        <v>22</v>
      </c>
      <c r="C55" s="79"/>
      <c r="D55" s="79"/>
      <c r="E55" s="80"/>
    </row>
    <row r="56" spans="2:5" ht="30.75" customHeight="1" x14ac:dyDescent="0.2">
      <c r="B56" s="17" t="s">
        <v>9</v>
      </c>
      <c r="C56" s="9"/>
      <c r="D56" s="9"/>
      <c r="E56" s="18"/>
    </row>
    <row r="57" spans="2:5" ht="30.75" customHeight="1" x14ac:dyDescent="0.2">
      <c r="B57" s="17"/>
      <c r="C57" s="81" t="s">
        <v>60</v>
      </c>
      <c r="D57" s="82"/>
      <c r="E57" s="83"/>
    </row>
    <row r="58" spans="2:5" ht="30.75" customHeight="1" x14ac:dyDescent="0.2">
      <c r="B58" s="17" t="s">
        <v>10</v>
      </c>
      <c r="C58" s="9"/>
      <c r="D58" s="9"/>
      <c r="E58" s="18"/>
    </row>
    <row r="59" spans="2:5" ht="77.25" customHeight="1" x14ac:dyDescent="0.2">
      <c r="B59" s="19"/>
      <c r="C59" s="81" t="s">
        <v>70</v>
      </c>
      <c r="D59" s="82"/>
      <c r="E59" s="83"/>
    </row>
    <row r="60" spans="2:5" ht="30.75" customHeight="1" x14ac:dyDescent="0.2">
      <c r="B60" s="17" t="s">
        <v>11</v>
      </c>
      <c r="C60" s="20"/>
      <c r="D60" s="20"/>
      <c r="E60" s="21"/>
    </row>
    <row r="61" spans="2:5" ht="8.25" customHeight="1" x14ac:dyDescent="0.2">
      <c r="B61" s="19"/>
      <c r="C61" s="92"/>
      <c r="D61" s="91"/>
      <c r="E61" s="93"/>
    </row>
    <row r="62" spans="2:5" ht="13.5" customHeight="1" x14ac:dyDescent="0.2">
      <c r="B62" s="17" t="s">
        <v>12</v>
      </c>
      <c r="C62" s="22"/>
      <c r="D62" s="22"/>
      <c r="E62" s="23"/>
    </row>
    <row r="63" spans="2:5" ht="30.75" customHeight="1" x14ac:dyDescent="0.2">
      <c r="B63" s="19"/>
      <c r="C63" s="81" t="s">
        <v>58</v>
      </c>
      <c r="D63" s="94"/>
      <c r="E63" s="95"/>
    </row>
    <row r="64" spans="2:5" ht="30.75" customHeight="1" x14ac:dyDescent="0.2">
      <c r="B64" s="17" t="s">
        <v>13</v>
      </c>
      <c r="C64" s="20"/>
      <c r="D64" s="20"/>
      <c r="E64" s="21"/>
    </row>
    <row r="65" spans="2:5" ht="30.75" customHeight="1" x14ac:dyDescent="0.2">
      <c r="B65" s="17"/>
      <c r="C65" s="96" t="s">
        <v>20</v>
      </c>
      <c r="D65" s="94"/>
      <c r="E65" s="95"/>
    </row>
    <row r="66" spans="2:5" ht="28.5" customHeight="1" thickBot="1" x14ac:dyDescent="0.25">
      <c r="B66" s="24"/>
      <c r="C66" s="25"/>
      <c r="D66" s="25"/>
      <c r="E66" s="26"/>
    </row>
    <row r="67" spans="2:5" ht="15.75" customHeight="1" thickBot="1" x14ac:dyDescent="0.25"/>
    <row r="68" spans="2:5" ht="29.25" customHeight="1" thickBot="1" x14ac:dyDescent="0.25">
      <c r="B68" s="78" t="s">
        <v>23</v>
      </c>
      <c r="C68" s="79"/>
      <c r="D68" s="79"/>
      <c r="E68" s="80"/>
    </row>
    <row r="69" spans="2:5" ht="29.25" customHeight="1" x14ac:dyDescent="0.2">
      <c r="B69" s="17" t="s">
        <v>9</v>
      </c>
      <c r="C69" s="9"/>
      <c r="D69" s="9"/>
      <c r="E69" s="18"/>
    </row>
    <row r="70" spans="2:5" ht="53.25" customHeight="1" x14ac:dyDescent="0.2">
      <c r="B70" s="17"/>
      <c r="C70" s="81" t="s">
        <v>71</v>
      </c>
      <c r="D70" s="82"/>
      <c r="E70" s="83"/>
    </row>
    <row r="71" spans="2:5" ht="29.25" customHeight="1" x14ac:dyDescent="0.2">
      <c r="B71" s="17" t="s">
        <v>10</v>
      </c>
      <c r="C71" s="9"/>
      <c r="D71" s="9"/>
      <c r="E71" s="18"/>
    </row>
    <row r="72" spans="2:5" ht="69.75" customHeight="1" x14ac:dyDescent="0.2">
      <c r="B72" s="19"/>
      <c r="C72" s="81" t="s">
        <v>70</v>
      </c>
      <c r="D72" s="82"/>
      <c r="E72" s="83"/>
    </row>
    <row r="73" spans="2:5" ht="29.25" customHeight="1" x14ac:dyDescent="0.2">
      <c r="B73" s="17" t="s">
        <v>11</v>
      </c>
      <c r="C73" s="20"/>
      <c r="D73" s="20"/>
      <c r="E73" s="21"/>
    </row>
    <row r="74" spans="2:5" ht="6" customHeight="1" x14ac:dyDescent="0.2">
      <c r="B74" s="19"/>
      <c r="C74" s="92"/>
      <c r="D74" s="91"/>
      <c r="E74" s="93"/>
    </row>
    <row r="75" spans="2:5" ht="21.75" customHeight="1" x14ac:dyDescent="0.2">
      <c r="B75" s="17" t="s">
        <v>12</v>
      </c>
      <c r="C75" s="22"/>
      <c r="D75" s="22"/>
      <c r="E75" s="23"/>
    </row>
    <row r="76" spans="2:5" ht="29.25" customHeight="1" x14ac:dyDescent="0.2">
      <c r="B76" s="19"/>
      <c r="C76" s="81" t="s">
        <v>58</v>
      </c>
      <c r="D76" s="94"/>
      <c r="E76" s="95"/>
    </row>
    <row r="77" spans="2:5" ht="29.25" customHeight="1" x14ac:dyDescent="0.2">
      <c r="B77" s="17" t="s">
        <v>13</v>
      </c>
      <c r="C77" s="20"/>
      <c r="D77" s="20"/>
      <c r="E77" s="21"/>
    </row>
    <row r="78" spans="2:5" ht="29.25" customHeight="1" x14ac:dyDescent="0.2">
      <c r="B78" s="17"/>
      <c r="C78" s="96" t="s">
        <v>20</v>
      </c>
      <c r="D78" s="94"/>
      <c r="E78" s="95"/>
    </row>
    <row r="79" spans="2:5" ht="29.25" customHeight="1" thickBot="1" x14ac:dyDescent="0.25">
      <c r="B79" s="24"/>
      <c r="C79" s="25"/>
      <c r="D79" s="25"/>
      <c r="E79" s="26"/>
    </row>
    <row r="80" spans="2:5" ht="29.25" customHeight="1" thickBot="1" x14ac:dyDescent="0.25"/>
    <row r="81" spans="2:5" ht="29.25" customHeight="1" thickBot="1" x14ac:dyDescent="0.25">
      <c r="B81" s="78" t="s">
        <v>24</v>
      </c>
      <c r="C81" s="79"/>
      <c r="D81" s="79"/>
      <c r="E81" s="80"/>
    </row>
    <row r="82" spans="2:5" ht="29.25" customHeight="1" x14ac:dyDescent="0.2">
      <c r="B82" s="17" t="s">
        <v>9</v>
      </c>
      <c r="C82" s="9"/>
      <c r="D82" s="9"/>
      <c r="E82" s="18"/>
    </row>
    <row r="83" spans="2:5" ht="29.25" customHeight="1" x14ac:dyDescent="0.2">
      <c r="B83" s="17"/>
      <c r="C83" s="81" t="s">
        <v>65</v>
      </c>
      <c r="D83" s="82"/>
      <c r="E83" s="83"/>
    </row>
    <row r="84" spans="2:5" ht="29.25" customHeight="1" x14ac:dyDescent="0.2">
      <c r="B84" s="17" t="s">
        <v>10</v>
      </c>
      <c r="C84" s="9"/>
      <c r="D84" s="9"/>
      <c r="E84" s="18"/>
    </row>
    <row r="85" spans="2:5" ht="78" customHeight="1" x14ac:dyDescent="0.2">
      <c r="B85" s="19"/>
      <c r="C85" s="81" t="s">
        <v>70</v>
      </c>
      <c r="D85" s="82"/>
      <c r="E85" s="83"/>
    </row>
    <row r="86" spans="2:5" ht="12.75" customHeight="1" x14ac:dyDescent="0.2">
      <c r="B86" s="17" t="s">
        <v>11</v>
      </c>
      <c r="C86" s="20"/>
      <c r="D86" s="20"/>
      <c r="E86" s="21"/>
    </row>
    <row r="87" spans="2:5" ht="17.25" customHeight="1" x14ac:dyDescent="0.2">
      <c r="B87" s="19"/>
      <c r="C87" s="92"/>
      <c r="D87" s="91"/>
      <c r="E87" s="93"/>
    </row>
    <row r="88" spans="2:5" ht="29.25" customHeight="1" x14ac:dyDescent="0.2">
      <c r="B88" s="17" t="s">
        <v>12</v>
      </c>
      <c r="C88" s="22"/>
      <c r="D88" s="22"/>
      <c r="E88" s="23"/>
    </row>
    <row r="89" spans="2:5" ht="29.25" customHeight="1" x14ac:dyDescent="0.2">
      <c r="B89" s="19"/>
      <c r="C89" s="81" t="s">
        <v>58</v>
      </c>
      <c r="D89" s="94"/>
      <c r="E89" s="95"/>
    </row>
    <row r="90" spans="2:5" ht="30" customHeight="1" x14ac:dyDescent="0.2">
      <c r="B90" s="17" t="s">
        <v>13</v>
      </c>
      <c r="C90" s="20"/>
      <c r="D90" s="20"/>
      <c r="E90" s="21"/>
    </row>
    <row r="91" spans="2:5" ht="15.75" customHeight="1" x14ac:dyDescent="0.2">
      <c r="B91" s="17"/>
      <c r="C91" s="96" t="s">
        <v>20</v>
      </c>
      <c r="D91" s="94"/>
      <c r="E91" s="95"/>
    </row>
    <row r="92" spans="2:5" ht="30" customHeight="1" thickBot="1" x14ac:dyDescent="0.25">
      <c r="B92" s="24"/>
      <c r="C92" s="25"/>
      <c r="D92" s="25"/>
      <c r="E92" s="26"/>
    </row>
    <row r="93" spans="2:5" s="40" customFormat="1" ht="30" customHeight="1" thickBot="1" x14ac:dyDescent="0.25">
      <c r="B93" s="30"/>
      <c r="C93" s="29"/>
      <c r="D93" s="29"/>
      <c r="E93" s="29"/>
    </row>
    <row r="94" spans="2:5" s="40" customFormat="1" ht="30" customHeight="1" thickBot="1" x14ac:dyDescent="0.25">
      <c r="B94" s="78" t="s">
        <v>25</v>
      </c>
      <c r="C94" s="79"/>
      <c r="D94" s="79"/>
      <c r="E94" s="80"/>
    </row>
    <row r="95" spans="2:5" s="40" customFormat="1" ht="30" customHeight="1" x14ac:dyDescent="0.2">
      <c r="B95" s="17" t="s">
        <v>9</v>
      </c>
      <c r="C95" s="9"/>
      <c r="D95" s="9"/>
      <c r="E95" s="18"/>
    </row>
    <row r="96" spans="2:5" ht="30" customHeight="1" x14ac:dyDescent="0.2">
      <c r="B96" s="17"/>
      <c r="C96" s="81" t="s">
        <v>72</v>
      </c>
      <c r="D96" s="82"/>
      <c r="E96" s="83"/>
    </row>
    <row r="97" spans="2:5" ht="30" customHeight="1" x14ac:dyDescent="0.2">
      <c r="B97" s="17" t="s">
        <v>10</v>
      </c>
      <c r="C97" s="9"/>
      <c r="D97" s="9"/>
      <c r="E97" s="18"/>
    </row>
    <row r="98" spans="2:5" ht="82.5" customHeight="1" x14ac:dyDescent="0.2">
      <c r="B98" s="19"/>
      <c r="C98" s="81" t="s">
        <v>70</v>
      </c>
      <c r="D98" s="82"/>
      <c r="E98" s="83"/>
    </row>
    <row r="99" spans="2:5" ht="30" customHeight="1" x14ac:dyDescent="0.2">
      <c r="B99" s="17" t="s">
        <v>11</v>
      </c>
      <c r="C99" s="20"/>
      <c r="D99" s="20"/>
      <c r="E99" s="21"/>
    </row>
    <row r="100" spans="2:5" ht="21" customHeight="1" x14ac:dyDescent="0.2">
      <c r="B100" s="19"/>
      <c r="C100" s="92"/>
      <c r="D100" s="91"/>
      <c r="E100" s="93"/>
    </row>
    <row r="101" spans="2:5" ht="35.25" customHeight="1" x14ac:dyDescent="0.2">
      <c r="B101" s="17" t="s">
        <v>12</v>
      </c>
      <c r="C101" s="22"/>
      <c r="D101" s="22"/>
      <c r="E101" s="23"/>
    </row>
    <row r="102" spans="2:5" ht="30" customHeight="1" x14ac:dyDescent="0.2">
      <c r="B102" s="19"/>
      <c r="C102" s="81" t="s">
        <v>58</v>
      </c>
      <c r="D102" s="94"/>
      <c r="E102" s="95"/>
    </row>
    <row r="103" spans="2:5" ht="18" customHeight="1" x14ac:dyDescent="0.2">
      <c r="B103" s="17" t="s">
        <v>13</v>
      </c>
      <c r="C103" s="20"/>
      <c r="D103" s="20"/>
      <c r="E103" s="21"/>
    </row>
    <row r="104" spans="2:5" ht="21" customHeight="1" x14ac:dyDescent="0.2">
      <c r="B104" s="17"/>
      <c r="C104" s="96" t="s">
        <v>20</v>
      </c>
      <c r="D104" s="94"/>
      <c r="E104" s="95"/>
    </row>
    <row r="105" spans="2:5" ht="30" customHeight="1" thickBot="1" x14ac:dyDescent="0.25">
      <c r="B105" s="24"/>
      <c r="C105" s="25"/>
      <c r="D105" s="25"/>
      <c r="E105" s="26"/>
    </row>
    <row r="106" spans="2:5" ht="30" customHeight="1" thickBot="1" x14ac:dyDescent="0.25">
      <c r="B106" s="30"/>
      <c r="C106" s="29"/>
      <c r="D106" s="29"/>
      <c r="E106" s="29"/>
    </row>
    <row r="107" spans="2:5" ht="30" customHeight="1" thickBot="1" x14ac:dyDescent="0.25">
      <c r="B107" s="78" t="s">
        <v>26</v>
      </c>
      <c r="C107" s="79"/>
      <c r="D107" s="79"/>
      <c r="E107" s="80"/>
    </row>
    <row r="108" spans="2:5" ht="30" customHeight="1" x14ac:dyDescent="0.2">
      <c r="B108" s="17" t="s">
        <v>9</v>
      </c>
      <c r="C108" s="9"/>
      <c r="D108" s="9"/>
      <c r="E108" s="18"/>
    </row>
    <row r="109" spans="2:5" s="40" customFormat="1" ht="30" customHeight="1" x14ac:dyDescent="0.2">
      <c r="B109" s="17"/>
      <c r="C109" s="81" t="s">
        <v>61</v>
      </c>
      <c r="D109" s="82"/>
      <c r="E109" s="83"/>
    </row>
    <row r="110" spans="2:5" s="40" customFormat="1" ht="30" customHeight="1" x14ac:dyDescent="0.2">
      <c r="B110" s="17" t="s">
        <v>10</v>
      </c>
      <c r="C110" s="9"/>
      <c r="D110" s="9"/>
      <c r="E110" s="18"/>
    </row>
    <row r="111" spans="2:5" s="40" customFormat="1" ht="53.25" customHeight="1" x14ac:dyDescent="0.2">
      <c r="B111" s="19"/>
      <c r="C111" s="81" t="s">
        <v>70</v>
      </c>
      <c r="D111" s="82"/>
      <c r="E111" s="83"/>
    </row>
    <row r="112" spans="2:5" s="40" customFormat="1" ht="30" customHeight="1" x14ac:dyDescent="0.2">
      <c r="B112" s="17" t="s">
        <v>11</v>
      </c>
      <c r="C112" s="20"/>
      <c r="D112" s="20"/>
      <c r="E112" s="21"/>
    </row>
    <row r="113" spans="2:9" s="40" customFormat="1" ht="22.5" customHeight="1" x14ac:dyDescent="0.2">
      <c r="B113" s="19"/>
      <c r="C113" s="92"/>
      <c r="D113" s="91"/>
      <c r="E113" s="93"/>
    </row>
    <row r="114" spans="2:9" s="40" customFormat="1" ht="31.5" customHeight="1" x14ac:dyDescent="0.2">
      <c r="B114" s="17" t="s">
        <v>12</v>
      </c>
      <c r="C114" s="22"/>
      <c r="D114" s="22"/>
      <c r="E114" s="23"/>
    </row>
    <row r="115" spans="2:9" s="40" customFormat="1" ht="30" customHeight="1" x14ac:dyDescent="0.2">
      <c r="B115" s="19"/>
      <c r="C115" s="81" t="s">
        <v>58</v>
      </c>
      <c r="D115" s="94"/>
      <c r="E115" s="95"/>
    </row>
    <row r="116" spans="2:9" s="40" customFormat="1" ht="12.75" customHeight="1" x14ac:dyDescent="0.2">
      <c r="B116" s="17" t="s">
        <v>13</v>
      </c>
      <c r="C116" s="20"/>
      <c r="D116" s="20"/>
      <c r="E116" s="21"/>
    </row>
    <row r="117" spans="2:9" s="40" customFormat="1" ht="30" customHeight="1" x14ac:dyDescent="0.2">
      <c r="B117" s="17"/>
      <c r="C117" s="96" t="s">
        <v>20</v>
      </c>
      <c r="D117" s="94"/>
      <c r="E117" s="95"/>
    </row>
    <row r="118" spans="2:9" s="40" customFormat="1" ht="30" customHeight="1" thickBot="1" x14ac:dyDescent="0.25">
      <c r="B118" s="24"/>
      <c r="C118" s="25"/>
      <c r="D118" s="25"/>
      <c r="E118" s="26"/>
    </row>
    <row r="119" spans="2:9" s="40" customFormat="1" ht="30" customHeight="1" thickBot="1" x14ac:dyDescent="0.25"/>
    <row r="120" spans="2:9" s="40" customFormat="1" ht="30" customHeight="1" thickBot="1" x14ac:dyDescent="0.25">
      <c r="B120" s="78" t="s">
        <v>27</v>
      </c>
      <c r="C120" s="97"/>
      <c r="D120" s="97"/>
      <c r="E120" s="98"/>
    </row>
    <row r="121" spans="2:9" s="40" customFormat="1" ht="9" customHeight="1" x14ac:dyDescent="0.2">
      <c r="B121" s="17" t="s">
        <v>9</v>
      </c>
      <c r="C121" s="9"/>
      <c r="D121" s="9"/>
      <c r="E121" s="18"/>
    </row>
    <row r="122" spans="2:9" s="40" customFormat="1" ht="30" customHeight="1" x14ac:dyDescent="0.2">
      <c r="B122" s="17"/>
      <c r="C122" s="81" t="s">
        <v>73</v>
      </c>
      <c r="D122" s="81"/>
      <c r="E122" s="99"/>
      <c r="H122" s="1"/>
      <c r="I122" s="1"/>
    </row>
    <row r="123" spans="2:9" ht="30" customHeight="1" x14ac:dyDescent="0.2">
      <c r="B123" s="17" t="s">
        <v>10</v>
      </c>
      <c r="C123" s="9"/>
      <c r="D123" s="9"/>
      <c r="E123" s="18"/>
    </row>
    <row r="124" spans="2:9" ht="72" customHeight="1" x14ac:dyDescent="0.2">
      <c r="B124" s="19"/>
      <c r="C124" s="81" t="s">
        <v>70</v>
      </c>
      <c r="D124" s="81"/>
      <c r="E124" s="99"/>
    </row>
    <row r="125" spans="2:9" ht="30" customHeight="1" x14ac:dyDescent="0.2">
      <c r="B125" s="17" t="s">
        <v>11</v>
      </c>
      <c r="C125" s="20"/>
      <c r="D125" s="20"/>
      <c r="E125" s="21"/>
    </row>
    <row r="126" spans="2:9" ht="30" customHeight="1" x14ac:dyDescent="0.2">
      <c r="B126" s="19"/>
      <c r="C126" s="100"/>
      <c r="D126" s="100"/>
      <c r="E126" s="101"/>
    </row>
    <row r="127" spans="2:9" ht="73.5" customHeight="1" x14ac:dyDescent="0.2">
      <c r="B127" s="17" t="s">
        <v>12</v>
      </c>
      <c r="C127" s="22"/>
      <c r="D127" s="22"/>
      <c r="E127" s="23"/>
    </row>
    <row r="128" spans="2:9" ht="30" customHeight="1" x14ac:dyDescent="0.2">
      <c r="B128" s="19"/>
      <c r="C128" s="81" t="s">
        <v>58</v>
      </c>
      <c r="D128" s="81"/>
      <c r="E128" s="99"/>
    </row>
    <row r="129" spans="2:5" ht="15" customHeight="1" x14ac:dyDescent="0.2">
      <c r="B129" s="17" t="s">
        <v>13</v>
      </c>
      <c r="C129" s="20"/>
      <c r="D129" s="20"/>
      <c r="E129" s="21"/>
    </row>
    <row r="130" spans="2:5" ht="28.5" customHeight="1" x14ac:dyDescent="0.2">
      <c r="B130" s="17"/>
      <c r="C130" s="96" t="s">
        <v>20</v>
      </c>
      <c r="D130" s="96"/>
      <c r="E130" s="102"/>
    </row>
    <row r="131" spans="2:5" ht="30" customHeight="1" thickBot="1" x14ac:dyDescent="0.25">
      <c r="B131" s="24"/>
      <c r="C131" s="25"/>
      <c r="D131" s="25"/>
      <c r="E131" s="26"/>
    </row>
    <row r="132" spans="2:5" ht="30" customHeight="1" thickBot="1" x14ac:dyDescent="0.25">
      <c r="B132" s="40"/>
      <c r="C132" s="40"/>
      <c r="D132" s="40"/>
      <c r="E132" s="40"/>
    </row>
    <row r="133" spans="2:5" ht="30" customHeight="1" thickBot="1" x14ac:dyDescent="0.25">
      <c r="B133" s="78" t="s">
        <v>28</v>
      </c>
      <c r="C133" s="79"/>
      <c r="D133" s="79"/>
      <c r="E133" s="80"/>
    </row>
    <row r="134" spans="2:5" ht="30" customHeight="1" x14ac:dyDescent="0.2">
      <c r="B134" s="17" t="s">
        <v>9</v>
      </c>
      <c r="C134" s="9"/>
      <c r="D134" s="9"/>
      <c r="E134" s="18"/>
    </row>
    <row r="135" spans="2:5" ht="30" customHeight="1" x14ac:dyDescent="0.2">
      <c r="B135" s="17"/>
      <c r="C135" s="81" t="s">
        <v>62</v>
      </c>
      <c r="D135" s="82"/>
      <c r="E135" s="83"/>
    </row>
    <row r="136" spans="2:5" ht="30" customHeight="1" x14ac:dyDescent="0.2">
      <c r="B136" s="17" t="s">
        <v>10</v>
      </c>
      <c r="C136" s="9"/>
      <c r="D136" s="9"/>
      <c r="E136" s="18"/>
    </row>
    <row r="137" spans="2:5" ht="30" customHeight="1" x14ac:dyDescent="0.2">
      <c r="B137" s="19"/>
      <c r="C137" s="81" t="s">
        <v>70</v>
      </c>
      <c r="D137" s="82"/>
      <c r="E137" s="83"/>
    </row>
    <row r="138" spans="2:5" ht="30" customHeight="1" x14ac:dyDescent="0.2">
      <c r="B138" s="17" t="s">
        <v>11</v>
      </c>
      <c r="C138" s="20"/>
      <c r="D138" s="20"/>
      <c r="E138" s="21"/>
    </row>
    <row r="139" spans="2:5" ht="30" customHeight="1" x14ac:dyDescent="0.2">
      <c r="B139" s="19"/>
      <c r="C139" s="92"/>
      <c r="D139" s="91"/>
      <c r="E139" s="93"/>
    </row>
    <row r="140" spans="2:5" ht="61.5" customHeight="1" x14ac:dyDescent="0.2">
      <c r="B140" s="17" t="s">
        <v>12</v>
      </c>
      <c r="C140" s="22"/>
      <c r="D140" s="22"/>
      <c r="E140" s="23"/>
    </row>
    <row r="141" spans="2:5" ht="30" customHeight="1" x14ac:dyDescent="0.2">
      <c r="B141" s="19"/>
      <c r="C141" s="81" t="s">
        <v>58</v>
      </c>
      <c r="D141" s="94"/>
      <c r="E141" s="95"/>
    </row>
    <row r="142" spans="2:5" ht="26.25" customHeight="1" x14ac:dyDescent="0.2">
      <c r="B142" s="17" t="s">
        <v>13</v>
      </c>
      <c r="C142" s="20"/>
      <c r="D142" s="20"/>
      <c r="E142" s="21"/>
    </row>
    <row r="143" spans="2:5" ht="30" customHeight="1" x14ac:dyDescent="0.2">
      <c r="B143" s="17"/>
      <c r="C143" s="96" t="s">
        <v>20</v>
      </c>
      <c r="D143" s="94"/>
      <c r="E143" s="95"/>
    </row>
    <row r="144" spans="2:5" ht="41.25" customHeight="1" thickBot="1" x14ac:dyDescent="0.25">
      <c r="B144" s="24"/>
      <c r="C144" s="25"/>
      <c r="D144" s="25"/>
      <c r="E144" s="26"/>
    </row>
    <row r="145" spans="2:5" ht="30" customHeight="1" thickBot="1" x14ac:dyDescent="0.25"/>
    <row r="146" spans="2:5" ht="30" customHeight="1" thickBot="1" x14ac:dyDescent="0.25">
      <c r="B146" s="78" t="s">
        <v>29</v>
      </c>
      <c r="C146" s="79"/>
      <c r="D146" s="79"/>
      <c r="E146" s="80"/>
    </row>
    <row r="147" spans="2:5" ht="30" customHeight="1" x14ac:dyDescent="0.2">
      <c r="B147" s="17" t="s">
        <v>9</v>
      </c>
      <c r="C147" s="9"/>
      <c r="D147" s="9"/>
      <c r="E147" s="18"/>
    </row>
    <row r="148" spans="2:5" ht="30" customHeight="1" x14ac:dyDescent="0.2">
      <c r="B148" s="17"/>
      <c r="C148" s="103" t="s">
        <v>63</v>
      </c>
      <c r="D148" s="104"/>
      <c r="E148" s="105"/>
    </row>
    <row r="149" spans="2:5" ht="30" customHeight="1" x14ac:dyDescent="0.2">
      <c r="B149" s="17" t="s">
        <v>10</v>
      </c>
      <c r="C149" s="9"/>
      <c r="D149" s="9"/>
      <c r="E149" s="18"/>
    </row>
    <row r="150" spans="2:5" ht="30" customHeight="1" x14ac:dyDescent="0.2">
      <c r="B150" s="19"/>
      <c r="C150" s="81" t="s">
        <v>70</v>
      </c>
      <c r="D150" s="82"/>
      <c r="E150" s="83"/>
    </row>
    <row r="151" spans="2:5" ht="22.5" customHeight="1" x14ac:dyDescent="0.2">
      <c r="B151" s="17" t="s">
        <v>11</v>
      </c>
      <c r="C151" s="20"/>
      <c r="D151" s="20"/>
      <c r="E151" s="21"/>
    </row>
    <row r="152" spans="2:5" ht="30" customHeight="1" x14ac:dyDescent="0.2">
      <c r="B152" s="19"/>
      <c r="C152" s="92"/>
      <c r="D152" s="91"/>
      <c r="E152" s="93"/>
    </row>
    <row r="153" spans="2:5" ht="31.5" customHeight="1" x14ac:dyDescent="0.2">
      <c r="B153" s="17" t="s">
        <v>12</v>
      </c>
      <c r="C153" s="22"/>
      <c r="D153" s="22"/>
      <c r="E153" s="23"/>
    </row>
    <row r="154" spans="2:5" ht="30" customHeight="1" x14ac:dyDescent="0.2">
      <c r="B154" s="19"/>
      <c r="C154" s="81" t="s">
        <v>58</v>
      </c>
      <c r="D154" s="94"/>
      <c r="E154" s="95"/>
    </row>
    <row r="155" spans="2:5" ht="18" customHeight="1" x14ac:dyDescent="0.2">
      <c r="B155" s="17" t="s">
        <v>13</v>
      </c>
      <c r="C155" s="20"/>
      <c r="D155" s="20"/>
      <c r="E155" s="21"/>
    </row>
    <row r="156" spans="2:5" ht="38.25" customHeight="1" x14ac:dyDescent="0.2">
      <c r="B156" s="17"/>
      <c r="C156" s="96" t="s">
        <v>20</v>
      </c>
      <c r="D156" s="94"/>
      <c r="E156" s="95"/>
    </row>
    <row r="157" spans="2:5" ht="15.75" customHeight="1" thickBot="1" x14ac:dyDescent="0.25">
      <c r="B157" s="24"/>
      <c r="C157" s="25"/>
      <c r="D157" s="25"/>
      <c r="E157" s="26"/>
    </row>
    <row r="158" spans="2:5" ht="24" customHeight="1" thickBot="1" x14ac:dyDescent="0.25"/>
    <row r="159" spans="2:5" ht="27.75" customHeight="1" thickBot="1" x14ac:dyDescent="0.25">
      <c r="B159" s="78" t="s">
        <v>30</v>
      </c>
      <c r="C159" s="79"/>
      <c r="D159" s="79"/>
      <c r="E159" s="80"/>
    </row>
    <row r="160" spans="2:5" ht="20.25" customHeight="1" x14ac:dyDescent="0.2">
      <c r="B160" s="17" t="s">
        <v>9</v>
      </c>
      <c r="C160" s="9"/>
      <c r="D160" s="9"/>
      <c r="E160" s="18"/>
    </row>
    <row r="161" spans="2:5" ht="201" customHeight="1" x14ac:dyDescent="0.2">
      <c r="B161" s="17"/>
      <c r="C161" s="81" t="s">
        <v>64</v>
      </c>
      <c r="D161" s="82"/>
      <c r="E161" s="83"/>
    </row>
    <row r="162" spans="2:5" ht="34.5" customHeight="1" x14ac:dyDescent="0.2">
      <c r="B162" s="17" t="s">
        <v>10</v>
      </c>
      <c r="C162" s="9"/>
      <c r="D162" s="9"/>
      <c r="E162" s="18"/>
    </row>
    <row r="163" spans="2:5" ht="78" customHeight="1" x14ac:dyDescent="0.2">
      <c r="B163" s="19"/>
      <c r="C163" s="81" t="s">
        <v>70</v>
      </c>
      <c r="D163" s="82"/>
      <c r="E163" s="83"/>
    </row>
    <row r="164" spans="2:5" ht="30" customHeight="1" x14ac:dyDescent="0.2">
      <c r="B164" s="17" t="s">
        <v>11</v>
      </c>
      <c r="C164" s="20"/>
      <c r="D164" s="20"/>
      <c r="E164" s="21"/>
    </row>
    <row r="165" spans="2:5" ht="21.75" customHeight="1" x14ac:dyDescent="0.2">
      <c r="B165" s="19"/>
      <c r="C165" s="92"/>
      <c r="D165" s="91"/>
      <c r="E165" s="93"/>
    </row>
    <row r="166" spans="2:5" ht="33.75" customHeight="1" x14ac:dyDescent="0.2">
      <c r="B166" s="17" t="s">
        <v>12</v>
      </c>
      <c r="C166" s="22"/>
      <c r="D166" s="22"/>
      <c r="E166" s="23"/>
    </row>
    <row r="167" spans="2:5" ht="15.75" customHeight="1" x14ac:dyDescent="0.2">
      <c r="B167" s="19"/>
      <c r="C167" s="81" t="s">
        <v>58</v>
      </c>
      <c r="D167" s="94"/>
      <c r="E167" s="95"/>
    </row>
    <row r="168" spans="2:5" ht="17.25" customHeight="1" x14ac:dyDescent="0.2">
      <c r="B168" s="17" t="s">
        <v>13</v>
      </c>
      <c r="C168" s="20"/>
      <c r="D168" s="20"/>
      <c r="E168" s="21"/>
    </row>
    <row r="169" spans="2:5" ht="33" customHeight="1" x14ac:dyDescent="0.2">
      <c r="B169" s="17"/>
      <c r="C169" s="96" t="s">
        <v>20</v>
      </c>
      <c r="D169" s="94"/>
      <c r="E169" s="95"/>
    </row>
    <row r="170" spans="2:5" ht="30" customHeight="1" thickBot="1" x14ac:dyDescent="0.25">
      <c r="B170" s="24"/>
      <c r="C170" s="25"/>
      <c r="D170" s="25"/>
      <c r="E170" s="26"/>
    </row>
    <row r="171" spans="2:5" ht="15.75" customHeight="1" thickBot="1" x14ac:dyDescent="0.25"/>
    <row r="172" spans="2:5" ht="56.25" customHeight="1" thickBot="1" x14ac:dyDescent="0.25">
      <c r="B172" s="78" t="s">
        <v>31</v>
      </c>
      <c r="C172" s="79"/>
      <c r="D172" s="79"/>
      <c r="E172" s="80"/>
    </row>
    <row r="173" spans="2:5" ht="13.5" customHeight="1" x14ac:dyDescent="0.2">
      <c r="B173" s="17" t="s">
        <v>9</v>
      </c>
      <c r="C173" s="9"/>
      <c r="D173" s="9"/>
      <c r="E173" s="18"/>
    </row>
    <row r="174" spans="2:5" ht="121.5" customHeight="1" x14ac:dyDescent="0.2">
      <c r="B174" s="17"/>
      <c r="C174" s="81" t="s">
        <v>74</v>
      </c>
      <c r="D174" s="82"/>
      <c r="E174" s="83"/>
    </row>
    <row r="175" spans="2:5" ht="32.25" customHeight="1" x14ac:dyDescent="0.2">
      <c r="B175" s="17" t="s">
        <v>10</v>
      </c>
      <c r="C175" s="9"/>
      <c r="D175" s="9"/>
      <c r="E175" s="18"/>
    </row>
    <row r="176" spans="2:5" ht="60" customHeight="1" x14ac:dyDescent="0.2">
      <c r="B176" s="19"/>
      <c r="C176" s="81" t="s">
        <v>70</v>
      </c>
      <c r="D176" s="82"/>
      <c r="E176" s="83"/>
    </row>
    <row r="177" spans="2:5" ht="25.5" customHeight="1" x14ac:dyDescent="0.2">
      <c r="B177" s="17" t="s">
        <v>11</v>
      </c>
      <c r="C177" s="20"/>
      <c r="D177" s="20"/>
      <c r="E177" s="21"/>
    </row>
    <row r="178" spans="2:5" ht="21" customHeight="1" x14ac:dyDescent="0.2">
      <c r="B178" s="19"/>
      <c r="C178" s="92"/>
      <c r="D178" s="91"/>
      <c r="E178" s="93"/>
    </row>
    <row r="179" spans="2:5" ht="22.5" customHeight="1" x14ac:dyDescent="0.2">
      <c r="B179" s="17" t="s">
        <v>12</v>
      </c>
      <c r="C179" s="22"/>
      <c r="D179" s="22"/>
      <c r="E179" s="23"/>
    </row>
    <row r="180" spans="2:5" ht="32.25" customHeight="1" x14ac:dyDescent="0.2">
      <c r="B180" s="19"/>
      <c r="C180" s="81" t="s">
        <v>58</v>
      </c>
      <c r="D180" s="94"/>
      <c r="E180" s="95"/>
    </row>
    <row r="181" spans="2:5" ht="21.75" customHeight="1" x14ac:dyDescent="0.2">
      <c r="B181" s="17" t="s">
        <v>13</v>
      </c>
      <c r="C181" s="20"/>
      <c r="D181" s="20"/>
      <c r="E181" s="21"/>
    </row>
    <row r="182" spans="2:5" ht="32.25" customHeight="1" x14ac:dyDescent="0.2">
      <c r="B182" s="17"/>
      <c r="C182" s="96" t="s">
        <v>20</v>
      </c>
      <c r="D182" s="94"/>
      <c r="E182" s="95"/>
    </row>
    <row r="183" spans="2:5" ht="19.5" customHeight="1" thickBot="1" x14ac:dyDescent="0.25">
      <c r="B183" s="24"/>
      <c r="C183" s="25"/>
      <c r="D183" s="25"/>
      <c r="E183" s="26"/>
    </row>
    <row r="184" spans="2:5" ht="32.25" customHeight="1" thickBot="1" x14ac:dyDescent="0.25"/>
    <row r="185" spans="2:5" ht="32.25" customHeight="1" thickBot="1" x14ac:dyDescent="0.25">
      <c r="B185" s="78" t="s">
        <v>32</v>
      </c>
      <c r="C185" s="79"/>
      <c r="D185" s="79"/>
      <c r="E185" s="80"/>
    </row>
    <row r="186" spans="2:5" ht="15" customHeight="1" x14ac:dyDescent="0.2">
      <c r="B186" s="17" t="s">
        <v>9</v>
      </c>
      <c r="C186" s="9"/>
      <c r="D186" s="9"/>
      <c r="E186" s="18"/>
    </row>
    <row r="187" spans="2:5" ht="138.75" customHeight="1" x14ac:dyDescent="0.2">
      <c r="B187" s="17"/>
      <c r="C187" s="81" t="s">
        <v>66</v>
      </c>
      <c r="D187" s="82"/>
      <c r="E187" s="83"/>
    </row>
    <row r="188" spans="2:5" ht="27.75" customHeight="1" x14ac:dyDescent="0.2">
      <c r="B188" s="17" t="s">
        <v>10</v>
      </c>
      <c r="C188" s="9"/>
      <c r="D188" s="9"/>
      <c r="E188" s="18"/>
    </row>
    <row r="189" spans="2:5" ht="77.25" customHeight="1" x14ac:dyDescent="0.2">
      <c r="B189" s="19"/>
      <c r="C189" s="81" t="s">
        <v>70</v>
      </c>
      <c r="D189" s="82"/>
      <c r="E189" s="83"/>
    </row>
    <row r="190" spans="2:5" ht="28.5" customHeight="1" x14ac:dyDescent="0.2">
      <c r="B190" s="17" t="s">
        <v>11</v>
      </c>
      <c r="C190" s="20"/>
      <c r="D190" s="20"/>
      <c r="E190" s="21"/>
    </row>
    <row r="191" spans="2:5" ht="15" customHeight="1" x14ac:dyDescent="0.2">
      <c r="B191" s="19"/>
      <c r="C191" s="92"/>
      <c r="D191" s="91"/>
      <c r="E191" s="93"/>
    </row>
    <row r="192" spans="2:5" ht="27" customHeight="1" x14ac:dyDescent="0.2">
      <c r="B192" s="17" t="s">
        <v>12</v>
      </c>
      <c r="C192" s="22"/>
      <c r="D192" s="22"/>
      <c r="E192" s="23"/>
    </row>
    <row r="193" spans="2:5" ht="23.25" customHeight="1" x14ac:dyDescent="0.2">
      <c r="B193" s="19"/>
      <c r="C193" s="81" t="s">
        <v>58</v>
      </c>
      <c r="D193" s="94"/>
      <c r="E193" s="95"/>
    </row>
    <row r="194" spans="2:5" ht="15.75" customHeight="1" x14ac:dyDescent="0.2">
      <c r="B194" s="17" t="s">
        <v>13</v>
      </c>
      <c r="C194" s="20"/>
      <c r="D194" s="20"/>
      <c r="E194" s="21"/>
    </row>
    <row r="195" spans="2:5" ht="29.25" customHeight="1" x14ac:dyDescent="0.2">
      <c r="B195" s="17"/>
      <c r="C195" s="96" t="s">
        <v>20</v>
      </c>
      <c r="D195" s="94"/>
      <c r="E195" s="95"/>
    </row>
    <row r="196" spans="2:5" ht="15" customHeight="1" thickBot="1" x14ac:dyDescent="0.25">
      <c r="B196" s="24"/>
      <c r="C196" s="25"/>
      <c r="D196" s="25"/>
      <c r="E196" s="26"/>
    </row>
    <row r="197" spans="2:5" ht="22.5" customHeight="1" thickBot="1" x14ac:dyDescent="0.25"/>
    <row r="198" spans="2:5" ht="26.25" customHeight="1" thickBot="1" x14ac:dyDescent="0.25">
      <c r="B198" s="78" t="s">
        <v>33</v>
      </c>
      <c r="C198" s="79"/>
      <c r="D198" s="79"/>
      <c r="E198" s="80"/>
    </row>
    <row r="199" spans="2:5" ht="27.75" customHeight="1" x14ac:dyDescent="0.2">
      <c r="B199" s="17" t="s">
        <v>9</v>
      </c>
      <c r="C199" s="9"/>
      <c r="D199" s="9"/>
      <c r="E199" s="18"/>
    </row>
    <row r="200" spans="2:5" ht="72.75" customHeight="1" x14ac:dyDescent="0.2">
      <c r="B200" s="17"/>
      <c r="C200" s="81" t="s">
        <v>75</v>
      </c>
      <c r="D200" s="82"/>
      <c r="E200" s="83"/>
    </row>
    <row r="201" spans="2:5" ht="35.25" customHeight="1" x14ac:dyDescent="0.2">
      <c r="B201" s="17" t="s">
        <v>10</v>
      </c>
      <c r="C201" s="9"/>
      <c r="D201" s="9"/>
      <c r="E201" s="18"/>
    </row>
    <row r="202" spans="2:5" ht="57.75" customHeight="1" x14ac:dyDescent="0.2">
      <c r="B202" s="19"/>
      <c r="C202" s="81" t="s">
        <v>70</v>
      </c>
      <c r="D202" s="82"/>
      <c r="E202" s="83"/>
    </row>
    <row r="203" spans="2:5" ht="20.25" customHeight="1" x14ac:dyDescent="0.2">
      <c r="B203" s="17" t="s">
        <v>11</v>
      </c>
      <c r="C203" s="20"/>
      <c r="D203" s="20"/>
      <c r="E203" s="21"/>
    </row>
    <row r="204" spans="2:5" ht="27.75" customHeight="1" x14ac:dyDescent="0.2">
      <c r="B204" s="19"/>
      <c r="C204" s="92"/>
      <c r="D204" s="91"/>
      <c r="E204" s="93"/>
    </row>
    <row r="205" spans="2:5" ht="40.5" customHeight="1" x14ac:dyDescent="0.2">
      <c r="B205" s="17" t="s">
        <v>12</v>
      </c>
      <c r="C205" s="22"/>
      <c r="D205" s="22"/>
      <c r="E205" s="23"/>
    </row>
    <row r="206" spans="2:5" ht="27.75" customHeight="1" x14ac:dyDescent="0.2">
      <c r="B206" s="19"/>
      <c r="C206" s="81" t="s">
        <v>58</v>
      </c>
      <c r="D206" s="94"/>
      <c r="E206" s="95"/>
    </row>
    <row r="207" spans="2:5" ht="27.75" customHeight="1" x14ac:dyDescent="0.2">
      <c r="B207" s="17" t="s">
        <v>13</v>
      </c>
      <c r="C207" s="20"/>
      <c r="D207" s="20"/>
      <c r="E207" s="21"/>
    </row>
    <row r="208" spans="2:5" ht="13.5" customHeight="1" x14ac:dyDescent="0.2">
      <c r="B208" s="17"/>
      <c r="C208" s="96" t="s">
        <v>20</v>
      </c>
      <c r="D208" s="94"/>
      <c r="E208" s="95"/>
    </row>
    <row r="209" spans="2:5" ht="13.5" customHeight="1" thickBot="1" x14ac:dyDescent="0.25">
      <c r="B209" s="24"/>
      <c r="C209" s="25"/>
      <c r="D209" s="25"/>
      <c r="E209" s="26"/>
    </row>
    <row r="210" spans="2:5" ht="13.5" customHeight="1" thickBot="1" x14ac:dyDescent="0.25"/>
    <row r="211" spans="2:5" ht="13.5" customHeight="1" thickBot="1" x14ac:dyDescent="0.25">
      <c r="B211" s="78" t="s">
        <v>34</v>
      </c>
      <c r="C211" s="79"/>
      <c r="D211" s="79"/>
      <c r="E211" s="80"/>
    </row>
    <row r="212" spans="2:5" ht="30.75" customHeight="1" x14ac:dyDescent="0.2">
      <c r="B212" s="17" t="s">
        <v>9</v>
      </c>
      <c r="C212" s="9"/>
      <c r="D212" s="9"/>
      <c r="E212" s="18"/>
    </row>
    <row r="213" spans="2:5" ht="141" customHeight="1" x14ac:dyDescent="0.2">
      <c r="B213" s="17"/>
      <c r="C213" s="81" t="s">
        <v>67</v>
      </c>
      <c r="D213" s="82"/>
      <c r="E213" s="83"/>
    </row>
    <row r="214" spans="2:5" ht="34.5" customHeight="1" x14ac:dyDescent="0.2">
      <c r="B214" s="17" t="s">
        <v>10</v>
      </c>
      <c r="C214" s="9"/>
      <c r="D214" s="9"/>
      <c r="E214" s="18"/>
    </row>
    <row r="215" spans="2:5" ht="81" customHeight="1" x14ac:dyDescent="0.2">
      <c r="B215" s="19"/>
      <c r="C215" s="81" t="s">
        <v>70</v>
      </c>
      <c r="D215" s="82"/>
      <c r="E215" s="83"/>
    </row>
    <row r="216" spans="2:5" ht="24" customHeight="1" x14ac:dyDescent="0.2">
      <c r="B216" s="17" t="s">
        <v>11</v>
      </c>
      <c r="C216" s="20"/>
      <c r="D216" s="20"/>
      <c r="E216" s="21"/>
    </row>
    <row r="217" spans="2:5" ht="14.25" customHeight="1" x14ac:dyDescent="0.2">
      <c r="B217" s="19"/>
      <c r="C217" s="92"/>
      <c r="D217" s="91"/>
      <c r="E217" s="93"/>
    </row>
    <row r="218" spans="2:5" ht="15" customHeight="1" x14ac:dyDescent="0.2">
      <c r="B218" s="17" t="s">
        <v>12</v>
      </c>
      <c r="C218" s="22"/>
      <c r="D218" s="22"/>
      <c r="E218" s="23"/>
    </row>
    <row r="219" spans="2:5" ht="27.75" customHeight="1" x14ac:dyDescent="0.2">
      <c r="B219" s="19"/>
      <c r="C219" s="81" t="s">
        <v>58</v>
      </c>
      <c r="D219" s="94"/>
      <c r="E219" s="95"/>
    </row>
    <row r="220" spans="2:5" ht="14.25" customHeight="1" x14ac:dyDescent="0.2">
      <c r="B220" s="17" t="s">
        <v>13</v>
      </c>
      <c r="C220" s="20"/>
      <c r="D220" s="20"/>
      <c r="E220" s="21"/>
    </row>
    <row r="221" spans="2:5" ht="27.75" customHeight="1" x14ac:dyDescent="0.2">
      <c r="B221" s="17"/>
      <c r="C221" s="96" t="s">
        <v>20</v>
      </c>
      <c r="D221" s="94"/>
      <c r="E221" s="95"/>
    </row>
    <row r="222" spans="2:5" ht="27.75" customHeight="1" thickBot="1" x14ac:dyDescent="0.25">
      <c r="B222" s="24"/>
      <c r="C222" s="25"/>
      <c r="D222" s="25"/>
      <c r="E222" s="26"/>
    </row>
    <row r="223" spans="2:5" ht="27.75" customHeight="1" thickBot="1" x14ac:dyDescent="0.25"/>
    <row r="224" spans="2:5" ht="27.75" customHeight="1" thickBot="1" x14ac:dyDescent="0.25">
      <c r="B224" s="78" t="s">
        <v>35</v>
      </c>
      <c r="C224" s="79"/>
      <c r="D224" s="79"/>
      <c r="E224" s="80"/>
    </row>
    <row r="225" spans="2:5" ht="27.75" customHeight="1" x14ac:dyDescent="0.2">
      <c r="B225" s="17" t="s">
        <v>9</v>
      </c>
      <c r="C225" s="9"/>
      <c r="D225" s="9"/>
      <c r="E225" s="18"/>
    </row>
    <row r="226" spans="2:5" ht="144" customHeight="1" x14ac:dyDescent="0.2">
      <c r="B226" s="17"/>
      <c r="C226" s="81" t="s">
        <v>76</v>
      </c>
      <c r="D226" s="82"/>
      <c r="E226" s="83"/>
    </row>
    <row r="227" spans="2:5" ht="21.75" customHeight="1" x14ac:dyDescent="0.2">
      <c r="B227" s="17" t="s">
        <v>10</v>
      </c>
      <c r="C227" s="9"/>
      <c r="D227" s="9"/>
      <c r="E227" s="18"/>
    </row>
    <row r="228" spans="2:5" ht="105" customHeight="1" x14ac:dyDescent="0.2">
      <c r="B228" s="19"/>
      <c r="C228" s="81" t="s">
        <v>70</v>
      </c>
      <c r="D228" s="82"/>
      <c r="E228" s="83"/>
    </row>
    <row r="229" spans="2:5" ht="15.75" customHeight="1" x14ac:dyDescent="0.2">
      <c r="B229" s="17" t="s">
        <v>11</v>
      </c>
      <c r="C229" s="20"/>
      <c r="D229" s="20"/>
      <c r="E229" s="21"/>
    </row>
    <row r="230" spans="2:5" ht="15" customHeight="1" x14ac:dyDescent="0.2">
      <c r="B230" s="19"/>
      <c r="C230" s="92"/>
      <c r="D230" s="91"/>
      <c r="E230" s="93"/>
    </row>
    <row r="231" spans="2:5" ht="25.5" customHeight="1" x14ac:dyDescent="0.2">
      <c r="B231" s="17" t="s">
        <v>12</v>
      </c>
      <c r="C231" s="22"/>
      <c r="D231" s="22"/>
      <c r="E231" s="23"/>
    </row>
    <row r="232" spans="2:5" ht="15" customHeight="1" x14ac:dyDescent="0.2">
      <c r="B232" s="19"/>
      <c r="C232" s="81" t="s">
        <v>58</v>
      </c>
      <c r="D232" s="94"/>
      <c r="E232" s="95"/>
    </row>
    <row r="233" spans="2:5" ht="15" customHeight="1" x14ac:dyDescent="0.2">
      <c r="B233" s="17" t="s">
        <v>13</v>
      </c>
      <c r="C233" s="20"/>
      <c r="D233" s="20"/>
      <c r="E233" s="21"/>
    </row>
    <row r="234" spans="2:5" ht="15" customHeight="1" x14ac:dyDescent="0.2">
      <c r="B234" s="17"/>
      <c r="C234" s="96" t="s">
        <v>20</v>
      </c>
      <c r="D234" s="94"/>
      <c r="E234" s="95"/>
    </row>
    <row r="235" spans="2:5" ht="15" customHeight="1" thickBot="1" x14ac:dyDescent="0.25">
      <c r="B235" s="24"/>
      <c r="C235" s="25"/>
      <c r="D235" s="25"/>
      <c r="E235" s="26"/>
    </row>
    <row r="236" spans="2:5" ht="27.75" customHeight="1" x14ac:dyDescent="0.2"/>
    <row r="237" spans="2:5" ht="27.75" customHeight="1" x14ac:dyDescent="0.2"/>
    <row r="238" spans="2:5" ht="12.75" customHeight="1" x14ac:dyDescent="0.2"/>
    <row r="239" spans="2:5" ht="27.75" customHeight="1" x14ac:dyDescent="0.2"/>
    <row r="240" spans="2:5" ht="118.5" customHeight="1" x14ac:dyDescent="0.2"/>
    <row r="241" ht="27.75" customHeight="1" x14ac:dyDescent="0.2"/>
    <row r="242" ht="27.75" customHeight="1" x14ac:dyDescent="0.2"/>
    <row r="243" ht="17.25" customHeight="1" x14ac:dyDescent="0.2"/>
    <row r="244" ht="17.25" customHeight="1" x14ac:dyDescent="0.2"/>
    <row r="245" ht="17.25" customHeight="1" x14ac:dyDescent="0.2"/>
    <row r="246" ht="17.25" customHeight="1" x14ac:dyDescent="0.2"/>
    <row r="247" ht="17.25" customHeight="1" x14ac:dyDescent="0.2"/>
    <row r="248" ht="17.25" customHeight="1" x14ac:dyDescent="0.2"/>
    <row r="249" ht="17.25" customHeight="1" x14ac:dyDescent="0.2"/>
    <row r="250" ht="17.25" customHeight="1" x14ac:dyDescent="0.2"/>
    <row r="251" ht="27.75" customHeight="1" x14ac:dyDescent="0.2"/>
    <row r="252" ht="27.75" customHeight="1" x14ac:dyDescent="0.2"/>
    <row r="253" ht="27.75" customHeight="1" x14ac:dyDescent="0.2"/>
    <row r="254" ht="27.75" customHeight="1" x14ac:dyDescent="0.2"/>
    <row r="255" ht="27.75" customHeight="1" x14ac:dyDescent="0.2"/>
    <row r="265" ht="27.75" customHeight="1" x14ac:dyDescent="0.2"/>
    <row r="266" ht="27.75" customHeight="1" x14ac:dyDescent="0.2"/>
    <row r="267" ht="27.75" customHeight="1" x14ac:dyDescent="0.2"/>
    <row r="268" ht="27.75" customHeight="1" x14ac:dyDescent="0.2"/>
    <row r="269" ht="27.75" customHeight="1" x14ac:dyDescent="0.2"/>
    <row r="270" ht="27.75" customHeight="1" x14ac:dyDescent="0.2"/>
    <row r="279" ht="27.75" customHeight="1" x14ac:dyDescent="0.2"/>
    <row r="280" ht="27.75" customHeight="1" x14ac:dyDescent="0.2"/>
    <row r="281" ht="27.75" customHeight="1" x14ac:dyDescent="0.2"/>
    <row r="282" ht="27.75" customHeight="1" x14ac:dyDescent="0.2"/>
    <row r="283" ht="27.75" customHeight="1" x14ac:dyDescent="0.2"/>
    <row r="284" ht="27.75" customHeight="1" x14ac:dyDescent="0.2"/>
    <row r="285" ht="27.75" customHeight="1" x14ac:dyDescent="0.2"/>
    <row r="286" ht="27.75" customHeight="1" x14ac:dyDescent="0.2"/>
    <row r="287" ht="27.75" customHeight="1" x14ac:dyDescent="0.2"/>
    <row r="288" ht="27.75" customHeight="1" x14ac:dyDescent="0.2"/>
    <row r="289" ht="27.75" customHeight="1" x14ac:dyDescent="0.2"/>
    <row r="292" ht="94.5" customHeight="1" x14ac:dyDescent="0.2"/>
    <row r="294" ht="42.75" customHeight="1" x14ac:dyDescent="0.2"/>
    <row r="305" ht="70.5" customHeight="1" x14ac:dyDescent="0.2"/>
    <row r="307" ht="58.5" customHeight="1" x14ac:dyDescent="0.2"/>
    <row r="318" ht="57" customHeight="1" x14ac:dyDescent="0.2"/>
    <row r="320" ht="48.75" customHeight="1" x14ac:dyDescent="0.2"/>
    <row r="331" ht="64.5" customHeight="1" x14ac:dyDescent="0.2"/>
    <row r="333" ht="34.5" customHeight="1" x14ac:dyDescent="0.2"/>
    <row r="344" ht="75.75" customHeight="1" x14ac:dyDescent="0.2"/>
    <row r="346" ht="33" customHeight="1" x14ac:dyDescent="0.2"/>
    <row r="357" ht="72" customHeight="1" x14ac:dyDescent="0.2"/>
    <row r="359" ht="45" customHeight="1" x14ac:dyDescent="0.2"/>
    <row r="372" ht="46.5" customHeight="1" x14ac:dyDescent="0.2"/>
    <row r="385" ht="44.25" customHeight="1" x14ac:dyDescent="0.2"/>
    <row r="398" ht="39" customHeight="1" x14ac:dyDescent="0.2"/>
    <row r="411" ht="34.5" customHeight="1" x14ac:dyDescent="0.2"/>
    <row r="424" ht="46.5" customHeight="1" x14ac:dyDescent="0.2"/>
    <row r="437" ht="48.75" customHeight="1" x14ac:dyDescent="0.2"/>
    <row r="450" ht="35.25" customHeight="1" x14ac:dyDescent="0.2"/>
    <row r="461" ht="66" customHeight="1" x14ac:dyDescent="0.2"/>
    <row r="463" ht="27" customHeight="1" x14ac:dyDescent="0.2"/>
    <row r="474" ht="36.75" customHeight="1" x14ac:dyDescent="0.2"/>
    <row r="476" ht="44.25" customHeight="1" x14ac:dyDescent="0.2"/>
    <row r="487" ht="21" customHeight="1" x14ac:dyDescent="0.2"/>
    <row r="489" ht="42.75" customHeight="1" x14ac:dyDescent="0.2"/>
    <row r="500" ht="111.75" customHeight="1" x14ac:dyDescent="0.2"/>
    <row r="502" ht="35.25" customHeight="1" x14ac:dyDescent="0.2"/>
    <row r="513" ht="34.5" customHeight="1" x14ac:dyDescent="0.2"/>
    <row r="515" ht="36.75" customHeight="1" x14ac:dyDescent="0.2"/>
    <row r="528" ht="66" customHeight="1" x14ac:dyDescent="0.2"/>
    <row r="541" ht="36.75" customHeight="1" x14ac:dyDescent="0.2"/>
    <row r="552" ht="64.5" customHeight="1" x14ac:dyDescent="0.2"/>
    <row r="554" ht="38.25" customHeight="1" x14ac:dyDescent="0.2"/>
    <row r="565" ht="22.5" customHeight="1" x14ac:dyDescent="0.2"/>
    <row r="567" ht="50.25" customHeight="1" x14ac:dyDescent="0.2"/>
    <row r="578" ht="28.5" customHeight="1" x14ac:dyDescent="0.2"/>
    <row r="580" ht="54.75" customHeight="1" x14ac:dyDescent="0.2"/>
    <row r="591" ht="54" customHeight="1" x14ac:dyDescent="0.2"/>
    <row r="593" ht="28.5" customHeight="1" x14ac:dyDescent="0.2"/>
    <row r="604" ht="30.75" customHeight="1" x14ac:dyDescent="0.2"/>
    <row r="606" ht="41.25" customHeight="1" x14ac:dyDescent="0.2"/>
    <row r="617" ht="125.25" customHeight="1" x14ac:dyDescent="0.2"/>
    <row r="619" ht="35.25" customHeight="1" x14ac:dyDescent="0.2"/>
    <row r="630" ht="147.75" customHeight="1" x14ac:dyDescent="0.2"/>
    <row r="632" ht="58.5" customHeight="1" x14ac:dyDescent="0.2"/>
    <row r="643" ht="30.75" customHeight="1" x14ac:dyDescent="0.2"/>
    <row r="645" ht="48" customHeight="1" x14ac:dyDescent="0.2"/>
    <row r="656" ht="144" customHeight="1" x14ac:dyDescent="0.2"/>
    <row r="658" ht="48.75" customHeight="1" x14ac:dyDescent="0.2"/>
    <row r="669" ht="126.75" customHeight="1" x14ac:dyDescent="0.2"/>
    <row r="671" ht="50.25" customHeight="1" x14ac:dyDescent="0.2"/>
    <row r="682" ht="54" customHeight="1" x14ac:dyDescent="0.2"/>
    <row r="684" ht="50.25" customHeight="1" x14ac:dyDescent="0.2"/>
    <row r="695" ht="98.25" customHeight="1" x14ac:dyDescent="0.2"/>
    <row r="697" ht="56.25" customHeight="1" x14ac:dyDescent="0.2"/>
    <row r="708" ht="42.75" customHeight="1" x14ac:dyDescent="0.2"/>
    <row r="710" ht="68.25" customHeight="1" x14ac:dyDescent="0.2"/>
    <row r="721" ht="107.25" customHeight="1" x14ac:dyDescent="0.2"/>
    <row r="723" ht="50.25" customHeight="1" x14ac:dyDescent="0.2"/>
    <row r="734" ht="96" customHeight="1" x14ac:dyDescent="0.2"/>
    <row r="736" ht="54" customHeight="1" x14ac:dyDescent="0.2"/>
    <row r="747" ht="102" customHeight="1" x14ac:dyDescent="0.2"/>
    <row r="749" ht="57" customHeight="1" x14ac:dyDescent="0.2"/>
    <row r="760" ht="70.5" customHeight="1" x14ac:dyDescent="0.2"/>
    <row r="762" ht="56.25" customHeight="1" x14ac:dyDescent="0.2"/>
    <row r="773" ht="85.5" customHeight="1" x14ac:dyDescent="0.2"/>
    <row r="775" ht="74.25" customHeight="1" x14ac:dyDescent="0.2"/>
    <row r="786" ht="68.25" customHeight="1" x14ac:dyDescent="0.2"/>
    <row r="788" ht="39" customHeight="1" x14ac:dyDescent="0.2"/>
    <row r="799" ht="78" customHeight="1" x14ac:dyDescent="0.2"/>
    <row r="801" ht="54" customHeight="1" x14ac:dyDescent="0.2"/>
    <row r="812" ht="62.25" customHeight="1" x14ac:dyDescent="0.2"/>
    <row r="814" ht="34.5" customHeight="1" x14ac:dyDescent="0.2"/>
    <row r="825" ht="44.25" customHeight="1" x14ac:dyDescent="0.2"/>
    <row r="827" ht="54.75" customHeight="1" x14ac:dyDescent="0.2"/>
    <row r="838" ht="56.25" customHeight="1" x14ac:dyDescent="0.2"/>
    <row r="840" ht="76.5" customHeight="1" x14ac:dyDescent="0.2"/>
    <row r="844" ht="23.25" customHeight="1" x14ac:dyDescent="0.2"/>
    <row r="851" ht="46.5" customHeight="1" x14ac:dyDescent="0.2"/>
    <row r="853" ht="48" customHeight="1" x14ac:dyDescent="0.2"/>
    <row r="866" ht="48" customHeight="1" x14ac:dyDescent="0.2"/>
    <row r="877" ht="26.25" customHeight="1" x14ac:dyDescent="0.2"/>
    <row r="879" ht="46.5" customHeight="1" x14ac:dyDescent="0.2"/>
    <row r="890" ht="29.25" customHeight="1" x14ac:dyDescent="0.2"/>
    <row r="892" ht="48" customHeight="1" x14ac:dyDescent="0.2"/>
    <row r="903" ht="41.25" customHeight="1" x14ac:dyDescent="0.2"/>
    <row r="905" ht="45" customHeight="1" x14ac:dyDescent="0.2"/>
    <row r="916" ht="28.5" customHeight="1" x14ac:dyDescent="0.2"/>
    <row r="929" ht="24.75" customHeight="1" x14ac:dyDescent="0.2"/>
    <row r="931" ht="46.5" customHeight="1" x14ac:dyDescent="0.2"/>
    <row r="944" ht="45" customHeight="1" x14ac:dyDescent="0.2"/>
    <row r="955" ht="26.25" customHeight="1" x14ac:dyDescent="0.2"/>
    <row r="957" ht="45" customHeight="1" x14ac:dyDescent="0.2"/>
    <row r="968" ht="18.75" customHeight="1" x14ac:dyDescent="0.2"/>
    <row r="970" ht="48.75" customHeight="1" x14ac:dyDescent="0.2"/>
    <row r="983" ht="66" customHeight="1" x14ac:dyDescent="0.2"/>
    <row r="996" ht="45" customHeight="1" x14ac:dyDescent="0.2"/>
    <row r="1009" ht="40.5" customHeight="1" x14ac:dyDescent="0.2"/>
    <row r="1022" ht="46.5" customHeight="1" x14ac:dyDescent="0.2"/>
    <row r="1035" ht="48.75" customHeight="1" x14ac:dyDescent="0.2"/>
    <row r="1046" ht="19.5" customHeight="1" x14ac:dyDescent="0.2"/>
    <row r="1048" ht="56.25" customHeight="1" x14ac:dyDescent="0.2"/>
    <row r="1059" ht="24.75" customHeight="1" x14ac:dyDescent="0.2"/>
    <row r="1061" ht="47.25" customHeight="1" x14ac:dyDescent="0.2"/>
    <row r="1074" ht="44.25" customHeight="1" x14ac:dyDescent="0.2"/>
    <row r="1087" ht="57" customHeight="1" x14ac:dyDescent="0.2"/>
    <row r="1100" ht="48" customHeight="1" x14ac:dyDescent="0.2"/>
    <row r="1113" ht="54" customHeight="1" x14ac:dyDescent="0.2"/>
    <row r="1126" ht="50.25" customHeight="1" x14ac:dyDescent="0.2"/>
    <row r="1137" ht="19.5" customHeight="1" x14ac:dyDescent="0.2"/>
    <row r="1139" ht="40.5" customHeight="1" x14ac:dyDescent="0.2"/>
    <row r="1150" ht="28.5" customHeight="1" x14ac:dyDescent="0.2"/>
    <row r="1152" ht="48" customHeight="1" x14ac:dyDescent="0.2"/>
    <row r="1165" ht="41.25" customHeight="1" x14ac:dyDescent="0.2"/>
    <row r="1178" ht="44.25" customHeight="1" x14ac:dyDescent="0.2"/>
    <row r="1191" ht="54.75" customHeight="1" x14ac:dyDescent="0.2"/>
    <row r="1204" ht="36" customHeight="1" x14ac:dyDescent="0.2"/>
    <row r="1208" ht="24.75" customHeight="1" x14ac:dyDescent="0.2"/>
    <row r="1215" ht="23.25" customHeight="1" x14ac:dyDescent="0.2"/>
    <row r="1217" ht="40.5" customHeight="1" x14ac:dyDescent="0.2"/>
    <row r="1230" ht="62.25" customHeight="1" x14ac:dyDescent="0.2"/>
    <row r="1241" ht="23.25" customHeight="1" x14ac:dyDescent="0.2"/>
    <row r="1243" ht="52.5" customHeight="1" x14ac:dyDescent="0.2"/>
    <row r="1256" ht="41.25" customHeight="1" x14ac:dyDescent="0.2"/>
    <row r="1293" ht="34.5" customHeight="1" x14ac:dyDescent="0.2"/>
    <row r="1295" ht="57" customHeight="1" x14ac:dyDescent="0.2"/>
    <row r="1306" ht="66.75" customHeight="1" x14ac:dyDescent="0.2"/>
    <row r="1308" ht="46.5" customHeight="1" x14ac:dyDescent="0.2"/>
    <row r="1321" ht="62.25" customHeight="1" x14ac:dyDescent="0.2"/>
    <row r="1332" ht="69.75" customHeight="1" x14ac:dyDescent="0.2"/>
    <row r="1334" ht="48" customHeight="1" x14ac:dyDescent="0.2"/>
    <row r="1345" ht="64.5" customHeight="1" x14ac:dyDescent="0.2"/>
    <row r="1347" ht="52.5" customHeight="1" x14ac:dyDescent="0.2"/>
    <row r="1358" ht="234" customHeight="1" x14ac:dyDescent="0.2"/>
    <row r="1360" ht="68.25" customHeight="1" x14ac:dyDescent="0.2"/>
  </sheetData>
  <mergeCells count="104">
    <mergeCell ref="B146:E146"/>
    <mergeCell ref="C148:E148"/>
    <mergeCell ref="C150:E150"/>
    <mergeCell ref="C208:E208"/>
    <mergeCell ref="B224:E224"/>
    <mergeCell ref="C226:E226"/>
    <mergeCell ref="C228:E228"/>
    <mergeCell ref="C230:E230"/>
    <mergeCell ref="C232:E232"/>
    <mergeCell ref="C165:E165"/>
    <mergeCell ref="C167:E167"/>
    <mergeCell ref="C169:E169"/>
    <mergeCell ref="B172:E172"/>
    <mergeCell ref="C174:E174"/>
    <mergeCell ref="C176:E176"/>
    <mergeCell ref="C178:E178"/>
    <mergeCell ref="C180:E180"/>
    <mergeCell ref="C182:E182"/>
    <mergeCell ref="C191:E191"/>
    <mergeCell ref="C193:E193"/>
    <mergeCell ref="C195:E195"/>
    <mergeCell ref="B198:E198"/>
    <mergeCell ref="C200:E200"/>
    <mergeCell ref="C202:E202"/>
    <mergeCell ref="C234:E234"/>
    <mergeCell ref="B211:E211"/>
    <mergeCell ref="C213:E213"/>
    <mergeCell ref="C215:E215"/>
    <mergeCell ref="C217:E217"/>
    <mergeCell ref="C219:E219"/>
    <mergeCell ref="C221:E221"/>
    <mergeCell ref="C152:E152"/>
    <mergeCell ref="C154:E154"/>
    <mergeCell ref="C156:E156"/>
    <mergeCell ref="B159:E159"/>
    <mergeCell ref="C161:E161"/>
    <mergeCell ref="C163:E163"/>
    <mergeCell ref="C204:E204"/>
    <mergeCell ref="C206:E206"/>
    <mergeCell ref="B185:E185"/>
    <mergeCell ref="C187:E187"/>
    <mergeCell ref="C189:E189"/>
    <mergeCell ref="C126:E126"/>
    <mergeCell ref="C128:E128"/>
    <mergeCell ref="C130:E130"/>
    <mergeCell ref="B133:E133"/>
    <mergeCell ref="C135:E135"/>
    <mergeCell ref="C137:E137"/>
    <mergeCell ref="C139:E139"/>
    <mergeCell ref="C141:E141"/>
    <mergeCell ref="C143:E143"/>
    <mergeCell ref="B120:E120"/>
    <mergeCell ref="C122:E122"/>
    <mergeCell ref="C124:E124"/>
    <mergeCell ref="C74:E74"/>
    <mergeCell ref="C76:E76"/>
    <mergeCell ref="C78:E78"/>
    <mergeCell ref="B81:E81"/>
    <mergeCell ref="C83:E83"/>
    <mergeCell ref="C85:E85"/>
    <mergeCell ref="C87:E87"/>
    <mergeCell ref="C89:E89"/>
    <mergeCell ref="C91:E91"/>
    <mergeCell ref="C113:E113"/>
    <mergeCell ref="C115:E115"/>
    <mergeCell ref="C117:E117"/>
    <mergeCell ref="B94:E94"/>
    <mergeCell ref="C96:E96"/>
    <mergeCell ref="C98:E98"/>
    <mergeCell ref="C100:E100"/>
    <mergeCell ref="C102:E102"/>
    <mergeCell ref="C104:E104"/>
    <mergeCell ref="B107:E107"/>
    <mergeCell ref="C109:E109"/>
    <mergeCell ref="C111:E111"/>
    <mergeCell ref="B55:E55"/>
    <mergeCell ref="C57:E57"/>
    <mergeCell ref="C59:E59"/>
    <mergeCell ref="C61:E61"/>
    <mergeCell ref="C63:E63"/>
    <mergeCell ref="C65:E65"/>
    <mergeCell ref="B68:E68"/>
    <mergeCell ref="C70:E70"/>
    <mergeCell ref="C72:E72"/>
    <mergeCell ref="C35:E35"/>
    <mergeCell ref="C37:E37"/>
    <mergeCell ref="C39:E39"/>
    <mergeCell ref="B42:E42"/>
    <mergeCell ref="C44:E44"/>
    <mergeCell ref="C46:E46"/>
    <mergeCell ref="C48:E48"/>
    <mergeCell ref="C50:E50"/>
    <mergeCell ref="C52:E52"/>
    <mergeCell ref="B29:E29"/>
    <mergeCell ref="C31:E31"/>
    <mergeCell ref="C33:E33"/>
    <mergeCell ref="A25:H25"/>
    <mergeCell ref="A6:B6"/>
    <mergeCell ref="B2:H2"/>
    <mergeCell ref="A7:B7"/>
    <mergeCell ref="A5:B5"/>
    <mergeCell ref="A4:B4"/>
    <mergeCell ref="C4:E4"/>
    <mergeCell ref="C5:E5"/>
  </mergeCells>
  <pageMargins left="0.7" right="0.7" top="0.75" bottom="0.75" header="0" footer="0"/>
  <pageSetup paperSize="190" scale="44"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8"/>
  <sheetViews>
    <sheetView topLeftCell="A19" workbookViewId="0">
      <selection activeCell="C26" sqref="C26:G26"/>
    </sheetView>
  </sheetViews>
  <sheetFormatPr baseColWidth="10" defaultRowHeight="12.75" x14ac:dyDescent="0.2"/>
  <cols>
    <col min="1" max="1" width="5.7109375" customWidth="1"/>
    <col min="2" max="2" width="15.5703125" customWidth="1"/>
    <col min="4" max="4" width="26.28515625" customWidth="1"/>
    <col min="7" max="7" width="23.28515625" customWidth="1"/>
    <col min="9" max="9" width="15.7109375" customWidth="1"/>
    <col min="10" max="10" width="14.85546875" customWidth="1"/>
  </cols>
  <sheetData>
    <row r="1" spans="1:11" ht="16.5" thickBot="1" x14ac:dyDescent="0.25">
      <c r="A1" s="117" t="s">
        <v>77</v>
      </c>
      <c r="B1" s="117"/>
      <c r="C1" s="117"/>
      <c r="D1" s="117"/>
      <c r="E1" s="117"/>
      <c r="F1" s="117"/>
      <c r="G1" s="117"/>
      <c r="H1" s="117"/>
      <c r="I1" s="117"/>
      <c r="J1" s="44" t="s">
        <v>78</v>
      </c>
      <c r="K1" s="49" t="s">
        <v>122</v>
      </c>
    </row>
    <row r="2" spans="1:11" ht="16.5" thickBot="1" x14ac:dyDescent="0.25">
      <c r="A2" s="45"/>
      <c r="B2" s="45"/>
      <c r="C2" s="45"/>
      <c r="D2" s="46"/>
      <c r="E2" s="46"/>
      <c r="F2" s="46"/>
      <c r="G2" s="46"/>
      <c r="H2" s="46"/>
      <c r="I2" s="46"/>
      <c r="J2" s="46"/>
      <c r="K2" s="46"/>
    </row>
    <row r="3" spans="1:11" ht="16.5" thickBot="1" x14ac:dyDescent="0.25">
      <c r="A3" s="107" t="s">
        <v>79</v>
      </c>
      <c r="B3" s="107"/>
      <c r="C3" s="107"/>
      <c r="D3" s="108" t="s">
        <v>14</v>
      </c>
      <c r="E3" s="108"/>
      <c r="F3" s="108"/>
      <c r="G3" s="108"/>
      <c r="H3" s="108"/>
      <c r="I3" s="108"/>
      <c r="J3" s="108"/>
      <c r="K3" s="108"/>
    </row>
    <row r="4" spans="1:11" ht="16.5" thickBot="1" x14ac:dyDescent="0.25">
      <c r="A4" s="109" t="s">
        <v>80</v>
      </c>
      <c r="B4" s="109"/>
      <c r="C4" s="109"/>
      <c r="D4" s="108" t="s">
        <v>15</v>
      </c>
      <c r="E4" s="108"/>
      <c r="F4" s="108"/>
      <c r="G4" s="108"/>
      <c r="H4" s="108"/>
      <c r="I4" s="108"/>
      <c r="J4" s="108"/>
      <c r="K4" s="108"/>
    </row>
    <row r="5" spans="1:11" ht="16.5" thickBot="1" x14ac:dyDescent="0.25">
      <c r="A5" s="109" t="s">
        <v>81</v>
      </c>
      <c r="B5" s="109"/>
      <c r="C5" s="109"/>
      <c r="D5" s="108" t="s">
        <v>123</v>
      </c>
      <c r="E5" s="108"/>
      <c r="F5" s="108"/>
      <c r="G5" s="108"/>
      <c r="H5" s="108"/>
      <c r="I5" s="108"/>
      <c r="J5" s="108"/>
      <c r="K5" s="108"/>
    </row>
    <row r="6" spans="1:11" ht="16.5" thickBot="1" x14ac:dyDescent="0.25">
      <c r="A6" s="107" t="s">
        <v>82</v>
      </c>
      <c r="B6" s="107"/>
      <c r="C6" s="107"/>
      <c r="D6" s="108" t="s">
        <v>83</v>
      </c>
      <c r="E6" s="108"/>
      <c r="F6" s="108"/>
      <c r="G6" s="108"/>
      <c r="H6" s="108"/>
      <c r="I6" s="108"/>
      <c r="J6" s="108"/>
      <c r="K6" s="108"/>
    </row>
    <row r="7" spans="1:11" ht="16.5" thickBot="1" x14ac:dyDescent="0.25">
      <c r="A7" s="109" t="s">
        <v>84</v>
      </c>
      <c r="B7" s="109"/>
      <c r="C7" s="109"/>
      <c r="D7" s="108" t="s">
        <v>119</v>
      </c>
      <c r="E7" s="108"/>
      <c r="F7" s="108"/>
      <c r="G7" s="108"/>
      <c r="H7" s="108"/>
      <c r="I7" s="108"/>
      <c r="J7" s="108"/>
      <c r="K7" s="108"/>
    </row>
    <row r="8" spans="1:11" ht="33" customHeight="1" thickBot="1" x14ac:dyDescent="0.25">
      <c r="A8" s="112" t="s">
        <v>85</v>
      </c>
      <c r="B8" s="112"/>
      <c r="C8" s="112"/>
      <c r="D8" s="113" t="s">
        <v>125</v>
      </c>
      <c r="E8" s="113"/>
      <c r="F8" s="113"/>
      <c r="G8" s="113"/>
      <c r="H8" s="113"/>
      <c r="I8" s="113"/>
      <c r="J8" s="113"/>
      <c r="K8" s="113"/>
    </row>
    <row r="9" spans="1:11" ht="16.5" thickBot="1" x14ac:dyDescent="0.25">
      <c r="A9" s="47"/>
      <c r="B9" s="47"/>
      <c r="C9" s="47"/>
      <c r="D9" s="48"/>
      <c r="E9" s="48"/>
      <c r="F9" s="48"/>
      <c r="G9" s="48"/>
      <c r="H9" s="48"/>
      <c r="I9" s="48"/>
      <c r="J9" s="48"/>
      <c r="K9" s="48"/>
    </row>
    <row r="10" spans="1:11" ht="13.5" thickBot="1" x14ac:dyDescent="0.25">
      <c r="A10" s="114" t="s">
        <v>86</v>
      </c>
      <c r="B10" s="115" t="s">
        <v>87</v>
      </c>
      <c r="C10" s="115" t="s">
        <v>88</v>
      </c>
      <c r="D10" s="115"/>
      <c r="E10" s="115"/>
      <c r="F10" s="115"/>
      <c r="G10" s="115"/>
      <c r="H10" s="115" t="s">
        <v>89</v>
      </c>
      <c r="I10" s="115" t="s">
        <v>90</v>
      </c>
      <c r="J10" s="115" t="s">
        <v>91</v>
      </c>
      <c r="K10" s="116" t="s">
        <v>92</v>
      </c>
    </row>
    <row r="11" spans="1:11" ht="13.5" thickBot="1" x14ac:dyDescent="0.25">
      <c r="A11" s="114"/>
      <c r="B11" s="115"/>
      <c r="C11" s="115"/>
      <c r="D11" s="115"/>
      <c r="E11" s="115"/>
      <c r="F11" s="115"/>
      <c r="G11" s="115"/>
      <c r="H11" s="115"/>
      <c r="I11" s="115"/>
      <c r="J11" s="115"/>
      <c r="K11" s="116"/>
    </row>
    <row r="12" spans="1:11" ht="30" customHeight="1" thickBot="1" x14ac:dyDescent="0.25">
      <c r="A12" s="50">
        <v>1</v>
      </c>
      <c r="B12" s="51" t="str">
        <f>'Necesidades Trimestrales'!B9</f>
        <v>4.3.5-8922.8</v>
      </c>
      <c r="C12" s="106" t="str">
        <f>'Necesidades Trimestrales'!E9</f>
        <v>JUEGOS DE SALON; TIPO: CONSOLA DE VIDEOJUEGOS</v>
      </c>
      <c r="D12" s="106"/>
      <c r="E12" s="106"/>
      <c r="F12" s="106"/>
      <c r="G12" s="106"/>
      <c r="H12" s="52" t="s">
        <v>93</v>
      </c>
      <c r="I12" s="53" t="s">
        <v>5</v>
      </c>
      <c r="J12" s="54">
        <f>'Necesidades Trimestrales'!H9</f>
        <v>185000</v>
      </c>
      <c r="K12" s="55">
        <f>'Necesidades Trimestrales'!G9</f>
        <v>3</v>
      </c>
    </row>
    <row r="13" spans="1:11" ht="30" customHeight="1" thickBot="1" x14ac:dyDescent="0.25">
      <c r="A13" s="50">
        <v>2</v>
      </c>
      <c r="B13" s="51" t="str">
        <f>'Necesidades Trimestrales'!B10</f>
        <v>4.3.5-9163.64</v>
      </c>
      <c r="C13" s="106" t="str">
        <f>'Necesidades Trimestrales'!E10</f>
        <v>EQUIPOS DIDACTICOS TECNICOS; NOMBRE: SISTEMA DE SONIDO, TIPO: ESTEREO</v>
      </c>
      <c r="D13" s="106"/>
      <c r="E13" s="106"/>
      <c r="F13" s="106"/>
      <c r="G13" s="106"/>
      <c r="H13" s="52" t="s">
        <v>93</v>
      </c>
      <c r="I13" s="53" t="s">
        <v>5</v>
      </c>
      <c r="J13" s="54">
        <f>'Necesidades Trimestrales'!H10</f>
        <v>10000</v>
      </c>
      <c r="K13" s="55">
        <f>'Necesidades Trimestrales'!G10</f>
        <v>4</v>
      </c>
    </row>
    <row r="14" spans="1:11" ht="30" customHeight="1" thickBot="1" x14ac:dyDescent="0.25">
      <c r="A14" s="50">
        <v>3</v>
      </c>
      <c r="B14" s="51" t="str">
        <f>'Necesidades Trimestrales'!B11</f>
        <v>4.3.7-46.128</v>
      </c>
      <c r="C14" s="106" t="str">
        <f>'Necesidades Trimestrales'!E11</f>
        <v>SILLONES EJECUTIVOS; TAPIZADO: ECOCUERO, ALTURA: REGULABLE, GIRATORIO: SI, MATERIAL: ACERO Y PLASTICO</v>
      </c>
      <c r="D14" s="106"/>
      <c r="E14" s="106"/>
      <c r="F14" s="106"/>
      <c r="G14" s="106"/>
      <c r="H14" s="52" t="s">
        <v>93</v>
      </c>
      <c r="I14" s="53" t="s">
        <v>5</v>
      </c>
      <c r="J14" s="54">
        <f>'Necesidades Trimestrales'!H11</f>
        <v>34800</v>
      </c>
      <c r="K14" s="55">
        <f>'Necesidades Trimestrales'!G11</f>
        <v>6</v>
      </c>
    </row>
    <row r="15" spans="1:11" ht="30" customHeight="1" thickBot="1" x14ac:dyDescent="0.25">
      <c r="A15" s="50">
        <v>4</v>
      </c>
      <c r="B15" s="51" t="str">
        <f>'Necesidades Trimestrales'!B12</f>
        <v>4.3.6-9707.20</v>
      </c>
      <c r="C15" s="106" t="str">
        <f>'Necesidades Trimestrales'!E12</f>
        <v>IMPRESORA 3D; TIPO: FDM, DIMENSION: 220 X 220 X 260 MM, RESOLUCION: SEGÚN PLIEGO, PRECISION: SEGÚN PLIEGO, ESPESOR CAPA: SEGÚN PLIEGO</v>
      </c>
      <c r="D15" s="106"/>
      <c r="E15" s="106"/>
      <c r="F15" s="106"/>
      <c r="G15" s="106"/>
      <c r="H15" s="52" t="s">
        <v>93</v>
      </c>
      <c r="I15" s="53" t="s">
        <v>5</v>
      </c>
      <c r="J15" s="54">
        <f>'Necesidades Trimestrales'!H12</f>
        <v>43200</v>
      </c>
      <c r="K15" s="55">
        <f>'Necesidades Trimestrales'!G12</f>
        <v>16</v>
      </c>
    </row>
    <row r="16" spans="1:11" ht="30" customHeight="1" thickBot="1" x14ac:dyDescent="0.25">
      <c r="A16" s="50">
        <v>5</v>
      </c>
      <c r="B16" s="51" t="str">
        <f>'Necesidades Trimestrales'!B13</f>
        <v>4.3.7-45.517</v>
      </c>
      <c r="C16" s="106" t="str">
        <f>'Necesidades Trimestrales'!E13</f>
        <v>SILLAS; MATERIAL ESTRUCTURA: METAL, TAPIZADO: SIN, ALTURA: 77 Cm, GIRATORIA: NO</v>
      </c>
      <c r="D16" s="106"/>
      <c r="E16" s="106"/>
      <c r="F16" s="106"/>
      <c r="G16" s="106"/>
      <c r="H16" s="52" t="s">
        <v>93</v>
      </c>
      <c r="I16" s="53" t="s">
        <v>5</v>
      </c>
      <c r="J16" s="54">
        <f>'Necesidades Trimestrales'!H13</f>
        <v>7900</v>
      </c>
      <c r="K16" s="55">
        <f>'Necesidades Trimestrales'!G13</f>
        <v>80</v>
      </c>
    </row>
    <row r="17" spans="1:11" ht="30" customHeight="1" thickBot="1" x14ac:dyDescent="0.25">
      <c r="A17" s="50">
        <v>6</v>
      </c>
      <c r="B17" s="51" t="str">
        <f>'Necesidades Trimestrales'!B14</f>
        <v>4.3.7-40.1320</v>
      </c>
      <c r="C17" s="106" t="str">
        <f>'Necesidades Trimestrales'!E14</f>
        <v>ESCRITORIOS; MATERIAL ESTRUCTURA: AGLOMERADO, TERMINACION: ENCHAPADO EN MELAMINA, DIM. DEL PLANO DE APOYO: 1,20 X 0,60 X 0,75 M, CANTIDAD DE CAJONES: 2</v>
      </c>
      <c r="D17" s="106"/>
      <c r="E17" s="106"/>
      <c r="F17" s="106"/>
      <c r="G17" s="106"/>
      <c r="H17" s="52" t="s">
        <v>93</v>
      </c>
      <c r="I17" s="53" t="s">
        <v>5</v>
      </c>
      <c r="J17" s="54">
        <f>'Necesidades Trimestrales'!H14</f>
        <v>15000</v>
      </c>
      <c r="K17" s="55">
        <f>'Necesidades Trimestrales'!G14</f>
        <v>8</v>
      </c>
    </row>
    <row r="18" spans="1:11" ht="30" customHeight="1" thickBot="1" x14ac:dyDescent="0.25">
      <c r="A18" s="50">
        <v>7</v>
      </c>
      <c r="B18" s="51" t="str">
        <f>'Necesidades Trimestrales'!B15</f>
        <v>4.3.7-1362.52</v>
      </c>
      <c r="C18" s="106" t="str">
        <f>'Necesidades Trimestrales'!E15</f>
        <v>MESAS CURVAS; CURVA: CIRCULAR, DIMENSION: DIAMETRO 120 Cm, MATERIAL: METAL, TERMINACION: FIBRA DE VIDRIO</v>
      </c>
      <c r="D18" s="106"/>
      <c r="E18" s="106"/>
      <c r="F18" s="106"/>
      <c r="G18" s="106"/>
      <c r="H18" s="52" t="s">
        <v>93</v>
      </c>
      <c r="I18" s="53" t="s">
        <v>5</v>
      </c>
      <c r="J18" s="54">
        <f>'Necesidades Trimestrales'!H15</f>
        <v>34500</v>
      </c>
      <c r="K18" s="55">
        <f>'Necesidades Trimestrales'!G15</f>
        <v>16</v>
      </c>
    </row>
    <row r="19" spans="1:11" ht="30" customHeight="1" thickBot="1" x14ac:dyDescent="0.25">
      <c r="A19" s="50">
        <v>8</v>
      </c>
      <c r="B19" s="51" t="str">
        <f>'Necesidades Trimestrales'!B16</f>
        <v>4.3.5-241.105</v>
      </c>
      <c r="C19" s="106" t="str">
        <f>'Necesidades Trimestrales'!E16</f>
        <v>TELEVISORES; PANTALLA: SMART LED FULL HD 60 pulg, NORMA: MULTINORMA, CANTIDAD DE CANALES: INDEFINIDO, APAGADO: CON, VISION MULTICANAL: CON</v>
      </c>
      <c r="D19" s="106"/>
      <c r="E19" s="106"/>
      <c r="F19" s="106"/>
      <c r="G19" s="106"/>
      <c r="H19" s="52" t="s">
        <v>93</v>
      </c>
      <c r="I19" s="53" t="s">
        <v>5</v>
      </c>
      <c r="J19" s="54">
        <f>'Necesidades Trimestrales'!H16</f>
        <v>110000</v>
      </c>
      <c r="K19" s="55">
        <f>'Necesidades Trimestrales'!G16</f>
        <v>4</v>
      </c>
    </row>
    <row r="20" spans="1:11" ht="30" customHeight="1" thickBot="1" x14ac:dyDescent="0.25">
      <c r="A20" s="50">
        <v>9</v>
      </c>
      <c r="B20" s="51" t="str">
        <f>'Necesidades Trimestrales'!B17</f>
        <v>4.3.7-56.26</v>
      </c>
      <c r="C20" s="106" t="str">
        <f>'Necesidades Trimestrales'!E17</f>
        <v>MESAS P/TELEVISORES; MATERIAL: AGLOMERADO, TAMAÑO: 110 X 110 X 60 Cm, PATAS: CON RUEDAS, ESTANTE: 2</v>
      </c>
      <c r="D20" s="106"/>
      <c r="E20" s="106"/>
      <c r="F20" s="106"/>
      <c r="G20" s="106"/>
      <c r="H20" s="52" t="s">
        <v>93</v>
      </c>
      <c r="I20" s="53" t="s">
        <v>5</v>
      </c>
      <c r="J20" s="54">
        <f>'Necesidades Trimestrales'!H17</f>
        <v>6200</v>
      </c>
      <c r="K20" s="55">
        <f>'Necesidades Trimestrales'!G17</f>
        <v>4</v>
      </c>
    </row>
    <row r="21" spans="1:11" ht="30" customHeight="1" thickBot="1" x14ac:dyDescent="0.25">
      <c r="A21" s="50">
        <v>10</v>
      </c>
      <c r="B21" s="51" t="str">
        <f>'Necesidades Trimestrales'!B18</f>
        <v>4.3.5-9163.90</v>
      </c>
      <c r="C21" s="106" t="str">
        <f>'Necesidades Trimestrales'!E18</f>
        <v>EQUIPOS DIDACTICOS TECNICOS; NOMBRE: KIT EXPERIMENTAL , TIPO: SEGÚN PLIEGO</v>
      </c>
      <c r="D21" s="106"/>
      <c r="E21" s="106"/>
      <c r="F21" s="106"/>
      <c r="G21" s="106"/>
      <c r="H21" s="52" t="s">
        <v>93</v>
      </c>
      <c r="I21" s="53" t="s">
        <v>5</v>
      </c>
      <c r="J21" s="54">
        <f>'Necesidades Trimestrales'!H18</f>
        <v>2200</v>
      </c>
      <c r="K21" s="55">
        <f>'Necesidades Trimestrales'!G18</f>
        <v>80</v>
      </c>
    </row>
    <row r="22" spans="1:11" ht="30" customHeight="1" thickBot="1" x14ac:dyDescent="0.25">
      <c r="A22" s="50">
        <v>11</v>
      </c>
      <c r="B22" s="51" t="str">
        <f>'Necesidades Trimestrales'!B19</f>
        <v>4.3.5-9163.90</v>
      </c>
      <c r="C22" s="106" t="str">
        <f>'Necesidades Trimestrales'!E19</f>
        <v>EQUIPOS DIDACTICOS TECNICOS; NOMBRE: KIT EXPERIMENTAL , TIPO: SEGÚN PLIEGO</v>
      </c>
      <c r="D22" s="106"/>
      <c r="E22" s="106"/>
      <c r="F22" s="106"/>
      <c r="G22" s="106"/>
      <c r="H22" s="52" t="s">
        <v>93</v>
      </c>
      <c r="I22" s="53" t="s">
        <v>5</v>
      </c>
      <c r="J22" s="54">
        <f>'Necesidades Trimestrales'!H19</f>
        <v>14999</v>
      </c>
      <c r="K22" s="55">
        <f>'Necesidades Trimestrales'!G19</f>
        <v>80</v>
      </c>
    </row>
    <row r="23" spans="1:11" ht="30" customHeight="1" thickBot="1" x14ac:dyDescent="0.25">
      <c r="A23" s="50">
        <v>12</v>
      </c>
      <c r="B23" s="51" t="str">
        <f>'Necesidades Trimestrales'!B20</f>
        <v>4.3.6-6160.222</v>
      </c>
      <c r="C23" s="106" t="str">
        <f>'Necesidades Trimestrales'!E20</f>
        <v>COMPUTADORAS; TIPO: NOTEBOOK, CODIGO ETAP: PC-007, VERSION ETAP: 23.0</v>
      </c>
      <c r="D23" s="106"/>
      <c r="E23" s="106"/>
      <c r="F23" s="106"/>
      <c r="G23" s="106"/>
      <c r="H23" s="52" t="s">
        <v>93</v>
      </c>
      <c r="I23" s="53" t="s">
        <v>5</v>
      </c>
      <c r="J23" s="54">
        <f>'Necesidades Trimestrales'!H20</f>
        <v>89999</v>
      </c>
      <c r="K23" s="55">
        <f>'Necesidades Trimestrales'!G20</f>
        <v>24</v>
      </c>
    </row>
    <row r="24" spans="1:11" ht="30" customHeight="1" thickBot="1" x14ac:dyDescent="0.25">
      <c r="A24" s="50">
        <v>13</v>
      </c>
      <c r="B24" s="51" t="str">
        <f>'Necesidades Trimestrales'!B21</f>
        <v>4.3.5-9163.76</v>
      </c>
      <c r="C24" s="106" t="str">
        <f>'Necesidades Trimestrales'!E21</f>
        <v>EQUIPOS DIDACTICOS TECNICOS; NOMBRE: ROBOT DIDACTICO, TIPO: 4 EJES</v>
      </c>
      <c r="D24" s="106"/>
      <c r="E24" s="106"/>
      <c r="F24" s="106"/>
      <c r="G24" s="106"/>
      <c r="H24" s="52" t="s">
        <v>93</v>
      </c>
      <c r="I24" s="53" t="s">
        <v>5</v>
      </c>
      <c r="J24" s="54">
        <f>'Necesidades Trimestrales'!H21</f>
        <v>11800</v>
      </c>
      <c r="K24" s="55">
        <f>'Necesidades Trimestrales'!G21</f>
        <v>8</v>
      </c>
    </row>
    <row r="25" spans="1:11" ht="30" customHeight="1" thickBot="1" x14ac:dyDescent="0.25">
      <c r="A25" s="50">
        <v>14</v>
      </c>
      <c r="B25" s="51" t="str">
        <f>'Necesidades Trimestrales'!B22</f>
        <v>4.3.5-9163.90</v>
      </c>
      <c r="C25" s="106" t="str">
        <f>'Necesidades Trimestrales'!E22</f>
        <v>EQUIPOS DIDACTICOS TECNICOS; NOMBRE: KIT EXPERIMENTAL , EQUIPOS DIDACTICOS TECNICOS; NOMBRE: KIT EXPERIMENTAL , TIPO: SEGÚN PLIEGO SEGÚN PLIEGO</v>
      </c>
      <c r="D25" s="106"/>
      <c r="E25" s="106"/>
      <c r="F25" s="106"/>
      <c r="G25" s="106"/>
      <c r="H25" s="52" t="s">
        <v>93</v>
      </c>
      <c r="I25" s="53" t="s">
        <v>5</v>
      </c>
      <c r="J25" s="54">
        <f>'Necesidades Trimestrales'!H22</f>
        <v>99000</v>
      </c>
      <c r="K25" s="55">
        <f>'Necesidades Trimestrales'!G22</f>
        <v>8</v>
      </c>
    </row>
    <row r="26" spans="1:11" ht="30" customHeight="1" thickBot="1" x14ac:dyDescent="0.25">
      <c r="A26" s="50">
        <v>15</v>
      </c>
      <c r="B26" s="51" t="str">
        <f>'Necesidades Trimestrales'!B23</f>
        <v>4.3.5-9163.90</v>
      </c>
      <c r="C26" s="106" t="str">
        <f>'Necesidades Trimestrales'!E23</f>
        <v>EQUIPOS DIDACTICOS TECNICOS; NOMBRE: KIT EXPERIMENTAL , TIPO: SEGÚN PLIEGO</v>
      </c>
      <c r="D26" s="106"/>
      <c r="E26" s="106"/>
      <c r="F26" s="106"/>
      <c r="G26" s="106"/>
      <c r="H26" s="52" t="s">
        <v>93</v>
      </c>
      <c r="I26" s="53" t="s">
        <v>5</v>
      </c>
      <c r="J26" s="54">
        <f>'Necesidades Trimestrales'!H23</f>
        <v>62140</v>
      </c>
      <c r="K26" s="55">
        <f>'Necesidades Trimestrales'!G23</f>
        <v>8</v>
      </c>
    </row>
    <row r="27" spans="1:11" ht="30" customHeight="1" thickBot="1" x14ac:dyDescent="0.25">
      <c r="A27" s="50">
        <v>16</v>
      </c>
      <c r="B27" s="51" t="str">
        <f>'Necesidades Trimestrales'!B24</f>
        <v>4.3.5-9163.90</v>
      </c>
      <c r="C27" s="106" t="str">
        <f>'Necesidades Trimestrales'!E24</f>
        <v>EQUIPOS DIDACTICOS TECNICOS; NOMBRE: KIT EXPERIMENTAL , TIPO: SEGÚN PLIEGO</v>
      </c>
      <c r="D27" s="106"/>
      <c r="E27" s="106"/>
      <c r="F27" s="106"/>
      <c r="G27" s="106"/>
      <c r="H27" s="52" t="s">
        <v>93</v>
      </c>
      <c r="I27" s="53" t="s">
        <v>5</v>
      </c>
      <c r="J27" s="54">
        <f>'Necesidades Trimestrales'!H24</f>
        <v>9800</v>
      </c>
      <c r="K27" s="55">
        <f>'Necesidades Trimestrales'!G24</f>
        <v>8</v>
      </c>
    </row>
    <row r="28" spans="1:11" ht="16.5" thickBot="1" x14ac:dyDescent="0.25">
      <c r="A28" s="110" t="s">
        <v>128</v>
      </c>
      <c r="B28" s="110"/>
      <c r="C28" s="110"/>
      <c r="D28" s="110"/>
      <c r="E28" s="110"/>
      <c r="F28" s="110"/>
      <c r="G28" s="110"/>
      <c r="H28" s="110"/>
      <c r="I28" s="110"/>
      <c r="J28" s="111">
        <f>SUMPRODUCT(J12:J27,K12:K27)</f>
        <v>8261616</v>
      </c>
      <c r="K28" s="111"/>
    </row>
  </sheetData>
  <mergeCells count="38">
    <mergeCell ref="C20:G20"/>
    <mergeCell ref="A1:I1"/>
    <mergeCell ref="A6:C6"/>
    <mergeCell ref="D6:K6"/>
    <mergeCell ref="A7:C7"/>
    <mergeCell ref="D7:K7"/>
    <mergeCell ref="A28:I28"/>
    <mergeCell ref="J28:K28"/>
    <mergeCell ref="C12:G12"/>
    <mergeCell ref="A8:C8"/>
    <mergeCell ref="D8:K8"/>
    <mergeCell ref="A10:A11"/>
    <mergeCell ref="B10:B11"/>
    <mergeCell ref="C10:G11"/>
    <mergeCell ref="H10:H11"/>
    <mergeCell ref="I10:I11"/>
    <mergeCell ref="J10:J11"/>
    <mergeCell ref="K10:K11"/>
    <mergeCell ref="C13:G13"/>
    <mergeCell ref="C14:G14"/>
    <mergeCell ref="C15:G15"/>
    <mergeCell ref="C27:G27"/>
    <mergeCell ref="C23:G23"/>
    <mergeCell ref="C24:G24"/>
    <mergeCell ref="C26:G26"/>
    <mergeCell ref="C25:G25"/>
    <mergeCell ref="A3:C3"/>
    <mergeCell ref="D3:K3"/>
    <mergeCell ref="A4:C4"/>
    <mergeCell ref="D4:K4"/>
    <mergeCell ref="A5:C5"/>
    <mergeCell ref="D5:K5"/>
    <mergeCell ref="C21:G21"/>
    <mergeCell ref="C22:G22"/>
    <mergeCell ref="C16:G16"/>
    <mergeCell ref="C17:G17"/>
    <mergeCell ref="C18:G18"/>
    <mergeCell ref="C19:G1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8"/>
  <sheetViews>
    <sheetView topLeftCell="A13" zoomScale="136" zoomScaleNormal="136" workbookViewId="0">
      <selection activeCell="O15" sqref="O15:P15"/>
    </sheetView>
  </sheetViews>
  <sheetFormatPr baseColWidth="10" defaultRowHeight="12.75" x14ac:dyDescent="0.2"/>
  <cols>
    <col min="1" max="5" width="4.42578125" customWidth="1"/>
    <col min="6" max="6" width="5.42578125" customWidth="1"/>
    <col min="7" max="14" width="4.42578125" customWidth="1"/>
    <col min="15" max="15" width="15.28515625" customWidth="1"/>
    <col min="17" max="17" width="15" customWidth="1"/>
  </cols>
  <sheetData>
    <row r="1" spans="1:17" ht="15.75" thickBot="1" x14ac:dyDescent="0.3">
      <c r="A1" s="145" t="s">
        <v>3</v>
      </c>
      <c r="B1" s="145"/>
      <c r="C1" s="145"/>
      <c r="D1" s="146">
        <f>'[1]Necesidades Trimestrales'!C6</f>
        <v>2021</v>
      </c>
      <c r="E1" s="146"/>
      <c r="F1" s="43"/>
      <c r="G1" s="43"/>
      <c r="H1" s="41"/>
      <c r="I1" s="41"/>
      <c r="J1" s="41"/>
      <c r="K1" s="41"/>
      <c r="L1" s="41"/>
      <c r="M1" s="41"/>
      <c r="N1" s="41"/>
      <c r="O1" s="42"/>
      <c r="P1" s="147" t="s">
        <v>94</v>
      </c>
      <c r="Q1" s="147"/>
    </row>
    <row r="2" spans="1:17" ht="13.5" thickBot="1" x14ac:dyDescent="0.25">
      <c r="A2" s="42"/>
      <c r="B2" s="42"/>
      <c r="C2" s="42"/>
      <c r="D2" s="42"/>
      <c r="E2" s="42"/>
      <c r="F2" s="42"/>
      <c r="G2" s="56"/>
      <c r="H2" s="41"/>
      <c r="I2" s="41"/>
      <c r="J2" s="41"/>
      <c r="K2" s="41"/>
      <c r="L2" s="41"/>
      <c r="M2" s="41"/>
      <c r="N2" s="41"/>
      <c r="O2" s="42"/>
      <c r="P2" s="147"/>
      <c r="Q2" s="147"/>
    </row>
    <row r="3" spans="1:17" ht="13.5" thickBot="1" x14ac:dyDescent="0.25">
      <c r="A3" s="42"/>
      <c r="B3" s="42"/>
      <c r="C3" s="42"/>
      <c r="D3" s="42"/>
      <c r="E3" s="42"/>
      <c r="F3" s="42"/>
      <c r="G3" s="56"/>
      <c r="H3" s="42"/>
      <c r="I3" s="42"/>
      <c r="J3" s="42"/>
      <c r="K3" s="42"/>
      <c r="L3" s="42"/>
      <c r="M3" s="42"/>
      <c r="N3" s="42"/>
      <c r="O3" s="42"/>
      <c r="P3" s="42"/>
      <c r="Q3" s="42"/>
    </row>
    <row r="4" spans="1:17" ht="15" thickBot="1" x14ac:dyDescent="0.25">
      <c r="A4" s="148" t="s">
        <v>95</v>
      </c>
      <c r="B4" s="148"/>
      <c r="C4" s="148"/>
      <c r="D4" s="148"/>
      <c r="E4" s="148"/>
      <c r="F4" s="148"/>
      <c r="G4" s="144" t="str">
        <f>'[1] NotaPedido'!D3</f>
        <v>70 - MINISTERIO DE CIENCIA E INNOVACION TECNOLOGICA</v>
      </c>
      <c r="H4" s="144"/>
      <c r="I4" s="144"/>
      <c r="J4" s="144"/>
      <c r="K4" s="144"/>
      <c r="L4" s="144"/>
      <c r="M4" s="144"/>
      <c r="N4" s="144"/>
      <c r="O4" s="144"/>
      <c r="P4" s="144"/>
      <c r="Q4" s="144"/>
    </row>
    <row r="5" spans="1:17" ht="15" thickBot="1" x14ac:dyDescent="0.25">
      <c r="A5" s="132" t="s">
        <v>80</v>
      </c>
      <c r="B5" s="133"/>
      <c r="C5" s="133"/>
      <c r="D5" s="133"/>
      <c r="E5" s="133"/>
      <c r="F5" s="134"/>
      <c r="G5" s="144" t="str">
        <f>'[1] NotaPedido'!D4</f>
        <v>20 - MINISTERIO DE CIENCIA E INNOVACION TECNOLOGICA</v>
      </c>
      <c r="H5" s="144"/>
      <c r="I5" s="144"/>
      <c r="J5" s="144"/>
      <c r="K5" s="144"/>
      <c r="L5" s="144"/>
      <c r="M5" s="144"/>
      <c r="N5" s="144"/>
      <c r="O5" s="144"/>
      <c r="P5" s="144"/>
      <c r="Q5" s="144"/>
    </row>
    <row r="6" spans="1:17" ht="13.5" thickBot="1" x14ac:dyDescent="0.25">
      <c r="A6" s="132" t="s">
        <v>81</v>
      </c>
      <c r="B6" s="133"/>
      <c r="C6" s="133"/>
      <c r="D6" s="133"/>
      <c r="E6" s="133"/>
      <c r="F6" s="134"/>
      <c r="G6" s="135" t="s">
        <v>124</v>
      </c>
      <c r="H6" s="135"/>
      <c r="I6" s="135"/>
      <c r="J6" s="135"/>
      <c r="K6" s="135"/>
      <c r="L6" s="135"/>
      <c r="M6" s="135"/>
      <c r="N6" s="135"/>
      <c r="O6" s="135"/>
      <c r="P6" s="135"/>
      <c r="Q6" s="135"/>
    </row>
    <row r="7" spans="1:17" ht="13.5" thickBot="1" x14ac:dyDescent="0.25">
      <c r="A7" s="132" t="s">
        <v>82</v>
      </c>
      <c r="B7" s="133"/>
      <c r="C7" s="133"/>
      <c r="D7" s="133"/>
      <c r="E7" s="133"/>
      <c r="F7" s="134"/>
      <c r="G7" s="136" t="str">
        <f>'[1] NotaPedido'!D6</f>
        <v>DIRECCION PROVINCIAL DE GESTION ADMINISTRATIVA RECURSOS HUMANOS</v>
      </c>
      <c r="H7" s="136"/>
      <c r="I7" s="136"/>
      <c r="J7" s="136"/>
      <c r="K7" s="136"/>
      <c r="L7" s="136"/>
      <c r="M7" s="136"/>
      <c r="N7" s="136"/>
      <c r="O7" s="136"/>
      <c r="P7" s="136"/>
      <c r="Q7" s="136"/>
    </row>
    <row r="8" spans="1:17" ht="13.5" thickBot="1" x14ac:dyDescent="0.25">
      <c r="A8" s="137" t="s">
        <v>96</v>
      </c>
      <c r="B8" s="137"/>
      <c r="C8" s="137"/>
      <c r="D8" s="137"/>
      <c r="E8" s="137"/>
      <c r="F8" s="137"/>
      <c r="G8" s="137"/>
      <c r="H8" s="137"/>
      <c r="I8" s="137"/>
      <c r="J8" s="137"/>
      <c r="K8" s="137"/>
      <c r="L8" s="137"/>
      <c r="M8" s="137"/>
      <c r="N8" s="137"/>
      <c r="O8" s="137"/>
      <c r="P8" s="137"/>
      <c r="Q8" s="137"/>
    </row>
    <row r="9" spans="1:17" ht="21" customHeight="1" x14ac:dyDescent="0.2">
      <c r="A9" s="138" t="s">
        <v>97</v>
      </c>
      <c r="B9" s="138"/>
      <c r="C9" s="138"/>
      <c r="D9" s="138"/>
      <c r="E9" s="138"/>
      <c r="F9" s="138"/>
      <c r="G9" s="138"/>
      <c r="H9" s="138"/>
      <c r="I9" s="138"/>
      <c r="J9" s="138"/>
      <c r="K9" s="138"/>
      <c r="L9" s="138"/>
      <c r="M9" s="138"/>
      <c r="N9" s="138"/>
      <c r="O9" s="57"/>
      <c r="P9" s="57"/>
      <c r="Q9" s="58"/>
    </row>
    <row r="10" spans="1:17" ht="61.5" customHeight="1" x14ac:dyDescent="0.2">
      <c r="A10" s="139" t="s">
        <v>121</v>
      </c>
      <c r="B10" s="139"/>
      <c r="C10" s="139"/>
      <c r="D10" s="139"/>
      <c r="E10" s="139"/>
      <c r="F10" s="139"/>
      <c r="G10" s="139"/>
      <c r="H10" s="139"/>
      <c r="I10" s="139"/>
      <c r="J10" s="139"/>
      <c r="K10" s="139"/>
      <c r="L10" s="139"/>
      <c r="M10" s="139"/>
      <c r="N10" s="139"/>
      <c r="O10" s="139"/>
      <c r="P10" s="139"/>
      <c r="Q10" s="139"/>
    </row>
    <row r="11" spans="1:17" ht="3.75" customHeight="1" thickBot="1" x14ac:dyDescent="0.25">
      <c r="A11" s="59"/>
      <c r="B11" s="60"/>
      <c r="C11" s="60"/>
      <c r="D11" s="60"/>
      <c r="E11" s="60"/>
      <c r="F11" s="60"/>
      <c r="G11" s="61"/>
      <c r="H11" s="60"/>
      <c r="I11" s="60"/>
      <c r="J11" s="60"/>
      <c r="K11" s="60"/>
      <c r="L11" s="60"/>
      <c r="M11" s="60"/>
      <c r="N11" s="60"/>
      <c r="O11" s="60"/>
      <c r="P11" s="60"/>
      <c r="Q11" s="62"/>
    </row>
    <row r="12" spans="1:17" ht="18" customHeight="1" thickBot="1" x14ac:dyDescent="0.25">
      <c r="A12" s="140" t="s">
        <v>98</v>
      </c>
      <c r="B12" s="140"/>
      <c r="C12" s="140"/>
      <c r="D12" s="140"/>
      <c r="E12" s="140"/>
      <c r="F12" s="140"/>
      <c r="G12" s="140"/>
      <c r="H12" s="140"/>
      <c r="I12" s="140"/>
      <c r="J12" s="140"/>
      <c r="K12" s="140"/>
      <c r="L12" s="140"/>
      <c r="M12" s="140"/>
      <c r="N12" s="140"/>
      <c r="O12" s="140"/>
      <c r="P12" s="140"/>
      <c r="Q12" s="140"/>
    </row>
    <row r="13" spans="1:17" ht="17.25" customHeight="1" thickBot="1" x14ac:dyDescent="0.25">
      <c r="A13" s="141" t="s">
        <v>99</v>
      </c>
      <c r="B13" s="141"/>
      <c r="C13" s="141"/>
      <c r="D13" s="141"/>
      <c r="E13" s="141"/>
      <c r="F13" s="141"/>
      <c r="G13" s="141"/>
      <c r="H13" s="141"/>
      <c r="I13" s="141"/>
      <c r="J13" s="141"/>
      <c r="K13" s="141"/>
      <c r="L13" s="141"/>
      <c r="M13" s="141"/>
      <c r="N13" s="141"/>
      <c r="O13" s="142" t="s">
        <v>100</v>
      </c>
      <c r="P13" s="142"/>
      <c r="Q13" s="143" t="s">
        <v>101</v>
      </c>
    </row>
    <row r="14" spans="1:17" ht="20.25" customHeight="1" thickBot="1" x14ac:dyDescent="0.25">
      <c r="A14" s="63" t="s">
        <v>102</v>
      </c>
      <c r="B14" s="64" t="s">
        <v>103</v>
      </c>
      <c r="C14" s="64" t="s">
        <v>104</v>
      </c>
      <c r="D14" s="64" t="s">
        <v>105</v>
      </c>
      <c r="E14" s="64" t="s">
        <v>106</v>
      </c>
      <c r="F14" s="64" t="s">
        <v>107</v>
      </c>
      <c r="G14" s="65" t="s">
        <v>108</v>
      </c>
      <c r="H14" s="64" t="s">
        <v>109</v>
      </c>
      <c r="I14" s="64" t="s">
        <v>110</v>
      </c>
      <c r="J14" s="64" t="s">
        <v>111</v>
      </c>
      <c r="K14" s="64" t="s">
        <v>111</v>
      </c>
      <c r="L14" s="64" t="s">
        <v>112</v>
      </c>
      <c r="M14" s="66" t="s">
        <v>113</v>
      </c>
      <c r="N14" s="67" t="s">
        <v>114</v>
      </c>
      <c r="O14" s="142"/>
      <c r="P14" s="142"/>
      <c r="Q14" s="143"/>
    </row>
    <row r="15" spans="1:17" ht="24.95" customHeight="1" x14ac:dyDescent="0.2">
      <c r="A15" s="68">
        <v>2</v>
      </c>
      <c r="B15" s="68">
        <v>0</v>
      </c>
      <c r="C15" s="68">
        <v>0</v>
      </c>
      <c r="D15" s="68">
        <v>1</v>
      </c>
      <c r="E15" s="68">
        <v>0</v>
      </c>
      <c r="F15" s="68">
        <v>4901</v>
      </c>
      <c r="G15" s="68">
        <v>3</v>
      </c>
      <c r="H15" s="68">
        <v>5</v>
      </c>
      <c r="I15" s="69">
        <v>4</v>
      </c>
      <c r="J15" s="69">
        <v>3</v>
      </c>
      <c r="K15" s="69">
        <v>5</v>
      </c>
      <c r="L15" s="68">
        <v>0</v>
      </c>
      <c r="M15" s="68">
        <v>1</v>
      </c>
      <c r="N15" s="68" t="s">
        <v>115</v>
      </c>
      <c r="O15" s="130" t="s">
        <v>117</v>
      </c>
      <c r="P15" s="131"/>
      <c r="Q15" s="70">
        <v>3872840</v>
      </c>
    </row>
    <row r="16" spans="1:17" ht="24.95" customHeight="1" x14ac:dyDescent="0.2">
      <c r="A16" s="71">
        <v>3</v>
      </c>
      <c r="B16" s="71">
        <v>0</v>
      </c>
      <c r="C16" s="71">
        <v>0</v>
      </c>
      <c r="D16" s="71">
        <v>1</v>
      </c>
      <c r="E16" s="71">
        <v>0</v>
      </c>
      <c r="F16" s="71">
        <v>4901</v>
      </c>
      <c r="G16" s="71">
        <v>3</v>
      </c>
      <c r="H16" s="71">
        <v>5</v>
      </c>
      <c r="I16" s="72">
        <v>4</v>
      </c>
      <c r="J16" s="72">
        <v>3</v>
      </c>
      <c r="K16" s="72">
        <v>6</v>
      </c>
      <c r="L16" s="71">
        <v>0</v>
      </c>
      <c r="M16" s="71">
        <v>1</v>
      </c>
      <c r="N16" s="71" t="s">
        <v>115</v>
      </c>
      <c r="O16" s="120" t="s">
        <v>116</v>
      </c>
      <c r="P16" s="121"/>
      <c r="Q16" s="73">
        <v>2851176</v>
      </c>
    </row>
    <row r="17" spans="1:17" ht="24.95" customHeight="1" x14ac:dyDescent="0.2">
      <c r="A17" s="71">
        <v>3</v>
      </c>
      <c r="B17" s="71">
        <v>0</v>
      </c>
      <c r="C17" s="71">
        <v>0</v>
      </c>
      <c r="D17" s="71">
        <v>1</v>
      </c>
      <c r="E17" s="71">
        <v>0</v>
      </c>
      <c r="F17" s="71">
        <v>4901</v>
      </c>
      <c r="G17" s="71">
        <v>3</v>
      </c>
      <c r="H17" s="71">
        <v>5</v>
      </c>
      <c r="I17" s="72">
        <v>4</v>
      </c>
      <c r="J17" s="72">
        <v>3</v>
      </c>
      <c r="K17" s="72">
        <v>7</v>
      </c>
      <c r="L17" s="71">
        <v>0</v>
      </c>
      <c r="M17" s="71">
        <v>1</v>
      </c>
      <c r="N17" s="71" t="s">
        <v>115</v>
      </c>
      <c r="O17" s="120" t="s">
        <v>120</v>
      </c>
      <c r="P17" s="121"/>
      <c r="Q17" s="73">
        <v>1537600</v>
      </c>
    </row>
    <row r="18" spans="1:17" ht="24.95" customHeight="1" x14ac:dyDescent="0.2">
      <c r="A18" s="71"/>
      <c r="B18" s="71"/>
      <c r="C18" s="71"/>
      <c r="D18" s="71"/>
      <c r="E18" s="71"/>
      <c r="F18" s="71"/>
      <c r="G18" s="71"/>
      <c r="H18" s="71"/>
      <c r="I18" s="72"/>
      <c r="J18" s="72"/>
      <c r="K18" s="72"/>
      <c r="L18" s="71"/>
      <c r="M18" s="71"/>
      <c r="N18" s="71"/>
      <c r="O18" s="122"/>
      <c r="P18" s="123"/>
      <c r="Q18" s="73"/>
    </row>
    <row r="19" spans="1:17" ht="24.95" customHeight="1" x14ac:dyDescent="0.2">
      <c r="A19" s="71"/>
      <c r="B19" s="71"/>
      <c r="C19" s="71"/>
      <c r="D19" s="71"/>
      <c r="E19" s="71"/>
      <c r="F19" s="71"/>
      <c r="G19" s="71"/>
      <c r="H19" s="71"/>
      <c r="I19" s="72"/>
      <c r="J19" s="72"/>
      <c r="K19" s="72"/>
      <c r="L19" s="71"/>
      <c r="M19" s="71"/>
      <c r="N19" s="71"/>
      <c r="O19" s="122"/>
      <c r="P19" s="123"/>
      <c r="Q19" s="73"/>
    </row>
    <row r="20" spans="1:17" x14ac:dyDescent="0.2">
      <c r="A20" s="72"/>
      <c r="B20" s="72"/>
      <c r="C20" s="72"/>
      <c r="D20" s="72"/>
      <c r="E20" s="72"/>
      <c r="F20" s="72"/>
      <c r="G20" s="72"/>
      <c r="H20" s="72"/>
      <c r="I20" s="72"/>
      <c r="J20" s="72"/>
      <c r="K20" s="72"/>
      <c r="L20" s="72"/>
      <c r="M20" s="72"/>
      <c r="N20" s="72"/>
      <c r="O20" s="123"/>
      <c r="P20" s="123"/>
      <c r="Q20" s="74"/>
    </row>
    <row r="21" spans="1:17" ht="14.25" x14ac:dyDescent="0.2">
      <c r="A21" s="75"/>
      <c r="B21" s="75"/>
      <c r="C21" s="75"/>
      <c r="D21" s="75"/>
      <c r="E21" s="75"/>
      <c r="F21" s="72"/>
      <c r="G21" s="75"/>
      <c r="H21" s="75"/>
      <c r="I21" s="75"/>
      <c r="J21" s="75"/>
      <c r="K21" s="75"/>
      <c r="L21" s="75"/>
      <c r="M21" s="75"/>
      <c r="N21" s="75"/>
      <c r="O21" s="123"/>
      <c r="P21" s="123"/>
      <c r="Q21" s="74"/>
    </row>
    <row r="22" spans="1:17" x14ac:dyDescent="0.2">
      <c r="A22" s="72"/>
      <c r="B22" s="72"/>
      <c r="C22" s="72"/>
      <c r="D22" s="72"/>
      <c r="E22" s="72"/>
      <c r="F22" s="72"/>
      <c r="G22" s="72"/>
      <c r="H22" s="72"/>
      <c r="I22" s="72"/>
      <c r="J22" s="72"/>
      <c r="K22" s="72"/>
      <c r="L22" s="72"/>
      <c r="M22" s="72"/>
      <c r="N22" s="72"/>
      <c r="O22" s="123"/>
      <c r="P22" s="123"/>
      <c r="Q22" s="74"/>
    </row>
    <row r="23" spans="1:17" ht="35.25" customHeight="1" thickBot="1" x14ac:dyDescent="0.25">
      <c r="A23" s="124" t="s">
        <v>127</v>
      </c>
      <c r="B23" s="124"/>
      <c r="C23" s="124"/>
      <c r="D23" s="124"/>
      <c r="E23" s="124"/>
      <c r="F23" s="124"/>
      <c r="G23" s="124"/>
      <c r="H23" s="124"/>
      <c r="I23" s="124"/>
      <c r="J23" s="124"/>
      <c r="K23" s="124"/>
      <c r="L23" s="124"/>
      <c r="M23" s="124"/>
      <c r="N23" s="124"/>
      <c r="O23" s="124"/>
      <c r="P23" s="124"/>
      <c r="Q23" s="76">
        <f>SUM(Q15:Q22)</f>
        <v>8261616</v>
      </c>
    </row>
    <row r="24" spans="1:17" ht="13.5" thickBot="1" x14ac:dyDescent="0.25">
      <c r="A24" s="125"/>
      <c r="B24" s="125"/>
      <c r="C24" s="125"/>
      <c r="D24" s="125"/>
      <c r="E24" s="125"/>
      <c r="F24" s="125"/>
      <c r="G24" s="125"/>
      <c r="H24" s="125"/>
      <c r="I24" s="125"/>
      <c r="J24" s="125"/>
      <c r="K24" s="125"/>
      <c r="L24" s="125"/>
      <c r="M24" s="125"/>
      <c r="N24" s="125"/>
      <c r="O24" s="125"/>
      <c r="P24" s="125"/>
      <c r="Q24" s="125"/>
    </row>
    <row r="25" spans="1:17" ht="15.75" thickBot="1" x14ac:dyDescent="0.25">
      <c r="A25" s="126" t="s">
        <v>118</v>
      </c>
      <c r="B25" s="127"/>
      <c r="C25" s="127"/>
      <c r="D25" s="127"/>
      <c r="E25" s="127"/>
      <c r="F25" s="128"/>
      <c r="G25" s="129"/>
      <c r="H25" s="129"/>
      <c r="I25" s="129"/>
      <c r="J25" s="129"/>
      <c r="K25" s="129"/>
      <c r="L25" s="129"/>
      <c r="M25" s="129"/>
      <c r="N25" s="129"/>
      <c r="O25" s="129"/>
      <c r="P25" s="129"/>
      <c r="Q25" s="129"/>
    </row>
    <row r="26" spans="1:17" ht="13.5" thickBot="1" x14ac:dyDescent="0.25">
      <c r="A26" s="118" t="s">
        <v>125</v>
      </c>
      <c r="B26" s="119"/>
      <c r="C26" s="119"/>
      <c r="D26" s="119"/>
      <c r="E26" s="119"/>
      <c r="F26" s="119"/>
      <c r="G26" s="119"/>
      <c r="H26" s="119"/>
      <c r="I26" s="119"/>
      <c r="J26" s="119"/>
      <c r="K26" s="119"/>
      <c r="L26" s="119"/>
      <c r="M26" s="119"/>
      <c r="N26" s="119"/>
      <c r="O26" s="119"/>
      <c r="P26" s="119"/>
      <c r="Q26" s="119"/>
    </row>
    <row r="27" spans="1:17" ht="13.5" thickBot="1" x14ac:dyDescent="0.25">
      <c r="A27" s="119"/>
      <c r="B27" s="119"/>
      <c r="C27" s="119"/>
      <c r="D27" s="119"/>
      <c r="E27" s="119"/>
      <c r="F27" s="119"/>
      <c r="G27" s="119"/>
      <c r="H27" s="119"/>
      <c r="I27" s="119"/>
      <c r="J27" s="119"/>
      <c r="K27" s="119"/>
      <c r="L27" s="119"/>
      <c r="M27" s="119"/>
      <c r="N27" s="119"/>
      <c r="O27" s="119"/>
      <c r="P27" s="119"/>
      <c r="Q27" s="119"/>
    </row>
    <row r="28" spans="1:17" x14ac:dyDescent="0.2">
      <c r="A28" s="42"/>
      <c r="B28" s="42"/>
      <c r="C28" s="42"/>
      <c r="D28" s="42"/>
      <c r="E28" s="42"/>
      <c r="F28" s="42"/>
      <c r="G28" s="56"/>
      <c r="H28" s="42"/>
      <c r="I28" s="42"/>
      <c r="J28" s="42"/>
      <c r="K28" s="42"/>
      <c r="L28" s="42"/>
      <c r="M28" s="42"/>
      <c r="N28" s="42"/>
      <c r="O28" s="42"/>
      <c r="P28" s="42"/>
      <c r="Q28" s="42"/>
    </row>
  </sheetData>
  <mergeCells count="31">
    <mergeCell ref="A5:F5"/>
    <mergeCell ref="G5:Q5"/>
    <mergeCell ref="A1:C1"/>
    <mergeCell ref="D1:E1"/>
    <mergeCell ref="P1:Q2"/>
    <mergeCell ref="A4:F4"/>
    <mergeCell ref="G4:Q4"/>
    <mergeCell ref="O15:P15"/>
    <mergeCell ref="A6:F6"/>
    <mergeCell ref="G6:Q6"/>
    <mergeCell ref="A7:F7"/>
    <mergeCell ref="G7:Q7"/>
    <mergeCell ref="A8:Q8"/>
    <mergeCell ref="A9:N9"/>
    <mergeCell ref="A10:Q10"/>
    <mergeCell ref="A12:Q12"/>
    <mergeCell ref="A13:N13"/>
    <mergeCell ref="O13:P14"/>
    <mergeCell ref="Q13:Q14"/>
    <mergeCell ref="A26:Q27"/>
    <mergeCell ref="O16:P16"/>
    <mergeCell ref="O17:P17"/>
    <mergeCell ref="O18:P18"/>
    <mergeCell ref="O19:P19"/>
    <mergeCell ref="O20:P20"/>
    <mergeCell ref="O21:P21"/>
    <mergeCell ref="O22:P22"/>
    <mergeCell ref="A23:P23"/>
    <mergeCell ref="A24:Q24"/>
    <mergeCell ref="A25:F25"/>
    <mergeCell ref="G25:Q25"/>
  </mergeCells>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Necesidades Trimestrales</vt:lpstr>
      <vt:lpstr>Nota de Pedido</vt:lpstr>
      <vt:lpstr>Auto Gastar</vt:lpstr>
      <vt:lpstr>'Necesidades Trimestrales'!Área_de_impresión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COMPRAS</cp:lastModifiedBy>
  <cp:revision>2</cp:revision>
  <cp:lastPrinted>2021-09-13T11:30:03Z</cp:lastPrinted>
  <dcterms:created xsi:type="dcterms:W3CDTF">2020-07-17T23:44:49Z</dcterms:created>
  <dcterms:modified xsi:type="dcterms:W3CDTF">2021-09-22T14:22:08Z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