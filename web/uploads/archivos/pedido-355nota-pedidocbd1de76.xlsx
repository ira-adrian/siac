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MS\oxigeno\corregido\"/>
    </mc:Choice>
  </mc:AlternateContent>
  <xr:revisionPtr revIDLastSave="0" documentId="13_ncr:1_{4A38E6E8-75FF-445A-BBAE-3539545997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 SAME" sheetId="2" r:id="rId2"/>
    <sheet name="APG SAME" sheetId="3" r:id="rId3"/>
    <sheet name="NP DPAS" sheetId="4" r:id="rId4"/>
    <sheet name="APG DPAS" sheetId="5" r:id="rId5"/>
  </sheets>
  <definedNames>
    <definedName name="_xlnm._FilterDatabase" localSheetId="0" hidden="1">'SAF 011'!$A$9:$I$9</definedName>
  </definedNames>
  <calcPr calcId="181029" iterateDelta="1E-4"/>
</workbook>
</file>

<file path=xl/calcChain.xml><?xml version="1.0" encoding="utf-8"?>
<calcChain xmlns="http://schemas.openxmlformats.org/spreadsheetml/2006/main">
  <c r="K12" i="4" l="1"/>
  <c r="A41" i="5"/>
  <c r="G7" i="5"/>
  <c r="G6" i="5"/>
  <c r="J12" i="4"/>
  <c r="I12" i="4"/>
  <c r="C12" i="4"/>
  <c r="B12" i="4"/>
  <c r="D4" i="4"/>
  <c r="G5" i="5" s="1"/>
  <c r="D3" i="4"/>
  <c r="G4" i="5" s="1"/>
  <c r="A41" i="3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 s="1"/>
  <c r="J14" i="4"/>
  <c r="Q15" i="5" s="1"/>
  <c r="Q38" i="5" s="1"/>
  <c r="I11" i="1" l="1"/>
</calcChain>
</file>

<file path=xl/sharedStrings.xml><?xml version="1.0" encoding="utf-8"?>
<sst xmlns="http://schemas.openxmlformats.org/spreadsheetml/2006/main" count="157" uniqueCount="102">
  <si>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</si>
  <si>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</si>
  <si>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</si>
  <si>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</si>
  <si>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</si>
  <si>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</si>
  <si>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</si>
  <si>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</si>
  <si>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</si>
  <si>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</si>
  <si>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</si>
  <si>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</si>
  <si>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</si>
  <si>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</si>
  <si>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</si>
  <si>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</si>
  <si>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</si>
  <si>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QUIMICOS</t>
  </si>
  <si>
    <t>2.5.1-9018.8</t>
  </si>
  <si>
    <t>GASES; COMPUESTO QUIMICO: OXIGENO, CALIDAD: MEDICINAL, PRESENTACION: TUBO X 6 M3</t>
  </si>
  <si>
    <t>M3</t>
  </si>
  <si>
    <t>TERCERO</t>
  </si>
  <si>
    <t>TOTAL DEL RUBRO OXIGENO MEDICINAL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</si>
  <si>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</si>
  <si>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</si>
  <si>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</si>
  <si>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</si>
  <si>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</si>
  <si>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</si>
  <si>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</si>
  <si>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</si>
  <si>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</si>
  <si>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</si>
  <si>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</si>
  <si>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</si>
  <si>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</si>
  <si>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</si>
  <si>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</si>
  <si>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</si>
  <si>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</si>
  <si>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</si>
  <si>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</si>
  <si>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</si>
  <si>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</si>
  <si>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</si>
  <si>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</si>
  <si>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</si>
  <si>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</si>
  <si>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</si>
  <si>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</si>
  <si>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</si>
  <si>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</si>
  <si>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</si>
  <si>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</si>
  <si>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</si>
  <si>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</si>
  <si>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</si>
  <si>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</si>
  <si>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</si>
  <si>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</si>
  <si>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</si>
  <si>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OXIGENO EN FORMA LÍQUIDA: en recipientes cilíndricos del tipo criogénico. Las conexiones de salida de las válvulas deben garantizar su inviolabilidad.</t>
  </si>
  <si>
    <t>EXIGENCIAS GENERALES ROTULADO: el rotulo del envase de los gases medicinales deberá contar con los siguientes datos:</t>
  </si>
  <si>
    <t>·cruz griega color verde que identifica a los gases medicinales</t>
  </si>
  <si>
    <t>·nombre genérico del gas que contiene</t>
  </si>
  <si>
    <t>·N.º de certificado otorgado por la autoridad sanitaria</t>
  </si>
  <si>
    <t>·Composición</t>
  </si>
  <si>
    <t>·Especificaciones técnicas (contenido y presión)</t>
  </si>
  <si>
    <t>·Identificación de la empresa titular y del fabricante</t>
  </si>
  <si>
    <t>·Numero de lote</t>
  </si>
  <si>
    <t>·Nombre y matricula del director técnico</t>
  </si>
  <si>
    <t>·Fechas de llenado y vencimiento</t>
  </si>
  <si>
    <t>·Condiciones de almacenamiento</t>
  </si>
  <si>
    <t>·Instructivo s/ manipulación correcta y segura</t>
  </si>
  <si>
    <t>·Debe incluir la leyenda: “el empleo y dosificación de este gas debe ser prescripto por un médico”</t>
  </si>
  <si>
    <t>·Durante el transporte (cisterna): se incluirá un protocolo de análisis del lote, firmado y fechado por el director técnico.</t>
  </si>
  <si>
    <t>·El mencionado certificado deberá ser archivado por el destinatario durante un plazo no menor a un año posterior a la fecha de vencimiento</t>
  </si>
  <si>
    <t>HABILITACION SANITARIA CORRESPONDIENTE PARA EL CASO DE SER FABRICANTE (CERTIFICADO DE ANMAT), DISTRIBUIDOR OFERENTES PROVINCIALES (HABILITACION SANITARIA PROVINCIAL ), DISTRIBUIDOR OFERENTES NO PROVINCIALES CERTIFICADO DE ANMAR)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</si>
  <si>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</si>
  <si>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</si>
  <si>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</si>
  <si>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</si>
  <si>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</si>
  <si>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</t>
  </si>
  <si>
    <t>DIRECCION PROVINCIAL SISTEMA DE ATENCION MEDICA DE EMERGENCIA</t>
  </si>
  <si>
    <t>3° TRIMESTRE 2022</t>
  </si>
  <si>
    <t>ADQ. DEL RUBRO OXIGENO MEDICINAL</t>
  </si>
  <si>
    <t>SI</t>
  </si>
  <si>
    <t>1.1</t>
  </si>
  <si>
    <t>COMPUESTOS QUIMICOS</t>
  </si>
  <si>
    <t>DIRECCION PROVINCIAL DE ASISTENCIA SANITARIA NIVEL I Y II</t>
  </si>
  <si>
    <t xml:space="preserve"> 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</si>
  <si>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</si>
  <si>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XX/2022</t>
  </si>
  <si>
    <t xml:space="preserve"> -540 M3 EN LA DIR. PROV. DE SAME - CASEROS N° 864 - en el horario de 8:00hs a 12:00hs de lunes a viernes</t>
  </si>
  <si>
    <t xml:space="preserve"> -7200 M3  EN LA DIR. PROV. DE ASISTENCIA SANITARIA NIVEL I Y II - CHACABUCO N° 169 - en el horario de 8:00hs a 12:00hs de lunes a viernes</t>
  </si>
  <si>
    <t>ANEXO ITEM 1</t>
  </si>
  <si>
    <t xml:space="preserve"> *SE ENTREGARAN FRACCIONADOS BAJO LA FORMA DE VALES DE 6 M3 DE OXIGENO LIQUIDO MEDICINAL CADA UNO (RECARGA DE CILINDRO)*</t>
  </si>
  <si>
    <t>Costo total estimado: PESOS TRESCIENTOS VEINTICUATRO MIL CON 00/100.-</t>
  </si>
  <si>
    <t>TOTAL DE PESOS: TRESCIENTOS VEINCUATRO MIL CON 00/100.-</t>
  </si>
  <si>
    <t>Costo total estimado: PESOS  CUATRO MILLONES TRESCIENTOS VEINTE MIL CON 00/100.-</t>
  </si>
  <si>
    <t>TOTAL DE PESOS:  CUATRO MILLONES TRESCIENTOS VEINTE MIL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</si>
</sst>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2" fillId="0" borderId="0"/>
    <xf numFmtId="168" fontId="8" fillId="0" borderId="0" applyBorder="0" applyProtection="0"/>
    <xf numFmtId="0" fontId="13" fillId="0" borderId="9" applyProtection="0"/>
    <xf numFmtId="0" fontId="14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3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5" fillId="0" borderId="0"/>
    <xf numFmtId="0" fontId="16" fillId="0" borderId="0"/>
    <xf numFmtId="0" fontId="8" fillId="0" borderId="0"/>
    <xf numFmtId="169" fontId="17" fillId="0" borderId="0" applyBorder="0" applyProtection="0"/>
  </cellStyleXfs>
  <cellXfs count="177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9" fillId="0" borderId="5" xfId="0" applyNumberFormat="1" applyFont="1" applyBorder="1" applyAlignment="1">
      <alignment horizontal="center" vertical="center"/>
    </xf>
    <xf numFmtId="3" fontId="7" fillId="0" borderId="8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left" vertical="center" wrapText="1"/>
    </xf>
    <xf numFmtId="0" fontId="11" fillId="0" borderId="6" xfId="0" applyFont="1" applyBorder="1"/>
    <xf numFmtId="0" fontId="11" fillId="0" borderId="0" xfId="0" applyFont="1"/>
    <xf numFmtId="16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23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4" fillId="0" borderId="22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7" xfId="0" applyFont="1" applyBorder="1" applyAlignment="1">
      <alignment horizontal="left" vertical="center" wrapText="1" indent="1"/>
    </xf>
    <xf numFmtId="0" fontId="26" fillId="0" borderId="26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3" fontId="27" fillId="0" borderId="27" xfId="0" applyNumberFormat="1" applyFont="1" applyBorder="1" applyAlignment="1">
      <alignment horizontal="center" vertical="center"/>
    </xf>
    <xf numFmtId="3" fontId="29" fillId="0" borderId="31" xfId="0" applyNumberFormat="1" applyFont="1" applyBorder="1" applyAlignment="1"/>
    <xf numFmtId="170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7" xfId="0" applyBorder="1"/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71" fontId="0" fillId="0" borderId="47" xfId="33" applyNumberFormat="1" applyFon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1" fontId="0" fillId="0" borderId="52" xfId="33" applyNumberFormat="1" applyFont="1" applyBorder="1" applyAlignment="1" applyProtection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1" fontId="0" fillId="0" borderId="56" xfId="33" applyNumberFormat="1" applyFont="1" applyBorder="1" applyAlignment="1" applyProtection="1">
      <alignment horizontal="center" vertical="center"/>
    </xf>
    <xf numFmtId="171" fontId="33" fillId="0" borderId="58" xfId="0" applyNumberFormat="1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4" fillId="0" borderId="22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4" fillId="0" borderId="2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4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left" vertical="center"/>
    </xf>
    <xf numFmtId="0" fontId="3" fillId="0" borderId="62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3" fillId="0" borderId="29" xfId="0" applyFont="1" applyBorder="1" applyAlignment="1">
      <alignment vertical="center"/>
    </xf>
    <xf numFmtId="0" fontId="23" fillId="0" borderId="63" xfId="0" applyFont="1" applyBorder="1" applyAlignment="1">
      <alignment vertical="center"/>
    </xf>
    <xf numFmtId="0" fontId="23" fillId="0" borderId="30" xfId="0" applyFont="1" applyBorder="1" applyAlignment="1">
      <alignment vertical="center"/>
    </xf>
    <xf numFmtId="0" fontId="23" fillId="0" borderId="64" xfId="0" applyFont="1" applyBorder="1" applyAlignment="1">
      <alignment vertical="center"/>
    </xf>
    <xf numFmtId="0" fontId="26" fillId="0" borderId="65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66" xfId="0" applyNumberFormat="1" applyFont="1" applyBorder="1" applyAlignment="1">
      <alignment horizontal="center" vertical="center"/>
    </xf>
    <xf numFmtId="44" fontId="22" fillId="0" borderId="13" xfId="1" applyFont="1" applyBorder="1" applyAlignment="1">
      <alignment horizontal="right" vertical="center"/>
    </xf>
    <xf numFmtId="44" fontId="22" fillId="0" borderId="0" xfId="1" applyFont="1" applyBorder="1" applyAlignment="1">
      <alignment vertical="center"/>
    </xf>
    <xf numFmtId="44" fontId="23" fillId="0" borderId="63" xfId="1" applyFont="1" applyBorder="1" applyAlignment="1">
      <alignment vertical="center"/>
    </xf>
    <xf numFmtId="44" fontId="23" fillId="0" borderId="0" xfId="1" applyFont="1" applyBorder="1" applyAlignment="1">
      <alignment horizontal="left" vertical="center" wrapText="1" indent="1"/>
    </xf>
    <xf numFmtId="44" fontId="27" fillId="0" borderId="10" xfId="1" applyFont="1" applyBorder="1" applyAlignment="1">
      <alignment horizontal="center" vertical="center" wrapText="1"/>
    </xf>
    <xf numFmtId="44" fontId="27" fillId="0" borderId="2" xfId="1" applyFont="1" applyBorder="1" applyAlignment="1">
      <alignment horizontal="center" vertical="center" wrapText="1"/>
    </xf>
    <xf numFmtId="44" fontId="0" fillId="0" borderId="0" xfId="1" applyFont="1"/>
    <xf numFmtId="0" fontId="26" fillId="0" borderId="10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left" vertical="center" wrapText="1" indent="1"/>
    </xf>
    <xf numFmtId="166" fontId="24" fillId="0" borderId="29" xfId="0" applyNumberFormat="1" applyFont="1" applyBorder="1" applyAlignment="1">
      <alignment horizontal="center" vertical="center"/>
    </xf>
    <xf numFmtId="166" fontId="24" fillId="0" borderId="30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44" fontId="25" fillId="0" borderId="24" xfId="1" applyFont="1" applyBorder="1" applyAlignment="1">
      <alignment horizontal="center" vertical="center" wrapText="1"/>
    </xf>
    <xf numFmtId="0" fontId="31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29" fillId="0" borderId="30" xfId="0" applyNumberFormat="1" applyFont="1" applyBorder="1" applyAlignment="1">
      <alignment horizontal="center"/>
    </xf>
    <xf numFmtId="0" fontId="30" fillId="0" borderId="14" xfId="0" applyFont="1" applyBorder="1" applyAlignment="1">
      <alignment horizontal="center" vertical="center" wrapText="1"/>
    </xf>
    <xf numFmtId="0" fontId="17" fillId="0" borderId="32" xfId="0" applyFont="1" applyBorder="1"/>
    <xf numFmtId="0" fontId="31" fillId="0" borderId="33" xfId="0" applyFont="1" applyBorder="1" applyAlignment="1">
      <alignment horizontal="left" indent="1"/>
    </xf>
    <xf numFmtId="0" fontId="27" fillId="0" borderId="32" xfId="0" applyFont="1" applyBorder="1" applyAlignment="1">
      <alignment horizontal="left" vertical="center" wrapText="1"/>
    </xf>
    <xf numFmtId="0" fontId="32" fillId="0" borderId="34" xfId="0" applyFont="1" applyBorder="1" applyAlignment="1">
      <alignment horizontal="left"/>
    </xf>
    <xf numFmtId="0" fontId="0" fillId="0" borderId="51" xfId="0" applyFont="1" applyBorder="1" applyAlignment="1">
      <alignment horizontal="center" vertical="center"/>
    </xf>
    <xf numFmtId="49" fontId="31" fillId="0" borderId="36" xfId="0" applyNumberFormat="1" applyFont="1" applyBorder="1" applyAlignment="1">
      <alignment horizontal="justify" vertical="center" wrapText="1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/>
    </xf>
    <xf numFmtId="0" fontId="0" fillId="0" borderId="45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center"/>
    </xf>
    <xf numFmtId="0" fontId="29" fillId="0" borderId="19" xfId="0" applyFont="1" applyBorder="1" applyAlignment="1">
      <alignment vertical="center" wrapText="1"/>
    </xf>
    <xf numFmtId="0" fontId="31" fillId="0" borderId="39" xfId="0" applyFont="1" applyBorder="1" applyAlignment="1">
      <alignment vertical="center" wrapText="1"/>
    </xf>
    <xf numFmtId="0" fontId="31" fillId="0" borderId="28" xfId="0" applyFont="1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9" fillId="0" borderId="57" xfId="0" applyFont="1" applyBorder="1" applyAlignment="1">
      <alignment horizontal="left" vertical="center" wrapText="1"/>
    </xf>
    <xf numFmtId="0" fontId="0" fillId="0" borderId="35" xfId="0" applyBorder="1"/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000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topLeftCell="A19" zoomScale="110" zoomScaleNormal="110" workbookViewId="0">
      <selection activeCell="I18" sqref="I18"/>
    </sheetView>
  </sheetViews>
  <sheetFormatPr baseColWidth="10" defaultRowHeight="15" x14ac:dyDescent="0.25"/>
  <cols>
    <col min="1" max="1" width="5.42578125" style="22" bestFit="1" customWidth="1"/>
    <col min="2" max="2" width="13.85546875" style="22" bestFit="1" customWidth="1"/>
    <col min="3" max="3" width="37" style="22" customWidth="1"/>
    <col min="4" max="4" width="5.5703125" style="22" customWidth="1"/>
    <col min="5" max="5" width="89.85546875" style="23" bestFit="1" customWidth="1"/>
    <col min="6" max="6" width="15.5703125" style="22" bestFit="1" customWidth="1"/>
    <col min="7" max="7" width="11.28515625" style="24" bestFit="1" customWidth="1"/>
    <col min="8" max="8" width="13.85546875" style="40" customWidth="1"/>
    <col min="9" max="9" width="16.28515625" style="25" bestFit="1" customWidth="1"/>
    <col min="10" max="10" width="62" customWidth="1"/>
  </cols>
  <sheetData>
    <row r="1" spans="1:11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1" s="43" customFormat="1" ht="18.75" x14ac:dyDescent="0.3">
      <c r="A2" s="41"/>
      <c r="B2" s="135" t="s">
        <v>0</v>
      </c>
      <c r="C2" s="135"/>
      <c r="D2" s="135"/>
      <c r="E2" s="135"/>
      <c r="F2" s="135"/>
      <c r="G2" s="135"/>
      <c r="H2" s="135"/>
      <c r="I2" s="42"/>
    </row>
    <row r="3" spans="1:11" x14ac:dyDescent="0.25">
      <c r="A3" s="3"/>
      <c r="B3" s="2"/>
      <c r="C3" s="3"/>
      <c r="D3" s="3"/>
      <c r="E3" s="4"/>
      <c r="F3" s="3"/>
      <c r="G3" s="5"/>
      <c r="H3" s="6"/>
      <c r="I3" s="7"/>
    </row>
    <row r="4" spans="1:11" x14ac:dyDescent="0.25">
      <c r="A4" s="134" t="s">
        <v>1</v>
      </c>
      <c r="B4" s="134"/>
      <c r="C4" s="105" t="s">
        <v>2</v>
      </c>
      <c r="D4" s="105"/>
      <c r="E4" s="105"/>
      <c r="F4" s="8"/>
      <c r="G4" s="9"/>
      <c r="H4" s="6"/>
      <c r="I4" s="7"/>
    </row>
    <row r="5" spans="1:11" ht="15" customHeight="1" x14ac:dyDescent="0.25">
      <c r="A5" s="134" t="s">
        <v>3</v>
      </c>
      <c r="B5" s="134"/>
      <c r="C5" s="105" t="s">
        <v>4</v>
      </c>
      <c r="D5" s="105"/>
      <c r="E5" s="105"/>
      <c r="F5" s="8"/>
      <c r="G5" s="9"/>
      <c r="H5" s="6"/>
      <c r="I5" s="7"/>
    </row>
    <row r="6" spans="1:11" x14ac:dyDescent="0.25">
      <c r="A6" s="134" t="s">
        <v>5</v>
      </c>
      <c r="B6" s="134"/>
      <c r="C6" s="106">
        <v>2022</v>
      </c>
      <c r="D6" s="107"/>
      <c r="E6" s="106"/>
      <c r="F6" s="8"/>
      <c r="G6" s="9"/>
      <c r="H6" s="6"/>
      <c r="I6" s="7"/>
    </row>
    <row r="7" spans="1:11" x14ac:dyDescent="0.25">
      <c r="A7" s="134" t="s">
        <v>6</v>
      </c>
      <c r="B7" s="134"/>
      <c r="C7" s="106" t="s">
        <v>21</v>
      </c>
      <c r="D7" s="107"/>
      <c r="E7" s="106"/>
      <c r="F7" s="8"/>
      <c r="G7" s="9"/>
      <c r="H7" s="6"/>
      <c r="I7" s="7"/>
    </row>
    <row r="8" spans="1:11" x14ac:dyDescent="0.25">
      <c r="A8" s="3"/>
      <c r="B8" s="8"/>
      <c r="C8" s="8"/>
      <c r="D8" s="8"/>
      <c r="E8" s="10"/>
      <c r="F8" s="8"/>
      <c r="G8" s="9"/>
      <c r="H8" s="6"/>
      <c r="I8" s="7"/>
    </row>
    <row r="9" spans="1:11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  <c r="K9" s="26"/>
    </row>
    <row r="10" spans="1:11" s="21" customFormat="1" ht="20.25" customHeight="1" thickBot="1" x14ac:dyDescent="0.25">
      <c r="A10" s="33">
        <v>1</v>
      </c>
      <c r="B10" s="34" t="s">
        <v>18</v>
      </c>
      <c r="C10" s="35" t="s">
        <v>17</v>
      </c>
      <c r="D10" s="36">
        <v>251</v>
      </c>
      <c r="E10" s="37" t="s">
        <v>19</v>
      </c>
      <c r="F10" s="36" t="s">
        <v>20</v>
      </c>
      <c r="G10" s="28">
        <v>7740</v>
      </c>
      <c r="H10" s="27">
        <v>600</v>
      </c>
      <c r="I10" s="27">
        <v>4644000</v>
      </c>
      <c r="J10" s="18"/>
    </row>
    <row r="11" spans="1:11" s="39" customFormat="1" ht="13.5" thickBot="1" x14ac:dyDescent="0.25">
      <c r="A11" s="30"/>
      <c r="B11" s="20"/>
      <c r="C11" s="20"/>
      <c r="D11" s="20"/>
      <c r="E11" s="19" t="s">
        <v>22</v>
      </c>
      <c r="F11" s="20"/>
      <c r="G11" s="28"/>
      <c r="H11" s="31"/>
      <c r="I11" s="32">
        <f>+I10</f>
        <v>4644000</v>
      </c>
      <c r="J11" s="38"/>
    </row>
    <row r="13" spans="1:11" ht="15.75" thickBot="1" x14ac:dyDescent="0.3"/>
    <row r="14" spans="1:11" x14ac:dyDescent="0.25">
      <c r="C14" s="129" t="s">
        <v>60</v>
      </c>
      <c r="D14" s="130" t="s">
        <v>96</v>
      </c>
      <c r="E14" s="131"/>
    </row>
    <row r="15" spans="1:11" ht="30" customHeight="1" x14ac:dyDescent="0.25">
      <c r="C15" s="126"/>
      <c r="D15" s="127" t="s">
        <v>61</v>
      </c>
      <c r="E15" s="128"/>
    </row>
    <row r="16" spans="1:11" ht="30" customHeight="1" x14ac:dyDescent="0.25">
      <c r="C16" s="126"/>
      <c r="D16" s="127" t="s">
        <v>62</v>
      </c>
      <c r="E16" s="128"/>
    </row>
    <row r="17" spans="1:9" x14ac:dyDescent="0.25">
      <c r="C17" s="126"/>
      <c r="D17" s="127" t="s">
        <v>63</v>
      </c>
      <c r="E17" s="128"/>
    </row>
    <row r="18" spans="1:9" x14ac:dyDescent="0.25">
      <c r="C18" s="126"/>
      <c r="D18" s="127" t="s">
        <v>64</v>
      </c>
      <c r="E18" s="128"/>
    </row>
    <row r="19" spans="1:9" x14ac:dyDescent="0.25">
      <c r="C19" s="126"/>
      <c r="D19" s="127" t="s">
        <v>65</v>
      </c>
      <c r="E19" s="128"/>
    </row>
    <row r="20" spans="1:9" x14ac:dyDescent="0.25">
      <c r="C20" s="126"/>
      <c r="D20" s="127" t="s">
        <v>66</v>
      </c>
      <c r="E20" s="128"/>
    </row>
    <row r="21" spans="1:9" x14ac:dyDescent="0.25">
      <c r="C21" s="126"/>
      <c r="D21" s="127" t="s">
        <v>67</v>
      </c>
      <c r="E21" s="128"/>
    </row>
    <row r="22" spans="1:9" x14ac:dyDescent="0.25">
      <c r="C22" s="126"/>
      <c r="D22" s="127" t="s">
        <v>68</v>
      </c>
      <c r="E22" s="128"/>
    </row>
    <row r="23" spans="1:9" x14ac:dyDescent="0.25">
      <c r="C23" s="126"/>
      <c r="D23" s="127" t="s">
        <v>69</v>
      </c>
      <c r="E23" s="128"/>
    </row>
    <row r="24" spans="1:9" x14ac:dyDescent="0.25">
      <c r="C24" s="126"/>
      <c r="D24" s="127" t="s">
        <v>70</v>
      </c>
      <c r="E24" s="128"/>
    </row>
    <row r="25" spans="1:9" x14ac:dyDescent="0.25">
      <c r="C25" s="126"/>
      <c r="D25" s="127" t="s">
        <v>71</v>
      </c>
      <c r="E25" s="128"/>
    </row>
    <row r="26" spans="1:9" x14ac:dyDescent="0.25">
      <c r="C26" s="126"/>
      <c r="D26" s="127" t="s">
        <v>72</v>
      </c>
      <c r="E26" s="128"/>
    </row>
    <row r="27" spans="1:9" x14ac:dyDescent="0.25">
      <c r="C27" s="126"/>
      <c r="D27" s="127" t="s">
        <v>73</v>
      </c>
      <c r="E27" s="128"/>
    </row>
    <row r="28" spans="1:9" x14ac:dyDescent="0.25">
      <c r="C28" s="126"/>
      <c r="D28" s="127" t="s">
        <v>74</v>
      </c>
      <c r="E28" s="128"/>
    </row>
    <row r="29" spans="1:9" x14ac:dyDescent="0.25">
      <c r="C29" s="126"/>
      <c r="D29" s="127" t="s">
        <v>75</v>
      </c>
      <c r="E29" s="128"/>
    </row>
    <row r="30" spans="1:9" ht="35.25" customHeight="1" x14ac:dyDescent="0.25">
      <c r="C30" s="126"/>
      <c r="D30" s="127" t="s">
        <v>76</v>
      </c>
      <c r="E30" s="128"/>
    </row>
    <row r="31" spans="1:9" ht="43.5" customHeight="1" x14ac:dyDescent="0.25">
      <c r="C31" s="126"/>
      <c r="D31" s="136" t="s">
        <v>77</v>
      </c>
      <c r="E31" s="137"/>
    </row>
    <row r="32" spans="1:9" s="26" customFormat="1" ht="43.5" customHeight="1" x14ac:dyDescent="0.25">
      <c r="A32" s="29"/>
      <c r="B32" s="29"/>
      <c r="C32" s="125"/>
      <c r="D32" s="132" t="s">
        <v>97</v>
      </c>
      <c r="E32" s="133"/>
      <c r="F32" s="29"/>
      <c r="G32" s="24"/>
      <c r="H32" s="40"/>
      <c r="I32" s="40"/>
    </row>
    <row r="33" spans="3:5" x14ac:dyDescent="0.25">
      <c r="C33" s="94"/>
      <c r="D33" s="95"/>
      <c r="E33" s="96"/>
    </row>
    <row r="34" spans="3:5" x14ac:dyDescent="0.25">
      <c r="C34" s="97" t="s">
        <v>78</v>
      </c>
      <c r="D34" s="98" t="s">
        <v>79</v>
      </c>
      <c r="E34" s="99"/>
    </row>
    <row r="35" spans="3:5" x14ac:dyDescent="0.25">
      <c r="C35" s="97"/>
      <c r="D35" s="100"/>
      <c r="E35" s="99"/>
    </row>
    <row r="36" spans="3:5" ht="16.5" customHeight="1" x14ac:dyDescent="0.25">
      <c r="C36" s="126" t="s">
        <v>80</v>
      </c>
      <c r="D36" s="127" t="s">
        <v>94</v>
      </c>
      <c r="E36" s="128"/>
    </row>
    <row r="37" spans="3:5" ht="28.5" customHeight="1" x14ac:dyDescent="0.25">
      <c r="C37" s="126"/>
      <c r="D37" s="127" t="s">
        <v>95</v>
      </c>
      <c r="E37" s="128"/>
    </row>
    <row r="38" spans="3:5" x14ac:dyDescent="0.25">
      <c r="C38" s="97"/>
      <c r="D38" s="98"/>
      <c r="E38" s="101"/>
    </row>
    <row r="39" spans="3:5" x14ac:dyDescent="0.25">
      <c r="C39" s="97" t="s">
        <v>81</v>
      </c>
      <c r="D39" s="100"/>
      <c r="E39" s="99"/>
    </row>
    <row r="40" spans="3:5" x14ac:dyDescent="0.25">
      <c r="C40" s="97"/>
      <c r="D40" s="100"/>
      <c r="E40" s="99"/>
    </row>
    <row r="41" spans="3:5" ht="15.75" thickBot="1" x14ac:dyDescent="0.3">
      <c r="C41" s="102" t="s">
        <v>82</v>
      </c>
      <c r="D41" s="103" t="s">
        <v>83</v>
      </c>
      <c r="E41" s="104"/>
    </row>
  </sheetData>
  <mergeCells count="28">
    <mergeCell ref="D30:E30"/>
    <mergeCell ref="D31:E31"/>
    <mergeCell ref="D24:E24"/>
    <mergeCell ref="D25:E25"/>
    <mergeCell ref="D26:E26"/>
    <mergeCell ref="D27:E27"/>
    <mergeCell ref="D29:E29"/>
    <mergeCell ref="A7:B7"/>
    <mergeCell ref="B2:H2"/>
    <mergeCell ref="A4:B4"/>
    <mergeCell ref="A5:B5"/>
    <mergeCell ref="A6:B6"/>
    <mergeCell ref="C36:C37"/>
    <mergeCell ref="D36:E36"/>
    <mergeCell ref="D37:E37"/>
    <mergeCell ref="C14:C31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2:E32"/>
    <mergeCell ref="D28:E28"/>
    <mergeCell ref="D23:E23"/>
  </mergeCells>
  <conditionalFormatting sqref="B1:B9 E1:E9">
    <cfRule type="duplicateValues" dxfId="11" priority="237"/>
  </conditionalFormatting>
  <conditionalFormatting sqref="E1:E9 B1:B9">
    <cfRule type="duplicateValues" dxfId="10" priority="238"/>
  </conditionalFormatting>
  <conditionalFormatting sqref="B10">
    <cfRule type="duplicateValues" dxfId="9" priority="14"/>
  </conditionalFormatting>
  <conditionalFormatting sqref="E10">
    <cfRule type="duplicateValues" dxfId="8" priority="15"/>
  </conditionalFormatting>
  <conditionalFormatting sqref="E10 B10">
    <cfRule type="duplicateValues" dxfId="7" priority="16"/>
  </conditionalFormatting>
  <conditionalFormatting sqref="E10">
    <cfRule type="duplicateValues" dxfId="6" priority="17"/>
  </conditionalFormatting>
  <conditionalFormatting sqref="E10">
    <cfRule type="duplicateValues" dxfId="5" priority="18"/>
    <cfRule type="duplicateValues" dxfId="4" priority="19"/>
  </conditionalFormatting>
  <conditionalFormatting sqref="B1:B9">
    <cfRule type="duplicateValues" dxfId="3" priority="566"/>
  </conditionalFormatting>
  <conditionalFormatting sqref="E1:E9">
    <cfRule type="duplicateValues" dxfId="2" priority="567"/>
  </conditionalFormatting>
  <conditionalFormatting sqref="E1:E9">
    <cfRule type="duplicateValues" dxfId="1" priority="568"/>
    <cfRule type="duplicateValues" dxfId="0" priority="56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9.7109375" customWidth="1"/>
    <col min="8" max="8" width="9.28515625" customWidth="1"/>
    <col min="9" max="9" width="15.5703125" customWidth="1"/>
    <col min="10" max="10" width="14.7109375" style="123" customWidth="1"/>
    <col min="11" max="11" width="15.5703125" customWidth="1"/>
  </cols>
  <sheetData>
    <row r="1" spans="1:11" ht="30.75" thickBot="1" x14ac:dyDescent="0.3">
      <c r="A1" s="139" t="s">
        <v>23</v>
      </c>
      <c r="B1" s="139"/>
      <c r="C1" s="139"/>
      <c r="D1" s="139"/>
      <c r="E1" s="139"/>
      <c r="F1" s="139"/>
      <c r="G1" s="139"/>
      <c r="H1" s="139"/>
      <c r="I1" s="139"/>
      <c r="J1" s="117" t="s">
        <v>24</v>
      </c>
      <c r="K1" s="44" t="s">
        <v>91</v>
      </c>
    </row>
    <row r="2" spans="1:11" ht="16.149999999999999" thickBot="1" x14ac:dyDescent="0.35">
      <c r="A2" s="45"/>
      <c r="B2" s="46"/>
      <c r="C2" s="46"/>
      <c r="D2" s="47"/>
      <c r="E2" s="47"/>
      <c r="F2" s="47"/>
      <c r="G2" s="47"/>
      <c r="H2" s="47"/>
      <c r="I2" s="47"/>
      <c r="J2" s="118"/>
      <c r="K2" s="48"/>
    </row>
    <row r="3" spans="1:11" ht="16.5" thickBot="1" x14ac:dyDescent="0.3">
      <c r="A3" s="140" t="s">
        <v>25</v>
      </c>
      <c r="B3" s="140"/>
      <c r="C3" s="140"/>
      <c r="D3" s="108" t="str">
        <f>'SAF 011'!C4</f>
        <v>040 - MINISTERIO DE SALUD</v>
      </c>
      <c r="E3" s="109"/>
      <c r="F3" s="109"/>
      <c r="G3" s="109"/>
      <c r="H3" s="109"/>
      <c r="I3" s="109"/>
      <c r="J3" s="119"/>
      <c r="K3" s="110"/>
    </row>
    <row r="4" spans="1:11" ht="16.149999999999999" thickBot="1" x14ac:dyDescent="0.35">
      <c r="A4" s="138" t="s">
        <v>26</v>
      </c>
      <c r="B4" s="138"/>
      <c r="C4" s="138"/>
      <c r="D4" s="108" t="str">
        <f>'SAF 011'!C5</f>
        <v>011 - DIRECCION PROVINCIAL DE ADMINISTRACION - MINISTERIO DE SALUD</v>
      </c>
      <c r="E4" s="109"/>
      <c r="F4" s="109"/>
      <c r="G4" s="109"/>
      <c r="H4" s="109"/>
      <c r="I4" s="109"/>
      <c r="J4" s="119"/>
      <c r="K4" s="110"/>
    </row>
    <row r="5" spans="1:11" ht="16.149999999999999" thickBot="1" x14ac:dyDescent="0.35">
      <c r="A5" s="138" t="s">
        <v>27</v>
      </c>
      <c r="B5" s="138"/>
      <c r="C5" s="138"/>
      <c r="D5" s="108" t="s">
        <v>84</v>
      </c>
      <c r="E5" s="109"/>
      <c r="F5" s="109"/>
      <c r="G5" s="109"/>
      <c r="H5" s="109"/>
      <c r="I5" s="109"/>
      <c r="J5" s="119"/>
      <c r="K5" s="110"/>
    </row>
    <row r="6" spans="1:11" ht="16.149999999999999" thickBot="1" x14ac:dyDescent="0.35">
      <c r="A6" s="140" t="s">
        <v>28</v>
      </c>
      <c r="B6" s="140"/>
      <c r="C6" s="140"/>
      <c r="D6" s="108" t="s">
        <v>84</v>
      </c>
      <c r="E6" s="109"/>
      <c r="F6" s="109"/>
      <c r="G6" s="109"/>
      <c r="H6" s="109"/>
      <c r="I6" s="109"/>
      <c r="J6" s="119"/>
      <c r="K6" s="110"/>
    </row>
    <row r="7" spans="1:11" ht="16.5" thickBot="1" x14ac:dyDescent="0.3">
      <c r="A7" s="138" t="s">
        <v>29</v>
      </c>
      <c r="B7" s="138"/>
      <c r="C7" s="138"/>
      <c r="D7" s="108" t="s">
        <v>85</v>
      </c>
      <c r="E7" s="109"/>
      <c r="F7" s="109"/>
      <c r="G7" s="109"/>
      <c r="H7" s="109"/>
      <c r="I7" s="109"/>
      <c r="J7" s="119"/>
      <c r="K7" s="110"/>
    </row>
    <row r="8" spans="1:11" ht="16.149999999999999" thickBot="1" x14ac:dyDescent="0.35">
      <c r="A8" s="141" t="s">
        <v>30</v>
      </c>
      <c r="B8" s="141"/>
      <c r="C8" s="141"/>
      <c r="D8" s="111" t="s">
        <v>86</v>
      </c>
      <c r="E8" s="109"/>
      <c r="F8" s="109"/>
      <c r="G8" s="109"/>
      <c r="H8" s="109"/>
      <c r="I8" s="109"/>
      <c r="J8" s="119"/>
      <c r="K8" s="110"/>
    </row>
    <row r="9" spans="1:11" ht="16.149999999999999" thickBot="1" x14ac:dyDescent="0.35">
      <c r="A9" s="49"/>
      <c r="B9" s="50"/>
      <c r="C9" s="50"/>
      <c r="D9" s="51"/>
      <c r="E9" s="51"/>
      <c r="F9" s="51"/>
      <c r="G9" s="51"/>
      <c r="H9" s="51"/>
      <c r="I9" s="51"/>
      <c r="J9" s="120"/>
      <c r="K9" s="52"/>
    </row>
    <row r="10" spans="1:11" ht="15.75" thickBot="1" x14ac:dyDescent="0.3">
      <c r="A10" s="142" t="s">
        <v>31</v>
      </c>
      <c r="B10" s="143" t="s">
        <v>32</v>
      </c>
      <c r="C10" s="143" t="s">
        <v>33</v>
      </c>
      <c r="D10" s="143"/>
      <c r="E10" s="143"/>
      <c r="F10" s="143"/>
      <c r="G10" s="143"/>
      <c r="H10" s="143" t="s">
        <v>34</v>
      </c>
      <c r="I10" s="143" t="s">
        <v>35</v>
      </c>
      <c r="J10" s="152" t="s">
        <v>36</v>
      </c>
      <c r="K10" s="147" t="s">
        <v>37</v>
      </c>
    </row>
    <row r="11" spans="1:11" ht="33.75" customHeight="1" thickBot="1" x14ac:dyDescent="0.3">
      <c r="A11" s="142"/>
      <c r="B11" s="143"/>
      <c r="C11" s="143"/>
      <c r="D11" s="143"/>
      <c r="E11" s="143"/>
      <c r="F11" s="143"/>
      <c r="G11" s="143"/>
      <c r="H11" s="143"/>
      <c r="I11" s="143"/>
      <c r="J11" s="152"/>
      <c r="K11" s="147"/>
    </row>
    <row r="12" spans="1:11" ht="15.6" x14ac:dyDescent="0.3">
      <c r="A12" s="53">
        <v>1</v>
      </c>
      <c r="B12" s="124" t="str">
        <f>'SAF 011'!B10</f>
        <v>2.5.1-9018.8</v>
      </c>
      <c r="C12" s="148" t="str">
        <f>'SAF 011'!E10</f>
        <v>GASES; COMPUESTO QUIMICO: OXIGENO, CALIDAD: MEDICINAL, PRESENTACION: TUBO X 6 M3</v>
      </c>
      <c r="D12" s="149"/>
      <c r="E12" s="149"/>
      <c r="F12" s="149"/>
      <c r="G12" s="150"/>
      <c r="H12" s="54" t="s">
        <v>87</v>
      </c>
      <c r="I12" s="55" t="str">
        <f>'SAF 011'!F10</f>
        <v>M3</v>
      </c>
      <c r="J12" s="121">
        <f>'SAF 011'!H10</f>
        <v>600</v>
      </c>
      <c r="K12" s="56" t="e">
        <f>'SAF 011'!#REF!</f>
        <v>#REF!</v>
      </c>
    </row>
    <row r="13" spans="1:11" ht="16.149999999999999" thickBot="1" x14ac:dyDescent="0.35">
      <c r="A13" s="112"/>
      <c r="B13" s="113"/>
      <c r="C13" s="151"/>
      <c r="D13" s="151"/>
      <c r="E13" s="151"/>
      <c r="F13" s="151"/>
      <c r="G13" s="151"/>
      <c r="H13" s="114"/>
      <c r="I13" s="115"/>
      <c r="J13" s="122"/>
      <c r="K13" s="116"/>
    </row>
    <row r="14" spans="1:11" ht="19.5" thickBot="1" x14ac:dyDescent="0.3">
      <c r="A14" s="144" t="s">
        <v>98</v>
      </c>
      <c r="B14" s="144"/>
      <c r="C14" s="144"/>
      <c r="D14" s="144"/>
      <c r="E14" s="144"/>
      <c r="F14" s="144"/>
      <c r="G14" s="144"/>
      <c r="H14" s="144"/>
      <c r="I14" s="144"/>
      <c r="J14" s="145" t="e">
        <f>+J12*K12</f>
        <v>#REF!</v>
      </c>
      <c r="K14" s="146"/>
    </row>
  </sheetData>
  <mergeCells count="18">
    <mergeCell ref="A14:I14"/>
    <mergeCell ref="J14:K14"/>
    <mergeCell ref="H10:H11"/>
    <mergeCell ref="K10:K11"/>
    <mergeCell ref="C12:G12"/>
    <mergeCell ref="C13:G13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5" workbookViewId="0">
      <selection activeCell="U43" sqref="U43"/>
    </sheetView>
  </sheetViews>
  <sheetFormatPr baseColWidth="10" defaultRowHeight="15" x14ac:dyDescent="0.25"/>
  <cols>
    <col min="1" max="5" width="4.42578125" customWidth="1"/>
    <col min="6" max="6" width="6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54" t="s">
        <v>5</v>
      </c>
      <c r="B1" s="154"/>
      <c r="C1" s="154"/>
      <c r="D1" s="155">
        <v>2022</v>
      </c>
      <c r="E1" s="155"/>
      <c r="F1" s="57"/>
      <c r="G1" s="57"/>
      <c r="H1" s="58"/>
      <c r="I1" s="58"/>
      <c r="J1" s="58"/>
      <c r="K1" s="58"/>
      <c r="L1" s="58"/>
      <c r="M1" s="58"/>
      <c r="N1" s="58"/>
      <c r="O1" s="59"/>
      <c r="P1" s="156" t="s">
        <v>38</v>
      </c>
      <c r="Q1" s="156"/>
    </row>
    <row r="2" spans="1:17" ht="15.75" thickBot="1" x14ac:dyDescent="0.3">
      <c r="A2" s="60"/>
      <c r="B2" s="61"/>
      <c r="C2" s="61"/>
      <c r="D2" s="61"/>
      <c r="E2" s="61"/>
      <c r="F2" s="61"/>
      <c r="G2" s="62"/>
      <c r="H2" s="63"/>
      <c r="I2" s="63"/>
      <c r="J2" s="63"/>
      <c r="K2" s="63"/>
      <c r="L2" s="63"/>
      <c r="M2" s="63"/>
      <c r="N2" s="63"/>
      <c r="O2" s="61"/>
      <c r="P2" s="156"/>
      <c r="Q2" s="156"/>
    </row>
    <row r="3" spans="1:17" thickBot="1" x14ac:dyDescent="0.35">
      <c r="A3" s="60"/>
      <c r="B3" s="61"/>
      <c r="C3" s="61"/>
      <c r="D3" s="61"/>
      <c r="E3" s="61"/>
      <c r="F3" s="61"/>
      <c r="G3" s="62"/>
      <c r="H3" s="61"/>
      <c r="I3" s="61"/>
      <c r="J3" s="61"/>
      <c r="K3" s="61"/>
      <c r="L3" s="61"/>
      <c r="M3" s="61"/>
      <c r="N3" s="61"/>
      <c r="O3" s="61"/>
      <c r="P3" s="61"/>
      <c r="Q3" s="64"/>
    </row>
    <row r="4" spans="1:17" ht="15.75" thickBot="1" x14ac:dyDescent="0.3">
      <c r="A4" s="157" t="s">
        <v>39</v>
      </c>
      <c r="B4" s="157"/>
      <c r="C4" s="157"/>
      <c r="D4" s="157"/>
      <c r="E4" s="157"/>
      <c r="F4" s="157"/>
      <c r="G4" s="158" t="str">
        <f>'NP SAME'!D3</f>
        <v>040 - MINISTERIO DE SALUD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thickBot="1" x14ac:dyDescent="0.35">
      <c r="A5" s="159" t="s">
        <v>26</v>
      </c>
      <c r="B5" s="159"/>
      <c r="C5" s="159"/>
      <c r="D5" s="159"/>
      <c r="E5" s="159"/>
      <c r="F5" s="159"/>
      <c r="G5" s="158" t="str">
        <f>'NP SAME'!D4</f>
        <v>011 - DIRECCION PROVINCIAL DE ADMINISTRACION - MINISTERIO DE SALUD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thickBot="1" x14ac:dyDescent="0.35">
      <c r="A6" s="159" t="s">
        <v>27</v>
      </c>
      <c r="B6" s="159"/>
      <c r="C6" s="159"/>
      <c r="D6" s="159"/>
      <c r="E6" s="159"/>
      <c r="F6" s="159"/>
      <c r="G6" s="158" t="str">
        <f>'NP SAME'!D5</f>
        <v>DIRECCION PROVINCIAL SISTEMA DE ATENCION MEDICA DE EMERGENCIA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thickBot="1" x14ac:dyDescent="0.35">
      <c r="A7" s="159" t="s">
        <v>28</v>
      </c>
      <c r="B7" s="159"/>
      <c r="C7" s="159"/>
      <c r="D7" s="159"/>
      <c r="E7" s="159"/>
      <c r="F7" s="159"/>
      <c r="G7" s="158" t="str">
        <f>'NP SAME'!D6</f>
        <v>DIRECCION PROVINCIAL SISTEMA DE ATENCION MEDICA DE EMERGENCIA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5.75" thickBot="1" x14ac:dyDescent="0.3">
      <c r="A8" s="160" t="s">
        <v>40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27.75" customHeight="1" x14ac:dyDescent="0.25">
      <c r="A9" s="153" t="s">
        <v>41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</row>
    <row r="10" spans="1:17" ht="57" customHeight="1" x14ac:dyDescent="0.25">
      <c r="A10" s="162" t="s">
        <v>92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thickBot="1" x14ac:dyDescent="0.35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7" ht="15.75" thickBot="1" x14ac:dyDescent="0.3">
      <c r="A12" s="163" t="s">
        <v>42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thickBot="1" x14ac:dyDescent="0.3">
      <c r="A13" s="164" t="s">
        <v>43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44</v>
      </c>
      <c r="P13" s="165"/>
      <c r="Q13" s="166" t="s">
        <v>45</v>
      </c>
    </row>
    <row r="14" spans="1:17" ht="15.75" thickBot="1" x14ac:dyDescent="0.3">
      <c r="A14" s="69" t="s">
        <v>46</v>
      </c>
      <c r="B14" s="70" t="s">
        <v>47</v>
      </c>
      <c r="C14" s="70" t="s">
        <v>48</v>
      </c>
      <c r="D14" s="70" t="s">
        <v>49</v>
      </c>
      <c r="E14" s="70" t="s">
        <v>50</v>
      </c>
      <c r="F14" s="70" t="s">
        <v>51</v>
      </c>
      <c r="G14" s="71" t="s">
        <v>52</v>
      </c>
      <c r="H14" s="70" t="s">
        <v>53</v>
      </c>
      <c r="I14" s="70" t="s">
        <v>54</v>
      </c>
      <c r="J14" s="70" t="s">
        <v>55</v>
      </c>
      <c r="K14" s="70" t="s">
        <v>55</v>
      </c>
      <c r="L14" s="70" t="s">
        <v>56</v>
      </c>
      <c r="M14" s="72" t="s">
        <v>57</v>
      </c>
      <c r="N14" s="73" t="s">
        <v>58</v>
      </c>
      <c r="O14" s="165"/>
      <c r="P14" s="165"/>
      <c r="Q14" s="166"/>
    </row>
    <row r="15" spans="1:17" ht="14.45" x14ac:dyDescent="0.3">
      <c r="A15" s="74">
        <v>31</v>
      </c>
      <c r="B15" s="75"/>
      <c r="C15" s="75"/>
      <c r="D15" s="75">
        <v>1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5</v>
      </c>
      <c r="K15" s="75">
        <v>1</v>
      </c>
      <c r="L15" s="75"/>
      <c r="M15" s="76">
        <v>1</v>
      </c>
      <c r="N15" s="75" t="s">
        <v>88</v>
      </c>
      <c r="O15" s="167" t="s">
        <v>89</v>
      </c>
      <c r="P15" s="167"/>
      <c r="Q15" s="77" t="e">
        <f>'NP SAME'!J14</f>
        <v>#REF!</v>
      </c>
    </row>
    <row r="16" spans="1:17" ht="14.45" x14ac:dyDescent="0.3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168"/>
      <c r="P16" s="168"/>
      <c r="Q16" s="82"/>
    </row>
    <row r="17" spans="1:17" ht="14.45" x14ac:dyDescent="0.3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169"/>
      <c r="P17" s="169"/>
      <c r="Q17" s="82"/>
    </row>
    <row r="18" spans="1:17" ht="14.45" x14ac:dyDescent="0.3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161"/>
      <c r="P18" s="161"/>
      <c r="Q18" s="82"/>
    </row>
    <row r="19" spans="1:17" ht="14.45" x14ac:dyDescent="0.3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81"/>
      <c r="O19" s="161"/>
      <c r="P19" s="161"/>
      <c r="Q19" s="82"/>
    </row>
    <row r="20" spans="1:17" ht="14.45" x14ac:dyDescent="0.3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161"/>
      <c r="P20" s="161"/>
      <c r="Q20" s="82"/>
    </row>
    <row r="21" spans="1:17" ht="14.45" x14ac:dyDescent="0.3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80"/>
      <c r="N21" s="81"/>
      <c r="O21" s="161"/>
      <c r="P21" s="161"/>
      <c r="Q21" s="82"/>
    </row>
    <row r="22" spans="1:17" ht="14.45" x14ac:dyDescent="0.3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80"/>
      <c r="N22" s="81"/>
      <c r="O22" s="161"/>
      <c r="P22" s="161"/>
      <c r="Q22" s="82"/>
    </row>
    <row r="23" spans="1:17" ht="14.45" x14ac:dyDescent="0.3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80"/>
      <c r="N23" s="81"/>
      <c r="O23" s="161"/>
      <c r="P23" s="161"/>
      <c r="Q23" s="82"/>
    </row>
    <row r="24" spans="1:17" ht="14.45" x14ac:dyDescent="0.3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  <c r="N24" s="81"/>
      <c r="O24" s="161"/>
      <c r="P24" s="161"/>
      <c r="Q24" s="82"/>
    </row>
    <row r="25" spans="1:17" ht="14.45" x14ac:dyDescent="0.3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81"/>
      <c r="O25" s="161"/>
      <c r="P25" s="161"/>
      <c r="Q25" s="82"/>
    </row>
    <row r="26" spans="1:17" ht="14.45" x14ac:dyDescent="0.3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80"/>
      <c r="N26" s="81"/>
      <c r="O26" s="161"/>
      <c r="P26" s="161"/>
      <c r="Q26" s="82"/>
    </row>
    <row r="27" spans="1:17" ht="14.45" x14ac:dyDescent="0.3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  <c r="N27" s="81"/>
      <c r="O27" s="161"/>
      <c r="P27" s="161"/>
      <c r="Q27" s="82"/>
    </row>
    <row r="28" spans="1:17" ht="14.45" x14ac:dyDescent="0.3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  <c r="N28" s="81"/>
      <c r="O28" s="161"/>
      <c r="P28" s="161"/>
      <c r="Q28" s="82"/>
    </row>
    <row r="29" spans="1:17" ht="14.45" x14ac:dyDescent="0.3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  <c r="N29" s="81"/>
      <c r="O29" s="161"/>
      <c r="P29" s="161"/>
      <c r="Q29" s="82"/>
    </row>
    <row r="30" spans="1:17" ht="14.45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80"/>
      <c r="N30" s="81"/>
      <c r="O30" s="161"/>
      <c r="P30" s="161"/>
      <c r="Q30" s="82"/>
    </row>
    <row r="31" spans="1:17" ht="14.45" x14ac:dyDescent="0.3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80"/>
      <c r="N31" s="81"/>
      <c r="O31" s="161"/>
      <c r="P31" s="161"/>
      <c r="Q31" s="82"/>
    </row>
    <row r="32" spans="1:17" ht="14.45" x14ac:dyDescent="0.3">
      <c r="A32" s="78"/>
      <c r="B32" s="79"/>
      <c r="C32" s="79"/>
      <c r="D32" s="79"/>
      <c r="E32" s="79"/>
      <c r="F32" s="81"/>
      <c r="G32" s="79"/>
      <c r="H32" s="79"/>
      <c r="I32" s="79"/>
      <c r="J32" s="79"/>
      <c r="K32" s="79"/>
      <c r="L32" s="79"/>
      <c r="M32" s="80"/>
      <c r="N32" s="81"/>
      <c r="O32" s="168"/>
      <c r="P32" s="168"/>
      <c r="Q32" s="82"/>
    </row>
    <row r="33" spans="1:17" ht="14.45" x14ac:dyDescent="0.3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80"/>
      <c r="N33" s="81"/>
      <c r="O33" s="168"/>
      <c r="P33" s="168"/>
      <c r="Q33" s="82"/>
    </row>
    <row r="34" spans="1:17" ht="14.45" x14ac:dyDescent="0.3">
      <c r="A34" s="78"/>
      <c r="B34" s="79"/>
      <c r="C34" s="79"/>
      <c r="D34" s="79"/>
      <c r="E34" s="79"/>
      <c r="F34" s="81"/>
      <c r="G34" s="79"/>
      <c r="H34" s="79"/>
      <c r="I34" s="79"/>
      <c r="J34" s="79"/>
      <c r="K34" s="79"/>
      <c r="L34" s="79"/>
      <c r="M34" s="80"/>
      <c r="N34" s="81"/>
      <c r="O34" s="168"/>
      <c r="P34" s="168"/>
      <c r="Q34" s="82"/>
    </row>
    <row r="35" spans="1:17" ht="14.45" x14ac:dyDescent="0.3">
      <c r="A35" s="78"/>
      <c r="B35" s="79"/>
      <c r="C35" s="79"/>
      <c r="D35" s="79"/>
      <c r="E35" s="79"/>
      <c r="F35" s="81"/>
      <c r="G35" s="79"/>
      <c r="H35" s="79"/>
      <c r="I35" s="79"/>
      <c r="J35" s="79"/>
      <c r="K35" s="79"/>
      <c r="L35" s="79"/>
      <c r="M35" s="80"/>
      <c r="N35" s="81"/>
      <c r="O35" s="168"/>
      <c r="P35" s="168"/>
      <c r="Q35" s="82"/>
    </row>
    <row r="36" spans="1:17" ht="14.45" x14ac:dyDescent="0.3">
      <c r="A36" s="83"/>
      <c r="B36" s="84"/>
      <c r="C36" s="84"/>
      <c r="D36" s="84"/>
      <c r="E36" s="84"/>
      <c r="F36" s="85"/>
      <c r="G36" s="84"/>
      <c r="H36" s="84"/>
      <c r="I36" s="84"/>
      <c r="J36" s="84"/>
      <c r="K36" s="84"/>
      <c r="L36" s="84"/>
      <c r="M36" s="86"/>
      <c r="N36" s="87"/>
      <c r="O36" s="173"/>
      <c r="P36" s="173"/>
      <c r="Q36" s="82"/>
    </row>
    <row r="37" spans="1:17" thickBot="1" x14ac:dyDescent="0.35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9"/>
      <c r="O37" s="174"/>
      <c r="P37" s="174"/>
      <c r="Q37" s="91"/>
    </row>
    <row r="38" spans="1:17" ht="15.75" thickBot="1" x14ac:dyDescent="0.3">
      <c r="A38" s="175" t="s">
        <v>99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92" t="e">
        <f>SUM(Q15:Q37)</f>
        <v>#REF!</v>
      </c>
    </row>
    <row r="39" spans="1:17" thickBot="1" x14ac:dyDescent="0.35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</row>
    <row r="40" spans="1:17" ht="15.75" thickBot="1" x14ac:dyDescent="0.3">
      <c r="A40" s="170" t="s">
        <v>59</v>
      </c>
      <c r="B40" s="170"/>
      <c r="C40" s="170"/>
      <c r="D40" s="170"/>
      <c r="E40" s="170"/>
      <c r="F40" s="170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 ht="15.75" thickBot="1" x14ac:dyDescent="0.3">
      <c r="A41" s="172" t="str">
        <f>'NP SAME'!D8</f>
        <v>ADQ. DEL RUBRO OXIGENO MEDICINAL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</row>
    <row r="42" spans="1:17" ht="15.75" thickBot="1" x14ac:dyDescent="0.3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C12" sqref="C12:G12"/>
    </sheetView>
  </sheetViews>
  <sheetFormatPr baseColWidth="10" defaultColWidth="11.42578125" defaultRowHeight="15" x14ac:dyDescent="0.25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9.7109375" style="26" customWidth="1"/>
    <col min="8" max="8" width="9.28515625" style="26" customWidth="1"/>
    <col min="9" max="9" width="15.5703125" style="26" customWidth="1"/>
    <col min="10" max="10" width="14.7109375" style="123" customWidth="1"/>
    <col min="11" max="11" width="15.5703125" style="26" customWidth="1"/>
    <col min="12" max="16384" width="11.42578125" style="26"/>
  </cols>
  <sheetData>
    <row r="1" spans="1:11" ht="30.75" thickBot="1" x14ac:dyDescent="0.3">
      <c r="A1" s="139" t="s">
        <v>23</v>
      </c>
      <c r="B1" s="139"/>
      <c r="C1" s="139"/>
      <c r="D1" s="139"/>
      <c r="E1" s="139"/>
      <c r="F1" s="139"/>
      <c r="G1" s="139"/>
      <c r="H1" s="139"/>
      <c r="I1" s="139"/>
      <c r="J1" s="117" t="s">
        <v>24</v>
      </c>
      <c r="K1" s="44" t="s">
        <v>93</v>
      </c>
    </row>
    <row r="2" spans="1:11" ht="16.149999999999999" thickBot="1" x14ac:dyDescent="0.35">
      <c r="A2" s="45"/>
      <c r="B2" s="46"/>
      <c r="C2" s="46"/>
      <c r="D2" s="47"/>
      <c r="E2" s="47"/>
      <c r="F2" s="47"/>
      <c r="G2" s="47"/>
      <c r="H2" s="47"/>
      <c r="I2" s="47"/>
      <c r="J2" s="118"/>
      <c r="K2" s="48"/>
    </row>
    <row r="3" spans="1:11" ht="16.5" thickBot="1" x14ac:dyDescent="0.3">
      <c r="A3" s="140" t="s">
        <v>25</v>
      </c>
      <c r="B3" s="140"/>
      <c r="C3" s="140"/>
      <c r="D3" s="108" t="str">
        <f>'SAF 011'!C4</f>
        <v>040 - MINISTERIO DE SALUD</v>
      </c>
      <c r="E3" s="109"/>
      <c r="F3" s="109"/>
      <c r="G3" s="109"/>
      <c r="H3" s="109"/>
      <c r="I3" s="109"/>
      <c r="J3" s="119"/>
      <c r="K3" s="110"/>
    </row>
    <row r="4" spans="1:11" ht="16.149999999999999" thickBot="1" x14ac:dyDescent="0.35">
      <c r="A4" s="138" t="s">
        <v>26</v>
      </c>
      <c r="B4" s="138"/>
      <c r="C4" s="138"/>
      <c r="D4" s="108" t="str">
        <f>'SAF 011'!C5</f>
        <v>011 - DIRECCION PROVINCIAL DE ADMINISTRACION - MINISTERIO DE SALUD</v>
      </c>
      <c r="E4" s="109"/>
      <c r="F4" s="109"/>
      <c r="G4" s="109"/>
      <c r="H4" s="109"/>
      <c r="I4" s="109"/>
      <c r="J4" s="119"/>
      <c r="K4" s="110"/>
    </row>
    <row r="5" spans="1:11" ht="16.149999999999999" thickBot="1" x14ac:dyDescent="0.35">
      <c r="A5" s="138" t="s">
        <v>27</v>
      </c>
      <c r="B5" s="138"/>
      <c r="C5" s="138"/>
      <c r="D5" s="108" t="s">
        <v>90</v>
      </c>
      <c r="E5" s="109"/>
      <c r="F5" s="109"/>
      <c r="G5" s="109"/>
      <c r="H5" s="109"/>
      <c r="I5" s="109"/>
      <c r="J5" s="119"/>
      <c r="K5" s="110"/>
    </row>
    <row r="6" spans="1:11" ht="16.149999999999999" thickBot="1" x14ac:dyDescent="0.35">
      <c r="A6" s="140" t="s">
        <v>28</v>
      </c>
      <c r="B6" s="140"/>
      <c r="C6" s="140"/>
      <c r="D6" s="108" t="s">
        <v>90</v>
      </c>
      <c r="E6" s="109"/>
      <c r="F6" s="109"/>
      <c r="G6" s="109"/>
      <c r="H6" s="109"/>
      <c r="I6" s="109"/>
      <c r="J6" s="119"/>
      <c r="K6" s="110"/>
    </row>
    <row r="7" spans="1:11" ht="16.5" thickBot="1" x14ac:dyDescent="0.3">
      <c r="A7" s="138" t="s">
        <v>29</v>
      </c>
      <c r="B7" s="138"/>
      <c r="C7" s="138"/>
      <c r="D7" s="108" t="s">
        <v>85</v>
      </c>
      <c r="E7" s="109"/>
      <c r="F7" s="109"/>
      <c r="G7" s="109"/>
      <c r="H7" s="109"/>
      <c r="I7" s="109"/>
      <c r="J7" s="119"/>
      <c r="K7" s="110"/>
    </row>
    <row r="8" spans="1:11" ht="16.149999999999999" thickBot="1" x14ac:dyDescent="0.35">
      <c r="A8" s="141" t="s">
        <v>30</v>
      </c>
      <c r="B8" s="141"/>
      <c r="C8" s="141"/>
      <c r="D8" s="111" t="s">
        <v>86</v>
      </c>
      <c r="E8" s="109"/>
      <c r="F8" s="109"/>
      <c r="G8" s="109"/>
      <c r="H8" s="109"/>
      <c r="I8" s="109"/>
      <c r="J8" s="119"/>
      <c r="K8" s="110"/>
    </row>
    <row r="9" spans="1:11" ht="16.149999999999999" thickBot="1" x14ac:dyDescent="0.35">
      <c r="A9" s="49"/>
      <c r="B9" s="50"/>
      <c r="C9" s="50"/>
      <c r="D9" s="51"/>
      <c r="E9" s="51"/>
      <c r="F9" s="51"/>
      <c r="G9" s="51"/>
      <c r="H9" s="51"/>
      <c r="I9" s="51"/>
      <c r="J9" s="120"/>
      <c r="K9" s="52"/>
    </row>
    <row r="10" spans="1:11" ht="15.75" thickBot="1" x14ac:dyDescent="0.3">
      <c r="A10" s="142" t="s">
        <v>31</v>
      </c>
      <c r="B10" s="143" t="s">
        <v>32</v>
      </c>
      <c r="C10" s="143" t="s">
        <v>33</v>
      </c>
      <c r="D10" s="143"/>
      <c r="E10" s="143"/>
      <c r="F10" s="143"/>
      <c r="G10" s="143"/>
      <c r="H10" s="143" t="s">
        <v>34</v>
      </c>
      <c r="I10" s="143" t="s">
        <v>35</v>
      </c>
      <c r="J10" s="152" t="s">
        <v>36</v>
      </c>
      <c r="K10" s="147" t="s">
        <v>37</v>
      </c>
    </row>
    <row r="11" spans="1:11" ht="33.75" customHeight="1" thickBot="1" x14ac:dyDescent="0.3">
      <c r="A11" s="142"/>
      <c r="B11" s="143"/>
      <c r="C11" s="143"/>
      <c r="D11" s="143"/>
      <c r="E11" s="143"/>
      <c r="F11" s="143"/>
      <c r="G11" s="143"/>
      <c r="H11" s="143"/>
      <c r="I11" s="143"/>
      <c r="J11" s="152"/>
      <c r="K11" s="147"/>
    </row>
    <row r="12" spans="1:11" ht="15.6" x14ac:dyDescent="0.3">
      <c r="A12" s="53">
        <v>1</v>
      </c>
      <c r="B12" s="124" t="str">
        <f>'SAF 011'!B10</f>
        <v>2.5.1-9018.8</v>
      </c>
      <c r="C12" s="148" t="str">
        <f>'SAF 011'!E10</f>
        <v>GASES; COMPUESTO QUIMICO: OXIGENO, CALIDAD: MEDICINAL, PRESENTACION: TUBO X 6 M3</v>
      </c>
      <c r="D12" s="149"/>
      <c r="E12" s="149"/>
      <c r="F12" s="149"/>
      <c r="G12" s="150"/>
      <c r="H12" s="54" t="s">
        <v>87</v>
      </c>
      <c r="I12" s="55" t="str">
        <f>'SAF 011'!F10</f>
        <v>M3</v>
      </c>
      <c r="J12" s="121">
        <f>'SAF 011'!H10</f>
        <v>600</v>
      </c>
      <c r="K12" s="56" t="e">
        <f>'SAF 011'!#REF!</f>
        <v>#REF!</v>
      </c>
    </row>
    <row r="13" spans="1:11" ht="16.149999999999999" thickBot="1" x14ac:dyDescent="0.35">
      <c r="A13" s="112"/>
      <c r="B13" s="113"/>
      <c r="C13" s="151"/>
      <c r="D13" s="151"/>
      <c r="E13" s="151"/>
      <c r="F13" s="151"/>
      <c r="G13" s="151"/>
      <c r="H13" s="114"/>
      <c r="I13" s="115"/>
      <c r="J13" s="122"/>
      <c r="K13" s="116"/>
    </row>
    <row r="14" spans="1:11" ht="19.5" thickBot="1" x14ac:dyDescent="0.3">
      <c r="A14" s="144" t="s">
        <v>100</v>
      </c>
      <c r="B14" s="144"/>
      <c r="C14" s="144"/>
      <c r="D14" s="144"/>
      <c r="E14" s="144"/>
      <c r="F14" s="144"/>
      <c r="G14" s="144"/>
      <c r="H14" s="144"/>
      <c r="I14" s="144"/>
      <c r="J14" s="145" t="e">
        <f>+J12*K12</f>
        <v>#REF!</v>
      </c>
      <c r="K14" s="146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A14:I14"/>
    <mergeCell ref="J14:K14"/>
    <mergeCell ref="I10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4" workbookViewId="0">
      <selection activeCell="A39" sqref="A39:Q39"/>
    </sheetView>
  </sheetViews>
  <sheetFormatPr baseColWidth="10" defaultColWidth="11.42578125" defaultRowHeight="15" x14ac:dyDescent="0.25"/>
  <cols>
    <col min="1" max="5" width="4.42578125" style="26" customWidth="1"/>
    <col min="6" max="6" width="6.7109375" style="26" customWidth="1"/>
    <col min="7" max="14" width="4.42578125" style="26" customWidth="1"/>
    <col min="15" max="16" width="14.85546875" style="26" customWidth="1"/>
    <col min="17" max="17" width="14.7109375" style="26" customWidth="1"/>
    <col min="18" max="16384" width="11.42578125" style="26"/>
  </cols>
  <sheetData>
    <row r="1" spans="1:17" ht="15.75" thickBot="1" x14ac:dyDescent="0.3">
      <c r="A1" s="154" t="s">
        <v>5</v>
      </c>
      <c r="B1" s="154"/>
      <c r="C1" s="154"/>
      <c r="D1" s="155">
        <v>2022</v>
      </c>
      <c r="E1" s="155"/>
      <c r="F1" s="57"/>
      <c r="G1" s="57"/>
      <c r="H1" s="58"/>
      <c r="I1" s="58"/>
      <c r="J1" s="58"/>
      <c r="K1" s="58"/>
      <c r="L1" s="58"/>
      <c r="M1" s="58"/>
      <c r="N1" s="58"/>
      <c r="O1" s="59"/>
      <c r="P1" s="156" t="s">
        <v>38</v>
      </c>
      <c r="Q1" s="156"/>
    </row>
    <row r="2" spans="1:17" ht="15.75" thickBot="1" x14ac:dyDescent="0.3">
      <c r="A2" s="60"/>
      <c r="B2" s="61"/>
      <c r="C2" s="61"/>
      <c r="D2" s="61"/>
      <c r="E2" s="61"/>
      <c r="F2" s="61"/>
      <c r="G2" s="62"/>
      <c r="H2" s="63"/>
      <c r="I2" s="63"/>
      <c r="J2" s="63"/>
      <c r="K2" s="63"/>
      <c r="L2" s="63"/>
      <c r="M2" s="63"/>
      <c r="N2" s="63"/>
      <c r="O2" s="61"/>
      <c r="P2" s="156"/>
      <c r="Q2" s="156"/>
    </row>
    <row r="3" spans="1:17" thickBot="1" x14ac:dyDescent="0.35">
      <c r="A3" s="60"/>
      <c r="B3" s="61"/>
      <c r="C3" s="61"/>
      <c r="D3" s="61"/>
      <c r="E3" s="61"/>
      <c r="F3" s="61"/>
      <c r="G3" s="62"/>
      <c r="H3" s="61"/>
      <c r="I3" s="61"/>
      <c r="J3" s="61"/>
      <c r="K3" s="61"/>
      <c r="L3" s="61"/>
      <c r="M3" s="61"/>
      <c r="N3" s="61"/>
      <c r="O3" s="61"/>
      <c r="P3" s="61"/>
      <c r="Q3" s="64"/>
    </row>
    <row r="4" spans="1:17" ht="15.75" thickBot="1" x14ac:dyDescent="0.3">
      <c r="A4" s="157" t="s">
        <v>39</v>
      </c>
      <c r="B4" s="157"/>
      <c r="C4" s="157"/>
      <c r="D4" s="157"/>
      <c r="E4" s="157"/>
      <c r="F4" s="157"/>
      <c r="G4" s="158" t="str">
        <f>'NP DPAS'!D3</f>
        <v>040 - MINISTERIO DE SALUD</v>
      </c>
      <c r="H4" s="158"/>
      <c r="I4" s="158"/>
      <c r="J4" s="158"/>
      <c r="K4" s="158"/>
      <c r="L4" s="158"/>
      <c r="M4" s="158"/>
      <c r="N4" s="158"/>
      <c r="O4" s="158"/>
      <c r="P4" s="158"/>
      <c r="Q4" s="158"/>
    </row>
    <row r="5" spans="1:17" thickBot="1" x14ac:dyDescent="0.35">
      <c r="A5" s="159" t="s">
        <v>26</v>
      </c>
      <c r="B5" s="159"/>
      <c r="C5" s="159"/>
      <c r="D5" s="159"/>
      <c r="E5" s="159"/>
      <c r="F5" s="159"/>
      <c r="G5" s="158" t="str">
        <f>'NP DPAS'!D4</f>
        <v>011 - DIRECCION PROVINCIAL DE ADMINISTRACION - MINISTERIO DE SALUD</v>
      </c>
      <c r="H5" s="158"/>
      <c r="I5" s="158"/>
      <c r="J5" s="158"/>
      <c r="K5" s="158"/>
      <c r="L5" s="158"/>
      <c r="M5" s="158"/>
      <c r="N5" s="158"/>
      <c r="O5" s="158"/>
      <c r="P5" s="158"/>
      <c r="Q5" s="158"/>
    </row>
    <row r="6" spans="1:17" thickBot="1" x14ac:dyDescent="0.35">
      <c r="A6" s="159" t="s">
        <v>27</v>
      </c>
      <c r="B6" s="159"/>
      <c r="C6" s="159"/>
      <c r="D6" s="159"/>
      <c r="E6" s="159"/>
      <c r="F6" s="159"/>
      <c r="G6" s="158" t="str">
        <f>'NP DPAS'!D5</f>
        <v>DIRECCION PROVINCIAL DE ASISTENCIA SANITARIA NIVEL I Y II</v>
      </c>
      <c r="H6" s="158"/>
      <c r="I6" s="158"/>
      <c r="J6" s="158"/>
      <c r="K6" s="158"/>
      <c r="L6" s="158"/>
      <c r="M6" s="158"/>
      <c r="N6" s="158"/>
      <c r="O6" s="158"/>
      <c r="P6" s="158"/>
      <c r="Q6" s="158"/>
    </row>
    <row r="7" spans="1:17" thickBot="1" x14ac:dyDescent="0.35">
      <c r="A7" s="159" t="s">
        <v>28</v>
      </c>
      <c r="B7" s="159"/>
      <c r="C7" s="159"/>
      <c r="D7" s="159"/>
      <c r="E7" s="159"/>
      <c r="F7" s="159"/>
      <c r="G7" s="158" t="str">
        <f>'NP DPAS'!D6</f>
        <v>DIRECCION PROVINCIAL DE ASISTENCIA SANITARIA NIVEL I Y II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7" ht="15.75" thickBot="1" x14ac:dyDescent="0.3">
      <c r="A8" s="160" t="s">
        <v>40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</row>
    <row r="9" spans="1:17" ht="27.75" customHeight="1" x14ac:dyDescent="0.25">
      <c r="A9" s="153" t="s">
        <v>41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</row>
    <row r="10" spans="1:17" ht="57" customHeight="1" x14ac:dyDescent="0.25">
      <c r="A10" s="162" t="s">
        <v>92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thickBot="1" x14ac:dyDescent="0.35">
      <c r="A11" s="65"/>
      <c r="B11" s="66"/>
      <c r="C11" s="66"/>
      <c r="D11" s="66"/>
      <c r="E11" s="66"/>
      <c r="F11" s="66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8"/>
    </row>
    <row r="12" spans="1:17" ht="15.75" thickBot="1" x14ac:dyDescent="0.3">
      <c r="A12" s="163" t="s">
        <v>42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</row>
    <row r="13" spans="1:17" ht="15.75" thickBot="1" x14ac:dyDescent="0.3">
      <c r="A13" s="164" t="s">
        <v>43</v>
      </c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5" t="s">
        <v>44</v>
      </c>
      <c r="P13" s="165"/>
      <c r="Q13" s="166" t="s">
        <v>45</v>
      </c>
    </row>
    <row r="14" spans="1:17" ht="15.75" thickBot="1" x14ac:dyDescent="0.3">
      <c r="A14" s="69" t="s">
        <v>46</v>
      </c>
      <c r="B14" s="70" t="s">
        <v>47</v>
      </c>
      <c r="C14" s="70" t="s">
        <v>48</v>
      </c>
      <c r="D14" s="70" t="s">
        <v>49</v>
      </c>
      <c r="E14" s="70" t="s">
        <v>50</v>
      </c>
      <c r="F14" s="70" t="s">
        <v>51</v>
      </c>
      <c r="G14" s="71" t="s">
        <v>52</v>
      </c>
      <c r="H14" s="70" t="s">
        <v>53</v>
      </c>
      <c r="I14" s="70" t="s">
        <v>54</v>
      </c>
      <c r="J14" s="70" t="s">
        <v>55</v>
      </c>
      <c r="K14" s="70" t="s">
        <v>55</v>
      </c>
      <c r="L14" s="70" t="s">
        <v>56</v>
      </c>
      <c r="M14" s="72" t="s">
        <v>57</v>
      </c>
      <c r="N14" s="73" t="s">
        <v>58</v>
      </c>
      <c r="O14" s="165"/>
      <c r="P14" s="165"/>
      <c r="Q14" s="166"/>
    </row>
    <row r="15" spans="1:17" ht="14.45" x14ac:dyDescent="0.3">
      <c r="A15" s="74">
        <v>21</v>
      </c>
      <c r="B15" s="75"/>
      <c r="C15" s="75"/>
      <c r="D15" s="75">
        <v>1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5</v>
      </c>
      <c r="K15" s="75">
        <v>1</v>
      </c>
      <c r="L15" s="75"/>
      <c r="M15" s="76">
        <v>1</v>
      </c>
      <c r="N15" s="75" t="s">
        <v>88</v>
      </c>
      <c r="O15" s="167" t="s">
        <v>89</v>
      </c>
      <c r="P15" s="167"/>
      <c r="Q15" s="77" t="e">
        <f>'NP DPAS'!J14</f>
        <v>#REF!</v>
      </c>
    </row>
    <row r="16" spans="1:17" ht="14.45" x14ac:dyDescent="0.3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93"/>
      <c r="O16" s="168"/>
      <c r="P16" s="168"/>
      <c r="Q16" s="82"/>
    </row>
    <row r="17" spans="1:17" ht="14.45" x14ac:dyDescent="0.3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93"/>
      <c r="O17" s="169"/>
      <c r="P17" s="169"/>
      <c r="Q17" s="82"/>
    </row>
    <row r="18" spans="1:17" ht="14.45" x14ac:dyDescent="0.3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93"/>
      <c r="O18" s="161"/>
      <c r="P18" s="161"/>
      <c r="Q18" s="82"/>
    </row>
    <row r="19" spans="1:17" ht="14.45" x14ac:dyDescent="0.3">
      <c r="A19" s="78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80"/>
      <c r="N19" s="93"/>
      <c r="O19" s="161"/>
      <c r="P19" s="161"/>
      <c r="Q19" s="82"/>
    </row>
    <row r="20" spans="1:17" ht="14.45" x14ac:dyDescent="0.3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93"/>
      <c r="O20" s="161"/>
      <c r="P20" s="161"/>
      <c r="Q20" s="82"/>
    </row>
    <row r="21" spans="1:17" ht="14.45" x14ac:dyDescent="0.3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80"/>
      <c r="N21" s="93"/>
      <c r="O21" s="161"/>
      <c r="P21" s="161"/>
      <c r="Q21" s="82"/>
    </row>
    <row r="22" spans="1:17" ht="14.45" x14ac:dyDescent="0.3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80"/>
      <c r="N22" s="93"/>
      <c r="O22" s="161"/>
      <c r="P22" s="161"/>
      <c r="Q22" s="82"/>
    </row>
    <row r="23" spans="1:17" ht="14.45" x14ac:dyDescent="0.3">
      <c r="A23" s="78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80"/>
      <c r="N23" s="93"/>
      <c r="O23" s="161"/>
      <c r="P23" s="161"/>
      <c r="Q23" s="82"/>
    </row>
    <row r="24" spans="1:17" ht="14.45" x14ac:dyDescent="0.3">
      <c r="A24" s="78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  <c r="N24" s="93"/>
      <c r="O24" s="161"/>
      <c r="P24" s="161"/>
      <c r="Q24" s="82"/>
    </row>
    <row r="25" spans="1:17" ht="14.45" x14ac:dyDescent="0.3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80"/>
      <c r="N25" s="93"/>
      <c r="O25" s="161"/>
      <c r="P25" s="161"/>
      <c r="Q25" s="82"/>
    </row>
    <row r="26" spans="1:17" ht="14.45" x14ac:dyDescent="0.3">
      <c r="A26" s="78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80"/>
      <c r="N26" s="93"/>
      <c r="O26" s="161"/>
      <c r="P26" s="161"/>
      <c r="Q26" s="82"/>
    </row>
    <row r="27" spans="1:17" ht="14.45" x14ac:dyDescent="0.3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80"/>
      <c r="N27" s="93"/>
      <c r="O27" s="161"/>
      <c r="P27" s="161"/>
      <c r="Q27" s="82"/>
    </row>
    <row r="28" spans="1:17" ht="14.45" x14ac:dyDescent="0.3">
      <c r="A28" s="78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80"/>
      <c r="N28" s="93"/>
      <c r="O28" s="161"/>
      <c r="P28" s="161"/>
      <c r="Q28" s="82"/>
    </row>
    <row r="29" spans="1:17" ht="14.45" x14ac:dyDescent="0.3">
      <c r="A29" s="78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80"/>
      <c r="N29" s="93"/>
      <c r="O29" s="161"/>
      <c r="P29" s="161"/>
      <c r="Q29" s="82"/>
    </row>
    <row r="30" spans="1:17" ht="14.45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80"/>
      <c r="N30" s="93"/>
      <c r="O30" s="161"/>
      <c r="P30" s="161"/>
      <c r="Q30" s="82"/>
    </row>
    <row r="31" spans="1:17" ht="14.45" x14ac:dyDescent="0.3">
      <c r="A31" s="78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80"/>
      <c r="N31" s="93"/>
      <c r="O31" s="161"/>
      <c r="P31" s="161"/>
      <c r="Q31" s="82"/>
    </row>
    <row r="32" spans="1:17" ht="14.45" x14ac:dyDescent="0.3">
      <c r="A32" s="78"/>
      <c r="B32" s="79"/>
      <c r="C32" s="79"/>
      <c r="D32" s="79"/>
      <c r="E32" s="79"/>
      <c r="F32" s="93"/>
      <c r="G32" s="79"/>
      <c r="H32" s="79"/>
      <c r="I32" s="79"/>
      <c r="J32" s="79"/>
      <c r="K32" s="79"/>
      <c r="L32" s="79"/>
      <c r="M32" s="80"/>
      <c r="N32" s="93"/>
      <c r="O32" s="168"/>
      <c r="P32" s="168"/>
      <c r="Q32" s="82"/>
    </row>
    <row r="33" spans="1:17" ht="14.45" x14ac:dyDescent="0.3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80"/>
      <c r="N33" s="93"/>
      <c r="O33" s="168"/>
      <c r="P33" s="168"/>
      <c r="Q33" s="82"/>
    </row>
    <row r="34" spans="1:17" ht="14.45" x14ac:dyDescent="0.3">
      <c r="A34" s="78"/>
      <c r="B34" s="79"/>
      <c r="C34" s="79"/>
      <c r="D34" s="79"/>
      <c r="E34" s="79"/>
      <c r="F34" s="93"/>
      <c r="G34" s="79"/>
      <c r="H34" s="79"/>
      <c r="I34" s="79"/>
      <c r="J34" s="79"/>
      <c r="K34" s="79"/>
      <c r="L34" s="79"/>
      <c r="M34" s="80"/>
      <c r="N34" s="93"/>
      <c r="O34" s="168"/>
      <c r="P34" s="168"/>
      <c r="Q34" s="82"/>
    </row>
    <row r="35" spans="1:17" ht="14.45" x14ac:dyDescent="0.3">
      <c r="A35" s="78"/>
      <c r="B35" s="79"/>
      <c r="C35" s="79"/>
      <c r="D35" s="79"/>
      <c r="E35" s="79"/>
      <c r="F35" s="93"/>
      <c r="G35" s="79"/>
      <c r="H35" s="79"/>
      <c r="I35" s="79"/>
      <c r="J35" s="79"/>
      <c r="K35" s="79"/>
      <c r="L35" s="79"/>
      <c r="M35" s="80"/>
      <c r="N35" s="93"/>
      <c r="O35" s="168"/>
      <c r="P35" s="168"/>
      <c r="Q35" s="82"/>
    </row>
    <row r="36" spans="1:17" ht="14.45" x14ac:dyDescent="0.3">
      <c r="A36" s="83"/>
      <c r="B36" s="84"/>
      <c r="C36" s="84"/>
      <c r="D36" s="84"/>
      <c r="E36" s="84"/>
      <c r="F36" s="85"/>
      <c r="G36" s="84"/>
      <c r="H36" s="84"/>
      <c r="I36" s="84"/>
      <c r="J36" s="84"/>
      <c r="K36" s="84"/>
      <c r="L36" s="84"/>
      <c r="M36" s="86"/>
      <c r="N36" s="87"/>
      <c r="O36" s="173"/>
      <c r="P36" s="173"/>
      <c r="Q36" s="82"/>
    </row>
    <row r="37" spans="1:17" thickBot="1" x14ac:dyDescent="0.35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9"/>
      <c r="O37" s="174"/>
      <c r="P37" s="174"/>
      <c r="Q37" s="91"/>
    </row>
    <row r="38" spans="1:17" ht="15.75" thickBot="1" x14ac:dyDescent="0.3">
      <c r="A38" s="175" t="s">
        <v>101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92" t="e">
        <f>SUM(Q15:Q37)</f>
        <v>#REF!</v>
      </c>
    </row>
    <row r="39" spans="1:17" ht="15.75" thickBot="1" x14ac:dyDescent="0.3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</row>
    <row r="40" spans="1:17" ht="15.75" thickBot="1" x14ac:dyDescent="0.3">
      <c r="A40" s="170" t="s">
        <v>59</v>
      </c>
      <c r="B40" s="170"/>
      <c r="C40" s="170"/>
      <c r="D40" s="170"/>
      <c r="E40" s="170"/>
      <c r="F40" s="170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 ht="15.75" thickBot="1" x14ac:dyDescent="0.3">
      <c r="A41" s="172" t="str">
        <f>'NP DPAS'!D8</f>
        <v>ADQ. DEL RUBRO OXIGENO MEDICINAL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</row>
    <row r="42" spans="1:17" ht="15.75" thickBot="1" x14ac:dyDescent="0.3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SAF 011</vt:lpstr>
      <vt:lpstr>NP SAME</vt:lpstr>
      <vt:lpstr>APG SAME</vt:lpstr>
      <vt:lpstr>NP DPAS</vt:lpstr>
      <vt:lpstr>APG DPAS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2022-08-01T15:28:30Z</dcterms:modified>
</cp:coreProperties>
</file>