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IA V. NICOLA\Downloads\"/>
    </mc:Choice>
  </mc:AlternateContent>
  <bookViews>
    <workbookView xWindow="0" yWindow="0" windowWidth="21570" windowHeight="7485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</definedName>
    <definedName name="Titles">'Cuadro comparativo'!$A$8:$F$8</definedName>
  </definedNames>
  <calcPr calcId="162913"/>
</workbook>
</file>

<file path=xl/calcChain.xml><?xml version="1.0" encoding="utf-8"?>
<calcChain xmlns="http://schemas.openxmlformats.org/spreadsheetml/2006/main">
  <c r="I64" i="2" l="1"/>
  <c r="M64" i="2"/>
  <c r="Q64" i="2"/>
  <c r="U64" i="2"/>
  <c r="Y64" i="2"/>
  <c r="AC64" i="2"/>
</calcChain>
</file>

<file path=xl/sharedStrings.xml><?xml version="1.0" encoding="utf-8"?>
<sst xmlns="http://schemas.openxmlformats.org/spreadsheetml/2006/main" count="456" uniqueCount="323">
  <si>
    <t>Número expediente:</t>
  </si>
  <si>
    <t>EX-2022-01567643-   -CAT-DPCBS#MEC</t>
  </si>
  <si>
    <t>Número proceso de compra:</t>
  </si>
  <si>
    <t>100-0151-CDI22</t>
  </si>
  <si>
    <t>Nombre descriptivo proceso de compra:</t>
  </si>
  <si>
    <t>ADQUISICIÓN DE DESCARTABLES COMUNES - MS-HNEP-HSJB-MP</t>
  </si>
  <si>
    <t>Unidad Operativa de Compras:</t>
  </si>
  <si>
    <t>Secretaria de Compras y Abastecimiento</t>
  </si>
  <si>
    <t>Fecha de Apertura:</t>
  </si>
  <si>
    <t>14/09/2022</t>
  </si>
  <si>
    <t>Renglón</t>
  </si>
  <si>
    <t>DROGUERIA PHARMA CENTER S.R.L</t>
  </si>
  <si>
    <t>Euro Swiss SA</t>
  </si>
  <si>
    <t>Pharma Express S.A.</t>
  </si>
  <si>
    <t>ANA GABRIELA CORDOBA</t>
  </si>
  <si>
    <t>PRODUMED SRL</t>
  </si>
  <si>
    <t>MAX CONTINENTAL S.A.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</si>
  <si>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</si>
  <si>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</si>
  <si>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</si>
  <si>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</si>
  <si>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</si>
  <si>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</si>
  <si>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</si>
  <si>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</si>
  <si>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</si>
  <si>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</si>
  <si>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2.9.5-427.31 </t>
  </si>
  <si>
    <t xml:space="preserve">APOSITOS; TIPO: P/SUJECION DE CATETER, TAMAÑO: 10 X 12 Cm 
</t>
  </si>
  <si>
    <t xml:space="preserve">UNIDAD </t>
  </si>
  <si>
    <t xml:space="preserve">APOSITOS; TIPO: P/SUJECION DE CATETER, TAMAÑO: 10 X 12 Cm 
EUROMIX/HUA PM 1440-147 </t>
  </si>
  <si>
    <t xml:space="preserve">Aposito t/Tegaderm  10x12cms Euromix </t>
  </si>
  <si>
    <t xml:space="preserve">Apósitos transparentes de 10 cm x 12 cm - Marca 
Hipoalergic Film </t>
  </si>
  <si>
    <t xml:space="preserve">2 </t>
  </si>
  <si>
    <t xml:space="preserve">2.9.5-427.84 </t>
  </si>
  <si>
    <t xml:space="preserve">APOSITOS; TIPO: P/SUJECION DE CATETER, TAMAÑO: 6 X 7 Cm 
</t>
  </si>
  <si>
    <t xml:space="preserve">APOSITOS; TIPO: P/SUJECION DE CATETER, TAMAÑO: 6 X 7 Cm 
EUROMIX/HUA PM 1440-147 </t>
  </si>
  <si>
    <t xml:space="preserve">Aposito t/Tegaderm   6x7cms Euromix </t>
  </si>
  <si>
    <t xml:space="preserve">Apósitos transparentes de 7cm x 6cm- Marca Hipoalergic Film </t>
  </si>
  <si>
    <t xml:space="preserve">3 </t>
  </si>
  <si>
    <t xml:space="preserve">2.9.5-2505.6 </t>
  </si>
  <si>
    <t xml:space="preserve">BOLSAS COLECTORAS; TIPO: DE ORINA C/DESAGOTE, USO: ADULTO, CAPACIDAD: 2000 
mL </t>
  </si>
  <si>
    <t xml:space="preserve">Bolsa colectora de orina x 2000 ml - MARCA WEBEST 
</t>
  </si>
  <si>
    <t xml:space="preserve">BOLSAS COLECTORAS MORINA C/DESAGOTE, ADULTO 2000 Ml WEBEST NOVAMED PM 
1678-7 PM 129-107 </t>
  </si>
  <si>
    <t xml:space="preserve">MARCA WEBEST ANMAT 2220-94 </t>
  </si>
  <si>
    <t xml:space="preserve">BOLSA COLECTORA ORINA X 2 LITROS MARCA STANDARBAG Certificado: PM 
2055-9 </t>
  </si>
  <si>
    <t xml:space="preserve">4 </t>
  </si>
  <si>
    <t xml:space="preserve">2.9.5-2161.7 </t>
  </si>
  <si>
    <t xml:space="preserve">CATÉTER INTRAVENOSO Nº 14; TIPO:  INTRAVENOSO/CANALIZACIÓN </t>
  </si>
  <si>
    <t xml:space="preserve">CATÉTER INTRAVENOSO Nº 14; TIPO: INTRAVENOSO/CANALIZACIÓN DISPOTOUCH/EUROMIX PM 1440-61 </t>
  </si>
  <si>
    <t xml:space="preserve">Cateter intravenoso 14G teflon Euromix </t>
  </si>
  <si>
    <t xml:space="preserve">Cateter intravenoso 14 g Teflon - Marca Euromix/All Pro </t>
  </si>
  <si>
    <t xml:space="preserve">MARCA ELIT ANMAT 1678-33 </t>
  </si>
  <si>
    <t xml:space="preserve">CATETER HEALCATH N# 14  MARCA HARSORIA Certificado: PM 2055-27 
</t>
  </si>
  <si>
    <t xml:space="preserve">5 </t>
  </si>
  <si>
    <t xml:space="preserve">2.9.5-2161.1 </t>
  </si>
  <si>
    <t xml:space="preserve">CATETERES/SONDAS; NUMERO: 16, TIPO: INTRAVENOSO </t>
  </si>
  <si>
    <t xml:space="preserve">CATETERES/SONDAS; NUMERO: 16, TIPO: INTRAVENOSO DISPOTOUCH/EUROMIX PM 1440-61 </t>
  </si>
  <si>
    <t xml:space="preserve">Cateter intravenoso 16G teflon Euromix </t>
  </si>
  <si>
    <t xml:space="preserve">Cateter intravenoso 16 G teflon - Marca Euromix </t>
  </si>
  <si>
    <t xml:space="preserve">MARCA ELIT ANMAT 1678-33  </t>
  </si>
  <si>
    <t xml:space="preserve">CATETER HEALCATH N# 16  MARCA HARSORIA Certificado: PM 2055-27 
</t>
  </si>
  <si>
    <t xml:space="preserve">6 </t>
  </si>
  <si>
    <t xml:space="preserve">2.9.5-2161.2 </t>
  </si>
  <si>
    <t xml:space="preserve">CATÉTER INTRAVENOSO Nº 18; TIPO:  INTRAVENOSO/CANALIZACIÓN </t>
  </si>
  <si>
    <t xml:space="preserve">CATÉTER INTRAVENOSO Nº 18; TIPO: INTRAVENOSO/CANALIZACIÓN DISPOTOUCH/EUROMIX PM 1440-61 </t>
  </si>
  <si>
    <t xml:space="preserve">Cateter intravenoso 18G teflon Euromix </t>
  </si>
  <si>
    <t xml:space="preserve">Cateter intravenoso de teflon 18 G - Marca Euromix / 
All Pro </t>
  </si>
  <si>
    <t xml:space="preserve">CATETER Nº 18 WEL LEAD ELIT PM 2220-85 </t>
  </si>
  <si>
    <t xml:space="preserve">CATETER HEALCATH N# 18  MARCA HARSORIA Certificado: PM 2055-27 
</t>
  </si>
  <si>
    <t xml:space="preserve">7 </t>
  </si>
  <si>
    <t xml:space="preserve">2.9.5-2161.557 </t>
  </si>
  <si>
    <t xml:space="preserve">CATÉTER INTRAVENOSO Nº 20; TIPO:  INTRAVENOSO/CANALIZACIÓN </t>
  </si>
  <si>
    <t xml:space="preserve">CATÉTER INTRAVENOSO Nº 20; TIPO: INTRAVENOSO/CANALIZACIÓN DISPOTOUCH/EUROMIX PM1440-61 </t>
  </si>
  <si>
    <t xml:space="preserve">Cateter intravenoso 20G teflon Euromix </t>
  </si>
  <si>
    <t xml:space="preserve">Cateter intravenoso de teflon 20G - Marca Euromix / All 
Pro </t>
  </si>
  <si>
    <t xml:space="preserve">CATETER Nº 20 WEL LEAD ELIT   PM 2220-85 
</t>
  </si>
  <si>
    <t xml:space="preserve">CATETER HEALCATH N# 20  MARCA HARSORIA Certificado: PM 2055-27 
</t>
  </si>
  <si>
    <t xml:space="preserve">8 </t>
  </si>
  <si>
    <t xml:space="preserve">2.9.5-2161.4 </t>
  </si>
  <si>
    <t xml:space="preserve">CATÉTER INTRAVENOSO Nº 22; TIPO:  INTRAVENOSO/CANALIZACIÓN </t>
  </si>
  <si>
    <t xml:space="preserve">CATÉTER INTRAVENOSO Nº 22; TIPO: INTRAVENOSO/CANALIZACIÓN DISPOTOUCH/EUROMIX PM 1444-61 </t>
  </si>
  <si>
    <t xml:space="preserve">Cateter intravenoso 22G teflon Euromix </t>
  </si>
  <si>
    <t xml:space="preserve">Cateter intravenoso de teflon 22 G - Marca Euromix / 
All Pro </t>
  </si>
  <si>
    <t xml:space="preserve">CATETER Nº 22 WEL LEAD ELIT   PM 2220-85 
</t>
  </si>
  <si>
    <t xml:space="preserve">CATETER HEALCATH N# 22  MARCA HARSORIA Certificado: PM 2055-27 
</t>
  </si>
  <si>
    <t xml:space="preserve">9 </t>
  </si>
  <si>
    <t xml:space="preserve">2.9.5-2161.10 </t>
  </si>
  <si>
    <t xml:space="preserve">CATÉTER INTRAVENOSO Nº 24; TIPO:  INTRAVENOSO/CANALIZACIÓN </t>
  </si>
  <si>
    <t xml:space="preserve">CATÉTER INTRAVENOSO Nº 24; TIPO: INTRAVENOSO/CANALIZACIÓN DISPOTOUCH/EUROMIX PM 1440-61 </t>
  </si>
  <si>
    <t xml:space="preserve">Cateter intravenoso de teflon 24G - Marca Euromix / All 
Pro </t>
  </si>
  <si>
    <t xml:space="preserve">CATETER Nº 24 WEL LEAD ELIT   PM 2220-85 
</t>
  </si>
  <si>
    <t xml:space="preserve">MARCA B BRAUN ANMAT 669-111 </t>
  </si>
  <si>
    <t xml:space="preserve">CATETER HEALCATH N# 24  MARCA HARSORIA Certificado: PM 2055-27 
</t>
  </si>
  <si>
    <t xml:space="preserve">10 </t>
  </si>
  <si>
    <t xml:space="preserve">2.9.5-2204.58 </t>
  </si>
  <si>
    <t xml:space="preserve">GUÍA DE SUERO; USO: ADMINISTRACIÓN DE SOLUCIONES, MODELO CON BURETRA 
VOLUMÉTRICA; TIPO: MACROGOTERO </t>
  </si>
  <si>
    <t xml:space="preserve">GUÍA DE SUERO; USO: ADMINISTRACIÓN DE SOLUCIONES, MODELO CON BURETRA 
VOLUMÉTRICA; TIPO: MACROGOTERO DISMEQUI/EUROMIX PM 1440-60 </t>
  </si>
  <si>
    <t xml:space="preserve">GUIA PREMIUM V14 ADULTO C/MEDIDOR VOLUMETRICO  MARCA CONTINENTA Certificado: 
PM 2055-20 </t>
  </si>
  <si>
    <t xml:space="preserve">11 </t>
  </si>
  <si>
    <t xml:space="preserve">2.9.5-2204.42 </t>
  </si>
  <si>
    <t xml:space="preserve">GUÍAS DE SUERO; USO: ADMINISTRACIÓN DE SOLUCIONES; AGUJA: SIN; MODELO: 
V14, TIPO: MACROGOTERO CON ROLLER LUER SLIP </t>
  </si>
  <si>
    <t xml:space="preserve">GUÍAS DE SUERO; USO: ADMINISTRACIÓN DE SOLUCIONES; AGUJA: SIN; MODELO: 
V14, TIPO: MACROGOTERO CON ROLLER LUER SLIP SENSIMEDICAL/DISPOTOUCH PM 2123-26 
</t>
  </si>
  <si>
    <t xml:space="preserve">Guia para administracion de soluciones macrogotero sin aguja Tipo V-14 
- Marca ALL PRO </t>
  </si>
  <si>
    <t xml:space="preserve">GUIA V14 ESTANDAR -C/RUEDITA MACROGOTERO  MARCA INFUMED Certificado: PM 
2055-16 </t>
  </si>
  <si>
    <t xml:space="preserve">12 </t>
  </si>
  <si>
    <t xml:space="preserve">2.9.5-2204.43 </t>
  </si>
  <si>
    <t xml:space="preserve">GUÍAS DE SUERO; USO: ADMINISTRACIÓN DE SOLUCIONES; AGUJA: SIN; MODELO: 
V17, TIPO: MICROGOTERO CON ROLLER LUER SLIP </t>
  </si>
  <si>
    <t xml:space="preserve">GUÍAS DE SUERO; USO: ADMINISTRACIÓN DE SOLUCIONES; AGUJA: SIN; MODELO: 
V17, TIPO: MICROGOTERO CON ROLLER LUER SLIP SENSIMEDICAL/EUROMIX PM1440-60 </t>
  </si>
  <si>
    <t xml:space="preserve">Guia para administracion de soluciones microgotero sin aguja con roller 
- Marca ALL PRO </t>
  </si>
  <si>
    <t xml:space="preserve">EQ V 17 MICRO S AGUJA BREMEN ELIT PM 236-75 
 236-104 </t>
  </si>
  <si>
    <t xml:space="preserve">GUIA V17 ESTANDAR C/RUEDITA-MICROGOTERO  MARCA INFUMED Certificado: PM 2055-16 
</t>
  </si>
  <si>
    <t xml:space="preserve">13 </t>
  </si>
  <si>
    <t xml:space="preserve">2.9.5-2205.13 </t>
  </si>
  <si>
    <t xml:space="preserve">PROLONGADORES P/GUÍA SUERO; USO: ADMINISTRACIÓN DE SOLUCIONES; MODELO: C/LLAVE DE 
3 VÍAS ESTERIL 360° LUERLOCK C/PROLONGADOR DE 15CM </t>
  </si>
  <si>
    <t xml:space="preserve">PROLONGADORES P/GUÍA SUERO; USO: ADMINISTRACIÓN DE SOLUCIONES; MODELO: C/LLAVE DE 
3 VÍAS ESTERIL 360° LUERLOCK C/PROLONGADOR DE 15CM EUROMIX/NOVAMED </t>
  </si>
  <si>
    <t xml:space="preserve">MARCA WEBEST ANMAT 2220-91 </t>
  </si>
  <si>
    <t xml:space="preserve">LLAVE DE 3 V C/PROLONG. DE 15 CM PED P/INYEC 
 MARCA HARSORIA Certificado: PM 2055-23 </t>
  </si>
  <si>
    <t xml:space="preserve">14 </t>
  </si>
  <si>
    <t xml:space="preserve">2.9.5-2205.33 </t>
  </si>
  <si>
    <t xml:space="preserve">PROLONGADORES P/GUÍA SUERO; USO: ADMINISTRACIÓN DE SOLUCIONES; MODELO: C/LLAVE DE 
3 VÍAS ESTERIL 360° LUERLOCK C/PROLONGADOR DE 30CM </t>
  </si>
  <si>
    <t xml:space="preserve">PROLONGADORES P/GUÍA SUERO; USO: ADMINISTRACIÓN DE SOLUCIONES; MODELO: C/LLAVE DE 
3 VÍAS ESTERIL 360° LUERLOCK C/PROLONGADOR DE 30CM EUROMIX/NOVAMED PM 
1440-62 </t>
  </si>
  <si>
    <t xml:space="preserve">LLAVE DE 3 V.C/PROLONG.DE 30 CM PUERTO INYEC  MARCA 
HARSORIA Certificado: PM 2055-23 </t>
  </si>
  <si>
    <t xml:space="preserve">15 </t>
  </si>
  <si>
    <t xml:space="preserve">2.9.5-2161.224 </t>
  </si>
  <si>
    <t xml:space="preserve">CATETERES/SONDAS; NUMERO: 14, TIPO: FOLEY DOBLE VIA </t>
  </si>
  <si>
    <t xml:space="preserve">Sonda foley 2 vias N° 14 - Maca Keyru </t>
  </si>
  <si>
    <t xml:space="preserve">CATETERES/SONDAS; NUMERO: 14, TIPO: FOLEY DOBLE  VIA BREMEN ELIT 
 PM 1678-3 </t>
  </si>
  <si>
    <t xml:space="preserve">MARCA ELITE ANMAT 2220-96 </t>
  </si>
  <si>
    <t xml:space="preserve">SONDA FOLEY N§14 2 VIAS  MARCA CONTINENTA Certificado: PM 
2055-41 </t>
  </si>
  <si>
    <t xml:space="preserve">16 </t>
  </si>
  <si>
    <t xml:space="preserve">2.9.5-2161.221 </t>
  </si>
  <si>
    <t xml:space="preserve">CATETERES/SONDAS; NUMERO: 16, TIPO: FOLEY DOBLE VIA </t>
  </si>
  <si>
    <t xml:space="preserve">Sonda Foley 2 v 16fr WELL LEAD </t>
  </si>
  <si>
    <t xml:space="preserve">Sonda foley 2 vias N° 16 - Marca All Pro 
</t>
  </si>
  <si>
    <t xml:space="preserve">CATETERES/SONDAS; NUMERO: 16, TIPO: FOLEY DOBLE  VIA BREMEN ELIT 
 PM 1678-3 </t>
  </si>
  <si>
    <t xml:space="preserve">SONDA FOLEY N§16 2 VIAS  MARCA CONTINENTA Certificado: PM 
2055-41 </t>
  </si>
  <si>
    <t xml:space="preserve">17 </t>
  </si>
  <si>
    <t xml:space="preserve">2.9.5-2161.222 </t>
  </si>
  <si>
    <t xml:space="preserve">CATETERES/SONDAS; NUMERO: 18, TIPO: FOLEY DOBLE VIA </t>
  </si>
  <si>
    <t xml:space="preserve">Sonda Foley 2 v 18fr WELL LEAD </t>
  </si>
  <si>
    <t xml:space="preserve">Sonda Foley 2 vias Nº 18 - Well lead </t>
  </si>
  <si>
    <t xml:space="preserve">CATETERES/SONDAS; NUMERO: 18, TIPO: FOLEY DOBLE  VIA BREMEN ELIT 
 PM 1678-3 </t>
  </si>
  <si>
    <t xml:space="preserve">SONDA FOLEY N§18 2 VIAS  MARCA CONTINENTA Certificado: PM 
2055-41 </t>
  </si>
  <si>
    <t xml:space="preserve">18 </t>
  </si>
  <si>
    <t xml:space="preserve">2.9.5-2161.216 </t>
  </si>
  <si>
    <t xml:space="preserve">CATETERES/SONDAS; NUMERO: K-30, TIPO: ASP. MUCUS Y ADMINISTRAC. OXIG </t>
  </si>
  <si>
    <t xml:space="preserve">SONDA NASOGASTRICA ADULTO 2.8M T/K30 S-28 MARCA KOLER ANMAT 179-18 
</t>
  </si>
  <si>
    <t xml:space="preserve">SONDA INTRATUB ASPIRACION K 30 CON REGULADOR  MARCA INTRATUB 
Certificado: PM 2055-121 </t>
  </si>
  <si>
    <t xml:space="preserve">19 </t>
  </si>
  <si>
    <t xml:space="preserve">2.9.5-2161.217 </t>
  </si>
  <si>
    <t xml:space="preserve">CATETERES/SONDAS; NUMERO: K-31, TIPO: ASP. MUCUS Y ADMINISTRAC. OXIG </t>
  </si>
  <si>
    <t xml:space="preserve">Sonda t/K 31 PVC est p/intub nasogást TOMFAC-FIRTS </t>
  </si>
  <si>
    <t xml:space="preserve">SONDA NASOGASTRICA INFANTE 2.3M T/K31 MARCA KOLER ANMAT 179-18 </t>
  </si>
  <si>
    <t xml:space="preserve">SONDA INTRATUB ASPIRACION K 31 CON REGULADOR MARCA INTRATUB Certificado: 
PM 2055-121 </t>
  </si>
  <si>
    <t xml:space="preserve">20 </t>
  </si>
  <si>
    <t xml:space="preserve">2.9.5-2161.188 </t>
  </si>
  <si>
    <t xml:space="preserve">CATETERES/SONDAS; NUMERO: K-33, TIPO: NASOGASTRICA </t>
  </si>
  <si>
    <t xml:space="preserve">Sonda t/K 33 PVC est p/intub nasogást TOMFAC-FIRTS </t>
  </si>
  <si>
    <t xml:space="preserve">Sonda para intubacion nasogastrica Tubo Diam. ext. 2,0 mm. Int. 
1,1 mm. Largo 45 cm - prematuros    
(Estéril) TFF-33 - Marca Tomfac PM 2517-2  </t>
  </si>
  <si>
    <t xml:space="preserve">SONDA NASOGASTRICA INFANTE 2.0 T/K33 S-20 MARCA KOLER ANMAT 179-18 
</t>
  </si>
  <si>
    <t xml:space="preserve">SONDA INTRATUB ALIMENTACION K 33  MARCA INTRATUB Certificado: PM 
2055-123 </t>
  </si>
  <si>
    <t xml:space="preserve">21 </t>
  </si>
  <si>
    <t xml:space="preserve">2.9.5-2161.187 </t>
  </si>
  <si>
    <t xml:space="preserve">CATETERES/SONDAS; NUMERO: K-35, TIPO: NASOGASTRICA PARA PREMATUROS </t>
  </si>
  <si>
    <t xml:space="preserve">Sonda t/K 35 (5fr) PVC est p/intub nasogást WELL LEAD 
</t>
  </si>
  <si>
    <t xml:space="preserve">Sonda para intubacion nasogastrica Tubo Diam. ext. 1,6 mm. Int. 
0,9 mm. Largo 45 cm - prematuros    
(Estéril) - Marca TomFac PM 2517-2  </t>
  </si>
  <si>
    <t xml:space="preserve">SONDA NASOGASTRICA PARA PREMATUROS 4FR - PVC MARCA KOLER ANMAT 
179-18 </t>
  </si>
  <si>
    <t xml:space="preserve">22 </t>
  </si>
  <si>
    <t xml:space="preserve">2.9.5-2161.179 </t>
  </si>
  <si>
    <t xml:space="preserve">CATETERES/SONDAS; NUMERO: K-9, TIPO: NASOGASTRICA </t>
  </si>
  <si>
    <t xml:space="preserve">Sonda t/K 9 PVC est p/intub gástrica TOMFAC-FIRTS </t>
  </si>
  <si>
    <t xml:space="preserve">Sonda para intubacion gastrica Tubo Diam. ext. 4,0 mm. Int. 
2,5 mm. Largo 125 cm - N°12 (Estéril)  K-9 
- Marca Tom Fac PM 2517-3  </t>
  </si>
  <si>
    <t xml:space="preserve">SONDA NASOGASTRICA 12FR - PVC MARCA KOLER ANMAT 179-18 </t>
  </si>
  <si>
    <t xml:space="preserve">SONDA INTRATUB NASOGASTRICA K 09  MARCA INTRATUB Certificado: PM 
2055-122 </t>
  </si>
  <si>
    <t xml:space="preserve">23 </t>
  </si>
  <si>
    <t xml:space="preserve">2.9.5-2161.176 </t>
  </si>
  <si>
    <t xml:space="preserve">CATETERES/SONDAS; NUMERO: 20, TIPO: RECTAL </t>
  </si>
  <si>
    <t xml:space="preserve">SONDA INTRATUB NELATON NRO.20 PVC-T/K98  MARCA INTRATUB Certificado: PM 
2055-40   </t>
  </si>
  <si>
    <t xml:space="preserve">24 </t>
  </si>
  <si>
    <t xml:space="preserve">2.9.5-2161.228 </t>
  </si>
  <si>
    <t xml:space="preserve">CATETERES/SONDAS; NUMERO: 26, TIPO: RECTAL </t>
  </si>
  <si>
    <t xml:space="preserve">TIPO RECTAL PVC MARCA KOLER ANMAT 179-20 </t>
  </si>
  <si>
    <t xml:space="preserve">25 </t>
  </si>
  <si>
    <t xml:space="preserve">2.9.5-2226.33 </t>
  </si>
  <si>
    <t xml:space="preserve">CONECTORES P/MEDICINA; USO: SIST. INYECCION INTERMITENTE, CONECTOR: ESTANDAR </t>
  </si>
  <si>
    <t xml:space="preserve">CONECTORES P/MEDICINA; USO: SIST. INYECCION INTERMITENTE, CONECTOR: ESTANDAR EUROMIX/WEIGAO PM 
2106-33 </t>
  </si>
  <si>
    <t xml:space="preserve">26 </t>
  </si>
  <si>
    <t xml:space="preserve">2.9.5-5816.6 </t>
  </si>
  <si>
    <t xml:space="preserve">PRESERVATIVOS; TIPO: LATEX Y GEL LUBRICANTE, PRESENTACION: KIT, MEDIDA: 160 
X 52 X 0,04 A 0,08 mm </t>
  </si>
  <si>
    <t xml:space="preserve">PRESERVATIVOS; TIPO: LATEX Y GEL LUBRICANTE, PRESENTACION: KIT, MEDIDA: 160 
X 52 X 0,04 A 0,08 mm GENTLEMAN </t>
  </si>
  <si>
    <t xml:space="preserve">27 </t>
  </si>
  <si>
    <t xml:space="preserve">2.9.5-6752.8 </t>
  </si>
  <si>
    <t xml:space="preserve">ASPIRADORES MEDICOS; TIPO: MANUAL, CAPACIDAD: 60 CM3, USO: ENDOUTERINO </t>
  </si>
  <si>
    <t xml:space="preserve">28 </t>
  </si>
  <si>
    <t xml:space="preserve">2.9.5-441.230 </t>
  </si>
  <si>
    <t xml:space="preserve">AGUJAS QUIRURGICAS; TIPO: BUTTERFLY, ESPECIFICACION: Nº19, UNIDAD VENTA: UNIDAD, PRESENTACION: 
UNIDAD </t>
  </si>
  <si>
    <t xml:space="preserve">AGUJA PERICRANEAL 19G MARCA WEBEST ANMAT 1678-13 </t>
  </si>
  <si>
    <t xml:space="preserve">BUTTERFLY -BIOSEGURIDAD- NRO. 19 C/UNO  MARCA CONTINENTA Certificado: PM 
2055-44 </t>
  </si>
  <si>
    <t xml:space="preserve">29 </t>
  </si>
  <si>
    <t xml:space="preserve">2.9.5-441.229 </t>
  </si>
  <si>
    <t xml:space="preserve">AGUJAS QUIRURGICAS; TIPO: BUTTERFLY, ESPECIFICACION: Nº21, UNIDAD VENTA: UNIDAD, PRESENTACION: 
UNIDAD </t>
  </si>
  <si>
    <t xml:space="preserve">BUTTERFLY -BIOSEGURIDAD- NRO. 21 C/UNO  MARCA CONTINENTA Certificado: PM 
2055-44 </t>
  </si>
  <si>
    <t xml:space="preserve">30 </t>
  </si>
  <si>
    <t xml:space="preserve">2.9.5-441.228 </t>
  </si>
  <si>
    <t xml:space="preserve">AGUJAS QUIRURGICAS; TIPO: BUTTERFLY, ESPECIFICACION: Nº23, UNIDAD VENTA: UNIDAD, PRESENTACION: 
UNIDAD </t>
  </si>
  <si>
    <t xml:space="preserve">BUTTERFLY -BIOSEGURIDAD- NRO. 23 C/UNO  MARCA CONTINENTA Certificado: PM 
2055-44 </t>
  </si>
  <si>
    <t xml:space="preserve">31 </t>
  </si>
  <si>
    <t xml:space="preserve">2.9.5-441.319 </t>
  </si>
  <si>
    <t xml:space="preserve">AGUJAS QUIRURGICAS; TIPO: BUTTERFLY, ESPECIFICACION: 25G, PRESENTACION: UNIDAD </t>
  </si>
  <si>
    <t xml:space="preserve">AGUJA PERICRANEAL 25G MARCA WEBEST ANMAT 1678-13 </t>
  </si>
  <si>
    <t xml:space="preserve">BUTTERFLY -BIOSEGURIDAD- NRO. 25 C/UNO  MARCA CONTINENTA Certificado: PM 
2055-44 </t>
  </si>
  <si>
    <t xml:space="preserve">32 </t>
  </si>
  <si>
    <t xml:space="preserve">2.9.5-441.469 </t>
  </si>
  <si>
    <t xml:space="preserve">AGUJAS QUIRURGICAS; TIPO: BUTTERFLY, ESPECIFICACION: 27, PRESENTACION: ENVASE ESTERIL </t>
  </si>
  <si>
    <t xml:space="preserve">AGUJA PERICRANEAL 27G MARCA WEBEST ANMAT 1678-13 </t>
  </si>
  <si>
    <t xml:space="preserve">33 </t>
  </si>
  <si>
    <t xml:space="preserve">2.9.5-2505.4 </t>
  </si>
  <si>
    <t xml:space="preserve">BOLSAS COLECTORAS; TIPO: DE ORINA, USO: P/RECOLECTAR DRENAJES, CAPACIDAD: 500 
CM3 </t>
  </si>
  <si>
    <t xml:space="preserve">AMBULATORIA 500 ML F2002 PIERNA MARCA FORLANO ANMAT 949-1 </t>
  </si>
  <si>
    <t xml:space="preserve">34 </t>
  </si>
  <si>
    <t xml:space="preserve">2.9.5-2161.412 </t>
  </si>
  <si>
    <t xml:space="preserve">CATETERES/SONDAS; NUMERO: 26 G, TIPO: CANALIZACION </t>
  </si>
  <si>
    <t xml:space="preserve">CATETER HEALCATH N# 26  MARCA HARSORIA Certificado: PM 2055-27 
</t>
  </si>
  <si>
    <t xml:space="preserve">35 </t>
  </si>
  <si>
    <t xml:space="preserve">2.9.5-2204.57 </t>
  </si>
  <si>
    <t xml:space="preserve">GUÍA DE SUERO; USO: ADMINISTRACIÓN FRACC. SANGRE; TIPO: MACROGOTERO Y 
FILTRO TIPO V-104 </t>
  </si>
  <si>
    <t xml:space="preserve">GUÍA DE SUERO; USO: ADMINISTRACIÓN FRACC. SANGRE; TIPO: MACROGOTERO Y 
FILTRO TIPO V-104 EUROMIX/WEIGAO PM 1440-60 </t>
  </si>
  <si>
    <t xml:space="preserve">36 </t>
  </si>
  <si>
    <t xml:space="preserve">2.9.5-2204.25 </t>
  </si>
  <si>
    <t xml:space="preserve">GUÍAS DE SUERO; USO: ADMINISTRACIÓN DE SOLUCIONES; AGUJA: CON; MODELO: 
V13; TIPO: FOTOSENSIBLE; MACROGOTERO CON CONEXIÓN ROLLER LUER SLIP </t>
  </si>
  <si>
    <t xml:space="preserve">GUÍAS DE SUERO; USO: ADMINISTRACIÓN DE SOLUCIONES; AGUJA: CON; MODELO: 
V13; TIPO: FOTOSENSIBLE; MACROGOTERO CON CONEXIÓN ROLLER LUER SLIP DISMEQUI/EUROMIX 
PMPM 889-4 </t>
  </si>
  <si>
    <t xml:space="preserve">Guia para administracion de soluciones macrogotero con aguja tipo V-13 
- Marca Webest / All pro </t>
  </si>
  <si>
    <t xml:space="preserve">37 </t>
  </si>
  <si>
    <t xml:space="preserve">2.9.5-2204.51 </t>
  </si>
  <si>
    <t xml:space="preserve">GUÍAS DE SUERO; USO: ADMINISTRACIÓN DE SOLUCIONES; AGUJA: CON; MODELO: 
V17; TIPO: FOTOSENSIBLE; MICROGOTERO CON CONEXIÓN ROLLER LUER SLIP </t>
  </si>
  <si>
    <t xml:space="preserve">GUÍAS DE SUERO; USO: ADMINISTRACIÓN DE SOLUCIONES; AGUJA: CON; MODELO: 
V17; TIPO: FOTOSENSIBLE; MICROGOTERO CON CONEXIÓN ROLLER LUER SLIP DISMEQUI/EUROMIX 
PM 889-4 </t>
  </si>
  <si>
    <t xml:space="preserve">38 </t>
  </si>
  <si>
    <t xml:space="preserve">2.9.5-2204.30 </t>
  </si>
  <si>
    <t xml:space="preserve">GUÍAS DE SUERO; USO: PARA TRANFUSIÓN DE PLASMA Y SANGRE; 
AGUJA: SIN; MODELO: V20; TIPO: CONTÍNUO; CON CONEXIÓN ROLLER LUER 
SLIP </t>
  </si>
  <si>
    <t xml:space="preserve">GUÍAS DE SUERO; USO: PARA TRANFUSIÓN DE PLASMA Y SANGRE; 
AGUJA: SIN; MODELO: V20; TIPO: CONTÍNUO; CON CONEXIÓN ROLLER LUER 
SLIP EUROMIX PM 1440-60 </t>
  </si>
  <si>
    <t xml:space="preserve">Equipo para transfusion de sangre tipo v-20-marca All Pro </t>
  </si>
  <si>
    <t xml:space="preserve">GUIA PREMIUM V 20 C/RUEDITA -SANGRE  MARCA CONTINENTA Certificado: 
PM 2055-39 </t>
  </si>
  <si>
    <t xml:space="preserve">39 </t>
  </si>
  <si>
    <t xml:space="preserve">2.9.5-2226.36 </t>
  </si>
  <si>
    <t xml:space="preserve">CONECTORES P/MEDICINA; USO: SISTEMA CERRADO P/INYECCIÓN; CONECTOR: CONTROL DE FLUJO 
PARA VARIAS VÍAS </t>
  </si>
  <si>
    <t xml:space="preserve">CONECTORES P/MEDICINA; USO: SISTEMA CERRADO P/INYECCIÓN; CONECTOR: CONTROL DE FLUJO 
PARA VARIAS VÍAS NOVAMED/EUROMIX 1173-43 </t>
  </si>
  <si>
    <t xml:space="preserve">40 </t>
  </si>
  <si>
    <t xml:space="preserve">2.9.5-2161.558 </t>
  </si>
  <si>
    <t xml:space="preserve">CATÉTERES/SONDAS; NÚMERO: 6; TIPO: FOLEY DOBLE VÍA, 100% DE SILICONA 
</t>
  </si>
  <si>
    <t xml:space="preserve">Sonda Foley 2 vias   6fr 100% silic WELL 
LEAD </t>
  </si>
  <si>
    <t xml:space="preserve">41 </t>
  </si>
  <si>
    <t xml:space="preserve">2.9.5-2161.559 </t>
  </si>
  <si>
    <t xml:space="preserve">CATÉTERES/SONDAS; NÚMERO: 8; TIPO: FOLEY DOBLE VÍA, 100% DE SILICONA 
</t>
  </si>
  <si>
    <t xml:space="preserve">Sonda Foley 2 vias   8fr 100% silic WELL 
LEAD </t>
  </si>
  <si>
    <t xml:space="preserve">42 </t>
  </si>
  <si>
    <t xml:space="preserve">2.9.5-2161.560 </t>
  </si>
  <si>
    <t xml:space="preserve">CATÉTERES/SONDAS; NÚMERO: 10; TIPO: FOLEY DOBLE VÍA, 100% DE SILICONA 
</t>
  </si>
  <si>
    <t xml:space="preserve">Sonda Foley 2 vias  10fr 100% silic WELL LEAD 
</t>
  </si>
  <si>
    <t xml:space="preserve">43 </t>
  </si>
  <si>
    <t xml:space="preserve">2.9.5-2161.561 </t>
  </si>
  <si>
    <t xml:space="preserve">CATÉTERES/SONDAS; NÚMERO: 12; TIPO: FOLEY DOBLE VÍA, 100% DE SILICONA 
</t>
  </si>
  <si>
    <t xml:space="preserve">Sonda Foley 2 vias  12fr 100% silic WELL LEAD 
</t>
  </si>
  <si>
    <t xml:space="preserve">SONDA FOLEY ELASTOMERO SILICONA N§12 2 VIAS  MARCA UROCARE 
Certificado: PM 2055-68 </t>
  </si>
  <si>
    <t xml:space="preserve">44 </t>
  </si>
  <si>
    <t xml:space="preserve">2.9.5-2161.562 </t>
  </si>
  <si>
    <t xml:space="preserve">CATÉTERES/SONDAS; NÚMERO: 16; TIPO: FOLEY DOBLE VÍA, 100% DE SILICONA 
</t>
  </si>
  <si>
    <t xml:space="preserve">Sonda Foley 2 vias  16fr 100% silic WELL LEAD 
</t>
  </si>
  <si>
    <t xml:space="preserve">MARCA SILMAG COD 450-16-2-M ANMAT 229-76 </t>
  </si>
  <si>
    <t xml:space="preserve">SONDA FOLEY ELASTOMERO SILICONA N§16 2 VIAS  MARCA UROCARE 
Certificado: PM 2055-68  </t>
  </si>
  <si>
    <t xml:space="preserve">45 </t>
  </si>
  <si>
    <t xml:space="preserve">2.9.5-2161.563 </t>
  </si>
  <si>
    <t xml:space="preserve">CATÉTERES/SONDAS; NÚMERO: 18; TIPO: FOLEY DOBLE VÍA, 100% DE SILICONA 
</t>
  </si>
  <si>
    <t xml:space="preserve">Sonda Foley 2 vias  18fr 100% silic WELL LEAD 
</t>
  </si>
  <si>
    <t xml:space="preserve">MARCA SILMAG COD 450-18-2-M ANMAT 229-76 </t>
  </si>
  <si>
    <t xml:space="preserve">SONDA FOLEY ELASTOMERO SILICONA N§18 2 VIAS MARCA UROCARE Certificado: 
PM 2055-68 </t>
  </si>
  <si>
    <t xml:space="preserve">46 </t>
  </si>
  <si>
    <t xml:space="preserve">2.9.5-2161.234 </t>
  </si>
  <si>
    <t xml:space="preserve">CATETERES/SONDAS; NUMERO: 8, TIPO: NELATON </t>
  </si>
  <si>
    <t xml:space="preserve">MARCA SILMAG COD 420-08 ANMAT 229-21 </t>
  </si>
  <si>
    <t xml:space="preserve">47 </t>
  </si>
  <si>
    <t xml:space="preserve">2.9.5-2161.132 </t>
  </si>
  <si>
    <t xml:space="preserve">CATETERES/SONDAS; NUMERO: 10, TIPO: NELATON </t>
  </si>
  <si>
    <t xml:space="preserve">MARCA SILMAG COD 420-10 ANMAT 229-21 </t>
  </si>
  <si>
    <t xml:space="preserve">48 </t>
  </si>
  <si>
    <t xml:space="preserve">2.9.5-2161.137 </t>
  </si>
  <si>
    <t xml:space="preserve">CATETERES/SONDAS; NUMERO: 14, TIPO: NELATON </t>
  </si>
  <si>
    <t xml:space="preserve">MARCA SILMAG COD 420-14 ANMAT 229-21 </t>
  </si>
  <si>
    <t xml:space="preserve">49 </t>
  </si>
  <si>
    <t xml:space="preserve">2.9.5-2161.108 </t>
  </si>
  <si>
    <t xml:space="preserve">CATETERES/SONDAS; NUMERO: 16, TIPO: NELATON </t>
  </si>
  <si>
    <t xml:space="preserve">MARCA SILMAG COD 420-16 ANMAT 229-21 </t>
  </si>
  <si>
    <t xml:space="preserve">50 </t>
  </si>
  <si>
    <t xml:space="preserve">2.9.5-2161.109 </t>
  </si>
  <si>
    <t xml:space="preserve">CATETERES/SONDAS; NUMERO: 18, TIPO: NELATON </t>
  </si>
  <si>
    <t xml:space="preserve">MARCA SILMAG COD 420-18 ANMAT 229-21 </t>
  </si>
  <si>
    <t xml:space="preserve">51 </t>
  </si>
  <si>
    <t xml:space="preserve">2.9.5-2161.156 </t>
  </si>
  <si>
    <t xml:space="preserve">CATETERES/SONDAS; NUMERO: K10, TIPO: NASOGASTRICA </t>
  </si>
  <si>
    <t xml:space="preserve">Sonda t/K 10 PVC est p/intub gástrica TOMFAC-FIRTS </t>
  </si>
  <si>
    <t xml:space="preserve">Sonda para intubacion gastrica Tubo Diam. ext. 5,3 mm Int. 
3,7 mm. Largo 125cm - N°16 (Estéril) tipo K-10 - 
Marca Tom Fac PM 2517-3  </t>
  </si>
  <si>
    <t xml:space="preserve">SONDA INTUBACION GASTRICA LEVIN 5.3M N16 T/ K10 MARCA KOLER 
ANMAT 179-18 </t>
  </si>
  <si>
    <t xml:space="preserve">SONDA INTRATUB NASOGASTRICA K 10  MARCA INTRATUB Certificado: PM 
2055-122 </t>
  </si>
  <si>
    <t xml:space="preserve">52 </t>
  </si>
  <si>
    <t xml:space="preserve">2.9.5-2161.157 </t>
  </si>
  <si>
    <t xml:space="preserve">CATETERES/SONDAS; NUMERO: K11, TIPO: NASOGASTRICA </t>
  </si>
  <si>
    <t xml:space="preserve">Sonda t/K 11 PVC est p/intub gástrica TOMFAC-FIRTS </t>
  </si>
  <si>
    <t xml:space="preserve">Sonda para intubacion gastrica Tubo Diam. ext. 6,0 mm Int. 
4,4 mm. Largo 125cm - N°18 (Estéril)  tipo K11 
- Marca Tom Fac PM 2517-3  </t>
  </si>
  <si>
    <t xml:space="preserve">SONDA INTUBACION GASTRICA LEVIN 6MM N18 T/K11 MARCA KOLER ANMAT 
179-18 </t>
  </si>
  <si>
    <t xml:space="preserve">53 </t>
  </si>
  <si>
    <t xml:space="preserve">2.9.5-2204.55 </t>
  </si>
  <si>
    <t xml:space="preserve">GUIAS DE SUERO; USO: ADMINISTRACION DE SOLUCIONES, AGUJA: SIN, MODELO: 
P/EQUIPO, TIPO: PARA BOMBA INFUSORA </t>
  </si>
  <si>
    <t xml:space="preserve">GUIAS DE SUERO; USO: ADMINISTRACION DE SOLUCIONES, AGUJA: SIN, MODELO: 
P/EQUIPO, TIPO: PARA BOMBA INFUSORA PLASTIMED PM 1028-17 </t>
  </si>
  <si>
    <t xml:space="preserve">Guia para bomba MP 1000 - Marca Plastimed </t>
  </si>
  <si>
    <t xml:space="preserve">54 </t>
  </si>
  <si>
    <t xml:space="preserve">2.9.5-2161.158 </t>
  </si>
  <si>
    <t xml:space="preserve">CATETERES/SONDAS; NUMERO: K93, TIPO: URETRAL </t>
  </si>
  <si>
    <t xml:space="preserve">CATETERES/SONDAS; NUMERO: K93, TIPO: URETRAL WELL LEAD/TOM FAC PM 129-55 
</t>
  </si>
  <si>
    <t xml:space="preserve">Sonda t/K 93 PVC est nelaton Nº 12 WELL LEAD 
</t>
  </si>
  <si>
    <t xml:space="preserve">Sonda uretral Diam. ext. 4,0 mm Largo 45cm -  
Nº 12 (Estéril)  tipo K-93 - Marca Tom Fac 
PM 2517-13  </t>
  </si>
  <si>
    <t xml:space="preserve">SONDA NELATON PVC NRO 12 T / K93 MARCA KOLER 
ANMAT 179-19 </t>
  </si>
  <si>
    <t xml:space="preserve">SONDA INTRATUB NELATON NRO.12 PVC-T/K93  MARCA INTRATUB Certificado: PM 
2055-40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</si>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</sst>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F64" totalsRowCount="1">
  <tableColumns count="6">
    <tableColumn id="1" name="Renglón"/>
    <tableColumn id="2" name="Alternativa"/>
    <tableColumn id="3" name="Código" totalsRowLabel="Total: "/>
    <tableColumn id="4" name="Descripción"/>
    <tableColumn id="5" name="Cantidad solicitada"/>
    <tableColumn id="6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9:J64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9:N64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O9:R64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S9:V64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W9:Z64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A9:AD64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4.140625" customWidth="1"/>
    <col min="5" max="5" width="58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8.5703125" customWidth="1"/>
    <col min="11" max="11" width="14.28515625" customWidth="1"/>
    <col min="12" max="12" width="17.28515625" customWidth="1"/>
    <col min="13" max="13" width="16.5703125" customWidth="1"/>
    <col min="14" max="14" width="47.7109375" customWidth="1"/>
    <col min="15" max="15" width="14.28515625" customWidth="1"/>
    <col min="16" max="16" width="17.28515625" customWidth="1"/>
    <col min="17" max="17" width="16.5703125" customWidth="1"/>
    <col min="18" max="18" width="63.28515625" customWidth="1"/>
    <col min="19" max="19" width="14.28515625" customWidth="1"/>
    <col min="20" max="20" width="17.28515625" customWidth="1"/>
    <col min="21" max="21" width="16.5703125" customWidth="1"/>
    <col min="22" max="22" width="75.85546875" customWidth="1"/>
    <col min="23" max="23" width="14.28515625" customWidth="1"/>
    <col min="24" max="24" width="17.28515625" customWidth="1"/>
    <col min="25" max="25" width="16.5703125" customWidth="1"/>
    <col min="26" max="26" width="70.5703125" customWidth="1"/>
    <col min="27" max="27" width="14.28515625" customWidth="1"/>
    <col min="28" max="28" width="17.28515625" customWidth="1"/>
    <col min="29" max="29" width="16.5703125" customWidth="1"/>
    <col min="30" max="30" width="80.5703125" customWidth="1"/>
  </cols>
  <sheetData>
    <row r="1" spans="1:30" x14ac:dyDescent="0.25">
      <c r="D1" s="2" t="s">
        <v>0</v>
      </c>
      <c r="E1" s="2" t="s">
        <v>1</v>
      </c>
    </row>
    <row r="2" spans="1:30" x14ac:dyDescent="0.25">
      <c r="D2" s="2" t="s">
        <v>2</v>
      </c>
      <c r="E2" s="2" t="s">
        <v>3</v>
      </c>
    </row>
    <row r="3" spans="1:30" x14ac:dyDescent="0.25">
      <c r="D3" s="2" t="s">
        <v>4</v>
      </c>
      <c r="E3" s="2" t="s">
        <v>5</v>
      </c>
    </row>
    <row r="4" spans="1:30" x14ac:dyDescent="0.25">
      <c r="D4" s="2" t="s">
        <v>6</v>
      </c>
      <c r="E4" s="2" t="s">
        <v>7</v>
      </c>
    </row>
    <row r="5" spans="1:30" x14ac:dyDescent="0.25">
      <c r="D5" s="2" t="s">
        <v>8</v>
      </c>
      <c r="E5" s="2" t="s">
        <v>9</v>
      </c>
    </row>
    <row r="8" spans="1:3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</row>
    <row r="9" spans="1:30" x14ac:dyDescent="0.25">
      <c r="A9" t="s">
        <v>10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s="3" t="s">
        <v>22</v>
      </c>
      <c r="H9" s="3" t="s">
        <v>23</v>
      </c>
      <c r="I9" t="s">
        <v>24</v>
      </c>
      <c r="J9" t="s">
        <v>25</v>
      </c>
      <c r="K9" s="3" t="s">
        <v>22</v>
      </c>
      <c r="L9" s="3" t="s">
        <v>23</v>
      </c>
      <c r="M9" t="s">
        <v>24</v>
      </c>
      <c r="N9" t="s">
        <v>25</v>
      </c>
      <c r="O9" s="3" t="s">
        <v>22</v>
      </c>
      <c r="P9" s="3" t="s">
        <v>23</v>
      </c>
      <c r="Q9" t="s">
        <v>24</v>
      </c>
      <c r="R9" t="s">
        <v>25</v>
      </c>
      <c r="S9" s="3" t="s">
        <v>22</v>
      </c>
      <c r="T9" s="3" t="s">
        <v>23</v>
      </c>
      <c r="U9" t="s">
        <v>24</v>
      </c>
      <c r="V9" t="s">
        <v>25</v>
      </c>
      <c r="W9" s="3" t="s">
        <v>22</v>
      </c>
      <c r="X9" s="3" t="s">
        <v>23</v>
      </c>
      <c r="Y9" t="s">
        <v>24</v>
      </c>
      <c r="Z9" t="s">
        <v>25</v>
      </c>
      <c r="AA9" s="3" t="s">
        <v>22</v>
      </c>
      <c r="AB9" s="3" t="s">
        <v>23</v>
      </c>
      <c r="AC9" t="s">
        <v>24</v>
      </c>
      <c r="AD9" t="s">
        <v>25</v>
      </c>
    </row>
    <row r="10" spans="1:30" ht="30" x14ac:dyDescent="0.25">
      <c r="A10" t="s">
        <v>26</v>
      </c>
      <c r="B10" t="s">
        <v>26</v>
      </c>
      <c r="C10" t="s">
        <v>27</v>
      </c>
      <c r="D10" s="4" t="s">
        <v>28</v>
      </c>
      <c r="E10">
        <v>3180</v>
      </c>
      <c r="F10" t="s">
        <v>29</v>
      </c>
      <c r="G10" s="3">
        <v>73</v>
      </c>
      <c r="H10" s="3">
        <v>3180</v>
      </c>
      <c r="I10" s="5">
        <v>232140</v>
      </c>
      <c r="J10" s="4" t="s">
        <v>30</v>
      </c>
      <c r="K10" s="3">
        <v>53.82</v>
      </c>
      <c r="L10" s="3">
        <v>3180</v>
      </c>
      <c r="M10" s="5">
        <v>171147.6</v>
      </c>
      <c r="N10" t="s">
        <v>31</v>
      </c>
      <c r="O10" s="3">
        <v>91.87</v>
      </c>
      <c r="P10" s="3">
        <v>3180</v>
      </c>
      <c r="Q10" s="5">
        <v>292146.59999999998</v>
      </c>
      <c r="R10" s="4" t="s">
        <v>32</v>
      </c>
      <c r="S10" s="3"/>
      <c r="T10" s="3"/>
      <c r="U10" s="5"/>
      <c r="W10" s="3"/>
      <c r="X10" s="3"/>
      <c r="Y10" s="5"/>
      <c r="AA10" s="3"/>
      <c r="AB10" s="3"/>
      <c r="AC10" s="5"/>
    </row>
    <row r="11" spans="1:30" ht="30" x14ac:dyDescent="0.25">
      <c r="A11" t="s">
        <v>33</v>
      </c>
      <c r="B11" t="s">
        <v>26</v>
      </c>
      <c r="C11" t="s">
        <v>34</v>
      </c>
      <c r="D11" s="4" t="s">
        <v>35</v>
      </c>
      <c r="E11">
        <v>4950</v>
      </c>
      <c r="F11" t="s">
        <v>29</v>
      </c>
      <c r="G11" s="3">
        <v>33.5</v>
      </c>
      <c r="H11" s="3">
        <v>4950</v>
      </c>
      <c r="I11" s="5">
        <v>165825</v>
      </c>
      <c r="J11" s="4" t="s">
        <v>36</v>
      </c>
      <c r="K11" s="3">
        <v>25.11</v>
      </c>
      <c r="L11" s="3">
        <v>4950</v>
      </c>
      <c r="M11" s="5">
        <v>124294.5</v>
      </c>
      <c r="N11" t="s">
        <v>37</v>
      </c>
      <c r="O11" s="3">
        <v>44.33</v>
      </c>
      <c r="P11" s="3">
        <v>4950</v>
      </c>
      <c r="Q11" s="5">
        <v>219433.5</v>
      </c>
      <c r="R11" t="s">
        <v>38</v>
      </c>
      <c r="S11" s="3"/>
      <c r="T11" s="3"/>
      <c r="U11" s="5"/>
      <c r="W11" s="3"/>
      <c r="X11" s="3"/>
      <c r="Y11" s="5"/>
      <c r="AA11" s="3"/>
      <c r="AB11" s="3"/>
      <c r="AC11" s="5"/>
    </row>
    <row r="12" spans="1:30" ht="45" x14ac:dyDescent="0.25">
      <c r="A12" t="s">
        <v>39</v>
      </c>
      <c r="B12" t="s">
        <v>26</v>
      </c>
      <c r="C12" t="s">
        <v>40</v>
      </c>
      <c r="D12" s="4" t="s">
        <v>41</v>
      </c>
      <c r="E12">
        <v>500</v>
      </c>
      <c r="F12" t="s">
        <v>29</v>
      </c>
      <c r="G12" s="3"/>
      <c r="H12" s="3"/>
      <c r="I12" s="5"/>
      <c r="K12" s="3"/>
      <c r="L12" s="3"/>
      <c r="M12" s="5"/>
      <c r="O12" s="3">
        <v>64.25</v>
      </c>
      <c r="P12" s="3">
        <v>500</v>
      </c>
      <c r="Q12" s="5">
        <v>32125</v>
      </c>
      <c r="R12" s="4" t="s">
        <v>42</v>
      </c>
      <c r="S12" s="3">
        <v>75.36</v>
      </c>
      <c r="T12" s="3">
        <v>500</v>
      </c>
      <c r="U12" s="5">
        <v>37680</v>
      </c>
      <c r="V12" s="4" t="s">
        <v>43</v>
      </c>
      <c r="W12" s="3">
        <v>69.900000000000006</v>
      </c>
      <c r="X12" s="3">
        <v>500</v>
      </c>
      <c r="Y12" s="5">
        <v>34950</v>
      </c>
      <c r="Z12" t="s">
        <v>44</v>
      </c>
      <c r="AA12" s="3">
        <v>56.39</v>
      </c>
      <c r="AB12" s="3">
        <v>500</v>
      </c>
      <c r="AC12" s="5">
        <v>28195</v>
      </c>
      <c r="AD12" s="4" t="s">
        <v>45</v>
      </c>
    </row>
    <row r="13" spans="1:30" ht="30" x14ac:dyDescent="0.25">
      <c r="A13" t="s">
        <v>46</v>
      </c>
      <c r="B13" t="s">
        <v>26</v>
      </c>
      <c r="C13" t="s">
        <v>47</v>
      </c>
      <c r="D13" t="s">
        <v>48</v>
      </c>
      <c r="E13">
        <v>1450</v>
      </c>
      <c r="F13" t="s">
        <v>29</v>
      </c>
      <c r="G13" s="3">
        <v>38.9</v>
      </c>
      <c r="H13" s="3">
        <v>1450</v>
      </c>
      <c r="I13" s="5">
        <v>56405</v>
      </c>
      <c r="J13" t="s">
        <v>49</v>
      </c>
      <c r="K13" s="3">
        <v>26.8</v>
      </c>
      <c r="L13" s="3">
        <v>1450</v>
      </c>
      <c r="M13" s="5">
        <v>38860</v>
      </c>
      <c r="N13" t="s">
        <v>50</v>
      </c>
      <c r="O13" s="3">
        <v>30.89</v>
      </c>
      <c r="P13" s="3">
        <v>1450</v>
      </c>
      <c r="Q13" s="5">
        <v>44790.5</v>
      </c>
      <c r="R13" t="s">
        <v>51</v>
      </c>
      <c r="S13" s="3"/>
      <c r="T13" s="3"/>
      <c r="U13" s="5"/>
      <c r="W13" s="3">
        <v>30.5</v>
      </c>
      <c r="X13" s="3">
        <v>1450</v>
      </c>
      <c r="Y13" s="5">
        <v>44225</v>
      </c>
      <c r="Z13" t="s">
        <v>52</v>
      </c>
      <c r="AA13" s="3">
        <v>32.11</v>
      </c>
      <c r="AB13" s="3">
        <v>1450</v>
      </c>
      <c r="AC13" s="5">
        <v>46559.5</v>
      </c>
      <c r="AD13" s="4" t="s">
        <v>53</v>
      </c>
    </row>
    <row r="14" spans="1:30" ht="30" x14ac:dyDescent="0.25">
      <c r="A14" t="s">
        <v>54</v>
      </c>
      <c r="B14" t="s">
        <v>26</v>
      </c>
      <c r="C14" t="s">
        <v>55</v>
      </c>
      <c r="D14" t="s">
        <v>56</v>
      </c>
      <c r="E14">
        <v>1100</v>
      </c>
      <c r="F14" t="s">
        <v>29</v>
      </c>
      <c r="G14" s="3">
        <v>27.3</v>
      </c>
      <c r="H14" s="3">
        <v>1100</v>
      </c>
      <c r="I14" s="5">
        <v>30030</v>
      </c>
      <c r="J14" t="s">
        <v>57</v>
      </c>
      <c r="K14" s="3">
        <v>23.09</v>
      </c>
      <c r="L14" s="3">
        <v>1100</v>
      </c>
      <c r="M14" s="5">
        <v>25399</v>
      </c>
      <c r="N14" t="s">
        <v>58</v>
      </c>
      <c r="O14" s="3">
        <v>23.28</v>
      </c>
      <c r="P14" s="3">
        <v>1100</v>
      </c>
      <c r="Q14" s="5">
        <v>25608</v>
      </c>
      <c r="R14" t="s">
        <v>59</v>
      </c>
      <c r="S14" s="3"/>
      <c r="T14" s="3"/>
      <c r="U14" s="5"/>
      <c r="W14" s="3">
        <v>30.5</v>
      </c>
      <c r="X14" s="3">
        <v>1100</v>
      </c>
      <c r="Y14" s="5">
        <v>33550</v>
      </c>
      <c r="Z14" t="s">
        <v>60</v>
      </c>
      <c r="AA14" s="3">
        <v>28.08</v>
      </c>
      <c r="AB14" s="3">
        <v>1100</v>
      </c>
      <c r="AC14" s="5">
        <v>30888</v>
      </c>
      <c r="AD14" s="4" t="s">
        <v>61</v>
      </c>
    </row>
    <row r="15" spans="1:30" ht="30" x14ac:dyDescent="0.25">
      <c r="A15" t="s">
        <v>62</v>
      </c>
      <c r="B15" t="s">
        <v>26</v>
      </c>
      <c r="C15" t="s">
        <v>63</v>
      </c>
      <c r="D15" t="s">
        <v>64</v>
      </c>
      <c r="E15">
        <v>16350</v>
      </c>
      <c r="F15" t="s">
        <v>29</v>
      </c>
      <c r="G15" s="3">
        <v>27.3</v>
      </c>
      <c r="H15" s="3">
        <v>16350</v>
      </c>
      <c r="I15" s="5">
        <v>446355</v>
      </c>
      <c r="J15" t="s">
        <v>65</v>
      </c>
      <c r="K15" s="3">
        <v>23.09</v>
      </c>
      <c r="L15" s="3">
        <v>16350</v>
      </c>
      <c r="M15" s="5">
        <v>377521.5</v>
      </c>
      <c r="N15" t="s">
        <v>66</v>
      </c>
      <c r="O15" s="3">
        <v>23.28</v>
      </c>
      <c r="P15" s="3">
        <v>16350</v>
      </c>
      <c r="Q15" s="5">
        <v>380628</v>
      </c>
      <c r="R15" s="4" t="s">
        <v>67</v>
      </c>
      <c r="S15" s="3">
        <v>32.549999999999997</v>
      </c>
      <c r="T15" s="3">
        <v>16350</v>
      </c>
      <c r="U15" s="5">
        <v>532192.5</v>
      </c>
      <c r="V15" t="s">
        <v>68</v>
      </c>
      <c r="W15" s="3">
        <v>30.5</v>
      </c>
      <c r="X15" s="3">
        <v>16350</v>
      </c>
      <c r="Y15" s="5">
        <v>498675</v>
      </c>
      <c r="Z15" t="s">
        <v>52</v>
      </c>
      <c r="AA15" s="3">
        <v>28.09</v>
      </c>
      <c r="AB15" s="3">
        <v>16350</v>
      </c>
      <c r="AC15" s="5">
        <v>459271.5</v>
      </c>
      <c r="AD15" s="4" t="s">
        <v>69</v>
      </c>
    </row>
    <row r="16" spans="1:30" ht="30" x14ac:dyDescent="0.25">
      <c r="A16" t="s">
        <v>70</v>
      </c>
      <c r="B16" t="s">
        <v>26</v>
      </c>
      <c r="C16" t="s">
        <v>71</v>
      </c>
      <c r="D16" t="s">
        <v>72</v>
      </c>
      <c r="E16">
        <v>24250</v>
      </c>
      <c r="F16" t="s">
        <v>29</v>
      </c>
      <c r="G16" s="3">
        <v>27.3</v>
      </c>
      <c r="H16" s="3">
        <v>24250</v>
      </c>
      <c r="I16" s="5">
        <v>662025</v>
      </c>
      <c r="J16" t="s">
        <v>73</v>
      </c>
      <c r="K16" s="3">
        <v>23.09</v>
      </c>
      <c r="L16" s="3">
        <v>24250</v>
      </c>
      <c r="M16" s="5">
        <v>559932.5</v>
      </c>
      <c r="N16" t="s">
        <v>74</v>
      </c>
      <c r="O16" s="3">
        <v>23.28</v>
      </c>
      <c r="P16" s="3">
        <v>24250</v>
      </c>
      <c r="Q16" s="5">
        <v>564540</v>
      </c>
      <c r="R16" s="4" t="s">
        <v>75</v>
      </c>
      <c r="S16" s="3">
        <v>32.549999999999997</v>
      </c>
      <c r="T16" s="3">
        <v>24250</v>
      </c>
      <c r="U16" s="5">
        <v>789337.5</v>
      </c>
      <c r="V16" s="4" t="s">
        <v>76</v>
      </c>
      <c r="W16" s="3">
        <v>30.5</v>
      </c>
      <c r="X16" s="3">
        <v>24250</v>
      </c>
      <c r="Y16" s="5">
        <v>739625</v>
      </c>
      <c r="Z16" t="s">
        <v>52</v>
      </c>
      <c r="AA16" s="3">
        <v>28.09</v>
      </c>
      <c r="AB16" s="3">
        <v>24250</v>
      </c>
      <c r="AC16" s="5">
        <v>681182.5</v>
      </c>
      <c r="AD16" s="4" t="s">
        <v>77</v>
      </c>
    </row>
    <row r="17" spans="1:30" ht="30" x14ac:dyDescent="0.25">
      <c r="A17" t="s">
        <v>78</v>
      </c>
      <c r="B17" t="s">
        <v>26</v>
      </c>
      <c r="C17" t="s">
        <v>79</v>
      </c>
      <c r="D17" t="s">
        <v>80</v>
      </c>
      <c r="E17">
        <v>6150</v>
      </c>
      <c r="F17" t="s">
        <v>29</v>
      </c>
      <c r="G17" s="3">
        <v>27.3</v>
      </c>
      <c r="H17" s="3">
        <v>6150</v>
      </c>
      <c r="I17" s="5">
        <v>167895</v>
      </c>
      <c r="J17" t="s">
        <v>81</v>
      </c>
      <c r="K17" s="3">
        <v>23.09</v>
      </c>
      <c r="L17" s="3">
        <v>6150</v>
      </c>
      <c r="M17" s="5">
        <v>142003.5</v>
      </c>
      <c r="N17" t="s">
        <v>82</v>
      </c>
      <c r="O17" s="3">
        <v>23.28</v>
      </c>
      <c r="P17" s="3">
        <v>6150</v>
      </c>
      <c r="Q17" s="5">
        <v>143172</v>
      </c>
      <c r="R17" s="4" t="s">
        <v>83</v>
      </c>
      <c r="S17" s="3">
        <v>32.549999999999997</v>
      </c>
      <c r="T17" s="3">
        <v>6150</v>
      </c>
      <c r="U17" s="5">
        <v>200182.5</v>
      </c>
      <c r="V17" s="4" t="s">
        <v>84</v>
      </c>
      <c r="W17" s="3">
        <v>30.5</v>
      </c>
      <c r="X17" s="3">
        <v>6150</v>
      </c>
      <c r="Y17" s="5">
        <v>187575</v>
      </c>
      <c r="Z17" t="s">
        <v>52</v>
      </c>
      <c r="AA17" s="3">
        <v>28.09</v>
      </c>
      <c r="AB17" s="3">
        <v>6150</v>
      </c>
      <c r="AC17" s="5">
        <v>172753.5</v>
      </c>
      <c r="AD17" s="4" t="s">
        <v>85</v>
      </c>
    </row>
    <row r="18" spans="1:30" ht="30" x14ac:dyDescent="0.25">
      <c r="A18" t="s">
        <v>86</v>
      </c>
      <c r="B18" t="s">
        <v>26</v>
      </c>
      <c r="C18" t="s">
        <v>87</v>
      </c>
      <c r="D18" t="s">
        <v>88</v>
      </c>
      <c r="E18">
        <v>7400</v>
      </c>
      <c r="F18" t="s">
        <v>29</v>
      </c>
      <c r="G18" s="3">
        <v>38.9</v>
      </c>
      <c r="H18" s="3">
        <v>7400</v>
      </c>
      <c r="I18" s="5">
        <v>287860</v>
      </c>
      <c r="J18" t="s">
        <v>89</v>
      </c>
      <c r="K18" s="3"/>
      <c r="L18" s="3"/>
      <c r="M18" s="5"/>
      <c r="O18" s="3">
        <v>30.89</v>
      </c>
      <c r="P18" s="3">
        <v>7400</v>
      </c>
      <c r="Q18" s="5">
        <v>228586</v>
      </c>
      <c r="R18" s="4" t="s">
        <v>90</v>
      </c>
      <c r="S18" s="3">
        <v>32.549999999999997</v>
      </c>
      <c r="T18" s="3">
        <v>7400</v>
      </c>
      <c r="U18" s="5">
        <v>240870</v>
      </c>
      <c r="V18" s="4" t="s">
        <v>91</v>
      </c>
      <c r="W18" s="3">
        <v>218.8</v>
      </c>
      <c r="X18" s="3">
        <v>7400</v>
      </c>
      <c r="Y18" s="5">
        <v>1619120</v>
      </c>
      <c r="Z18" t="s">
        <v>92</v>
      </c>
      <c r="AA18" s="3">
        <v>30.52</v>
      </c>
      <c r="AB18" s="3">
        <v>7400</v>
      </c>
      <c r="AC18" s="5">
        <v>225848</v>
      </c>
      <c r="AD18" s="4" t="s">
        <v>93</v>
      </c>
    </row>
    <row r="19" spans="1:30" ht="45" x14ac:dyDescent="0.25">
      <c r="A19" t="s">
        <v>94</v>
      </c>
      <c r="B19" t="s">
        <v>26</v>
      </c>
      <c r="C19" t="s">
        <v>95</v>
      </c>
      <c r="D19" s="4" t="s">
        <v>96</v>
      </c>
      <c r="E19">
        <v>1100</v>
      </c>
      <c r="F19" t="s">
        <v>29</v>
      </c>
      <c r="G19" s="3">
        <v>315</v>
      </c>
      <c r="H19" s="3">
        <v>1100</v>
      </c>
      <c r="I19" s="5">
        <v>346500</v>
      </c>
      <c r="J19" s="4" t="s">
        <v>97</v>
      </c>
      <c r="K19" s="3"/>
      <c r="L19" s="3"/>
      <c r="M19" s="5"/>
      <c r="O19" s="3"/>
      <c r="P19" s="3"/>
      <c r="Q19" s="5"/>
      <c r="S19" s="3"/>
      <c r="T19" s="3"/>
      <c r="U19" s="5"/>
      <c r="W19" s="3"/>
      <c r="X19" s="3"/>
      <c r="Y19" s="5"/>
      <c r="AA19" s="3">
        <v>329</v>
      </c>
      <c r="AB19" s="3">
        <v>1100</v>
      </c>
      <c r="AC19" s="5">
        <v>361900</v>
      </c>
      <c r="AD19" s="4" t="s">
        <v>98</v>
      </c>
    </row>
    <row r="20" spans="1:30" ht="45" x14ac:dyDescent="0.25">
      <c r="A20" t="s">
        <v>99</v>
      </c>
      <c r="B20" t="s">
        <v>26</v>
      </c>
      <c r="C20" t="s">
        <v>100</v>
      </c>
      <c r="D20" s="4" t="s">
        <v>101</v>
      </c>
      <c r="E20">
        <v>53250</v>
      </c>
      <c r="F20" t="s">
        <v>29</v>
      </c>
      <c r="G20" s="3">
        <v>36.770000000000003</v>
      </c>
      <c r="H20" s="3">
        <v>53250</v>
      </c>
      <c r="I20" s="5">
        <v>1958002.5</v>
      </c>
      <c r="J20" s="4" t="s">
        <v>102</v>
      </c>
      <c r="K20" s="3"/>
      <c r="L20" s="3"/>
      <c r="M20" s="5"/>
      <c r="O20" s="3">
        <v>33.58</v>
      </c>
      <c r="P20" s="3">
        <v>53250</v>
      </c>
      <c r="Q20" s="5">
        <v>1788135</v>
      </c>
      <c r="R20" s="4" t="s">
        <v>103</v>
      </c>
      <c r="S20" s="3"/>
      <c r="T20" s="3"/>
      <c r="U20" s="5"/>
      <c r="W20" s="3"/>
      <c r="X20" s="3"/>
      <c r="Y20" s="5"/>
      <c r="AA20" s="3">
        <v>32.43</v>
      </c>
      <c r="AB20" s="3">
        <v>53250</v>
      </c>
      <c r="AC20" s="5">
        <v>1726897.5</v>
      </c>
      <c r="AD20" s="4" t="s">
        <v>104</v>
      </c>
    </row>
    <row r="21" spans="1:30" ht="45" x14ac:dyDescent="0.25">
      <c r="A21" t="s">
        <v>105</v>
      </c>
      <c r="B21" t="s">
        <v>26</v>
      </c>
      <c r="C21" t="s">
        <v>106</v>
      </c>
      <c r="D21" s="4" t="s">
        <v>107</v>
      </c>
      <c r="E21">
        <v>14000</v>
      </c>
      <c r="F21" t="s">
        <v>29</v>
      </c>
      <c r="G21" s="3">
        <v>39.9</v>
      </c>
      <c r="H21" s="3">
        <v>14000</v>
      </c>
      <c r="I21" s="5">
        <v>558600</v>
      </c>
      <c r="J21" s="4" t="s">
        <v>108</v>
      </c>
      <c r="K21" s="3"/>
      <c r="L21" s="3"/>
      <c r="M21" s="5"/>
      <c r="O21" s="3">
        <v>35.15</v>
      </c>
      <c r="P21" s="3">
        <v>14000</v>
      </c>
      <c r="Q21" s="5">
        <v>492100</v>
      </c>
      <c r="R21" s="4" t="s">
        <v>109</v>
      </c>
      <c r="S21" s="3">
        <v>47.46</v>
      </c>
      <c r="T21" s="3">
        <v>14000</v>
      </c>
      <c r="U21" s="5">
        <v>664440</v>
      </c>
      <c r="V21" s="4" t="s">
        <v>110</v>
      </c>
      <c r="W21" s="3"/>
      <c r="X21" s="3"/>
      <c r="Y21" s="5"/>
      <c r="AA21" s="3">
        <v>35.35</v>
      </c>
      <c r="AB21" s="3">
        <v>14000</v>
      </c>
      <c r="AC21" s="5">
        <v>494900</v>
      </c>
      <c r="AD21" s="4" t="s">
        <v>111</v>
      </c>
    </row>
    <row r="22" spans="1:30" ht="30" x14ac:dyDescent="0.25">
      <c r="A22" t="s">
        <v>112</v>
      </c>
      <c r="B22" t="s">
        <v>26</v>
      </c>
      <c r="C22" t="s">
        <v>113</v>
      </c>
      <c r="D22" s="4" t="s">
        <v>114</v>
      </c>
      <c r="E22">
        <v>50</v>
      </c>
      <c r="F22" t="s">
        <v>29</v>
      </c>
      <c r="G22" s="3">
        <v>69</v>
      </c>
      <c r="H22" s="3">
        <v>50</v>
      </c>
      <c r="I22" s="5">
        <v>3450</v>
      </c>
      <c r="J22" s="4" t="s">
        <v>115</v>
      </c>
      <c r="K22" s="3"/>
      <c r="L22" s="3"/>
      <c r="M22" s="5"/>
      <c r="O22" s="3"/>
      <c r="P22" s="3"/>
      <c r="Q22" s="5"/>
      <c r="S22" s="3"/>
      <c r="T22" s="3"/>
      <c r="U22" s="5"/>
      <c r="W22" s="3">
        <v>55.4</v>
      </c>
      <c r="X22" s="3">
        <v>50</v>
      </c>
      <c r="Y22" s="5">
        <v>2770</v>
      </c>
      <c r="Z22" t="s">
        <v>116</v>
      </c>
      <c r="AA22" s="3">
        <v>62.99</v>
      </c>
      <c r="AB22" s="3">
        <v>50</v>
      </c>
      <c r="AC22" s="5">
        <v>3149.5</v>
      </c>
      <c r="AD22" s="4" t="s">
        <v>117</v>
      </c>
    </row>
    <row r="23" spans="1:30" ht="45" x14ac:dyDescent="0.25">
      <c r="A23" t="s">
        <v>118</v>
      </c>
      <c r="B23" t="s">
        <v>26</v>
      </c>
      <c r="C23" t="s">
        <v>119</v>
      </c>
      <c r="D23" s="4" t="s">
        <v>120</v>
      </c>
      <c r="E23">
        <v>200</v>
      </c>
      <c r="F23" t="s">
        <v>29</v>
      </c>
      <c r="G23" s="3">
        <v>69</v>
      </c>
      <c r="H23" s="3">
        <v>200</v>
      </c>
      <c r="I23" s="5">
        <v>13800</v>
      </c>
      <c r="J23" s="4" t="s">
        <v>121</v>
      </c>
      <c r="K23" s="3"/>
      <c r="L23" s="3"/>
      <c r="M23" s="5"/>
      <c r="O23" s="3"/>
      <c r="P23" s="3"/>
      <c r="Q23" s="5"/>
      <c r="S23" s="3"/>
      <c r="T23" s="3"/>
      <c r="U23" s="5"/>
      <c r="W23" s="3"/>
      <c r="X23" s="3"/>
      <c r="Y23" s="5"/>
      <c r="AA23" s="3">
        <v>82</v>
      </c>
      <c r="AB23" s="3">
        <v>200</v>
      </c>
      <c r="AC23" s="5">
        <v>16400</v>
      </c>
      <c r="AD23" s="4" t="s">
        <v>122</v>
      </c>
    </row>
    <row r="24" spans="1:30" ht="30" x14ac:dyDescent="0.25">
      <c r="A24" t="s">
        <v>123</v>
      </c>
      <c r="B24" t="s">
        <v>26</v>
      </c>
      <c r="C24" t="s">
        <v>124</v>
      </c>
      <c r="D24" t="s">
        <v>125</v>
      </c>
      <c r="E24">
        <v>170</v>
      </c>
      <c r="F24" t="s">
        <v>29</v>
      </c>
      <c r="G24" s="3"/>
      <c r="H24" s="3"/>
      <c r="I24" s="5"/>
      <c r="K24" s="3"/>
      <c r="L24" s="3"/>
      <c r="M24" s="5"/>
      <c r="O24" s="3">
        <v>111.95</v>
      </c>
      <c r="P24" s="3">
        <v>170</v>
      </c>
      <c r="Q24" s="5">
        <v>19031.5</v>
      </c>
      <c r="R24" t="s">
        <v>126</v>
      </c>
      <c r="S24" s="3">
        <v>115.26</v>
      </c>
      <c r="T24" s="3">
        <v>170</v>
      </c>
      <c r="U24" s="5">
        <v>19594.2</v>
      </c>
      <c r="V24" s="4" t="s">
        <v>127</v>
      </c>
      <c r="W24" s="3">
        <v>111.5</v>
      </c>
      <c r="X24" s="3">
        <v>170</v>
      </c>
      <c r="Y24" s="5">
        <v>18955</v>
      </c>
      <c r="Z24" t="s">
        <v>128</v>
      </c>
      <c r="AA24" s="3">
        <v>94.1</v>
      </c>
      <c r="AB24" s="3">
        <v>170</v>
      </c>
      <c r="AC24" s="5">
        <v>15997</v>
      </c>
      <c r="AD24" s="4" t="s">
        <v>129</v>
      </c>
    </row>
    <row r="25" spans="1:30" ht="30" x14ac:dyDescent="0.25">
      <c r="A25" t="s">
        <v>130</v>
      </c>
      <c r="B25" t="s">
        <v>26</v>
      </c>
      <c r="C25" t="s">
        <v>131</v>
      </c>
      <c r="D25" t="s">
        <v>132</v>
      </c>
      <c r="E25">
        <v>1500</v>
      </c>
      <c r="F25" t="s">
        <v>29</v>
      </c>
      <c r="G25" s="3"/>
      <c r="H25" s="3"/>
      <c r="I25" s="5"/>
      <c r="K25" s="3">
        <v>90.64</v>
      </c>
      <c r="L25" s="3">
        <v>1500</v>
      </c>
      <c r="M25" s="5">
        <v>135960</v>
      </c>
      <c r="N25" t="s">
        <v>133</v>
      </c>
      <c r="O25" s="3">
        <v>62.15</v>
      </c>
      <c r="P25" s="3">
        <v>1500</v>
      </c>
      <c r="Q25" s="5">
        <v>93225</v>
      </c>
      <c r="R25" s="4" t="s">
        <v>134</v>
      </c>
      <c r="S25" s="3">
        <v>115.26</v>
      </c>
      <c r="T25" s="3">
        <v>1500</v>
      </c>
      <c r="U25" s="5">
        <v>172890</v>
      </c>
      <c r="V25" s="4" t="s">
        <v>135</v>
      </c>
      <c r="W25" s="3">
        <v>111.5</v>
      </c>
      <c r="X25" s="3">
        <v>1500</v>
      </c>
      <c r="Y25" s="5">
        <v>167250</v>
      </c>
      <c r="Z25" t="s">
        <v>128</v>
      </c>
      <c r="AA25" s="3">
        <v>94.1</v>
      </c>
      <c r="AB25" s="3">
        <v>1500</v>
      </c>
      <c r="AC25" s="5">
        <v>141150</v>
      </c>
      <c r="AD25" s="4" t="s">
        <v>136</v>
      </c>
    </row>
    <row r="26" spans="1:30" ht="30" x14ac:dyDescent="0.25">
      <c r="A26" t="s">
        <v>137</v>
      </c>
      <c r="B26" t="s">
        <v>26</v>
      </c>
      <c r="C26" t="s">
        <v>138</v>
      </c>
      <c r="D26" t="s">
        <v>139</v>
      </c>
      <c r="E26">
        <v>2000</v>
      </c>
      <c r="F26" t="s">
        <v>29</v>
      </c>
      <c r="G26" s="3"/>
      <c r="H26" s="3"/>
      <c r="I26" s="5"/>
      <c r="K26" s="3">
        <v>90.64</v>
      </c>
      <c r="L26" s="3">
        <v>2000</v>
      </c>
      <c r="M26" s="5">
        <v>181280</v>
      </c>
      <c r="N26" t="s">
        <v>140</v>
      </c>
      <c r="O26" s="3">
        <v>111.95</v>
      </c>
      <c r="P26" s="3">
        <v>2000</v>
      </c>
      <c r="Q26" s="5">
        <v>223900</v>
      </c>
      <c r="R26" t="s">
        <v>141</v>
      </c>
      <c r="S26" s="3">
        <v>115.26</v>
      </c>
      <c r="T26" s="3">
        <v>2000</v>
      </c>
      <c r="U26" s="5">
        <v>230520</v>
      </c>
      <c r="V26" s="4" t="s">
        <v>142</v>
      </c>
      <c r="W26" s="3">
        <v>111.5</v>
      </c>
      <c r="X26" s="3">
        <v>2000</v>
      </c>
      <c r="Y26" s="5">
        <v>223000</v>
      </c>
      <c r="Z26" t="s">
        <v>128</v>
      </c>
      <c r="AA26" s="3">
        <v>94.1</v>
      </c>
      <c r="AB26" s="3">
        <v>2000</v>
      </c>
      <c r="AC26" s="5">
        <v>188200</v>
      </c>
      <c r="AD26" s="4" t="s">
        <v>143</v>
      </c>
    </row>
    <row r="27" spans="1:30" ht="45" x14ac:dyDescent="0.25">
      <c r="A27" t="s">
        <v>144</v>
      </c>
      <c r="B27" t="s">
        <v>26</v>
      </c>
      <c r="C27" t="s">
        <v>145</v>
      </c>
      <c r="D27" t="s">
        <v>146</v>
      </c>
      <c r="E27">
        <v>3175</v>
      </c>
      <c r="F27" t="s">
        <v>29</v>
      </c>
      <c r="G27" s="3"/>
      <c r="H27" s="3"/>
      <c r="I27" s="5"/>
      <c r="K27" s="3"/>
      <c r="L27" s="3"/>
      <c r="M27" s="5"/>
      <c r="O27" s="3"/>
      <c r="P27" s="3"/>
      <c r="Q27" s="5"/>
      <c r="S27" s="3"/>
      <c r="T27" s="3"/>
      <c r="U27" s="5"/>
      <c r="W27" s="3">
        <v>60.1</v>
      </c>
      <c r="X27" s="3">
        <v>3175</v>
      </c>
      <c r="Y27" s="5">
        <v>190817.5</v>
      </c>
      <c r="Z27" s="4" t="s">
        <v>147</v>
      </c>
      <c r="AA27" s="3">
        <v>55</v>
      </c>
      <c r="AB27" s="3">
        <v>3175</v>
      </c>
      <c r="AC27" s="5">
        <v>174625</v>
      </c>
      <c r="AD27" s="4" t="s">
        <v>148</v>
      </c>
    </row>
    <row r="28" spans="1:30" ht="30" x14ac:dyDescent="0.25">
      <c r="A28" t="s">
        <v>149</v>
      </c>
      <c r="B28" t="s">
        <v>26</v>
      </c>
      <c r="C28" t="s">
        <v>150</v>
      </c>
      <c r="D28" t="s">
        <v>151</v>
      </c>
      <c r="E28">
        <v>3225</v>
      </c>
      <c r="F28" t="s">
        <v>29</v>
      </c>
      <c r="G28" s="3"/>
      <c r="H28" s="3"/>
      <c r="I28" s="5"/>
      <c r="K28" s="3">
        <v>67.7</v>
      </c>
      <c r="L28" s="3">
        <v>3225</v>
      </c>
      <c r="M28" s="5">
        <v>218332.5</v>
      </c>
      <c r="N28" t="s">
        <v>152</v>
      </c>
      <c r="O28" s="3"/>
      <c r="P28" s="3"/>
      <c r="Q28" s="5"/>
      <c r="S28" s="3"/>
      <c r="T28" s="3"/>
      <c r="U28" s="5"/>
      <c r="W28" s="3">
        <v>60.1</v>
      </c>
      <c r="X28" s="3">
        <v>3225</v>
      </c>
      <c r="Y28" s="5">
        <v>193822.5</v>
      </c>
      <c r="Z28" t="s">
        <v>153</v>
      </c>
      <c r="AA28" s="3">
        <v>55</v>
      </c>
      <c r="AB28" s="3">
        <v>3225</v>
      </c>
      <c r="AC28" s="5">
        <v>177375</v>
      </c>
      <c r="AD28" s="4" t="s">
        <v>154</v>
      </c>
    </row>
    <row r="29" spans="1:30" ht="45" x14ac:dyDescent="0.25">
      <c r="A29" t="s">
        <v>155</v>
      </c>
      <c r="B29" t="s">
        <v>26</v>
      </c>
      <c r="C29" t="s">
        <v>156</v>
      </c>
      <c r="D29" t="s">
        <v>157</v>
      </c>
      <c r="E29">
        <v>5025</v>
      </c>
      <c r="F29" t="s">
        <v>29</v>
      </c>
      <c r="G29" s="3"/>
      <c r="H29" s="3"/>
      <c r="I29" s="5"/>
      <c r="K29" s="3">
        <v>56.1</v>
      </c>
      <c r="L29" s="3">
        <v>5025</v>
      </c>
      <c r="M29" s="5">
        <v>281902.5</v>
      </c>
      <c r="N29" t="s">
        <v>158</v>
      </c>
      <c r="O29" s="3">
        <v>58.55</v>
      </c>
      <c r="P29" s="3">
        <v>5025</v>
      </c>
      <c r="Q29" s="5">
        <v>294213.75</v>
      </c>
      <c r="R29" s="4" t="s">
        <v>159</v>
      </c>
      <c r="S29" s="3"/>
      <c r="T29" s="3"/>
      <c r="U29" s="5"/>
      <c r="W29" s="3">
        <v>58.2</v>
      </c>
      <c r="X29" s="3">
        <v>5025</v>
      </c>
      <c r="Y29" s="5">
        <v>292455</v>
      </c>
      <c r="Z29" s="4" t="s">
        <v>160</v>
      </c>
      <c r="AA29" s="3">
        <v>27.42</v>
      </c>
      <c r="AB29" s="3">
        <v>5025</v>
      </c>
      <c r="AC29" s="5">
        <v>137785.5</v>
      </c>
      <c r="AD29" s="4" t="s">
        <v>161</v>
      </c>
    </row>
    <row r="30" spans="1:30" ht="45" x14ac:dyDescent="0.25">
      <c r="A30" t="s">
        <v>162</v>
      </c>
      <c r="B30" t="s">
        <v>26</v>
      </c>
      <c r="C30" t="s">
        <v>163</v>
      </c>
      <c r="D30" t="s">
        <v>164</v>
      </c>
      <c r="E30">
        <v>6225</v>
      </c>
      <c r="F30" t="s">
        <v>29</v>
      </c>
      <c r="G30" s="3"/>
      <c r="H30" s="3"/>
      <c r="I30" s="5"/>
      <c r="K30" s="3">
        <v>26.63</v>
      </c>
      <c r="L30" s="3">
        <v>6225</v>
      </c>
      <c r="M30" s="5">
        <v>165771.75</v>
      </c>
      <c r="N30" s="4" t="s">
        <v>165</v>
      </c>
      <c r="O30" s="3">
        <v>57.52</v>
      </c>
      <c r="P30" s="3">
        <v>6225</v>
      </c>
      <c r="Q30" s="5">
        <v>358062</v>
      </c>
      <c r="R30" s="4" t="s">
        <v>166</v>
      </c>
      <c r="S30" s="3"/>
      <c r="T30" s="3"/>
      <c r="U30" s="5"/>
      <c r="W30" s="3">
        <v>73</v>
      </c>
      <c r="X30" s="3">
        <v>6225</v>
      </c>
      <c r="Y30" s="5">
        <v>454425</v>
      </c>
      <c r="Z30" s="4" t="s">
        <v>167</v>
      </c>
      <c r="AA30" s="3"/>
      <c r="AB30" s="3"/>
      <c r="AC30" s="5"/>
    </row>
    <row r="31" spans="1:30" ht="45" x14ac:dyDescent="0.25">
      <c r="A31" t="s">
        <v>168</v>
      </c>
      <c r="B31" t="s">
        <v>26</v>
      </c>
      <c r="C31" t="s">
        <v>169</v>
      </c>
      <c r="D31" t="s">
        <v>170</v>
      </c>
      <c r="E31">
        <v>525</v>
      </c>
      <c r="F31" t="s">
        <v>29</v>
      </c>
      <c r="G31" s="3"/>
      <c r="H31" s="3"/>
      <c r="I31" s="5"/>
      <c r="K31" s="3">
        <v>93.98</v>
      </c>
      <c r="L31" s="3">
        <v>525</v>
      </c>
      <c r="M31" s="5">
        <v>49339.5</v>
      </c>
      <c r="N31" t="s">
        <v>171</v>
      </c>
      <c r="O31" s="3">
        <v>97.97</v>
      </c>
      <c r="P31" s="3">
        <v>525</v>
      </c>
      <c r="Q31" s="5">
        <v>51434.25</v>
      </c>
      <c r="R31" s="4" t="s">
        <v>172</v>
      </c>
      <c r="S31" s="3"/>
      <c r="T31" s="3"/>
      <c r="U31" s="5"/>
      <c r="W31" s="3">
        <v>101</v>
      </c>
      <c r="X31" s="3">
        <v>525</v>
      </c>
      <c r="Y31" s="5">
        <v>53025</v>
      </c>
      <c r="Z31" t="s">
        <v>173</v>
      </c>
      <c r="AA31" s="3">
        <v>40.659999999999997</v>
      </c>
      <c r="AB31" s="3">
        <v>525</v>
      </c>
      <c r="AC31" s="5">
        <v>21346.5</v>
      </c>
      <c r="AD31" s="4" t="s">
        <v>174</v>
      </c>
    </row>
    <row r="32" spans="1:30" ht="30" x14ac:dyDescent="0.25">
      <c r="A32" t="s">
        <v>175</v>
      </c>
      <c r="B32" t="s">
        <v>26</v>
      </c>
      <c r="C32" t="s">
        <v>176</v>
      </c>
      <c r="D32" t="s">
        <v>177</v>
      </c>
      <c r="E32">
        <v>50</v>
      </c>
      <c r="F32" t="s">
        <v>29</v>
      </c>
      <c r="G32" s="3"/>
      <c r="H32" s="3"/>
      <c r="I32" s="5"/>
      <c r="K32" s="3"/>
      <c r="L32" s="3"/>
      <c r="M32" s="5"/>
      <c r="O32" s="3"/>
      <c r="P32" s="3"/>
      <c r="Q32" s="5"/>
      <c r="S32" s="3"/>
      <c r="T32" s="3"/>
      <c r="U32" s="5"/>
      <c r="W32" s="3"/>
      <c r="X32" s="3"/>
      <c r="Y32" s="5"/>
      <c r="AA32" s="3">
        <v>77.099999999999994</v>
      </c>
      <c r="AB32" s="3">
        <v>50</v>
      </c>
      <c r="AC32" s="5">
        <v>3855</v>
      </c>
      <c r="AD32" s="4" t="s">
        <v>178</v>
      </c>
    </row>
    <row r="33" spans="1:30" x14ac:dyDescent="0.25">
      <c r="A33" t="s">
        <v>179</v>
      </c>
      <c r="B33" t="s">
        <v>26</v>
      </c>
      <c r="C33" t="s">
        <v>180</v>
      </c>
      <c r="D33" t="s">
        <v>181</v>
      </c>
      <c r="E33">
        <v>50</v>
      </c>
      <c r="F33" t="s">
        <v>29</v>
      </c>
      <c r="G33" s="3"/>
      <c r="H33" s="3"/>
      <c r="I33" s="5"/>
      <c r="K33" s="3"/>
      <c r="L33" s="3"/>
      <c r="M33" s="5"/>
      <c r="O33" s="3"/>
      <c r="P33" s="3"/>
      <c r="Q33" s="5"/>
      <c r="S33" s="3"/>
      <c r="T33" s="3"/>
      <c r="U33" s="5"/>
      <c r="W33" s="3">
        <v>102.7</v>
      </c>
      <c r="X33" s="3">
        <v>50</v>
      </c>
      <c r="Y33" s="5">
        <v>5135</v>
      </c>
      <c r="Z33" t="s">
        <v>182</v>
      </c>
      <c r="AA33" s="3"/>
      <c r="AB33" s="3"/>
      <c r="AC33" s="5"/>
    </row>
    <row r="34" spans="1:30" ht="45" x14ac:dyDescent="0.25">
      <c r="A34" t="s">
        <v>183</v>
      </c>
      <c r="B34" t="s">
        <v>26</v>
      </c>
      <c r="C34" t="s">
        <v>184</v>
      </c>
      <c r="D34" t="s">
        <v>185</v>
      </c>
      <c r="E34">
        <v>3600</v>
      </c>
      <c r="F34" t="s">
        <v>29</v>
      </c>
      <c r="G34" s="3">
        <v>22</v>
      </c>
      <c r="H34" s="3">
        <v>3600</v>
      </c>
      <c r="I34" s="5">
        <v>79200</v>
      </c>
      <c r="J34" s="4" t="s">
        <v>186</v>
      </c>
      <c r="K34" s="3"/>
      <c r="L34" s="3"/>
      <c r="M34" s="5"/>
      <c r="O34" s="3"/>
      <c r="P34" s="3"/>
      <c r="Q34" s="5"/>
      <c r="S34" s="3"/>
      <c r="T34" s="3"/>
      <c r="U34" s="5"/>
      <c r="W34" s="3"/>
      <c r="X34" s="3"/>
      <c r="Y34" s="5"/>
      <c r="AA34" s="3"/>
      <c r="AB34" s="3"/>
      <c r="AC34" s="5"/>
    </row>
    <row r="35" spans="1:30" ht="30" x14ac:dyDescent="0.25">
      <c r="A35" t="s">
        <v>187</v>
      </c>
      <c r="B35" t="s">
        <v>26</v>
      </c>
      <c r="C35" t="s">
        <v>188</v>
      </c>
      <c r="D35" s="4" t="s">
        <v>189</v>
      </c>
      <c r="E35">
        <v>150</v>
      </c>
      <c r="F35" t="s">
        <v>29</v>
      </c>
      <c r="G35" s="3">
        <v>5150</v>
      </c>
      <c r="H35" s="3">
        <v>150</v>
      </c>
      <c r="I35" s="5">
        <v>772500</v>
      </c>
      <c r="J35" s="4" t="s">
        <v>190</v>
      </c>
      <c r="K35" s="3"/>
      <c r="L35" s="3"/>
      <c r="M35" s="5"/>
      <c r="O35" s="3"/>
      <c r="P35" s="3"/>
      <c r="Q35" s="5"/>
      <c r="S35" s="3"/>
      <c r="T35" s="3"/>
      <c r="U35" s="5"/>
      <c r="W35" s="3"/>
      <c r="X35" s="3"/>
      <c r="Y35" s="5"/>
      <c r="AA35" s="3"/>
      <c r="AB35" s="3"/>
      <c r="AC35" s="5"/>
    </row>
    <row r="36" spans="1:30" x14ac:dyDescent="0.25">
      <c r="A36" t="s">
        <v>191</v>
      </c>
      <c r="B36" t="s">
        <v>26</v>
      </c>
      <c r="C36" t="s">
        <v>192</v>
      </c>
      <c r="D36" t="s">
        <v>193</v>
      </c>
      <c r="E36">
        <v>30</v>
      </c>
      <c r="F36" t="s">
        <v>29</v>
      </c>
      <c r="G36" s="3"/>
      <c r="H36" s="3"/>
      <c r="I36" s="5"/>
      <c r="K36" s="3"/>
      <c r="L36" s="3"/>
      <c r="M36" s="5"/>
      <c r="O36" s="3"/>
      <c r="P36" s="3"/>
      <c r="Q36" s="5"/>
      <c r="S36" s="3"/>
      <c r="T36" s="3"/>
      <c r="U36" s="5"/>
      <c r="W36" s="3"/>
      <c r="X36" s="3"/>
      <c r="Y36" s="5"/>
      <c r="AA36" s="3"/>
      <c r="AB36" s="3"/>
      <c r="AC36" s="5"/>
    </row>
    <row r="37" spans="1:30" ht="45" x14ac:dyDescent="0.25">
      <c r="A37" t="s">
        <v>194</v>
      </c>
      <c r="B37" t="s">
        <v>26</v>
      </c>
      <c r="C37" t="s">
        <v>195</v>
      </c>
      <c r="D37" s="4" t="s">
        <v>196</v>
      </c>
      <c r="E37">
        <v>100</v>
      </c>
      <c r="F37" t="s">
        <v>29</v>
      </c>
      <c r="G37" s="3"/>
      <c r="H37" s="3"/>
      <c r="I37" s="5"/>
      <c r="K37" s="3"/>
      <c r="L37" s="3"/>
      <c r="M37" s="5"/>
      <c r="O37" s="3"/>
      <c r="P37" s="3"/>
      <c r="Q37" s="5"/>
      <c r="S37" s="3"/>
      <c r="T37" s="3"/>
      <c r="U37" s="5"/>
      <c r="W37" s="3">
        <v>17.5</v>
      </c>
      <c r="X37" s="3">
        <v>100</v>
      </c>
      <c r="Y37" s="5">
        <v>1750</v>
      </c>
      <c r="Z37" t="s">
        <v>197</v>
      </c>
      <c r="AA37" s="3">
        <v>12.8</v>
      </c>
      <c r="AB37" s="3">
        <v>100</v>
      </c>
      <c r="AC37" s="5">
        <v>1280</v>
      </c>
      <c r="AD37" s="4" t="s">
        <v>198</v>
      </c>
    </row>
    <row r="38" spans="1:30" ht="45" x14ac:dyDescent="0.25">
      <c r="A38" t="s">
        <v>199</v>
      </c>
      <c r="B38" t="s">
        <v>26</v>
      </c>
      <c r="C38" t="s">
        <v>200</v>
      </c>
      <c r="D38" s="4" t="s">
        <v>201</v>
      </c>
      <c r="E38">
        <v>100</v>
      </c>
      <c r="F38" t="s">
        <v>29</v>
      </c>
      <c r="G38" s="3"/>
      <c r="H38" s="3"/>
      <c r="I38" s="5"/>
      <c r="K38" s="3"/>
      <c r="L38" s="3"/>
      <c r="M38" s="5"/>
      <c r="O38" s="3"/>
      <c r="P38" s="3"/>
      <c r="Q38" s="5"/>
      <c r="S38" s="3"/>
      <c r="T38" s="3"/>
      <c r="U38" s="5"/>
      <c r="W38" s="3"/>
      <c r="X38" s="3"/>
      <c r="Y38" s="5"/>
      <c r="AA38" s="3">
        <v>11.5</v>
      </c>
      <c r="AB38" s="3">
        <v>100</v>
      </c>
      <c r="AC38" s="5">
        <v>1150</v>
      </c>
      <c r="AD38" s="4" t="s">
        <v>202</v>
      </c>
    </row>
    <row r="39" spans="1:30" ht="45" x14ac:dyDescent="0.25">
      <c r="A39" t="s">
        <v>203</v>
      </c>
      <c r="B39" t="s">
        <v>26</v>
      </c>
      <c r="C39" t="s">
        <v>204</v>
      </c>
      <c r="D39" s="4" t="s">
        <v>205</v>
      </c>
      <c r="E39">
        <v>200</v>
      </c>
      <c r="F39" t="s">
        <v>29</v>
      </c>
      <c r="G39" s="3"/>
      <c r="H39" s="3"/>
      <c r="I39" s="5"/>
      <c r="K39" s="3"/>
      <c r="L39" s="3"/>
      <c r="M39" s="5"/>
      <c r="O39" s="3"/>
      <c r="P39" s="3"/>
      <c r="Q39" s="5"/>
      <c r="S39" s="3"/>
      <c r="T39" s="3"/>
      <c r="U39" s="5"/>
      <c r="W39" s="3"/>
      <c r="X39" s="3"/>
      <c r="Y39" s="5"/>
      <c r="AA39" s="3">
        <v>10.73</v>
      </c>
      <c r="AB39" s="3">
        <v>200</v>
      </c>
      <c r="AC39" s="5">
        <v>2146</v>
      </c>
      <c r="AD39" s="4" t="s">
        <v>206</v>
      </c>
    </row>
    <row r="40" spans="1:30" ht="30" x14ac:dyDescent="0.25">
      <c r="A40" t="s">
        <v>207</v>
      </c>
      <c r="B40" t="s">
        <v>26</v>
      </c>
      <c r="C40" t="s">
        <v>208</v>
      </c>
      <c r="D40" t="s">
        <v>209</v>
      </c>
      <c r="E40">
        <v>250</v>
      </c>
      <c r="F40" t="s">
        <v>29</v>
      </c>
      <c r="G40" s="3"/>
      <c r="H40" s="3"/>
      <c r="I40" s="5"/>
      <c r="K40" s="3"/>
      <c r="L40" s="3"/>
      <c r="M40" s="5"/>
      <c r="O40" s="3"/>
      <c r="P40" s="3"/>
      <c r="Q40" s="5"/>
      <c r="S40" s="3"/>
      <c r="T40" s="3"/>
      <c r="U40" s="5"/>
      <c r="W40" s="3">
        <v>17.5</v>
      </c>
      <c r="X40" s="3">
        <v>250</v>
      </c>
      <c r="Y40" s="5">
        <v>4375</v>
      </c>
      <c r="Z40" t="s">
        <v>210</v>
      </c>
      <c r="AA40" s="3">
        <v>10.73</v>
      </c>
      <c r="AB40" s="3">
        <v>250</v>
      </c>
      <c r="AC40" s="5">
        <v>2682.5</v>
      </c>
      <c r="AD40" s="4" t="s">
        <v>211</v>
      </c>
    </row>
    <row r="41" spans="1:30" x14ac:dyDescent="0.25">
      <c r="A41" t="s">
        <v>212</v>
      </c>
      <c r="B41" t="s">
        <v>26</v>
      </c>
      <c r="C41" t="s">
        <v>213</v>
      </c>
      <c r="D41" t="s">
        <v>214</v>
      </c>
      <c r="E41">
        <v>100</v>
      </c>
      <c r="F41" t="s">
        <v>29</v>
      </c>
      <c r="G41" s="3"/>
      <c r="H41" s="3"/>
      <c r="I41" s="5"/>
      <c r="K41" s="3"/>
      <c r="L41" s="3"/>
      <c r="M41" s="5"/>
      <c r="O41" s="3"/>
      <c r="P41" s="3"/>
      <c r="Q41" s="5"/>
      <c r="S41" s="3"/>
      <c r="T41" s="3"/>
      <c r="U41" s="5"/>
      <c r="W41" s="3">
        <v>17.5</v>
      </c>
      <c r="X41" s="3">
        <v>100</v>
      </c>
      <c r="Y41" s="5">
        <v>1750</v>
      </c>
      <c r="Z41" t="s">
        <v>215</v>
      </c>
      <c r="AA41" s="3"/>
      <c r="AB41" s="3"/>
      <c r="AC41" s="5"/>
    </row>
    <row r="42" spans="1:30" ht="30" x14ac:dyDescent="0.25">
      <c r="A42" t="s">
        <v>216</v>
      </c>
      <c r="B42" t="s">
        <v>26</v>
      </c>
      <c r="C42" t="s">
        <v>217</v>
      </c>
      <c r="D42" s="4" t="s">
        <v>218</v>
      </c>
      <c r="E42">
        <v>1100</v>
      </c>
      <c r="F42" t="s">
        <v>29</v>
      </c>
      <c r="G42" s="3"/>
      <c r="H42" s="3"/>
      <c r="I42" s="5"/>
      <c r="K42" s="3"/>
      <c r="L42" s="3"/>
      <c r="M42" s="5"/>
      <c r="O42" s="3"/>
      <c r="P42" s="3"/>
      <c r="Q42" s="5"/>
      <c r="S42" s="3"/>
      <c r="T42" s="3"/>
      <c r="U42" s="5"/>
      <c r="W42" s="3">
        <v>560</v>
      </c>
      <c r="X42" s="3">
        <v>1100</v>
      </c>
      <c r="Y42" s="5">
        <v>616000</v>
      </c>
      <c r="Z42" t="s">
        <v>219</v>
      </c>
      <c r="AA42" s="3"/>
      <c r="AB42" s="3"/>
      <c r="AC42" s="5"/>
    </row>
    <row r="43" spans="1:30" ht="30" x14ac:dyDescent="0.25">
      <c r="A43" t="s">
        <v>220</v>
      </c>
      <c r="B43" t="s">
        <v>26</v>
      </c>
      <c r="C43" t="s">
        <v>221</v>
      </c>
      <c r="D43" t="s">
        <v>222</v>
      </c>
      <c r="E43">
        <v>600</v>
      </c>
      <c r="F43" t="s">
        <v>29</v>
      </c>
      <c r="G43" s="3"/>
      <c r="H43" s="3"/>
      <c r="I43" s="5"/>
      <c r="K43" s="3"/>
      <c r="L43" s="3"/>
      <c r="M43" s="5"/>
      <c r="O43" s="3"/>
      <c r="P43" s="3"/>
      <c r="Q43" s="5"/>
      <c r="S43" s="3"/>
      <c r="T43" s="3"/>
      <c r="U43" s="5"/>
      <c r="W43" s="3"/>
      <c r="X43" s="3"/>
      <c r="Y43" s="5"/>
      <c r="AA43" s="3">
        <v>55.23</v>
      </c>
      <c r="AB43" s="3">
        <v>600</v>
      </c>
      <c r="AC43" s="5">
        <v>33138</v>
      </c>
      <c r="AD43" s="4" t="s">
        <v>223</v>
      </c>
    </row>
    <row r="44" spans="1:30" ht="30" x14ac:dyDescent="0.25">
      <c r="A44" t="s">
        <v>224</v>
      </c>
      <c r="B44" t="s">
        <v>26</v>
      </c>
      <c r="C44" t="s">
        <v>225</v>
      </c>
      <c r="D44" s="4" t="s">
        <v>226</v>
      </c>
      <c r="E44">
        <v>150</v>
      </c>
      <c r="F44" t="s">
        <v>29</v>
      </c>
      <c r="G44" s="3">
        <v>640</v>
      </c>
      <c r="H44" s="3">
        <v>150</v>
      </c>
      <c r="I44" s="5">
        <v>96000</v>
      </c>
      <c r="J44" s="4" t="s">
        <v>227</v>
      </c>
      <c r="K44" s="3"/>
      <c r="L44" s="3"/>
      <c r="M44" s="5"/>
      <c r="O44" s="3"/>
      <c r="P44" s="3"/>
      <c r="Q44" s="5"/>
      <c r="S44" s="3"/>
      <c r="T44" s="3"/>
      <c r="U44" s="5"/>
      <c r="W44" s="3"/>
      <c r="X44" s="3"/>
      <c r="Y44" s="5"/>
      <c r="AA44" s="3"/>
      <c r="AB44" s="3"/>
      <c r="AC44" s="5"/>
    </row>
    <row r="45" spans="1:30" ht="45" x14ac:dyDescent="0.25">
      <c r="A45" t="s">
        <v>228</v>
      </c>
      <c r="B45" t="s">
        <v>26</v>
      </c>
      <c r="C45" t="s">
        <v>229</v>
      </c>
      <c r="D45" s="4" t="s">
        <v>230</v>
      </c>
      <c r="E45">
        <v>1400</v>
      </c>
      <c r="F45" t="s">
        <v>29</v>
      </c>
      <c r="G45" s="3">
        <v>425</v>
      </c>
      <c r="H45" s="3">
        <v>1400</v>
      </c>
      <c r="I45" s="5">
        <v>595000</v>
      </c>
      <c r="J45" s="4" t="s">
        <v>231</v>
      </c>
      <c r="K45" s="3"/>
      <c r="L45" s="3"/>
      <c r="M45" s="5"/>
      <c r="O45" s="3">
        <v>33.54</v>
      </c>
      <c r="P45" s="3">
        <v>1400</v>
      </c>
      <c r="Q45" s="5">
        <v>46956</v>
      </c>
      <c r="R45" s="4" t="s">
        <v>232</v>
      </c>
      <c r="S45" s="3"/>
      <c r="T45" s="3"/>
      <c r="U45" s="5"/>
      <c r="W45" s="3"/>
      <c r="X45" s="3"/>
      <c r="Y45" s="5"/>
      <c r="AA45" s="3"/>
      <c r="AB45" s="3"/>
      <c r="AC45" s="5"/>
    </row>
    <row r="46" spans="1:30" ht="45" x14ac:dyDescent="0.25">
      <c r="A46" t="s">
        <v>233</v>
      </c>
      <c r="B46" t="s">
        <v>26</v>
      </c>
      <c r="C46" t="s">
        <v>234</v>
      </c>
      <c r="D46" s="4" t="s">
        <v>235</v>
      </c>
      <c r="E46">
        <v>1000</v>
      </c>
      <c r="F46" t="s">
        <v>29</v>
      </c>
      <c r="G46" s="3">
        <v>425</v>
      </c>
      <c r="H46" s="3">
        <v>1000</v>
      </c>
      <c r="I46" s="5">
        <v>425000</v>
      </c>
      <c r="J46" s="4" t="s">
        <v>236</v>
      </c>
      <c r="K46" s="3"/>
      <c r="L46" s="3"/>
      <c r="M46" s="5"/>
      <c r="O46" s="3"/>
      <c r="P46" s="3"/>
      <c r="Q46" s="5"/>
      <c r="S46" s="3"/>
      <c r="T46" s="3"/>
      <c r="U46" s="5"/>
      <c r="W46" s="3"/>
      <c r="X46" s="3"/>
      <c r="Y46" s="5"/>
      <c r="AA46" s="3"/>
      <c r="AB46" s="3"/>
      <c r="AC46" s="5"/>
    </row>
    <row r="47" spans="1:30" ht="45" x14ac:dyDescent="0.25">
      <c r="A47" t="s">
        <v>237</v>
      </c>
      <c r="B47" t="s">
        <v>26</v>
      </c>
      <c r="C47" t="s">
        <v>238</v>
      </c>
      <c r="D47" s="4" t="s">
        <v>239</v>
      </c>
      <c r="E47">
        <v>800</v>
      </c>
      <c r="F47" t="s">
        <v>29</v>
      </c>
      <c r="G47" s="3">
        <v>68</v>
      </c>
      <c r="H47" s="3">
        <v>800</v>
      </c>
      <c r="I47" s="5">
        <v>54400</v>
      </c>
      <c r="J47" s="4" t="s">
        <v>240</v>
      </c>
      <c r="K47" s="3"/>
      <c r="L47" s="3"/>
      <c r="M47" s="5"/>
      <c r="O47" s="3">
        <v>53.7</v>
      </c>
      <c r="P47" s="3">
        <v>800</v>
      </c>
      <c r="Q47" s="5">
        <v>42960</v>
      </c>
      <c r="R47" t="s">
        <v>241</v>
      </c>
      <c r="S47" s="3"/>
      <c r="T47" s="3"/>
      <c r="U47" s="5"/>
      <c r="W47" s="3"/>
      <c r="X47" s="3"/>
      <c r="Y47" s="5"/>
      <c r="AA47" s="3">
        <v>129.62</v>
      </c>
      <c r="AB47" s="3">
        <v>800</v>
      </c>
      <c r="AC47" s="5">
        <v>103696</v>
      </c>
      <c r="AD47" s="4" t="s">
        <v>242</v>
      </c>
    </row>
    <row r="48" spans="1:30" ht="30" x14ac:dyDescent="0.25">
      <c r="A48" t="s">
        <v>243</v>
      </c>
      <c r="B48" t="s">
        <v>26</v>
      </c>
      <c r="C48" t="s">
        <v>244</v>
      </c>
      <c r="D48" s="4" t="s">
        <v>245</v>
      </c>
      <c r="E48">
        <v>9000</v>
      </c>
      <c r="F48" t="s">
        <v>29</v>
      </c>
      <c r="G48" s="3">
        <v>41.5</v>
      </c>
      <c r="H48" s="3">
        <v>9000</v>
      </c>
      <c r="I48" s="5">
        <v>373500</v>
      </c>
      <c r="J48" s="4" t="s">
        <v>246</v>
      </c>
      <c r="K48" s="3"/>
      <c r="L48" s="3"/>
      <c r="M48" s="5"/>
      <c r="O48" s="3"/>
      <c r="P48" s="3"/>
      <c r="Q48" s="5"/>
      <c r="S48" s="3"/>
      <c r="T48" s="3"/>
      <c r="U48" s="5"/>
      <c r="W48" s="3"/>
      <c r="X48" s="3"/>
      <c r="Y48" s="5"/>
      <c r="AA48" s="3"/>
      <c r="AB48" s="3"/>
      <c r="AC48" s="5"/>
    </row>
    <row r="49" spans="1:30" ht="30" x14ac:dyDescent="0.25">
      <c r="A49" t="s">
        <v>247</v>
      </c>
      <c r="B49" t="s">
        <v>26</v>
      </c>
      <c r="C49" t="s">
        <v>248</v>
      </c>
      <c r="D49" s="4" t="s">
        <v>249</v>
      </c>
      <c r="E49">
        <v>30</v>
      </c>
      <c r="F49" t="s">
        <v>29</v>
      </c>
      <c r="G49" s="3"/>
      <c r="H49" s="3"/>
      <c r="I49" s="5"/>
      <c r="K49" s="3">
        <v>412.39</v>
      </c>
      <c r="L49" s="3">
        <v>30</v>
      </c>
      <c r="M49" s="5">
        <v>12371.7</v>
      </c>
      <c r="N49" s="4" t="s">
        <v>250</v>
      </c>
      <c r="O49" s="3"/>
      <c r="P49" s="3"/>
      <c r="Q49" s="5"/>
      <c r="S49" s="3"/>
      <c r="T49" s="3"/>
      <c r="U49" s="5"/>
      <c r="W49" s="3"/>
      <c r="X49" s="3"/>
      <c r="Y49" s="5"/>
      <c r="AA49" s="3"/>
      <c r="AB49" s="3"/>
      <c r="AC49" s="5"/>
    </row>
    <row r="50" spans="1:30" ht="30" x14ac:dyDescent="0.25">
      <c r="A50" t="s">
        <v>251</v>
      </c>
      <c r="B50" t="s">
        <v>26</v>
      </c>
      <c r="C50" t="s">
        <v>252</v>
      </c>
      <c r="D50" s="4" t="s">
        <v>253</v>
      </c>
      <c r="E50">
        <v>30</v>
      </c>
      <c r="F50" t="s">
        <v>29</v>
      </c>
      <c r="G50" s="3"/>
      <c r="H50" s="3"/>
      <c r="I50" s="5"/>
      <c r="K50" s="3">
        <v>412.39</v>
      </c>
      <c r="L50" s="3">
        <v>30</v>
      </c>
      <c r="M50" s="5">
        <v>12371.7</v>
      </c>
      <c r="N50" s="4" t="s">
        <v>254</v>
      </c>
      <c r="O50" s="3"/>
      <c r="P50" s="3"/>
      <c r="Q50" s="5"/>
      <c r="S50" s="3"/>
      <c r="T50" s="3"/>
      <c r="U50" s="5"/>
      <c r="W50" s="3"/>
      <c r="X50" s="3"/>
      <c r="Y50" s="5"/>
      <c r="AA50" s="3"/>
      <c r="AB50" s="3"/>
      <c r="AC50" s="5"/>
    </row>
    <row r="51" spans="1:30" ht="30" x14ac:dyDescent="0.25">
      <c r="A51" t="s">
        <v>255</v>
      </c>
      <c r="B51" t="s">
        <v>26</v>
      </c>
      <c r="C51" t="s">
        <v>256</v>
      </c>
      <c r="D51" s="4" t="s">
        <v>257</v>
      </c>
      <c r="E51">
        <v>30</v>
      </c>
      <c r="F51" t="s">
        <v>29</v>
      </c>
      <c r="G51" s="3"/>
      <c r="H51" s="3"/>
      <c r="I51" s="5"/>
      <c r="K51" s="3">
        <v>412.39</v>
      </c>
      <c r="L51" s="3">
        <v>30</v>
      </c>
      <c r="M51" s="5">
        <v>12371.7</v>
      </c>
      <c r="N51" s="4" t="s">
        <v>258</v>
      </c>
      <c r="O51" s="3"/>
      <c r="P51" s="3"/>
      <c r="Q51" s="5"/>
      <c r="S51" s="3"/>
      <c r="T51" s="3"/>
      <c r="U51" s="5"/>
      <c r="W51" s="3"/>
      <c r="X51" s="3"/>
      <c r="Y51" s="5"/>
      <c r="AA51" s="3"/>
      <c r="AB51" s="3"/>
      <c r="AC51" s="5"/>
    </row>
    <row r="52" spans="1:30" ht="30" x14ac:dyDescent="0.25">
      <c r="A52" t="s">
        <v>259</v>
      </c>
      <c r="B52" t="s">
        <v>26</v>
      </c>
      <c r="C52" t="s">
        <v>260</v>
      </c>
      <c r="D52" s="4" t="s">
        <v>261</v>
      </c>
      <c r="E52">
        <v>30</v>
      </c>
      <c r="F52" t="s">
        <v>29</v>
      </c>
      <c r="G52" s="3"/>
      <c r="H52" s="3"/>
      <c r="I52" s="5"/>
      <c r="K52" s="3">
        <v>367.04</v>
      </c>
      <c r="L52" s="3">
        <v>30</v>
      </c>
      <c r="M52" s="5">
        <v>11011.2</v>
      </c>
      <c r="N52" s="4" t="s">
        <v>262</v>
      </c>
      <c r="O52" s="3"/>
      <c r="P52" s="3"/>
      <c r="Q52" s="5"/>
      <c r="S52" s="3"/>
      <c r="T52" s="3"/>
      <c r="U52" s="5"/>
      <c r="W52" s="3"/>
      <c r="X52" s="3"/>
      <c r="Y52" s="5"/>
      <c r="AA52" s="3">
        <v>598</v>
      </c>
      <c r="AB52" s="3">
        <v>30</v>
      </c>
      <c r="AC52" s="5">
        <v>17940</v>
      </c>
      <c r="AD52" s="4" t="s">
        <v>263</v>
      </c>
    </row>
    <row r="53" spans="1:30" ht="30" x14ac:dyDescent="0.25">
      <c r="A53" t="s">
        <v>264</v>
      </c>
      <c r="B53" t="s">
        <v>26</v>
      </c>
      <c r="C53" t="s">
        <v>265</v>
      </c>
      <c r="D53" s="4" t="s">
        <v>266</v>
      </c>
      <c r="E53">
        <v>150</v>
      </c>
      <c r="F53" t="s">
        <v>29</v>
      </c>
      <c r="G53" s="3"/>
      <c r="H53" s="3"/>
      <c r="I53" s="5"/>
      <c r="K53" s="3">
        <v>367.04</v>
      </c>
      <c r="L53" s="3">
        <v>150</v>
      </c>
      <c r="M53" s="5">
        <v>55056</v>
      </c>
      <c r="N53" s="4" t="s">
        <v>267</v>
      </c>
      <c r="O53" s="3"/>
      <c r="P53" s="3"/>
      <c r="Q53" s="5"/>
      <c r="S53" s="3"/>
      <c r="T53" s="3"/>
      <c r="U53" s="5"/>
      <c r="W53" s="3">
        <v>735.5</v>
      </c>
      <c r="X53" s="3">
        <v>150</v>
      </c>
      <c r="Y53" s="5">
        <v>110325</v>
      </c>
      <c r="Z53" t="s">
        <v>268</v>
      </c>
      <c r="AA53" s="3">
        <v>598</v>
      </c>
      <c r="AB53" s="3">
        <v>150</v>
      </c>
      <c r="AC53" s="5">
        <v>89700</v>
      </c>
      <c r="AD53" s="4" t="s">
        <v>269</v>
      </c>
    </row>
    <row r="54" spans="1:30" ht="30" x14ac:dyDescent="0.25">
      <c r="A54" t="s">
        <v>270</v>
      </c>
      <c r="B54" t="s">
        <v>26</v>
      </c>
      <c r="C54" t="s">
        <v>271</v>
      </c>
      <c r="D54" s="4" t="s">
        <v>272</v>
      </c>
      <c r="E54">
        <v>250</v>
      </c>
      <c r="F54" t="s">
        <v>29</v>
      </c>
      <c r="G54" s="3"/>
      <c r="H54" s="3"/>
      <c r="I54" s="5"/>
      <c r="K54" s="3">
        <v>367.04</v>
      </c>
      <c r="L54" s="3">
        <v>250</v>
      </c>
      <c r="M54" s="5">
        <v>91760</v>
      </c>
      <c r="N54" s="4" t="s">
        <v>273</v>
      </c>
      <c r="O54" s="3"/>
      <c r="P54" s="3"/>
      <c r="Q54" s="5"/>
      <c r="S54" s="3"/>
      <c r="T54" s="3"/>
      <c r="U54" s="5"/>
      <c r="W54" s="3">
        <v>735.5</v>
      </c>
      <c r="X54" s="3">
        <v>250</v>
      </c>
      <c r="Y54" s="5">
        <v>183875</v>
      </c>
      <c r="Z54" t="s">
        <v>274</v>
      </c>
      <c r="AA54" s="3">
        <v>598</v>
      </c>
      <c r="AB54" s="3">
        <v>250</v>
      </c>
      <c r="AC54" s="5">
        <v>149500</v>
      </c>
      <c r="AD54" s="4" t="s">
        <v>275</v>
      </c>
    </row>
    <row r="55" spans="1:30" x14ac:dyDescent="0.25">
      <c r="A55" t="s">
        <v>276</v>
      </c>
      <c r="B55" t="s">
        <v>26</v>
      </c>
      <c r="C55" t="s">
        <v>277</v>
      </c>
      <c r="D55" t="s">
        <v>278</v>
      </c>
      <c r="E55">
        <v>30</v>
      </c>
      <c r="F55" t="s">
        <v>29</v>
      </c>
      <c r="G55" s="3"/>
      <c r="H55" s="3"/>
      <c r="I55" s="5"/>
      <c r="K55" s="3"/>
      <c r="L55" s="3"/>
      <c r="M55" s="5"/>
      <c r="O55" s="3"/>
      <c r="P55" s="3"/>
      <c r="Q55" s="5"/>
      <c r="S55" s="3"/>
      <c r="T55" s="3"/>
      <c r="U55" s="5"/>
      <c r="W55" s="3">
        <v>939.1</v>
      </c>
      <c r="X55" s="3">
        <v>30</v>
      </c>
      <c r="Y55" s="5">
        <v>28173</v>
      </c>
      <c r="Z55" t="s">
        <v>279</v>
      </c>
      <c r="AA55" s="3"/>
      <c r="AB55" s="3"/>
      <c r="AC55" s="5"/>
    </row>
    <row r="56" spans="1:30" x14ac:dyDescent="0.25">
      <c r="A56" t="s">
        <v>280</v>
      </c>
      <c r="B56" t="s">
        <v>26</v>
      </c>
      <c r="C56" t="s">
        <v>281</v>
      </c>
      <c r="D56" t="s">
        <v>282</v>
      </c>
      <c r="E56">
        <v>30</v>
      </c>
      <c r="F56" t="s">
        <v>29</v>
      </c>
      <c r="G56" s="3"/>
      <c r="H56" s="3"/>
      <c r="I56" s="5"/>
      <c r="K56" s="3"/>
      <c r="L56" s="3"/>
      <c r="M56" s="5"/>
      <c r="O56" s="3"/>
      <c r="P56" s="3"/>
      <c r="Q56" s="5"/>
      <c r="S56" s="3"/>
      <c r="T56" s="3"/>
      <c r="U56" s="5"/>
      <c r="W56" s="3">
        <v>751.5</v>
      </c>
      <c r="X56" s="3">
        <v>30</v>
      </c>
      <c r="Y56" s="5">
        <v>22545</v>
      </c>
      <c r="Z56" t="s">
        <v>283</v>
      </c>
      <c r="AA56" s="3"/>
      <c r="AB56" s="3"/>
      <c r="AC56" s="5"/>
    </row>
    <row r="57" spans="1:30" x14ac:dyDescent="0.25">
      <c r="A57" t="s">
        <v>284</v>
      </c>
      <c r="B57" t="s">
        <v>26</v>
      </c>
      <c r="C57" t="s">
        <v>285</v>
      </c>
      <c r="D57" t="s">
        <v>286</v>
      </c>
      <c r="E57">
        <v>10</v>
      </c>
      <c r="F57" t="s">
        <v>29</v>
      </c>
      <c r="G57" s="3"/>
      <c r="H57" s="3"/>
      <c r="I57" s="5"/>
      <c r="K57" s="3"/>
      <c r="L57" s="3"/>
      <c r="M57" s="5"/>
      <c r="O57" s="3"/>
      <c r="P57" s="3"/>
      <c r="Q57" s="5"/>
      <c r="S57" s="3"/>
      <c r="T57" s="3"/>
      <c r="U57" s="5"/>
      <c r="W57" s="3">
        <v>939.1</v>
      </c>
      <c r="X57" s="3">
        <v>10</v>
      </c>
      <c r="Y57" s="5">
        <v>9391</v>
      </c>
      <c r="Z57" t="s">
        <v>287</v>
      </c>
      <c r="AA57" s="3"/>
      <c r="AB57" s="3"/>
      <c r="AC57" s="5"/>
    </row>
    <row r="58" spans="1:30" x14ac:dyDescent="0.25">
      <c r="A58" t="s">
        <v>288</v>
      </c>
      <c r="B58" t="s">
        <v>26</v>
      </c>
      <c r="C58" t="s">
        <v>289</v>
      </c>
      <c r="D58" t="s">
        <v>290</v>
      </c>
      <c r="E58">
        <v>10</v>
      </c>
      <c r="F58" t="s">
        <v>29</v>
      </c>
      <c r="G58" s="3"/>
      <c r="H58" s="3"/>
      <c r="I58" s="5"/>
      <c r="K58" s="3"/>
      <c r="L58" s="3"/>
      <c r="M58" s="5"/>
      <c r="O58" s="3"/>
      <c r="P58" s="3"/>
      <c r="Q58" s="5"/>
      <c r="S58" s="3"/>
      <c r="T58" s="3"/>
      <c r="U58" s="5"/>
      <c r="W58" s="3">
        <v>939.1</v>
      </c>
      <c r="X58" s="3">
        <v>10</v>
      </c>
      <c r="Y58" s="5">
        <v>9391</v>
      </c>
      <c r="Z58" t="s">
        <v>291</v>
      </c>
      <c r="AA58" s="3"/>
      <c r="AB58" s="3"/>
      <c r="AC58" s="5"/>
    </row>
    <row r="59" spans="1:30" x14ac:dyDescent="0.25">
      <c r="A59" t="s">
        <v>292</v>
      </c>
      <c r="B59" t="s">
        <v>26</v>
      </c>
      <c r="C59" t="s">
        <v>293</v>
      </c>
      <c r="D59" t="s">
        <v>294</v>
      </c>
      <c r="E59">
        <v>10</v>
      </c>
      <c r="F59" t="s">
        <v>29</v>
      </c>
      <c r="G59" s="3"/>
      <c r="H59" s="3"/>
      <c r="I59" s="5"/>
      <c r="K59" s="3"/>
      <c r="L59" s="3"/>
      <c r="M59" s="5"/>
      <c r="O59" s="3"/>
      <c r="P59" s="3"/>
      <c r="Q59" s="5"/>
      <c r="S59" s="3"/>
      <c r="T59" s="3"/>
      <c r="U59" s="5"/>
      <c r="W59" s="3">
        <v>939.1</v>
      </c>
      <c r="X59" s="3">
        <v>10</v>
      </c>
      <c r="Y59" s="5">
        <v>9391</v>
      </c>
      <c r="Z59" t="s">
        <v>295</v>
      </c>
      <c r="AA59" s="3"/>
      <c r="AB59" s="3"/>
      <c r="AC59" s="5"/>
    </row>
    <row r="60" spans="1:30" ht="45" x14ac:dyDescent="0.25">
      <c r="A60" t="s">
        <v>296</v>
      </c>
      <c r="B60" t="s">
        <v>26</v>
      </c>
      <c r="C60" t="s">
        <v>297</v>
      </c>
      <c r="D60" t="s">
        <v>298</v>
      </c>
      <c r="E60">
        <v>1200</v>
      </c>
      <c r="F60" t="s">
        <v>29</v>
      </c>
      <c r="G60" s="3"/>
      <c r="H60" s="3"/>
      <c r="I60" s="5"/>
      <c r="K60" s="3">
        <v>111.16</v>
      </c>
      <c r="L60" s="3">
        <v>1200</v>
      </c>
      <c r="M60" s="5">
        <v>133392</v>
      </c>
      <c r="N60" t="s">
        <v>299</v>
      </c>
      <c r="O60" s="3">
        <v>115.88</v>
      </c>
      <c r="P60" s="3">
        <v>1200</v>
      </c>
      <c r="Q60" s="5">
        <v>139056</v>
      </c>
      <c r="R60" s="4" t="s">
        <v>300</v>
      </c>
      <c r="S60" s="3"/>
      <c r="T60" s="3"/>
      <c r="U60" s="5"/>
      <c r="W60" s="3">
        <v>93.5</v>
      </c>
      <c r="X60" s="3">
        <v>1200</v>
      </c>
      <c r="Y60" s="5">
        <v>112200</v>
      </c>
      <c r="Z60" s="4" t="s">
        <v>301</v>
      </c>
      <c r="AA60" s="3">
        <v>40.65</v>
      </c>
      <c r="AB60" s="3">
        <v>1200</v>
      </c>
      <c r="AC60" s="5">
        <v>48780</v>
      </c>
      <c r="AD60" s="4" t="s">
        <v>302</v>
      </c>
    </row>
    <row r="61" spans="1:30" ht="45" x14ac:dyDescent="0.25">
      <c r="A61" t="s">
        <v>303</v>
      </c>
      <c r="B61" t="s">
        <v>26</v>
      </c>
      <c r="C61" t="s">
        <v>304</v>
      </c>
      <c r="D61" t="s">
        <v>305</v>
      </c>
      <c r="E61">
        <v>900</v>
      </c>
      <c r="F61" t="s">
        <v>29</v>
      </c>
      <c r="G61" s="3"/>
      <c r="H61" s="3"/>
      <c r="I61" s="5"/>
      <c r="K61" s="3">
        <v>123.9</v>
      </c>
      <c r="L61" s="3">
        <v>900</v>
      </c>
      <c r="M61" s="5">
        <v>111510</v>
      </c>
      <c r="N61" t="s">
        <v>306</v>
      </c>
      <c r="O61" s="3">
        <v>129.16</v>
      </c>
      <c r="P61" s="3">
        <v>900</v>
      </c>
      <c r="Q61" s="5">
        <v>116244</v>
      </c>
      <c r="R61" s="4" t="s">
        <v>307</v>
      </c>
      <c r="S61" s="3"/>
      <c r="T61" s="3"/>
      <c r="U61" s="5"/>
      <c r="W61" s="3">
        <v>105</v>
      </c>
      <c r="X61" s="3">
        <v>900</v>
      </c>
      <c r="Y61" s="5">
        <v>94500</v>
      </c>
      <c r="Z61" s="4" t="s">
        <v>308</v>
      </c>
      <c r="AA61" s="3"/>
      <c r="AB61" s="3"/>
      <c r="AC61" s="5"/>
    </row>
    <row r="62" spans="1:30" ht="30" x14ac:dyDescent="0.25">
      <c r="A62" t="s">
        <v>309</v>
      </c>
      <c r="B62" t="s">
        <v>26</v>
      </c>
      <c r="C62" t="s">
        <v>310</v>
      </c>
      <c r="D62" s="4" t="s">
        <v>311</v>
      </c>
      <c r="E62">
        <v>800</v>
      </c>
      <c r="F62" t="s">
        <v>29</v>
      </c>
      <c r="G62" s="3">
        <v>411</v>
      </c>
      <c r="H62" s="3">
        <v>800</v>
      </c>
      <c r="I62" s="5">
        <v>328800</v>
      </c>
      <c r="J62" s="4" t="s">
        <v>312</v>
      </c>
      <c r="K62" s="3"/>
      <c r="L62" s="3"/>
      <c r="M62" s="5"/>
      <c r="O62" s="3">
        <v>291.88</v>
      </c>
      <c r="P62" s="3">
        <v>800</v>
      </c>
      <c r="Q62" s="5">
        <v>233504</v>
      </c>
      <c r="R62" t="s">
        <v>313</v>
      </c>
      <c r="S62" s="3"/>
      <c r="T62" s="3"/>
      <c r="U62" s="5"/>
      <c r="W62" s="3"/>
      <c r="X62" s="3"/>
      <c r="Y62" s="5"/>
      <c r="AA62" s="3"/>
      <c r="AB62" s="3"/>
      <c r="AC62" s="5"/>
    </row>
    <row r="63" spans="1:30" ht="45" x14ac:dyDescent="0.25">
      <c r="A63" t="s">
        <v>314</v>
      </c>
      <c r="B63" t="s">
        <v>26</v>
      </c>
      <c r="C63" t="s">
        <v>315</v>
      </c>
      <c r="D63" t="s">
        <v>316</v>
      </c>
      <c r="E63">
        <v>1000</v>
      </c>
      <c r="F63" t="s">
        <v>29</v>
      </c>
      <c r="G63" s="3">
        <v>315</v>
      </c>
      <c r="H63" s="3">
        <v>1000</v>
      </c>
      <c r="I63" s="5">
        <v>315000</v>
      </c>
      <c r="J63" s="4" t="s">
        <v>317</v>
      </c>
      <c r="K63" s="3">
        <v>37.479999999999997</v>
      </c>
      <c r="L63" s="3">
        <v>1000</v>
      </c>
      <c r="M63" s="5">
        <v>37480</v>
      </c>
      <c r="N63" s="4" t="s">
        <v>318</v>
      </c>
      <c r="O63" s="3">
        <v>81.55</v>
      </c>
      <c r="P63" s="3">
        <v>1000</v>
      </c>
      <c r="Q63" s="5">
        <v>81550</v>
      </c>
      <c r="R63" s="4" t="s">
        <v>319</v>
      </c>
      <c r="S63" s="3"/>
      <c r="T63" s="3"/>
      <c r="U63" s="5"/>
      <c r="W63" s="3">
        <v>74</v>
      </c>
      <c r="X63" s="3">
        <v>1000</v>
      </c>
      <c r="Y63" s="5">
        <v>74000</v>
      </c>
      <c r="Z63" s="4" t="s">
        <v>320</v>
      </c>
      <c r="AA63" s="3">
        <v>65.69</v>
      </c>
      <c r="AB63" s="3">
        <v>1000</v>
      </c>
      <c r="AC63" s="5">
        <v>65690</v>
      </c>
      <c r="AD63" s="4" t="s">
        <v>321</v>
      </c>
    </row>
    <row r="64" spans="1:30" x14ac:dyDescent="0.25">
      <c r="C64" t="s">
        <v>322</v>
      </c>
      <c r="G64" s="3"/>
      <c r="H64" s="3"/>
      <c r="I64" s="5">
        <f>SUBTOTAL(109,Table2[Total por renglón])</f>
        <v>7968287.5</v>
      </c>
      <c r="J64" s="4"/>
      <c r="K64" s="3"/>
      <c r="L64" s="3"/>
      <c r="M64" s="5">
        <f>SUBTOTAL(109,Table3[Total por renglón])</f>
        <v>2949069.1500000008</v>
      </c>
      <c r="N64" s="4"/>
      <c r="O64" s="3"/>
      <c r="P64" s="3"/>
      <c r="Q64" s="5">
        <f>SUBTOTAL(109,Table4[Total por renglón])</f>
        <v>5911401.0999999996</v>
      </c>
      <c r="R64" s="4"/>
      <c r="S64" s="3"/>
      <c r="T64" s="3"/>
      <c r="U64" s="5">
        <f>SUBTOTAL(109,Table5[Total por renglón])</f>
        <v>2887706.7</v>
      </c>
      <c r="W64" s="3"/>
      <c r="X64" s="3"/>
      <c r="Y64" s="5">
        <f>SUBTOTAL(109,Table6[Total por renglón])</f>
        <v>6037041</v>
      </c>
      <c r="Z64" s="4"/>
      <c r="AA64" s="3"/>
      <c r="AB64" s="3"/>
      <c r="AC64" s="5">
        <f>SUBTOTAL(109,Table7[Total por renglón])</f>
        <v>5623981.5</v>
      </c>
      <c r="AD64" s="4"/>
    </row>
  </sheetData>
  <mergeCells count="7">
    <mergeCell ref="AA8:AD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V. NICOLA</cp:lastModifiedBy>
  <dcterms:created xsi:type="dcterms:W3CDTF">2022-09-16T13:23:29Z</dcterms:created>
  <dcterms:modified xsi:type="dcterms:W3CDTF">2022-09-16T14:30:37Z</dcterms:modified>
</cp:coreProperties>
</file>