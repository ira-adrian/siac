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2° trimestre 2021\Enviado a la SCA Pos informe\Contrata la SCA\PRODUCTOS MEDICOS Y FARMA ok\Descartables\"/>
    </mc:Choice>
  </mc:AlternateContent>
  <bookViews>
    <workbookView xWindow="0" yWindow="0" windowWidth="28800" windowHeight="1243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Trimestrales'!$A$9:$I$27</definedName>
    <definedName name="_xlnm.Print_Area" localSheetId="1">' NotaPedido'!$A$1:$K$30</definedName>
    <definedName name="_xlnm.Print_Area" localSheetId="2">'Autor Gastar'!$A$1:$Q$25</definedName>
  </definedNames>
  <calcPr calcId="152511"/>
</workbook>
</file>

<file path=xl/calcChain.xml><?xml version="1.0" encoding="utf-8"?>
<calcChain xmlns="http://schemas.openxmlformats.org/spreadsheetml/2006/main">
  <c r="K29" i="2" l="1"/>
  <c r="J29" i="2"/>
  <c r="I29" i="2"/>
  <c r="C29" i="2"/>
  <c r="B29" i="2"/>
  <c r="A29" i="2"/>
  <c r="K28" i="2"/>
  <c r="J28" i="2"/>
  <c r="I28" i="2"/>
  <c r="C28" i="2"/>
  <c r="B28" i="2"/>
  <c r="A28" i="2"/>
  <c r="K27" i="2"/>
  <c r="J27" i="2"/>
  <c r="I27" i="2"/>
  <c r="C27" i="2"/>
  <c r="B27" i="2"/>
  <c r="A27" i="2"/>
  <c r="K26" i="2"/>
  <c r="J26" i="2"/>
  <c r="I26" i="2"/>
  <c r="C26" i="2"/>
  <c r="B26" i="2"/>
  <c r="A26" i="2"/>
  <c r="K25" i="2"/>
  <c r="J25" i="2"/>
  <c r="I25" i="2"/>
  <c r="C25" i="2"/>
  <c r="B25" i="2"/>
  <c r="A25" i="2"/>
  <c r="K24" i="2"/>
  <c r="J24" i="2"/>
  <c r="I24" i="2"/>
  <c r="C24" i="2"/>
  <c r="B24" i="2"/>
  <c r="A24" i="2"/>
  <c r="K23" i="2"/>
  <c r="J23" i="2"/>
  <c r="I23" i="2"/>
  <c r="C23" i="2"/>
  <c r="B23" i="2"/>
  <c r="A23" i="2"/>
  <c r="K22" i="2"/>
  <c r="J22" i="2"/>
  <c r="I22" i="2"/>
  <c r="C22" i="2"/>
  <c r="B22" i="2"/>
  <c r="A22" i="2"/>
  <c r="K21" i="2"/>
  <c r="J21" i="2"/>
  <c r="I21" i="2"/>
  <c r="C21" i="2"/>
  <c r="B21" i="2"/>
  <c r="A21" i="2"/>
  <c r="K20" i="2"/>
  <c r="J20" i="2"/>
  <c r="I20" i="2"/>
  <c r="C20" i="2"/>
  <c r="B20" i="2"/>
  <c r="A20" i="2"/>
  <c r="K19" i="2"/>
  <c r="J19" i="2"/>
  <c r="I19" i="2"/>
  <c r="C19" i="2"/>
  <c r="B19" i="2"/>
  <c r="A19" i="2"/>
  <c r="K18" i="2"/>
  <c r="J18" i="2"/>
  <c r="I18" i="2"/>
  <c r="C18" i="2"/>
  <c r="B18" i="2"/>
  <c r="A18" i="2"/>
  <c r="K17" i="2"/>
  <c r="J17" i="2"/>
  <c r="I17" i="2"/>
  <c r="C17" i="2"/>
  <c r="B17" i="2"/>
  <c r="A17" i="2"/>
  <c r="K16" i="2"/>
  <c r="J16" i="2"/>
  <c r="I16" i="2"/>
  <c r="C16" i="2"/>
  <c r="B16" i="2"/>
  <c r="A16" i="2"/>
  <c r="K15" i="2"/>
  <c r="J15" i="2"/>
  <c r="I15" i="2"/>
  <c r="C15" i="2"/>
  <c r="B15" i="2"/>
  <c r="A15" i="2"/>
  <c r="K14" i="2"/>
  <c r="J14" i="2"/>
  <c r="I14" i="2"/>
  <c r="C14" i="2"/>
  <c r="B14" i="2"/>
  <c r="A14" i="2"/>
  <c r="K13" i="2"/>
  <c r="J13" i="2"/>
  <c r="I13" i="2"/>
  <c r="C13" i="2"/>
  <c r="B13" i="2"/>
  <c r="A13" i="2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A12" i="2" l="1"/>
  <c r="B12" i="2"/>
  <c r="J12" i="2"/>
  <c r="C12" i="2"/>
  <c r="Q21" i="3"/>
  <c r="K12" i="2" l="1"/>
  <c r="J30" i="2" l="1"/>
  <c r="I12" i="2" l="1"/>
  <c r="I10" i="1" l="1"/>
  <c r="G6" i="3" l="1"/>
  <c r="G7" i="3"/>
  <c r="G4" i="3"/>
  <c r="G5" i="3"/>
</calcChain>
</file>

<file path=xl/sharedStrings.xml><?xml version="1.0" encoding="utf-8"?>
<sst xmlns="http://schemas.openxmlformats.org/spreadsheetml/2006/main" count="172" uniqueCount="98">
  <si>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</si>
  <si>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</si>
  <si>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</si>
  <si>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</si>
  <si>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</si>
  <si>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</si>
  <si>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</si>
  <si>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</si>
  <si>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</si>
  <si>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</si>
  <si>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</si>
  <si>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</si>
  <si>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</si>
  <si>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</si>
  <si>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</si>
  <si>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</si>
  <si>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</si>
  <si>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</si>
  <si>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</si>
  <si>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</si>
  <si>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</si>
  <si>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</si>
  <si>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</si>
  <si>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</si>
  <si>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</si>
  <si>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</si>
  <si>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</si>
  <si>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</si>
  <si>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</si>
  <si>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</si>
  <si>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</si>
  <si>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</si>
  <si>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</si>
  <si>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</si>
  <si>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</si>
  <si>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</si>
  <si>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</si>
  <si>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</si>
  <si>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</si>
  <si>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</si>
  <si>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</si>
  <si>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</si>
  <si>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</si>
  <si>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</si>
  <si>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</si>
  <si>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</si>
  <si>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</si>
  <si>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</si>
  <si>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</si>
  <si>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</si>
  <si>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</si>
  <si>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</si>
  <si>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</si>
  <si>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</si>
  <si>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</si>
  <si>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</si>
  <si>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</si>
  <si>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</si>
  <si>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</si>
  <si>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</si>
  <si>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</si>
  <si>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</si>
  <si>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</si>
  <si>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</si>
  <si>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</si>
  <si>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 TRIMESTRE- AÑO 2021</t>
  </si>
  <si>
    <t>2° trimestre</t>
  </si>
  <si>
    <t>No deben tener vencimiento menor a un (1) año</t>
  </si>
  <si>
    <t>Servicio de Farmcia</t>
  </si>
  <si>
    <t>10 dias desde la firma del instrumento contractual</t>
  </si>
  <si>
    <t xml:space="preserve">30 dias </t>
  </si>
  <si>
    <t>2.9.5</t>
  </si>
  <si>
    <t>SUTURAS</t>
  </si>
  <si>
    <t xml:space="preserve">HILO DE LINO N° 30 </t>
  </si>
  <si>
    <t xml:space="preserve">HILO DE LINO N° 40 </t>
  </si>
  <si>
    <t>HILO DE LINO N° 60</t>
  </si>
  <si>
    <t>HILO DE LINO N° 80</t>
  </si>
  <si>
    <t>HILO DE LINO N°100</t>
  </si>
  <si>
    <t>HILO DE SUTURA CATGUT  CROMICO Nº0</t>
  </si>
  <si>
    <t>HILO DE SUTURA CATGUT CROMICO Nro 1 CON AGUJA TIPO TAGUM</t>
  </si>
  <si>
    <t>HILO DE SUTURA CATGUT CROMICO Nro 2 CON AGUJA TIPO TAGUM</t>
  </si>
  <si>
    <t>HISOPOS NO EST.GINECOL.X 15 CM X 100 UNID.</t>
  </si>
  <si>
    <t>SUTURA QUIRURGICA ACIDO POLIGLICOLICO TRENZADA ABSORBIBLE TIPO VIRYL Nº 3-0 CODIGO J316 C / AGUJA</t>
  </si>
  <si>
    <t>SUTURA QUIRURGICA ACIDO POLIGLICOLICO TRENZADA ABSORBIBLE TIPO VIRYL Nº 4-0 CODIGO J315 C / AGUJA</t>
  </si>
  <si>
    <t>SUTURA QUIRURGICA ACIDO POLIGLICOLICO TRENZADA ABSORBIBLE TIPO VIRYL Nº 5-0 CODIGO J314 C / AGUJA</t>
  </si>
  <si>
    <t>SUTURA QUIRURGICA ACIDO POLIGLICOLICO TRENZADA ABSROBIBLE TIPO VICRYL 0 J340H CON AGUJA</t>
  </si>
  <si>
    <t>SUTURA QUIRURGICA ACIDO POLIGLICOLICO TRENZADA ABSROBIBLE TIPO VICRYL 1 J341 CON AGUJA</t>
  </si>
  <si>
    <t>SUTURA QUIRURGICA ACIDO POLIGLICOLICO TRENZADA ABSROBIBLE TIPO VICRYL 2 J536 CON AGUJA /W9246</t>
  </si>
  <si>
    <t>SUTURA QUIRURGICA ACIDO POLIGLICOLICO TRENZADA ABSROBIBLE TIPO VICRYL 2/0 J317H CON AGUJA</t>
  </si>
  <si>
    <t>SUTURA QUIRURGICA POLIPROPILENO NO ABSORBIBLE TIPO PROLENE 4/0 9521T</t>
  </si>
  <si>
    <t>SUTURA QUIRURGICA POLIPROPILENO NO ABSORBIBLE TIPO PROLENE 5/0 8698</t>
  </si>
  <si>
    <t>Especificidades Item N° : 1 a 18</t>
  </si>
  <si>
    <t xml:space="preserve"> Adquisición de Suturas</t>
  </si>
  <si>
    <t>Costo total estimado: SEIS MILLONES OCHENTA MIL SEISCIENTOS DOS CON 75/100</t>
  </si>
  <si>
    <t>TOTAL DE PESOS: SEIS MILLONES OCHENTA MIL SEISCIENTOS DOS CON 75/100</t>
  </si>
  <si>
    <t>Para la adquisición de Adquisición de Suturas para ser destinados Servicio de Farmacia, de  la Maternidad Provincial 25 de Mayo.-</t>
  </si>
  <si>
    <t>N° 58/2021</t>
  </si>
  <si>
    <t>"Autorizo la realización de los  trámites correspondientes, a fin de proveer a  este Organismo los bienes y/o servicios que se detallan en Nota  de Pedido N° 58/2021 ,  afectando la erogación resultante a los créditos presupuestarios aprobados a favor de esta Unidad Ejecutora, conforme al siguiente detalle:"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</si>
</sst>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</borders>
  <cellStyleXfs count="9">
    <xf numFmtId="0" fontId="0" fillId="0" borderId="0"/>
    <xf numFmtId="0" fontId="7" fillId="0" borderId="1" applyProtection="0"/>
    <xf numFmtId="164" fontId="8" fillId="0" borderId="0" applyBorder="0" applyProtection="0"/>
    <xf numFmtId="0" fontId="9" fillId="2" borderId="0" applyBorder="0" applyProtection="0"/>
    <xf numFmtId="165" fontId="16" fillId="0" borderId="0" applyBorder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6" fillId="6" borderId="0" applyNumberFormat="0" applyBorder="0" applyAlignment="0" applyProtection="0"/>
    <xf numFmtId="0" fontId="4" fillId="7" borderId="0" applyNumberFormat="0" applyBorder="0" applyAlignment="0" applyProtection="0"/>
  </cellStyleXfs>
  <cellXfs count="172">
    <xf numFmtId="0" fontId="0" fillId="0" borderId="0" xfId="0"/>
    <xf numFmtId="0" fontId="0" fillId="0" borderId="0" xfId="0" applyBorder="1"/>
    <xf numFmtId="0" fontId="8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8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0" fontId="17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0" fillId="3" borderId="0" xfId="0" applyFont="1" applyFill="1"/>
    <xf numFmtId="0" fontId="20" fillId="3" borderId="0" xfId="0" applyFont="1" applyFill="1" applyAlignment="1">
      <alignment horizontal="left" wrapText="1"/>
    </xf>
    <xf numFmtId="0" fontId="5" fillId="3" borderId="3" xfId="7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left" wrapText="1"/>
    </xf>
    <xf numFmtId="0" fontId="23" fillId="3" borderId="0" xfId="0" applyFont="1" applyFill="1" applyAlignment="1"/>
    <xf numFmtId="0" fontId="17" fillId="0" borderId="49" xfId="0" applyFont="1" applyBorder="1"/>
    <xf numFmtId="0" fontId="17" fillId="0" borderId="0" xfId="0" applyFont="1" applyAlignment="1">
      <alignment horizontal="center" wrapText="1"/>
    </xf>
    <xf numFmtId="0" fontId="17" fillId="0" borderId="53" xfId="0" applyFont="1" applyBorder="1"/>
    <xf numFmtId="0" fontId="17" fillId="0" borderId="0" xfId="0" applyFont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47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17" fillId="0" borderId="0" xfId="0" applyFont="1" applyAlignment="1"/>
    <xf numFmtId="0" fontId="17" fillId="0" borderId="0" xfId="0" applyFont="1" applyAlignment="1">
      <alignment wrapText="1"/>
    </xf>
    <xf numFmtId="0" fontId="30" fillId="3" borderId="5" xfId="0" applyFont="1" applyFill="1" applyBorder="1" applyAlignment="1">
      <alignment horizontal="right" vertical="center"/>
    </xf>
    <xf numFmtId="0" fontId="30" fillId="3" borderId="7" xfId="0" applyFont="1" applyFill="1" applyBorder="1" applyAlignment="1">
      <alignment vertical="center"/>
    </xf>
    <xf numFmtId="0" fontId="30" fillId="3" borderId="0" xfId="0" applyFont="1" applyFill="1" applyBorder="1" applyAlignment="1">
      <alignment vertical="center"/>
    </xf>
    <xf numFmtId="0" fontId="32" fillId="3" borderId="0" xfId="0" applyFont="1" applyFill="1" applyBorder="1" applyAlignment="1">
      <alignment horizontal="left" vertical="center"/>
    </xf>
    <xf numFmtId="0" fontId="31" fillId="3" borderId="0" xfId="0" applyFont="1" applyFill="1" applyBorder="1" applyAlignment="1">
      <alignment horizontal="left" vertical="center" wrapText="1" indent="1"/>
    </xf>
    <xf numFmtId="0" fontId="29" fillId="3" borderId="2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wrapText="1"/>
    </xf>
    <xf numFmtId="0" fontId="29" fillId="3" borderId="33" xfId="5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vertical="center"/>
    </xf>
    <xf numFmtId="0" fontId="36" fillId="3" borderId="0" xfId="0" applyFont="1" applyFill="1" applyBorder="1" applyAlignment="1">
      <alignment vertical="center"/>
    </xf>
    <xf numFmtId="166" fontId="29" fillId="3" borderId="3" xfId="6" applyNumberFormat="1" applyFont="1" applyFill="1" applyBorder="1" applyAlignment="1" applyProtection="1">
      <alignment horizontal="center" vertical="center" wrapText="1"/>
    </xf>
    <xf numFmtId="1" fontId="30" fillId="3" borderId="0" xfId="0" applyNumberFormat="1" applyFont="1" applyFill="1" applyBorder="1" applyAlignment="1">
      <alignment vertical="center"/>
    </xf>
    <xf numFmtId="1" fontId="31" fillId="3" borderId="0" xfId="0" applyNumberFormat="1" applyFont="1" applyFill="1" applyBorder="1" applyAlignment="1">
      <alignment horizontal="left" vertical="center" wrapText="1" indent="1"/>
    </xf>
    <xf numFmtId="1" fontId="29" fillId="3" borderId="4" xfId="5" applyNumberFormat="1" applyFont="1" applyFill="1" applyBorder="1" applyAlignment="1">
      <alignment horizontal="center" vertical="center"/>
    </xf>
    <xf numFmtId="1" fontId="8" fillId="3" borderId="0" xfId="0" applyNumberFormat="1" applyFont="1" applyFill="1" applyBorder="1" applyAlignment="1">
      <alignment vertical="center"/>
    </xf>
    <xf numFmtId="0" fontId="25" fillId="3" borderId="56" xfId="0" applyFont="1" applyFill="1" applyBorder="1" applyAlignment="1">
      <alignment horizontal="center" vertical="center" wrapText="1"/>
    </xf>
    <xf numFmtId="0" fontId="25" fillId="3" borderId="57" xfId="0" applyFont="1" applyFill="1" applyBorder="1" applyAlignment="1">
      <alignment horizontal="center" vertical="center" wrapText="1"/>
    </xf>
    <xf numFmtId="0" fontId="25" fillId="3" borderId="58" xfId="0" applyFont="1" applyFill="1" applyBorder="1" applyAlignment="1">
      <alignment horizontal="center" vertical="center" wrapText="1"/>
    </xf>
    <xf numFmtId="0" fontId="31" fillId="3" borderId="59" xfId="0" applyFont="1" applyFill="1" applyBorder="1" applyAlignment="1">
      <alignment horizontal="right" vertical="center"/>
    </xf>
    <xf numFmtId="169" fontId="25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38" fillId="3" borderId="0" xfId="0" applyFont="1" applyFill="1"/>
    <xf numFmtId="169" fontId="5" fillId="3" borderId="38" xfId="7" applyNumberFormat="1" applyFont="1" applyFill="1" applyBorder="1" applyAlignment="1">
      <alignment horizontal="center" vertical="center" wrapText="1"/>
    </xf>
    <xf numFmtId="170" fontId="27" fillId="0" borderId="60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25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1" fontId="29" fillId="3" borderId="44" xfId="5" applyNumberFormat="1" applyFont="1" applyFill="1" applyBorder="1" applyAlignment="1">
      <alignment horizontal="center" vertical="center" wrapText="1"/>
    </xf>
    <xf numFmtId="0" fontId="20" fillId="3" borderId="0" xfId="0" applyFont="1" applyFill="1" applyAlignment="1">
      <alignment vertical="center"/>
    </xf>
    <xf numFmtId="0" fontId="26" fillId="3" borderId="55" xfId="0" applyFont="1" applyFill="1" applyBorder="1" applyAlignment="1">
      <alignment horizontal="center" vertical="center"/>
    </xf>
    <xf numFmtId="169" fontId="23" fillId="3" borderId="0" xfId="0" applyNumberFormat="1" applyFont="1" applyFill="1" applyAlignment="1">
      <alignment horizontal="center"/>
    </xf>
    <xf numFmtId="169" fontId="20" fillId="3" borderId="0" xfId="0" applyNumberFormat="1" applyFont="1" applyFill="1" applyAlignment="1">
      <alignment horizontal="center"/>
    </xf>
    <xf numFmtId="169" fontId="17" fillId="0" borderId="0" xfId="0" applyNumberFormat="1" applyFont="1" applyAlignment="1">
      <alignment horizontal="center"/>
    </xf>
    <xf numFmtId="0" fontId="20" fillId="3" borderId="0" xfId="0" applyFont="1" applyFill="1" applyAlignment="1">
      <alignment wrapText="1"/>
    </xf>
    <xf numFmtId="0" fontId="0" fillId="0" borderId="53" xfId="0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53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7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23" fillId="0" borderId="0" xfId="0" applyFont="1" applyFill="1" applyAlignment="1"/>
    <xf numFmtId="0" fontId="21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center" wrapText="1"/>
    </xf>
    <xf numFmtId="0" fontId="25" fillId="0" borderId="57" xfId="0" applyFont="1" applyFill="1" applyBorder="1" applyAlignment="1">
      <alignment horizontal="center" vertical="center" wrapText="1"/>
    </xf>
    <xf numFmtId="0" fontId="5" fillId="0" borderId="3" xfId="7" applyFont="1" applyFill="1" applyBorder="1" applyAlignment="1">
      <alignment horizontal="center" vertical="center" wrapText="1"/>
    </xf>
    <xf numFmtId="0" fontId="20" fillId="0" borderId="0" xfId="0" applyFont="1" applyFill="1"/>
    <xf numFmtId="0" fontId="17" fillId="0" borderId="0" xfId="0" applyFont="1" applyFill="1"/>
    <xf numFmtId="0" fontId="0" fillId="0" borderId="0" xfId="0" applyFill="1"/>
    <xf numFmtId="0" fontId="17" fillId="0" borderId="50" xfId="0" applyFont="1" applyFill="1" applyBorder="1" applyAlignment="1">
      <alignment vertical="center"/>
    </xf>
    <xf numFmtId="0" fontId="17" fillId="0" borderId="51" xfId="0" applyFont="1" applyFill="1" applyBorder="1" applyAlignment="1">
      <alignment vertical="center"/>
    </xf>
    <xf numFmtId="0" fontId="17" fillId="0" borderId="51" xfId="0" applyFont="1" applyFill="1" applyBorder="1" applyAlignment="1"/>
    <xf numFmtId="0" fontId="17" fillId="0" borderId="51" xfId="0" applyFont="1" applyFill="1" applyBorder="1" applyAlignment="1">
      <alignment wrapText="1"/>
    </xf>
    <xf numFmtId="0" fontId="17" fillId="0" borderId="51" xfId="0" applyFont="1" applyFill="1" applyBorder="1" applyAlignment="1">
      <alignment horizontal="center" vertical="center" wrapText="1"/>
    </xf>
    <xf numFmtId="0" fontId="17" fillId="0" borderId="54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0" fillId="0" borderId="0" xfId="0" applyFont="1" applyFill="1" applyAlignment="1">
      <alignment horizontal="center"/>
    </xf>
    <xf numFmtId="0" fontId="3" fillId="3" borderId="3" xfId="7" applyFont="1" applyFill="1" applyBorder="1" applyAlignment="1">
      <alignment horizontal="center" vertical="center" wrapText="1"/>
    </xf>
    <xf numFmtId="0" fontId="2" fillId="3" borderId="33" xfId="6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17" fillId="0" borderId="51" xfId="0" applyFont="1" applyBorder="1" applyAlignment="1">
      <alignment horizontal="center" vertical="top" wrapText="1"/>
    </xf>
    <xf numFmtId="0" fontId="39" fillId="3" borderId="0" xfId="8" applyFont="1" applyFill="1" applyAlignment="1">
      <alignment horizontal="center" vertical="center"/>
    </xf>
    <xf numFmtId="0" fontId="17" fillId="0" borderId="5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4" fillId="3" borderId="0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wrapText="1" indent="1"/>
    </xf>
    <xf numFmtId="0" fontId="29" fillId="3" borderId="3" xfId="5" applyFont="1" applyFill="1" applyBorder="1" applyAlignment="1">
      <alignment horizontal="center" vertical="center" wrapText="1"/>
    </xf>
    <xf numFmtId="0" fontId="30" fillId="3" borderId="0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left" vertical="center" wrapText="1"/>
    </xf>
    <xf numFmtId="0" fontId="31" fillId="3" borderId="9" xfId="0" applyFont="1" applyFill="1" applyBorder="1" applyAlignment="1">
      <alignment horizontal="left" vertical="center" wrapText="1" indent="1"/>
    </xf>
    <xf numFmtId="0" fontId="32" fillId="3" borderId="10" xfId="0" applyFont="1" applyFill="1" applyBorder="1" applyAlignment="1">
      <alignment horizontal="left" vertical="center" wrapText="1"/>
    </xf>
    <xf numFmtId="0" fontId="32" fillId="3" borderId="11" xfId="0" applyFont="1" applyFill="1" applyBorder="1" applyAlignment="1">
      <alignment horizontal="left" vertical="center"/>
    </xf>
    <xf numFmtId="0" fontId="31" fillId="3" borderId="12" xfId="0" applyFont="1" applyFill="1" applyBorder="1" applyAlignment="1">
      <alignment horizontal="left" vertical="center" wrapText="1" indent="1"/>
    </xf>
    <xf numFmtId="0" fontId="33" fillId="3" borderId="11" xfId="0" applyFont="1" applyFill="1" applyBorder="1" applyAlignment="1">
      <alignment horizontal="center" vertical="center"/>
    </xf>
    <xf numFmtId="0" fontId="33" fillId="3" borderId="29" xfId="0" applyFont="1" applyFill="1" applyBorder="1" applyAlignment="1">
      <alignment horizontal="center" vertical="center"/>
    </xf>
    <xf numFmtId="0" fontId="33" fillId="3" borderId="13" xfId="0" applyFont="1" applyFill="1" applyBorder="1" applyAlignment="1">
      <alignment horizontal="center" vertical="center" wrapText="1"/>
    </xf>
    <xf numFmtId="0" fontId="33" fillId="3" borderId="30" xfId="0" applyFont="1" applyFill="1" applyBorder="1" applyAlignment="1">
      <alignment horizontal="center" vertical="center" wrapText="1"/>
    </xf>
    <xf numFmtId="1" fontId="33" fillId="3" borderId="12" xfId="0" applyNumberFormat="1" applyFont="1" applyFill="1" applyBorder="1" applyAlignment="1">
      <alignment horizontal="center" vertical="center" wrapText="1"/>
    </xf>
    <xf numFmtId="1" fontId="33" fillId="3" borderId="31" xfId="0" applyNumberFormat="1" applyFont="1" applyFill="1" applyBorder="1" applyAlignment="1">
      <alignment horizontal="center" vertical="center" wrapText="1"/>
    </xf>
    <xf numFmtId="165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31" fillId="3" borderId="32" xfId="0" applyFont="1" applyFill="1" applyBorder="1" applyAlignment="1">
      <alignment horizontal="left" vertical="center" wrapText="1" indent="1"/>
    </xf>
    <xf numFmtId="0" fontId="31" fillId="3" borderId="52" xfId="0" applyFont="1" applyFill="1" applyBorder="1" applyAlignment="1">
      <alignment horizontal="left" vertical="center" wrapText="1" indent="1"/>
    </xf>
    <xf numFmtId="166" fontId="34" fillId="3" borderId="45" xfId="0" applyNumberFormat="1" applyFont="1" applyFill="1" applyBorder="1" applyAlignment="1">
      <alignment horizontal="center" vertical="center"/>
    </xf>
    <xf numFmtId="0" fontId="13" fillId="0" borderId="17" xfId="0" applyFont="1" applyBorder="1" applyAlignment="1"/>
    <xf numFmtId="0" fontId="13" fillId="0" borderId="18" xfId="0" applyFont="1" applyBorder="1" applyAlignment="1">
      <alignment horizontal="left" vertical="center" wrapText="1" indent="1"/>
    </xf>
    <xf numFmtId="0" fontId="15" fillId="0" borderId="16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indent="1"/>
    </xf>
    <xf numFmtId="0" fontId="14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1" fillId="0" borderId="15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/>
    <xf numFmtId="0" fontId="15" fillId="0" borderId="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left" vertical="center" wrapText="1" indent="1"/>
    </xf>
    <xf numFmtId="0" fontId="41" fillId="0" borderId="25" xfId="0" applyFont="1" applyBorder="1" applyAlignment="1">
      <alignment horizontal="left" vertical="center" wrapText="1"/>
    </xf>
    <xf numFmtId="0" fontId="16" fillId="0" borderId="16" xfId="0" applyFont="1" applyBorder="1" applyAlignment="1"/>
    <xf numFmtId="0" fontId="0" fillId="0" borderId="16" xfId="0" applyBorder="1" applyAlignment="1"/>
    <xf numFmtId="0" fontId="16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6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6" fillId="0" borderId="61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0" fontId="1" fillId="3" borderId="3" xfId="7" applyFont="1" applyFill="1" applyBorder="1" applyAlignment="1">
      <alignment horizontal="center" vertical="center" wrapText="1"/>
    </xf>
    <xf numFmtId="0" fontId="1" fillId="3" borderId="33" xfId="6" applyFont="1" applyFill="1" applyBorder="1" applyAlignment="1">
      <alignment horizontal="center" vertical="center" wrapText="1"/>
    </xf>
  </cellXfs>
  <cellStyles count="9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7"/>
  <sheetViews>
    <sheetView tabSelected="1" topLeftCell="A20" zoomScale="80" zoomScaleNormal="80" workbookViewId="0">
      <selection activeCell="B32" sqref="B32"/>
    </sheetView>
  </sheetViews>
  <sheetFormatPr baseColWidth="10" defaultColWidth="11" defaultRowHeight="12.75" x14ac:dyDescent="0.2"/>
  <cols>
    <col min="1" max="1" width="7" style="81" customWidth="1"/>
    <col min="2" max="2" width="16.85546875" style="32" customWidth="1"/>
    <col min="3" max="3" width="23.5703125" style="86" customWidth="1"/>
    <col min="4" max="4" width="12.140625" style="32" customWidth="1"/>
    <col min="5" max="5" width="79" style="108" customWidth="1"/>
    <col min="6" max="6" width="11" style="32"/>
    <col min="7" max="7" width="12.7109375" style="81" customWidth="1"/>
    <col min="8" max="8" width="13.85546875" style="72" customWidth="1"/>
    <col min="9" max="9" width="27" style="84" customWidth="1"/>
    <col min="10" max="16384" width="11" style="18"/>
  </cols>
  <sheetData>
    <row r="2" spans="1:9" ht="27" x14ac:dyDescent="0.35">
      <c r="E2" s="93" t="s">
        <v>0</v>
      </c>
      <c r="F2" s="36"/>
      <c r="G2" s="77"/>
      <c r="I2" s="83"/>
    </row>
    <row r="4" spans="1:9" ht="18" customHeight="1" x14ac:dyDescent="0.25">
      <c r="A4" s="117" t="s">
        <v>1</v>
      </c>
      <c r="B4" s="117"/>
      <c r="C4" s="117"/>
      <c r="D4" s="117"/>
      <c r="E4" s="118" t="s">
        <v>60</v>
      </c>
      <c r="F4" s="118"/>
      <c r="G4" s="118"/>
    </row>
    <row r="5" spans="1:9" ht="18" customHeight="1" x14ac:dyDescent="0.25">
      <c r="A5" s="117" t="s">
        <v>2</v>
      </c>
      <c r="B5" s="117"/>
      <c r="C5" s="117"/>
      <c r="D5" s="117"/>
      <c r="E5" s="118" t="s">
        <v>55</v>
      </c>
      <c r="F5" s="118"/>
      <c r="G5" s="118"/>
    </row>
    <row r="6" spans="1:9" ht="16.5" customHeight="1" x14ac:dyDescent="0.25">
      <c r="A6" s="117" t="s">
        <v>3</v>
      </c>
      <c r="B6" s="117"/>
      <c r="C6" s="117"/>
      <c r="D6" s="117"/>
      <c r="E6" s="94">
        <v>2021</v>
      </c>
      <c r="F6" s="35"/>
      <c r="G6" s="78"/>
    </row>
    <row r="7" spans="1:9" ht="16.5" customHeight="1" x14ac:dyDescent="0.25">
      <c r="A7" s="117" t="s">
        <v>4</v>
      </c>
      <c r="B7" s="117"/>
      <c r="C7" s="117"/>
      <c r="D7" s="117"/>
      <c r="E7" s="94" t="s">
        <v>66</v>
      </c>
      <c r="F7" s="35"/>
      <c r="G7" s="78"/>
    </row>
    <row r="8" spans="1:9" ht="13.5" thickBot="1" x14ac:dyDescent="0.25">
      <c r="E8" s="95"/>
      <c r="F8" s="33"/>
      <c r="G8" s="79"/>
    </row>
    <row r="9" spans="1:9" ht="39" thickBot="1" x14ac:dyDescent="0.25">
      <c r="A9" s="67" t="s">
        <v>5</v>
      </c>
      <c r="B9" s="68" t="s">
        <v>6</v>
      </c>
      <c r="C9" s="68" t="s">
        <v>53</v>
      </c>
      <c r="D9" s="68" t="s">
        <v>54</v>
      </c>
      <c r="E9" s="96" t="s">
        <v>7</v>
      </c>
      <c r="F9" s="68" t="s">
        <v>8</v>
      </c>
      <c r="G9" s="69" t="s">
        <v>9</v>
      </c>
      <c r="H9" s="75" t="s">
        <v>10</v>
      </c>
      <c r="I9" s="71" t="s">
        <v>11</v>
      </c>
    </row>
    <row r="10" spans="1:9" ht="42" customHeight="1" thickBot="1" x14ac:dyDescent="0.25">
      <c r="A10" s="82">
        <v>1</v>
      </c>
      <c r="B10" s="34"/>
      <c r="C10" s="170" t="s">
        <v>72</v>
      </c>
      <c r="D10" s="171" t="s">
        <v>71</v>
      </c>
      <c r="E10" s="97" t="s">
        <v>73</v>
      </c>
      <c r="F10" s="34" t="s">
        <v>12</v>
      </c>
      <c r="G10" s="80">
        <v>6</v>
      </c>
      <c r="H10" s="92">
        <v>1800</v>
      </c>
      <c r="I10" s="74">
        <f>G10*H10</f>
        <v>10800</v>
      </c>
    </row>
    <row r="11" spans="1:9" ht="42" customHeight="1" thickBot="1" x14ac:dyDescent="0.25">
      <c r="A11" s="82">
        <v>2</v>
      </c>
      <c r="B11" s="34"/>
      <c r="C11" s="109" t="s">
        <v>72</v>
      </c>
      <c r="D11" s="110" t="s">
        <v>71</v>
      </c>
      <c r="E11" s="97" t="s">
        <v>74</v>
      </c>
      <c r="F11" s="34" t="s">
        <v>12</v>
      </c>
      <c r="G11" s="80">
        <v>6</v>
      </c>
      <c r="H11" s="92">
        <v>1800</v>
      </c>
      <c r="I11" s="74">
        <f t="shared" ref="I11:I27" si="0">G11*H11</f>
        <v>10800</v>
      </c>
    </row>
    <row r="12" spans="1:9" ht="42" customHeight="1" thickBot="1" x14ac:dyDescent="0.25">
      <c r="A12" s="82">
        <v>3</v>
      </c>
      <c r="B12" s="34"/>
      <c r="C12" s="109" t="s">
        <v>72</v>
      </c>
      <c r="D12" s="110" t="s">
        <v>71</v>
      </c>
      <c r="E12" s="97" t="s">
        <v>75</v>
      </c>
      <c r="F12" s="34" t="s">
        <v>12</v>
      </c>
      <c r="G12" s="80">
        <v>6</v>
      </c>
      <c r="H12" s="92">
        <v>1800</v>
      </c>
      <c r="I12" s="74">
        <f t="shared" si="0"/>
        <v>10800</v>
      </c>
    </row>
    <row r="13" spans="1:9" ht="42" customHeight="1" thickBot="1" x14ac:dyDescent="0.25">
      <c r="A13" s="82">
        <v>4</v>
      </c>
      <c r="B13" s="34"/>
      <c r="C13" s="109" t="s">
        <v>72</v>
      </c>
      <c r="D13" s="110" t="s">
        <v>71</v>
      </c>
      <c r="E13" s="97" t="s">
        <v>76</v>
      </c>
      <c r="F13" s="34" t="s">
        <v>12</v>
      </c>
      <c r="G13" s="80">
        <v>6</v>
      </c>
      <c r="H13" s="92">
        <v>1800</v>
      </c>
      <c r="I13" s="74">
        <f t="shared" si="0"/>
        <v>10800</v>
      </c>
    </row>
    <row r="14" spans="1:9" ht="42" customHeight="1" thickBot="1" x14ac:dyDescent="0.25">
      <c r="A14" s="82">
        <v>5</v>
      </c>
      <c r="B14" s="34"/>
      <c r="C14" s="109" t="s">
        <v>72</v>
      </c>
      <c r="D14" s="110" t="s">
        <v>71</v>
      </c>
      <c r="E14" s="97" t="s">
        <v>77</v>
      </c>
      <c r="F14" s="34" t="s">
        <v>12</v>
      </c>
      <c r="G14" s="80">
        <v>3</v>
      </c>
      <c r="H14" s="92">
        <v>1800</v>
      </c>
      <c r="I14" s="74">
        <f t="shared" si="0"/>
        <v>5400</v>
      </c>
    </row>
    <row r="15" spans="1:9" ht="42" customHeight="1" thickBot="1" x14ac:dyDescent="0.25">
      <c r="A15" s="82">
        <v>6</v>
      </c>
      <c r="B15" s="34"/>
      <c r="C15" s="109" t="s">
        <v>72</v>
      </c>
      <c r="D15" s="110" t="s">
        <v>71</v>
      </c>
      <c r="E15" s="97" t="s">
        <v>78</v>
      </c>
      <c r="F15" s="34" t="s">
        <v>12</v>
      </c>
      <c r="G15" s="80">
        <v>30</v>
      </c>
      <c r="H15" s="92">
        <v>400</v>
      </c>
      <c r="I15" s="74">
        <f t="shared" si="0"/>
        <v>12000</v>
      </c>
    </row>
    <row r="16" spans="1:9" ht="42" customHeight="1" thickBot="1" x14ac:dyDescent="0.25">
      <c r="A16" s="82">
        <v>7</v>
      </c>
      <c r="B16" s="34"/>
      <c r="C16" s="109" t="s">
        <v>72</v>
      </c>
      <c r="D16" s="110" t="s">
        <v>71</v>
      </c>
      <c r="E16" s="97" t="s">
        <v>79</v>
      </c>
      <c r="F16" s="34" t="s">
        <v>12</v>
      </c>
      <c r="G16" s="80">
        <v>200</v>
      </c>
      <c r="H16" s="92">
        <v>200</v>
      </c>
      <c r="I16" s="74">
        <f t="shared" si="0"/>
        <v>40000</v>
      </c>
    </row>
    <row r="17" spans="1:9" ht="42" customHeight="1" thickBot="1" x14ac:dyDescent="0.25">
      <c r="A17" s="82">
        <v>8</v>
      </c>
      <c r="B17" s="34"/>
      <c r="C17" s="109" t="s">
        <v>72</v>
      </c>
      <c r="D17" s="110" t="s">
        <v>71</v>
      </c>
      <c r="E17" s="97" t="s">
        <v>80</v>
      </c>
      <c r="F17" s="34" t="s">
        <v>12</v>
      </c>
      <c r="G17" s="80">
        <v>8000</v>
      </c>
      <c r="H17" s="92">
        <v>415</v>
      </c>
      <c r="I17" s="74">
        <f t="shared" si="0"/>
        <v>3320000</v>
      </c>
    </row>
    <row r="18" spans="1:9" ht="42" customHeight="1" thickBot="1" x14ac:dyDescent="0.25">
      <c r="A18" s="82">
        <v>9</v>
      </c>
      <c r="B18" s="34"/>
      <c r="C18" s="109" t="s">
        <v>72</v>
      </c>
      <c r="D18" s="110" t="s">
        <v>71</v>
      </c>
      <c r="E18" s="97" t="s">
        <v>81</v>
      </c>
      <c r="F18" s="34" t="s">
        <v>12</v>
      </c>
      <c r="G18" s="80">
        <v>100</v>
      </c>
      <c r="H18" s="92">
        <v>5</v>
      </c>
      <c r="I18" s="74">
        <f t="shared" si="0"/>
        <v>500</v>
      </c>
    </row>
    <row r="19" spans="1:9" ht="42" customHeight="1" thickBot="1" x14ac:dyDescent="0.25">
      <c r="A19" s="82">
        <v>10</v>
      </c>
      <c r="B19" s="34"/>
      <c r="C19" s="109" t="s">
        <v>72</v>
      </c>
      <c r="D19" s="110" t="s">
        <v>71</v>
      </c>
      <c r="E19" s="97" t="s">
        <v>82</v>
      </c>
      <c r="F19" s="34" t="s">
        <v>12</v>
      </c>
      <c r="G19" s="80">
        <v>25</v>
      </c>
      <c r="H19" s="92">
        <v>200.11</v>
      </c>
      <c r="I19" s="74">
        <f t="shared" si="0"/>
        <v>5002.75</v>
      </c>
    </row>
    <row r="20" spans="1:9" ht="42" customHeight="1" thickBot="1" x14ac:dyDescent="0.25">
      <c r="A20" s="82">
        <v>11</v>
      </c>
      <c r="B20" s="34"/>
      <c r="C20" s="109" t="s">
        <v>72</v>
      </c>
      <c r="D20" s="110" t="s">
        <v>71</v>
      </c>
      <c r="E20" s="97" t="s">
        <v>83</v>
      </c>
      <c r="F20" s="34" t="s">
        <v>12</v>
      </c>
      <c r="G20" s="80">
        <v>25</v>
      </c>
      <c r="H20" s="92">
        <v>206</v>
      </c>
      <c r="I20" s="74">
        <f t="shared" si="0"/>
        <v>5150</v>
      </c>
    </row>
    <row r="21" spans="1:9" ht="42" customHeight="1" thickBot="1" x14ac:dyDescent="0.25">
      <c r="A21" s="82">
        <v>12</v>
      </c>
      <c r="B21" s="34"/>
      <c r="C21" s="109" t="s">
        <v>72</v>
      </c>
      <c r="D21" s="110" t="s">
        <v>71</v>
      </c>
      <c r="E21" s="97" t="s">
        <v>84</v>
      </c>
      <c r="F21" s="34" t="s">
        <v>12</v>
      </c>
      <c r="G21" s="80">
        <v>25</v>
      </c>
      <c r="H21" s="92">
        <v>206</v>
      </c>
      <c r="I21" s="74">
        <f t="shared" si="0"/>
        <v>5150</v>
      </c>
    </row>
    <row r="22" spans="1:9" ht="42" customHeight="1" thickBot="1" x14ac:dyDescent="0.25">
      <c r="A22" s="82">
        <v>13</v>
      </c>
      <c r="B22" s="34"/>
      <c r="C22" s="109" t="s">
        <v>72</v>
      </c>
      <c r="D22" s="110" t="s">
        <v>71</v>
      </c>
      <c r="E22" s="97" t="s">
        <v>85</v>
      </c>
      <c r="F22" s="34" t="s">
        <v>12</v>
      </c>
      <c r="G22" s="80">
        <v>700</v>
      </c>
      <c r="H22" s="92">
        <v>300</v>
      </c>
      <c r="I22" s="74">
        <f t="shared" si="0"/>
        <v>210000</v>
      </c>
    </row>
    <row r="23" spans="1:9" ht="42" customHeight="1" thickBot="1" x14ac:dyDescent="0.25">
      <c r="A23" s="82">
        <v>14</v>
      </c>
      <c r="B23" s="34"/>
      <c r="C23" s="109" t="s">
        <v>72</v>
      </c>
      <c r="D23" s="110" t="s">
        <v>71</v>
      </c>
      <c r="E23" s="97" t="s">
        <v>86</v>
      </c>
      <c r="F23" s="34" t="s">
        <v>12</v>
      </c>
      <c r="G23" s="80">
        <v>4000</v>
      </c>
      <c r="H23" s="92">
        <v>300</v>
      </c>
      <c r="I23" s="74">
        <f t="shared" si="0"/>
        <v>1200000</v>
      </c>
    </row>
    <row r="24" spans="1:9" ht="42" customHeight="1" thickBot="1" x14ac:dyDescent="0.25">
      <c r="A24" s="82">
        <v>15</v>
      </c>
      <c r="B24" s="34"/>
      <c r="C24" s="109" t="s">
        <v>72</v>
      </c>
      <c r="D24" s="110" t="s">
        <v>71</v>
      </c>
      <c r="E24" s="97" t="s">
        <v>87</v>
      </c>
      <c r="F24" s="34" t="s">
        <v>12</v>
      </c>
      <c r="G24" s="80">
        <v>4000</v>
      </c>
      <c r="H24" s="92">
        <v>300</v>
      </c>
      <c r="I24" s="74">
        <f t="shared" si="0"/>
        <v>1200000</v>
      </c>
    </row>
    <row r="25" spans="1:9" ht="42" customHeight="1" thickBot="1" x14ac:dyDescent="0.25">
      <c r="A25" s="82">
        <v>16</v>
      </c>
      <c r="B25" s="34"/>
      <c r="C25" s="109" t="s">
        <v>72</v>
      </c>
      <c r="D25" s="110" t="s">
        <v>71</v>
      </c>
      <c r="E25" s="97" t="s">
        <v>88</v>
      </c>
      <c r="F25" s="34" t="s">
        <v>12</v>
      </c>
      <c r="G25" s="80">
        <v>100</v>
      </c>
      <c r="H25" s="92">
        <v>267</v>
      </c>
      <c r="I25" s="74">
        <f t="shared" si="0"/>
        <v>26700</v>
      </c>
    </row>
    <row r="26" spans="1:9" ht="42" customHeight="1" thickBot="1" x14ac:dyDescent="0.25">
      <c r="A26" s="82">
        <v>17</v>
      </c>
      <c r="B26" s="34"/>
      <c r="C26" s="109" t="s">
        <v>72</v>
      </c>
      <c r="D26" s="110" t="s">
        <v>71</v>
      </c>
      <c r="E26" s="97" t="s">
        <v>89</v>
      </c>
      <c r="F26" s="34" t="s">
        <v>12</v>
      </c>
      <c r="G26" s="80">
        <v>25</v>
      </c>
      <c r="H26" s="92">
        <v>150</v>
      </c>
      <c r="I26" s="74">
        <f t="shared" si="0"/>
        <v>3750</v>
      </c>
    </row>
    <row r="27" spans="1:9" ht="42" customHeight="1" x14ac:dyDescent="0.2">
      <c r="A27" s="82">
        <v>18</v>
      </c>
      <c r="B27" s="34"/>
      <c r="C27" s="109" t="s">
        <v>72</v>
      </c>
      <c r="D27" s="110" t="s">
        <v>71</v>
      </c>
      <c r="E27" s="97" t="s">
        <v>90</v>
      </c>
      <c r="F27" s="34" t="s">
        <v>12</v>
      </c>
      <c r="G27" s="80">
        <v>25</v>
      </c>
      <c r="H27" s="92">
        <v>150</v>
      </c>
      <c r="I27" s="74">
        <f t="shared" si="0"/>
        <v>3750</v>
      </c>
    </row>
    <row r="28" spans="1:9" ht="15.75" x14ac:dyDescent="0.25">
      <c r="A28" s="42"/>
      <c r="B28" s="73"/>
      <c r="E28" s="98"/>
      <c r="I28" s="85"/>
    </row>
    <row r="29" spans="1:9" x14ac:dyDescent="0.2">
      <c r="A29" s="42"/>
      <c r="B29" s="18"/>
      <c r="D29" s="18"/>
      <c r="E29" s="99"/>
      <c r="F29" s="18"/>
      <c r="I29" s="85"/>
    </row>
    <row r="30" spans="1:9" ht="13.5" customHeight="1" thickBot="1" x14ac:dyDescent="0.25">
      <c r="A30" s="42"/>
      <c r="B30" s="76"/>
      <c r="C30" s="87"/>
      <c r="D30" s="41"/>
      <c r="E30" s="100"/>
      <c r="F30" s="18"/>
      <c r="G30" s="114"/>
      <c r="H30" s="18"/>
      <c r="I30" s="18"/>
    </row>
    <row r="31" spans="1:9" ht="15" customHeight="1" x14ac:dyDescent="0.2">
      <c r="A31" s="42"/>
      <c r="B31" s="47" t="s">
        <v>91</v>
      </c>
      <c r="C31" s="88"/>
      <c r="D31" s="37"/>
      <c r="E31" s="101"/>
      <c r="F31" s="18"/>
      <c r="G31" s="114"/>
      <c r="H31" s="18"/>
      <c r="I31" s="18"/>
    </row>
    <row r="32" spans="1:9" ht="15" customHeight="1" x14ac:dyDescent="0.2">
      <c r="A32" s="42"/>
      <c r="B32" s="43"/>
      <c r="C32" s="88"/>
      <c r="D32" s="18"/>
      <c r="E32" s="102"/>
      <c r="F32" s="18"/>
      <c r="G32" s="114"/>
      <c r="H32" s="18"/>
      <c r="I32" s="18"/>
    </row>
    <row r="33" spans="1:9" ht="15" customHeight="1" x14ac:dyDescent="0.2">
      <c r="A33" s="42"/>
      <c r="B33" s="44" t="s">
        <v>56</v>
      </c>
      <c r="C33" s="88"/>
      <c r="D33" s="18"/>
      <c r="E33" s="102"/>
      <c r="F33" s="18"/>
      <c r="G33" s="114"/>
      <c r="H33" s="18"/>
      <c r="I33" s="18"/>
    </row>
    <row r="34" spans="1:9" ht="24" customHeight="1" x14ac:dyDescent="0.2">
      <c r="A34" s="42"/>
      <c r="B34" s="44"/>
      <c r="C34" s="112" t="s">
        <v>67</v>
      </c>
      <c r="D34" s="112"/>
      <c r="E34" s="113"/>
      <c r="F34" s="18"/>
      <c r="G34" s="114"/>
      <c r="H34" s="18"/>
      <c r="I34" s="18"/>
    </row>
    <row r="35" spans="1:9" ht="15" customHeight="1" x14ac:dyDescent="0.2">
      <c r="A35" s="42"/>
      <c r="B35" s="45" t="s">
        <v>62</v>
      </c>
      <c r="C35" s="111" t="s">
        <v>69</v>
      </c>
      <c r="D35" s="111"/>
      <c r="E35" s="111"/>
      <c r="F35" s="18"/>
      <c r="G35" s="114"/>
      <c r="H35" s="18"/>
      <c r="I35" s="18"/>
    </row>
    <row r="36" spans="1:9" ht="15" customHeight="1" x14ac:dyDescent="0.2">
      <c r="A36" s="42"/>
      <c r="B36" s="116"/>
      <c r="C36" s="116"/>
      <c r="D36" s="116"/>
      <c r="E36" s="116"/>
      <c r="F36" s="18"/>
      <c r="G36" s="114"/>
      <c r="H36" s="18"/>
      <c r="I36" s="18"/>
    </row>
    <row r="37" spans="1:9" ht="24.75" customHeight="1" x14ac:dyDescent="0.2">
      <c r="A37" s="42"/>
      <c r="B37" s="43" t="s">
        <v>63</v>
      </c>
      <c r="C37" s="111" t="s">
        <v>64</v>
      </c>
      <c r="D37" s="111"/>
      <c r="E37" s="115"/>
      <c r="F37" s="18"/>
      <c r="G37" s="114"/>
      <c r="H37" s="18"/>
      <c r="I37" s="18"/>
    </row>
    <row r="38" spans="1:9" ht="15" customHeight="1" x14ac:dyDescent="0.2">
      <c r="A38" s="42"/>
      <c r="B38" s="43"/>
      <c r="C38" s="49"/>
      <c r="D38" s="48"/>
      <c r="E38" s="103"/>
      <c r="F38" s="18"/>
      <c r="G38" s="114"/>
      <c r="H38" s="18"/>
      <c r="I38" s="18"/>
    </row>
    <row r="39" spans="1:9" ht="12.75" customHeight="1" x14ac:dyDescent="0.2">
      <c r="A39" s="42"/>
      <c r="B39" s="44" t="s">
        <v>57</v>
      </c>
      <c r="C39" s="111"/>
      <c r="D39" s="111"/>
      <c r="E39" s="115"/>
      <c r="F39" s="18"/>
      <c r="G39" s="114"/>
      <c r="H39" s="18"/>
      <c r="I39" s="18"/>
    </row>
    <row r="40" spans="1:9" ht="12.75" customHeight="1" x14ac:dyDescent="0.2">
      <c r="A40" s="42"/>
      <c r="B40" s="43"/>
      <c r="C40" s="49"/>
      <c r="D40" s="49"/>
      <c r="E40" s="104"/>
      <c r="F40" s="18"/>
      <c r="G40" s="114"/>
      <c r="H40" s="18"/>
      <c r="I40" s="18"/>
    </row>
    <row r="41" spans="1:9" ht="15" customHeight="1" x14ac:dyDescent="0.2">
      <c r="A41" s="42"/>
      <c r="B41" s="44" t="s">
        <v>58</v>
      </c>
      <c r="C41" s="40"/>
      <c r="D41" s="38"/>
      <c r="E41" s="105"/>
      <c r="F41" s="18"/>
      <c r="G41" s="114"/>
      <c r="H41" s="18"/>
      <c r="I41" s="18"/>
    </row>
    <row r="42" spans="1:9" ht="15" customHeight="1" x14ac:dyDescent="0.2">
      <c r="A42" s="42"/>
      <c r="B42" s="43"/>
      <c r="C42" s="49"/>
      <c r="D42" s="49"/>
      <c r="E42" s="104" t="s">
        <v>70</v>
      </c>
      <c r="F42" s="18"/>
      <c r="G42" s="114"/>
      <c r="H42" s="18"/>
      <c r="I42" s="18"/>
    </row>
    <row r="43" spans="1:9" ht="15" customHeight="1" x14ac:dyDescent="0.2">
      <c r="A43" s="42"/>
      <c r="B43" s="44" t="s">
        <v>59</v>
      </c>
      <c r="C43" s="88"/>
      <c r="D43" s="18"/>
      <c r="E43" s="102"/>
      <c r="F43" s="18"/>
      <c r="G43" s="114"/>
      <c r="H43" s="18"/>
      <c r="I43" s="18"/>
    </row>
    <row r="44" spans="1:9" ht="15" customHeight="1" x14ac:dyDescent="0.2">
      <c r="A44" s="42"/>
      <c r="B44" s="44"/>
      <c r="C44" s="49"/>
      <c r="D44" s="48"/>
      <c r="E44" s="103"/>
      <c r="F44" s="18"/>
      <c r="G44" s="114"/>
      <c r="H44" s="18"/>
      <c r="I44" s="18"/>
    </row>
    <row r="45" spans="1:9" ht="12.75" customHeight="1" thickBot="1" x14ac:dyDescent="0.25">
      <c r="A45" s="42"/>
      <c r="B45" s="46"/>
      <c r="C45" s="89"/>
      <c r="D45" s="39"/>
      <c r="E45" s="106"/>
      <c r="F45" s="18"/>
      <c r="G45" s="114"/>
      <c r="H45" s="18"/>
      <c r="I45" s="18"/>
    </row>
    <row r="46" spans="1:9" ht="12.75" customHeight="1" x14ac:dyDescent="0.2">
      <c r="A46" s="42"/>
      <c r="B46" s="76"/>
      <c r="C46" s="90"/>
      <c r="D46" s="91"/>
      <c r="E46" s="107"/>
      <c r="F46" s="18"/>
      <c r="G46" s="114"/>
      <c r="H46" s="18"/>
      <c r="I46" s="18"/>
    </row>
    <row r="47" spans="1:9" x14ac:dyDescent="0.2">
      <c r="I47" s="85"/>
    </row>
    <row r="48" spans="1:9" x14ac:dyDescent="0.2">
      <c r="I48" s="85"/>
    </row>
    <row r="49" spans="9:9" x14ac:dyDescent="0.2">
      <c r="I49" s="85"/>
    </row>
    <row r="50" spans="9:9" x14ac:dyDescent="0.2">
      <c r="I50" s="85"/>
    </row>
    <row r="51" spans="9:9" x14ac:dyDescent="0.2">
      <c r="I51" s="85"/>
    </row>
    <row r="52" spans="9:9" x14ac:dyDescent="0.2">
      <c r="I52" s="85"/>
    </row>
    <row r="53" spans="9:9" x14ac:dyDescent="0.2">
      <c r="I53" s="85"/>
    </row>
    <row r="54" spans="9:9" x14ac:dyDescent="0.2">
      <c r="I54" s="85"/>
    </row>
    <row r="55" spans="9:9" x14ac:dyDescent="0.2">
      <c r="I55" s="85"/>
    </row>
    <row r="56" spans="9:9" x14ac:dyDescent="0.2">
      <c r="I56" s="85"/>
    </row>
    <row r="57" spans="9:9" x14ac:dyDescent="0.2">
      <c r="I57" s="85"/>
    </row>
    <row r="58" spans="9:9" x14ac:dyDescent="0.2">
      <c r="I58" s="85"/>
    </row>
    <row r="59" spans="9:9" x14ac:dyDescent="0.2">
      <c r="I59" s="85"/>
    </row>
    <row r="60" spans="9:9" x14ac:dyDescent="0.2">
      <c r="I60" s="85"/>
    </row>
    <row r="61" spans="9:9" x14ac:dyDescent="0.2">
      <c r="I61" s="85"/>
    </row>
    <row r="62" spans="9:9" x14ac:dyDescent="0.2">
      <c r="I62" s="85"/>
    </row>
    <row r="63" spans="9:9" x14ac:dyDescent="0.2">
      <c r="I63" s="85"/>
    </row>
    <row r="64" spans="9:9" x14ac:dyDescent="0.2">
      <c r="I64" s="85"/>
    </row>
    <row r="65" spans="9:9" x14ac:dyDescent="0.2">
      <c r="I65" s="85"/>
    </row>
    <row r="66" spans="9:9" x14ac:dyDescent="0.2">
      <c r="I66" s="85"/>
    </row>
    <row r="67" spans="9:9" x14ac:dyDescent="0.2">
      <c r="I67" s="85"/>
    </row>
    <row r="68" spans="9:9" x14ac:dyDescent="0.2">
      <c r="I68" s="85"/>
    </row>
    <row r="69" spans="9:9" x14ac:dyDescent="0.2">
      <c r="I69" s="85"/>
    </row>
    <row r="70" spans="9:9" x14ac:dyDescent="0.2">
      <c r="I70" s="85"/>
    </row>
    <row r="71" spans="9:9" x14ac:dyDescent="0.2">
      <c r="I71" s="85"/>
    </row>
    <row r="72" spans="9:9" x14ac:dyDescent="0.2">
      <c r="I72" s="85"/>
    </row>
    <row r="73" spans="9:9" x14ac:dyDescent="0.2">
      <c r="I73" s="85"/>
    </row>
    <row r="74" spans="9:9" x14ac:dyDescent="0.2">
      <c r="I74" s="85"/>
    </row>
    <row r="75" spans="9:9" x14ac:dyDescent="0.2">
      <c r="I75" s="85"/>
    </row>
    <row r="76" spans="9:9" x14ac:dyDescent="0.2">
      <c r="I76" s="85"/>
    </row>
    <row r="77" spans="9:9" x14ac:dyDescent="0.2">
      <c r="I77" s="85"/>
    </row>
    <row r="78" spans="9:9" x14ac:dyDescent="0.2">
      <c r="I78" s="85"/>
    </row>
    <row r="79" spans="9:9" x14ac:dyDescent="0.2">
      <c r="I79" s="85"/>
    </row>
    <row r="80" spans="9:9" x14ac:dyDescent="0.2">
      <c r="I80" s="85"/>
    </row>
    <row r="81" spans="9:9" x14ac:dyDescent="0.2">
      <c r="I81" s="85"/>
    </row>
    <row r="82" spans="9:9" x14ac:dyDescent="0.2">
      <c r="I82" s="85"/>
    </row>
    <row r="83" spans="9:9" x14ac:dyDescent="0.2">
      <c r="I83" s="85"/>
    </row>
    <row r="84" spans="9:9" x14ac:dyDescent="0.2">
      <c r="I84" s="85"/>
    </row>
    <row r="85" spans="9:9" x14ac:dyDescent="0.2">
      <c r="I85" s="85"/>
    </row>
    <row r="86" spans="9:9" x14ac:dyDescent="0.2">
      <c r="I86" s="85"/>
    </row>
    <row r="87" spans="9:9" x14ac:dyDescent="0.2">
      <c r="I87" s="85"/>
    </row>
    <row r="88" spans="9:9" x14ac:dyDescent="0.2">
      <c r="I88" s="85"/>
    </row>
    <row r="89" spans="9:9" x14ac:dyDescent="0.2">
      <c r="I89" s="85"/>
    </row>
    <row r="90" spans="9:9" x14ac:dyDescent="0.2">
      <c r="I90" s="85"/>
    </row>
    <row r="91" spans="9:9" x14ac:dyDescent="0.2">
      <c r="I91" s="85"/>
    </row>
    <row r="92" spans="9:9" x14ac:dyDescent="0.2">
      <c r="I92" s="85"/>
    </row>
    <row r="93" spans="9:9" x14ac:dyDescent="0.2">
      <c r="I93" s="85"/>
    </row>
    <row r="94" spans="9:9" x14ac:dyDescent="0.2">
      <c r="I94" s="85"/>
    </row>
    <row r="95" spans="9:9" x14ac:dyDescent="0.2">
      <c r="I95" s="85"/>
    </row>
    <row r="96" spans="9:9" x14ac:dyDescent="0.2">
      <c r="I96" s="85"/>
    </row>
    <row r="97" spans="9:9" x14ac:dyDescent="0.2">
      <c r="I97" s="85"/>
    </row>
    <row r="98" spans="9:9" x14ac:dyDescent="0.2">
      <c r="I98" s="85"/>
    </row>
    <row r="99" spans="9:9" x14ac:dyDescent="0.2">
      <c r="I99" s="85"/>
    </row>
    <row r="100" spans="9:9" x14ac:dyDescent="0.2">
      <c r="I100" s="85"/>
    </row>
    <row r="101" spans="9:9" x14ac:dyDescent="0.2">
      <c r="I101" s="85"/>
    </row>
    <row r="102" spans="9:9" x14ac:dyDescent="0.2">
      <c r="I102" s="85"/>
    </row>
    <row r="103" spans="9:9" x14ac:dyDescent="0.2">
      <c r="I103" s="85"/>
    </row>
    <row r="104" spans="9:9" x14ac:dyDescent="0.2">
      <c r="I104" s="85"/>
    </row>
    <row r="105" spans="9:9" x14ac:dyDescent="0.2">
      <c r="I105" s="85"/>
    </row>
    <row r="106" spans="9:9" x14ac:dyDescent="0.2">
      <c r="I106" s="85"/>
    </row>
    <row r="107" spans="9:9" x14ac:dyDescent="0.2">
      <c r="I107" s="85"/>
    </row>
    <row r="108" spans="9:9" x14ac:dyDescent="0.2">
      <c r="I108" s="85"/>
    </row>
    <row r="109" spans="9:9" x14ac:dyDescent="0.2">
      <c r="I109" s="85"/>
    </row>
    <row r="110" spans="9:9" x14ac:dyDescent="0.2">
      <c r="I110" s="85"/>
    </row>
    <row r="111" spans="9:9" x14ac:dyDescent="0.2">
      <c r="I111" s="85"/>
    </row>
    <row r="112" spans="9:9" x14ac:dyDescent="0.2">
      <c r="I112" s="85"/>
    </row>
    <row r="113" spans="9:9" x14ac:dyDescent="0.2">
      <c r="I113" s="85"/>
    </row>
    <row r="114" spans="9:9" x14ac:dyDescent="0.2">
      <c r="I114" s="85"/>
    </row>
    <row r="115" spans="9:9" x14ac:dyDescent="0.2">
      <c r="I115" s="85"/>
    </row>
    <row r="116" spans="9:9" x14ac:dyDescent="0.2">
      <c r="I116" s="85"/>
    </row>
    <row r="117" spans="9:9" x14ac:dyDescent="0.2">
      <c r="I117" s="85"/>
    </row>
    <row r="118" spans="9:9" x14ac:dyDescent="0.2">
      <c r="I118" s="85"/>
    </row>
    <row r="119" spans="9:9" x14ac:dyDescent="0.2">
      <c r="I119" s="85"/>
    </row>
    <row r="120" spans="9:9" x14ac:dyDescent="0.2">
      <c r="I120" s="85"/>
    </row>
    <row r="121" spans="9:9" x14ac:dyDescent="0.2">
      <c r="I121" s="85"/>
    </row>
    <row r="122" spans="9:9" x14ac:dyDescent="0.2">
      <c r="I122" s="85"/>
    </row>
    <row r="123" spans="9:9" x14ac:dyDescent="0.2">
      <c r="I123" s="85"/>
    </row>
    <row r="124" spans="9:9" x14ac:dyDescent="0.2">
      <c r="I124" s="85"/>
    </row>
    <row r="125" spans="9:9" x14ac:dyDescent="0.2">
      <c r="I125" s="85"/>
    </row>
    <row r="126" spans="9:9" x14ac:dyDescent="0.2">
      <c r="I126" s="85"/>
    </row>
    <row r="127" spans="9:9" x14ac:dyDescent="0.2">
      <c r="I127" s="85"/>
    </row>
    <row r="128" spans="9:9" x14ac:dyDescent="0.2">
      <c r="I128" s="85"/>
    </row>
    <row r="129" spans="9:9" x14ac:dyDescent="0.2">
      <c r="I129" s="85"/>
    </row>
    <row r="130" spans="9:9" x14ac:dyDescent="0.2">
      <c r="I130" s="85"/>
    </row>
    <row r="131" spans="9:9" x14ac:dyDescent="0.2">
      <c r="I131" s="85"/>
    </row>
    <row r="132" spans="9:9" x14ac:dyDescent="0.2">
      <c r="I132" s="85"/>
    </row>
    <row r="133" spans="9:9" x14ac:dyDescent="0.2">
      <c r="I133" s="85"/>
    </row>
    <row r="134" spans="9:9" x14ac:dyDescent="0.2">
      <c r="I134" s="85"/>
    </row>
    <row r="135" spans="9:9" x14ac:dyDescent="0.2">
      <c r="I135" s="85"/>
    </row>
    <row r="136" spans="9:9" x14ac:dyDescent="0.2">
      <c r="I136" s="85"/>
    </row>
    <row r="137" spans="9:9" x14ac:dyDescent="0.2">
      <c r="I137" s="85"/>
    </row>
  </sheetData>
  <autoFilter ref="A9:I27"/>
  <mergeCells count="12">
    <mergeCell ref="A4:D4"/>
    <mergeCell ref="A5:D5"/>
    <mergeCell ref="A6:D6"/>
    <mergeCell ref="A7:D7"/>
    <mergeCell ref="E4:G4"/>
    <mergeCell ref="E5:G5"/>
    <mergeCell ref="C35:E35"/>
    <mergeCell ref="C34:E34"/>
    <mergeCell ref="G30:G46"/>
    <mergeCell ref="C37:E37"/>
    <mergeCell ref="B36:E36"/>
    <mergeCell ref="C39:E39"/>
  </mergeCells>
  <phoneticPr fontId="22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37"/>
  <sheetViews>
    <sheetView topLeftCell="A25" zoomScale="68" zoomScaleNormal="68" workbookViewId="0">
      <selection activeCell="K2" sqref="K2"/>
    </sheetView>
  </sheetViews>
  <sheetFormatPr baseColWidth="10" defaultColWidth="9.140625" defaultRowHeight="12.75" x14ac:dyDescent="0.2"/>
  <cols>
    <col min="1" max="1" width="13.140625" style="59" customWidth="1"/>
    <col min="2" max="2" width="19.5703125" style="59" customWidth="1"/>
    <col min="3" max="3" width="14.140625" style="59" customWidth="1"/>
    <col min="4" max="4" width="26" style="59" customWidth="1"/>
    <col min="5" max="5" width="8" style="59" customWidth="1"/>
    <col min="6" max="6" width="7.85546875" style="59" customWidth="1"/>
    <col min="7" max="7" width="42" style="59" customWidth="1"/>
    <col min="8" max="8" width="9.28515625" style="59" customWidth="1"/>
    <col min="9" max="9" width="15.5703125" style="59" customWidth="1"/>
    <col min="10" max="10" width="20.42578125" style="59" customWidth="1"/>
    <col min="11" max="11" width="30.42578125" style="66" customWidth="1"/>
    <col min="12" max="1013" width="9.140625" style="2"/>
  </cols>
  <sheetData>
    <row r="1" spans="1:1013" ht="18" customHeight="1" x14ac:dyDescent="0.2">
      <c r="A1" s="120" t="s">
        <v>13</v>
      </c>
      <c r="B1" s="120"/>
      <c r="C1" s="120"/>
      <c r="D1" s="120"/>
      <c r="E1" s="120"/>
      <c r="F1" s="120"/>
      <c r="G1" s="120"/>
      <c r="H1" s="120"/>
      <c r="I1" s="120"/>
      <c r="J1" s="50"/>
      <c r="K1" s="70" t="s">
        <v>96</v>
      </c>
    </row>
    <row r="2" spans="1:1013" ht="18.75" customHeight="1" thickBot="1" x14ac:dyDescent="0.25">
      <c r="A2" s="51"/>
      <c r="B2" s="51"/>
      <c r="C2" s="51"/>
      <c r="D2" s="52"/>
      <c r="E2" s="52"/>
      <c r="F2" s="52"/>
      <c r="G2" s="52"/>
      <c r="H2" s="52"/>
      <c r="I2" s="52"/>
      <c r="J2" s="52"/>
      <c r="K2" s="63"/>
    </row>
    <row r="3" spans="1:1013" ht="18.75" customHeight="1" thickBot="1" x14ac:dyDescent="0.25">
      <c r="A3" s="121" t="s">
        <v>14</v>
      </c>
      <c r="B3" s="121"/>
      <c r="C3" s="121"/>
      <c r="D3" s="122" t="s">
        <v>61</v>
      </c>
      <c r="E3" s="122"/>
      <c r="F3" s="122"/>
      <c r="G3" s="122"/>
      <c r="H3" s="122"/>
      <c r="I3" s="122"/>
      <c r="J3" s="122"/>
      <c r="K3" s="122"/>
    </row>
    <row r="4" spans="1:1013" ht="18.75" customHeight="1" thickBot="1" x14ac:dyDescent="0.25">
      <c r="A4" s="123" t="s">
        <v>15</v>
      </c>
      <c r="B4" s="123"/>
      <c r="C4" s="123"/>
      <c r="D4" s="122" t="s">
        <v>55</v>
      </c>
      <c r="E4" s="122"/>
      <c r="F4" s="122"/>
      <c r="G4" s="122"/>
      <c r="H4" s="122"/>
      <c r="I4" s="122"/>
      <c r="J4" s="122"/>
      <c r="K4" s="122"/>
    </row>
    <row r="5" spans="1:1013" ht="18.75" customHeight="1" thickBot="1" x14ac:dyDescent="0.25">
      <c r="A5" s="123" t="s">
        <v>16</v>
      </c>
      <c r="B5" s="123"/>
      <c r="C5" s="123"/>
      <c r="D5" s="122" t="s">
        <v>51</v>
      </c>
      <c r="E5" s="122"/>
      <c r="F5" s="122"/>
      <c r="G5" s="122"/>
      <c r="H5" s="122"/>
      <c r="I5" s="122"/>
      <c r="J5" s="122"/>
      <c r="K5" s="122"/>
    </row>
    <row r="6" spans="1:1013" ht="16.5" customHeight="1" thickBot="1" x14ac:dyDescent="0.25">
      <c r="A6" s="121" t="s">
        <v>17</v>
      </c>
      <c r="B6" s="121"/>
      <c r="C6" s="121"/>
      <c r="D6" s="122" t="s">
        <v>68</v>
      </c>
      <c r="E6" s="122"/>
      <c r="F6" s="122"/>
      <c r="G6" s="122"/>
      <c r="H6" s="122"/>
      <c r="I6" s="122"/>
      <c r="J6" s="122"/>
      <c r="K6" s="122"/>
    </row>
    <row r="7" spans="1:1013" ht="16.5" customHeight="1" thickBot="1" x14ac:dyDescent="0.25">
      <c r="A7" s="123" t="s">
        <v>18</v>
      </c>
      <c r="B7" s="123"/>
      <c r="C7" s="123"/>
      <c r="D7" s="122" t="s">
        <v>65</v>
      </c>
      <c r="E7" s="122"/>
      <c r="F7" s="122"/>
      <c r="G7" s="122"/>
      <c r="H7" s="122"/>
      <c r="I7" s="122"/>
      <c r="J7" s="122"/>
      <c r="K7" s="122"/>
    </row>
    <row r="8" spans="1:1013" ht="16.5" customHeight="1" thickBot="1" x14ac:dyDescent="0.25">
      <c r="A8" s="124" t="s">
        <v>19</v>
      </c>
      <c r="B8" s="124"/>
      <c r="C8" s="124"/>
      <c r="D8" s="125" t="s">
        <v>92</v>
      </c>
      <c r="E8" s="125"/>
      <c r="F8" s="125"/>
      <c r="G8" s="125"/>
      <c r="H8" s="125"/>
      <c r="I8" s="125"/>
      <c r="J8" s="125"/>
      <c r="K8" s="125"/>
    </row>
    <row r="9" spans="1:1013" ht="16.5" thickBot="1" x14ac:dyDescent="0.25">
      <c r="A9" s="53"/>
      <c r="B9" s="53"/>
      <c r="C9" s="53"/>
      <c r="D9" s="54"/>
      <c r="E9" s="54"/>
      <c r="F9" s="54"/>
      <c r="G9" s="54"/>
      <c r="H9" s="54"/>
      <c r="I9" s="54"/>
      <c r="J9" s="54"/>
      <c r="K9" s="64"/>
    </row>
    <row r="10" spans="1:1013" ht="18.75" customHeight="1" thickBot="1" x14ac:dyDescent="0.25">
      <c r="A10" s="126" t="s">
        <v>20</v>
      </c>
      <c r="B10" s="128" t="s">
        <v>21</v>
      </c>
      <c r="C10" s="128" t="s">
        <v>22</v>
      </c>
      <c r="D10" s="128"/>
      <c r="E10" s="128"/>
      <c r="F10" s="128"/>
      <c r="G10" s="128"/>
      <c r="H10" s="128" t="s">
        <v>23</v>
      </c>
      <c r="I10" s="128" t="s">
        <v>24</v>
      </c>
      <c r="J10" s="128" t="s">
        <v>25</v>
      </c>
      <c r="K10" s="130" t="s">
        <v>26</v>
      </c>
    </row>
    <row r="11" spans="1:1013" ht="24" customHeight="1" thickBot="1" x14ac:dyDescent="0.25">
      <c r="A11" s="127"/>
      <c r="B11" s="129"/>
      <c r="C11" s="129"/>
      <c r="D11" s="129"/>
      <c r="E11" s="129"/>
      <c r="F11" s="129"/>
      <c r="G11" s="129"/>
      <c r="H11" s="129"/>
      <c r="I11" s="129"/>
      <c r="J11" s="129"/>
      <c r="K11" s="131"/>
      <c r="ALW11"/>
      <c r="ALX11"/>
      <c r="ALY11"/>
    </row>
    <row r="12" spans="1:1013" ht="43.5" customHeight="1" thickBot="1" x14ac:dyDescent="0.3">
      <c r="A12" s="55">
        <f>'Necesidades Trimestrales'!A10</f>
        <v>1</v>
      </c>
      <c r="B12" s="58">
        <f>'Necesidades Trimestrales'!B10</f>
        <v>0</v>
      </c>
      <c r="C12" s="119" t="str">
        <f>'Necesidades Trimestrales'!E10</f>
        <v xml:space="preserve">HILO DE LINO N° 30 </v>
      </c>
      <c r="D12" s="119"/>
      <c r="E12" s="119"/>
      <c r="F12" s="119"/>
      <c r="G12" s="119"/>
      <c r="H12" s="56" t="s">
        <v>27</v>
      </c>
      <c r="I12" s="57" t="str">
        <f>'Necesidades Trimestrales'!F10</f>
        <v>UNIDAD</v>
      </c>
      <c r="J12" s="62">
        <f>'Necesidades Trimestrales'!H10</f>
        <v>1800</v>
      </c>
      <c r="K12" s="65">
        <f>'Necesidades Trimestrales'!G10</f>
        <v>6</v>
      </c>
    </row>
    <row r="13" spans="1:1013" ht="43.5" customHeight="1" thickBot="1" x14ac:dyDescent="0.3">
      <c r="A13" s="55">
        <f>'Necesidades Trimestrales'!A11</f>
        <v>2</v>
      </c>
      <c r="B13" s="58">
        <f>'Necesidades Trimestrales'!B11</f>
        <v>0</v>
      </c>
      <c r="C13" s="119" t="str">
        <f>'Necesidades Trimestrales'!E11</f>
        <v xml:space="preserve">HILO DE LINO N° 40 </v>
      </c>
      <c r="D13" s="119"/>
      <c r="E13" s="119"/>
      <c r="F13" s="119"/>
      <c r="G13" s="119"/>
      <c r="H13" s="56" t="s">
        <v>27</v>
      </c>
      <c r="I13" s="57" t="str">
        <f>'Necesidades Trimestrales'!F11</f>
        <v>UNIDAD</v>
      </c>
      <c r="J13" s="62">
        <f>'Necesidades Trimestrales'!H11</f>
        <v>1800</v>
      </c>
      <c r="K13" s="65">
        <f>'Necesidades Trimestrales'!G11</f>
        <v>6</v>
      </c>
    </row>
    <row r="14" spans="1:1013" ht="43.5" customHeight="1" thickBot="1" x14ac:dyDescent="0.3">
      <c r="A14" s="55">
        <f>'Necesidades Trimestrales'!A12</f>
        <v>3</v>
      </c>
      <c r="B14" s="58">
        <f>'Necesidades Trimestrales'!B12</f>
        <v>0</v>
      </c>
      <c r="C14" s="119" t="str">
        <f>'Necesidades Trimestrales'!E12</f>
        <v>HILO DE LINO N° 60</v>
      </c>
      <c r="D14" s="119"/>
      <c r="E14" s="119"/>
      <c r="F14" s="119"/>
      <c r="G14" s="119"/>
      <c r="H14" s="56" t="s">
        <v>27</v>
      </c>
      <c r="I14" s="57" t="str">
        <f>'Necesidades Trimestrales'!F12</f>
        <v>UNIDAD</v>
      </c>
      <c r="J14" s="62">
        <f>'Necesidades Trimestrales'!H12</f>
        <v>1800</v>
      </c>
      <c r="K14" s="65">
        <f>'Necesidades Trimestrales'!G12</f>
        <v>6</v>
      </c>
    </row>
    <row r="15" spans="1:1013" ht="43.5" customHeight="1" thickBot="1" x14ac:dyDescent="0.3">
      <c r="A15" s="55">
        <f>'Necesidades Trimestrales'!A13</f>
        <v>4</v>
      </c>
      <c r="B15" s="58">
        <f>'Necesidades Trimestrales'!B13</f>
        <v>0</v>
      </c>
      <c r="C15" s="119" t="str">
        <f>'Necesidades Trimestrales'!E13</f>
        <v>HILO DE LINO N° 80</v>
      </c>
      <c r="D15" s="119"/>
      <c r="E15" s="119"/>
      <c r="F15" s="119"/>
      <c r="G15" s="119"/>
      <c r="H15" s="56" t="s">
        <v>27</v>
      </c>
      <c r="I15" s="57" t="str">
        <f>'Necesidades Trimestrales'!F13</f>
        <v>UNIDAD</v>
      </c>
      <c r="J15" s="62">
        <f>'Necesidades Trimestrales'!H13</f>
        <v>1800</v>
      </c>
      <c r="K15" s="65">
        <f>'Necesidades Trimestrales'!G13</f>
        <v>6</v>
      </c>
    </row>
    <row r="16" spans="1:1013" ht="43.5" customHeight="1" thickBot="1" x14ac:dyDescent="0.3">
      <c r="A16" s="55">
        <f>'Necesidades Trimestrales'!A14</f>
        <v>5</v>
      </c>
      <c r="B16" s="58">
        <f>'Necesidades Trimestrales'!B14</f>
        <v>0</v>
      </c>
      <c r="C16" s="119" t="str">
        <f>'Necesidades Trimestrales'!E14</f>
        <v>HILO DE LINO N°100</v>
      </c>
      <c r="D16" s="119"/>
      <c r="E16" s="119"/>
      <c r="F16" s="119"/>
      <c r="G16" s="119"/>
      <c r="H16" s="56" t="s">
        <v>27</v>
      </c>
      <c r="I16" s="57" t="str">
        <f>'Necesidades Trimestrales'!F14</f>
        <v>UNIDAD</v>
      </c>
      <c r="J16" s="62">
        <f>'Necesidades Trimestrales'!H14</f>
        <v>1800</v>
      </c>
      <c r="K16" s="65">
        <f>'Necesidades Trimestrales'!G14</f>
        <v>3</v>
      </c>
    </row>
    <row r="17" spans="1:11" ht="43.5" customHeight="1" thickBot="1" x14ac:dyDescent="0.3">
      <c r="A17" s="55">
        <f>'Necesidades Trimestrales'!A15</f>
        <v>6</v>
      </c>
      <c r="B17" s="58">
        <f>'Necesidades Trimestrales'!B15</f>
        <v>0</v>
      </c>
      <c r="C17" s="119" t="str">
        <f>'Necesidades Trimestrales'!E15</f>
        <v>HILO DE SUTURA CATGUT  CROMICO Nº0</v>
      </c>
      <c r="D17" s="119"/>
      <c r="E17" s="119"/>
      <c r="F17" s="119"/>
      <c r="G17" s="119"/>
      <c r="H17" s="56" t="s">
        <v>27</v>
      </c>
      <c r="I17" s="57" t="str">
        <f>'Necesidades Trimestrales'!F15</f>
        <v>UNIDAD</v>
      </c>
      <c r="J17" s="62">
        <f>'Necesidades Trimestrales'!H15</f>
        <v>400</v>
      </c>
      <c r="K17" s="65">
        <f>'Necesidades Trimestrales'!G15</f>
        <v>30</v>
      </c>
    </row>
    <row r="18" spans="1:11" ht="43.5" customHeight="1" thickBot="1" x14ac:dyDescent="0.3">
      <c r="A18" s="55">
        <f>'Necesidades Trimestrales'!A16</f>
        <v>7</v>
      </c>
      <c r="B18" s="58">
        <f>'Necesidades Trimestrales'!B16</f>
        <v>0</v>
      </c>
      <c r="C18" s="119" t="str">
        <f>'Necesidades Trimestrales'!E16</f>
        <v>HILO DE SUTURA CATGUT CROMICO Nro 1 CON AGUJA TIPO TAGUM</v>
      </c>
      <c r="D18" s="119"/>
      <c r="E18" s="119"/>
      <c r="F18" s="119"/>
      <c r="G18" s="119"/>
      <c r="H18" s="56" t="s">
        <v>27</v>
      </c>
      <c r="I18" s="57" t="str">
        <f>'Necesidades Trimestrales'!F16</f>
        <v>UNIDAD</v>
      </c>
      <c r="J18" s="62">
        <f>'Necesidades Trimestrales'!H16</f>
        <v>200</v>
      </c>
      <c r="K18" s="65">
        <f>'Necesidades Trimestrales'!G16</f>
        <v>200</v>
      </c>
    </row>
    <row r="19" spans="1:11" ht="43.5" customHeight="1" thickBot="1" x14ac:dyDescent="0.3">
      <c r="A19" s="55">
        <f>'Necesidades Trimestrales'!A17</f>
        <v>8</v>
      </c>
      <c r="B19" s="58">
        <f>'Necesidades Trimestrales'!B17</f>
        <v>0</v>
      </c>
      <c r="C19" s="119" t="str">
        <f>'Necesidades Trimestrales'!E17</f>
        <v>HILO DE SUTURA CATGUT CROMICO Nro 2 CON AGUJA TIPO TAGUM</v>
      </c>
      <c r="D19" s="119"/>
      <c r="E19" s="119"/>
      <c r="F19" s="119"/>
      <c r="G19" s="119"/>
      <c r="H19" s="56" t="s">
        <v>27</v>
      </c>
      <c r="I19" s="57" t="str">
        <f>'Necesidades Trimestrales'!F17</f>
        <v>UNIDAD</v>
      </c>
      <c r="J19" s="62">
        <f>'Necesidades Trimestrales'!H17</f>
        <v>415</v>
      </c>
      <c r="K19" s="65">
        <f>'Necesidades Trimestrales'!G17</f>
        <v>8000</v>
      </c>
    </row>
    <row r="20" spans="1:11" ht="43.5" customHeight="1" thickBot="1" x14ac:dyDescent="0.3">
      <c r="A20" s="55">
        <f>'Necesidades Trimestrales'!A18</f>
        <v>9</v>
      </c>
      <c r="B20" s="58">
        <f>'Necesidades Trimestrales'!B18</f>
        <v>0</v>
      </c>
      <c r="C20" s="119" t="str">
        <f>'Necesidades Trimestrales'!E18</f>
        <v>HISOPOS NO EST.GINECOL.X 15 CM X 100 UNID.</v>
      </c>
      <c r="D20" s="119"/>
      <c r="E20" s="119"/>
      <c r="F20" s="119"/>
      <c r="G20" s="119"/>
      <c r="H20" s="56" t="s">
        <v>27</v>
      </c>
      <c r="I20" s="57" t="str">
        <f>'Necesidades Trimestrales'!F18</f>
        <v>UNIDAD</v>
      </c>
      <c r="J20" s="62">
        <f>'Necesidades Trimestrales'!H18</f>
        <v>5</v>
      </c>
      <c r="K20" s="65">
        <f>'Necesidades Trimestrales'!G18</f>
        <v>100</v>
      </c>
    </row>
    <row r="21" spans="1:11" ht="43.5" customHeight="1" thickBot="1" x14ac:dyDescent="0.3">
      <c r="A21" s="55">
        <f>'Necesidades Trimestrales'!A19</f>
        <v>10</v>
      </c>
      <c r="B21" s="58">
        <f>'Necesidades Trimestrales'!B19</f>
        <v>0</v>
      </c>
      <c r="C21" s="119" t="str">
        <f>'Necesidades Trimestrales'!E19</f>
        <v>SUTURA QUIRURGICA ACIDO POLIGLICOLICO TRENZADA ABSORBIBLE TIPO VIRYL Nº 3-0 CODIGO J316 C / AGUJA</v>
      </c>
      <c r="D21" s="119"/>
      <c r="E21" s="119"/>
      <c r="F21" s="119"/>
      <c r="G21" s="119"/>
      <c r="H21" s="56" t="s">
        <v>27</v>
      </c>
      <c r="I21" s="57" t="str">
        <f>'Necesidades Trimestrales'!F19</f>
        <v>UNIDAD</v>
      </c>
      <c r="J21" s="62">
        <f>'Necesidades Trimestrales'!H19</f>
        <v>200.11</v>
      </c>
      <c r="K21" s="65">
        <f>'Necesidades Trimestrales'!G19</f>
        <v>25</v>
      </c>
    </row>
    <row r="22" spans="1:11" ht="43.5" customHeight="1" thickBot="1" x14ac:dyDescent="0.3">
      <c r="A22" s="55">
        <f>'Necesidades Trimestrales'!A20</f>
        <v>11</v>
      </c>
      <c r="B22" s="58">
        <f>'Necesidades Trimestrales'!B20</f>
        <v>0</v>
      </c>
      <c r="C22" s="119" t="str">
        <f>'Necesidades Trimestrales'!E20</f>
        <v>SUTURA QUIRURGICA ACIDO POLIGLICOLICO TRENZADA ABSORBIBLE TIPO VIRYL Nº 4-0 CODIGO J315 C / AGUJA</v>
      </c>
      <c r="D22" s="119"/>
      <c r="E22" s="119"/>
      <c r="F22" s="119"/>
      <c r="G22" s="119"/>
      <c r="H22" s="56" t="s">
        <v>27</v>
      </c>
      <c r="I22" s="57" t="str">
        <f>'Necesidades Trimestrales'!F20</f>
        <v>UNIDAD</v>
      </c>
      <c r="J22" s="62">
        <f>'Necesidades Trimestrales'!H20</f>
        <v>206</v>
      </c>
      <c r="K22" s="65">
        <f>'Necesidades Trimestrales'!G20</f>
        <v>25</v>
      </c>
    </row>
    <row r="23" spans="1:11" ht="43.5" customHeight="1" thickBot="1" x14ac:dyDescent="0.3">
      <c r="A23" s="55">
        <f>'Necesidades Trimestrales'!A21</f>
        <v>12</v>
      </c>
      <c r="B23" s="58">
        <f>'Necesidades Trimestrales'!B21</f>
        <v>0</v>
      </c>
      <c r="C23" s="119" t="str">
        <f>'Necesidades Trimestrales'!E21</f>
        <v>SUTURA QUIRURGICA ACIDO POLIGLICOLICO TRENZADA ABSORBIBLE TIPO VIRYL Nº 5-0 CODIGO J314 C / AGUJA</v>
      </c>
      <c r="D23" s="119"/>
      <c r="E23" s="119"/>
      <c r="F23" s="119"/>
      <c r="G23" s="119"/>
      <c r="H23" s="56" t="s">
        <v>27</v>
      </c>
      <c r="I23" s="57" t="str">
        <f>'Necesidades Trimestrales'!F21</f>
        <v>UNIDAD</v>
      </c>
      <c r="J23" s="62">
        <f>'Necesidades Trimestrales'!H21</f>
        <v>206</v>
      </c>
      <c r="K23" s="65">
        <f>'Necesidades Trimestrales'!G21</f>
        <v>25</v>
      </c>
    </row>
    <row r="24" spans="1:11" ht="43.5" customHeight="1" thickBot="1" x14ac:dyDescent="0.3">
      <c r="A24" s="55">
        <f>'Necesidades Trimestrales'!A22</f>
        <v>13</v>
      </c>
      <c r="B24" s="58">
        <f>'Necesidades Trimestrales'!B22</f>
        <v>0</v>
      </c>
      <c r="C24" s="119" t="str">
        <f>'Necesidades Trimestrales'!E22</f>
        <v>SUTURA QUIRURGICA ACIDO POLIGLICOLICO TRENZADA ABSROBIBLE TIPO VICRYL 0 J340H CON AGUJA</v>
      </c>
      <c r="D24" s="119"/>
      <c r="E24" s="119"/>
      <c r="F24" s="119"/>
      <c r="G24" s="119"/>
      <c r="H24" s="56" t="s">
        <v>27</v>
      </c>
      <c r="I24" s="57" t="str">
        <f>'Necesidades Trimestrales'!F22</f>
        <v>UNIDAD</v>
      </c>
      <c r="J24" s="62">
        <f>'Necesidades Trimestrales'!H22</f>
        <v>300</v>
      </c>
      <c r="K24" s="65">
        <f>'Necesidades Trimestrales'!G22</f>
        <v>700</v>
      </c>
    </row>
    <row r="25" spans="1:11" ht="43.5" customHeight="1" thickBot="1" x14ac:dyDescent="0.3">
      <c r="A25" s="55">
        <f>'Necesidades Trimestrales'!A23</f>
        <v>14</v>
      </c>
      <c r="B25" s="58">
        <f>'Necesidades Trimestrales'!B23</f>
        <v>0</v>
      </c>
      <c r="C25" s="119" t="str">
        <f>'Necesidades Trimestrales'!E23</f>
        <v>SUTURA QUIRURGICA ACIDO POLIGLICOLICO TRENZADA ABSROBIBLE TIPO VICRYL 1 J341 CON AGUJA</v>
      </c>
      <c r="D25" s="119"/>
      <c r="E25" s="119"/>
      <c r="F25" s="119"/>
      <c r="G25" s="119"/>
      <c r="H25" s="56" t="s">
        <v>27</v>
      </c>
      <c r="I25" s="57" t="str">
        <f>'Necesidades Trimestrales'!F23</f>
        <v>UNIDAD</v>
      </c>
      <c r="J25" s="62">
        <f>'Necesidades Trimestrales'!H23</f>
        <v>300</v>
      </c>
      <c r="K25" s="65">
        <f>'Necesidades Trimestrales'!G23</f>
        <v>4000</v>
      </c>
    </row>
    <row r="26" spans="1:11" ht="43.5" customHeight="1" thickBot="1" x14ac:dyDescent="0.3">
      <c r="A26" s="55">
        <f>'Necesidades Trimestrales'!A24</f>
        <v>15</v>
      </c>
      <c r="B26" s="58">
        <f>'Necesidades Trimestrales'!B24</f>
        <v>0</v>
      </c>
      <c r="C26" s="119" t="str">
        <f>'Necesidades Trimestrales'!E24</f>
        <v>SUTURA QUIRURGICA ACIDO POLIGLICOLICO TRENZADA ABSROBIBLE TIPO VICRYL 2 J536 CON AGUJA /W9246</v>
      </c>
      <c r="D26" s="119"/>
      <c r="E26" s="119"/>
      <c r="F26" s="119"/>
      <c r="G26" s="119"/>
      <c r="H26" s="56" t="s">
        <v>27</v>
      </c>
      <c r="I26" s="57" t="str">
        <f>'Necesidades Trimestrales'!F24</f>
        <v>UNIDAD</v>
      </c>
      <c r="J26" s="62">
        <f>'Necesidades Trimestrales'!H24</f>
        <v>300</v>
      </c>
      <c r="K26" s="65">
        <f>'Necesidades Trimestrales'!G24</f>
        <v>4000</v>
      </c>
    </row>
    <row r="27" spans="1:11" ht="43.5" customHeight="1" thickBot="1" x14ac:dyDescent="0.3">
      <c r="A27" s="55">
        <f>'Necesidades Trimestrales'!A25</f>
        <v>16</v>
      </c>
      <c r="B27" s="58">
        <f>'Necesidades Trimestrales'!B25</f>
        <v>0</v>
      </c>
      <c r="C27" s="119" t="str">
        <f>'Necesidades Trimestrales'!E25</f>
        <v>SUTURA QUIRURGICA ACIDO POLIGLICOLICO TRENZADA ABSROBIBLE TIPO VICRYL 2/0 J317H CON AGUJA</v>
      </c>
      <c r="D27" s="119"/>
      <c r="E27" s="119"/>
      <c r="F27" s="119"/>
      <c r="G27" s="119"/>
      <c r="H27" s="56" t="s">
        <v>27</v>
      </c>
      <c r="I27" s="57" t="str">
        <f>'Necesidades Trimestrales'!F25</f>
        <v>UNIDAD</v>
      </c>
      <c r="J27" s="62">
        <f>'Necesidades Trimestrales'!H25</f>
        <v>267</v>
      </c>
      <c r="K27" s="65">
        <f>'Necesidades Trimestrales'!G25</f>
        <v>100</v>
      </c>
    </row>
    <row r="28" spans="1:11" ht="43.5" customHeight="1" thickBot="1" x14ac:dyDescent="0.3">
      <c r="A28" s="55">
        <f>'Necesidades Trimestrales'!A26</f>
        <v>17</v>
      </c>
      <c r="B28" s="58">
        <f>'Necesidades Trimestrales'!B26</f>
        <v>0</v>
      </c>
      <c r="C28" s="119" t="str">
        <f>'Necesidades Trimestrales'!E26</f>
        <v>SUTURA QUIRURGICA POLIPROPILENO NO ABSORBIBLE TIPO PROLENE 4/0 9521T</v>
      </c>
      <c r="D28" s="119"/>
      <c r="E28" s="119"/>
      <c r="F28" s="119"/>
      <c r="G28" s="119"/>
      <c r="H28" s="56" t="s">
        <v>27</v>
      </c>
      <c r="I28" s="57" t="str">
        <f>'Necesidades Trimestrales'!F26</f>
        <v>UNIDAD</v>
      </c>
      <c r="J28" s="62">
        <f>'Necesidades Trimestrales'!H26</f>
        <v>150</v>
      </c>
      <c r="K28" s="65">
        <f>'Necesidades Trimestrales'!G26</f>
        <v>25</v>
      </c>
    </row>
    <row r="29" spans="1:11" ht="43.5" customHeight="1" x14ac:dyDescent="0.25">
      <c r="A29" s="55">
        <f>'Necesidades Trimestrales'!A27</f>
        <v>18</v>
      </c>
      <c r="B29" s="58">
        <f>'Necesidades Trimestrales'!B27</f>
        <v>0</v>
      </c>
      <c r="C29" s="119" t="str">
        <f>'Necesidades Trimestrales'!E27</f>
        <v>SUTURA QUIRURGICA POLIPROPILENO NO ABSORBIBLE TIPO PROLENE 5/0 8698</v>
      </c>
      <c r="D29" s="119"/>
      <c r="E29" s="119"/>
      <c r="F29" s="119"/>
      <c r="G29" s="119"/>
      <c r="H29" s="56" t="s">
        <v>27</v>
      </c>
      <c r="I29" s="57" t="str">
        <f>'Necesidades Trimestrales'!F27</f>
        <v>UNIDAD</v>
      </c>
      <c r="J29" s="62">
        <f>'Necesidades Trimestrales'!H27</f>
        <v>150</v>
      </c>
      <c r="K29" s="65">
        <f>'Necesidades Trimestrales'!G27</f>
        <v>25</v>
      </c>
    </row>
    <row r="30" spans="1:11" ht="41.25" customHeight="1" thickBot="1" x14ac:dyDescent="0.25">
      <c r="A30" s="134" t="s">
        <v>93</v>
      </c>
      <c r="B30" s="134"/>
      <c r="C30" s="134"/>
      <c r="D30" s="134"/>
      <c r="E30" s="134"/>
      <c r="F30" s="134"/>
      <c r="G30" s="134"/>
      <c r="H30" s="134"/>
      <c r="I30" s="135"/>
      <c r="J30" s="136">
        <f>SUMPRODUCT(J12:J29*K12:K29)</f>
        <v>6080602.75</v>
      </c>
      <c r="K30" s="136"/>
    </row>
    <row r="33" spans="4:11" x14ac:dyDescent="0.2">
      <c r="J33" s="132"/>
      <c r="K33" s="133"/>
    </row>
    <row r="34" spans="4:11" ht="15" x14ac:dyDescent="0.2">
      <c r="D34" s="60"/>
      <c r="E34" s="60"/>
      <c r="F34" s="60"/>
      <c r="G34" s="60"/>
      <c r="H34" s="60"/>
      <c r="I34" s="60"/>
    </row>
    <row r="35" spans="4:11" ht="15" x14ac:dyDescent="0.2">
      <c r="D35" s="60"/>
      <c r="E35" s="60"/>
      <c r="F35" s="60"/>
      <c r="G35" s="60"/>
      <c r="H35" s="60"/>
      <c r="I35" s="60"/>
    </row>
    <row r="36" spans="4:11" ht="15" x14ac:dyDescent="0.2">
      <c r="D36" s="60"/>
      <c r="E36" s="60"/>
      <c r="F36" s="60"/>
      <c r="G36" s="60"/>
      <c r="H36" s="60"/>
      <c r="I36" s="60"/>
    </row>
    <row r="37" spans="4:11" ht="15.75" x14ac:dyDescent="0.2">
      <c r="D37" s="61"/>
      <c r="E37" s="60"/>
      <c r="F37" s="60"/>
      <c r="G37" s="60"/>
      <c r="H37" s="60"/>
      <c r="I37" s="60"/>
    </row>
  </sheetData>
  <mergeCells count="41">
    <mergeCell ref="J33:K33"/>
    <mergeCell ref="A30:I30"/>
    <mergeCell ref="J30:K30"/>
    <mergeCell ref="K10:K11"/>
    <mergeCell ref="C12:G12"/>
    <mergeCell ref="C20:G20"/>
    <mergeCell ref="C21:G21"/>
    <mergeCell ref="C22:G22"/>
    <mergeCell ref="C23:G23"/>
    <mergeCell ref="C24:G24"/>
    <mergeCell ref="C25:G25"/>
    <mergeCell ref="C26:G2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</mergeCells>
  <phoneticPr fontId="37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selection activeCell="T20" sqref="T2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45" t="s">
        <v>3</v>
      </c>
      <c r="B1" s="145"/>
      <c r="C1" s="145"/>
      <c r="D1" s="146">
        <v>2021</v>
      </c>
      <c r="E1" s="146"/>
      <c r="F1" s="4"/>
      <c r="G1" s="4"/>
      <c r="H1" s="5"/>
      <c r="I1" s="5"/>
      <c r="J1" s="5"/>
      <c r="K1" s="5"/>
      <c r="L1" s="5"/>
      <c r="M1" s="5"/>
      <c r="N1" s="5"/>
      <c r="P1" s="147" t="s">
        <v>28</v>
      </c>
      <c r="Q1" s="147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47"/>
      <c r="Q2" s="147"/>
    </row>
    <row r="4" spans="1:17" s="6" customFormat="1" ht="18" customHeight="1" thickBot="1" x14ac:dyDescent="0.25">
      <c r="A4" s="148" t="s">
        <v>29</v>
      </c>
      <c r="B4" s="148"/>
      <c r="C4" s="148"/>
      <c r="D4" s="148"/>
      <c r="E4" s="148"/>
      <c r="F4" s="148"/>
      <c r="G4" s="143" t="str">
        <f>' NotaPedido'!D3</f>
        <v>40- Ministerio de Salud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</row>
    <row r="5" spans="1:17" s="6" customFormat="1" ht="18" customHeight="1" thickBot="1" x14ac:dyDescent="0.25">
      <c r="A5" s="140" t="s">
        <v>15</v>
      </c>
      <c r="B5" s="141"/>
      <c r="C5" s="141"/>
      <c r="D5" s="141"/>
      <c r="E5" s="141"/>
      <c r="F5" s="142"/>
      <c r="G5" s="143" t="str">
        <f>' NotaPedido'!D4</f>
        <v>28- Maternidad Provincial 25 de Mayo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17" s="6" customFormat="1" ht="18" customHeight="1" thickBot="1" x14ac:dyDescent="0.25">
      <c r="A6" s="140" t="s">
        <v>16</v>
      </c>
      <c r="B6" s="141"/>
      <c r="C6" s="141"/>
      <c r="D6" s="141"/>
      <c r="E6" s="141"/>
      <c r="F6" s="142"/>
      <c r="G6" s="143" t="str">
        <f>' NotaPedido'!D5</f>
        <v xml:space="preserve">169- Direccion Asistencial 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</row>
    <row r="7" spans="1:17" s="6" customFormat="1" ht="18" customHeight="1" thickBot="1" x14ac:dyDescent="0.25">
      <c r="A7" s="140" t="s">
        <v>17</v>
      </c>
      <c r="B7" s="141"/>
      <c r="C7" s="141"/>
      <c r="D7" s="141"/>
      <c r="E7" s="141"/>
      <c r="F7" s="142"/>
      <c r="G7" s="143" t="str">
        <f>' NotaPedido'!D6</f>
        <v>Servicio de Farmcia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</row>
    <row r="8" spans="1:17" ht="18" customHeight="1" thickBot="1" x14ac:dyDescent="0.25">
      <c r="A8" s="144" t="s">
        <v>30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7" ht="18" customHeight="1" x14ac:dyDescent="0.2">
      <c r="A9" s="137" t="s">
        <v>31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"/>
      <c r="P9" s="1"/>
      <c r="Q9" s="7"/>
    </row>
    <row r="10" spans="1:17" ht="54.75" customHeight="1" x14ac:dyDescent="0.2">
      <c r="A10" s="138" t="s">
        <v>97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39" t="s">
        <v>32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</row>
    <row r="13" spans="1:17" ht="15.75" customHeight="1" thickBot="1" x14ac:dyDescent="0.25">
      <c r="A13" s="149" t="s">
        <v>33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50" t="s">
        <v>34</v>
      </c>
      <c r="P13" s="150"/>
      <c r="Q13" s="151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50"/>
      <c r="P14" s="150"/>
      <c r="Q14" s="151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9</v>
      </c>
      <c r="K15" s="25">
        <v>5</v>
      </c>
      <c r="L15" s="25"/>
      <c r="M15" s="26">
        <v>1</v>
      </c>
      <c r="N15" s="25" t="s">
        <v>49</v>
      </c>
      <c r="O15" s="158" t="s">
        <v>52</v>
      </c>
      <c r="P15" s="159"/>
      <c r="Q15" s="31">
        <v>6080602.75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68"/>
      <c r="P16" s="169"/>
      <c r="Q16" s="31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68"/>
      <c r="P17" s="169"/>
      <c r="Q17" s="31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60"/>
      <c r="P18" s="161"/>
      <c r="Q18" s="21"/>
    </row>
    <row r="19" spans="1:17" ht="28.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9"/>
      <c r="O19" s="162"/>
      <c r="P19" s="163"/>
      <c r="Q19" s="30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52"/>
      <c r="P20" s="153"/>
      <c r="Q20" s="31"/>
    </row>
    <row r="21" spans="1:17" ht="31.5" customHeight="1" thickBot="1" x14ac:dyDescent="0.25">
      <c r="A21" s="155" t="s">
        <v>94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7">
        <f>SUM(Q15:Q19)</f>
        <v>6080602.75</v>
      </c>
    </row>
    <row r="22" spans="1:17" ht="18" customHeight="1" thickBot="1" x14ac:dyDescent="0.25">
      <c r="A22" s="156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</row>
    <row r="23" spans="1:17" ht="17.25" customHeight="1" thickBot="1" x14ac:dyDescent="0.25">
      <c r="A23" s="164" t="s">
        <v>50</v>
      </c>
      <c r="B23" s="165"/>
      <c r="C23" s="165"/>
      <c r="D23" s="165"/>
      <c r="E23" s="165"/>
      <c r="F23" s="166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</row>
    <row r="24" spans="1:17" ht="18" customHeight="1" thickBot="1" x14ac:dyDescent="0.25">
      <c r="A24" s="154" t="s">
        <v>95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</row>
    <row r="25" spans="1:17" ht="26.25" customHeight="1" thickBot="1" x14ac:dyDescent="0.25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</row>
  </sheetData>
  <mergeCells count="29"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0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2021-02-26T14:25:47Z</cp:lastPrinted>
  <dcterms:created xsi:type="dcterms:W3CDTF">2020-07-17T23:44:49Z</dcterms:created>
  <dcterms:modified xsi:type="dcterms:W3CDTF">2021-04-07T13:05:29Z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