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C2E57EF7-C034-4755-944A-5ADDEAE8E128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Print_Area" localSheetId="1">' NotaPedido'!$A$1:$K$19</definedName>
    <definedName name="_xlnm.Print_Area" localSheetId="2">'Autor Gastar'!$A$1:$Q$27</definedName>
  </definedNames>
  <calcPr calcId="191029"/>
</workbook>
</file>

<file path=xl/calcChain.xml><?xml version="1.0" encoding="utf-8"?>
<calcChain xmlns="http://schemas.openxmlformats.org/spreadsheetml/2006/main">
  <c r="A10" i="3" l="1"/>
  <c r="H19" i="1"/>
  <c r="K12" i="2" l="1"/>
  <c r="K13" i="2"/>
  <c r="K14" i="2"/>
  <c r="K15" i="2"/>
  <c r="J12" i="2"/>
  <c r="J13" i="2"/>
  <c r="J14" i="2"/>
  <c r="J16" i="2"/>
  <c r="K16" i="2"/>
  <c r="I16" i="2"/>
  <c r="C16" i="2"/>
  <c r="B16" i="2"/>
  <c r="J15" i="2"/>
  <c r="I14" i="2"/>
  <c r="I15" i="2"/>
  <c r="C14" i="2"/>
  <c r="C15" i="2"/>
  <c r="B14" i="2"/>
  <c r="B15" i="2"/>
  <c r="I12" i="1"/>
  <c r="I13" i="2"/>
  <c r="C13" i="2"/>
  <c r="B13" i="2"/>
  <c r="C12" i="2"/>
  <c r="I11" i="1"/>
  <c r="I10" i="1"/>
  <c r="I15" i="3"/>
  <c r="Q23" i="3"/>
  <c r="D7" i="2"/>
  <c r="D3" i="2"/>
  <c r="G4" i="3"/>
  <c r="D4" i="2"/>
  <c r="G5" i="3" s="1"/>
  <c r="D1" i="3"/>
  <c r="I12" i="2"/>
  <c r="B12" i="2"/>
  <c r="J17" i="2" l="1"/>
  <c r="I19" i="1"/>
</calcChain>
</file>

<file path=xl/sharedStrings.xml><?xml version="1.0" encoding="utf-8"?>
<sst xmlns="http://schemas.openxmlformats.org/spreadsheetml/2006/main" count="276" uniqueCount="98">
  <si>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</si>
  <si>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</si>
  <si>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</si>
  <si>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</si>
  <si>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</si>
  <si>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</si>
  <si>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</si>
  <si>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</si>
  <si>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</si>
  <si>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</si>
  <si>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</si>
  <si>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</si>
  <si>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</si>
  <si>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</si>
  <si>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</si>
  <si>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</si>
  <si>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</si>
  <si>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</si>
  <si>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</si>
  <si>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</si>
  <si>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</si>
  <si>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</si>
  <si>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</si>
  <si>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</si>
  <si>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</si>
  <si>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</si>
  <si>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</si>
  <si>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</si>
  <si>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</si>
  <si>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</si>
  <si>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</si>
  <si>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</si>
  <si>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</si>
  <si>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</si>
  <si>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</si>
  <si>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</si>
  <si>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</si>
  <si>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</si>
  <si>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</si>
  <si>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</si>
  <si>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</si>
  <si>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</si>
  <si>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</si>
  <si>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</si>
  <si>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</si>
  <si>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</si>
  <si>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</si>
  <si>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</si>
  <si>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</si>
  <si>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</si>
  <si>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</si>
  <si>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</si>
  <si>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</si>
  <si>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</si>
  <si>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</si>
  <si>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 xml:space="preserve">JURISDICCIÓN: </t>
  </si>
  <si>
    <t>SAF:</t>
  </si>
  <si>
    <t xml:space="preserve">DEPENDENCIA SOLICITANTE: </t>
  </si>
  <si>
    <t>ALIMENTOS</t>
  </si>
  <si>
    <t>Alimentos para Personas</t>
  </si>
  <si>
    <t>25- Direccion Provincial de Gestion Administracion y RRHH</t>
  </si>
  <si>
    <t>S/E</t>
  </si>
  <si>
    <t>Especificidades Item N° 3:</t>
  </si>
  <si>
    <t>Especificidades Item N°4:</t>
  </si>
  <si>
    <t>Especificidades Item N°5:</t>
  </si>
  <si>
    <t>Especificidades Item N°6:</t>
  </si>
  <si>
    <t>MEDIA</t>
  </si>
  <si>
    <t>45- Ministerio de Desarrollo Social y Deporte.-</t>
  </si>
  <si>
    <t>2.1.1</t>
  </si>
  <si>
    <t>NO</t>
  </si>
  <si>
    <t>Especificidades Item N°7:</t>
  </si>
  <si>
    <t>Especificidades Item N°8:</t>
  </si>
  <si>
    <t>Especificidades Item N°9:</t>
  </si>
  <si>
    <t xml:space="preserve">05 CINCO DIAS </t>
  </si>
  <si>
    <t>DEPOSITO MINISTERIO DE DESARROLLO SOCIAL Y DEPORTE AREA EL PANTANILLO SAN FERNANDO DEL VALLE DE CATAMARCA</t>
  </si>
  <si>
    <t>60DIAS</t>
  </si>
  <si>
    <t>Especificidades Item N° 10:</t>
  </si>
  <si>
    <t>Especificidades Item N° 11:</t>
  </si>
  <si>
    <t>Especificidades Item N° 12:</t>
  </si>
  <si>
    <t>Especificidades Item N° 13:</t>
  </si>
  <si>
    <t>SE ACEPTARAN UNA TOLERANCIA EN MAS O MENOS 100GRS.</t>
  </si>
  <si>
    <t>SE ACEPTARAN UNA TOLERANCIA DE MAS O MENOS 100GRS.-  PULPA Y/O PURE DE TOMATES</t>
  </si>
  <si>
    <t>Especificidades Item N° 4:</t>
  </si>
  <si>
    <t>Especificidades Item N° 5:</t>
  </si>
  <si>
    <t>2.1.1-478.43</t>
  </si>
  <si>
    <t>AGUA MINERAL; TIPO: SIN GASIFICAR, PRESENTACION: ENVASE X 500 CM3, MATERIAL ENVASE: PLASTICO PVC, TIPO ENVASE: NO RETORNABLE, ELEM. TRANSPORTE: SIN, MATERIAL ELEM. TRANSPORTE: SIN</t>
  </si>
  <si>
    <t>2.1.1-478.41</t>
  </si>
  <si>
    <t>AGUA MINERAL; TIPO: SIN GASIFICAR, PRESENTACION: ENVASE X 1500 CM3, MATERIAL ENVASE: PLASTICO PVC, TIPO ENVASE: NO RETORNABLE, ELEM. TRANSPORTE: SIN, MATERIAL ELEM. TRANSPORTE: SIN</t>
  </si>
  <si>
    <t>2.1.1-478.59</t>
  </si>
  <si>
    <t>AGUA MINERAL; TIPO: SIN GASIFICAR, PRESENTACION: BOTELLON X 6 L, MATERIAL ENVASE: PLASTICO, TIPO ENVASE: NO RETORNABLE, ELEM. TRANSPORTE: SIN, MATERIAL ELEM. TRANSPORTE: SIN</t>
  </si>
  <si>
    <r>
      <t xml:space="preserve">Costo total estimado: UN MILLON CUATROCIENTOS NOVENTA Y SIETE MIL NOVECIENTOS </t>
    </r>
    <r>
      <rPr>
        <b/>
        <sz val="10"/>
        <rFont val="Times New Roman"/>
        <family val="1"/>
      </rPr>
      <t>CON 00/100.-</t>
    </r>
  </si>
  <si>
    <t>Adquisición de Alimentos (Agua de mesa envasada sin gas) con destino a ser entregados a  personas de escasos recursos economicos, en el Marco del Programa Vivir Mejor (PRO.VI.ME.)</t>
  </si>
  <si>
    <t>JUSTIFICACIÓN: Adquisición de Alimentos (Agua de mesa envasada sin gas) con destino a ser entregados a  personas de escasos recursos economicos, en el Marco del Programa Vivir Mejor (PRO.VI.ME.)</t>
  </si>
  <si>
    <t>TOTAL DE PESOS: UN MILLON CUATROCIENTOS NOVENTA Y SIETE MIL NOVECIENTOS  CON 00/100.-</t>
  </si>
  <si>
    <t>430/2021</t>
  </si>
  <si>
    <t>16- Direccion Provincial de Accion Social Directa</t>
  </si>
  <si>
    <t>02- Programa Vivir Mejor PRO.VI.ME.</t>
  </si>
  <si>
    <t>02- PRO.VI.ME. Programa Vivir Mejor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</si>
</sst>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54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5" xfId="0" applyFont="1" applyBorder="1" applyAlignment="1">
      <alignment horizontal="right" vertical="center"/>
    </xf>
    <xf numFmtId="0" fontId="5" fillId="0" borderId="17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9" fillId="0" borderId="25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5" xfId="0" applyBorder="1"/>
    <xf numFmtId="0" fontId="0" fillId="0" borderId="31" xfId="0" applyBorder="1"/>
    <xf numFmtId="0" fontId="0" fillId="0" borderId="17" xfId="0" applyBorder="1"/>
    <xf numFmtId="0" fontId="0" fillId="0" borderId="17" xfId="0" applyBorder="1" applyAlignment="1">
      <alignment horizontal="left"/>
    </xf>
    <xf numFmtId="0" fontId="0" fillId="0" borderId="32" xfId="0" applyBorder="1"/>
    <xf numFmtId="0" fontId="14" fillId="0" borderId="34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5" xfId="0" applyFont="1" applyBorder="1" applyAlignment="1">
      <alignment horizontal="left" vertical="center"/>
    </xf>
    <xf numFmtId="0" fontId="14" fillId="0" borderId="36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166" fontId="0" fillId="0" borderId="41" xfId="3" applyNumberFormat="1" applyFont="1" applyBorder="1" applyAlignment="1" applyProtection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66" fontId="0" fillId="0" borderId="45" xfId="3" applyNumberFormat="1" applyFont="1" applyBorder="1" applyAlignment="1" applyProtection="1">
      <alignment horizontal="center" vertical="center"/>
    </xf>
    <xf numFmtId="166" fontId="14" fillId="0" borderId="46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21" fillId="0" borderId="2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3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0" fontId="16" fillId="0" borderId="10" xfId="0" applyFont="1" applyBorder="1"/>
    <xf numFmtId="0" fontId="16" fillId="0" borderId="0" xfId="0" applyFont="1" applyBorder="1"/>
    <xf numFmtId="0" fontId="16" fillId="0" borderId="11" xfId="0" applyFont="1" applyBorder="1"/>
    <xf numFmtId="0" fontId="23" fillId="0" borderId="10" xfId="0" applyFont="1" applyBorder="1" applyAlignment="1">
      <alignment horizontal="left" indent="3"/>
    </xf>
    <xf numFmtId="0" fontId="16" fillId="0" borderId="10" xfId="0" applyFont="1" applyBorder="1" applyAlignment="1">
      <alignment horizontal="left" indent="3"/>
    </xf>
    <xf numFmtId="0" fontId="16" fillId="0" borderId="0" xfId="0" applyFont="1" applyBorder="1" applyAlignment="1">
      <alignment horizontal="center" wrapText="1"/>
    </xf>
    <xf numFmtId="0" fontId="16" fillId="0" borderId="11" xfId="0" applyFont="1" applyBorder="1" applyAlignment="1">
      <alignment horizontal="center" wrapText="1"/>
    </xf>
    <xf numFmtId="0" fontId="16" fillId="0" borderId="12" xfId="0" applyFont="1" applyBorder="1" applyAlignment="1">
      <alignment horizontal="left" indent="3"/>
    </xf>
    <xf numFmtId="0" fontId="16" fillId="0" borderId="13" xfId="0" applyFont="1" applyBorder="1"/>
    <xf numFmtId="0" fontId="16" fillId="0" borderId="14" xfId="0" applyFont="1" applyBorder="1"/>
    <xf numFmtId="0" fontId="24" fillId="3" borderId="0" xfId="0" applyFont="1" applyFill="1" applyAlignment="1">
      <alignment horizontal="left" wrapText="1" indent="1"/>
    </xf>
    <xf numFmtId="0" fontId="20" fillId="0" borderId="0" xfId="0" applyFont="1" applyAlignment="1">
      <alignment horizontal="left" wrapText="1"/>
    </xf>
    <xf numFmtId="0" fontId="0" fillId="0" borderId="3" xfId="0" applyBorder="1"/>
    <xf numFmtId="0" fontId="20" fillId="0" borderId="19" xfId="0" applyFont="1" applyBorder="1" applyAlignment="1">
      <alignment horizontal="center" vertical="center" wrapText="1"/>
    </xf>
    <xf numFmtId="0" fontId="20" fillId="0" borderId="53" xfId="0" applyFont="1" applyBorder="1" applyAlignment="1">
      <alignment horizontal="center" vertical="center" wrapText="1"/>
    </xf>
    <xf numFmtId="0" fontId="20" fillId="0" borderId="54" xfId="0" applyFont="1" applyBorder="1" applyAlignment="1">
      <alignment horizontal="center" vertical="center" wrapText="1"/>
    </xf>
    <xf numFmtId="0" fontId="20" fillId="0" borderId="55" xfId="0" applyFont="1" applyBorder="1" applyAlignment="1">
      <alignment horizontal="center" vertical="center" wrapText="1"/>
    </xf>
    <xf numFmtId="0" fontId="0" fillId="0" borderId="6" xfId="0" applyBorder="1"/>
    <xf numFmtId="0" fontId="22" fillId="4" borderId="3" xfId="0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wrapText="1"/>
    </xf>
    <xf numFmtId="0" fontId="19" fillId="4" borderId="6" xfId="0" applyFont="1" applyFill="1" applyBorder="1" applyAlignment="1">
      <alignment horizontal="center" wrapText="1"/>
    </xf>
    <xf numFmtId="166" fontId="21" fillId="3" borderId="3" xfId="1" applyNumberFormat="1" applyFont="1" applyFill="1" applyBorder="1" applyAlignment="1" applyProtection="1">
      <alignment horizontal="right" vertical="center" wrapText="1"/>
    </xf>
    <xf numFmtId="166" fontId="21" fillId="3" borderId="4" xfId="1" applyNumberFormat="1" applyFont="1" applyFill="1" applyBorder="1" applyAlignment="1" applyProtection="1">
      <alignment horizontal="right" vertical="center" wrapText="1"/>
    </xf>
    <xf numFmtId="166" fontId="0" fillId="0" borderId="56" xfId="3" applyNumberFormat="1" applyFont="1" applyBorder="1" applyAlignment="1" applyProtection="1">
      <alignment horizontal="center" vertical="center"/>
    </xf>
    <xf numFmtId="0" fontId="20" fillId="0" borderId="26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21" fillId="0" borderId="61" xfId="0" applyFont="1" applyBorder="1" applyAlignment="1">
      <alignment horizontal="center" vertical="center"/>
    </xf>
    <xf numFmtId="0" fontId="0" fillId="0" borderId="49" xfId="0" applyBorder="1"/>
    <xf numFmtId="0" fontId="22" fillId="4" borderId="49" xfId="0" applyFont="1" applyFill="1" applyBorder="1" applyAlignment="1">
      <alignment horizontal="center" vertical="center" wrapText="1"/>
    </xf>
    <xf numFmtId="0" fontId="26" fillId="0" borderId="50" xfId="0" applyFont="1" applyBorder="1"/>
    <xf numFmtId="0" fontId="26" fillId="0" borderId="3" xfId="0" applyFont="1" applyBorder="1"/>
    <xf numFmtId="0" fontId="19" fillId="0" borderId="51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62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0" fillId="0" borderId="0" xfId="0"/>
    <xf numFmtId="166" fontId="16" fillId="0" borderId="0" xfId="0" applyNumberFormat="1" applyFont="1"/>
    <xf numFmtId="166" fontId="21" fillId="3" borderId="63" xfId="1" applyNumberFormat="1" applyFont="1" applyFill="1" applyBorder="1" applyAlignment="1" applyProtection="1">
      <alignment horizontal="right" vertical="center" wrapText="1"/>
    </xf>
    <xf numFmtId="166" fontId="21" fillId="3" borderId="6" xfId="1" applyNumberFormat="1" applyFont="1" applyFill="1" applyBorder="1" applyAlignment="1" applyProtection="1">
      <alignment horizontal="right" vertical="center" wrapText="1"/>
    </xf>
    <xf numFmtId="0" fontId="22" fillId="4" borderId="52" xfId="0" applyFont="1" applyFill="1" applyBorder="1" applyAlignment="1">
      <alignment horizontal="center" vertical="center" wrapText="1"/>
    </xf>
    <xf numFmtId="0" fontId="0" fillId="0" borderId="52" xfId="0" applyBorder="1"/>
    <xf numFmtId="0" fontId="0" fillId="0" borderId="62" xfId="0" applyBorder="1"/>
    <xf numFmtId="0" fontId="22" fillId="4" borderId="62" xfId="0" applyFont="1" applyFill="1" applyBorder="1" applyAlignment="1">
      <alignment horizontal="center" vertical="center" wrapText="1"/>
    </xf>
    <xf numFmtId="0" fontId="19" fillId="4" borderId="49" xfId="0" applyFont="1" applyFill="1" applyBorder="1" applyAlignment="1">
      <alignment horizontal="center" wrapText="1"/>
    </xf>
    <xf numFmtId="166" fontId="21" fillId="3" borderId="49" xfId="1" applyNumberFormat="1" applyFont="1" applyFill="1" applyBorder="1" applyAlignment="1" applyProtection="1">
      <alignment horizontal="right" vertical="center" wrapText="1"/>
    </xf>
    <xf numFmtId="166" fontId="21" fillId="3" borderId="64" xfId="1" applyNumberFormat="1" applyFont="1" applyFill="1" applyBorder="1" applyAlignment="1" applyProtection="1">
      <alignment horizontal="right" vertical="center" wrapText="1"/>
    </xf>
    <xf numFmtId="0" fontId="4" fillId="0" borderId="24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 wrapText="1"/>
    </xf>
    <xf numFmtId="166" fontId="4" fillId="0" borderId="24" xfId="1" applyNumberFormat="1" applyFont="1" applyFill="1" applyBorder="1" applyAlignment="1" applyProtection="1">
      <alignment horizontal="right" vertical="center" wrapText="1"/>
    </xf>
    <xf numFmtId="3" fontId="4" fillId="0" borderId="24" xfId="0" applyNumberFormat="1" applyFont="1" applyFill="1" applyBorder="1" applyAlignment="1">
      <alignment horizontal="center" vertical="center"/>
    </xf>
    <xf numFmtId="0" fontId="0" fillId="0" borderId="57" xfId="0" applyFont="1" applyFill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/>
    </xf>
    <xf numFmtId="0" fontId="0" fillId="0" borderId="59" xfId="0" applyFont="1" applyFill="1" applyBorder="1" applyAlignment="1">
      <alignment horizontal="center" vertical="center"/>
    </xf>
    <xf numFmtId="166" fontId="0" fillId="0" borderId="60" xfId="3" applyNumberFormat="1" applyFont="1" applyFill="1" applyBorder="1" applyAlignment="1" applyProtection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15" fillId="0" borderId="62" xfId="0" applyFont="1" applyBorder="1"/>
    <xf numFmtId="0" fontId="15" fillId="0" borderId="3" xfId="0" applyFont="1" applyBorder="1"/>
    <xf numFmtId="0" fontId="0" fillId="0" borderId="65" xfId="0" applyBorder="1"/>
    <xf numFmtId="0" fontId="4" fillId="0" borderId="66" xfId="0" applyFont="1" applyBorder="1" applyAlignment="1">
      <alignment horizontal="center" vertical="center"/>
    </xf>
    <xf numFmtId="0" fontId="9" fillId="0" borderId="67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6" fillId="3" borderId="11" xfId="0" applyFont="1" applyFill="1" applyBorder="1" applyAlignment="1">
      <alignment horizontal="center" wrapText="1"/>
    </xf>
    <xf numFmtId="0" fontId="16" fillId="3" borderId="11" xfId="0" applyFont="1" applyFill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18" fillId="0" borderId="0" xfId="0" applyFont="1" applyBorder="1" applyAlignment="1">
      <alignment horizontal="left" vertical="center" wrapText="1"/>
    </xf>
    <xf numFmtId="0" fontId="24" fillId="3" borderId="0" xfId="0" applyFont="1" applyFill="1" applyBorder="1" applyAlignment="1">
      <alignment horizontal="left" wrapText="1" indent="1"/>
    </xf>
    <xf numFmtId="0" fontId="16" fillId="3" borderId="0" xfId="0" applyFont="1" applyFill="1" applyBorder="1" applyAlignment="1">
      <alignment horizontal="center" wrapText="1"/>
    </xf>
    <xf numFmtId="0" fontId="6" fillId="0" borderId="19" xfId="0" applyFont="1" applyBorder="1" applyAlignment="1">
      <alignment horizontal="left" vertical="center" wrapText="1" indent="1"/>
    </xf>
    <xf numFmtId="167" fontId="25" fillId="0" borderId="19" xfId="0" applyNumberFormat="1" applyFont="1" applyBorder="1" applyAlignment="1">
      <alignment horizontal="center" vertical="center"/>
    </xf>
    <xf numFmtId="0" fontId="4" fillId="0" borderId="24" xfId="0" applyFont="1" applyFill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/>
    </xf>
    <xf numFmtId="0" fontId="6" fillId="0" borderId="22" xfId="0" applyFont="1" applyFill="1" applyBorder="1" applyAlignment="1">
      <alignment horizontal="left" vertical="center" wrapText="1" indent="1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  <xf numFmtId="0" fontId="6" fillId="0" borderId="19" xfId="0" applyFont="1" applyFill="1" applyBorder="1" applyAlignment="1">
      <alignment horizontal="left" vertical="center" wrapText="1" indent="1"/>
    </xf>
    <xf numFmtId="0" fontId="7" fillId="0" borderId="20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top" wrapText="1"/>
    </xf>
    <xf numFmtId="0" fontId="10" fillId="0" borderId="15" xfId="0" applyFont="1" applyBorder="1" applyAlignment="1">
      <alignment horizontal="left" vertical="top" wrapText="1"/>
    </xf>
    <xf numFmtId="0" fontId="10" fillId="0" borderId="17" xfId="0" applyFont="1" applyBorder="1" applyAlignment="1">
      <alignment horizontal="left" vertical="top" wrapText="1"/>
    </xf>
    <xf numFmtId="0" fontId="10" fillId="0" borderId="32" xfId="0" applyFont="1" applyBorder="1" applyAlignment="1">
      <alignment horizontal="left" vertical="top" wrapText="1"/>
    </xf>
    <xf numFmtId="0" fontId="0" fillId="0" borderId="40" xfId="0" applyFont="1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10" fillId="0" borderId="46" xfId="0" applyFont="1" applyBorder="1" applyAlignment="1">
      <alignment horizontal="left" vertical="center" wrapText="1"/>
    </xf>
    <xf numFmtId="0" fontId="0" fillId="0" borderId="28" xfId="0" applyBorder="1"/>
    <xf numFmtId="0" fontId="26" fillId="0" borderId="58" xfId="0" applyFont="1" applyFill="1" applyBorder="1" applyAlignment="1">
      <alignment horizontal="left" vertical="center" wrapText="1"/>
    </xf>
    <xf numFmtId="0" fontId="0" fillId="0" borderId="58" xfId="0" applyFont="1" applyFill="1" applyBorder="1" applyAlignment="1">
      <alignment horizontal="left" vertical="center" wrapText="1"/>
    </xf>
    <xf numFmtId="0" fontId="0" fillId="0" borderId="38" xfId="0" applyFont="1" applyBorder="1" applyAlignment="1">
      <alignment horizontal="left" vertical="center"/>
    </xf>
    <xf numFmtId="0" fontId="12" fillId="0" borderId="29" xfId="0" applyFont="1" applyBorder="1"/>
    <xf numFmtId="0" fontId="12" fillId="0" borderId="30" xfId="0" applyFont="1" applyBorder="1" applyAlignment="1">
      <alignment horizontal="left" vertical="center" wrapText="1" indent="1"/>
    </xf>
    <xf numFmtId="0" fontId="14" fillId="0" borderId="28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left" vertical="center" wrapText="1"/>
    </xf>
    <xf numFmtId="0" fontId="12" fillId="0" borderId="16" xfId="0" applyFont="1" applyBorder="1" applyAlignment="1">
      <alignment horizontal="left" indent="1"/>
    </xf>
    <xf numFmtId="0" fontId="13" fillId="0" borderId="16" xfId="0" applyFont="1" applyBorder="1" applyAlignment="1">
      <alignment horizontal="left"/>
    </xf>
    <xf numFmtId="0" fontId="0" fillId="0" borderId="26" xfId="0" applyFont="1" applyBorder="1" applyAlignment="1">
      <alignment horizontal="center"/>
    </xf>
    <xf numFmtId="3" fontId="10" fillId="0" borderId="27" xfId="0" applyNumberFormat="1" applyFont="1" applyBorder="1" applyAlignment="1">
      <alignment horizontal="center"/>
    </xf>
    <xf numFmtId="0" fontId="11" fillId="0" borderId="16" xfId="0" applyFont="1" applyBorder="1" applyAlignment="1">
      <alignment horizontal="center" vertical="center" wrapText="1"/>
    </xf>
    <xf numFmtId="0" fontId="2" fillId="0" borderId="16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ENZO/dcto.%20excepcion/COMBUSTIBLE/NecesidadesTrimestrales-NP-APG%20Combusti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10">
          <cell r="D10" t="str">
            <v>2.5.6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279"/>
  <sheetViews>
    <sheetView tabSelected="1" zoomScaleNormal="100" workbookViewId="0">
      <selection activeCell="J12" sqref="J12"/>
    </sheetView>
  </sheetViews>
  <sheetFormatPr baseColWidth="10" defaultColWidth="11" defaultRowHeight="12.75" x14ac:dyDescent="0.2"/>
  <cols>
    <col min="1" max="1" width="4.5703125" style="38" customWidth="1"/>
    <col min="2" max="2" width="21.7109375" style="38" customWidth="1"/>
    <col min="3" max="3" width="32.42578125" style="38" customWidth="1"/>
    <col min="4" max="4" width="8.42578125" style="38" customWidth="1"/>
    <col min="5" max="5" width="174.5703125" style="38" customWidth="1"/>
    <col min="6" max="6" width="10.5703125" style="38" bestFit="1" customWidth="1"/>
    <col min="7" max="8" width="10.42578125" style="38" bestFit="1" customWidth="1"/>
    <col min="9" max="9" width="15.7109375" style="38" bestFit="1" customWidth="1"/>
    <col min="10" max="16384" width="11" style="38"/>
  </cols>
  <sheetData>
    <row r="2" spans="1:9" ht="27" x14ac:dyDescent="0.35">
      <c r="B2" s="110" t="s">
        <v>0</v>
      </c>
      <c r="C2" s="110"/>
      <c r="D2" s="110"/>
      <c r="E2" s="110"/>
      <c r="F2" s="110"/>
      <c r="G2" s="110"/>
      <c r="H2" s="110"/>
    </row>
    <row r="4" spans="1:9" ht="18" customHeight="1" x14ac:dyDescent="0.25">
      <c r="A4" s="111" t="s">
        <v>1</v>
      </c>
      <c r="B4" s="111"/>
      <c r="C4" s="112" t="s">
        <v>67</v>
      </c>
      <c r="D4" s="112"/>
      <c r="E4" s="112"/>
      <c r="F4" s="39"/>
      <c r="G4" s="40"/>
      <c r="H4" s="39"/>
    </row>
    <row r="5" spans="1:9" ht="18" customHeight="1" x14ac:dyDescent="0.25">
      <c r="A5" s="111" t="s">
        <v>2</v>
      </c>
      <c r="B5" s="111"/>
      <c r="C5" s="112" t="s">
        <v>60</v>
      </c>
      <c r="D5" s="112"/>
      <c r="E5" s="112"/>
      <c r="F5" s="39"/>
      <c r="G5" s="40"/>
      <c r="H5" s="39"/>
    </row>
    <row r="6" spans="1:9" ht="16.5" customHeight="1" x14ac:dyDescent="0.25">
      <c r="A6" s="111" t="s">
        <v>3</v>
      </c>
      <c r="B6" s="111"/>
      <c r="C6" s="56">
        <v>2021</v>
      </c>
      <c r="D6" s="57"/>
      <c r="E6" s="57"/>
      <c r="F6" s="39"/>
      <c r="G6" s="40"/>
      <c r="H6" s="39"/>
    </row>
    <row r="7" spans="1:9" ht="16.5" customHeight="1" x14ac:dyDescent="0.25">
      <c r="A7" s="111" t="s">
        <v>4</v>
      </c>
      <c r="B7" s="111"/>
      <c r="C7" s="56">
        <v>2</v>
      </c>
      <c r="D7" s="57"/>
      <c r="E7" s="57"/>
      <c r="F7" s="39"/>
      <c r="G7" s="40"/>
      <c r="H7" s="39"/>
    </row>
    <row r="8" spans="1:9" ht="13.5" thickBot="1" x14ac:dyDescent="0.25">
      <c r="B8" s="39"/>
      <c r="C8" s="40"/>
      <c r="D8" s="39"/>
      <c r="E8" s="39"/>
      <c r="F8" s="39"/>
      <c r="G8" s="40"/>
      <c r="H8" s="39"/>
    </row>
    <row r="9" spans="1:9" ht="39" thickBot="1" x14ac:dyDescent="0.25">
      <c r="A9" s="70" t="s">
        <v>5</v>
      </c>
      <c r="B9" s="59" t="s">
        <v>6</v>
      </c>
      <c r="C9" s="59" t="s">
        <v>7</v>
      </c>
      <c r="D9" s="71" t="s">
        <v>8</v>
      </c>
      <c r="E9" s="59" t="s">
        <v>9</v>
      </c>
      <c r="F9" s="60" t="s">
        <v>10</v>
      </c>
      <c r="G9" s="61" t="s">
        <v>11</v>
      </c>
      <c r="H9" s="61" t="s">
        <v>12</v>
      </c>
      <c r="I9" s="62" t="s">
        <v>13</v>
      </c>
    </row>
    <row r="10" spans="1:9" x14ac:dyDescent="0.2">
      <c r="A10" s="72">
        <v>1</v>
      </c>
      <c r="B10" s="104" t="s">
        <v>84</v>
      </c>
      <c r="C10" s="104" t="s">
        <v>58</v>
      </c>
      <c r="D10" s="79" t="s">
        <v>68</v>
      </c>
      <c r="E10" s="102" t="s">
        <v>85</v>
      </c>
      <c r="F10" s="88" t="s">
        <v>14</v>
      </c>
      <c r="G10" s="89">
        <v>1000</v>
      </c>
      <c r="H10" s="90">
        <v>70</v>
      </c>
      <c r="I10" s="68">
        <f t="shared" ref="I10:I12" si="0">+H10*G10</f>
        <v>70000</v>
      </c>
    </row>
    <row r="11" spans="1:9" x14ac:dyDescent="0.2">
      <c r="A11" s="72">
        <v>2</v>
      </c>
      <c r="B11" s="58" t="s">
        <v>86</v>
      </c>
      <c r="C11" s="58" t="s">
        <v>58</v>
      </c>
      <c r="D11" s="79" t="s">
        <v>68</v>
      </c>
      <c r="E11" s="102" t="s">
        <v>87</v>
      </c>
      <c r="F11" s="88" t="s">
        <v>14</v>
      </c>
      <c r="G11" s="89">
        <v>4000</v>
      </c>
      <c r="H11" s="90">
        <v>85</v>
      </c>
      <c r="I11" s="68">
        <f t="shared" si="0"/>
        <v>340000</v>
      </c>
    </row>
    <row r="12" spans="1:9" x14ac:dyDescent="0.2">
      <c r="A12" s="72">
        <v>3</v>
      </c>
      <c r="B12" s="58" t="s">
        <v>88</v>
      </c>
      <c r="C12" s="58" t="s">
        <v>58</v>
      </c>
      <c r="D12" s="79" t="s">
        <v>68</v>
      </c>
      <c r="E12" s="103" t="s">
        <v>89</v>
      </c>
      <c r="F12" s="74" t="s">
        <v>14</v>
      </c>
      <c r="G12" s="65">
        <v>4300</v>
      </c>
      <c r="H12" s="67">
        <v>253</v>
      </c>
      <c r="I12" s="68">
        <f t="shared" si="0"/>
        <v>1087900</v>
      </c>
    </row>
    <row r="13" spans="1:9" x14ac:dyDescent="0.2">
      <c r="A13" s="72"/>
      <c r="B13" s="73"/>
      <c r="C13" s="73"/>
      <c r="D13" s="79"/>
      <c r="E13" s="73"/>
      <c r="F13" s="74"/>
      <c r="G13" s="65"/>
      <c r="H13" s="67"/>
      <c r="I13" s="68"/>
    </row>
    <row r="14" spans="1:9" x14ac:dyDescent="0.2">
      <c r="A14" s="72"/>
      <c r="B14" s="73"/>
      <c r="C14" s="87"/>
      <c r="D14" s="79"/>
      <c r="E14" s="87"/>
      <c r="F14" s="88"/>
      <c r="G14" s="89"/>
      <c r="H14" s="90"/>
      <c r="I14" s="91"/>
    </row>
    <row r="15" spans="1:9" x14ac:dyDescent="0.2">
      <c r="A15" s="41"/>
      <c r="B15" s="75"/>
      <c r="C15" s="58"/>
      <c r="D15" s="77"/>
      <c r="E15" s="76"/>
      <c r="F15" s="64"/>
      <c r="G15" s="65"/>
      <c r="H15" s="67"/>
      <c r="I15" s="68"/>
    </row>
    <row r="16" spans="1:9" x14ac:dyDescent="0.2">
      <c r="A16" s="72"/>
      <c r="B16" s="58"/>
      <c r="C16" s="58"/>
      <c r="D16" s="78"/>
      <c r="E16" s="58"/>
      <c r="F16" s="74"/>
      <c r="G16" s="65"/>
      <c r="H16" s="67"/>
      <c r="I16" s="68"/>
    </row>
    <row r="17" spans="1:10" x14ac:dyDescent="0.2">
      <c r="A17" s="72"/>
      <c r="B17" s="73"/>
      <c r="C17" s="73"/>
      <c r="D17" s="79"/>
      <c r="E17" s="73"/>
      <c r="F17" s="74"/>
      <c r="G17" s="65"/>
      <c r="H17" s="67"/>
      <c r="I17" s="68"/>
    </row>
    <row r="18" spans="1:10" ht="13.5" thickBot="1" x14ac:dyDescent="0.25">
      <c r="A18" s="42"/>
      <c r="B18" s="63"/>
      <c r="C18" s="86"/>
      <c r="D18" s="80"/>
      <c r="E18" s="86"/>
      <c r="F18" s="85"/>
      <c r="G18" s="66"/>
      <c r="H18" s="84"/>
      <c r="I18" s="83"/>
    </row>
    <row r="19" spans="1:10" x14ac:dyDescent="0.2">
      <c r="H19" s="82">
        <f>SUM(H10:H18)</f>
        <v>408</v>
      </c>
      <c r="I19" s="82">
        <f>SUM(I10:I18)</f>
        <v>1497900</v>
      </c>
      <c r="J19" s="82"/>
    </row>
    <row r="21" spans="1:10" x14ac:dyDescent="0.2">
      <c r="B21" s="43" t="s">
        <v>15</v>
      </c>
      <c r="C21" s="44"/>
      <c r="D21" s="44"/>
      <c r="E21" s="45"/>
    </row>
    <row r="22" spans="1:10" ht="5.25" customHeight="1" x14ac:dyDescent="0.2">
      <c r="B22" s="46"/>
      <c r="C22" s="47"/>
      <c r="D22" s="47"/>
      <c r="E22" s="48"/>
    </row>
    <row r="23" spans="1:10" x14ac:dyDescent="0.2">
      <c r="B23" s="49" t="s">
        <v>16</v>
      </c>
      <c r="C23" s="47"/>
      <c r="D23" s="47"/>
      <c r="E23" s="48"/>
    </row>
    <row r="24" spans="1:10" ht="41.25" customHeight="1" x14ac:dyDescent="0.2">
      <c r="B24" s="49"/>
      <c r="C24" s="108"/>
      <c r="D24" s="108"/>
      <c r="E24" s="108"/>
    </row>
    <row r="25" spans="1:10" x14ac:dyDescent="0.2">
      <c r="B25" s="49" t="s">
        <v>17</v>
      </c>
      <c r="C25" s="47"/>
      <c r="D25" s="47"/>
      <c r="E25" s="48"/>
    </row>
    <row r="26" spans="1:10" x14ac:dyDescent="0.2">
      <c r="B26" s="50"/>
      <c r="C26" s="109" t="s">
        <v>73</v>
      </c>
      <c r="D26" s="109"/>
      <c r="E26" s="109"/>
    </row>
    <row r="27" spans="1:10" x14ac:dyDescent="0.2">
      <c r="B27" s="50"/>
      <c r="C27" s="109" t="s">
        <v>74</v>
      </c>
      <c r="D27" s="109"/>
      <c r="E27" s="109"/>
    </row>
    <row r="28" spans="1:10" x14ac:dyDescent="0.2">
      <c r="B28" s="49" t="s">
        <v>18</v>
      </c>
      <c r="C28" s="47"/>
      <c r="D28" s="47"/>
      <c r="E28" s="48"/>
    </row>
    <row r="29" spans="1:10" ht="26.25" customHeight="1" x14ac:dyDescent="0.2">
      <c r="B29" s="50"/>
      <c r="C29" s="108" t="s">
        <v>66</v>
      </c>
      <c r="D29" s="108"/>
      <c r="E29" s="108"/>
    </row>
    <row r="30" spans="1:10" x14ac:dyDescent="0.2">
      <c r="B30" s="49" t="s">
        <v>19</v>
      </c>
      <c r="C30" s="51"/>
      <c r="D30" s="51"/>
      <c r="E30" s="52"/>
    </row>
    <row r="31" spans="1:10" ht="26.25" customHeight="1" x14ac:dyDescent="0.2">
      <c r="B31" s="50"/>
      <c r="C31" s="108" t="s">
        <v>75</v>
      </c>
      <c r="D31" s="108"/>
      <c r="E31" s="108"/>
    </row>
    <row r="32" spans="1:10" x14ac:dyDescent="0.2">
      <c r="B32" s="49" t="s">
        <v>20</v>
      </c>
      <c r="C32" s="47"/>
      <c r="D32" s="47"/>
      <c r="E32" s="48"/>
    </row>
    <row r="33" spans="2:5" ht="23.25" customHeight="1" x14ac:dyDescent="0.2">
      <c r="B33" s="49"/>
      <c r="C33" s="109" t="s">
        <v>61</v>
      </c>
      <c r="D33" s="109"/>
      <c r="E33" s="109"/>
    </row>
    <row r="34" spans="2:5" x14ac:dyDescent="0.2">
      <c r="B34" s="53"/>
      <c r="C34" s="54"/>
      <c r="D34" s="54"/>
      <c r="E34" s="55"/>
    </row>
    <row r="36" spans="2:5" hidden="1" x14ac:dyDescent="0.2">
      <c r="B36" s="43" t="s">
        <v>21</v>
      </c>
      <c r="C36" s="44"/>
      <c r="D36" s="44"/>
      <c r="E36" s="45"/>
    </row>
    <row r="37" spans="2:5" ht="7.5" hidden="1" customHeight="1" x14ac:dyDescent="0.2">
      <c r="B37" s="46"/>
      <c r="C37" s="47"/>
      <c r="D37" s="47"/>
      <c r="E37" s="48"/>
    </row>
    <row r="38" spans="2:5" hidden="1" x14ac:dyDescent="0.2">
      <c r="B38" s="49" t="s">
        <v>16</v>
      </c>
      <c r="C38" s="47"/>
      <c r="D38" s="47"/>
      <c r="E38" s="48"/>
    </row>
    <row r="39" spans="2:5" ht="39" hidden="1" customHeight="1" x14ac:dyDescent="0.2">
      <c r="B39" s="49"/>
      <c r="C39" s="113"/>
      <c r="D39" s="113"/>
      <c r="E39" s="108"/>
    </row>
    <row r="40" spans="2:5" hidden="1" x14ac:dyDescent="0.2">
      <c r="B40" s="49" t="s">
        <v>17</v>
      </c>
      <c r="C40" s="47"/>
      <c r="D40" s="47"/>
      <c r="E40" s="48"/>
    </row>
    <row r="41" spans="2:5" hidden="1" x14ac:dyDescent="0.2">
      <c r="B41" s="50"/>
      <c r="C41" s="109" t="s">
        <v>73</v>
      </c>
      <c r="D41" s="109"/>
      <c r="E41" s="109"/>
    </row>
    <row r="42" spans="2:5" hidden="1" x14ac:dyDescent="0.2">
      <c r="B42" s="50"/>
      <c r="C42" s="109" t="s">
        <v>74</v>
      </c>
      <c r="D42" s="109"/>
      <c r="E42" s="109"/>
    </row>
    <row r="43" spans="2:5" hidden="1" x14ac:dyDescent="0.2">
      <c r="B43" s="49" t="s">
        <v>18</v>
      </c>
      <c r="C43" s="47"/>
      <c r="D43" s="47"/>
      <c r="E43" s="48"/>
    </row>
    <row r="44" spans="2:5" hidden="1" x14ac:dyDescent="0.2">
      <c r="B44" s="50"/>
      <c r="C44" s="108" t="s">
        <v>66</v>
      </c>
      <c r="D44" s="108"/>
      <c r="E44" s="108"/>
    </row>
    <row r="45" spans="2:5" hidden="1" x14ac:dyDescent="0.2">
      <c r="B45" s="49" t="s">
        <v>19</v>
      </c>
      <c r="C45" s="51"/>
      <c r="D45" s="51"/>
      <c r="E45" s="52"/>
    </row>
    <row r="46" spans="2:5" hidden="1" x14ac:dyDescent="0.2">
      <c r="B46" s="50"/>
      <c r="C46" s="108" t="s">
        <v>75</v>
      </c>
      <c r="D46" s="108"/>
      <c r="E46" s="108"/>
    </row>
    <row r="47" spans="2:5" hidden="1" x14ac:dyDescent="0.2">
      <c r="B47" s="49" t="s">
        <v>20</v>
      </c>
      <c r="C47" s="47"/>
      <c r="D47" s="47"/>
      <c r="E47" s="48"/>
    </row>
    <row r="48" spans="2:5" hidden="1" x14ac:dyDescent="0.2">
      <c r="B48" s="49"/>
      <c r="C48" s="109" t="s">
        <v>61</v>
      </c>
      <c r="D48" s="109"/>
      <c r="E48" s="109"/>
    </row>
    <row r="49" spans="2:5" ht="13.5" hidden="1" thickBot="1" x14ac:dyDescent="0.25">
      <c r="B49" s="53"/>
      <c r="C49" s="54"/>
      <c r="D49" s="54"/>
      <c r="E49" s="55"/>
    </row>
    <row r="50" spans="2:5" hidden="1" x14ac:dyDescent="0.2"/>
    <row r="51" spans="2:5" hidden="1" x14ac:dyDescent="0.2">
      <c r="B51" s="43" t="s">
        <v>62</v>
      </c>
      <c r="C51" s="44"/>
      <c r="D51" s="44"/>
      <c r="E51" s="45"/>
    </row>
    <row r="52" spans="2:5" hidden="1" x14ac:dyDescent="0.2">
      <c r="B52" s="46"/>
      <c r="C52" s="47"/>
      <c r="D52" s="47"/>
      <c r="E52" s="48"/>
    </row>
    <row r="53" spans="2:5" hidden="1" x14ac:dyDescent="0.2">
      <c r="B53" s="49" t="s">
        <v>16</v>
      </c>
      <c r="C53" s="47"/>
      <c r="D53" s="47"/>
      <c r="E53" s="48"/>
    </row>
    <row r="54" spans="2:5" hidden="1" x14ac:dyDescent="0.2">
      <c r="B54" s="49"/>
      <c r="C54" s="108"/>
      <c r="D54" s="108"/>
      <c r="E54" s="108"/>
    </row>
    <row r="55" spans="2:5" hidden="1" x14ac:dyDescent="0.2">
      <c r="B55" s="49" t="s">
        <v>17</v>
      </c>
      <c r="C55" s="47"/>
      <c r="D55" s="47"/>
      <c r="E55" s="48"/>
    </row>
    <row r="56" spans="2:5" hidden="1" x14ac:dyDescent="0.2">
      <c r="B56" s="50"/>
      <c r="C56" s="109" t="s">
        <v>73</v>
      </c>
      <c r="D56" s="109"/>
      <c r="E56" s="109"/>
    </row>
    <row r="57" spans="2:5" hidden="1" x14ac:dyDescent="0.2">
      <c r="B57" s="50"/>
      <c r="C57" s="109" t="s">
        <v>74</v>
      </c>
      <c r="D57" s="109"/>
      <c r="E57" s="109"/>
    </row>
    <row r="58" spans="2:5" hidden="1" x14ac:dyDescent="0.2">
      <c r="B58" s="49" t="s">
        <v>18</v>
      </c>
      <c r="C58" s="47"/>
      <c r="D58" s="47"/>
      <c r="E58" s="48"/>
    </row>
    <row r="59" spans="2:5" hidden="1" x14ac:dyDescent="0.2">
      <c r="B59" s="50"/>
      <c r="C59" s="108" t="s">
        <v>66</v>
      </c>
      <c r="D59" s="108"/>
      <c r="E59" s="108"/>
    </row>
    <row r="60" spans="2:5" hidden="1" x14ac:dyDescent="0.2">
      <c r="B60" s="49" t="s">
        <v>19</v>
      </c>
      <c r="C60" s="51"/>
      <c r="D60" s="51"/>
      <c r="E60" s="52"/>
    </row>
    <row r="61" spans="2:5" hidden="1" x14ac:dyDescent="0.2">
      <c r="B61" s="50"/>
      <c r="C61" s="108" t="s">
        <v>75</v>
      </c>
      <c r="D61" s="108"/>
      <c r="E61" s="108"/>
    </row>
    <row r="62" spans="2:5" hidden="1" x14ac:dyDescent="0.2">
      <c r="B62" s="49" t="s">
        <v>20</v>
      </c>
      <c r="C62" s="47"/>
      <c r="D62" s="47"/>
      <c r="E62" s="48"/>
    </row>
    <row r="63" spans="2:5" hidden="1" x14ac:dyDescent="0.2">
      <c r="B63" s="49"/>
      <c r="C63" s="109" t="s">
        <v>61</v>
      </c>
      <c r="D63" s="109"/>
      <c r="E63" s="109"/>
    </row>
    <row r="64" spans="2:5" ht="13.5" hidden="1" thickBot="1" x14ac:dyDescent="0.25">
      <c r="B64" s="53"/>
      <c r="C64" s="54"/>
      <c r="D64" s="54"/>
      <c r="E64" s="55"/>
    </row>
    <row r="65" spans="2:5" ht="13.5" hidden="1" thickBot="1" x14ac:dyDescent="0.25"/>
    <row r="66" spans="2:5" hidden="1" x14ac:dyDescent="0.2">
      <c r="B66" s="43" t="s">
        <v>63</v>
      </c>
      <c r="C66" s="44"/>
      <c r="D66" s="44"/>
      <c r="E66" s="45"/>
    </row>
    <row r="67" spans="2:5" hidden="1" x14ac:dyDescent="0.2">
      <c r="B67" s="46"/>
      <c r="C67" s="47"/>
      <c r="D67" s="47"/>
      <c r="E67" s="48"/>
    </row>
    <row r="68" spans="2:5" hidden="1" x14ac:dyDescent="0.2">
      <c r="B68" s="49" t="s">
        <v>16</v>
      </c>
      <c r="C68" s="47"/>
      <c r="D68" s="47"/>
      <c r="E68" s="48"/>
    </row>
    <row r="69" spans="2:5" hidden="1" x14ac:dyDescent="0.2">
      <c r="B69" s="49"/>
      <c r="C69" s="108"/>
      <c r="D69" s="108"/>
      <c r="E69" s="108"/>
    </row>
    <row r="70" spans="2:5" hidden="1" x14ac:dyDescent="0.2">
      <c r="B70" s="49" t="s">
        <v>17</v>
      </c>
      <c r="C70" s="47"/>
      <c r="D70" s="47"/>
      <c r="E70" s="48"/>
    </row>
    <row r="71" spans="2:5" hidden="1" x14ac:dyDescent="0.2">
      <c r="B71" s="50"/>
      <c r="C71" s="109" t="s">
        <v>73</v>
      </c>
      <c r="D71" s="109"/>
      <c r="E71" s="109"/>
    </row>
    <row r="72" spans="2:5" hidden="1" x14ac:dyDescent="0.2">
      <c r="B72" s="50"/>
      <c r="C72" s="109" t="s">
        <v>74</v>
      </c>
      <c r="D72" s="109"/>
      <c r="E72" s="109"/>
    </row>
    <row r="73" spans="2:5" hidden="1" x14ac:dyDescent="0.2">
      <c r="B73" s="49" t="s">
        <v>18</v>
      </c>
      <c r="C73" s="47"/>
      <c r="D73" s="47"/>
      <c r="E73" s="48"/>
    </row>
    <row r="74" spans="2:5" hidden="1" x14ac:dyDescent="0.2">
      <c r="B74" s="50"/>
      <c r="C74" s="108" t="s">
        <v>66</v>
      </c>
      <c r="D74" s="108"/>
      <c r="E74" s="108"/>
    </row>
    <row r="75" spans="2:5" hidden="1" x14ac:dyDescent="0.2">
      <c r="B75" s="49" t="s">
        <v>19</v>
      </c>
      <c r="C75" s="51"/>
      <c r="D75" s="51"/>
      <c r="E75" s="52"/>
    </row>
    <row r="76" spans="2:5" hidden="1" x14ac:dyDescent="0.2">
      <c r="B76" s="50"/>
      <c r="C76" s="108" t="s">
        <v>75</v>
      </c>
      <c r="D76" s="108"/>
      <c r="E76" s="108"/>
    </row>
    <row r="77" spans="2:5" hidden="1" x14ac:dyDescent="0.2">
      <c r="B77" s="49" t="s">
        <v>20</v>
      </c>
      <c r="C77" s="47"/>
      <c r="D77" s="47"/>
      <c r="E77" s="48"/>
    </row>
    <row r="78" spans="2:5" hidden="1" x14ac:dyDescent="0.2">
      <c r="B78" s="49"/>
      <c r="C78" s="109" t="s">
        <v>61</v>
      </c>
      <c r="D78" s="109"/>
      <c r="E78" s="109"/>
    </row>
    <row r="79" spans="2:5" ht="13.5" hidden="1" thickBot="1" x14ac:dyDescent="0.25">
      <c r="B79" s="53"/>
      <c r="C79" s="54"/>
      <c r="D79" s="54"/>
      <c r="E79" s="55"/>
    </row>
    <row r="80" spans="2:5" ht="13.5" hidden="1" thickBot="1" x14ac:dyDescent="0.25"/>
    <row r="81" spans="2:5" hidden="1" x14ac:dyDescent="0.2">
      <c r="B81" s="43" t="s">
        <v>64</v>
      </c>
      <c r="C81" s="44"/>
      <c r="D81" s="44"/>
      <c r="E81" s="45"/>
    </row>
    <row r="82" spans="2:5" hidden="1" x14ac:dyDescent="0.2">
      <c r="B82" s="46"/>
      <c r="C82" s="47"/>
      <c r="D82" s="47"/>
      <c r="E82" s="48"/>
    </row>
    <row r="83" spans="2:5" hidden="1" x14ac:dyDescent="0.2">
      <c r="B83" s="49" t="s">
        <v>16</v>
      </c>
      <c r="C83" s="47"/>
      <c r="D83" s="47"/>
      <c r="E83" s="48"/>
    </row>
    <row r="84" spans="2:5" hidden="1" x14ac:dyDescent="0.2">
      <c r="B84" s="49"/>
      <c r="C84" s="108"/>
      <c r="D84" s="108"/>
      <c r="E84" s="108"/>
    </row>
    <row r="85" spans="2:5" hidden="1" x14ac:dyDescent="0.2">
      <c r="B85" s="49" t="s">
        <v>17</v>
      </c>
      <c r="C85" s="47"/>
      <c r="D85" s="47"/>
      <c r="E85" s="48"/>
    </row>
    <row r="86" spans="2:5" hidden="1" x14ac:dyDescent="0.2">
      <c r="B86" s="50"/>
      <c r="C86" s="109" t="s">
        <v>73</v>
      </c>
      <c r="D86" s="109"/>
      <c r="E86" s="109"/>
    </row>
    <row r="87" spans="2:5" hidden="1" x14ac:dyDescent="0.2">
      <c r="B87" s="50"/>
      <c r="C87" s="109" t="s">
        <v>74</v>
      </c>
      <c r="D87" s="109"/>
      <c r="E87" s="109"/>
    </row>
    <row r="88" spans="2:5" hidden="1" x14ac:dyDescent="0.2">
      <c r="B88" s="49" t="s">
        <v>18</v>
      </c>
      <c r="C88" s="47"/>
      <c r="D88" s="47"/>
      <c r="E88" s="48"/>
    </row>
    <row r="89" spans="2:5" hidden="1" x14ac:dyDescent="0.2">
      <c r="B89" s="50"/>
      <c r="C89" s="108" t="s">
        <v>66</v>
      </c>
      <c r="D89" s="108"/>
      <c r="E89" s="108"/>
    </row>
    <row r="90" spans="2:5" hidden="1" x14ac:dyDescent="0.2">
      <c r="B90" s="49" t="s">
        <v>19</v>
      </c>
      <c r="C90" s="51"/>
      <c r="D90" s="51"/>
      <c r="E90" s="52"/>
    </row>
    <row r="91" spans="2:5" hidden="1" x14ac:dyDescent="0.2">
      <c r="B91" s="50"/>
      <c r="C91" s="108" t="s">
        <v>75</v>
      </c>
      <c r="D91" s="108"/>
      <c r="E91" s="108"/>
    </row>
    <row r="92" spans="2:5" hidden="1" x14ac:dyDescent="0.2">
      <c r="B92" s="49" t="s">
        <v>20</v>
      </c>
      <c r="C92" s="47"/>
      <c r="D92" s="47"/>
      <c r="E92" s="48"/>
    </row>
    <row r="93" spans="2:5" hidden="1" x14ac:dyDescent="0.2">
      <c r="B93" s="49"/>
      <c r="C93" s="109" t="s">
        <v>61</v>
      </c>
      <c r="D93" s="109"/>
      <c r="E93" s="109"/>
    </row>
    <row r="94" spans="2:5" ht="13.5" hidden="1" thickBot="1" x14ac:dyDescent="0.25">
      <c r="B94" s="53"/>
      <c r="C94" s="54"/>
      <c r="D94" s="54"/>
      <c r="E94" s="55"/>
    </row>
    <row r="95" spans="2:5" ht="13.5" hidden="1" thickBot="1" x14ac:dyDescent="0.25"/>
    <row r="96" spans="2:5" hidden="1" x14ac:dyDescent="0.2">
      <c r="B96" s="43" t="s">
        <v>65</v>
      </c>
      <c r="C96" s="44"/>
      <c r="D96" s="44"/>
      <c r="E96" s="45"/>
    </row>
    <row r="97" spans="2:5" hidden="1" x14ac:dyDescent="0.2">
      <c r="B97" s="46"/>
      <c r="C97" s="47"/>
      <c r="D97" s="47"/>
      <c r="E97" s="48"/>
    </row>
    <row r="98" spans="2:5" hidden="1" x14ac:dyDescent="0.2">
      <c r="B98" s="49" t="s">
        <v>16</v>
      </c>
      <c r="C98" s="47"/>
      <c r="D98" s="47"/>
      <c r="E98" s="48"/>
    </row>
    <row r="99" spans="2:5" hidden="1" x14ac:dyDescent="0.2">
      <c r="B99" s="49"/>
      <c r="C99" s="108"/>
      <c r="D99" s="108"/>
      <c r="E99" s="108"/>
    </row>
    <row r="100" spans="2:5" hidden="1" x14ac:dyDescent="0.2">
      <c r="B100" s="49" t="s">
        <v>17</v>
      </c>
      <c r="C100" s="47"/>
      <c r="D100" s="47"/>
      <c r="E100" s="48"/>
    </row>
    <row r="101" spans="2:5" hidden="1" x14ac:dyDescent="0.2">
      <c r="B101" s="50"/>
      <c r="C101" s="109" t="s">
        <v>73</v>
      </c>
      <c r="D101" s="109"/>
      <c r="E101" s="109"/>
    </row>
    <row r="102" spans="2:5" hidden="1" x14ac:dyDescent="0.2">
      <c r="B102" s="50"/>
      <c r="C102" s="109" t="s">
        <v>74</v>
      </c>
      <c r="D102" s="109"/>
      <c r="E102" s="109"/>
    </row>
    <row r="103" spans="2:5" hidden="1" x14ac:dyDescent="0.2">
      <c r="B103" s="49" t="s">
        <v>18</v>
      </c>
      <c r="C103" s="47"/>
      <c r="D103" s="47"/>
      <c r="E103" s="48"/>
    </row>
    <row r="104" spans="2:5" hidden="1" x14ac:dyDescent="0.2">
      <c r="B104" s="50"/>
      <c r="C104" s="108" t="s">
        <v>66</v>
      </c>
      <c r="D104" s="108"/>
      <c r="E104" s="108"/>
    </row>
    <row r="105" spans="2:5" hidden="1" x14ac:dyDescent="0.2">
      <c r="B105" s="49" t="s">
        <v>19</v>
      </c>
      <c r="C105" s="51"/>
      <c r="D105" s="51"/>
      <c r="E105" s="52"/>
    </row>
    <row r="106" spans="2:5" hidden="1" x14ac:dyDescent="0.2">
      <c r="B106" s="50"/>
      <c r="C106" s="108" t="s">
        <v>75</v>
      </c>
      <c r="D106" s="108"/>
      <c r="E106" s="108"/>
    </row>
    <row r="107" spans="2:5" hidden="1" x14ac:dyDescent="0.2">
      <c r="B107" s="49" t="s">
        <v>20</v>
      </c>
      <c r="C107" s="47"/>
      <c r="D107" s="47"/>
      <c r="E107" s="48"/>
    </row>
    <row r="108" spans="2:5" hidden="1" x14ac:dyDescent="0.2">
      <c r="B108" s="49"/>
      <c r="C108" s="109" t="s">
        <v>61</v>
      </c>
      <c r="D108" s="109"/>
      <c r="E108" s="109"/>
    </row>
    <row r="109" spans="2:5" ht="13.5" hidden="1" thickBot="1" x14ac:dyDescent="0.25">
      <c r="B109" s="53"/>
      <c r="C109" s="54"/>
      <c r="D109" s="54"/>
      <c r="E109" s="55"/>
    </row>
    <row r="110" spans="2:5" ht="13.5" hidden="1" thickBot="1" x14ac:dyDescent="0.25"/>
    <row r="111" spans="2:5" hidden="1" x14ac:dyDescent="0.2">
      <c r="B111" s="43" t="s">
        <v>70</v>
      </c>
      <c r="C111" s="44"/>
      <c r="D111" s="44"/>
      <c r="E111" s="45"/>
    </row>
    <row r="112" spans="2:5" hidden="1" x14ac:dyDescent="0.2">
      <c r="B112" s="46"/>
      <c r="C112" s="47"/>
      <c r="D112" s="47"/>
      <c r="E112" s="48"/>
    </row>
    <row r="113" spans="2:5" hidden="1" x14ac:dyDescent="0.2">
      <c r="B113" s="49" t="s">
        <v>16</v>
      </c>
      <c r="C113" s="47"/>
      <c r="D113" s="47"/>
      <c r="E113" s="48"/>
    </row>
    <row r="114" spans="2:5" hidden="1" x14ac:dyDescent="0.2">
      <c r="B114" s="49"/>
      <c r="C114" s="108" t="s">
        <v>81</v>
      </c>
      <c r="D114" s="108"/>
      <c r="E114" s="108"/>
    </row>
    <row r="115" spans="2:5" hidden="1" x14ac:dyDescent="0.2">
      <c r="B115" s="49" t="s">
        <v>17</v>
      </c>
      <c r="C115" s="47"/>
      <c r="D115" s="47"/>
      <c r="E115" s="48"/>
    </row>
    <row r="116" spans="2:5" hidden="1" x14ac:dyDescent="0.2">
      <c r="B116" s="50"/>
      <c r="C116" s="109" t="s">
        <v>73</v>
      </c>
      <c r="D116" s="109"/>
      <c r="E116" s="109"/>
    </row>
    <row r="117" spans="2:5" hidden="1" x14ac:dyDescent="0.2">
      <c r="B117" s="50"/>
      <c r="C117" s="109" t="s">
        <v>74</v>
      </c>
      <c r="D117" s="109"/>
      <c r="E117" s="109"/>
    </row>
    <row r="118" spans="2:5" hidden="1" x14ac:dyDescent="0.2">
      <c r="B118" s="49" t="s">
        <v>18</v>
      </c>
      <c r="C118" s="47"/>
      <c r="D118" s="47"/>
      <c r="E118" s="48"/>
    </row>
    <row r="119" spans="2:5" hidden="1" x14ac:dyDescent="0.2">
      <c r="B119" s="50"/>
      <c r="C119" s="108" t="s">
        <v>66</v>
      </c>
      <c r="D119" s="108"/>
      <c r="E119" s="108"/>
    </row>
    <row r="120" spans="2:5" hidden="1" x14ac:dyDescent="0.2">
      <c r="B120" s="49" t="s">
        <v>19</v>
      </c>
      <c r="C120" s="51"/>
      <c r="D120" s="51"/>
      <c r="E120" s="52"/>
    </row>
    <row r="121" spans="2:5" hidden="1" x14ac:dyDescent="0.2">
      <c r="B121" s="50"/>
      <c r="C121" s="108" t="s">
        <v>75</v>
      </c>
      <c r="D121" s="108"/>
      <c r="E121" s="108"/>
    </row>
    <row r="122" spans="2:5" hidden="1" x14ac:dyDescent="0.2">
      <c r="B122" s="49" t="s">
        <v>20</v>
      </c>
      <c r="C122" s="47"/>
      <c r="D122" s="47"/>
      <c r="E122" s="48"/>
    </row>
    <row r="123" spans="2:5" hidden="1" x14ac:dyDescent="0.2">
      <c r="B123" s="49"/>
      <c r="C123" s="109" t="s">
        <v>61</v>
      </c>
      <c r="D123" s="109"/>
      <c r="E123" s="109"/>
    </row>
    <row r="124" spans="2:5" ht="13.5" hidden="1" thickBot="1" x14ac:dyDescent="0.25">
      <c r="B124" s="53"/>
      <c r="C124" s="54"/>
      <c r="D124" s="54"/>
      <c r="E124" s="55"/>
    </row>
    <row r="125" spans="2:5" ht="13.5" hidden="1" thickBot="1" x14ac:dyDescent="0.25"/>
    <row r="126" spans="2:5" hidden="1" x14ac:dyDescent="0.2">
      <c r="B126" s="43" t="s">
        <v>71</v>
      </c>
      <c r="C126" s="44"/>
      <c r="D126" s="44"/>
      <c r="E126" s="45"/>
    </row>
    <row r="127" spans="2:5" hidden="1" x14ac:dyDescent="0.2">
      <c r="B127" s="46"/>
      <c r="C127" s="47"/>
      <c r="D127" s="47"/>
      <c r="E127" s="48"/>
    </row>
    <row r="128" spans="2:5" hidden="1" x14ac:dyDescent="0.2">
      <c r="B128" s="49" t="s">
        <v>16</v>
      </c>
      <c r="C128" s="47"/>
      <c r="D128" s="47"/>
      <c r="E128" s="48"/>
    </row>
    <row r="129" spans="2:5" hidden="1" x14ac:dyDescent="0.2">
      <c r="B129" s="49"/>
      <c r="C129" s="108"/>
      <c r="D129" s="108"/>
      <c r="E129" s="108"/>
    </row>
    <row r="130" spans="2:5" hidden="1" x14ac:dyDescent="0.2">
      <c r="B130" s="49" t="s">
        <v>17</v>
      </c>
      <c r="C130" s="47"/>
      <c r="D130" s="47"/>
      <c r="E130" s="48"/>
    </row>
    <row r="131" spans="2:5" hidden="1" x14ac:dyDescent="0.2">
      <c r="B131" s="50"/>
      <c r="C131" s="109" t="s">
        <v>73</v>
      </c>
      <c r="D131" s="109"/>
      <c r="E131" s="109"/>
    </row>
    <row r="132" spans="2:5" hidden="1" x14ac:dyDescent="0.2">
      <c r="B132" s="50"/>
      <c r="C132" s="109" t="s">
        <v>74</v>
      </c>
      <c r="D132" s="109"/>
      <c r="E132" s="109"/>
    </row>
    <row r="133" spans="2:5" hidden="1" x14ac:dyDescent="0.2">
      <c r="B133" s="49" t="s">
        <v>18</v>
      </c>
      <c r="C133" s="47"/>
      <c r="D133" s="47"/>
      <c r="E133" s="48"/>
    </row>
    <row r="134" spans="2:5" hidden="1" x14ac:dyDescent="0.2">
      <c r="B134" s="50"/>
      <c r="C134" s="108" t="s">
        <v>66</v>
      </c>
      <c r="D134" s="108"/>
      <c r="E134" s="108"/>
    </row>
    <row r="135" spans="2:5" hidden="1" x14ac:dyDescent="0.2">
      <c r="B135" s="49" t="s">
        <v>19</v>
      </c>
      <c r="C135" s="51"/>
      <c r="D135" s="51"/>
      <c r="E135" s="52"/>
    </row>
    <row r="136" spans="2:5" hidden="1" x14ac:dyDescent="0.2">
      <c r="B136" s="50"/>
      <c r="C136" s="108" t="s">
        <v>75</v>
      </c>
      <c r="D136" s="108"/>
      <c r="E136" s="108"/>
    </row>
    <row r="137" spans="2:5" hidden="1" x14ac:dyDescent="0.2">
      <c r="B137" s="49" t="s">
        <v>20</v>
      </c>
      <c r="C137" s="47"/>
      <c r="D137" s="47"/>
      <c r="E137" s="48"/>
    </row>
    <row r="138" spans="2:5" hidden="1" x14ac:dyDescent="0.2">
      <c r="B138" s="49"/>
      <c r="C138" s="109" t="s">
        <v>61</v>
      </c>
      <c r="D138" s="109"/>
      <c r="E138" s="109"/>
    </row>
    <row r="139" spans="2:5" ht="13.5" hidden="1" thickBot="1" x14ac:dyDescent="0.25">
      <c r="B139" s="53"/>
      <c r="C139" s="54"/>
      <c r="D139" s="54"/>
      <c r="E139" s="55"/>
    </row>
    <row r="140" spans="2:5" ht="13.5" hidden="1" thickBot="1" x14ac:dyDescent="0.25"/>
    <row r="141" spans="2:5" hidden="1" x14ac:dyDescent="0.2">
      <c r="B141" s="43" t="s">
        <v>72</v>
      </c>
      <c r="C141" s="44"/>
      <c r="D141" s="44"/>
      <c r="E141" s="45"/>
    </row>
    <row r="142" spans="2:5" hidden="1" x14ac:dyDescent="0.2">
      <c r="B142" s="46"/>
      <c r="C142" s="47"/>
      <c r="D142" s="47"/>
      <c r="E142" s="48"/>
    </row>
    <row r="143" spans="2:5" hidden="1" x14ac:dyDescent="0.2">
      <c r="B143" s="49" t="s">
        <v>16</v>
      </c>
      <c r="C143" s="47"/>
      <c r="D143" s="47"/>
      <c r="E143" s="48"/>
    </row>
    <row r="144" spans="2:5" hidden="1" x14ac:dyDescent="0.2">
      <c r="B144" s="49"/>
      <c r="C144" s="108"/>
      <c r="D144" s="108"/>
      <c r="E144" s="108"/>
    </row>
    <row r="145" spans="2:5" hidden="1" x14ac:dyDescent="0.2">
      <c r="B145" s="49" t="s">
        <v>17</v>
      </c>
      <c r="C145" s="47"/>
      <c r="D145" s="47"/>
      <c r="E145" s="48"/>
    </row>
    <row r="146" spans="2:5" hidden="1" x14ac:dyDescent="0.2">
      <c r="B146" s="50"/>
      <c r="C146" s="109" t="s">
        <v>73</v>
      </c>
      <c r="D146" s="109"/>
      <c r="E146" s="109"/>
    </row>
    <row r="147" spans="2:5" hidden="1" x14ac:dyDescent="0.2">
      <c r="B147" s="50"/>
      <c r="C147" s="109" t="s">
        <v>74</v>
      </c>
      <c r="D147" s="109"/>
      <c r="E147" s="109"/>
    </row>
    <row r="148" spans="2:5" hidden="1" x14ac:dyDescent="0.2">
      <c r="B148" s="49" t="s">
        <v>18</v>
      </c>
      <c r="C148" s="47"/>
      <c r="D148" s="47"/>
      <c r="E148" s="48"/>
    </row>
    <row r="149" spans="2:5" hidden="1" x14ac:dyDescent="0.2">
      <c r="B149" s="50"/>
      <c r="C149" s="108" t="s">
        <v>66</v>
      </c>
      <c r="D149" s="108"/>
      <c r="E149" s="108"/>
    </row>
    <row r="150" spans="2:5" hidden="1" x14ac:dyDescent="0.2">
      <c r="B150" s="49" t="s">
        <v>19</v>
      </c>
      <c r="C150" s="51"/>
      <c r="D150" s="51"/>
      <c r="E150" s="52"/>
    </row>
    <row r="151" spans="2:5" hidden="1" x14ac:dyDescent="0.2">
      <c r="B151" s="50"/>
      <c r="C151" s="108" t="s">
        <v>75</v>
      </c>
      <c r="D151" s="108"/>
      <c r="E151" s="108"/>
    </row>
    <row r="152" spans="2:5" hidden="1" x14ac:dyDescent="0.2">
      <c r="B152" s="49" t="s">
        <v>20</v>
      </c>
      <c r="C152" s="47"/>
      <c r="D152" s="47"/>
      <c r="E152" s="48"/>
    </row>
    <row r="153" spans="2:5" hidden="1" x14ac:dyDescent="0.2">
      <c r="B153" s="49"/>
      <c r="C153" s="109" t="s">
        <v>61</v>
      </c>
      <c r="D153" s="109"/>
      <c r="E153" s="109"/>
    </row>
    <row r="154" spans="2:5" ht="13.5" hidden="1" thickBot="1" x14ac:dyDescent="0.25">
      <c r="B154" s="53"/>
      <c r="C154" s="54"/>
      <c r="D154" s="54"/>
      <c r="E154" s="55"/>
    </row>
    <row r="155" spans="2:5" ht="13.5" hidden="1" thickBot="1" x14ac:dyDescent="0.25"/>
    <row r="156" spans="2:5" hidden="1" x14ac:dyDescent="0.2">
      <c r="B156" s="43" t="s">
        <v>76</v>
      </c>
      <c r="C156" s="44"/>
      <c r="D156" s="44"/>
      <c r="E156" s="45"/>
    </row>
    <row r="157" spans="2:5" hidden="1" x14ac:dyDescent="0.2">
      <c r="B157" s="46"/>
      <c r="C157" s="47"/>
      <c r="D157" s="47"/>
      <c r="E157" s="48"/>
    </row>
    <row r="158" spans="2:5" hidden="1" x14ac:dyDescent="0.2">
      <c r="B158" s="49" t="s">
        <v>16</v>
      </c>
      <c r="C158" s="47"/>
      <c r="D158" s="47"/>
      <c r="E158" s="48"/>
    </row>
    <row r="159" spans="2:5" hidden="1" x14ac:dyDescent="0.2">
      <c r="B159" s="49"/>
      <c r="C159" s="108"/>
      <c r="D159" s="108"/>
      <c r="E159" s="108"/>
    </row>
    <row r="160" spans="2:5" hidden="1" x14ac:dyDescent="0.2">
      <c r="B160" s="49" t="s">
        <v>17</v>
      </c>
      <c r="C160" s="47"/>
      <c r="D160" s="47"/>
      <c r="E160" s="48"/>
    </row>
    <row r="161" spans="2:5" hidden="1" x14ac:dyDescent="0.2">
      <c r="B161" s="50"/>
      <c r="C161" s="109" t="s">
        <v>73</v>
      </c>
      <c r="D161" s="109"/>
      <c r="E161" s="109"/>
    </row>
    <row r="162" spans="2:5" hidden="1" x14ac:dyDescent="0.2">
      <c r="B162" s="50"/>
      <c r="C162" s="109" t="s">
        <v>74</v>
      </c>
      <c r="D162" s="109"/>
      <c r="E162" s="109"/>
    </row>
    <row r="163" spans="2:5" hidden="1" x14ac:dyDescent="0.2">
      <c r="B163" s="49" t="s">
        <v>18</v>
      </c>
      <c r="C163" s="47"/>
      <c r="D163" s="47"/>
      <c r="E163" s="48"/>
    </row>
    <row r="164" spans="2:5" hidden="1" x14ac:dyDescent="0.2">
      <c r="B164" s="50"/>
      <c r="C164" s="108" t="s">
        <v>66</v>
      </c>
      <c r="D164" s="108"/>
      <c r="E164" s="108"/>
    </row>
    <row r="165" spans="2:5" hidden="1" x14ac:dyDescent="0.2">
      <c r="B165" s="49" t="s">
        <v>19</v>
      </c>
      <c r="C165" s="51"/>
      <c r="D165" s="51"/>
      <c r="E165" s="52"/>
    </row>
    <row r="166" spans="2:5" hidden="1" x14ac:dyDescent="0.2">
      <c r="B166" s="50"/>
      <c r="C166" s="108" t="s">
        <v>75</v>
      </c>
      <c r="D166" s="108"/>
      <c r="E166" s="108"/>
    </row>
    <row r="167" spans="2:5" hidden="1" x14ac:dyDescent="0.2">
      <c r="B167" s="49" t="s">
        <v>20</v>
      </c>
      <c r="C167" s="47"/>
      <c r="D167" s="47"/>
      <c r="E167" s="48"/>
    </row>
    <row r="168" spans="2:5" hidden="1" x14ac:dyDescent="0.2">
      <c r="B168" s="49"/>
      <c r="C168" s="109" t="s">
        <v>61</v>
      </c>
      <c r="D168" s="109"/>
      <c r="E168" s="109"/>
    </row>
    <row r="169" spans="2:5" ht="13.5" hidden="1" thickBot="1" x14ac:dyDescent="0.25">
      <c r="B169" s="53"/>
      <c r="C169" s="54"/>
      <c r="D169" s="54"/>
      <c r="E169" s="55"/>
    </row>
    <row r="170" spans="2:5" ht="13.5" hidden="1" thickBot="1" x14ac:dyDescent="0.25"/>
    <row r="171" spans="2:5" hidden="1" x14ac:dyDescent="0.2">
      <c r="B171" s="43" t="s">
        <v>77</v>
      </c>
      <c r="C171" s="44"/>
      <c r="D171" s="44"/>
      <c r="E171" s="45"/>
    </row>
    <row r="172" spans="2:5" hidden="1" x14ac:dyDescent="0.2">
      <c r="B172" s="46"/>
      <c r="C172" s="47"/>
      <c r="D172" s="47"/>
      <c r="E172" s="48"/>
    </row>
    <row r="173" spans="2:5" hidden="1" x14ac:dyDescent="0.2">
      <c r="B173" s="49" t="s">
        <v>16</v>
      </c>
      <c r="C173" s="47"/>
      <c r="D173" s="47"/>
      <c r="E173" s="48"/>
    </row>
    <row r="174" spans="2:5" hidden="1" x14ac:dyDescent="0.2">
      <c r="B174" s="49"/>
      <c r="C174" s="108"/>
      <c r="D174" s="108"/>
      <c r="E174" s="108"/>
    </row>
    <row r="175" spans="2:5" hidden="1" x14ac:dyDescent="0.2">
      <c r="B175" s="49" t="s">
        <v>17</v>
      </c>
      <c r="C175" s="47"/>
      <c r="D175" s="47"/>
      <c r="E175" s="48"/>
    </row>
    <row r="176" spans="2:5" hidden="1" x14ac:dyDescent="0.2">
      <c r="B176" s="50"/>
      <c r="C176" s="109" t="s">
        <v>73</v>
      </c>
      <c r="D176" s="109"/>
      <c r="E176" s="109"/>
    </row>
    <row r="177" spans="2:5" hidden="1" x14ac:dyDescent="0.2">
      <c r="B177" s="50"/>
      <c r="C177" s="109" t="s">
        <v>74</v>
      </c>
      <c r="D177" s="109"/>
      <c r="E177" s="109"/>
    </row>
    <row r="178" spans="2:5" hidden="1" x14ac:dyDescent="0.2">
      <c r="B178" s="49" t="s">
        <v>18</v>
      </c>
      <c r="C178" s="47"/>
      <c r="D178" s="47"/>
      <c r="E178" s="48"/>
    </row>
    <row r="179" spans="2:5" hidden="1" x14ac:dyDescent="0.2">
      <c r="B179" s="50"/>
      <c r="C179" s="108" t="s">
        <v>66</v>
      </c>
      <c r="D179" s="108"/>
      <c r="E179" s="108"/>
    </row>
    <row r="180" spans="2:5" hidden="1" x14ac:dyDescent="0.2">
      <c r="B180" s="49" t="s">
        <v>19</v>
      </c>
      <c r="C180" s="51"/>
      <c r="D180" s="51"/>
      <c r="E180" s="52"/>
    </row>
    <row r="181" spans="2:5" hidden="1" x14ac:dyDescent="0.2">
      <c r="B181" s="50"/>
      <c r="C181" s="108" t="s">
        <v>75</v>
      </c>
      <c r="D181" s="108"/>
      <c r="E181" s="108"/>
    </row>
    <row r="182" spans="2:5" hidden="1" x14ac:dyDescent="0.2">
      <c r="B182" s="49" t="s">
        <v>20</v>
      </c>
      <c r="C182" s="47"/>
      <c r="D182" s="47"/>
      <c r="E182" s="48"/>
    </row>
    <row r="183" spans="2:5" hidden="1" x14ac:dyDescent="0.2">
      <c r="B183" s="49"/>
      <c r="C183" s="109" t="s">
        <v>61</v>
      </c>
      <c r="D183" s="109"/>
      <c r="E183" s="109"/>
    </row>
    <row r="184" spans="2:5" ht="13.5" hidden="1" thickBot="1" x14ac:dyDescent="0.25">
      <c r="B184" s="53"/>
      <c r="C184" s="54"/>
      <c r="D184" s="54"/>
      <c r="E184" s="55"/>
    </row>
    <row r="185" spans="2:5" hidden="1" x14ac:dyDescent="0.2"/>
    <row r="186" spans="2:5" ht="13.5" hidden="1" thickBot="1" x14ac:dyDescent="0.25"/>
    <row r="187" spans="2:5" hidden="1" x14ac:dyDescent="0.2">
      <c r="B187" s="43" t="s">
        <v>78</v>
      </c>
      <c r="C187" s="44"/>
      <c r="D187" s="44"/>
      <c r="E187" s="45"/>
    </row>
    <row r="188" spans="2:5" hidden="1" x14ac:dyDescent="0.2">
      <c r="B188" s="46"/>
      <c r="C188" s="47"/>
      <c r="D188" s="47"/>
      <c r="E188" s="48"/>
    </row>
    <row r="189" spans="2:5" hidden="1" x14ac:dyDescent="0.2">
      <c r="B189" s="49" t="s">
        <v>16</v>
      </c>
      <c r="C189" s="47"/>
      <c r="D189" s="47"/>
      <c r="E189" s="48"/>
    </row>
    <row r="190" spans="2:5" hidden="1" x14ac:dyDescent="0.2">
      <c r="B190" s="49"/>
      <c r="C190" s="108"/>
      <c r="D190" s="108"/>
      <c r="E190" s="108"/>
    </row>
    <row r="191" spans="2:5" hidden="1" x14ac:dyDescent="0.2">
      <c r="B191" s="49" t="s">
        <v>17</v>
      </c>
      <c r="C191" s="47"/>
      <c r="D191" s="47"/>
      <c r="E191" s="48"/>
    </row>
    <row r="192" spans="2:5" hidden="1" x14ac:dyDescent="0.2">
      <c r="B192" s="50"/>
      <c r="C192" s="109" t="s">
        <v>73</v>
      </c>
      <c r="D192" s="109"/>
      <c r="E192" s="109"/>
    </row>
    <row r="193" spans="2:5" hidden="1" x14ac:dyDescent="0.2">
      <c r="B193" s="50"/>
      <c r="C193" s="109" t="s">
        <v>74</v>
      </c>
      <c r="D193" s="109"/>
      <c r="E193" s="109"/>
    </row>
    <row r="194" spans="2:5" hidden="1" x14ac:dyDescent="0.2">
      <c r="B194" s="49" t="s">
        <v>18</v>
      </c>
      <c r="C194" s="47"/>
      <c r="D194" s="47"/>
      <c r="E194" s="48"/>
    </row>
    <row r="195" spans="2:5" hidden="1" x14ac:dyDescent="0.2">
      <c r="B195" s="50"/>
      <c r="C195" s="108" t="s">
        <v>66</v>
      </c>
      <c r="D195" s="108"/>
      <c r="E195" s="108"/>
    </row>
    <row r="196" spans="2:5" hidden="1" x14ac:dyDescent="0.2">
      <c r="B196" s="49" t="s">
        <v>19</v>
      </c>
      <c r="C196" s="51"/>
      <c r="D196" s="51"/>
      <c r="E196" s="52"/>
    </row>
    <row r="197" spans="2:5" hidden="1" x14ac:dyDescent="0.2">
      <c r="B197" s="50"/>
      <c r="C197" s="108" t="s">
        <v>75</v>
      </c>
      <c r="D197" s="108"/>
      <c r="E197" s="108"/>
    </row>
    <row r="198" spans="2:5" hidden="1" x14ac:dyDescent="0.2">
      <c r="B198" s="49" t="s">
        <v>20</v>
      </c>
      <c r="C198" s="47"/>
      <c r="D198" s="47"/>
      <c r="E198" s="48"/>
    </row>
    <row r="199" spans="2:5" hidden="1" x14ac:dyDescent="0.2">
      <c r="B199" s="49"/>
      <c r="C199" s="109" t="s">
        <v>61</v>
      </c>
      <c r="D199" s="109"/>
      <c r="E199" s="109"/>
    </row>
    <row r="200" spans="2:5" ht="13.5" hidden="1" thickBot="1" x14ac:dyDescent="0.25">
      <c r="B200" s="53"/>
      <c r="C200" s="54"/>
      <c r="D200" s="54"/>
      <c r="E200" s="55"/>
    </row>
    <row r="201" spans="2:5" hidden="1" x14ac:dyDescent="0.2"/>
    <row r="202" spans="2:5" ht="13.5" hidden="1" thickBot="1" x14ac:dyDescent="0.25"/>
    <row r="203" spans="2:5" hidden="1" x14ac:dyDescent="0.2">
      <c r="B203" s="43" t="s">
        <v>79</v>
      </c>
      <c r="C203" s="44"/>
      <c r="D203" s="44"/>
      <c r="E203" s="45"/>
    </row>
    <row r="204" spans="2:5" hidden="1" x14ac:dyDescent="0.2">
      <c r="B204" s="46"/>
      <c r="C204" s="47"/>
      <c r="D204" s="47"/>
      <c r="E204" s="48"/>
    </row>
    <row r="205" spans="2:5" hidden="1" x14ac:dyDescent="0.2">
      <c r="B205" s="49" t="s">
        <v>16</v>
      </c>
      <c r="C205" s="47"/>
      <c r="D205" s="47"/>
      <c r="E205" s="48"/>
    </row>
    <row r="206" spans="2:5" hidden="1" x14ac:dyDescent="0.2">
      <c r="B206" s="49"/>
      <c r="C206" s="108" t="s">
        <v>80</v>
      </c>
      <c r="D206" s="108"/>
      <c r="E206" s="108"/>
    </row>
    <row r="207" spans="2:5" hidden="1" x14ac:dyDescent="0.2">
      <c r="B207" s="49" t="s">
        <v>17</v>
      </c>
      <c r="C207" s="47"/>
      <c r="D207" s="47"/>
      <c r="E207" s="48"/>
    </row>
    <row r="208" spans="2:5" hidden="1" x14ac:dyDescent="0.2">
      <c r="B208" s="50"/>
      <c r="C208" s="109" t="s">
        <v>73</v>
      </c>
      <c r="D208" s="109"/>
      <c r="E208" s="109"/>
    </row>
    <row r="209" spans="2:5" hidden="1" x14ac:dyDescent="0.2">
      <c r="B209" s="50"/>
      <c r="C209" s="109" t="s">
        <v>74</v>
      </c>
      <c r="D209" s="109"/>
      <c r="E209" s="109"/>
    </row>
    <row r="210" spans="2:5" hidden="1" x14ac:dyDescent="0.2">
      <c r="B210" s="49" t="s">
        <v>18</v>
      </c>
      <c r="C210" s="47"/>
      <c r="D210" s="47"/>
      <c r="E210" s="48"/>
    </row>
    <row r="211" spans="2:5" hidden="1" x14ac:dyDescent="0.2">
      <c r="B211" s="50"/>
      <c r="C211" s="108" t="s">
        <v>66</v>
      </c>
      <c r="D211" s="108"/>
      <c r="E211" s="108"/>
    </row>
    <row r="212" spans="2:5" hidden="1" x14ac:dyDescent="0.2">
      <c r="B212" s="49" t="s">
        <v>19</v>
      </c>
      <c r="C212" s="51"/>
      <c r="D212" s="51"/>
      <c r="E212" s="52"/>
    </row>
    <row r="213" spans="2:5" hidden="1" x14ac:dyDescent="0.2">
      <c r="B213" s="50"/>
      <c r="C213" s="108" t="s">
        <v>75</v>
      </c>
      <c r="D213" s="108"/>
      <c r="E213" s="108"/>
    </row>
    <row r="214" spans="2:5" hidden="1" x14ac:dyDescent="0.2">
      <c r="B214" s="49" t="s">
        <v>20</v>
      </c>
      <c r="C214" s="47"/>
      <c r="D214" s="47"/>
      <c r="E214" s="48"/>
    </row>
    <row r="215" spans="2:5" hidden="1" x14ac:dyDescent="0.2">
      <c r="B215" s="49"/>
      <c r="C215" s="109" t="s">
        <v>61</v>
      </c>
      <c r="D215" s="109"/>
      <c r="E215" s="109"/>
    </row>
    <row r="216" spans="2:5" ht="13.5" hidden="1" thickBot="1" x14ac:dyDescent="0.25">
      <c r="B216" s="53"/>
      <c r="C216" s="54"/>
      <c r="D216" s="54"/>
      <c r="E216" s="55"/>
    </row>
    <row r="217" spans="2:5" ht="13.5" thickBot="1" x14ac:dyDescent="0.25"/>
    <row r="218" spans="2:5" x14ac:dyDescent="0.2">
      <c r="B218" s="43" t="s">
        <v>21</v>
      </c>
      <c r="C218" s="44"/>
      <c r="D218" s="44"/>
      <c r="E218" s="45"/>
    </row>
    <row r="219" spans="2:5" x14ac:dyDescent="0.2">
      <c r="B219" s="46"/>
      <c r="C219" s="47"/>
      <c r="D219" s="47"/>
      <c r="E219" s="48"/>
    </row>
    <row r="220" spans="2:5" x14ac:dyDescent="0.2">
      <c r="B220" s="49" t="s">
        <v>16</v>
      </c>
      <c r="C220" s="47"/>
      <c r="D220" s="47"/>
      <c r="E220" s="48"/>
    </row>
    <row r="221" spans="2:5" x14ac:dyDescent="0.2">
      <c r="B221" s="49"/>
      <c r="C221" s="108"/>
      <c r="D221" s="108"/>
      <c r="E221" s="108"/>
    </row>
    <row r="222" spans="2:5" x14ac:dyDescent="0.2">
      <c r="B222" s="49" t="s">
        <v>17</v>
      </c>
      <c r="C222" s="47"/>
      <c r="D222" s="47"/>
      <c r="E222" s="48"/>
    </row>
    <row r="223" spans="2:5" x14ac:dyDescent="0.2">
      <c r="B223" s="50"/>
      <c r="C223" s="109" t="s">
        <v>73</v>
      </c>
      <c r="D223" s="109"/>
      <c r="E223" s="109"/>
    </row>
    <row r="224" spans="2:5" x14ac:dyDescent="0.2">
      <c r="B224" s="50"/>
      <c r="C224" s="109" t="s">
        <v>74</v>
      </c>
      <c r="D224" s="109"/>
      <c r="E224" s="109"/>
    </row>
    <row r="225" spans="2:5" x14ac:dyDescent="0.2">
      <c r="B225" s="49" t="s">
        <v>18</v>
      </c>
      <c r="C225" s="47"/>
      <c r="D225" s="47"/>
      <c r="E225" s="48"/>
    </row>
    <row r="226" spans="2:5" x14ac:dyDescent="0.2">
      <c r="B226" s="50"/>
      <c r="C226" s="108" t="s">
        <v>66</v>
      </c>
      <c r="D226" s="108"/>
      <c r="E226" s="108"/>
    </row>
    <row r="227" spans="2:5" x14ac:dyDescent="0.2">
      <c r="B227" s="49" t="s">
        <v>19</v>
      </c>
      <c r="C227" s="51"/>
      <c r="D227" s="51"/>
      <c r="E227" s="52"/>
    </row>
    <row r="228" spans="2:5" x14ac:dyDescent="0.2">
      <c r="B228" s="50"/>
      <c r="C228" s="108" t="s">
        <v>75</v>
      </c>
      <c r="D228" s="108"/>
      <c r="E228" s="108"/>
    </row>
    <row r="229" spans="2:5" x14ac:dyDescent="0.2">
      <c r="B229" s="49" t="s">
        <v>20</v>
      </c>
      <c r="C229" s="47"/>
      <c r="D229" s="47"/>
      <c r="E229" s="48"/>
    </row>
    <row r="230" spans="2:5" x14ac:dyDescent="0.2">
      <c r="B230" s="49"/>
      <c r="C230" s="109" t="s">
        <v>61</v>
      </c>
      <c r="D230" s="109"/>
      <c r="E230" s="109"/>
    </row>
    <row r="231" spans="2:5" ht="13.5" thickBot="1" x14ac:dyDescent="0.25">
      <c r="B231" s="53"/>
      <c r="C231" s="54"/>
      <c r="D231" s="54"/>
      <c r="E231" s="55"/>
    </row>
    <row r="233" spans="2:5" ht="13.5" thickBot="1" x14ac:dyDescent="0.25"/>
    <row r="234" spans="2:5" x14ac:dyDescent="0.2">
      <c r="B234" s="43" t="s">
        <v>62</v>
      </c>
      <c r="C234" s="44"/>
      <c r="D234" s="44"/>
      <c r="E234" s="45"/>
    </row>
    <row r="235" spans="2:5" x14ac:dyDescent="0.2">
      <c r="B235" s="46"/>
      <c r="C235" s="47"/>
      <c r="D235" s="47"/>
      <c r="E235" s="48"/>
    </row>
    <row r="236" spans="2:5" x14ac:dyDescent="0.2">
      <c r="B236" s="49" t="s">
        <v>16</v>
      </c>
      <c r="C236" s="47"/>
      <c r="D236" s="47"/>
      <c r="E236" s="48"/>
    </row>
    <row r="237" spans="2:5" x14ac:dyDescent="0.2">
      <c r="B237" s="49"/>
      <c r="C237" s="108"/>
      <c r="D237" s="108"/>
      <c r="E237" s="108"/>
    </row>
    <row r="238" spans="2:5" x14ac:dyDescent="0.2">
      <c r="B238" s="49" t="s">
        <v>17</v>
      </c>
      <c r="C238" s="47"/>
      <c r="D238" s="47"/>
      <c r="E238" s="48"/>
    </row>
    <row r="239" spans="2:5" x14ac:dyDescent="0.2">
      <c r="B239" s="50"/>
      <c r="C239" s="109" t="s">
        <v>73</v>
      </c>
      <c r="D239" s="109"/>
      <c r="E239" s="109"/>
    </row>
    <row r="240" spans="2:5" x14ac:dyDescent="0.2">
      <c r="B240" s="50"/>
      <c r="C240" s="109" t="s">
        <v>74</v>
      </c>
      <c r="D240" s="109"/>
      <c r="E240" s="109"/>
    </row>
    <row r="241" spans="2:5" x14ac:dyDescent="0.2">
      <c r="B241" s="49" t="s">
        <v>18</v>
      </c>
      <c r="C241" s="47"/>
      <c r="D241" s="47"/>
      <c r="E241" s="48"/>
    </row>
    <row r="242" spans="2:5" x14ac:dyDescent="0.2">
      <c r="B242" s="50"/>
      <c r="C242" s="108" t="s">
        <v>66</v>
      </c>
      <c r="D242" s="108"/>
      <c r="E242" s="108"/>
    </row>
    <row r="243" spans="2:5" x14ac:dyDescent="0.2">
      <c r="B243" s="49" t="s">
        <v>19</v>
      </c>
      <c r="C243" s="51"/>
      <c r="D243" s="51"/>
      <c r="E243" s="52"/>
    </row>
    <row r="244" spans="2:5" x14ac:dyDescent="0.2">
      <c r="B244" s="50"/>
      <c r="C244" s="108" t="s">
        <v>75</v>
      </c>
      <c r="D244" s="108"/>
      <c r="E244" s="108"/>
    </row>
    <row r="245" spans="2:5" x14ac:dyDescent="0.2">
      <c r="B245" s="49" t="s">
        <v>20</v>
      </c>
      <c r="C245" s="47"/>
      <c r="D245" s="47"/>
      <c r="E245" s="48"/>
    </row>
    <row r="246" spans="2:5" x14ac:dyDescent="0.2">
      <c r="B246" s="49"/>
      <c r="C246" s="109" t="s">
        <v>61</v>
      </c>
      <c r="D246" s="109"/>
      <c r="E246" s="109"/>
    </row>
    <row r="247" spans="2:5" ht="13.5" thickBot="1" x14ac:dyDescent="0.25">
      <c r="B247" s="53"/>
      <c r="C247" s="54"/>
      <c r="D247" s="54"/>
      <c r="E247" s="55"/>
    </row>
    <row r="249" spans="2:5" ht="13.5" hidden="1" thickBot="1" x14ac:dyDescent="0.25"/>
    <row r="250" spans="2:5" hidden="1" x14ac:dyDescent="0.2">
      <c r="B250" s="43" t="s">
        <v>82</v>
      </c>
      <c r="C250" s="44"/>
      <c r="D250" s="44"/>
      <c r="E250" s="45"/>
    </row>
    <row r="251" spans="2:5" hidden="1" x14ac:dyDescent="0.2">
      <c r="B251" s="46"/>
      <c r="C251" s="47"/>
      <c r="D251" s="47"/>
      <c r="E251" s="48"/>
    </row>
    <row r="252" spans="2:5" hidden="1" x14ac:dyDescent="0.2">
      <c r="B252" s="49" t="s">
        <v>16</v>
      </c>
      <c r="C252" s="47"/>
      <c r="D252" s="47"/>
      <c r="E252" s="48"/>
    </row>
    <row r="253" spans="2:5" hidden="1" x14ac:dyDescent="0.2">
      <c r="B253" s="49"/>
      <c r="C253" s="108"/>
      <c r="D253" s="108"/>
      <c r="E253" s="108"/>
    </row>
    <row r="254" spans="2:5" hidden="1" x14ac:dyDescent="0.2">
      <c r="B254" s="49" t="s">
        <v>17</v>
      </c>
      <c r="C254" s="47"/>
      <c r="D254" s="47"/>
      <c r="E254" s="48"/>
    </row>
    <row r="255" spans="2:5" hidden="1" x14ac:dyDescent="0.2">
      <c r="B255" s="50"/>
      <c r="C255" s="109" t="s">
        <v>73</v>
      </c>
      <c r="D255" s="109"/>
      <c r="E255" s="109"/>
    </row>
    <row r="256" spans="2:5" hidden="1" x14ac:dyDescent="0.2">
      <c r="B256" s="50"/>
      <c r="C256" s="109" t="s">
        <v>74</v>
      </c>
      <c r="D256" s="109"/>
      <c r="E256" s="109"/>
    </row>
    <row r="257" spans="2:5" hidden="1" x14ac:dyDescent="0.2">
      <c r="B257" s="49" t="s">
        <v>18</v>
      </c>
      <c r="C257" s="47"/>
      <c r="D257" s="47"/>
      <c r="E257" s="48"/>
    </row>
    <row r="258" spans="2:5" hidden="1" x14ac:dyDescent="0.2">
      <c r="B258" s="50"/>
      <c r="C258" s="108" t="s">
        <v>66</v>
      </c>
      <c r="D258" s="108"/>
      <c r="E258" s="108"/>
    </row>
    <row r="259" spans="2:5" hidden="1" x14ac:dyDescent="0.2">
      <c r="B259" s="49" t="s">
        <v>19</v>
      </c>
      <c r="C259" s="51"/>
      <c r="D259" s="51"/>
      <c r="E259" s="52"/>
    </row>
    <row r="260" spans="2:5" hidden="1" x14ac:dyDescent="0.2">
      <c r="B260" s="50"/>
      <c r="C260" s="108" t="s">
        <v>75</v>
      </c>
      <c r="D260" s="108"/>
      <c r="E260" s="108"/>
    </row>
    <row r="261" spans="2:5" hidden="1" x14ac:dyDescent="0.2">
      <c r="B261" s="49" t="s">
        <v>20</v>
      </c>
      <c r="C261" s="47"/>
      <c r="D261" s="47"/>
      <c r="E261" s="48"/>
    </row>
    <row r="262" spans="2:5" hidden="1" x14ac:dyDescent="0.2">
      <c r="B262" s="49"/>
      <c r="C262" s="109" t="s">
        <v>61</v>
      </c>
      <c r="D262" s="109"/>
      <c r="E262" s="109"/>
    </row>
    <row r="263" spans="2:5" ht="13.5" hidden="1" thickBot="1" x14ac:dyDescent="0.25">
      <c r="B263" s="53"/>
      <c r="C263" s="54"/>
      <c r="D263" s="54"/>
      <c r="E263" s="55"/>
    </row>
    <row r="264" spans="2:5" hidden="1" x14ac:dyDescent="0.2"/>
    <row r="265" spans="2:5" ht="13.5" hidden="1" thickBot="1" x14ac:dyDescent="0.25"/>
    <row r="266" spans="2:5" hidden="1" x14ac:dyDescent="0.2">
      <c r="B266" s="43" t="s">
        <v>83</v>
      </c>
      <c r="C266" s="44"/>
      <c r="D266" s="44"/>
      <c r="E266" s="45"/>
    </row>
    <row r="267" spans="2:5" hidden="1" x14ac:dyDescent="0.2">
      <c r="B267" s="46"/>
      <c r="C267" s="47"/>
      <c r="D267" s="47"/>
      <c r="E267" s="48"/>
    </row>
    <row r="268" spans="2:5" hidden="1" x14ac:dyDescent="0.2">
      <c r="B268" s="49" t="s">
        <v>16</v>
      </c>
      <c r="C268" s="47"/>
      <c r="D268" s="47"/>
      <c r="E268" s="48"/>
    </row>
    <row r="269" spans="2:5" hidden="1" x14ac:dyDescent="0.2">
      <c r="B269" s="49"/>
      <c r="C269" s="108"/>
      <c r="D269" s="108"/>
      <c r="E269" s="108"/>
    </row>
    <row r="270" spans="2:5" hidden="1" x14ac:dyDescent="0.2">
      <c r="B270" s="49" t="s">
        <v>17</v>
      </c>
      <c r="C270" s="47"/>
      <c r="D270" s="47"/>
      <c r="E270" s="48"/>
    </row>
    <row r="271" spans="2:5" hidden="1" x14ac:dyDescent="0.2">
      <c r="B271" s="50"/>
      <c r="C271" s="109" t="s">
        <v>73</v>
      </c>
      <c r="D271" s="109"/>
      <c r="E271" s="109"/>
    </row>
    <row r="272" spans="2:5" hidden="1" x14ac:dyDescent="0.2">
      <c r="B272" s="50"/>
      <c r="C272" s="109" t="s">
        <v>74</v>
      </c>
      <c r="D272" s="109"/>
      <c r="E272" s="109"/>
    </row>
    <row r="273" spans="2:5" hidden="1" x14ac:dyDescent="0.2">
      <c r="B273" s="49" t="s">
        <v>18</v>
      </c>
      <c r="C273" s="47"/>
      <c r="D273" s="47"/>
      <c r="E273" s="48"/>
    </row>
    <row r="274" spans="2:5" hidden="1" x14ac:dyDescent="0.2">
      <c r="B274" s="50"/>
      <c r="C274" s="108" t="s">
        <v>66</v>
      </c>
      <c r="D274" s="108"/>
      <c r="E274" s="108"/>
    </row>
    <row r="275" spans="2:5" hidden="1" x14ac:dyDescent="0.2">
      <c r="B275" s="49" t="s">
        <v>19</v>
      </c>
      <c r="C275" s="51"/>
      <c r="D275" s="51"/>
      <c r="E275" s="52"/>
    </row>
    <row r="276" spans="2:5" hidden="1" x14ac:dyDescent="0.2">
      <c r="B276" s="50"/>
      <c r="C276" s="108" t="s">
        <v>75</v>
      </c>
      <c r="D276" s="108"/>
      <c r="E276" s="108"/>
    </row>
    <row r="277" spans="2:5" hidden="1" x14ac:dyDescent="0.2">
      <c r="B277" s="49" t="s">
        <v>20</v>
      </c>
      <c r="C277" s="47"/>
      <c r="D277" s="47"/>
      <c r="E277" s="48"/>
    </row>
    <row r="278" spans="2:5" hidden="1" x14ac:dyDescent="0.2">
      <c r="B278" s="49"/>
      <c r="C278" s="109" t="s">
        <v>61</v>
      </c>
      <c r="D278" s="109"/>
      <c r="E278" s="109"/>
    </row>
    <row r="279" spans="2:5" ht="13.5" hidden="1" thickBot="1" x14ac:dyDescent="0.25">
      <c r="B279" s="53"/>
      <c r="C279" s="54"/>
      <c r="D279" s="54"/>
      <c r="E279" s="55"/>
    </row>
  </sheetData>
  <mergeCells count="109">
    <mergeCell ref="B2:H2"/>
    <mergeCell ref="A4:B4"/>
    <mergeCell ref="C4:E4"/>
    <mergeCell ref="A5:B5"/>
    <mergeCell ref="C5:E5"/>
    <mergeCell ref="C230:E230"/>
    <mergeCell ref="C221:E221"/>
    <mergeCell ref="C223:E223"/>
    <mergeCell ref="C224:E224"/>
    <mergeCell ref="C226:E226"/>
    <mergeCell ref="C228:E228"/>
    <mergeCell ref="C29:E29"/>
    <mergeCell ref="C31:E31"/>
    <mergeCell ref="C33:E33"/>
    <mergeCell ref="C39:E39"/>
    <mergeCell ref="C41:E41"/>
    <mergeCell ref="A6:B6"/>
    <mergeCell ref="A7:B7"/>
    <mergeCell ref="C24:E24"/>
    <mergeCell ref="C26:E26"/>
    <mergeCell ref="C27:E27"/>
    <mergeCell ref="C54:E54"/>
    <mergeCell ref="C56:E56"/>
    <mergeCell ref="C57:E57"/>
    <mergeCell ref="C59:E59"/>
    <mergeCell ref="C61:E61"/>
    <mergeCell ref="C42:E42"/>
    <mergeCell ref="C44:E44"/>
    <mergeCell ref="C46:E46"/>
    <mergeCell ref="C48:E48"/>
    <mergeCell ref="C76:E76"/>
    <mergeCell ref="C78:E78"/>
    <mergeCell ref="C84:E84"/>
    <mergeCell ref="C86:E86"/>
    <mergeCell ref="C87:E87"/>
    <mergeCell ref="C63:E63"/>
    <mergeCell ref="C69:E69"/>
    <mergeCell ref="C71:E71"/>
    <mergeCell ref="C72:E72"/>
    <mergeCell ref="C74:E74"/>
    <mergeCell ref="C102:E102"/>
    <mergeCell ref="C104:E104"/>
    <mergeCell ref="C114:E114"/>
    <mergeCell ref="C116:E116"/>
    <mergeCell ref="C117:E117"/>
    <mergeCell ref="C119:E119"/>
    <mergeCell ref="C121:E121"/>
    <mergeCell ref="C159:E159"/>
    <mergeCell ref="C106:E106"/>
    <mergeCell ref="C108:E108"/>
    <mergeCell ref="C89:E89"/>
    <mergeCell ref="C91:E91"/>
    <mergeCell ref="C93:E93"/>
    <mergeCell ref="C99:E99"/>
    <mergeCell ref="C101:E101"/>
    <mergeCell ref="C123:E123"/>
    <mergeCell ref="C129:E129"/>
    <mergeCell ref="C149:E149"/>
    <mergeCell ref="C151:E151"/>
    <mergeCell ref="C153:E153"/>
    <mergeCell ref="C136:E136"/>
    <mergeCell ref="C138:E138"/>
    <mergeCell ref="C144:E144"/>
    <mergeCell ref="C146:E146"/>
    <mergeCell ref="C147:E147"/>
    <mergeCell ref="C131:E131"/>
    <mergeCell ref="C132:E132"/>
    <mergeCell ref="C134:E134"/>
    <mergeCell ref="C168:E168"/>
    <mergeCell ref="C174:E174"/>
    <mergeCell ref="C176:E176"/>
    <mergeCell ref="C177:E177"/>
    <mergeCell ref="C179:E179"/>
    <mergeCell ref="C161:E161"/>
    <mergeCell ref="C162:E162"/>
    <mergeCell ref="C164:E164"/>
    <mergeCell ref="C166:E166"/>
    <mergeCell ref="C195:E195"/>
    <mergeCell ref="C197:E197"/>
    <mergeCell ref="C199:E199"/>
    <mergeCell ref="C206:E206"/>
    <mergeCell ref="C208:E208"/>
    <mergeCell ref="C181:E181"/>
    <mergeCell ref="C183:E183"/>
    <mergeCell ref="C190:E190"/>
    <mergeCell ref="C192:E192"/>
    <mergeCell ref="C193:E193"/>
    <mergeCell ref="C237:E237"/>
    <mergeCell ref="C239:E239"/>
    <mergeCell ref="C240:E240"/>
    <mergeCell ref="C242:E242"/>
    <mergeCell ref="C244:E244"/>
    <mergeCell ref="C209:E209"/>
    <mergeCell ref="C211:E211"/>
    <mergeCell ref="C213:E213"/>
    <mergeCell ref="C215:E215"/>
    <mergeCell ref="C269:E269"/>
    <mergeCell ref="C271:E271"/>
    <mergeCell ref="C272:E272"/>
    <mergeCell ref="C274:E274"/>
    <mergeCell ref="C276:E276"/>
    <mergeCell ref="C278:E278"/>
    <mergeCell ref="C260:E260"/>
    <mergeCell ref="C262:E262"/>
    <mergeCell ref="C246:E246"/>
    <mergeCell ref="C253:E253"/>
    <mergeCell ref="C255:E255"/>
    <mergeCell ref="C256:E256"/>
    <mergeCell ref="C258:E258"/>
  </mergeCells>
  <pageMargins left="0" right="0" top="0.74803149606299213" bottom="0" header="0.51181102362204722" footer="0.51181102362204722"/>
  <pageSetup paperSize="5" scale="60" firstPageNumber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7"/>
  <sheetViews>
    <sheetView topLeftCell="A10" zoomScale="110" zoomScaleNormal="110" workbookViewId="0">
      <selection activeCell="G9" sqref="G9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024" ht="18" customHeight="1" x14ac:dyDescent="0.2">
      <c r="A1" s="122" t="s">
        <v>22</v>
      </c>
      <c r="B1" s="122"/>
      <c r="C1" s="122"/>
      <c r="D1" s="122"/>
      <c r="E1" s="122"/>
      <c r="F1" s="122"/>
      <c r="G1" s="122"/>
      <c r="H1" s="122"/>
      <c r="I1" s="122"/>
      <c r="J1" s="3" t="s">
        <v>23</v>
      </c>
      <c r="K1" s="101" t="s">
        <v>94</v>
      </c>
    </row>
    <row r="2" spans="1:1024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024" ht="18.75" customHeight="1" thickBot="1" x14ac:dyDescent="0.25">
      <c r="A3" s="123" t="s">
        <v>55</v>
      </c>
      <c r="B3" s="123"/>
      <c r="C3" s="123"/>
      <c r="D3" s="124" t="str">
        <f>'Necesidades Trimestrales'!C4</f>
        <v>45- Ministerio de Desarrollo Social y Deporte.-</v>
      </c>
      <c r="E3" s="124"/>
      <c r="F3" s="124"/>
      <c r="G3" s="124"/>
      <c r="H3" s="124"/>
      <c r="I3" s="124"/>
      <c r="J3" s="124"/>
      <c r="K3" s="124"/>
    </row>
    <row r="4" spans="1:1024" ht="18.75" customHeight="1" thickBot="1" x14ac:dyDescent="0.25">
      <c r="A4" s="125" t="s">
        <v>56</v>
      </c>
      <c r="B4" s="125"/>
      <c r="C4" s="125"/>
      <c r="D4" s="124" t="str">
        <f>'Necesidades Trimestrales'!C5</f>
        <v>25- Direccion Provincial de Gestion Administracion y RRHH</v>
      </c>
      <c r="E4" s="124"/>
      <c r="F4" s="124"/>
      <c r="G4" s="124"/>
      <c r="H4" s="124"/>
      <c r="I4" s="124"/>
      <c r="J4" s="124"/>
      <c r="K4" s="124"/>
    </row>
    <row r="5" spans="1:1024" ht="18.75" customHeight="1" thickBot="1" x14ac:dyDescent="0.25">
      <c r="A5" s="125" t="s">
        <v>35</v>
      </c>
      <c r="B5" s="125"/>
      <c r="C5" s="125"/>
      <c r="D5" s="124" t="s">
        <v>95</v>
      </c>
      <c r="E5" s="124"/>
      <c r="F5" s="124"/>
      <c r="G5" s="124"/>
      <c r="H5" s="124"/>
      <c r="I5" s="124"/>
      <c r="J5" s="124"/>
      <c r="K5" s="124"/>
    </row>
    <row r="6" spans="1:1024" ht="16.5" customHeight="1" thickBot="1" x14ac:dyDescent="0.25">
      <c r="A6" s="123" t="s">
        <v>57</v>
      </c>
      <c r="B6" s="123"/>
      <c r="C6" s="123"/>
      <c r="D6" s="124" t="s">
        <v>96</v>
      </c>
      <c r="E6" s="124"/>
      <c r="F6" s="124"/>
      <c r="G6" s="124"/>
      <c r="H6" s="124"/>
      <c r="I6" s="124"/>
      <c r="J6" s="124"/>
      <c r="K6" s="124"/>
    </row>
    <row r="7" spans="1:1024" ht="16.5" customHeight="1" x14ac:dyDescent="0.2">
      <c r="A7" s="125" t="s">
        <v>24</v>
      </c>
      <c r="B7" s="125"/>
      <c r="C7" s="125"/>
      <c r="D7" s="124" t="str">
        <f>'Necesidades Trimestrales'!C7 &amp; "° Trimestre - Año " &amp; 'Necesidades Trimestrales'!C6</f>
        <v>2° Trimestre - Año 2021</v>
      </c>
      <c r="E7" s="124"/>
      <c r="F7" s="124"/>
      <c r="G7" s="124"/>
      <c r="H7" s="124"/>
      <c r="I7" s="124"/>
      <c r="J7" s="124"/>
      <c r="K7" s="124"/>
    </row>
    <row r="8" spans="1:1024" ht="45.75" customHeight="1" x14ac:dyDescent="0.2">
      <c r="A8" s="117" t="s">
        <v>25</v>
      </c>
      <c r="B8" s="117"/>
      <c r="C8" s="117"/>
      <c r="D8" s="118" t="s">
        <v>91</v>
      </c>
      <c r="E8" s="118"/>
      <c r="F8" s="118"/>
      <c r="G8" s="118"/>
      <c r="H8" s="118"/>
      <c r="I8" s="118"/>
      <c r="J8" s="118"/>
      <c r="K8" s="118"/>
    </row>
    <row r="9" spans="1:1024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024" ht="18.75" customHeight="1" x14ac:dyDescent="0.2">
      <c r="A10" s="119" t="s">
        <v>26</v>
      </c>
      <c r="B10" s="120" t="s">
        <v>27</v>
      </c>
      <c r="C10" s="120" t="s">
        <v>28</v>
      </c>
      <c r="D10" s="120"/>
      <c r="E10" s="120"/>
      <c r="F10" s="120"/>
      <c r="G10" s="120"/>
      <c r="H10" s="120" t="s">
        <v>29</v>
      </c>
      <c r="I10" s="120" t="s">
        <v>30</v>
      </c>
      <c r="J10" s="120" t="s">
        <v>31</v>
      </c>
      <c r="K10" s="121" t="s">
        <v>32</v>
      </c>
    </row>
    <row r="11" spans="1:1024" ht="24" customHeight="1" x14ac:dyDescent="0.2">
      <c r="A11" s="119"/>
      <c r="B11" s="120"/>
      <c r="C11" s="120"/>
      <c r="D11" s="120"/>
      <c r="E11" s="120"/>
      <c r="F11" s="120"/>
      <c r="G11" s="120"/>
      <c r="H11" s="120"/>
      <c r="I11" s="120"/>
      <c r="J11" s="120"/>
      <c r="K11" s="121"/>
    </row>
    <row r="12" spans="1:1024" ht="41.25" customHeight="1" thickBot="1" x14ac:dyDescent="0.25">
      <c r="A12" s="105">
        <v>1</v>
      </c>
      <c r="B12" s="92" t="str">
        <f>'Necesidades Trimestrales'!B10</f>
        <v>2.1.1-478.43</v>
      </c>
      <c r="C12" s="116" t="str">
        <f>'Necesidades Trimestrales'!E10</f>
        <v>AGUA MINERAL; TIPO: SIN GASIFICAR, PRESENTACION: ENVASE X 500 CM3, MATERIAL ENVASE: PLASTICO PVC, TIPO ENVASE: NO RETORNABLE, ELEM. TRANSPORTE: SIN, MATERIAL ELEM. TRANSPORTE: SIN</v>
      </c>
      <c r="D12" s="116"/>
      <c r="E12" s="116"/>
      <c r="F12" s="116"/>
      <c r="G12" s="116"/>
      <c r="H12" s="93" t="s">
        <v>69</v>
      </c>
      <c r="I12" s="94" t="str">
        <f>'Necesidades Trimestrales'!F10</f>
        <v>UNIDAD</v>
      </c>
      <c r="J12" s="95">
        <f>'Necesidades Trimestrales'!H10</f>
        <v>70</v>
      </c>
      <c r="K12" s="96">
        <f>'Necesidades Trimestrales'!G10</f>
        <v>1000</v>
      </c>
    </row>
    <row r="13" spans="1:1024" ht="41.25" customHeight="1" thickBot="1" x14ac:dyDescent="0.25">
      <c r="A13" s="107">
        <v>2</v>
      </c>
      <c r="B13" s="92" t="str">
        <f>'Necesidades Trimestrales'!B11</f>
        <v>2.1.1-478.41</v>
      </c>
      <c r="C13" s="116" t="str">
        <f>'Necesidades Trimestrales'!E11</f>
        <v>AGUA MINERAL; TIPO: SIN GASIFICAR, PRESENTACION: ENVASE X 1500 CM3, MATERIAL ENVASE: PLASTICO PVC, TIPO ENVASE: NO RETORNABLE, ELEM. TRANSPORTE: SIN, MATERIAL ELEM. TRANSPORTE: SIN</v>
      </c>
      <c r="D13" s="116"/>
      <c r="E13" s="116"/>
      <c r="F13" s="116"/>
      <c r="G13" s="116"/>
      <c r="H13" s="93" t="s">
        <v>69</v>
      </c>
      <c r="I13" s="94" t="str">
        <f>'Necesidades Trimestrales'!F11</f>
        <v>UNIDAD</v>
      </c>
      <c r="J13" s="95">
        <f>'Necesidades Trimestrales'!H11</f>
        <v>85</v>
      </c>
      <c r="K13" s="96">
        <f>'Necesidades Trimestrales'!G11</f>
        <v>4000</v>
      </c>
    </row>
    <row r="14" spans="1:1024" s="81" customFormat="1" ht="41.25" customHeight="1" thickBot="1" x14ac:dyDescent="0.25">
      <c r="A14" s="106">
        <v>3</v>
      </c>
      <c r="B14" s="92" t="str">
        <f>'Necesidades Trimestrales'!B12</f>
        <v>2.1.1-478.59</v>
      </c>
      <c r="C14" s="116" t="str">
        <f>'Necesidades Trimestrales'!E12</f>
        <v>AGUA MINERAL; TIPO: SIN GASIFICAR, PRESENTACION: BOTELLON X 6 L, MATERIAL ENVASE: PLASTICO, TIPO ENVASE: NO RETORNABLE, ELEM. TRANSPORTE: SIN, MATERIAL ELEM. TRANSPORTE: SIN</v>
      </c>
      <c r="D14" s="116"/>
      <c r="E14" s="116"/>
      <c r="F14" s="116"/>
      <c r="G14" s="116"/>
      <c r="H14" s="93" t="s">
        <v>69</v>
      </c>
      <c r="I14" s="94" t="str">
        <f>'Necesidades Trimestrales'!F12</f>
        <v>UNIDAD</v>
      </c>
      <c r="J14" s="95">
        <f>'Necesidades Trimestrales'!H12</f>
        <v>253</v>
      </c>
      <c r="K14" s="96">
        <f>'Necesidades Trimestrales'!G12</f>
        <v>4300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  <c r="SJ14" s="2"/>
      <c r="SK14" s="2"/>
      <c r="SL14" s="2"/>
      <c r="SM14" s="2"/>
      <c r="SN14" s="2"/>
      <c r="SO14" s="2"/>
      <c r="SP14" s="2"/>
      <c r="SQ14" s="2"/>
      <c r="SR14" s="2"/>
      <c r="SS14" s="2"/>
      <c r="ST14" s="2"/>
      <c r="SU14" s="2"/>
      <c r="SV14" s="2"/>
      <c r="SW14" s="2"/>
      <c r="SX14" s="2"/>
      <c r="SY14" s="2"/>
      <c r="SZ14" s="2"/>
      <c r="TA14" s="2"/>
      <c r="TB14" s="2"/>
      <c r="TC14" s="2"/>
      <c r="TD14" s="2"/>
      <c r="TE14" s="2"/>
      <c r="TF14" s="2"/>
      <c r="TG14" s="2"/>
      <c r="TH14" s="2"/>
      <c r="TI14" s="2"/>
      <c r="TJ14" s="2"/>
      <c r="TK14" s="2"/>
      <c r="TL14" s="2"/>
      <c r="TM14" s="2"/>
      <c r="TN14" s="2"/>
      <c r="TO14" s="2"/>
      <c r="TP14" s="2"/>
      <c r="TQ14" s="2"/>
      <c r="TR14" s="2"/>
      <c r="TS14" s="2"/>
      <c r="TT14" s="2"/>
      <c r="TU14" s="2"/>
      <c r="TV14" s="2"/>
      <c r="TW14" s="2"/>
      <c r="TX14" s="2"/>
      <c r="TY14" s="2"/>
      <c r="TZ14" s="2"/>
      <c r="UA14" s="2"/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/>
      <c r="UM14" s="2"/>
      <c r="UN14" s="2"/>
      <c r="UO14" s="2"/>
      <c r="UP14" s="2"/>
      <c r="UQ14" s="2"/>
      <c r="UR14" s="2"/>
      <c r="US14" s="2"/>
      <c r="UT14" s="2"/>
      <c r="UU14" s="2"/>
      <c r="UV14" s="2"/>
      <c r="UW14" s="2"/>
      <c r="UX14" s="2"/>
      <c r="UY14" s="2"/>
      <c r="UZ14" s="2"/>
      <c r="VA14" s="2"/>
      <c r="VB14" s="2"/>
      <c r="VC14" s="2"/>
      <c r="VD14" s="2"/>
      <c r="VE14" s="2"/>
      <c r="VF14" s="2"/>
      <c r="VG14" s="2"/>
      <c r="VH14" s="2"/>
      <c r="VI14" s="2"/>
      <c r="VJ14" s="2"/>
      <c r="VK14" s="2"/>
      <c r="VL14" s="2"/>
      <c r="VM14" s="2"/>
      <c r="VN14" s="2"/>
      <c r="VO14" s="2"/>
      <c r="VP14" s="2"/>
      <c r="VQ14" s="2"/>
      <c r="VR14" s="2"/>
      <c r="VS14" s="2"/>
      <c r="VT14" s="2"/>
      <c r="VU14" s="2"/>
      <c r="VV14" s="2"/>
      <c r="VW14" s="2"/>
      <c r="VX14" s="2"/>
      <c r="VY14" s="2"/>
      <c r="VZ14" s="2"/>
      <c r="WA14" s="2"/>
      <c r="WB14" s="2"/>
      <c r="WC14" s="2"/>
      <c r="WD14" s="2"/>
      <c r="WE14" s="2"/>
      <c r="WF14" s="2"/>
      <c r="WG14" s="2"/>
      <c r="WH14" s="2"/>
      <c r="WI14" s="2"/>
      <c r="WJ14" s="2"/>
      <c r="WK14" s="2"/>
      <c r="WL14" s="2"/>
      <c r="WM14" s="2"/>
      <c r="WN14" s="2"/>
      <c r="WO14" s="2"/>
      <c r="WP14" s="2"/>
      <c r="WQ14" s="2"/>
      <c r="WR14" s="2"/>
      <c r="WS14" s="2"/>
      <c r="WT14" s="2"/>
      <c r="WU14" s="2"/>
      <c r="WV14" s="2"/>
      <c r="WW14" s="2"/>
      <c r="WX14" s="2"/>
      <c r="WY14" s="2"/>
      <c r="WZ14" s="2"/>
      <c r="XA14" s="2"/>
      <c r="XB14" s="2"/>
      <c r="XC14" s="2"/>
      <c r="XD14" s="2"/>
      <c r="XE14" s="2"/>
      <c r="XF14" s="2"/>
      <c r="XG14" s="2"/>
      <c r="XH14" s="2"/>
      <c r="XI14" s="2"/>
      <c r="XJ14" s="2"/>
      <c r="XK14" s="2"/>
      <c r="XL14" s="2"/>
      <c r="XM14" s="2"/>
      <c r="XN14" s="2"/>
      <c r="XO14" s="2"/>
      <c r="XP14" s="2"/>
      <c r="XQ14" s="2"/>
      <c r="XR14" s="2"/>
      <c r="XS14" s="2"/>
      <c r="XT14" s="2"/>
      <c r="XU14" s="2"/>
      <c r="XV14" s="2"/>
      <c r="XW14" s="2"/>
      <c r="XX14" s="2"/>
      <c r="XY14" s="2"/>
      <c r="XZ14" s="2"/>
      <c r="YA14" s="2"/>
      <c r="YB14" s="2"/>
      <c r="YC14" s="2"/>
      <c r="YD14" s="2"/>
      <c r="YE14" s="2"/>
      <c r="YF14" s="2"/>
      <c r="YG14" s="2"/>
      <c r="YH14" s="2"/>
      <c r="YI14" s="2"/>
      <c r="YJ14" s="2"/>
      <c r="YK14" s="2"/>
      <c r="YL14" s="2"/>
      <c r="YM14" s="2"/>
      <c r="YN14" s="2"/>
      <c r="YO14" s="2"/>
      <c r="YP14" s="2"/>
      <c r="YQ14" s="2"/>
      <c r="YR14" s="2"/>
      <c r="YS14" s="2"/>
      <c r="YT14" s="2"/>
      <c r="YU14" s="2"/>
      <c r="YV14" s="2"/>
      <c r="YW14" s="2"/>
      <c r="YX14" s="2"/>
      <c r="YY14" s="2"/>
      <c r="YZ14" s="2"/>
      <c r="ZA14" s="2"/>
      <c r="ZB14" s="2"/>
      <c r="ZC14" s="2"/>
      <c r="ZD14" s="2"/>
      <c r="ZE14" s="2"/>
      <c r="ZF14" s="2"/>
      <c r="ZG14" s="2"/>
      <c r="ZH14" s="2"/>
      <c r="ZI14" s="2"/>
      <c r="ZJ14" s="2"/>
      <c r="ZK14" s="2"/>
      <c r="ZL14" s="2"/>
      <c r="ZM14" s="2"/>
      <c r="ZN14" s="2"/>
      <c r="ZO14" s="2"/>
      <c r="ZP14" s="2"/>
      <c r="ZQ14" s="2"/>
      <c r="ZR14" s="2"/>
      <c r="ZS14" s="2"/>
      <c r="ZT14" s="2"/>
      <c r="ZU14" s="2"/>
      <c r="ZV14" s="2"/>
      <c r="ZW14" s="2"/>
      <c r="ZX14" s="2"/>
      <c r="ZY14" s="2"/>
      <c r="ZZ14" s="2"/>
      <c r="AAA14" s="2"/>
      <c r="AAB14" s="2"/>
      <c r="AAC14" s="2"/>
      <c r="AAD14" s="2"/>
      <c r="AAE14" s="2"/>
      <c r="AAF14" s="2"/>
      <c r="AAG14" s="2"/>
      <c r="AAH14" s="2"/>
      <c r="AAI14" s="2"/>
      <c r="AAJ14" s="2"/>
      <c r="AAK14" s="2"/>
      <c r="AAL14" s="2"/>
      <c r="AAM14" s="2"/>
      <c r="AAN14" s="2"/>
      <c r="AAO14" s="2"/>
      <c r="AAP14" s="2"/>
      <c r="AAQ14" s="2"/>
      <c r="AAR14" s="2"/>
      <c r="AAS14" s="2"/>
      <c r="AAT14" s="2"/>
      <c r="AAU14" s="2"/>
      <c r="AAV14" s="2"/>
      <c r="AAW14" s="2"/>
      <c r="AAX14" s="2"/>
      <c r="AAY14" s="2"/>
      <c r="AAZ14" s="2"/>
      <c r="ABA14" s="2"/>
      <c r="ABB14" s="2"/>
      <c r="ABC14" s="2"/>
      <c r="ABD14" s="2"/>
      <c r="ABE14" s="2"/>
      <c r="ABF14" s="2"/>
      <c r="ABG14" s="2"/>
      <c r="ABH14" s="2"/>
      <c r="ABI14" s="2"/>
      <c r="ABJ14" s="2"/>
      <c r="ABK14" s="2"/>
      <c r="ABL14" s="2"/>
      <c r="ABM14" s="2"/>
      <c r="ABN14" s="2"/>
      <c r="ABO14" s="2"/>
      <c r="ABP14" s="2"/>
      <c r="ABQ14" s="2"/>
      <c r="ABR14" s="2"/>
      <c r="ABS14" s="2"/>
      <c r="ABT14" s="2"/>
      <c r="ABU14" s="2"/>
      <c r="ABV14" s="2"/>
      <c r="ABW14" s="2"/>
      <c r="ABX14" s="2"/>
      <c r="ABY14" s="2"/>
      <c r="ABZ14" s="2"/>
      <c r="ACA14" s="2"/>
      <c r="ACB14" s="2"/>
      <c r="ACC14" s="2"/>
      <c r="ACD14" s="2"/>
      <c r="ACE14" s="2"/>
      <c r="ACF14" s="2"/>
      <c r="ACG14" s="2"/>
      <c r="ACH14" s="2"/>
      <c r="ACI14" s="2"/>
      <c r="ACJ14" s="2"/>
      <c r="ACK14" s="2"/>
      <c r="ACL14" s="2"/>
      <c r="ACM14" s="2"/>
      <c r="ACN14" s="2"/>
      <c r="ACO14" s="2"/>
      <c r="ACP14" s="2"/>
      <c r="ACQ14" s="2"/>
      <c r="ACR14" s="2"/>
      <c r="ACS14" s="2"/>
      <c r="ACT14" s="2"/>
      <c r="ACU14" s="2"/>
      <c r="ACV14" s="2"/>
      <c r="ACW14" s="2"/>
      <c r="ACX14" s="2"/>
      <c r="ACY14" s="2"/>
      <c r="ACZ14" s="2"/>
      <c r="ADA14" s="2"/>
      <c r="ADB14" s="2"/>
      <c r="ADC14" s="2"/>
      <c r="ADD14" s="2"/>
      <c r="ADE14" s="2"/>
      <c r="ADF14" s="2"/>
      <c r="ADG14" s="2"/>
      <c r="ADH14" s="2"/>
      <c r="ADI14" s="2"/>
      <c r="ADJ14" s="2"/>
      <c r="ADK14" s="2"/>
      <c r="ADL14" s="2"/>
      <c r="ADM14" s="2"/>
      <c r="ADN14" s="2"/>
      <c r="ADO14" s="2"/>
      <c r="ADP14" s="2"/>
      <c r="ADQ14" s="2"/>
      <c r="ADR14" s="2"/>
      <c r="ADS14" s="2"/>
      <c r="ADT14" s="2"/>
      <c r="ADU14" s="2"/>
      <c r="ADV14" s="2"/>
      <c r="ADW14" s="2"/>
      <c r="ADX14" s="2"/>
      <c r="ADY14" s="2"/>
      <c r="ADZ14" s="2"/>
      <c r="AEA14" s="2"/>
      <c r="AEB14" s="2"/>
      <c r="AEC14" s="2"/>
      <c r="AED14" s="2"/>
      <c r="AEE14" s="2"/>
      <c r="AEF14" s="2"/>
      <c r="AEG14" s="2"/>
      <c r="AEH14" s="2"/>
      <c r="AEI14" s="2"/>
      <c r="AEJ14" s="2"/>
      <c r="AEK14" s="2"/>
      <c r="AEL14" s="2"/>
      <c r="AEM14" s="2"/>
      <c r="AEN14" s="2"/>
      <c r="AEO14" s="2"/>
      <c r="AEP14" s="2"/>
      <c r="AEQ14" s="2"/>
      <c r="AER14" s="2"/>
      <c r="AES14" s="2"/>
      <c r="AET14" s="2"/>
      <c r="AEU14" s="2"/>
      <c r="AEV14" s="2"/>
      <c r="AEW14" s="2"/>
      <c r="AEX14" s="2"/>
      <c r="AEY14" s="2"/>
      <c r="AEZ14" s="2"/>
      <c r="AFA14" s="2"/>
      <c r="AFB14" s="2"/>
      <c r="AFC14" s="2"/>
      <c r="AFD14" s="2"/>
      <c r="AFE14" s="2"/>
      <c r="AFF14" s="2"/>
      <c r="AFG14" s="2"/>
      <c r="AFH14" s="2"/>
      <c r="AFI14" s="2"/>
      <c r="AFJ14" s="2"/>
      <c r="AFK14" s="2"/>
      <c r="AFL14" s="2"/>
      <c r="AFM14" s="2"/>
      <c r="AFN14" s="2"/>
      <c r="AFO14" s="2"/>
      <c r="AFP14" s="2"/>
      <c r="AFQ14" s="2"/>
      <c r="AFR14" s="2"/>
      <c r="AFS14" s="2"/>
      <c r="AFT14" s="2"/>
      <c r="AFU14" s="2"/>
      <c r="AFV14" s="2"/>
      <c r="AFW14" s="2"/>
      <c r="AFX14" s="2"/>
      <c r="AFY14" s="2"/>
      <c r="AFZ14" s="2"/>
      <c r="AGA14" s="2"/>
      <c r="AGB14" s="2"/>
      <c r="AGC14" s="2"/>
      <c r="AGD14" s="2"/>
      <c r="AGE14" s="2"/>
      <c r="AGF14" s="2"/>
      <c r="AGG14" s="2"/>
      <c r="AGH14" s="2"/>
      <c r="AGI14" s="2"/>
      <c r="AGJ14" s="2"/>
      <c r="AGK14" s="2"/>
      <c r="AGL14" s="2"/>
      <c r="AGM14" s="2"/>
      <c r="AGN14" s="2"/>
      <c r="AGO14" s="2"/>
      <c r="AGP14" s="2"/>
      <c r="AGQ14" s="2"/>
      <c r="AGR14" s="2"/>
      <c r="AGS14" s="2"/>
      <c r="AGT14" s="2"/>
      <c r="AGU14" s="2"/>
      <c r="AGV14" s="2"/>
      <c r="AGW14" s="2"/>
      <c r="AGX14" s="2"/>
      <c r="AGY14" s="2"/>
      <c r="AGZ14" s="2"/>
      <c r="AHA14" s="2"/>
      <c r="AHB14" s="2"/>
      <c r="AHC14" s="2"/>
      <c r="AHD14" s="2"/>
      <c r="AHE14" s="2"/>
      <c r="AHF14" s="2"/>
      <c r="AHG14" s="2"/>
      <c r="AHH14" s="2"/>
      <c r="AHI14" s="2"/>
      <c r="AHJ14" s="2"/>
      <c r="AHK14" s="2"/>
      <c r="AHL14" s="2"/>
      <c r="AHM14" s="2"/>
      <c r="AHN14" s="2"/>
      <c r="AHO14" s="2"/>
      <c r="AHP14" s="2"/>
      <c r="AHQ14" s="2"/>
      <c r="AHR14" s="2"/>
      <c r="AHS14" s="2"/>
      <c r="AHT14" s="2"/>
      <c r="AHU14" s="2"/>
      <c r="AHV14" s="2"/>
      <c r="AHW14" s="2"/>
      <c r="AHX14" s="2"/>
      <c r="AHY14" s="2"/>
      <c r="AHZ14" s="2"/>
      <c r="AIA14" s="2"/>
      <c r="AIB14" s="2"/>
      <c r="AIC14" s="2"/>
      <c r="AID14" s="2"/>
      <c r="AIE14" s="2"/>
      <c r="AIF14" s="2"/>
      <c r="AIG14" s="2"/>
      <c r="AIH14" s="2"/>
      <c r="AII14" s="2"/>
      <c r="AIJ14" s="2"/>
      <c r="AIK14" s="2"/>
      <c r="AIL14" s="2"/>
      <c r="AIM14" s="2"/>
      <c r="AIN14" s="2"/>
      <c r="AIO14" s="2"/>
      <c r="AIP14" s="2"/>
      <c r="AIQ14" s="2"/>
      <c r="AIR14" s="2"/>
      <c r="AIS14" s="2"/>
      <c r="AIT14" s="2"/>
      <c r="AIU14" s="2"/>
      <c r="AIV14" s="2"/>
      <c r="AIW14" s="2"/>
      <c r="AIX14" s="2"/>
      <c r="AIY14" s="2"/>
      <c r="AIZ14" s="2"/>
      <c r="AJA14" s="2"/>
      <c r="AJB14" s="2"/>
      <c r="AJC14" s="2"/>
      <c r="AJD14" s="2"/>
      <c r="AJE14" s="2"/>
      <c r="AJF14" s="2"/>
      <c r="AJG14" s="2"/>
      <c r="AJH14" s="2"/>
      <c r="AJI14" s="2"/>
      <c r="AJJ14" s="2"/>
      <c r="AJK14" s="2"/>
      <c r="AJL14" s="2"/>
      <c r="AJM14" s="2"/>
      <c r="AJN14" s="2"/>
      <c r="AJO14" s="2"/>
      <c r="AJP14" s="2"/>
      <c r="AJQ14" s="2"/>
      <c r="AJR14" s="2"/>
      <c r="AJS14" s="2"/>
      <c r="AJT14" s="2"/>
      <c r="AJU14" s="2"/>
      <c r="AJV14" s="2"/>
      <c r="AJW14" s="2"/>
      <c r="AJX14" s="2"/>
      <c r="AJY14" s="2"/>
      <c r="AJZ14" s="2"/>
      <c r="AKA14" s="2"/>
      <c r="AKB14" s="2"/>
      <c r="AKC14" s="2"/>
      <c r="AKD14" s="2"/>
      <c r="AKE14" s="2"/>
      <c r="AKF14" s="2"/>
      <c r="AKG14" s="2"/>
      <c r="AKH14" s="2"/>
      <c r="AKI14" s="2"/>
      <c r="AKJ14" s="2"/>
      <c r="AKK14" s="2"/>
      <c r="AKL14" s="2"/>
      <c r="AKM14" s="2"/>
      <c r="AKN14" s="2"/>
      <c r="AKO14" s="2"/>
      <c r="AKP14" s="2"/>
      <c r="AKQ14" s="2"/>
      <c r="AKR14" s="2"/>
      <c r="AKS14" s="2"/>
      <c r="AKT14" s="2"/>
      <c r="AKU14" s="2"/>
      <c r="AKV14" s="2"/>
      <c r="AKW14" s="2"/>
      <c r="AKX14" s="2"/>
      <c r="AKY14" s="2"/>
      <c r="AKZ14" s="2"/>
      <c r="ALA14" s="2"/>
      <c r="ALB14" s="2"/>
      <c r="ALC14" s="2"/>
      <c r="ALD14" s="2"/>
      <c r="ALE14" s="2"/>
      <c r="ALF14" s="2"/>
      <c r="ALG14" s="2"/>
      <c r="ALH14" s="2"/>
      <c r="ALI14" s="2"/>
      <c r="ALJ14" s="2"/>
      <c r="ALK14" s="2"/>
      <c r="ALL14" s="2"/>
      <c r="ALM14" s="2"/>
      <c r="ALN14" s="2"/>
      <c r="ALO14" s="2"/>
      <c r="ALP14" s="2"/>
      <c r="ALQ14" s="2"/>
      <c r="ALR14" s="2"/>
      <c r="ALS14" s="2"/>
      <c r="ALT14" s="2"/>
      <c r="ALU14" s="2"/>
      <c r="ALV14" s="2"/>
      <c r="ALW14" s="2"/>
      <c r="ALX14" s="2"/>
      <c r="ALY14" s="2"/>
      <c r="ALZ14" s="2"/>
      <c r="AMA14" s="2"/>
      <c r="AMB14" s="2"/>
      <c r="AMC14" s="2"/>
      <c r="AMD14" s="2"/>
      <c r="AME14" s="2"/>
      <c r="AMF14" s="2"/>
      <c r="AMG14" s="2"/>
      <c r="AMH14" s="2"/>
      <c r="AMI14" s="2"/>
      <c r="AMJ14" s="2"/>
    </row>
    <row r="15" spans="1:1024" ht="39.75" hidden="1" customHeight="1" thickBot="1" x14ac:dyDescent="0.25">
      <c r="A15" s="8">
        <v>4</v>
      </c>
      <c r="B15" s="92">
        <f>'Necesidades Trimestrales'!B13</f>
        <v>0</v>
      </c>
      <c r="C15" s="116">
        <f>'Necesidades Trimestrales'!E13</f>
        <v>0</v>
      </c>
      <c r="D15" s="116"/>
      <c r="E15" s="116"/>
      <c r="F15" s="116"/>
      <c r="G15" s="116"/>
      <c r="H15" s="93" t="s">
        <v>69</v>
      </c>
      <c r="I15" s="94">
        <f>'Necesidades Trimestrales'!F13</f>
        <v>0</v>
      </c>
      <c r="J15" s="95">
        <f>'Necesidades Trimestrales'!H13</f>
        <v>0</v>
      </c>
      <c r="K15" s="96">
        <f>'Necesidades Trimestrales'!G13</f>
        <v>0</v>
      </c>
    </row>
    <row r="16" spans="1:1024" s="81" customFormat="1" ht="30.75" hidden="1" customHeight="1" thickBot="1" x14ac:dyDescent="0.25">
      <c r="A16" s="8">
        <v>5</v>
      </c>
      <c r="B16" s="92">
        <f>'Necesidades Trimestrales'!B14</f>
        <v>0</v>
      </c>
      <c r="C16" s="116">
        <f>'Necesidades Trimestrales'!E14</f>
        <v>0</v>
      </c>
      <c r="D16" s="116"/>
      <c r="E16" s="116"/>
      <c r="F16" s="116"/>
      <c r="G16" s="116"/>
      <c r="H16" s="93" t="s">
        <v>69</v>
      </c>
      <c r="I16" s="94">
        <f>'Necesidades Trimestrales'!F14</f>
        <v>0</v>
      </c>
      <c r="J16" s="95">
        <f>'Necesidades Trimestrales'!H14</f>
        <v>0</v>
      </c>
      <c r="K16" s="96">
        <f>'Necesidades Trimestrales'!G14</f>
        <v>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/>
      <c r="PE16" s="2"/>
      <c r="PF16" s="2"/>
      <c r="PG16" s="2"/>
      <c r="PH16" s="2"/>
      <c r="PI16" s="2"/>
      <c r="PJ16" s="2"/>
      <c r="PK16" s="2"/>
      <c r="PL16" s="2"/>
      <c r="PM16" s="2"/>
      <c r="PN16" s="2"/>
      <c r="PO16" s="2"/>
      <c r="PP16" s="2"/>
      <c r="PQ16" s="2"/>
      <c r="PR16" s="2"/>
      <c r="PS16" s="2"/>
      <c r="PT16" s="2"/>
      <c r="PU16" s="2"/>
      <c r="PV16" s="2"/>
      <c r="PW16" s="2"/>
      <c r="PX16" s="2"/>
      <c r="PY16" s="2"/>
      <c r="PZ16" s="2"/>
      <c r="QA16" s="2"/>
      <c r="QB16" s="2"/>
      <c r="QC16" s="2"/>
      <c r="QD16" s="2"/>
      <c r="QE16" s="2"/>
      <c r="QF16" s="2"/>
      <c r="QG16" s="2"/>
      <c r="QH16" s="2"/>
      <c r="QI16" s="2"/>
      <c r="QJ16" s="2"/>
      <c r="QK16" s="2"/>
      <c r="QL16" s="2"/>
      <c r="QM16" s="2"/>
      <c r="QN16" s="2"/>
      <c r="QO16" s="2"/>
      <c r="QP16" s="2"/>
      <c r="QQ16" s="2"/>
      <c r="QR16" s="2"/>
      <c r="QS16" s="2"/>
      <c r="QT16" s="2"/>
      <c r="QU16" s="2"/>
      <c r="QV16" s="2"/>
      <c r="QW16" s="2"/>
      <c r="QX16" s="2"/>
      <c r="QY16" s="2"/>
      <c r="QZ16" s="2"/>
      <c r="RA16" s="2"/>
      <c r="RB16" s="2"/>
      <c r="RC16" s="2"/>
      <c r="RD16" s="2"/>
      <c r="RE16" s="2"/>
      <c r="RF16" s="2"/>
      <c r="RG16" s="2"/>
      <c r="RH16" s="2"/>
      <c r="RI16" s="2"/>
      <c r="RJ16" s="2"/>
      <c r="RK16" s="2"/>
      <c r="RL16" s="2"/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  <c r="RY16" s="2"/>
      <c r="RZ16" s="2"/>
      <c r="SA16" s="2"/>
      <c r="SB16" s="2"/>
      <c r="SC16" s="2"/>
      <c r="SD16" s="2"/>
      <c r="SE16" s="2"/>
      <c r="SF16" s="2"/>
      <c r="SG16" s="2"/>
      <c r="SH16" s="2"/>
      <c r="SI16" s="2"/>
      <c r="SJ16" s="2"/>
      <c r="SK16" s="2"/>
      <c r="SL16" s="2"/>
      <c r="SM16" s="2"/>
      <c r="SN16" s="2"/>
      <c r="SO16" s="2"/>
      <c r="SP16" s="2"/>
      <c r="SQ16" s="2"/>
      <c r="SR16" s="2"/>
      <c r="SS16" s="2"/>
      <c r="ST16" s="2"/>
      <c r="SU16" s="2"/>
      <c r="SV16" s="2"/>
      <c r="SW16" s="2"/>
      <c r="SX16" s="2"/>
      <c r="SY16" s="2"/>
      <c r="SZ16" s="2"/>
      <c r="TA16" s="2"/>
      <c r="TB16" s="2"/>
      <c r="TC16" s="2"/>
      <c r="TD16" s="2"/>
      <c r="TE16" s="2"/>
      <c r="TF16" s="2"/>
      <c r="TG16" s="2"/>
      <c r="TH16" s="2"/>
      <c r="TI16" s="2"/>
      <c r="TJ16" s="2"/>
      <c r="TK16" s="2"/>
      <c r="TL16" s="2"/>
      <c r="TM16" s="2"/>
      <c r="TN16" s="2"/>
      <c r="TO16" s="2"/>
      <c r="TP16" s="2"/>
      <c r="TQ16" s="2"/>
      <c r="TR16" s="2"/>
      <c r="TS16" s="2"/>
      <c r="TT16" s="2"/>
      <c r="TU16" s="2"/>
      <c r="TV16" s="2"/>
      <c r="TW16" s="2"/>
      <c r="TX16" s="2"/>
      <c r="TY16" s="2"/>
      <c r="TZ16" s="2"/>
      <c r="UA16" s="2"/>
      <c r="UB16" s="2"/>
      <c r="UC16" s="2"/>
      <c r="UD16" s="2"/>
      <c r="UE16" s="2"/>
      <c r="UF16" s="2"/>
      <c r="UG16" s="2"/>
      <c r="UH16" s="2"/>
      <c r="UI16" s="2"/>
      <c r="UJ16" s="2"/>
      <c r="UK16" s="2"/>
      <c r="UL16" s="2"/>
      <c r="UM16" s="2"/>
      <c r="UN16" s="2"/>
      <c r="UO16" s="2"/>
      <c r="UP16" s="2"/>
      <c r="UQ16" s="2"/>
      <c r="UR16" s="2"/>
      <c r="US16" s="2"/>
      <c r="UT16" s="2"/>
      <c r="UU16" s="2"/>
      <c r="UV16" s="2"/>
      <c r="UW16" s="2"/>
      <c r="UX16" s="2"/>
      <c r="UY16" s="2"/>
      <c r="UZ16" s="2"/>
      <c r="VA16" s="2"/>
      <c r="VB16" s="2"/>
      <c r="VC16" s="2"/>
      <c r="VD16" s="2"/>
      <c r="VE16" s="2"/>
      <c r="VF16" s="2"/>
      <c r="VG16" s="2"/>
      <c r="VH16" s="2"/>
      <c r="VI16" s="2"/>
      <c r="VJ16" s="2"/>
      <c r="VK16" s="2"/>
      <c r="VL16" s="2"/>
      <c r="VM16" s="2"/>
      <c r="VN16" s="2"/>
      <c r="VO16" s="2"/>
      <c r="VP16" s="2"/>
      <c r="VQ16" s="2"/>
      <c r="VR16" s="2"/>
      <c r="VS16" s="2"/>
      <c r="VT16" s="2"/>
      <c r="VU16" s="2"/>
      <c r="VV16" s="2"/>
      <c r="VW16" s="2"/>
      <c r="VX16" s="2"/>
      <c r="VY16" s="2"/>
      <c r="VZ16" s="2"/>
      <c r="WA16" s="2"/>
      <c r="WB16" s="2"/>
      <c r="WC16" s="2"/>
      <c r="WD16" s="2"/>
      <c r="WE16" s="2"/>
      <c r="WF16" s="2"/>
      <c r="WG16" s="2"/>
      <c r="WH16" s="2"/>
      <c r="WI16" s="2"/>
      <c r="WJ16" s="2"/>
      <c r="WK16" s="2"/>
      <c r="WL16" s="2"/>
      <c r="WM16" s="2"/>
      <c r="WN16" s="2"/>
      <c r="WO16" s="2"/>
      <c r="WP16" s="2"/>
      <c r="WQ16" s="2"/>
      <c r="WR16" s="2"/>
      <c r="WS16" s="2"/>
      <c r="WT16" s="2"/>
      <c r="WU16" s="2"/>
      <c r="WV16" s="2"/>
      <c r="WW16" s="2"/>
      <c r="WX16" s="2"/>
      <c r="WY16" s="2"/>
      <c r="WZ16" s="2"/>
      <c r="XA16" s="2"/>
      <c r="XB16" s="2"/>
      <c r="XC16" s="2"/>
      <c r="XD16" s="2"/>
      <c r="XE16" s="2"/>
      <c r="XF16" s="2"/>
      <c r="XG16" s="2"/>
      <c r="XH16" s="2"/>
      <c r="XI16" s="2"/>
      <c r="XJ16" s="2"/>
      <c r="XK16" s="2"/>
      <c r="XL16" s="2"/>
      <c r="XM16" s="2"/>
      <c r="XN16" s="2"/>
      <c r="XO16" s="2"/>
      <c r="XP16" s="2"/>
      <c r="XQ16" s="2"/>
      <c r="XR16" s="2"/>
      <c r="XS16" s="2"/>
      <c r="XT16" s="2"/>
      <c r="XU16" s="2"/>
      <c r="XV16" s="2"/>
      <c r="XW16" s="2"/>
      <c r="XX16" s="2"/>
      <c r="XY16" s="2"/>
      <c r="XZ16" s="2"/>
      <c r="YA16" s="2"/>
      <c r="YB16" s="2"/>
      <c r="YC16" s="2"/>
      <c r="YD16" s="2"/>
      <c r="YE16" s="2"/>
      <c r="YF16" s="2"/>
      <c r="YG16" s="2"/>
      <c r="YH16" s="2"/>
      <c r="YI16" s="2"/>
      <c r="YJ16" s="2"/>
      <c r="YK16" s="2"/>
      <c r="YL16" s="2"/>
      <c r="YM16" s="2"/>
      <c r="YN16" s="2"/>
      <c r="YO16" s="2"/>
      <c r="YP16" s="2"/>
      <c r="YQ16" s="2"/>
      <c r="YR16" s="2"/>
      <c r="YS16" s="2"/>
      <c r="YT16" s="2"/>
      <c r="YU16" s="2"/>
      <c r="YV16" s="2"/>
      <c r="YW16" s="2"/>
      <c r="YX16" s="2"/>
      <c r="YY16" s="2"/>
      <c r="YZ16" s="2"/>
      <c r="ZA16" s="2"/>
      <c r="ZB16" s="2"/>
      <c r="ZC16" s="2"/>
      <c r="ZD16" s="2"/>
      <c r="ZE16" s="2"/>
      <c r="ZF16" s="2"/>
      <c r="ZG16" s="2"/>
      <c r="ZH16" s="2"/>
      <c r="ZI16" s="2"/>
      <c r="ZJ16" s="2"/>
      <c r="ZK16" s="2"/>
      <c r="ZL16" s="2"/>
      <c r="ZM16" s="2"/>
      <c r="ZN16" s="2"/>
      <c r="ZO16" s="2"/>
      <c r="ZP16" s="2"/>
      <c r="ZQ16" s="2"/>
      <c r="ZR16" s="2"/>
      <c r="ZS16" s="2"/>
      <c r="ZT16" s="2"/>
      <c r="ZU16" s="2"/>
      <c r="ZV16" s="2"/>
      <c r="ZW16" s="2"/>
      <c r="ZX16" s="2"/>
      <c r="ZY16" s="2"/>
      <c r="ZZ16" s="2"/>
      <c r="AAA16" s="2"/>
      <c r="AAB16" s="2"/>
      <c r="AAC16" s="2"/>
      <c r="AAD16" s="2"/>
      <c r="AAE16" s="2"/>
      <c r="AAF16" s="2"/>
      <c r="AAG16" s="2"/>
      <c r="AAH16" s="2"/>
      <c r="AAI16" s="2"/>
      <c r="AAJ16" s="2"/>
      <c r="AAK16" s="2"/>
      <c r="AAL16" s="2"/>
      <c r="AAM16" s="2"/>
      <c r="AAN16" s="2"/>
      <c r="AAO16" s="2"/>
      <c r="AAP16" s="2"/>
      <c r="AAQ16" s="2"/>
      <c r="AAR16" s="2"/>
      <c r="AAS16" s="2"/>
      <c r="AAT16" s="2"/>
      <c r="AAU16" s="2"/>
      <c r="AAV16" s="2"/>
      <c r="AAW16" s="2"/>
      <c r="AAX16" s="2"/>
      <c r="AAY16" s="2"/>
      <c r="AAZ16" s="2"/>
      <c r="ABA16" s="2"/>
      <c r="ABB16" s="2"/>
      <c r="ABC16" s="2"/>
      <c r="ABD16" s="2"/>
      <c r="ABE16" s="2"/>
      <c r="ABF16" s="2"/>
      <c r="ABG16" s="2"/>
      <c r="ABH16" s="2"/>
      <c r="ABI16" s="2"/>
      <c r="ABJ16" s="2"/>
      <c r="ABK16" s="2"/>
      <c r="ABL16" s="2"/>
      <c r="ABM16" s="2"/>
      <c r="ABN16" s="2"/>
      <c r="ABO16" s="2"/>
      <c r="ABP16" s="2"/>
      <c r="ABQ16" s="2"/>
      <c r="ABR16" s="2"/>
      <c r="ABS16" s="2"/>
      <c r="ABT16" s="2"/>
      <c r="ABU16" s="2"/>
      <c r="ABV16" s="2"/>
      <c r="ABW16" s="2"/>
      <c r="ABX16" s="2"/>
      <c r="ABY16" s="2"/>
      <c r="ABZ16" s="2"/>
      <c r="ACA16" s="2"/>
      <c r="ACB16" s="2"/>
      <c r="ACC16" s="2"/>
      <c r="ACD16" s="2"/>
      <c r="ACE16" s="2"/>
      <c r="ACF16" s="2"/>
      <c r="ACG16" s="2"/>
      <c r="ACH16" s="2"/>
      <c r="ACI16" s="2"/>
      <c r="ACJ16" s="2"/>
      <c r="ACK16" s="2"/>
      <c r="ACL16" s="2"/>
      <c r="ACM16" s="2"/>
      <c r="ACN16" s="2"/>
      <c r="ACO16" s="2"/>
      <c r="ACP16" s="2"/>
      <c r="ACQ16" s="2"/>
      <c r="ACR16" s="2"/>
      <c r="ACS16" s="2"/>
      <c r="ACT16" s="2"/>
      <c r="ACU16" s="2"/>
      <c r="ACV16" s="2"/>
      <c r="ACW16" s="2"/>
      <c r="ACX16" s="2"/>
      <c r="ACY16" s="2"/>
      <c r="ACZ16" s="2"/>
      <c r="ADA16" s="2"/>
      <c r="ADB16" s="2"/>
      <c r="ADC16" s="2"/>
      <c r="ADD16" s="2"/>
      <c r="ADE16" s="2"/>
      <c r="ADF16" s="2"/>
      <c r="ADG16" s="2"/>
      <c r="ADH16" s="2"/>
      <c r="ADI16" s="2"/>
      <c r="ADJ16" s="2"/>
      <c r="ADK16" s="2"/>
      <c r="ADL16" s="2"/>
      <c r="ADM16" s="2"/>
      <c r="ADN16" s="2"/>
      <c r="ADO16" s="2"/>
      <c r="ADP16" s="2"/>
      <c r="ADQ16" s="2"/>
      <c r="ADR16" s="2"/>
      <c r="ADS16" s="2"/>
      <c r="ADT16" s="2"/>
      <c r="ADU16" s="2"/>
      <c r="ADV16" s="2"/>
      <c r="ADW16" s="2"/>
      <c r="ADX16" s="2"/>
      <c r="ADY16" s="2"/>
      <c r="ADZ16" s="2"/>
      <c r="AEA16" s="2"/>
      <c r="AEB16" s="2"/>
      <c r="AEC16" s="2"/>
      <c r="AED16" s="2"/>
      <c r="AEE16" s="2"/>
      <c r="AEF16" s="2"/>
      <c r="AEG16" s="2"/>
      <c r="AEH16" s="2"/>
      <c r="AEI16" s="2"/>
      <c r="AEJ16" s="2"/>
      <c r="AEK16" s="2"/>
      <c r="AEL16" s="2"/>
      <c r="AEM16" s="2"/>
      <c r="AEN16" s="2"/>
      <c r="AEO16" s="2"/>
      <c r="AEP16" s="2"/>
      <c r="AEQ16" s="2"/>
      <c r="AER16" s="2"/>
      <c r="AES16" s="2"/>
      <c r="AET16" s="2"/>
      <c r="AEU16" s="2"/>
      <c r="AEV16" s="2"/>
      <c r="AEW16" s="2"/>
      <c r="AEX16" s="2"/>
      <c r="AEY16" s="2"/>
      <c r="AEZ16" s="2"/>
      <c r="AFA16" s="2"/>
      <c r="AFB16" s="2"/>
      <c r="AFC16" s="2"/>
      <c r="AFD16" s="2"/>
      <c r="AFE16" s="2"/>
      <c r="AFF16" s="2"/>
      <c r="AFG16" s="2"/>
      <c r="AFH16" s="2"/>
      <c r="AFI16" s="2"/>
      <c r="AFJ16" s="2"/>
      <c r="AFK16" s="2"/>
      <c r="AFL16" s="2"/>
      <c r="AFM16" s="2"/>
      <c r="AFN16" s="2"/>
      <c r="AFO16" s="2"/>
      <c r="AFP16" s="2"/>
      <c r="AFQ16" s="2"/>
      <c r="AFR16" s="2"/>
      <c r="AFS16" s="2"/>
      <c r="AFT16" s="2"/>
      <c r="AFU16" s="2"/>
      <c r="AFV16" s="2"/>
      <c r="AFW16" s="2"/>
      <c r="AFX16" s="2"/>
      <c r="AFY16" s="2"/>
      <c r="AFZ16" s="2"/>
      <c r="AGA16" s="2"/>
      <c r="AGB16" s="2"/>
      <c r="AGC16" s="2"/>
      <c r="AGD16" s="2"/>
      <c r="AGE16" s="2"/>
      <c r="AGF16" s="2"/>
      <c r="AGG16" s="2"/>
      <c r="AGH16" s="2"/>
      <c r="AGI16" s="2"/>
      <c r="AGJ16" s="2"/>
      <c r="AGK16" s="2"/>
      <c r="AGL16" s="2"/>
      <c r="AGM16" s="2"/>
      <c r="AGN16" s="2"/>
      <c r="AGO16" s="2"/>
      <c r="AGP16" s="2"/>
      <c r="AGQ16" s="2"/>
      <c r="AGR16" s="2"/>
      <c r="AGS16" s="2"/>
      <c r="AGT16" s="2"/>
      <c r="AGU16" s="2"/>
      <c r="AGV16" s="2"/>
      <c r="AGW16" s="2"/>
      <c r="AGX16" s="2"/>
      <c r="AGY16" s="2"/>
      <c r="AGZ16" s="2"/>
      <c r="AHA16" s="2"/>
      <c r="AHB16" s="2"/>
      <c r="AHC16" s="2"/>
      <c r="AHD16" s="2"/>
      <c r="AHE16" s="2"/>
      <c r="AHF16" s="2"/>
      <c r="AHG16" s="2"/>
      <c r="AHH16" s="2"/>
      <c r="AHI16" s="2"/>
      <c r="AHJ16" s="2"/>
      <c r="AHK16" s="2"/>
      <c r="AHL16" s="2"/>
      <c r="AHM16" s="2"/>
      <c r="AHN16" s="2"/>
      <c r="AHO16" s="2"/>
      <c r="AHP16" s="2"/>
      <c r="AHQ16" s="2"/>
      <c r="AHR16" s="2"/>
      <c r="AHS16" s="2"/>
      <c r="AHT16" s="2"/>
      <c r="AHU16" s="2"/>
      <c r="AHV16" s="2"/>
      <c r="AHW16" s="2"/>
      <c r="AHX16" s="2"/>
      <c r="AHY16" s="2"/>
      <c r="AHZ16" s="2"/>
      <c r="AIA16" s="2"/>
      <c r="AIB16" s="2"/>
      <c r="AIC16" s="2"/>
      <c r="AID16" s="2"/>
      <c r="AIE16" s="2"/>
      <c r="AIF16" s="2"/>
      <c r="AIG16" s="2"/>
      <c r="AIH16" s="2"/>
      <c r="AII16" s="2"/>
      <c r="AIJ16" s="2"/>
      <c r="AIK16" s="2"/>
      <c r="AIL16" s="2"/>
      <c r="AIM16" s="2"/>
      <c r="AIN16" s="2"/>
      <c r="AIO16" s="2"/>
      <c r="AIP16" s="2"/>
      <c r="AIQ16" s="2"/>
      <c r="AIR16" s="2"/>
      <c r="AIS16" s="2"/>
      <c r="AIT16" s="2"/>
      <c r="AIU16" s="2"/>
      <c r="AIV16" s="2"/>
      <c r="AIW16" s="2"/>
      <c r="AIX16" s="2"/>
      <c r="AIY16" s="2"/>
      <c r="AIZ16" s="2"/>
      <c r="AJA16" s="2"/>
      <c r="AJB16" s="2"/>
      <c r="AJC16" s="2"/>
      <c r="AJD16" s="2"/>
      <c r="AJE16" s="2"/>
      <c r="AJF16" s="2"/>
      <c r="AJG16" s="2"/>
      <c r="AJH16" s="2"/>
      <c r="AJI16" s="2"/>
      <c r="AJJ16" s="2"/>
      <c r="AJK16" s="2"/>
      <c r="AJL16" s="2"/>
      <c r="AJM16" s="2"/>
      <c r="AJN16" s="2"/>
      <c r="AJO16" s="2"/>
      <c r="AJP16" s="2"/>
      <c r="AJQ16" s="2"/>
      <c r="AJR16" s="2"/>
      <c r="AJS16" s="2"/>
      <c r="AJT16" s="2"/>
      <c r="AJU16" s="2"/>
      <c r="AJV16" s="2"/>
      <c r="AJW16" s="2"/>
      <c r="AJX16" s="2"/>
      <c r="AJY16" s="2"/>
      <c r="AJZ16" s="2"/>
      <c r="AKA16" s="2"/>
      <c r="AKB16" s="2"/>
      <c r="AKC16" s="2"/>
      <c r="AKD16" s="2"/>
      <c r="AKE16" s="2"/>
      <c r="AKF16" s="2"/>
      <c r="AKG16" s="2"/>
      <c r="AKH16" s="2"/>
      <c r="AKI16" s="2"/>
      <c r="AKJ16" s="2"/>
      <c r="AKK16" s="2"/>
      <c r="AKL16" s="2"/>
      <c r="AKM16" s="2"/>
      <c r="AKN16" s="2"/>
      <c r="AKO16" s="2"/>
      <c r="AKP16" s="2"/>
      <c r="AKQ16" s="2"/>
      <c r="AKR16" s="2"/>
      <c r="AKS16" s="2"/>
      <c r="AKT16" s="2"/>
      <c r="AKU16" s="2"/>
      <c r="AKV16" s="2"/>
      <c r="AKW16" s="2"/>
      <c r="AKX16" s="2"/>
      <c r="AKY16" s="2"/>
      <c r="AKZ16" s="2"/>
      <c r="ALA16" s="2"/>
      <c r="ALB16" s="2"/>
      <c r="ALC16" s="2"/>
      <c r="ALD16" s="2"/>
      <c r="ALE16" s="2"/>
      <c r="ALF16" s="2"/>
      <c r="ALG16" s="2"/>
      <c r="ALH16" s="2"/>
      <c r="ALI16" s="2"/>
      <c r="ALJ16" s="2"/>
      <c r="ALK16" s="2"/>
      <c r="ALL16" s="2"/>
      <c r="ALM16" s="2"/>
      <c r="ALN16" s="2"/>
      <c r="ALO16" s="2"/>
      <c r="ALP16" s="2"/>
      <c r="ALQ16" s="2"/>
      <c r="ALR16" s="2"/>
      <c r="ALS16" s="2"/>
      <c r="ALT16" s="2"/>
      <c r="ALU16" s="2"/>
      <c r="ALV16" s="2"/>
      <c r="ALW16" s="2"/>
      <c r="ALX16" s="2"/>
      <c r="ALY16" s="2"/>
      <c r="ALZ16" s="2"/>
      <c r="AMA16" s="2"/>
      <c r="AMB16" s="2"/>
      <c r="AMC16" s="2"/>
      <c r="AMD16" s="2"/>
      <c r="AME16" s="2"/>
      <c r="AMF16" s="2"/>
      <c r="AMG16" s="2"/>
      <c r="AMH16" s="2"/>
      <c r="AMI16" s="2"/>
      <c r="AMJ16" s="2"/>
    </row>
    <row r="17" spans="1:11" ht="26.25" customHeight="1" thickBot="1" x14ac:dyDescent="0.25">
      <c r="A17" s="114" t="s">
        <v>90</v>
      </c>
      <c r="B17" s="114"/>
      <c r="C17" s="114"/>
      <c r="D17" s="114"/>
      <c r="E17" s="114"/>
      <c r="F17" s="114"/>
      <c r="G17" s="114"/>
      <c r="H17" s="114"/>
      <c r="I17" s="114"/>
      <c r="J17" s="115">
        <f>+J12*K12+J13*K13+J14*K14+J15*K15+J16*K16</f>
        <v>1497900</v>
      </c>
      <c r="K17" s="115"/>
    </row>
  </sheetData>
  <mergeCells count="27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7:I17"/>
    <mergeCell ref="J17:K17"/>
    <mergeCell ref="C12:G12"/>
    <mergeCell ref="C13:G13"/>
    <mergeCell ref="C15:G15"/>
    <mergeCell ref="C16:G16"/>
    <mergeCell ref="C14:G14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85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topLeftCell="A7" zoomScale="130" zoomScaleNormal="130" workbookViewId="0">
      <selection activeCell="S13" sqref="S13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9" customWidth="1"/>
    <col min="8" max="11" width="4.42578125" customWidth="1"/>
    <col min="12" max="12" width="5.42578125" customWidth="1"/>
    <col min="13" max="14" width="4.42578125" customWidth="1"/>
    <col min="15" max="16" width="14.85546875" customWidth="1"/>
    <col min="17" max="17" width="15.28515625" bestFit="1" customWidth="1"/>
  </cols>
  <sheetData>
    <row r="1" spans="1:17" ht="15.75" customHeight="1" x14ac:dyDescent="0.25">
      <c r="A1" s="150" t="s">
        <v>3</v>
      </c>
      <c r="B1" s="150"/>
      <c r="C1" s="150"/>
      <c r="D1" s="151">
        <f>'Necesidades Trimestrales'!C6</f>
        <v>2021</v>
      </c>
      <c r="E1" s="151"/>
      <c r="F1" s="10"/>
      <c r="G1" s="10"/>
      <c r="H1" s="11"/>
      <c r="I1" s="11"/>
      <c r="J1" s="11"/>
      <c r="K1" s="11"/>
      <c r="L1" s="11"/>
      <c r="M1" s="11"/>
      <c r="N1" s="11"/>
      <c r="P1" s="152" t="s">
        <v>33</v>
      </c>
      <c r="Q1" s="152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52"/>
      <c r="Q2" s="152"/>
    </row>
    <row r="4" spans="1:17" s="12" customFormat="1" ht="18" customHeight="1" thickBot="1" x14ac:dyDescent="0.25">
      <c r="A4" s="153" t="s">
        <v>34</v>
      </c>
      <c r="B4" s="153"/>
      <c r="C4" s="153"/>
      <c r="D4" s="153"/>
      <c r="E4" s="153"/>
      <c r="F4" s="153"/>
      <c r="G4" s="148" t="str">
        <f>' NotaPedido'!D3</f>
        <v>45- Ministerio de Desarrollo Social y Deporte.-</v>
      </c>
      <c r="H4" s="148"/>
      <c r="I4" s="148"/>
      <c r="J4" s="148"/>
      <c r="K4" s="148"/>
      <c r="L4" s="148"/>
      <c r="M4" s="148"/>
      <c r="N4" s="148"/>
      <c r="O4" s="148"/>
      <c r="P4" s="148"/>
      <c r="Q4" s="148"/>
    </row>
    <row r="5" spans="1:17" s="12" customFormat="1" ht="18" customHeight="1" thickBot="1" x14ac:dyDescent="0.25">
      <c r="A5" s="145" t="s">
        <v>56</v>
      </c>
      <c r="B5" s="146"/>
      <c r="C5" s="146"/>
      <c r="D5" s="146"/>
      <c r="E5" s="146"/>
      <c r="F5" s="147"/>
      <c r="G5" s="148" t="str">
        <f>' NotaPedido'!D4</f>
        <v>25- Direccion Provincial de Gestion Administracion y RRHH</v>
      </c>
      <c r="H5" s="148"/>
      <c r="I5" s="148"/>
      <c r="J5" s="148"/>
      <c r="K5" s="148"/>
      <c r="L5" s="148"/>
      <c r="M5" s="148"/>
      <c r="N5" s="148"/>
      <c r="O5" s="148"/>
      <c r="P5" s="148"/>
      <c r="Q5" s="148"/>
    </row>
    <row r="6" spans="1:17" s="12" customFormat="1" ht="18" customHeight="1" thickBot="1" x14ac:dyDescent="0.25">
      <c r="A6" s="145" t="s">
        <v>35</v>
      </c>
      <c r="B6" s="146"/>
      <c r="C6" s="146"/>
      <c r="D6" s="146"/>
      <c r="E6" s="146"/>
      <c r="F6" s="147"/>
      <c r="G6" s="148" t="s">
        <v>95</v>
      </c>
      <c r="H6" s="148"/>
      <c r="I6" s="148"/>
      <c r="J6" s="148"/>
      <c r="K6" s="148"/>
      <c r="L6" s="148"/>
      <c r="M6" s="148"/>
      <c r="N6" s="148"/>
      <c r="O6" s="148"/>
      <c r="P6" s="148"/>
      <c r="Q6" s="148"/>
    </row>
    <row r="7" spans="1:17" s="12" customFormat="1" ht="18" customHeight="1" thickBot="1" x14ac:dyDescent="0.25">
      <c r="A7" s="145" t="s">
        <v>57</v>
      </c>
      <c r="B7" s="146"/>
      <c r="C7" s="146"/>
      <c r="D7" s="146"/>
      <c r="E7" s="146"/>
      <c r="F7" s="147"/>
      <c r="G7" s="148" t="s">
        <v>97</v>
      </c>
      <c r="H7" s="148"/>
      <c r="I7" s="148"/>
      <c r="J7" s="148"/>
      <c r="K7" s="148"/>
      <c r="L7" s="148"/>
      <c r="M7" s="148"/>
      <c r="N7" s="148"/>
      <c r="O7" s="148"/>
      <c r="P7" s="148"/>
      <c r="Q7" s="148"/>
    </row>
    <row r="8" spans="1:17" ht="18" customHeight="1" thickBot="1" x14ac:dyDescent="0.25">
      <c r="A8" s="149" t="s">
        <v>36</v>
      </c>
      <c r="B8" s="149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</row>
    <row r="9" spans="1:17" ht="18" customHeight="1" x14ac:dyDescent="0.2">
      <c r="A9" s="139" t="s">
        <v>37</v>
      </c>
      <c r="B9" s="139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"/>
      <c r="P9" s="1"/>
      <c r="Q9" s="13"/>
    </row>
    <row r="10" spans="1:17" ht="54.75" customHeight="1" x14ac:dyDescent="0.2">
      <c r="A10" s="140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430/2021,  afectando la erogación resultante a los créditos presupuestarios aprobados a favor de esta Unidad Ejecutora, conforme al siguiente detalle:</v>
      </c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41" t="s">
        <v>38</v>
      </c>
      <c r="B12" s="141"/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</row>
    <row r="13" spans="1:17" ht="15.75" customHeight="1" x14ac:dyDescent="0.2">
      <c r="A13" s="142" t="s">
        <v>39</v>
      </c>
      <c r="B13" s="142"/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3" t="s">
        <v>40</v>
      </c>
      <c r="P13" s="143"/>
      <c r="Q13" s="144" t="s">
        <v>41</v>
      </c>
    </row>
    <row r="14" spans="1:17" ht="15.75" customHeight="1" x14ac:dyDescent="0.2">
      <c r="A14" s="18" t="s">
        <v>42</v>
      </c>
      <c r="B14" s="19" t="s">
        <v>43</v>
      </c>
      <c r="C14" s="19" t="s">
        <v>44</v>
      </c>
      <c r="D14" s="19" t="s">
        <v>45</v>
      </c>
      <c r="E14" s="19" t="s">
        <v>46</v>
      </c>
      <c r="F14" s="19" t="s">
        <v>47</v>
      </c>
      <c r="G14" s="20" t="s">
        <v>48</v>
      </c>
      <c r="H14" s="19" t="s">
        <v>49</v>
      </c>
      <c r="I14" s="19" t="s">
        <v>50</v>
      </c>
      <c r="J14" s="19" t="s">
        <v>51</v>
      </c>
      <c r="K14" s="19" t="s">
        <v>51</v>
      </c>
      <c r="L14" s="19" t="s">
        <v>52</v>
      </c>
      <c r="M14" s="21" t="s">
        <v>53</v>
      </c>
      <c r="N14" s="22" t="s">
        <v>54</v>
      </c>
      <c r="O14" s="143"/>
      <c r="P14" s="143"/>
      <c r="Q14" s="144"/>
    </row>
    <row r="15" spans="1:17" ht="17.25" customHeight="1" x14ac:dyDescent="0.2">
      <c r="A15" s="97">
        <v>16</v>
      </c>
      <c r="B15" s="98"/>
      <c r="C15" s="98"/>
      <c r="D15" s="98">
        <v>2</v>
      </c>
      <c r="E15" s="98"/>
      <c r="F15" s="98">
        <v>4901</v>
      </c>
      <c r="G15" s="98">
        <v>1</v>
      </c>
      <c r="H15" s="98">
        <v>4</v>
      </c>
      <c r="I15" s="98" t="str">
        <f>LEFT('[1]Necesidades Trimestrales'!D10,1)</f>
        <v>2</v>
      </c>
      <c r="J15" s="98">
        <v>1</v>
      </c>
      <c r="K15" s="98">
        <v>1</v>
      </c>
      <c r="L15" s="98"/>
      <c r="M15" s="99">
        <v>1</v>
      </c>
      <c r="N15" s="98">
        <v>1.1000000000000001</v>
      </c>
      <c r="O15" s="136" t="s">
        <v>59</v>
      </c>
      <c r="P15" s="137"/>
      <c r="Q15" s="100">
        <v>1497900</v>
      </c>
    </row>
    <row r="16" spans="1:17" ht="17.25" customHeight="1" x14ac:dyDescent="0.2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5"/>
      <c r="N16" s="24"/>
      <c r="O16" s="138"/>
      <c r="P16" s="138"/>
      <c r="Q16" s="69"/>
    </row>
    <row r="17" spans="1:18" ht="17.25" customHeight="1" x14ac:dyDescent="0.2">
      <c r="A17" s="23"/>
      <c r="B17" s="24"/>
      <c r="C17" s="24"/>
      <c r="D17" s="24"/>
      <c r="E17" s="24"/>
      <c r="F17" s="26"/>
      <c r="G17" s="24"/>
      <c r="H17" s="24"/>
      <c r="I17" s="24"/>
      <c r="J17" s="24"/>
      <c r="K17" s="24"/>
      <c r="L17" s="24"/>
      <c r="M17" s="25"/>
      <c r="N17" s="26"/>
      <c r="O17" s="130"/>
      <c r="P17" s="130"/>
      <c r="Q17" s="27"/>
    </row>
    <row r="18" spans="1:18" ht="17.25" customHeight="1" x14ac:dyDescent="0.2">
      <c r="A18" s="2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5"/>
      <c r="N18" s="26"/>
      <c r="O18" s="130"/>
      <c r="P18" s="130"/>
      <c r="Q18" s="27"/>
    </row>
    <row r="19" spans="1:18" ht="17.25" customHeight="1" x14ac:dyDescent="0.2">
      <c r="A19" s="23"/>
      <c r="B19" s="24"/>
      <c r="C19" s="24"/>
      <c r="D19" s="24"/>
      <c r="E19" s="24"/>
      <c r="F19" s="26"/>
      <c r="G19" s="24"/>
      <c r="H19" s="24"/>
      <c r="I19" s="24"/>
      <c r="J19" s="24"/>
      <c r="K19" s="24"/>
      <c r="L19" s="24"/>
      <c r="M19" s="25"/>
      <c r="N19" s="26"/>
      <c r="O19" s="130"/>
      <c r="P19" s="130"/>
      <c r="Q19" s="27"/>
    </row>
    <row r="20" spans="1:18" ht="17.25" customHeight="1" x14ac:dyDescent="0.2">
      <c r="A20" s="23"/>
      <c r="B20" s="24"/>
      <c r="C20" s="24"/>
      <c r="D20" s="24"/>
      <c r="E20" s="24"/>
      <c r="F20" s="26"/>
      <c r="G20" s="24"/>
      <c r="H20" s="24"/>
      <c r="I20" s="24"/>
      <c r="J20" s="24"/>
      <c r="K20" s="24"/>
      <c r="L20" s="24"/>
      <c r="M20" s="25"/>
      <c r="N20" s="26"/>
      <c r="O20" s="130"/>
      <c r="P20" s="130"/>
      <c r="Q20" s="27"/>
    </row>
    <row r="21" spans="1:18" ht="17.25" customHeight="1" x14ac:dyDescent="0.2">
      <c r="A21" s="28"/>
      <c r="B21" s="29"/>
      <c r="C21" s="29"/>
      <c r="D21" s="29"/>
      <c r="E21" s="29"/>
      <c r="F21" s="30"/>
      <c r="G21" s="29"/>
      <c r="H21" s="29"/>
      <c r="I21" s="29"/>
      <c r="J21" s="29"/>
      <c r="K21" s="29"/>
      <c r="L21" s="29"/>
      <c r="M21" s="31"/>
      <c r="N21" s="32"/>
      <c r="O21" s="131"/>
      <c r="P21" s="131"/>
      <c r="Q21" s="27"/>
      <c r="R21" s="1"/>
    </row>
    <row r="22" spans="1:18" ht="17.25" customHeight="1" x14ac:dyDescent="0.2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5"/>
      <c r="N22" s="34"/>
      <c r="O22" s="132"/>
      <c r="P22" s="132"/>
      <c r="Q22" s="36"/>
    </row>
    <row r="23" spans="1:18" ht="32.25" customHeight="1" x14ac:dyDescent="0.2">
      <c r="A23" s="133" t="s">
        <v>93</v>
      </c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37">
        <f>SUM(Q15:Q22)</f>
        <v>1497900</v>
      </c>
    </row>
    <row r="24" spans="1:18" ht="9.75" customHeight="1" x14ac:dyDescent="0.2">
      <c r="A24" s="135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</row>
    <row r="25" spans="1:18" ht="17.25" customHeight="1" x14ac:dyDescent="0.2">
      <c r="A25" s="126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7"/>
    </row>
    <row r="26" spans="1:18" ht="18" customHeight="1" x14ac:dyDescent="0.2">
      <c r="A26" s="126"/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7"/>
    </row>
    <row r="27" spans="1:18" ht="12.75" customHeight="1" thickBot="1" x14ac:dyDescent="0.25">
      <c r="A27" s="128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9"/>
    </row>
  </sheetData>
  <mergeCells count="29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Q27"/>
    <mergeCell ref="O20:P20"/>
    <mergeCell ref="O21:P21"/>
    <mergeCell ref="O22:P22"/>
    <mergeCell ref="A23:P23"/>
    <mergeCell ref="A24:Q24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COMPRAS</cp:lastModifiedBy>
  <cp:revision>2</cp:revision>
  <cp:lastPrinted>2021-01-15T13:45:17Z</cp:lastPrinted>
  <dcterms:created xsi:type="dcterms:W3CDTF">2020-07-17T23:44:49Z</dcterms:created>
  <dcterms:modified xsi:type="dcterms:W3CDTF">2021-08-13T13:14:43Z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