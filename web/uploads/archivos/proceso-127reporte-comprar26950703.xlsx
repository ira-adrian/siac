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codeName="ThisWorkbook"/>
  <mc:AlternateContent xmlns:mc="http://schemas.openxmlformats.org/markup-compatibility/2006">
    <mc:Choice Requires="x15">
      <x15ac:absPath xmlns:x15ac="http://schemas.microsoft.com/office/spreadsheetml/2010/11/ac" url="C:\Users\COMPRAS\Downloads\"/>
    </mc:Choice>
  </mc:AlternateContent>
  <xr:revisionPtr revIDLastSave="0" documentId="8_{EBB5DE32-AC81-467A-93A7-BA625F0BAB47}" xr6:coauthVersionLast="47" xr6:coauthVersionMax="47" xr10:uidLastSave="{00000000-0000-0000-0000-000000000000}"/>
  <bookViews>
    <workbookView xWindow="-120" yWindow="-120" windowWidth="29040" windowHeight="15840" xr2:uid="{00000000-000D-0000-FFFF-FFFF00000000}"/>
  </bookViews>
  <sheets>
    <sheet name="Cuadro comparativo" sheetId="2" r:id="rId1"/>
  </sheets>
  <definedNames>
    <definedName name="Datos">'Cuadro comparativo'!$E$1:$E$5</definedName>
    <definedName name="DatosTitulos">'Cuadro comparativo'!$D$1:$D$5</definedName>
    <definedName name="PROVEEDOR">'Cuadro comparativo'!$G$8:$J$8,'Cuadro comparativo'!$K$8:$N$8,'Cuadro comparativo'!$O$8:$R$8,'Cuadro comparativo'!$S$8:$V$8,'Cuadro comparativo'!$W$8:$Z$8</definedName>
    <definedName name="Titles">'Cuadro comparativo'!$A$8:$F$8</definedName>
  </definedNames>
  <calcPr calcId="0"/>
</workbook>
</file>

<file path=xl/calcChain.xml><?xml version="1.0" encoding="utf-8"?>
<calcChain xmlns="http://schemas.openxmlformats.org/spreadsheetml/2006/main">
  <c r="I13" i="2" l="1"/>
  <c r="M13" i="2"/>
  <c r="Q13" i="2"/>
  <c r="U13" i="2"/>
  <c r="Y13" i="2"/>
</calcChain>
</file>

<file path=xl/sharedStrings.xml><?xml version="1.0" encoding="utf-8"?>
<sst xmlns="http://schemas.openxmlformats.org/spreadsheetml/2006/main" count="70" uniqueCount="46">
  <si>
    <t>Número expediente:</t>
  </si>
  <si>
    <t>EX-2022-01241480-   -CAT-DPCBS#MEC</t>
  </si>
  <si>
    <t>Número proceso de compra:</t>
  </si>
  <si>
    <t>100-0119-CDI22</t>
  </si>
  <si>
    <t>Nombre descriptivo proceso de compra:</t>
  </si>
  <si>
    <t>Adquisición de Equipos Informáticos destinados a distintas dependencias del Ministerio de Educación</t>
  </si>
  <si>
    <t>Unidad Operativa de Compras:</t>
  </si>
  <si>
    <t>Secretaria de Compras y Abastecimiento</t>
  </si>
  <si>
    <t>Fecha de Apertura:</t>
  </si>
  <si>
    <t>20/07/2022</t>
  </si>
  <si>
    <t>Renglón</t>
  </si>
  <si>
    <t>MIGUEL ANGEL MURO</t>
  </si>
  <si>
    <t>BRUNO RODOLFO LUCERO ALESSANDRO</t>
  </si>
  <si>
    <t>Juan Manuel Olveira Luraschi</t>
  </si>
  <si>
    <t>YAMIL PACHA</t>
  </si>
  <si>
    <t>soluciones informaticas sigma srl</t>
  </si>
  <si>
    <t>Alternativa</t>
  </si>
  <si>
    <t>Código</t>
  </si>
  <si>
    <t>Descripción</t>
  </si>
  <si>
    <t>Cantidad solicitada</t>
  </si>
  <si>
    <t>Unidad de medida</t>
  </si>
  <si>
    <t>Precio unitario</t>
  </si>
  <si>
    <t>Cantidad ofertada</t>
  </si>
  <si>
    <t>Total por renglón</t>
  </si>
  <si>
    <t>Especificacion técnica</t>
  </si>
  <si>
    <t xml:space="preserve">1 </t>
  </si>
  <si>
    <t xml:space="preserve">4.3.6-6160.232 </t>
  </si>
  <si>
    <t xml:space="preserve">COMPUTADORAS; TIPO: ESCRITORIO, CODIGO ETAP: PC ESCRITORIO, VERSION ETAP: 25.0 
</t>
  </si>
  <si>
    <t xml:space="preserve">UNIDAD </t>
  </si>
  <si>
    <t xml:space="preserve">computadora pc intel core I3 10ma gen. 8gb 240gbssd con 
antena de wifi incorporada, con teclado y parlantes y mouse 
marca solarmax monitor de 19" marca phillips GARANTIA DE 12 
MESES </t>
  </si>
  <si>
    <t xml:space="preserve">computadora i3 8gb 240ssd placa wifi marca menthol +  
monitor phillips 19" </t>
  </si>
  <si>
    <t xml:space="preserve">Pc de escritorio | Intel Core i3 | 8GB RAM 
| 240 SSD | Wifi | Kit de teclado y 
mouse | Monitor de 19'' | Windows Free | Marca: 
CX Performance  </t>
  </si>
  <si>
    <t xml:space="preserve">PC CX INTEL I3 10105+8G+SSD240G (MSI) GAB  CX SLIM 
5835 BLACK ALUM 600W USB 3.0 S/CR TECLADO CX SLIM 
WK-718 TECLA CHOCOLATE USB MOUSE CX MEQ-037 RUBBER BLACK COLOR 
FINISH  USB MB MSI S1200 H510M-A PRO BOX M-ATX 
       CPU INTEL CORE 
I3-10105 COMETLAKE S1200 BOX MEMORIA  DDR4 8GB   
      DISCO SSD 240GB PLACA 
RED PCI-E TP-LINK WN881ND 11N 300MBPS 2X2DBI MONITOR 19 PHILIPS 
VGA HDMI VESA (193V5LHSB2/77)  </t>
  </si>
  <si>
    <t xml:space="preserve">2 </t>
  </si>
  <si>
    <t xml:space="preserve">COMPUTADORA MARCA SOLARMAX I5 10MA 8GB 240GBSSD + PLACA WIFI 
GIGABIT ETHERNET 10/100/1000BASET + MONITOR PHILLIPS 19" GARANTIA DE 12 
MESES </t>
  </si>
  <si>
    <t xml:space="preserve">computadora i5 8gb 240gbssd marca menthol + monitor phillips garantia 
de 12 meses </t>
  </si>
  <si>
    <t xml:space="preserve">Pc de escritorio | Intel Core i5 | 16GB RAM 
| 480 SSD | Wifi | Kit de teclado y 
mouse | Monitor de 19'' | Windows Free | Marca: 
CX Performance  </t>
  </si>
  <si>
    <t xml:space="preserve">PC PERFORMANCE INTEL I7 10700+8G+SSD480 (GIGA) GAB  PERF KITX3 
6801 TEC+MOU+600W MB GIGABYTE S1200 H510M H BOX M-ATX CPU 
INTEL CORE I7-10700 COMETLAKE S1200 BOX MEMORIA DDR4 8GB X 
2 DISCO SSD 480GB PLACA RED PCI-E TP-LINK WN881ND 11N 
300MBPS 2X2DBI MONITOR 19 PHILIPS VGA HDMI VESA (193V5LHSB2/77)  
</t>
  </si>
  <si>
    <t xml:space="preserve">3 </t>
  </si>
  <si>
    <t xml:space="preserve">4.3.6-6161.294 </t>
  </si>
  <si>
    <t xml:space="preserve">IMPRESORAS; TIPO: LASER MONOCROMATICA, CODIGO ETAP: PR-017, VERSION ETAP: 19.0 
</t>
  </si>
  <si>
    <t xml:space="preserve">IMPRESORA MARCA PANTUM P2509W  Wi-fi Si Resolución De Impresión 
Hasta 1200 x 1200 dpi Velocidad De Impresión Blanco Y 
Negro Hasta 22ppm Impresión Doble Cara Manual Tipo De Suministro 
Tóner Memoria 128 MB Tamaños De Soportes De Impresión Admitidos 
A4, A5, A6, JIS B5, ISO B5, B6, carta, legal, 
ejecutivo, informe, sobre Monarch, entre otros. Tipos De Soporte Admitidos 
Normal, grueso, transparencia, cartulina, etiqueta, sobre, fino CONECTIVIDAD Entradas Usb 
Si GARANTIA Duración 12 meses  CARACTERÍSTICAS GENERALES Funciones Disponibles 
Imprime Tecnología De Impresión Láser Tipo De Impresora Monofunción Tipo 
De Impresión Monocromática  </t>
  </si>
  <si>
    <t xml:space="preserve">impresora marca ricoh p311  Imprime hasta 32 ppm (A4)/34 
ppm (Carta)   Resolución máxima de impresión de 1200 
x 1200 ppp   Capacidad de papel de hasta 
550 hojas   Aumenta el tiempo de funcionamiento con 
un cartucho de impresión todo en uno de 7.000 páginas 
garantia 12 meses </t>
  </si>
  <si>
    <t xml:space="preserve">Impresora Multifuncion Epson Xp2101 Inalambrica Wifi Xp-2101  </t>
  </si>
  <si>
    <t xml:space="preserve">Impresora Lexmark MS521dn Parte #.: 36S0301 con toner inicial y 
unidad de imagen. CARACTERÍSTICAS: láser monocromático Impresión dúplex (2 caras): 
Dúplex integrado Velocidad de Impresión: Hasta 46 ppm Volumen de 
Páginas Mensual Recomendado: 2000 - 15000 Páginas </t>
  </si>
  <si>
    <t xml:space="preserve">Total: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</si>
</sst>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 #,##0.00"/>
    <numFmt numFmtId="165" formatCode="\$\ #,##0.00"/>
  </numFmts>
  <fonts count="2" x14ac:knownFonts="1">
    <font>
      <sz val="11"/>
      <color rgb="FF000000"/>
      <name val="Calibri"/>
      <family val="2"/>
    </font>
    <font>
      <b/>
      <sz val="11"/>
      <color rgb="FF000000"/>
      <name val="Calibri"/>
      <family val="2"/>
    </font>
  </fonts>
  <fills count="3">
    <fill>
      <patternFill patternType="none"/>
    </fill>
    <fill>
      <patternFill patternType="gray125"/>
    </fill>
    <fill>
      <patternFill patternType="solid">
        <fgColor rgb="FFA2ADD0"/>
        <bgColor rgb="FFA2ADD0"/>
      </patternFill>
    </fill>
  </fills>
  <borders count="1">
    <border>
      <left/>
      <right/>
      <top/>
      <bottom/>
      <diagonal/>
    </border>
  </borders>
  <cellStyleXfs count="1">
    <xf numFmtId="0" fontId="0" fillId="0" borderId="0" applyBorder="0"/>
  </cellStyleXfs>
  <cellXfs count="6">
    <xf numFmtId="0" fontId="0" fillId="0" borderId="0" xfId="0" applyNumberFormat="1" applyFill="1" applyAlignment="1" applyProtection="1"/>
    <xf numFmtId="0" fontId="1" fillId="2" borderId="0" xfId="0" applyNumberFormat="1" applyFont="1" applyFill="1" applyAlignment="1" applyProtection="1">
      <alignment horizontal="center"/>
    </xf>
    <xf numFmtId="0" fontId="1" fillId="2" borderId="0" xfId="0" applyNumberFormat="1" applyFont="1" applyFill="1" applyAlignment="1" applyProtection="1">
      <alignment horizontal="left"/>
    </xf>
    <xf numFmtId="164" fontId="0" fillId="0" borderId="0" xfId="0" applyNumberFormat="1" applyFill="1" applyAlignment="1" applyProtection="1"/>
    <xf numFmtId="0" fontId="0" fillId="0" borderId="0" xfId="0" applyNumberFormat="1" applyFill="1" applyAlignment="1" applyProtection="1">
      <alignment wrapText="1"/>
    </xf>
    <xf numFmtId="165" fontId="0" fillId="0" borderId="0" xfId="0" applyNumberFormat="1" applyFill="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9:F13" totalsRowCount="1">
  <tableColumns count="6">
    <tableColumn id="1" xr3:uid="{00000000-0010-0000-0000-000001000000}" name="Renglón"/>
    <tableColumn id="2" xr3:uid="{00000000-0010-0000-0000-000002000000}" name="Alternativa"/>
    <tableColumn id="3" xr3:uid="{00000000-0010-0000-0000-000003000000}" name="Código" totalsRowLabel="Total: "/>
    <tableColumn id="4" xr3:uid="{00000000-0010-0000-0000-000004000000}" name="Descripción"/>
    <tableColumn id="5" xr3:uid="{00000000-0010-0000-0000-000005000000}" name="Cantidad solicitada"/>
    <tableColumn id="6" xr3:uid="{00000000-0010-0000-0000-000006000000}" name="Unidad de medida"/>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G9:J13" totalsRowCount="1">
  <tableColumns count="4">
    <tableColumn id="1" xr3:uid="{00000000-0010-0000-0100-000001000000}" name="Precio unitario"/>
    <tableColumn id="2" xr3:uid="{00000000-0010-0000-0100-000002000000}" name="Cantidad ofertada"/>
    <tableColumn id="3" xr3:uid="{00000000-0010-0000-0100-000003000000}" name="Total por renglón" totalsRowFunction="sum"/>
    <tableColumn id="4" xr3:uid="{00000000-0010-0000-0100-000004000000}" name="Especificacion técnica"/>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3" displayName="Table3" ref="K9:N13" totalsRowCount="1">
  <tableColumns count="4">
    <tableColumn id="1" xr3:uid="{00000000-0010-0000-0200-000001000000}" name="Precio unitario"/>
    <tableColumn id="2" xr3:uid="{00000000-0010-0000-0200-000002000000}" name="Cantidad ofertada"/>
    <tableColumn id="3" xr3:uid="{00000000-0010-0000-0200-000003000000}" name="Total por renglón" totalsRowFunction="sum"/>
    <tableColumn id="4" xr3:uid="{00000000-0010-0000-0200-000004000000}" name="Especificacion técnica"/>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O9:R13" totalsRowCount="1">
  <tableColumns count="4">
    <tableColumn id="1" xr3:uid="{00000000-0010-0000-0300-000001000000}" name="Precio unitario"/>
    <tableColumn id="2" xr3:uid="{00000000-0010-0000-0300-000002000000}" name="Cantidad ofertada"/>
    <tableColumn id="3" xr3:uid="{00000000-0010-0000-0300-000003000000}" name="Total por renglón" totalsRowFunction="sum"/>
    <tableColumn id="4" xr3:uid="{00000000-0010-0000-0300-000004000000}" name="Especificacion técnica"/>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5" displayName="Table5" ref="S9:V13" totalsRowCount="1">
  <tableColumns count="4">
    <tableColumn id="1" xr3:uid="{00000000-0010-0000-0400-000001000000}" name="Precio unitario"/>
    <tableColumn id="2" xr3:uid="{00000000-0010-0000-0400-000002000000}" name="Cantidad ofertada"/>
    <tableColumn id="3" xr3:uid="{00000000-0010-0000-0400-000003000000}" name="Total por renglón" totalsRowFunction="sum"/>
    <tableColumn id="4" xr3:uid="{00000000-0010-0000-0400-000004000000}" name="Especificacion técnica"/>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6" displayName="Table6" ref="W9:Z13" totalsRowCount="1">
  <tableColumns count="4">
    <tableColumn id="1" xr3:uid="{00000000-0010-0000-0500-000001000000}" name="Precio unitario"/>
    <tableColumn id="2" xr3:uid="{00000000-0010-0000-0500-000002000000}" name="Cantidad ofertada"/>
    <tableColumn id="3" xr3:uid="{00000000-0010-0000-0500-000003000000}" name="Total por renglón" totalsRowFunction="sum"/>
    <tableColumn id="4" xr3:uid="{00000000-0010-0000-0500-000004000000}" name="Especificacion técnica"/>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3"/>
  <sheetViews>
    <sheetView tabSelected="1" workbookViewId="0">
      <pane xSplit="3" ySplit="9" topLeftCell="D10" activePane="bottomRight" state="frozenSplit"/>
      <selection pane="topRight"/>
      <selection pane="bottomLeft"/>
      <selection pane="bottomRight" activeCell="D10" sqref="D10"/>
    </sheetView>
  </sheetViews>
  <sheetFormatPr baseColWidth="10" defaultColWidth="9.140625" defaultRowHeight="15" x14ac:dyDescent="0.25"/>
  <cols>
    <col min="1" max="1" width="8.85546875" customWidth="1"/>
    <col min="2" max="2" width="11.28515625" customWidth="1"/>
    <col min="3" max="3" width="14.7109375" customWidth="1"/>
    <col min="4" max="4" width="79.28515625" customWidth="1"/>
    <col min="5" max="5" width="90" customWidth="1"/>
    <col min="6" max="6" width="17.42578125" customWidth="1"/>
    <col min="7" max="7" width="14.28515625" customWidth="1"/>
    <col min="8" max="8" width="17.28515625" customWidth="1"/>
    <col min="9" max="9" width="16.5703125" customWidth="1"/>
    <col min="10" max="10" width="79.7109375" customWidth="1"/>
    <col min="11" max="11" width="14.28515625" customWidth="1"/>
    <col min="12" max="12" width="17.28515625" customWidth="1"/>
    <col min="13" max="13" width="16.5703125" customWidth="1"/>
    <col min="14" max="14" width="63.85546875" customWidth="1"/>
    <col min="15" max="15" width="14.28515625" customWidth="1"/>
    <col min="16" max="16" width="17.28515625" customWidth="1"/>
    <col min="17" max="17" width="16.5703125" customWidth="1"/>
    <col min="18" max="18" width="56.5703125" customWidth="1"/>
    <col min="19" max="19" width="14.28515625" customWidth="1"/>
    <col min="20" max="20" width="17.28515625" customWidth="1"/>
    <col min="21" max="21" width="16.5703125" customWidth="1"/>
    <col min="22" max="22" width="67" customWidth="1"/>
    <col min="23" max="23" width="14.28515625" customWidth="1"/>
    <col min="24" max="24" width="17.28515625" customWidth="1"/>
    <col min="25" max="25" width="16.5703125" customWidth="1"/>
    <col min="26" max="26" width="76.140625" customWidth="1"/>
  </cols>
  <sheetData>
    <row r="1" spans="1:26" x14ac:dyDescent="0.25">
      <c r="D1" s="2" t="s">
        <v>0</v>
      </c>
      <c r="E1" s="2" t="s">
        <v>1</v>
      </c>
    </row>
    <row r="2" spans="1:26" x14ac:dyDescent="0.25">
      <c r="D2" s="2" t="s">
        <v>2</v>
      </c>
      <c r="E2" s="2" t="s">
        <v>3</v>
      </c>
    </row>
    <row r="3" spans="1:26" x14ac:dyDescent="0.25">
      <c r="D3" s="2" t="s">
        <v>4</v>
      </c>
      <c r="E3" s="2" t="s">
        <v>5</v>
      </c>
    </row>
    <row r="4" spans="1:26" x14ac:dyDescent="0.25">
      <c r="D4" s="2" t="s">
        <v>6</v>
      </c>
      <c r="E4" s="2" t="s">
        <v>7</v>
      </c>
    </row>
    <row r="5" spans="1:26" x14ac:dyDescent="0.25">
      <c r="D5" s="2" t="s">
        <v>8</v>
      </c>
      <c r="E5" s="2" t="s">
        <v>9</v>
      </c>
    </row>
    <row r="8" spans="1:26" x14ac:dyDescent="0.25">
      <c r="A8" s="1" t="s">
        <v>10</v>
      </c>
      <c r="B8" s="1"/>
      <c r="C8" s="1"/>
      <c r="D8" s="1"/>
      <c r="E8" s="1"/>
      <c r="F8" s="1"/>
      <c r="G8" s="1" t="s">
        <v>11</v>
      </c>
      <c r="H8" s="1"/>
      <c r="I8" s="1"/>
      <c r="J8" s="1"/>
      <c r="K8" s="1" t="s">
        <v>12</v>
      </c>
      <c r="L8" s="1"/>
      <c r="M8" s="1"/>
      <c r="N8" s="1"/>
      <c r="O8" s="1" t="s">
        <v>13</v>
      </c>
      <c r="P8" s="1"/>
      <c r="Q8" s="1"/>
      <c r="R8" s="1"/>
      <c r="S8" s="1" t="s">
        <v>14</v>
      </c>
      <c r="T8" s="1"/>
      <c r="U8" s="1"/>
      <c r="V8" s="1"/>
      <c r="W8" s="1" t="s">
        <v>15</v>
      </c>
      <c r="X8" s="1"/>
      <c r="Y8" s="1"/>
      <c r="Z8" s="1"/>
    </row>
    <row r="9" spans="1:26" x14ac:dyDescent="0.25">
      <c r="A9" t="s">
        <v>10</v>
      </c>
      <c r="B9" t="s">
        <v>16</v>
      </c>
      <c r="C9" t="s">
        <v>17</v>
      </c>
      <c r="D9" t="s">
        <v>18</v>
      </c>
      <c r="E9" t="s">
        <v>19</v>
      </c>
      <c r="F9" t="s">
        <v>20</v>
      </c>
      <c r="G9" s="3" t="s">
        <v>21</v>
      </c>
      <c r="H9" s="3" t="s">
        <v>22</v>
      </c>
      <c r="I9" t="s">
        <v>23</v>
      </c>
      <c r="J9" t="s">
        <v>24</v>
      </c>
      <c r="K9" s="3" t="s">
        <v>21</v>
      </c>
      <c r="L9" s="3" t="s">
        <v>22</v>
      </c>
      <c r="M9" t="s">
        <v>23</v>
      </c>
      <c r="N9" t="s">
        <v>24</v>
      </c>
      <c r="O9" s="3" t="s">
        <v>21</v>
      </c>
      <c r="P9" s="3" t="s">
        <v>22</v>
      </c>
      <c r="Q9" t="s">
        <v>23</v>
      </c>
      <c r="R9" t="s">
        <v>24</v>
      </c>
      <c r="S9" s="3" t="s">
        <v>21</v>
      </c>
      <c r="T9" s="3" t="s">
        <v>22</v>
      </c>
      <c r="U9" t="s">
        <v>23</v>
      </c>
      <c r="V9" t="s">
        <v>24</v>
      </c>
      <c r="W9" s="3" t="s">
        <v>21</v>
      </c>
      <c r="X9" s="3" t="s">
        <v>22</v>
      </c>
      <c r="Y9" t="s">
        <v>23</v>
      </c>
      <c r="Z9" t="s">
        <v>24</v>
      </c>
    </row>
    <row r="10" spans="1:26" ht="150" x14ac:dyDescent="0.25">
      <c r="A10" t="s">
        <v>25</v>
      </c>
      <c r="B10" t="s">
        <v>25</v>
      </c>
      <c r="C10" t="s">
        <v>26</v>
      </c>
      <c r="D10" s="4" t="s">
        <v>27</v>
      </c>
      <c r="E10">
        <v>5</v>
      </c>
      <c r="F10" t="s">
        <v>28</v>
      </c>
      <c r="G10" s="3">
        <v>136053</v>
      </c>
      <c r="H10" s="3">
        <v>5</v>
      </c>
      <c r="I10" s="5">
        <v>680265</v>
      </c>
      <c r="J10" s="4" t="s">
        <v>29</v>
      </c>
      <c r="K10" s="3">
        <v>167000</v>
      </c>
      <c r="L10" s="3">
        <v>5</v>
      </c>
      <c r="M10" s="5">
        <v>835000</v>
      </c>
      <c r="N10" s="4" t="s">
        <v>30</v>
      </c>
      <c r="O10" s="3">
        <v>145656</v>
      </c>
      <c r="P10" s="3">
        <v>5</v>
      </c>
      <c r="Q10" s="5">
        <v>728280</v>
      </c>
      <c r="R10" s="4" t="s">
        <v>31</v>
      </c>
      <c r="S10" s="3">
        <v>119620</v>
      </c>
      <c r="T10" s="3">
        <v>5</v>
      </c>
      <c r="U10" s="5">
        <v>598100</v>
      </c>
      <c r="V10" s="4" t="s">
        <v>32</v>
      </c>
      <c r="W10" s="3"/>
      <c r="X10" s="3"/>
      <c r="Y10" s="5"/>
    </row>
    <row r="11" spans="1:26" ht="90" x14ac:dyDescent="0.25">
      <c r="A11" t="s">
        <v>33</v>
      </c>
      <c r="B11" t="s">
        <v>25</v>
      </c>
      <c r="C11" t="s">
        <v>26</v>
      </c>
      <c r="D11" s="4" t="s">
        <v>27</v>
      </c>
      <c r="E11">
        <v>5</v>
      </c>
      <c r="F11" t="s">
        <v>28</v>
      </c>
      <c r="G11" s="3">
        <v>166000</v>
      </c>
      <c r="H11" s="3">
        <v>5</v>
      </c>
      <c r="I11" s="5">
        <v>830000</v>
      </c>
      <c r="J11" s="4" t="s">
        <v>34</v>
      </c>
      <c r="K11" s="3">
        <v>186000</v>
      </c>
      <c r="L11" s="3">
        <v>5</v>
      </c>
      <c r="M11" s="5">
        <v>930000</v>
      </c>
      <c r="N11" s="4" t="s">
        <v>35</v>
      </c>
      <c r="O11" s="3">
        <v>155448</v>
      </c>
      <c r="P11" s="3">
        <v>5</v>
      </c>
      <c r="Q11" s="5">
        <v>777240</v>
      </c>
      <c r="R11" s="4" t="s">
        <v>36</v>
      </c>
      <c r="S11" s="3">
        <v>175000</v>
      </c>
      <c r="T11" s="3">
        <v>5</v>
      </c>
      <c r="U11" s="5">
        <v>875000</v>
      </c>
      <c r="V11" s="4" t="s">
        <v>37</v>
      </c>
      <c r="W11" s="3"/>
      <c r="X11" s="3"/>
      <c r="Y11" s="5"/>
    </row>
    <row r="12" spans="1:26" ht="165" x14ac:dyDescent="0.25">
      <c r="A12" t="s">
        <v>38</v>
      </c>
      <c r="B12" t="s">
        <v>25</v>
      </c>
      <c r="C12" t="s">
        <v>39</v>
      </c>
      <c r="D12" s="4" t="s">
        <v>40</v>
      </c>
      <c r="E12">
        <v>10</v>
      </c>
      <c r="F12" t="s">
        <v>28</v>
      </c>
      <c r="G12" s="3">
        <v>37000</v>
      </c>
      <c r="H12" s="3">
        <v>10</v>
      </c>
      <c r="I12" s="5">
        <v>370000</v>
      </c>
      <c r="J12" s="4" t="s">
        <v>41</v>
      </c>
      <c r="K12" s="3">
        <v>70000</v>
      </c>
      <c r="L12" s="3">
        <v>10</v>
      </c>
      <c r="M12" s="5">
        <v>700000</v>
      </c>
      <c r="N12" s="4" t="s">
        <v>42</v>
      </c>
      <c r="O12" s="3">
        <v>54600</v>
      </c>
      <c r="P12" s="3">
        <v>10</v>
      </c>
      <c r="Q12" s="5">
        <v>546000</v>
      </c>
      <c r="R12" t="s">
        <v>43</v>
      </c>
      <c r="S12" s="3"/>
      <c r="T12" s="3"/>
      <c r="U12" s="5"/>
      <c r="W12" s="3">
        <v>69027</v>
      </c>
      <c r="X12" s="3">
        <v>10</v>
      </c>
      <c r="Y12" s="5">
        <v>690270</v>
      </c>
      <c r="Z12" s="4" t="s">
        <v>44</v>
      </c>
    </row>
    <row r="13" spans="1:26" x14ac:dyDescent="0.25">
      <c r="C13" t="s">
        <v>45</v>
      </c>
      <c r="D13" s="4"/>
      <c r="G13" s="3"/>
      <c r="H13" s="3"/>
      <c r="I13" s="5">
        <f>SUBTOTAL(109,Table2[Total por renglón])</f>
        <v>1880265</v>
      </c>
      <c r="J13" s="4"/>
      <c r="K13" s="3"/>
      <c r="L13" s="3"/>
      <c r="M13" s="5">
        <f>SUBTOTAL(109,Table3[Total por renglón])</f>
        <v>2465000</v>
      </c>
      <c r="N13" s="4"/>
      <c r="O13" s="3"/>
      <c r="P13" s="3"/>
      <c r="Q13" s="5">
        <f>SUBTOTAL(109,Table4[Total por renglón])</f>
        <v>2051520</v>
      </c>
      <c r="S13" s="3"/>
      <c r="T13" s="3"/>
      <c r="U13" s="5">
        <f>SUBTOTAL(109,Table5[Total por renglón])</f>
        <v>1473100</v>
      </c>
      <c r="W13" s="3"/>
      <c r="X13" s="3"/>
      <c r="Y13" s="5">
        <f>SUBTOTAL(109,Table6[Total por renglón])</f>
        <v>690270</v>
      </c>
      <c r="Z13" s="4"/>
    </row>
  </sheetData>
  <mergeCells count="6">
    <mergeCell ref="A8:F8"/>
    <mergeCell ref="G8:J8"/>
    <mergeCell ref="K8:N8"/>
    <mergeCell ref="O8:R8"/>
    <mergeCell ref="S8:V8"/>
    <mergeCell ref="W8:Z8"/>
  </mergeCells>
  <pageMargins left="0.75" right="0.75" top="0.75" bottom="0.5" header="0.5" footer="0.75"/>
  <tableParts count="6">
    <tablePart r:id="rId1"/>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4</vt:i4>
      </vt:variant>
    </vt:vector>
  </HeadingPairs>
  <TitlesOfParts>
    <vt:vector size="5" baseType="lpstr">
      <vt:lpstr>Cuadro comparativo</vt:lpstr>
      <vt:lpstr>Datos</vt:lpstr>
      <vt:lpstr>DatosTitulos</vt:lpstr>
      <vt:lpstr>PROVEEDOR</vt:lpstr>
      <vt:lpstr>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JOHANA AYBAR</dc:creator>
  <cp:lastModifiedBy>COMPRAS</cp:lastModifiedBy>
  <dcterms:created xsi:type="dcterms:W3CDTF">2022-09-28T13:20:35Z</dcterms:created>
  <dcterms:modified xsi:type="dcterms:W3CDTF">2022-09-28T13:22:27Z</dcterms:modified>
</cp:coreProperties>
</file>