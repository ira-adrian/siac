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78D923AF-0EE4-48D5-918B-B09FE5603B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56" i="2" l="1"/>
  <c r="M56" i="2"/>
  <c r="Q56" i="2"/>
</calcChain>
</file>

<file path=xl/sharedStrings.xml><?xml version="1.0" encoding="utf-8"?>
<sst xmlns="http://schemas.openxmlformats.org/spreadsheetml/2006/main" count="342" uniqueCount="216">
  <si>
    <t>Número expediente:</t>
  </si>
  <si>
    <t>EX-2022-00812796-   -CAT-SCA#MEC</t>
  </si>
  <si>
    <t>Número proceso de compra:</t>
  </si>
  <si>
    <t>100-0087-CDI22</t>
  </si>
  <si>
    <t>Nombre descriptivo proceso de compra:</t>
  </si>
  <si>
    <t>Adquisición de tintas y tóneres destinados al MGJDH y al HSJB</t>
  </si>
  <si>
    <t>Unidad Operativa de Compras:</t>
  </si>
  <si>
    <t>Secretaria de Compras y Abastecimiento</t>
  </si>
  <si>
    <t>Fecha de Apertura:</t>
  </si>
  <si>
    <t>27/05/2022</t>
  </si>
  <si>
    <t>Renglón</t>
  </si>
  <si>
    <t>MIGUEL ANGEL MURO</t>
  </si>
  <si>
    <t>INFOWATER S.R.L</t>
  </si>
  <si>
    <t>BRUNO RODOLFO LUCERO ALESSANDRO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</si>
  <si>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</si>
  <si>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</si>
  <si>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</si>
  <si>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</si>
  <si>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</si>
  <si>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</si>
  <si>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</si>
  <si>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</si>
  <si>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</si>
  <si>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</si>
  <si>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2.9.6-401.1910 </t>
  </si>
  <si>
    <t xml:space="preserve">CARTUCHOS DE TONER; CODIGO: 101 D101S, USO: SAMSUNG </t>
  </si>
  <si>
    <t xml:space="preserve">UNIDAD </t>
  </si>
  <si>
    <t xml:space="preserve">TONER MLT-D101S- COLOR: NEGRO, TONER ORIGINAL, MARCA: SAMSUNG   
  </t>
  </si>
  <si>
    <t xml:space="preserve">toner original  </t>
  </si>
  <si>
    <t xml:space="preserve">2 </t>
  </si>
  <si>
    <t xml:space="preserve">2.9.6-1355.1503 </t>
  </si>
  <si>
    <t xml:space="preserve">CARTUCHOS DE TINTA; CODIGO: HP 60, USO: HEWLETT PACKARD </t>
  </si>
  <si>
    <t xml:space="preserve">TINTA HP 60- COLOR: NEGRO,TINTA ORIGINAL, MARCA: HP   
  </t>
  </si>
  <si>
    <t xml:space="preserve">tinta original  segun pliego </t>
  </si>
  <si>
    <t xml:space="preserve">3 </t>
  </si>
  <si>
    <t xml:space="preserve">TINTA HP 60 MULTICOLOR- TINTA ORIGINAL- MARCA: HP  </t>
  </si>
  <si>
    <t xml:space="preserve">4 </t>
  </si>
  <si>
    <t xml:space="preserve">2.9.6-1355.1938 </t>
  </si>
  <si>
    <t xml:space="preserve">CARTUCHOS DE TINTA; CODIGO: T664120, USO: EPSON </t>
  </si>
  <si>
    <t xml:space="preserve">TINTA PARA IMPRESORA EPSON N° 664. NEGRO- TINTA ORIGINAL - 
MARCA: EPSON  </t>
  </si>
  <si>
    <t xml:space="preserve">5 </t>
  </si>
  <si>
    <t xml:space="preserve">2.9.6-1355.1939 </t>
  </si>
  <si>
    <t xml:space="preserve">CARTUCHOS DE TINTA; CODIGO: T664220, USO: EPSON </t>
  </si>
  <si>
    <t xml:space="preserve">TINTA PARA IMPRESORA EPSON N° 664. CIAN- TINTA ORIGINAL - 
MARCA: EPSON  </t>
  </si>
  <si>
    <t xml:space="preserve">6 </t>
  </si>
  <si>
    <t xml:space="preserve">2.9.6-1355.1940 </t>
  </si>
  <si>
    <t xml:space="preserve">CARTUCHOS DE TINTA; CODIGO: T664320, USO: EPSON </t>
  </si>
  <si>
    <t xml:space="preserve">TINTA PARA IMPRESORA EPSON N° 664. MAGENTA.- TINTA ORIGINAL - 
MARCA: EPSON  </t>
  </si>
  <si>
    <t xml:space="preserve">7 </t>
  </si>
  <si>
    <t xml:space="preserve">2.9.6-1355.1941 </t>
  </si>
  <si>
    <t xml:space="preserve">CARTUCHOS DE TINTA; CODIGO: T664420, USO: EPSON </t>
  </si>
  <si>
    <t xml:space="preserve">TINTA PARA IMPRESORA EPSON N° 664. YELLOW- TINTA ORIGINAL - 
MARCA: EPSON  </t>
  </si>
  <si>
    <t xml:space="preserve">8 </t>
  </si>
  <si>
    <t xml:space="preserve">2.9.6-401.2378 </t>
  </si>
  <si>
    <t xml:space="preserve">CARTUCHOS DE TONER; CODIGO: W1105A, USO: HEWLETT PACKARD </t>
  </si>
  <si>
    <t xml:space="preserve">CARTUCHOS DE TONER; CODIGO: W1105A, USO: HEWLETT PACKARD- CARTUCHO DE 
TONER ALTERNATIVO- COLOR: NEGRO - MARCA: GLOBAL  </t>
  </si>
  <si>
    <t xml:space="preserve">toner con chip  original  segun pliego </t>
  </si>
  <si>
    <t xml:space="preserve">TONER P/HP 1005- NEGRO- ALTERNATIVO -MARCA: GNEISS  </t>
  </si>
  <si>
    <t xml:space="preserve">9 </t>
  </si>
  <si>
    <t xml:space="preserve">2.9.6-1355.1789 </t>
  </si>
  <si>
    <t xml:space="preserve">CARTUCHOS DE TINTA; CODIGO: 35A, USO: HEWLETT PACKARD </t>
  </si>
  <si>
    <t xml:space="preserve">CARTUCHOS DE TONER 85A-35A-36A USO: HP LASER JET 1505- CARTUCHO 
DE TONER ALTERNATIVO- COLOR: NEGRO - MARCA: GNEISS  </t>
  </si>
  <si>
    <t xml:space="preserve">toner alternativo </t>
  </si>
  <si>
    <t xml:space="preserve">10 </t>
  </si>
  <si>
    <t xml:space="preserve">2.9.6-401.2228 </t>
  </si>
  <si>
    <t xml:space="preserve">CARTUCHOS DE TONER; CODIGO: CF217A, USO: HP LASERJET MFP </t>
  </si>
  <si>
    <t xml:space="preserve">CARTUCHOS DE TONER; CODIGO: CF217A, USO: HP LASERJET MFP- CARTUCHO 
DE TONER ALTERNATIVO- COLOR: NEGRO - MARCA: GNEISS  </t>
  </si>
  <si>
    <t xml:space="preserve">TONER P/HP M102W- N° 17A- NEGRO- ALTERNATIVO-MARCA: GLOBAL  </t>
  </si>
  <si>
    <t xml:space="preserve">11 </t>
  </si>
  <si>
    <t xml:space="preserve">2.9.6-401.1486 </t>
  </si>
  <si>
    <t xml:space="preserve">CARTUCHOS DE TONER; CODIGO: HP 53A, USO: HP </t>
  </si>
  <si>
    <t xml:space="preserve">CARTUCHO DE TONER HP 53A, CARTUCHO DE TONER ALTERNATIVO, COLOR: 
NEGRO, MARCA: GNEISS </t>
  </si>
  <si>
    <t xml:space="preserve">TONER P/HP N° 53A- NEGRO- ALTERNATIVO- MARCA: GLOBAL  </t>
  </si>
  <si>
    <t xml:space="preserve">12 </t>
  </si>
  <si>
    <t xml:space="preserve">2.9.6-401.2377 </t>
  </si>
  <si>
    <t xml:space="preserve">CARTUCHOS DE TONER; CODIGO: CF279A, USO: HEWLETT PACKARD </t>
  </si>
  <si>
    <t xml:space="preserve">CARTUCHOS DE TONER; CODIGO: CF279A, USO: HEWLETT PACKARD- CARTUCHO DE 
TONER ALTERNATIVO- COLOR: NEGRO - MARCA: GNEISS  </t>
  </si>
  <si>
    <t xml:space="preserve">TONER P/HP N° 79A- NEGRO-ALTERNATIVO - MARCA: GLOBAL  </t>
  </si>
  <si>
    <t xml:space="preserve">13 </t>
  </si>
  <si>
    <t xml:space="preserve">2.9.6-401.1563 </t>
  </si>
  <si>
    <t xml:space="preserve">CARTUCHOS DE TONER; CODIGO: HP 85A, USO: HP </t>
  </si>
  <si>
    <t xml:space="preserve">CARTUCHOS DE TONER; CODIGO: CE285A, USO: HEWLETT PACKARD- CARTUCHO DE 
TONER ALTERNATIVO - COLOR: NEGRO -MARCA: GNEISS  </t>
  </si>
  <si>
    <t xml:space="preserve">TONER ALTERNATIVO </t>
  </si>
  <si>
    <t xml:space="preserve">TONER P/HP N° 85A- NEGRO- ALTERNATIVO- MARCA: GLOBAL  </t>
  </si>
  <si>
    <t xml:space="preserve">14 </t>
  </si>
  <si>
    <t xml:space="preserve">2.9.6-401.1282 </t>
  </si>
  <si>
    <t xml:space="preserve">CARTUCHOS DE TONER; CODIGO: CE505A, USO: HEWLETT PACKARD </t>
  </si>
  <si>
    <t xml:space="preserve">CARTUCHOS DE TONER 05A- 80A COMPATIBLE CON CARTUCHO DE TONER; 
CODIGO: P2035N, USO: HEWLETT PACKARD- CARTUCHO DE TONER ALTERNATIVO - 
COLOR: NEGRO . MARCA: GNEISS  </t>
  </si>
  <si>
    <t xml:space="preserve">TONER ALTERNATIVA </t>
  </si>
  <si>
    <t xml:space="preserve">TONER P/HP N° 05A- NEGRO- ALTERNATIVO-MARCA: GNEISS  </t>
  </si>
  <si>
    <t xml:space="preserve">15 </t>
  </si>
  <si>
    <t xml:space="preserve">2.9.6-401.1442 </t>
  </si>
  <si>
    <t xml:space="preserve">CARTUCHOS DE TONER; CODIGO: 42A, USO: HEWLETT PACKARD </t>
  </si>
  <si>
    <t xml:space="preserve">CARTUCHO DE TONER P/HP N° 42A- COLOR: NEGRO- CARTUCHO DE 
TONER ALTERNATIVO- MARCA: GNEISS  </t>
  </si>
  <si>
    <t xml:space="preserve">TONER P/HP N° 42A- NEGRO- ALTERNATIVO- MARCA: GLOBAL  </t>
  </si>
  <si>
    <t xml:space="preserve">16 </t>
  </si>
  <si>
    <t xml:space="preserve">2.9.6-1355.1988 </t>
  </si>
  <si>
    <t xml:space="preserve">CARTUCHOS DE TINTA; CODIGO: 664, USO: HEWLET PACKARD </t>
  </si>
  <si>
    <t xml:space="preserve">CARTUCHOS DE TINTA; CODIGO: 664, USO: HEWLET PACKARD- CARTCHO DE 
TONER ALTERNATIVO - COLOR: NEGRO- MARCA: GLOBAL   </t>
  </si>
  <si>
    <t xml:space="preserve">TINTA ALTERNATIVA </t>
  </si>
  <si>
    <t xml:space="preserve">17 </t>
  </si>
  <si>
    <t xml:space="preserve">CARTUCHOS DE TINTA; CODIGO: 664, USO: HEWLET PACKARD- CARTUCHO DE 
TONER ALTERNATIVO COLOR: TRICOLOR- MARCA: GLOBAL  </t>
  </si>
  <si>
    <t xml:space="preserve">18 </t>
  </si>
  <si>
    <t xml:space="preserve">2.9.6-401.1289 </t>
  </si>
  <si>
    <t xml:space="preserve">CARTUCHOS DE TONER; CODIGO: T 1640, USO: TOSHIBA ESTUDIO 166 
</t>
  </si>
  <si>
    <t xml:space="preserve">CARTUCHO DE TONER P/FOTOCOPIADORA 108 SAMSUNG COMPATIBLE CON TOSHIBA E- 
STUDIO T-1640- COLOR: NEGRO- CARTUCHO DE TONER ALTERNATIVO- MARCA: GENEISS 
</t>
  </si>
  <si>
    <t xml:space="preserve">19 </t>
  </si>
  <si>
    <t xml:space="preserve">2.9.6-401.2045 </t>
  </si>
  <si>
    <t xml:space="preserve">CARTUCHOS DE TONER; CODIGO: TN 1060, USO: BROTHER </t>
  </si>
  <si>
    <t xml:space="preserve">CARTUCHOS DE TONER; CODIGO: TN 1060, USO: BROTHER- CARTUCHO DE 
TONER ALTERNATIVO COLOR: NEGRO - MARCA: GLOBAL  </t>
  </si>
  <si>
    <t xml:space="preserve">20 </t>
  </si>
  <si>
    <t xml:space="preserve">2.9.6-401.1765 </t>
  </si>
  <si>
    <t xml:space="preserve">CARTUCHOS DE TONER; CODIGO: 106R01531, USO: XEROX </t>
  </si>
  <si>
    <t xml:space="preserve">21 </t>
  </si>
  <si>
    <t xml:space="preserve">2.9.6-1355.1368 </t>
  </si>
  <si>
    <t xml:space="preserve">CARTUCHOS DE TINTA; CODIGO: 840C 6615, USO: HEWLETT PACKARD </t>
  </si>
  <si>
    <t xml:space="preserve">CARTUCHOS DE TINTA 15XL;COMPATIBLE CON CODIGO: 840C 6615, USO: HEWLETT 
PACKARD- COLOR: NEGRO- CARTUCHO DE TONER ALTERNATIVO- MARCA: GNEISS  
</t>
  </si>
  <si>
    <t xml:space="preserve">22 </t>
  </si>
  <si>
    <t xml:space="preserve">2.9.6-1355.1369 </t>
  </si>
  <si>
    <t xml:space="preserve">CARTUCHOS DE TINTA; CODIGO: 840C 6625, USO: DESK JET  
</t>
  </si>
  <si>
    <t xml:space="preserve">CARTUCHOS DE TINTA 17XL; COMPATIBLE CON CODIGO: 840C 6625, USO: 
DESK JET - COLOR: COLOR- CARTUCHO DE TINTA ALTERNATIVO- MARCA: 
GNEISS  </t>
  </si>
  <si>
    <t xml:space="preserve">23 </t>
  </si>
  <si>
    <t xml:space="preserve">2.9.6-1355.1409 </t>
  </si>
  <si>
    <t xml:space="preserve">CARTUCHOS DE TINTA; CODIGO: HP 21, USO: HEWLETT PACKARD </t>
  </si>
  <si>
    <t xml:space="preserve">CARTUCHOS DE TINTA; CODIGO: HP 21, USO: HEWLETT PACKARD- COLOR: 
NEGRO- CARTUCHO DE TINTA ALTERNATIVO- MARCA: GNEISS  </t>
  </si>
  <si>
    <t xml:space="preserve">24 </t>
  </si>
  <si>
    <t xml:space="preserve">2.9.6-1355.1140 </t>
  </si>
  <si>
    <t xml:space="preserve">CARTUCHOS DE TINTA; CODIGO: C9352AL, DESCRIPCION: SIN VALOR, COLOR: SIN 
VALOR, USO: HEWLETT PACKARD </t>
  </si>
  <si>
    <t xml:space="preserve">CARTUCHOS DE TINTA 22XL;COMPATIBLE CON CODIGO: C9352AL, HEWLETT PACKARD- COLOR:COLOR- 
CARTUCHO DE TINTA ALTERNATIVO- MARCA: GNEISS  </t>
  </si>
  <si>
    <t xml:space="preserve">25 </t>
  </si>
  <si>
    <t xml:space="preserve">2.9.6-401.2193 </t>
  </si>
  <si>
    <t xml:space="preserve">CARTUCHOS DE TONER; CODIGO: SP 310 DNW, USO: LASER RICOH 
</t>
  </si>
  <si>
    <t xml:space="preserve">CARTUCHOS DE TONER; CODIGO: SP 310 DNW, USO: LASER RICOH- 
CARTUCHO DE TONER ORIGINAL, MARCA: RICOH  </t>
  </si>
  <si>
    <t xml:space="preserve">26 </t>
  </si>
  <si>
    <t xml:space="preserve">2.9.6-401.932 </t>
  </si>
  <si>
    <t xml:space="preserve">CARTUCHOS DE TONER; CODIGO: Q7551A, COLOR: NEGRO, DESCRIPCION: CARTUCHO TONER, 
USO: HEWLETT PACKARD </t>
  </si>
  <si>
    <t xml:space="preserve">CARTUCHOS DE TONER Q7551A, NEGRO, HEWLETT PACKARD, CARTUCHO DE TONER 
ORIGINAL, MARCA: HP  </t>
  </si>
  <si>
    <t xml:space="preserve">TONER ORIGINAL </t>
  </si>
  <si>
    <t xml:space="preserve">27 </t>
  </si>
  <si>
    <t xml:space="preserve">2.9.6-401.2024 </t>
  </si>
  <si>
    <t xml:space="preserve">CARTUCHOS DE TONER; CODIGO: MLT-D111S, USO: SAMSUNG </t>
  </si>
  <si>
    <t xml:space="preserve">CARTUCHOS DE TONER; CODIGO: MLT-D111S, USO: SAMSUNG,NEGRO- CARTUCHO DE TONER 
ORIGINAL, MARCA: SAMSUNG  </t>
  </si>
  <si>
    <t xml:space="preserve">28 </t>
  </si>
  <si>
    <t xml:space="preserve">2.9.6-401.2093 </t>
  </si>
  <si>
    <t xml:space="preserve">CARTUCHOS DE TONER; CODIGO: SP5210DN, USO: LANIER RICOH </t>
  </si>
  <si>
    <t xml:space="preserve">29 </t>
  </si>
  <si>
    <t xml:space="preserve">2.9.6-1355.1631 </t>
  </si>
  <si>
    <t xml:space="preserve">CARTUCHOS DE TINTA; CODIGO: CH561HL, USO: HEWLETT PACKARD </t>
  </si>
  <si>
    <t xml:space="preserve">CARTUCHOS DE TINTA 122XL;COMPATIBLE CON CODIGO: CH561HL, USO: HEWLETT PACKARD, 
COLOR: NEGRO, CARTUCHO DE TINTA ALTERNATIVO-MARCA: GNEISS  </t>
  </si>
  <si>
    <t xml:space="preserve">TINTA ORIGINAL </t>
  </si>
  <si>
    <t xml:space="preserve">30 </t>
  </si>
  <si>
    <t xml:space="preserve">2.9.6-1355.1630 </t>
  </si>
  <si>
    <t xml:space="preserve">CARTUCHOS DE TINTA; CODIGO: CH562HL, USO: HEWLETT PACKARD </t>
  </si>
  <si>
    <t xml:space="preserve">CARTUCHOS DE TINTA 122XL;COMPATIBLE CON CODIGO: CH562HL, USO: HEWLETT PACKARD, 
COLOR: COLOR- CARTUCHO DE TINTA ALTERNATIVO - MARCA: GNEISS  
</t>
  </si>
  <si>
    <t xml:space="preserve">TINTA ORIGINA </t>
  </si>
  <si>
    <t xml:space="preserve">31 </t>
  </si>
  <si>
    <t xml:space="preserve">2.9.6-401.1172 </t>
  </si>
  <si>
    <t xml:space="preserve">CARTUCHOS DE TONER; CODIGO: CC364A, USO: HEWLETT PACKARD </t>
  </si>
  <si>
    <t xml:space="preserve">CARTUCHOS DE TONER; CODIGO: CC364A, USO: HEWLETT PACKARD- CARTUCHO DE 
TONER ORIGINAL, MARCA: HP  </t>
  </si>
  <si>
    <t xml:space="preserve">32 </t>
  </si>
  <si>
    <t xml:space="preserve">2.9.6-1355.1808 </t>
  </si>
  <si>
    <t xml:space="preserve">CARTUCHOS DE TINTA; CODIGO: HP662, USO: HP </t>
  </si>
  <si>
    <t xml:space="preserve">CARTUCHOS DE TINTA; CODIGO: HP662, USO: HP- CARTUCHO DE TINTA 
ALTERNATIVO- COLOR: NEGRO- MARCA: GLOBAL  </t>
  </si>
  <si>
    <t xml:space="preserve">33 </t>
  </si>
  <si>
    <t xml:space="preserve">CARTUCHOS DE TINTA; CODIGO: HP662, USO: HP- CARTUCHO DE TINTA 
ALTERNATIVO- COLOR: TRICOLOR- MARCA: GLOBAL  </t>
  </si>
  <si>
    <t xml:space="preserve">34 </t>
  </si>
  <si>
    <t xml:space="preserve">2.9.6-401.2128 </t>
  </si>
  <si>
    <t xml:space="preserve">CARTUCHOS DE TONER; CODIGO: CF226A, USO: HEWLETT PACKARD </t>
  </si>
  <si>
    <t xml:space="preserve">CARTUCHOS DE TONER; CODIGO: CF226A, USO: HEWLETT PACKARD- CARTUCHO DE 
TINTA ALTERNATIVO- COLOR: NEGRO- MARCA: GNEISS  </t>
  </si>
  <si>
    <t xml:space="preserve">TONER ALTERN </t>
  </si>
  <si>
    <t xml:space="preserve">35 </t>
  </si>
  <si>
    <t xml:space="preserve">2.9.6-401.1136 </t>
  </si>
  <si>
    <t xml:space="preserve">CARTUCHOS DE TONER; CODIGO: T1200, USO: TOSHIBA </t>
  </si>
  <si>
    <t xml:space="preserve">36 </t>
  </si>
  <si>
    <t xml:space="preserve">2.9.6-401.2379 </t>
  </si>
  <si>
    <t xml:space="preserve">CARTUCHOS DE TONER; CODIGO: T-4530A, USO: TOSHIBA </t>
  </si>
  <si>
    <t xml:space="preserve">37 </t>
  </si>
  <si>
    <t xml:space="preserve">2.9.6-401.2328 </t>
  </si>
  <si>
    <t xml:space="preserve">CARTUCHOS DE TONER; CODIGO: 74710U, USO: TOSHIBA </t>
  </si>
  <si>
    <t xml:space="preserve">38 </t>
  </si>
  <si>
    <t xml:space="preserve">2.9.6-401.2161 </t>
  </si>
  <si>
    <t xml:space="preserve">CARTUCHOS DE TONER; CODIGO: 841768, USO: RICOH </t>
  </si>
  <si>
    <t xml:space="preserve">CARTUCHOS DE TONER RICOH AFICIO MP 2001 2501 TYPE COMPATIBLE 
CON CODIGO: 841768, USO: RICOH- CARTUCHO DE TONER ORIGINAL,MARCA: RICOH 
 </t>
  </si>
  <si>
    <t xml:space="preserve">39 </t>
  </si>
  <si>
    <t xml:space="preserve">2.9.6-401.2285 </t>
  </si>
  <si>
    <t xml:space="preserve">CARTUCHOS DE TONER; CODIGO: MP 301, USO: RICOH </t>
  </si>
  <si>
    <t xml:space="preserve">CARTUCHOS DE TONER; CODIGO: MP 301, USO: RICOH- CARTUCHO DE 
TONER ORIGINAL, MARCA: RICOH  </t>
  </si>
  <si>
    <t xml:space="preserve">40 </t>
  </si>
  <si>
    <t xml:space="preserve">2.9.6-401.2380 </t>
  </si>
  <si>
    <t xml:space="preserve">CARTUCHOS DE TONER; CODIGO: 408284, USO: RICOH </t>
  </si>
  <si>
    <t xml:space="preserve">CARTUCHOS DE TONER RICOH SP 3710 SF/3710 DN COMPATIBLE CON 
CODIGO: 408284, USO: RICOH- CARTUCHO DE TONER ORIGINAL, MARCA: RICOH 
 </t>
  </si>
  <si>
    <t xml:space="preserve">41 </t>
  </si>
  <si>
    <t xml:space="preserve">2.9.6-1355.1114 </t>
  </si>
  <si>
    <t xml:space="preserve">CARTUCHOS DE TINTA; CODIGO: HP74, DESCRIPCION: CARTUCHO DE TINTA, COLOR: 
NEGRO, USO: HEWLETT PACKARD </t>
  </si>
  <si>
    <t xml:space="preserve">CARTUCHOS DE TINTA HP74, NEGRO,HEWLETT PACKARD, CARTUCHO DE TINTA ALTERNATIVO, 
COLOR: NEGRO, MARCA: GNEISS  </t>
  </si>
  <si>
    <t xml:space="preserve">42 </t>
  </si>
  <si>
    <t xml:space="preserve">2.9.6-1355.1113 </t>
  </si>
  <si>
    <t xml:space="preserve">CARTUCHOS DE TINTA; CODIGO: HP75, DESCRIPCION: CARTUCHO DE TINTA, COLOR: 
TRICOLOR, USO: HEWLETT PACKARD </t>
  </si>
  <si>
    <t xml:space="preserve">CARTUCHOS DE TINTA HP75, TRICOLOR,HEWLETT PACKARD, CARTUCHO DE TINTA ALTERNATIVO, 
COLOR: COLOR- MARCA: GNEISS  </t>
  </si>
  <si>
    <t xml:space="preserve">43 </t>
  </si>
  <si>
    <t xml:space="preserve">2.9.6-401.1362 </t>
  </si>
  <si>
    <t xml:space="preserve">CARTUCHOS DE TONER; CODIGO: CE285A, USO: HEWLETT PACKARD </t>
  </si>
  <si>
    <t xml:space="preserve">CARTUCHOS DE TONER; CODIGO: CE285A, USO: HEWLETT PACKARD- CARTUCHO DE 
TONER ALTERNATIVO- COLOR: NEGRO -MARCA: GNEISS  </t>
  </si>
  <si>
    <t xml:space="preserve">TONER ALTER </t>
  </si>
  <si>
    <t xml:space="preserve">44 </t>
  </si>
  <si>
    <t xml:space="preserve">2.9.6-401.1859 </t>
  </si>
  <si>
    <t xml:space="preserve">CARTUCHOS DE TONER; CODIGO: MLT-D101S, USO: SAMSUNG 2165 </t>
  </si>
  <si>
    <t xml:space="preserve">CARTUCHOS DE TONER; CODIGO: MLT-D101S, USO: SAMSUNG 2165, CARTUCHO DE 
TONER ALTERNATIVO- COLOR: NEGRO, MARCA: GNEISS  </t>
  </si>
  <si>
    <t xml:space="preserve">45 </t>
  </si>
  <si>
    <t xml:space="preserve">2.9.6-401.2383 </t>
  </si>
  <si>
    <t xml:space="preserve">CARTUCHOS DE TONER; CODIGO: EDP CODE 817222, USO: DUPLICADORA RICOH 
</t>
  </si>
  <si>
    <t xml:space="preserve">46 </t>
  </si>
  <si>
    <t xml:space="preserve">2.9.6-3365.85 </t>
  </si>
  <si>
    <t xml:space="preserve">REP. Y ACC. P/IMPRENTA; REPUESTO: MASTER, USO: RICOH </t>
  </si>
  <si>
    <t xml:space="preserve">MASTER PARA DUPLICADORA RICOH - PRIPORT MASTER DX 2430 - 
ORIGINAL - MARCA: RICOH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</si>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</sst>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56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56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56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56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81.85546875" customWidth="1"/>
    <col min="5" max="5" width="55.855468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9.42578125" customWidth="1"/>
    <col min="11" max="11" width="14.28515625" customWidth="1"/>
    <col min="12" max="12" width="17.28515625" customWidth="1"/>
    <col min="13" max="13" width="16.5703125" customWidth="1"/>
    <col min="14" max="14" width="33.140625" customWidth="1"/>
    <col min="15" max="15" width="14.28515625" customWidth="1"/>
    <col min="16" max="16" width="17.28515625" customWidth="1"/>
    <col min="17" max="17" width="16.5703125" customWidth="1"/>
    <col min="18" max="18" width="62.14062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30" x14ac:dyDescent="0.25">
      <c r="A10" t="s">
        <v>23</v>
      </c>
      <c r="B10" t="s">
        <v>23</v>
      </c>
      <c r="C10" t="s">
        <v>24</v>
      </c>
      <c r="D10" t="s">
        <v>25</v>
      </c>
      <c r="E10">
        <v>5</v>
      </c>
      <c r="F10" t="s">
        <v>26</v>
      </c>
      <c r="G10" s="3">
        <v>16640</v>
      </c>
      <c r="H10" s="3">
        <v>5</v>
      </c>
      <c r="I10" s="4">
        <v>83200</v>
      </c>
      <c r="J10" s="5" t="s">
        <v>27</v>
      </c>
      <c r="K10" s="3">
        <v>24900</v>
      </c>
      <c r="L10" s="3">
        <v>5</v>
      </c>
      <c r="M10" s="4">
        <v>124500</v>
      </c>
      <c r="N10" t="s">
        <v>28</v>
      </c>
      <c r="O10" s="3"/>
      <c r="P10" s="3"/>
      <c r="Q10" s="4"/>
    </row>
    <row r="11" spans="1:18" ht="30" x14ac:dyDescent="0.25">
      <c r="A11" t="s">
        <v>29</v>
      </c>
      <c r="B11" t="s">
        <v>23</v>
      </c>
      <c r="C11" t="s">
        <v>30</v>
      </c>
      <c r="D11" t="s">
        <v>31</v>
      </c>
      <c r="E11">
        <v>2</v>
      </c>
      <c r="F11" t="s">
        <v>26</v>
      </c>
      <c r="G11" s="3">
        <v>8792</v>
      </c>
      <c r="H11" s="3">
        <v>2</v>
      </c>
      <c r="I11" s="4">
        <v>17584</v>
      </c>
      <c r="J11" s="5" t="s">
        <v>32</v>
      </c>
      <c r="K11" s="3">
        <v>9900</v>
      </c>
      <c r="L11" s="3">
        <v>2</v>
      </c>
      <c r="M11" s="4">
        <v>19800</v>
      </c>
      <c r="N11" t="s">
        <v>33</v>
      </c>
      <c r="O11" s="3"/>
      <c r="P11" s="3"/>
      <c r="Q11" s="4"/>
    </row>
    <row r="12" spans="1:18" x14ac:dyDescent="0.25">
      <c r="A12" t="s">
        <v>34</v>
      </c>
      <c r="B12" t="s">
        <v>23</v>
      </c>
      <c r="C12" t="s">
        <v>30</v>
      </c>
      <c r="D12" t="s">
        <v>31</v>
      </c>
      <c r="E12">
        <v>2</v>
      </c>
      <c r="F12" t="s">
        <v>26</v>
      </c>
      <c r="G12" s="3">
        <v>8792</v>
      </c>
      <c r="H12" s="3">
        <v>2</v>
      </c>
      <c r="I12" s="4">
        <v>17584</v>
      </c>
      <c r="J12" t="s">
        <v>35</v>
      </c>
      <c r="K12" s="3">
        <v>9900</v>
      </c>
      <c r="L12" s="3">
        <v>2</v>
      </c>
      <c r="M12" s="4">
        <v>19800</v>
      </c>
      <c r="N12" t="s">
        <v>33</v>
      </c>
      <c r="O12" s="3"/>
      <c r="P12" s="3"/>
      <c r="Q12" s="4"/>
    </row>
    <row r="13" spans="1:18" ht="30" x14ac:dyDescent="0.25">
      <c r="A13" t="s">
        <v>36</v>
      </c>
      <c r="B13" t="s">
        <v>23</v>
      </c>
      <c r="C13" t="s">
        <v>37</v>
      </c>
      <c r="D13" t="s">
        <v>38</v>
      </c>
      <c r="E13">
        <v>2</v>
      </c>
      <c r="F13" t="s">
        <v>26</v>
      </c>
      <c r="G13" s="3">
        <v>2480</v>
      </c>
      <c r="H13" s="3">
        <v>2</v>
      </c>
      <c r="I13" s="4">
        <v>4960</v>
      </c>
      <c r="J13" s="5" t="s">
        <v>39</v>
      </c>
      <c r="K13" s="3">
        <v>2750</v>
      </c>
      <c r="L13" s="3">
        <v>2</v>
      </c>
      <c r="M13" s="4">
        <v>5500</v>
      </c>
      <c r="N13" t="s">
        <v>33</v>
      </c>
      <c r="O13" s="3"/>
      <c r="P13" s="3"/>
      <c r="Q13" s="4"/>
    </row>
    <row r="14" spans="1:18" ht="30" x14ac:dyDescent="0.25">
      <c r="A14" t="s">
        <v>40</v>
      </c>
      <c r="B14" t="s">
        <v>23</v>
      </c>
      <c r="C14" t="s">
        <v>41</v>
      </c>
      <c r="D14" t="s">
        <v>42</v>
      </c>
      <c r="E14">
        <v>2</v>
      </c>
      <c r="F14" t="s">
        <v>26</v>
      </c>
      <c r="G14" s="3">
        <v>2480</v>
      </c>
      <c r="H14" s="3">
        <v>2</v>
      </c>
      <c r="I14" s="4">
        <v>4960</v>
      </c>
      <c r="J14" s="5" t="s">
        <v>43</v>
      </c>
      <c r="K14" s="3">
        <v>2750</v>
      </c>
      <c r="L14" s="3">
        <v>2</v>
      </c>
      <c r="M14" s="4">
        <v>5500</v>
      </c>
      <c r="N14" t="s">
        <v>33</v>
      </c>
      <c r="O14" s="3"/>
      <c r="P14" s="3"/>
      <c r="Q14" s="4"/>
    </row>
    <row r="15" spans="1:18" ht="30" x14ac:dyDescent="0.25">
      <c r="A15" t="s">
        <v>44</v>
      </c>
      <c r="B15" t="s">
        <v>23</v>
      </c>
      <c r="C15" t="s">
        <v>45</v>
      </c>
      <c r="D15" t="s">
        <v>46</v>
      </c>
      <c r="E15">
        <v>2</v>
      </c>
      <c r="F15" t="s">
        <v>26</v>
      </c>
      <c r="G15" s="3">
        <v>2480</v>
      </c>
      <c r="H15" s="3">
        <v>2</v>
      </c>
      <c r="I15" s="4">
        <v>4960</v>
      </c>
      <c r="J15" s="5" t="s">
        <v>47</v>
      </c>
      <c r="K15" s="3">
        <v>2750</v>
      </c>
      <c r="L15" s="3">
        <v>2</v>
      </c>
      <c r="M15" s="4">
        <v>5500</v>
      </c>
      <c r="N15" t="s">
        <v>33</v>
      </c>
      <c r="O15" s="3"/>
      <c r="P15" s="3"/>
      <c r="Q15" s="4"/>
    </row>
    <row r="16" spans="1:18" ht="30" x14ac:dyDescent="0.25">
      <c r="A16" t="s">
        <v>48</v>
      </c>
      <c r="B16" t="s">
        <v>23</v>
      </c>
      <c r="C16" t="s">
        <v>49</v>
      </c>
      <c r="D16" t="s">
        <v>50</v>
      </c>
      <c r="E16">
        <v>2</v>
      </c>
      <c r="F16" t="s">
        <v>26</v>
      </c>
      <c r="G16" s="3">
        <v>2480</v>
      </c>
      <c r="H16" s="3">
        <v>2</v>
      </c>
      <c r="I16" s="4">
        <v>4960</v>
      </c>
      <c r="J16" s="5" t="s">
        <v>51</v>
      </c>
      <c r="K16" s="3">
        <v>2750</v>
      </c>
      <c r="L16" s="3">
        <v>2</v>
      </c>
      <c r="M16" s="4">
        <v>5500</v>
      </c>
      <c r="N16" t="s">
        <v>33</v>
      </c>
      <c r="O16" s="3"/>
      <c r="P16" s="3"/>
      <c r="Q16" s="4"/>
    </row>
    <row r="17" spans="1:18" ht="30" x14ac:dyDescent="0.25">
      <c r="A17" t="s">
        <v>52</v>
      </c>
      <c r="B17" t="s">
        <v>23</v>
      </c>
      <c r="C17" t="s">
        <v>53</v>
      </c>
      <c r="D17" t="s">
        <v>54</v>
      </c>
      <c r="E17">
        <v>30</v>
      </c>
      <c r="F17" t="s">
        <v>26</v>
      </c>
      <c r="G17" s="3">
        <v>3080</v>
      </c>
      <c r="H17" s="3">
        <v>30</v>
      </c>
      <c r="I17" s="4">
        <v>92400</v>
      </c>
      <c r="J17" s="5" t="s">
        <v>55</v>
      </c>
      <c r="K17" s="3">
        <v>13900</v>
      </c>
      <c r="L17" s="3">
        <v>30</v>
      </c>
      <c r="M17" s="4">
        <v>417000</v>
      </c>
      <c r="N17" t="s">
        <v>56</v>
      </c>
      <c r="O17" s="3">
        <v>1900</v>
      </c>
      <c r="P17" s="3">
        <v>30</v>
      </c>
      <c r="Q17" s="4">
        <v>57000</v>
      </c>
      <c r="R17" t="s">
        <v>57</v>
      </c>
    </row>
    <row r="18" spans="1:18" ht="30" x14ac:dyDescent="0.25">
      <c r="A18" t="s">
        <v>58</v>
      </c>
      <c r="B18" t="s">
        <v>23</v>
      </c>
      <c r="C18" t="s">
        <v>59</v>
      </c>
      <c r="D18" t="s">
        <v>60</v>
      </c>
      <c r="E18">
        <v>1</v>
      </c>
      <c r="F18" t="s">
        <v>26</v>
      </c>
      <c r="G18" s="3">
        <v>1350</v>
      </c>
      <c r="H18" s="3">
        <v>1</v>
      </c>
      <c r="I18" s="4">
        <v>1350</v>
      </c>
      <c r="J18" s="5" t="s">
        <v>61</v>
      </c>
      <c r="K18" s="3">
        <v>1450</v>
      </c>
      <c r="L18" s="3">
        <v>1</v>
      </c>
      <c r="M18" s="4">
        <v>1450</v>
      </c>
      <c r="N18" t="s">
        <v>62</v>
      </c>
      <c r="O18" s="3"/>
      <c r="P18" s="3"/>
      <c r="Q18" s="4"/>
    </row>
    <row r="19" spans="1:18" ht="30" x14ac:dyDescent="0.25">
      <c r="A19" t="s">
        <v>63</v>
      </c>
      <c r="B19" t="s">
        <v>23</v>
      </c>
      <c r="C19" t="s">
        <v>64</v>
      </c>
      <c r="D19" t="s">
        <v>65</v>
      </c>
      <c r="E19">
        <v>15</v>
      </c>
      <c r="F19" t="s">
        <v>26</v>
      </c>
      <c r="G19" s="3">
        <v>1510</v>
      </c>
      <c r="H19" s="3">
        <v>15</v>
      </c>
      <c r="I19" s="4">
        <v>22650</v>
      </c>
      <c r="J19" s="5" t="s">
        <v>66</v>
      </c>
      <c r="K19" s="3">
        <v>32500</v>
      </c>
      <c r="L19" s="3">
        <v>15</v>
      </c>
      <c r="M19" s="4">
        <v>487500</v>
      </c>
      <c r="N19" t="s">
        <v>56</v>
      </c>
      <c r="O19" s="3">
        <v>1860</v>
      </c>
      <c r="P19" s="3">
        <v>15</v>
      </c>
      <c r="Q19" s="4">
        <v>27900</v>
      </c>
      <c r="R19" t="s">
        <v>67</v>
      </c>
    </row>
    <row r="20" spans="1:18" ht="30" x14ac:dyDescent="0.25">
      <c r="A20" t="s">
        <v>68</v>
      </c>
      <c r="B20" t="s">
        <v>23</v>
      </c>
      <c r="C20" t="s">
        <v>69</v>
      </c>
      <c r="D20" t="s">
        <v>70</v>
      </c>
      <c r="E20">
        <v>35</v>
      </c>
      <c r="F20" t="s">
        <v>26</v>
      </c>
      <c r="G20" s="3">
        <v>2500</v>
      </c>
      <c r="H20" s="3">
        <v>35</v>
      </c>
      <c r="I20" s="4">
        <v>87500</v>
      </c>
      <c r="J20" s="5" t="s">
        <v>71</v>
      </c>
      <c r="K20" s="3">
        <v>1990</v>
      </c>
      <c r="L20" s="3">
        <v>35</v>
      </c>
      <c r="M20" s="4">
        <v>69650</v>
      </c>
      <c r="N20" t="s">
        <v>62</v>
      </c>
      <c r="O20" s="3">
        <v>2850</v>
      </c>
      <c r="P20" s="3">
        <v>35</v>
      </c>
      <c r="Q20" s="4">
        <v>99750</v>
      </c>
      <c r="R20" t="s">
        <v>72</v>
      </c>
    </row>
    <row r="21" spans="1:18" ht="30" x14ac:dyDescent="0.25">
      <c r="A21" t="s">
        <v>73</v>
      </c>
      <c r="B21" t="s">
        <v>23</v>
      </c>
      <c r="C21" t="s">
        <v>74</v>
      </c>
      <c r="D21" t="s">
        <v>75</v>
      </c>
      <c r="E21">
        <v>55</v>
      </c>
      <c r="F21" t="s">
        <v>26</v>
      </c>
      <c r="G21" s="3">
        <v>1415</v>
      </c>
      <c r="H21" s="3">
        <v>55</v>
      </c>
      <c r="I21" s="4">
        <v>77825</v>
      </c>
      <c r="J21" s="5" t="s">
        <v>76</v>
      </c>
      <c r="K21" s="3">
        <v>1450</v>
      </c>
      <c r="L21" s="3">
        <v>55</v>
      </c>
      <c r="M21" s="4">
        <v>79750</v>
      </c>
      <c r="N21" t="s">
        <v>62</v>
      </c>
      <c r="O21" s="3">
        <v>1980</v>
      </c>
      <c r="P21" s="3">
        <v>55</v>
      </c>
      <c r="Q21" s="4">
        <v>108900</v>
      </c>
      <c r="R21" t="s">
        <v>77</v>
      </c>
    </row>
    <row r="22" spans="1:18" ht="30" x14ac:dyDescent="0.25">
      <c r="A22" t="s">
        <v>78</v>
      </c>
      <c r="B22" t="s">
        <v>23</v>
      </c>
      <c r="C22" t="s">
        <v>79</v>
      </c>
      <c r="D22" t="s">
        <v>80</v>
      </c>
      <c r="E22">
        <v>35</v>
      </c>
      <c r="F22" t="s">
        <v>26</v>
      </c>
      <c r="G22" s="3">
        <v>1530</v>
      </c>
      <c r="H22" s="3">
        <v>35</v>
      </c>
      <c r="I22" s="4">
        <v>53550</v>
      </c>
      <c r="J22" s="5" t="s">
        <v>81</v>
      </c>
      <c r="K22" s="3">
        <v>1450</v>
      </c>
      <c r="L22" s="3">
        <v>35</v>
      </c>
      <c r="M22" s="4">
        <v>50750</v>
      </c>
      <c r="N22" t="s">
        <v>82</v>
      </c>
      <c r="O22" s="3">
        <v>1760</v>
      </c>
      <c r="P22" s="3">
        <v>35</v>
      </c>
      <c r="Q22" s="4">
        <v>61600</v>
      </c>
      <c r="R22" t="s">
        <v>83</v>
      </c>
    </row>
    <row r="23" spans="1:18" ht="45" x14ac:dyDescent="0.25">
      <c r="A23" t="s">
        <v>84</v>
      </c>
      <c r="B23" t="s">
        <v>23</v>
      </c>
      <c r="C23" t="s">
        <v>85</v>
      </c>
      <c r="D23" t="s">
        <v>86</v>
      </c>
      <c r="E23">
        <v>50</v>
      </c>
      <c r="F23" t="s">
        <v>26</v>
      </c>
      <c r="G23" s="3">
        <v>2000</v>
      </c>
      <c r="H23" s="3">
        <v>50</v>
      </c>
      <c r="I23" s="4">
        <v>100000</v>
      </c>
      <c r="J23" s="5" t="s">
        <v>87</v>
      </c>
      <c r="K23" s="3">
        <v>1990</v>
      </c>
      <c r="L23" s="3">
        <v>50</v>
      </c>
      <c r="M23" s="4">
        <v>99500</v>
      </c>
      <c r="N23" t="s">
        <v>88</v>
      </c>
      <c r="O23" s="3">
        <v>2230</v>
      </c>
      <c r="P23" s="3">
        <v>50</v>
      </c>
      <c r="Q23" s="4">
        <v>111500</v>
      </c>
      <c r="R23" t="s">
        <v>89</v>
      </c>
    </row>
    <row r="24" spans="1:18" ht="30" x14ac:dyDescent="0.25">
      <c r="A24" t="s">
        <v>90</v>
      </c>
      <c r="B24" t="s">
        <v>23</v>
      </c>
      <c r="C24" t="s">
        <v>91</v>
      </c>
      <c r="D24" t="s">
        <v>92</v>
      </c>
      <c r="E24">
        <v>8</v>
      </c>
      <c r="F24" t="s">
        <v>26</v>
      </c>
      <c r="G24" s="3">
        <v>7640</v>
      </c>
      <c r="H24" s="3">
        <v>8</v>
      </c>
      <c r="I24" s="4">
        <v>61120</v>
      </c>
      <c r="J24" s="5" t="s">
        <v>93</v>
      </c>
      <c r="K24" s="3">
        <v>9900</v>
      </c>
      <c r="L24" s="3">
        <v>8</v>
      </c>
      <c r="M24" s="4">
        <v>79200</v>
      </c>
      <c r="N24" t="s">
        <v>82</v>
      </c>
      <c r="O24" s="3">
        <v>7900</v>
      </c>
      <c r="P24" s="3">
        <v>8</v>
      </c>
      <c r="Q24" s="4">
        <v>63200</v>
      </c>
      <c r="R24" t="s">
        <v>94</v>
      </c>
    </row>
    <row r="25" spans="1:18" ht="30" x14ac:dyDescent="0.25">
      <c r="A25" t="s">
        <v>95</v>
      </c>
      <c r="B25" t="s">
        <v>23</v>
      </c>
      <c r="C25" t="s">
        <v>96</v>
      </c>
      <c r="D25" t="s">
        <v>97</v>
      </c>
      <c r="E25">
        <v>29</v>
      </c>
      <c r="F25" t="s">
        <v>26</v>
      </c>
      <c r="G25" s="3">
        <v>4150</v>
      </c>
      <c r="H25" s="3">
        <v>29</v>
      </c>
      <c r="I25" s="4">
        <v>120350</v>
      </c>
      <c r="J25" s="5" t="s">
        <v>98</v>
      </c>
      <c r="K25" s="3">
        <v>5250</v>
      </c>
      <c r="L25" s="3">
        <v>29</v>
      </c>
      <c r="M25" s="4">
        <v>152250</v>
      </c>
      <c r="N25" t="s">
        <v>99</v>
      </c>
      <c r="O25" s="3"/>
      <c r="P25" s="3"/>
      <c r="Q25" s="4"/>
    </row>
    <row r="26" spans="1:18" ht="30" x14ac:dyDescent="0.25">
      <c r="A26" t="s">
        <v>100</v>
      </c>
      <c r="B26" t="s">
        <v>23</v>
      </c>
      <c r="C26" t="s">
        <v>96</v>
      </c>
      <c r="D26" t="s">
        <v>97</v>
      </c>
      <c r="E26">
        <v>20</v>
      </c>
      <c r="F26" t="s">
        <v>26</v>
      </c>
      <c r="G26" s="3">
        <v>4060</v>
      </c>
      <c r="H26" s="3">
        <v>20</v>
      </c>
      <c r="I26" s="4">
        <v>81200</v>
      </c>
      <c r="J26" s="5" t="s">
        <v>101</v>
      </c>
      <c r="K26" s="3">
        <v>5250</v>
      </c>
      <c r="L26" s="3">
        <v>20</v>
      </c>
      <c r="M26" s="4">
        <v>105000</v>
      </c>
      <c r="N26" t="s">
        <v>99</v>
      </c>
      <c r="O26" s="3"/>
      <c r="P26" s="3"/>
      <c r="Q26" s="4"/>
    </row>
    <row r="27" spans="1:18" ht="45" x14ac:dyDescent="0.25">
      <c r="A27" t="s">
        <v>102</v>
      </c>
      <c r="B27" t="s">
        <v>23</v>
      </c>
      <c r="C27" t="s">
        <v>103</v>
      </c>
      <c r="D27" s="5" t="s">
        <v>104</v>
      </c>
      <c r="E27">
        <v>7</v>
      </c>
      <c r="F27" t="s">
        <v>26</v>
      </c>
      <c r="G27" s="3">
        <v>2690</v>
      </c>
      <c r="H27" s="3">
        <v>7</v>
      </c>
      <c r="I27" s="4">
        <v>18830</v>
      </c>
      <c r="J27" s="5" t="s">
        <v>105</v>
      </c>
      <c r="K27" s="3"/>
      <c r="L27" s="3"/>
      <c r="M27" s="4"/>
      <c r="O27" s="3"/>
      <c r="P27" s="3"/>
      <c r="Q27" s="4"/>
    </row>
    <row r="28" spans="1:18" ht="30" x14ac:dyDescent="0.25">
      <c r="A28" t="s">
        <v>106</v>
      </c>
      <c r="B28" t="s">
        <v>23</v>
      </c>
      <c r="C28" t="s">
        <v>107</v>
      </c>
      <c r="D28" t="s">
        <v>108</v>
      </c>
      <c r="E28">
        <v>53</v>
      </c>
      <c r="F28" t="s">
        <v>26</v>
      </c>
      <c r="G28" s="3">
        <v>1100</v>
      </c>
      <c r="H28" s="3">
        <v>53</v>
      </c>
      <c r="I28" s="4">
        <v>58300</v>
      </c>
      <c r="J28" s="5" t="s">
        <v>109</v>
      </c>
      <c r="K28" s="3">
        <v>1450</v>
      </c>
      <c r="L28" s="3">
        <v>53</v>
      </c>
      <c r="M28" s="4">
        <v>76850</v>
      </c>
      <c r="N28" t="s">
        <v>82</v>
      </c>
      <c r="O28" s="3"/>
      <c r="P28" s="3"/>
      <c r="Q28" s="4"/>
    </row>
    <row r="29" spans="1:18" x14ac:dyDescent="0.25">
      <c r="A29" t="s">
        <v>110</v>
      </c>
      <c r="B29" t="s">
        <v>23</v>
      </c>
      <c r="C29" t="s">
        <v>111</v>
      </c>
      <c r="D29" t="s">
        <v>112</v>
      </c>
      <c r="E29">
        <v>3</v>
      </c>
      <c r="F29" t="s">
        <v>26</v>
      </c>
      <c r="G29" s="3"/>
      <c r="H29" s="3"/>
      <c r="I29" s="4"/>
      <c r="K29" s="3"/>
      <c r="L29" s="3"/>
      <c r="M29" s="4"/>
      <c r="O29" s="3"/>
      <c r="P29" s="3"/>
      <c r="Q29" s="4"/>
    </row>
    <row r="30" spans="1:18" ht="45" x14ac:dyDescent="0.25">
      <c r="A30" t="s">
        <v>113</v>
      </c>
      <c r="B30" t="s">
        <v>23</v>
      </c>
      <c r="C30" t="s">
        <v>114</v>
      </c>
      <c r="D30" t="s">
        <v>115</v>
      </c>
      <c r="E30">
        <v>3</v>
      </c>
      <c r="F30" t="s">
        <v>26</v>
      </c>
      <c r="G30" s="3">
        <v>3630</v>
      </c>
      <c r="H30" s="3">
        <v>3</v>
      </c>
      <c r="I30" s="4">
        <v>10890</v>
      </c>
      <c r="J30" s="5" t="s">
        <v>116</v>
      </c>
      <c r="K30" s="3"/>
      <c r="L30" s="3"/>
      <c r="M30" s="4"/>
      <c r="O30" s="3"/>
      <c r="P30" s="3"/>
      <c r="Q30" s="4"/>
    </row>
    <row r="31" spans="1:18" ht="45" x14ac:dyDescent="0.25">
      <c r="A31" t="s">
        <v>117</v>
      </c>
      <c r="B31" t="s">
        <v>23</v>
      </c>
      <c r="C31" t="s">
        <v>118</v>
      </c>
      <c r="D31" s="5" t="s">
        <v>119</v>
      </c>
      <c r="E31">
        <v>3</v>
      </c>
      <c r="F31" t="s">
        <v>26</v>
      </c>
      <c r="G31" s="3">
        <v>3915</v>
      </c>
      <c r="H31" s="3">
        <v>3</v>
      </c>
      <c r="I31" s="4">
        <v>11745</v>
      </c>
      <c r="J31" s="5" t="s">
        <v>120</v>
      </c>
      <c r="K31" s="3"/>
      <c r="L31" s="3"/>
      <c r="M31" s="4"/>
      <c r="O31" s="3"/>
      <c r="P31" s="3"/>
      <c r="Q31" s="4"/>
    </row>
    <row r="32" spans="1:18" ht="30" x14ac:dyDescent="0.25">
      <c r="A32" t="s">
        <v>121</v>
      </c>
      <c r="B32" t="s">
        <v>23</v>
      </c>
      <c r="C32" t="s">
        <v>122</v>
      </c>
      <c r="D32" t="s">
        <v>123</v>
      </c>
      <c r="E32">
        <v>20</v>
      </c>
      <c r="F32" t="s">
        <v>26</v>
      </c>
      <c r="G32" s="3">
        <v>1918</v>
      </c>
      <c r="H32" s="3">
        <v>20</v>
      </c>
      <c r="I32" s="4">
        <v>38360</v>
      </c>
      <c r="J32" s="5" t="s">
        <v>124</v>
      </c>
      <c r="K32" s="3">
        <v>2250</v>
      </c>
      <c r="L32" s="3">
        <v>20</v>
      </c>
      <c r="M32" s="4">
        <v>45000</v>
      </c>
      <c r="N32" t="s">
        <v>99</v>
      </c>
      <c r="O32" s="3"/>
      <c r="P32" s="3"/>
      <c r="Q32" s="4"/>
    </row>
    <row r="33" spans="1:17" ht="45" x14ac:dyDescent="0.25">
      <c r="A33" t="s">
        <v>125</v>
      </c>
      <c r="B33" t="s">
        <v>23</v>
      </c>
      <c r="C33" t="s">
        <v>126</v>
      </c>
      <c r="D33" s="5" t="s">
        <v>127</v>
      </c>
      <c r="E33">
        <v>20</v>
      </c>
      <c r="F33" t="s">
        <v>26</v>
      </c>
      <c r="G33" s="3">
        <v>3027</v>
      </c>
      <c r="H33" s="3">
        <v>20</v>
      </c>
      <c r="I33" s="4">
        <v>60540</v>
      </c>
      <c r="J33" s="5" t="s">
        <v>128</v>
      </c>
      <c r="K33" s="3">
        <v>3150</v>
      </c>
      <c r="L33" s="3">
        <v>20</v>
      </c>
      <c r="M33" s="4">
        <v>63000</v>
      </c>
      <c r="N33" t="s">
        <v>99</v>
      </c>
      <c r="O33" s="3"/>
      <c r="P33" s="3"/>
      <c r="Q33" s="4"/>
    </row>
    <row r="34" spans="1:17" ht="30" x14ac:dyDescent="0.25">
      <c r="A34" t="s">
        <v>129</v>
      </c>
      <c r="B34" t="s">
        <v>23</v>
      </c>
      <c r="C34" t="s">
        <v>130</v>
      </c>
      <c r="D34" s="5" t="s">
        <v>131</v>
      </c>
      <c r="E34">
        <v>15</v>
      </c>
      <c r="F34" t="s">
        <v>26</v>
      </c>
      <c r="G34" s="3">
        <v>15360</v>
      </c>
      <c r="H34" s="3">
        <v>15</v>
      </c>
      <c r="I34" s="4">
        <v>230400</v>
      </c>
      <c r="J34" s="5" t="s">
        <v>132</v>
      </c>
      <c r="K34" s="3"/>
      <c r="L34" s="3"/>
      <c r="M34" s="4"/>
      <c r="O34" s="3"/>
      <c r="P34" s="3"/>
      <c r="Q34" s="4"/>
    </row>
    <row r="35" spans="1:17" ht="45" x14ac:dyDescent="0.25">
      <c r="A35" t="s">
        <v>133</v>
      </c>
      <c r="B35" t="s">
        <v>23</v>
      </c>
      <c r="C35" t="s">
        <v>134</v>
      </c>
      <c r="D35" s="5" t="s">
        <v>135</v>
      </c>
      <c r="E35">
        <v>1</v>
      </c>
      <c r="F35" t="s">
        <v>26</v>
      </c>
      <c r="G35" s="3">
        <v>15840</v>
      </c>
      <c r="H35" s="3">
        <v>1</v>
      </c>
      <c r="I35" s="4">
        <v>15840</v>
      </c>
      <c r="J35" s="5" t="s">
        <v>136</v>
      </c>
      <c r="K35" s="3">
        <v>49900</v>
      </c>
      <c r="L35" s="3">
        <v>1</v>
      </c>
      <c r="M35" s="4">
        <v>49900</v>
      </c>
      <c r="N35" t="s">
        <v>137</v>
      </c>
      <c r="O35" s="3"/>
      <c r="P35" s="3"/>
      <c r="Q35" s="4"/>
    </row>
    <row r="36" spans="1:17" ht="30" x14ac:dyDescent="0.25">
      <c r="A36" t="s">
        <v>138</v>
      </c>
      <c r="B36" t="s">
        <v>23</v>
      </c>
      <c r="C36" t="s">
        <v>139</v>
      </c>
      <c r="D36" t="s">
        <v>140</v>
      </c>
      <c r="E36">
        <v>15</v>
      </c>
      <c r="F36" t="s">
        <v>26</v>
      </c>
      <c r="G36" s="3">
        <v>21600</v>
      </c>
      <c r="H36" s="3">
        <v>15</v>
      </c>
      <c r="I36" s="4">
        <v>324000</v>
      </c>
      <c r="J36" s="5" t="s">
        <v>141</v>
      </c>
      <c r="K36" s="3">
        <v>26800</v>
      </c>
      <c r="L36" s="3">
        <v>15</v>
      </c>
      <c r="M36" s="4">
        <v>402000</v>
      </c>
      <c r="N36" t="s">
        <v>137</v>
      </c>
      <c r="O36" s="3"/>
      <c r="P36" s="3"/>
      <c r="Q36" s="4"/>
    </row>
    <row r="37" spans="1:17" x14ac:dyDescent="0.25">
      <c r="A37" t="s">
        <v>142</v>
      </c>
      <c r="B37" t="s">
        <v>23</v>
      </c>
      <c r="C37" t="s">
        <v>143</v>
      </c>
      <c r="D37" t="s">
        <v>144</v>
      </c>
      <c r="E37">
        <v>3</v>
      </c>
      <c r="F37" t="s">
        <v>26</v>
      </c>
      <c r="G37" s="3"/>
      <c r="H37" s="3"/>
      <c r="I37" s="4"/>
      <c r="K37" s="3"/>
      <c r="L37" s="3"/>
      <c r="M37" s="4"/>
      <c r="O37" s="3"/>
      <c r="P37" s="3"/>
      <c r="Q37" s="4"/>
    </row>
    <row r="38" spans="1:17" ht="30" x14ac:dyDescent="0.25">
      <c r="A38" t="s">
        <v>145</v>
      </c>
      <c r="B38" t="s">
        <v>23</v>
      </c>
      <c r="C38" t="s">
        <v>146</v>
      </c>
      <c r="D38" t="s">
        <v>147</v>
      </c>
      <c r="E38">
        <v>6</v>
      </c>
      <c r="F38" t="s">
        <v>26</v>
      </c>
      <c r="G38" s="3">
        <v>2610</v>
      </c>
      <c r="H38" s="3">
        <v>6</v>
      </c>
      <c r="I38" s="4">
        <v>15660</v>
      </c>
      <c r="J38" s="5" t="s">
        <v>148</v>
      </c>
      <c r="K38" s="3">
        <v>4190</v>
      </c>
      <c r="L38" s="3">
        <v>6</v>
      </c>
      <c r="M38" s="4">
        <v>25140</v>
      </c>
      <c r="N38" t="s">
        <v>149</v>
      </c>
      <c r="O38" s="3"/>
      <c r="P38" s="3"/>
      <c r="Q38" s="4"/>
    </row>
    <row r="39" spans="1:17" ht="45" x14ac:dyDescent="0.25">
      <c r="A39" t="s">
        <v>150</v>
      </c>
      <c r="B39" t="s">
        <v>23</v>
      </c>
      <c r="C39" t="s">
        <v>151</v>
      </c>
      <c r="D39" t="s">
        <v>152</v>
      </c>
      <c r="E39">
        <v>6</v>
      </c>
      <c r="F39" t="s">
        <v>26</v>
      </c>
      <c r="G39" s="3">
        <v>3015</v>
      </c>
      <c r="H39" s="3">
        <v>6</v>
      </c>
      <c r="I39" s="4">
        <v>18090</v>
      </c>
      <c r="J39" s="5" t="s">
        <v>153</v>
      </c>
      <c r="K39" s="3">
        <v>5100</v>
      </c>
      <c r="L39" s="3">
        <v>6</v>
      </c>
      <c r="M39" s="4">
        <v>30600</v>
      </c>
      <c r="N39" t="s">
        <v>154</v>
      </c>
      <c r="O39" s="3"/>
      <c r="P39" s="3"/>
      <c r="Q39" s="4"/>
    </row>
    <row r="40" spans="1:17" ht="30" x14ac:dyDescent="0.25">
      <c r="A40" t="s">
        <v>155</v>
      </c>
      <c r="B40" t="s">
        <v>23</v>
      </c>
      <c r="C40" t="s">
        <v>156</v>
      </c>
      <c r="D40" t="s">
        <v>157</v>
      </c>
      <c r="E40">
        <v>4</v>
      </c>
      <c r="F40" t="s">
        <v>26</v>
      </c>
      <c r="G40" s="3">
        <v>31840</v>
      </c>
      <c r="H40" s="3">
        <v>4</v>
      </c>
      <c r="I40" s="4">
        <v>127360</v>
      </c>
      <c r="J40" s="5" t="s">
        <v>158</v>
      </c>
      <c r="K40" s="3">
        <v>55000</v>
      </c>
      <c r="L40" s="3">
        <v>4</v>
      </c>
      <c r="M40" s="4">
        <v>220000</v>
      </c>
      <c r="N40" t="s">
        <v>137</v>
      </c>
      <c r="O40" s="3"/>
      <c r="P40" s="3"/>
      <c r="Q40" s="4"/>
    </row>
    <row r="41" spans="1:17" ht="30" x14ac:dyDescent="0.25">
      <c r="A41" t="s">
        <v>159</v>
      </c>
      <c r="B41" t="s">
        <v>23</v>
      </c>
      <c r="C41" t="s">
        <v>160</v>
      </c>
      <c r="D41" t="s">
        <v>161</v>
      </c>
      <c r="E41">
        <v>15</v>
      </c>
      <c r="F41" t="s">
        <v>26</v>
      </c>
      <c r="G41" s="3">
        <v>3360</v>
      </c>
      <c r="H41" s="3">
        <v>15</v>
      </c>
      <c r="I41" s="4">
        <v>50400</v>
      </c>
      <c r="J41" s="5" t="s">
        <v>162</v>
      </c>
      <c r="K41" s="3">
        <v>4250</v>
      </c>
      <c r="L41" s="3">
        <v>15</v>
      </c>
      <c r="M41" s="4">
        <v>63750</v>
      </c>
      <c r="N41" t="s">
        <v>99</v>
      </c>
      <c r="O41" s="3"/>
      <c r="P41" s="3"/>
      <c r="Q41" s="4"/>
    </row>
    <row r="42" spans="1:17" ht="30" x14ac:dyDescent="0.25">
      <c r="A42" t="s">
        <v>163</v>
      </c>
      <c r="B42" t="s">
        <v>23</v>
      </c>
      <c r="C42" t="s">
        <v>160</v>
      </c>
      <c r="D42" t="s">
        <v>161</v>
      </c>
      <c r="E42">
        <v>15</v>
      </c>
      <c r="F42" t="s">
        <v>26</v>
      </c>
      <c r="G42" s="3">
        <v>3500</v>
      </c>
      <c r="H42" s="3">
        <v>15</v>
      </c>
      <c r="I42" s="4">
        <v>52500</v>
      </c>
      <c r="J42" s="5" t="s">
        <v>164</v>
      </c>
      <c r="K42" s="3">
        <v>4250</v>
      </c>
      <c r="L42" s="3">
        <v>15</v>
      </c>
      <c r="M42" s="4">
        <v>63750</v>
      </c>
      <c r="N42" t="s">
        <v>99</v>
      </c>
      <c r="O42" s="3"/>
      <c r="P42" s="3"/>
      <c r="Q42" s="4"/>
    </row>
    <row r="43" spans="1:17" ht="30" x14ac:dyDescent="0.25">
      <c r="A43" t="s">
        <v>165</v>
      </c>
      <c r="B43" t="s">
        <v>23</v>
      </c>
      <c r="C43" t="s">
        <v>166</v>
      </c>
      <c r="D43" t="s">
        <v>167</v>
      </c>
      <c r="E43">
        <v>8</v>
      </c>
      <c r="F43" t="s">
        <v>26</v>
      </c>
      <c r="G43" s="3">
        <v>2350</v>
      </c>
      <c r="H43" s="3">
        <v>8</v>
      </c>
      <c r="I43" s="4">
        <v>18800</v>
      </c>
      <c r="J43" s="5" t="s">
        <v>168</v>
      </c>
      <c r="K43" s="3">
        <v>2650</v>
      </c>
      <c r="L43" s="3">
        <v>8</v>
      </c>
      <c r="M43" s="4">
        <v>21200</v>
      </c>
      <c r="N43" t="s">
        <v>169</v>
      </c>
      <c r="O43" s="3"/>
      <c r="P43" s="3"/>
      <c r="Q43" s="4"/>
    </row>
    <row r="44" spans="1:17" x14ac:dyDescent="0.25">
      <c r="A44" t="s">
        <v>170</v>
      </c>
      <c r="B44" t="s">
        <v>23</v>
      </c>
      <c r="C44" t="s">
        <v>171</v>
      </c>
      <c r="D44" t="s">
        <v>172</v>
      </c>
      <c r="E44">
        <v>6</v>
      </c>
      <c r="F44" t="s">
        <v>26</v>
      </c>
      <c r="G44" s="3"/>
      <c r="H44" s="3"/>
      <c r="I44" s="4"/>
      <c r="K44" s="3"/>
      <c r="L44" s="3"/>
      <c r="M44" s="4"/>
      <c r="O44" s="3"/>
      <c r="P44" s="3"/>
      <c r="Q44" s="4"/>
    </row>
    <row r="45" spans="1:17" x14ac:dyDescent="0.25">
      <c r="A45" t="s">
        <v>173</v>
      </c>
      <c r="B45" t="s">
        <v>23</v>
      </c>
      <c r="C45" t="s">
        <v>174</v>
      </c>
      <c r="D45" t="s">
        <v>175</v>
      </c>
      <c r="E45">
        <v>4</v>
      </c>
      <c r="F45" t="s">
        <v>26</v>
      </c>
      <c r="G45" s="3"/>
      <c r="H45" s="3"/>
      <c r="I45" s="4"/>
      <c r="K45" s="3"/>
      <c r="L45" s="3"/>
      <c r="M45" s="4"/>
      <c r="O45" s="3"/>
      <c r="P45" s="3"/>
      <c r="Q45" s="4"/>
    </row>
    <row r="46" spans="1:17" x14ac:dyDescent="0.25">
      <c r="A46" t="s">
        <v>176</v>
      </c>
      <c r="B46" t="s">
        <v>23</v>
      </c>
      <c r="C46" t="s">
        <v>177</v>
      </c>
      <c r="D46" t="s">
        <v>178</v>
      </c>
      <c r="E46">
        <v>3</v>
      </c>
      <c r="F46" t="s">
        <v>26</v>
      </c>
      <c r="G46" s="3"/>
      <c r="H46" s="3"/>
      <c r="I46" s="4"/>
      <c r="K46" s="3"/>
      <c r="L46" s="3"/>
      <c r="M46" s="4"/>
      <c r="O46" s="3"/>
      <c r="P46" s="3"/>
      <c r="Q46" s="4"/>
    </row>
    <row r="47" spans="1:17" ht="45" x14ac:dyDescent="0.25">
      <c r="A47" t="s">
        <v>179</v>
      </c>
      <c r="B47" t="s">
        <v>23</v>
      </c>
      <c r="C47" t="s">
        <v>180</v>
      </c>
      <c r="D47" t="s">
        <v>181</v>
      </c>
      <c r="E47">
        <v>2</v>
      </c>
      <c r="F47" t="s">
        <v>26</v>
      </c>
      <c r="G47" s="3">
        <v>5930</v>
      </c>
      <c r="H47" s="3">
        <v>2</v>
      </c>
      <c r="I47" s="4">
        <v>11860</v>
      </c>
      <c r="J47" s="5" t="s">
        <v>182</v>
      </c>
      <c r="K47" s="3"/>
      <c r="L47" s="3"/>
      <c r="M47" s="4"/>
      <c r="O47" s="3"/>
      <c r="P47" s="3"/>
      <c r="Q47" s="4"/>
    </row>
    <row r="48" spans="1:17" ht="30" x14ac:dyDescent="0.25">
      <c r="A48" t="s">
        <v>183</v>
      </c>
      <c r="B48" t="s">
        <v>23</v>
      </c>
      <c r="C48" t="s">
        <v>184</v>
      </c>
      <c r="D48" t="s">
        <v>185</v>
      </c>
      <c r="E48">
        <v>4</v>
      </c>
      <c r="F48" t="s">
        <v>26</v>
      </c>
      <c r="G48" s="3">
        <v>6933</v>
      </c>
      <c r="H48" s="3">
        <v>4</v>
      </c>
      <c r="I48" s="4">
        <v>27732</v>
      </c>
      <c r="J48" s="5" t="s">
        <v>186</v>
      </c>
      <c r="K48" s="3"/>
      <c r="L48" s="3"/>
      <c r="M48" s="4"/>
      <c r="O48" s="3"/>
      <c r="P48" s="3"/>
      <c r="Q48" s="4"/>
    </row>
    <row r="49" spans="1:17" ht="45" x14ac:dyDescent="0.25">
      <c r="A49" t="s">
        <v>187</v>
      </c>
      <c r="B49" t="s">
        <v>23</v>
      </c>
      <c r="C49" t="s">
        <v>188</v>
      </c>
      <c r="D49" t="s">
        <v>189</v>
      </c>
      <c r="E49">
        <v>3</v>
      </c>
      <c r="F49" t="s">
        <v>26</v>
      </c>
      <c r="G49" s="3">
        <v>14384</v>
      </c>
      <c r="H49" s="3">
        <v>3</v>
      </c>
      <c r="I49" s="4">
        <v>43152</v>
      </c>
      <c r="J49" s="5" t="s">
        <v>190</v>
      </c>
      <c r="K49" s="3"/>
      <c r="L49" s="3"/>
      <c r="M49" s="4"/>
      <c r="O49" s="3"/>
      <c r="P49" s="3"/>
      <c r="Q49" s="4"/>
    </row>
    <row r="50" spans="1:17" ht="30" x14ac:dyDescent="0.25">
      <c r="A50" t="s">
        <v>191</v>
      </c>
      <c r="B50" t="s">
        <v>23</v>
      </c>
      <c r="C50" t="s">
        <v>192</v>
      </c>
      <c r="D50" s="5" t="s">
        <v>193</v>
      </c>
      <c r="E50">
        <v>4</v>
      </c>
      <c r="F50" t="s">
        <v>26</v>
      </c>
      <c r="G50" s="3">
        <v>3380</v>
      </c>
      <c r="H50" s="3">
        <v>4</v>
      </c>
      <c r="I50" s="4">
        <v>13520</v>
      </c>
      <c r="J50" s="5" t="s">
        <v>194</v>
      </c>
      <c r="K50" s="3">
        <v>2650</v>
      </c>
      <c r="L50" s="3">
        <v>4</v>
      </c>
      <c r="M50" s="4">
        <v>10600</v>
      </c>
      <c r="N50" t="s">
        <v>99</v>
      </c>
      <c r="O50" s="3"/>
      <c r="P50" s="3"/>
      <c r="Q50" s="4"/>
    </row>
    <row r="51" spans="1:17" ht="30" x14ac:dyDescent="0.25">
      <c r="A51" t="s">
        <v>195</v>
      </c>
      <c r="B51" t="s">
        <v>23</v>
      </c>
      <c r="C51" t="s">
        <v>196</v>
      </c>
      <c r="D51" s="5" t="s">
        <v>197</v>
      </c>
      <c r="E51">
        <v>4</v>
      </c>
      <c r="F51" t="s">
        <v>26</v>
      </c>
      <c r="G51" s="3">
        <v>3725</v>
      </c>
      <c r="H51" s="3">
        <v>4</v>
      </c>
      <c r="I51" s="4">
        <v>14900</v>
      </c>
      <c r="J51" s="5" t="s">
        <v>198</v>
      </c>
      <c r="K51" s="3">
        <v>2650</v>
      </c>
      <c r="L51" s="3">
        <v>4</v>
      </c>
      <c r="M51" s="4">
        <v>10600</v>
      </c>
      <c r="N51" t="s">
        <v>99</v>
      </c>
      <c r="O51" s="3"/>
      <c r="P51" s="3"/>
      <c r="Q51" s="4"/>
    </row>
    <row r="52" spans="1:17" ht="30" x14ac:dyDescent="0.25">
      <c r="A52" t="s">
        <v>199</v>
      </c>
      <c r="B52" t="s">
        <v>23</v>
      </c>
      <c r="C52" t="s">
        <v>200</v>
      </c>
      <c r="D52" t="s">
        <v>201</v>
      </c>
      <c r="E52">
        <v>20</v>
      </c>
      <c r="F52" t="s">
        <v>26</v>
      </c>
      <c r="G52" s="3">
        <v>1530</v>
      </c>
      <c r="H52" s="3">
        <v>20</v>
      </c>
      <c r="I52" s="4">
        <v>30600</v>
      </c>
      <c r="J52" s="5" t="s">
        <v>202</v>
      </c>
      <c r="K52" s="3">
        <v>1450</v>
      </c>
      <c r="L52" s="3">
        <v>20</v>
      </c>
      <c r="M52" s="4">
        <v>29000</v>
      </c>
      <c r="N52" t="s">
        <v>203</v>
      </c>
      <c r="O52" s="3"/>
      <c r="P52" s="3"/>
      <c r="Q52" s="4"/>
    </row>
    <row r="53" spans="1:17" ht="30" x14ac:dyDescent="0.25">
      <c r="A53" t="s">
        <v>204</v>
      </c>
      <c r="B53" t="s">
        <v>23</v>
      </c>
      <c r="C53" t="s">
        <v>205</v>
      </c>
      <c r="D53" t="s">
        <v>206</v>
      </c>
      <c r="E53">
        <v>15</v>
      </c>
      <c r="F53" t="s">
        <v>26</v>
      </c>
      <c r="G53" s="3">
        <v>1980</v>
      </c>
      <c r="H53" s="3">
        <v>15</v>
      </c>
      <c r="I53" s="4">
        <v>29700</v>
      </c>
      <c r="J53" s="5" t="s">
        <v>207</v>
      </c>
      <c r="K53" s="3">
        <v>2350</v>
      </c>
      <c r="L53" s="3">
        <v>15</v>
      </c>
      <c r="M53" s="4">
        <v>35250</v>
      </c>
      <c r="N53" t="s">
        <v>203</v>
      </c>
      <c r="O53" s="3"/>
      <c r="P53" s="3"/>
      <c r="Q53" s="4"/>
    </row>
    <row r="54" spans="1:17" ht="30" x14ac:dyDescent="0.25">
      <c r="A54" t="s">
        <v>208</v>
      </c>
      <c r="B54" t="s">
        <v>23</v>
      </c>
      <c r="C54" t="s">
        <v>209</v>
      </c>
      <c r="D54" s="5" t="s">
        <v>210</v>
      </c>
      <c r="E54">
        <v>30</v>
      </c>
      <c r="F54" t="s">
        <v>26</v>
      </c>
      <c r="G54" s="3"/>
      <c r="H54" s="3"/>
      <c r="I54" s="4"/>
      <c r="K54" s="3"/>
      <c r="L54" s="3"/>
      <c r="M54" s="4"/>
      <c r="O54" s="3"/>
      <c r="P54" s="3"/>
      <c r="Q54" s="4"/>
    </row>
    <row r="55" spans="1:17" ht="30" x14ac:dyDescent="0.25">
      <c r="A55" t="s">
        <v>211</v>
      </c>
      <c r="B55" t="s">
        <v>23</v>
      </c>
      <c r="C55" t="s">
        <v>212</v>
      </c>
      <c r="D55" t="s">
        <v>213</v>
      </c>
      <c r="E55">
        <v>5</v>
      </c>
      <c r="F55" t="s">
        <v>26</v>
      </c>
      <c r="G55" s="3">
        <v>10195</v>
      </c>
      <c r="H55" s="3">
        <v>5</v>
      </c>
      <c r="I55" s="4">
        <v>50975</v>
      </c>
      <c r="J55" s="5" t="s">
        <v>214</v>
      </c>
      <c r="K55" s="3"/>
      <c r="L55" s="3"/>
      <c r="M55" s="4"/>
      <c r="O55" s="3"/>
      <c r="P55" s="3"/>
      <c r="Q55" s="4"/>
    </row>
    <row r="56" spans="1:17" x14ac:dyDescent="0.25">
      <c r="C56" t="s">
        <v>215</v>
      </c>
      <c r="G56" s="3"/>
      <c r="H56" s="3"/>
      <c r="I56" s="4">
        <f>SUBTOTAL(109,Table2[Total por renglón])</f>
        <v>2110307</v>
      </c>
      <c r="J56" s="5"/>
      <c r="K56" s="3"/>
      <c r="L56" s="3"/>
      <c r="M56" s="4">
        <f>SUBTOTAL(109,Table3[Total por renglón])</f>
        <v>2874790</v>
      </c>
      <c r="O56" s="3"/>
      <c r="P56" s="3"/>
      <c r="Q56" s="4">
        <f>SUBTOTAL(109,Table4[Total por renglón])</f>
        <v>529850</v>
      </c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2022-05-27T16:11:57Z</dcterms:created>
  <dcterms:modified xsi:type="dcterms:W3CDTF">2022-05-27T16:12:53Z</dcterms:modified>
</cp:coreProperties>
</file>