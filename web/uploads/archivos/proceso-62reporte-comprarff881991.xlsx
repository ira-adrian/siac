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8993830C-1AAF-47C9-B764-98C0D46F66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0" i="2" l="1"/>
  <c r="M20" i="2"/>
</calcChain>
</file>

<file path=xl/sharedStrings.xml><?xml version="1.0" encoding="utf-8"?>
<sst xmlns="http://schemas.openxmlformats.org/spreadsheetml/2006/main" count="94" uniqueCount="64">
  <si>
    <t>Número expediente:</t>
  </si>
  <si>
    <t>EX-2022-00804801-   -CAT-DPCBS#MEC</t>
  </si>
  <si>
    <t>Número proceso de compra:</t>
  </si>
  <si>
    <t>100-0085-CDI22</t>
  </si>
  <si>
    <t>Nombre descriptivo proceso de compra:</t>
  </si>
  <si>
    <t>Adquisición de Materiales de Construcción Destinado al Hospital de Niños Eva Perón</t>
  </si>
  <si>
    <t>Unidad Operativa de Compras:</t>
  </si>
  <si>
    <t>Secretaria de Compras y Abastecimiento</t>
  </si>
  <si>
    <t>Fecha de Apertura:</t>
  </si>
  <si>
    <t>23/05/2022</t>
  </si>
  <si>
    <t>Renglón</t>
  </si>
  <si>
    <t>SERGIO ANIBAL PEREZ BURGOS</t>
  </si>
  <si>
    <t>MEG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</si>
  <si>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</si>
  <si>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</si>
  <si>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</si>
  <si>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</si>
  <si>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</si>
  <si>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</si>
  <si>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</si>
  <si>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</si>
  <si>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</si>
  <si>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</si>
  <si>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2.7.4-2123.145 </t>
  </si>
  <si>
    <t xml:space="preserve">CAÑOS ESTRUCTURALES; MATERIAL: ACERO SAE 1010, TIPO: RECTANGULAR, SECCION: 50 
X 50 mm, ESPESOR: 2 mm, LARGO: 6 M </t>
  </si>
  <si>
    <t xml:space="preserve">UNIDAD </t>
  </si>
  <si>
    <t xml:space="preserve">CAÑO ESTRUCTURAL MATERIAL ACERO SAE 1010; TIPO: RECTANGULAR, SECCION 50 
X 50mm ESPESOR 2mm LARGO 6 mts MARCA ACINDAR / 
SIPAR </t>
  </si>
  <si>
    <t xml:space="preserve">2 </t>
  </si>
  <si>
    <t xml:space="preserve">2.7.4-2123.144 </t>
  </si>
  <si>
    <t xml:space="preserve">CAÑOS ESTRUCTURALES; MATERIAL: ACERO SAE 1010, TIPO: RECTANGULAR, SECCION: 40 
X 30 mm, ESPESOR: 2 mm, LARGO: 6 M </t>
  </si>
  <si>
    <t xml:space="preserve">CAÑO ESTRUCTURAL MATERIAL ACERO SAE 1010, TIPO: RECTANGULAR SECCION 40 
X 30 mm ESPESOR 2mm LARGO  6 mts MARCA 
ACINDAR / SIPAR </t>
  </si>
  <si>
    <t xml:space="preserve">3 </t>
  </si>
  <si>
    <t xml:space="preserve">2.6.4-6085.5 </t>
  </si>
  <si>
    <t xml:space="preserve">CHAPAS FIBROCEMENTO; LARGO: 122 Cm, ANCHO: 244 Cm, ESPESOR: 10 
mm, TIPO: PLACA CEMENTICIDA </t>
  </si>
  <si>
    <t xml:space="preserve">CHAPA FIBROCEMENTO LARGO 1.22mm ANCHO 2.44mm ESPESOR 10mm TIPO: CEMENTICA 
(PLACA SUPERBOARD 1,22 X 2,44mm MARCA DURLOCK)  </t>
  </si>
  <si>
    <t xml:space="preserve">4 </t>
  </si>
  <si>
    <t xml:space="preserve">2.9.9-4911.231 </t>
  </si>
  <si>
    <t xml:space="preserve">PLACA; USO: CIELORRASO, ESPESOR: 7 mm, MATERIAL: YESO RECUBIERTO CON 
PVC, DIMENSION: 60,3 X 60,3 Cm </t>
  </si>
  <si>
    <t xml:space="preserve">PLACA YESO PARA CIELORRASO ESPESOR 7mm DIMENSION 0.63 X 0.63 
mm CLASICA TEXTURADA (RUGOSA) MARCA DURLOCK  </t>
  </si>
  <si>
    <t xml:space="preserve">5 </t>
  </si>
  <si>
    <t xml:space="preserve">2.7.1-331.83 </t>
  </si>
  <si>
    <t xml:space="preserve">CHAPAS GALVANIZADAS; ANCHO: 1000 mm, CALIBRE BWG: 27 mm, LARGO: 
2000 mm </t>
  </si>
  <si>
    <t xml:space="preserve">CHAPA GALVANIZADA ANCHO 1.20 X 2.44 mm MARCA ACINDAR / 
SIPAR </t>
  </si>
  <si>
    <t xml:space="preserve">6 </t>
  </si>
  <si>
    <t xml:space="preserve">2.7.2-2722.32 </t>
  </si>
  <si>
    <t xml:space="preserve">CHAPAS DE ZINC; LARGO: 3 M, ANCHO: 1,1 M, ESPESOR: 
CALIBRE 25 BWG </t>
  </si>
  <si>
    <t xml:space="preserve">CHAPA DE ZINC ACANALADA LARGO 3mts ANCHO 1.10mm CALIBRE 25 
BWG MARCA ACINDAR / SIPAR </t>
  </si>
  <si>
    <t xml:space="preserve">CHAPAS DE ZINC; LARGO: 3 M, ANCHO: 1,1 M, ESPESOR: 
CALIBRE 25 BWG, ACANALADAS </t>
  </si>
  <si>
    <t xml:space="preserve">7 </t>
  </si>
  <si>
    <t xml:space="preserve">2.7.5-1432.4 </t>
  </si>
  <si>
    <t xml:space="preserve">ELECTRODOS; DIAMETRO: 2,5 mm, PUNTA: AZUL, USO: P/SOLDADURA DE ARCO 
ELECTRICO, TIPO PUNTA: AZUL </t>
  </si>
  <si>
    <t xml:space="preserve">ELECTRODO 2.5mm PUNTA AZUL P/SOLDADURA DE ARCA ELECTREICO MARCA CONARCO 
/ K-O / ROTTWEILER </t>
  </si>
  <si>
    <t xml:space="preserve">ELECTRODOS; DIAMETRO: 2,5 mm, PUNTA: AZUL, USO: P/SOLDADURA DE ARCO 
ELECTRICO, PRECIO COTIZADO POR UNIDAD  </t>
  </si>
  <si>
    <t xml:space="preserve">PRECIO COTIZADO POR KILO </t>
  </si>
  <si>
    <t xml:space="preserve">8 </t>
  </si>
  <si>
    <t xml:space="preserve">2.5.5-581.5 </t>
  </si>
  <si>
    <t xml:space="preserve">CONVERTIDORES DE OXIDO; CAPACIDAD: ENVASE X 10 L, PRESENTACION: ENVASE 
X 10 L </t>
  </si>
  <si>
    <t xml:space="preserve">CONVERTIDOR DE OXIDO CAPACIDAD 10 lt. (ESMALTE SINTETICO TRIPLE ACCION 
3 EN 1 COLOR BLANCO) MARCA SINTECRIN / SINTEPLAST / 
PACLIN </t>
  </si>
  <si>
    <t xml:space="preserve">CONVERTIDORES DE OXIDO; CAPACIDAD: ENVASE X 10 L, MARCA: POLACRIN 
</t>
  </si>
  <si>
    <t xml:space="preserve">9 </t>
  </si>
  <si>
    <t xml:space="preserve">2.7.1-1061.101 </t>
  </si>
  <si>
    <t xml:space="preserve">HIERRO ANGULO; TRATAMIENTO: SAE 1010, LADO X LADO X ESP: 
1 X 1 X 3/16 pulg </t>
  </si>
  <si>
    <t xml:space="preserve">HIERRO ANGULO TRATAMIENTO SAE 1010 LADO X LADO X ESPESOR 
1 X 1  X 3/4 PULG. MARCA ACINDAR / 
SIPAR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</si>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</sst>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20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20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20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78.140625" customWidth="1"/>
    <col min="5" max="5" width="75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0.140625" customWidth="1"/>
    <col min="11" max="11" width="14.28515625" customWidth="1"/>
    <col min="12" max="12" width="17.28515625" customWidth="1"/>
    <col min="13" max="13" width="16.5703125" customWidth="1"/>
    <col min="14" max="14" width="78.1406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45" x14ac:dyDescent="0.25">
      <c r="A10" t="s">
        <v>22</v>
      </c>
      <c r="B10" t="s">
        <v>22</v>
      </c>
      <c r="C10" t="s">
        <v>23</v>
      </c>
      <c r="D10" s="4" t="s">
        <v>24</v>
      </c>
      <c r="E10">
        <v>64</v>
      </c>
      <c r="F10" t="s">
        <v>25</v>
      </c>
      <c r="G10" s="3">
        <v>10166</v>
      </c>
      <c r="H10" s="3">
        <v>64</v>
      </c>
      <c r="I10" s="5">
        <v>650624</v>
      </c>
      <c r="J10" s="4" t="s">
        <v>26</v>
      </c>
      <c r="K10" s="3">
        <v>8690</v>
      </c>
      <c r="L10" s="3">
        <v>64</v>
      </c>
      <c r="M10" s="5">
        <v>556160</v>
      </c>
      <c r="N10" s="4" t="s">
        <v>24</v>
      </c>
    </row>
    <row r="11" spans="1:14" ht="45" x14ac:dyDescent="0.25">
      <c r="A11" t="s">
        <v>27</v>
      </c>
      <c r="B11" t="s">
        <v>22</v>
      </c>
      <c r="C11" t="s">
        <v>28</v>
      </c>
      <c r="D11" s="4" t="s">
        <v>29</v>
      </c>
      <c r="E11">
        <v>30</v>
      </c>
      <c r="F11" t="s">
        <v>25</v>
      </c>
      <c r="G11" s="3">
        <v>6919</v>
      </c>
      <c r="H11" s="3">
        <v>30</v>
      </c>
      <c r="I11" s="5">
        <v>207570</v>
      </c>
      <c r="J11" s="4" t="s">
        <v>30</v>
      </c>
      <c r="K11" s="3">
        <v>2490</v>
      </c>
      <c r="L11" s="3">
        <v>30</v>
      </c>
      <c r="M11" s="5">
        <v>74700</v>
      </c>
      <c r="N11" s="4" t="s">
        <v>29</v>
      </c>
    </row>
    <row r="12" spans="1:14" ht="45" x14ac:dyDescent="0.25">
      <c r="A12" t="s">
        <v>31</v>
      </c>
      <c r="B12" t="s">
        <v>22</v>
      </c>
      <c r="C12" t="s">
        <v>32</v>
      </c>
      <c r="D12" s="4" t="s">
        <v>33</v>
      </c>
      <c r="E12">
        <v>120</v>
      </c>
      <c r="F12" t="s">
        <v>25</v>
      </c>
      <c r="G12" s="3">
        <v>9660</v>
      </c>
      <c r="H12" s="3">
        <v>120</v>
      </c>
      <c r="I12" s="5">
        <v>1159200</v>
      </c>
      <c r="J12" s="4" t="s">
        <v>34</v>
      </c>
      <c r="K12" s="3"/>
      <c r="L12" s="3"/>
      <c r="M12" s="5"/>
    </row>
    <row r="13" spans="1:14" ht="30" x14ac:dyDescent="0.25">
      <c r="A13" t="s">
        <v>35</v>
      </c>
      <c r="B13" t="s">
        <v>22</v>
      </c>
      <c r="C13" t="s">
        <v>36</v>
      </c>
      <c r="D13" s="4" t="s">
        <v>37</v>
      </c>
      <c r="E13">
        <v>170</v>
      </c>
      <c r="F13" t="s">
        <v>25</v>
      </c>
      <c r="G13" s="3">
        <v>710</v>
      </c>
      <c r="H13" s="3">
        <v>170</v>
      </c>
      <c r="I13" s="5">
        <v>120700</v>
      </c>
      <c r="J13" s="4" t="s">
        <v>38</v>
      </c>
      <c r="K13" s="3"/>
      <c r="L13" s="3"/>
      <c r="M13" s="5"/>
    </row>
    <row r="14" spans="1:14" ht="30" x14ac:dyDescent="0.25">
      <c r="A14" t="s">
        <v>39</v>
      </c>
      <c r="B14" t="s">
        <v>22</v>
      </c>
      <c r="C14" t="s">
        <v>40</v>
      </c>
      <c r="D14" s="4" t="s">
        <v>41</v>
      </c>
      <c r="E14">
        <v>8</v>
      </c>
      <c r="F14" t="s">
        <v>25</v>
      </c>
      <c r="G14" s="3">
        <v>8040</v>
      </c>
      <c r="H14" s="3">
        <v>8</v>
      </c>
      <c r="I14" s="5">
        <v>64320</v>
      </c>
      <c r="J14" s="4" t="s">
        <v>42</v>
      </c>
      <c r="K14" s="3"/>
      <c r="L14" s="3"/>
      <c r="M14" s="5"/>
    </row>
    <row r="15" spans="1:14" ht="30" x14ac:dyDescent="0.25">
      <c r="A15" t="s">
        <v>43</v>
      </c>
      <c r="B15" t="s">
        <v>22</v>
      </c>
      <c r="C15" t="s">
        <v>44</v>
      </c>
      <c r="D15" s="4" t="s">
        <v>45</v>
      </c>
      <c r="E15">
        <v>3</v>
      </c>
      <c r="F15" t="s">
        <v>25</v>
      </c>
      <c r="G15" s="3">
        <v>8955</v>
      </c>
      <c r="H15" s="3">
        <v>3</v>
      </c>
      <c r="I15" s="5">
        <v>26865</v>
      </c>
      <c r="J15" s="4" t="s">
        <v>46</v>
      </c>
      <c r="K15" s="3">
        <v>9900</v>
      </c>
      <c r="L15" s="3">
        <v>3</v>
      </c>
      <c r="M15" s="5">
        <v>29700</v>
      </c>
      <c r="N15" s="4" t="s">
        <v>47</v>
      </c>
    </row>
    <row r="16" spans="1:14" ht="30" x14ac:dyDescent="0.25">
      <c r="A16" t="s">
        <v>48</v>
      </c>
      <c r="B16" t="s">
        <v>22</v>
      </c>
      <c r="C16" t="s">
        <v>49</v>
      </c>
      <c r="D16" s="4" t="s">
        <v>50</v>
      </c>
      <c r="E16">
        <v>10</v>
      </c>
      <c r="F16" t="s">
        <v>25</v>
      </c>
      <c r="G16" s="3">
        <v>1360</v>
      </c>
      <c r="H16" s="3">
        <v>10</v>
      </c>
      <c r="I16" s="5">
        <v>13600</v>
      </c>
      <c r="J16" s="4" t="s">
        <v>51</v>
      </c>
      <c r="K16" s="3">
        <v>30</v>
      </c>
      <c r="L16" s="3">
        <v>10</v>
      </c>
      <c r="M16" s="5">
        <v>300</v>
      </c>
      <c r="N16" s="4" t="s">
        <v>52</v>
      </c>
    </row>
    <row r="17" spans="1:14" ht="30" x14ac:dyDescent="0.25">
      <c r="A17" t="s">
        <v>48</v>
      </c>
      <c r="B17" t="s">
        <v>27</v>
      </c>
      <c r="C17" t="s">
        <v>49</v>
      </c>
      <c r="D17" s="4" t="s">
        <v>50</v>
      </c>
      <c r="E17">
        <v>10</v>
      </c>
      <c r="F17" t="s">
        <v>25</v>
      </c>
      <c r="G17" s="3"/>
      <c r="H17" s="3"/>
      <c r="I17" s="5"/>
      <c r="K17" s="3">
        <v>1300</v>
      </c>
      <c r="L17" s="3">
        <v>10</v>
      </c>
      <c r="M17" s="5">
        <v>13000</v>
      </c>
      <c r="N17" t="s">
        <v>53</v>
      </c>
    </row>
    <row r="18" spans="1:14" ht="45" x14ac:dyDescent="0.25">
      <c r="A18" t="s">
        <v>54</v>
      </c>
      <c r="B18" t="s">
        <v>22</v>
      </c>
      <c r="C18" t="s">
        <v>55</v>
      </c>
      <c r="D18" s="4" t="s">
        <v>56</v>
      </c>
      <c r="E18">
        <v>2</v>
      </c>
      <c r="F18" t="s">
        <v>25</v>
      </c>
      <c r="G18" s="3">
        <v>13760</v>
      </c>
      <c r="H18" s="3">
        <v>2</v>
      </c>
      <c r="I18" s="5">
        <v>27520</v>
      </c>
      <c r="J18" s="4" t="s">
        <v>57</v>
      </c>
      <c r="K18" s="3">
        <v>17000</v>
      </c>
      <c r="L18" s="3">
        <v>2</v>
      </c>
      <c r="M18" s="5">
        <v>34000</v>
      </c>
      <c r="N18" s="4" t="s">
        <v>58</v>
      </c>
    </row>
    <row r="19" spans="1:14" ht="45" x14ac:dyDescent="0.25">
      <c r="A19" t="s">
        <v>59</v>
      </c>
      <c r="B19" t="s">
        <v>22</v>
      </c>
      <c r="C19" t="s">
        <v>60</v>
      </c>
      <c r="D19" s="4" t="s">
        <v>61</v>
      </c>
      <c r="E19">
        <v>3</v>
      </c>
      <c r="F19" t="s">
        <v>25</v>
      </c>
      <c r="G19" s="3">
        <v>4174</v>
      </c>
      <c r="H19" s="3">
        <v>3</v>
      </c>
      <c r="I19" s="5">
        <v>12522</v>
      </c>
      <c r="J19" s="4" t="s">
        <v>62</v>
      </c>
      <c r="K19" s="3">
        <v>4200</v>
      </c>
      <c r="L19" s="3">
        <v>3</v>
      </c>
      <c r="M19" s="5">
        <v>12600</v>
      </c>
      <c r="N19" s="4" t="s">
        <v>61</v>
      </c>
    </row>
    <row r="20" spans="1:14" x14ac:dyDescent="0.25">
      <c r="C20" t="s">
        <v>63</v>
      </c>
      <c r="D20" s="4"/>
      <c r="G20" s="3"/>
      <c r="H20" s="3"/>
      <c r="I20" s="5">
        <f>SUBTOTAL(109,Table2[Total por renglón])</f>
        <v>2282921</v>
      </c>
      <c r="J20" s="4"/>
      <c r="K20" s="3"/>
      <c r="L20" s="3"/>
      <c r="M20" s="5">
        <f>SUBTOTAL(109,Table3[Total por renglón])</f>
        <v>720460</v>
      </c>
      <c r="N20" s="4"/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2022-06-08T14:52:22Z</dcterms:created>
  <dcterms:modified xsi:type="dcterms:W3CDTF">2022-06-08T14:52:36Z</dcterms:modified>
</cp:coreProperties>
</file>