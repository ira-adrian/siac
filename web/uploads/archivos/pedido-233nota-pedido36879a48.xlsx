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20" yWindow="-120" windowWidth="20640" windowHeight="11160" tabRatio="500"/>
  </bookViews>
  <sheets>
    <sheet name="Necesidades Trimestrales" sheetId="1" r:id="rId1"/>
    <sheet name=" NotaPedido" sheetId="2" state="hidden" r:id="rId2"/>
    <sheet name="Autor Gastar" sheetId="3" state="hidden" r:id="rId3"/>
  </sheets>
  <definedNames>
    <definedName name="_xlnm.Print_Area" localSheetId="1">' NotaPedido'!$A$1:$K$15</definedName>
    <definedName name="_xlnm.Print_Area" localSheetId="2">'Autor Gastar'!$A$1:$Q$20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2" i="1"/>
  <c r="I15"/>
  <c r="I10" l="1"/>
  <c r="I29" l="1"/>
  <c r="I30"/>
  <c r="I31"/>
  <c r="I26"/>
  <c r="I22"/>
  <c r="I14"/>
  <c r="I12"/>
  <c r="I25"/>
  <c r="I19"/>
  <c r="I27"/>
  <c r="I13"/>
  <c r="I24"/>
  <c r="I28"/>
  <c r="I23"/>
  <c r="I21"/>
  <c r="I20"/>
  <c r="I18"/>
  <c r="I17"/>
  <c r="I16"/>
  <c r="I11"/>
  <c r="I13" i="2" l="1"/>
  <c r="J13"/>
  <c r="K13"/>
  <c r="I14"/>
  <c r="J14"/>
  <c r="K14"/>
  <c r="C13"/>
  <c r="C14"/>
  <c r="B13"/>
  <c r="B14"/>
  <c r="K12"/>
  <c r="I12"/>
  <c r="J12"/>
  <c r="C12"/>
  <c r="B12"/>
  <c r="O15" i="3" l="1"/>
  <c r="A19"/>
  <c r="A10"/>
  <c r="J15" i="2" l="1"/>
  <c r="Q15" i="3" l="1"/>
  <c r="Q16" s="1"/>
  <c r="G6" l="1"/>
  <c r="G7"/>
  <c r="D3" i="2"/>
  <c r="G4" i="3" s="1"/>
  <c r="D4" i="2"/>
  <c r="G5" i="3" s="1"/>
  <c r="D1" l="1"/>
</calcChain>
</file>

<file path=xl/sharedStrings.xml><?xml version="1.0" encoding="utf-8"?>
<sst xmlns="http://schemas.openxmlformats.org/spreadsheetml/2006/main" count="215" uniqueCount="144">
  <si>
    <t>Pedido de Necesidades Trimestrales</t>
  </si>
  <si>
    <t>JURISDICCION:</t>
  </si>
  <si>
    <t>90 - Ministerio de Seguridad</t>
  </si>
  <si>
    <t xml:space="preserve">SAF N°: </t>
  </si>
  <si>
    <t>7- Dirección Provincial de Administración de la Policía de la Provincia de Catamarca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</si>
  <si>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</si>
  <si>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</si>
  <si>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</si>
  <si>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</si>
  <si>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</si>
  <si>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</si>
  <si>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</si>
  <si>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</si>
  <si>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</si>
  <si>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</si>
  <si>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</si>
  <si>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2.1.1-542.236</t>
  </si>
  <si>
    <t>ALIMENTOS</t>
  </si>
  <si>
    <t>2.1.1</t>
  </si>
  <si>
    <t>QUESOS; TIPO: CREMOSO, PRESENTACION: AL PESO, ELEM. TRANSPORTE: SIN, MATERIAL ELEM. TRANSPORTE: SIN, MATERIAL ENVASE: SIN, CERTIFICADO FORESTAL (GFS): SIN, LIBRE DE GLUTEN: A DEFINIR</t>
  </si>
  <si>
    <t>UNIDAD</t>
  </si>
  <si>
    <t>2.1.1-541.176</t>
  </si>
  <si>
    <t>CARNES; TIPO: VACUNA, CORTE: CUARTO TRASERO</t>
  </si>
  <si>
    <t>2.1.1-541.7</t>
  </si>
  <si>
    <t>CARNES; ESPECIE: VACUNA, CORTE: PICADA ESPECIAL, TIPO: VACUNA</t>
  </si>
  <si>
    <t>2.1.1-621.13</t>
  </si>
  <si>
    <t>AVES; ESPECIE: POLLO, PRESENTACION: CAJON X 8 UN, EVISCERADO: SIN VALOR, TIPO: POLLO</t>
  </si>
  <si>
    <t>2.1.1-590.26</t>
  </si>
  <si>
    <t>PESCADOS Y FRUTOS CONGELADOS; TIPO: FILET DE MERLUZA, ENVASE: BANDEJA, PRESENTACION: ENVASE X 10 Kg, ELEM. TRANSPORTE: PALLET RETORNABLE, MATERIAL ELEM. TRANSPORTE: MADERA</t>
  </si>
  <si>
    <t>2.1.1-456.22</t>
  </si>
  <si>
    <t>YOGHURT; CAPACIDAD: 1 L, SABOR: FRUTILLA, TIPO: ENTERO, ENVASE: SACHET, AGREGADO: SIN VALOR, CONSISTENCIA: BEBIBLE, PRESENTACION: SACHET X 1 L</t>
  </si>
  <si>
    <t>2.1.1-6546.112</t>
  </si>
  <si>
    <t>VERDURAS Y HORTALIZAS;ESTADO: NATURAL,  PESO: 25 Kg, VARIEDAD: PAPA NEGRA,  PRESENTACION: BOLSA</t>
  </si>
  <si>
    <t>2.1.1-6546.236</t>
  </si>
  <si>
    <t>VERDURAS Y HORTALIZAS; VARIEDAD: CEBOLLA, ESTADO: NATURAL, PRESENTACION: BOLSA, PESO: 20 Kg</t>
  </si>
  <si>
    <t>2.1.1-6546.167</t>
  </si>
  <si>
    <t>VERDURAS Y HORTALIZAS; VARIEDAD: ZANAHORIA, PRESENTACION: BOLSA, ESTADO: NATURAL, PESO: 20 Kg</t>
  </si>
  <si>
    <t>2.1.1-6546.390</t>
  </si>
  <si>
    <t>VERDURAS Y HORTALIZAS; VARIEDAD: TOMATE REDONDO, ESTADO: NATURAL, PRESENTACION: CAJON, PESO: 17 A 22 Kg, ELEM. TRANSPORTE: SIN, MATERIAL ELEM. TRANSPORTE: SIN, LIBRE DE GLUTEN: SI, ORGANICO: NO</t>
  </si>
  <si>
    <t>2.1.1-6546.95</t>
  </si>
  <si>
    <t>VERDURAS Y HORTALIZAS; VARIEDAD: MORRON VERDE, ESTADO: NATURAL, PRESENTACION: GRANEL, PESO: SIN VALOR</t>
  </si>
  <si>
    <t>2.1.1-6546.162</t>
  </si>
  <si>
    <t>VERDURAS Y HORTALIZAS; VARIEDAD: ZAPALLO CRIOLLO, ESTADO: NATURAL, PRESENTACION: UNIDAD, PESO: SIN VALOR</t>
  </si>
  <si>
    <t>2.1.1-6546.151</t>
  </si>
  <si>
    <t>VERDURAS Y HORTALIZAS; VARIEDAD: ZAPALLITO REDONDO, ESTADO: NATURAL, PRESENTACION: CAJON, PESO: SIN VALOR</t>
  </si>
  <si>
    <t>2.1.1-6546.153</t>
  </si>
  <si>
    <t>VERDURAS Y HORTALIZAS; VARIEDAD: AJO, ESTADO: NATURAL, PRESENTACION: RISTRA, PESO: SIN VALOR</t>
  </si>
  <si>
    <t>2.1.1-6546.47</t>
  </si>
  <si>
    <t>VERDURAS Y HORTALIZAS; VARIEDAD: CEBOLLA DE VERDEO, ESTADO: NATURAL, PRESENTACION: GRANEL, PESO: SIN VALOR</t>
  </si>
  <si>
    <t>2.1.1-6546.132</t>
  </si>
  <si>
    <t>VERDURAS Y HORTALIZAS; VARIEDAD: PEREJIL, ESTADO: NATURAL, PRESENTACION: GRANEL, PESO: SIN VALOR</t>
  </si>
  <si>
    <t>2.1.1-6546.34</t>
  </si>
  <si>
    <t>VERDURAS Y HORTALIZAS; VARIEDAD: ACELGA, ESTADO: EN HOJA, PRESENTACION: ATADO, PESO: SIN VALOR</t>
  </si>
  <si>
    <t>2.1.1-483.37</t>
  </si>
  <si>
    <t>HUEVO DE GALLINA; TAMAÑO: GRANDE, COLOR: COLOR, PRESENTACION: 30 UN</t>
  </si>
  <si>
    <t>MAPLE</t>
  </si>
  <si>
    <t>2.1.1-6539.170</t>
  </si>
  <si>
    <t>FRUTAS; VARIEDAD: MANZANA RED DELICIOSA, ESTADO: NATURAL, PRESENTACION: ENVASE X 15 Kg, ELEM. TRANSPORTE: CAJON, MATERIAL ELEM. TRANSPORTE: CARTON</t>
  </si>
  <si>
    <t>2.1.1-6539.30</t>
  </si>
  <si>
    <t>FRUTAS; VARIEDAD: BANANA, PRESENTACION: CAJON, ESTADO: NATURAL, PESO: SIN VALOR</t>
  </si>
  <si>
    <t>2.1.1-6539.157</t>
  </si>
  <si>
    <t>FRUTAS; VARIEDAD: PERA, ESTADO: NATURAL, PRESENTACION: ENVASE X 20 Kg</t>
  </si>
  <si>
    <t>2.1.1-6539.8</t>
  </si>
  <si>
    <t>FRUTAS; VARIEDAD: NARANJA ESPECIAL, ESTADO: NATURAL, PRESENTACION: CAJON, PESO: SIN VALOR</t>
  </si>
  <si>
    <t>Especificidades:</t>
  </si>
  <si>
    <t>ITEM 01:                    PESO:    Por KG</t>
  </si>
  <si>
    <t>ITEM 02:                    PESO:     Por KG</t>
  </si>
  <si>
    <t>ITEM 03:                    PESO:     Por KG</t>
  </si>
  <si>
    <t>ITEM 04:                    PESO:    CAJON DE 20KG APROX.</t>
  </si>
  <si>
    <t>ITEM 05:                    PESO:    BANDEJA  DE 10KG APROX.</t>
  </si>
  <si>
    <t>ITEM 07:                    PESO:    BOLSA DE  25 Kg. APROX.</t>
  </si>
  <si>
    <t>ITEM 09:                    PESO:    BOLSA DE  20 Kg. APROX.</t>
  </si>
  <si>
    <t xml:space="preserve">ITEM 10:                     PESO:  CAJÓN DE 20 KG. APROX. </t>
  </si>
  <si>
    <t>ITEM 13:                    PESO:   CAJÓN DE 15 KG. APROX.</t>
  </si>
  <si>
    <t>ITEM 14:                    RISTRA DE 50 BULBOS APROX.</t>
  </si>
  <si>
    <t>ITEM 18:                     MAPLE DE 30 UNIDADES</t>
  </si>
  <si>
    <t>ITEM 19:                    PESO:    Cajon de  20 KG Aprox.</t>
  </si>
  <si>
    <t>ITEM 20:                    PESO:    Cajon de 20 KG Aprox.</t>
  </si>
  <si>
    <t>ITEM 21:                    PESO:    Cajon de 20 KG Aprox.</t>
  </si>
  <si>
    <t>ITEM 22:                    PESO:   Cajon de  20 KG Aprox.</t>
  </si>
  <si>
    <t>Para los oferentes que coticen carnes, frutas y verduras deberán presentar: CERTIFICADO DE HABILITACIÓN DEL LOCAL, DESINFECCIÓN DEL MISMO emitido por el Dpto. de Bromatología y CARNET SANITARIO del personal, en copia debidamente certificada por autoridad de Aplicación o Escribano Publico. Para los  ITEMS: 02 Y 03 se  deberá constar con la rotulación del frigorífico de origen.</t>
  </si>
  <si>
    <r>
      <t xml:space="preserve">Para los distintos tipos de </t>
    </r>
    <r>
      <rPr>
        <b/>
        <u/>
        <sz val="10"/>
        <rFont val="Century Gothic"/>
        <family val="2"/>
      </rPr>
      <t>Carnes:</t>
    </r>
    <r>
      <rPr>
        <sz val="10"/>
        <rFont val="Century Gothic"/>
        <family val="2"/>
      </rPr>
      <t xml:space="preserve"> Sin exceso de grasas, sin elementos extraños y en óptimas condiciones de higiene. Los oferentes deberán contar con la Habilitación del Local para la venta, expedida por Bromatología Municipal y Certificado de Transporte Alimenticio expedido por el Dpto. de Bromatología de la Provincia de Catamarca o Habilitación de Transporte Alimenticio según normas SENASA. Si el oferente no posee transporte propio, deberá presentar Acta Convenio, en cual se encuentre establecido el periodo de prestación del servicio y los datos del vehículo a utilizar.</t>
    </r>
  </si>
  <si>
    <t>Plazos y lugares de entrega</t>
  </si>
  <si>
    <t>a) LUGAR DE ENTREGA: En la Escuela de Cadetes de Policía– sito en Av. Acosta Villafañez al 1.500 de la ciudad de San Fernando del Valle de Catamarca. 
b) FORMA DE LA ENTREGA: Libre de flete, acarreo y embalaje, como así también, de todo riesgo de pérdida o destrucción total o parcial, por causas ajenas a la Institución.
c)  PLAZO DE ENTREGA: El Oferente deberá establecer plazo de entrega de los elementos cotizados, debiendo ser expresado en días hábiles; que no podrá ser superior a cinco (5) días hábiles, contados a partir de la recepción de la comunicación prevista en el Artículo 80° de del Reglamento Pracial N° 2 de la ley 4938.</t>
  </si>
  <si>
    <t>Calidad Minima esperada</t>
  </si>
  <si>
    <t>Que Cumpla con lo Solicitado de Forma Integra. -  No sera necesario la presentacion de  muestras.-</t>
  </si>
  <si>
    <t>Mantenimiento</t>
  </si>
  <si>
    <t>30 días</t>
  </si>
  <si>
    <t>Garantia</t>
  </si>
  <si>
    <t>*</t>
  </si>
  <si>
    <t>NOTA DE PEDIDO</t>
  </si>
  <si>
    <t>N°</t>
  </si>
  <si>
    <t>81/2021</t>
  </si>
  <si>
    <t xml:space="preserve">JURISDICCIÓN: </t>
  </si>
  <si>
    <t>SAF:</t>
  </si>
  <si>
    <t>UNIDAD EJECUTORA:</t>
  </si>
  <si>
    <t>Policía de la Provincia de Catamarca</t>
  </si>
  <si>
    <t xml:space="preserve">DEPENDENCIA SOLICITANTE: </t>
  </si>
  <si>
    <t>División Intendencia, Departamento Logística</t>
  </si>
  <si>
    <t>PERIODO UTILIZACIÓN:</t>
  </si>
  <si>
    <t>3er trimestre Año 2021.-</t>
  </si>
  <si>
    <t>OBJETO:</t>
  </si>
  <si>
    <t>Adquisición de Uniformes de Fajina para el personal policial.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</si>
  <si>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</si>
  <si>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</si>
  <si>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</si>
  <si>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</si>
  <si>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</si>
  <si>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</si>
  <si>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</si>
  <si>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</si>
  <si>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Costo total estimado: Pesos Cinco Millones Doscientos Mil con 00/100.-</t>
  </si>
  <si>
    <t>AUTORIZACION PARA GASTAR</t>
  </si>
  <si>
    <t>JURISDICCIÓN:</t>
  </si>
  <si>
    <r>
      <t>AUTORIZACIÓN</t>
    </r>
    <r>
      <rPr>
        <b/>
        <sz val="10"/>
        <rFont val="Century Gothic"/>
        <family val="2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</si>
  <si>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</si>
  <si>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</si>
  <si>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</si>
  <si>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</si>
  <si>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</si>
  <si>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</si>
  <si>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</si>
  <si>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</si>
  <si>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</si>
  <si>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</si>
  <si>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</si>
  <si>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</si>
  <si>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</si>
  <si>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</si>
  <si>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</si>
  <si>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</si>
  <si>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</si>
  <si>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</si>
  <si>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</si>
  <si>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TOTAL DE PESOS:   Treinta y Cuatro Mil Novecientos Cincuenta con 00/100.-</t>
  </si>
  <si>
    <t>JUSTIFICACIÓN:</t>
  </si>
  <si>
    <t>170</t>
  </si>
  <si>
    <t>100</t>
  </si>
  <si>
    <t>300</t>
  </si>
  <si>
    <t>ITEM 11:                    PESO:   CAJON DE 10 KG. APROX.</t>
  </si>
  <si>
    <t xml:space="preserve">ITEM 12:                    PESO:   POR UNIDAD  DE  KG. 10 KG. APROX. </t>
  </si>
  <si>
    <t>ITEM 15:                    EN PRESENTACION DE ATADITOS DE 200 GR. APROX.</t>
  </si>
  <si>
    <t>ITEM 16:                    EN PRESENTACION DE ATADITOS DE 200 GR. APROX.</t>
  </si>
  <si>
    <t>ITEM 17:                    EN PRESENTACION DE ATADITOS DE 200 GR. APROX.</t>
  </si>
</sst>
</file>

<file path=xl/styles.xml><?xml version="1.0" encoding="utf-8"?>
<styleSheet xmlns="http://schemas.openxmlformats.org/spreadsheetml/2006/main">
  <numFmts count="9">
    <numFmt numFmtId="44" formatCode="_ &quot;$&quot;\ * #,##0.00_ ;_ &quot;$&quot;\ * \-#,##0.00_ ;_ &quot;$&quot;\ * &quot;-&quot;??_ ;_ @_ "/>
    <numFmt numFmtId="164" formatCode="_-&quot;$&quot;\ * #,##0.00_-;\-&quot;$&quot;\ * #,##0.00_-;_-&quot;$&quot;\ * &quot;-&quot;??_-;_-@_-"/>
    <numFmt numFmtId="165" formatCode="_(\$* #,##0.00_);_(\$* \(#,##0.00\);_(\$* \-??_);_(@_)"/>
    <numFmt numFmtId="166" formatCode="_-* #,##0.00&quot; €&quot;_-;\-* #,##0.00&quot; €&quot;_-;_-* \-??&quot; €&quot;_-;_-@_-"/>
    <numFmt numFmtId="167" formatCode="[$$-2C0A]\ #,##0.00;[$$-2C0A]&quot; -&quot;#,##0.00"/>
    <numFmt numFmtId="168" formatCode="[$$-2C0A]\ #,##0.00"/>
    <numFmt numFmtId="169" formatCode="dd\-mm\-yy;@"/>
    <numFmt numFmtId="170" formatCode="_ [$$-2C0A]\ * #,##0.00_ ;_ [$$-2C0A]\ * \-#,##0.00_ ;_ [$$-2C0A]\ * &quot;-&quot;??_ ;_ @_ "/>
    <numFmt numFmtId="171" formatCode="&quot;$&quot;\ #,##0.00"/>
  </numFmts>
  <fonts count="27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10"/>
      <color rgb="FF000000"/>
      <name val="Century Gothic"/>
      <family val="2"/>
    </font>
    <font>
      <sz val="10"/>
      <color rgb="FF000000"/>
      <name val="Century Gothic"/>
      <family val="2"/>
    </font>
    <font>
      <u/>
      <sz val="10"/>
      <name val="Century Gothic"/>
      <family val="2"/>
    </font>
    <font>
      <b/>
      <u/>
      <sz val="10"/>
      <name val="Century Gothic"/>
      <family val="2"/>
    </font>
    <font>
      <b/>
      <u/>
      <sz val="12"/>
      <name val="Century Gothic"/>
      <family val="2"/>
    </font>
    <font>
      <b/>
      <sz val="12"/>
      <name val="Century Gothic"/>
      <family val="2"/>
    </font>
    <font>
      <sz val="12"/>
      <name val="Century Gothic"/>
      <family val="2"/>
    </font>
    <font>
      <b/>
      <sz val="11"/>
      <name val="Century Gothic"/>
      <family val="2"/>
    </font>
    <font>
      <sz val="9"/>
      <name val="Century Gothic"/>
      <family val="2"/>
    </font>
    <font>
      <sz val="11"/>
      <name val="Century Gothic"/>
      <family val="2"/>
    </font>
    <font>
      <b/>
      <sz val="11"/>
      <color rgb="FF000000"/>
      <name val="Century Gothic"/>
      <family val="2"/>
    </font>
    <font>
      <b/>
      <sz val="22"/>
      <name val="Century Gothic"/>
      <family val="2"/>
    </font>
    <font>
      <b/>
      <sz val="12"/>
      <color rgb="FF000000"/>
      <name val="Century Gothic"/>
      <family val="2"/>
    </font>
    <font>
      <b/>
      <sz val="11"/>
      <name val="Times New Roman"/>
      <family val="1"/>
      <charset val="1"/>
    </font>
    <font>
      <sz val="10"/>
      <color theme="1"/>
      <name val="Century Gothic"/>
      <family val="2"/>
    </font>
    <font>
      <sz val="11"/>
      <color theme="1"/>
      <name val="Calibri"/>
      <family val="2"/>
    </font>
    <font>
      <sz val="8"/>
      <name val="Arial"/>
      <family val="2"/>
    </font>
    <font>
      <sz val="11"/>
      <color rgb="FF333333"/>
      <name val="Arial"/>
      <family val="2"/>
    </font>
    <font>
      <sz val="10"/>
      <color rgb="FFFF0000"/>
      <name val="Century Gothic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/>
      <right/>
      <top style="medium">
        <color rgb="FF3D3D3D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166" fontId="4" fillId="0" borderId="0" applyBorder="0" applyProtection="0"/>
    <xf numFmtId="0" fontId="1" fillId="0" borderId="1" applyProtection="0"/>
    <xf numFmtId="165" fontId="2" fillId="0" borderId="0" applyBorder="0" applyProtection="0"/>
    <xf numFmtId="0" fontId="3" fillId="2" borderId="0" applyBorder="0" applyProtection="0"/>
    <xf numFmtId="0" fontId="4" fillId="0" borderId="0"/>
  </cellStyleXfs>
  <cellXfs count="162">
    <xf numFmtId="0" fontId="0" fillId="0" borderId="0" xfId="0"/>
    <xf numFmtId="0" fontId="5" fillId="3" borderId="0" xfId="0" applyFont="1" applyFill="1"/>
    <xf numFmtId="0" fontId="8" fillId="3" borderId="0" xfId="0" applyFont="1" applyFill="1" applyAlignment="1">
      <alignment horizontal="left" wrapText="1"/>
    </xf>
    <xf numFmtId="0" fontId="5" fillId="3" borderId="0" xfId="0" applyFont="1" applyFill="1" applyBorder="1"/>
    <xf numFmtId="0" fontId="5" fillId="3" borderId="0" xfId="0" applyFont="1" applyFill="1" applyAlignment="1">
      <alignment horizontal="left"/>
    </xf>
    <xf numFmtId="0" fontId="8" fillId="3" borderId="0" xfId="0" applyFont="1" applyFill="1" applyAlignment="1">
      <alignment horizontal="center" wrapText="1"/>
    </xf>
    <xf numFmtId="0" fontId="19" fillId="4" borderId="0" xfId="0" applyFont="1" applyFill="1" applyAlignment="1">
      <alignment horizontal="left" wrapText="1" indent="1"/>
    </xf>
    <xf numFmtId="0" fontId="7" fillId="3" borderId="0" xfId="0" applyFont="1" applyFill="1" applyAlignment="1">
      <alignment horizontal="left" wrapText="1"/>
    </xf>
    <xf numFmtId="171" fontId="6" fillId="3" borderId="38" xfId="0" applyNumberFormat="1" applyFont="1" applyFill="1" applyBorder="1"/>
    <xf numFmtId="3" fontId="14" fillId="3" borderId="0" xfId="0" applyNumberFormat="1" applyFont="1" applyFill="1" applyBorder="1" applyAlignment="1"/>
    <xf numFmtId="169" fontId="5" fillId="3" borderId="0" xfId="0" applyNumberFormat="1" applyFont="1" applyFill="1" applyAlignment="1">
      <alignment horizontal="left"/>
    </xf>
    <xf numFmtId="0" fontId="5" fillId="3" borderId="10" xfId="0" applyFont="1" applyFill="1" applyBorder="1"/>
    <xf numFmtId="0" fontId="5" fillId="3" borderId="24" xfId="0" applyFont="1" applyFill="1" applyBorder="1"/>
    <xf numFmtId="0" fontId="5" fillId="3" borderId="12" xfId="0" applyFont="1" applyFill="1" applyBorder="1"/>
    <xf numFmtId="0" fontId="5" fillId="3" borderId="12" xfId="0" applyFont="1" applyFill="1" applyBorder="1" applyAlignment="1">
      <alignment horizontal="left"/>
    </xf>
    <xf numFmtId="0" fontId="5" fillId="3" borderId="25" xfId="0" applyFont="1" applyFill="1" applyBorder="1"/>
    <xf numFmtId="0" fontId="6" fillId="3" borderId="27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left" vertical="center"/>
    </xf>
    <xf numFmtId="0" fontId="6" fillId="3" borderId="29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/>
    </xf>
    <xf numFmtId="0" fontId="5" fillId="3" borderId="30" xfId="0" applyFont="1" applyFill="1" applyBorder="1" applyAlignment="1">
      <alignment horizontal="center" vertical="center"/>
    </xf>
    <xf numFmtId="0" fontId="5" fillId="3" borderId="31" xfId="0" applyFont="1" applyFill="1" applyBorder="1" applyAlignment="1">
      <alignment horizontal="center" vertical="center"/>
    </xf>
    <xf numFmtId="0" fontId="5" fillId="3" borderId="32" xfId="0" applyFont="1" applyFill="1" applyBorder="1" applyAlignment="1">
      <alignment horizontal="center" vertical="center"/>
    </xf>
    <xf numFmtId="167" fontId="5" fillId="3" borderId="33" xfId="3" applyNumberFormat="1" applyFont="1" applyFill="1" applyBorder="1" applyAlignment="1" applyProtection="1">
      <alignment horizontal="center" vertical="center"/>
    </xf>
    <xf numFmtId="167" fontId="6" fillId="3" borderId="34" xfId="0" applyNumberFormat="1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right" vertical="center"/>
    </xf>
    <xf numFmtId="0" fontId="12" fillId="3" borderId="11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vertical="center"/>
    </xf>
    <xf numFmtId="0" fontId="11" fillId="3" borderId="12" xfId="0" applyFont="1" applyFill="1" applyBorder="1" applyAlignment="1">
      <alignment vertical="center"/>
    </xf>
    <xf numFmtId="0" fontId="11" fillId="3" borderId="0" xfId="0" applyFont="1" applyFill="1" applyBorder="1" applyAlignment="1">
      <alignment vertical="center"/>
    </xf>
    <xf numFmtId="0" fontId="13" fillId="3" borderId="0" xfId="0" applyFont="1" applyFill="1" applyBorder="1" applyAlignment="1">
      <alignment horizontal="left" vertical="center"/>
    </xf>
    <xf numFmtId="0" fontId="12" fillId="3" borderId="0" xfId="0" applyFont="1" applyFill="1" applyBorder="1" applyAlignment="1">
      <alignment horizontal="left" vertical="center" wrapText="1" indent="1"/>
    </xf>
    <xf numFmtId="0" fontId="5" fillId="3" borderId="41" xfId="0" applyFont="1" applyFill="1" applyBorder="1" applyAlignment="1">
      <alignment horizontal="center" vertical="center" wrapText="1"/>
    </xf>
    <xf numFmtId="0" fontId="5" fillId="3" borderId="42" xfId="0" applyFont="1" applyFill="1" applyBorder="1" applyAlignment="1">
      <alignment horizontal="center" vertical="center"/>
    </xf>
    <xf numFmtId="0" fontId="5" fillId="3" borderId="42" xfId="0" applyFont="1" applyFill="1" applyBorder="1" applyAlignment="1">
      <alignment horizontal="center" vertical="center" wrapText="1"/>
    </xf>
    <xf numFmtId="170" fontId="5" fillId="3" borderId="42" xfId="1" applyNumberFormat="1" applyFont="1" applyFill="1" applyBorder="1" applyAlignment="1" applyProtection="1">
      <alignment horizontal="center" vertical="center"/>
    </xf>
    <xf numFmtId="3" fontId="5" fillId="3" borderId="42" xfId="0" applyNumberFormat="1" applyFont="1" applyFill="1" applyBorder="1" applyAlignment="1">
      <alignment horizontal="center" vertical="center"/>
    </xf>
    <xf numFmtId="170" fontId="5" fillId="3" borderId="0" xfId="0" applyNumberFormat="1" applyFont="1" applyFill="1" applyBorder="1" applyAlignment="1">
      <alignment vertical="center"/>
    </xf>
    <xf numFmtId="0" fontId="9" fillId="5" borderId="2" xfId="0" applyFont="1" applyFill="1" applyBorder="1" applyAlignment="1">
      <alignment horizontal="left"/>
    </xf>
    <xf numFmtId="0" fontId="5" fillId="5" borderId="3" xfId="0" applyFont="1" applyFill="1" applyBorder="1"/>
    <xf numFmtId="0" fontId="5" fillId="5" borderId="4" xfId="0" applyFont="1" applyFill="1" applyBorder="1"/>
    <xf numFmtId="0" fontId="5" fillId="5" borderId="0" xfId="0" applyFont="1" applyFill="1" applyBorder="1"/>
    <xf numFmtId="0" fontId="5" fillId="5" borderId="6" xfId="0" applyFont="1" applyFill="1" applyBorder="1"/>
    <xf numFmtId="0" fontId="9" fillId="5" borderId="0" xfId="0" applyFont="1" applyFill="1" applyBorder="1" applyAlignment="1"/>
    <xf numFmtId="0" fontId="10" fillId="5" borderId="2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left"/>
    </xf>
    <xf numFmtId="0" fontId="5" fillId="5" borderId="5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left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7" xfId="0" applyFont="1" applyFill="1" applyBorder="1"/>
    <xf numFmtId="0" fontId="5" fillId="5" borderId="8" xfId="0" applyFont="1" applyFill="1" applyBorder="1"/>
    <xf numFmtId="0" fontId="5" fillId="5" borderId="9" xfId="0" applyFont="1" applyFill="1" applyBorder="1"/>
    <xf numFmtId="0" fontId="5" fillId="5" borderId="3" xfId="0" applyFont="1" applyFill="1" applyBorder="1" applyAlignment="1">
      <alignment horizontal="center" wrapText="1"/>
    </xf>
    <xf numFmtId="0" fontId="5" fillId="5" borderId="4" xfId="0" applyFont="1" applyFill="1" applyBorder="1" applyAlignment="1">
      <alignment horizontal="center" wrapText="1"/>
    </xf>
    <xf numFmtId="0" fontId="5" fillId="5" borderId="5" xfId="0" applyFont="1" applyFill="1" applyBorder="1" applyAlignment="1">
      <alignment horizontal="left" indent="3"/>
    </xf>
    <xf numFmtId="0" fontId="10" fillId="5" borderId="5" xfId="0" applyFont="1" applyFill="1" applyBorder="1" applyAlignment="1"/>
    <xf numFmtId="0" fontId="9" fillId="5" borderId="5" xfId="0" applyFont="1" applyFill="1" applyBorder="1" applyAlignment="1">
      <alignment horizontal="left" indent="3"/>
    </xf>
    <xf numFmtId="0" fontId="5" fillId="5" borderId="7" xfId="0" applyFont="1" applyFill="1" applyBorder="1" applyAlignment="1">
      <alignment horizontal="left" indent="3"/>
    </xf>
    <xf numFmtId="0" fontId="7" fillId="3" borderId="14" xfId="0" applyFont="1" applyFill="1" applyBorder="1" applyAlignment="1">
      <alignment horizontal="center" vertical="center" wrapText="1"/>
    </xf>
    <xf numFmtId="0" fontId="20" fillId="0" borderId="0" xfId="0" applyFont="1" applyBorder="1" applyAlignment="1">
      <alignment vertical="center" wrapText="1"/>
    </xf>
    <xf numFmtId="49" fontId="5" fillId="3" borderId="50" xfId="0" applyNumberFormat="1" applyFont="1" applyFill="1" applyBorder="1"/>
    <xf numFmtId="0" fontId="9" fillId="5" borderId="7" xfId="0" applyFont="1" applyFill="1" applyBorder="1" applyAlignment="1">
      <alignment horizontal="left"/>
    </xf>
    <xf numFmtId="167" fontId="5" fillId="3" borderId="42" xfId="1" applyNumberFormat="1" applyFont="1" applyFill="1" applyBorder="1" applyAlignment="1" applyProtection="1">
      <alignment horizontal="right" vertical="center" wrapText="1"/>
    </xf>
    <xf numFmtId="44" fontId="21" fillId="0" borderId="42" xfId="1" applyNumberFormat="1" applyFont="1" applyBorder="1" applyAlignment="1">
      <alignment horizontal="center" vertical="center"/>
    </xf>
    <xf numFmtId="0" fontId="21" fillId="0" borderId="42" xfId="0" applyFont="1" applyBorder="1" applyAlignment="1">
      <alignment horizontal="center" vertical="center" wrapText="1"/>
    </xf>
    <xf numFmtId="0" fontId="8" fillId="3" borderId="42" xfId="0" applyFont="1" applyFill="1" applyBorder="1" applyAlignment="1">
      <alignment horizontal="center" vertical="center" wrapText="1"/>
    </xf>
    <xf numFmtId="0" fontId="22" fillId="0" borderId="42" xfId="0" applyFont="1" applyBorder="1" applyAlignment="1">
      <alignment wrapText="1"/>
    </xf>
    <xf numFmtId="49" fontId="21" fillId="0" borderId="42" xfId="0" applyNumberFormat="1" applyFont="1" applyBorder="1" applyAlignment="1">
      <alignment vertical="center" wrapText="1"/>
    </xf>
    <xf numFmtId="49" fontId="5" fillId="0" borderId="42" xfId="0" applyNumberFormat="1" applyFont="1" applyBorder="1" applyAlignment="1">
      <alignment vertical="center"/>
    </xf>
    <xf numFmtId="0" fontId="21" fillId="0" borderId="42" xfId="0" applyFont="1" applyBorder="1" applyAlignment="1">
      <alignment horizontal="center" vertical="center"/>
    </xf>
    <xf numFmtId="0" fontId="7" fillId="3" borderId="51" xfId="0" applyFont="1" applyFill="1" applyBorder="1" applyAlignment="1">
      <alignment horizontal="center" vertical="center" wrapText="1"/>
    </xf>
    <xf numFmtId="0" fontId="7" fillId="3" borderId="52" xfId="0" applyFont="1" applyFill="1" applyBorder="1" applyAlignment="1">
      <alignment horizontal="center" vertical="center" wrapText="1"/>
    </xf>
    <xf numFmtId="0" fontId="7" fillId="3" borderId="53" xfId="0" applyFont="1" applyFill="1" applyBorder="1" applyAlignment="1">
      <alignment horizontal="center" vertical="center" wrapText="1"/>
    </xf>
    <xf numFmtId="0" fontId="7" fillId="3" borderId="19" xfId="0" applyFont="1" applyFill="1" applyBorder="1" applyAlignment="1">
      <alignment horizontal="center" vertical="center" wrapText="1"/>
    </xf>
    <xf numFmtId="0" fontId="22" fillId="0" borderId="55" xfId="0" applyFont="1" applyBorder="1" applyAlignment="1">
      <alignment wrapText="1"/>
    </xf>
    <xf numFmtId="0" fontId="24" fillId="6" borderId="56" xfId="0" applyFont="1" applyFill="1" applyBorder="1" applyAlignment="1">
      <alignment vertical="center" wrapText="1"/>
    </xf>
    <xf numFmtId="0" fontId="24" fillId="3" borderId="54" xfId="0" applyFont="1" applyFill="1" applyBorder="1" applyAlignment="1">
      <alignment vertical="center" wrapText="1"/>
    </xf>
    <xf numFmtId="49" fontId="5" fillId="0" borderId="54" xfId="0" applyNumberFormat="1" applyFont="1" applyBorder="1" applyAlignment="1">
      <alignment vertical="center"/>
    </xf>
    <xf numFmtId="0" fontId="8" fillId="3" borderId="54" xfId="0" applyFont="1" applyFill="1" applyBorder="1" applyAlignment="1">
      <alignment horizontal="center" vertical="center" wrapText="1"/>
    </xf>
    <xf numFmtId="0" fontId="22" fillId="0" borderId="54" xfId="0" applyFont="1" applyBorder="1" applyAlignment="1">
      <alignment wrapText="1"/>
    </xf>
    <xf numFmtId="44" fontId="21" fillId="0" borderId="54" xfId="1" applyNumberFormat="1" applyFont="1" applyBorder="1" applyAlignment="1">
      <alignment horizontal="center" vertical="center"/>
    </xf>
    <xf numFmtId="0" fontId="24" fillId="3" borderId="54" xfId="0" applyFont="1" applyFill="1" applyBorder="1" applyAlignment="1">
      <alignment horizontal="center" vertical="top" wrapText="1"/>
    </xf>
    <xf numFmtId="164" fontId="5" fillId="3" borderId="0" xfId="0" applyNumberFormat="1" applyFont="1" applyFill="1"/>
    <xf numFmtId="0" fontId="25" fillId="3" borderId="0" xfId="0" applyFont="1" applyFill="1"/>
    <xf numFmtId="0" fontId="22" fillId="3" borderId="42" xfId="0" applyFont="1" applyFill="1" applyBorder="1" applyAlignment="1">
      <alignment wrapText="1"/>
    </xf>
    <xf numFmtId="0" fontId="26" fillId="0" borderId="42" xfId="0" applyFont="1" applyBorder="1" applyAlignment="1">
      <alignment wrapText="1"/>
    </xf>
    <xf numFmtId="0" fontId="5" fillId="0" borderId="42" xfId="0" applyFont="1" applyBorder="1" applyAlignment="1">
      <alignment horizontal="center" vertical="center" wrapText="1"/>
    </xf>
    <xf numFmtId="44" fontId="5" fillId="0" borderId="42" xfId="1" applyNumberFormat="1" applyFont="1" applyBorder="1" applyAlignment="1">
      <alignment horizontal="center" vertical="center"/>
    </xf>
    <xf numFmtId="0" fontId="9" fillId="5" borderId="5" xfId="0" applyFont="1" applyFill="1" applyBorder="1" applyAlignment="1">
      <alignment horizontal="left"/>
    </xf>
    <xf numFmtId="0" fontId="5" fillId="5" borderId="0" xfId="0" applyFont="1" applyFill="1" applyBorder="1" applyAlignment="1">
      <alignment horizontal="left" vertical="center" wrapText="1"/>
    </xf>
    <xf numFmtId="0" fontId="5" fillId="5" borderId="6" xfId="0" applyFont="1" applyFill="1" applyBorder="1" applyAlignment="1">
      <alignment horizontal="left"/>
    </xf>
    <xf numFmtId="0" fontId="5" fillId="5" borderId="0" xfId="0" applyFont="1" applyFill="1" applyBorder="1" applyAlignment="1">
      <alignment horizontal="left" vertical="center" wrapText="1"/>
    </xf>
    <xf numFmtId="0" fontId="5" fillId="5" borderId="6" xfId="0" applyFont="1" applyFill="1" applyBorder="1" applyAlignment="1">
      <alignment horizontal="left" vertical="center" wrapText="1"/>
    </xf>
    <xf numFmtId="0" fontId="5" fillId="5" borderId="0" xfId="0" applyFont="1" applyFill="1" applyBorder="1" applyAlignment="1">
      <alignment horizontal="left" wrapText="1"/>
    </xf>
    <xf numFmtId="0" fontId="5" fillId="5" borderId="6" xfId="0" applyFont="1" applyFill="1" applyBorder="1" applyAlignment="1">
      <alignment horizontal="left" wrapText="1"/>
    </xf>
    <xf numFmtId="0" fontId="5" fillId="5" borderId="0" xfId="0" applyFont="1" applyFill="1" applyBorder="1" applyAlignment="1">
      <alignment horizontal="left"/>
    </xf>
    <xf numFmtId="0" fontId="5" fillId="5" borderId="6" xfId="0" applyFont="1" applyFill="1" applyBorder="1" applyAlignment="1">
      <alignment horizontal="left"/>
    </xf>
    <xf numFmtId="0" fontId="5" fillId="5" borderId="8" xfId="0" applyFont="1" applyFill="1" applyBorder="1" applyAlignment="1">
      <alignment horizontal="left" vertical="center" wrapText="1"/>
    </xf>
    <xf numFmtId="0" fontId="5" fillId="5" borderId="9" xfId="0" applyFont="1" applyFill="1" applyBorder="1" applyAlignment="1">
      <alignment horizontal="left" vertical="center" wrapText="1"/>
    </xf>
    <xf numFmtId="0" fontId="5" fillId="5" borderId="19" xfId="0" applyFont="1" applyFill="1" applyBorder="1" applyAlignment="1">
      <alignment horizontal="left" vertical="center" wrapText="1"/>
    </xf>
    <xf numFmtId="0" fontId="5" fillId="5" borderId="43" xfId="0" applyFont="1" applyFill="1" applyBorder="1" applyAlignment="1">
      <alignment horizontal="left" vertical="center" wrapText="1"/>
    </xf>
    <xf numFmtId="0" fontId="5" fillId="5" borderId="20" xfId="0" applyFont="1" applyFill="1" applyBorder="1" applyAlignment="1">
      <alignment horizontal="left" vertical="center" wrapText="1"/>
    </xf>
    <xf numFmtId="0" fontId="5" fillId="5" borderId="6" xfId="0" applyFont="1" applyFill="1" applyBorder="1" applyAlignment="1">
      <alignment horizontal="center"/>
    </xf>
    <xf numFmtId="0" fontId="9" fillId="5" borderId="5" xfId="0" applyFont="1" applyFill="1" applyBorder="1" applyAlignment="1">
      <alignment horizontal="left"/>
    </xf>
    <xf numFmtId="0" fontId="9" fillId="5" borderId="0" xfId="0" applyFont="1" applyFill="1" applyBorder="1" applyAlignment="1">
      <alignment horizontal="left"/>
    </xf>
    <xf numFmtId="0" fontId="17" fillId="3" borderId="0" xfId="0" applyFont="1" applyFill="1" applyBorder="1" applyAlignment="1">
      <alignment horizontal="left" vertical="center" wrapText="1"/>
    </xf>
    <xf numFmtId="0" fontId="18" fillId="3" borderId="0" xfId="0" applyFont="1" applyFill="1" applyBorder="1" applyAlignment="1">
      <alignment horizontal="center"/>
    </xf>
    <xf numFmtId="0" fontId="19" fillId="4" borderId="0" xfId="0" applyFont="1" applyFill="1" applyBorder="1" applyAlignment="1">
      <alignment horizontal="left" wrapText="1" indent="1"/>
    </xf>
    <xf numFmtId="0" fontId="11" fillId="3" borderId="0" xfId="0" applyFont="1" applyFill="1" applyBorder="1" applyAlignment="1">
      <alignment horizontal="center" vertical="center"/>
    </xf>
    <xf numFmtId="0" fontId="13" fillId="3" borderId="13" xfId="0" applyFont="1" applyFill="1" applyBorder="1" applyAlignment="1">
      <alignment horizontal="left" vertical="center" wrapText="1"/>
    </xf>
    <xf numFmtId="0" fontId="12" fillId="3" borderId="19" xfId="0" applyFont="1" applyFill="1" applyBorder="1" applyAlignment="1">
      <alignment horizontal="left" vertical="center" wrapText="1" indent="1"/>
    </xf>
    <xf numFmtId="0" fontId="12" fillId="3" borderId="43" xfId="0" applyFont="1" applyFill="1" applyBorder="1" applyAlignment="1">
      <alignment horizontal="left" vertical="center" wrapText="1" indent="1"/>
    </xf>
    <xf numFmtId="0" fontId="12" fillId="3" borderId="20" xfId="0" applyFont="1" applyFill="1" applyBorder="1" applyAlignment="1">
      <alignment horizontal="left" vertical="center" wrapText="1" indent="1"/>
    </xf>
    <xf numFmtId="0" fontId="13" fillId="3" borderId="15" xfId="0" applyFont="1" applyFill="1" applyBorder="1" applyAlignment="1">
      <alignment horizontal="left" vertical="center" wrapText="1"/>
    </xf>
    <xf numFmtId="0" fontId="12" fillId="3" borderId="14" xfId="0" applyFont="1" applyFill="1" applyBorder="1" applyAlignment="1">
      <alignment horizontal="left" vertical="center" wrapText="1" indent="1"/>
    </xf>
    <xf numFmtId="0" fontId="12" fillId="3" borderId="38" xfId="0" applyFont="1" applyFill="1" applyBorder="1" applyAlignment="1">
      <alignment horizontal="left" vertical="center" wrapText="1" indent="1"/>
    </xf>
    <xf numFmtId="168" fontId="12" fillId="3" borderId="38" xfId="0" applyNumberFormat="1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left" vertical="center" wrapText="1" indent="1"/>
    </xf>
    <xf numFmtId="0" fontId="14" fillId="3" borderId="19" xfId="0" applyFont="1" applyFill="1" applyBorder="1" applyAlignment="1">
      <alignment horizontal="center" vertical="center"/>
    </xf>
    <xf numFmtId="0" fontId="20" fillId="0" borderId="14" xfId="0" applyFont="1" applyBorder="1" applyAlignment="1">
      <alignment horizontal="center" vertic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 wrapText="1"/>
    </xf>
    <xf numFmtId="0" fontId="14" fillId="3" borderId="17" xfId="0" applyFont="1" applyFill="1" applyBorder="1" applyAlignment="1">
      <alignment horizontal="center" vertical="center" wrapText="1"/>
    </xf>
    <xf numFmtId="0" fontId="14" fillId="3" borderId="47" xfId="0" applyFont="1" applyFill="1" applyBorder="1" applyAlignment="1">
      <alignment horizontal="center" vertical="center" wrapText="1"/>
    </xf>
    <xf numFmtId="0" fontId="13" fillId="3" borderId="16" xfId="0" applyFont="1" applyFill="1" applyBorder="1" applyAlignment="1">
      <alignment horizontal="left" vertical="center"/>
    </xf>
    <xf numFmtId="49" fontId="15" fillId="3" borderId="44" xfId="0" applyNumberFormat="1" applyFont="1" applyFill="1" applyBorder="1" applyAlignment="1">
      <alignment horizontal="left" vertical="center" wrapText="1"/>
    </xf>
    <xf numFmtId="0" fontId="15" fillId="3" borderId="49" xfId="0" applyFont="1" applyFill="1" applyBorder="1" applyAlignment="1">
      <alignment horizontal="left" vertical="center" wrapText="1"/>
    </xf>
    <xf numFmtId="0" fontId="15" fillId="3" borderId="48" xfId="0" applyFont="1" applyFill="1" applyBorder="1" applyAlignment="1">
      <alignment horizontal="left" vertical="center" wrapText="1"/>
    </xf>
    <xf numFmtId="0" fontId="5" fillId="3" borderId="19" xfId="0" applyFont="1" applyFill="1" applyBorder="1" applyAlignment="1">
      <alignment horizontal="center"/>
    </xf>
    <xf numFmtId="3" fontId="14" fillId="3" borderId="20" xfId="0" applyNumberFormat="1" applyFont="1" applyFill="1" applyBorder="1" applyAlignment="1">
      <alignment horizontal="center"/>
    </xf>
    <xf numFmtId="0" fontId="12" fillId="3" borderId="11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/>
    <xf numFmtId="0" fontId="16" fillId="3" borderId="11" xfId="0" applyFont="1" applyFill="1" applyBorder="1" applyAlignment="1">
      <alignment horizontal="left" indent="1"/>
    </xf>
    <xf numFmtId="0" fontId="5" fillId="3" borderId="13" xfId="0" applyFont="1" applyFill="1" applyBorder="1" applyAlignment="1">
      <alignment horizontal="left" vertical="center" wrapText="1"/>
    </xf>
    <xf numFmtId="0" fontId="5" fillId="3" borderId="36" xfId="0" applyFont="1" applyFill="1" applyBorder="1" applyAlignment="1">
      <alignment horizontal="left" vertical="center" wrapText="1"/>
    </xf>
    <xf numFmtId="0" fontId="5" fillId="3" borderId="37" xfId="0" applyFont="1" applyFill="1" applyBorder="1" applyAlignment="1">
      <alignment horizontal="left" vertical="center" wrapText="1"/>
    </xf>
    <xf numFmtId="0" fontId="10" fillId="3" borderId="11" xfId="0" applyFont="1" applyFill="1" applyBorder="1" applyAlignment="1">
      <alignment horizontal="left"/>
    </xf>
    <xf numFmtId="0" fontId="16" fillId="3" borderId="22" xfId="0" applyFont="1" applyFill="1" applyBorder="1" applyAlignment="1"/>
    <xf numFmtId="0" fontId="16" fillId="3" borderId="23" xfId="0" applyFont="1" applyFill="1" applyBorder="1" applyAlignment="1">
      <alignment horizontal="left" vertical="center" wrapText="1" indent="1"/>
    </xf>
    <xf numFmtId="0" fontId="6" fillId="3" borderId="2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/>
    </xf>
    <xf numFmtId="0" fontId="5" fillId="3" borderId="32" xfId="0" applyFont="1" applyFill="1" applyBorder="1" applyAlignment="1">
      <alignment horizontal="left" vertical="center" wrapText="1"/>
    </xf>
    <xf numFmtId="0" fontId="5" fillId="3" borderId="39" xfId="0" applyFont="1" applyFill="1" applyBorder="1" applyAlignment="1">
      <alignment horizontal="left" vertical="center" wrapText="1"/>
    </xf>
    <xf numFmtId="0" fontId="14" fillId="3" borderId="19" xfId="0" applyFont="1" applyFill="1" applyBorder="1" applyAlignment="1">
      <alignment vertical="center" wrapText="1"/>
    </xf>
    <xf numFmtId="0" fontId="14" fillId="3" borderId="35" xfId="0" applyFont="1" applyFill="1" applyBorder="1" applyAlignment="1">
      <alignment vertical="center" wrapText="1"/>
    </xf>
    <xf numFmtId="0" fontId="14" fillId="3" borderId="17" xfId="0" applyFont="1" applyFill="1" applyBorder="1" applyAlignment="1">
      <alignment vertical="center" wrapText="1"/>
    </xf>
    <xf numFmtId="0" fontId="16" fillId="3" borderId="45" xfId="0" applyFont="1" applyFill="1" applyBorder="1" applyAlignment="1">
      <alignment vertical="center" wrapText="1"/>
    </xf>
    <xf numFmtId="0" fontId="16" fillId="3" borderId="46" xfId="0" applyFont="1" applyFill="1" applyBorder="1" applyAlignment="1">
      <alignment vertical="center" wrapText="1"/>
    </xf>
    <xf numFmtId="0" fontId="16" fillId="3" borderId="22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24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6" fillId="3" borderId="25" xfId="0" applyFont="1" applyFill="1" applyBorder="1" applyAlignment="1">
      <alignment horizontal="left" vertical="center" wrapText="1"/>
    </xf>
    <xf numFmtId="0" fontId="14" fillId="3" borderId="34" xfId="0" applyFont="1" applyFill="1" applyBorder="1" applyAlignment="1">
      <alignment horizontal="left" vertical="center" wrapText="1"/>
    </xf>
    <xf numFmtId="0" fontId="6" fillId="3" borderId="15" xfId="0" applyFont="1" applyFill="1" applyBorder="1" applyAlignment="1">
      <alignment vertical="center"/>
    </xf>
    <xf numFmtId="0" fontId="6" fillId="3" borderId="40" xfId="0" applyFont="1" applyFill="1" applyBorder="1" applyAlignment="1">
      <alignment vertical="center"/>
    </xf>
    <xf numFmtId="0" fontId="6" fillId="3" borderId="26" xfId="0" applyFont="1" applyFill="1" applyBorder="1" applyAlignment="1">
      <alignment vertical="center"/>
    </xf>
  </cellXfs>
  <cellStyles count="6">
    <cellStyle name="Encabezado 1" xfId="2"/>
    <cellStyle name="Moneda" xfId="1" builtinId="4"/>
    <cellStyle name="Moneda_AUTORIZACION Y NOTA DE PEDIDO" xfId="3"/>
    <cellStyle name="Neutral 1" xfId="4"/>
    <cellStyle name="Normal" xfId="0" builtinId="0"/>
    <cellStyle name="Normal 8" xf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L71"/>
  <sheetViews>
    <sheetView tabSelected="1" topLeftCell="A19" zoomScale="70" zoomScaleNormal="70" workbookViewId="0">
      <selection activeCell="I32" sqref="I32"/>
    </sheetView>
  </sheetViews>
  <sheetFormatPr baseColWidth="10" defaultColWidth="11" defaultRowHeight="13.5"/>
  <cols>
    <col min="1" max="1" width="4.5703125" style="1" customWidth="1"/>
    <col min="2" max="2" width="17.140625" style="1" customWidth="1"/>
    <col min="3" max="3" width="25.85546875" style="1" customWidth="1"/>
    <col min="4" max="4" width="8.42578125" style="1" customWidth="1"/>
    <col min="5" max="5" width="133.7109375" style="1" bestFit="1" customWidth="1"/>
    <col min="6" max="6" width="15.140625" style="1" customWidth="1"/>
    <col min="7" max="7" width="15.7109375" style="1" customWidth="1"/>
    <col min="8" max="8" width="13.85546875" style="1" customWidth="1"/>
    <col min="9" max="9" width="18.5703125" style="1" customWidth="1"/>
    <col min="10" max="10" width="11" style="1"/>
    <col min="11" max="11" width="12" style="1" bestFit="1" customWidth="1"/>
    <col min="12" max="16384" width="11" style="1"/>
  </cols>
  <sheetData>
    <row r="2" spans="1:10" ht="28.5">
      <c r="B2" s="108" t="s">
        <v>0</v>
      </c>
      <c r="C2" s="108"/>
      <c r="D2" s="108"/>
      <c r="E2" s="108"/>
      <c r="F2" s="108"/>
      <c r="G2" s="108"/>
      <c r="H2" s="108"/>
    </row>
    <row r="4" spans="1:10" ht="18" customHeight="1">
      <c r="A4" s="107" t="s">
        <v>1</v>
      </c>
      <c r="B4" s="107"/>
      <c r="C4" s="109" t="s">
        <v>2</v>
      </c>
      <c r="D4" s="109"/>
      <c r="E4" s="109"/>
      <c r="F4" s="2"/>
      <c r="G4" s="5"/>
      <c r="H4" s="2"/>
    </row>
    <row r="5" spans="1:10" ht="18" customHeight="1">
      <c r="A5" s="107" t="s">
        <v>3</v>
      </c>
      <c r="B5" s="107"/>
      <c r="C5" s="109" t="s">
        <v>4</v>
      </c>
      <c r="D5" s="109"/>
      <c r="E5" s="109"/>
      <c r="F5" s="2"/>
      <c r="G5" s="5"/>
      <c r="H5" s="2"/>
    </row>
    <row r="6" spans="1:10" ht="16.5" customHeight="1">
      <c r="A6" s="107" t="s">
        <v>5</v>
      </c>
      <c r="B6" s="107"/>
      <c r="C6" s="6">
        <v>2022</v>
      </c>
      <c r="D6" s="7"/>
      <c r="E6" s="7"/>
      <c r="F6" s="2"/>
      <c r="G6" s="5"/>
      <c r="H6" s="2"/>
    </row>
    <row r="7" spans="1:10" ht="16.5" customHeight="1">
      <c r="A7" s="107" t="s">
        <v>6</v>
      </c>
      <c r="B7" s="107"/>
      <c r="C7" s="6">
        <v>2</v>
      </c>
      <c r="D7" s="7"/>
      <c r="E7" s="7"/>
      <c r="F7" s="2"/>
      <c r="G7" s="5"/>
      <c r="H7" s="2"/>
    </row>
    <row r="8" spans="1:10" ht="14.25" thickBot="1">
      <c r="B8" s="2"/>
      <c r="C8" s="5"/>
      <c r="D8" s="2"/>
      <c r="E8" s="2"/>
      <c r="F8" s="2"/>
      <c r="G8" s="5"/>
      <c r="H8" s="2"/>
    </row>
    <row r="9" spans="1:10" ht="39" thickBot="1">
      <c r="A9" s="75" t="s">
        <v>7</v>
      </c>
      <c r="B9" s="60" t="s">
        <v>8</v>
      </c>
      <c r="C9" s="74" t="s">
        <v>9</v>
      </c>
      <c r="D9" s="73" t="s">
        <v>10</v>
      </c>
      <c r="E9" s="73" t="s">
        <v>11</v>
      </c>
      <c r="F9" s="73" t="s">
        <v>12</v>
      </c>
      <c r="G9" s="73" t="s">
        <v>13</v>
      </c>
      <c r="H9" s="73" t="s">
        <v>14</v>
      </c>
      <c r="I9" s="72" t="s">
        <v>15</v>
      </c>
    </row>
    <row r="10" spans="1:10" ht="30">
      <c r="A10" s="71">
        <v>1</v>
      </c>
      <c r="B10" s="70" t="s">
        <v>16</v>
      </c>
      <c r="C10" s="69" t="s">
        <v>17</v>
      </c>
      <c r="D10" s="67" t="s">
        <v>18</v>
      </c>
      <c r="E10" s="68" t="s">
        <v>19</v>
      </c>
      <c r="F10" s="67" t="s">
        <v>20</v>
      </c>
      <c r="G10" s="66">
        <v>100</v>
      </c>
      <c r="H10" s="65">
        <v>1064</v>
      </c>
      <c r="I10" s="64">
        <f t="shared" ref="I10:I31" si="0">(G10*H10)</f>
        <v>106400</v>
      </c>
    </row>
    <row r="11" spans="1:10" ht="15">
      <c r="A11" s="71">
        <v>2</v>
      </c>
      <c r="B11" s="70" t="s">
        <v>21</v>
      </c>
      <c r="C11" s="69" t="s">
        <v>17</v>
      </c>
      <c r="D11" s="67" t="s">
        <v>18</v>
      </c>
      <c r="E11" s="68" t="s">
        <v>22</v>
      </c>
      <c r="F11" s="67" t="s">
        <v>20</v>
      </c>
      <c r="G11" s="66">
        <v>2000</v>
      </c>
      <c r="H11" s="65">
        <v>1490</v>
      </c>
      <c r="I11" s="64">
        <f t="shared" si="0"/>
        <v>2980000</v>
      </c>
    </row>
    <row r="12" spans="1:10" ht="15">
      <c r="A12" s="71">
        <v>3</v>
      </c>
      <c r="B12" s="70" t="s">
        <v>23</v>
      </c>
      <c r="C12" s="69" t="s">
        <v>17</v>
      </c>
      <c r="D12" s="67" t="s">
        <v>18</v>
      </c>
      <c r="E12" s="68" t="s">
        <v>24</v>
      </c>
      <c r="F12" s="67" t="s">
        <v>20</v>
      </c>
      <c r="G12" s="66">
        <v>1500</v>
      </c>
      <c r="H12" s="65">
        <v>2020</v>
      </c>
      <c r="I12" s="64">
        <f t="shared" ref="I12" si="1">(G12*H12)</f>
        <v>3030000</v>
      </c>
    </row>
    <row r="13" spans="1:10" ht="28.5" customHeight="1">
      <c r="A13" s="71">
        <v>4</v>
      </c>
      <c r="B13" s="70" t="s">
        <v>25</v>
      </c>
      <c r="C13" s="69" t="s">
        <v>17</v>
      </c>
      <c r="D13" s="67" t="s">
        <v>18</v>
      </c>
      <c r="E13" s="76" t="s">
        <v>26</v>
      </c>
      <c r="F13" s="67" t="s">
        <v>20</v>
      </c>
      <c r="G13" s="66">
        <v>300</v>
      </c>
      <c r="H13" s="65">
        <v>9960</v>
      </c>
      <c r="I13" s="64">
        <f>(G13*H13)</f>
        <v>2988000</v>
      </c>
    </row>
    <row r="14" spans="1:10" ht="48.75" customHeight="1">
      <c r="A14" s="71">
        <v>5</v>
      </c>
      <c r="B14" s="70" t="s">
        <v>27</v>
      </c>
      <c r="C14" s="69" t="s">
        <v>17</v>
      </c>
      <c r="D14" s="67" t="s">
        <v>18</v>
      </c>
      <c r="E14" s="77" t="s">
        <v>28</v>
      </c>
      <c r="F14" s="67" t="s">
        <v>20</v>
      </c>
      <c r="G14" s="66" t="s">
        <v>136</v>
      </c>
      <c r="H14" s="65">
        <v>12000</v>
      </c>
      <c r="I14" s="64">
        <f>(G14*H14)</f>
        <v>2040000</v>
      </c>
    </row>
    <row r="15" spans="1:10" ht="36.75" customHeight="1">
      <c r="A15" s="71">
        <v>6</v>
      </c>
      <c r="B15" s="70" t="s">
        <v>29</v>
      </c>
      <c r="C15" s="69" t="s">
        <v>17</v>
      </c>
      <c r="D15" s="67" t="s">
        <v>18</v>
      </c>
      <c r="E15" s="78" t="s">
        <v>30</v>
      </c>
      <c r="F15" s="83" t="s">
        <v>20</v>
      </c>
      <c r="G15" s="66">
        <v>1500</v>
      </c>
      <c r="H15" s="65">
        <v>340</v>
      </c>
      <c r="I15" s="64">
        <f>(G15*H15)</f>
        <v>510000</v>
      </c>
    </row>
    <row r="16" spans="1:10" ht="15">
      <c r="A16" s="71">
        <v>7</v>
      </c>
      <c r="B16" s="70" t="s">
        <v>31</v>
      </c>
      <c r="C16" s="69" t="s">
        <v>17</v>
      </c>
      <c r="D16" s="67" t="s">
        <v>18</v>
      </c>
      <c r="E16" s="86" t="s">
        <v>32</v>
      </c>
      <c r="F16" s="67" t="s">
        <v>20</v>
      </c>
      <c r="G16" s="35">
        <v>400</v>
      </c>
      <c r="H16" s="65">
        <v>1100</v>
      </c>
      <c r="I16" s="64">
        <f t="shared" si="0"/>
        <v>440000</v>
      </c>
      <c r="J16" s="85"/>
    </row>
    <row r="17" spans="1:12" ht="15">
      <c r="A17" s="71">
        <v>8</v>
      </c>
      <c r="B17" s="70" t="s">
        <v>33</v>
      </c>
      <c r="C17" s="69" t="s">
        <v>17</v>
      </c>
      <c r="D17" s="67" t="s">
        <v>18</v>
      </c>
      <c r="E17" s="68" t="s">
        <v>34</v>
      </c>
      <c r="F17" s="67" t="s">
        <v>20</v>
      </c>
      <c r="G17" s="66">
        <v>200</v>
      </c>
      <c r="H17" s="65">
        <v>1300</v>
      </c>
      <c r="I17" s="64">
        <f t="shared" si="0"/>
        <v>260000</v>
      </c>
      <c r="J17" s="85"/>
    </row>
    <row r="18" spans="1:12" ht="15">
      <c r="A18" s="71">
        <v>9</v>
      </c>
      <c r="B18" s="70" t="s">
        <v>35</v>
      </c>
      <c r="C18" s="69" t="s">
        <v>17</v>
      </c>
      <c r="D18" s="67" t="s">
        <v>18</v>
      </c>
      <c r="E18" s="68" t="s">
        <v>36</v>
      </c>
      <c r="F18" s="67" t="s">
        <v>20</v>
      </c>
      <c r="G18" s="66">
        <v>200</v>
      </c>
      <c r="H18" s="65">
        <v>1200</v>
      </c>
      <c r="I18" s="64">
        <f t="shared" si="0"/>
        <v>240000</v>
      </c>
      <c r="J18" s="85"/>
    </row>
    <row r="19" spans="1:12" ht="44.25" customHeight="1">
      <c r="A19" s="71">
        <v>10</v>
      </c>
      <c r="B19" s="70" t="s">
        <v>37</v>
      </c>
      <c r="C19" s="69" t="s">
        <v>17</v>
      </c>
      <c r="D19" s="67" t="s">
        <v>18</v>
      </c>
      <c r="E19" s="87" t="s">
        <v>38</v>
      </c>
      <c r="F19" s="67" t="s">
        <v>20</v>
      </c>
      <c r="G19" s="66">
        <v>400</v>
      </c>
      <c r="H19" s="65">
        <v>3200</v>
      </c>
      <c r="I19" s="64">
        <f>(G19*H19)</f>
        <v>1280000</v>
      </c>
      <c r="J19" s="85"/>
    </row>
    <row r="20" spans="1:12" ht="25.9" customHeight="1">
      <c r="A20" s="71">
        <v>11</v>
      </c>
      <c r="B20" s="70" t="s">
        <v>39</v>
      </c>
      <c r="C20" s="69" t="s">
        <v>17</v>
      </c>
      <c r="D20" s="67" t="s">
        <v>18</v>
      </c>
      <c r="E20" s="68" t="s">
        <v>40</v>
      </c>
      <c r="F20" s="67" t="s">
        <v>20</v>
      </c>
      <c r="G20" s="88">
        <v>300</v>
      </c>
      <c r="H20" s="89">
        <v>2400</v>
      </c>
      <c r="I20" s="64">
        <f t="shared" si="0"/>
        <v>720000</v>
      </c>
      <c r="J20" s="84"/>
      <c r="K20" s="84"/>
    </row>
    <row r="21" spans="1:12" ht="15">
      <c r="A21" s="71">
        <v>12</v>
      </c>
      <c r="B21" s="70" t="s">
        <v>41</v>
      </c>
      <c r="C21" s="69" t="s">
        <v>17</v>
      </c>
      <c r="D21" s="67" t="s">
        <v>18</v>
      </c>
      <c r="E21" s="68" t="s">
        <v>42</v>
      </c>
      <c r="F21" s="67" t="s">
        <v>20</v>
      </c>
      <c r="G21" s="66">
        <v>300</v>
      </c>
      <c r="H21" s="65">
        <v>1000</v>
      </c>
      <c r="I21" s="64">
        <f t="shared" si="0"/>
        <v>300000</v>
      </c>
    </row>
    <row r="22" spans="1:12" ht="32.25" customHeight="1">
      <c r="A22" s="71">
        <v>13</v>
      </c>
      <c r="B22" s="70" t="s">
        <v>43</v>
      </c>
      <c r="C22" s="69" t="s">
        <v>17</v>
      </c>
      <c r="D22" s="67" t="s">
        <v>18</v>
      </c>
      <c r="E22" s="68" t="s">
        <v>44</v>
      </c>
      <c r="F22" s="35" t="s">
        <v>20</v>
      </c>
      <c r="G22" s="88">
        <v>200</v>
      </c>
      <c r="H22" s="89">
        <v>2400</v>
      </c>
      <c r="I22" s="64">
        <f t="shared" si="0"/>
        <v>480000</v>
      </c>
      <c r="J22" s="84"/>
      <c r="K22" s="84"/>
      <c r="L22" s="85"/>
    </row>
    <row r="23" spans="1:12" ht="28.5" customHeight="1">
      <c r="A23" s="71">
        <v>14</v>
      </c>
      <c r="B23" s="70" t="s">
        <v>45</v>
      </c>
      <c r="C23" s="69" t="s">
        <v>17</v>
      </c>
      <c r="D23" s="67" t="s">
        <v>18</v>
      </c>
      <c r="E23" s="68" t="s">
        <v>46</v>
      </c>
      <c r="F23" s="67" t="s">
        <v>20</v>
      </c>
      <c r="G23" s="66" t="s">
        <v>137</v>
      </c>
      <c r="H23" s="65">
        <v>2400</v>
      </c>
      <c r="I23" s="64">
        <f t="shared" si="0"/>
        <v>240000</v>
      </c>
      <c r="J23" s="85"/>
    </row>
    <row r="24" spans="1:12" ht="28.5" customHeight="1">
      <c r="A24" s="71">
        <v>15</v>
      </c>
      <c r="B24" s="70" t="s">
        <v>47</v>
      </c>
      <c r="C24" s="69" t="s">
        <v>17</v>
      </c>
      <c r="D24" s="67" t="s">
        <v>18</v>
      </c>
      <c r="E24" s="68" t="s">
        <v>48</v>
      </c>
      <c r="F24" s="67" t="s">
        <v>20</v>
      </c>
      <c r="G24" s="66" t="s">
        <v>138</v>
      </c>
      <c r="H24" s="65">
        <v>140</v>
      </c>
      <c r="I24" s="64">
        <f>(G24*H24)</f>
        <v>42000</v>
      </c>
    </row>
    <row r="25" spans="1:12" ht="29.25" customHeight="1">
      <c r="A25" s="71">
        <v>16</v>
      </c>
      <c r="B25" s="70" t="s">
        <v>49</v>
      </c>
      <c r="C25" s="69" t="s">
        <v>17</v>
      </c>
      <c r="D25" s="67" t="s">
        <v>18</v>
      </c>
      <c r="E25" s="68" t="s">
        <v>50</v>
      </c>
      <c r="F25" s="67" t="s">
        <v>20</v>
      </c>
      <c r="G25" s="66" t="s">
        <v>138</v>
      </c>
      <c r="H25" s="65">
        <v>140</v>
      </c>
      <c r="I25" s="64">
        <f t="shared" ref="I25:I26" si="2">+H25*G25</f>
        <v>42000</v>
      </c>
    </row>
    <row r="26" spans="1:12" ht="44.25" customHeight="1">
      <c r="A26" s="71">
        <v>17</v>
      </c>
      <c r="B26" s="70" t="s">
        <v>51</v>
      </c>
      <c r="C26" s="69" t="s">
        <v>17</v>
      </c>
      <c r="D26" s="67" t="s">
        <v>18</v>
      </c>
      <c r="E26" s="68" t="s">
        <v>52</v>
      </c>
      <c r="F26" s="80" t="s">
        <v>20</v>
      </c>
      <c r="G26" s="66" t="s">
        <v>138</v>
      </c>
      <c r="H26" s="65">
        <v>60</v>
      </c>
      <c r="I26" s="64">
        <f t="shared" si="2"/>
        <v>18000</v>
      </c>
    </row>
    <row r="27" spans="1:12" ht="28.5" customHeight="1">
      <c r="A27" s="71">
        <v>18</v>
      </c>
      <c r="B27" s="70" t="s">
        <v>53</v>
      </c>
      <c r="C27" s="69" t="s">
        <v>17</v>
      </c>
      <c r="D27" s="67" t="s">
        <v>18</v>
      </c>
      <c r="E27" s="68" t="s">
        <v>54</v>
      </c>
      <c r="F27" s="67" t="s">
        <v>55</v>
      </c>
      <c r="G27" s="66">
        <v>400</v>
      </c>
      <c r="H27" s="65">
        <v>880</v>
      </c>
      <c r="I27" s="64">
        <f t="shared" ref="I27" si="3">(G27*H27)</f>
        <v>352000</v>
      </c>
    </row>
    <row r="28" spans="1:12" ht="36" customHeight="1">
      <c r="A28" s="71">
        <v>19</v>
      </c>
      <c r="B28" s="70" t="s">
        <v>56</v>
      </c>
      <c r="C28" s="69" t="s">
        <v>17</v>
      </c>
      <c r="D28" s="67" t="s">
        <v>18</v>
      </c>
      <c r="E28" s="68" t="s">
        <v>57</v>
      </c>
      <c r="F28" s="80" t="s">
        <v>20</v>
      </c>
      <c r="G28" s="66">
        <v>300</v>
      </c>
      <c r="H28" s="65">
        <v>5200</v>
      </c>
      <c r="I28" s="64">
        <f t="shared" si="0"/>
        <v>1560000</v>
      </c>
    </row>
    <row r="29" spans="1:12" ht="36" customHeight="1">
      <c r="A29" s="71">
        <v>20</v>
      </c>
      <c r="B29" s="79" t="s">
        <v>58</v>
      </c>
      <c r="C29" s="69" t="s">
        <v>17</v>
      </c>
      <c r="D29" s="67" t="s">
        <v>18</v>
      </c>
      <c r="E29" s="81" t="s">
        <v>59</v>
      </c>
      <c r="F29" s="80" t="s">
        <v>20</v>
      </c>
      <c r="G29" s="66">
        <v>300</v>
      </c>
      <c r="H29" s="65">
        <v>3400</v>
      </c>
      <c r="I29" s="64">
        <f t="shared" si="0"/>
        <v>1020000</v>
      </c>
    </row>
    <row r="30" spans="1:12" ht="36" customHeight="1">
      <c r="A30" s="71">
        <v>21</v>
      </c>
      <c r="B30" s="79" t="s">
        <v>60</v>
      </c>
      <c r="C30" s="69" t="s">
        <v>17</v>
      </c>
      <c r="D30" s="67" t="s">
        <v>18</v>
      </c>
      <c r="E30" s="81" t="s">
        <v>61</v>
      </c>
      <c r="F30" s="80" t="s">
        <v>20</v>
      </c>
      <c r="G30" s="66">
        <v>300</v>
      </c>
      <c r="H30" s="65">
        <v>3600</v>
      </c>
      <c r="I30" s="64">
        <f t="shared" si="0"/>
        <v>1080000</v>
      </c>
    </row>
    <row r="31" spans="1:12" ht="36" customHeight="1">
      <c r="A31" s="71">
        <v>22</v>
      </c>
      <c r="B31" s="79" t="s">
        <v>62</v>
      </c>
      <c r="C31" s="69" t="s">
        <v>17</v>
      </c>
      <c r="D31" s="67" t="s">
        <v>18</v>
      </c>
      <c r="E31" s="81" t="s">
        <v>63</v>
      </c>
      <c r="F31" s="80" t="s">
        <v>20</v>
      </c>
      <c r="G31" s="66">
        <v>300</v>
      </c>
      <c r="H31" s="82">
        <v>1800</v>
      </c>
      <c r="I31" s="64">
        <f t="shared" si="0"/>
        <v>540000</v>
      </c>
    </row>
    <row r="32" spans="1:12" ht="17.25" customHeight="1" thickBot="1">
      <c r="B32" s="61"/>
      <c r="I32" s="8">
        <f>SUM(I10:I31)</f>
        <v>20268400</v>
      </c>
    </row>
    <row r="33" spans="2:5" ht="17.25" customHeight="1">
      <c r="B33" s="39" t="s">
        <v>64</v>
      </c>
      <c r="C33" s="40"/>
      <c r="D33" s="40"/>
      <c r="E33" s="41"/>
    </row>
    <row r="34" spans="2:5">
      <c r="B34" s="105"/>
      <c r="C34" s="106"/>
      <c r="D34" s="42"/>
      <c r="E34" s="43"/>
    </row>
    <row r="35" spans="2:5" ht="13.5" customHeight="1">
      <c r="B35" s="90"/>
      <c r="C35" s="93" t="s">
        <v>65</v>
      </c>
      <c r="D35" s="93"/>
      <c r="E35" s="94"/>
    </row>
    <row r="36" spans="2:5" ht="13.5" customHeight="1">
      <c r="B36" s="90"/>
      <c r="C36" s="93" t="s">
        <v>66</v>
      </c>
      <c r="D36" s="93"/>
      <c r="E36" s="94"/>
    </row>
    <row r="37" spans="2:5" ht="13.5" customHeight="1">
      <c r="B37" s="90"/>
      <c r="C37" s="93" t="s">
        <v>67</v>
      </c>
      <c r="D37" s="93"/>
      <c r="E37" s="94"/>
    </row>
    <row r="38" spans="2:5" ht="13.5" customHeight="1">
      <c r="B38" s="90"/>
      <c r="C38" s="93" t="s">
        <v>68</v>
      </c>
      <c r="D38" s="93"/>
      <c r="E38" s="94"/>
    </row>
    <row r="39" spans="2:5" ht="13.5" customHeight="1">
      <c r="B39" s="90"/>
      <c r="C39" s="93" t="s">
        <v>69</v>
      </c>
      <c r="D39" s="93"/>
      <c r="E39" s="94"/>
    </row>
    <row r="40" spans="2:5" ht="13.5" customHeight="1">
      <c r="B40" s="90"/>
      <c r="C40" s="93" t="s">
        <v>70</v>
      </c>
      <c r="D40" s="93"/>
      <c r="E40" s="94"/>
    </row>
    <row r="41" spans="2:5" ht="13.5" customHeight="1">
      <c r="B41" s="90"/>
      <c r="C41" s="93" t="s">
        <v>71</v>
      </c>
      <c r="D41" s="93"/>
      <c r="E41" s="94"/>
    </row>
    <row r="42" spans="2:5">
      <c r="B42" s="90"/>
      <c r="C42" s="1" t="s">
        <v>72</v>
      </c>
    </row>
    <row r="43" spans="2:5" ht="13.5" customHeight="1">
      <c r="B43" s="90"/>
      <c r="C43" s="93" t="s">
        <v>139</v>
      </c>
      <c r="D43" s="93"/>
      <c r="E43" s="94"/>
    </row>
    <row r="44" spans="2:5" ht="13.5" customHeight="1">
      <c r="B44" s="90"/>
      <c r="C44" s="93" t="s">
        <v>140</v>
      </c>
      <c r="D44" s="93"/>
      <c r="E44" s="94"/>
    </row>
    <row r="45" spans="2:5" ht="13.5" customHeight="1">
      <c r="B45" s="90"/>
      <c r="C45" s="93" t="s">
        <v>73</v>
      </c>
      <c r="D45" s="93"/>
      <c r="E45" s="94"/>
    </row>
    <row r="46" spans="2:5" ht="13.5" customHeight="1">
      <c r="B46" s="90"/>
      <c r="C46" s="93" t="s">
        <v>74</v>
      </c>
      <c r="D46" s="93"/>
      <c r="E46" s="94"/>
    </row>
    <row r="47" spans="2:5" ht="13.5" customHeight="1">
      <c r="B47" s="90"/>
      <c r="C47" s="93" t="s">
        <v>141</v>
      </c>
      <c r="D47" s="93"/>
      <c r="E47" s="94"/>
    </row>
    <row r="48" spans="2:5" ht="13.5" customHeight="1">
      <c r="B48" s="90"/>
      <c r="C48" s="93" t="s">
        <v>142</v>
      </c>
      <c r="D48" s="93"/>
      <c r="E48" s="94"/>
    </row>
    <row r="49" spans="2:5" ht="13.5" customHeight="1">
      <c r="B49" s="90"/>
      <c r="C49" s="93" t="s">
        <v>143</v>
      </c>
      <c r="D49" s="93"/>
      <c r="E49" s="94"/>
    </row>
    <row r="50" spans="2:5" ht="13.5" customHeight="1">
      <c r="B50" s="90"/>
      <c r="C50" s="93" t="s">
        <v>75</v>
      </c>
      <c r="D50" s="93"/>
      <c r="E50" s="94"/>
    </row>
    <row r="51" spans="2:5" ht="13.5" customHeight="1">
      <c r="B51" s="90"/>
      <c r="C51" s="93" t="s">
        <v>76</v>
      </c>
      <c r="D51" s="93"/>
      <c r="E51" s="94"/>
    </row>
    <row r="52" spans="2:5" ht="13.5" customHeight="1">
      <c r="B52" s="90"/>
      <c r="C52" s="93" t="s">
        <v>77</v>
      </c>
      <c r="D52" s="93"/>
      <c r="E52" s="94"/>
    </row>
    <row r="53" spans="2:5" ht="13.5" customHeight="1">
      <c r="B53" s="90"/>
      <c r="C53" s="93" t="s">
        <v>78</v>
      </c>
      <c r="D53" s="93"/>
      <c r="E53" s="94"/>
    </row>
    <row r="54" spans="2:5" ht="13.5" customHeight="1">
      <c r="B54" s="90"/>
      <c r="C54" s="93" t="s">
        <v>79</v>
      </c>
      <c r="D54" s="93"/>
      <c r="E54" s="94"/>
    </row>
    <row r="55" spans="2:5">
      <c r="B55" s="90"/>
    </row>
    <row r="56" spans="2:5" ht="14.25" thickBot="1">
      <c r="B56" s="63"/>
      <c r="C56" s="99"/>
      <c r="D56" s="99"/>
      <c r="E56" s="100"/>
    </row>
    <row r="57" spans="2:5" ht="59.25" customHeight="1">
      <c r="B57" s="101" t="s">
        <v>80</v>
      </c>
      <c r="C57" s="102"/>
      <c r="D57" s="102"/>
      <c r="E57" s="103"/>
    </row>
    <row r="58" spans="2:5" ht="65.25" customHeight="1" thickBot="1">
      <c r="B58" s="101" t="s">
        <v>81</v>
      </c>
      <c r="C58" s="102"/>
      <c r="D58" s="102"/>
      <c r="E58" s="103"/>
    </row>
    <row r="59" spans="2:5" ht="14.25" thickBot="1">
      <c r="B59" s="44"/>
      <c r="C59" s="91"/>
      <c r="D59" s="91"/>
      <c r="E59" s="91"/>
    </row>
    <row r="60" spans="2:5">
      <c r="B60" s="45" t="s">
        <v>82</v>
      </c>
      <c r="C60" s="46"/>
      <c r="D60" s="40"/>
      <c r="E60" s="47"/>
    </row>
    <row r="61" spans="2:5" ht="108.75" customHeight="1">
      <c r="B61" s="48"/>
      <c r="C61" s="93" t="s">
        <v>83</v>
      </c>
      <c r="D61" s="93"/>
      <c r="E61" s="94"/>
    </row>
    <row r="62" spans="2:5">
      <c r="B62" s="48"/>
      <c r="C62" s="104"/>
      <c r="D62" s="104"/>
      <c r="E62" s="104"/>
    </row>
    <row r="63" spans="2:5">
      <c r="B63" s="49" t="s">
        <v>84</v>
      </c>
      <c r="C63" s="50"/>
      <c r="D63" s="42"/>
      <c r="E63" s="92"/>
    </row>
    <row r="64" spans="2:5" ht="64.5" customHeight="1">
      <c r="B64" s="48"/>
      <c r="C64" s="93" t="s">
        <v>85</v>
      </c>
      <c r="D64" s="93"/>
      <c r="E64" s="94"/>
    </row>
    <row r="65" spans="2:5" ht="14.25" thickBot="1">
      <c r="B65" s="51"/>
      <c r="C65" s="52"/>
      <c r="D65" s="52"/>
      <c r="E65" s="53"/>
    </row>
    <row r="66" spans="2:5" ht="14.25" thickBot="1">
      <c r="B66" s="42"/>
      <c r="C66" s="42"/>
      <c r="D66" s="42"/>
      <c r="E66" s="42"/>
    </row>
    <row r="67" spans="2:5">
      <c r="B67" s="45" t="s">
        <v>86</v>
      </c>
      <c r="C67" s="54"/>
      <c r="D67" s="54"/>
      <c r="E67" s="55"/>
    </row>
    <row r="68" spans="2:5">
      <c r="B68" s="56"/>
      <c r="C68" s="95" t="s">
        <v>87</v>
      </c>
      <c r="D68" s="95"/>
      <c r="E68" s="96"/>
    </row>
    <row r="69" spans="2:5">
      <c r="B69" s="57" t="s">
        <v>88</v>
      </c>
      <c r="C69" s="42"/>
      <c r="D69" s="42"/>
      <c r="E69" s="43"/>
    </row>
    <row r="70" spans="2:5">
      <c r="B70" s="58"/>
      <c r="C70" s="97" t="s">
        <v>89</v>
      </c>
      <c r="D70" s="97"/>
      <c r="E70" s="98"/>
    </row>
    <row r="71" spans="2:5" ht="14.25" thickBot="1">
      <c r="B71" s="59"/>
      <c r="C71" s="52"/>
      <c r="D71" s="52"/>
      <c r="E71" s="53"/>
    </row>
  </sheetData>
  <mergeCells count="35">
    <mergeCell ref="B34:C34"/>
    <mergeCell ref="C40:E40"/>
    <mergeCell ref="A6:B6"/>
    <mergeCell ref="A7:B7"/>
    <mergeCell ref="B2:H2"/>
    <mergeCell ref="A4:B4"/>
    <mergeCell ref="C4:E4"/>
    <mergeCell ref="A5:B5"/>
    <mergeCell ref="C5:E5"/>
    <mergeCell ref="C35:E35"/>
    <mergeCell ref="C37:E37"/>
    <mergeCell ref="C39:E39"/>
    <mergeCell ref="C41:E41"/>
    <mergeCell ref="C45:E45"/>
    <mergeCell ref="C36:E36"/>
    <mergeCell ref="C38:E38"/>
    <mergeCell ref="C43:E43"/>
    <mergeCell ref="C44:E44"/>
    <mergeCell ref="C68:E68"/>
    <mergeCell ref="C70:E70"/>
    <mergeCell ref="C61:E61"/>
    <mergeCell ref="C56:E56"/>
    <mergeCell ref="B57:E57"/>
    <mergeCell ref="B58:E58"/>
    <mergeCell ref="C62:E62"/>
    <mergeCell ref="C64:E64"/>
    <mergeCell ref="C51:E51"/>
    <mergeCell ref="C52:E52"/>
    <mergeCell ref="C54:E54"/>
    <mergeCell ref="C46:E46"/>
    <mergeCell ref="C47:E47"/>
    <mergeCell ref="C48:E48"/>
    <mergeCell ref="C49:E49"/>
    <mergeCell ref="C50:E50"/>
    <mergeCell ref="C53:E53"/>
  </mergeCells>
  <phoneticPr fontId="23" type="noConversion"/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MJ16"/>
  <sheetViews>
    <sheetView zoomScale="85" zoomScaleNormal="85" workbookViewId="0">
      <selection activeCell="K2" sqref="K2"/>
    </sheetView>
  </sheetViews>
  <sheetFormatPr baseColWidth="10" defaultColWidth="9.140625" defaultRowHeight="13.5"/>
  <cols>
    <col min="1" max="1" width="5.42578125" style="28" customWidth="1"/>
    <col min="2" max="2" width="12.28515625" style="28" customWidth="1"/>
    <col min="3" max="3" width="14.140625" style="28" customWidth="1"/>
    <col min="4" max="4" width="26" style="28" customWidth="1"/>
    <col min="5" max="5" width="8" style="28" customWidth="1"/>
    <col min="6" max="6" width="7.85546875" style="28" customWidth="1"/>
    <col min="7" max="7" width="77.42578125" style="28" customWidth="1"/>
    <col min="8" max="8" width="8.42578125" style="28" customWidth="1"/>
    <col min="9" max="9" width="12" style="28" customWidth="1"/>
    <col min="10" max="10" width="11.42578125" style="28" customWidth="1"/>
    <col min="11" max="11" width="10.85546875" style="28" customWidth="1"/>
    <col min="12" max="14" width="5.85546875" style="28" customWidth="1"/>
    <col min="15" max="15" width="12.5703125" style="28" customWidth="1"/>
    <col min="16" max="1024" width="9.140625" style="28"/>
    <col min="1025" max="16384" width="9.140625" style="1"/>
  </cols>
  <sheetData>
    <row r="1" spans="1:1024" ht="18" customHeight="1">
      <c r="A1" s="110" t="s">
        <v>90</v>
      </c>
      <c r="B1" s="110"/>
      <c r="C1" s="110"/>
      <c r="D1" s="110"/>
      <c r="E1" s="110"/>
      <c r="F1" s="110"/>
      <c r="G1" s="110"/>
      <c r="H1" s="110"/>
      <c r="I1" s="110"/>
      <c r="J1" s="26" t="s">
        <v>91</v>
      </c>
      <c r="K1" s="27" t="s">
        <v>92</v>
      </c>
    </row>
    <row r="2" spans="1:1024" ht="18.75" customHeight="1" thickBot="1">
      <c r="A2" s="29"/>
      <c r="B2" s="29"/>
      <c r="C2" s="29"/>
      <c r="D2" s="30"/>
      <c r="E2" s="30"/>
      <c r="F2" s="30"/>
      <c r="G2" s="30"/>
      <c r="H2" s="30"/>
      <c r="I2" s="30"/>
      <c r="J2" s="30"/>
      <c r="K2" s="30"/>
    </row>
    <row r="3" spans="1:1024" ht="18.75" customHeight="1" thickBot="1">
      <c r="A3" s="111" t="s">
        <v>93</v>
      </c>
      <c r="B3" s="111"/>
      <c r="C3" s="111"/>
      <c r="D3" s="116" t="str">
        <f>'Necesidades Trimestrales'!C4</f>
        <v>90 - Ministerio de Seguridad</v>
      </c>
      <c r="E3" s="116"/>
      <c r="F3" s="116"/>
      <c r="G3" s="116"/>
      <c r="H3" s="116"/>
      <c r="I3" s="116"/>
      <c r="J3" s="116"/>
      <c r="K3" s="116"/>
    </row>
    <row r="4" spans="1:1024" ht="18.75" customHeight="1" thickBot="1">
      <c r="A4" s="115" t="s">
        <v>94</v>
      </c>
      <c r="B4" s="115"/>
      <c r="C4" s="115"/>
      <c r="D4" s="116" t="str">
        <f>'Necesidades Trimestrales'!C5</f>
        <v>7- Dirección Provincial de Administración de la Policía de la Provincia de Catamarca</v>
      </c>
      <c r="E4" s="116"/>
      <c r="F4" s="116"/>
      <c r="G4" s="116"/>
      <c r="H4" s="116"/>
      <c r="I4" s="116"/>
      <c r="J4" s="116"/>
      <c r="K4" s="116"/>
    </row>
    <row r="5" spans="1:1024" ht="18.75" customHeight="1" thickBot="1">
      <c r="A5" s="115" t="s">
        <v>95</v>
      </c>
      <c r="B5" s="115"/>
      <c r="C5" s="115"/>
      <c r="D5" s="116" t="s">
        <v>96</v>
      </c>
      <c r="E5" s="116"/>
      <c r="F5" s="116"/>
      <c r="G5" s="116"/>
      <c r="H5" s="116"/>
      <c r="I5" s="116"/>
      <c r="J5" s="116"/>
      <c r="K5" s="116"/>
    </row>
    <row r="6" spans="1:1024" ht="16.5" customHeight="1" thickBot="1">
      <c r="A6" s="111" t="s">
        <v>97</v>
      </c>
      <c r="B6" s="111"/>
      <c r="C6" s="111"/>
      <c r="D6" s="112" t="s">
        <v>98</v>
      </c>
      <c r="E6" s="113"/>
      <c r="F6" s="113"/>
      <c r="G6" s="113"/>
      <c r="H6" s="113"/>
      <c r="I6" s="113"/>
      <c r="J6" s="113"/>
      <c r="K6" s="114"/>
    </row>
    <row r="7" spans="1:1024" ht="16.5" customHeight="1" thickBot="1">
      <c r="A7" s="115" t="s">
        <v>99</v>
      </c>
      <c r="B7" s="115"/>
      <c r="C7" s="115"/>
      <c r="D7" s="116" t="s">
        <v>100</v>
      </c>
      <c r="E7" s="116"/>
      <c r="F7" s="116"/>
      <c r="G7" s="116"/>
      <c r="H7" s="116"/>
      <c r="I7" s="116"/>
      <c r="J7" s="116"/>
      <c r="K7" s="116"/>
    </row>
    <row r="8" spans="1:1024" ht="16.5" customHeight="1" thickBot="1">
      <c r="A8" s="126" t="s">
        <v>101</v>
      </c>
      <c r="B8" s="126"/>
      <c r="C8" s="126"/>
      <c r="D8" s="119" t="s">
        <v>102</v>
      </c>
      <c r="E8" s="113"/>
      <c r="F8" s="113"/>
      <c r="G8" s="113"/>
      <c r="H8" s="113"/>
      <c r="I8" s="113"/>
      <c r="J8" s="113"/>
      <c r="K8" s="114"/>
    </row>
    <row r="9" spans="1:1024" ht="18" thickBot="1">
      <c r="A9" s="31"/>
      <c r="B9" s="31"/>
      <c r="C9" s="31"/>
      <c r="D9" s="32"/>
      <c r="E9" s="32"/>
      <c r="F9" s="32"/>
      <c r="G9" s="32"/>
      <c r="H9" s="32"/>
      <c r="I9" s="32"/>
      <c r="J9" s="32"/>
      <c r="K9" s="32"/>
    </row>
    <row r="10" spans="1:1024" ht="14.25" customHeight="1" thickBot="1">
      <c r="A10" s="120" t="s">
        <v>103</v>
      </c>
      <c r="B10" s="121" t="s">
        <v>104</v>
      </c>
      <c r="C10" s="122" t="s">
        <v>105</v>
      </c>
      <c r="D10" s="123"/>
      <c r="E10" s="123"/>
      <c r="F10" s="123"/>
      <c r="G10" s="124"/>
      <c r="H10" s="125" t="s">
        <v>106</v>
      </c>
      <c r="I10" s="123" t="s">
        <v>107</v>
      </c>
      <c r="J10" s="123" t="s">
        <v>108</v>
      </c>
      <c r="K10" s="124" t="s">
        <v>109</v>
      </c>
    </row>
    <row r="11" spans="1:1024" ht="14.25" customHeight="1" thickBot="1">
      <c r="A11" s="120"/>
      <c r="B11" s="121"/>
      <c r="C11" s="122"/>
      <c r="D11" s="123"/>
      <c r="E11" s="123"/>
      <c r="F11" s="123"/>
      <c r="G11" s="124"/>
      <c r="H11" s="125"/>
      <c r="I11" s="123"/>
      <c r="J11" s="123"/>
      <c r="K11" s="124"/>
    </row>
    <row r="12" spans="1:1024" ht="22.5" customHeight="1" thickBot="1">
      <c r="A12" s="33">
        <v>1</v>
      </c>
      <c r="B12" s="62" t="e">
        <f>'Necesidades Trimestrales'!#REF!</f>
        <v>#REF!</v>
      </c>
      <c r="C12" s="127" t="e">
        <f>'Necesidades Trimestrales'!#REF!</f>
        <v>#REF!</v>
      </c>
      <c r="D12" s="128"/>
      <c r="E12" s="128"/>
      <c r="F12" s="128"/>
      <c r="G12" s="129"/>
      <c r="H12" s="34" t="s">
        <v>110</v>
      </c>
      <c r="I12" s="35" t="e">
        <f>'Necesidades Trimestrales'!#REF!</f>
        <v>#REF!</v>
      </c>
      <c r="J12" s="36" t="e">
        <f>'Necesidades Trimestrales'!#REF!</f>
        <v>#REF!</v>
      </c>
      <c r="K12" s="37" t="e">
        <f>'Necesidades Trimestrales'!#REF!</f>
        <v>#REF!</v>
      </c>
    </row>
    <row r="13" spans="1:1024" ht="22.5" customHeight="1" thickBot="1">
      <c r="A13" s="33"/>
      <c r="B13" s="62" t="e">
        <f>'Necesidades Trimestrales'!#REF!</f>
        <v>#REF!</v>
      </c>
      <c r="C13" s="127" t="e">
        <f>'Necesidades Trimestrales'!#REF!</f>
        <v>#REF!</v>
      </c>
      <c r="D13" s="128"/>
      <c r="E13" s="128"/>
      <c r="F13" s="128"/>
      <c r="G13" s="129"/>
      <c r="H13" s="34" t="s">
        <v>110</v>
      </c>
      <c r="I13" s="35" t="e">
        <f>'Necesidades Trimestrales'!#REF!</f>
        <v>#REF!</v>
      </c>
      <c r="J13" s="36" t="e">
        <f>'Necesidades Trimestrales'!#REF!</f>
        <v>#REF!</v>
      </c>
      <c r="K13" s="37" t="e">
        <f>'Necesidades Trimestrales'!#REF!</f>
        <v>#REF!</v>
      </c>
    </row>
    <row r="14" spans="1:1024" ht="19.5" customHeight="1">
      <c r="A14" s="33">
        <v>3</v>
      </c>
      <c r="B14" s="62" t="e">
        <f>'Necesidades Trimestrales'!#REF!</f>
        <v>#REF!</v>
      </c>
      <c r="C14" s="127" t="e">
        <f>'Necesidades Trimestrales'!#REF!</f>
        <v>#REF!</v>
      </c>
      <c r="D14" s="128"/>
      <c r="E14" s="128"/>
      <c r="F14" s="128"/>
      <c r="G14" s="129"/>
      <c r="H14" s="34" t="s">
        <v>110</v>
      </c>
      <c r="I14" s="35" t="e">
        <f>'Necesidades Trimestrales'!#REF!</f>
        <v>#REF!</v>
      </c>
      <c r="J14" s="36" t="e">
        <f>'Necesidades Trimestrales'!#REF!</f>
        <v>#REF!</v>
      </c>
      <c r="K14" s="37" t="e">
        <f>'Necesidades Trimestrales'!#REF!</f>
        <v>#REF!</v>
      </c>
    </row>
    <row r="15" spans="1:1024" ht="15.75" thickBot="1">
      <c r="A15" s="117" t="s">
        <v>111</v>
      </c>
      <c r="B15" s="117"/>
      <c r="C15" s="117"/>
      <c r="D15" s="117"/>
      <c r="E15" s="117"/>
      <c r="F15" s="117"/>
      <c r="G15" s="117"/>
      <c r="H15" s="117"/>
      <c r="I15" s="117"/>
      <c r="J15" s="118">
        <f>'Necesidades Trimestrales'!I18</f>
        <v>240000</v>
      </c>
      <c r="K15" s="118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/>
      <c r="XG15" s="1"/>
      <c r="XH15" s="1"/>
      <c r="XI15" s="1"/>
      <c r="XJ15" s="1"/>
      <c r="XK15" s="1"/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M15" s="1"/>
      <c r="YN15" s="1"/>
      <c r="YO15" s="1"/>
      <c r="YP15" s="1"/>
      <c r="YQ15" s="1"/>
      <c r="YR15" s="1"/>
      <c r="YS15" s="1"/>
      <c r="YT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J15" s="1"/>
      <c r="ZK15" s="1"/>
      <c r="ZL15" s="1"/>
      <c r="ZM15" s="1"/>
      <c r="ZN15" s="1"/>
      <c r="ZO15" s="1"/>
      <c r="ZP15" s="1"/>
      <c r="ZQ15" s="1"/>
      <c r="ZR15" s="1"/>
      <c r="ZS15" s="1"/>
      <c r="ZT15" s="1"/>
      <c r="ZU15" s="1"/>
      <c r="ZV15" s="1"/>
      <c r="ZW15" s="1"/>
      <c r="ZX15" s="1"/>
      <c r="ZY15" s="1"/>
      <c r="ZZ15" s="1"/>
      <c r="AAA15" s="1"/>
      <c r="AAB15" s="1"/>
      <c r="AAC15" s="1"/>
      <c r="AAD15" s="1"/>
      <c r="AAE15" s="1"/>
      <c r="AAF15" s="1"/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s="1"/>
      <c r="AAS15" s="1"/>
      <c r="AAT15" s="1"/>
      <c r="AAU15" s="1"/>
      <c r="AAV15" s="1"/>
      <c r="AAW15" s="1"/>
      <c r="AAX15" s="1"/>
      <c r="AAY15" s="1"/>
      <c r="AAZ15" s="1"/>
      <c r="ABA15" s="1"/>
      <c r="ABB15" s="1"/>
      <c r="ABC15" s="1"/>
      <c r="ABD15" s="1"/>
      <c r="ABE15" s="1"/>
      <c r="ABF15" s="1"/>
      <c r="ABG15" s="1"/>
      <c r="ABH15" s="1"/>
      <c r="ABI15" s="1"/>
      <c r="ABJ15" s="1"/>
      <c r="ABK15" s="1"/>
      <c r="ABL15" s="1"/>
      <c r="ABM15" s="1"/>
      <c r="ABN15" s="1"/>
      <c r="ABO15" s="1"/>
      <c r="ABP15" s="1"/>
      <c r="ABQ15" s="1"/>
      <c r="ABR15" s="1"/>
      <c r="ABS15" s="1"/>
      <c r="ABT15" s="1"/>
      <c r="ABU15" s="1"/>
      <c r="ABV15" s="1"/>
      <c r="ABW15" s="1"/>
      <c r="ABX15" s="1"/>
      <c r="ABY15" s="1"/>
      <c r="ABZ15" s="1"/>
      <c r="ACA15" s="1"/>
      <c r="ACB15" s="1"/>
      <c r="ACC15" s="1"/>
      <c r="ACD15" s="1"/>
      <c r="ACE15" s="1"/>
      <c r="ACF15" s="1"/>
      <c r="ACG15" s="1"/>
      <c r="ACH15" s="1"/>
      <c r="ACI15" s="1"/>
      <c r="ACJ15" s="1"/>
      <c r="ACK15" s="1"/>
      <c r="ACL15" s="1"/>
      <c r="ACM15" s="1"/>
      <c r="ACN15" s="1"/>
      <c r="ACO15" s="1"/>
      <c r="ACP15" s="1"/>
      <c r="ACQ15" s="1"/>
      <c r="ACR15" s="1"/>
      <c r="ACS15" s="1"/>
      <c r="ACT15" s="1"/>
      <c r="ACU15" s="1"/>
      <c r="ACV15" s="1"/>
      <c r="ACW15" s="1"/>
      <c r="ACX15" s="1"/>
      <c r="ACY15" s="1"/>
      <c r="ACZ15" s="1"/>
      <c r="ADA15" s="1"/>
      <c r="ADB15" s="1"/>
      <c r="ADC15" s="1"/>
      <c r="ADD15" s="1"/>
      <c r="ADE15" s="1"/>
      <c r="ADF15" s="1"/>
      <c r="ADG15" s="1"/>
      <c r="ADH15" s="1"/>
      <c r="ADI15" s="1"/>
      <c r="ADJ15" s="1"/>
      <c r="ADK15" s="1"/>
      <c r="ADL15" s="1"/>
      <c r="ADM15" s="1"/>
      <c r="ADN15" s="1"/>
      <c r="ADO15" s="1"/>
      <c r="ADP15" s="1"/>
      <c r="ADQ15" s="1"/>
      <c r="ADR15" s="1"/>
      <c r="ADS15" s="1"/>
      <c r="ADT15" s="1"/>
      <c r="ADU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J15" s="1"/>
      <c r="AEK15" s="1"/>
      <c r="AEL15" s="1"/>
      <c r="AEM15" s="1"/>
      <c r="AEN15" s="1"/>
      <c r="AEO15" s="1"/>
      <c r="AEP15" s="1"/>
      <c r="AEQ15" s="1"/>
      <c r="AER15" s="1"/>
      <c r="AES15" s="1"/>
      <c r="AET15" s="1"/>
      <c r="AEU15" s="1"/>
      <c r="AEV15" s="1"/>
      <c r="AEW15" s="1"/>
      <c r="AEX15" s="1"/>
      <c r="AEY15" s="1"/>
      <c r="AEZ15" s="1"/>
      <c r="AFA15" s="1"/>
      <c r="AFB15" s="1"/>
      <c r="AFC15" s="1"/>
      <c r="AFD15" s="1"/>
      <c r="AFE15" s="1"/>
      <c r="AFF15" s="1"/>
      <c r="AFG15" s="1"/>
      <c r="AFH15" s="1"/>
      <c r="AFI15" s="1"/>
      <c r="AFJ15" s="1"/>
      <c r="AFK15" s="1"/>
      <c r="AFL15" s="1"/>
      <c r="AFM15" s="1"/>
      <c r="AFN15" s="1"/>
      <c r="AFO15" s="1"/>
      <c r="AFP15" s="1"/>
      <c r="AFQ15" s="1"/>
      <c r="AFR15" s="1"/>
      <c r="AFS15" s="1"/>
      <c r="AFT15" s="1"/>
      <c r="AFU15" s="1"/>
      <c r="AFV15" s="1"/>
      <c r="AFW15" s="1"/>
      <c r="AFX15" s="1"/>
      <c r="AFY15" s="1"/>
      <c r="AFZ15" s="1"/>
      <c r="AGA15" s="1"/>
      <c r="AGB15" s="1"/>
      <c r="AGC15" s="1"/>
      <c r="AGD15" s="1"/>
      <c r="AGE15" s="1"/>
      <c r="AGF15" s="1"/>
      <c r="AGG15" s="1"/>
      <c r="AGH15" s="1"/>
      <c r="AGI15" s="1"/>
      <c r="AGJ15" s="1"/>
      <c r="AGK15" s="1"/>
      <c r="AGL15" s="1"/>
      <c r="AGM15" s="1"/>
      <c r="AGN15" s="1"/>
      <c r="AGO15" s="1"/>
      <c r="AGP15" s="1"/>
      <c r="AGQ15" s="1"/>
      <c r="AGR15" s="1"/>
      <c r="AGS15" s="1"/>
      <c r="AGT15" s="1"/>
      <c r="AGU15" s="1"/>
      <c r="AGV15" s="1"/>
      <c r="AGW15" s="1"/>
      <c r="AGX15" s="1"/>
      <c r="AGY15" s="1"/>
      <c r="AGZ15" s="1"/>
      <c r="AHA15" s="1"/>
      <c r="AHB15" s="1"/>
      <c r="AHC15" s="1"/>
      <c r="AHD15" s="1"/>
      <c r="AHE15" s="1"/>
      <c r="AHF15" s="1"/>
      <c r="AHG15" s="1"/>
      <c r="AHH15" s="1"/>
      <c r="AHI15" s="1"/>
      <c r="AHJ15" s="1"/>
      <c r="AHK15" s="1"/>
      <c r="AHL15" s="1"/>
      <c r="AHM15" s="1"/>
      <c r="AHN15" s="1"/>
      <c r="AHO15" s="1"/>
      <c r="AHP15" s="1"/>
      <c r="AHQ15" s="1"/>
      <c r="AHR15" s="1"/>
      <c r="AHS15" s="1"/>
      <c r="AHT15" s="1"/>
      <c r="AHU15" s="1"/>
      <c r="AHV15" s="1"/>
      <c r="AHW15" s="1"/>
      <c r="AHX15" s="1"/>
      <c r="AHY15" s="1"/>
      <c r="AHZ15" s="1"/>
      <c r="AIA15" s="1"/>
      <c r="AIB15" s="1"/>
      <c r="AIC15" s="1"/>
      <c r="AID15" s="1"/>
      <c r="AIE15" s="1"/>
      <c r="AIF15" s="1"/>
      <c r="AIG15" s="1"/>
      <c r="AIH15" s="1"/>
      <c r="AII15" s="1"/>
      <c r="AIJ15" s="1"/>
      <c r="AIK15" s="1"/>
      <c r="AIL15" s="1"/>
      <c r="AIM15" s="1"/>
      <c r="AIN15" s="1"/>
      <c r="AIO15" s="1"/>
      <c r="AIP15" s="1"/>
      <c r="AIQ15" s="1"/>
      <c r="AIR15" s="1"/>
      <c r="AIS15" s="1"/>
      <c r="AIT15" s="1"/>
      <c r="AIU15" s="1"/>
      <c r="AIV15" s="1"/>
      <c r="AIW15" s="1"/>
      <c r="AIX15" s="1"/>
      <c r="AIY15" s="1"/>
      <c r="AIZ15" s="1"/>
      <c r="AJA15" s="1"/>
      <c r="AJB15" s="1"/>
      <c r="AJC15" s="1"/>
      <c r="AJD15" s="1"/>
      <c r="AJE15" s="1"/>
      <c r="AJF15" s="1"/>
      <c r="AJG15" s="1"/>
      <c r="AJH15" s="1"/>
      <c r="AJI15" s="1"/>
      <c r="AJJ15" s="1"/>
      <c r="AJK15" s="1"/>
      <c r="AJL15" s="1"/>
      <c r="AJM15" s="1"/>
      <c r="AJN15" s="1"/>
      <c r="AJO15" s="1"/>
      <c r="AJP15" s="1"/>
      <c r="AJQ15" s="1"/>
      <c r="AJR15" s="1"/>
      <c r="AJS15" s="1"/>
      <c r="AJT15" s="1"/>
      <c r="AJU15" s="1"/>
      <c r="AJV15" s="1"/>
      <c r="AJW15" s="1"/>
      <c r="AJX15" s="1"/>
      <c r="AJY15" s="1"/>
      <c r="AJZ15" s="1"/>
      <c r="AKA15" s="1"/>
      <c r="AKB15" s="1"/>
      <c r="AKC15" s="1"/>
      <c r="AKD15" s="1"/>
      <c r="AKE15" s="1"/>
      <c r="AKF15" s="1"/>
      <c r="AKG15" s="1"/>
      <c r="AKH15" s="1"/>
      <c r="AKI15" s="1"/>
      <c r="AKJ15" s="1"/>
      <c r="AKK15" s="1"/>
      <c r="AKL15" s="1"/>
      <c r="AKM15" s="1"/>
      <c r="AKN15" s="1"/>
      <c r="AKO15" s="1"/>
      <c r="AKP15" s="1"/>
      <c r="AKQ15" s="1"/>
      <c r="AKR15" s="1"/>
      <c r="AKS15" s="1"/>
      <c r="AKT15" s="1"/>
      <c r="AKU15" s="1"/>
      <c r="AKV15" s="1"/>
      <c r="AKW15" s="1"/>
      <c r="AKX15" s="1"/>
      <c r="AKY15" s="1"/>
      <c r="AKZ15" s="1"/>
      <c r="ALA15" s="1"/>
      <c r="ALB15" s="1"/>
      <c r="ALC15" s="1"/>
      <c r="ALD15" s="1"/>
      <c r="ALE15" s="1"/>
      <c r="ALF15" s="1"/>
      <c r="ALG15" s="1"/>
      <c r="ALH15" s="1"/>
      <c r="ALI15" s="1"/>
      <c r="ALJ15" s="1"/>
      <c r="ALK15" s="1"/>
      <c r="ALL15" s="1"/>
      <c r="ALM15" s="1"/>
      <c r="ALN15" s="1"/>
      <c r="ALO15" s="1"/>
      <c r="ALP15" s="1"/>
      <c r="ALQ15" s="1"/>
      <c r="ALR15" s="1"/>
      <c r="ALS15" s="1"/>
      <c r="ALT15" s="1"/>
      <c r="ALU15" s="1"/>
      <c r="ALV15" s="1"/>
      <c r="ALW15" s="1"/>
      <c r="ALX15" s="1"/>
      <c r="ALY15" s="1"/>
      <c r="ALZ15" s="1"/>
      <c r="AMA15" s="1"/>
      <c r="AMB15" s="1"/>
      <c r="AMC15" s="1"/>
      <c r="AMD15" s="1"/>
      <c r="AME15" s="1"/>
      <c r="AMF15" s="1"/>
      <c r="AMG15" s="1"/>
      <c r="AMH15" s="1"/>
      <c r="AMI15" s="1"/>
      <c r="AMJ15" s="1"/>
    </row>
    <row r="16" spans="1:1024">
      <c r="J16" s="38"/>
    </row>
  </sheetData>
  <mergeCells count="25">
    <mergeCell ref="A15:I15"/>
    <mergeCell ref="J15:K15"/>
    <mergeCell ref="D8:K8"/>
    <mergeCell ref="A10:A11"/>
    <mergeCell ref="B10:B11"/>
    <mergeCell ref="C10:G11"/>
    <mergeCell ref="H10:H11"/>
    <mergeCell ref="I10:I11"/>
    <mergeCell ref="J10:J11"/>
    <mergeCell ref="K10:K11"/>
    <mergeCell ref="A8:C8"/>
    <mergeCell ref="C14:G14"/>
    <mergeCell ref="C12:G12"/>
    <mergeCell ref="C13:G13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0"/>
  <sheetViews>
    <sheetView topLeftCell="A7" workbookViewId="0">
      <selection activeCell="O15" sqref="O15:P15"/>
    </sheetView>
  </sheetViews>
  <sheetFormatPr baseColWidth="10" defaultColWidth="11" defaultRowHeight="13.5"/>
  <cols>
    <col min="1" max="6" width="4.42578125" style="1" customWidth="1"/>
    <col min="7" max="7" width="4.42578125" style="4" customWidth="1"/>
    <col min="8" max="14" width="4.42578125" style="1" customWidth="1"/>
    <col min="15" max="16" width="14.85546875" style="1" customWidth="1"/>
    <col min="17" max="17" width="26.42578125" style="1" customWidth="1"/>
    <col min="18" max="16384" width="11" style="1"/>
  </cols>
  <sheetData>
    <row r="1" spans="1:17" ht="15.75" customHeight="1">
      <c r="A1" s="130" t="s">
        <v>5</v>
      </c>
      <c r="B1" s="130"/>
      <c r="C1" s="130"/>
      <c r="D1" s="131">
        <f>'Necesidades Trimestrales'!C6</f>
        <v>2022</v>
      </c>
      <c r="E1" s="131"/>
      <c r="F1" s="9"/>
      <c r="G1" s="9"/>
      <c r="H1" s="10"/>
      <c r="I1" s="10"/>
      <c r="J1" s="10"/>
      <c r="K1" s="10"/>
      <c r="L1" s="10"/>
      <c r="M1" s="10"/>
      <c r="N1" s="10"/>
      <c r="P1" s="132" t="s">
        <v>112</v>
      </c>
      <c r="Q1" s="132"/>
    </row>
    <row r="2" spans="1:17" ht="15.75" customHeight="1">
      <c r="H2" s="10"/>
      <c r="I2" s="10"/>
      <c r="J2" s="10"/>
      <c r="K2" s="10"/>
      <c r="L2" s="10"/>
      <c r="M2" s="10"/>
      <c r="N2" s="10"/>
      <c r="P2" s="132"/>
      <c r="Q2" s="132"/>
    </row>
    <row r="4" spans="1:17" ht="18" customHeight="1" thickBot="1">
      <c r="A4" s="133" t="s">
        <v>113</v>
      </c>
      <c r="B4" s="133"/>
      <c r="C4" s="133"/>
      <c r="D4" s="133"/>
      <c r="E4" s="133"/>
      <c r="F4" s="133"/>
      <c r="G4" s="134" t="str">
        <f>' NotaPedido'!D3</f>
        <v>90 - Ministerio de Seguridad</v>
      </c>
      <c r="H4" s="134"/>
      <c r="I4" s="134"/>
      <c r="J4" s="134"/>
      <c r="K4" s="134"/>
      <c r="L4" s="134"/>
      <c r="M4" s="134"/>
      <c r="N4" s="134"/>
      <c r="O4" s="134"/>
      <c r="P4" s="134"/>
      <c r="Q4" s="134"/>
    </row>
    <row r="5" spans="1:17" ht="18" customHeight="1" thickBot="1">
      <c r="A5" s="135" t="s">
        <v>94</v>
      </c>
      <c r="B5" s="136"/>
      <c r="C5" s="136"/>
      <c r="D5" s="136"/>
      <c r="E5" s="136"/>
      <c r="F5" s="137"/>
      <c r="G5" s="134" t="str">
        <f>' NotaPedido'!D4</f>
        <v>7- Dirección Provincial de Administración de la Policía de la Provincia de Catamarca</v>
      </c>
      <c r="H5" s="134"/>
      <c r="I5" s="134"/>
      <c r="J5" s="134"/>
      <c r="K5" s="134"/>
      <c r="L5" s="134"/>
      <c r="M5" s="134"/>
      <c r="N5" s="134"/>
      <c r="O5" s="134"/>
      <c r="P5" s="134"/>
      <c r="Q5" s="134"/>
    </row>
    <row r="6" spans="1:17" ht="18" customHeight="1" thickBot="1">
      <c r="A6" s="135" t="s">
        <v>95</v>
      </c>
      <c r="B6" s="136"/>
      <c r="C6" s="136"/>
      <c r="D6" s="136"/>
      <c r="E6" s="136"/>
      <c r="F6" s="137"/>
      <c r="G6" s="134" t="str">
        <f>' NotaPedido'!D5</f>
        <v>Policía de la Provincia de Catamarca</v>
      </c>
      <c r="H6" s="134"/>
      <c r="I6" s="134"/>
      <c r="J6" s="134"/>
      <c r="K6" s="134"/>
      <c r="L6" s="134"/>
      <c r="M6" s="134"/>
      <c r="N6" s="134"/>
      <c r="O6" s="134"/>
      <c r="P6" s="134"/>
      <c r="Q6" s="134"/>
    </row>
    <row r="7" spans="1:17" ht="18" customHeight="1" thickBot="1">
      <c r="A7" s="135" t="s">
        <v>97</v>
      </c>
      <c r="B7" s="136"/>
      <c r="C7" s="136"/>
      <c r="D7" s="136"/>
      <c r="E7" s="136"/>
      <c r="F7" s="137"/>
      <c r="G7" s="134" t="str">
        <f>' NotaPedido'!D6</f>
        <v>División Intendencia, Departamento Logística</v>
      </c>
      <c r="H7" s="134"/>
      <c r="I7" s="134"/>
      <c r="J7" s="134"/>
      <c r="K7" s="134"/>
      <c r="L7" s="134"/>
      <c r="M7" s="134"/>
      <c r="N7" s="134"/>
      <c r="O7" s="134"/>
      <c r="P7" s="134"/>
      <c r="Q7" s="134"/>
    </row>
    <row r="8" spans="1:17" ht="18" customHeight="1" thickBot="1">
      <c r="A8" s="138" t="s">
        <v>114</v>
      </c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</row>
    <row r="9" spans="1:17" ht="18" customHeight="1">
      <c r="A9" s="139" t="s">
        <v>115</v>
      </c>
      <c r="B9" s="139"/>
      <c r="C9" s="139"/>
      <c r="D9" s="139"/>
      <c r="E9" s="139"/>
      <c r="F9" s="139"/>
      <c r="G9" s="139"/>
      <c r="H9" s="139"/>
      <c r="I9" s="139"/>
      <c r="J9" s="139"/>
      <c r="K9" s="139"/>
      <c r="L9" s="139"/>
      <c r="M9" s="139"/>
      <c r="N9" s="139"/>
      <c r="O9" s="3"/>
      <c r="P9" s="3"/>
      <c r="Q9" s="11"/>
    </row>
    <row r="10" spans="1:17" ht="66.75" customHeight="1">
      <c r="A10" s="140" t="str">
        <f>"Autorizo la realización de los  trámites correspondientes, a fin de proveer a  este Organismo los bienes y/o servicios que se detallan en Nota  de Pedido N° " &amp;'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81/2021,  afectando la erogación resultante a los créditos presupuestarios aprobados a favor de esta Unidad Ejecutora, conforme al siguiente detalle:</v>
      </c>
      <c r="B10" s="140"/>
      <c r="C10" s="140"/>
      <c r="D10" s="140"/>
      <c r="E10" s="140"/>
      <c r="F10" s="140"/>
      <c r="G10" s="140"/>
      <c r="H10" s="140"/>
      <c r="I10" s="140"/>
      <c r="J10" s="140"/>
      <c r="K10" s="140"/>
      <c r="L10" s="140"/>
      <c r="M10" s="140"/>
      <c r="N10" s="140"/>
      <c r="O10" s="140"/>
      <c r="P10" s="140"/>
      <c r="Q10" s="140"/>
    </row>
    <row r="11" spans="1:17" ht="9" customHeight="1">
      <c r="A11" s="12"/>
      <c r="B11" s="13"/>
      <c r="C11" s="13"/>
      <c r="D11" s="13"/>
      <c r="E11" s="13"/>
      <c r="F11" s="13"/>
      <c r="G11" s="14"/>
      <c r="H11" s="13"/>
      <c r="I11" s="13"/>
      <c r="J11" s="13"/>
      <c r="K11" s="13"/>
      <c r="L11" s="13"/>
      <c r="M11" s="13"/>
      <c r="N11" s="13"/>
      <c r="O11" s="13"/>
      <c r="P11" s="13"/>
      <c r="Q11" s="15"/>
    </row>
    <row r="12" spans="1:17" ht="15.75" customHeight="1">
      <c r="A12" s="141" t="s">
        <v>116</v>
      </c>
      <c r="B12" s="141"/>
      <c r="C12" s="141"/>
      <c r="D12" s="141"/>
      <c r="E12" s="141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</row>
    <row r="13" spans="1:17" ht="15.75" customHeight="1">
      <c r="A13" s="142" t="s">
        <v>117</v>
      </c>
      <c r="B13" s="142"/>
      <c r="C13" s="142"/>
      <c r="D13" s="142"/>
      <c r="E13" s="142"/>
      <c r="F13" s="142"/>
      <c r="G13" s="142"/>
      <c r="H13" s="142"/>
      <c r="I13" s="142"/>
      <c r="J13" s="142"/>
      <c r="K13" s="142"/>
      <c r="L13" s="142"/>
      <c r="M13" s="142"/>
      <c r="N13" s="142"/>
      <c r="O13" s="143" t="s">
        <v>118</v>
      </c>
      <c r="P13" s="143"/>
      <c r="Q13" s="144" t="s">
        <v>119</v>
      </c>
    </row>
    <row r="14" spans="1:17" ht="15.75" customHeight="1" thickBot="1">
      <c r="A14" s="16" t="s">
        <v>120</v>
      </c>
      <c r="B14" s="17" t="s">
        <v>121</v>
      </c>
      <c r="C14" s="17" t="s">
        <v>122</v>
      </c>
      <c r="D14" s="17" t="s">
        <v>123</v>
      </c>
      <c r="E14" s="17" t="s">
        <v>124</v>
      </c>
      <c r="F14" s="17" t="s">
        <v>125</v>
      </c>
      <c r="G14" s="18" t="s">
        <v>126</v>
      </c>
      <c r="H14" s="17" t="s">
        <v>127</v>
      </c>
      <c r="I14" s="17" t="s">
        <v>128</v>
      </c>
      <c r="J14" s="17" t="s">
        <v>129</v>
      </c>
      <c r="K14" s="17" t="s">
        <v>129</v>
      </c>
      <c r="L14" s="17" t="s">
        <v>130</v>
      </c>
      <c r="M14" s="19" t="s">
        <v>131</v>
      </c>
      <c r="N14" s="20" t="s">
        <v>132</v>
      </c>
      <c r="O14" s="143"/>
      <c r="P14" s="143"/>
      <c r="Q14" s="144"/>
    </row>
    <row r="15" spans="1:17" ht="26.25" customHeight="1">
      <c r="A15" s="21">
        <v>16</v>
      </c>
      <c r="B15" s="22">
        <v>0</v>
      </c>
      <c r="C15" s="22">
        <v>0</v>
      </c>
      <c r="D15" s="22">
        <v>1</v>
      </c>
      <c r="E15" s="22">
        <v>0</v>
      </c>
      <c r="F15" s="22">
        <v>10</v>
      </c>
      <c r="G15" s="22">
        <v>2</v>
      </c>
      <c r="H15" s="22">
        <v>210</v>
      </c>
      <c r="I15" s="22">
        <v>2</v>
      </c>
      <c r="J15" s="22">
        <v>9</v>
      </c>
      <c r="K15" s="22">
        <v>1</v>
      </c>
      <c r="L15" s="22">
        <v>0</v>
      </c>
      <c r="M15" s="23">
        <v>1</v>
      </c>
      <c r="N15" s="22" t="s">
        <v>133</v>
      </c>
      <c r="O15" s="145" t="e">
        <f>'Necesidades Trimestrales'!#REF!</f>
        <v>#REF!</v>
      </c>
      <c r="P15" s="146"/>
      <c r="Q15" s="24">
        <f>' NotaPedido'!J15</f>
        <v>240000</v>
      </c>
    </row>
    <row r="16" spans="1:17" ht="33" customHeight="1" thickBot="1">
      <c r="A16" s="158" t="s">
        <v>134</v>
      </c>
      <c r="B16" s="158"/>
      <c r="C16" s="158"/>
      <c r="D16" s="158"/>
      <c r="E16" s="158"/>
      <c r="F16" s="158"/>
      <c r="G16" s="158"/>
      <c r="H16" s="158"/>
      <c r="I16" s="158"/>
      <c r="J16" s="158"/>
      <c r="K16" s="158"/>
      <c r="L16" s="158"/>
      <c r="M16" s="158"/>
      <c r="N16" s="158"/>
      <c r="O16" s="158"/>
      <c r="P16" s="158"/>
      <c r="Q16" s="25">
        <f>Q15</f>
        <v>240000</v>
      </c>
    </row>
    <row r="17" spans="1:17" ht="18" customHeight="1" thickBot="1">
      <c r="A17" s="159"/>
      <c r="B17" s="160"/>
      <c r="C17" s="160"/>
      <c r="D17" s="160"/>
      <c r="E17" s="160"/>
      <c r="F17" s="160"/>
      <c r="G17" s="160"/>
      <c r="H17" s="160"/>
      <c r="I17" s="160"/>
      <c r="J17" s="160"/>
      <c r="K17" s="160"/>
      <c r="L17" s="160"/>
      <c r="M17" s="160"/>
      <c r="N17" s="160"/>
      <c r="O17" s="160"/>
      <c r="P17" s="160"/>
      <c r="Q17" s="161"/>
    </row>
    <row r="18" spans="1:17" ht="17.25" customHeight="1" thickBot="1">
      <c r="A18" s="147" t="s">
        <v>135</v>
      </c>
      <c r="B18" s="148"/>
      <c r="C18" s="148"/>
      <c r="D18" s="148"/>
      <c r="E18" s="148"/>
      <c r="F18" s="149"/>
      <c r="G18" s="150"/>
      <c r="H18" s="151"/>
      <c r="I18" s="151"/>
      <c r="J18" s="151"/>
      <c r="K18" s="151"/>
      <c r="L18" s="151"/>
      <c r="M18" s="151"/>
      <c r="N18" s="151"/>
      <c r="O18" s="151"/>
      <c r="P18" s="151"/>
      <c r="Q18" s="151"/>
    </row>
    <row r="19" spans="1:17" ht="18" customHeight="1">
      <c r="A19" s="152" t="str">
        <f>' NotaPedido'!D8</f>
        <v>Adquisición de Uniformes de Fajina para el personal policial.</v>
      </c>
      <c r="B19" s="153"/>
      <c r="C19" s="153"/>
      <c r="D19" s="153"/>
      <c r="E19" s="153"/>
      <c r="F19" s="153"/>
      <c r="G19" s="153"/>
      <c r="H19" s="153"/>
      <c r="I19" s="153"/>
      <c r="J19" s="153"/>
      <c r="K19" s="153"/>
      <c r="L19" s="153"/>
      <c r="M19" s="153"/>
      <c r="N19" s="153"/>
      <c r="O19" s="153"/>
      <c r="P19" s="153"/>
      <c r="Q19" s="154"/>
    </row>
    <row r="20" spans="1:17" ht="15" customHeight="1" thickBot="1">
      <c r="A20" s="155"/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7"/>
    </row>
  </sheetData>
  <mergeCells count="24">
    <mergeCell ref="O15:P15"/>
    <mergeCell ref="A18:F18"/>
    <mergeCell ref="G18:Q18"/>
    <mergeCell ref="A19:Q20"/>
    <mergeCell ref="A16:P16"/>
    <mergeCell ref="A17:Q17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Policia</dc:creator>
  <cp:keywords/>
  <dc:description/>
  <cp:lastModifiedBy>Policia</cp:lastModifiedBy>
  <cp:revision>2</cp:revision>
  <dcterms:created xsi:type="dcterms:W3CDTF">2020-07-17T23:44:49Z</dcterms:created>
  <dcterms:modified xsi:type="dcterms:W3CDTF">2022-04-19T14:40:41Z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