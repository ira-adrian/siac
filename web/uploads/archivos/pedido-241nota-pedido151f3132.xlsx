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HNEP\REACTIVOS\final\"/>
    </mc:Choice>
  </mc:AlternateContent>
  <xr:revisionPtr revIDLastSave="0" documentId="8_{4FB702F7-D414-4341-A16C-41B2B0051B9C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Trimestrales'!$A$9:$I$86</definedName>
    <definedName name="_xlnm.Print_Area" localSheetId="1">' NotaPedido'!$A$1:$K$128</definedName>
    <definedName name="_xlnm.Print_Area" localSheetId="2">'Autor Gastar'!$A$1:$Q$25</definedName>
    <definedName name="_xlnm.Print_Area" localSheetId="0">'Necesidades Trimestrales'!$E$9:$E$86</definedName>
  </definedNames>
  <calcPr calcId="181029"/>
</workbook>
</file>

<file path=xl/calcChain.xml><?xml version="1.0" encoding="utf-8"?>
<calcChain xmlns="http://schemas.openxmlformats.org/spreadsheetml/2006/main">
  <c r="K107" i="2" l="1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J117" i="2"/>
  <c r="J118" i="2"/>
  <c r="J119" i="2"/>
  <c r="J120" i="2"/>
  <c r="J121" i="2"/>
  <c r="J122" i="2"/>
  <c r="J123" i="2"/>
  <c r="J124" i="2"/>
  <c r="J125" i="2"/>
  <c r="J126" i="2"/>
  <c r="J127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K86" i="2" l="1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C125" i="2"/>
  <c r="C126" i="2"/>
  <c r="C127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96" i="2"/>
  <c r="C97" i="2"/>
  <c r="C98" i="2"/>
  <c r="C99" i="2"/>
  <c r="C100" i="2"/>
  <c r="C101" i="2"/>
  <c r="C102" i="2"/>
  <c r="C90" i="2"/>
  <c r="C91" i="2"/>
  <c r="C92" i="2"/>
  <c r="C93" i="2"/>
  <c r="C94" i="2"/>
  <c r="C95" i="2"/>
  <c r="C89" i="2"/>
  <c r="C88" i="2"/>
  <c r="C87" i="2"/>
  <c r="C86" i="2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 l="1"/>
  <c r="I96" i="1"/>
  <c r="I95" i="1"/>
  <c r="I94" i="1"/>
  <c r="I93" i="1"/>
  <c r="I92" i="1"/>
  <c r="I91" i="1"/>
  <c r="I90" i="1"/>
  <c r="I89" i="1"/>
  <c r="I88" i="1"/>
  <c r="I87" i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13" i="2"/>
  <c r="I13" i="2"/>
  <c r="J13" i="2"/>
  <c r="K13" i="2"/>
  <c r="K12" i="2"/>
  <c r="J12" i="2"/>
  <c r="I12" i="2"/>
  <c r="C12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11" i="1"/>
  <c r="I10" i="1"/>
  <c r="J128" i="2" l="1"/>
  <c r="A10" i="3"/>
  <c r="G6" i="3" l="1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<sst xmlns="http://schemas.openxmlformats.org/spreadsheetml/2006/main" count="540" uniqueCount="196">
  <si>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</si>
  <si>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</si>
  <si>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</si>
  <si>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</si>
  <si>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</si>
  <si>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</si>
  <si>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</si>
  <si>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</si>
  <si>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</si>
  <si>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</si>
  <si>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</si>
  <si>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</si>
  <si>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</si>
  <si>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</si>
  <si>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</si>
  <si>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</si>
  <si>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</si>
  <si>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</si>
  <si>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</si>
  <si>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</si>
  <si>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</si>
  <si>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</si>
  <si>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</si>
  <si>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</si>
  <si>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</si>
  <si>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</si>
  <si>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</si>
  <si>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</si>
  <si>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</si>
  <si>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</si>
  <si>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</si>
  <si>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</si>
  <si>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</si>
  <si>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</si>
  <si>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</si>
  <si>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</si>
  <si>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</si>
  <si>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</si>
  <si>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</si>
  <si>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</si>
  <si>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</si>
  <si>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</si>
  <si>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</si>
  <si>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</si>
  <si>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</si>
  <si>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</si>
  <si>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</si>
  <si>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</si>
  <si>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</si>
  <si>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</si>
  <si>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</si>
  <si>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</si>
  <si>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</si>
  <si>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</si>
  <si>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</si>
  <si>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</si>
  <si>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</si>
  <si>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</si>
  <si>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</si>
  <si>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</si>
  <si>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QUIMICOS</t>
  </si>
  <si>
    <t>Servicio de Laboratorio</t>
  </si>
  <si>
    <t>COMPUESTOS QUIMICOS</t>
  </si>
  <si>
    <t>CASSETTE</t>
  </si>
  <si>
    <t>ANTI-TPO COBAS ROCHE</t>
  </si>
  <si>
    <t>ANTI-TG COBAS ROCHE</t>
  </si>
  <si>
    <t>CORTISOL COBAS ROCHE</t>
  </si>
  <si>
    <t>ALFA FETO PROTEINA COBAS ROCHE</t>
  </si>
  <si>
    <t>IGE  COBAS ROCHE</t>
  </si>
  <si>
    <t>IGE CALSET COBAS ROCHE</t>
  </si>
  <si>
    <t>HIV COMBI PT</t>
  </si>
  <si>
    <t>ELECSYS SYPHILIS (TREPONEMICO)</t>
  </si>
  <si>
    <t>SENSOR GLU/LAC</t>
  </si>
  <si>
    <t>IGG COBAS ROCHE C311</t>
  </si>
  <si>
    <t>Reactivos</t>
  </si>
  <si>
    <t>Para la adquisición de Reactivos destinados al Servicio de Laboratorio del Hospital Interzonal de Niños Eva Peron, para el normal funcionamiento del organismo.</t>
  </si>
  <si>
    <t>PAQUETE</t>
  </si>
  <si>
    <t>FRASCOS BACT/ALERT PF FAN PEDIATRICOS- TIPO BIOMERIEUX</t>
  </si>
  <si>
    <t>FRASCO</t>
  </si>
  <si>
    <t>TARJETAS PARA VITEK 2C X 20 U -TIPO BIOMERIEUX</t>
  </si>
  <si>
    <t>GEN BOX MICROAER X 10 SOBRES-TIPO BIOMERIEUX</t>
  </si>
  <si>
    <t>MYCOLINE TIPO BIOMERIEUX</t>
  </si>
  <si>
    <t>PACK DIESTRO</t>
  </si>
  <si>
    <t>TUBOS TAPA CELESTE X 1ML</t>
  </si>
  <si>
    <t>2010 ASSAY CUP</t>
  </si>
  <si>
    <t>2010 ASSAY TIP</t>
  </si>
  <si>
    <t>ACEITE DE INMERSIÓN : X 100 ML</t>
  </si>
  <si>
    <t>ALBUMINA COBAS C-311 ROCHE  X 300 DET</t>
  </si>
  <si>
    <t>ALFA FETO PROTEINA CALIBRADOR COBAS ROCHE</t>
  </si>
  <si>
    <t>ANTI HBV CORE ROCHE E411</t>
  </si>
  <si>
    <t>ANTI HCV ROCHE E411</t>
  </si>
  <si>
    <t>CALCIO COBAS C-311 ROCHE  X 300 DET</t>
  </si>
  <si>
    <t xml:space="preserve">CALIBRADOR  PROLACTINA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</si>
  <si>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</si>
  <si>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</si>
  <si>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</si>
  <si>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</si>
  <si>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</si>
  <si>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</si>
  <si>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HCG+BETA II CALSET PARA COBAS E411</t>
  </si>
  <si>
    <t>CALIBRADOR PARA INSULINA X 10 CAL COBAS E-411 ROCHE</t>
  </si>
  <si>
    <t>CALIBRADOR PARA LH  X 10  CAL COBAS E-411 ROCHE</t>
  </si>
  <si>
    <t>CALIBRADOR T3 TOTAL X 10 CAL  COBAS E-411 ROCHE</t>
  </si>
  <si>
    <t>CALIBRADOR T4 TOTAL X 10 CAL  COBAS E-411 ROCHE</t>
  </si>
  <si>
    <t>CALIBRADOR TSH  X 10 CAL COBAS E-411  ROCHE</t>
  </si>
  <si>
    <t>CHROM ID CPS COD 35131  X 10 U - BIOMERIEUX</t>
  </si>
  <si>
    <t>CLEAN CELL COBAS E411</t>
  </si>
  <si>
    <t>COLESTEROL LDL-C GEN.3</t>
  </si>
  <si>
    <t>CREATININA JAFFE COBAS C-311 ROCHE  X 700 DET</t>
  </si>
  <si>
    <t>ECOTERGENT  X 60 ML COBAS C-311 ROCHE</t>
  </si>
  <si>
    <t>EQUIPO D° ULTRA 8 DFA RESPIRATORY VIRUS SCREENING &amp; IDENTIFICACION,DIAGNOSTIC HYBRIDS,INC.O ALTERNATIVA</t>
  </si>
  <si>
    <t>HCG+BETA II  PARA COBAS E411</t>
  </si>
  <si>
    <t>IGM P/ COBAS C311</t>
  </si>
  <si>
    <t>JERINGAS P/GASES EN SANGRE C/HEPARINA DE LITIO X 3ML TIPO BD X 200U</t>
  </si>
  <si>
    <t>KIT ERITROSEDIMENTACION X 100 C/PIPETA+TUBO</t>
  </si>
  <si>
    <t>BOTELLA</t>
  </si>
  <si>
    <t>MAGNESIO COBAS C-311 ROCHE  X 175 DET</t>
  </si>
  <si>
    <t>MAY GRUNWUALD X 1 LTS.</t>
  </si>
  <si>
    <t>PRECICONTROL THYRO P COBAS E 411</t>
  </si>
  <si>
    <t>PRECICONTROL UNIVERSAL P COBAS E 411</t>
  </si>
  <si>
    <t>PRO CELL COBAS E-411N ROCHE X 2 L</t>
  </si>
  <si>
    <t>REACTIVO ANTIGENO DE SUPERFICIE HBSAG P/ COBAS E411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</si>
  <si>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</si>
  <si>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</si>
  <si>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</si>
  <si>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</si>
  <si>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PROLACTINA COBAS E-411 ROCHE X 100 DET</t>
  </si>
  <si>
    <t>REACTIVO T3  TOTAL COBAS E-411 ROCHE  X 100 DET</t>
  </si>
  <si>
    <t>REACTIVO T4 LIBRE  (FT4)   COBAS E-411 ROCHE X 200 DET</t>
  </si>
  <si>
    <t>REACTIVO T4 TOTAL P COBAS E 411</t>
  </si>
  <si>
    <t>ROTAVIRUS ELISA X 96 DET. –ALTERNATIVA</t>
  </si>
  <si>
    <t>SYSWASH PARA COBAS E411</t>
  </si>
  <si>
    <t>TUBOS TAPA LILA X 1ML C/EDTA</t>
  </si>
  <si>
    <t>TUBOS TAPA ROJA X 4ML TIPO VACUTAINER</t>
  </si>
  <si>
    <t>UREA  COBAS C-311 ROCHE X 500 DET</t>
  </si>
  <si>
    <t>PLACAS AGAR COLUMBIA SANGRE OVINA X 10 UNID.  BIOMERIEUX-BRITANIA</t>
  </si>
  <si>
    <t>POLIVITEX AGAR CHOCOLATE X 10 - BIOMERIEUX-BRITANIA</t>
  </si>
  <si>
    <t>GIEMSA X 1L</t>
  </si>
  <si>
    <t>FOSFATASA ALCALINA LARGE (IFCC) X 400 DET ROCHE</t>
  </si>
  <si>
    <t>AST/GOT IFCC ROCHE C311</t>
  </si>
  <si>
    <t>ALT/GPT IFCCROCHE C311</t>
  </si>
  <si>
    <t>CRPL3 / C-Reactive Protein Gen.3 Cobas</t>
  </si>
  <si>
    <t>FERRITINA  GEN. 2 ROCHE E411 X 200DET</t>
  </si>
  <si>
    <t>FERRITINA  CALSET GEN. 2 ROCHE E 411</t>
  </si>
  <si>
    <t>Dímero D Gen 2 ROCHE C311</t>
  </si>
  <si>
    <t>HIDROXIDO DE SODIO, ESTADO: LIQUIDO, CALIDAD: PRO ANALISIS, CONCENTRACION/PUREZA: 1 N, PRESENTACION: ENVASE X 1 L</t>
  </si>
  <si>
    <t xml:space="preserve">BOTELLA </t>
  </si>
  <si>
    <t>FUCSINA BASICA, ESTADO: SOLIDO, CALIDAD: PRO ANALISIS, PRESENTACION: ENVASE X 25 GR</t>
  </si>
  <si>
    <t>DIMERO D GEN 2 COMTROL I/II</t>
  </si>
  <si>
    <t>CELLPACK 20 L SYSMEX XS 1000</t>
  </si>
  <si>
    <t>COLESTEROL COBAS C311</t>
  </si>
  <si>
    <t>PROTEINA TOTAL COBAS C311</t>
  </si>
  <si>
    <t>COLESTEROL HDL GEN4 COBAS C311</t>
  </si>
  <si>
    <t>GLUCOSA HEXOKINASA 800 COBAS C311</t>
  </si>
  <si>
    <t>HbA1C TQ GEN3 150 TEST COBAS C311</t>
  </si>
  <si>
    <t>REACTIVO TSH  COBAS E-411 ROCHE X 200 DET</t>
  </si>
  <si>
    <t>FOSFATO DE SODIO (Na2HPO4) (10mM)</t>
  </si>
  <si>
    <t>CA- MICRO ELECTRODE</t>
  </si>
  <si>
    <t>CL- MICRO ELECTRODE</t>
  </si>
  <si>
    <t>DISCO FOSFOMICINA 200 UG X 50 U</t>
  </si>
  <si>
    <t>K- MICRO ELECTRODE</t>
  </si>
  <si>
    <t>MICROTUBO C/EDTA K2 TIPO BD x 200u</t>
  </si>
  <si>
    <t>NA- MICRO ELECTRODE</t>
  </si>
  <si>
    <t xml:space="preserve">PANEL DE DROGAS DE ABUSO X 5DET X 25 U </t>
  </si>
  <si>
    <t>PCO2- MICRO ELECTRODE</t>
  </si>
  <si>
    <t>PH- MICRO ELECTRODE</t>
  </si>
  <si>
    <t>PO2- MICRO ELECTRODE</t>
  </si>
  <si>
    <t>REFERENCE CONTACT (RCON)</t>
  </si>
  <si>
    <t>REFERENCE MICRO ELECTRODE</t>
  </si>
  <si>
    <t>caja</t>
  </si>
  <si>
    <t>MICROELECTRODE DUMMY</t>
  </si>
  <si>
    <t xml:space="preserve">FOSFATO DE POTASIO (KHHPO4)  (2mM) </t>
  </si>
  <si>
    <t>Caja</t>
  </si>
  <si>
    <t>Precicontrol CMV IgM 16x 1 ml cobas roche</t>
  </si>
  <si>
    <t>CUBETAS PARA COATRON M2 X 500U</t>
  </si>
  <si>
    <t>Unidad</t>
  </si>
  <si>
    <t>Glucosa monohidrata x 1000 g</t>
  </si>
  <si>
    <t>Disco de Ceftaroline</t>
  </si>
  <si>
    <t>Sabouroud medio listo con gentamicina y cloranfenicol</t>
  </si>
  <si>
    <t>Vancomicina Gen 3 cobas roche</t>
  </si>
  <si>
    <t>PRECISET TDM I 6 x 5ml + 10ml diluyente COBAS ROCHE</t>
  </si>
  <si>
    <t>Reactivo vitamina D Cobas roche E-411</t>
  </si>
  <si>
    <t xml:space="preserve"> Caja</t>
  </si>
  <si>
    <t>Calibrador (Calset) Vitamina D Cobas Roche E411</t>
  </si>
  <si>
    <t>Precicontrol Vitamina D Cobas E-411 Roche</t>
  </si>
  <si>
    <t>TDM  CONTROL SET 3 Niveles: 2 x 5ml</t>
  </si>
  <si>
    <t>051/2022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</si>
  <si>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</si>
  <si>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</si>
  <si>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t>Forma de Pago</t>
    </r>
    <r>
      <rPr>
        <sz val="10"/>
        <rFont val="Times New Roman"/>
        <family val="1"/>
      </rPr>
      <t xml:space="preserve">: Treinta (30) dias habiles. </t>
    </r>
  </si>
  <si>
    <t>DILUYENTE UNIVERSAL 2un x 18 ml</t>
  </si>
  <si>
    <t xml:space="preserve">S1 RINSE SOLUTION </t>
  </si>
  <si>
    <t xml:space="preserve">S2 FLUID PACK </t>
  </si>
  <si>
    <t xml:space="preserve">S3 FLUID PACK </t>
  </si>
  <si>
    <t>Costo total estimado: Ocho Millones TREINTA Y CINCO MIL TRESCIENTOS CUARENTA Y UNO Con 10/100.</t>
  </si>
  <si>
    <t>TOTAL DE PESOS: cho Millones TREINTA Y CINCO MIL TRESCIENTOS CUARENTA Y UNO Con 10/100.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</si>
</sst>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  <numFmt numFmtId="171" formatCode="_ [$$-2C0A]\ * #,##0.00_ ;_ [$$-2C0A]\ * \-#,##0.00_ ;_ [$$-2C0A]\ * &quot;-&quot;??_ ;_ @_ "/>
  </numFmts>
  <fonts count="32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name val="Imago"/>
    </font>
    <font>
      <sz val="8"/>
      <name val="Arial"/>
      <family val="2"/>
    </font>
    <font>
      <sz val="10"/>
      <name val="Imago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  <xf numFmtId="0" fontId="16" fillId="0" borderId="0"/>
  </cellStyleXfs>
  <cellXfs count="17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6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6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166" fontId="22" fillId="4" borderId="58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6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69" fontId="26" fillId="0" borderId="16" xfId="0" applyNumberFormat="1" applyFont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left" vertical="center"/>
    </xf>
    <xf numFmtId="0" fontId="24" fillId="0" borderId="4" xfId="0" applyFont="1" applyBorder="1" applyAlignment="1">
      <alignment horizontal="left" indent="3"/>
    </xf>
    <xf numFmtId="0" fontId="22" fillId="3" borderId="57" xfId="0" applyFont="1" applyFill="1" applyBorder="1" applyAlignment="1">
      <alignment horizontal="center" vertical="center"/>
    </xf>
    <xf numFmtId="0" fontId="0" fillId="3" borderId="56" xfId="0" applyFill="1" applyBorder="1"/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0" fillId="3" borderId="60" xfId="0" applyFill="1" applyBorder="1"/>
    <xf numFmtId="166" fontId="22" fillId="4" borderId="61" xfId="1" applyNumberFormat="1" applyFont="1" applyFill="1" applyBorder="1" applyAlignment="1" applyProtection="1">
      <alignment horizontal="right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/>
    </xf>
    <xf numFmtId="0" fontId="0" fillId="3" borderId="2" xfId="0" applyFill="1" applyBorder="1"/>
    <xf numFmtId="166" fontId="22" fillId="4" borderId="3" xfId="1" applyNumberFormat="1" applyFont="1" applyFill="1" applyBorder="1" applyAlignment="1" applyProtection="1">
      <alignment horizontal="right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 wrapText="1"/>
    </xf>
    <xf numFmtId="3" fontId="27" fillId="3" borderId="56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 wrapText="1"/>
    </xf>
    <xf numFmtId="0" fontId="20" fillId="0" borderId="63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3" fontId="27" fillId="3" borderId="56" xfId="5" applyNumberFormat="1" applyFont="1" applyFill="1" applyBorder="1" applyAlignment="1">
      <alignment horizontal="center" vertical="center"/>
    </xf>
    <xf numFmtId="3" fontId="27" fillId="3" borderId="56" xfId="1" applyNumberFormat="1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left" vertical="center" wrapText="1"/>
    </xf>
    <xf numFmtId="0" fontId="27" fillId="3" borderId="56" xfId="0" applyFont="1" applyFill="1" applyBorder="1" applyAlignment="1">
      <alignment vertical="center" wrapText="1"/>
    </xf>
    <xf numFmtId="170" fontId="27" fillId="3" borderId="56" xfId="1" applyNumberFormat="1" applyFont="1" applyFill="1" applyBorder="1" applyAlignment="1">
      <alignment horizontal="center" vertical="center" wrapText="1"/>
    </xf>
    <xf numFmtId="0" fontId="27" fillId="3" borderId="56" xfId="5" applyFont="1" applyFill="1" applyBorder="1" applyAlignment="1">
      <alignment horizontal="center" vertical="center" wrapText="1"/>
    </xf>
    <xf numFmtId="170" fontId="27" fillId="3" borderId="56" xfId="1" applyNumberFormat="1" applyFont="1" applyFill="1" applyBorder="1" applyAlignment="1">
      <alignment horizontal="right" vertical="center" wrapText="1"/>
    </xf>
    <xf numFmtId="170" fontId="27" fillId="3" borderId="56" xfId="0" applyNumberFormat="1" applyFont="1" applyFill="1" applyBorder="1" applyAlignment="1">
      <alignment horizontal="center" vertical="center" wrapText="1"/>
    </xf>
    <xf numFmtId="0" fontId="16" fillId="3" borderId="56" xfId="0" applyFont="1" applyFill="1" applyBorder="1" applyAlignment="1">
      <alignment horizontal="center" vertical="center" wrapText="1"/>
    </xf>
    <xf numFmtId="3" fontId="27" fillId="3" borderId="56" xfId="0" applyNumberFormat="1" applyFont="1" applyFill="1" applyBorder="1" applyAlignment="1">
      <alignment horizontal="center" vertical="center" wrapText="1"/>
    </xf>
    <xf numFmtId="0" fontId="29" fillId="3" borderId="56" xfId="0" applyFont="1" applyFill="1" applyBorder="1" applyAlignment="1">
      <alignment horizontal="center" vertical="center" wrapText="1"/>
    </xf>
    <xf numFmtId="170" fontId="27" fillId="3" borderId="56" xfId="0" applyNumberFormat="1" applyFont="1" applyFill="1" applyBorder="1" applyAlignment="1">
      <alignment vertical="center"/>
    </xf>
    <xf numFmtId="0" fontId="16" fillId="3" borderId="56" xfId="0" applyFont="1" applyFill="1" applyBorder="1" applyAlignment="1">
      <alignment horizontal="center" vertical="center"/>
    </xf>
    <xf numFmtId="0" fontId="27" fillId="3" borderId="56" xfId="5" applyFont="1" applyFill="1" applyBorder="1" applyAlignment="1">
      <alignment vertical="center" wrapText="1"/>
    </xf>
    <xf numFmtId="0" fontId="28" fillId="3" borderId="56" xfId="5" applyFont="1" applyFill="1" applyBorder="1" applyAlignment="1">
      <alignment vertical="center" wrapText="1"/>
    </xf>
    <xf numFmtId="169" fontId="27" fillId="3" borderId="56" xfId="0" applyNumberFormat="1" applyFont="1" applyFill="1" applyBorder="1" applyAlignment="1">
      <alignment vertical="center"/>
    </xf>
    <xf numFmtId="0" fontId="30" fillId="3" borderId="56" xfId="5" applyFont="1" applyFill="1" applyBorder="1" applyAlignment="1">
      <alignment vertical="center"/>
    </xf>
    <xf numFmtId="0" fontId="27" fillId="3" borderId="64" xfId="0" applyFont="1" applyFill="1" applyBorder="1" applyAlignment="1">
      <alignment horizontal="center" vertical="center" wrapText="1"/>
    </xf>
    <xf numFmtId="171" fontId="16" fillId="0" borderId="56" xfId="1" applyNumberFormat="1" applyBorder="1" applyAlignment="1">
      <alignment vertical="center"/>
    </xf>
    <xf numFmtId="170" fontId="27" fillId="3" borderId="65" xfId="0" applyNumberFormat="1" applyFont="1" applyFill="1" applyBorder="1" applyAlignment="1">
      <alignment horizontal="center" vertical="center" wrapText="1"/>
    </xf>
    <xf numFmtId="0" fontId="24" fillId="0" borderId="7" xfId="0" applyFont="1" applyBorder="1" applyAlignment="1"/>
    <xf numFmtId="0" fontId="17" fillId="0" borderId="0" xfId="0" applyFont="1" applyBorder="1" applyAlignment="1">
      <alignment horizontal="center" wrapText="1"/>
    </xf>
    <xf numFmtId="0" fontId="17" fillId="0" borderId="0" xfId="0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31" fillId="3" borderId="56" xfId="0" applyFont="1" applyFill="1" applyBorder="1" applyAlignment="1">
      <alignment vertical="center" wrapText="1"/>
    </xf>
    <xf numFmtId="0" fontId="27" fillId="3" borderId="56" xfId="0" applyFont="1" applyFill="1" applyBorder="1" applyAlignment="1">
      <alignment vertical="center"/>
    </xf>
    <xf numFmtId="0" fontId="28" fillId="3" borderId="56" xfId="5" applyFont="1" applyFill="1" applyBorder="1" applyAlignment="1">
      <alignment vertical="center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59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167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indent="1"/>
    </xf>
    <xf numFmtId="0" fontId="14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2" xfId="8" xr:uid="{00000000-0005-0000-0000-000006000000}"/>
    <cellStyle name="Normal 2 3" xfId="5" xr:uid="{00000000-0005-0000-0000-000007000000}"/>
    <cellStyle name="Normal 3" xfId="7" xr:uid="{00000000-0005-0000-0000-000008000000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32"/>
  <sheetViews>
    <sheetView tabSelected="1" topLeftCell="A10" zoomScaleNormal="100" workbookViewId="0">
      <selection activeCell="E49" sqref="E49"/>
    </sheetView>
  </sheetViews>
  <sheetFormatPr baseColWidth="10" defaultColWidth="11" defaultRowHeight="12.75"/>
  <cols>
    <col min="1" max="1" width="6.42578125" style="26" customWidth="1"/>
    <col min="2" max="2" width="11.28515625" style="26" customWidth="1"/>
    <col min="3" max="3" width="17" style="26" customWidth="1"/>
    <col min="4" max="4" width="8.42578125" style="26" customWidth="1"/>
    <col min="5" max="5" width="70.140625" style="26" customWidth="1"/>
    <col min="6" max="6" width="12.85546875" style="26" customWidth="1"/>
    <col min="7" max="7" width="12.42578125" style="26" customWidth="1"/>
    <col min="8" max="8" width="15.2851562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>
      <c r="B2" s="130" t="s">
        <v>0</v>
      </c>
      <c r="C2" s="130"/>
      <c r="D2" s="130"/>
      <c r="E2" s="130"/>
      <c r="F2" s="130"/>
      <c r="G2" s="130"/>
      <c r="H2" s="130"/>
    </row>
    <row r="3" spans="1:10" ht="12" customHeight="1"/>
    <row r="4" spans="1:10" ht="18" customHeight="1">
      <c r="A4" s="129" t="s">
        <v>1</v>
      </c>
      <c r="B4" s="129"/>
      <c r="C4" s="131" t="s">
        <v>52</v>
      </c>
      <c r="D4" s="131"/>
      <c r="E4" s="131"/>
      <c r="F4" s="27"/>
      <c r="G4" s="28"/>
      <c r="H4" s="52"/>
    </row>
    <row r="5" spans="1:10" ht="18" customHeight="1">
      <c r="A5" s="129" t="s">
        <v>2</v>
      </c>
      <c r="B5" s="129"/>
      <c r="C5" s="131" t="s">
        <v>51</v>
      </c>
      <c r="D5" s="131"/>
      <c r="E5" s="131"/>
      <c r="F5" s="27"/>
      <c r="G5" s="28" t="s">
        <v>55</v>
      </c>
      <c r="H5" s="52"/>
    </row>
    <row r="6" spans="1:10" ht="16.5" customHeight="1">
      <c r="A6" s="129" t="s">
        <v>3</v>
      </c>
      <c r="B6" s="129"/>
      <c r="C6" s="42">
        <v>2022</v>
      </c>
      <c r="D6" s="43"/>
      <c r="E6" s="43"/>
      <c r="F6" s="27"/>
      <c r="G6" s="28"/>
      <c r="H6" s="52"/>
    </row>
    <row r="7" spans="1:10" ht="16.5" customHeight="1">
      <c r="A7" s="129" t="s">
        <v>4</v>
      </c>
      <c r="B7" s="129"/>
      <c r="C7" s="42">
        <v>2</v>
      </c>
      <c r="D7" s="43"/>
      <c r="E7" s="43"/>
      <c r="F7" s="27"/>
      <c r="G7" s="28"/>
      <c r="H7" s="52"/>
    </row>
    <row r="8" spans="1:10" ht="13.5" thickBot="1">
      <c r="B8" s="27"/>
      <c r="C8" s="28"/>
      <c r="D8" s="27"/>
      <c r="E8" s="27"/>
      <c r="F8" s="27"/>
      <c r="G8" s="28"/>
      <c r="H8" s="52"/>
      <c r="J8" s="50"/>
    </row>
    <row r="9" spans="1:10" ht="36.75" thickBot="1">
      <c r="A9" s="72" t="s">
        <v>5</v>
      </c>
      <c r="B9" s="72" t="s">
        <v>6</v>
      </c>
      <c r="C9" s="72" t="s">
        <v>7</v>
      </c>
      <c r="D9" s="72" t="s">
        <v>8</v>
      </c>
      <c r="E9" s="72" t="s">
        <v>9</v>
      </c>
      <c r="F9" s="72" t="s">
        <v>10</v>
      </c>
      <c r="G9" s="72" t="s">
        <v>11</v>
      </c>
      <c r="H9" s="73" t="s">
        <v>12</v>
      </c>
      <c r="I9" s="72" t="s">
        <v>13</v>
      </c>
    </row>
    <row r="10" spans="1:10">
      <c r="A10" s="85">
        <v>1</v>
      </c>
      <c r="B10" s="86"/>
      <c r="C10" s="90" t="s">
        <v>60</v>
      </c>
      <c r="D10" s="91">
        <v>251</v>
      </c>
      <c r="E10" s="102" t="s">
        <v>84</v>
      </c>
      <c r="F10" s="100" t="s">
        <v>58</v>
      </c>
      <c r="G10" s="107">
        <v>4</v>
      </c>
      <c r="H10" s="103">
        <v>38519</v>
      </c>
      <c r="I10" s="87">
        <f>G10*H10</f>
        <v>154076</v>
      </c>
    </row>
    <row r="11" spans="1:10">
      <c r="A11" s="76">
        <v>2</v>
      </c>
      <c r="B11" s="77"/>
      <c r="C11" s="92" t="s">
        <v>60</v>
      </c>
      <c r="D11" s="93">
        <v>251</v>
      </c>
      <c r="E11" s="102" t="s">
        <v>85</v>
      </c>
      <c r="F11" s="100" t="s">
        <v>58</v>
      </c>
      <c r="G11" s="94">
        <v>4</v>
      </c>
      <c r="H11" s="103">
        <v>28618</v>
      </c>
      <c r="I11" s="65">
        <f>G11*H11</f>
        <v>114472</v>
      </c>
    </row>
    <row r="12" spans="1:10">
      <c r="A12" s="76">
        <v>3</v>
      </c>
      <c r="B12" s="77"/>
      <c r="C12" s="95" t="s">
        <v>60</v>
      </c>
      <c r="D12" s="93">
        <v>251</v>
      </c>
      <c r="E12" s="102" t="s">
        <v>86</v>
      </c>
      <c r="F12" s="100" t="s">
        <v>78</v>
      </c>
      <c r="G12" s="94">
        <v>4</v>
      </c>
      <c r="H12" s="103">
        <v>925</v>
      </c>
      <c r="I12" s="65">
        <f t="shared" ref="I12:I75" si="0">G12*H12</f>
        <v>3700</v>
      </c>
    </row>
    <row r="13" spans="1:10">
      <c r="A13" s="76">
        <v>4</v>
      </c>
      <c r="B13" s="77"/>
      <c r="C13" s="95" t="s">
        <v>60</v>
      </c>
      <c r="D13" s="93">
        <v>251</v>
      </c>
      <c r="E13" s="102" t="s">
        <v>87</v>
      </c>
      <c r="F13" s="100" t="s">
        <v>63</v>
      </c>
      <c r="G13" s="94">
        <v>7</v>
      </c>
      <c r="H13" s="103">
        <v>2820</v>
      </c>
      <c r="I13" s="65">
        <f t="shared" si="0"/>
        <v>19740</v>
      </c>
    </row>
    <row r="14" spans="1:10">
      <c r="A14" s="76">
        <v>5</v>
      </c>
      <c r="B14" s="77"/>
      <c r="C14" s="92" t="s">
        <v>60</v>
      </c>
      <c r="D14" s="93">
        <v>251</v>
      </c>
      <c r="E14" s="102" t="s">
        <v>88</v>
      </c>
      <c r="F14" s="100" t="s">
        <v>58</v>
      </c>
      <c r="G14" s="94">
        <v>1</v>
      </c>
      <c r="H14" s="103">
        <v>17952</v>
      </c>
      <c r="I14" s="65">
        <f t="shared" si="0"/>
        <v>17952</v>
      </c>
    </row>
    <row r="15" spans="1:10">
      <c r="A15" s="76">
        <v>6</v>
      </c>
      <c r="B15" s="77"/>
      <c r="C15" s="92" t="s">
        <v>60</v>
      </c>
      <c r="D15" s="93">
        <v>251</v>
      </c>
      <c r="E15" s="102" t="s">
        <v>67</v>
      </c>
      <c r="F15" s="100" t="s">
        <v>63</v>
      </c>
      <c r="G15" s="94">
        <v>2</v>
      </c>
      <c r="H15" s="103">
        <v>31072</v>
      </c>
      <c r="I15" s="65">
        <f t="shared" si="0"/>
        <v>62144</v>
      </c>
    </row>
    <row r="16" spans="1:10">
      <c r="A16" s="76">
        <v>7</v>
      </c>
      <c r="B16" s="77"/>
      <c r="C16" s="95" t="s">
        <v>60</v>
      </c>
      <c r="D16" s="93">
        <v>251</v>
      </c>
      <c r="E16" s="102" t="s">
        <v>140</v>
      </c>
      <c r="F16" s="100" t="s">
        <v>63</v>
      </c>
      <c r="G16" s="94">
        <v>5</v>
      </c>
      <c r="H16" s="106">
        <v>12214</v>
      </c>
      <c r="I16" s="65">
        <f t="shared" si="0"/>
        <v>61070</v>
      </c>
    </row>
    <row r="17" spans="1:9">
      <c r="A17" s="76">
        <v>8</v>
      </c>
      <c r="B17" s="77"/>
      <c r="C17" s="95" t="s">
        <v>60</v>
      </c>
      <c r="D17" s="96">
        <v>251</v>
      </c>
      <c r="E17" s="102" t="s">
        <v>89</v>
      </c>
      <c r="F17" s="100" t="s">
        <v>63</v>
      </c>
      <c r="G17" s="94">
        <v>5</v>
      </c>
      <c r="H17" s="103">
        <v>41413</v>
      </c>
      <c r="I17" s="65">
        <f t="shared" si="0"/>
        <v>207065</v>
      </c>
    </row>
    <row r="18" spans="1:9">
      <c r="A18" s="76">
        <v>9</v>
      </c>
      <c r="B18" s="77"/>
      <c r="C18" s="95" t="s">
        <v>60</v>
      </c>
      <c r="D18" s="93">
        <v>251</v>
      </c>
      <c r="E18" s="102" t="s">
        <v>90</v>
      </c>
      <c r="F18" s="100" t="s">
        <v>63</v>
      </c>
      <c r="G18" s="94">
        <v>5</v>
      </c>
      <c r="H18" s="103">
        <v>93380</v>
      </c>
      <c r="I18" s="65">
        <f t="shared" si="0"/>
        <v>466900</v>
      </c>
    </row>
    <row r="19" spans="1:9">
      <c r="A19" s="76">
        <v>10</v>
      </c>
      <c r="B19" s="77"/>
      <c r="C19" s="95" t="s">
        <v>60</v>
      </c>
      <c r="D19" s="96">
        <v>251</v>
      </c>
      <c r="E19" s="102" t="s">
        <v>65</v>
      </c>
      <c r="F19" s="100" t="s">
        <v>63</v>
      </c>
      <c r="G19" s="94">
        <v>3</v>
      </c>
      <c r="H19" s="103">
        <v>32052</v>
      </c>
      <c r="I19" s="65">
        <f t="shared" si="0"/>
        <v>96156</v>
      </c>
    </row>
    <row r="20" spans="1:9">
      <c r="A20" s="76">
        <v>11</v>
      </c>
      <c r="B20" s="77"/>
      <c r="C20" s="84" t="s">
        <v>60</v>
      </c>
      <c r="D20" s="93">
        <v>251</v>
      </c>
      <c r="E20" s="102" t="s">
        <v>64</v>
      </c>
      <c r="F20" s="100" t="s">
        <v>63</v>
      </c>
      <c r="G20" s="94">
        <v>4</v>
      </c>
      <c r="H20" s="103">
        <v>32052</v>
      </c>
      <c r="I20" s="65">
        <f t="shared" si="0"/>
        <v>128208</v>
      </c>
    </row>
    <row r="21" spans="1:9">
      <c r="A21" s="76">
        <v>12</v>
      </c>
      <c r="B21" s="77"/>
      <c r="C21" s="84" t="s">
        <v>60</v>
      </c>
      <c r="D21" s="93">
        <v>251</v>
      </c>
      <c r="E21" s="101" t="s">
        <v>139</v>
      </c>
      <c r="F21" s="100" t="s">
        <v>63</v>
      </c>
      <c r="G21" s="94">
        <v>5</v>
      </c>
      <c r="H21" s="106">
        <v>12214</v>
      </c>
      <c r="I21" s="65">
        <f t="shared" si="0"/>
        <v>61070</v>
      </c>
    </row>
    <row r="22" spans="1:9">
      <c r="A22" s="76">
        <v>13</v>
      </c>
      <c r="B22" s="77"/>
      <c r="C22" s="95" t="s">
        <v>60</v>
      </c>
      <c r="D22" s="93">
        <v>251</v>
      </c>
      <c r="E22" s="102" t="s">
        <v>157</v>
      </c>
      <c r="F22" s="100" t="s">
        <v>58</v>
      </c>
      <c r="G22" s="94">
        <v>1</v>
      </c>
      <c r="H22" s="103">
        <v>15503</v>
      </c>
      <c r="I22" s="65">
        <f t="shared" si="0"/>
        <v>15503</v>
      </c>
    </row>
    <row r="23" spans="1:9">
      <c r="A23" s="76">
        <v>14</v>
      </c>
      <c r="B23" s="77"/>
      <c r="C23" s="88" t="s">
        <v>60</v>
      </c>
      <c r="D23" s="97">
        <v>251</v>
      </c>
      <c r="E23" s="102" t="s">
        <v>91</v>
      </c>
      <c r="F23" s="100" t="s">
        <v>63</v>
      </c>
      <c r="G23" s="94">
        <v>2</v>
      </c>
      <c r="H23" s="103">
        <v>5807</v>
      </c>
      <c r="I23" s="65">
        <f t="shared" si="0"/>
        <v>11614</v>
      </c>
    </row>
    <row r="24" spans="1:9">
      <c r="A24" s="76">
        <v>15</v>
      </c>
      <c r="B24" s="77"/>
      <c r="C24" s="92" t="s">
        <v>60</v>
      </c>
      <c r="D24" s="93">
        <v>251</v>
      </c>
      <c r="E24" s="102" t="s">
        <v>92</v>
      </c>
      <c r="F24" s="100" t="s">
        <v>58</v>
      </c>
      <c r="G24" s="94">
        <v>1</v>
      </c>
      <c r="H24" s="103">
        <v>17952</v>
      </c>
      <c r="I24" s="65">
        <f t="shared" si="0"/>
        <v>17952</v>
      </c>
    </row>
    <row r="25" spans="1:9">
      <c r="A25" s="76">
        <v>16</v>
      </c>
      <c r="B25" s="77"/>
      <c r="C25" s="95" t="s">
        <v>60</v>
      </c>
      <c r="D25" s="96">
        <v>251</v>
      </c>
      <c r="E25" s="102" t="s">
        <v>93</v>
      </c>
      <c r="F25" s="100" t="s">
        <v>58</v>
      </c>
      <c r="G25" s="94">
        <v>1</v>
      </c>
      <c r="H25" s="103">
        <v>23325</v>
      </c>
      <c r="I25" s="65">
        <f t="shared" si="0"/>
        <v>23325</v>
      </c>
    </row>
    <row r="26" spans="1:9">
      <c r="A26" s="76">
        <v>17</v>
      </c>
      <c r="B26" s="77"/>
      <c r="C26" s="84" t="s">
        <v>60</v>
      </c>
      <c r="D26" s="93">
        <v>251</v>
      </c>
      <c r="E26" s="102" t="s">
        <v>94</v>
      </c>
      <c r="F26" s="100" t="s">
        <v>58</v>
      </c>
      <c r="G26" s="94">
        <v>1</v>
      </c>
      <c r="H26" s="103">
        <v>22455</v>
      </c>
      <c r="I26" s="65">
        <f t="shared" si="0"/>
        <v>22455</v>
      </c>
    </row>
    <row r="27" spans="1:9">
      <c r="A27" s="76">
        <v>18</v>
      </c>
      <c r="B27" s="77"/>
      <c r="C27" s="95" t="s">
        <v>60</v>
      </c>
      <c r="D27" s="93">
        <v>251</v>
      </c>
      <c r="E27" s="102" t="s">
        <v>95</v>
      </c>
      <c r="F27" s="100" t="s">
        <v>58</v>
      </c>
      <c r="G27" s="94">
        <v>1</v>
      </c>
      <c r="H27" s="103">
        <v>23325</v>
      </c>
      <c r="I27" s="65">
        <f t="shared" si="0"/>
        <v>23325</v>
      </c>
    </row>
    <row r="28" spans="1:9">
      <c r="A28" s="76">
        <v>19</v>
      </c>
      <c r="B28" s="77"/>
      <c r="C28" s="84" t="s">
        <v>60</v>
      </c>
      <c r="D28" s="93">
        <v>251</v>
      </c>
      <c r="E28" s="102" t="s">
        <v>96</v>
      </c>
      <c r="F28" s="100" t="s">
        <v>58</v>
      </c>
      <c r="G28" s="94">
        <v>1</v>
      </c>
      <c r="H28" s="103">
        <v>23325</v>
      </c>
      <c r="I28" s="65">
        <f t="shared" si="0"/>
        <v>23325</v>
      </c>
    </row>
    <row r="29" spans="1:9">
      <c r="A29" s="76">
        <v>20</v>
      </c>
      <c r="B29" s="77"/>
      <c r="C29" s="95" t="s">
        <v>60</v>
      </c>
      <c r="D29" s="93">
        <v>251</v>
      </c>
      <c r="E29" s="102" t="s">
        <v>97</v>
      </c>
      <c r="F29" s="100" t="s">
        <v>58</v>
      </c>
      <c r="G29" s="94">
        <v>1</v>
      </c>
      <c r="H29" s="103">
        <v>17952</v>
      </c>
      <c r="I29" s="65">
        <f t="shared" si="0"/>
        <v>17952</v>
      </c>
    </row>
    <row r="30" spans="1:9">
      <c r="A30" s="76">
        <v>21</v>
      </c>
      <c r="B30" s="77"/>
      <c r="C30" s="88" t="s">
        <v>60</v>
      </c>
      <c r="D30" s="97">
        <v>251</v>
      </c>
      <c r="E30" s="101" t="s">
        <v>183</v>
      </c>
      <c r="F30" s="100" t="s">
        <v>63</v>
      </c>
      <c r="G30" s="94">
        <v>1</v>
      </c>
      <c r="H30" s="114">
        <v>127977</v>
      </c>
      <c r="I30" s="65">
        <f t="shared" si="0"/>
        <v>127977</v>
      </c>
    </row>
    <row r="31" spans="1:9">
      <c r="A31" s="76">
        <v>22</v>
      </c>
      <c r="B31" s="77"/>
      <c r="C31" s="92" t="s">
        <v>60</v>
      </c>
      <c r="D31" s="93">
        <v>251</v>
      </c>
      <c r="E31" s="102" t="s">
        <v>98</v>
      </c>
      <c r="F31" s="100" t="s">
        <v>58</v>
      </c>
      <c r="G31" s="94">
        <v>1</v>
      </c>
      <c r="H31" s="103">
        <v>17245</v>
      </c>
      <c r="I31" s="65">
        <f t="shared" si="0"/>
        <v>17245</v>
      </c>
    </row>
    <row r="32" spans="1:9">
      <c r="A32" s="76">
        <v>23</v>
      </c>
      <c r="B32" s="77"/>
      <c r="C32" s="84" t="s">
        <v>60</v>
      </c>
      <c r="D32" s="93">
        <v>251</v>
      </c>
      <c r="E32" s="102" t="s">
        <v>99</v>
      </c>
      <c r="F32" s="100" t="s">
        <v>58</v>
      </c>
      <c r="G32" s="94">
        <v>1</v>
      </c>
      <c r="H32" s="103">
        <v>17952</v>
      </c>
      <c r="I32" s="65">
        <f t="shared" si="0"/>
        <v>17952</v>
      </c>
    </row>
    <row r="33" spans="1:9">
      <c r="A33" s="76">
        <v>24</v>
      </c>
      <c r="B33" s="77"/>
      <c r="C33" s="95" t="s">
        <v>60</v>
      </c>
      <c r="D33" s="96">
        <v>251</v>
      </c>
      <c r="E33" s="102" t="s">
        <v>100</v>
      </c>
      <c r="F33" s="100" t="s">
        <v>58</v>
      </c>
      <c r="G33" s="94">
        <v>1</v>
      </c>
      <c r="H33" s="103">
        <v>16502</v>
      </c>
      <c r="I33" s="65">
        <f t="shared" si="0"/>
        <v>16502</v>
      </c>
    </row>
    <row r="34" spans="1:9">
      <c r="A34" s="76">
        <v>25</v>
      </c>
      <c r="B34" s="77"/>
      <c r="C34" s="92" t="s">
        <v>60</v>
      </c>
      <c r="D34" s="93">
        <v>251</v>
      </c>
      <c r="E34" s="102" t="s">
        <v>101</v>
      </c>
      <c r="F34" s="100" t="s">
        <v>58</v>
      </c>
      <c r="G34" s="94">
        <v>1</v>
      </c>
      <c r="H34" s="103">
        <v>17952</v>
      </c>
      <c r="I34" s="65">
        <f t="shared" si="0"/>
        <v>17952</v>
      </c>
    </row>
    <row r="35" spans="1:9">
      <c r="A35" s="76">
        <v>26</v>
      </c>
      <c r="B35" s="77"/>
      <c r="C35" s="95" t="s">
        <v>60</v>
      </c>
      <c r="D35" s="93">
        <v>251</v>
      </c>
      <c r="E35" s="102" t="s">
        <v>102</v>
      </c>
      <c r="F35" s="100" t="s">
        <v>58</v>
      </c>
      <c r="G35" s="94">
        <v>1</v>
      </c>
      <c r="H35" s="103">
        <v>17245</v>
      </c>
      <c r="I35" s="65">
        <f t="shared" si="0"/>
        <v>17245</v>
      </c>
    </row>
    <row r="36" spans="1:9">
      <c r="A36" s="76">
        <v>27</v>
      </c>
      <c r="B36" s="77"/>
      <c r="C36" s="95" t="s">
        <v>60</v>
      </c>
      <c r="D36" s="93">
        <v>251</v>
      </c>
      <c r="E36" s="102" t="s">
        <v>103</v>
      </c>
      <c r="F36" s="100" t="s">
        <v>63</v>
      </c>
      <c r="G36" s="94">
        <v>1</v>
      </c>
      <c r="H36" s="103">
        <v>17245</v>
      </c>
      <c r="I36" s="65">
        <f t="shared" si="0"/>
        <v>17245</v>
      </c>
    </row>
    <row r="37" spans="1:9">
      <c r="A37" s="76">
        <v>28</v>
      </c>
      <c r="B37" s="77"/>
      <c r="C37" s="95" t="s">
        <v>60</v>
      </c>
      <c r="D37" s="96">
        <v>251</v>
      </c>
      <c r="E37" s="102" t="s">
        <v>104</v>
      </c>
      <c r="F37" s="100" t="s">
        <v>58</v>
      </c>
      <c r="G37" s="94">
        <v>1</v>
      </c>
      <c r="H37" s="103">
        <v>13439</v>
      </c>
      <c r="I37" s="65">
        <f t="shared" si="0"/>
        <v>13439</v>
      </c>
    </row>
    <row r="38" spans="1:9">
      <c r="A38" s="76">
        <v>29</v>
      </c>
      <c r="B38" s="77"/>
      <c r="C38" s="84" t="s">
        <v>60</v>
      </c>
      <c r="D38" s="93">
        <v>251</v>
      </c>
      <c r="E38" s="102" t="s">
        <v>149</v>
      </c>
      <c r="F38" s="100" t="s">
        <v>58</v>
      </c>
      <c r="G38" s="94">
        <v>1</v>
      </c>
      <c r="H38" s="106">
        <v>24117</v>
      </c>
      <c r="I38" s="65">
        <f t="shared" si="0"/>
        <v>24117</v>
      </c>
    </row>
    <row r="39" spans="1:9">
      <c r="A39" s="76">
        <v>30</v>
      </c>
      <c r="B39" s="77"/>
      <c r="C39" s="95" t="s">
        <v>60</v>
      </c>
      <c r="D39" s="93">
        <v>251</v>
      </c>
      <c r="E39" s="102" t="s">
        <v>105</v>
      </c>
      <c r="F39" s="100" t="s">
        <v>76</v>
      </c>
      <c r="G39" s="94">
        <v>10</v>
      </c>
      <c r="H39" s="103">
        <v>5904</v>
      </c>
      <c r="I39" s="65">
        <f t="shared" si="0"/>
        <v>59040</v>
      </c>
    </row>
    <row r="40" spans="1:9">
      <c r="A40" s="76">
        <v>31</v>
      </c>
      <c r="B40" s="77"/>
      <c r="C40" s="84" t="s">
        <v>60</v>
      </c>
      <c r="D40" s="93">
        <v>251</v>
      </c>
      <c r="E40" s="112" t="s">
        <v>158</v>
      </c>
      <c r="F40" s="104" t="s">
        <v>58</v>
      </c>
      <c r="G40" s="98">
        <v>1</v>
      </c>
      <c r="H40" s="105">
        <v>15503</v>
      </c>
      <c r="I40" s="65">
        <f t="shared" si="0"/>
        <v>15503</v>
      </c>
    </row>
    <row r="41" spans="1:9">
      <c r="A41" s="76">
        <v>32</v>
      </c>
      <c r="B41" s="77"/>
      <c r="C41" s="95" t="s">
        <v>60</v>
      </c>
      <c r="D41" s="96">
        <v>251</v>
      </c>
      <c r="E41" s="112" t="s">
        <v>106</v>
      </c>
      <c r="F41" s="104" t="s">
        <v>58</v>
      </c>
      <c r="G41" s="98">
        <v>4</v>
      </c>
      <c r="H41" s="105">
        <v>12493</v>
      </c>
      <c r="I41" s="65">
        <f t="shared" si="0"/>
        <v>49972</v>
      </c>
    </row>
    <row r="42" spans="1:9">
      <c r="A42" s="76">
        <v>33</v>
      </c>
      <c r="B42" s="77"/>
      <c r="C42" s="84" t="s">
        <v>60</v>
      </c>
      <c r="D42" s="93">
        <v>251</v>
      </c>
      <c r="E42" s="101" t="s">
        <v>150</v>
      </c>
      <c r="F42" s="100" t="s">
        <v>58</v>
      </c>
      <c r="G42" s="94">
        <v>5</v>
      </c>
      <c r="H42" s="106">
        <v>15298</v>
      </c>
      <c r="I42" s="65">
        <f t="shared" si="0"/>
        <v>76490</v>
      </c>
    </row>
    <row r="43" spans="1:9">
      <c r="A43" s="76">
        <v>34</v>
      </c>
      <c r="B43" s="77"/>
      <c r="C43" s="88" t="s">
        <v>60</v>
      </c>
      <c r="D43" s="97">
        <v>251</v>
      </c>
      <c r="E43" s="101" t="s">
        <v>152</v>
      </c>
      <c r="F43" s="100" t="s">
        <v>63</v>
      </c>
      <c r="G43" s="89">
        <v>5</v>
      </c>
      <c r="H43" s="106">
        <v>2438</v>
      </c>
      <c r="I43" s="65">
        <f t="shared" si="0"/>
        <v>12190</v>
      </c>
    </row>
    <row r="44" spans="1:9">
      <c r="A44" s="76">
        <v>35</v>
      </c>
      <c r="B44" s="77"/>
      <c r="C44" s="92" t="s">
        <v>60</v>
      </c>
      <c r="D44" s="93">
        <v>251</v>
      </c>
      <c r="E44" s="112" t="s">
        <v>107</v>
      </c>
      <c r="F44" s="104" t="s">
        <v>63</v>
      </c>
      <c r="G44" s="98">
        <v>2</v>
      </c>
      <c r="H44" s="105">
        <v>22924</v>
      </c>
      <c r="I44" s="65">
        <f t="shared" si="0"/>
        <v>45848</v>
      </c>
    </row>
    <row r="45" spans="1:9">
      <c r="A45" s="76">
        <v>36</v>
      </c>
      <c r="B45" s="77"/>
      <c r="C45" s="95" t="s">
        <v>60</v>
      </c>
      <c r="D45" s="96">
        <v>251</v>
      </c>
      <c r="E45" s="112" t="s">
        <v>66</v>
      </c>
      <c r="F45" s="104" t="s">
        <v>63</v>
      </c>
      <c r="G45" s="98">
        <v>2</v>
      </c>
      <c r="H45" s="105">
        <v>24625</v>
      </c>
      <c r="I45" s="65">
        <f t="shared" si="0"/>
        <v>49250</v>
      </c>
    </row>
    <row r="46" spans="1:9">
      <c r="A46" s="76">
        <v>37</v>
      </c>
      <c r="B46" s="77"/>
      <c r="C46" s="84" t="s">
        <v>60</v>
      </c>
      <c r="D46" s="93">
        <v>251</v>
      </c>
      <c r="E46" s="112" t="s">
        <v>108</v>
      </c>
      <c r="F46" s="104" t="s">
        <v>63</v>
      </c>
      <c r="G46" s="98">
        <v>8</v>
      </c>
      <c r="H46" s="105">
        <v>6370</v>
      </c>
      <c r="I46" s="65">
        <f t="shared" si="0"/>
        <v>50960</v>
      </c>
    </row>
    <row r="47" spans="1:9">
      <c r="A47" s="76">
        <v>38</v>
      </c>
      <c r="B47" s="77"/>
      <c r="C47" s="92" t="s">
        <v>60</v>
      </c>
      <c r="D47" s="93">
        <v>251</v>
      </c>
      <c r="E47" s="102" t="s">
        <v>141</v>
      </c>
      <c r="F47" s="100" t="s">
        <v>63</v>
      </c>
      <c r="G47" s="94">
        <v>8</v>
      </c>
      <c r="H47" s="106">
        <v>52495</v>
      </c>
      <c r="I47" s="65">
        <f t="shared" si="0"/>
        <v>419960</v>
      </c>
    </row>
    <row r="48" spans="1:9">
      <c r="A48" s="76">
        <v>39</v>
      </c>
      <c r="B48" s="77"/>
      <c r="C48" s="95" t="s">
        <v>60</v>
      </c>
      <c r="D48" s="93">
        <v>251</v>
      </c>
      <c r="E48" s="123" t="s">
        <v>174</v>
      </c>
      <c r="F48" s="100" t="s">
        <v>63</v>
      </c>
      <c r="G48" s="94">
        <v>1</v>
      </c>
      <c r="H48" s="106">
        <v>91773</v>
      </c>
      <c r="I48" s="65">
        <f t="shared" si="0"/>
        <v>91773</v>
      </c>
    </row>
    <row r="49" spans="1:9">
      <c r="A49" s="76">
        <v>40</v>
      </c>
      <c r="B49" s="77"/>
      <c r="C49" s="95" t="s">
        <v>60</v>
      </c>
      <c r="D49" s="93">
        <v>251</v>
      </c>
      <c r="E49" s="112" t="s">
        <v>190</v>
      </c>
      <c r="F49" s="104" t="s">
        <v>58</v>
      </c>
      <c r="G49" s="99">
        <v>2</v>
      </c>
      <c r="H49" s="105">
        <v>21254</v>
      </c>
      <c r="I49" s="65">
        <f t="shared" si="0"/>
        <v>42508</v>
      </c>
    </row>
    <row r="50" spans="1:9">
      <c r="A50" s="76">
        <v>41</v>
      </c>
      <c r="B50" s="77"/>
      <c r="C50" s="95" t="s">
        <v>60</v>
      </c>
      <c r="D50" s="96">
        <v>251</v>
      </c>
      <c r="E50" s="101" t="s">
        <v>148</v>
      </c>
      <c r="F50" s="100" t="s">
        <v>78</v>
      </c>
      <c r="G50" s="94">
        <v>1</v>
      </c>
      <c r="H50" s="106">
        <v>950</v>
      </c>
      <c r="I50" s="65">
        <f t="shared" si="0"/>
        <v>950</v>
      </c>
    </row>
    <row r="51" spans="1:9">
      <c r="A51" s="76">
        <v>42</v>
      </c>
      <c r="B51" s="77"/>
      <c r="C51" s="95" t="s">
        <v>60</v>
      </c>
      <c r="D51" s="96">
        <v>251</v>
      </c>
      <c r="E51" s="102" t="s">
        <v>144</v>
      </c>
      <c r="F51" s="100" t="s">
        <v>58</v>
      </c>
      <c r="G51" s="94">
        <v>1</v>
      </c>
      <c r="H51" s="106">
        <v>15611</v>
      </c>
      <c r="I51" s="65">
        <f t="shared" si="0"/>
        <v>15611</v>
      </c>
    </row>
    <row r="52" spans="1:9">
      <c r="A52" s="76">
        <v>43</v>
      </c>
      <c r="B52" s="77"/>
      <c r="C52" s="92" t="s">
        <v>60</v>
      </c>
      <c r="D52" s="93">
        <v>251</v>
      </c>
      <c r="E52" s="101" t="s">
        <v>177</v>
      </c>
      <c r="F52" s="100" t="s">
        <v>78</v>
      </c>
      <c r="G52" s="94">
        <v>3</v>
      </c>
      <c r="H52" s="114">
        <v>4200</v>
      </c>
      <c r="I52" s="65">
        <f t="shared" si="0"/>
        <v>12600</v>
      </c>
    </row>
    <row r="53" spans="1:9">
      <c r="A53" s="76">
        <v>44</v>
      </c>
      <c r="B53" s="77"/>
      <c r="C53" s="95" t="s">
        <v>60</v>
      </c>
      <c r="D53" s="93">
        <v>251</v>
      </c>
      <c r="E53" s="102" t="s">
        <v>159</v>
      </c>
      <c r="F53" s="100" t="s">
        <v>78</v>
      </c>
      <c r="G53" s="99">
        <v>2</v>
      </c>
      <c r="H53" s="106">
        <v>778</v>
      </c>
      <c r="I53" s="65">
        <f t="shared" si="0"/>
        <v>1556</v>
      </c>
    </row>
    <row r="54" spans="1:9">
      <c r="A54" s="76">
        <v>45</v>
      </c>
      <c r="B54" s="77"/>
      <c r="C54" s="95" t="s">
        <v>60</v>
      </c>
      <c r="D54" s="93">
        <v>251</v>
      </c>
      <c r="E54" s="102" t="s">
        <v>109</v>
      </c>
      <c r="F54" s="100" t="s">
        <v>63</v>
      </c>
      <c r="G54" s="94">
        <v>8</v>
      </c>
      <c r="H54" s="103">
        <v>8112</v>
      </c>
      <c r="I54" s="65">
        <f t="shared" si="0"/>
        <v>64896</v>
      </c>
    </row>
    <row r="55" spans="1:9">
      <c r="A55" s="76">
        <v>46</v>
      </c>
      <c r="B55" s="77"/>
      <c r="C55" s="95" t="s">
        <v>60</v>
      </c>
      <c r="D55" s="96">
        <v>251</v>
      </c>
      <c r="E55" s="102" t="s">
        <v>71</v>
      </c>
      <c r="F55" s="100" t="s">
        <v>63</v>
      </c>
      <c r="G55" s="94">
        <v>1</v>
      </c>
      <c r="H55" s="103">
        <v>63289</v>
      </c>
      <c r="I55" s="65">
        <f t="shared" si="0"/>
        <v>63289</v>
      </c>
    </row>
    <row r="56" spans="1:9" ht="24">
      <c r="A56" s="76">
        <v>47</v>
      </c>
      <c r="B56" s="77"/>
      <c r="C56" s="84" t="s">
        <v>60</v>
      </c>
      <c r="D56" s="93">
        <v>251</v>
      </c>
      <c r="E56" s="102" t="s">
        <v>110</v>
      </c>
      <c r="F56" s="100" t="s">
        <v>58</v>
      </c>
      <c r="G56" s="94">
        <v>1</v>
      </c>
      <c r="H56" s="103">
        <v>284980</v>
      </c>
      <c r="I56" s="65">
        <f t="shared" si="0"/>
        <v>284980</v>
      </c>
    </row>
    <row r="57" spans="1:9">
      <c r="A57" s="76">
        <v>48</v>
      </c>
      <c r="B57" s="77"/>
      <c r="C57" s="95" t="s">
        <v>60</v>
      </c>
      <c r="D57" s="93">
        <v>251</v>
      </c>
      <c r="E57" s="113" t="s">
        <v>143</v>
      </c>
      <c r="F57" s="100" t="s">
        <v>63</v>
      </c>
      <c r="G57" s="94">
        <v>2</v>
      </c>
      <c r="H57" s="106">
        <v>50321</v>
      </c>
      <c r="I57" s="65">
        <f t="shared" si="0"/>
        <v>100642</v>
      </c>
    </row>
    <row r="58" spans="1:9">
      <c r="A58" s="76">
        <v>49</v>
      </c>
      <c r="B58" s="77"/>
      <c r="C58" s="84" t="s">
        <v>60</v>
      </c>
      <c r="D58" s="93">
        <v>251</v>
      </c>
      <c r="E58" s="113" t="s">
        <v>142</v>
      </c>
      <c r="F58" s="100" t="s">
        <v>58</v>
      </c>
      <c r="G58" s="94">
        <v>1</v>
      </c>
      <c r="H58" s="106">
        <v>5103</v>
      </c>
      <c r="I58" s="65">
        <f t="shared" si="0"/>
        <v>5103</v>
      </c>
    </row>
    <row r="59" spans="1:9">
      <c r="A59" s="76">
        <v>50</v>
      </c>
      <c r="B59" s="77"/>
      <c r="C59" s="88" t="s">
        <v>60</v>
      </c>
      <c r="D59" s="97">
        <v>251</v>
      </c>
      <c r="E59" s="101" t="s">
        <v>138</v>
      </c>
      <c r="F59" s="100" t="s">
        <v>63</v>
      </c>
      <c r="G59" s="94">
        <v>5</v>
      </c>
      <c r="H59" s="106">
        <v>12214</v>
      </c>
      <c r="I59" s="65">
        <f t="shared" si="0"/>
        <v>61070</v>
      </c>
    </row>
    <row r="60" spans="1:9">
      <c r="A60" s="76">
        <v>51</v>
      </c>
      <c r="B60" s="77"/>
      <c r="C60" s="92" t="s">
        <v>60</v>
      </c>
      <c r="D60" s="93">
        <v>251</v>
      </c>
      <c r="E60" s="102" t="s">
        <v>171</v>
      </c>
      <c r="F60" s="100" t="s">
        <v>63</v>
      </c>
      <c r="G60" s="108">
        <v>7</v>
      </c>
      <c r="H60" s="106">
        <v>24383</v>
      </c>
      <c r="I60" s="65">
        <f t="shared" si="0"/>
        <v>170681</v>
      </c>
    </row>
    <row r="61" spans="1:9">
      <c r="A61" s="76">
        <v>52</v>
      </c>
      <c r="B61" s="77"/>
      <c r="C61" s="84" t="s">
        <v>60</v>
      </c>
      <c r="D61" s="93">
        <v>251</v>
      </c>
      <c r="E61" s="102" t="s">
        <v>156</v>
      </c>
      <c r="F61" s="109" t="s">
        <v>78</v>
      </c>
      <c r="G61" s="109">
        <v>1</v>
      </c>
      <c r="H61" s="110">
        <v>4568</v>
      </c>
      <c r="I61" s="65">
        <f t="shared" si="0"/>
        <v>4568</v>
      </c>
    </row>
    <row r="62" spans="1:9">
      <c r="A62" s="76">
        <v>53</v>
      </c>
      <c r="B62" s="77"/>
      <c r="C62" s="95" t="s">
        <v>60</v>
      </c>
      <c r="D62" s="96">
        <v>251</v>
      </c>
      <c r="E62" s="102" t="s">
        <v>77</v>
      </c>
      <c r="F62" s="100" t="s">
        <v>78</v>
      </c>
      <c r="G62" s="94">
        <v>450</v>
      </c>
      <c r="H62" s="103">
        <v>1411</v>
      </c>
      <c r="I62" s="65">
        <f t="shared" si="0"/>
        <v>634950</v>
      </c>
    </row>
    <row r="63" spans="1:9" ht="24">
      <c r="A63" s="76">
        <v>54</v>
      </c>
      <c r="B63" s="77"/>
      <c r="C63" s="84" t="s">
        <v>60</v>
      </c>
      <c r="D63" s="93">
        <v>251</v>
      </c>
      <c r="E63" s="101" t="s">
        <v>147</v>
      </c>
      <c r="F63" s="100" t="s">
        <v>146</v>
      </c>
      <c r="G63" s="94">
        <v>1</v>
      </c>
      <c r="H63" s="106">
        <v>1204.5</v>
      </c>
      <c r="I63" s="65">
        <f t="shared" si="0"/>
        <v>1204.5</v>
      </c>
    </row>
    <row r="64" spans="1:9">
      <c r="A64" s="76">
        <v>55</v>
      </c>
      <c r="B64" s="77"/>
      <c r="C64" s="84" t="s">
        <v>60</v>
      </c>
      <c r="D64" s="93">
        <v>251</v>
      </c>
      <c r="E64" s="102" t="s">
        <v>80</v>
      </c>
      <c r="F64" s="100" t="s">
        <v>58</v>
      </c>
      <c r="G64" s="94">
        <v>4</v>
      </c>
      <c r="H64" s="103">
        <v>10487</v>
      </c>
      <c r="I64" s="65">
        <f t="shared" si="0"/>
        <v>41948</v>
      </c>
    </row>
    <row r="65" spans="1:9">
      <c r="A65" s="76">
        <v>56</v>
      </c>
      <c r="B65" s="77"/>
      <c r="C65" s="84" t="s">
        <v>60</v>
      </c>
      <c r="D65" s="93">
        <v>251</v>
      </c>
      <c r="E65" s="101" t="s">
        <v>137</v>
      </c>
      <c r="F65" s="100" t="s">
        <v>115</v>
      </c>
      <c r="G65" s="94">
        <v>3</v>
      </c>
      <c r="H65" s="106">
        <v>2380</v>
      </c>
      <c r="I65" s="65">
        <f t="shared" si="0"/>
        <v>7140</v>
      </c>
    </row>
    <row r="66" spans="1:9">
      <c r="A66" s="76">
        <v>57</v>
      </c>
      <c r="B66" s="77"/>
      <c r="C66" s="92" t="s">
        <v>60</v>
      </c>
      <c r="D66" s="93">
        <v>251</v>
      </c>
      <c r="E66" s="101" t="s">
        <v>153</v>
      </c>
      <c r="F66" s="100" t="s">
        <v>63</v>
      </c>
      <c r="G66" s="89">
        <v>2</v>
      </c>
      <c r="H66" s="106">
        <v>25470</v>
      </c>
      <c r="I66" s="65">
        <f t="shared" si="0"/>
        <v>50940</v>
      </c>
    </row>
    <row r="67" spans="1:9">
      <c r="A67" s="76">
        <v>58</v>
      </c>
      <c r="B67" s="77"/>
      <c r="C67" s="95" t="s">
        <v>60</v>
      </c>
      <c r="D67" s="93">
        <v>251</v>
      </c>
      <c r="E67" s="101" t="s">
        <v>176</v>
      </c>
      <c r="F67" s="111" t="s">
        <v>172</v>
      </c>
      <c r="G67" s="111">
        <v>1</v>
      </c>
      <c r="H67" s="110">
        <v>39500</v>
      </c>
      <c r="I67" s="65">
        <f t="shared" si="0"/>
        <v>39500</v>
      </c>
    </row>
    <row r="68" spans="1:9">
      <c r="A68" s="76">
        <v>59</v>
      </c>
      <c r="B68" s="77"/>
      <c r="C68" s="95" t="s">
        <v>60</v>
      </c>
      <c r="D68" s="93">
        <v>251</v>
      </c>
      <c r="E68" s="101" t="s">
        <v>154</v>
      </c>
      <c r="F68" s="100" t="s">
        <v>63</v>
      </c>
      <c r="G68" s="89">
        <v>3</v>
      </c>
      <c r="H68" s="106">
        <v>12726</v>
      </c>
      <c r="I68" s="65">
        <f t="shared" si="0"/>
        <v>38178</v>
      </c>
    </row>
    <row r="69" spans="1:9">
      <c r="A69" s="76">
        <v>60</v>
      </c>
      <c r="B69" s="77"/>
      <c r="C69" s="84" t="s">
        <v>60</v>
      </c>
      <c r="D69" s="93">
        <v>251</v>
      </c>
      <c r="E69" s="102" t="s">
        <v>111</v>
      </c>
      <c r="F69" s="100" t="s">
        <v>63</v>
      </c>
      <c r="G69" s="94">
        <v>4</v>
      </c>
      <c r="H69" s="103">
        <v>25542</v>
      </c>
      <c r="I69" s="65">
        <f t="shared" si="0"/>
        <v>102168</v>
      </c>
    </row>
    <row r="70" spans="1:9" ht="24">
      <c r="A70" s="76">
        <v>61</v>
      </c>
      <c r="B70" s="77"/>
      <c r="C70" s="95" t="s">
        <v>60</v>
      </c>
      <c r="D70" s="96">
        <v>251</v>
      </c>
      <c r="E70" s="101" t="s">
        <v>145</v>
      </c>
      <c r="F70" s="100" t="s">
        <v>58</v>
      </c>
      <c r="G70" s="94">
        <v>2</v>
      </c>
      <c r="H70" s="106">
        <v>12110</v>
      </c>
      <c r="I70" s="65">
        <f t="shared" si="0"/>
        <v>24220</v>
      </c>
    </row>
    <row r="71" spans="1:9">
      <c r="A71" s="76">
        <v>62</v>
      </c>
      <c r="B71" s="77"/>
      <c r="C71" s="95" t="s">
        <v>60</v>
      </c>
      <c r="D71" s="96">
        <v>251</v>
      </c>
      <c r="E71" s="102" t="s">
        <v>70</v>
      </c>
      <c r="F71" s="100" t="s">
        <v>63</v>
      </c>
      <c r="G71" s="94">
        <v>3</v>
      </c>
      <c r="H71" s="103">
        <v>27563</v>
      </c>
      <c r="I71" s="65">
        <f t="shared" si="0"/>
        <v>82689</v>
      </c>
    </row>
    <row r="72" spans="1:9">
      <c r="A72" s="76">
        <v>63</v>
      </c>
      <c r="B72" s="77"/>
      <c r="C72" s="92" t="s">
        <v>60</v>
      </c>
      <c r="D72" s="93">
        <v>251</v>
      </c>
      <c r="E72" s="102" t="s">
        <v>68</v>
      </c>
      <c r="F72" s="100" t="s">
        <v>63</v>
      </c>
      <c r="G72" s="94">
        <v>4</v>
      </c>
      <c r="H72" s="103">
        <v>24850</v>
      </c>
      <c r="I72" s="65">
        <f t="shared" si="0"/>
        <v>99400</v>
      </c>
    </row>
    <row r="73" spans="1:9">
      <c r="A73" s="76">
        <v>64</v>
      </c>
      <c r="B73" s="77"/>
      <c r="C73" s="95" t="s">
        <v>60</v>
      </c>
      <c r="D73" s="93">
        <v>251</v>
      </c>
      <c r="E73" s="102" t="s">
        <v>69</v>
      </c>
      <c r="F73" s="100" t="s">
        <v>63</v>
      </c>
      <c r="G73" s="94">
        <v>1</v>
      </c>
      <c r="H73" s="103">
        <v>17952</v>
      </c>
      <c r="I73" s="65">
        <f t="shared" si="0"/>
        <v>17952</v>
      </c>
    </row>
    <row r="74" spans="1:9">
      <c r="A74" s="76">
        <v>65</v>
      </c>
      <c r="B74" s="77"/>
      <c r="C74" s="84" t="s">
        <v>60</v>
      </c>
      <c r="D74" s="93">
        <v>251</v>
      </c>
      <c r="E74" s="102" t="s">
        <v>73</v>
      </c>
      <c r="F74" s="100" t="s">
        <v>63</v>
      </c>
      <c r="G74" s="94">
        <v>1</v>
      </c>
      <c r="H74" s="103">
        <v>26755</v>
      </c>
      <c r="I74" s="65">
        <f t="shared" si="0"/>
        <v>26755</v>
      </c>
    </row>
    <row r="75" spans="1:9">
      <c r="A75" s="76">
        <v>66</v>
      </c>
      <c r="B75" s="77"/>
      <c r="C75" s="84" t="s">
        <v>60</v>
      </c>
      <c r="D75" s="93">
        <v>251</v>
      </c>
      <c r="E75" s="102" t="s">
        <v>112</v>
      </c>
      <c r="F75" s="100" t="s">
        <v>63</v>
      </c>
      <c r="G75" s="94">
        <v>1</v>
      </c>
      <c r="H75" s="103">
        <v>26755</v>
      </c>
      <c r="I75" s="65">
        <f t="shared" si="0"/>
        <v>26755</v>
      </c>
    </row>
    <row r="76" spans="1:9">
      <c r="A76" s="76">
        <v>67</v>
      </c>
      <c r="B76" s="77"/>
      <c r="C76" s="95" t="s">
        <v>60</v>
      </c>
      <c r="D76" s="93">
        <v>251</v>
      </c>
      <c r="E76" s="102" t="s">
        <v>113</v>
      </c>
      <c r="F76" s="100" t="s">
        <v>58</v>
      </c>
      <c r="G76" s="94">
        <v>5</v>
      </c>
      <c r="H76" s="103">
        <v>14264</v>
      </c>
      <c r="I76" s="65">
        <f t="shared" ref="I76:I86" si="1">G76*H76</f>
        <v>71320</v>
      </c>
    </row>
    <row r="77" spans="1:9">
      <c r="A77" s="76">
        <v>68</v>
      </c>
      <c r="B77" s="77"/>
      <c r="C77" s="95" t="s">
        <v>60</v>
      </c>
      <c r="D77" s="93">
        <v>251</v>
      </c>
      <c r="E77" s="102" t="s">
        <v>160</v>
      </c>
      <c r="F77" s="100" t="s">
        <v>58</v>
      </c>
      <c r="G77" s="94">
        <v>1</v>
      </c>
      <c r="H77" s="103">
        <v>15503</v>
      </c>
      <c r="I77" s="65">
        <f t="shared" si="1"/>
        <v>15503</v>
      </c>
    </row>
    <row r="78" spans="1:9">
      <c r="A78" s="76">
        <v>69</v>
      </c>
      <c r="B78" s="77"/>
      <c r="C78" s="95" t="s">
        <v>60</v>
      </c>
      <c r="D78" s="93">
        <v>251</v>
      </c>
      <c r="E78" s="112" t="s">
        <v>114</v>
      </c>
      <c r="F78" s="104" t="s">
        <v>58</v>
      </c>
      <c r="G78" s="94">
        <v>3</v>
      </c>
      <c r="H78" s="103">
        <v>4900</v>
      </c>
      <c r="I78" s="65">
        <f t="shared" si="1"/>
        <v>14700</v>
      </c>
    </row>
    <row r="79" spans="1:9">
      <c r="A79" s="76">
        <v>70</v>
      </c>
      <c r="B79" s="77"/>
      <c r="C79" s="95" t="s">
        <v>60</v>
      </c>
      <c r="D79" s="96">
        <v>251</v>
      </c>
      <c r="E79" s="112" t="s">
        <v>116</v>
      </c>
      <c r="F79" s="100" t="s">
        <v>63</v>
      </c>
      <c r="G79" s="94">
        <v>1</v>
      </c>
      <c r="H79" s="103">
        <v>6370</v>
      </c>
      <c r="I79" s="65">
        <f t="shared" si="1"/>
        <v>6370</v>
      </c>
    </row>
    <row r="80" spans="1:9">
      <c r="A80" s="76">
        <v>71</v>
      </c>
      <c r="B80" s="77"/>
      <c r="C80" s="95" t="s">
        <v>60</v>
      </c>
      <c r="D80" s="96">
        <v>251</v>
      </c>
      <c r="E80" s="112" t="s">
        <v>117</v>
      </c>
      <c r="F80" s="104" t="s">
        <v>115</v>
      </c>
      <c r="G80" s="94">
        <v>3</v>
      </c>
      <c r="H80" s="103">
        <v>1980</v>
      </c>
      <c r="I80" s="65">
        <f t="shared" si="1"/>
        <v>5940</v>
      </c>
    </row>
    <row r="81" spans="1:9">
      <c r="A81" s="76">
        <v>72</v>
      </c>
      <c r="B81" s="77"/>
      <c r="C81" s="84" t="s">
        <v>60</v>
      </c>
      <c r="D81" s="93">
        <v>251</v>
      </c>
      <c r="E81" s="101" t="s">
        <v>170</v>
      </c>
      <c r="F81" s="100" t="s">
        <v>58</v>
      </c>
      <c r="G81" s="94">
        <v>1</v>
      </c>
      <c r="H81" s="106">
        <v>5103</v>
      </c>
      <c r="I81" s="65">
        <f t="shared" si="1"/>
        <v>5103</v>
      </c>
    </row>
    <row r="82" spans="1:9">
      <c r="A82" s="76">
        <v>73</v>
      </c>
      <c r="B82" s="77"/>
      <c r="C82" s="95" t="s">
        <v>60</v>
      </c>
      <c r="D82" s="93">
        <v>251</v>
      </c>
      <c r="E82" s="112" t="s">
        <v>161</v>
      </c>
      <c r="F82" s="104" t="s">
        <v>58</v>
      </c>
      <c r="G82" s="94">
        <v>2</v>
      </c>
      <c r="H82" s="103">
        <v>6990</v>
      </c>
      <c r="I82" s="65">
        <f t="shared" si="1"/>
        <v>13980</v>
      </c>
    </row>
    <row r="83" spans="1:9">
      <c r="A83" s="76">
        <v>74</v>
      </c>
      <c r="B83" s="77"/>
      <c r="C83" s="88" t="s">
        <v>60</v>
      </c>
      <c r="D83" s="97">
        <v>251</v>
      </c>
      <c r="E83" s="112" t="s">
        <v>81</v>
      </c>
      <c r="F83" s="104" t="s">
        <v>58</v>
      </c>
      <c r="G83" s="94">
        <v>1</v>
      </c>
      <c r="H83" s="103">
        <v>8761</v>
      </c>
      <c r="I83" s="65">
        <f t="shared" si="1"/>
        <v>8761</v>
      </c>
    </row>
    <row r="84" spans="1:9">
      <c r="A84" s="76">
        <v>75</v>
      </c>
      <c r="B84" s="77"/>
      <c r="C84" s="92" t="s">
        <v>60</v>
      </c>
      <c r="D84" s="93">
        <v>251</v>
      </c>
      <c r="E84" s="112" t="s">
        <v>162</v>
      </c>
      <c r="F84" s="104" t="s">
        <v>58</v>
      </c>
      <c r="G84" s="94">
        <v>1</v>
      </c>
      <c r="H84" s="103">
        <v>15503</v>
      </c>
      <c r="I84" s="65">
        <f t="shared" si="1"/>
        <v>15503</v>
      </c>
    </row>
    <row r="85" spans="1:9">
      <c r="A85" s="76">
        <v>76</v>
      </c>
      <c r="B85" s="77"/>
      <c r="C85" s="95" t="s">
        <v>60</v>
      </c>
      <c r="D85" s="96">
        <v>251</v>
      </c>
      <c r="E85" s="112" t="s">
        <v>82</v>
      </c>
      <c r="F85" s="104" t="s">
        <v>58</v>
      </c>
      <c r="G85" s="94">
        <v>2</v>
      </c>
      <c r="H85" s="103">
        <v>19335.8</v>
      </c>
      <c r="I85" s="65">
        <f t="shared" si="1"/>
        <v>38671.599999999999</v>
      </c>
    </row>
    <row r="86" spans="1:9">
      <c r="A86" s="76">
        <v>77</v>
      </c>
      <c r="B86" s="77"/>
      <c r="C86" s="84" t="s">
        <v>60</v>
      </c>
      <c r="D86" s="93">
        <v>251</v>
      </c>
      <c r="E86" s="112" t="s">
        <v>163</v>
      </c>
      <c r="F86" s="104" t="s">
        <v>58</v>
      </c>
      <c r="G86" s="94">
        <v>2</v>
      </c>
      <c r="H86" s="103">
        <v>16241</v>
      </c>
      <c r="I86" s="65">
        <f t="shared" si="1"/>
        <v>32482</v>
      </c>
    </row>
    <row r="87" spans="1:9">
      <c r="A87" s="76">
        <v>78</v>
      </c>
      <c r="B87" s="82"/>
      <c r="C87" s="92" t="s">
        <v>60</v>
      </c>
      <c r="D87" s="93">
        <v>251</v>
      </c>
      <c r="E87" s="112" t="s">
        <v>164</v>
      </c>
      <c r="F87" s="104" t="s">
        <v>58</v>
      </c>
      <c r="G87" s="94">
        <v>1</v>
      </c>
      <c r="H87" s="103">
        <v>61961</v>
      </c>
      <c r="I87" s="83">
        <f>G87*H87</f>
        <v>61961</v>
      </c>
    </row>
    <row r="88" spans="1:9">
      <c r="A88" s="76">
        <v>79</v>
      </c>
      <c r="B88" s="77"/>
      <c r="C88" s="95" t="s">
        <v>60</v>
      </c>
      <c r="D88" s="93">
        <v>251</v>
      </c>
      <c r="E88" s="101" t="s">
        <v>165</v>
      </c>
      <c r="F88" s="100" t="s">
        <v>58</v>
      </c>
      <c r="G88" s="94">
        <v>1</v>
      </c>
      <c r="H88" s="106">
        <v>25865</v>
      </c>
      <c r="I88" s="65">
        <f>G88*H88</f>
        <v>25865</v>
      </c>
    </row>
    <row r="89" spans="1:9" ht="13.5" customHeight="1">
      <c r="A89" s="76">
        <v>80</v>
      </c>
      <c r="B89" s="77"/>
      <c r="C89" s="95" t="s">
        <v>60</v>
      </c>
      <c r="D89" s="93">
        <v>251</v>
      </c>
      <c r="E89" s="101" t="s">
        <v>135</v>
      </c>
      <c r="F89" s="100" t="s">
        <v>76</v>
      </c>
      <c r="G89" s="94">
        <v>12</v>
      </c>
      <c r="H89" s="106">
        <v>1680</v>
      </c>
      <c r="I89" s="65">
        <f t="shared" ref="I89:I97" si="2">G89*H89</f>
        <v>20160</v>
      </c>
    </row>
    <row r="90" spans="1:9" ht="25.5" customHeight="1">
      <c r="A90" s="76">
        <v>81</v>
      </c>
      <c r="B90" s="77"/>
      <c r="C90" s="95" t="s">
        <v>60</v>
      </c>
      <c r="D90" s="96">
        <v>251</v>
      </c>
      <c r="E90" s="101" t="s">
        <v>166</v>
      </c>
      <c r="F90" s="100" t="s">
        <v>58</v>
      </c>
      <c r="G90" s="94">
        <v>1</v>
      </c>
      <c r="H90" s="106">
        <v>58870</v>
      </c>
      <c r="I90" s="65">
        <f t="shared" si="2"/>
        <v>58870</v>
      </c>
    </row>
    <row r="91" spans="1:9" ht="13.5" customHeight="1">
      <c r="A91" s="76">
        <v>82</v>
      </c>
      <c r="B91" s="77"/>
      <c r="C91" s="84" t="s">
        <v>60</v>
      </c>
      <c r="D91" s="93">
        <v>251</v>
      </c>
      <c r="E91" s="101" t="s">
        <v>136</v>
      </c>
      <c r="F91" s="100" t="s">
        <v>76</v>
      </c>
      <c r="G91" s="94">
        <v>12</v>
      </c>
      <c r="H91" s="106">
        <v>1895</v>
      </c>
      <c r="I91" s="65">
        <f t="shared" si="2"/>
        <v>22740</v>
      </c>
    </row>
    <row r="92" spans="1:9">
      <c r="A92" s="76">
        <v>83</v>
      </c>
      <c r="B92" s="77"/>
      <c r="C92" s="95" t="s">
        <v>60</v>
      </c>
      <c r="D92" s="93">
        <v>251</v>
      </c>
      <c r="E92" s="124" t="s">
        <v>173</v>
      </c>
      <c r="F92" s="111" t="s">
        <v>175</v>
      </c>
      <c r="G92" s="111">
        <v>100</v>
      </c>
      <c r="H92" s="110">
        <v>150</v>
      </c>
      <c r="I92" s="65">
        <f t="shared" si="2"/>
        <v>15000</v>
      </c>
    </row>
    <row r="93" spans="1:9" ht="12" customHeight="1">
      <c r="A93" s="76">
        <v>84</v>
      </c>
      <c r="B93" s="77"/>
      <c r="C93" s="95" t="s">
        <v>60</v>
      </c>
      <c r="D93" s="93">
        <v>251</v>
      </c>
      <c r="E93" s="101" t="s">
        <v>118</v>
      </c>
      <c r="F93" s="100" t="s">
        <v>58</v>
      </c>
      <c r="G93" s="94">
        <v>2</v>
      </c>
      <c r="H93" s="106">
        <v>75886</v>
      </c>
      <c r="I93" s="65">
        <f t="shared" si="2"/>
        <v>151772</v>
      </c>
    </row>
    <row r="94" spans="1:9">
      <c r="A94" s="76">
        <v>85</v>
      </c>
      <c r="B94" s="77"/>
      <c r="C94" s="84" t="s">
        <v>60</v>
      </c>
      <c r="D94" s="93">
        <v>251</v>
      </c>
      <c r="E94" s="101" t="s">
        <v>119</v>
      </c>
      <c r="F94" s="100" t="s">
        <v>58</v>
      </c>
      <c r="G94" s="94">
        <v>4</v>
      </c>
      <c r="H94" s="106">
        <v>16144</v>
      </c>
      <c r="I94" s="65">
        <f t="shared" si="2"/>
        <v>64576</v>
      </c>
    </row>
    <row r="95" spans="1:9">
      <c r="A95" s="76">
        <v>86</v>
      </c>
      <c r="B95" s="77"/>
      <c r="C95" s="88" t="s">
        <v>60</v>
      </c>
      <c r="D95" s="97">
        <v>251</v>
      </c>
      <c r="E95" s="101" t="s">
        <v>184</v>
      </c>
      <c r="F95" s="100" t="s">
        <v>169</v>
      </c>
      <c r="G95" s="94">
        <v>1</v>
      </c>
      <c r="H95" s="114">
        <v>25950</v>
      </c>
      <c r="I95" s="65">
        <f t="shared" si="2"/>
        <v>25950</v>
      </c>
    </row>
    <row r="96" spans="1:9">
      <c r="A96" s="76">
        <v>87</v>
      </c>
      <c r="B96" s="77"/>
      <c r="C96" s="92" t="s">
        <v>60</v>
      </c>
      <c r="D96" s="93">
        <v>251</v>
      </c>
      <c r="E96" s="125" t="s">
        <v>180</v>
      </c>
      <c r="F96" s="100" t="s">
        <v>63</v>
      </c>
      <c r="G96" s="94">
        <v>1</v>
      </c>
      <c r="H96" s="114">
        <v>89234</v>
      </c>
      <c r="I96" s="65">
        <f t="shared" si="2"/>
        <v>89234</v>
      </c>
    </row>
    <row r="97" spans="1:9">
      <c r="A97" s="76">
        <v>88</v>
      </c>
      <c r="B97" s="77"/>
      <c r="C97" s="95" t="s">
        <v>60</v>
      </c>
      <c r="D97" s="96">
        <v>251</v>
      </c>
      <c r="E97" s="101" t="s">
        <v>120</v>
      </c>
      <c r="F97" s="100" t="s">
        <v>58</v>
      </c>
      <c r="G97" s="94">
        <v>4</v>
      </c>
      <c r="H97" s="106">
        <v>16067</v>
      </c>
      <c r="I97" s="65">
        <f t="shared" si="2"/>
        <v>64268</v>
      </c>
    </row>
    <row r="98" spans="1:9">
      <c r="A98" s="76">
        <v>89</v>
      </c>
      <c r="B98" s="77"/>
      <c r="C98" s="84" t="s">
        <v>60</v>
      </c>
      <c r="D98" s="93">
        <v>251</v>
      </c>
      <c r="E98" s="101" t="s">
        <v>151</v>
      </c>
      <c r="F98" s="100" t="s">
        <v>63</v>
      </c>
      <c r="G98" s="89">
        <v>5</v>
      </c>
      <c r="H98" s="106">
        <v>5807</v>
      </c>
      <c r="I98" s="65">
        <f>G98*H98</f>
        <v>29035</v>
      </c>
    </row>
    <row r="99" spans="1:9">
      <c r="A99" s="76">
        <v>90</v>
      </c>
      <c r="B99" s="77"/>
      <c r="C99" s="84" t="s">
        <v>60</v>
      </c>
      <c r="D99" s="93">
        <v>251</v>
      </c>
      <c r="E99" s="101" t="s">
        <v>121</v>
      </c>
      <c r="F99" s="100" t="s">
        <v>63</v>
      </c>
      <c r="G99" s="94">
        <v>5</v>
      </c>
      <c r="H99" s="106">
        <v>32754</v>
      </c>
      <c r="I99" s="65">
        <f t="shared" ref="I99:I125" si="3">G99*H99</f>
        <v>163770</v>
      </c>
    </row>
    <row r="100" spans="1:9">
      <c r="A100" s="76">
        <v>91</v>
      </c>
      <c r="B100" s="77"/>
      <c r="C100" s="84" t="s">
        <v>60</v>
      </c>
      <c r="D100" s="93">
        <v>251</v>
      </c>
      <c r="E100" s="101" t="s">
        <v>122</v>
      </c>
      <c r="F100" s="100" t="s">
        <v>63</v>
      </c>
      <c r="G100" s="94">
        <v>2</v>
      </c>
      <c r="H100" s="106">
        <v>28344</v>
      </c>
      <c r="I100" s="65">
        <f t="shared" si="3"/>
        <v>56688</v>
      </c>
    </row>
    <row r="101" spans="1:9">
      <c r="A101" s="76">
        <v>92</v>
      </c>
      <c r="B101" s="77"/>
      <c r="C101" s="92" t="s">
        <v>60</v>
      </c>
      <c r="D101" s="93">
        <v>251</v>
      </c>
      <c r="E101" s="101" t="s">
        <v>123</v>
      </c>
      <c r="F101" s="100" t="s">
        <v>63</v>
      </c>
      <c r="G101" s="94">
        <v>2</v>
      </c>
      <c r="H101" s="106">
        <v>25542</v>
      </c>
      <c r="I101" s="65">
        <f t="shared" si="3"/>
        <v>51084</v>
      </c>
    </row>
    <row r="102" spans="1:9">
      <c r="A102" s="76">
        <v>93</v>
      </c>
      <c r="B102" s="77"/>
      <c r="C102" s="95" t="s">
        <v>60</v>
      </c>
      <c r="D102" s="93">
        <v>251</v>
      </c>
      <c r="E102" s="101" t="s">
        <v>124</v>
      </c>
      <c r="F102" s="100" t="s">
        <v>63</v>
      </c>
      <c r="G102" s="94">
        <v>5</v>
      </c>
      <c r="H102" s="106">
        <v>32915</v>
      </c>
      <c r="I102" s="65">
        <f t="shared" si="3"/>
        <v>164575</v>
      </c>
    </row>
    <row r="103" spans="1:9">
      <c r="A103" s="76">
        <v>94</v>
      </c>
      <c r="B103" s="77"/>
      <c r="C103" s="84" t="s">
        <v>60</v>
      </c>
      <c r="D103" s="93">
        <v>251</v>
      </c>
      <c r="E103" s="101" t="s">
        <v>125</v>
      </c>
      <c r="F103" s="100" t="s">
        <v>63</v>
      </c>
      <c r="G103" s="94">
        <v>2</v>
      </c>
      <c r="H103" s="106">
        <v>25542</v>
      </c>
      <c r="I103" s="65">
        <f t="shared" si="3"/>
        <v>51084</v>
      </c>
    </row>
    <row r="104" spans="1:9">
      <c r="A104" s="76">
        <v>95</v>
      </c>
      <c r="B104" s="77"/>
      <c r="C104" s="92" t="s">
        <v>60</v>
      </c>
      <c r="D104" s="93">
        <v>251</v>
      </c>
      <c r="E104" s="101" t="s">
        <v>126</v>
      </c>
      <c r="F104" s="100" t="s">
        <v>63</v>
      </c>
      <c r="G104" s="94">
        <v>2</v>
      </c>
      <c r="H104" s="106">
        <v>25542</v>
      </c>
      <c r="I104" s="65">
        <f t="shared" si="3"/>
        <v>51084</v>
      </c>
    </row>
    <row r="105" spans="1:9">
      <c r="A105" s="76">
        <v>96</v>
      </c>
      <c r="B105" s="77"/>
      <c r="C105" s="95" t="s">
        <v>60</v>
      </c>
      <c r="D105" s="93">
        <v>251</v>
      </c>
      <c r="E105" s="101" t="s">
        <v>127</v>
      </c>
      <c r="F105" s="100" t="s">
        <v>63</v>
      </c>
      <c r="G105" s="94">
        <v>4</v>
      </c>
      <c r="H105" s="106">
        <v>29412</v>
      </c>
      <c r="I105" s="65">
        <f t="shared" si="3"/>
        <v>117648</v>
      </c>
    </row>
    <row r="106" spans="1:9">
      <c r="A106" s="76">
        <v>97</v>
      </c>
      <c r="B106" s="77"/>
      <c r="C106" s="95" t="s">
        <v>60</v>
      </c>
      <c r="D106" s="93">
        <v>251</v>
      </c>
      <c r="E106" s="101" t="s">
        <v>128</v>
      </c>
      <c r="F106" s="100" t="s">
        <v>63</v>
      </c>
      <c r="G106" s="94">
        <v>5</v>
      </c>
      <c r="H106" s="106">
        <v>35910</v>
      </c>
      <c r="I106" s="65">
        <f t="shared" si="3"/>
        <v>179550</v>
      </c>
    </row>
    <row r="107" spans="1:9">
      <c r="A107" s="76">
        <v>98</v>
      </c>
      <c r="B107" s="77"/>
      <c r="C107" s="95" t="s">
        <v>60</v>
      </c>
      <c r="D107" s="93">
        <v>251</v>
      </c>
      <c r="E107" s="101" t="s">
        <v>129</v>
      </c>
      <c r="F107" s="100" t="s">
        <v>63</v>
      </c>
      <c r="G107" s="94">
        <v>4</v>
      </c>
      <c r="H107" s="106">
        <v>29412</v>
      </c>
      <c r="I107" s="65">
        <f t="shared" si="3"/>
        <v>117648</v>
      </c>
    </row>
    <row r="108" spans="1:9">
      <c r="A108" s="76">
        <v>99</v>
      </c>
      <c r="B108" s="77"/>
      <c r="C108" s="95" t="s">
        <v>60</v>
      </c>
      <c r="D108" s="96">
        <v>251</v>
      </c>
      <c r="E108" s="101" t="s">
        <v>155</v>
      </c>
      <c r="F108" s="100" t="s">
        <v>63</v>
      </c>
      <c r="G108" s="108">
        <v>2</v>
      </c>
      <c r="H108" s="106">
        <v>32680</v>
      </c>
      <c r="I108" s="65">
        <f t="shared" si="3"/>
        <v>65360</v>
      </c>
    </row>
    <row r="109" spans="1:9">
      <c r="A109" s="76">
        <v>100</v>
      </c>
      <c r="B109" s="77"/>
      <c r="C109" s="84" t="s">
        <v>60</v>
      </c>
      <c r="D109" s="93">
        <v>251</v>
      </c>
      <c r="E109" s="101" t="s">
        <v>181</v>
      </c>
      <c r="F109" s="115" t="s">
        <v>182</v>
      </c>
      <c r="G109" s="94">
        <v>1</v>
      </c>
      <c r="H109" s="117">
        <v>50449</v>
      </c>
      <c r="I109" s="65">
        <f t="shared" si="3"/>
        <v>50449</v>
      </c>
    </row>
    <row r="110" spans="1:9">
      <c r="A110" s="76">
        <v>101</v>
      </c>
      <c r="B110" s="77"/>
      <c r="C110" s="95" t="s">
        <v>60</v>
      </c>
      <c r="D110" s="93">
        <v>251</v>
      </c>
      <c r="E110" s="101" t="s">
        <v>167</v>
      </c>
      <c r="F110" s="100" t="s">
        <v>58</v>
      </c>
      <c r="G110" s="94">
        <v>1</v>
      </c>
      <c r="H110" s="106">
        <v>32620</v>
      </c>
      <c r="I110" s="65">
        <f t="shared" si="3"/>
        <v>32620</v>
      </c>
    </row>
    <row r="111" spans="1:9">
      <c r="A111" s="76">
        <v>102</v>
      </c>
      <c r="B111" s="77"/>
      <c r="C111" s="88" t="s">
        <v>60</v>
      </c>
      <c r="D111" s="97">
        <v>251</v>
      </c>
      <c r="E111" s="101" t="s">
        <v>168</v>
      </c>
      <c r="F111" s="100" t="s">
        <v>169</v>
      </c>
      <c r="G111" s="94">
        <v>1</v>
      </c>
      <c r="H111" s="106">
        <v>28916</v>
      </c>
      <c r="I111" s="65">
        <f t="shared" si="3"/>
        <v>28916</v>
      </c>
    </row>
    <row r="112" spans="1:9">
      <c r="A112" s="76">
        <v>103</v>
      </c>
      <c r="B112" s="77"/>
      <c r="C112" s="92" t="s">
        <v>60</v>
      </c>
      <c r="D112" s="93">
        <v>251</v>
      </c>
      <c r="E112" s="101" t="s">
        <v>130</v>
      </c>
      <c r="F112" s="100" t="s">
        <v>58</v>
      </c>
      <c r="G112" s="94">
        <v>1</v>
      </c>
      <c r="H112" s="106">
        <v>57000</v>
      </c>
      <c r="I112" s="65">
        <f t="shared" si="3"/>
        <v>57000</v>
      </c>
    </row>
    <row r="113" spans="1:9">
      <c r="A113" s="76">
        <v>104</v>
      </c>
      <c r="B113" s="77"/>
      <c r="C113" s="95" t="s">
        <v>60</v>
      </c>
      <c r="D113" s="96">
        <v>251</v>
      </c>
      <c r="E113" s="101" t="s">
        <v>191</v>
      </c>
      <c r="F113" s="100" t="s">
        <v>58</v>
      </c>
      <c r="G113" s="94">
        <v>3</v>
      </c>
      <c r="H113" s="106">
        <v>42901</v>
      </c>
      <c r="I113" s="65">
        <f t="shared" si="3"/>
        <v>128703</v>
      </c>
    </row>
    <row r="114" spans="1:9">
      <c r="A114" s="76">
        <v>105</v>
      </c>
      <c r="B114" s="77"/>
      <c r="C114" s="84" t="s">
        <v>60</v>
      </c>
      <c r="D114" s="93">
        <v>251</v>
      </c>
      <c r="E114" s="101" t="s">
        <v>192</v>
      </c>
      <c r="F114" s="100" t="s">
        <v>58</v>
      </c>
      <c r="G114" s="94">
        <v>3</v>
      </c>
      <c r="H114" s="106">
        <v>70339</v>
      </c>
      <c r="I114" s="65">
        <f t="shared" si="3"/>
        <v>211017</v>
      </c>
    </row>
    <row r="115" spans="1:9">
      <c r="A115" s="76">
        <v>106</v>
      </c>
      <c r="B115" s="77"/>
      <c r="C115" s="95" t="s">
        <v>60</v>
      </c>
      <c r="D115" s="93">
        <v>251</v>
      </c>
      <c r="E115" s="101" t="s">
        <v>193</v>
      </c>
      <c r="F115" s="100" t="s">
        <v>58</v>
      </c>
      <c r="G115" s="94">
        <v>3</v>
      </c>
      <c r="H115" s="106">
        <v>93331</v>
      </c>
      <c r="I115" s="65">
        <f t="shared" si="3"/>
        <v>279993</v>
      </c>
    </row>
    <row r="116" spans="1:9">
      <c r="A116" s="76">
        <v>107</v>
      </c>
      <c r="B116" s="77"/>
      <c r="C116" s="88" t="s">
        <v>60</v>
      </c>
      <c r="D116" s="97">
        <v>251</v>
      </c>
      <c r="E116" s="101" t="s">
        <v>178</v>
      </c>
      <c r="F116" s="100" t="s">
        <v>78</v>
      </c>
      <c r="G116" s="94">
        <v>2</v>
      </c>
      <c r="H116" s="114">
        <v>532</v>
      </c>
      <c r="I116" s="65">
        <f t="shared" si="3"/>
        <v>1064</v>
      </c>
    </row>
    <row r="117" spans="1:9">
      <c r="A117" s="76">
        <v>108</v>
      </c>
      <c r="B117" s="77"/>
      <c r="C117" s="92" t="s">
        <v>60</v>
      </c>
      <c r="D117" s="93">
        <v>251</v>
      </c>
      <c r="E117" s="101" t="s">
        <v>72</v>
      </c>
      <c r="F117" s="100" t="s">
        <v>58</v>
      </c>
      <c r="G117" s="94">
        <v>2</v>
      </c>
      <c r="H117" s="106">
        <v>19216</v>
      </c>
      <c r="I117" s="65">
        <f t="shared" si="3"/>
        <v>38432</v>
      </c>
    </row>
    <row r="118" spans="1:9">
      <c r="A118" s="76">
        <v>109</v>
      </c>
      <c r="B118" s="77"/>
      <c r="C118" s="95" t="s">
        <v>60</v>
      </c>
      <c r="D118" s="93">
        <v>251</v>
      </c>
      <c r="E118" s="102" t="s">
        <v>131</v>
      </c>
      <c r="F118" s="100" t="s">
        <v>58</v>
      </c>
      <c r="G118" s="94">
        <v>2</v>
      </c>
      <c r="H118" s="106">
        <v>8105</v>
      </c>
      <c r="I118" s="65">
        <f t="shared" si="3"/>
        <v>16210</v>
      </c>
    </row>
    <row r="119" spans="1:9">
      <c r="A119" s="76">
        <v>110</v>
      </c>
      <c r="B119" s="77"/>
      <c r="C119" s="95" t="s">
        <v>60</v>
      </c>
      <c r="D119" s="93">
        <v>251</v>
      </c>
      <c r="E119" s="102" t="s">
        <v>79</v>
      </c>
      <c r="F119" s="100" t="s">
        <v>58</v>
      </c>
      <c r="G119" s="94">
        <v>12</v>
      </c>
      <c r="H119" s="106">
        <v>29997</v>
      </c>
      <c r="I119" s="65">
        <f t="shared" si="3"/>
        <v>359964</v>
      </c>
    </row>
    <row r="120" spans="1:9">
      <c r="A120" s="76">
        <v>111</v>
      </c>
      <c r="B120" s="77"/>
      <c r="C120" s="95" t="s">
        <v>60</v>
      </c>
      <c r="D120" s="96">
        <v>251</v>
      </c>
      <c r="E120" s="101" t="s">
        <v>185</v>
      </c>
      <c r="F120" s="100" t="s">
        <v>169</v>
      </c>
      <c r="G120" s="94">
        <v>1</v>
      </c>
      <c r="H120" s="114">
        <v>25950</v>
      </c>
      <c r="I120" s="65">
        <f t="shared" si="3"/>
        <v>25950</v>
      </c>
    </row>
    <row r="121" spans="1:9">
      <c r="A121" s="76">
        <v>112</v>
      </c>
      <c r="B121" s="77"/>
      <c r="C121" s="84" t="s">
        <v>60</v>
      </c>
      <c r="D121" s="93">
        <v>251</v>
      </c>
      <c r="E121" s="102" t="s">
        <v>83</v>
      </c>
      <c r="F121" s="100" t="s">
        <v>56</v>
      </c>
      <c r="G121" s="94">
        <v>1000</v>
      </c>
      <c r="H121" s="106">
        <v>19</v>
      </c>
      <c r="I121" s="65">
        <f t="shared" si="3"/>
        <v>19000</v>
      </c>
    </row>
    <row r="122" spans="1:9">
      <c r="A122" s="76">
        <v>113</v>
      </c>
      <c r="B122" s="77"/>
      <c r="C122" s="95" t="s">
        <v>60</v>
      </c>
      <c r="D122" s="93">
        <v>251</v>
      </c>
      <c r="E122" s="102" t="s">
        <v>132</v>
      </c>
      <c r="F122" s="116" t="s">
        <v>56</v>
      </c>
      <c r="G122" s="94">
        <v>4000</v>
      </c>
      <c r="H122" s="118">
        <v>14</v>
      </c>
      <c r="I122" s="65">
        <f t="shared" si="3"/>
        <v>56000</v>
      </c>
    </row>
    <row r="123" spans="1:9">
      <c r="A123" s="76">
        <v>114</v>
      </c>
      <c r="B123" s="77"/>
      <c r="C123" s="88" t="s">
        <v>60</v>
      </c>
      <c r="D123" s="97">
        <v>251</v>
      </c>
      <c r="E123" s="102" t="s">
        <v>133</v>
      </c>
      <c r="F123" s="100" t="s">
        <v>56</v>
      </c>
      <c r="G123" s="94">
        <v>4000</v>
      </c>
      <c r="H123" s="106">
        <v>18.899999999999999</v>
      </c>
      <c r="I123" s="65">
        <f t="shared" si="3"/>
        <v>75600</v>
      </c>
    </row>
    <row r="124" spans="1:9">
      <c r="A124" s="76">
        <v>115</v>
      </c>
      <c r="B124" s="77"/>
      <c r="C124" s="92" t="s">
        <v>60</v>
      </c>
      <c r="D124" s="93">
        <v>251</v>
      </c>
      <c r="E124" s="102" t="s">
        <v>134</v>
      </c>
      <c r="F124" s="100" t="s">
        <v>63</v>
      </c>
      <c r="G124" s="94">
        <v>6</v>
      </c>
      <c r="H124" s="106">
        <v>8675</v>
      </c>
      <c r="I124" s="65">
        <f t="shared" si="3"/>
        <v>52050</v>
      </c>
    </row>
    <row r="125" spans="1:9">
      <c r="A125" s="76">
        <v>116</v>
      </c>
      <c r="B125" s="77"/>
      <c r="C125" s="95" t="s">
        <v>60</v>
      </c>
      <c r="D125" s="96">
        <v>251</v>
      </c>
      <c r="E125" s="101" t="s">
        <v>179</v>
      </c>
      <c r="F125" s="100" t="s">
        <v>78</v>
      </c>
      <c r="G125" s="94">
        <v>1</v>
      </c>
      <c r="H125" s="114">
        <v>15200</v>
      </c>
      <c r="I125" s="65">
        <f t="shared" si="3"/>
        <v>15200</v>
      </c>
    </row>
    <row r="126" spans="1:9" ht="13.5" thickBot="1">
      <c r="I126" s="33"/>
    </row>
    <row r="127" spans="1:9">
      <c r="B127" s="75" t="s">
        <v>57</v>
      </c>
      <c r="C127" s="29"/>
      <c r="D127" s="29"/>
      <c r="E127" s="30"/>
      <c r="I127" s="33"/>
    </row>
    <row r="128" spans="1:9" ht="12.75" customHeight="1">
      <c r="B128" s="126" t="s">
        <v>59</v>
      </c>
      <c r="C128" s="127"/>
      <c r="D128" s="127"/>
      <c r="E128" s="128"/>
    </row>
    <row r="129" spans="2:7" ht="24" customHeight="1">
      <c r="B129" s="126"/>
      <c r="C129" s="127"/>
      <c r="D129" s="127"/>
      <c r="E129" s="128"/>
      <c r="F129" s="31"/>
      <c r="G129" s="32"/>
    </row>
    <row r="130" spans="2:7" ht="12.75" customHeight="1">
      <c r="B130" s="126" t="s">
        <v>187</v>
      </c>
      <c r="C130" s="127"/>
      <c r="D130" s="127"/>
      <c r="E130" s="128"/>
      <c r="F130" s="31"/>
      <c r="G130" s="32"/>
    </row>
    <row r="131" spans="2:7" ht="16.5" customHeight="1">
      <c r="B131" s="119" t="s">
        <v>188</v>
      </c>
      <c r="C131" s="120"/>
      <c r="D131" s="121"/>
      <c r="E131" s="122"/>
      <c r="F131" s="31"/>
      <c r="G131" s="32"/>
    </row>
    <row r="132" spans="2:7" ht="13.5" thickBot="1">
      <c r="B132" s="78" t="s">
        <v>189</v>
      </c>
      <c r="C132" s="79"/>
      <c r="D132" s="80"/>
      <c r="E132" s="81"/>
    </row>
  </sheetData>
  <autoFilter ref="A9:I86" xr:uid="{00000000-0009-0000-0000-000000000000}"/>
  <sortState xmlns:xlrd2="http://schemas.microsoft.com/office/spreadsheetml/2017/richdata2" ref="E10:H126">
    <sortCondition ref="E9"/>
  </sortState>
  <mergeCells count="9">
    <mergeCell ref="B128:E129"/>
    <mergeCell ref="B130:E130"/>
    <mergeCell ref="A6:B6"/>
    <mergeCell ref="A7:B7"/>
    <mergeCell ref="B2:H2"/>
    <mergeCell ref="A4:B4"/>
    <mergeCell ref="C4:E4"/>
    <mergeCell ref="A5:B5"/>
    <mergeCell ref="C5:E5"/>
  </mergeCells>
  <conditionalFormatting sqref="E66:E85">
    <cfRule type="cellIs" dxfId="64" priority="50" operator="equal">
      <formula>"duplicado"</formula>
    </cfRule>
  </conditionalFormatting>
  <conditionalFormatting sqref="E86">
    <cfRule type="cellIs" dxfId="63" priority="49" operator="equal">
      <formula>"duplicado"</formula>
    </cfRule>
  </conditionalFormatting>
  <conditionalFormatting sqref="E93:E96 E99:E100">
    <cfRule type="cellIs" dxfId="62" priority="39" operator="equal">
      <formula>"duplicado"</formula>
    </cfRule>
  </conditionalFormatting>
  <conditionalFormatting sqref="E101">
    <cfRule type="cellIs" dxfId="61" priority="35" operator="equal">
      <formula>"duplicado"</formula>
    </cfRule>
  </conditionalFormatting>
  <conditionalFormatting sqref="E101">
    <cfRule type="duplicateValues" dxfId="60" priority="32"/>
    <cfRule type="duplicateValues" dxfId="59" priority="33"/>
    <cfRule type="cellIs" dxfId="58" priority="34" operator="equal">
      <formula>"calibra"</formula>
    </cfRule>
  </conditionalFormatting>
  <conditionalFormatting sqref="E101">
    <cfRule type="duplicateValues" dxfId="57" priority="36"/>
    <cfRule type="duplicateValues" dxfId="56" priority="37"/>
    <cfRule type="cellIs" dxfId="55" priority="38" operator="equal">
      <formula>"calibra"</formula>
    </cfRule>
  </conditionalFormatting>
  <conditionalFormatting sqref="E99:E100 E93">
    <cfRule type="duplicateValues" dxfId="54" priority="40"/>
    <cfRule type="duplicateValues" dxfId="53" priority="41"/>
    <cfRule type="cellIs" dxfId="52" priority="42" operator="equal">
      <formula>"calibra"</formula>
    </cfRule>
  </conditionalFormatting>
  <conditionalFormatting sqref="E99:E100 E93:E96">
    <cfRule type="duplicateValues" dxfId="51" priority="43"/>
    <cfRule type="duplicateValues" dxfId="50" priority="44"/>
    <cfRule type="cellIs" dxfId="49" priority="45" operator="equal">
      <formula>"calibra"</formula>
    </cfRule>
  </conditionalFormatting>
  <conditionalFormatting sqref="E100">
    <cfRule type="duplicateValues" dxfId="48" priority="46"/>
    <cfRule type="duplicateValues" dxfId="47" priority="47"/>
    <cfRule type="cellIs" dxfId="46" priority="48" operator="equal">
      <formula>"calibra"</formula>
    </cfRule>
  </conditionalFormatting>
  <conditionalFormatting sqref="E113">
    <cfRule type="cellIs" dxfId="45" priority="22" operator="equal">
      <formula>"duplicado"</formula>
    </cfRule>
  </conditionalFormatting>
  <conditionalFormatting sqref="E113">
    <cfRule type="duplicateValues" dxfId="44" priority="23"/>
    <cfRule type="duplicateValues" dxfId="43" priority="24"/>
    <cfRule type="cellIs" dxfId="42" priority="25" operator="equal">
      <formula>"calibra"</formula>
    </cfRule>
  </conditionalFormatting>
  <conditionalFormatting sqref="E113">
    <cfRule type="duplicateValues" dxfId="41" priority="26"/>
    <cfRule type="duplicateValues" dxfId="40" priority="27"/>
    <cfRule type="cellIs" dxfId="39" priority="28" operator="equal">
      <formula>"calibra"</formula>
    </cfRule>
  </conditionalFormatting>
  <conditionalFormatting sqref="E113">
    <cfRule type="duplicateValues" dxfId="38" priority="29"/>
    <cfRule type="duplicateValues" dxfId="37" priority="30"/>
    <cfRule type="cellIs" dxfId="36" priority="31" operator="equal">
      <formula>"calibra"</formula>
    </cfRule>
  </conditionalFormatting>
  <conditionalFormatting sqref="E117">
    <cfRule type="cellIs" dxfId="35" priority="21" operator="equal">
      <formula>"duplicado"</formula>
    </cfRule>
  </conditionalFormatting>
  <conditionalFormatting sqref="E117">
    <cfRule type="duplicateValues" dxfId="34" priority="18"/>
    <cfRule type="duplicateValues" dxfId="33" priority="19"/>
    <cfRule type="cellIs" dxfId="32" priority="20" operator="equal">
      <formula>"calibra"</formula>
    </cfRule>
  </conditionalFormatting>
  <conditionalFormatting sqref="E118">
    <cfRule type="cellIs" dxfId="31" priority="17" operator="equal">
      <formula>"duplicado"</formula>
    </cfRule>
  </conditionalFormatting>
  <conditionalFormatting sqref="E118">
    <cfRule type="duplicateValues" dxfId="30" priority="14"/>
    <cfRule type="duplicateValues" dxfId="29" priority="15"/>
    <cfRule type="cellIs" dxfId="28" priority="16" operator="equal">
      <formula>"calibra"</formula>
    </cfRule>
  </conditionalFormatting>
  <conditionalFormatting sqref="E119">
    <cfRule type="cellIs" dxfId="27" priority="13" operator="equal">
      <formula>"duplicado"</formula>
    </cfRule>
  </conditionalFormatting>
  <conditionalFormatting sqref="E119">
    <cfRule type="duplicateValues" dxfId="26" priority="10"/>
    <cfRule type="duplicateValues" dxfId="25" priority="11"/>
    <cfRule type="cellIs" dxfId="24" priority="12" operator="equal">
      <formula>"calibra"</formula>
    </cfRule>
  </conditionalFormatting>
  <conditionalFormatting sqref="E120">
    <cfRule type="cellIs" dxfId="23" priority="9" operator="equal">
      <formula>"duplicado"</formula>
    </cfRule>
  </conditionalFormatting>
  <conditionalFormatting sqref="E120">
    <cfRule type="duplicateValues" dxfId="22" priority="6"/>
    <cfRule type="duplicateValues" dxfId="21" priority="7"/>
    <cfRule type="cellIs" dxfId="20" priority="8" operator="equal">
      <formula>"calibra"</formula>
    </cfRule>
  </conditionalFormatting>
  <conditionalFormatting sqref="E121:E124">
    <cfRule type="cellIs" dxfId="19" priority="5" operator="equal">
      <formula>"duplicado"</formula>
    </cfRule>
  </conditionalFormatting>
  <conditionalFormatting sqref="E121:E124">
    <cfRule type="duplicateValues" dxfId="18" priority="2"/>
    <cfRule type="duplicateValues" dxfId="17" priority="3"/>
    <cfRule type="cellIs" dxfId="16" priority="4" operator="equal">
      <formula>"calibra"</formula>
    </cfRule>
  </conditionalFormatting>
  <conditionalFormatting sqref="E125">
    <cfRule type="cellIs" dxfId="15" priority="1" operator="equal">
      <formula>"duplicado"</formula>
    </cfRule>
  </conditionalFormatting>
  <conditionalFormatting sqref="E86">
    <cfRule type="duplicateValues" dxfId="14" priority="60"/>
    <cfRule type="duplicateValues" dxfId="13" priority="61"/>
    <cfRule type="cellIs" dxfId="12" priority="62" operator="equal">
      <formula>"calibra"</formula>
    </cfRule>
  </conditionalFormatting>
  <conditionalFormatting sqref="E125">
    <cfRule type="duplicateValues" dxfId="11" priority="63"/>
    <cfRule type="duplicateValues" dxfId="10" priority="64"/>
    <cfRule type="cellIs" dxfId="9" priority="65" operator="equal">
      <formula>"calibra"</formula>
    </cfRule>
  </conditionalFormatting>
  <conditionalFormatting sqref="E75 E72 E69 E79:E85 E77">
    <cfRule type="duplicateValues" dxfId="8" priority="74"/>
    <cfRule type="duplicateValues" dxfId="7" priority="75"/>
    <cfRule type="cellIs" dxfId="6" priority="76" operator="equal">
      <formula>"calibra"</formula>
    </cfRule>
  </conditionalFormatting>
  <conditionalFormatting sqref="E79:E85 E69 E72 E75 E77">
    <cfRule type="duplicateValues" dxfId="5" priority="92"/>
    <cfRule type="duplicateValues" dxfId="4" priority="93"/>
    <cfRule type="cellIs" dxfId="3" priority="94" operator="equal">
      <formula>"calibra"</formula>
    </cfRule>
  </conditionalFormatting>
  <conditionalFormatting sqref="E66:E85">
    <cfRule type="duplicateValues" dxfId="2" priority="110"/>
    <cfRule type="duplicateValues" dxfId="1" priority="111"/>
    <cfRule type="cellIs" dxfId="0" priority="112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0"/>
  <sheetViews>
    <sheetView topLeftCell="A115" zoomScale="80" zoomScaleNormal="80" workbookViewId="0">
      <selection activeCell="A128" sqref="A128:I128"/>
    </sheetView>
  </sheetViews>
  <sheetFormatPr baseColWidth="10" defaultColWidth="9.140625" defaultRowHeight="12.75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9.570312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>
      <c r="A1" s="141" t="s">
        <v>14</v>
      </c>
      <c r="B1" s="141"/>
      <c r="C1" s="141"/>
      <c r="D1" s="141"/>
      <c r="E1" s="141"/>
      <c r="F1" s="141"/>
      <c r="G1" s="141"/>
      <c r="H1" s="141"/>
      <c r="I1" s="141"/>
      <c r="J1" s="34" t="s">
        <v>15</v>
      </c>
      <c r="K1" s="35" t="s">
        <v>186</v>
      </c>
    </row>
    <row r="2" spans="1:11" ht="18.75" customHeight="1" thickBot="1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>
      <c r="A3" s="142" t="s">
        <v>48</v>
      </c>
      <c r="B3" s="142"/>
      <c r="C3" s="142"/>
      <c r="D3" s="133" t="str">
        <f>'Necesidades Trimestrales'!C4</f>
        <v>040 - Ministerio de Salud</v>
      </c>
      <c r="E3" s="133"/>
      <c r="F3" s="133"/>
      <c r="G3" s="133"/>
      <c r="H3" s="133"/>
      <c r="I3" s="133"/>
      <c r="J3" s="133"/>
      <c r="K3" s="133"/>
    </row>
    <row r="4" spans="1:11" ht="18.75" customHeight="1" thickBot="1">
      <c r="A4" s="143" t="s">
        <v>49</v>
      </c>
      <c r="B4" s="143"/>
      <c r="C4" s="143"/>
      <c r="D4" s="133" t="str">
        <f>'Necesidades Trimestrales'!C5</f>
        <v>024 - Hospital Interzonal de Niños</v>
      </c>
      <c r="E4" s="133"/>
      <c r="F4" s="133"/>
      <c r="G4" s="133"/>
      <c r="H4" s="133"/>
      <c r="I4" s="133"/>
      <c r="J4" s="133"/>
      <c r="K4" s="133"/>
    </row>
    <row r="5" spans="1:11" ht="18.75" customHeight="1" thickBot="1">
      <c r="A5" s="143" t="s">
        <v>27</v>
      </c>
      <c r="B5" s="143"/>
      <c r="C5" s="143"/>
      <c r="D5" s="133" t="s">
        <v>51</v>
      </c>
      <c r="E5" s="133"/>
      <c r="F5" s="133"/>
      <c r="G5" s="133"/>
      <c r="H5" s="133"/>
      <c r="I5" s="133"/>
      <c r="J5" s="133"/>
      <c r="K5" s="133"/>
    </row>
    <row r="6" spans="1:11" ht="16.5" customHeight="1" thickBot="1">
      <c r="A6" s="142" t="s">
        <v>50</v>
      </c>
      <c r="B6" s="142"/>
      <c r="C6" s="142"/>
      <c r="D6" s="133" t="s">
        <v>61</v>
      </c>
      <c r="E6" s="133"/>
      <c r="F6" s="133"/>
      <c r="G6" s="133"/>
      <c r="H6" s="133"/>
      <c r="I6" s="133"/>
      <c r="J6" s="133"/>
      <c r="K6" s="133"/>
    </row>
    <row r="7" spans="1:11" ht="16.5" customHeight="1">
      <c r="A7" s="143" t="s">
        <v>16</v>
      </c>
      <c r="B7" s="143"/>
      <c r="C7" s="143"/>
      <c r="D7" s="133" t="str">
        <f>'Necesidades Trimestrales'!C7 &amp; "° Trimestre - Año " &amp; 'Necesidades Trimestrales'!C6</f>
        <v>2° Trimestre - Año 2022</v>
      </c>
      <c r="E7" s="133"/>
      <c r="F7" s="133"/>
      <c r="G7" s="133"/>
      <c r="H7" s="133"/>
      <c r="I7" s="133"/>
      <c r="J7" s="133"/>
      <c r="K7" s="133"/>
    </row>
    <row r="8" spans="1:11" ht="16.5" customHeight="1">
      <c r="A8" s="140" t="s">
        <v>17</v>
      </c>
      <c r="B8" s="140"/>
      <c r="C8" s="140"/>
      <c r="D8" s="136" t="s">
        <v>74</v>
      </c>
      <c r="E8" s="136"/>
      <c r="F8" s="136"/>
      <c r="G8" s="136"/>
      <c r="H8" s="136"/>
      <c r="I8" s="136"/>
      <c r="J8" s="136"/>
      <c r="K8" s="136"/>
    </row>
    <row r="9" spans="1:11" ht="15.75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>
      <c r="A10" s="137" t="s">
        <v>18</v>
      </c>
      <c r="B10" s="138" t="s">
        <v>19</v>
      </c>
      <c r="C10" s="138" t="s">
        <v>20</v>
      </c>
      <c r="D10" s="138"/>
      <c r="E10" s="138"/>
      <c r="F10" s="138"/>
      <c r="G10" s="138"/>
      <c r="H10" s="138" t="s">
        <v>21</v>
      </c>
      <c r="I10" s="138" t="s">
        <v>22</v>
      </c>
      <c r="J10" s="138" t="s">
        <v>23</v>
      </c>
      <c r="K10" s="139" t="s">
        <v>24</v>
      </c>
    </row>
    <row r="11" spans="1:11" ht="24" customHeight="1" thickBot="1">
      <c r="A11" s="137"/>
      <c r="B11" s="138"/>
      <c r="C11" s="138"/>
      <c r="D11" s="138"/>
      <c r="E11" s="138"/>
      <c r="F11" s="138"/>
      <c r="G11" s="138"/>
      <c r="H11" s="138"/>
      <c r="I11" s="138"/>
      <c r="J11" s="138"/>
      <c r="K11" s="139"/>
    </row>
    <row r="12" spans="1:11" ht="27.75" customHeight="1">
      <c r="A12" s="44">
        <v>1</v>
      </c>
      <c r="B12" s="45"/>
      <c r="C12" s="135" t="str">
        <f>'Necesidades Trimestrales'!E10</f>
        <v>2010 ASSAY CUP</v>
      </c>
      <c r="D12" s="135"/>
      <c r="E12" s="135"/>
      <c r="F12" s="135"/>
      <c r="G12" s="135"/>
      <c r="H12" s="46" t="s">
        <v>54</v>
      </c>
      <c r="I12" s="47" t="str">
        <f>'Necesidades Trimestrales'!F10</f>
        <v>CAJA</v>
      </c>
      <c r="J12" s="48">
        <f>'Necesidades Trimestrales'!H10</f>
        <v>38519</v>
      </c>
      <c r="K12" s="49">
        <f>'Necesidades Trimestrales'!G10</f>
        <v>4</v>
      </c>
    </row>
    <row r="13" spans="1:11" ht="27.75" customHeight="1">
      <c r="A13" s="66">
        <v>2</v>
      </c>
      <c r="B13" s="67"/>
      <c r="C13" s="132" t="str">
        <f>'Necesidades Trimestrales'!E11</f>
        <v>2010 ASSAY TIP</v>
      </c>
      <c r="D13" s="132"/>
      <c r="E13" s="132"/>
      <c r="F13" s="132"/>
      <c r="G13" s="132"/>
      <c r="H13" s="70" t="s">
        <v>54</v>
      </c>
      <c r="I13" s="71" t="str">
        <f>'Necesidades Trimestrales'!F11</f>
        <v>CAJA</v>
      </c>
      <c r="J13" s="69">
        <f>'Necesidades Trimestrales'!H11</f>
        <v>28618</v>
      </c>
      <c r="K13" s="68">
        <f>'Necesidades Trimestrales'!G11</f>
        <v>4</v>
      </c>
    </row>
    <row r="14" spans="1:11" ht="27.75" customHeight="1">
      <c r="A14" s="66">
        <v>3</v>
      </c>
      <c r="B14" s="67"/>
      <c r="C14" s="132" t="str">
        <f>'Necesidades Trimestrales'!E12</f>
        <v>ACEITE DE INMERSIÓN : X 100 ML</v>
      </c>
      <c r="D14" s="132"/>
      <c r="E14" s="132"/>
      <c r="F14" s="132"/>
      <c r="G14" s="132"/>
      <c r="H14" s="70" t="s">
        <v>54</v>
      </c>
      <c r="I14" s="71" t="str">
        <f>'Necesidades Trimestrales'!F12</f>
        <v>FRASCO</v>
      </c>
      <c r="J14" s="69">
        <f>'Necesidades Trimestrales'!H12</f>
        <v>925</v>
      </c>
      <c r="K14" s="68">
        <f>'Necesidades Trimestrales'!G12</f>
        <v>4</v>
      </c>
    </row>
    <row r="15" spans="1:11" ht="27.75" customHeight="1">
      <c r="A15" s="66">
        <v>4</v>
      </c>
      <c r="B15" s="67"/>
      <c r="C15" s="132" t="str">
        <f>'Necesidades Trimestrales'!E13</f>
        <v>ALBUMINA COBAS C-311 ROCHE  X 300 DET</v>
      </c>
      <c r="D15" s="132"/>
      <c r="E15" s="132"/>
      <c r="F15" s="132"/>
      <c r="G15" s="132"/>
      <c r="H15" s="70" t="s">
        <v>54</v>
      </c>
      <c r="I15" s="71" t="str">
        <f>'Necesidades Trimestrales'!F13</f>
        <v>CASSETTE</v>
      </c>
      <c r="J15" s="69">
        <f>'Necesidades Trimestrales'!H13</f>
        <v>2820</v>
      </c>
      <c r="K15" s="68">
        <f>'Necesidades Trimestrales'!G13</f>
        <v>7</v>
      </c>
    </row>
    <row r="16" spans="1:11" ht="27.75" customHeight="1">
      <c r="A16" s="66">
        <v>5</v>
      </c>
      <c r="B16" s="67"/>
      <c r="C16" s="132" t="str">
        <f>'Necesidades Trimestrales'!E14</f>
        <v>ALFA FETO PROTEINA CALIBRADOR COBAS ROCHE</v>
      </c>
      <c r="D16" s="132"/>
      <c r="E16" s="132"/>
      <c r="F16" s="132"/>
      <c r="G16" s="132"/>
      <c r="H16" s="70" t="s">
        <v>54</v>
      </c>
      <c r="I16" s="71" t="str">
        <f>'Necesidades Trimestrales'!F14</f>
        <v>CAJA</v>
      </c>
      <c r="J16" s="69">
        <f>'Necesidades Trimestrales'!H14</f>
        <v>17952</v>
      </c>
      <c r="K16" s="68">
        <f>'Necesidades Trimestrales'!G14</f>
        <v>1</v>
      </c>
    </row>
    <row r="17" spans="1:11" ht="27.75" customHeight="1">
      <c r="A17" s="66">
        <v>6</v>
      </c>
      <c r="B17" s="67"/>
      <c r="C17" s="132" t="str">
        <f>'Necesidades Trimestrales'!E15</f>
        <v>ALFA FETO PROTEINA COBAS ROCHE</v>
      </c>
      <c r="D17" s="132"/>
      <c r="E17" s="132"/>
      <c r="F17" s="132"/>
      <c r="G17" s="132"/>
      <c r="H17" s="70" t="s">
        <v>54</v>
      </c>
      <c r="I17" s="71" t="str">
        <f>'Necesidades Trimestrales'!F15</f>
        <v>CASSETTE</v>
      </c>
      <c r="J17" s="69">
        <f>'Necesidades Trimestrales'!H15</f>
        <v>31072</v>
      </c>
      <c r="K17" s="68">
        <f>'Necesidades Trimestrales'!G15</f>
        <v>2</v>
      </c>
    </row>
    <row r="18" spans="1:11" ht="27.75" customHeight="1">
      <c r="A18" s="66">
        <v>7</v>
      </c>
      <c r="B18" s="67"/>
      <c r="C18" s="132" t="str">
        <f>'Necesidades Trimestrales'!E16</f>
        <v>ALT/GPT IFCCROCHE C311</v>
      </c>
      <c r="D18" s="132"/>
      <c r="E18" s="132"/>
      <c r="F18" s="132"/>
      <c r="G18" s="132"/>
      <c r="H18" s="70" t="s">
        <v>54</v>
      </c>
      <c r="I18" s="71" t="str">
        <f>'Necesidades Trimestrales'!F16</f>
        <v>CASSETTE</v>
      </c>
      <c r="J18" s="69">
        <f>'Necesidades Trimestrales'!H16</f>
        <v>12214</v>
      </c>
      <c r="K18" s="68">
        <f>'Necesidades Trimestrales'!G16</f>
        <v>5</v>
      </c>
    </row>
    <row r="19" spans="1:11" ht="27.75" customHeight="1">
      <c r="A19" s="66">
        <v>8</v>
      </c>
      <c r="B19" s="67"/>
      <c r="C19" s="132" t="str">
        <f>'Necesidades Trimestrales'!E17</f>
        <v>ANTI HBV CORE ROCHE E411</v>
      </c>
      <c r="D19" s="132"/>
      <c r="E19" s="132"/>
      <c r="F19" s="132"/>
      <c r="G19" s="132"/>
      <c r="H19" s="70" t="s">
        <v>54</v>
      </c>
      <c r="I19" s="71" t="str">
        <f>'Necesidades Trimestrales'!F17</f>
        <v>CASSETTE</v>
      </c>
      <c r="J19" s="69">
        <f>'Necesidades Trimestrales'!H17</f>
        <v>41413</v>
      </c>
      <c r="K19" s="68">
        <f>'Necesidades Trimestrales'!G17</f>
        <v>5</v>
      </c>
    </row>
    <row r="20" spans="1:11" ht="27.75" customHeight="1">
      <c r="A20" s="66">
        <v>9</v>
      </c>
      <c r="B20" s="67"/>
      <c r="C20" s="132" t="str">
        <f>'Necesidades Trimestrales'!E18</f>
        <v>ANTI HCV ROCHE E411</v>
      </c>
      <c r="D20" s="132"/>
      <c r="E20" s="132"/>
      <c r="F20" s="132"/>
      <c r="G20" s="132"/>
      <c r="H20" s="70" t="s">
        <v>54</v>
      </c>
      <c r="I20" s="71" t="str">
        <f>'Necesidades Trimestrales'!F18</f>
        <v>CASSETTE</v>
      </c>
      <c r="J20" s="69">
        <f>'Necesidades Trimestrales'!H18</f>
        <v>93380</v>
      </c>
      <c r="K20" s="68">
        <f>'Necesidades Trimestrales'!G18</f>
        <v>5</v>
      </c>
    </row>
    <row r="21" spans="1:11" ht="27.75" customHeight="1">
      <c r="A21" s="66">
        <v>10</v>
      </c>
      <c r="B21" s="67"/>
      <c r="C21" s="132" t="str">
        <f>'Necesidades Trimestrales'!E19</f>
        <v>ANTI-TG COBAS ROCHE</v>
      </c>
      <c r="D21" s="132"/>
      <c r="E21" s="132"/>
      <c r="F21" s="132"/>
      <c r="G21" s="132"/>
      <c r="H21" s="70" t="s">
        <v>54</v>
      </c>
      <c r="I21" s="71" t="str">
        <f>'Necesidades Trimestrales'!F19</f>
        <v>CASSETTE</v>
      </c>
      <c r="J21" s="69">
        <f>'Necesidades Trimestrales'!H19</f>
        <v>32052</v>
      </c>
      <c r="K21" s="68">
        <f>'Necesidades Trimestrales'!G19</f>
        <v>3</v>
      </c>
    </row>
    <row r="22" spans="1:11" ht="26.25" customHeight="1">
      <c r="A22" s="66">
        <v>11</v>
      </c>
      <c r="B22" s="67"/>
      <c r="C22" s="132" t="str">
        <f>'Necesidades Trimestrales'!E20</f>
        <v>ANTI-TPO COBAS ROCHE</v>
      </c>
      <c r="D22" s="132"/>
      <c r="E22" s="132"/>
      <c r="F22" s="132"/>
      <c r="G22" s="132"/>
      <c r="H22" s="70" t="s">
        <v>54</v>
      </c>
      <c r="I22" s="71" t="str">
        <f>'Necesidades Trimestrales'!F20</f>
        <v>CASSETTE</v>
      </c>
      <c r="J22" s="69">
        <f>'Necesidades Trimestrales'!H20</f>
        <v>32052</v>
      </c>
      <c r="K22" s="68">
        <f>'Necesidades Trimestrales'!G20</f>
        <v>4</v>
      </c>
    </row>
    <row r="23" spans="1:11" ht="27.75" customHeight="1">
      <c r="A23" s="66">
        <v>12</v>
      </c>
      <c r="B23" s="67"/>
      <c r="C23" s="132" t="str">
        <f>'Necesidades Trimestrales'!E21</f>
        <v>AST/GOT IFCC ROCHE C311</v>
      </c>
      <c r="D23" s="132"/>
      <c r="E23" s="132"/>
      <c r="F23" s="132"/>
      <c r="G23" s="132"/>
      <c r="H23" s="70" t="s">
        <v>54</v>
      </c>
      <c r="I23" s="71" t="str">
        <f>'Necesidades Trimestrales'!F21</f>
        <v>CASSETTE</v>
      </c>
      <c r="J23" s="69">
        <f>'Necesidades Trimestrales'!H21</f>
        <v>12214</v>
      </c>
      <c r="K23" s="68">
        <f>'Necesidades Trimestrales'!G21</f>
        <v>5</v>
      </c>
    </row>
    <row r="24" spans="1:11" ht="27.75" customHeight="1">
      <c r="A24" s="66">
        <v>13</v>
      </c>
      <c r="B24" s="67"/>
      <c r="C24" s="132" t="str">
        <f>'Necesidades Trimestrales'!E22</f>
        <v>CA- MICRO ELECTRODE</v>
      </c>
      <c r="D24" s="132"/>
      <c r="E24" s="132"/>
      <c r="F24" s="132"/>
      <c r="G24" s="132"/>
      <c r="H24" s="70" t="s">
        <v>54</v>
      </c>
      <c r="I24" s="71" t="str">
        <f>'Necesidades Trimestrales'!F22</f>
        <v>CAJA</v>
      </c>
      <c r="J24" s="69">
        <f>'Necesidades Trimestrales'!H22</f>
        <v>15503</v>
      </c>
      <c r="K24" s="68">
        <f>'Necesidades Trimestrales'!G22</f>
        <v>1</v>
      </c>
    </row>
    <row r="25" spans="1:11" ht="27.75" customHeight="1">
      <c r="A25" s="66">
        <v>14</v>
      </c>
      <c r="B25" s="67"/>
      <c r="C25" s="132" t="str">
        <f>'Necesidades Trimestrales'!E23</f>
        <v>CALCIO COBAS C-311 ROCHE  X 300 DET</v>
      </c>
      <c r="D25" s="132"/>
      <c r="E25" s="132"/>
      <c r="F25" s="132"/>
      <c r="G25" s="132"/>
      <c r="H25" s="70" t="s">
        <v>54</v>
      </c>
      <c r="I25" s="71" t="str">
        <f>'Necesidades Trimestrales'!F23</f>
        <v>CASSETTE</v>
      </c>
      <c r="J25" s="69">
        <f>'Necesidades Trimestrales'!H23</f>
        <v>5807</v>
      </c>
      <c r="K25" s="68">
        <f>'Necesidades Trimestrales'!G23</f>
        <v>2</v>
      </c>
    </row>
    <row r="26" spans="1:11" ht="27.75" customHeight="1">
      <c r="A26" s="66">
        <v>15</v>
      </c>
      <c r="B26" s="67"/>
      <c r="C26" s="132" t="str">
        <f>'Necesidades Trimestrales'!E24</f>
        <v xml:space="preserve">CALIBRADOR  PROLACTINA X  10 CAL  COBAS E-411 ROCHE </v>
      </c>
      <c r="D26" s="132"/>
      <c r="E26" s="132"/>
      <c r="F26" s="132"/>
      <c r="G26" s="132"/>
      <c r="H26" s="70" t="s">
        <v>54</v>
      </c>
      <c r="I26" s="71" t="str">
        <f>'Necesidades Trimestrales'!F24</f>
        <v>CAJA</v>
      </c>
      <c r="J26" s="69">
        <f>'Necesidades Trimestrales'!H24</f>
        <v>17952</v>
      </c>
      <c r="K26" s="68">
        <f>'Necesidades Trimestrales'!G24</f>
        <v>1</v>
      </c>
    </row>
    <row r="27" spans="1:11" ht="27.75" customHeight="1">
      <c r="A27" s="66">
        <v>16</v>
      </c>
      <c r="B27" s="67"/>
      <c r="C27" s="132" t="str">
        <f>'Necesidades Trimestrales'!E25</f>
        <v>CALIBRADOR ( CALSET) ANTI TPO X 10 CAL COBAS E-411 ROCHE</v>
      </c>
      <c r="D27" s="132"/>
      <c r="E27" s="132"/>
      <c r="F27" s="132"/>
      <c r="G27" s="132"/>
      <c r="H27" s="70" t="s">
        <v>54</v>
      </c>
      <c r="I27" s="71" t="str">
        <f>'Necesidades Trimestrales'!F25</f>
        <v>CAJA</v>
      </c>
      <c r="J27" s="69">
        <f>'Necesidades Trimestrales'!H25</f>
        <v>23325</v>
      </c>
      <c r="K27" s="68">
        <f>'Necesidades Trimestrales'!G25</f>
        <v>1</v>
      </c>
    </row>
    <row r="28" spans="1:11" ht="27.75" customHeight="1">
      <c r="A28" s="66">
        <v>17</v>
      </c>
      <c r="B28" s="67"/>
      <c r="C28" s="132" t="str">
        <f>'Necesidades Trimestrales'!E26</f>
        <v>CALIBRADOR ( CALSET) CORTISOL X 10 CAL COBAS E-411 ROCHE</v>
      </c>
      <c r="D28" s="132"/>
      <c r="E28" s="132"/>
      <c r="F28" s="132"/>
      <c r="G28" s="132"/>
      <c r="H28" s="70" t="s">
        <v>54</v>
      </c>
      <c r="I28" s="71" t="str">
        <f>'Necesidades Trimestrales'!F26</f>
        <v>CAJA</v>
      </c>
      <c r="J28" s="69">
        <f>'Necesidades Trimestrales'!H26</f>
        <v>22455</v>
      </c>
      <c r="K28" s="68">
        <f>'Necesidades Trimestrales'!G26</f>
        <v>1</v>
      </c>
    </row>
    <row r="29" spans="1:11" ht="27.75" customHeight="1">
      <c r="A29" s="66">
        <v>18</v>
      </c>
      <c r="B29" s="67"/>
      <c r="C29" s="132" t="str">
        <f>'Necesidades Trimestrales'!E27</f>
        <v>CALIBRADOR (CALSET) ANTI TIROGLOBULINA P COBAS E411</v>
      </c>
      <c r="D29" s="132"/>
      <c r="E29" s="132"/>
      <c r="F29" s="132"/>
      <c r="G29" s="132"/>
      <c r="H29" s="70" t="s">
        <v>54</v>
      </c>
      <c r="I29" s="71" t="str">
        <f>'Necesidades Trimestrales'!F27</f>
        <v>CAJA</v>
      </c>
      <c r="J29" s="69">
        <f>'Necesidades Trimestrales'!H27</f>
        <v>23325</v>
      </c>
      <c r="K29" s="68">
        <f>'Necesidades Trimestrales'!G27</f>
        <v>1</v>
      </c>
    </row>
    <row r="30" spans="1:11" ht="27.75" customHeight="1">
      <c r="A30" s="66">
        <v>19</v>
      </c>
      <c r="B30" s="67"/>
      <c r="C30" s="132" t="str">
        <f>'Necesidades Trimestrales'!E28</f>
        <v>CALIBRADOR (CALSET) ESTRADIOL X 10 CAL COBAS E-411 ROCHE</v>
      </c>
      <c r="D30" s="132"/>
      <c r="E30" s="132"/>
      <c r="F30" s="132"/>
      <c r="G30" s="132"/>
      <c r="H30" s="70" t="s">
        <v>54</v>
      </c>
      <c r="I30" s="71" t="str">
        <f>'Necesidades Trimestrales'!F28</f>
        <v>CAJA</v>
      </c>
      <c r="J30" s="69">
        <f>'Necesidades Trimestrales'!H28</f>
        <v>23325</v>
      </c>
      <c r="K30" s="68">
        <f>'Necesidades Trimestrales'!G28</f>
        <v>1</v>
      </c>
    </row>
    <row r="31" spans="1:11" ht="27.75" customHeight="1">
      <c r="A31" s="66">
        <v>20</v>
      </c>
      <c r="B31" s="67"/>
      <c r="C31" s="132" t="str">
        <f>'Necesidades Trimestrales'!E29</f>
        <v>CALIBRADOR (CALSET) FSH  X 10 CAL COBAS E-411 ROCHE</v>
      </c>
      <c r="D31" s="132"/>
      <c r="E31" s="132"/>
      <c r="F31" s="132"/>
      <c r="G31" s="132"/>
      <c r="H31" s="70" t="s">
        <v>54</v>
      </c>
      <c r="I31" s="71" t="str">
        <f>'Necesidades Trimestrales'!F29</f>
        <v>CAJA</v>
      </c>
      <c r="J31" s="69">
        <f>'Necesidades Trimestrales'!H29</f>
        <v>17952</v>
      </c>
      <c r="K31" s="68">
        <f>'Necesidades Trimestrales'!G29</f>
        <v>1</v>
      </c>
    </row>
    <row r="32" spans="1:11" ht="27.75" customHeight="1">
      <c r="A32" s="66">
        <v>21</v>
      </c>
      <c r="B32" s="74"/>
      <c r="C32" s="132" t="str">
        <f>'Necesidades Trimestrales'!E30</f>
        <v>Calibrador (Calset) Vitamina D Cobas Roche E411</v>
      </c>
      <c r="D32" s="132"/>
      <c r="E32" s="132"/>
      <c r="F32" s="132"/>
      <c r="G32" s="132"/>
      <c r="H32" s="70" t="s">
        <v>54</v>
      </c>
      <c r="I32" s="71" t="str">
        <f>'Necesidades Trimestrales'!F30</f>
        <v>CASSETTE</v>
      </c>
      <c r="J32" s="69">
        <f>'Necesidades Trimestrales'!H30</f>
        <v>127977</v>
      </c>
      <c r="K32" s="68">
        <f>'Necesidades Trimestrales'!G30</f>
        <v>1</v>
      </c>
    </row>
    <row r="33" spans="1:14" ht="27.75" customHeight="1">
      <c r="A33" s="66">
        <v>22</v>
      </c>
      <c r="B33" s="74"/>
      <c r="C33" s="132" t="str">
        <f>'Necesidades Trimestrales'!E31</f>
        <v xml:space="preserve">CALIBRADOR FT4 X 10 CAL COBAS E-411 ROCHE </v>
      </c>
      <c r="D33" s="132"/>
      <c r="E33" s="132"/>
      <c r="F33" s="132"/>
      <c r="G33" s="132"/>
      <c r="H33" s="70" t="s">
        <v>54</v>
      </c>
      <c r="I33" s="71" t="str">
        <f>'Necesidades Trimestrales'!F31</f>
        <v>CAJA</v>
      </c>
      <c r="J33" s="69">
        <f>'Necesidades Trimestrales'!H31</f>
        <v>17245</v>
      </c>
      <c r="K33" s="68">
        <f>'Necesidades Trimestrales'!G31</f>
        <v>1</v>
      </c>
    </row>
    <row r="34" spans="1:14" ht="27.75" customHeight="1">
      <c r="A34" s="66">
        <v>23</v>
      </c>
      <c r="B34" s="74"/>
      <c r="C34" s="132" t="str">
        <f>'Necesidades Trimestrales'!E32</f>
        <v>CALIBRADOR HCG+BETA II CALSET PARA COBAS E411</v>
      </c>
      <c r="D34" s="132"/>
      <c r="E34" s="132"/>
      <c r="F34" s="132"/>
      <c r="G34" s="132"/>
      <c r="H34" s="70" t="s">
        <v>54</v>
      </c>
      <c r="I34" s="71" t="str">
        <f>'Necesidades Trimestrales'!F32</f>
        <v>CAJA</v>
      </c>
      <c r="J34" s="69">
        <f>'Necesidades Trimestrales'!H32</f>
        <v>17952</v>
      </c>
      <c r="K34" s="68">
        <f>'Necesidades Trimestrales'!G32</f>
        <v>1</v>
      </c>
    </row>
    <row r="35" spans="1:14" ht="27.75" customHeight="1">
      <c r="A35" s="66">
        <v>24</v>
      </c>
      <c r="B35" s="74"/>
      <c r="C35" s="132" t="str">
        <f>'Necesidades Trimestrales'!E33</f>
        <v>CALIBRADOR PARA INSULINA X 10 CAL COBAS E-411 ROCHE</v>
      </c>
      <c r="D35" s="132"/>
      <c r="E35" s="132"/>
      <c r="F35" s="132"/>
      <c r="G35" s="132"/>
      <c r="H35" s="70" t="s">
        <v>54</v>
      </c>
      <c r="I35" s="71" t="str">
        <f>'Necesidades Trimestrales'!F33</f>
        <v>CAJA</v>
      </c>
      <c r="J35" s="69">
        <f>'Necesidades Trimestrales'!H33</f>
        <v>16502</v>
      </c>
      <c r="K35" s="68">
        <f>'Necesidades Trimestrales'!G33</f>
        <v>1</v>
      </c>
    </row>
    <row r="36" spans="1:14" ht="27.75" customHeight="1">
      <c r="A36" s="66">
        <v>25</v>
      </c>
      <c r="B36" s="74"/>
      <c r="C36" s="132" t="str">
        <f>'Necesidades Trimestrales'!E34</f>
        <v>CALIBRADOR PARA LH  X 10  CAL COBAS E-411 ROCHE</v>
      </c>
      <c r="D36" s="132"/>
      <c r="E36" s="132"/>
      <c r="F36" s="132"/>
      <c r="G36" s="132"/>
      <c r="H36" s="70" t="s">
        <v>54</v>
      </c>
      <c r="I36" s="71" t="str">
        <f>'Necesidades Trimestrales'!F34</f>
        <v>CAJA</v>
      </c>
      <c r="J36" s="69">
        <f>'Necesidades Trimestrales'!H34</f>
        <v>17952</v>
      </c>
      <c r="K36" s="68">
        <f>'Necesidades Trimestrales'!G34</f>
        <v>1</v>
      </c>
    </row>
    <row r="37" spans="1:14" ht="27.75" customHeight="1">
      <c r="A37" s="66">
        <v>26</v>
      </c>
      <c r="B37" s="74"/>
      <c r="C37" s="132" t="str">
        <f>'Necesidades Trimestrales'!E35</f>
        <v>CALIBRADOR T3 TOTAL X 10 CAL  COBAS E-411 ROCHE</v>
      </c>
      <c r="D37" s="132"/>
      <c r="E37" s="132"/>
      <c r="F37" s="132"/>
      <c r="G37" s="132"/>
      <c r="H37" s="70" t="s">
        <v>54</v>
      </c>
      <c r="I37" s="71" t="str">
        <f>'Necesidades Trimestrales'!F35</f>
        <v>CAJA</v>
      </c>
      <c r="J37" s="69">
        <f>'Necesidades Trimestrales'!H35</f>
        <v>17245</v>
      </c>
      <c r="K37" s="68">
        <f>'Necesidades Trimestrales'!G35</f>
        <v>1</v>
      </c>
    </row>
    <row r="38" spans="1:14" ht="27.75" customHeight="1">
      <c r="A38" s="66">
        <v>27</v>
      </c>
      <c r="B38" s="74"/>
      <c r="C38" s="132" t="str">
        <f>'Necesidades Trimestrales'!E36</f>
        <v>CALIBRADOR T4 TOTAL X 10 CAL  COBAS E-411 ROCHE</v>
      </c>
      <c r="D38" s="132"/>
      <c r="E38" s="132"/>
      <c r="F38" s="132"/>
      <c r="G38" s="132"/>
      <c r="H38" s="70" t="s">
        <v>54</v>
      </c>
      <c r="I38" s="71" t="str">
        <f>'Necesidades Trimestrales'!F36</f>
        <v>CASSETTE</v>
      </c>
      <c r="J38" s="69">
        <f>'Necesidades Trimestrales'!H36</f>
        <v>17245</v>
      </c>
      <c r="K38" s="68">
        <f>'Necesidades Trimestrales'!G36</f>
        <v>1</v>
      </c>
    </row>
    <row r="39" spans="1:14" ht="27.75" customHeight="1">
      <c r="A39" s="66">
        <v>28</v>
      </c>
      <c r="B39" s="74"/>
      <c r="C39" s="132" t="str">
        <f>'Necesidades Trimestrales'!E37</f>
        <v>CALIBRADOR TSH  X 10 CAL COBAS E-411  ROCHE</v>
      </c>
      <c r="D39" s="132"/>
      <c r="E39" s="132"/>
      <c r="F39" s="132"/>
      <c r="G39" s="132"/>
      <c r="H39" s="70" t="s">
        <v>54</v>
      </c>
      <c r="I39" s="71" t="str">
        <f>'Necesidades Trimestrales'!F37</f>
        <v>CAJA</v>
      </c>
      <c r="J39" s="69">
        <f>'Necesidades Trimestrales'!H37</f>
        <v>13439</v>
      </c>
      <c r="K39" s="68">
        <f>'Necesidades Trimestrales'!G37</f>
        <v>1</v>
      </c>
    </row>
    <row r="40" spans="1:14" ht="27.75" customHeight="1">
      <c r="A40" s="66">
        <v>29</v>
      </c>
      <c r="B40" s="74"/>
      <c r="C40" s="132" t="str">
        <f>'Necesidades Trimestrales'!E38</f>
        <v>CELLPACK 20 L SYSMEX XS 1000</v>
      </c>
      <c r="D40" s="132"/>
      <c r="E40" s="132"/>
      <c r="F40" s="132"/>
      <c r="G40" s="132"/>
      <c r="H40" s="70" t="s">
        <v>54</v>
      </c>
      <c r="I40" s="71" t="str">
        <f>'Necesidades Trimestrales'!F38</f>
        <v>CAJA</v>
      </c>
      <c r="J40" s="69">
        <f>'Necesidades Trimestrales'!H38</f>
        <v>24117</v>
      </c>
      <c r="K40" s="68">
        <f>'Necesidades Trimestrales'!G38</f>
        <v>1</v>
      </c>
    </row>
    <row r="41" spans="1:14" ht="27.75" customHeight="1">
      <c r="A41" s="66">
        <v>30</v>
      </c>
      <c r="B41" s="74"/>
      <c r="C41" s="132" t="str">
        <f>'Necesidades Trimestrales'!E39</f>
        <v>CHROM ID CPS COD 35131  X 10 U - BIOMERIEUX</v>
      </c>
      <c r="D41" s="132"/>
      <c r="E41" s="132"/>
      <c r="F41" s="132"/>
      <c r="G41" s="132"/>
      <c r="H41" s="70" t="s">
        <v>54</v>
      </c>
      <c r="I41" s="71" t="str">
        <f>'Necesidades Trimestrales'!F39</f>
        <v>PAQUETE</v>
      </c>
      <c r="J41" s="69">
        <f>'Necesidades Trimestrales'!H39</f>
        <v>5904</v>
      </c>
      <c r="K41" s="68">
        <f>'Necesidades Trimestrales'!G39</f>
        <v>10</v>
      </c>
    </row>
    <row r="42" spans="1:14" ht="27.75" customHeight="1">
      <c r="A42" s="66">
        <v>31</v>
      </c>
      <c r="B42" s="74"/>
      <c r="C42" s="132" t="str">
        <f>'Necesidades Trimestrales'!E40</f>
        <v>CL- MICRO ELECTRODE</v>
      </c>
      <c r="D42" s="132"/>
      <c r="E42" s="132"/>
      <c r="F42" s="132"/>
      <c r="G42" s="132"/>
      <c r="H42" s="70" t="s">
        <v>54</v>
      </c>
      <c r="I42" s="71" t="str">
        <f>'Necesidades Trimestrales'!F40</f>
        <v>CAJA</v>
      </c>
      <c r="J42" s="69">
        <f>'Necesidades Trimestrales'!H40</f>
        <v>15503</v>
      </c>
      <c r="K42" s="68">
        <f>'Necesidades Trimestrales'!G40</f>
        <v>1</v>
      </c>
    </row>
    <row r="43" spans="1:14" ht="27.75" customHeight="1">
      <c r="A43" s="66">
        <v>32</v>
      </c>
      <c r="B43" s="74"/>
      <c r="C43" s="132" t="str">
        <f>'Necesidades Trimestrales'!E41</f>
        <v>CLEAN CELL COBAS E411</v>
      </c>
      <c r="D43" s="132"/>
      <c r="E43" s="132"/>
      <c r="F43" s="132"/>
      <c r="G43" s="132"/>
      <c r="H43" s="70" t="s">
        <v>54</v>
      </c>
      <c r="I43" s="71" t="str">
        <f>'Necesidades Trimestrales'!F41</f>
        <v>CAJA</v>
      </c>
      <c r="J43" s="69">
        <f>'Necesidades Trimestrales'!H41</f>
        <v>12493</v>
      </c>
      <c r="K43" s="68">
        <f>'Necesidades Trimestrales'!G41</f>
        <v>4</v>
      </c>
    </row>
    <row r="44" spans="1:14" ht="27.75" customHeight="1">
      <c r="A44" s="66">
        <v>33</v>
      </c>
      <c r="B44" s="74"/>
      <c r="C44" s="132" t="str">
        <f>'Necesidades Trimestrales'!E42</f>
        <v>COLESTEROL COBAS C311</v>
      </c>
      <c r="D44" s="132"/>
      <c r="E44" s="132"/>
      <c r="F44" s="132"/>
      <c r="G44" s="132"/>
      <c r="H44" s="70" t="s">
        <v>54</v>
      </c>
      <c r="I44" s="71" t="str">
        <f>'Necesidades Trimestrales'!F42</f>
        <v>CAJA</v>
      </c>
      <c r="J44" s="69">
        <f>'Necesidades Trimestrales'!H42</f>
        <v>15298</v>
      </c>
      <c r="K44" s="68">
        <f>'Necesidades Trimestrales'!G42</f>
        <v>5</v>
      </c>
    </row>
    <row r="45" spans="1:14" ht="27.75" customHeight="1">
      <c r="A45" s="66">
        <v>34</v>
      </c>
      <c r="B45" s="74"/>
      <c r="C45" s="132" t="str">
        <f>'Necesidades Trimestrales'!E43</f>
        <v>COLESTEROL HDL GEN4 COBAS C311</v>
      </c>
      <c r="D45" s="132"/>
      <c r="E45" s="132"/>
      <c r="F45" s="132"/>
      <c r="G45" s="132"/>
      <c r="H45" s="70" t="s">
        <v>54</v>
      </c>
      <c r="I45" s="71" t="str">
        <f>'Necesidades Trimestrales'!F43</f>
        <v>CASSETTE</v>
      </c>
      <c r="J45" s="69">
        <f>'Necesidades Trimestrales'!H43</f>
        <v>2438</v>
      </c>
      <c r="K45" s="68">
        <f>'Necesidades Trimestrales'!G43</f>
        <v>5</v>
      </c>
    </row>
    <row r="46" spans="1:14" ht="27.75" customHeight="1">
      <c r="A46" s="66">
        <v>35</v>
      </c>
      <c r="B46" s="74"/>
      <c r="C46" s="132" t="str">
        <f>'Necesidades Trimestrales'!E44</f>
        <v>COLESTEROL LDL-C GEN.3</v>
      </c>
      <c r="D46" s="132"/>
      <c r="E46" s="132"/>
      <c r="F46" s="132"/>
      <c r="G46" s="132"/>
      <c r="H46" s="70" t="s">
        <v>54</v>
      </c>
      <c r="I46" s="71" t="str">
        <f>'Necesidades Trimestrales'!F44</f>
        <v>CASSETTE</v>
      </c>
      <c r="J46" s="69">
        <f>'Necesidades Trimestrales'!H44</f>
        <v>22924</v>
      </c>
      <c r="K46" s="68">
        <f>'Necesidades Trimestrales'!G44</f>
        <v>2</v>
      </c>
    </row>
    <row r="47" spans="1:14" ht="27.75" customHeight="1">
      <c r="A47" s="66">
        <v>36</v>
      </c>
      <c r="B47" s="74"/>
      <c r="C47" s="132" t="str">
        <f>'Necesidades Trimestrales'!E45</f>
        <v>CORTISOL COBAS ROCHE</v>
      </c>
      <c r="D47" s="132"/>
      <c r="E47" s="132"/>
      <c r="F47" s="132"/>
      <c r="G47" s="132"/>
      <c r="H47" s="70" t="s">
        <v>54</v>
      </c>
      <c r="I47" s="71" t="str">
        <f>'Necesidades Trimestrales'!F45</f>
        <v>CASSETTE</v>
      </c>
      <c r="J47" s="69">
        <f>'Necesidades Trimestrales'!H45</f>
        <v>24625</v>
      </c>
      <c r="K47" s="68">
        <f>'Necesidades Trimestrales'!G45</f>
        <v>2</v>
      </c>
      <c r="N47" s="36" t="s">
        <v>55</v>
      </c>
    </row>
    <row r="48" spans="1:14" ht="27.75" customHeight="1">
      <c r="A48" s="66">
        <v>37</v>
      </c>
      <c r="B48" s="74"/>
      <c r="C48" s="132" t="str">
        <f>'Necesidades Trimestrales'!E46</f>
        <v>CREATININA JAFFE COBAS C-311 ROCHE  X 700 DET</v>
      </c>
      <c r="D48" s="132"/>
      <c r="E48" s="132"/>
      <c r="F48" s="132"/>
      <c r="G48" s="132"/>
      <c r="H48" s="70" t="s">
        <v>54</v>
      </c>
      <c r="I48" s="71" t="str">
        <f>'Necesidades Trimestrales'!F46</f>
        <v>CASSETTE</v>
      </c>
      <c r="J48" s="69">
        <f>'Necesidades Trimestrales'!H46</f>
        <v>6370</v>
      </c>
      <c r="K48" s="68">
        <f>'Necesidades Trimestrales'!G46</f>
        <v>8</v>
      </c>
    </row>
    <row r="49" spans="1:11" ht="27.75" customHeight="1">
      <c r="A49" s="66">
        <v>38</v>
      </c>
      <c r="B49" s="74"/>
      <c r="C49" s="132" t="str">
        <f>'Necesidades Trimestrales'!E47</f>
        <v>CRPL3 / C-Reactive Protein Gen.3 Cobas</v>
      </c>
      <c r="D49" s="132"/>
      <c r="E49" s="132"/>
      <c r="F49" s="132"/>
      <c r="G49" s="132"/>
      <c r="H49" s="70" t="s">
        <v>54</v>
      </c>
      <c r="I49" s="71" t="str">
        <f>'Necesidades Trimestrales'!F47</f>
        <v>CASSETTE</v>
      </c>
      <c r="J49" s="69">
        <f>'Necesidades Trimestrales'!H47</f>
        <v>52495</v>
      </c>
      <c r="K49" s="68">
        <f>'Necesidades Trimestrales'!G47</f>
        <v>8</v>
      </c>
    </row>
    <row r="50" spans="1:11" ht="27.75" customHeight="1">
      <c r="A50" s="66">
        <v>39</v>
      </c>
      <c r="B50" s="74"/>
      <c r="C50" s="132" t="str">
        <f>'Necesidades Trimestrales'!E48</f>
        <v>CUBETAS PARA COATRON M2 X 500U</v>
      </c>
      <c r="D50" s="132"/>
      <c r="E50" s="132"/>
      <c r="F50" s="132"/>
      <c r="G50" s="132"/>
      <c r="H50" s="70" t="s">
        <v>54</v>
      </c>
      <c r="I50" s="71" t="str">
        <f>'Necesidades Trimestrales'!F48</f>
        <v>CASSETTE</v>
      </c>
      <c r="J50" s="69">
        <f>'Necesidades Trimestrales'!H48</f>
        <v>91773</v>
      </c>
      <c r="K50" s="68">
        <f>'Necesidades Trimestrales'!G48</f>
        <v>1</v>
      </c>
    </row>
    <row r="51" spans="1:11" ht="27.75" customHeight="1">
      <c r="A51" s="66">
        <v>40</v>
      </c>
      <c r="B51" s="74"/>
      <c r="C51" s="132" t="str">
        <f>'Necesidades Trimestrales'!E49</f>
        <v>DILUYENTE UNIVERSAL 2un x 18 ml</v>
      </c>
      <c r="D51" s="132"/>
      <c r="E51" s="132"/>
      <c r="F51" s="132"/>
      <c r="G51" s="132"/>
      <c r="H51" s="70" t="s">
        <v>54</v>
      </c>
      <c r="I51" s="71" t="str">
        <f>'Necesidades Trimestrales'!F49</f>
        <v>CAJA</v>
      </c>
      <c r="J51" s="69">
        <f>'Necesidades Trimestrales'!H49</f>
        <v>21254</v>
      </c>
      <c r="K51" s="68">
        <f>'Necesidades Trimestrales'!G49</f>
        <v>2</v>
      </c>
    </row>
    <row r="52" spans="1:11" ht="27.75" customHeight="1">
      <c r="A52" s="66">
        <v>41</v>
      </c>
      <c r="B52" s="74"/>
      <c r="C52" s="132" t="str">
        <f>'Necesidades Trimestrales'!E50</f>
        <v>DIMERO D GEN 2 COMTROL I/II</v>
      </c>
      <c r="D52" s="132"/>
      <c r="E52" s="132"/>
      <c r="F52" s="132"/>
      <c r="G52" s="132"/>
      <c r="H52" s="70" t="s">
        <v>54</v>
      </c>
      <c r="I52" s="71" t="str">
        <f>'Necesidades Trimestrales'!F50</f>
        <v>FRASCO</v>
      </c>
      <c r="J52" s="69">
        <f>'Necesidades Trimestrales'!H50</f>
        <v>950</v>
      </c>
      <c r="K52" s="68">
        <f>'Necesidades Trimestrales'!G50</f>
        <v>1</v>
      </c>
    </row>
    <row r="53" spans="1:11" ht="27.75" customHeight="1">
      <c r="A53" s="66">
        <v>42</v>
      </c>
      <c r="B53" s="74"/>
      <c r="C53" s="132" t="str">
        <f>'Necesidades Trimestrales'!E51</f>
        <v>Dímero D Gen 2 ROCHE C311</v>
      </c>
      <c r="D53" s="132"/>
      <c r="E53" s="132"/>
      <c r="F53" s="132"/>
      <c r="G53" s="132"/>
      <c r="H53" s="70" t="s">
        <v>54</v>
      </c>
      <c r="I53" s="71" t="str">
        <f>'Necesidades Trimestrales'!F51</f>
        <v>CAJA</v>
      </c>
      <c r="J53" s="69">
        <f>'Necesidades Trimestrales'!H51</f>
        <v>15611</v>
      </c>
      <c r="K53" s="68">
        <f>'Necesidades Trimestrales'!G51</f>
        <v>1</v>
      </c>
    </row>
    <row r="54" spans="1:11" ht="27.75" customHeight="1">
      <c r="A54" s="66">
        <v>43</v>
      </c>
      <c r="B54" s="74"/>
      <c r="C54" s="132" t="str">
        <f>'Necesidades Trimestrales'!E52</f>
        <v>Disco de Ceftaroline</v>
      </c>
      <c r="D54" s="132"/>
      <c r="E54" s="132"/>
      <c r="F54" s="132"/>
      <c r="G54" s="132"/>
      <c r="H54" s="70" t="s">
        <v>54</v>
      </c>
      <c r="I54" s="71" t="str">
        <f>'Necesidades Trimestrales'!F52</f>
        <v>FRASCO</v>
      </c>
      <c r="J54" s="69">
        <f>'Necesidades Trimestrales'!H52</f>
        <v>4200</v>
      </c>
      <c r="K54" s="68">
        <f>'Necesidades Trimestrales'!G52</f>
        <v>3</v>
      </c>
    </row>
    <row r="55" spans="1:11" ht="27.75" customHeight="1">
      <c r="A55" s="66">
        <v>44</v>
      </c>
      <c r="B55" s="74"/>
      <c r="C55" s="132" t="str">
        <f>'Necesidades Trimestrales'!E53</f>
        <v>DISCO FOSFOMICINA 200 UG X 50 U</v>
      </c>
      <c r="D55" s="132"/>
      <c r="E55" s="132"/>
      <c r="F55" s="132"/>
      <c r="G55" s="132"/>
      <c r="H55" s="70" t="s">
        <v>54</v>
      </c>
      <c r="I55" s="71" t="str">
        <f>'Necesidades Trimestrales'!F53</f>
        <v>FRASCO</v>
      </c>
      <c r="J55" s="69">
        <f>'Necesidades Trimestrales'!H53</f>
        <v>778</v>
      </c>
      <c r="K55" s="68">
        <f>'Necesidades Trimestrales'!G53</f>
        <v>2</v>
      </c>
    </row>
    <row r="56" spans="1:11" ht="27.75" customHeight="1">
      <c r="A56" s="66">
        <v>45</v>
      </c>
      <c r="B56" s="74"/>
      <c r="C56" s="132" t="str">
        <f>'Necesidades Trimestrales'!E54</f>
        <v>ECOTERGENT  X 60 ML COBAS C-311 ROCHE</v>
      </c>
      <c r="D56" s="132"/>
      <c r="E56" s="132"/>
      <c r="F56" s="132"/>
      <c r="G56" s="132"/>
      <c r="H56" s="70" t="s">
        <v>54</v>
      </c>
      <c r="I56" s="71" t="str">
        <f>'Necesidades Trimestrales'!F54</f>
        <v>CASSETTE</v>
      </c>
      <c r="J56" s="69">
        <f>'Necesidades Trimestrales'!H54</f>
        <v>8112</v>
      </c>
      <c r="K56" s="68">
        <f>'Necesidades Trimestrales'!G54</f>
        <v>8</v>
      </c>
    </row>
    <row r="57" spans="1:11" ht="27.75" customHeight="1">
      <c r="A57" s="66">
        <v>46</v>
      </c>
      <c r="B57" s="74"/>
      <c r="C57" s="132" t="str">
        <f>'Necesidades Trimestrales'!E55</f>
        <v>ELECSYS SYPHILIS (TREPONEMICO)</v>
      </c>
      <c r="D57" s="132"/>
      <c r="E57" s="132"/>
      <c r="F57" s="132"/>
      <c r="G57" s="132"/>
      <c r="H57" s="70" t="s">
        <v>54</v>
      </c>
      <c r="I57" s="71" t="str">
        <f>'Necesidades Trimestrales'!F55</f>
        <v>CASSETTE</v>
      </c>
      <c r="J57" s="69">
        <f>'Necesidades Trimestrales'!H55</f>
        <v>63289</v>
      </c>
      <c r="K57" s="68">
        <f>'Necesidades Trimestrales'!G55</f>
        <v>1</v>
      </c>
    </row>
    <row r="58" spans="1:11" ht="27.75" customHeight="1">
      <c r="A58" s="66">
        <v>47</v>
      </c>
      <c r="B58" s="74"/>
      <c r="C58" s="132" t="str">
        <f>'Necesidades Trimestrales'!E56</f>
        <v>EQUIPO D° ULTRA 8 DFA RESPIRATORY VIRUS SCREENING &amp; IDENTIFICACION,DIAGNOSTIC HYBRIDS,INC.O ALTERNATIVA</v>
      </c>
      <c r="D58" s="132"/>
      <c r="E58" s="132"/>
      <c r="F58" s="132"/>
      <c r="G58" s="132"/>
      <c r="H58" s="70" t="s">
        <v>54</v>
      </c>
      <c r="I58" s="71" t="str">
        <f>'Necesidades Trimestrales'!F56</f>
        <v>CAJA</v>
      </c>
      <c r="J58" s="69">
        <f>'Necesidades Trimestrales'!H56</f>
        <v>284980</v>
      </c>
      <c r="K58" s="68">
        <f>'Necesidades Trimestrales'!G56</f>
        <v>1</v>
      </c>
    </row>
    <row r="59" spans="1:11" ht="27.75" customHeight="1">
      <c r="A59" s="66">
        <v>48</v>
      </c>
      <c r="B59" s="74"/>
      <c r="C59" s="132" t="str">
        <f>'Necesidades Trimestrales'!E57</f>
        <v>FERRITINA  CALSET GEN. 2 ROCHE E 411</v>
      </c>
      <c r="D59" s="132"/>
      <c r="E59" s="132"/>
      <c r="F59" s="132"/>
      <c r="G59" s="132"/>
      <c r="H59" s="70" t="s">
        <v>54</v>
      </c>
      <c r="I59" s="71" t="str">
        <f>'Necesidades Trimestrales'!F57</f>
        <v>CASSETTE</v>
      </c>
      <c r="J59" s="69">
        <f>'Necesidades Trimestrales'!H57</f>
        <v>50321</v>
      </c>
      <c r="K59" s="68">
        <f>'Necesidades Trimestrales'!G57</f>
        <v>2</v>
      </c>
    </row>
    <row r="60" spans="1:11" ht="27.75" customHeight="1">
      <c r="A60" s="66">
        <v>49</v>
      </c>
      <c r="B60" s="74"/>
      <c r="C60" s="132" t="str">
        <f>'Necesidades Trimestrales'!E58</f>
        <v>FERRITINA  GEN. 2 ROCHE E411 X 200DET</v>
      </c>
      <c r="D60" s="132"/>
      <c r="E60" s="132"/>
      <c r="F60" s="132"/>
      <c r="G60" s="132"/>
      <c r="H60" s="70" t="s">
        <v>54</v>
      </c>
      <c r="I60" s="71" t="str">
        <f>'Necesidades Trimestrales'!F58</f>
        <v>CAJA</v>
      </c>
      <c r="J60" s="69">
        <f>'Necesidades Trimestrales'!H58</f>
        <v>5103</v>
      </c>
      <c r="K60" s="68">
        <f>'Necesidades Trimestrales'!G58</f>
        <v>1</v>
      </c>
    </row>
    <row r="61" spans="1:11" ht="27.75" customHeight="1">
      <c r="A61" s="66">
        <v>50</v>
      </c>
      <c r="B61" s="74"/>
      <c r="C61" s="132" t="str">
        <f>'Necesidades Trimestrales'!E59</f>
        <v>FOSFATASA ALCALINA LARGE (IFCC) X 400 DET ROCHE</v>
      </c>
      <c r="D61" s="132"/>
      <c r="E61" s="132"/>
      <c r="F61" s="132"/>
      <c r="G61" s="132"/>
      <c r="H61" s="70" t="s">
        <v>54</v>
      </c>
      <c r="I61" s="71" t="str">
        <f>'Necesidades Trimestrales'!F59</f>
        <v>CASSETTE</v>
      </c>
      <c r="J61" s="69">
        <f>'Necesidades Trimestrales'!H59</f>
        <v>12214</v>
      </c>
      <c r="K61" s="68">
        <f>'Necesidades Trimestrales'!G59</f>
        <v>5</v>
      </c>
    </row>
    <row r="62" spans="1:11" ht="27.75" customHeight="1">
      <c r="A62" s="66">
        <v>51</v>
      </c>
      <c r="B62" s="74"/>
      <c r="C62" s="132" t="str">
        <f>'Necesidades Trimestrales'!E60</f>
        <v xml:space="preserve">FOSFATO DE POTASIO (KHHPO4)  (2mM) </v>
      </c>
      <c r="D62" s="132"/>
      <c r="E62" s="132"/>
      <c r="F62" s="132"/>
      <c r="G62" s="132"/>
      <c r="H62" s="70" t="s">
        <v>54</v>
      </c>
      <c r="I62" s="71" t="str">
        <f>'Necesidades Trimestrales'!F60</f>
        <v>CASSETTE</v>
      </c>
      <c r="J62" s="69">
        <f>'Necesidades Trimestrales'!H60</f>
        <v>24383</v>
      </c>
      <c r="K62" s="68">
        <f>'Necesidades Trimestrales'!G60</f>
        <v>7</v>
      </c>
    </row>
    <row r="63" spans="1:11" ht="27.75" customHeight="1">
      <c r="A63" s="66">
        <v>52</v>
      </c>
      <c r="B63" s="74"/>
      <c r="C63" s="132" t="str">
        <f>'Necesidades Trimestrales'!E61</f>
        <v>FOSFATO DE SODIO (Na2HPO4) (10mM)</v>
      </c>
      <c r="D63" s="132"/>
      <c r="E63" s="132"/>
      <c r="F63" s="132"/>
      <c r="G63" s="132"/>
      <c r="H63" s="70" t="s">
        <v>54</v>
      </c>
      <c r="I63" s="71" t="str">
        <f>'Necesidades Trimestrales'!F61</f>
        <v>FRASCO</v>
      </c>
      <c r="J63" s="69">
        <f>'Necesidades Trimestrales'!H61</f>
        <v>4568</v>
      </c>
      <c r="K63" s="68">
        <f>'Necesidades Trimestrales'!G61</f>
        <v>1</v>
      </c>
    </row>
    <row r="64" spans="1:11" ht="27.75" customHeight="1">
      <c r="A64" s="66">
        <v>53</v>
      </c>
      <c r="B64" s="74"/>
      <c r="C64" s="132" t="str">
        <f>'Necesidades Trimestrales'!E62</f>
        <v>FRASCOS BACT/ALERT PF FAN PEDIATRICOS- TIPO BIOMERIEUX</v>
      </c>
      <c r="D64" s="132"/>
      <c r="E64" s="132"/>
      <c r="F64" s="132"/>
      <c r="G64" s="132"/>
      <c r="H64" s="70" t="s">
        <v>54</v>
      </c>
      <c r="I64" s="71" t="str">
        <f>'Necesidades Trimestrales'!F62</f>
        <v>FRASCO</v>
      </c>
      <c r="J64" s="69">
        <f>'Necesidades Trimestrales'!H62</f>
        <v>1411</v>
      </c>
      <c r="K64" s="68">
        <f>'Necesidades Trimestrales'!G62</f>
        <v>450</v>
      </c>
    </row>
    <row r="65" spans="1:15" ht="27.75" customHeight="1">
      <c r="A65" s="66">
        <v>54</v>
      </c>
      <c r="B65" s="74"/>
      <c r="C65" s="132" t="str">
        <f>'Necesidades Trimestrales'!E63</f>
        <v>FUCSINA BASICA, ESTADO: SOLIDO, CALIDAD: PRO ANALISIS, PRESENTACION: ENVASE X 25 GR</v>
      </c>
      <c r="D65" s="132"/>
      <c r="E65" s="132"/>
      <c r="F65" s="132"/>
      <c r="G65" s="132"/>
      <c r="H65" s="70" t="s">
        <v>54</v>
      </c>
      <c r="I65" s="71" t="str">
        <f>'Necesidades Trimestrales'!F63</f>
        <v xml:space="preserve">BOTELLA </v>
      </c>
      <c r="J65" s="69">
        <f>'Necesidades Trimestrales'!H63</f>
        <v>1204.5</v>
      </c>
      <c r="K65" s="68">
        <f>'Necesidades Trimestrales'!G63</f>
        <v>1</v>
      </c>
    </row>
    <row r="66" spans="1:15" ht="27.75" customHeight="1">
      <c r="A66" s="66">
        <v>55</v>
      </c>
      <c r="B66" s="74"/>
      <c r="C66" s="132" t="str">
        <f>'Necesidades Trimestrales'!E64</f>
        <v>GEN BOX MICROAER X 10 SOBRES-TIPO BIOMERIEUX</v>
      </c>
      <c r="D66" s="132"/>
      <c r="E66" s="132"/>
      <c r="F66" s="132"/>
      <c r="G66" s="132"/>
      <c r="H66" s="70" t="s">
        <v>54</v>
      </c>
      <c r="I66" s="71" t="str">
        <f>'Necesidades Trimestrales'!F64</f>
        <v>CAJA</v>
      </c>
      <c r="J66" s="69">
        <f>'Necesidades Trimestrales'!H64</f>
        <v>10487</v>
      </c>
      <c r="K66" s="68">
        <f>'Necesidades Trimestrales'!G64</f>
        <v>4</v>
      </c>
    </row>
    <row r="67" spans="1:15" ht="27.75" customHeight="1">
      <c r="A67" s="66">
        <v>56</v>
      </c>
      <c r="B67" s="74"/>
      <c r="C67" s="132" t="str">
        <f>'Necesidades Trimestrales'!E65</f>
        <v>GIEMSA X 1L</v>
      </c>
      <c r="D67" s="132"/>
      <c r="E67" s="132"/>
      <c r="F67" s="132"/>
      <c r="G67" s="132"/>
      <c r="H67" s="70" t="s">
        <v>54</v>
      </c>
      <c r="I67" s="71" t="str">
        <f>'Necesidades Trimestrales'!F65</f>
        <v>BOTELLA</v>
      </c>
      <c r="J67" s="69">
        <f>'Necesidades Trimestrales'!H65</f>
        <v>2380</v>
      </c>
      <c r="K67" s="68">
        <f>'Necesidades Trimestrales'!G65</f>
        <v>3</v>
      </c>
    </row>
    <row r="68" spans="1:15" ht="27.75" customHeight="1">
      <c r="A68" s="66">
        <v>57</v>
      </c>
      <c r="B68" s="74"/>
      <c r="C68" s="132" t="str">
        <f>'Necesidades Trimestrales'!E66</f>
        <v>GLUCOSA HEXOKINASA 800 COBAS C311</v>
      </c>
      <c r="D68" s="132"/>
      <c r="E68" s="132"/>
      <c r="F68" s="132"/>
      <c r="G68" s="132"/>
      <c r="H68" s="70" t="s">
        <v>54</v>
      </c>
      <c r="I68" s="71" t="str">
        <f>'Necesidades Trimestrales'!F66</f>
        <v>CASSETTE</v>
      </c>
      <c r="J68" s="69">
        <f>'Necesidades Trimestrales'!H66</f>
        <v>25470</v>
      </c>
      <c r="K68" s="68">
        <f>'Necesidades Trimestrales'!G66</f>
        <v>2</v>
      </c>
    </row>
    <row r="69" spans="1:15" ht="27.75" customHeight="1">
      <c r="A69" s="66">
        <v>58</v>
      </c>
      <c r="B69" s="74"/>
      <c r="C69" s="132" t="str">
        <f>'Necesidades Trimestrales'!E67</f>
        <v>Glucosa monohidrata x 1000 g</v>
      </c>
      <c r="D69" s="132"/>
      <c r="E69" s="132"/>
      <c r="F69" s="132"/>
      <c r="G69" s="132"/>
      <c r="H69" s="70" t="s">
        <v>54</v>
      </c>
      <c r="I69" s="71" t="str">
        <f>'Necesidades Trimestrales'!F67</f>
        <v>Caja</v>
      </c>
      <c r="J69" s="69">
        <f>'Necesidades Trimestrales'!H67</f>
        <v>39500</v>
      </c>
      <c r="K69" s="68">
        <f>'Necesidades Trimestrales'!G67</f>
        <v>1</v>
      </c>
    </row>
    <row r="70" spans="1:15" ht="27.75" customHeight="1">
      <c r="A70" s="66">
        <v>59</v>
      </c>
      <c r="B70" s="74"/>
      <c r="C70" s="132" t="str">
        <f>'Necesidades Trimestrales'!E68</f>
        <v>HbA1C TQ GEN3 150 TEST COBAS C311</v>
      </c>
      <c r="D70" s="132"/>
      <c r="E70" s="132"/>
      <c r="F70" s="132"/>
      <c r="G70" s="132"/>
      <c r="H70" s="70" t="s">
        <v>54</v>
      </c>
      <c r="I70" s="71" t="str">
        <f>'Necesidades Trimestrales'!F68</f>
        <v>CASSETTE</v>
      </c>
      <c r="J70" s="69">
        <f>'Necesidades Trimestrales'!H68</f>
        <v>12726</v>
      </c>
      <c r="K70" s="68">
        <f>'Necesidades Trimestrales'!G68</f>
        <v>3</v>
      </c>
    </row>
    <row r="71" spans="1:15" ht="27.75" customHeight="1">
      <c r="A71" s="66">
        <v>60</v>
      </c>
      <c r="B71" s="74"/>
      <c r="C71" s="132" t="str">
        <f>'Necesidades Trimestrales'!E69</f>
        <v>HCG+BETA II  PARA COBAS E411</v>
      </c>
      <c r="D71" s="132"/>
      <c r="E71" s="132"/>
      <c r="F71" s="132"/>
      <c r="G71" s="132"/>
      <c r="H71" s="70" t="s">
        <v>54</v>
      </c>
      <c r="I71" s="71" t="str">
        <f>'Necesidades Trimestrales'!F69</f>
        <v>CASSETTE</v>
      </c>
      <c r="J71" s="69">
        <f>'Necesidades Trimestrales'!H69</f>
        <v>25542</v>
      </c>
      <c r="K71" s="68">
        <f>'Necesidades Trimestrales'!G69</f>
        <v>4</v>
      </c>
    </row>
    <row r="72" spans="1:15" ht="27.75" customHeight="1">
      <c r="A72" s="66">
        <v>61</v>
      </c>
      <c r="B72" s="74"/>
      <c r="C72" s="132" t="str">
        <f>'Necesidades Trimestrales'!E70</f>
        <v>HIDROXIDO DE SODIO, ESTADO: LIQUIDO, CALIDAD: PRO ANALISIS, CONCENTRACION/PUREZA: 1 N, PRESENTACION: ENVASE X 1 L</v>
      </c>
      <c r="D72" s="132"/>
      <c r="E72" s="132"/>
      <c r="F72" s="132"/>
      <c r="G72" s="132"/>
      <c r="H72" s="70" t="s">
        <v>54</v>
      </c>
      <c r="I72" s="71" t="str">
        <f>'Necesidades Trimestrales'!F70</f>
        <v>CAJA</v>
      </c>
      <c r="J72" s="69">
        <f>'Necesidades Trimestrales'!H70</f>
        <v>12110</v>
      </c>
      <c r="K72" s="68">
        <f>'Necesidades Trimestrales'!G70</f>
        <v>2</v>
      </c>
    </row>
    <row r="73" spans="1:15" ht="27.75" customHeight="1">
      <c r="A73" s="66">
        <v>62</v>
      </c>
      <c r="B73" s="74"/>
      <c r="C73" s="132" t="str">
        <f>'Necesidades Trimestrales'!E71</f>
        <v>HIV COMBI PT</v>
      </c>
      <c r="D73" s="132"/>
      <c r="E73" s="132"/>
      <c r="F73" s="132"/>
      <c r="G73" s="132"/>
      <c r="H73" s="70" t="s">
        <v>54</v>
      </c>
      <c r="I73" s="71" t="str">
        <f>'Necesidades Trimestrales'!F71</f>
        <v>CASSETTE</v>
      </c>
      <c r="J73" s="69">
        <f>'Necesidades Trimestrales'!H71</f>
        <v>27563</v>
      </c>
      <c r="K73" s="68">
        <f>'Necesidades Trimestrales'!G71</f>
        <v>3</v>
      </c>
    </row>
    <row r="74" spans="1:15" ht="27.75" customHeight="1">
      <c r="A74" s="66">
        <v>63</v>
      </c>
      <c r="B74" s="74"/>
      <c r="C74" s="132" t="str">
        <f>'Necesidades Trimestrales'!E72</f>
        <v>IGE  COBAS ROCHE</v>
      </c>
      <c r="D74" s="132"/>
      <c r="E74" s="132"/>
      <c r="F74" s="132"/>
      <c r="G74" s="132"/>
      <c r="H74" s="70" t="s">
        <v>54</v>
      </c>
      <c r="I74" s="71" t="str">
        <f>'Necesidades Trimestrales'!F72</f>
        <v>CASSETTE</v>
      </c>
      <c r="J74" s="69">
        <f>'Necesidades Trimestrales'!H72</f>
        <v>24850</v>
      </c>
      <c r="K74" s="68">
        <f>'Necesidades Trimestrales'!G72</f>
        <v>4</v>
      </c>
    </row>
    <row r="75" spans="1:15" ht="27.75" customHeight="1">
      <c r="A75" s="66">
        <v>64</v>
      </c>
      <c r="B75" s="74"/>
      <c r="C75" s="132" t="str">
        <f>'Necesidades Trimestrales'!E73</f>
        <v>IGE CALSET COBAS ROCHE</v>
      </c>
      <c r="D75" s="132"/>
      <c r="E75" s="132"/>
      <c r="F75" s="132"/>
      <c r="G75" s="132"/>
      <c r="H75" s="70" t="s">
        <v>54</v>
      </c>
      <c r="I75" s="71" t="str">
        <f>'Necesidades Trimestrales'!F73</f>
        <v>CASSETTE</v>
      </c>
      <c r="J75" s="69">
        <f>'Necesidades Trimestrales'!H73</f>
        <v>17952</v>
      </c>
      <c r="K75" s="68">
        <f>'Necesidades Trimestrales'!G73</f>
        <v>1</v>
      </c>
      <c r="O75" s="36" t="s">
        <v>55</v>
      </c>
    </row>
    <row r="76" spans="1:15" ht="27.75" customHeight="1">
      <c r="A76" s="66">
        <v>65</v>
      </c>
      <c r="B76" s="74"/>
      <c r="C76" s="132" t="str">
        <f>'Necesidades Trimestrales'!E74</f>
        <v>IGG COBAS ROCHE C311</v>
      </c>
      <c r="D76" s="132"/>
      <c r="E76" s="132"/>
      <c r="F76" s="132"/>
      <c r="G76" s="132"/>
      <c r="H76" s="70" t="s">
        <v>54</v>
      </c>
      <c r="I76" s="71" t="str">
        <f>'Necesidades Trimestrales'!F74</f>
        <v>CASSETTE</v>
      </c>
      <c r="J76" s="69">
        <f>'Necesidades Trimestrales'!H74</f>
        <v>26755</v>
      </c>
      <c r="K76" s="68">
        <f>'Necesidades Trimestrales'!G74</f>
        <v>1</v>
      </c>
    </row>
    <row r="77" spans="1:15" ht="27.75" customHeight="1">
      <c r="A77" s="66">
        <v>66</v>
      </c>
      <c r="B77" s="74"/>
      <c r="C77" s="132" t="str">
        <f>'Necesidades Trimestrales'!E75</f>
        <v>IGM P/ COBAS C311</v>
      </c>
      <c r="D77" s="132"/>
      <c r="E77" s="132"/>
      <c r="F77" s="132"/>
      <c r="G77" s="132"/>
      <c r="H77" s="70" t="s">
        <v>54</v>
      </c>
      <c r="I77" s="71" t="str">
        <f>'Necesidades Trimestrales'!F75</f>
        <v>CASSETTE</v>
      </c>
      <c r="J77" s="69">
        <f>'Necesidades Trimestrales'!H75</f>
        <v>26755</v>
      </c>
      <c r="K77" s="68">
        <f>'Necesidades Trimestrales'!G75</f>
        <v>1</v>
      </c>
    </row>
    <row r="78" spans="1:15" ht="27.75" customHeight="1">
      <c r="A78" s="66">
        <v>67</v>
      </c>
      <c r="B78" s="74"/>
      <c r="C78" s="132" t="str">
        <f>'Necesidades Trimestrales'!E76</f>
        <v>JERINGAS P/GASES EN SANGRE C/HEPARINA DE LITIO X 3ML TIPO BD X 200U</v>
      </c>
      <c r="D78" s="132"/>
      <c r="E78" s="132"/>
      <c r="F78" s="132"/>
      <c r="G78" s="132"/>
      <c r="H78" s="70" t="s">
        <v>54</v>
      </c>
      <c r="I78" s="71" t="str">
        <f>'Necesidades Trimestrales'!F76</f>
        <v>CAJA</v>
      </c>
      <c r="J78" s="69">
        <f>'Necesidades Trimestrales'!H76</f>
        <v>14264</v>
      </c>
      <c r="K78" s="68">
        <f>'Necesidades Trimestrales'!G76</f>
        <v>5</v>
      </c>
    </row>
    <row r="79" spans="1:15" ht="27.75" customHeight="1">
      <c r="A79" s="66">
        <v>68</v>
      </c>
      <c r="B79" s="74"/>
      <c r="C79" s="132" t="str">
        <f>'Necesidades Trimestrales'!E77</f>
        <v>K- MICRO ELECTRODE</v>
      </c>
      <c r="D79" s="132"/>
      <c r="E79" s="132"/>
      <c r="F79" s="132"/>
      <c r="G79" s="132"/>
      <c r="H79" s="70" t="s">
        <v>54</v>
      </c>
      <c r="I79" s="71" t="str">
        <f>'Necesidades Trimestrales'!F77</f>
        <v>CAJA</v>
      </c>
      <c r="J79" s="69">
        <f>'Necesidades Trimestrales'!H77</f>
        <v>15503</v>
      </c>
      <c r="K79" s="68">
        <f>'Necesidades Trimestrales'!G77</f>
        <v>1</v>
      </c>
    </row>
    <row r="80" spans="1:15" ht="27.75" customHeight="1">
      <c r="A80" s="66">
        <v>69</v>
      </c>
      <c r="B80" s="74"/>
      <c r="C80" s="132" t="str">
        <f>'Necesidades Trimestrales'!E78</f>
        <v>KIT ERITROSEDIMENTACION X 100 C/PIPETA+TUBO</v>
      </c>
      <c r="D80" s="132"/>
      <c r="E80" s="132"/>
      <c r="F80" s="132"/>
      <c r="G80" s="132"/>
      <c r="H80" s="70" t="s">
        <v>54</v>
      </c>
      <c r="I80" s="71" t="str">
        <f>'Necesidades Trimestrales'!F78</f>
        <v>CAJA</v>
      </c>
      <c r="J80" s="69">
        <f>'Necesidades Trimestrales'!H78</f>
        <v>4900</v>
      </c>
      <c r="K80" s="68">
        <f>'Necesidades Trimestrales'!G78</f>
        <v>3</v>
      </c>
    </row>
    <row r="81" spans="1:11" ht="27.75" customHeight="1">
      <c r="A81" s="66">
        <v>70</v>
      </c>
      <c r="B81" s="74"/>
      <c r="C81" s="132" t="str">
        <f>'Necesidades Trimestrales'!E79</f>
        <v>MAGNESIO COBAS C-311 ROCHE  X 175 DET</v>
      </c>
      <c r="D81" s="132"/>
      <c r="E81" s="132"/>
      <c r="F81" s="132"/>
      <c r="G81" s="132"/>
      <c r="H81" s="70" t="s">
        <v>54</v>
      </c>
      <c r="I81" s="71" t="str">
        <f>'Necesidades Trimestrales'!F79</f>
        <v>CASSETTE</v>
      </c>
      <c r="J81" s="69">
        <f>'Necesidades Trimestrales'!H79</f>
        <v>6370</v>
      </c>
      <c r="K81" s="68">
        <f>'Necesidades Trimestrales'!G79</f>
        <v>1</v>
      </c>
    </row>
    <row r="82" spans="1:11" ht="27.75" customHeight="1">
      <c r="A82" s="66">
        <v>71</v>
      </c>
      <c r="B82" s="74"/>
      <c r="C82" s="132" t="str">
        <f>'Necesidades Trimestrales'!E80</f>
        <v>MAY GRUNWUALD X 1 LTS.</v>
      </c>
      <c r="D82" s="132"/>
      <c r="E82" s="132"/>
      <c r="F82" s="132"/>
      <c r="G82" s="132"/>
      <c r="H82" s="70" t="s">
        <v>54</v>
      </c>
      <c r="I82" s="71" t="str">
        <f>'Necesidades Trimestrales'!F80</f>
        <v>BOTELLA</v>
      </c>
      <c r="J82" s="69">
        <f>'Necesidades Trimestrales'!H80</f>
        <v>1980</v>
      </c>
      <c r="K82" s="68">
        <f>'Necesidades Trimestrales'!G80</f>
        <v>3</v>
      </c>
    </row>
    <row r="83" spans="1:11" ht="27.75" customHeight="1">
      <c r="A83" s="66">
        <v>72</v>
      </c>
      <c r="B83" s="74"/>
      <c r="C83" s="132" t="str">
        <f>'Necesidades Trimestrales'!E81</f>
        <v>MICROELECTRODE DUMMY</v>
      </c>
      <c r="D83" s="132"/>
      <c r="E83" s="132"/>
      <c r="F83" s="132"/>
      <c r="G83" s="132"/>
      <c r="H83" s="70" t="s">
        <v>54</v>
      </c>
      <c r="I83" s="71" t="str">
        <f>'Necesidades Trimestrales'!F81</f>
        <v>CAJA</v>
      </c>
      <c r="J83" s="69">
        <f>'Necesidades Trimestrales'!H81</f>
        <v>5103</v>
      </c>
      <c r="K83" s="68">
        <f>'Necesidades Trimestrales'!G81</f>
        <v>1</v>
      </c>
    </row>
    <row r="84" spans="1:11" ht="27.75" customHeight="1">
      <c r="A84" s="66">
        <v>73</v>
      </c>
      <c r="B84" s="74"/>
      <c r="C84" s="132" t="str">
        <f>'Necesidades Trimestrales'!E82</f>
        <v>MICROTUBO C/EDTA K2 TIPO BD x 200u</v>
      </c>
      <c r="D84" s="132"/>
      <c r="E84" s="132"/>
      <c r="F84" s="132"/>
      <c r="G84" s="132"/>
      <c r="H84" s="70" t="s">
        <v>54</v>
      </c>
      <c r="I84" s="71" t="str">
        <f>'Necesidades Trimestrales'!F82</f>
        <v>CAJA</v>
      </c>
      <c r="J84" s="69">
        <f>'Necesidades Trimestrales'!H82</f>
        <v>6990</v>
      </c>
      <c r="K84" s="68">
        <f>'Necesidades Trimestrales'!G82</f>
        <v>2</v>
      </c>
    </row>
    <row r="85" spans="1:11" ht="27.75" customHeight="1">
      <c r="A85" s="66">
        <v>74</v>
      </c>
      <c r="B85" s="74"/>
      <c r="C85" s="132" t="str">
        <f>'Necesidades Trimestrales'!E83</f>
        <v>MYCOLINE TIPO BIOMERIEUX</v>
      </c>
      <c r="D85" s="132"/>
      <c r="E85" s="132"/>
      <c r="F85" s="132"/>
      <c r="G85" s="132"/>
      <c r="H85" s="70" t="s">
        <v>54</v>
      </c>
      <c r="I85" s="71" t="str">
        <f>'Necesidades Trimestrales'!F83</f>
        <v>CAJA</v>
      </c>
      <c r="J85" s="69">
        <f>'Necesidades Trimestrales'!H83</f>
        <v>8761</v>
      </c>
      <c r="K85" s="68">
        <f>'Necesidades Trimestrales'!G83</f>
        <v>1</v>
      </c>
    </row>
    <row r="86" spans="1:11" ht="27.75" customHeight="1">
      <c r="A86" s="66">
        <v>75</v>
      </c>
      <c r="B86" s="74"/>
      <c r="C86" s="132" t="str">
        <f>'Necesidades Trimestrales'!E84</f>
        <v>NA- MICRO ELECTRODE</v>
      </c>
      <c r="D86" s="132"/>
      <c r="E86" s="132"/>
      <c r="F86" s="132"/>
      <c r="G86" s="132"/>
      <c r="H86" s="70" t="s">
        <v>54</v>
      </c>
      <c r="I86" s="71" t="str">
        <f>'Necesidades Trimestrales'!F84</f>
        <v>CAJA</v>
      </c>
      <c r="J86" s="69">
        <f>'Necesidades Trimestrales'!H84</f>
        <v>15503</v>
      </c>
      <c r="K86" s="68">
        <f>'Necesidades Trimestrales'!G84</f>
        <v>1</v>
      </c>
    </row>
    <row r="87" spans="1:11" ht="27.75" customHeight="1">
      <c r="A87" s="66">
        <v>76</v>
      </c>
      <c r="B87" s="74"/>
      <c r="C87" s="132" t="str">
        <f>'Necesidades Trimestrales'!E85</f>
        <v>PACK DIESTRO</v>
      </c>
      <c r="D87" s="132"/>
      <c r="E87" s="132"/>
      <c r="F87" s="132"/>
      <c r="G87" s="132"/>
      <c r="H87" s="70" t="s">
        <v>54</v>
      </c>
      <c r="I87" s="71" t="str">
        <f>'Necesidades Trimestrales'!F85</f>
        <v>CAJA</v>
      </c>
      <c r="J87" s="69">
        <f>'Necesidades Trimestrales'!H85</f>
        <v>19335.8</v>
      </c>
      <c r="K87" s="68">
        <f>'Necesidades Trimestrales'!G85</f>
        <v>2</v>
      </c>
    </row>
    <row r="88" spans="1:11" ht="27.75" customHeight="1">
      <c r="A88" s="66">
        <v>77</v>
      </c>
      <c r="B88" s="74"/>
      <c r="C88" s="132" t="str">
        <f>'Necesidades Trimestrales'!E86</f>
        <v xml:space="preserve">PANEL DE DROGAS DE ABUSO X 5DET X 25 U </v>
      </c>
      <c r="D88" s="132"/>
      <c r="E88" s="132"/>
      <c r="F88" s="132"/>
      <c r="G88" s="132"/>
      <c r="H88" s="70" t="s">
        <v>54</v>
      </c>
      <c r="I88" s="71" t="str">
        <f>'Necesidades Trimestrales'!F86</f>
        <v>CAJA</v>
      </c>
      <c r="J88" s="69">
        <f>'Necesidades Trimestrales'!H86</f>
        <v>16241</v>
      </c>
      <c r="K88" s="68">
        <f>'Necesidades Trimestrales'!G86</f>
        <v>2</v>
      </c>
    </row>
    <row r="89" spans="1:11" ht="27.75" customHeight="1">
      <c r="A89" s="66">
        <v>78</v>
      </c>
      <c r="B89" s="74"/>
      <c r="C89" s="132" t="str">
        <f>'Necesidades Trimestrales'!E87</f>
        <v>PCO2- MICRO ELECTRODE</v>
      </c>
      <c r="D89" s="132"/>
      <c r="E89" s="132"/>
      <c r="F89" s="132"/>
      <c r="G89" s="132"/>
      <c r="H89" s="70" t="s">
        <v>54</v>
      </c>
      <c r="I89" s="71" t="str">
        <f>'Necesidades Trimestrales'!F87</f>
        <v>CAJA</v>
      </c>
      <c r="J89" s="69">
        <f>'Necesidades Trimestrales'!H87</f>
        <v>61961</v>
      </c>
      <c r="K89" s="68">
        <f>'Necesidades Trimestrales'!G87</f>
        <v>1</v>
      </c>
    </row>
    <row r="90" spans="1:11" ht="27.75" customHeight="1">
      <c r="A90" s="66">
        <v>79</v>
      </c>
      <c r="B90" s="74"/>
      <c r="C90" s="132" t="str">
        <f>'Necesidades Trimestrales'!E88</f>
        <v>PH- MICRO ELECTRODE</v>
      </c>
      <c r="D90" s="132"/>
      <c r="E90" s="132"/>
      <c r="F90" s="132"/>
      <c r="G90" s="132"/>
      <c r="H90" s="70" t="s">
        <v>54</v>
      </c>
      <c r="I90" s="71" t="str">
        <f>'Necesidades Trimestrales'!F88</f>
        <v>CAJA</v>
      </c>
      <c r="J90" s="69">
        <f>'Necesidades Trimestrales'!H88</f>
        <v>25865</v>
      </c>
      <c r="K90" s="68">
        <f>'Necesidades Trimestrales'!G88</f>
        <v>1</v>
      </c>
    </row>
    <row r="91" spans="1:11" ht="27.75" customHeight="1">
      <c r="A91" s="66">
        <v>80</v>
      </c>
      <c r="B91" s="74"/>
      <c r="C91" s="132" t="str">
        <f>'Necesidades Trimestrales'!E89</f>
        <v>PLACAS AGAR COLUMBIA SANGRE OVINA X 10 UNID.  BIOMERIEUX-BRITANIA</v>
      </c>
      <c r="D91" s="132"/>
      <c r="E91" s="132"/>
      <c r="F91" s="132"/>
      <c r="G91" s="132"/>
      <c r="H91" s="70" t="s">
        <v>54</v>
      </c>
      <c r="I91" s="71" t="str">
        <f>'Necesidades Trimestrales'!F89</f>
        <v>PAQUETE</v>
      </c>
      <c r="J91" s="69">
        <f>'Necesidades Trimestrales'!H89</f>
        <v>1680</v>
      </c>
      <c r="K91" s="68">
        <f>'Necesidades Trimestrales'!G89</f>
        <v>12</v>
      </c>
    </row>
    <row r="92" spans="1:11" ht="27.75" customHeight="1">
      <c r="A92" s="66">
        <v>81</v>
      </c>
      <c r="B92" s="74"/>
      <c r="C92" s="132" t="str">
        <f>'Necesidades Trimestrales'!E90</f>
        <v>PO2- MICRO ELECTRODE</v>
      </c>
      <c r="D92" s="132"/>
      <c r="E92" s="132"/>
      <c r="F92" s="132"/>
      <c r="G92" s="132"/>
      <c r="H92" s="70" t="s">
        <v>54</v>
      </c>
      <c r="I92" s="71" t="str">
        <f>'Necesidades Trimestrales'!F90</f>
        <v>CAJA</v>
      </c>
      <c r="J92" s="69">
        <f>'Necesidades Trimestrales'!H90</f>
        <v>58870</v>
      </c>
      <c r="K92" s="68">
        <f>'Necesidades Trimestrales'!G90</f>
        <v>1</v>
      </c>
    </row>
    <row r="93" spans="1:11" ht="27.75" customHeight="1">
      <c r="A93" s="66">
        <v>82</v>
      </c>
      <c r="B93" s="74"/>
      <c r="C93" s="132" t="str">
        <f>'Necesidades Trimestrales'!E91</f>
        <v>POLIVITEX AGAR CHOCOLATE X 10 - BIOMERIEUX-BRITANIA</v>
      </c>
      <c r="D93" s="132"/>
      <c r="E93" s="132"/>
      <c r="F93" s="132"/>
      <c r="G93" s="132"/>
      <c r="H93" s="70" t="s">
        <v>54</v>
      </c>
      <c r="I93" s="71" t="str">
        <f>'Necesidades Trimestrales'!F91</f>
        <v>PAQUETE</v>
      </c>
      <c r="J93" s="69">
        <f>'Necesidades Trimestrales'!H91</f>
        <v>1895</v>
      </c>
      <c r="K93" s="68">
        <f>'Necesidades Trimestrales'!G91</f>
        <v>12</v>
      </c>
    </row>
    <row r="94" spans="1:11" ht="27.75" customHeight="1">
      <c r="A94" s="66">
        <v>83</v>
      </c>
      <c r="B94" s="74"/>
      <c r="C94" s="132" t="str">
        <f>'Necesidades Trimestrales'!E92</f>
        <v>Precicontrol CMV IgM 16x 1 ml cobas roche</v>
      </c>
      <c r="D94" s="132"/>
      <c r="E94" s="132"/>
      <c r="F94" s="132"/>
      <c r="G94" s="132"/>
      <c r="H94" s="70" t="s">
        <v>54</v>
      </c>
      <c r="I94" s="71" t="str">
        <f>'Necesidades Trimestrales'!F92</f>
        <v>Unidad</v>
      </c>
      <c r="J94" s="69">
        <f>'Necesidades Trimestrales'!H92</f>
        <v>150</v>
      </c>
      <c r="K94" s="68">
        <f>'Necesidades Trimestrales'!G92</f>
        <v>100</v>
      </c>
    </row>
    <row r="95" spans="1:11" ht="27.75" customHeight="1">
      <c r="A95" s="66">
        <v>84</v>
      </c>
      <c r="B95" s="74"/>
      <c r="C95" s="132" t="str">
        <f>'Necesidades Trimestrales'!E93</f>
        <v>PRECICONTROL THYRO P COBAS E 411</v>
      </c>
      <c r="D95" s="132"/>
      <c r="E95" s="132"/>
      <c r="F95" s="132"/>
      <c r="G95" s="132"/>
      <c r="H95" s="70" t="s">
        <v>54</v>
      </c>
      <c r="I95" s="71" t="str">
        <f>'Necesidades Trimestrales'!F93</f>
        <v>CAJA</v>
      </c>
      <c r="J95" s="69">
        <f>'Necesidades Trimestrales'!H93</f>
        <v>75886</v>
      </c>
      <c r="K95" s="68">
        <f>'Necesidades Trimestrales'!G93</f>
        <v>2</v>
      </c>
    </row>
    <row r="96" spans="1:11" ht="27.75" customHeight="1">
      <c r="A96" s="66">
        <v>85</v>
      </c>
      <c r="B96" s="74"/>
      <c r="C96" s="132" t="str">
        <f>'Necesidades Trimestrales'!E94</f>
        <v>PRECICONTROL UNIVERSAL P COBAS E 411</v>
      </c>
      <c r="D96" s="132"/>
      <c r="E96" s="132"/>
      <c r="F96" s="132"/>
      <c r="G96" s="132"/>
      <c r="H96" s="70" t="s">
        <v>54</v>
      </c>
      <c r="I96" s="71" t="str">
        <f>'Necesidades Trimestrales'!F94</f>
        <v>CAJA</v>
      </c>
      <c r="J96" s="69">
        <f>'Necesidades Trimestrales'!H94</f>
        <v>16144</v>
      </c>
      <c r="K96" s="68">
        <f>'Necesidades Trimestrales'!G94</f>
        <v>4</v>
      </c>
    </row>
    <row r="97" spans="1:11" ht="27.75" customHeight="1">
      <c r="A97" s="66">
        <v>86</v>
      </c>
      <c r="B97" s="74"/>
      <c r="C97" s="132" t="str">
        <f>'Necesidades Trimestrales'!E95</f>
        <v>Precicontrol Vitamina D Cobas E-411 Roche</v>
      </c>
      <c r="D97" s="132"/>
      <c r="E97" s="132"/>
      <c r="F97" s="132"/>
      <c r="G97" s="132"/>
      <c r="H97" s="70" t="s">
        <v>54</v>
      </c>
      <c r="I97" s="71" t="str">
        <f>'Necesidades Trimestrales'!F95</f>
        <v>caja</v>
      </c>
      <c r="J97" s="69">
        <f>'Necesidades Trimestrales'!H95</f>
        <v>25950</v>
      </c>
      <c r="K97" s="68">
        <f>'Necesidades Trimestrales'!G95</f>
        <v>1</v>
      </c>
    </row>
    <row r="98" spans="1:11" ht="27.75" customHeight="1">
      <c r="A98" s="66">
        <v>87</v>
      </c>
      <c r="B98" s="74"/>
      <c r="C98" s="132" t="str">
        <f>'Necesidades Trimestrales'!E96</f>
        <v>PRECISET TDM I 6 x 5ml + 10ml diluyente COBAS ROCHE</v>
      </c>
      <c r="D98" s="132"/>
      <c r="E98" s="132"/>
      <c r="F98" s="132"/>
      <c r="G98" s="132"/>
      <c r="H98" s="70" t="s">
        <v>54</v>
      </c>
      <c r="I98" s="71" t="str">
        <f>'Necesidades Trimestrales'!F96</f>
        <v>CASSETTE</v>
      </c>
      <c r="J98" s="69">
        <f>'Necesidades Trimestrales'!H96</f>
        <v>89234</v>
      </c>
      <c r="K98" s="68">
        <f>'Necesidades Trimestrales'!G96</f>
        <v>1</v>
      </c>
    </row>
    <row r="99" spans="1:11" ht="27.75" customHeight="1">
      <c r="A99" s="66">
        <v>88</v>
      </c>
      <c r="B99" s="74"/>
      <c r="C99" s="132" t="str">
        <f>'Necesidades Trimestrales'!E97</f>
        <v>PRO CELL COBAS E-411N ROCHE X 2 L</v>
      </c>
      <c r="D99" s="132"/>
      <c r="E99" s="132"/>
      <c r="F99" s="132"/>
      <c r="G99" s="132"/>
      <c r="H99" s="70" t="s">
        <v>54</v>
      </c>
      <c r="I99" s="71" t="str">
        <f>'Necesidades Trimestrales'!F97</f>
        <v>CAJA</v>
      </c>
      <c r="J99" s="69">
        <f>'Necesidades Trimestrales'!H97</f>
        <v>16067</v>
      </c>
      <c r="K99" s="68">
        <f>'Necesidades Trimestrales'!G97</f>
        <v>4</v>
      </c>
    </row>
    <row r="100" spans="1:11" ht="27.75" customHeight="1">
      <c r="A100" s="66">
        <v>89</v>
      </c>
      <c r="B100" s="74"/>
      <c r="C100" s="132" t="str">
        <f>'Necesidades Trimestrales'!E98</f>
        <v>PROTEINA TOTAL COBAS C311</v>
      </c>
      <c r="D100" s="132"/>
      <c r="E100" s="132"/>
      <c r="F100" s="132"/>
      <c r="G100" s="132"/>
      <c r="H100" s="70" t="s">
        <v>54</v>
      </c>
      <c r="I100" s="71" t="str">
        <f>'Necesidades Trimestrales'!F98</f>
        <v>CASSETTE</v>
      </c>
      <c r="J100" s="69">
        <f>'Necesidades Trimestrales'!H98</f>
        <v>5807</v>
      </c>
      <c r="K100" s="68">
        <f>'Necesidades Trimestrales'!G98</f>
        <v>5</v>
      </c>
    </row>
    <row r="101" spans="1:11" ht="27.75" customHeight="1">
      <c r="A101" s="66">
        <v>90</v>
      </c>
      <c r="B101" s="74"/>
      <c r="C101" s="132" t="str">
        <f>'Necesidades Trimestrales'!E99</f>
        <v>REACTIVO ANTIGENO DE SUPERFICIE HBSAG P/ COBAS E411 x 100 DET</v>
      </c>
      <c r="D101" s="132"/>
      <c r="E101" s="132"/>
      <c r="F101" s="132"/>
      <c r="G101" s="132"/>
      <c r="H101" s="70" t="s">
        <v>54</v>
      </c>
      <c r="I101" s="71" t="str">
        <f>'Necesidades Trimestrales'!F99</f>
        <v>CASSETTE</v>
      </c>
      <c r="J101" s="69">
        <f>'Necesidades Trimestrales'!H99</f>
        <v>32754</v>
      </c>
      <c r="K101" s="68">
        <f>'Necesidades Trimestrales'!G99</f>
        <v>5</v>
      </c>
    </row>
    <row r="102" spans="1:11" ht="27.75" customHeight="1">
      <c r="A102" s="66">
        <v>91</v>
      </c>
      <c r="B102" s="74"/>
      <c r="C102" s="132" t="str">
        <f>'Necesidades Trimestrales'!E100</f>
        <v>REACTIVO ESTRADIOL COBAS E-411 ROCHE  X 100 DET</v>
      </c>
      <c r="D102" s="132"/>
      <c r="E102" s="132"/>
      <c r="F102" s="132"/>
      <c r="G102" s="132"/>
      <c r="H102" s="70" t="s">
        <v>54</v>
      </c>
      <c r="I102" s="71" t="str">
        <f>'Necesidades Trimestrales'!F100</f>
        <v>CASSETTE</v>
      </c>
      <c r="J102" s="69">
        <f>'Necesidades Trimestrales'!H100</f>
        <v>28344</v>
      </c>
      <c r="K102" s="68">
        <f>'Necesidades Trimestrales'!G100</f>
        <v>2</v>
      </c>
    </row>
    <row r="103" spans="1:11" ht="27.75" customHeight="1">
      <c r="A103" s="66">
        <v>92</v>
      </c>
      <c r="B103" s="74"/>
      <c r="C103" s="132" t="str">
        <f>'Necesidades Trimestrales'!E101</f>
        <v>REACTIVO FSH COBAS E-411 ROCHE X 100 DET</v>
      </c>
      <c r="D103" s="132"/>
      <c r="E103" s="132"/>
      <c r="F103" s="132"/>
      <c r="G103" s="132"/>
      <c r="H103" s="70" t="s">
        <v>54</v>
      </c>
      <c r="I103" s="71" t="str">
        <f>'Necesidades Trimestrales'!F101</f>
        <v>CASSETTE</v>
      </c>
      <c r="J103" s="69">
        <f>'Necesidades Trimestrales'!H101</f>
        <v>25542</v>
      </c>
      <c r="K103" s="68">
        <f>'Necesidades Trimestrales'!G101</f>
        <v>2</v>
      </c>
    </row>
    <row r="104" spans="1:11" ht="27.75" customHeight="1">
      <c r="A104" s="66">
        <v>93</v>
      </c>
      <c r="B104" s="74"/>
      <c r="C104" s="132" t="str">
        <f>'Necesidades Trimestrales'!E102</f>
        <v>REACTIVO INSULINA COBAS E-411 ROCHE  X 100 DET</v>
      </c>
      <c r="D104" s="132"/>
      <c r="E104" s="132"/>
      <c r="F104" s="132"/>
      <c r="G104" s="132"/>
      <c r="H104" s="70" t="s">
        <v>54</v>
      </c>
      <c r="I104" s="71" t="str">
        <f>'Necesidades Trimestrales'!F102</f>
        <v>CASSETTE</v>
      </c>
      <c r="J104" s="69">
        <f>'Necesidades Trimestrales'!H102</f>
        <v>32915</v>
      </c>
      <c r="K104" s="68">
        <f>'Necesidades Trimestrales'!G102</f>
        <v>5</v>
      </c>
    </row>
    <row r="105" spans="1:11" ht="27.75" customHeight="1">
      <c r="A105" s="66">
        <v>94</v>
      </c>
      <c r="B105" s="74"/>
      <c r="C105" s="132" t="str">
        <f>'Necesidades Trimestrales'!E103</f>
        <v>REACTIVO LH COBAS E-411 ROCHE  X 100 DET</v>
      </c>
      <c r="D105" s="132"/>
      <c r="E105" s="132"/>
      <c r="F105" s="132"/>
      <c r="G105" s="132"/>
      <c r="H105" s="70" t="s">
        <v>54</v>
      </c>
      <c r="I105" s="71" t="str">
        <f>'Necesidades Trimestrales'!F103</f>
        <v>CASSETTE</v>
      </c>
      <c r="J105" s="69">
        <f>'Necesidades Trimestrales'!H103</f>
        <v>25542</v>
      </c>
      <c r="K105" s="68">
        <f>'Necesidades Trimestrales'!G103</f>
        <v>2</v>
      </c>
    </row>
    <row r="106" spans="1:11" ht="27.75" customHeight="1">
      <c r="A106" s="66">
        <v>95</v>
      </c>
      <c r="B106" s="74"/>
      <c r="C106" s="132" t="str">
        <f>'Necesidades Trimestrales'!E104</f>
        <v>REACTIVO PROLACTINA COBAS E-411 ROCHE X 100 DET</v>
      </c>
      <c r="D106" s="132"/>
      <c r="E106" s="132"/>
      <c r="F106" s="132"/>
      <c r="G106" s="132"/>
      <c r="H106" s="70" t="s">
        <v>54</v>
      </c>
      <c r="I106" s="71" t="str">
        <f>'Necesidades Trimestrales'!F104</f>
        <v>CASSETTE</v>
      </c>
      <c r="J106" s="69">
        <f>'Necesidades Trimestrales'!H104</f>
        <v>25542</v>
      </c>
      <c r="K106" s="68">
        <f>'Necesidades Trimestrales'!G104</f>
        <v>2</v>
      </c>
    </row>
    <row r="107" spans="1:11" ht="27.75" customHeight="1">
      <c r="A107" s="66">
        <v>96</v>
      </c>
      <c r="B107" s="74"/>
      <c r="C107" s="132" t="str">
        <f>'Necesidades Trimestrales'!E105</f>
        <v>REACTIVO T3  TOTAL COBAS E-411 ROCHE  X 100 DET</v>
      </c>
      <c r="D107" s="132"/>
      <c r="E107" s="132"/>
      <c r="F107" s="132"/>
      <c r="G107" s="132"/>
      <c r="H107" s="70" t="s">
        <v>54</v>
      </c>
      <c r="I107" s="71" t="str">
        <f>'Necesidades Trimestrales'!F105</f>
        <v>CASSETTE</v>
      </c>
      <c r="J107" s="69">
        <f>'Necesidades Trimestrales'!H105</f>
        <v>29412</v>
      </c>
      <c r="K107" s="68">
        <f>'Necesidades Trimestrales'!G105</f>
        <v>4</v>
      </c>
    </row>
    <row r="108" spans="1:11" ht="27.75" customHeight="1">
      <c r="A108" s="66">
        <v>97</v>
      </c>
      <c r="B108" s="74"/>
      <c r="C108" s="132" t="str">
        <f>'Necesidades Trimestrales'!E106</f>
        <v>REACTIVO T4 LIBRE  (FT4)   COBAS E-411 ROCHE X 200 DET</v>
      </c>
      <c r="D108" s="132"/>
      <c r="E108" s="132"/>
      <c r="F108" s="132"/>
      <c r="G108" s="132"/>
      <c r="H108" s="70" t="s">
        <v>54</v>
      </c>
      <c r="I108" s="71" t="str">
        <f>'Necesidades Trimestrales'!F106</f>
        <v>CASSETTE</v>
      </c>
      <c r="J108" s="69">
        <f>'Necesidades Trimestrales'!H106</f>
        <v>35910</v>
      </c>
      <c r="K108" s="68">
        <f>'Necesidades Trimestrales'!G106</f>
        <v>5</v>
      </c>
    </row>
    <row r="109" spans="1:11" ht="27.75" customHeight="1">
      <c r="A109" s="66">
        <v>98</v>
      </c>
      <c r="B109" s="74"/>
      <c r="C109" s="132" t="str">
        <f>'Necesidades Trimestrales'!E107</f>
        <v>REACTIVO T4 TOTAL P COBAS E 411</v>
      </c>
      <c r="D109" s="132"/>
      <c r="E109" s="132"/>
      <c r="F109" s="132"/>
      <c r="G109" s="132"/>
      <c r="H109" s="70" t="s">
        <v>54</v>
      </c>
      <c r="I109" s="71" t="str">
        <f>'Necesidades Trimestrales'!F107</f>
        <v>CASSETTE</v>
      </c>
      <c r="J109" s="69">
        <f>'Necesidades Trimestrales'!H107</f>
        <v>29412</v>
      </c>
      <c r="K109" s="68">
        <f>'Necesidades Trimestrales'!G107</f>
        <v>4</v>
      </c>
    </row>
    <row r="110" spans="1:11" ht="27.75" customHeight="1">
      <c r="A110" s="66">
        <v>99</v>
      </c>
      <c r="B110" s="74"/>
      <c r="C110" s="132" t="str">
        <f>'Necesidades Trimestrales'!E108</f>
        <v>REACTIVO TSH  COBAS E-411 ROCHE X 200 DET</v>
      </c>
      <c r="D110" s="132"/>
      <c r="E110" s="132"/>
      <c r="F110" s="132"/>
      <c r="G110" s="132"/>
      <c r="H110" s="70" t="s">
        <v>54</v>
      </c>
      <c r="I110" s="71" t="str">
        <f>'Necesidades Trimestrales'!F108</f>
        <v>CASSETTE</v>
      </c>
      <c r="J110" s="69">
        <f>'Necesidades Trimestrales'!H108</f>
        <v>32680</v>
      </c>
      <c r="K110" s="68">
        <f>'Necesidades Trimestrales'!G108</f>
        <v>2</v>
      </c>
    </row>
    <row r="111" spans="1:11" ht="27.75" customHeight="1">
      <c r="A111" s="66">
        <v>100</v>
      </c>
      <c r="B111" s="74"/>
      <c r="C111" s="132" t="str">
        <f>'Necesidades Trimestrales'!E109</f>
        <v>Reactivo vitamina D Cobas roche E-411</v>
      </c>
      <c r="D111" s="132"/>
      <c r="E111" s="132"/>
      <c r="F111" s="132"/>
      <c r="G111" s="132"/>
      <c r="H111" s="70" t="s">
        <v>54</v>
      </c>
      <c r="I111" s="71" t="str">
        <f>'Necesidades Trimestrales'!F109</f>
        <v xml:space="preserve"> Caja</v>
      </c>
      <c r="J111" s="69">
        <f>'Necesidades Trimestrales'!H109</f>
        <v>50449</v>
      </c>
      <c r="K111" s="68">
        <f>'Necesidades Trimestrales'!G109</f>
        <v>1</v>
      </c>
    </row>
    <row r="112" spans="1:11" ht="27.75" customHeight="1">
      <c r="A112" s="66">
        <v>101</v>
      </c>
      <c r="B112" s="74"/>
      <c r="C112" s="132" t="str">
        <f>'Necesidades Trimestrales'!E110</f>
        <v>REFERENCE CONTACT (RCON)</v>
      </c>
      <c r="D112" s="132"/>
      <c r="E112" s="132"/>
      <c r="F112" s="132"/>
      <c r="G112" s="132"/>
      <c r="H112" s="70" t="s">
        <v>54</v>
      </c>
      <c r="I112" s="71" t="str">
        <f>'Necesidades Trimestrales'!F110</f>
        <v>CAJA</v>
      </c>
      <c r="J112" s="69">
        <f>'Necesidades Trimestrales'!H110</f>
        <v>32620</v>
      </c>
      <c r="K112" s="68">
        <f>'Necesidades Trimestrales'!G110</f>
        <v>1</v>
      </c>
    </row>
    <row r="113" spans="1:14" ht="27.75" customHeight="1">
      <c r="A113" s="66">
        <v>102</v>
      </c>
      <c r="B113" s="74"/>
      <c r="C113" s="132" t="str">
        <f>'Necesidades Trimestrales'!E111</f>
        <v>REFERENCE MICRO ELECTRODE</v>
      </c>
      <c r="D113" s="132"/>
      <c r="E113" s="132"/>
      <c r="F113" s="132"/>
      <c r="G113" s="132"/>
      <c r="H113" s="70" t="s">
        <v>54</v>
      </c>
      <c r="I113" s="71" t="str">
        <f>'Necesidades Trimestrales'!F111</f>
        <v>caja</v>
      </c>
      <c r="J113" s="69">
        <f>'Necesidades Trimestrales'!H111</f>
        <v>28916</v>
      </c>
      <c r="K113" s="68">
        <f>'Necesidades Trimestrales'!G111</f>
        <v>1</v>
      </c>
    </row>
    <row r="114" spans="1:14" ht="27.75" customHeight="1">
      <c r="A114" s="66">
        <v>103</v>
      </c>
      <c r="B114" s="74"/>
      <c r="C114" s="132" t="str">
        <f>'Necesidades Trimestrales'!E112</f>
        <v>ROTAVIRUS ELISA X 96 DET. –ALTERNATIVA</v>
      </c>
      <c r="D114" s="132"/>
      <c r="E114" s="132"/>
      <c r="F114" s="132"/>
      <c r="G114" s="132"/>
      <c r="H114" s="70" t="s">
        <v>54</v>
      </c>
      <c r="I114" s="71" t="str">
        <f>'Necesidades Trimestrales'!F112</f>
        <v>CAJA</v>
      </c>
      <c r="J114" s="69">
        <f>'Necesidades Trimestrales'!H112</f>
        <v>57000</v>
      </c>
      <c r="K114" s="68">
        <f>'Necesidades Trimestrales'!G112</f>
        <v>1</v>
      </c>
    </row>
    <row r="115" spans="1:14" ht="27.75" customHeight="1">
      <c r="A115" s="66">
        <v>104</v>
      </c>
      <c r="B115" s="74"/>
      <c r="C115" s="132" t="str">
        <f>'Necesidades Trimestrales'!E113</f>
        <v xml:space="preserve">S1 RINSE SOLUTION </v>
      </c>
      <c r="D115" s="132"/>
      <c r="E115" s="132"/>
      <c r="F115" s="132"/>
      <c r="G115" s="132"/>
      <c r="H115" s="70" t="s">
        <v>54</v>
      </c>
      <c r="I115" s="71" t="str">
        <f>'Necesidades Trimestrales'!F113</f>
        <v>CAJA</v>
      </c>
      <c r="J115" s="69">
        <f>'Necesidades Trimestrales'!H113</f>
        <v>42901</v>
      </c>
      <c r="K115" s="68">
        <f>'Necesidades Trimestrales'!G113</f>
        <v>3</v>
      </c>
    </row>
    <row r="116" spans="1:14" ht="27.75" customHeight="1">
      <c r="A116" s="66">
        <v>105</v>
      </c>
      <c r="B116" s="74"/>
      <c r="C116" s="132" t="str">
        <f>'Necesidades Trimestrales'!E114</f>
        <v xml:space="preserve">S2 FLUID PACK </v>
      </c>
      <c r="D116" s="132"/>
      <c r="E116" s="132"/>
      <c r="F116" s="132"/>
      <c r="G116" s="132"/>
      <c r="H116" s="70" t="s">
        <v>54</v>
      </c>
      <c r="I116" s="71" t="str">
        <f>'Necesidades Trimestrales'!F114</f>
        <v>CAJA</v>
      </c>
      <c r="J116" s="69">
        <f>'Necesidades Trimestrales'!H114</f>
        <v>70339</v>
      </c>
      <c r="K116" s="68">
        <f>'Necesidades Trimestrales'!G114</f>
        <v>3</v>
      </c>
    </row>
    <row r="117" spans="1:14" ht="27.75" customHeight="1">
      <c r="A117" s="66">
        <v>106</v>
      </c>
      <c r="B117" s="74"/>
      <c r="C117" s="132" t="str">
        <f>'Necesidades Trimestrales'!E115</f>
        <v xml:space="preserve">S3 FLUID PACK </v>
      </c>
      <c r="D117" s="132"/>
      <c r="E117" s="132"/>
      <c r="F117" s="132"/>
      <c r="G117" s="132"/>
      <c r="H117" s="70" t="s">
        <v>54</v>
      </c>
      <c r="I117" s="71" t="str">
        <f>'Necesidades Trimestrales'!F115</f>
        <v>CAJA</v>
      </c>
      <c r="J117" s="69">
        <f>'Necesidades Trimestrales'!H115</f>
        <v>93331</v>
      </c>
      <c r="K117" s="68">
        <f>'Necesidades Trimestrales'!G115</f>
        <v>3</v>
      </c>
    </row>
    <row r="118" spans="1:14" ht="27.75" customHeight="1">
      <c r="A118" s="66">
        <v>107</v>
      </c>
      <c r="B118" s="74"/>
      <c r="C118" s="132" t="str">
        <f>'Necesidades Trimestrales'!E116</f>
        <v>Sabouroud medio listo con gentamicina y cloranfenicol</v>
      </c>
      <c r="D118" s="132"/>
      <c r="E118" s="132"/>
      <c r="F118" s="132"/>
      <c r="G118" s="132"/>
      <c r="H118" s="70" t="s">
        <v>54</v>
      </c>
      <c r="I118" s="71" t="str">
        <f>'Necesidades Trimestrales'!F116</f>
        <v>FRASCO</v>
      </c>
      <c r="J118" s="69">
        <f>'Necesidades Trimestrales'!H116</f>
        <v>532</v>
      </c>
      <c r="K118" s="68">
        <f>'Necesidades Trimestrales'!G116</f>
        <v>2</v>
      </c>
    </row>
    <row r="119" spans="1:14" ht="27.75" customHeight="1">
      <c r="A119" s="66">
        <v>108</v>
      </c>
      <c r="B119" s="74"/>
      <c r="C119" s="132" t="str">
        <f>'Necesidades Trimestrales'!E117</f>
        <v>SENSOR GLU/LAC</v>
      </c>
      <c r="D119" s="132"/>
      <c r="E119" s="132"/>
      <c r="F119" s="132"/>
      <c r="G119" s="132"/>
      <c r="H119" s="70" t="s">
        <v>54</v>
      </c>
      <c r="I119" s="71" t="str">
        <f>'Necesidades Trimestrales'!F117</f>
        <v>CAJA</v>
      </c>
      <c r="J119" s="69">
        <f>'Necesidades Trimestrales'!H117</f>
        <v>19216</v>
      </c>
      <c r="K119" s="68">
        <f>'Necesidades Trimestrales'!G117</f>
        <v>2</v>
      </c>
    </row>
    <row r="120" spans="1:14" ht="27.75" customHeight="1">
      <c r="A120" s="66">
        <v>109</v>
      </c>
      <c r="B120" s="74"/>
      <c r="C120" s="132" t="str">
        <f>'Necesidades Trimestrales'!E118</f>
        <v>SYSWASH PARA COBAS E411</v>
      </c>
      <c r="D120" s="132"/>
      <c r="E120" s="132"/>
      <c r="F120" s="132"/>
      <c r="G120" s="132"/>
      <c r="H120" s="70" t="s">
        <v>54</v>
      </c>
      <c r="I120" s="71" t="str">
        <f>'Necesidades Trimestrales'!F118</f>
        <v>CAJA</v>
      </c>
      <c r="J120" s="69">
        <f>'Necesidades Trimestrales'!H118</f>
        <v>8105</v>
      </c>
      <c r="K120" s="68">
        <f>'Necesidades Trimestrales'!G118</f>
        <v>2</v>
      </c>
    </row>
    <row r="121" spans="1:14" ht="27.75" customHeight="1">
      <c r="A121" s="66">
        <v>110</v>
      </c>
      <c r="B121" s="74"/>
      <c r="C121" s="132" t="str">
        <f>'Necesidades Trimestrales'!E119</f>
        <v>TARJETAS PARA VITEK 2C X 20 U -TIPO BIOMERIEUX</v>
      </c>
      <c r="D121" s="132"/>
      <c r="E121" s="132"/>
      <c r="F121" s="132"/>
      <c r="G121" s="132"/>
      <c r="H121" s="70" t="s">
        <v>54</v>
      </c>
      <c r="I121" s="71" t="str">
        <f>'Necesidades Trimestrales'!F119</f>
        <v>CAJA</v>
      </c>
      <c r="J121" s="69">
        <f>'Necesidades Trimestrales'!H119</f>
        <v>29997</v>
      </c>
      <c r="K121" s="68">
        <f>'Necesidades Trimestrales'!G119</f>
        <v>12</v>
      </c>
    </row>
    <row r="122" spans="1:14" ht="27.75" customHeight="1">
      <c r="A122" s="66">
        <v>111</v>
      </c>
      <c r="B122" s="74"/>
      <c r="C122" s="132" t="str">
        <f>'Necesidades Trimestrales'!E120</f>
        <v>TDM  CONTROL SET 3 Niveles: 2 x 5ml</v>
      </c>
      <c r="D122" s="132"/>
      <c r="E122" s="132"/>
      <c r="F122" s="132"/>
      <c r="G122" s="132"/>
      <c r="H122" s="70" t="s">
        <v>54</v>
      </c>
      <c r="I122" s="71" t="str">
        <f>'Necesidades Trimestrales'!F120</f>
        <v>caja</v>
      </c>
      <c r="J122" s="69">
        <f>'Necesidades Trimestrales'!H120</f>
        <v>25950</v>
      </c>
      <c r="K122" s="68">
        <f>'Necesidades Trimestrales'!G120</f>
        <v>1</v>
      </c>
    </row>
    <row r="123" spans="1:14" ht="27.75" customHeight="1">
      <c r="A123" s="66">
        <v>112</v>
      </c>
      <c r="B123" s="74"/>
      <c r="C123" s="132" t="str">
        <f>'Necesidades Trimestrales'!E121</f>
        <v>TUBOS TAPA CELESTE X 1ML</v>
      </c>
      <c r="D123" s="132"/>
      <c r="E123" s="132"/>
      <c r="F123" s="132"/>
      <c r="G123" s="132"/>
      <c r="H123" s="70" t="s">
        <v>54</v>
      </c>
      <c r="I123" s="71" t="str">
        <f>'Necesidades Trimestrales'!F121</f>
        <v>UNIDAD</v>
      </c>
      <c r="J123" s="69">
        <f>'Necesidades Trimestrales'!H121</f>
        <v>19</v>
      </c>
      <c r="K123" s="68">
        <f>'Necesidades Trimestrales'!G121</f>
        <v>1000</v>
      </c>
    </row>
    <row r="124" spans="1:14" ht="27.75" customHeight="1">
      <c r="A124" s="66">
        <v>113</v>
      </c>
      <c r="B124" s="74"/>
      <c r="C124" s="132" t="str">
        <f>'Necesidades Trimestrales'!E122</f>
        <v>TUBOS TAPA LILA X 1ML C/EDTA</v>
      </c>
      <c r="D124" s="132"/>
      <c r="E124" s="132"/>
      <c r="F124" s="132"/>
      <c r="G124" s="132"/>
      <c r="H124" s="70" t="s">
        <v>54</v>
      </c>
      <c r="I124" s="71" t="str">
        <f>'Necesidades Trimestrales'!F122</f>
        <v>UNIDAD</v>
      </c>
      <c r="J124" s="69">
        <f>'Necesidades Trimestrales'!H122</f>
        <v>14</v>
      </c>
      <c r="K124" s="68">
        <f>'Necesidades Trimestrales'!G122</f>
        <v>4000</v>
      </c>
    </row>
    <row r="125" spans="1:14" ht="27.75" customHeight="1">
      <c r="A125" s="66">
        <v>114</v>
      </c>
      <c r="B125" s="74"/>
      <c r="C125" s="132" t="str">
        <f>'Necesidades Trimestrales'!E123</f>
        <v>TUBOS TAPA ROJA X 4ML TIPO VACUTAINER</v>
      </c>
      <c r="D125" s="132"/>
      <c r="E125" s="132"/>
      <c r="F125" s="132"/>
      <c r="G125" s="132"/>
      <c r="H125" s="70" t="s">
        <v>54</v>
      </c>
      <c r="I125" s="71" t="str">
        <f>'Necesidades Trimestrales'!F123</f>
        <v>UNIDAD</v>
      </c>
      <c r="J125" s="69">
        <f>'Necesidades Trimestrales'!H123</f>
        <v>18.899999999999999</v>
      </c>
      <c r="K125" s="68">
        <f>'Necesidades Trimestrales'!G123</f>
        <v>4000</v>
      </c>
    </row>
    <row r="126" spans="1:14" ht="27.75" customHeight="1">
      <c r="A126" s="66">
        <v>115</v>
      </c>
      <c r="B126" s="74"/>
      <c r="C126" s="132" t="str">
        <f>'Necesidades Trimestrales'!E124</f>
        <v>UREA  COBAS C-311 ROCHE X 500 DET</v>
      </c>
      <c r="D126" s="132"/>
      <c r="E126" s="132"/>
      <c r="F126" s="132"/>
      <c r="G126" s="132"/>
      <c r="H126" s="70" t="s">
        <v>54</v>
      </c>
      <c r="I126" s="71" t="str">
        <f>'Necesidades Trimestrales'!F124</f>
        <v>CASSETTE</v>
      </c>
      <c r="J126" s="69">
        <f>'Necesidades Trimestrales'!H124</f>
        <v>8675</v>
      </c>
      <c r="K126" s="68">
        <f>'Necesidades Trimestrales'!G124</f>
        <v>6</v>
      </c>
    </row>
    <row r="127" spans="1:14" ht="27.75" customHeight="1" thickBot="1">
      <c r="A127" s="66">
        <v>116</v>
      </c>
      <c r="B127" s="74"/>
      <c r="C127" s="132" t="str">
        <f>'Necesidades Trimestrales'!E125</f>
        <v>Vancomicina Gen 3 cobas roche</v>
      </c>
      <c r="D127" s="132"/>
      <c r="E127" s="132"/>
      <c r="F127" s="132"/>
      <c r="G127" s="132"/>
      <c r="H127" s="70" t="s">
        <v>54</v>
      </c>
      <c r="I127" s="71" t="str">
        <f>'Necesidades Trimestrales'!F125</f>
        <v>FRASCO</v>
      </c>
      <c r="J127" s="69">
        <f>'Necesidades Trimestrales'!H125</f>
        <v>15200</v>
      </c>
      <c r="K127" s="68">
        <f>'Necesidades Trimestrales'!G125</f>
        <v>1</v>
      </c>
    </row>
    <row r="128" spans="1:14" ht="20.25" customHeight="1" thickBot="1">
      <c r="A128" s="133" t="s">
        <v>194</v>
      </c>
      <c r="B128" s="133"/>
      <c r="C128" s="133"/>
      <c r="D128" s="133"/>
      <c r="E128" s="133"/>
      <c r="F128" s="133"/>
      <c r="G128" s="133"/>
      <c r="H128" s="133"/>
      <c r="I128" s="133"/>
      <c r="J128" s="134">
        <f>SUMPRODUCT(J12:J127,K12:K127)</f>
        <v>8035341.0999999996</v>
      </c>
      <c r="K128" s="134"/>
      <c r="N128" s="53"/>
    </row>
    <row r="130" spans="10:10">
      <c r="J130" s="53"/>
    </row>
  </sheetData>
  <mergeCells count="138">
    <mergeCell ref="C126:G126"/>
    <mergeCell ref="C127:G127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76:G76"/>
    <mergeCell ref="C77:G77"/>
    <mergeCell ref="C78:G78"/>
    <mergeCell ref="C79:G79"/>
    <mergeCell ref="C80:G80"/>
    <mergeCell ref="A128:I128"/>
    <mergeCell ref="J128:K12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85:G85"/>
    <mergeCell ref="C86:G86"/>
    <mergeCell ref="C87:G87"/>
    <mergeCell ref="C88:G88"/>
    <mergeCell ref="C89:G89"/>
    <mergeCell ref="C81:G81"/>
    <mergeCell ref="C82:G82"/>
    <mergeCell ref="C83:G83"/>
    <mergeCell ref="C84:G84"/>
  </mergeCells>
  <printOptions horizontalCentered="1"/>
  <pageMargins left="0.19685039370078741" right="0.19685039370078741" top="0.19685039370078741" bottom="0.19685039370078741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7" zoomScale="130" zoomScaleNormal="130" workbookViewId="0">
      <selection activeCell="O18" sqref="O18:P18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72" t="s">
        <v>3</v>
      </c>
      <c r="B1" s="172"/>
      <c r="C1" s="172"/>
      <c r="D1" s="173">
        <f>'Necesidades Trimestrales'!C6</f>
        <v>2022</v>
      </c>
      <c r="E1" s="173"/>
      <c r="F1" s="3"/>
      <c r="G1" s="3"/>
      <c r="H1" s="4"/>
      <c r="I1" s="4"/>
      <c r="J1" s="4"/>
      <c r="K1" s="4"/>
      <c r="L1" s="4"/>
      <c r="M1" s="4"/>
      <c r="N1" s="4"/>
      <c r="P1" s="174" t="s">
        <v>25</v>
      </c>
      <c r="Q1" s="174"/>
    </row>
    <row r="2" spans="1:17" ht="15.75" customHeight="1">
      <c r="H2" s="4"/>
      <c r="I2" s="4"/>
      <c r="J2" s="4"/>
      <c r="K2" s="4"/>
      <c r="L2" s="4"/>
      <c r="M2" s="4"/>
      <c r="N2" s="4"/>
      <c r="P2" s="174"/>
      <c r="Q2" s="174"/>
    </row>
    <row r="4" spans="1:17" s="5" customFormat="1" ht="18" customHeight="1" thickBot="1">
      <c r="A4" s="175" t="s">
        <v>26</v>
      </c>
      <c r="B4" s="175"/>
      <c r="C4" s="175"/>
      <c r="D4" s="175"/>
      <c r="E4" s="175"/>
      <c r="F4" s="175"/>
      <c r="G4" s="170" t="str">
        <f>' NotaPedido'!D3</f>
        <v>040 - Ministerio de Salud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5" spans="1:17" s="5" customFormat="1" ht="18" customHeight="1" thickBot="1">
      <c r="A5" s="167" t="s">
        <v>49</v>
      </c>
      <c r="B5" s="168"/>
      <c r="C5" s="168"/>
      <c r="D5" s="168"/>
      <c r="E5" s="168"/>
      <c r="F5" s="169"/>
      <c r="G5" s="170" t="str">
        <f>' NotaPedido'!D4</f>
        <v>024 - Hospital Interzonal de Niños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17" s="5" customFormat="1" ht="18" customHeight="1" thickBot="1">
      <c r="A6" s="167" t="s">
        <v>27</v>
      </c>
      <c r="B6" s="168"/>
      <c r="C6" s="168"/>
      <c r="D6" s="168"/>
      <c r="E6" s="168"/>
      <c r="F6" s="169"/>
      <c r="G6" s="170" t="str">
        <f>' NotaPedido'!D5</f>
        <v>024 - Hospital Interzonal de Niños</v>
      </c>
      <c r="H6" s="170"/>
      <c r="I6" s="170"/>
      <c r="J6" s="170"/>
      <c r="K6" s="170"/>
      <c r="L6" s="170"/>
      <c r="M6" s="170"/>
      <c r="N6" s="170"/>
      <c r="O6" s="170"/>
      <c r="P6" s="170"/>
      <c r="Q6" s="170"/>
    </row>
    <row r="7" spans="1:17" s="5" customFormat="1" ht="18" customHeight="1" thickBot="1">
      <c r="A7" s="167" t="s">
        <v>50</v>
      </c>
      <c r="B7" s="168"/>
      <c r="C7" s="168"/>
      <c r="D7" s="168"/>
      <c r="E7" s="168"/>
      <c r="F7" s="169"/>
      <c r="G7" s="170" t="s">
        <v>61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</row>
    <row r="8" spans="1:17" ht="18" customHeight="1" thickBot="1">
      <c r="A8" s="171" t="s">
        <v>28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17" ht="18" customHeight="1">
      <c r="A9" s="156" t="s">
        <v>29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"/>
      <c r="P9" s="1"/>
      <c r="Q9" s="6"/>
    </row>
    <row r="10" spans="1:17" ht="54.75" customHeight="1">
      <c r="A10" s="15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051/2022,  afectando la erogación resultante a los créditos presupuestarios aprobados a favor de esta Unidad Ejecutora, conforme al siguiente detalle: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>
      <c r="A12" s="158" t="s">
        <v>30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</row>
    <row r="13" spans="1:17" ht="15.75" customHeight="1" thickBot="1">
      <c r="A13" s="159" t="s">
        <v>31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32</v>
      </c>
      <c r="P13" s="162"/>
      <c r="Q13" s="165" t="s">
        <v>33</v>
      </c>
    </row>
    <row r="14" spans="1:17" ht="15.75" customHeight="1" thickBot="1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63"/>
      <c r="P14" s="164"/>
      <c r="Q14" s="166"/>
    </row>
    <row r="15" spans="1:17" ht="26.25" customHeight="1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5</v>
      </c>
      <c r="K15" s="55">
        <v>1</v>
      </c>
      <c r="L15" s="55"/>
      <c r="M15" s="56">
        <v>1</v>
      </c>
      <c r="N15" s="57" t="s">
        <v>53</v>
      </c>
      <c r="O15" s="150" t="s">
        <v>62</v>
      </c>
      <c r="P15" s="150"/>
      <c r="Q15" s="63">
        <v>8035341.0999999996</v>
      </c>
    </row>
    <row r="16" spans="1:17" ht="17.2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4"/>
      <c r="O16" s="151"/>
      <c r="P16" s="145"/>
      <c r="Q16" s="15"/>
    </row>
    <row r="17" spans="1:18" ht="17.25" customHeight="1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5"/>
      <c r="P17" s="145"/>
      <c r="Q17" s="15"/>
    </row>
    <row r="18" spans="1:18" ht="17.25" customHeight="1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5"/>
      <c r="P18" s="145"/>
      <c r="Q18" s="15"/>
    </row>
    <row r="19" spans="1:18" ht="17.25" customHeight="1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6"/>
      <c r="P19" s="146"/>
      <c r="Q19" s="15"/>
      <c r="R19" s="1"/>
    </row>
    <row r="20" spans="1:18" ht="17.25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7"/>
      <c r="P20" s="147"/>
      <c r="Q20" s="24"/>
    </row>
    <row r="21" spans="1:18" ht="29.25" customHeight="1">
      <c r="A21" s="148" t="s">
        <v>195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25">
        <f>SUM(Q15:Q20)</f>
        <v>8035341.0999999996</v>
      </c>
    </row>
    <row r="22" spans="1:18" ht="18" customHeight="1" thickBot="1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</row>
    <row r="23" spans="1:18" ht="17.25" customHeight="1" thickBot="1">
      <c r="A23" s="152" t="s">
        <v>47</v>
      </c>
      <c r="B23" s="153"/>
      <c r="C23" s="153"/>
      <c r="D23" s="153"/>
      <c r="E23" s="153"/>
      <c r="F23" s="154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8" ht="18" customHeight="1" thickBot="1">
      <c r="A24" s="144" t="s">
        <v>75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8" ht="26.25" customHeight="1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2022-04-29T13:16:01Z</cp:lastPrinted>
  <dcterms:created xsi:type="dcterms:W3CDTF">2020-07-17T23:44:49Z</dcterms:created>
  <dcterms:modified xsi:type="dcterms:W3CDTF">2022-05-10T14:22:43Z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