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5840" activeTab="1"/>
  </bookViews>
  <sheets>
    <sheet name="Necesidades Trimestrales" sheetId="1" r:id="rId1"/>
    <sheet name="NDP" sheetId="2" r:id="rId2"/>
    <sheet name="APG" sheetId="3" r:id="rId3"/>
  </sheets>
  <definedNames>
    <definedName name="_xlnm._FilterDatabase" localSheetId="0" hidden="1">'Necesidades Trimestrales'!$A$8:$I$9</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3" l="1"/>
  <c r="G4" i="3"/>
  <c r="I9" i="1"/>
  <c r="Q21" i="3" l="1"/>
</calcChain>
</file>

<file path=xl/sharedStrings.xml><?xml version="1.0" encoding="utf-8"?>
<sst xmlns="http://schemas.openxmlformats.org/spreadsheetml/2006/main" count="89" uniqueCount="70">
  <si>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</si>
  <si>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</si>
  <si>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</si>
  <si>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</si>
  <si>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</si>
  <si>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</si>
  <si>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</si>
  <si>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</si>
  <si>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</si>
  <si>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</si>
  <si>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</si>
  <si>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</si>
  <si>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</si>
  <si>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</si>
  <si>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</si>
  <si>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</si>
  <si>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</si>
  <si>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</si>
  <si>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</si>
  <si>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</si>
  <si>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</si>
  <si>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</si>
  <si>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</si>
  <si>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</si>
  <si>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</si>
  <si>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</si>
  <si>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</si>
  <si>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</si>
  <si>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</si>
  <si>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</si>
  <si>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12 (DOCE) MESES</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</si>
  <si>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</si>
  <si>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</si>
  <si>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</si>
  <si>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</si>
  <si>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</si>
  <si>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</si>
  <si>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</si>
  <si>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</si>
  <si>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</si>
  <si>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</si>
  <si>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</si>
  <si>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</si>
  <si>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</si>
  <si>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</si>
  <si>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</si>
  <si>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</si>
  <si>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</si>
  <si>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</si>
  <si>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</si>
  <si>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</si>
  <si>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</si>
  <si>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</si>
  <si>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</si>
  <si>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</si>
  <si>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</si>
  <si>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4.3.5-202.27</t>
  </si>
  <si>
    <t>EQUIPO DE OFICINA Y MUEBLES</t>
  </si>
  <si>
    <t>PUPITRES Y SILLAS P/EDUCACION; MATERIAL ESTRUCTURA: CAÑO REDONDO, LAMINADA EN: MELAMINA, TIPO: 10.8, TERMINACION: MELAMINA</t>
  </si>
  <si>
    <t>4.3.5</t>
  </si>
  <si>
    <t>Especificidades Items N° 1:</t>
  </si>
  <si>
    <t>Se adjunta anexo</t>
  </si>
  <si>
    <t xml:space="preserve">Costo total estimado:  PESOS OCHO MILLONES NOVECIENTOS MIL CON 00/100 </t>
  </si>
  <si>
    <t>EQUIPO EDUCACIONAL Y RECREATIVO</t>
  </si>
  <si>
    <t>TOTAL DE PESOS: OCHO MILLONES NOVECIENTOS MIL CON 00/100</t>
  </si>
  <si>
    <t xml:space="preserve">   ADQUISICIÓN DE PUPITRES Y SILLAS PARA ESTUDIANTES DE DIFERENTES ESCUELAS DE LA PROVINCIA.-</t>
  </si>
  <si>
    <t>Autorizo la realización de los  trámites correspondientes, a fin de proveer a  este Organismo los bienes que se detallan en Nota  de Pedido N°13/21, afectando la erogación resultante a los créditos presupuestarios aprobados a favor de esta Unidad Ejecutora, conforme al siguiente detalle:</t>
  </si>
  <si>
    <t>ADQUISICIÓN DE PUPITRES Y SILLAS</t>
  </si>
  <si>
    <t>SI</t>
  </si>
  <si>
    <t>N° 13 -2021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</si>
</sst>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quot;$&quot;\ * #,##0.00_-;_-&quot;$&quot;\ * &quot;-&quot;??_-;_-@_-"/>
    <numFmt numFmtId="165" formatCode="[$$-2C0A]\ #,##0.00;[$$-2C0A]&quot; -&quot;#,##0.00"/>
    <numFmt numFmtId="166" formatCode="&quot;$&quot;\ #,##0.00"/>
    <numFmt numFmtId="167" formatCode="dd\-mm\-yy;@"/>
    <numFmt numFmtId="168" formatCode="_(\$* #,##0.00_);_(\$* \(#,##0.00\);_(\$* \-??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1">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style="thick">
        <color auto="1"/>
      </top>
      <bottom style="thin">
        <color auto="1"/>
      </bottom>
      <diagonal/>
    </border>
  </borders>
  <cellStyleXfs count="3">
    <xf numFmtId="0" fontId="0" fillId="0" borderId="0"/>
    <xf numFmtId="164" fontId="1" fillId="0" borderId="0" applyFont="0" applyFill="0" applyBorder="0" applyAlignment="0" applyProtection="0"/>
    <xf numFmtId="168" fontId="22" fillId="0" borderId="0" applyBorder="0" applyProtection="0"/>
  </cellStyleXfs>
  <cellXfs count="133">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2" borderId="0" xfId="0" applyFont="1" applyFill="1" applyAlignment="1">
      <alignment horizontal="center" vertical="center" wrapText="1"/>
    </xf>
    <xf numFmtId="0" fontId="10" fillId="0" borderId="6" xfId="0" applyFont="1" applyBorder="1"/>
    <xf numFmtId="0" fontId="3" fillId="0" borderId="7" xfId="0" applyFont="1" applyBorder="1"/>
    <xf numFmtId="0" fontId="10"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1"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3"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9" fillId="2" borderId="3"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15" fillId="0" borderId="11" xfId="0" applyFont="1" applyBorder="1" applyAlignment="1">
      <alignment vertical="center"/>
    </xf>
    <xf numFmtId="0" fontId="0" fillId="0" borderId="0" xfId="0" applyAlignment="1">
      <alignment horizontal="center" vertical="center"/>
    </xf>
    <xf numFmtId="0" fontId="9" fillId="0" borderId="0" xfId="0" applyFont="1" applyBorder="1" applyAlignment="1">
      <alignment horizontal="center" vertical="center" wrapText="1"/>
    </xf>
    <xf numFmtId="0" fontId="9" fillId="0"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3" fontId="19" fillId="0" borderId="5" xfId="0" applyNumberFormat="1" applyFont="1" applyBorder="1"/>
    <xf numFmtId="167" fontId="12" fillId="0" borderId="5" xfId="0" applyNumberFormat="1" applyFont="1" applyBorder="1" applyAlignment="1">
      <alignment horizontal="left"/>
    </xf>
    <xf numFmtId="0" fontId="12" fillId="0" borderId="5" xfId="0" applyFont="1" applyBorder="1"/>
    <xf numFmtId="0" fontId="12" fillId="0" borderId="7" xfId="0" applyFont="1" applyBorder="1"/>
    <xf numFmtId="0" fontId="12" fillId="0" borderId="0" xfId="0" applyFont="1"/>
    <xf numFmtId="0" fontId="12" fillId="0" borderId="0" xfId="0" applyFont="1" applyAlignment="1">
      <alignment horizontal="left"/>
    </xf>
    <xf numFmtId="167" fontId="12" fillId="0" borderId="0" xfId="0" applyNumberFormat="1" applyFont="1" applyAlignment="1">
      <alignment horizontal="left"/>
    </xf>
    <xf numFmtId="0" fontId="12" fillId="0" borderId="11" xfId="0" applyFont="1" applyBorder="1"/>
    <xf numFmtId="0" fontId="12" fillId="0" borderId="14" xfId="0" applyFont="1" applyBorder="1"/>
    <xf numFmtId="0" fontId="12" fillId="0" borderId="15" xfId="0" applyFont="1" applyBorder="1"/>
    <xf numFmtId="0" fontId="12" fillId="0" borderId="15" xfId="0" applyFont="1" applyBorder="1" applyAlignment="1">
      <alignment horizontal="left"/>
    </xf>
    <xf numFmtId="0" fontId="12" fillId="0" borderId="24" xfId="0" applyFont="1" applyBorder="1"/>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8" xfId="0" applyFont="1" applyBorder="1" applyAlignment="1">
      <alignment horizontal="left" vertical="center"/>
    </xf>
    <xf numFmtId="0" fontId="21" fillId="0" borderId="29" xfId="0" applyFont="1" applyBorder="1" applyAlignment="1">
      <alignment horizontal="center" vertical="center"/>
    </xf>
    <xf numFmtId="0" fontId="21"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5"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5" fontId="5" fillId="0" borderId="41" xfId="2"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165" fontId="12" fillId="0" borderId="41" xfId="2" applyNumberFormat="1" applyFont="1" applyBorder="1" applyAlignment="1" applyProtection="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4" xfId="0" applyFont="1" applyBorder="1" applyAlignment="1">
      <alignment horizontal="center" vertical="center"/>
    </xf>
    <xf numFmtId="165" fontId="12" fillId="0" borderId="45" xfId="2" applyNumberFormat="1" applyFont="1" applyBorder="1" applyAlignment="1" applyProtection="1">
      <alignment horizontal="center" vertical="center"/>
    </xf>
    <xf numFmtId="165" fontId="21" fillId="0" borderId="47" xfId="0" applyNumberFormat="1" applyFont="1" applyBorder="1" applyAlignment="1">
      <alignment horizontal="center" vertical="center"/>
    </xf>
    <xf numFmtId="165" fontId="5" fillId="2" borderId="4" xfId="1" applyNumberFormat="1" applyFont="1" applyFill="1" applyBorder="1" applyAlignment="1" applyProtection="1">
      <alignment horizontal="right" vertical="center" wrapText="1"/>
    </xf>
    <xf numFmtId="0" fontId="15" fillId="0" borderId="0" xfId="0" applyFont="1" applyBorder="1" applyAlignment="1">
      <alignment vertical="center"/>
    </xf>
    <xf numFmtId="0" fontId="3" fillId="0" borderId="3" xfId="0" applyFont="1" applyFill="1" applyBorder="1" applyAlignment="1">
      <alignment horizontal="left" vertical="center" wrapText="1"/>
    </xf>
    <xf numFmtId="0" fontId="18" fillId="0" borderId="3" xfId="0" applyFont="1" applyFill="1" applyBorder="1" applyAlignment="1">
      <alignment horizontal="center" vertical="center"/>
    </xf>
    <xf numFmtId="166" fontId="5" fillId="2" borderId="3" xfId="1" applyNumberFormat="1" applyFont="1" applyFill="1" applyBorder="1" applyAlignment="1" applyProtection="1">
      <alignment horizontal="center" vertical="center" wrapText="1"/>
    </xf>
    <xf numFmtId="0" fontId="4" fillId="0" borderId="16" xfId="0" applyFont="1" applyBorder="1" applyAlignment="1">
      <alignment horizontal="center" vertical="center" wrapText="1"/>
    </xf>
    <xf numFmtId="0" fontId="16" fillId="0" borderId="16" xfId="0" applyFont="1" applyBorder="1" applyAlignment="1">
      <alignment horizontal="center" vertical="center" wrapText="1"/>
    </xf>
    <xf numFmtId="0" fontId="19" fillId="0" borderId="16" xfId="0" applyFont="1" applyBorder="1" applyAlignment="1">
      <alignment horizontal="left" vertical="center"/>
    </xf>
    <xf numFmtId="0" fontId="5" fillId="0" borderId="50" xfId="0" applyFont="1" applyBorder="1" applyAlignment="1">
      <alignment horizontal="center" vertical="center"/>
    </xf>
    <xf numFmtId="0" fontId="0" fillId="0" borderId="50" xfId="0" applyBorder="1" applyAlignment="1">
      <alignment horizontal="center" vertical="center"/>
    </xf>
    <xf numFmtId="0" fontId="12" fillId="0" borderId="50" xfId="0" applyFont="1" applyBorder="1" applyAlignment="1">
      <alignment horizontal="center" vertical="center" wrapText="1"/>
    </xf>
    <xf numFmtId="0" fontId="8" fillId="0" borderId="50" xfId="0" applyFont="1" applyBorder="1" applyAlignment="1">
      <alignment horizontal="center" vertical="center" wrapText="1"/>
    </xf>
    <xf numFmtId="0" fontId="3" fillId="0" borderId="50" xfId="0" applyFont="1" applyBorder="1" applyAlignment="1">
      <alignment horizontal="left" vertical="center" wrapText="1"/>
    </xf>
    <xf numFmtId="0" fontId="9" fillId="2" borderId="50" xfId="0" applyFont="1" applyFill="1" applyBorder="1" applyAlignment="1">
      <alignment horizontal="center" vertical="center" wrapText="1"/>
    </xf>
    <xf numFmtId="165" fontId="5" fillId="2" borderId="50" xfId="1" applyNumberFormat="1" applyFont="1" applyFill="1" applyBorder="1" applyAlignment="1" applyProtection="1">
      <alignment horizontal="center" vertical="center" wrapText="1"/>
    </xf>
    <xf numFmtId="0" fontId="3" fillId="2" borderId="0" xfId="0" applyFont="1" applyFill="1" applyAlignment="1">
      <alignment horizontal="left" wrapText="1"/>
    </xf>
    <xf numFmtId="0" fontId="3" fillId="2" borderId="11" xfId="0" applyFont="1" applyFill="1" applyBorder="1" applyAlignment="1">
      <alignment horizontal="left" wrapText="1"/>
    </xf>
    <xf numFmtId="0" fontId="3" fillId="2" borderId="0" xfId="0" applyFont="1" applyFill="1" applyAlignment="1">
      <alignment horizontal="left"/>
    </xf>
    <xf numFmtId="0" fontId="3" fillId="2" borderId="11" xfId="0" applyFont="1" applyFill="1" applyBorder="1" applyAlignment="1">
      <alignment horizontal="left"/>
    </xf>
    <xf numFmtId="0" fontId="4" fillId="0" borderId="0" xfId="0" applyFont="1" applyAlignment="1">
      <alignment horizontal="left" vertical="center" wrapText="1"/>
    </xf>
    <xf numFmtId="0" fontId="12" fillId="2" borderId="0" xfId="0" applyFont="1" applyFill="1" applyAlignment="1">
      <alignment horizontal="left" wrapText="1"/>
    </xf>
    <xf numFmtId="0" fontId="12" fillId="2" borderId="11" xfId="0" applyFont="1" applyFill="1" applyBorder="1" applyAlignment="1">
      <alignment horizontal="left" wrapText="1"/>
    </xf>
    <xf numFmtId="0" fontId="6" fillId="0" borderId="0" xfId="0" applyFont="1" applyAlignment="1">
      <alignment horizontal="center"/>
    </xf>
    <xf numFmtId="0" fontId="11" fillId="2" borderId="0" xfId="0" applyFont="1" applyFill="1" applyAlignment="1">
      <alignment horizontal="left" wrapText="1" indent="1"/>
    </xf>
    <xf numFmtId="0" fontId="2" fillId="0" borderId="4" xfId="0" applyFont="1" applyBorder="1" applyAlignment="1">
      <alignment horizontal="left" vertical="top"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0" fontId="16" fillId="0" borderId="16" xfId="0" applyFont="1" applyBorder="1" applyAlignment="1">
      <alignment horizontal="left" vertical="center" wrapText="1"/>
    </xf>
    <xf numFmtId="0" fontId="16" fillId="0" borderId="16" xfId="0" applyFont="1" applyBorder="1" applyAlignment="1">
      <alignment vertical="center" wrapText="1"/>
    </xf>
    <xf numFmtId="0" fontId="16" fillId="0" borderId="16" xfId="0" applyFont="1" applyFill="1" applyBorder="1" applyAlignment="1">
      <alignment vertical="center" wrapText="1"/>
    </xf>
    <xf numFmtId="0" fontId="16" fillId="0" borderId="16" xfId="0" applyFont="1" applyFill="1" applyBorder="1" applyAlignment="1">
      <alignment horizontal="left" vertical="center" wrapText="1"/>
    </xf>
    <xf numFmtId="0" fontId="17" fillId="0" borderId="17" xfId="0" applyFont="1" applyBorder="1" applyAlignment="1">
      <alignment horizontal="left" vertical="center"/>
    </xf>
    <xf numFmtId="0" fontId="17" fillId="0" borderId="49" xfId="0" applyFont="1" applyBorder="1" applyAlignment="1">
      <alignment horizontal="left" vertical="center"/>
    </xf>
    <xf numFmtId="0" fontId="17" fillId="0" borderId="18" xfId="0" applyFont="1" applyBorder="1" applyAlignment="1">
      <alignment horizontal="left" vertical="center"/>
    </xf>
    <xf numFmtId="0" fontId="5" fillId="0" borderId="22" xfId="0" applyFont="1" applyBorder="1"/>
    <xf numFmtId="0" fontId="21"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2" fillId="0" borderId="38" xfId="0" applyFont="1" applyBorder="1" applyAlignment="1">
      <alignment horizontal="center"/>
    </xf>
    <xf numFmtId="0" fontId="12" fillId="0" borderId="38" xfId="0" applyFont="1" applyBorder="1" applyAlignment="1">
      <alignment horizontal="center" vertical="center"/>
    </xf>
    <xf numFmtId="0" fontId="12" fillId="0" borderId="43" xfId="0" applyFont="1" applyBorder="1" applyAlignment="1">
      <alignment horizontal="left" vertical="center"/>
    </xf>
    <xf numFmtId="0" fontId="21" fillId="0" borderId="46" xfId="0" applyFont="1" applyBorder="1" applyAlignment="1">
      <alignment horizontal="left" vertical="center" wrapText="1"/>
    </xf>
    <xf numFmtId="0" fontId="5" fillId="0" borderId="32" xfId="0" applyFont="1" applyBorder="1" applyAlignment="1">
      <alignment horizontal="left" vertical="center" wrapText="1"/>
    </xf>
    <xf numFmtId="0" fontId="12" fillId="3" borderId="19" xfId="0" applyFont="1" applyFill="1" applyBorder="1" applyAlignment="1">
      <alignment horizontal="left" vertical="center" wrapText="1"/>
    </xf>
    <xf numFmtId="0" fontId="12" fillId="3" borderId="20" xfId="0" applyFont="1" applyFill="1" applyBorder="1" applyAlignment="1"/>
    <xf numFmtId="0" fontId="12" fillId="0" borderId="19" xfId="0" applyFont="1" applyBorder="1" applyAlignment="1">
      <alignment horizontal="left" vertical="center" wrapText="1"/>
    </xf>
    <xf numFmtId="0" fontId="12" fillId="0" borderId="20" xfId="0" applyFont="1" applyBorder="1" applyAlignment="1"/>
    <xf numFmtId="0" fontId="20" fillId="0" borderId="21" xfId="0" applyFont="1" applyBorder="1" applyAlignment="1">
      <alignment horizontal="left"/>
    </xf>
    <xf numFmtId="0" fontId="12" fillId="0" borderId="22" xfId="0" applyFont="1" applyBorder="1" applyAlignment="1">
      <alignment horizontal="left"/>
    </xf>
    <xf numFmtId="49" fontId="12" fillId="0" borderId="23" xfId="0" applyNumberFormat="1" applyFont="1" applyBorder="1" applyAlignment="1">
      <alignment horizontal="justify" vertical="center" wrapText="1"/>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25" xfId="0" applyFont="1" applyBorder="1" applyAlignment="1">
      <alignment horizontal="center" vertical="center" wrapText="1"/>
    </xf>
    <xf numFmtId="0" fontId="21" fillId="0" borderId="26" xfId="0" applyFont="1" applyBorder="1" applyAlignment="1">
      <alignment horizontal="center" vertical="center"/>
    </xf>
    <xf numFmtId="0" fontId="12" fillId="0" borderId="19" xfId="0" applyFont="1" applyFill="1" applyBorder="1" applyAlignment="1">
      <alignment horizontal="left" vertical="center" wrapText="1"/>
    </xf>
    <xf numFmtId="0" fontId="12" fillId="0" borderId="20" xfId="0" applyFont="1" applyFill="1" applyBorder="1" applyAlignment="1"/>
    <xf numFmtId="0" fontId="12" fillId="0" borderId="17" xfId="0" applyFont="1" applyBorder="1" applyAlignment="1">
      <alignment horizontal="center"/>
    </xf>
    <xf numFmtId="0" fontId="19" fillId="0" borderId="18" xfId="0" applyFont="1" applyBorder="1" applyAlignment="1">
      <alignment horizontal="center"/>
    </xf>
    <xf numFmtId="0" fontId="19" fillId="0" borderId="13" xfId="0" applyFont="1" applyBorder="1" applyAlignment="1">
      <alignment horizontal="center" vertical="center" wrapText="1"/>
    </xf>
    <xf numFmtId="0" fontId="12" fillId="0" borderId="19" xfId="0" applyFont="1" applyFill="1" applyBorder="1"/>
    <xf numFmtId="0" fontId="15" fillId="0" borderId="7" xfId="0" applyFont="1" applyBorder="1" applyAlignment="1">
      <alignment vertical="center"/>
    </xf>
    <xf numFmtId="0" fontId="17" fillId="0" borderId="16"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14" fillId="0" borderId="10" xfId="0" applyFont="1" applyBorder="1" applyAlignment="1">
      <alignment horizontal="center" vertical="center" wrapText="1"/>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G18" sqref="G18"/>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s>
  <sheetData>
    <row r="1" spans="1:9" ht="27" x14ac:dyDescent="0.35">
      <c r="A1" s="1"/>
      <c r="B1" s="89" t="s">
        <v>5</v>
      </c>
      <c r="C1" s="89"/>
      <c r="D1" s="89"/>
      <c r="E1" s="89"/>
      <c r="F1" s="89"/>
      <c r="G1" s="89"/>
      <c r="H1" s="89"/>
      <c r="I1" s="1"/>
    </row>
    <row r="2" spans="1:9" x14ac:dyDescent="0.25">
      <c r="A2" s="1"/>
      <c r="B2" s="1"/>
      <c r="C2" s="1"/>
      <c r="D2" s="1"/>
      <c r="E2" s="1"/>
      <c r="F2" s="1"/>
      <c r="G2" s="1"/>
      <c r="H2" s="1"/>
      <c r="I2" s="1"/>
    </row>
    <row r="3" spans="1:9" ht="15.75" x14ac:dyDescent="0.25">
      <c r="A3" s="86" t="s">
        <v>0</v>
      </c>
      <c r="B3" s="86"/>
      <c r="C3" s="90" t="s">
        <v>12</v>
      </c>
      <c r="D3" s="90"/>
      <c r="E3" s="90"/>
      <c r="F3" s="5"/>
      <c r="G3" s="13"/>
      <c r="H3" s="5"/>
      <c r="I3" s="1"/>
    </row>
    <row r="4" spans="1:9" ht="15.75" x14ac:dyDescent="0.25">
      <c r="A4" s="86" t="s">
        <v>1</v>
      </c>
      <c r="B4" s="86"/>
      <c r="C4" s="90" t="s">
        <v>13</v>
      </c>
      <c r="D4" s="90"/>
      <c r="E4" s="90"/>
      <c r="F4" s="5"/>
      <c r="G4" s="13"/>
      <c r="H4" s="5"/>
      <c r="I4" s="1"/>
    </row>
    <row r="5" spans="1:9" ht="15.75" x14ac:dyDescent="0.25">
      <c r="A5" s="86" t="s">
        <v>2</v>
      </c>
      <c r="B5" s="86"/>
      <c r="C5" s="12">
        <v>2021</v>
      </c>
      <c r="D5" s="18"/>
      <c r="E5" s="18"/>
      <c r="F5" s="5"/>
      <c r="G5" s="13"/>
      <c r="H5" s="5"/>
      <c r="I5" s="1"/>
    </row>
    <row r="6" spans="1:9" ht="15.75" x14ac:dyDescent="0.25">
      <c r="A6" s="86" t="s">
        <v>3</v>
      </c>
      <c r="B6" s="86"/>
      <c r="C6" s="12">
        <v>1</v>
      </c>
      <c r="D6" s="18"/>
      <c r="E6" s="18"/>
      <c r="F6" s="5"/>
      <c r="G6" s="13"/>
      <c r="H6" s="5"/>
      <c r="I6" s="1"/>
    </row>
    <row r="7" spans="1:9" ht="15.75" thickBot="1" x14ac:dyDescent="0.3">
      <c r="A7" s="1"/>
      <c r="B7" s="5"/>
      <c r="C7" s="13"/>
      <c r="D7" s="5"/>
      <c r="E7" s="5"/>
      <c r="F7" s="5"/>
      <c r="G7" s="13"/>
      <c r="H7" s="5"/>
      <c r="I7" s="1"/>
    </row>
    <row r="8" spans="1:9" ht="44.25" thickTop="1" thickBot="1" x14ac:dyDescent="0.3">
      <c r="A8" s="2" t="s">
        <v>4</v>
      </c>
      <c r="B8" s="2" t="s">
        <v>6</v>
      </c>
      <c r="C8" s="2" t="s">
        <v>14</v>
      </c>
      <c r="D8" s="2" t="s">
        <v>16</v>
      </c>
      <c r="E8" s="2" t="s">
        <v>17</v>
      </c>
      <c r="F8" s="2" t="s">
        <v>18</v>
      </c>
      <c r="G8" s="2" t="s">
        <v>20</v>
      </c>
      <c r="H8" s="2" t="s">
        <v>21</v>
      </c>
      <c r="I8" s="2" t="s">
        <v>22</v>
      </c>
    </row>
    <row r="9" spans="1:9" ht="39" thickTop="1" x14ac:dyDescent="0.25">
      <c r="A9" s="75">
        <v>1</v>
      </c>
      <c r="B9" s="76" t="s">
        <v>56</v>
      </c>
      <c r="C9" s="77" t="s">
        <v>57</v>
      </c>
      <c r="D9" s="78" t="s">
        <v>59</v>
      </c>
      <c r="E9" s="79" t="s">
        <v>58</v>
      </c>
      <c r="F9" s="80" t="s">
        <v>19</v>
      </c>
      <c r="G9" s="80">
        <v>1000</v>
      </c>
      <c r="H9" s="81">
        <v>8900</v>
      </c>
      <c r="I9" s="81">
        <f>G9*H9</f>
        <v>8900000</v>
      </c>
    </row>
    <row r="10" spans="1:9" ht="15.75" thickBot="1" x14ac:dyDescent="0.3">
      <c r="A10" s="4"/>
      <c r="B10" s="30"/>
      <c r="C10" s="14"/>
      <c r="D10" s="29"/>
      <c r="E10" s="19"/>
      <c r="F10" s="6"/>
      <c r="G10" s="6"/>
      <c r="H10" s="25"/>
      <c r="I10" s="25"/>
    </row>
    <row r="11" spans="1:9" x14ac:dyDescent="0.25">
      <c r="A11" s="1"/>
      <c r="B11" s="7" t="s">
        <v>60</v>
      </c>
      <c r="C11" s="15"/>
      <c r="D11" s="15"/>
      <c r="E11" s="20"/>
      <c r="F11" s="1"/>
      <c r="G11" s="1"/>
      <c r="H11" s="1"/>
      <c r="I11" s="1"/>
    </row>
    <row r="12" spans="1:9" x14ac:dyDescent="0.25">
      <c r="A12" s="1"/>
      <c r="B12" s="8"/>
      <c r="C12" s="1"/>
      <c r="D12" s="1"/>
      <c r="E12" s="21"/>
      <c r="F12" s="1"/>
      <c r="G12" s="1"/>
      <c r="H12" s="1"/>
      <c r="I12" s="1"/>
    </row>
    <row r="13" spans="1:9" x14ac:dyDescent="0.25">
      <c r="A13" s="1"/>
      <c r="B13" s="9" t="s">
        <v>7</v>
      </c>
      <c r="C13" s="1"/>
      <c r="D13" s="1"/>
      <c r="E13" s="21"/>
      <c r="F13" s="1"/>
      <c r="G13" s="1"/>
      <c r="H13" s="1"/>
      <c r="I13" s="1"/>
    </row>
    <row r="14" spans="1:9" x14ac:dyDescent="0.25">
      <c r="A14" s="1"/>
      <c r="B14" s="9"/>
      <c r="C14" s="82" t="s">
        <v>61</v>
      </c>
      <c r="D14" s="82"/>
      <c r="E14" s="83"/>
      <c r="F14" s="1"/>
      <c r="G14" s="1"/>
      <c r="H14" s="1"/>
      <c r="I14" s="1"/>
    </row>
    <row r="15" spans="1:9" x14ac:dyDescent="0.25">
      <c r="A15" s="1"/>
      <c r="B15" s="9" t="s">
        <v>8</v>
      </c>
      <c r="C15" s="1"/>
      <c r="D15" s="1"/>
      <c r="E15" s="21"/>
      <c r="F15" s="1"/>
      <c r="G15" s="1"/>
      <c r="H15" s="1"/>
      <c r="I15" s="1"/>
    </row>
    <row r="16" spans="1:9" x14ac:dyDescent="0.25">
      <c r="A16" s="1"/>
      <c r="B16" s="10"/>
      <c r="C16" s="87" t="s">
        <v>15</v>
      </c>
      <c r="D16" s="87"/>
      <c r="E16" s="88"/>
      <c r="F16" s="1"/>
      <c r="G16" s="1"/>
      <c r="H16" s="1"/>
      <c r="I16" s="1"/>
    </row>
    <row r="17" spans="1:13" ht="63" customHeight="1" x14ac:dyDescent="0.25">
      <c r="A17" s="1"/>
      <c r="B17" s="10"/>
      <c r="C17" s="87"/>
      <c r="D17" s="87"/>
      <c r="E17" s="88"/>
      <c r="F17" s="1"/>
      <c r="G17" s="1"/>
      <c r="H17" s="1"/>
      <c r="I17" s="1"/>
      <c r="J17" s="1"/>
      <c r="K17" s="1"/>
      <c r="L17" s="1"/>
      <c r="M17" s="1"/>
    </row>
    <row r="18" spans="1:13" ht="15" customHeight="1" x14ac:dyDescent="0.25">
      <c r="A18" s="1"/>
      <c r="B18" s="9" t="s">
        <v>9</v>
      </c>
      <c r="C18" s="1"/>
      <c r="D18" s="1"/>
      <c r="E18" s="21"/>
      <c r="F18" s="1"/>
      <c r="G18" s="1"/>
      <c r="H18" s="1"/>
      <c r="I18" s="1"/>
      <c r="J18" s="1"/>
      <c r="K18" s="1"/>
      <c r="L18" s="1"/>
      <c r="M18" s="1"/>
    </row>
    <row r="19" spans="1:13" ht="15" customHeight="1" x14ac:dyDescent="0.25">
      <c r="A19" s="1"/>
      <c r="B19" s="10"/>
      <c r="C19" s="82"/>
      <c r="D19" s="82"/>
      <c r="E19" s="83"/>
      <c r="F19" s="1"/>
      <c r="G19" s="1"/>
      <c r="H19" s="1"/>
      <c r="I19" s="1"/>
      <c r="J19" s="1"/>
      <c r="K19" s="1"/>
      <c r="L19" s="1"/>
      <c r="M19" s="1"/>
    </row>
    <row r="20" spans="1:13" ht="15" customHeight="1" x14ac:dyDescent="0.25">
      <c r="A20" s="1"/>
      <c r="B20" s="9" t="s">
        <v>10</v>
      </c>
      <c r="C20" s="16"/>
      <c r="D20" s="16"/>
      <c r="E20" s="22"/>
      <c r="F20" s="1"/>
      <c r="G20" s="1"/>
      <c r="H20" s="1"/>
      <c r="I20" s="1"/>
      <c r="J20" s="1"/>
      <c r="K20" s="1"/>
      <c r="L20" s="1"/>
      <c r="M20" s="1"/>
    </row>
    <row r="21" spans="1:13" ht="15" customHeight="1" x14ac:dyDescent="0.25">
      <c r="A21" s="1"/>
      <c r="B21" s="10"/>
      <c r="C21" s="82"/>
      <c r="D21" s="82"/>
      <c r="E21" s="83"/>
      <c r="F21" s="1"/>
      <c r="G21" s="1"/>
      <c r="H21" s="1"/>
      <c r="I21" s="1"/>
      <c r="J21" s="1"/>
      <c r="K21" s="1"/>
      <c r="L21" s="1"/>
      <c r="M21" s="1"/>
    </row>
    <row r="22" spans="1:13" ht="15" customHeight="1" x14ac:dyDescent="0.25">
      <c r="A22" s="1"/>
      <c r="B22" s="9" t="s">
        <v>11</v>
      </c>
      <c r="C22" s="1"/>
      <c r="D22" s="1"/>
      <c r="E22" s="21"/>
      <c r="F22" s="1"/>
      <c r="G22" s="1"/>
      <c r="H22" s="1"/>
      <c r="I22" s="1"/>
      <c r="J22" s="1"/>
      <c r="K22" s="1"/>
      <c r="L22" s="1"/>
      <c r="M22" s="1"/>
    </row>
    <row r="23" spans="1:13" ht="15" customHeight="1" x14ac:dyDescent="0.25">
      <c r="A23" s="1"/>
      <c r="B23" s="9"/>
      <c r="C23" s="82"/>
      <c r="D23" s="84"/>
      <c r="E23" s="85"/>
      <c r="F23" s="1"/>
      <c r="G23" s="1"/>
      <c r="H23" s="1"/>
      <c r="I23" s="1"/>
      <c r="J23" s="1"/>
      <c r="K23" s="1"/>
      <c r="L23" s="1"/>
      <c r="M23" s="1"/>
    </row>
    <row r="24" spans="1:13" ht="15.75" customHeight="1" thickBot="1" x14ac:dyDescent="0.3">
      <c r="A24" s="1"/>
      <c r="B24" s="11"/>
      <c r="C24" s="17"/>
      <c r="D24" s="17"/>
      <c r="E24" s="23"/>
      <c r="F24" s="1"/>
      <c r="G24" s="1"/>
      <c r="H24" s="1"/>
      <c r="I24" s="1"/>
      <c r="J24" s="1"/>
      <c r="K24" s="1"/>
      <c r="L24" s="1"/>
      <c r="M24" s="1"/>
    </row>
    <row r="25" spans="1:13" x14ac:dyDescent="0.25">
      <c r="A25" s="4"/>
      <c r="B25" s="30"/>
      <c r="C25" s="14"/>
      <c r="D25" s="28"/>
      <c r="E25" s="19"/>
      <c r="F25" s="6"/>
      <c r="G25" s="6"/>
      <c r="H25" s="25"/>
      <c r="I25" s="25"/>
    </row>
  </sheetData>
  <autoFilter ref="A8:I9"/>
  <mergeCells count="12">
    <mergeCell ref="B1:H1"/>
    <mergeCell ref="A3:B3"/>
    <mergeCell ref="C3:E3"/>
    <mergeCell ref="A4:B4"/>
    <mergeCell ref="C4:E4"/>
    <mergeCell ref="C21:E21"/>
    <mergeCell ref="C23:E23"/>
    <mergeCell ref="A5:B5"/>
    <mergeCell ref="A6:B6"/>
    <mergeCell ref="C14:E14"/>
    <mergeCell ref="C16:E17"/>
    <mergeCell ref="C19:E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workbookViewId="0">
      <selection activeCell="D18" sqref="D18"/>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2.7109375" customWidth="1"/>
  </cols>
  <sheetData>
    <row r="1" spans="1:7" ht="16.5" customHeight="1" thickBot="1" x14ac:dyDescent="0.3">
      <c r="A1" s="92" t="s">
        <v>23</v>
      </c>
      <c r="B1" s="93"/>
      <c r="C1" s="93"/>
      <c r="D1" s="93"/>
      <c r="E1" s="93"/>
      <c r="F1" s="132"/>
      <c r="G1" s="74" t="s">
        <v>69</v>
      </c>
    </row>
    <row r="2" spans="1:7" ht="15.75" thickBot="1" x14ac:dyDescent="0.3">
      <c r="A2" s="129"/>
      <c r="B2" s="68"/>
      <c r="C2" s="68"/>
      <c r="D2" s="68"/>
      <c r="E2" s="68"/>
      <c r="F2" s="68"/>
      <c r="G2" s="26"/>
    </row>
    <row r="3" spans="1:7" ht="15.75" customHeight="1" thickBot="1" x14ac:dyDescent="0.3">
      <c r="A3" s="130" t="s">
        <v>24</v>
      </c>
      <c r="B3" s="130"/>
      <c r="C3" s="96" t="s">
        <v>12</v>
      </c>
      <c r="D3" s="96"/>
      <c r="E3" s="96"/>
      <c r="F3" s="96"/>
      <c r="G3" s="96"/>
    </row>
    <row r="4" spans="1:7" ht="15.75" customHeight="1" thickBot="1" x14ac:dyDescent="0.3">
      <c r="A4" s="130" t="s">
        <v>26</v>
      </c>
      <c r="B4" s="130"/>
      <c r="C4" s="97" t="s">
        <v>13</v>
      </c>
      <c r="D4" s="97"/>
      <c r="E4" s="97"/>
      <c r="F4" s="97"/>
      <c r="G4" s="97"/>
    </row>
    <row r="5" spans="1:7" ht="18" customHeight="1" thickBot="1" x14ac:dyDescent="0.3">
      <c r="A5" s="130" t="s">
        <v>27</v>
      </c>
      <c r="B5" s="130"/>
      <c r="C5" s="131" t="s">
        <v>25</v>
      </c>
      <c r="D5" s="131"/>
      <c r="E5" s="131"/>
      <c r="F5" s="131"/>
      <c r="G5" s="131"/>
    </row>
    <row r="6" spans="1:7" ht="15.75" customHeight="1" thickBot="1" x14ac:dyDescent="0.3">
      <c r="A6" s="130" t="s">
        <v>28</v>
      </c>
      <c r="B6" s="130"/>
      <c r="C6" s="94" t="s">
        <v>25</v>
      </c>
      <c r="D6" s="94"/>
      <c r="E6" s="94"/>
      <c r="F6" s="94"/>
      <c r="G6" s="94"/>
    </row>
    <row r="7" spans="1:7" ht="15.75" customHeight="1" thickBot="1" x14ac:dyDescent="0.3">
      <c r="A7" s="130" t="s">
        <v>29</v>
      </c>
      <c r="B7" s="130"/>
      <c r="C7" s="95" t="s">
        <v>30</v>
      </c>
      <c r="D7" s="95"/>
      <c r="E7" s="95"/>
      <c r="F7" s="95"/>
      <c r="G7" s="95"/>
    </row>
    <row r="8" spans="1:7" ht="15.75" customHeight="1" thickBot="1" x14ac:dyDescent="0.3">
      <c r="A8" s="130" t="s">
        <v>31</v>
      </c>
      <c r="B8" s="130"/>
      <c r="C8" s="95" t="s">
        <v>67</v>
      </c>
      <c r="D8" s="95"/>
      <c r="E8" s="95"/>
      <c r="F8" s="95"/>
      <c r="G8" s="95"/>
    </row>
    <row r="9" spans="1:7" ht="15.75" thickBot="1" x14ac:dyDescent="0.3">
      <c r="A9" s="98"/>
      <c r="B9" s="99"/>
      <c r="C9" s="99"/>
      <c r="D9" s="99"/>
      <c r="E9" s="99"/>
      <c r="F9" s="99"/>
      <c r="G9" s="100"/>
    </row>
    <row r="10" spans="1:7" ht="76.5" customHeight="1" thickBot="1" x14ac:dyDescent="0.3">
      <c r="A10" s="72" t="s">
        <v>4</v>
      </c>
      <c r="B10" s="72" t="s">
        <v>6</v>
      </c>
      <c r="C10" s="72" t="s">
        <v>17</v>
      </c>
      <c r="D10" s="73" t="s">
        <v>32</v>
      </c>
      <c r="E10" s="72" t="s">
        <v>18</v>
      </c>
      <c r="F10" s="72" t="s">
        <v>21</v>
      </c>
      <c r="G10" s="72" t="s">
        <v>20</v>
      </c>
    </row>
    <row r="11" spans="1:7" ht="84.75" customHeight="1" x14ac:dyDescent="0.25">
      <c r="A11" s="3">
        <v>1</v>
      </c>
      <c r="B11" s="27" t="s">
        <v>56</v>
      </c>
      <c r="C11" s="69" t="s">
        <v>58</v>
      </c>
      <c r="D11" s="70" t="s">
        <v>68</v>
      </c>
      <c r="E11" s="24" t="s">
        <v>19</v>
      </c>
      <c r="F11" s="71">
        <v>8900</v>
      </c>
      <c r="G11" s="24">
        <v>1000</v>
      </c>
    </row>
    <row r="12" spans="1:7" ht="15.75" customHeight="1" x14ac:dyDescent="0.25">
      <c r="A12" s="91" t="s">
        <v>62</v>
      </c>
      <c r="B12" s="91"/>
      <c r="C12" s="91"/>
      <c r="D12" s="91"/>
      <c r="E12" s="91"/>
      <c r="F12" s="91"/>
      <c r="G12" s="67">
        <v>8900000</v>
      </c>
    </row>
  </sheetData>
  <mergeCells count="15">
    <mergeCell ref="A1:F1"/>
    <mergeCell ref="C8:G8"/>
    <mergeCell ref="C4:G4"/>
    <mergeCell ref="C5:G5"/>
    <mergeCell ref="C6:G6"/>
    <mergeCell ref="C7:G7"/>
    <mergeCell ref="C3:G3"/>
    <mergeCell ref="A4:B4"/>
    <mergeCell ref="A5:B5"/>
    <mergeCell ref="A6:B6"/>
    <mergeCell ref="A7:B7"/>
    <mergeCell ref="A8:B8"/>
    <mergeCell ref="A12:F12"/>
    <mergeCell ref="A9:G9"/>
    <mergeCell ref="A3:B3"/>
  </mergeCells>
  <pageMargins left="0.7" right="0.7" top="0.75" bottom="0.75" header="0.3" footer="0.3"/>
  <pageSetup paperSize="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I28" sqref="I28"/>
    </sheetView>
  </sheetViews>
  <sheetFormatPr baseColWidth="10" defaultRowHeight="15" x14ac:dyDescent="0.25"/>
  <cols>
    <col min="1" max="1" width="3.140625" customWidth="1"/>
    <col min="2" max="2" width="3.42578125" customWidth="1"/>
    <col min="3" max="4" width="3.5703125" customWidth="1"/>
    <col min="5" max="5" width="3.42578125" customWidth="1"/>
    <col min="6" max="6" width="5.140625" customWidth="1"/>
    <col min="7" max="7" width="3.7109375" customWidth="1"/>
    <col min="8" max="8" width="3.5703125" customWidth="1"/>
    <col min="9" max="9" width="3.85546875" customWidth="1"/>
    <col min="10" max="10" width="3.28515625" customWidth="1"/>
    <col min="11" max="11" width="3.5703125" customWidth="1"/>
    <col min="12" max="12" width="3.28515625" customWidth="1"/>
    <col min="13" max="13" width="3" customWidth="1"/>
    <col min="14" max="14" width="4.42578125" customWidth="1"/>
    <col min="15" max="15" width="20.28515625" customWidth="1"/>
    <col min="16" max="16" width="4" customWidth="1"/>
    <col min="17" max="17" width="15.7109375" customWidth="1"/>
  </cols>
  <sheetData>
    <row r="1" spans="1:17" ht="15.75" thickBot="1" x14ac:dyDescent="0.3">
      <c r="A1" s="125" t="s">
        <v>2</v>
      </c>
      <c r="B1" s="125"/>
      <c r="C1" s="125"/>
      <c r="D1" s="126">
        <v>2021</v>
      </c>
      <c r="E1" s="126"/>
      <c r="F1" s="31"/>
      <c r="G1" s="31"/>
      <c r="H1" s="32"/>
      <c r="I1" s="32"/>
      <c r="J1" s="32"/>
      <c r="K1" s="32"/>
      <c r="L1" s="32"/>
      <c r="M1" s="32"/>
      <c r="N1" s="32"/>
      <c r="O1" s="33"/>
      <c r="P1" s="127" t="s">
        <v>33</v>
      </c>
      <c r="Q1" s="127"/>
    </row>
    <row r="2" spans="1:17" ht="15.75" thickBot="1" x14ac:dyDescent="0.3">
      <c r="A2" s="34"/>
      <c r="B2" s="35"/>
      <c r="C2" s="35"/>
      <c r="D2" s="35"/>
      <c r="E2" s="35"/>
      <c r="F2" s="35"/>
      <c r="G2" s="36"/>
      <c r="H2" s="37"/>
      <c r="I2" s="37"/>
      <c r="J2" s="37"/>
      <c r="K2" s="37"/>
      <c r="L2" s="37"/>
      <c r="M2" s="37"/>
      <c r="N2" s="37"/>
      <c r="O2" s="35"/>
      <c r="P2" s="127"/>
      <c r="Q2" s="127"/>
    </row>
    <row r="3" spans="1:17" ht="15.75" thickBot="1" x14ac:dyDescent="0.3">
      <c r="A3" s="34"/>
      <c r="B3" s="35"/>
      <c r="C3" s="35"/>
      <c r="D3" s="35"/>
      <c r="E3" s="35"/>
      <c r="F3" s="35"/>
      <c r="G3" s="36"/>
      <c r="H3" s="35"/>
      <c r="I3" s="35"/>
      <c r="J3" s="35"/>
      <c r="K3" s="35"/>
      <c r="L3" s="35"/>
      <c r="M3" s="35"/>
      <c r="N3" s="35"/>
      <c r="O3" s="35"/>
      <c r="P3" s="35"/>
      <c r="Q3" s="38"/>
    </row>
    <row r="4" spans="1:17" ht="15.75" thickBot="1" x14ac:dyDescent="0.3">
      <c r="A4" s="128" t="s">
        <v>34</v>
      </c>
      <c r="B4" s="128"/>
      <c r="C4" s="128"/>
      <c r="D4" s="128"/>
      <c r="E4" s="128"/>
      <c r="F4" s="128"/>
      <c r="G4" s="124" t="str">
        <f>+NDP!C3</f>
        <v>50 - MINISTERIO DE EDUCACIÓN</v>
      </c>
      <c r="H4" s="124"/>
      <c r="I4" s="124"/>
      <c r="J4" s="124"/>
      <c r="K4" s="124"/>
      <c r="L4" s="124"/>
      <c r="M4" s="124"/>
      <c r="N4" s="124"/>
      <c r="O4" s="124"/>
      <c r="P4" s="124"/>
      <c r="Q4" s="124"/>
    </row>
    <row r="5" spans="1:17" ht="15.75" thickBot="1" x14ac:dyDescent="0.3">
      <c r="A5" s="123" t="s">
        <v>26</v>
      </c>
      <c r="B5" s="123"/>
      <c r="C5" s="123"/>
      <c r="D5" s="123"/>
      <c r="E5" s="123"/>
      <c r="F5" s="123"/>
      <c r="G5" s="124" t="str">
        <f>+NDP!C4</f>
        <v>26 - DIRECCIÓN PROVINCIAL DE ADMINISTRACIÓN</v>
      </c>
      <c r="H5" s="124"/>
      <c r="I5" s="124"/>
      <c r="J5" s="124"/>
      <c r="K5" s="124"/>
      <c r="L5" s="124"/>
      <c r="M5" s="124"/>
      <c r="N5" s="124"/>
      <c r="O5" s="124"/>
      <c r="P5" s="124"/>
      <c r="Q5" s="124"/>
    </row>
    <row r="6" spans="1:17" ht="15.75" thickBot="1" x14ac:dyDescent="0.3">
      <c r="A6" s="112" t="s">
        <v>27</v>
      </c>
      <c r="B6" s="112"/>
      <c r="C6" s="112"/>
      <c r="D6" s="112"/>
      <c r="E6" s="112"/>
      <c r="F6" s="112"/>
      <c r="G6" s="113" t="s">
        <v>25</v>
      </c>
      <c r="H6" s="113"/>
      <c r="I6" s="113"/>
      <c r="J6" s="113"/>
      <c r="K6" s="113"/>
      <c r="L6" s="113"/>
      <c r="M6" s="113"/>
      <c r="N6" s="113"/>
      <c r="O6" s="113"/>
      <c r="P6" s="113"/>
      <c r="Q6" s="113"/>
    </row>
    <row r="7" spans="1:17" ht="15.75" thickBot="1" x14ac:dyDescent="0.3">
      <c r="A7" s="114" t="s">
        <v>28</v>
      </c>
      <c r="B7" s="114"/>
      <c r="C7" s="114"/>
      <c r="D7" s="114"/>
      <c r="E7" s="114"/>
      <c r="F7" s="114"/>
      <c r="G7" s="115" t="s">
        <v>25</v>
      </c>
      <c r="H7" s="115"/>
      <c r="I7" s="115"/>
      <c r="J7" s="115"/>
      <c r="K7" s="115"/>
      <c r="L7" s="115"/>
      <c r="M7" s="115"/>
      <c r="N7" s="115"/>
      <c r="O7" s="115"/>
      <c r="P7" s="115"/>
      <c r="Q7" s="115"/>
    </row>
    <row r="8" spans="1:17" ht="15.75" thickBot="1" x14ac:dyDescent="0.3">
      <c r="A8" s="116" t="s">
        <v>35</v>
      </c>
      <c r="B8" s="116"/>
      <c r="C8" s="116"/>
      <c r="D8" s="116"/>
      <c r="E8" s="116"/>
      <c r="F8" s="116"/>
      <c r="G8" s="116"/>
      <c r="H8" s="116"/>
      <c r="I8" s="116"/>
      <c r="J8" s="116"/>
      <c r="K8" s="116"/>
      <c r="L8" s="116"/>
      <c r="M8" s="116"/>
      <c r="N8" s="116"/>
      <c r="O8" s="116"/>
      <c r="P8" s="116"/>
      <c r="Q8" s="116"/>
    </row>
    <row r="9" spans="1:17" ht="27.75" customHeight="1" x14ac:dyDescent="0.25">
      <c r="A9" s="117" t="s">
        <v>36</v>
      </c>
      <c r="B9" s="117"/>
      <c r="C9" s="117"/>
      <c r="D9" s="117"/>
      <c r="E9" s="117"/>
      <c r="F9" s="117"/>
      <c r="G9" s="117"/>
      <c r="H9" s="117"/>
      <c r="I9" s="117"/>
      <c r="J9" s="117"/>
      <c r="K9" s="117"/>
      <c r="L9" s="117"/>
      <c r="M9" s="117"/>
      <c r="N9" s="117"/>
      <c r="O9" s="117"/>
      <c r="P9" s="117"/>
      <c r="Q9" s="117"/>
    </row>
    <row r="10" spans="1:17" ht="73.5" customHeight="1" x14ac:dyDescent="0.25">
      <c r="A10" s="118" t="s">
        <v>66</v>
      </c>
      <c r="B10" s="118"/>
      <c r="C10" s="118"/>
      <c r="D10" s="118"/>
      <c r="E10" s="118"/>
      <c r="F10" s="118"/>
      <c r="G10" s="118"/>
      <c r="H10" s="118"/>
      <c r="I10" s="118"/>
      <c r="J10" s="118"/>
      <c r="K10" s="118"/>
      <c r="L10" s="118"/>
      <c r="M10" s="118"/>
      <c r="N10" s="118"/>
      <c r="O10" s="118"/>
      <c r="P10" s="118"/>
      <c r="Q10" s="118"/>
    </row>
    <row r="11" spans="1:17" ht="5.25" customHeight="1" thickBot="1" x14ac:dyDescent="0.3">
      <c r="A11" s="39"/>
      <c r="B11" s="40"/>
      <c r="C11" s="40"/>
      <c r="D11" s="40"/>
      <c r="E11" s="40"/>
      <c r="F11" s="40"/>
      <c r="G11" s="41"/>
      <c r="H11" s="40"/>
      <c r="I11" s="40"/>
      <c r="J11" s="40"/>
      <c r="K11" s="40"/>
      <c r="L11" s="40"/>
      <c r="M11" s="40"/>
      <c r="N11" s="40"/>
      <c r="O11" s="40"/>
      <c r="P11" s="40"/>
      <c r="Q11" s="42"/>
    </row>
    <row r="12" spans="1:17" ht="15.75" thickBot="1" x14ac:dyDescent="0.3">
      <c r="A12" s="119" t="s">
        <v>37</v>
      </c>
      <c r="B12" s="119"/>
      <c r="C12" s="119"/>
      <c r="D12" s="119"/>
      <c r="E12" s="119"/>
      <c r="F12" s="119"/>
      <c r="G12" s="119"/>
      <c r="H12" s="119"/>
      <c r="I12" s="119"/>
      <c r="J12" s="119"/>
      <c r="K12" s="119"/>
      <c r="L12" s="119"/>
      <c r="M12" s="119"/>
      <c r="N12" s="119"/>
      <c r="O12" s="119"/>
      <c r="P12" s="119"/>
      <c r="Q12" s="119"/>
    </row>
    <row r="13" spans="1:17" ht="15.75" thickBot="1" x14ac:dyDescent="0.3">
      <c r="A13" s="120" t="s">
        <v>38</v>
      </c>
      <c r="B13" s="120"/>
      <c r="C13" s="120"/>
      <c r="D13" s="120"/>
      <c r="E13" s="120"/>
      <c r="F13" s="120"/>
      <c r="G13" s="120"/>
      <c r="H13" s="120"/>
      <c r="I13" s="120"/>
      <c r="J13" s="120"/>
      <c r="K13" s="120"/>
      <c r="L13" s="120"/>
      <c r="M13" s="120"/>
      <c r="N13" s="120"/>
      <c r="O13" s="121" t="s">
        <v>39</v>
      </c>
      <c r="P13" s="121"/>
      <c r="Q13" s="122" t="s">
        <v>40</v>
      </c>
    </row>
    <row r="14" spans="1:17" ht="15.75" thickBot="1" x14ac:dyDescent="0.3">
      <c r="A14" s="43" t="s">
        <v>41</v>
      </c>
      <c r="B14" s="44" t="s">
        <v>42</v>
      </c>
      <c r="C14" s="44" t="s">
        <v>43</v>
      </c>
      <c r="D14" s="44" t="s">
        <v>44</v>
      </c>
      <c r="E14" s="44" t="s">
        <v>45</v>
      </c>
      <c r="F14" s="44" t="s">
        <v>46</v>
      </c>
      <c r="G14" s="45" t="s">
        <v>47</v>
      </c>
      <c r="H14" s="44" t="s">
        <v>48</v>
      </c>
      <c r="I14" s="44" t="s">
        <v>49</v>
      </c>
      <c r="J14" s="44" t="s">
        <v>50</v>
      </c>
      <c r="K14" s="44" t="s">
        <v>50</v>
      </c>
      <c r="L14" s="44" t="s">
        <v>51</v>
      </c>
      <c r="M14" s="46" t="s">
        <v>52</v>
      </c>
      <c r="N14" s="47" t="s">
        <v>53</v>
      </c>
      <c r="O14" s="121"/>
      <c r="P14" s="121"/>
      <c r="Q14" s="122"/>
    </row>
    <row r="15" spans="1:17" ht="33.75" customHeight="1" thickBot="1" x14ac:dyDescent="0.3">
      <c r="A15" s="48">
        <v>1</v>
      </c>
      <c r="B15" s="49">
        <v>0</v>
      </c>
      <c r="C15" s="49">
        <v>0</v>
      </c>
      <c r="D15" s="49">
        <v>1</v>
      </c>
      <c r="E15" s="49">
        <v>0</v>
      </c>
      <c r="F15" s="49">
        <v>4901</v>
      </c>
      <c r="G15" s="49">
        <v>3</v>
      </c>
      <c r="H15" s="49">
        <v>4</v>
      </c>
      <c r="I15" s="49">
        <v>4</v>
      </c>
      <c r="J15" s="49">
        <v>3</v>
      </c>
      <c r="K15" s="49">
        <v>5</v>
      </c>
      <c r="L15" s="49">
        <v>0</v>
      </c>
      <c r="M15" s="50">
        <v>1</v>
      </c>
      <c r="N15" s="49" t="s">
        <v>54</v>
      </c>
      <c r="O15" s="111" t="s">
        <v>63</v>
      </c>
      <c r="P15" s="111"/>
      <c r="Q15" s="51">
        <v>8900000</v>
      </c>
    </row>
    <row r="16" spans="1:17" ht="29.25" customHeight="1" x14ac:dyDescent="0.25">
      <c r="A16" s="52"/>
      <c r="B16" s="53"/>
      <c r="C16" s="53"/>
      <c r="D16" s="53"/>
      <c r="E16" s="53"/>
      <c r="F16" s="49"/>
      <c r="G16" s="53"/>
      <c r="H16" s="53"/>
      <c r="I16" s="53"/>
      <c r="J16" s="53"/>
      <c r="K16" s="53"/>
      <c r="L16" s="53"/>
      <c r="M16" s="54"/>
      <c r="N16" s="55"/>
      <c r="O16" s="105"/>
      <c r="P16" s="106"/>
      <c r="Q16" s="56"/>
    </row>
    <row r="17" spans="1:17" x14ac:dyDescent="0.25">
      <c r="A17" s="57"/>
      <c r="B17" s="58"/>
      <c r="C17" s="58"/>
      <c r="D17" s="58"/>
      <c r="E17" s="58"/>
      <c r="F17" s="58"/>
      <c r="G17" s="58"/>
      <c r="H17" s="58"/>
      <c r="I17" s="58"/>
      <c r="J17" s="58"/>
      <c r="K17" s="58"/>
      <c r="L17" s="58"/>
      <c r="M17" s="59"/>
      <c r="N17" s="60"/>
      <c r="O17" s="107"/>
      <c r="P17" s="107"/>
      <c r="Q17" s="61"/>
    </row>
    <row r="18" spans="1:17" x14ac:dyDescent="0.25">
      <c r="A18" s="57"/>
      <c r="B18" s="58"/>
      <c r="C18" s="58"/>
      <c r="D18" s="58"/>
      <c r="E18" s="58"/>
      <c r="F18" s="58"/>
      <c r="G18" s="58"/>
      <c r="H18" s="58"/>
      <c r="I18" s="58"/>
      <c r="J18" s="58"/>
      <c r="K18" s="58"/>
      <c r="L18" s="58"/>
      <c r="M18" s="59"/>
      <c r="N18" s="60"/>
      <c r="O18" s="108"/>
      <c r="P18" s="108"/>
      <c r="Q18" s="61"/>
    </row>
    <row r="19" spans="1:17" x14ac:dyDescent="0.25">
      <c r="A19" s="57"/>
      <c r="B19" s="58"/>
      <c r="C19" s="58"/>
      <c r="D19" s="58"/>
      <c r="E19" s="58"/>
      <c r="F19" s="58"/>
      <c r="G19" s="58"/>
      <c r="H19" s="58"/>
      <c r="I19" s="58"/>
      <c r="J19" s="58"/>
      <c r="K19" s="58"/>
      <c r="L19" s="58"/>
      <c r="M19" s="59"/>
      <c r="N19" s="60"/>
      <c r="O19" s="108"/>
      <c r="P19" s="108"/>
      <c r="Q19" s="61"/>
    </row>
    <row r="20" spans="1:17" ht="15.75" thickBot="1" x14ac:dyDescent="0.3">
      <c r="A20" s="62"/>
      <c r="B20" s="63"/>
      <c r="C20" s="63"/>
      <c r="D20" s="63"/>
      <c r="E20" s="63"/>
      <c r="F20" s="63"/>
      <c r="G20" s="63"/>
      <c r="H20" s="63"/>
      <c r="I20" s="63"/>
      <c r="J20" s="63"/>
      <c r="K20" s="63"/>
      <c r="L20" s="63"/>
      <c r="M20" s="64"/>
      <c r="N20" s="63"/>
      <c r="O20" s="109"/>
      <c r="P20" s="109"/>
      <c r="Q20" s="65"/>
    </row>
    <row r="21" spans="1:17" ht="27.75" customHeight="1" thickBot="1" x14ac:dyDescent="0.3">
      <c r="A21" s="110" t="s">
        <v>64</v>
      </c>
      <c r="B21" s="110"/>
      <c r="C21" s="110"/>
      <c r="D21" s="110"/>
      <c r="E21" s="110"/>
      <c r="F21" s="110"/>
      <c r="G21" s="110"/>
      <c r="H21" s="110"/>
      <c r="I21" s="110"/>
      <c r="J21" s="110"/>
      <c r="K21" s="110"/>
      <c r="L21" s="110"/>
      <c r="M21" s="110"/>
      <c r="N21" s="110"/>
      <c r="O21" s="110"/>
      <c r="P21" s="110"/>
      <c r="Q21" s="66">
        <f>SUM(Q15:Q20)</f>
        <v>8900000</v>
      </c>
    </row>
    <row r="22" spans="1:17" ht="15.75" thickBot="1" x14ac:dyDescent="0.3">
      <c r="A22" s="101"/>
      <c r="B22" s="101"/>
      <c r="C22" s="101"/>
      <c r="D22" s="101"/>
      <c r="E22" s="101"/>
      <c r="F22" s="101"/>
      <c r="G22" s="101"/>
      <c r="H22" s="101"/>
      <c r="I22" s="101"/>
      <c r="J22" s="101"/>
      <c r="K22" s="101"/>
      <c r="L22" s="101"/>
      <c r="M22" s="101"/>
      <c r="N22" s="101"/>
      <c r="O22" s="101"/>
      <c r="P22" s="101"/>
      <c r="Q22" s="101"/>
    </row>
    <row r="23" spans="1:17" ht="15.75" thickBot="1" x14ac:dyDescent="0.3">
      <c r="A23" s="102" t="s">
        <v>55</v>
      </c>
      <c r="B23" s="102"/>
      <c r="C23" s="102"/>
      <c r="D23" s="102"/>
      <c r="E23" s="102"/>
      <c r="F23" s="102"/>
      <c r="G23" s="103"/>
      <c r="H23" s="103"/>
      <c r="I23" s="103"/>
      <c r="J23" s="103"/>
      <c r="K23" s="103"/>
      <c r="L23" s="103"/>
      <c r="M23" s="103"/>
      <c r="N23" s="103"/>
      <c r="O23" s="103"/>
      <c r="P23" s="103"/>
      <c r="Q23" s="103"/>
    </row>
    <row r="24" spans="1:17" ht="15.75" thickBot="1" x14ac:dyDescent="0.3">
      <c r="A24" s="104" t="s">
        <v>65</v>
      </c>
      <c r="B24" s="104"/>
      <c r="C24" s="104"/>
      <c r="D24" s="104"/>
      <c r="E24" s="104"/>
      <c r="F24" s="104"/>
      <c r="G24" s="104"/>
      <c r="H24" s="104"/>
      <c r="I24" s="104"/>
      <c r="J24" s="104"/>
      <c r="K24" s="104"/>
      <c r="L24" s="104"/>
      <c r="M24" s="104"/>
      <c r="N24" s="104"/>
      <c r="O24" s="104"/>
      <c r="P24" s="104"/>
      <c r="Q24" s="104"/>
    </row>
    <row r="25" spans="1:17" ht="15.75" thickBot="1" x14ac:dyDescent="0.3">
      <c r="A25" s="104"/>
      <c r="B25" s="104"/>
      <c r="C25" s="104"/>
      <c r="D25" s="104"/>
      <c r="E25" s="104"/>
      <c r="F25" s="104"/>
      <c r="G25" s="104"/>
      <c r="H25" s="104"/>
      <c r="I25" s="104"/>
      <c r="J25" s="104"/>
      <c r="K25" s="104"/>
      <c r="L25" s="104"/>
      <c r="M25" s="104"/>
      <c r="N25" s="104"/>
      <c r="O25" s="104"/>
      <c r="P25" s="104"/>
      <c r="Q25" s="104"/>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Tesoreria</cp:lastModifiedBy>
  <cp:lastPrinted>2021-02-12T12:40:05Z</cp:lastPrinted>
  <dcterms:created xsi:type="dcterms:W3CDTF">2021-02-08T12:06:32Z</dcterms:created>
  <dcterms:modified xsi:type="dcterms:W3CDTF">2021-02-12T12:41:41Z</dcterms:modified>
</cp:coreProperties>
</file>