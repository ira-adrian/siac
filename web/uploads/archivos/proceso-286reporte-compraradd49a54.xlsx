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mc:AlternateContent xmlns:mc="http://schemas.openxmlformats.org/markup-compatibility/2006">
    <mc:Choice Requires="x15">
      <x15ac:absPath xmlns:x15ac="http://schemas.microsoft.com/office/spreadsheetml/2010/11/ac" url="C:\Users\ELIAS QUINTAR\Downloads\"/>
    </mc:Choice>
  </mc:AlternateContent>
  <xr:revisionPtr revIDLastSave="0" documentId="8_{3373B864-F652-4A19-A848-83A8EA00C16A}"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comparativo'!$K$8:$N$8,'Cuadro comparativo'!$O$8:$R$8,'Cuadro comparativo'!$S$8:$V$8</definedName>
    <definedName name="Titles">'Cuadro comparativo'!$A$8:$F$8</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22" i="2" l="1"/>
  <c r="M22" i="2"/>
  <c r="Q22" i="2"/>
  <c r="U22" i="2"/>
</calcChain>
</file>

<file path=xl/sharedStrings.xml><?xml version="1.0" encoding="utf-8"?>
<sst xmlns="http://schemas.openxmlformats.org/spreadsheetml/2006/main" count="120" uniqueCount="78">
  <si>
    <t>Número expediente:</t>
  </si>
  <si>
    <t>EX-2022-02284521-   -CAT-DPCBS#MEC</t>
  </si>
  <si>
    <t>Número proceso de compra:</t>
  </si>
  <si>
    <t>100-0088-CPR22</t>
  </si>
  <si>
    <t>Nombre descriptivo proceso de compra:</t>
  </si>
  <si>
    <t>ADQUISICION DE EQUIPOS DE OFICINA Y ARTICULOS DEL HOGAR PARA EL MINISTERIO DE SALUD</t>
  </si>
  <si>
    <t>Unidad Operativa de Compras:</t>
  </si>
  <si>
    <t>Secretaria de Compras y Abastecimiento</t>
  </si>
  <si>
    <t>Fecha de Apertura:</t>
  </si>
  <si>
    <t>02/12/2022</t>
  </si>
  <si>
    <t>Renglón</t>
  </si>
  <si>
    <t>EZEQUIEL DAVID ROSENBLAT</t>
  </si>
  <si>
    <t>LOURDES AGUSTINA PEREZ RODRIGUEZ</t>
  </si>
  <si>
    <t>MARTIN ABEL LAGORIA</t>
  </si>
  <si>
    <t>TEJADA HNOS SRL</t>
  </si>
  <si>
    <t>Alternativa</t>
  </si>
  <si>
    <t>Código</t>
  </si>
  <si>
    <t>Descripción</t>
  </si>
  <si>
    <t>Cantidad solicitada</t>
  </si>
  <si>
    <t>Unidad de medida</t>
  </si>
  <si>
    <t>Precio unitario</t>
  </si>
  <si>
    <t>Cantidad ofertada</t>
  </si>
  <si>
    <t>Total por renglón</t>
  </si>
  <si>
    <t>Especificacion técnica</t>
  </si>
  <si>
    <t xml:space="preserve">1 </t>
  </si>
  <si>
    <t xml:space="preserve">4.3.7-21.6 </t>
  </si>
  <si>
    <t xml:space="preserve">ANAFES ELECTRICOS; PLANCHA: NO, CANTIDAD DISCOS: 2, TENSION NOMINAL: 220 
V, CORRIENTE NOMINAL: MENOR A 63 A, CONSUMO: 2,5 KW, 
CRITERIO DE SEGURIDAD: SELLO DE SEGURIDAD </t>
  </si>
  <si>
    <t xml:space="preserve">UNIDAD </t>
  </si>
  <si>
    <t xml:space="preserve">Anafe eléctrico Spica SP-1040 negro 220V Potencia de 2000W. Con 
encendido automático y 2 quemadores. Su superficie es de acero. 
Control a perilla. Con protección de sobrecalentamiento para evitar posibles 
accidentes. Posee 5 niveles de potencia. Dimensiones: 45cm de ancho 
x 5cm de alto x 22cm de profundidad. GARANTIA 6MESES 
</t>
  </si>
  <si>
    <t xml:space="preserve">"ANAFES ELECTRICOS  ELECTRO POINT  CANTIDAD DISCOS: 2, TENSION 
NOMINAL: 220 V, CORRIENTE NOMINAL: MENOR A 63 A, CONSUMO: 
2,5 KW, CRITERIO DE SEGURIDAD: SELLO DE SEGURIDAD"   
   </t>
  </si>
  <si>
    <t xml:space="preserve">ANAFE ELECTRICO; MARCA: SANSEI; MODELO: ANSN2CBN; CANTIDAD HORNALLA 2 (DOS) 
 </t>
  </si>
  <si>
    <t xml:space="preserve">2 </t>
  </si>
  <si>
    <t xml:space="preserve">4.3.7-2187.19 </t>
  </si>
  <si>
    <t xml:space="preserve">CARROS P/TRANSPORTE DE COMIDA; CAPACIDAD: 24 BANDEJAS, MATERIAL: ACERO INOXIDABLE, 
MATERIAL ESTRUCTURA: ACERO INOXIDABLE </t>
  </si>
  <si>
    <t xml:space="preserve">CARRO BANDEJERO HORIZONTAL  P/TRANSPORTE DE COMIDA; ACERO PINTURA EPOXI. 
 MEDIDAS , ALTURA 90CM/ ANCHO. MARCA REBAGLIATI   
 </t>
  </si>
  <si>
    <t xml:space="preserve">CARRO BANDEJERO VERTICAL  P/TRANSPORTE DE COMIDA; ACERO/ PINTURA EPOXI 
. IDEM FOTO.  MEDIDAS , ALTURA 90CM/ ANCHO MARCA 
REBAGLIATI          
      </t>
  </si>
  <si>
    <t xml:space="preserve">3 </t>
  </si>
  <si>
    <t xml:space="preserve">4.3.7-18.90 </t>
  </si>
  <si>
    <t xml:space="preserve">COCINAS A GAS; CANTIDAD DE HORNALLAS: 4, LARGO X ANCHO: 
INDUSTRIAL </t>
  </si>
  <si>
    <t xml:space="preserve">Cocina Industrial Fornax 4h + Plancha Carlitero Grill Parril CARACTERíSTICAS 
DEL PRODUCTO: Exterior en acero inoxidable esmerilado Interior en chapa 
enlozada Bandeja antiderrame en acero inoxidable Rejillas de fundición de 
hierro Quemadores de fundición de aluminio con tapa enlozada Aislada 
con lana de vidrio Pirómetro altamente sensible montado sobre puerta 
y conectado con el sector interno de la cámara de 
cocción Carlitero-tostador Parrilla grill Piso de ladrillos refractarios Robinetes industriales 
de bronce Perillas con aro cromo brillante Puerta con manija 
curva cromada Bisagras con resorte Quemador del horno enlozado Plancha 
bifera lisa superpuesta autoportante en chapa DD laminada en frio 
3/16" de espesor Apto para gas natural o envasado </t>
  </si>
  <si>
    <t xml:space="preserve">COCINAS MARCA *GENERICA PRO MAX*, A GAS; CANTIDAD DE 4 
HORNALLAS:  ,MODELO INDUSTRIAL .      
 </t>
  </si>
  <si>
    <t xml:space="preserve">COCINA INDUSTRIAL; MARCA: MORELLI; MODELO: 550 ACERO; HORNALLAS 4  
</t>
  </si>
  <si>
    <t xml:space="preserve">4 </t>
  </si>
  <si>
    <t xml:space="preserve">4.3.7-16.55 </t>
  </si>
  <si>
    <t xml:space="preserve">FREEZERS; CAPACIDAD: 260 L, TEMPERATURA: -25 A -18 °C, CONSUMO: 
MENOR A 5 KVA, TENSION NOMINAL: 220 V, CRITERIO DE 
SEGURIDAD: SELLO DE SEGURIDAD, CORRIENTE NOMINAL: 1,2 A, EFICIENCIA ENERGETICA: 
GRADO A </t>
  </si>
  <si>
    <t xml:space="preserve">FREEZER MARCA *NEBA* , CAPACIDAD: 260 L, TEMPERATURA: -25 A 
-18 °C,CONSUMO MENOR A 5 KVA, TENSION NOMINAL: 220 V, 
CRITERIO DE SEGURIDAD SELLO DE SEGURIDAD, CORRIENTE NOMINAL: 1,2 A, 
EFICIENCIA ENERGETICA: GRADO  A      
</t>
  </si>
  <si>
    <t xml:space="preserve">FREEZER; MARCA: GAFA; MODELO:ETERNITY L290 AB BLANCO  </t>
  </si>
  <si>
    <t xml:space="preserve">5 </t>
  </si>
  <si>
    <t xml:space="preserve">4.3.7-4500.15 </t>
  </si>
  <si>
    <t xml:space="preserve">GAVETEROS; MATERIAL: METAL, REFORZADO. ALTURA: 200 CM, ANCHO: 90 CM, 
PROFUNDIDAD: 30 CM, TERMINACION: ESMALTE, CANTIDAD DE CAJONES: 32 </t>
  </si>
  <si>
    <t xml:space="preserve">"GAVETEROS; MATERIAL METAL, REFORZADO. ALTURA: 200 CM, ANCHO: 90 CM, 
PROFUNDIDAD: 30 CM, TERMINACION: ESMALTECANTIDAD DE CAJONES: 32," MARCA SION 
    </t>
  </si>
  <si>
    <t xml:space="preserve">6 </t>
  </si>
  <si>
    <t xml:space="preserve">4.3.8-1745.10 </t>
  </si>
  <si>
    <t xml:space="preserve">GRUPOS ELECTROGENOS; TENSION SALIDA: 220 V, POTENCIA ACTIVA: 5500-6000 W, 
TIPO: PORTATIL, VELOCIDAD: SIN VALOR, CORRIENTE: SIN VALOR, TENSION: 220 
V </t>
  </si>
  <si>
    <t xml:space="preserve">GRUPOS ELECTROGENOS MARCA FEMA  , MODELO 6600 , 13HP-OHV 
 POTENCIA ACTIVA:5500 W, 6.5KVA TIPO: PORTATIL, VELOCIDAD: SIN VALOR, 
CORRIENTE: SIN VALOR, TENSION: 220 V     
 </t>
  </si>
  <si>
    <t xml:space="preserve">7 </t>
  </si>
  <si>
    <t xml:space="preserve">4.3.7-15.123 </t>
  </si>
  <si>
    <t xml:space="preserve">HELADERAS; CAPACIDAD: 400 L, FRIO: CON FREEZER, CONSUMO: MENOR A 
5 KVA, TENSION NOMINAL: 220 V, CRITERIO DE SEGURIDAD: SELLO 
DE SEGURIDAD, CORRIENTE NOMINAL: MENOR A 63 A, EFICIENCIA ENERGETICA: 
GRADO A </t>
  </si>
  <si>
    <t xml:space="preserve">Heladera Samsung Rt38 Rt38k5932sl Inverter No Frost 380lt ESPECIFICACIONES * 
Capacidad - Neto Total: 382 L - Freezer Neto: 89 
L - Litraje Heladera (Neto): 293 l - Bruto: 396 
L - Freezer Bruto: 101 L - Litraje Heladera (Bruto): 
295 l  * Medidas - Ancho Neto: 675 mm 
- Altura con bisagra: 1785 mm 72 horas de prueba 
con nosotros Garantía de 12 meses por fallas de fábrica 
</t>
  </si>
  <si>
    <t xml:space="preserve">HELADERAS MARCA NEBA CAPACIDAD: 360 L, FRIO: CON FREEZER, CONSUMO:MENOR 
A 5 KVA, TENSION NOMINAL: 220 V, CRITERIO DE SEGURIDAD: 
SELLO DE SEGURIDAD, CORRIENTE NOMINAL: MENOR A 63 AEFICIENCIA ENERGETICA: 
GRADO A         
       </t>
  </si>
  <si>
    <t xml:space="preserve">HELADERA; MARCA: BAMBI; MODELO:  2F 1800BA R600A  </t>
  </si>
  <si>
    <t xml:space="preserve">8 </t>
  </si>
  <si>
    <t xml:space="preserve">2.2.3-5867.2 </t>
  </si>
  <si>
    <t xml:space="preserve">PROTECCION P/COLCHON; ANCHO: 0,80 M </t>
  </si>
  <si>
    <t xml:space="preserve">PROTECCION P/COLCHON  IMPERMEABLE EN PEBD, MARCA REGALOSAR , PARA 
USO HOGAREÑO O  MEDICINAL ,ANCHO: 0,80 M   
    </t>
  </si>
  <si>
    <t xml:space="preserve">PROTECCION P/COLCHON IMPERMEABLE EN PEBD MARCA MAT.ER PREMIUM , PARA 
USO HOGAREÑO O MEDICINAL   ANCHO: 0,80 M  
    </t>
  </si>
  <si>
    <t xml:space="preserve">9 </t>
  </si>
  <si>
    <t xml:space="preserve">4.3.9-2655.32 </t>
  </si>
  <si>
    <t xml:space="preserve">SECARROPAS/CENTRIFUGA; TIPO: ROTATIVO, SECADO: POR CALOR, CON OPCION SECADO EN 
FRIO, CAPACIDAD: 9 KG, TENSION NOMINAL: 220 V, CORRIENTE NOMINAL: 
10 A, CRITERIO DE SEGURIDAD: SELLO DE SEGURIDAD, CONSUMO: 6 
KW, EFICIENCIA ENERGETICA: GRADO B </t>
  </si>
  <si>
    <t xml:space="preserve">Secarropas Philco Phsc071b 7kg Secado Por Calor Display Lcd Con 
tambor de acero inoxidable. Tipo de carga: frontal. Posee múltiples 
programas de secado. Dimensiones: 56.9cm de ancho, 84cm de alto 
y 55.5cm de profundidad. Cuenta con pantalla LCD. Diseño innovador 
para secados perfectos. Mayor ahorro de energía en cada uso. 
GARANTI 12 MESES DE FABRICA </t>
  </si>
  <si>
    <t xml:space="preserve">SECARROPAS/CENTRIFUGA MARCA CANDY TIPO: ROTATIVO, SECADO: POR CALORCON OPCION SECADO 
EN FRIO, CAPACIDAD: 9 KG, TENSION NOMINAL:220 V, CORRIENTE NOMINAL: 
10 A, CRITERIO DE SEGURIDAD: SELLO DESEGURIDAD, CONSUMO: 6 KW, 
EFICIENCIA ENERGETICA: GRADO B       
         </t>
  </si>
  <si>
    <t xml:space="preserve">10 </t>
  </si>
  <si>
    <t xml:space="preserve">4.3.7-27.4 </t>
  </si>
  <si>
    <t xml:space="preserve">TERMOTANQUES; CAPACIDAD: 120 L, REVESTIMIENTO INTERIOR: VITRIFICADO, REVESTIMIENTO INTERNO: VITRIFICADO 
</t>
  </si>
  <si>
    <t xml:space="preserve">Termotanque Electrico De Pie Saiar 125 Lts Superior Tepc125 Características: 
• Máxima recuperación • Aislamiento de Poliuretano Ecológico: Conserva más 
tiempo la temperatura del agua, ahorrando energía. • Tubo de 
bajada EVERKLEEN Remueve los depósitos cristalinos demorando la formación de 
sarro.  • Capacidad (litros): 125 • Altura total (Cm): 
114,0 • Diámetro (Cm): 45,1 • Potencia elec (w): 2000 
• Recuperación (l/h; 86 72 horas de prueba con nosotros 
Garantía de 7 años con la marca </t>
  </si>
  <si>
    <t xml:space="preserve">TERMOTANQUE SEÑORIAL CAPACIDAD: 120 L,  GAS ZAFIRO , REVESTIMIENTO 
INTERIORVITRIFICADO, REVESTIMIENTO INTERNO: VITRIFICADO       
         </t>
  </si>
  <si>
    <t xml:space="preserve">TERMOTANQUE ELECTRICO; MARCA: SAIAR; LITROS: 125 LTS; MODELO:TEPC125ESARIK2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</si>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</sst>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xf numFmtId="0" fontId="1" fillId="2" borderId="0" xfId="0" applyFont="1" applyFill="1" applyAlignment="1">
      <alignment horizontal="center"/>
    </xf>
    <xf numFmtId="0" fontId="1" fillId="2" borderId="0" xfId="0" applyFont="1" applyFill="1" applyAlignment="1">
      <alignment horizontal="left"/>
    </xf>
    <xf numFmtId="164" fontId="0" fillId="0" borderId="0" xfId="0" applyNumberFormat="1"/>
    <xf numFmtId="0" fontId="0" fillId="0" borderId="0" xfId="0" applyAlignment="1">
      <alignment wrapText="1"/>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22"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22"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22"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O9:R22" totalsRowCount="1">
  <tableColumns count="4">
    <tableColumn id="1" xr3:uid="{00000000-0010-0000-0300-000001000000}" name="Precio unitario"/>
    <tableColumn id="2" xr3:uid="{00000000-0010-0000-0300-000002000000}" name="Cantidad ofertada"/>
    <tableColumn id="3" xr3:uid="{00000000-0010-0000-0300-000003000000}" name="Total por renglón" totalsRowFunction="sum"/>
    <tableColumn id="4" xr3:uid="{00000000-0010-0000-0300-000004000000}" name="Especificacion técnica"/>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S9:V22" totalsRowCount="1">
  <tableColumns count="4">
    <tableColumn id="1" xr3:uid="{00000000-0010-0000-0400-000001000000}" name="Precio unitario"/>
    <tableColumn id="2" xr3:uid="{00000000-0010-0000-0400-000002000000}" name="Cantidad ofertada"/>
    <tableColumn id="3" xr3:uid="{00000000-0010-0000-0400-000003000000}" name="Total por renglón" totalsRowFunction="sum"/>
    <tableColumn id="4" xr3:uid="{00000000-0010-0000-04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3.5703125" customWidth="1"/>
    <col min="4" max="4" width="103.85546875" customWidth="1"/>
    <col min="5" max="5" width="85.85546875" customWidth="1"/>
    <col min="6" max="6" width="17.42578125" customWidth="1"/>
    <col min="7" max="7" width="14.28515625" customWidth="1"/>
    <col min="8" max="8" width="17.28515625" customWidth="1"/>
    <col min="9" max="9" width="16.5703125" customWidth="1"/>
    <col min="10" max="10" width="77.5703125" customWidth="1"/>
    <col min="11" max="11" width="14.28515625" customWidth="1"/>
    <col min="12" max="12" width="17.28515625" customWidth="1"/>
    <col min="13" max="13" width="16.5703125" customWidth="1"/>
    <col min="14" max="14" width="90.140625" customWidth="1"/>
    <col min="15" max="15" width="14.28515625" customWidth="1"/>
    <col min="16" max="16" width="17.28515625" customWidth="1"/>
    <col min="17" max="17" width="16.5703125" customWidth="1"/>
    <col min="18" max="18" width="78.140625" customWidth="1"/>
    <col min="19" max="19" width="14.28515625" customWidth="1"/>
    <col min="20" max="20" width="17.28515625" customWidth="1"/>
    <col min="21" max="21" width="16.5703125" customWidth="1"/>
    <col min="22" max="22" width="77.140625" customWidth="1"/>
  </cols>
  <sheetData>
    <row r="1" spans="1:22" x14ac:dyDescent="0.25">
      <c r="D1" s="2" t="s">
        <v>0</v>
      </c>
      <c r="E1" s="2" t="s">
        <v>1</v>
      </c>
    </row>
    <row r="2" spans="1:22" x14ac:dyDescent="0.25">
      <c r="D2" s="2" t="s">
        <v>2</v>
      </c>
      <c r="E2" s="2" t="s">
        <v>3</v>
      </c>
    </row>
    <row r="3" spans="1:22" x14ac:dyDescent="0.25">
      <c r="D3" s="2" t="s">
        <v>4</v>
      </c>
      <c r="E3" s="2" t="s">
        <v>5</v>
      </c>
    </row>
    <row r="4" spans="1:22" x14ac:dyDescent="0.25">
      <c r="D4" s="2" t="s">
        <v>6</v>
      </c>
      <c r="E4" s="2" t="s">
        <v>7</v>
      </c>
    </row>
    <row r="5" spans="1:22" x14ac:dyDescent="0.25">
      <c r="D5" s="2" t="s">
        <v>8</v>
      </c>
      <c r="E5" s="2" t="s">
        <v>9</v>
      </c>
    </row>
    <row r="8" spans="1:22" x14ac:dyDescent="0.25">
      <c r="A8" s="1" t="s">
        <v>10</v>
      </c>
      <c r="B8" s="1"/>
      <c r="C8" s="1"/>
      <c r="D8" s="1"/>
      <c r="E8" s="1"/>
      <c r="F8" s="1"/>
      <c r="G8" s="1" t="s">
        <v>11</v>
      </c>
      <c r="H8" s="1"/>
      <c r="I8" s="1"/>
      <c r="J8" s="1"/>
      <c r="K8" s="1" t="s">
        <v>12</v>
      </c>
      <c r="L8" s="1"/>
      <c r="M8" s="1"/>
      <c r="N8" s="1"/>
      <c r="O8" s="1" t="s">
        <v>13</v>
      </c>
      <c r="P8" s="1"/>
      <c r="Q8" s="1"/>
      <c r="R8" s="1"/>
      <c r="S8" s="1" t="s">
        <v>14</v>
      </c>
      <c r="T8" s="1"/>
      <c r="U8" s="1"/>
      <c r="V8" s="1"/>
    </row>
    <row r="9" spans="1:22" x14ac:dyDescent="0.25">
      <c r="A9" t="s">
        <v>10</v>
      </c>
      <c r="B9" t="s">
        <v>15</v>
      </c>
      <c r="C9" t="s">
        <v>16</v>
      </c>
      <c r="D9" t="s">
        <v>17</v>
      </c>
      <c r="E9" t="s">
        <v>18</v>
      </c>
      <c r="F9" t="s">
        <v>19</v>
      </c>
      <c r="G9" s="3" t="s">
        <v>20</v>
      </c>
      <c r="H9" s="3" t="s">
        <v>21</v>
      </c>
      <c r="I9" t="s">
        <v>22</v>
      </c>
      <c r="J9" t="s">
        <v>23</v>
      </c>
      <c r="K9" s="3" t="s">
        <v>20</v>
      </c>
      <c r="L9" s="3" t="s">
        <v>21</v>
      </c>
      <c r="M9" t="s">
        <v>22</v>
      </c>
      <c r="N9" t="s">
        <v>23</v>
      </c>
      <c r="O9" s="3" t="s">
        <v>20</v>
      </c>
      <c r="P9" s="3" t="s">
        <v>21</v>
      </c>
      <c r="Q9" t="s">
        <v>22</v>
      </c>
      <c r="R9" t="s">
        <v>23</v>
      </c>
      <c r="S9" s="3" t="s">
        <v>20</v>
      </c>
      <c r="T9" s="3" t="s">
        <v>21</v>
      </c>
      <c r="U9" t="s">
        <v>22</v>
      </c>
      <c r="V9" t="s">
        <v>23</v>
      </c>
    </row>
    <row r="10" spans="1:22" ht="90" x14ac:dyDescent="0.25">
      <c r="A10" t="s">
        <v>24</v>
      </c>
      <c r="B10" t="s">
        <v>24</v>
      </c>
      <c r="C10" t="s">
        <v>25</v>
      </c>
      <c r="D10" s="4" t="s">
        <v>26</v>
      </c>
      <c r="E10">
        <v>10</v>
      </c>
      <c r="F10" t="s">
        <v>27</v>
      </c>
      <c r="G10" s="3">
        <v>18300</v>
      </c>
      <c r="H10" s="3">
        <v>10</v>
      </c>
      <c r="I10" s="5">
        <v>183000</v>
      </c>
      <c r="J10" s="4" t="s">
        <v>28</v>
      </c>
      <c r="K10" s="3">
        <v>13800</v>
      </c>
      <c r="L10" s="3">
        <v>10</v>
      </c>
      <c r="M10" s="5">
        <v>138000</v>
      </c>
      <c r="N10" s="4" t="s">
        <v>29</v>
      </c>
      <c r="O10" s="3">
        <v>15000</v>
      </c>
      <c r="P10" s="3">
        <v>10</v>
      </c>
      <c r="Q10" s="5">
        <v>150000</v>
      </c>
      <c r="R10" s="4" t="s">
        <v>30</v>
      </c>
      <c r="S10" s="3"/>
      <c r="T10" s="3"/>
      <c r="U10" s="5"/>
    </row>
    <row r="11" spans="1:22" ht="60" x14ac:dyDescent="0.25">
      <c r="A11" t="s">
        <v>31</v>
      </c>
      <c r="B11" t="s">
        <v>24</v>
      </c>
      <c r="C11" t="s">
        <v>32</v>
      </c>
      <c r="D11" s="4" t="s">
        <v>33</v>
      </c>
      <c r="E11">
        <v>10</v>
      </c>
      <c r="F11" t="s">
        <v>27</v>
      </c>
      <c r="G11" s="3"/>
      <c r="H11" s="3"/>
      <c r="I11" s="5"/>
      <c r="K11" s="3">
        <v>119000</v>
      </c>
      <c r="L11" s="3">
        <v>10</v>
      </c>
      <c r="M11" s="5">
        <v>1190000</v>
      </c>
      <c r="N11" s="4" t="s">
        <v>34</v>
      </c>
      <c r="O11" s="3"/>
      <c r="P11" s="3"/>
      <c r="Q11" s="5"/>
      <c r="S11" s="3"/>
      <c r="T11" s="3"/>
      <c r="U11" s="5"/>
    </row>
    <row r="12" spans="1:22" ht="60" x14ac:dyDescent="0.25">
      <c r="A12" t="s">
        <v>31</v>
      </c>
      <c r="B12" t="s">
        <v>31</v>
      </c>
      <c r="C12" t="s">
        <v>32</v>
      </c>
      <c r="D12" s="4" t="s">
        <v>33</v>
      </c>
      <c r="E12">
        <v>10</v>
      </c>
      <c r="F12" t="s">
        <v>27</v>
      </c>
      <c r="G12" s="3"/>
      <c r="H12" s="3"/>
      <c r="I12" s="5"/>
      <c r="K12" s="3">
        <v>119000</v>
      </c>
      <c r="L12" s="3">
        <v>10</v>
      </c>
      <c r="M12" s="5">
        <v>1190000</v>
      </c>
      <c r="N12" s="4" t="s">
        <v>35</v>
      </c>
      <c r="O12" s="3"/>
      <c r="P12" s="3"/>
      <c r="Q12" s="5"/>
      <c r="S12" s="3"/>
      <c r="T12" s="3"/>
      <c r="U12" s="5"/>
    </row>
    <row r="13" spans="1:22" ht="180" x14ac:dyDescent="0.25">
      <c r="A13" t="s">
        <v>36</v>
      </c>
      <c r="B13" t="s">
        <v>24</v>
      </c>
      <c r="C13" t="s">
        <v>37</v>
      </c>
      <c r="D13" s="4" t="s">
        <v>38</v>
      </c>
      <c r="E13">
        <v>10</v>
      </c>
      <c r="F13" t="s">
        <v>27</v>
      </c>
      <c r="G13" s="3">
        <v>255000</v>
      </c>
      <c r="H13" s="3">
        <v>10</v>
      </c>
      <c r="I13" s="5">
        <v>2550000</v>
      </c>
      <c r="J13" s="4" t="s">
        <v>39</v>
      </c>
      <c r="K13" s="3">
        <v>87800</v>
      </c>
      <c r="L13" s="3">
        <v>10</v>
      </c>
      <c r="M13" s="5">
        <v>878000</v>
      </c>
      <c r="N13" s="4" t="s">
        <v>40</v>
      </c>
      <c r="O13" s="3"/>
      <c r="P13" s="3"/>
      <c r="Q13" s="5"/>
      <c r="S13" s="3">
        <v>145900</v>
      </c>
      <c r="T13" s="3">
        <v>10</v>
      </c>
      <c r="U13" s="5">
        <v>1459000</v>
      </c>
      <c r="V13" s="4" t="s">
        <v>41</v>
      </c>
    </row>
    <row r="14" spans="1:22" ht="90" x14ac:dyDescent="0.25">
      <c r="A14" t="s">
        <v>42</v>
      </c>
      <c r="B14" t="s">
        <v>24</v>
      </c>
      <c r="C14" t="s">
        <v>43</v>
      </c>
      <c r="D14" s="4" t="s">
        <v>44</v>
      </c>
      <c r="E14">
        <v>10</v>
      </c>
      <c r="F14" t="s">
        <v>27</v>
      </c>
      <c r="G14" s="3"/>
      <c r="H14" s="3"/>
      <c r="I14" s="5"/>
      <c r="K14" s="3">
        <v>119000</v>
      </c>
      <c r="L14" s="3">
        <v>10</v>
      </c>
      <c r="M14" s="5">
        <v>1190000</v>
      </c>
      <c r="N14" s="4" t="s">
        <v>45</v>
      </c>
      <c r="O14" s="3">
        <v>149990</v>
      </c>
      <c r="P14" s="3">
        <v>10</v>
      </c>
      <c r="Q14" s="5">
        <v>1499900</v>
      </c>
      <c r="R14" t="s">
        <v>46</v>
      </c>
      <c r="S14" s="3"/>
      <c r="T14" s="3"/>
      <c r="U14" s="5"/>
    </row>
    <row r="15" spans="1:22" ht="60" x14ac:dyDescent="0.25">
      <c r="A15" t="s">
        <v>47</v>
      </c>
      <c r="B15" t="s">
        <v>24</v>
      </c>
      <c r="C15" t="s">
        <v>48</v>
      </c>
      <c r="D15" s="4" t="s">
        <v>49</v>
      </c>
      <c r="E15">
        <v>100</v>
      </c>
      <c r="F15" t="s">
        <v>27</v>
      </c>
      <c r="G15" s="3"/>
      <c r="H15" s="3"/>
      <c r="I15" s="5"/>
      <c r="K15" s="3">
        <v>204900</v>
      </c>
      <c r="L15" s="3">
        <v>100</v>
      </c>
      <c r="M15" s="5">
        <v>20490000</v>
      </c>
      <c r="N15" s="4" t="s">
        <v>50</v>
      </c>
      <c r="O15" s="3"/>
      <c r="P15" s="3"/>
      <c r="Q15" s="5"/>
      <c r="S15" s="3"/>
      <c r="T15" s="3"/>
      <c r="U15" s="5"/>
    </row>
    <row r="16" spans="1:22" ht="75" x14ac:dyDescent="0.25">
      <c r="A16" t="s">
        <v>51</v>
      </c>
      <c r="B16" t="s">
        <v>24</v>
      </c>
      <c r="C16" t="s">
        <v>52</v>
      </c>
      <c r="D16" s="4" t="s">
        <v>53</v>
      </c>
      <c r="E16">
        <v>7</v>
      </c>
      <c r="F16" t="s">
        <v>27</v>
      </c>
      <c r="G16" s="3"/>
      <c r="H16" s="3"/>
      <c r="I16" s="5"/>
      <c r="K16" s="3">
        <v>317250</v>
      </c>
      <c r="L16" s="3">
        <v>7</v>
      </c>
      <c r="M16" s="5">
        <v>2220750</v>
      </c>
      <c r="N16" s="4" t="s">
        <v>54</v>
      </c>
      <c r="O16" s="3"/>
      <c r="P16" s="3"/>
      <c r="Q16" s="5"/>
      <c r="S16" s="3"/>
      <c r="T16" s="3"/>
      <c r="U16" s="5"/>
    </row>
    <row r="17" spans="1:22" ht="120" x14ac:dyDescent="0.25">
      <c r="A17" t="s">
        <v>55</v>
      </c>
      <c r="B17" t="s">
        <v>24</v>
      </c>
      <c r="C17" t="s">
        <v>56</v>
      </c>
      <c r="D17" s="4" t="s">
        <v>57</v>
      </c>
      <c r="E17">
        <v>14</v>
      </c>
      <c r="F17" t="s">
        <v>27</v>
      </c>
      <c r="G17" s="3">
        <v>570000</v>
      </c>
      <c r="H17" s="3">
        <v>10</v>
      </c>
      <c r="I17" s="5">
        <v>5700000</v>
      </c>
      <c r="J17" s="4" t="s">
        <v>58</v>
      </c>
      <c r="K17" s="3">
        <v>145200</v>
      </c>
      <c r="L17" s="3">
        <v>14</v>
      </c>
      <c r="M17" s="5">
        <v>2032800</v>
      </c>
      <c r="N17" s="4" t="s">
        <v>59</v>
      </c>
      <c r="O17" s="3"/>
      <c r="P17" s="3"/>
      <c r="Q17" s="5"/>
      <c r="S17" s="3">
        <v>139990</v>
      </c>
      <c r="T17" s="3">
        <v>14</v>
      </c>
      <c r="U17" s="5">
        <v>1959860</v>
      </c>
      <c r="V17" t="s">
        <v>60</v>
      </c>
    </row>
    <row r="18" spans="1:22" ht="60" x14ac:dyDescent="0.25">
      <c r="A18" t="s">
        <v>61</v>
      </c>
      <c r="B18" t="s">
        <v>24</v>
      </c>
      <c r="C18" t="s">
        <v>62</v>
      </c>
      <c r="D18" t="s">
        <v>63</v>
      </c>
      <c r="E18">
        <v>80</v>
      </c>
      <c r="F18" t="s">
        <v>27</v>
      </c>
      <c r="G18" s="3"/>
      <c r="H18" s="3"/>
      <c r="I18" s="5"/>
      <c r="K18" s="3">
        <v>1934</v>
      </c>
      <c r="L18" s="3">
        <v>80</v>
      </c>
      <c r="M18" s="5">
        <v>154720</v>
      </c>
      <c r="N18" s="4" t="s">
        <v>64</v>
      </c>
      <c r="O18" s="3"/>
      <c r="P18" s="3"/>
      <c r="Q18" s="5"/>
      <c r="S18" s="3"/>
      <c r="T18" s="3"/>
      <c r="U18" s="5"/>
    </row>
    <row r="19" spans="1:22" ht="60" x14ac:dyDescent="0.25">
      <c r="A19" t="s">
        <v>61</v>
      </c>
      <c r="B19" t="s">
        <v>31</v>
      </c>
      <c r="C19" t="s">
        <v>62</v>
      </c>
      <c r="D19" t="s">
        <v>63</v>
      </c>
      <c r="E19">
        <v>80</v>
      </c>
      <c r="F19" t="s">
        <v>27</v>
      </c>
      <c r="G19" s="3"/>
      <c r="H19" s="3"/>
      <c r="I19" s="5"/>
      <c r="K19" s="3">
        <v>2640</v>
      </c>
      <c r="L19" s="3">
        <v>80</v>
      </c>
      <c r="M19" s="5">
        <v>211200</v>
      </c>
      <c r="N19" s="4" t="s">
        <v>65</v>
      </c>
      <c r="O19" s="3"/>
      <c r="P19" s="3"/>
      <c r="Q19" s="5"/>
      <c r="S19" s="3"/>
      <c r="T19" s="3"/>
      <c r="U19" s="5"/>
    </row>
    <row r="20" spans="1:22" ht="90" x14ac:dyDescent="0.25">
      <c r="A20" t="s">
        <v>66</v>
      </c>
      <c r="B20" t="s">
        <v>24</v>
      </c>
      <c r="C20" t="s">
        <v>67</v>
      </c>
      <c r="D20" s="4" t="s">
        <v>68</v>
      </c>
      <c r="E20">
        <v>10</v>
      </c>
      <c r="F20" t="s">
        <v>27</v>
      </c>
      <c r="G20" s="3">
        <v>210000</v>
      </c>
      <c r="H20" s="3">
        <v>10</v>
      </c>
      <c r="I20" s="5">
        <v>2100000</v>
      </c>
      <c r="J20" s="4" t="s">
        <v>69</v>
      </c>
      <c r="K20" s="3">
        <v>133200</v>
      </c>
      <c r="L20" s="3">
        <v>10</v>
      </c>
      <c r="M20" s="5">
        <v>1332000</v>
      </c>
      <c r="N20" s="4" t="s">
        <v>70</v>
      </c>
      <c r="O20" s="3"/>
      <c r="P20" s="3"/>
      <c r="Q20" s="5"/>
      <c r="S20" s="3"/>
      <c r="T20" s="3"/>
      <c r="U20" s="5"/>
    </row>
    <row r="21" spans="1:22" ht="120" x14ac:dyDescent="0.25">
      <c r="A21" t="s">
        <v>71</v>
      </c>
      <c r="B21" t="s">
        <v>24</v>
      </c>
      <c r="C21" t="s">
        <v>72</v>
      </c>
      <c r="D21" s="4" t="s">
        <v>73</v>
      </c>
      <c r="E21">
        <v>10</v>
      </c>
      <c r="F21" t="s">
        <v>27</v>
      </c>
      <c r="G21" s="3">
        <v>168000</v>
      </c>
      <c r="H21" s="3">
        <v>10</v>
      </c>
      <c r="I21" s="5">
        <v>1680000</v>
      </c>
      <c r="J21" s="4" t="s">
        <v>74</v>
      </c>
      <c r="K21" s="3">
        <v>87000</v>
      </c>
      <c r="L21" s="3">
        <v>10</v>
      </c>
      <c r="M21" s="5">
        <v>870000</v>
      </c>
      <c r="N21" s="4" t="s">
        <v>75</v>
      </c>
      <c r="O21" s="3"/>
      <c r="P21" s="3"/>
      <c r="Q21" s="5"/>
      <c r="S21" s="3">
        <v>105900</v>
      </c>
      <c r="T21" s="3">
        <v>10</v>
      </c>
      <c r="U21" s="5">
        <v>1059000</v>
      </c>
      <c r="V21" t="s">
        <v>76</v>
      </c>
    </row>
    <row r="22" spans="1:22" x14ac:dyDescent="0.25">
      <c r="C22" t="s">
        <v>77</v>
      </c>
      <c r="D22" s="4"/>
      <c r="G22" s="3"/>
      <c r="H22" s="3"/>
      <c r="I22" s="5">
        <f>SUBTOTAL(109,Table2[Total por renglón])</f>
        <v>12213000</v>
      </c>
      <c r="J22" s="4"/>
      <c r="K22" s="3"/>
      <c r="L22" s="3"/>
      <c r="M22" s="5">
        <f>SUBTOTAL(109,Table3[Total por renglón])</f>
        <v>31897470</v>
      </c>
      <c r="N22" s="4"/>
      <c r="O22" s="3"/>
      <c r="P22" s="3"/>
      <c r="Q22" s="5">
        <f>SUBTOTAL(109,Table4[Total por renglón])</f>
        <v>1649900</v>
      </c>
      <c r="S22" s="3"/>
      <c r="T22" s="3"/>
      <c r="U22" s="5">
        <f>SUBTOTAL(109,Table5[Total por renglón])</f>
        <v>4477860</v>
      </c>
    </row>
  </sheetData>
  <mergeCells count="5">
    <mergeCell ref="G8:J8"/>
    <mergeCell ref="K8:N8"/>
    <mergeCell ref="O8:R8"/>
    <mergeCell ref="S8:V8"/>
    <mergeCell ref="A8:F8"/>
  </mergeCells>
  <pageMargins left="0.75" right="0.75" top="0.75" bottom="0.5" header="0.5" footer="0.75"/>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ELIAS QUINTAR</cp:lastModifiedBy>
  <dcterms:created xsi:type="dcterms:W3CDTF">2022-12-02T13:02:20Z</dcterms:created>
  <dcterms:modified xsi:type="dcterms:W3CDTF">2022-12-02T13:02:33Z</dcterms:modified>
</cp:coreProperties>
</file>