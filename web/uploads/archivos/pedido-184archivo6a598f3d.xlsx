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75B9108-0B8B-45C0-AF4B-AD63E97C1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7" i="2" l="1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48" i="2" l="1"/>
</calcChain>
</file>

<file path=xl/sharedStrings.xml><?xml version="1.0" encoding="utf-8"?>
<sst xmlns="http://schemas.openxmlformats.org/spreadsheetml/2006/main" count="178" uniqueCount="102">
  <si>
    <t>Necesidades Trimestrales</t>
  </si>
  <si>
    <t>JURISDICCION:</t>
  </si>
  <si>
    <t>65- MINISTERIO DE AGUA, ENERGÍA Y MEDIO AMBIENTE</t>
  </si>
  <si>
    <t xml:space="preserve">SAF N°: </t>
  </si>
  <si>
    <t>31- SECRETARÍA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</si>
  <si>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</si>
  <si>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</si>
  <si>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</si>
  <si>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</si>
  <si>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</si>
  <si>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</si>
  <si>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</si>
  <si>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</si>
  <si>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</si>
  <si>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</si>
  <si>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</si>
  <si>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</si>
  <si>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</si>
  <si>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</si>
  <si>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</si>
  <si>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r>
      <t>Descripción técnica:</t>
    </r>
    <r>
      <rPr>
        <sz val="11"/>
        <rFont val="Arial"/>
        <family val="2"/>
      </rPr>
      <t xml:space="preserve"> </t>
    </r>
  </si>
  <si>
    <t>2.9.6-401.236</t>
  </si>
  <si>
    <t>REPUESTOS</t>
  </si>
  <si>
    <t>CARTUCHOS DE TONER; CODIGO: 51644M, COLOR: MAGENTA, PRODUCTO: TONER, USO: HEWLETT PACKARD, DESCRIPCION: TONER</t>
  </si>
  <si>
    <t>2.9.6-401.350</t>
  </si>
  <si>
    <t>CARTUCHOS DE TONER; CODIGO: HP92295A, PRODUCTO: TONER, USO: BROTHER, COLOR: NEGRO, DESCRIPCION: TONER</t>
  </si>
  <si>
    <t>2.9.6-401.1171</t>
  </si>
  <si>
    <t>CARTUCHOS DE TONER; CODIGO: 1022, USO: HEWLETT PACKARD</t>
  </si>
  <si>
    <t>2.9.6-401.1213</t>
  </si>
  <si>
    <t>CARTUCHOS DE TONER; CODIGO: DR 350, USO: BROTHER 2070</t>
  </si>
  <si>
    <t>2.9.6-401.1240</t>
  </si>
  <si>
    <t>CARTUCHOS DE TONER; CODIGO: Q6003A, USO: HP LASER JET 2605DN</t>
  </si>
  <si>
    <t>2.9.6-401.1276</t>
  </si>
  <si>
    <t>CARTUCHOS DE TONER; CODIGO: ML 1640, USO: SAMSUNG</t>
  </si>
  <si>
    <t>2.9.6-401.1293</t>
  </si>
  <si>
    <t>CARTUCHOS DE TONER; CODIGO: 8436A, USO: HP LASER JET 1505</t>
  </si>
  <si>
    <t>2.9.6-401.1481</t>
  </si>
  <si>
    <t>CARTUCHOS DE TONER; CODIGO: HP 12A, USO: HEWLETT PACKARD</t>
  </si>
  <si>
    <t>2.9.6-401.1721</t>
  </si>
  <si>
    <t>CARTUCHOS DE TONER; CODIGO: P1102W-85-A, USO: HEWLETT PACKARD</t>
  </si>
  <si>
    <t>2.9.6-401.1924</t>
  </si>
  <si>
    <t>CARTUCHOS DE TONER; CODIGO: HP932, USO: HP OFFICEJET 7610</t>
  </si>
  <si>
    <t>2.9.6-401.1937</t>
  </si>
  <si>
    <t>CARTUCHOS DE TONER; CODIGO: CE314A, USO: HP LASERJET PRO CP 1025</t>
  </si>
  <si>
    <t>2.9.6-401.2006</t>
  </si>
  <si>
    <t>CARTUCHOS DE TONER; CODIGO: CE285D, USO: HP LASER JET 1102 N</t>
  </si>
  <si>
    <t>2.9.6-401.2045</t>
  </si>
  <si>
    <t>CARTUCHOS DE TONER; CODIGO: TN 1060, USO: BROTHER</t>
  </si>
  <si>
    <t>2.9.6-401.2173</t>
  </si>
  <si>
    <t>CARTUCHOS DE TONER; CODIGO: 51645A, USO: HP DESKJET 895 CXI</t>
  </si>
  <si>
    <t>2.9.6-401.2193</t>
  </si>
  <si>
    <t>CARTUCHOS DE TONER; CODIGO: SP 310 DNW, USO: LASER RICOH</t>
  </si>
  <si>
    <t>2.9.6-401.2238</t>
  </si>
  <si>
    <t>CARTUCHOS DE TONER; CODIGO: P1102W, USO: HEWLETT PACKARD</t>
  </si>
  <si>
    <t>2.9.6-401.2239</t>
  </si>
  <si>
    <t>CARTUCHOS DE TONER; CODIGO: P2035N, USO: HEWLETT PACKARD</t>
  </si>
  <si>
    <t xml:space="preserve">UNIDAD  </t>
  </si>
  <si>
    <t>Alternativo</t>
  </si>
  <si>
    <t>2.9.6-401.9</t>
  </si>
  <si>
    <t>CARTUCHOS DE TONER; COLOR: NEGRO, PRODUCTO: PRINT, USO: EPSON, CODIGO: 51011, DESCRIPCION: PRINT</t>
  </si>
  <si>
    <t>2.9.6-401.2228</t>
  </si>
  <si>
    <t>CARTUCHOS DE TONER; CODIGO: CF217A, USO: HP LASERJET MFP</t>
  </si>
  <si>
    <t>2.9.6-401.1907</t>
  </si>
  <si>
    <t>CARTUCHOS DE TONER; CODIGO: AL 2031, USO: SHARP</t>
  </si>
  <si>
    <t>2.9.6-401.1311</t>
  </si>
  <si>
    <t>CARTUCHOS DE TONER; CODIGO: C 2612, USO: HP LASER JET 1022</t>
  </si>
  <si>
    <t>2.9.6-401.2287</t>
  </si>
  <si>
    <t>CARTUCHOS DE TONER; CODIGO: C404S, USO: SAMSUNG</t>
  </si>
  <si>
    <t>2.9.6-401.2267</t>
  </si>
  <si>
    <t>CARTUCHOS DE TONER; CODIGO: 133/135, USO: EPSON</t>
  </si>
  <si>
    <t>2.9.6-401.1958</t>
  </si>
  <si>
    <t>CARTUCHOS DE TONER; CODIGO: 504, USO: LEXMARK</t>
  </si>
  <si>
    <t>2.9.6-401.1146</t>
  </si>
  <si>
    <t>CARTUCHOS DE TONER; CODIGO: C8061A, USO: HEWLETT PACKARD</t>
  </si>
  <si>
    <t>2.9.6-401.2140</t>
  </si>
  <si>
    <t>CARTUCHOS DE TONER; CODIGO: CF283X, USO: HP LASERJET 83X</t>
  </si>
  <si>
    <t>2.9.6-401.1979</t>
  </si>
  <si>
    <t>CARTUCHOS DE TONER; CODIGO: 4015N, USO: HEWLETT-PACKARD LASER-JET 6L</t>
  </si>
  <si>
    <t>2.9.6-401.1957</t>
  </si>
  <si>
    <t>CARTUCHOS DE TONER; CODIGO: CE402A, USO: HEWLETT PACKARD</t>
  </si>
  <si>
    <t>2.9.6-401.2204</t>
  </si>
  <si>
    <t>CARTUCHOS DE TONER; CODIGO: TN2370, USO: BROTHER</t>
  </si>
  <si>
    <t>2.9.6-401.2230</t>
  </si>
  <si>
    <t>CARTUCHOS DE TONER; CODIGO: TN2010, USO: BROTHER</t>
  </si>
  <si>
    <t>2.9.6-401.1996</t>
  </si>
  <si>
    <t>CARTUCHOS DE TONER; CODIGO: DCP 8150 DN, USO: BROTHER</t>
  </si>
  <si>
    <t>2.9.6-401.518</t>
  </si>
  <si>
    <t>CARTUCHOS DE TONER; CODIGO: TYPE2200, COLOR: NEGRO, PRODUCTO: TONER, USO: RICOH, DESCRIPCION: TONER</t>
  </si>
  <si>
    <t>2.9.6-401.1328</t>
  </si>
  <si>
    <t>CARTUCHOS DE TONER; CODIGO: ML-D2850B, USO: SAMSUNG ML2851ND</t>
  </si>
  <si>
    <t>2.9.6-401.1859</t>
  </si>
  <si>
    <t>CARTUCHOS DE TONER; CODIGO: MLT-D101S, USO: SAMSUNG 2165</t>
  </si>
  <si>
    <t>2.9.6-401.2370</t>
  </si>
  <si>
    <t>CARTUCHOS DE TONER; CODIGO: 006R01512, USO: XEROX</t>
  </si>
  <si>
    <t>2.9.6-401.2326</t>
  </si>
  <si>
    <t>CARTUCHOS DE TONER; CODIGO: SPC830DN, USO: RICOH</t>
  </si>
  <si>
    <t>2.9.6-401.2371</t>
  </si>
  <si>
    <t>CARTUCHOS DE TONER; CODIGO: 006R01511, USO: XEROX</t>
  </si>
  <si>
    <t>Según Anexo de Especificaciones Tecnicas adjunto en Nota: NO-2022-00397699-CAT-MAEMA</t>
  </si>
  <si>
    <t>PESOS: DOSCIENTOS CINCUENTA Y CINCO MIL NOVECIENTOS VEINTE CON 00/100</t>
  </si>
  <si>
    <t xml:space="preserve">10 (Diez) Días Habiles - Ministerio de Ague Energía y Medio Ambiente - Pabellon 2 CAPE AV Belgrano S/N°   </t>
  </si>
  <si>
    <t xml:space="preserve">Especificaciones Técnicas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</si>
</sst>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 [$$-2C0A]\ * #,##0.00_ ;_ [$$-2C0A]\ * \-#,##0.00_ ;_ [$$-2C0A]\ * &quot;-&quot;??_ ;_ @_ "/>
  </numFmts>
  <fonts count="1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2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7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6" fillId="2" borderId="0" xfId="0" applyNumberFormat="1" applyFont="1" applyFill="1" applyAlignment="1">
      <alignment horizontal="left" inden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64" fontId="9" fillId="4" borderId="3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indent="3"/>
    </xf>
    <xf numFmtId="0" fontId="3" fillId="0" borderId="0" xfId="0" applyFont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indent="3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left" indent="3"/>
    </xf>
    <xf numFmtId="0" fontId="3" fillId="0" borderId="10" xfId="0" applyFont="1" applyBorder="1"/>
    <xf numFmtId="0" fontId="0" fillId="0" borderId="0" xfId="0" applyAlignment="1">
      <alignment wrapText="1"/>
    </xf>
    <xf numFmtId="0" fontId="12" fillId="0" borderId="7" xfId="0" applyFont="1" applyBorder="1" applyAlignment="1">
      <alignment horizontal="center"/>
    </xf>
    <xf numFmtId="0" fontId="3" fillId="0" borderId="0" xfId="0" applyFont="1" applyBorder="1" applyAlignment="1">
      <alignment horizontal="left" indent="3"/>
    </xf>
    <xf numFmtId="0" fontId="1" fillId="0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wrapText="1"/>
    </xf>
    <xf numFmtId="0" fontId="0" fillId="3" borderId="0" xfId="0" applyFill="1"/>
    <xf numFmtId="0" fontId="13" fillId="3" borderId="16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164" fontId="9" fillId="4" borderId="0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wrapText="1"/>
    </xf>
    <xf numFmtId="0" fontId="13" fillId="3" borderId="16" xfId="0" applyFont="1" applyFill="1" applyBorder="1" applyAlignment="1">
      <alignment horizontal="center" wrapText="1"/>
    </xf>
    <xf numFmtId="0" fontId="13" fillId="6" borderId="16" xfId="0" applyFont="1" applyFill="1" applyBorder="1" applyAlignment="1">
      <alignment horizontal="center" wrapText="1"/>
    </xf>
    <xf numFmtId="0" fontId="1" fillId="0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9"/>
  <sheetViews>
    <sheetView tabSelected="1" workbookViewId="0">
      <selection activeCell="C52" sqref="C52:E52"/>
    </sheetView>
  </sheetViews>
  <sheetFormatPr baseColWidth="10" defaultRowHeight="15" x14ac:dyDescent="0.25"/>
  <cols>
    <col min="1" max="1" width="5.85546875" customWidth="1"/>
    <col min="2" max="2" width="20.28515625" customWidth="1"/>
    <col min="3" max="3" width="25.7109375" customWidth="1"/>
    <col min="4" max="4" width="10.28515625" customWidth="1"/>
    <col min="5" max="5" width="43.42578125" style="34" customWidth="1"/>
    <col min="9" max="10" width="16.28515625" customWidth="1"/>
    <col min="13" max="13" width="16.28515625" customWidth="1"/>
    <col min="14" max="14" width="38.140625" customWidth="1"/>
  </cols>
  <sheetData>
    <row r="2" spans="1:11" ht="27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23"/>
    </row>
    <row r="3" spans="1:11" ht="27" x14ac:dyDescent="0.35">
      <c r="A3" s="2"/>
      <c r="B3" s="2"/>
      <c r="C3" s="2"/>
      <c r="D3" s="2"/>
      <c r="E3" s="29"/>
      <c r="F3" s="2"/>
      <c r="G3" s="2"/>
      <c r="H3" s="2"/>
      <c r="I3" s="2"/>
      <c r="J3" s="23"/>
    </row>
    <row r="4" spans="1:11" ht="15.75" x14ac:dyDescent="0.25">
      <c r="A4" s="59" t="s">
        <v>1</v>
      </c>
      <c r="B4" s="59"/>
      <c r="C4" s="73" t="s">
        <v>2</v>
      </c>
      <c r="D4" s="73"/>
      <c r="E4" s="73"/>
    </row>
    <row r="5" spans="1:11" ht="15.75" x14ac:dyDescent="0.25">
      <c r="A5" s="59" t="s">
        <v>3</v>
      </c>
      <c r="B5" s="59"/>
      <c r="C5" s="73" t="s">
        <v>4</v>
      </c>
      <c r="D5" s="73"/>
      <c r="E5" s="73"/>
    </row>
    <row r="6" spans="1:11" ht="15.75" x14ac:dyDescent="0.25">
      <c r="A6" s="59" t="s">
        <v>5</v>
      </c>
      <c r="B6" s="59"/>
      <c r="C6" s="3">
        <v>2022</v>
      </c>
      <c r="D6" s="4"/>
      <c r="E6" s="33"/>
    </row>
    <row r="7" spans="1:11" ht="15.75" x14ac:dyDescent="0.25">
      <c r="A7" s="59" t="s">
        <v>6</v>
      </c>
      <c r="B7" s="59"/>
      <c r="C7" s="5">
        <v>2</v>
      </c>
      <c r="D7" s="4"/>
      <c r="E7" s="33"/>
    </row>
    <row r="8" spans="1:11" ht="15.75" thickBot="1" x14ac:dyDescent="0.3"/>
    <row r="9" spans="1:11" ht="37.5" thickTop="1" thickBot="1" x14ac:dyDescent="0.3">
      <c r="A9" s="6" t="s">
        <v>7</v>
      </c>
      <c r="B9" s="6" t="s">
        <v>8</v>
      </c>
      <c r="C9" s="7" t="s">
        <v>9</v>
      </c>
      <c r="D9" s="7" t="s">
        <v>10</v>
      </c>
      <c r="E9" s="40" t="s">
        <v>11</v>
      </c>
      <c r="F9" s="7" t="s">
        <v>12</v>
      </c>
      <c r="G9" s="7" t="s">
        <v>13</v>
      </c>
      <c r="H9" s="8" t="s">
        <v>14</v>
      </c>
      <c r="I9" s="8" t="s">
        <v>15</v>
      </c>
      <c r="J9" s="27"/>
    </row>
    <row r="10" spans="1:11" ht="48.75" customHeight="1" thickBot="1" x14ac:dyDescent="0.3">
      <c r="A10" s="30">
        <v>1</v>
      </c>
      <c r="B10" s="32" t="s">
        <v>92</v>
      </c>
      <c r="C10" s="25" t="s">
        <v>22</v>
      </c>
      <c r="D10" s="1">
        <v>292</v>
      </c>
      <c r="E10" s="41" t="s">
        <v>93</v>
      </c>
      <c r="F10" s="1" t="s">
        <v>56</v>
      </c>
      <c r="G10" s="1">
        <v>2</v>
      </c>
      <c r="H10" s="50">
        <v>1600</v>
      </c>
      <c r="I10" s="53">
        <f>H10*G10</f>
        <v>3200</v>
      </c>
      <c r="J10" s="28"/>
      <c r="K10" s="24"/>
    </row>
    <row r="11" spans="1:11" ht="40.5" customHeight="1" thickBot="1" x14ac:dyDescent="0.3">
      <c r="A11" s="30">
        <v>2</v>
      </c>
      <c r="B11" s="31" t="s">
        <v>24</v>
      </c>
      <c r="C11" s="25" t="s">
        <v>22</v>
      </c>
      <c r="D11" s="1">
        <v>292</v>
      </c>
      <c r="E11" s="41" t="s">
        <v>25</v>
      </c>
      <c r="F11" s="1" t="s">
        <v>56</v>
      </c>
      <c r="G11" s="1">
        <v>2</v>
      </c>
      <c r="H11" s="50">
        <v>1000</v>
      </c>
      <c r="I11" s="53">
        <f t="shared" ref="I11:I47" si="0">H11*G11</f>
        <v>2000</v>
      </c>
      <c r="J11" s="28"/>
      <c r="K11" s="24"/>
    </row>
    <row r="12" spans="1:11" ht="35.25" customHeight="1" thickBot="1" x14ac:dyDescent="0.3">
      <c r="A12" s="30">
        <v>3</v>
      </c>
      <c r="B12" s="26" t="s">
        <v>26</v>
      </c>
      <c r="C12" s="25" t="s">
        <v>22</v>
      </c>
      <c r="D12" s="1">
        <v>292</v>
      </c>
      <c r="E12" s="42" t="s">
        <v>27</v>
      </c>
      <c r="F12" s="1" t="s">
        <v>56</v>
      </c>
      <c r="G12" s="1">
        <v>6</v>
      </c>
      <c r="H12" s="50">
        <v>1500</v>
      </c>
      <c r="I12" s="53">
        <f t="shared" si="0"/>
        <v>9000</v>
      </c>
      <c r="J12" s="28"/>
      <c r="K12" s="24"/>
    </row>
    <row r="13" spans="1:11" ht="47.25" customHeight="1" thickBot="1" x14ac:dyDescent="0.3">
      <c r="A13" s="30">
        <v>4</v>
      </c>
      <c r="B13" s="31" t="s">
        <v>28</v>
      </c>
      <c r="C13" s="25" t="s">
        <v>22</v>
      </c>
      <c r="D13" s="1">
        <v>292</v>
      </c>
      <c r="E13" s="41" t="s">
        <v>29</v>
      </c>
      <c r="F13" s="1" t="s">
        <v>56</v>
      </c>
      <c r="G13" s="1">
        <v>2</v>
      </c>
      <c r="H13" s="50">
        <v>1700</v>
      </c>
      <c r="I13" s="53">
        <f t="shared" si="0"/>
        <v>3400</v>
      </c>
      <c r="J13" s="28"/>
      <c r="K13" s="24"/>
    </row>
    <row r="14" spans="1:11" ht="51" customHeight="1" thickBot="1" x14ac:dyDescent="0.3">
      <c r="A14" s="30">
        <v>5</v>
      </c>
      <c r="B14" s="31" t="s">
        <v>30</v>
      </c>
      <c r="C14" s="25" t="s">
        <v>22</v>
      </c>
      <c r="D14" s="1">
        <v>292</v>
      </c>
      <c r="E14" s="41" t="s">
        <v>31</v>
      </c>
      <c r="F14" s="1" t="s">
        <v>56</v>
      </c>
      <c r="G14" s="1">
        <v>2</v>
      </c>
      <c r="H14" s="50">
        <v>3000</v>
      </c>
      <c r="I14" s="53">
        <f t="shared" si="0"/>
        <v>6000</v>
      </c>
      <c r="J14" s="28"/>
      <c r="K14" s="24"/>
    </row>
    <row r="15" spans="1:11" ht="40.5" customHeight="1" thickBot="1" x14ac:dyDescent="0.3">
      <c r="A15" s="30">
        <v>6</v>
      </c>
      <c r="B15" s="31" t="s">
        <v>32</v>
      </c>
      <c r="C15" s="25" t="s">
        <v>22</v>
      </c>
      <c r="D15" s="1">
        <v>292</v>
      </c>
      <c r="E15" s="41" t="s">
        <v>33</v>
      </c>
      <c r="F15" s="1" t="s">
        <v>56</v>
      </c>
      <c r="G15" s="1">
        <v>2</v>
      </c>
      <c r="H15" s="50">
        <v>1600</v>
      </c>
      <c r="I15" s="53">
        <f t="shared" si="0"/>
        <v>3200</v>
      </c>
      <c r="J15" s="28"/>
      <c r="K15" s="24"/>
    </row>
    <row r="16" spans="1:11" ht="51" customHeight="1" thickBot="1" x14ac:dyDescent="0.3">
      <c r="A16" s="30">
        <v>7</v>
      </c>
      <c r="B16" s="26" t="s">
        <v>34</v>
      </c>
      <c r="C16" s="25" t="s">
        <v>22</v>
      </c>
      <c r="D16" s="1">
        <v>292</v>
      </c>
      <c r="E16" s="42" t="s">
        <v>35</v>
      </c>
      <c r="F16" s="1" t="s">
        <v>56</v>
      </c>
      <c r="G16" s="1">
        <v>6</v>
      </c>
      <c r="H16" s="50">
        <v>1400</v>
      </c>
      <c r="I16" s="53">
        <f t="shared" si="0"/>
        <v>8400</v>
      </c>
      <c r="J16" s="28"/>
      <c r="K16" s="24"/>
    </row>
    <row r="17" spans="1:11" ht="36" customHeight="1" thickBot="1" x14ac:dyDescent="0.3">
      <c r="A17" s="30">
        <v>8</v>
      </c>
      <c r="B17" s="31" t="s">
        <v>36</v>
      </c>
      <c r="C17" s="25" t="s">
        <v>22</v>
      </c>
      <c r="D17" s="1">
        <v>292</v>
      </c>
      <c r="E17" s="41" t="s">
        <v>37</v>
      </c>
      <c r="F17" s="1" t="s">
        <v>56</v>
      </c>
      <c r="G17" s="1">
        <v>2</v>
      </c>
      <c r="H17" s="50">
        <v>1300</v>
      </c>
      <c r="I17" s="53">
        <f t="shared" si="0"/>
        <v>2600</v>
      </c>
      <c r="J17" s="28"/>
      <c r="K17" s="24"/>
    </row>
    <row r="18" spans="1:11" ht="37.5" customHeight="1" thickBot="1" x14ac:dyDescent="0.3">
      <c r="A18" s="30">
        <v>9</v>
      </c>
      <c r="B18" s="26" t="s">
        <v>38</v>
      </c>
      <c r="C18" s="25" t="s">
        <v>22</v>
      </c>
      <c r="D18" s="1">
        <v>292</v>
      </c>
      <c r="E18" s="42" t="s">
        <v>39</v>
      </c>
      <c r="F18" s="1" t="s">
        <v>56</v>
      </c>
      <c r="G18" s="1">
        <v>4</v>
      </c>
      <c r="H18" s="50">
        <v>1400</v>
      </c>
      <c r="I18" s="53">
        <f t="shared" si="0"/>
        <v>5600</v>
      </c>
      <c r="J18" s="28"/>
      <c r="K18" s="24"/>
    </row>
    <row r="19" spans="1:11" ht="39.75" customHeight="1" thickBot="1" x14ac:dyDescent="0.3">
      <c r="A19" s="30">
        <v>10</v>
      </c>
      <c r="B19" s="31" t="s">
        <v>40</v>
      </c>
      <c r="C19" s="25" t="s">
        <v>22</v>
      </c>
      <c r="D19" s="1">
        <v>292</v>
      </c>
      <c r="E19" s="41" t="s">
        <v>41</v>
      </c>
      <c r="F19" s="1" t="s">
        <v>56</v>
      </c>
      <c r="G19" s="1">
        <v>4</v>
      </c>
      <c r="H19" s="50">
        <v>2500</v>
      </c>
      <c r="I19" s="53">
        <f t="shared" si="0"/>
        <v>10000</v>
      </c>
      <c r="J19" s="28"/>
      <c r="K19" s="24"/>
    </row>
    <row r="20" spans="1:11" ht="60" customHeight="1" thickBot="1" x14ac:dyDescent="0.3">
      <c r="A20" s="30">
        <v>11</v>
      </c>
      <c r="B20" s="26" t="s">
        <v>42</v>
      </c>
      <c r="C20" s="25" t="s">
        <v>22</v>
      </c>
      <c r="D20" s="1">
        <v>292</v>
      </c>
      <c r="E20" s="42" t="s">
        <v>43</v>
      </c>
      <c r="F20" s="1" t="s">
        <v>56</v>
      </c>
      <c r="G20" s="1">
        <v>11</v>
      </c>
      <c r="H20" s="50">
        <v>1600</v>
      </c>
      <c r="I20" s="53">
        <f t="shared" si="0"/>
        <v>17600</v>
      </c>
      <c r="J20" s="28"/>
      <c r="K20" s="24"/>
    </row>
    <row r="21" spans="1:11" ht="50.25" customHeight="1" thickBot="1" x14ac:dyDescent="0.3">
      <c r="A21" s="30">
        <v>12</v>
      </c>
      <c r="B21" s="31" t="s">
        <v>44</v>
      </c>
      <c r="C21" s="25" t="s">
        <v>22</v>
      </c>
      <c r="D21" s="1">
        <v>292</v>
      </c>
      <c r="E21" s="41" t="s">
        <v>45</v>
      </c>
      <c r="F21" s="1" t="s">
        <v>56</v>
      </c>
      <c r="G21" s="1">
        <v>2</v>
      </c>
      <c r="H21" s="50">
        <v>1700</v>
      </c>
      <c r="I21" s="53">
        <f t="shared" si="0"/>
        <v>3400</v>
      </c>
      <c r="J21" s="28"/>
      <c r="K21" s="24"/>
    </row>
    <row r="22" spans="1:11" ht="41.25" customHeight="1" thickBot="1" x14ac:dyDescent="0.3">
      <c r="A22" s="30">
        <v>13</v>
      </c>
      <c r="B22" s="31" t="s">
        <v>46</v>
      </c>
      <c r="C22" s="25" t="s">
        <v>22</v>
      </c>
      <c r="D22" s="1">
        <v>292</v>
      </c>
      <c r="E22" s="41" t="s">
        <v>47</v>
      </c>
      <c r="F22" s="1" t="s">
        <v>56</v>
      </c>
      <c r="G22" s="1">
        <v>2</v>
      </c>
      <c r="H22" s="50">
        <v>1000</v>
      </c>
      <c r="I22" s="53">
        <f t="shared" si="0"/>
        <v>2000</v>
      </c>
      <c r="J22" s="28"/>
      <c r="K22" s="24"/>
    </row>
    <row r="23" spans="1:11" ht="37.5" customHeight="1" thickBot="1" x14ac:dyDescent="0.3">
      <c r="A23" s="30">
        <v>14</v>
      </c>
      <c r="B23" s="31" t="s">
        <v>48</v>
      </c>
      <c r="C23" s="25" t="s">
        <v>22</v>
      </c>
      <c r="D23" s="1">
        <v>292</v>
      </c>
      <c r="E23" s="41" t="s">
        <v>49</v>
      </c>
      <c r="F23" s="1" t="s">
        <v>56</v>
      </c>
      <c r="G23" s="1">
        <v>2</v>
      </c>
      <c r="H23" s="50">
        <v>2300</v>
      </c>
      <c r="I23" s="53">
        <f t="shared" si="0"/>
        <v>4600</v>
      </c>
      <c r="J23" s="28"/>
      <c r="K23" s="24"/>
    </row>
    <row r="24" spans="1:11" ht="39" customHeight="1" thickBot="1" x14ac:dyDescent="0.3">
      <c r="A24" s="30">
        <v>15</v>
      </c>
      <c r="B24" s="31" t="s">
        <v>50</v>
      </c>
      <c r="C24" s="25" t="s">
        <v>22</v>
      </c>
      <c r="D24" s="1">
        <v>292</v>
      </c>
      <c r="E24" s="41" t="s">
        <v>51</v>
      </c>
      <c r="F24" s="1" t="s">
        <v>56</v>
      </c>
      <c r="G24" s="1">
        <v>4</v>
      </c>
      <c r="H24" s="50">
        <v>2600</v>
      </c>
      <c r="I24" s="53">
        <f t="shared" si="0"/>
        <v>10400</v>
      </c>
      <c r="J24" s="28"/>
      <c r="K24" s="24"/>
    </row>
    <row r="25" spans="1:11" ht="55.5" customHeight="1" thickBot="1" x14ac:dyDescent="0.3">
      <c r="A25" s="30">
        <v>16</v>
      </c>
      <c r="B25" s="31" t="s">
        <v>54</v>
      </c>
      <c r="C25" s="25" t="s">
        <v>22</v>
      </c>
      <c r="D25" s="1">
        <v>292</v>
      </c>
      <c r="E25" s="41" t="s">
        <v>55</v>
      </c>
      <c r="F25" s="1" t="s">
        <v>56</v>
      </c>
      <c r="G25" s="1">
        <v>12</v>
      </c>
      <c r="H25" s="50">
        <v>1650</v>
      </c>
      <c r="I25" s="53">
        <f t="shared" si="0"/>
        <v>19800</v>
      </c>
      <c r="J25" s="28"/>
      <c r="K25" s="24"/>
    </row>
    <row r="26" spans="1:11" ht="48.75" customHeight="1" thickBot="1" x14ac:dyDescent="0.3">
      <c r="A26" s="30">
        <v>17</v>
      </c>
      <c r="B26" s="32" t="s">
        <v>94</v>
      </c>
      <c r="C26" s="25" t="s">
        <v>22</v>
      </c>
      <c r="D26" s="1">
        <v>292</v>
      </c>
      <c r="E26" s="56" t="s">
        <v>95</v>
      </c>
      <c r="F26" s="1" t="s">
        <v>56</v>
      </c>
      <c r="G26" s="1">
        <v>2</v>
      </c>
      <c r="H26" s="50">
        <v>2200</v>
      </c>
      <c r="I26" s="53">
        <f t="shared" si="0"/>
        <v>4400</v>
      </c>
      <c r="J26" s="28"/>
      <c r="K26" s="24"/>
    </row>
    <row r="27" spans="1:11" ht="49.5" customHeight="1" thickBot="1" x14ac:dyDescent="0.3">
      <c r="A27" s="30">
        <v>18</v>
      </c>
      <c r="B27" s="31" t="s">
        <v>21</v>
      </c>
      <c r="C27" s="25" t="s">
        <v>22</v>
      </c>
      <c r="D27" s="1">
        <v>292</v>
      </c>
      <c r="E27" s="41" t="s">
        <v>23</v>
      </c>
      <c r="F27" s="1" t="s">
        <v>56</v>
      </c>
      <c r="G27" s="1">
        <v>4</v>
      </c>
      <c r="H27" s="50">
        <v>2500</v>
      </c>
      <c r="I27" s="53">
        <f t="shared" si="0"/>
        <v>10000</v>
      </c>
      <c r="J27" s="28"/>
      <c r="K27" s="24"/>
    </row>
    <row r="28" spans="1:11" ht="48.75" customHeight="1" thickBot="1" x14ac:dyDescent="0.3">
      <c r="A28" s="21">
        <v>19</v>
      </c>
      <c r="B28" s="32" t="s">
        <v>58</v>
      </c>
      <c r="C28" s="25" t="s">
        <v>22</v>
      </c>
      <c r="D28" s="1">
        <v>292</v>
      </c>
      <c r="E28" s="41" t="s">
        <v>59</v>
      </c>
      <c r="F28" s="1" t="s">
        <v>56</v>
      </c>
      <c r="G28" s="1">
        <v>2</v>
      </c>
      <c r="H28" s="50">
        <v>1500</v>
      </c>
      <c r="I28" s="53">
        <f t="shared" si="0"/>
        <v>3000</v>
      </c>
      <c r="J28" s="28"/>
    </row>
    <row r="29" spans="1:11" ht="41.25" customHeight="1" thickBot="1" x14ac:dyDescent="0.3">
      <c r="A29" s="21">
        <v>20</v>
      </c>
      <c r="B29" s="31" t="s">
        <v>60</v>
      </c>
      <c r="C29" s="25" t="s">
        <v>22</v>
      </c>
      <c r="D29" s="1">
        <v>292</v>
      </c>
      <c r="E29" s="41" t="s">
        <v>61</v>
      </c>
      <c r="F29" s="1" t="s">
        <v>56</v>
      </c>
      <c r="G29" s="1">
        <v>2</v>
      </c>
      <c r="H29" s="50">
        <v>1500</v>
      </c>
      <c r="I29" s="53">
        <f t="shared" si="0"/>
        <v>3000</v>
      </c>
      <c r="J29" s="28"/>
    </row>
    <row r="30" spans="1:11" ht="39.75" customHeight="1" thickBot="1" x14ac:dyDescent="0.3">
      <c r="A30" s="21">
        <v>21</v>
      </c>
      <c r="B30" s="32" t="s">
        <v>62</v>
      </c>
      <c r="C30" s="39" t="s">
        <v>22</v>
      </c>
      <c r="D30" s="1">
        <v>292</v>
      </c>
      <c r="E30" s="25" t="s">
        <v>63</v>
      </c>
      <c r="F30" s="1" t="s">
        <v>56</v>
      </c>
      <c r="G30" s="1">
        <v>2</v>
      </c>
      <c r="H30" s="50">
        <v>2700</v>
      </c>
      <c r="I30" s="53">
        <f t="shared" si="0"/>
        <v>5400</v>
      </c>
      <c r="J30" s="28"/>
    </row>
    <row r="31" spans="1:11" ht="51" customHeight="1" thickBot="1" x14ac:dyDescent="0.3">
      <c r="A31" s="30">
        <v>22</v>
      </c>
      <c r="B31" s="32" t="s">
        <v>96</v>
      </c>
      <c r="C31" s="25" t="s">
        <v>22</v>
      </c>
      <c r="D31" s="1">
        <v>292</v>
      </c>
      <c r="E31" s="39" t="s">
        <v>97</v>
      </c>
      <c r="F31" s="1" t="s">
        <v>56</v>
      </c>
      <c r="G31" s="1">
        <v>2</v>
      </c>
      <c r="H31" s="50">
        <v>1600</v>
      </c>
      <c r="I31" s="53">
        <f t="shared" si="0"/>
        <v>3200</v>
      </c>
      <c r="J31" s="28"/>
    </row>
    <row r="32" spans="1:11" ht="48" customHeight="1" thickBot="1" x14ac:dyDescent="0.3">
      <c r="A32" s="21">
        <v>23</v>
      </c>
      <c r="B32" s="31" t="s">
        <v>52</v>
      </c>
      <c r="C32" s="25" t="s">
        <v>22</v>
      </c>
      <c r="D32" s="1">
        <v>292</v>
      </c>
      <c r="E32" s="25" t="s">
        <v>53</v>
      </c>
      <c r="F32" s="1" t="s">
        <v>56</v>
      </c>
      <c r="G32" s="1">
        <v>30</v>
      </c>
      <c r="H32" s="50">
        <v>1400</v>
      </c>
      <c r="I32" s="53">
        <f t="shared" si="0"/>
        <v>42000</v>
      </c>
      <c r="J32" s="28"/>
    </row>
    <row r="33" spans="1:10" ht="39" customHeight="1" thickBot="1" x14ac:dyDescent="0.3">
      <c r="A33" s="21">
        <v>24</v>
      </c>
      <c r="B33" s="31" t="s">
        <v>64</v>
      </c>
      <c r="C33" s="25" t="s">
        <v>22</v>
      </c>
      <c r="D33" s="1">
        <v>292</v>
      </c>
      <c r="E33" s="25" t="s">
        <v>65</v>
      </c>
      <c r="F33" s="1" t="s">
        <v>56</v>
      </c>
      <c r="G33" s="1">
        <v>2</v>
      </c>
      <c r="H33" s="50">
        <v>1700</v>
      </c>
      <c r="I33" s="53">
        <f t="shared" si="0"/>
        <v>3400</v>
      </c>
      <c r="J33" s="28"/>
    </row>
    <row r="34" spans="1:10" ht="42.75" customHeight="1" thickBot="1" x14ac:dyDescent="0.3">
      <c r="A34" s="21">
        <v>25</v>
      </c>
      <c r="B34" s="31" t="s">
        <v>66</v>
      </c>
      <c r="C34" s="25" t="s">
        <v>22</v>
      </c>
      <c r="D34" s="1">
        <v>292</v>
      </c>
      <c r="E34" s="25" t="s">
        <v>67</v>
      </c>
      <c r="F34" s="1" t="s">
        <v>56</v>
      </c>
      <c r="G34" s="1">
        <v>2</v>
      </c>
      <c r="H34" s="50">
        <v>1600</v>
      </c>
      <c r="I34" s="53">
        <f t="shared" si="0"/>
        <v>3200</v>
      </c>
      <c r="J34" s="28"/>
    </row>
    <row r="35" spans="1:10" ht="63" customHeight="1" thickBot="1" x14ac:dyDescent="0.3">
      <c r="A35" s="21">
        <v>26</v>
      </c>
      <c r="B35" s="31" t="s">
        <v>68</v>
      </c>
      <c r="C35" s="25" t="s">
        <v>22</v>
      </c>
      <c r="D35" s="1">
        <v>292</v>
      </c>
      <c r="E35" s="25" t="s">
        <v>69</v>
      </c>
      <c r="F35" s="1" t="s">
        <v>56</v>
      </c>
      <c r="G35" s="1">
        <v>2</v>
      </c>
      <c r="H35" s="50">
        <v>1400</v>
      </c>
      <c r="I35" s="53">
        <f t="shared" si="0"/>
        <v>2800</v>
      </c>
      <c r="J35" s="28"/>
    </row>
    <row r="36" spans="1:10" ht="35.25" customHeight="1" thickBot="1" x14ac:dyDescent="0.3">
      <c r="A36" s="22">
        <v>27</v>
      </c>
      <c r="B36" s="44" t="s">
        <v>70</v>
      </c>
      <c r="C36" s="45" t="s">
        <v>22</v>
      </c>
      <c r="D36" s="1">
        <v>292</v>
      </c>
      <c r="E36" s="45" t="s">
        <v>71</v>
      </c>
      <c r="F36" s="1" t="s">
        <v>56</v>
      </c>
      <c r="G36" s="1">
        <v>2</v>
      </c>
      <c r="H36" s="50">
        <v>3600</v>
      </c>
      <c r="I36" s="53">
        <f t="shared" si="0"/>
        <v>7200</v>
      </c>
      <c r="J36" s="28"/>
    </row>
    <row r="37" spans="1:10" ht="54.75" customHeight="1" thickBot="1" x14ac:dyDescent="0.3">
      <c r="A37" s="43">
        <v>28</v>
      </c>
      <c r="B37" s="49" t="s">
        <v>72</v>
      </c>
      <c r="C37" s="49" t="s">
        <v>22</v>
      </c>
      <c r="D37" s="1">
        <v>292</v>
      </c>
      <c r="E37" s="49" t="s">
        <v>73</v>
      </c>
      <c r="F37" s="46" t="s">
        <v>56</v>
      </c>
      <c r="G37" s="46">
        <v>2</v>
      </c>
      <c r="H37" s="50">
        <v>1800</v>
      </c>
      <c r="I37" s="53">
        <f t="shared" si="0"/>
        <v>3600</v>
      </c>
      <c r="J37" s="28"/>
    </row>
    <row r="38" spans="1:10" ht="54.75" customHeight="1" thickBot="1" x14ac:dyDescent="0.3">
      <c r="A38" s="48">
        <v>29</v>
      </c>
      <c r="B38" s="49" t="s">
        <v>74</v>
      </c>
      <c r="C38" s="49" t="s">
        <v>22</v>
      </c>
      <c r="D38" s="1">
        <v>292</v>
      </c>
      <c r="E38" s="49" t="s">
        <v>75</v>
      </c>
      <c r="F38" s="46" t="s">
        <v>56</v>
      </c>
      <c r="G38" s="46">
        <v>8</v>
      </c>
      <c r="H38" s="50">
        <v>1400</v>
      </c>
      <c r="I38" s="53">
        <f t="shared" si="0"/>
        <v>11200</v>
      </c>
      <c r="J38" s="28"/>
    </row>
    <row r="39" spans="1:10" ht="54.75" customHeight="1" thickBot="1" x14ac:dyDescent="0.3">
      <c r="A39" s="48">
        <v>30</v>
      </c>
      <c r="B39" s="49" t="s">
        <v>52</v>
      </c>
      <c r="C39" s="49" t="s">
        <v>22</v>
      </c>
      <c r="D39" s="1">
        <v>292</v>
      </c>
      <c r="E39" s="49" t="s">
        <v>53</v>
      </c>
      <c r="F39" s="46" t="s">
        <v>56</v>
      </c>
      <c r="G39" s="46">
        <v>4</v>
      </c>
      <c r="H39" s="50">
        <v>1380</v>
      </c>
      <c r="I39" s="53">
        <f t="shared" si="0"/>
        <v>5520</v>
      </c>
      <c r="J39" s="28"/>
    </row>
    <row r="40" spans="1:10" ht="54.75" customHeight="1" thickBot="1" x14ac:dyDescent="0.3">
      <c r="A40" s="48">
        <v>31</v>
      </c>
      <c r="B40" s="49" t="s">
        <v>76</v>
      </c>
      <c r="C40" s="49" t="s">
        <v>22</v>
      </c>
      <c r="D40" s="1">
        <v>292</v>
      </c>
      <c r="E40" s="49" t="s">
        <v>77</v>
      </c>
      <c r="F40" s="46" t="s">
        <v>56</v>
      </c>
      <c r="G40" s="46">
        <v>2</v>
      </c>
      <c r="H40" s="50">
        <v>2000</v>
      </c>
      <c r="I40" s="53">
        <f t="shared" si="0"/>
        <v>4000</v>
      </c>
      <c r="J40" s="28"/>
    </row>
    <row r="41" spans="1:10" ht="54.75" customHeight="1" thickBot="1" x14ac:dyDescent="0.3">
      <c r="A41" s="48">
        <v>32</v>
      </c>
      <c r="B41" s="49" t="s">
        <v>78</v>
      </c>
      <c r="C41" s="49" t="s">
        <v>22</v>
      </c>
      <c r="D41" s="1">
        <v>292</v>
      </c>
      <c r="E41" s="49" t="s">
        <v>79</v>
      </c>
      <c r="F41" s="46" t="s">
        <v>56</v>
      </c>
      <c r="G41" s="46">
        <v>2</v>
      </c>
      <c r="H41" s="50">
        <v>3600</v>
      </c>
      <c r="I41" s="53">
        <f t="shared" si="0"/>
        <v>7200</v>
      </c>
      <c r="J41" s="28"/>
    </row>
    <row r="42" spans="1:10" ht="54.75" customHeight="1" thickBot="1" x14ac:dyDescent="0.3">
      <c r="A42" s="48">
        <v>33</v>
      </c>
      <c r="B42" s="49" t="s">
        <v>80</v>
      </c>
      <c r="C42" s="49" t="s">
        <v>22</v>
      </c>
      <c r="D42" s="1">
        <v>292</v>
      </c>
      <c r="E42" s="49" t="s">
        <v>81</v>
      </c>
      <c r="F42" s="46" t="s">
        <v>56</v>
      </c>
      <c r="G42" s="46">
        <v>2</v>
      </c>
      <c r="H42" s="50">
        <v>1300</v>
      </c>
      <c r="I42" s="53">
        <f t="shared" si="0"/>
        <v>2600</v>
      </c>
      <c r="J42" s="28"/>
    </row>
    <row r="43" spans="1:10" ht="54.75" customHeight="1" thickBot="1" x14ac:dyDescent="0.3">
      <c r="A43" s="48">
        <v>34</v>
      </c>
      <c r="B43" s="49" t="s">
        <v>82</v>
      </c>
      <c r="C43" s="49" t="s">
        <v>22</v>
      </c>
      <c r="D43" s="1">
        <v>292</v>
      </c>
      <c r="E43" s="49" t="s">
        <v>83</v>
      </c>
      <c r="F43" s="46" t="s">
        <v>56</v>
      </c>
      <c r="G43" s="46">
        <v>6</v>
      </c>
      <c r="H43" s="50">
        <v>1000</v>
      </c>
      <c r="I43" s="53">
        <f t="shared" si="0"/>
        <v>6000</v>
      </c>
      <c r="J43" s="28"/>
    </row>
    <row r="44" spans="1:10" ht="54.75" customHeight="1" thickBot="1" x14ac:dyDescent="0.3">
      <c r="A44" s="48">
        <v>35</v>
      </c>
      <c r="B44" s="49" t="s">
        <v>84</v>
      </c>
      <c r="C44" s="49" t="s">
        <v>22</v>
      </c>
      <c r="D44" s="1">
        <v>292</v>
      </c>
      <c r="E44" s="49" t="s">
        <v>85</v>
      </c>
      <c r="F44" s="46" t="s">
        <v>56</v>
      </c>
      <c r="G44" s="46">
        <v>2</v>
      </c>
      <c r="H44" s="50">
        <v>1500</v>
      </c>
      <c r="I44" s="53">
        <f t="shared" si="0"/>
        <v>3000</v>
      </c>
      <c r="J44" s="28"/>
    </row>
    <row r="45" spans="1:10" ht="54.75" customHeight="1" thickBot="1" x14ac:dyDescent="0.3">
      <c r="A45" s="48">
        <v>36</v>
      </c>
      <c r="B45" s="49" t="s">
        <v>86</v>
      </c>
      <c r="C45" s="49" t="s">
        <v>22</v>
      </c>
      <c r="D45" s="1">
        <v>292</v>
      </c>
      <c r="E45" s="49" t="s">
        <v>87</v>
      </c>
      <c r="F45" s="46" t="s">
        <v>56</v>
      </c>
      <c r="G45" s="46">
        <v>2</v>
      </c>
      <c r="H45" s="50">
        <v>2600</v>
      </c>
      <c r="I45" s="53">
        <f t="shared" si="0"/>
        <v>5200</v>
      </c>
      <c r="J45" s="28"/>
    </row>
    <row r="46" spans="1:10" ht="54.75" customHeight="1" thickBot="1" x14ac:dyDescent="0.3">
      <c r="A46" s="52">
        <v>37</v>
      </c>
      <c r="B46" s="49" t="s">
        <v>88</v>
      </c>
      <c r="C46" s="49" t="s">
        <v>22</v>
      </c>
      <c r="D46" s="1">
        <v>292</v>
      </c>
      <c r="E46" s="51" t="s">
        <v>89</v>
      </c>
      <c r="F46" s="46" t="s">
        <v>56</v>
      </c>
      <c r="G46" s="46">
        <v>2</v>
      </c>
      <c r="H46" s="50">
        <v>2700</v>
      </c>
      <c r="I46" s="53">
        <f t="shared" si="0"/>
        <v>5400</v>
      </c>
      <c r="J46" s="28"/>
    </row>
    <row r="47" spans="1:10" ht="54.75" customHeight="1" x14ac:dyDescent="0.25">
      <c r="A47" s="52">
        <v>38</v>
      </c>
      <c r="B47" s="49" t="s">
        <v>90</v>
      </c>
      <c r="C47" s="49" t="s">
        <v>22</v>
      </c>
      <c r="D47" s="1">
        <v>292</v>
      </c>
      <c r="E47" s="51" t="s">
        <v>91</v>
      </c>
      <c r="F47" s="46" t="s">
        <v>56</v>
      </c>
      <c r="G47" s="46">
        <v>2</v>
      </c>
      <c r="H47" s="50">
        <v>1700</v>
      </c>
      <c r="I47" s="53">
        <f t="shared" si="0"/>
        <v>3400</v>
      </c>
      <c r="J47" s="28"/>
    </row>
    <row r="48" spans="1:10" ht="30.75" customHeight="1" thickBot="1" x14ac:dyDescent="0.3">
      <c r="A48" s="65" t="s">
        <v>99</v>
      </c>
      <c r="B48" s="66"/>
      <c r="C48" s="66"/>
      <c r="D48" s="66"/>
      <c r="E48" s="66"/>
      <c r="F48" s="66"/>
      <c r="G48" s="66"/>
      <c r="H48" s="67"/>
      <c r="I48" s="47">
        <f>SUM(I10:I47)</f>
        <v>255920</v>
      </c>
      <c r="J48" s="28"/>
    </row>
    <row r="49" spans="2:10" ht="15.75" thickBot="1" x14ac:dyDescent="0.3"/>
    <row r="50" spans="2:10" ht="15.75" thickBot="1" x14ac:dyDescent="0.3">
      <c r="B50" s="60" t="s">
        <v>101</v>
      </c>
      <c r="C50" s="61"/>
      <c r="D50" s="61"/>
      <c r="E50" s="62"/>
    </row>
    <row r="51" spans="2:10" x14ac:dyDescent="0.25">
      <c r="B51" s="19" t="s">
        <v>20</v>
      </c>
      <c r="C51" s="54"/>
      <c r="D51" s="54"/>
      <c r="E51" s="55"/>
    </row>
    <row r="52" spans="2:10" ht="42.75" customHeight="1" x14ac:dyDescent="0.25">
      <c r="B52" s="9"/>
      <c r="C52" s="63" t="s">
        <v>98</v>
      </c>
      <c r="D52" s="63"/>
      <c r="E52" s="64"/>
    </row>
    <row r="53" spans="2:10" x14ac:dyDescent="0.25">
      <c r="B53" s="9" t="s">
        <v>16</v>
      </c>
      <c r="C53" s="10"/>
      <c r="D53" s="10"/>
      <c r="E53" s="35"/>
    </row>
    <row r="54" spans="2:10" ht="15" customHeight="1" x14ac:dyDescent="0.25">
      <c r="B54" s="11"/>
      <c r="C54" s="63" t="s">
        <v>100</v>
      </c>
      <c r="D54" s="63"/>
      <c r="E54" s="64"/>
    </row>
    <row r="55" spans="2:10" x14ac:dyDescent="0.25">
      <c r="B55" s="11"/>
      <c r="C55" s="63"/>
      <c r="D55" s="63"/>
      <c r="E55" s="64"/>
    </row>
    <row r="56" spans="2:10" x14ac:dyDescent="0.25">
      <c r="B56" s="12"/>
      <c r="C56" s="57"/>
      <c r="D56" s="57"/>
      <c r="E56" s="58"/>
    </row>
    <row r="57" spans="2:10" x14ac:dyDescent="0.25">
      <c r="B57" s="9" t="s">
        <v>17</v>
      </c>
      <c r="C57" s="13"/>
      <c r="D57" s="13"/>
      <c r="E57" s="36"/>
    </row>
    <row r="58" spans="2:10" x14ac:dyDescent="0.25">
      <c r="B58" s="12"/>
      <c r="C58" s="68" t="s">
        <v>57</v>
      </c>
      <c r="D58" s="68"/>
      <c r="E58" s="69"/>
    </row>
    <row r="59" spans="2:10" x14ac:dyDescent="0.25">
      <c r="B59" s="9" t="s">
        <v>18</v>
      </c>
      <c r="C59" s="14"/>
      <c r="D59" s="14"/>
      <c r="E59" s="15"/>
    </row>
    <row r="60" spans="2:10" x14ac:dyDescent="0.25">
      <c r="B60" s="12"/>
      <c r="C60" s="70"/>
      <c r="D60" s="70"/>
      <c r="E60" s="71"/>
    </row>
    <row r="61" spans="2:10" x14ac:dyDescent="0.25">
      <c r="B61" s="9" t="s">
        <v>19</v>
      </c>
      <c r="C61" s="13"/>
      <c r="D61" s="13"/>
      <c r="E61" s="36"/>
    </row>
    <row r="62" spans="2:10" x14ac:dyDescent="0.25">
      <c r="B62" s="9"/>
      <c r="C62" s="57"/>
      <c r="D62" s="57"/>
      <c r="E62" s="58"/>
    </row>
    <row r="63" spans="2:10" ht="15.75" thickBot="1" x14ac:dyDescent="0.3">
      <c r="B63" s="16"/>
      <c r="C63" s="17"/>
      <c r="D63" s="17"/>
      <c r="E63" s="37"/>
    </row>
    <row r="64" spans="2:10" x14ac:dyDescent="0.25">
      <c r="B64" s="20"/>
      <c r="C64" s="10"/>
      <c r="D64" s="10"/>
      <c r="E64" s="38"/>
      <c r="G64" s="20"/>
      <c r="H64" s="10"/>
      <c r="I64" s="10"/>
      <c r="J64" s="38"/>
    </row>
    <row r="65" spans="3:6" ht="15.75" customHeight="1" x14ac:dyDescent="0.25">
      <c r="C65" s="20"/>
      <c r="D65" s="10"/>
      <c r="E65" s="10"/>
      <c r="F65" s="38"/>
    </row>
    <row r="66" spans="3:6" x14ac:dyDescent="0.25">
      <c r="C66" s="20"/>
      <c r="D66" s="10"/>
      <c r="E66" s="10"/>
      <c r="F66" s="38"/>
    </row>
    <row r="67" spans="3:6" ht="15" customHeight="1" x14ac:dyDescent="0.25">
      <c r="C67" s="20"/>
      <c r="D67" s="10"/>
      <c r="E67" s="10"/>
      <c r="F67" s="38"/>
    </row>
    <row r="68" spans="3:6" x14ac:dyDescent="0.25">
      <c r="C68" s="20"/>
      <c r="D68" s="10"/>
      <c r="E68" s="10"/>
      <c r="F68" s="38"/>
    </row>
    <row r="69" spans="3:6" ht="15" customHeight="1" x14ac:dyDescent="0.25">
      <c r="C69" s="20"/>
      <c r="D69" s="10"/>
      <c r="E69" s="10"/>
      <c r="F69" s="38"/>
    </row>
    <row r="70" spans="3:6" x14ac:dyDescent="0.25">
      <c r="C70" s="20"/>
      <c r="D70" s="10"/>
      <c r="E70" s="10"/>
      <c r="F70" s="38"/>
    </row>
    <row r="71" spans="3:6" x14ac:dyDescent="0.25">
      <c r="C71" s="20"/>
      <c r="D71" s="10"/>
      <c r="E71" s="10"/>
      <c r="F71" s="38"/>
    </row>
    <row r="72" spans="3:6" x14ac:dyDescent="0.25">
      <c r="C72" s="20"/>
      <c r="D72" s="10"/>
      <c r="E72" s="10"/>
      <c r="F72" s="38"/>
    </row>
    <row r="73" spans="3:6" x14ac:dyDescent="0.25">
      <c r="C73" s="20"/>
      <c r="D73" s="10"/>
      <c r="E73" s="10"/>
      <c r="F73" s="38"/>
    </row>
    <row r="74" spans="3:6" x14ac:dyDescent="0.25">
      <c r="C74" s="20"/>
      <c r="D74" s="10"/>
      <c r="E74" s="10"/>
      <c r="F74" s="38"/>
    </row>
    <row r="75" spans="3:6" x14ac:dyDescent="0.25">
      <c r="C75" s="20"/>
      <c r="D75" s="10"/>
      <c r="E75" s="10"/>
      <c r="F75" s="38"/>
    </row>
    <row r="76" spans="3:6" x14ac:dyDescent="0.25">
      <c r="C76" s="20"/>
      <c r="D76" s="10"/>
      <c r="E76" s="10"/>
      <c r="F76" s="38"/>
    </row>
    <row r="77" spans="3:6" x14ac:dyDescent="0.25">
      <c r="C77" s="20"/>
      <c r="D77" s="10"/>
      <c r="E77" s="10"/>
      <c r="F77" s="38"/>
    </row>
    <row r="78" spans="3:6" x14ac:dyDescent="0.25">
      <c r="C78" s="20"/>
      <c r="D78" s="10"/>
      <c r="E78" s="10"/>
      <c r="F78" s="38"/>
    </row>
    <row r="79" spans="3:6" ht="15.75" customHeight="1" x14ac:dyDescent="0.25">
      <c r="E79"/>
    </row>
    <row r="80" spans="3:6" ht="15.75" customHeight="1" x14ac:dyDescent="0.25">
      <c r="E80"/>
    </row>
    <row r="81" spans="5:5" ht="15" customHeight="1" x14ac:dyDescent="0.25">
      <c r="E81"/>
    </row>
    <row r="82" spans="5:5" ht="30.75" customHeight="1" x14ac:dyDescent="0.25">
      <c r="E82"/>
    </row>
    <row r="83" spans="5:5" ht="15" customHeight="1" x14ac:dyDescent="0.25">
      <c r="E83"/>
    </row>
    <row r="84" spans="5:5" ht="15" customHeight="1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ht="15.75" customHeight="1" x14ac:dyDescent="0.25">
      <c r="E95"/>
    </row>
    <row r="96" spans="5:5" x14ac:dyDescent="0.25">
      <c r="E96"/>
    </row>
    <row r="97" spans="5:5" ht="30" customHeight="1" x14ac:dyDescent="0.25">
      <c r="E97"/>
    </row>
    <row r="98" spans="5:5" x14ac:dyDescent="0.25">
      <c r="E98"/>
    </row>
    <row r="99" spans="5:5" ht="15" customHeight="1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ht="15.75" customHeight="1" x14ac:dyDescent="0.25">
      <c r="E110"/>
    </row>
    <row r="111" spans="5:5" x14ac:dyDescent="0.25">
      <c r="E111"/>
    </row>
    <row r="112" spans="5:5" ht="30" customHeight="1" x14ac:dyDescent="0.25">
      <c r="E112"/>
    </row>
    <row r="113" spans="2:9" x14ac:dyDescent="0.25">
      <c r="E113"/>
    </row>
    <row r="114" spans="2:9" ht="15" customHeight="1" x14ac:dyDescent="0.25">
      <c r="E114"/>
    </row>
    <row r="115" spans="2:9" x14ac:dyDescent="0.25">
      <c r="E115"/>
    </row>
    <row r="116" spans="2:9" x14ac:dyDescent="0.25">
      <c r="E116"/>
    </row>
    <row r="117" spans="2:9" x14ac:dyDescent="0.25">
      <c r="E117"/>
    </row>
    <row r="118" spans="2:9" x14ac:dyDescent="0.25">
      <c r="E118"/>
    </row>
    <row r="119" spans="2:9" x14ac:dyDescent="0.25">
      <c r="E119"/>
    </row>
    <row r="120" spans="2:9" x14ac:dyDescent="0.25">
      <c r="E120"/>
    </row>
    <row r="121" spans="2:9" x14ac:dyDescent="0.25">
      <c r="E121"/>
    </row>
    <row r="122" spans="2:9" x14ac:dyDescent="0.25">
      <c r="E122"/>
    </row>
    <row r="123" spans="2:9" x14ac:dyDescent="0.25">
      <c r="E123"/>
    </row>
    <row r="124" spans="2:9" x14ac:dyDescent="0.25">
      <c r="E124"/>
    </row>
    <row r="125" spans="2:9" ht="15.75" customHeight="1" x14ac:dyDescent="0.25">
      <c r="E125"/>
    </row>
    <row r="126" spans="2:9" ht="16.5" customHeight="1" x14ac:dyDescent="0.25">
      <c r="B126" s="18"/>
      <c r="C126" s="18"/>
      <c r="D126" s="18"/>
      <c r="E126" s="18"/>
      <c r="F126" s="18"/>
      <c r="G126" s="18"/>
      <c r="H126" s="18"/>
      <c r="I126" s="18"/>
    </row>
    <row r="127" spans="2:9" ht="23.25" customHeight="1" x14ac:dyDescent="0.25">
      <c r="E127"/>
    </row>
    <row r="128" spans="2:9" x14ac:dyDescent="0.25">
      <c r="E128"/>
    </row>
    <row r="129" spans="5:5" ht="15" customHeight="1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ht="15.75" customHeight="1" x14ac:dyDescent="0.25">
      <c r="E140"/>
    </row>
    <row r="141" spans="5:5" x14ac:dyDescent="0.25">
      <c r="E141"/>
    </row>
    <row r="142" spans="5:5" ht="15" customHeight="1" x14ac:dyDescent="0.25">
      <c r="E142"/>
    </row>
    <row r="143" spans="5:5" x14ac:dyDescent="0.25">
      <c r="E143"/>
    </row>
    <row r="144" spans="5:5" ht="15" customHeight="1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ht="15.75" customHeight="1" x14ac:dyDescent="0.25">
      <c r="E155"/>
    </row>
    <row r="156" spans="5:5" x14ac:dyDescent="0.25">
      <c r="E156"/>
    </row>
    <row r="157" spans="5:5" ht="15" customHeight="1" x14ac:dyDescent="0.25">
      <c r="E157"/>
    </row>
    <row r="158" spans="5:5" x14ac:dyDescent="0.25">
      <c r="E158"/>
    </row>
    <row r="159" spans="5:5" ht="15" customHeight="1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ht="15.75" customHeight="1" x14ac:dyDescent="0.25">
      <c r="E170"/>
    </row>
    <row r="171" spans="5:5" ht="18" customHeight="1" x14ac:dyDescent="0.25">
      <c r="E171"/>
    </row>
    <row r="172" spans="5:5" ht="17.25" customHeight="1" x14ac:dyDescent="0.25">
      <c r="E172"/>
    </row>
    <row r="173" spans="5:5" x14ac:dyDescent="0.25">
      <c r="E173"/>
    </row>
    <row r="174" spans="5:5" ht="15" customHeight="1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ht="15" customHeight="1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ht="15.75" customHeight="1" x14ac:dyDescent="0.25">
      <c r="E185"/>
    </row>
    <row r="186" spans="5:5" ht="15.75" customHeight="1" x14ac:dyDescent="0.25">
      <c r="E186"/>
    </row>
    <row r="187" spans="5:5" ht="15.75" customHeight="1" x14ac:dyDescent="0.25">
      <c r="E187"/>
    </row>
    <row r="188" spans="5:5" ht="33" customHeight="1" x14ac:dyDescent="0.25">
      <c r="E188"/>
    </row>
    <row r="189" spans="5:5" ht="15.75" customHeight="1" x14ac:dyDescent="0.25">
      <c r="E189"/>
    </row>
    <row r="190" spans="5:5" ht="15.75" customHeight="1" x14ac:dyDescent="0.25">
      <c r="E190"/>
    </row>
    <row r="191" spans="5:5" ht="15.75" customHeight="1" x14ac:dyDescent="0.25">
      <c r="E191"/>
    </row>
    <row r="192" spans="5:5" ht="15.75" customHeight="1" x14ac:dyDescent="0.25">
      <c r="E192"/>
    </row>
    <row r="193" spans="5:5" ht="15.75" customHeight="1" x14ac:dyDescent="0.25">
      <c r="E193"/>
    </row>
    <row r="194" spans="5:5" ht="15.75" customHeight="1" x14ac:dyDescent="0.25">
      <c r="E194"/>
    </row>
    <row r="195" spans="5:5" ht="15.75" customHeight="1" x14ac:dyDescent="0.25">
      <c r="E195"/>
    </row>
    <row r="196" spans="5:5" ht="15.75" customHeight="1" x14ac:dyDescent="0.25">
      <c r="E196"/>
    </row>
    <row r="197" spans="5:5" ht="15.75" customHeight="1" x14ac:dyDescent="0.25">
      <c r="E197"/>
    </row>
    <row r="198" spans="5:5" ht="15.75" customHeight="1" x14ac:dyDescent="0.25">
      <c r="E198"/>
    </row>
    <row r="199" spans="5:5" ht="15.75" customHeight="1" x14ac:dyDescent="0.25">
      <c r="E199"/>
    </row>
    <row r="200" spans="5:5" ht="15.75" customHeight="1" x14ac:dyDescent="0.25">
      <c r="E200"/>
    </row>
    <row r="201" spans="5:5" ht="15.75" customHeight="1" x14ac:dyDescent="0.25">
      <c r="E201"/>
    </row>
    <row r="202" spans="5:5" ht="15.75" customHeight="1" x14ac:dyDescent="0.25">
      <c r="E202"/>
    </row>
    <row r="203" spans="5:5" ht="45" customHeight="1" x14ac:dyDescent="0.25">
      <c r="E203"/>
    </row>
    <row r="204" spans="5:5" ht="15.75" customHeight="1" x14ac:dyDescent="0.25">
      <c r="E204"/>
    </row>
    <row r="205" spans="5:5" ht="15.75" customHeight="1" x14ac:dyDescent="0.25">
      <c r="E205"/>
    </row>
    <row r="206" spans="5:5" ht="15.75" customHeight="1" x14ac:dyDescent="0.25">
      <c r="E206"/>
    </row>
    <row r="207" spans="5:5" ht="15.75" customHeight="1" x14ac:dyDescent="0.25">
      <c r="E207"/>
    </row>
    <row r="208" spans="5:5" ht="15.75" customHeight="1" x14ac:dyDescent="0.25">
      <c r="E208"/>
    </row>
    <row r="209" spans="5:5" ht="15.75" customHeight="1" x14ac:dyDescent="0.25">
      <c r="E209"/>
    </row>
    <row r="210" spans="5:5" ht="15.75" customHeight="1" x14ac:dyDescent="0.25">
      <c r="E210"/>
    </row>
    <row r="211" spans="5:5" ht="15.75" customHeight="1" x14ac:dyDescent="0.25">
      <c r="E211"/>
    </row>
    <row r="212" spans="5:5" ht="15.75" customHeight="1" x14ac:dyDescent="0.25">
      <c r="E212"/>
    </row>
    <row r="213" spans="5:5" ht="15.75" customHeight="1" x14ac:dyDescent="0.25">
      <c r="E213"/>
    </row>
    <row r="214" spans="5:5" ht="15.75" customHeight="1" x14ac:dyDescent="0.25">
      <c r="E214"/>
    </row>
    <row r="215" spans="5:5" ht="15.75" customHeight="1" x14ac:dyDescent="0.25">
      <c r="E215"/>
    </row>
    <row r="216" spans="5:5" ht="15.75" customHeight="1" x14ac:dyDescent="0.25">
      <c r="E216"/>
    </row>
    <row r="217" spans="5:5" ht="18.75" customHeight="1" x14ac:dyDescent="0.25">
      <c r="E217"/>
    </row>
    <row r="218" spans="5:5" ht="15" customHeight="1" x14ac:dyDescent="0.25">
      <c r="E218"/>
    </row>
    <row r="219" spans="5:5" x14ac:dyDescent="0.25">
      <c r="E219"/>
    </row>
    <row r="220" spans="5:5" ht="15" customHeight="1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ht="15.75" customHeight="1" x14ac:dyDescent="0.25">
      <c r="E231"/>
    </row>
    <row r="232" spans="5:5" x14ac:dyDescent="0.25">
      <c r="E232"/>
    </row>
    <row r="233" spans="5:5" ht="17.25" customHeight="1" x14ac:dyDescent="0.25">
      <c r="E233"/>
    </row>
    <row r="234" spans="5:5" x14ac:dyDescent="0.25">
      <c r="E234"/>
    </row>
    <row r="235" spans="5:5" ht="15" customHeight="1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ht="15.75" customHeight="1" x14ac:dyDescent="0.25">
      <c r="E246"/>
    </row>
    <row r="247" spans="5:5" x14ac:dyDescent="0.25">
      <c r="E247"/>
    </row>
    <row r="248" spans="5:5" ht="31.5" customHeight="1" x14ac:dyDescent="0.25">
      <c r="E248"/>
    </row>
    <row r="249" spans="5:5" x14ac:dyDescent="0.25">
      <c r="E249"/>
    </row>
    <row r="250" spans="5:5" ht="15" customHeight="1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ht="15.75" customHeight="1" x14ac:dyDescent="0.25">
      <c r="E261"/>
    </row>
    <row r="262" spans="5:5" x14ac:dyDescent="0.25">
      <c r="E262"/>
    </row>
    <row r="263" spans="5:5" ht="21.75" customHeight="1" x14ac:dyDescent="0.25">
      <c r="E263"/>
    </row>
    <row r="264" spans="5:5" x14ac:dyDescent="0.25">
      <c r="E264"/>
    </row>
    <row r="265" spans="5:5" ht="15" customHeight="1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ht="15.75" customHeight="1" x14ac:dyDescent="0.25">
      <c r="E276"/>
    </row>
    <row r="277" spans="5:5" x14ac:dyDescent="0.25">
      <c r="E277"/>
    </row>
    <row r="278" spans="5:5" ht="30.75" customHeight="1" x14ac:dyDescent="0.25">
      <c r="E278"/>
    </row>
    <row r="279" spans="5:5" x14ac:dyDescent="0.25">
      <c r="E279"/>
    </row>
    <row r="280" spans="5:5" ht="15" customHeight="1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ht="15.75" customHeight="1" x14ac:dyDescent="0.25">
      <c r="E291"/>
    </row>
    <row r="292" spans="5:5" x14ac:dyDescent="0.25">
      <c r="E292"/>
    </row>
    <row r="293" spans="5:5" ht="15" customHeight="1" x14ac:dyDescent="0.25">
      <c r="E293"/>
    </row>
    <row r="294" spans="5:5" x14ac:dyDescent="0.25">
      <c r="E294"/>
    </row>
    <row r="295" spans="5:5" ht="15" customHeight="1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ht="15.75" customHeight="1" x14ac:dyDescent="0.25">
      <c r="E306"/>
    </row>
    <row r="307" spans="5:5" x14ac:dyDescent="0.25">
      <c r="E307"/>
    </row>
    <row r="308" spans="5:5" ht="15" customHeight="1" x14ac:dyDescent="0.25">
      <c r="E308"/>
    </row>
    <row r="309" spans="5:5" x14ac:dyDescent="0.25">
      <c r="E309"/>
    </row>
    <row r="310" spans="5:5" ht="15" customHeight="1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ht="15.75" customHeight="1" x14ac:dyDescent="0.25">
      <c r="E321"/>
    </row>
    <row r="322" spans="5:5" x14ac:dyDescent="0.25">
      <c r="E322"/>
    </row>
    <row r="323" spans="5:5" ht="15" customHeight="1" x14ac:dyDescent="0.25">
      <c r="E323"/>
    </row>
    <row r="324" spans="5:5" x14ac:dyDescent="0.25">
      <c r="E324"/>
    </row>
    <row r="325" spans="5:5" ht="15" customHeight="1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ht="15.75" customHeight="1" x14ac:dyDescent="0.25">
      <c r="E336"/>
    </row>
    <row r="337" spans="5:5" x14ac:dyDescent="0.25">
      <c r="E337"/>
    </row>
    <row r="338" spans="5:5" ht="15" customHeight="1" x14ac:dyDescent="0.25">
      <c r="E338"/>
    </row>
    <row r="339" spans="5:5" x14ac:dyDescent="0.25">
      <c r="E339"/>
    </row>
    <row r="340" spans="5:5" ht="15" customHeight="1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ht="15.75" customHeight="1" x14ac:dyDescent="0.25">
      <c r="E351"/>
    </row>
    <row r="352" spans="5:5" x14ac:dyDescent="0.25">
      <c r="E352"/>
    </row>
    <row r="353" spans="5:5" ht="15" customHeight="1" x14ac:dyDescent="0.25">
      <c r="E353"/>
    </row>
    <row r="354" spans="5:5" x14ac:dyDescent="0.25">
      <c r="E354"/>
    </row>
    <row r="355" spans="5:5" ht="15" customHeight="1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ht="15.75" customHeight="1" x14ac:dyDescent="0.25">
      <c r="E366"/>
    </row>
    <row r="367" spans="5:5" x14ac:dyDescent="0.25">
      <c r="E367"/>
    </row>
    <row r="368" spans="5:5" ht="15" customHeight="1" x14ac:dyDescent="0.25">
      <c r="E368"/>
    </row>
    <row r="369" spans="5:5" x14ac:dyDescent="0.25">
      <c r="E369"/>
    </row>
    <row r="370" spans="5:5" ht="15" customHeight="1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ht="15.75" customHeight="1" x14ac:dyDescent="0.25">
      <c r="E381"/>
    </row>
    <row r="382" spans="5:5" x14ac:dyDescent="0.25">
      <c r="E382"/>
    </row>
    <row r="383" spans="5:5" ht="15" customHeight="1" x14ac:dyDescent="0.25">
      <c r="E383"/>
    </row>
    <row r="384" spans="5:5" x14ac:dyDescent="0.25">
      <c r="E384"/>
    </row>
    <row r="385" spans="5:5" ht="15" customHeight="1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ht="15.75" customHeight="1" x14ac:dyDescent="0.25">
      <c r="E396"/>
    </row>
    <row r="397" spans="5:5" x14ac:dyDescent="0.25">
      <c r="E397"/>
    </row>
    <row r="398" spans="5:5" ht="15" customHeight="1" x14ac:dyDescent="0.25">
      <c r="E398"/>
    </row>
    <row r="399" spans="5:5" x14ac:dyDescent="0.25">
      <c r="E399"/>
    </row>
    <row r="400" spans="5:5" ht="15" customHeight="1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ht="15.75" customHeight="1" x14ac:dyDescent="0.25">
      <c r="E411"/>
    </row>
    <row r="412" spans="5:5" x14ac:dyDescent="0.25">
      <c r="E412"/>
    </row>
    <row r="413" spans="5:5" ht="15" customHeight="1" x14ac:dyDescent="0.25">
      <c r="E413"/>
    </row>
    <row r="414" spans="5:5" x14ac:dyDescent="0.25">
      <c r="E414"/>
    </row>
    <row r="415" spans="5:5" ht="15" customHeight="1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ht="15.75" customHeight="1" x14ac:dyDescent="0.25">
      <c r="E426"/>
    </row>
    <row r="427" spans="5:5" x14ac:dyDescent="0.25">
      <c r="E427"/>
    </row>
    <row r="428" spans="5:5" ht="15" customHeight="1" x14ac:dyDescent="0.25">
      <c r="E428"/>
    </row>
    <row r="429" spans="5:5" x14ac:dyDescent="0.25">
      <c r="E429"/>
    </row>
    <row r="430" spans="5:5" ht="15" customHeight="1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ht="15.75" customHeight="1" x14ac:dyDescent="0.25">
      <c r="E441"/>
    </row>
    <row r="442" spans="5:5" x14ac:dyDescent="0.25">
      <c r="E442"/>
    </row>
    <row r="443" spans="5:5" ht="15" customHeight="1" x14ac:dyDescent="0.25">
      <c r="E443"/>
    </row>
    <row r="444" spans="5:5" x14ac:dyDescent="0.25">
      <c r="E444"/>
    </row>
    <row r="445" spans="5:5" ht="15" customHeight="1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ht="15.75" customHeight="1" x14ac:dyDescent="0.25">
      <c r="E456"/>
    </row>
    <row r="457" spans="5:5" x14ac:dyDescent="0.25">
      <c r="E457"/>
    </row>
    <row r="458" spans="5:5" ht="15" customHeight="1" x14ac:dyDescent="0.25">
      <c r="E458"/>
    </row>
    <row r="459" spans="5:5" x14ac:dyDescent="0.25">
      <c r="E459"/>
    </row>
    <row r="460" spans="5:5" ht="15" customHeight="1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ht="15.75" customHeight="1" x14ac:dyDescent="0.25">
      <c r="E471"/>
    </row>
    <row r="472" spans="5:5" x14ac:dyDescent="0.25">
      <c r="E472"/>
    </row>
    <row r="473" spans="5:5" ht="15" customHeight="1" x14ac:dyDescent="0.25">
      <c r="E473"/>
    </row>
    <row r="474" spans="5:5" x14ac:dyDescent="0.25">
      <c r="E474"/>
    </row>
    <row r="475" spans="5:5" ht="15" customHeight="1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ht="15.75" customHeight="1" x14ac:dyDescent="0.25">
      <c r="E486"/>
    </row>
    <row r="487" spans="5:5" x14ac:dyDescent="0.25">
      <c r="E487"/>
    </row>
    <row r="488" spans="5:5" ht="15" customHeight="1" x14ac:dyDescent="0.25">
      <c r="E488"/>
    </row>
    <row r="489" spans="5:5" x14ac:dyDescent="0.25">
      <c r="E489"/>
    </row>
    <row r="490" spans="5:5" ht="15" customHeight="1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</sheetData>
  <mergeCells count="15">
    <mergeCell ref="A2:I2"/>
    <mergeCell ref="A4:B4"/>
    <mergeCell ref="C4:E4"/>
    <mergeCell ref="A5:B5"/>
    <mergeCell ref="C5:E5"/>
    <mergeCell ref="C62:E62"/>
    <mergeCell ref="A6:B6"/>
    <mergeCell ref="B50:E50"/>
    <mergeCell ref="C52:E52"/>
    <mergeCell ref="C54:E55"/>
    <mergeCell ref="A7:B7"/>
    <mergeCell ref="A48:H48"/>
    <mergeCell ref="C56:E56"/>
    <mergeCell ref="C58:E58"/>
    <mergeCell ref="C60:E60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A E y M</dc:creator>
  <cp:lastModifiedBy>ELIAS QUINTAR</cp:lastModifiedBy>
  <cp:lastPrinted>2022-03-03T16:29:28Z</cp:lastPrinted>
  <dcterms:created xsi:type="dcterms:W3CDTF">2022-02-21T12:55:32Z</dcterms:created>
  <dcterms:modified xsi:type="dcterms:W3CDTF">2022-04-11T12:47:23Z</dcterms:modified>
</cp:coreProperties>
</file>