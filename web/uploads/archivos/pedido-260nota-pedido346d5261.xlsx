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BD379318-6BFC-483E-8491-EDB8310B4EB4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A16" i="2" l="1"/>
  <c r="K13" i="2"/>
  <c r="K14" i="2"/>
  <c r="K15" i="2"/>
  <c r="K12" i="2"/>
  <c r="J13" i="2"/>
  <c r="J15" i="2"/>
  <c r="J14" i="2"/>
  <c r="J12" i="2"/>
  <c r="I13" i="1"/>
  <c r="C13" i="2" l="1"/>
  <c r="C14" i="2"/>
  <c r="C15" i="2"/>
  <c r="C12" i="2"/>
  <c r="B13" i="2"/>
  <c r="B14" i="2"/>
  <c r="B15" i="2"/>
  <c r="B12" i="2"/>
  <c r="D11" i="1" l="1"/>
  <c r="D12" i="1"/>
  <c r="D13" i="1"/>
  <c r="D10" i="1"/>
  <c r="I11" i="1"/>
  <c r="I10" i="1" l="1"/>
  <c r="A19" i="3" l="1"/>
  <c r="A10" i="3"/>
  <c r="I12" i="1"/>
  <c r="I14" i="1" s="1"/>
  <c r="I12" i="2" l="1"/>
  <c r="J16" i="2" l="1"/>
  <c r="Q15" i="3" l="1"/>
  <c r="G7" i="3"/>
  <c r="D7" i="2"/>
  <c r="D3" i="2"/>
  <c r="G4" i="3" s="1"/>
  <c r="D4" i="2"/>
  <c r="G5" i="3" s="1"/>
  <c r="D1" i="3" l="1"/>
  <c r="Q16" i="3"/>
</calcChain>
</file>

<file path=xl/sharedStrings.xml><?xml version="1.0" encoding="utf-8"?>
<sst xmlns="http://schemas.openxmlformats.org/spreadsheetml/2006/main" count="110" uniqueCount="88">
  <si>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</si>
  <si>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</si>
  <si>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</si>
  <si>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</si>
  <si>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</si>
  <si>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</si>
  <si>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</si>
  <si>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</si>
  <si>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</si>
  <si>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</si>
  <si>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</si>
  <si>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</si>
  <si>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</si>
  <si>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</si>
  <si>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</si>
  <si>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</si>
  <si>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</si>
  <si>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</si>
  <si>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</si>
  <si>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</si>
  <si>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</si>
  <si>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</si>
  <si>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</si>
  <si>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</si>
  <si>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</si>
  <si>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</si>
  <si>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</si>
  <si>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</si>
  <si>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</si>
  <si>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</si>
  <si>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</si>
  <si>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</si>
  <si>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</si>
  <si>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</si>
  <si>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</si>
  <si>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</si>
  <si>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</si>
  <si>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</si>
  <si>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</si>
  <si>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</si>
  <si>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</si>
  <si>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</si>
  <si>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</si>
  <si>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</si>
  <si>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</si>
  <si>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</si>
  <si>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</si>
  <si>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</si>
  <si>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</si>
  <si>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</si>
  <si>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</si>
  <si>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</si>
  <si>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</si>
  <si>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</si>
  <si>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</si>
  <si>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</si>
  <si>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</si>
  <si>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</si>
  <si>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>4.3.6-6169.28</t>
  </si>
  <si>
    <t>MONITORES; TIPO: ESTANDAR, CODIGO ETAP: MN-001, VERSION ETAP: INVIERNO 2005 (V 12.0)</t>
  </si>
  <si>
    <t>4.3.6-6160.4</t>
  </si>
  <si>
    <t>COMPUTADORAS; CODIGO ETAP: PC-004, TIPO: DE ESCRITORIO AVANZADA, VERSION ETAP: VERANO 2001( V 6.0 )</t>
  </si>
  <si>
    <t>4.3.6-3351.5</t>
  </si>
  <si>
    <t>KIT PERIFERICOS P/PC; COMPONENTES: PARLANTES</t>
  </si>
  <si>
    <t>4.3.6-6178.60</t>
  </si>
  <si>
    <t>PLACAS DE RED; TIPO: PLACA WIFI EXTERNA P/USB, CODIGO ETAP: PQR-017, VERSION ETAP: 20.0</t>
  </si>
  <si>
    <t>Descripción técnica</t>
  </si>
  <si>
    <t>Gabinete slim - 8gb de RAM DDR4 - Ssd 240gb - CPU similar a Amd Ryzen 3 3200g - sistema operativo Windows 10 o superior - con kit teclado y mouse - similiar a Pc Escritorio Cx Slim  8gb Ssd 240gb</t>
  </si>
  <si>
    <t>INFORMATICA</t>
  </si>
  <si>
    <t>UNIDAD</t>
  </si>
  <si>
    <r>
      <rPr>
        <b/>
        <u/>
        <sz val="10"/>
        <rFont val="Century Gothic"/>
        <family val="2"/>
      </rPr>
      <t>ANEXO II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>GARANTIA</t>
    </r>
    <r>
      <rPr>
        <sz val="10"/>
        <rFont val="Century Gothic"/>
        <family val="2"/>
      </rPr>
      <t xml:space="preserve">: El oferente deberá Indicar expresamente los términos de la garantía en los bienes ofrecidos como así también en las condiciones dadas por sus fabricantes y alcances de las mismas, como se detalla a continuación:
</t>
    </r>
    <r>
      <rPr>
        <b/>
        <sz val="10"/>
        <rFont val="Century Gothic"/>
        <family val="2"/>
      </rPr>
      <t xml:space="preserve">1) </t>
    </r>
    <r>
      <rPr>
        <sz val="10"/>
        <rFont val="Century Gothic"/>
        <family val="2"/>
      </rPr>
      <t xml:space="preserve">Extender el periodo de garantía del equipamiento contra eventuales defectos de fabricación, debidamente comprobados por un periodo de 12 (DOCE) meses.
</t>
    </r>
    <r>
      <rPr>
        <b/>
        <sz val="10"/>
        <rFont val="Century Gothic"/>
        <family val="2"/>
      </rPr>
      <t>2)</t>
    </r>
    <r>
      <rPr>
        <sz val="10"/>
        <rFont val="Century Gothic"/>
        <family val="2"/>
      </rPr>
      <t xml:space="preserve"> Dentro del periodo de garantía las piezas o componentes que se comprueben a juicio de nuestros técnicos que presenten defectos de fabricación o fallas en su funcionamiento, deberán ser reparadas o sustituidas en parte o en su totalidad por el oferente, dejando constancia de su reparación o reemplazo.
</t>
    </r>
    <r>
      <rPr>
        <b/>
        <sz val="10"/>
        <rFont val="Century Gothic"/>
        <family val="2"/>
      </rPr>
      <t xml:space="preserve">3) </t>
    </r>
    <r>
      <rPr>
        <sz val="10"/>
        <rFont val="Century Gothic"/>
        <family val="2"/>
      </rPr>
      <t xml:space="preserve">Los periféricos como Mouse, parlantes y teclados, tienen una garantía de 06 (SEIS) meses desde la fecha de recepción definitiva de los mismos.
</t>
    </r>
    <r>
      <rPr>
        <b/>
        <sz val="10"/>
        <rFont val="Century Gothic"/>
        <family val="2"/>
      </rPr>
      <t xml:space="preserve">4) </t>
    </r>
    <r>
      <rPr>
        <sz val="10"/>
        <rFont val="Century Gothic"/>
        <family val="2"/>
      </rPr>
      <t xml:space="preserve">Los productos deben presentarse con su embalaje original y con todos sus accesorios (caja, manual, cables, drivers, etc.), sin daños físicos ni quemaduras, los cuales anulan la garantía. La garantía debe contemplar específicamente el reemplazo de  microprocesador, placa madre o motherboard, módulos de memoria RAM, en caso de fallas propias de fabricación, debidamente comprobables, dentro de un plazo de 12 (meses) a partir del día de la recepción definitiva de los bienes.
</t>
    </r>
  </si>
  <si>
    <t>Ministerio de Trabajo y Recursos Humanos</t>
  </si>
  <si>
    <t>Adquisición de Computadoras mas los implementos informaticos para este Ministerio.</t>
  </si>
  <si>
    <t xml:space="preserve"> Equipos para Computación</t>
  </si>
  <si>
    <t xml:space="preserve"> Ítem N° : 01</t>
  </si>
  <si>
    <t>Parlantes portátiles conexión y alimentación USB - similar a Parlantes Pc Noga Ng-106</t>
  </si>
  <si>
    <t xml:space="preserve"> Ítem N° : 02</t>
  </si>
  <si>
    <t>Pantalla LED - Resolución mínima: HD - relación de aspecto 16:9 - tamaño de panel 19 ¨ - similar a Monitor LG 19M38A led 19" negro 100V/240V</t>
  </si>
  <si>
    <t xml:space="preserve"> Ítem N° : 03</t>
  </si>
  <si>
    <t xml:space="preserve"> Ítem N° : 04</t>
  </si>
  <si>
    <t>Características similar a Placa De Red USB Wifi Tp-link Adaptador Tl-wn722n 150mbps</t>
  </si>
  <si>
    <r>
      <t xml:space="preserve">a) </t>
    </r>
    <r>
      <rPr>
        <b/>
        <sz val="10"/>
        <rFont val="Century Gothic"/>
        <family val="2"/>
      </rPr>
      <t xml:space="preserve">FORMA DE LA ENTREGA: Libre de flete, acarreo y embalaje, como así también, de todo riesgo de pérdida o destrucción total o parcial, por causas ajenas a la Institución. </t>
    </r>
    <r>
      <rPr>
        <sz val="10"/>
        <rFont val="Century Gothic"/>
        <family val="2"/>
      </rPr>
      <t xml:space="preserve">en la Secretaria de Administración - Pabellón Nº 20 Ministerio de Trabajo y Recursos Humanos (CAPE), sito en Av. Presidente Castillo y Av.  Venezuela - Capital - De 08 a 12 horas. 
b)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</t>
    </r>
    <r>
      <rPr>
        <b/>
        <sz val="10"/>
        <rFont val="Century Gothic"/>
        <family val="2"/>
      </rPr>
      <t xml:space="preserve"> cinco 5 días</t>
    </r>
    <r>
      <rPr>
        <sz val="10"/>
        <rFont val="Century Gothic"/>
        <family val="2"/>
      </rPr>
      <t xml:space="preserve"> hábiles contados a partir de la recepción de la comunicación prevista en el Artículo 80° de del Reglamento Parcial N° 2 de la ley 4938.</t>
    </r>
  </si>
  <si>
    <t>Calidad Mínima esperada</t>
  </si>
  <si>
    <t>Garantía</t>
  </si>
  <si>
    <t>22 - Secretaria de Administración del Ministerio de Trabajo y Recursos Humanos</t>
  </si>
  <si>
    <t>Costo Estimado Total: Son Pesos Setecientos Ochenta y Cuatro Mil Setecientos Dieciocho con 00/100</t>
  </si>
  <si>
    <t>TOTAL DE PESOS: Setecientos Ochenta y Cuatro Mil Setecientos Dieciocho con 00/100.-</t>
  </si>
  <si>
    <t>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</si>
</sst>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u/>
      <sz val="10"/>
      <name val="Century Gothic"/>
      <family val="2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51">
    <xf numFmtId="0" fontId="0" fillId="0" borderId="0" xfId="0"/>
    <xf numFmtId="0" fontId="7" fillId="0" borderId="0" xfId="0" applyFont="1"/>
    <xf numFmtId="0" fontId="7" fillId="0" borderId="0" xfId="0" applyFont="1" applyBorder="1"/>
    <xf numFmtId="3" fontId="18" fillId="0" borderId="0" xfId="0" applyNumberFormat="1" applyFont="1" applyBorder="1" applyAlignment="1"/>
    <xf numFmtId="16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/>
    <xf numFmtId="0" fontId="7" fillId="0" borderId="26" xfId="0" applyFont="1" applyBorder="1"/>
    <xf numFmtId="0" fontId="7" fillId="0" borderId="14" xfId="0" applyFont="1" applyBorder="1"/>
    <xf numFmtId="0" fontId="7" fillId="0" borderId="14" xfId="0" applyFont="1" applyBorder="1" applyAlignment="1">
      <alignment horizontal="left"/>
    </xf>
    <xf numFmtId="0" fontId="7" fillId="0" borderId="27" xfId="0" applyFont="1" applyBorder="1"/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67" fontId="12" fillId="0" borderId="36" xfId="0" applyNumberFormat="1" applyFont="1" applyBorder="1" applyAlignment="1">
      <alignment horizontal="center" vertical="center"/>
    </xf>
    <xf numFmtId="0" fontId="11" fillId="3" borderId="12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/>
    <xf numFmtId="0" fontId="11" fillId="3" borderId="1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2" fillId="3" borderId="40" xfId="0" applyFont="1" applyFill="1" applyBorder="1" applyAlignment="1">
      <alignment horizontal="center" vertical="center"/>
    </xf>
    <xf numFmtId="0" fontId="12" fillId="3" borderId="40" xfId="0" applyFont="1" applyFill="1" applyBorder="1" applyAlignment="1">
      <alignment horizontal="center" vertical="center" wrapText="1"/>
    </xf>
    <xf numFmtId="164" fontId="12" fillId="3" borderId="40" xfId="0" applyNumberFormat="1" applyFont="1" applyFill="1" applyBorder="1" applyAlignment="1">
      <alignment horizontal="center" vertical="center" wrapText="1"/>
    </xf>
    <xf numFmtId="3" fontId="12" fillId="3" borderId="40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/>
    </xf>
    <xf numFmtId="3" fontId="7" fillId="3" borderId="41" xfId="0" applyNumberFormat="1" applyFont="1" applyFill="1" applyBorder="1" applyAlignment="1">
      <alignment horizontal="center" vertical="center"/>
    </xf>
    <xf numFmtId="164" fontId="7" fillId="3" borderId="41" xfId="1" applyNumberFormat="1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167" fontId="12" fillId="3" borderId="0" xfId="0" applyNumberFormat="1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0" fontId="7" fillId="3" borderId="0" xfId="0" applyFont="1" applyFill="1" applyBorder="1"/>
    <xf numFmtId="0" fontId="7" fillId="3" borderId="8" xfId="0" applyFont="1" applyFill="1" applyBorder="1"/>
    <xf numFmtId="168" fontId="7" fillId="3" borderId="0" xfId="0" applyNumberFormat="1" applyFont="1" applyFill="1"/>
    <xf numFmtId="0" fontId="17" fillId="3" borderId="7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7" fillId="3" borderId="10" xfId="0" applyFont="1" applyFill="1" applyBorder="1"/>
    <xf numFmtId="0" fontId="7" fillId="3" borderId="11" xfId="0" applyFont="1" applyFill="1" applyBorder="1"/>
    <xf numFmtId="49" fontId="0" fillId="3" borderId="0" xfId="0" applyNumberFormat="1" applyFill="1"/>
    <xf numFmtId="0" fontId="0" fillId="3" borderId="0" xfId="0" applyFill="1"/>
    <xf numFmtId="49" fontId="4" fillId="3" borderId="0" xfId="0" applyNumberFormat="1" applyFont="1" applyFill="1"/>
    <xf numFmtId="0" fontId="7" fillId="3" borderId="9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4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167" fontId="7" fillId="0" borderId="35" xfId="3" applyNumberFormat="1" applyFont="1" applyFill="1" applyBorder="1" applyAlignment="1" applyProtection="1">
      <alignment horizontal="center" vertical="center"/>
    </xf>
    <xf numFmtId="0" fontId="20" fillId="0" borderId="0" xfId="0" applyFont="1" applyFill="1" applyAlignment="1">
      <alignment horizontal="left" vertical="center" wrapText="1" indent="1"/>
    </xf>
    <xf numFmtId="0" fontId="21" fillId="0" borderId="0" xfId="0" applyFont="1" applyFill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/>
    </xf>
    <xf numFmtId="17" fontId="9" fillId="3" borderId="13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11" xfId="0" applyFill="1" applyBorder="1"/>
    <xf numFmtId="0" fontId="22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7" fillId="3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left" vertical="center"/>
    </xf>
    <xf numFmtId="0" fontId="7" fillId="3" borderId="41" xfId="0" applyFont="1" applyFill="1" applyBorder="1" applyAlignment="1">
      <alignment vertical="center" wrapText="1"/>
    </xf>
    <xf numFmtId="167" fontId="7" fillId="3" borderId="45" xfId="1" applyNumberFormat="1" applyFont="1" applyFill="1" applyBorder="1" applyAlignment="1" applyProtection="1">
      <alignment horizontal="right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left" vertical="center" wrapText="1"/>
    </xf>
    <xf numFmtId="0" fontId="7" fillId="3" borderId="47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vertical="top" wrapText="1"/>
    </xf>
    <xf numFmtId="167" fontId="7" fillId="3" borderId="48" xfId="1" applyNumberFormat="1" applyFont="1" applyFill="1" applyBorder="1" applyAlignment="1" applyProtection="1">
      <alignment horizontal="right" vertical="center" wrapText="1"/>
    </xf>
    <xf numFmtId="0" fontId="8" fillId="3" borderId="47" xfId="0" applyFont="1" applyFill="1" applyBorder="1" applyAlignment="1">
      <alignment horizontal="left" vertical="center" wrapText="1"/>
    </xf>
    <xf numFmtId="0" fontId="7" fillId="3" borderId="47" xfId="0" applyFont="1" applyFill="1" applyBorder="1" applyAlignment="1">
      <alignment vertical="top" wrapText="1"/>
    </xf>
    <xf numFmtId="3" fontId="7" fillId="3" borderId="47" xfId="0" applyNumberFormat="1" applyFont="1" applyFill="1" applyBorder="1" applyAlignment="1">
      <alignment horizontal="center" vertical="center"/>
    </xf>
    <xf numFmtId="164" fontId="7" fillId="3" borderId="47" xfId="1" applyNumberFormat="1" applyFont="1" applyFill="1" applyBorder="1" applyAlignment="1">
      <alignment horizontal="center" vertical="center"/>
    </xf>
    <xf numFmtId="167" fontId="7" fillId="3" borderId="49" xfId="1" applyNumberFormat="1" applyFont="1" applyFill="1" applyBorder="1" applyAlignment="1" applyProtection="1">
      <alignment horizontal="right" vertical="center" wrapText="1"/>
    </xf>
    <xf numFmtId="167" fontId="7" fillId="3" borderId="16" xfId="1" applyNumberFormat="1" applyFont="1" applyFill="1" applyBorder="1" applyAlignment="1" applyProtection="1">
      <alignment horizontal="right" vertical="center" wrapText="1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 indent="1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/>
    </xf>
    <xf numFmtId="0" fontId="12" fillId="3" borderId="44" xfId="0" applyFont="1" applyFill="1" applyBorder="1" applyAlignment="1">
      <alignment horizontal="left"/>
    </xf>
    <xf numFmtId="0" fontId="12" fillId="3" borderId="22" xfId="0" applyFont="1" applyFill="1" applyBorder="1" applyAlignment="1">
      <alignment horizontal="left"/>
    </xf>
    <xf numFmtId="0" fontId="10" fillId="3" borderId="18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 wrapText="1" indent="1"/>
    </xf>
    <xf numFmtId="0" fontId="12" fillId="3" borderId="18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0" fontId="10" fillId="3" borderId="17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168" fontId="12" fillId="3" borderId="16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7" fillId="0" borderId="13" xfId="0" applyFont="1" applyBorder="1"/>
    <xf numFmtId="0" fontId="16" fillId="0" borderId="13" xfId="0" applyFont="1" applyBorder="1" applyAlignment="1">
      <alignment horizontal="left" indent="1"/>
    </xf>
    <xf numFmtId="0" fontId="7" fillId="0" borderId="15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/>
    </xf>
    <xf numFmtId="0" fontId="16" fillId="0" borderId="24" xfId="0" applyFont="1" applyBorder="1"/>
    <xf numFmtId="0" fontId="16" fillId="0" borderId="25" xfId="0" applyFont="1" applyBorder="1" applyAlignment="1">
      <alignment horizontal="left" vertical="center" wrapText="1" indent="1"/>
    </xf>
    <xf numFmtId="0" fontId="12" fillId="0" borderId="2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0" fontId="7" fillId="0" borderId="33" xfId="0" applyFont="1" applyFill="1" applyBorder="1" applyAlignment="1">
      <alignment horizontal="left" vertical="center" wrapText="1"/>
    </xf>
    <xf numFmtId="0" fontId="18" fillId="0" borderId="21" xfId="0" applyFont="1" applyBorder="1" applyAlignment="1">
      <alignment vertical="center" wrapText="1"/>
    </xf>
    <xf numFmtId="0" fontId="18" fillId="0" borderId="37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36" xfId="0" applyFont="1" applyFill="1" applyBorder="1" applyAlignment="1">
      <alignment horizontal="left" vertical="center" wrapText="1" indent="1"/>
    </xf>
    <xf numFmtId="0" fontId="18" fillId="0" borderId="36" xfId="0" applyFont="1" applyBorder="1" applyAlignment="1">
      <alignment horizontal="left" vertical="center" wrapText="1"/>
    </xf>
    <xf numFmtId="0" fontId="7" fillId="0" borderId="2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5"/>
  <sheetViews>
    <sheetView tabSelected="1" zoomScale="85" zoomScaleNormal="85" workbookViewId="0">
      <selection activeCell="C44" sqref="C44:E44"/>
    </sheetView>
  </sheetViews>
  <sheetFormatPr baseColWidth="10" defaultColWidth="11" defaultRowHeight="13.5" x14ac:dyDescent="0.25"/>
  <cols>
    <col min="1" max="1" width="4.5703125" style="19" customWidth="1"/>
    <col min="2" max="2" width="14.7109375" style="61" customWidth="1"/>
    <col min="3" max="3" width="15.85546875" style="61" customWidth="1"/>
    <col min="4" max="4" width="8.42578125" style="19" customWidth="1"/>
    <col min="5" max="5" width="76.28515625" style="19" customWidth="1"/>
    <col min="6" max="6" width="11" style="19"/>
    <col min="7" max="7" width="10.7109375" style="19" customWidth="1"/>
    <col min="8" max="8" width="13.85546875" style="19" customWidth="1"/>
    <col min="9" max="9" width="18.5703125" style="19" customWidth="1"/>
    <col min="10" max="10" width="11" style="19"/>
    <col min="11" max="11" width="11.7109375" style="19" bestFit="1" customWidth="1"/>
    <col min="12" max="16384" width="11" style="19"/>
  </cols>
  <sheetData>
    <row r="2" spans="1:11" ht="28.5" x14ac:dyDescent="0.4">
      <c r="B2" s="107" t="s">
        <v>0</v>
      </c>
      <c r="C2" s="107"/>
      <c r="D2" s="107"/>
      <c r="E2" s="107"/>
      <c r="F2" s="107"/>
      <c r="G2" s="107"/>
      <c r="H2" s="107"/>
    </row>
    <row r="4" spans="1:11" ht="18" customHeight="1" x14ac:dyDescent="0.25">
      <c r="A4" s="108" t="s">
        <v>1</v>
      </c>
      <c r="B4" s="108"/>
      <c r="C4" s="109" t="s">
        <v>57</v>
      </c>
      <c r="D4" s="109"/>
      <c r="E4" s="109"/>
      <c r="F4" s="28"/>
      <c r="G4" s="29"/>
      <c r="H4" s="28"/>
    </row>
    <row r="5" spans="1:11" ht="27" customHeight="1" x14ac:dyDescent="0.25">
      <c r="A5" s="108" t="s">
        <v>2</v>
      </c>
      <c r="B5" s="108"/>
      <c r="C5" s="109" t="s">
        <v>84</v>
      </c>
      <c r="D5" s="109"/>
      <c r="E5" s="109"/>
      <c r="F5" s="28"/>
      <c r="G5" s="29"/>
      <c r="H5" s="28"/>
    </row>
    <row r="6" spans="1:11" ht="16.5" customHeight="1" x14ac:dyDescent="0.25">
      <c r="A6" s="108" t="s">
        <v>3</v>
      </c>
      <c r="B6" s="108"/>
      <c r="C6" s="68">
        <v>2021</v>
      </c>
      <c r="D6" s="69"/>
      <c r="E6" s="69"/>
      <c r="F6" s="28"/>
      <c r="G6" s="29"/>
      <c r="H6" s="28"/>
    </row>
    <row r="7" spans="1:11" ht="16.5" customHeight="1" x14ac:dyDescent="0.25">
      <c r="A7" s="108" t="s">
        <v>4</v>
      </c>
      <c r="B7" s="108"/>
      <c r="C7" s="68">
        <v>2</v>
      </c>
      <c r="D7" s="69"/>
      <c r="E7" s="69"/>
      <c r="F7" s="28"/>
      <c r="G7" s="29"/>
      <c r="H7" s="28"/>
    </row>
    <row r="8" spans="1:11" ht="14.25" thickBot="1" x14ac:dyDescent="0.3">
      <c r="B8" s="57"/>
      <c r="C8" s="57"/>
      <c r="D8" s="28"/>
      <c r="E8" s="28"/>
      <c r="F8" s="28"/>
      <c r="G8" s="29"/>
      <c r="H8" s="28"/>
    </row>
    <row r="9" spans="1:11" ht="39.75" thickTop="1" thickBot="1" x14ac:dyDescent="0.3">
      <c r="A9" s="30" t="s">
        <v>5</v>
      </c>
      <c r="B9" s="58" t="s">
        <v>6</v>
      </c>
      <c r="C9" s="58" t="s">
        <v>7</v>
      </c>
      <c r="D9" s="30" t="s">
        <v>8</v>
      </c>
      <c r="E9" s="30" t="s">
        <v>9</v>
      </c>
      <c r="F9" s="30" t="s">
        <v>10</v>
      </c>
      <c r="G9" s="30" t="s">
        <v>11</v>
      </c>
      <c r="H9" s="30" t="s">
        <v>12</v>
      </c>
      <c r="I9" s="30" t="s">
        <v>13</v>
      </c>
    </row>
    <row r="10" spans="1:11" ht="28.5" customHeight="1" x14ac:dyDescent="0.25">
      <c r="A10" s="31">
        <v>1</v>
      </c>
      <c r="B10" s="90" t="s">
        <v>62</v>
      </c>
      <c r="C10" s="59" t="s">
        <v>68</v>
      </c>
      <c r="D10" s="33" t="str">
        <f>+LEFT(B10,5)</f>
        <v>4.3.6</v>
      </c>
      <c r="E10" s="91" t="s">
        <v>63</v>
      </c>
      <c r="F10" s="32" t="s">
        <v>69</v>
      </c>
      <c r="G10" s="34">
        <v>11</v>
      </c>
      <c r="H10" s="35">
        <v>690</v>
      </c>
      <c r="I10" s="92">
        <f>+H10*G10</f>
        <v>7590</v>
      </c>
    </row>
    <row r="11" spans="1:11" ht="28.5" customHeight="1" x14ac:dyDescent="0.25">
      <c r="A11" s="36">
        <v>2</v>
      </c>
      <c r="B11" s="98" t="s">
        <v>58</v>
      </c>
      <c r="C11" s="60" t="s">
        <v>68</v>
      </c>
      <c r="D11" s="37" t="str">
        <f t="shared" ref="D11:D13" si="0">+LEFT(B11,5)</f>
        <v>4.3.6</v>
      </c>
      <c r="E11" s="38" t="s">
        <v>59</v>
      </c>
      <c r="F11" s="39" t="s">
        <v>69</v>
      </c>
      <c r="G11" s="40">
        <v>11</v>
      </c>
      <c r="H11" s="41">
        <v>13799</v>
      </c>
      <c r="I11" s="100">
        <f>+H11*G11</f>
        <v>151789</v>
      </c>
    </row>
    <row r="12" spans="1:11" ht="28.5" customHeight="1" x14ac:dyDescent="0.25">
      <c r="A12" s="36">
        <v>3</v>
      </c>
      <c r="B12" s="97" t="s">
        <v>60</v>
      </c>
      <c r="C12" s="60" t="s">
        <v>68</v>
      </c>
      <c r="D12" s="37" t="str">
        <f t="shared" si="0"/>
        <v>4.3.6</v>
      </c>
      <c r="E12" s="99" t="s">
        <v>61</v>
      </c>
      <c r="F12" s="39" t="s">
        <v>69</v>
      </c>
      <c r="G12" s="40">
        <v>11</v>
      </c>
      <c r="H12" s="41">
        <v>55679</v>
      </c>
      <c r="I12" s="100">
        <f>+H12*G12</f>
        <v>612469</v>
      </c>
    </row>
    <row r="13" spans="1:11" ht="28.5" customHeight="1" thickBot="1" x14ac:dyDescent="0.3">
      <c r="A13" s="93">
        <v>4</v>
      </c>
      <c r="B13" s="101" t="s">
        <v>64</v>
      </c>
      <c r="C13" s="94" t="s">
        <v>68</v>
      </c>
      <c r="D13" s="95" t="str">
        <f t="shared" si="0"/>
        <v>4.3.6</v>
      </c>
      <c r="E13" s="102" t="s">
        <v>65</v>
      </c>
      <c r="F13" s="96" t="s">
        <v>69</v>
      </c>
      <c r="G13" s="103">
        <v>11</v>
      </c>
      <c r="H13" s="104">
        <v>1170</v>
      </c>
      <c r="I13" s="105">
        <f>+H13*G13</f>
        <v>12870</v>
      </c>
    </row>
    <row r="14" spans="1:11" ht="21" customHeight="1" thickBot="1" x14ac:dyDescent="0.3">
      <c r="A14" s="113" t="s">
        <v>85</v>
      </c>
      <c r="B14" s="114"/>
      <c r="C14" s="114"/>
      <c r="D14" s="114"/>
      <c r="E14" s="114"/>
      <c r="F14" s="114"/>
      <c r="G14" s="114"/>
      <c r="H14" s="115"/>
      <c r="I14" s="106">
        <f>SUM(I10:I13)</f>
        <v>784718</v>
      </c>
    </row>
    <row r="15" spans="1:11" ht="22.5" customHeight="1" thickBot="1" x14ac:dyDescent="0.3">
      <c r="I15" s="42"/>
    </row>
    <row r="16" spans="1:11" ht="15.75" customHeight="1" x14ac:dyDescent="0.25">
      <c r="B16" s="70" t="s">
        <v>74</v>
      </c>
      <c r="C16" s="62"/>
      <c r="D16" s="43"/>
      <c r="E16" s="43"/>
      <c r="F16" s="43"/>
      <c r="G16" s="44"/>
      <c r="H16" s="45"/>
      <c r="I16" s="45"/>
      <c r="K16" s="47"/>
    </row>
    <row r="17" spans="2:11" ht="15.75" customHeight="1" x14ac:dyDescent="0.25">
      <c r="B17" s="72" t="s">
        <v>66</v>
      </c>
      <c r="C17" s="74"/>
      <c r="D17" s="74"/>
      <c r="E17" s="74"/>
      <c r="F17" s="45"/>
      <c r="G17" s="46"/>
      <c r="H17" s="45"/>
      <c r="I17" s="45"/>
      <c r="K17" s="47"/>
    </row>
    <row r="18" spans="2:11" ht="15.75" customHeight="1" x14ac:dyDescent="0.25">
      <c r="B18" s="72"/>
      <c r="C18" s="110" t="s">
        <v>75</v>
      </c>
      <c r="D18" s="110"/>
      <c r="E18" s="110"/>
      <c r="F18" s="45"/>
      <c r="G18" s="46"/>
      <c r="H18" s="45"/>
      <c r="I18" s="45"/>
      <c r="K18" s="47"/>
    </row>
    <row r="19" spans="2:11" ht="15.75" customHeight="1" thickBot="1" x14ac:dyDescent="0.3">
      <c r="B19" s="79"/>
      <c r="C19" s="80"/>
      <c r="D19" s="80"/>
      <c r="E19" s="80"/>
      <c r="F19" s="51"/>
      <c r="G19" s="52"/>
      <c r="H19" s="45"/>
      <c r="I19" s="45"/>
      <c r="K19" s="47"/>
    </row>
    <row r="20" spans="2:11" ht="14.25" customHeight="1" x14ac:dyDescent="0.25">
      <c r="B20" s="72" t="s">
        <v>76</v>
      </c>
      <c r="C20" s="74"/>
      <c r="D20" s="74"/>
      <c r="E20" s="74"/>
      <c r="F20" s="45"/>
      <c r="G20" s="46"/>
      <c r="H20" s="45"/>
      <c r="I20" s="45"/>
    </row>
    <row r="21" spans="2:11" ht="27" customHeight="1" x14ac:dyDescent="0.25">
      <c r="B21" s="72" t="s">
        <v>66</v>
      </c>
      <c r="C21" s="74"/>
      <c r="D21" s="74"/>
      <c r="E21" s="74"/>
      <c r="F21" s="45"/>
      <c r="G21" s="46"/>
      <c r="H21" s="45"/>
      <c r="I21" s="45"/>
    </row>
    <row r="22" spans="2:11" ht="27" customHeight="1" x14ac:dyDescent="0.25">
      <c r="B22" s="72"/>
      <c r="C22" s="111" t="s">
        <v>77</v>
      </c>
      <c r="D22" s="111"/>
      <c r="E22" s="111"/>
      <c r="F22" s="45"/>
      <c r="G22" s="46"/>
      <c r="H22" s="45"/>
      <c r="I22" s="45"/>
    </row>
    <row r="23" spans="2:11" ht="31.5" customHeight="1" thickBot="1" x14ac:dyDescent="0.3">
      <c r="B23" s="79"/>
      <c r="C23" s="112"/>
      <c r="D23" s="112"/>
      <c r="E23" s="112"/>
      <c r="F23" s="51"/>
      <c r="G23" s="52"/>
      <c r="H23" s="45"/>
      <c r="I23" s="45"/>
    </row>
    <row r="24" spans="2:11" ht="7.5" customHeight="1" x14ac:dyDescent="0.25">
      <c r="B24" s="70"/>
      <c r="C24" s="81"/>
      <c r="D24" s="81"/>
      <c r="E24" s="81"/>
      <c r="F24" s="43"/>
      <c r="G24" s="44"/>
      <c r="H24" s="45"/>
      <c r="I24" s="45"/>
    </row>
    <row r="25" spans="2:11" ht="18.75" customHeight="1" x14ac:dyDescent="0.25">
      <c r="B25" s="72" t="s">
        <v>78</v>
      </c>
      <c r="C25" s="74"/>
      <c r="D25" s="74"/>
      <c r="E25" s="74"/>
      <c r="F25" s="45"/>
      <c r="G25" s="46"/>
      <c r="H25" s="45"/>
      <c r="I25" s="45"/>
    </row>
    <row r="26" spans="2:11" x14ac:dyDescent="0.25">
      <c r="B26" s="72" t="s">
        <v>66</v>
      </c>
      <c r="C26" s="74"/>
      <c r="D26" s="74"/>
      <c r="E26" s="74"/>
      <c r="F26" s="45"/>
      <c r="G26" s="46"/>
      <c r="H26" s="45"/>
      <c r="I26" s="45"/>
    </row>
    <row r="27" spans="2:11" ht="30" customHeight="1" x14ac:dyDescent="0.25">
      <c r="B27" s="72"/>
      <c r="C27" s="111" t="s">
        <v>67</v>
      </c>
      <c r="D27" s="111"/>
      <c r="E27" s="111"/>
      <c r="F27" s="45"/>
      <c r="G27" s="46"/>
      <c r="H27" s="45"/>
      <c r="I27" s="45"/>
    </row>
    <row r="28" spans="2:11" ht="19.5" customHeight="1" thickBot="1" x14ac:dyDescent="0.3">
      <c r="B28" s="79"/>
      <c r="C28" s="112"/>
      <c r="D28" s="112"/>
      <c r="E28" s="112"/>
      <c r="F28" s="51"/>
      <c r="G28" s="52"/>
      <c r="H28" s="45"/>
      <c r="I28" s="45"/>
    </row>
    <row r="29" spans="2:11" ht="21.75" customHeight="1" x14ac:dyDescent="0.25">
      <c r="B29" s="70"/>
      <c r="C29" s="81"/>
      <c r="D29" s="81"/>
      <c r="E29" s="81"/>
      <c r="F29" s="43"/>
      <c r="G29" s="44"/>
      <c r="H29" s="45"/>
      <c r="I29" s="45"/>
    </row>
    <row r="30" spans="2:11" x14ac:dyDescent="0.25">
      <c r="B30" s="72" t="s">
        <v>79</v>
      </c>
      <c r="C30" s="74"/>
      <c r="D30" s="74"/>
      <c r="E30" s="74"/>
      <c r="F30" s="45"/>
      <c r="G30" s="46"/>
      <c r="H30" s="45"/>
      <c r="I30" s="45"/>
    </row>
    <row r="31" spans="2:11" x14ac:dyDescent="0.25">
      <c r="B31" s="72" t="s">
        <v>66</v>
      </c>
      <c r="C31" s="74"/>
      <c r="D31" s="74"/>
      <c r="E31" s="74"/>
      <c r="F31" s="45"/>
      <c r="G31" s="46"/>
      <c r="H31" s="45"/>
      <c r="I31" s="45"/>
    </row>
    <row r="32" spans="2:11" x14ac:dyDescent="0.25">
      <c r="B32" s="72"/>
      <c r="C32" s="111" t="s">
        <v>80</v>
      </c>
      <c r="D32" s="111"/>
      <c r="E32" s="111"/>
      <c r="F32" s="45"/>
      <c r="G32" s="46"/>
      <c r="H32" s="45"/>
      <c r="I32" s="45"/>
    </row>
    <row r="33" spans="1:9" ht="14.25" customHeight="1" thickBot="1" x14ac:dyDescent="0.3">
      <c r="B33" s="79"/>
      <c r="C33" s="112"/>
      <c r="D33" s="112"/>
      <c r="E33" s="112"/>
      <c r="F33" s="51"/>
      <c r="G33" s="52"/>
      <c r="H33" s="45"/>
      <c r="I33" s="45"/>
    </row>
    <row r="34" spans="1:9" x14ac:dyDescent="0.25">
      <c r="B34" s="82"/>
      <c r="C34" s="87"/>
      <c r="D34" s="86"/>
      <c r="E34" s="86"/>
      <c r="F34" s="43"/>
      <c r="G34" s="44"/>
      <c r="H34" s="45"/>
      <c r="I34" s="45"/>
    </row>
    <row r="35" spans="1:9" x14ac:dyDescent="0.25">
      <c r="B35" s="49"/>
      <c r="C35" s="88"/>
      <c r="D35" s="74"/>
      <c r="E35" s="74"/>
      <c r="F35" s="45"/>
      <c r="G35" s="46"/>
      <c r="H35" s="45"/>
      <c r="I35" s="45"/>
    </row>
    <row r="36" spans="1:9" ht="14.25" x14ac:dyDescent="0.25">
      <c r="B36" s="48" t="s">
        <v>14</v>
      </c>
      <c r="C36" s="74"/>
      <c r="D36" s="74"/>
      <c r="E36" s="74"/>
      <c r="F36" s="45"/>
      <c r="G36" s="46"/>
      <c r="H36" s="45"/>
      <c r="I36" s="45"/>
    </row>
    <row r="37" spans="1:9" s="54" customFormat="1" ht="123.75" customHeight="1" thickBot="1" x14ac:dyDescent="0.25">
      <c r="A37" s="53"/>
      <c r="B37" s="56"/>
      <c r="C37" s="112" t="s">
        <v>81</v>
      </c>
      <c r="D37" s="112"/>
      <c r="E37" s="112"/>
      <c r="F37" s="77"/>
      <c r="G37" s="78"/>
      <c r="H37" s="75"/>
      <c r="I37" s="75"/>
    </row>
    <row r="38" spans="1:9" s="54" customFormat="1" x14ac:dyDescent="0.2">
      <c r="A38" s="53"/>
      <c r="B38" s="83" t="s">
        <v>82</v>
      </c>
      <c r="C38" s="86"/>
      <c r="D38" s="86"/>
      <c r="E38" s="86"/>
      <c r="F38" s="84"/>
      <c r="G38" s="85"/>
    </row>
    <row r="39" spans="1:9" s="54" customFormat="1" ht="29.25" customHeight="1" thickBot="1" x14ac:dyDescent="0.25">
      <c r="A39" s="53"/>
      <c r="B39" s="56"/>
      <c r="C39" s="112" t="s">
        <v>53</v>
      </c>
      <c r="D39" s="112"/>
      <c r="E39" s="112"/>
      <c r="F39" s="77"/>
      <c r="G39" s="78"/>
    </row>
    <row r="40" spans="1:9" x14ac:dyDescent="0.25">
      <c r="B40" s="50" t="s">
        <v>15</v>
      </c>
      <c r="C40" s="73"/>
      <c r="D40" s="73"/>
      <c r="E40" s="73"/>
      <c r="F40" s="45"/>
      <c r="G40" s="46"/>
    </row>
    <row r="41" spans="1:9" s="54" customFormat="1" x14ac:dyDescent="0.2">
      <c r="A41" s="55"/>
      <c r="B41" s="49"/>
      <c r="C41" s="111" t="s">
        <v>54</v>
      </c>
      <c r="D41" s="111"/>
      <c r="E41" s="111"/>
      <c r="F41" s="75"/>
      <c r="G41" s="76"/>
    </row>
    <row r="42" spans="1:9" s="54" customFormat="1" ht="14.25" thickBot="1" x14ac:dyDescent="0.25">
      <c r="A42" s="55"/>
      <c r="B42" s="56"/>
      <c r="C42" s="89"/>
      <c r="D42" s="89"/>
      <c r="E42" s="89"/>
      <c r="F42" s="77"/>
      <c r="G42" s="78"/>
    </row>
    <row r="43" spans="1:9" x14ac:dyDescent="0.25">
      <c r="B43" s="50" t="s">
        <v>83</v>
      </c>
      <c r="C43" s="74"/>
      <c r="D43" s="74"/>
      <c r="E43" s="74"/>
      <c r="F43" s="45"/>
      <c r="G43" s="46"/>
    </row>
    <row r="44" spans="1:9" s="54" customFormat="1" ht="252.75" customHeight="1" x14ac:dyDescent="0.2">
      <c r="A44" s="55"/>
      <c r="B44" s="49"/>
      <c r="C44" s="111" t="s">
        <v>70</v>
      </c>
      <c r="D44" s="111"/>
      <c r="E44" s="111"/>
      <c r="F44" s="75"/>
      <c r="G44" s="76"/>
    </row>
    <row r="45" spans="1:9" s="54" customFormat="1" ht="14.25" thickBot="1" x14ac:dyDescent="0.25">
      <c r="A45" s="53"/>
      <c r="B45" s="56"/>
      <c r="C45" s="80"/>
      <c r="D45" s="80"/>
      <c r="E45" s="80"/>
      <c r="F45" s="77"/>
      <c r="G45" s="78"/>
    </row>
    <row r="46" spans="1:9" x14ac:dyDescent="0.25">
      <c r="B46" s="22"/>
      <c r="C46" s="22"/>
      <c r="D46" s="45"/>
      <c r="E46" s="45"/>
    </row>
    <row r="47" spans="1:9" s="54" customFormat="1" x14ac:dyDescent="0.25">
      <c r="A47" s="53"/>
      <c r="B47" s="22"/>
      <c r="C47" s="22"/>
      <c r="D47" s="45"/>
      <c r="E47" s="45"/>
    </row>
    <row r="48" spans="1:9" x14ac:dyDescent="0.25">
      <c r="B48" s="22"/>
      <c r="C48" s="22"/>
      <c r="D48" s="45"/>
      <c r="E48" s="45"/>
    </row>
    <row r="49" spans="1:5" x14ac:dyDescent="0.25">
      <c r="B49" s="22"/>
      <c r="C49" s="22"/>
      <c r="D49" s="45"/>
      <c r="E49" s="45"/>
    </row>
    <row r="50" spans="1:5" s="54" customFormat="1" ht="12.75" x14ac:dyDescent="0.2">
      <c r="A50" s="53"/>
      <c r="B50" s="63"/>
      <c r="C50" s="63"/>
      <c r="D50" s="53"/>
    </row>
    <row r="51" spans="1:5" x14ac:dyDescent="0.25">
      <c r="B51" s="63"/>
      <c r="C51" s="63"/>
      <c r="D51" s="53"/>
      <c r="E51" s="54"/>
    </row>
    <row r="52" spans="1:5" s="54" customFormat="1" ht="12.75" x14ac:dyDescent="0.2">
      <c r="A52" s="55"/>
      <c r="B52" s="63"/>
      <c r="C52" s="63"/>
      <c r="D52" s="53"/>
    </row>
    <row r="53" spans="1:5" s="54" customFormat="1" x14ac:dyDescent="0.25">
      <c r="A53" s="53"/>
      <c r="B53" s="61"/>
      <c r="C53" s="61"/>
      <c r="D53" s="19"/>
      <c r="E53" s="19"/>
    </row>
    <row r="54" spans="1:5" x14ac:dyDescent="0.25">
      <c r="B54" s="63"/>
      <c r="C54" s="63"/>
      <c r="D54" s="55"/>
      <c r="E54" s="54"/>
    </row>
    <row r="56" spans="1:5" x14ac:dyDescent="0.25">
      <c r="B56" s="63"/>
      <c r="C56" s="63"/>
      <c r="D56" s="55"/>
      <c r="E56" s="54"/>
    </row>
    <row r="57" spans="1:5" x14ac:dyDescent="0.25">
      <c r="B57" s="63"/>
      <c r="C57" s="63"/>
      <c r="D57" s="55"/>
      <c r="E57" s="54"/>
    </row>
    <row r="59" spans="1:5" x14ac:dyDescent="0.25">
      <c r="B59" s="63"/>
      <c r="C59" s="63"/>
      <c r="D59" s="55"/>
      <c r="E59" s="54"/>
    </row>
    <row r="62" spans="1:5" x14ac:dyDescent="0.25">
      <c r="B62" s="63"/>
      <c r="C62" s="63"/>
      <c r="D62" s="55"/>
      <c r="E62" s="54"/>
    </row>
    <row r="64" spans="1:5" x14ac:dyDescent="0.25">
      <c r="B64" s="63"/>
      <c r="C64" s="63"/>
      <c r="D64" s="55"/>
      <c r="E64" s="54"/>
    </row>
    <row r="65" spans="2:5" x14ac:dyDescent="0.25">
      <c r="B65" s="63"/>
      <c r="C65" s="63"/>
      <c r="D65" s="55"/>
      <c r="E65" s="54"/>
    </row>
  </sheetData>
  <mergeCells count="16">
    <mergeCell ref="C44:E44"/>
    <mergeCell ref="A14:H14"/>
    <mergeCell ref="C37:E37"/>
    <mergeCell ref="C39:E39"/>
    <mergeCell ref="C41:E41"/>
    <mergeCell ref="A6:B6"/>
    <mergeCell ref="A7:B7"/>
    <mergeCell ref="C18:E18"/>
    <mergeCell ref="C32:E33"/>
    <mergeCell ref="C27:E28"/>
    <mergeCell ref="C22:E23"/>
    <mergeCell ref="B2:H2"/>
    <mergeCell ref="A4:B4"/>
    <mergeCell ref="C4:E4"/>
    <mergeCell ref="A5:B5"/>
    <mergeCell ref="C5:E5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D20" sqref="D20"/>
    </sheetView>
  </sheetViews>
  <sheetFormatPr baseColWidth="10" defaultColWidth="9.140625" defaultRowHeight="13.5" x14ac:dyDescent="0.25"/>
  <cols>
    <col min="1" max="1" width="5.5703125" style="18" customWidth="1"/>
    <col min="2" max="2" width="15.140625" style="18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42" style="18" customWidth="1"/>
    <col min="8" max="8" width="9.28515625" style="18" customWidth="1"/>
    <col min="9" max="9" width="15.5703125" style="18" customWidth="1"/>
    <col min="10" max="10" width="14.7109375" style="18" customWidth="1"/>
    <col min="11" max="11" width="15.5703125" style="18" customWidth="1"/>
    <col min="12" max="14" width="5.85546875" style="18" customWidth="1"/>
    <col min="15" max="15" width="12.5703125" style="18" customWidth="1"/>
    <col min="16" max="1024" width="9.140625" style="18"/>
    <col min="1025" max="16384" width="9.140625" style="19"/>
  </cols>
  <sheetData>
    <row r="1" spans="1:11" ht="26.25" customHeight="1" x14ac:dyDescent="0.25">
      <c r="A1" s="119" t="s">
        <v>16</v>
      </c>
      <c r="B1" s="119"/>
      <c r="C1" s="119"/>
      <c r="D1" s="119"/>
      <c r="E1" s="119"/>
      <c r="F1" s="119"/>
      <c r="G1" s="119"/>
      <c r="H1" s="119"/>
      <c r="I1" s="119"/>
      <c r="J1" s="17" t="s">
        <v>17</v>
      </c>
      <c r="K1" s="71" t="s">
        <v>87</v>
      </c>
    </row>
    <row r="2" spans="1:11" ht="18.75" customHeight="1" thickBot="1" x14ac:dyDescent="0.3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</row>
    <row r="3" spans="1:11" ht="18.75" customHeight="1" thickBot="1" x14ac:dyDescent="0.3">
      <c r="A3" s="120" t="s">
        <v>50</v>
      </c>
      <c r="B3" s="120"/>
      <c r="C3" s="120"/>
      <c r="D3" s="121" t="str">
        <f>'Necesidades Trimestrales'!C4</f>
        <v>12 -Ministerio de Trabajo y Recursos Humanos</v>
      </c>
      <c r="E3" s="121"/>
      <c r="F3" s="121"/>
      <c r="G3" s="121"/>
      <c r="H3" s="121"/>
      <c r="I3" s="121"/>
      <c r="J3" s="121"/>
      <c r="K3" s="121"/>
    </row>
    <row r="4" spans="1:11" ht="18.75" customHeight="1" thickBot="1" x14ac:dyDescent="0.3">
      <c r="A4" s="122" t="s">
        <v>51</v>
      </c>
      <c r="B4" s="122"/>
      <c r="C4" s="122"/>
      <c r="D4" s="121" t="str">
        <f>'Necesidades Trimestrales'!C5</f>
        <v>22 - Secretaria de Administración del Ministerio de Trabajo y Recursos Humanos</v>
      </c>
      <c r="E4" s="121"/>
      <c r="F4" s="121"/>
      <c r="G4" s="121"/>
      <c r="H4" s="121"/>
      <c r="I4" s="121"/>
      <c r="J4" s="121"/>
      <c r="K4" s="121"/>
    </row>
    <row r="5" spans="1:11" ht="18.75" customHeight="1" thickBot="1" x14ac:dyDescent="0.3">
      <c r="A5" s="122" t="s">
        <v>30</v>
      </c>
      <c r="B5" s="122"/>
      <c r="C5" s="122"/>
      <c r="D5" s="121" t="s">
        <v>71</v>
      </c>
      <c r="E5" s="121"/>
      <c r="F5" s="121"/>
      <c r="G5" s="121"/>
      <c r="H5" s="121"/>
      <c r="I5" s="121"/>
      <c r="J5" s="121"/>
      <c r="K5" s="121"/>
    </row>
    <row r="6" spans="1:11" ht="16.5" customHeight="1" thickBot="1" x14ac:dyDescent="0.3">
      <c r="A6" s="120" t="s">
        <v>52</v>
      </c>
      <c r="B6" s="120"/>
      <c r="C6" s="120"/>
      <c r="D6" s="121" t="s">
        <v>71</v>
      </c>
      <c r="E6" s="121"/>
      <c r="F6" s="121"/>
      <c r="G6" s="121"/>
      <c r="H6" s="121"/>
      <c r="I6" s="121"/>
      <c r="J6" s="121"/>
      <c r="K6" s="121"/>
    </row>
    <row r="7" spans="1:11" ht="16.5" customHeight="1" x14ac:dyDescent="0.25">
      <c r="A7" s="122" t="s">
        <v>18</v>
      </c>
      <c r="B7" s="122"/>
      <c r="C7" s="122"/>
      <c r="D7" s="121" t="str">
        <f>'Necesidades Trimestrales'!C7 &amp; "° Trimestre - Año " &amp; 'Necesidades Trimestrales'!C6</f>
        <v>2° Trimestre - Año 2021</v>
      </c>
      <c r="E7" s="121"/>
      <c r="F7" s="121"/>
      <c r="G7" s="121"/>
      <c r="H7" s="121"/>
      <c r="I7" s="121"/>
      <c r="J7" s="121"/>
      <c r="K7" s="121"/>
    </row>
    <row r="8" spans="1:11" ht="16.5" customHeight="1" x14ac:dyDescent="0.25">
      <c r="A8" s="116" t="s">
        <v>19</v>
      </c>
      <c r="B8" s="116"/>
      <c r="C8" s="116"/>
      <c r="D8" s="117" t="s">
        <v>72</v>
      </c>
      <c r="E8" s="117"/>
      <c r="F8" s="117"/>
      <c r="G8" s="117"/>
      <c r="H8" s="117"/>
      <c r="I8" s="117"/>
      <c r="J8" s="117"/>
      <c r="K8" s="117"/>
    </row>
    <row r="9" spans="1:11" ht="14.25" thickBot="1" x14ac:dyDescent="0.3">
      <c r="A9" s="22"/>
      <c r="B9" s="22"/>
      <c r="C9" s="22"/>
      <c r="D9" s="23"/>
      <c r="E9" s="23"/>
      <c r="F9" s="23"/>
      <c r="G9" s="23"/>
      <c r="H9" s="23"/>
      <c r="I9" s="23"/>
      <c r="J9" s="23"/>
      <c r="K9" s="23"/>
    </row>
    <row r="10" spans="1:11" ht="18.75" customHeight="1" thickBot="1" x14ac:dyDescent="0.3">
      <c r="A10" s="118" t="s">
        <v>20</v>
      </c>
      <c r="B10" s="126" t="s">
        <v>21</v>
      </c>
      <c r="C10" s="126" t="s">
        <v>22</v>
      </c>
      <c r="D10" s="126"/>
      <c r="E10" s="126"/>
      <c r="F10" s="126"/>
      <c r="G10" s="126"/>
      <c r="H10" s="126" t="s">
        <v>23</v>
      </c>
      <c r="I10" s="126" t="s">
        <v>24</v>
      </c>
      <c r="J10" s="126" t="s">
        <v>25</v>
      </c>
      <c r="K10" s="123" t="s">
        <v>26</v>
      </c>
    </row>
    <row r="11" spans="1:11" ht="24" customHeight="1" thickBot="1" x14ac:dyDescent="0.3">
      <c r="A11" s="118"/>
      <c r="B11" s="126"/>
      <c r="C11" s="126"/>
      <c r="D11" s="126"/>
      <c r="E11" s="126"/>
      <c r="F11" s="126"/>
      <c r="G11" s="126"/>
      <c r="H11" s="126"/>
      <c r="I11" s="126"/>
      <c r="J11" s="126"/>
      <c r="K11" s="123"/>
    </row>
    <row r="12" spans="1:11" ht="29.25" customHeight="1" x14ac:dyDescent="0.25">
      <c r="A12" s="24">
        <v>1</v>
      </c>
      <c r="B12" s="25" t="str">
        <f>+'Necesidades Trimestrales'!B10</f>
        <v>4.3.6-3351.5</v>
      </c>
      <c r="C12" s="127" t="str">
        <f>+'Necesidades Trimestrales'!E10</f>
        <v>KIT PERIFERICOS P/PC; COMPONENTES: PARLANTES</v>
      </c>
      <c r="D12" s="127"/>
      <c r="E12" s="127"/>
      <c r="F12" s="127"/>
      <c r="G12" s="127"/>
      <c r="H12" s="25" t="s">
        <v>27</v>
      </c>
      <c r="I12" s="25" t="str">
        <f>'Necesidades Trimestrales'!F12</f>
        <v>UNIDAD</v>
      </c>
      <c r="J12" s="26">
        <f>+'Necesidades Trimestrales'!H10</f>
        <v>690</v>
      </c>
      <c r="K12" s="27">
        <f>+'Necesidades Trimestrales'!G10</f>
        <v>11</v>
      </c>
    </row>
    <row r="13" spans="1:11" ht="29.25" customHeight="1" x14ac:dyDescent="0.25">
      <c r="A13" s="24">
        <v>3</v>
      </c>
      <c r="B13" s="25" t="str">
        <f>+'Necesidades Trimestrales'!B11</f>
        <v>4.3.6-6169.28</v>
      </c>
      <c r="C13" s="127" t="str">
        <f>+'Necesidades Trimestrales'!E11</f>
        <v>MONITORES; TIPO: ESTANDAR, CODIGO ETAP: MN-001, VERSION ETAP: INVIERNO 2005 (V 12.0)</v>
      </c>
      <c r="D13" s="127"/>
      <c r="E13" s="127"/>
      <c r="F13" s="127"/>
      <c r="G13" s="127"/>
      <c r="H13" s="25" t="s">
        <v>27</v>
      </c>
      <c r="I13" s="25" t="s">
        <v>69</v>
      </c>
      <c r="J13" s="26">
        <f>+'Necesidades Trimestrales'!H11</f>
        <v>13799</v>
      </c>
      <c r="K13" s="27">
        <f>+'Necesidades Trimestrales'!G11</f>
        <v>11</v>
      </c>
    </row>
    <row r="14" spans="1:11" ht="29.25" customHeight="1" x14ac:dyDescent="0.25">
      <c r="A14" s="24">
        <v>4</v>
      </c>
      <c r="B14" s="25" t="str">
        <f>+'Necesidades Trimestrales'!B12</f>
        <v>4.3.6-6160.4</v>
      </c>
      <c r="C14" s="127" t="str">
        <f>+'Necesidades Trimestrales'!E12</f>
        <v>COMPUTADORAS; CODIGO ETAP: PC-004, TIPO: DE ESCRITORIO AVANZADA, VERSION ETAP: VERANO 2001( V 6.0 )</v>
      </c>
      <c r="D14" s="127"/>
      <c r="E14" s="127"/>
      <c r="F14" s="127"/>
      <c r="G14" s="127"/>
      <c r="H14" s="25" t="s">
        <v>27</v>
      </c>
      <c r="I14" s="25" t="s">
        <v>69</v>
      </c>
      <c r="J14" s="26">
        <f>+'Necesidades Trimestrales'!H12</f>
        <v>55679</v>
      </c>
      <c r="K14" s="27">
        <f>+'Necesidades Trimestrales'!G12</f>
        <v>11</v>
      </c>
    </row>
    <row r="15" spans="1:11" ht="29.25" customHeight="1" thickBot="1" x14ac:dyDescent="0.3">
      <c r="A15" s="24">
        <v>5</v>
      </c>
      <c r="B15" s="25" t="str">
        <f>+'Necesidades Trimestrales'!B13</f>
        <v>4.3.6-6178.60</v>
      </c>
      <c r="C15" s="127" t="str">
        <f>+'Necesidades Trimestrales'!E13</f>
        <v>PLACAS DE RED; TIPO: PLACA WIFI EXTERNA P/USB, CODIGO ETAP: PQR-017, VERSION ETAP: 20.0</v>
      </c>
      <c r="D15" s="127"/>
      <c r="E15" s="127"/>
      <c r="F15" s="127"/>
      <c r="G15" s="127"/>
      <c r="H15" s="25" t="s">
        <v>27</v>
      </c>
      <c r="I15" s="25" t="s">
        <v>69</v>
      </c>
      <c r="J15" s="26">
        <f>+'Necesidades Trimestrales'!H13</f>
        <v>1170</v>
      </c>
      <c r="K15" s="27">
        <f>+'Necesidades Trimestrales'!G13</f>
        <v>11</v>
      </c>
    </row>
    <row r="16" spans="1:11" ht="20.25" customHeight="1" thickBot="1" x14ac:dyDescent="0.3">
      <c r="A16" s="125" t="str">
        <f>+'Necesidades Trimestrales'!A14:H14</f>
        <v>Costo Estimado Total: Son Pesos Setecientos Ochenta y Cuatro Mil Setecientos Dieciocho con 00/100</v>
      </c>
      <c r="B16" s="125"/>
      <c r="C16" s="125"/>
      <c r="D16" s="125"/>
      <c r="E16" s="125"/>
      <c r="F16" s="125"/>
      <c r="G16" s="125"/>
      <c r="H16" s="125"/>
      <c r="I16" s="125"/>
      <c r="J16" s="124">
        <f>SUMPRODUCT(J12:J15,K12:K15)</f>
        <v>784718</v>
      </c>
      <c r="K16" s="124"/>
    </row>
  </sheetData>
  <mergeCells count="26">
    <mergeCell ref="J16:K16"/>
    <mergeCell ref="A16:I16"/>
    <mergeCell ref="B10:B11"/>
    <mergeCell ref="C10:G11"/>
    <mergeCell ref="H10:H11"/>
    <mergeCell ref="I10:I11"/>
    <mergeCell ref="J10:J11"/>
    <mergeCell ref="C12:G12"/>
    <mergeCell ref="C15:G15"/>
    <mergeCell ref="C14:G14"/>
    <mergeCell ref="C13:G13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115" zoomScaleNormal="115" workbookViewId="0">
      <selection activeCell="L23" sqref="L23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14.7109375" style="1" customWidth="1"/>
    <col min="18" max="16384" width="11" style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2021</v>
      </c>
      <c r="E1" s="129"/>
      <c r="F1" s="3"/>
      <c r="G1" s="3"/>
      <c r="H1" s="4"/>
      <c r="I1" s="4"/>
      <c r="J1" s="4"/>
      <c r="K1" s="4"/>
      <c r="L1" s="4"/>
      <c r="M1" s="4"/>
      <c r="N1" s="4"/>
      <c r="P1" s="130" t="s">
        <v>28</v>
      </c>
      <c r="Q1" s="130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130"/>
      <c r="Q2" s="130"/>
    </row>
    <row r="4" spans="1:17" ht="18" customHeight="1" thickBot="1" x14ac:dyDescent="0.35">
      <c r="A4" s="131" t="s">
        <v>29</v>
      </c>
      <c r="B4" s="131"/>
      <c r="C4" s="131"/>
      <c r="D4" s="131"/>
      <c r="E4" s="131"/>
      <c r="F4" s="131"/>
      <c r="G4" s="132" t="str">
        <f>' NotaPedido'!D3</f>
        <v>12 -Ministerio de Trabajo y Recursos Humanos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ht="18" customHeight="1" thickBot="1" x14ac:dyDescent="0.35">
      <c r="A5" s="133" t="s">
        <v>51</v>
      </c>
      <c r="B5" s="134"/>
      <c r="C5" s="134"/>
      <c r="D5" s="134"/>
      <c r="E5" s="134"/>
      <c r="F5" s="135"/>
      <c r="G5" s="132" t="str">
        <f>' NotaPedido'!D4</f>
        <v>22 - Secretaria de Administración del Ministerio de Trabajo y Recursos Humanos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ht="18" customHeight="1" thickBot="1" x14ac:dyDescent="0.35">
      <c r="A6" s="133" t="s">
        <v>30</v>
      </c>
      <c r="B6" s="134"/>
      <c r="C6" s="134"/>
      <c r="D6" s="134"/>
      <c r="E6" s="134"/>
      <c r="F6" s="135"/>
      <c r="G6" s="132" t="s">
        <v>71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ht="18" customHeight="1" thickBot="1" x14ac:dyDescent="0.35">
      <c r="A7" s="133" t="s">
        <v>52</v>
      </c>
      <c r="B7" s="134"/>
      <c r="C7" s="134"/>
      <c r="D7" s="134"/>
      <c r="E7" s="134"/>
      <c r="F7" s="135"/>
      <c r="G7" s="132" t="str">
        <f>' NotaPedido'!D6</f>
        <v>Ministerio de Trabajo y Recursos Humanos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 thickBot="1" x14ac:dyDescent="0.3">
      <c r="A8" s="136" t="s">
        <v>55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3">
      <c r="A9" s="137" t="s">
        <v>31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2"/>
      <c r="P9" s="2"/>
      <c r="Q9" s="6"/>
    </row>
    <row r="10" spans="1:17" ht="65.25" customHeight="1" x14ac:dyDescent="0.25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20/2021,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139" t="s">
        <v>32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x14ac:dyDescent="0.25">
      <c r="A13" s="140" t="s">
        <v>33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34</v>
      </c>
      <c r="P13" s="141"/>
      <c r="Q13" s="142" t="s">
        <v>35</v>
      </c>
    </row>
    <row r="14" spans="1:17" ht="15.75" customHeigh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41"/>
      <c r="P14" s="141"/>
      <c r="Q14" s="142"/>
    </row>
    <row r="15" spans="1:17" ht="17.25" customHeight="1" x14ac:dyDescent="0.25">
      <c r="A15" s="64">
        <v>1</v>
      </c>
      <c r="B15" s="65">
        <v>0</v>
      </c>
      <c r="C15" s="65">
        <v>0</v>
      </c>
      <c r="D15" s="65">
        <v>1</v>
      </c>
      <c r="E15" s="65">
        <v>0</v>
      </c>
      <c r="F15" s="65">
        <v>4901</v>
      </c>
      <c r="G15" s="65">
        <v>3</v>
      </c>
      <c r="H15" s="65">
        <v>6</v>
      </c>
      <c r="I15" s="65">
        <v>4</v>
      </c>
      <c r="J15" s="65">
        <v>3</v>
      </c>
      <c r="K15" s="65">
        <v>6</v>
      </c>
      <c r="L15" s="65">
        <v>0</v>
      </c>
      <c r="M15" s="66">
        <v>1</v>
      </c>
      <c r="N15" s="65" t="s">
        <v>56</v>
      </c>
      <c r="O15" s="143" t="s">
        <v>73</v>
      </c>
      <c r="P15" s="143"/>
      <c r="Q15" s="67">
        <f>'Necesidades Trimestrales'!I14</f>
        <v>784718</v>
      </c>
    </row>
    <row r="16" spans="1:17" ht="28.5" customHeight="1" thickBot="1" x14ac:dyDescent="0.3">
      <c r="A16" s="149" t="s">
        <v>86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6">
        <f>SUM(Q15:Q15)</f>
        <v>784718</v>
      </c>
    </row>
    <row r="17" spans="1:17" ht="18" customHeight="1" thickBot="1" x14ac:dyDescent="0.3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</row>
    <row r="18" spans="1:17" ht="17.25" customHeight="1" thickBot="1" x14ac:dyDescent="0.3">
      <c r="A18" s="144" t="s">
        <v>49</v>
      </c>
      <c r="B18" s="145"/>
      <c r="C18" s="145"/>
      <c r="D18" s="145"/>
      <c r="E18" s="145"/>
      <c r="F18" s="146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</row>
    <row r="19" spans="1:17" ht="18" customHeight="1" thickBot="1" x14ac:dyDescent="0.3">
      <c r="A19" s="148" t="str">
        <f>' NotaPedido'!D8</f>
        <v>Adquisición de Computadoras mas los implementos informaticos para este Ministerio.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15" customHeight="1" x14ac:dyDescent="0.25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dc:description/>
  <cp:lastModifiedBy>COMPRAS</cp:lastModifiedBy>
  <cp:revision>2</cp:revision>
  <cp:lastPrinted>2020-11-24T14:25:44Z</cp:lastPrinted>
  <dcterms:created xsi:type="dcterms:W3CDTF">2020-07-17T23:44:49Z</dcterms:created>
  <dcterms:modified xsi:type="dcterms:W3CDTF">2021-08-13T13:00:02Z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