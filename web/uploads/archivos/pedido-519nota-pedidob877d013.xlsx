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05" windowWidth="28515" windowHeight="12600"/>
  </bookViews>
  <sheets>
    <sheet name="SAF 11" sheetId="1" r:id="rId1"/>
    <sheet name="NP" sheetId="2" r:id="rId2"/>
    <sheet name="APG" sheetId="3" r:id="rId3"/>
  </sheets>
  <calcPr calcId="144525"/>
</workbook>
</file>

<file path=xl/calcChain.xml><?xml version="1.0" encoding="utf-8"?>
<calcChain xmlns="http://schemas.openxmlformats.org/spreadsheetml/2006/main">
  <c r="G5" i="3" l="1"/>
  <c r="G6" i="3"/>
  <c r="G7" i="3"/>
  <c r="G4" i="3"/>
  <c r="A41" i="3" l="1"/>
  <c r="K13" i="2" l="1"/>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12" i="2"/>
  <c r="J50" i="2" l="1"/>
  <c r="Q15" i="3" s="1"/>
  <c r="Q38" i="3" s="1"/>
  <c r="C172" i="1" l="1"/>
  <c r="C169" i="1"/>
  <c r="C166" i="1"/>
  <c r="C163" i="1"/>
  <c r="C160" i="1"/>
  <c r="C157" i="1"/>
  <c r="C154" i="1"/>
  <c r="C151" i="1"/>
  <c r="C148" i="1"/>
  <c r="C145" i="1"/>
  <c r="C142" i="1"/>
  <c r="C139" i="1"/>
  <c r="C136" i="1"/>
  <c r="C133" i="1"/>
  <c r="C130" i="1"/>
  <c r="C127" i="1"/>
  <c r="C124" i="1"/>
  <c r="C121" i="1"/>
  <c r="C118" i="1"/>
  <c r="C115" i="1"/>
  <c r="C112" i="1"/>
  <c r="C109" i="1"/>
  <c r="C106" i="1"/>
  <c r="C103" i="1"/>
  <c r="C100" i="1"/>
  <c r="C97" i="1"/>
  <c r="C94" i="1"/>
  <c r="C91" i="1"/>
  <c r="C88" i="1"/>
  <c r="C85" i="1"/>
  <c r="C82" i="1"/>
  <c r="C79" i="1"/>
  <c r="C76" i="1"/>
  <c r="C73" i="1"/>
  <c r="C70" i="1"/>
  <c r="C67" i="1"/>
  <c r="C64" i="1"/>
  <c r="I10" i="1" l="1"/>
  <c r="I11" i="1"/>
  <c r="I12" i="1"/>
  <c r="I13" i="1"/>
  <c r="I14" i="1"/>
  <c r="I18" i="1"/>
  <c r="I19" i="1"/>
  <c r="I46" i="1" l="1"/>
  <c r="I45" i="1"/>
  <c r="I44" i="1"/>
  <c r="I43" i="1"/>
  <c r="I42" i="1"/>
  <c r="I41" i="1"/>
  <c r="I40" i="1"/>
  <c r="I39" i="1"/>
  <c r="I38" i="1"/>
  <c r="I37" i="1"/>
  <c r="I36" i="1"/>
  <c r="I35" i="1"/>
  <c r="I34" i="1"/>
  <c r="I33" i="1"/>
  <c r="I32" i="1"/>
  <c r="I31" i="1"/>
  <c r="I30" i="1"/>
  <c r="I29" i="1"/>
  <c r="I28" i="1"/>
  <c r="I27" i="1"/>
  <c r="I26" i="1"/>
  <c r="I25" i="1"/>
  <c r="I24" i="1"/>
  <c r="I23" i="1"/>
  <c r="I22" i="1"/>
  <c r="I21" i="1"/>
  <c r="I20" i="1"/>
  <c r="I17" i="1"/>
  <c r="I16" i="1"/>
  <c r="I15" i="1"/>
  <c r="I47" i="1" l="1"/>
</calcChain>
</file>

<file path=xl/sharedStrings.xml><?xml version="1.0" encoding="utf-8"?>
<sst xmlns="http://schemas.openxmlformats.org/spreadsheetml/2006/main" count="379" uniqueCount="228">
  <si>
    <t>ID</t>
  </si>
  <si>
    <t>CODIGO ITEM</t>
  </si>
  <si>
    <t>RUBRO DE COMPRA</t>
  </si>
  <si>
    <t xml:space="preserve">I.P.P. </t>
  </si>
  <si>
    <t>DESCRIPCION</t>
  </si>
  <si>
    <t>UNIDAD DE MEDIDA</t>
  </si>
  <si>
    <t>CANTIDAD TOTAL</t>
  </si>
  <si>
    <t>PRECIO UNITARIO ESTIMADO</t>
  </si>
  <si>
    <t xml:space="preserve">IMPORTE TOTAL ESTIMADO </t>
  </si>
  <si>
    <t>ESPECIFICACION TECNICA</t>
  </si>
  <si>
    <t xml:space="preserve">EQUIPOS </t>
  </si>
  <si>
    <t>4.3.3</t>
  </si>
  <si>
    <t>UNIDAD</t>
  </si>
  <si>
    <t>EQUIPOS</t>
  </si>
  <si>
    <t>4.3.3-5080.1</t>
  </si>
  <si>
    <t>ASPIRADORES DE SECRECION; ALIMENTACION: 12-220 V, TIPO: PORTATIL</t>
  </si>
  <si>
    <t>4.3.3-6616.14</t>
  </si>
  <si>
    <t>AUTOCLAVES ELECTRICOS; TIPO: AUTOMATICO, INDIC. TEMP: DIGITAL, CAPACIDAD: 20 L, ALIMENTACION: 220 V</t>
  </si>
  <si>
    <t>Estufa De Esterilización. De mesa. Uso: odontológico. Capacidad: hasta 20 litros. Voltaje: 220V. Potencia máxima: hasta 400 W. Medidas aproximadas: Altura: 31 cm, Largo: 34 cm, Ancho: 45 cm. Exterior pintado en blanco y el interior en acero inoxidable. Programas: por lo menos 4 reeestablecidos y 1 programa manual. Controles digitales comandados por un microprocesador. Bandejas: mínimo 4 (amplias y perforadas) de acero inoxidable que permitan acomodar gran cantidad de instrumental, no oxide a los mismos ni afecte puntas ni filos. Apertura: lateral. Terminación: hecha completamente en acero inoxidable.</t>
  </si>
  <si>
    <t>4.3.3-8300.1</t>
  </si>
  <si>
    <t>BICICLETAS P/ERGOMETRIA; VOLANTE DE INERCIA: 500 mm, ETAPA DE RESISTENCIA: 150 EN 150 Kgm, VOLANTE: DE INERCIA 500 mm</t>
  </si>
  <si>
    <t>Bicicleta fija de caño reforzada y terminada en pintura epoxi, con piñón fijo y pedalera reforzada con transmisión a correa, debe ser totalmente silenciosa. Con asiento regulable en altura. Con manubrios antideslizantes y regulables en altura y posición. Con sistema de resistencia magnética que se modifique desde la consola y con 10 niveles de resistencia. Debe incluir computadora con múltiples funciones. Debe soportar hasta 150kg.</t>
  </si>
  <si>
    <t>4.3.3-5420.6</t>
  </si>
  <si>
    <t>BOMBAS DE INFUSION; ALIMENTACION: 220 V, LECTURA: DISPLAY GRAFICO, VOLUMEN:  01-9999 ML, CONTRAPRESION: 40 KPA A 120 KPA</t>
  </si>
  <si>
    <t>2.9.5-7987.9</t>
  </si>
  <si>
    <t>PROD. MEDICO/FARMACEUTICOS/LAB</t>
  </si>
  <si>
    <t>CAJAS DE INSTRUMENTAL; MATERIAL: ACERO INOXIDABLE, USO: CIRUGIA, CANTIDAD: 1</t>
  </si>
  <si>
    <t>2.9.5-7987.1</t>
  </si>
  <si>
    <t>CAJAS DE INSTRUMENTAL; MATERIAL: ACERO INOXIDABLE, USO: EXAMEN GINECOLOG./INST.DE DIU, CANT.INSTRUMETAL: 10, CANTIDAD: 1</t>
  </si>
  <si>
    <t>4.3.3-1719.48</t>
  </si>
  <si>
    <t>CAMILLAS; ANCHO: 60 Cm, LARGO: 200 Cm, ALTO: 70 Cm, ARNESES: SIN, TIPO: RODANTE</t>
  </si>
  <si>
    <t>Camilla de transporte reforzada con estructura metálica acabada en pintura epoxi, con barandas rebatibles, porta suero, porta oxígeno, con cuatro ruedas de 125 mm de diámetro como mínimo, con frenos. De espuma de poliuretano de alta densidad tapizada en ecocuero de primera calidad de color negro</t>
  </si>
  <si>
    <t>4.3.3-1719.27</t>
  </si>
  <si>
    <t>CAMILLAS; ANCHO: 75 Cm, LARGO: 185 Cm, ALTO: 75 Cm, ARNESES: SIN, TIPO: KINESICA</t>
  </si>
  <si>
    <t>Camilla fija para kinesiología con medidas aproximadas de: 75cm ancho, 185cm de largo y 75cm de alto, que soporte al menos 200kg de peso. Compuesta de caño estructural terminado en pintura epoxi. Con espuma de poliuretano de alta densidad tapizada en ecocuero de primera calidad de color negro.</t>
  </si>
  <si>
    <t>4.3.2-6331.12</t>
  </si>
  <si>
    <t>TRANSPORTE Y DEPOSITO</t>
  </si>
  <si>
    <t>CARROS P/TRANSP.; SUPERFICIE: 30 X 40 Cm, ALTURA: 120 Cm, MATERIAL: CHAPA METAL PLEGADA, ESTRUCTURA: METALICA, RUEDAS: 2 REFORZADAS- DIAM. 180 mm, ACCESORIO: 2 AGARRADERAS, MATERIAL ESTRUCTURA: METALICA</t>
  </si>
  <si>
    <t>Carro metálico protegido por pintura epoxi, para tubo de oxígeno de 6m3, con ruedas de goma de aproximadamente 175 a 180 mm y sistema de sujeción del tubo.</t>
  </si>
  <si>
    <t>4.3.3-5416.1</t>
  </si>
  <si>
    <t>CARROS USO HOSPITALARIO; TERMINACION: ANTIOXIDANTE, ESTRUCTURA: REFORZADA DE CHAPA ACERO SAE, MEDIDAS: 0,70 X 0,50 X 0,90 M, PARACHOQUE: GOMA, PLANO SUPERIOR: ESTRATIFICADOS CON BARANDAS, CAJONES: CON, DIVISIONES: P/MATERIALES, MASTIL: CON, CONTENEDOR: P/RESIDUOS BIOLOGICOS, ALZADA SUPERIOR: PORTA CARDIODESFIBRILADOR, CANTIDAD DE CAJONES: CON, MATERIAL ESTRUCTURA: REFORZADA DE CHAPA ACERO SAE, DIMENSION: 0,70 X 0,50 X 0,90 M, TIPO: DE PARO</t>
  </si>
  <si>
    <t>Carro de paro de 5 cajones. Construido en chapa SAE 1010. Cinco cajones con cerradura central, uno de ellos con división para medicamentos. Alzada para monitor
Bandeja auxiliar lateral corrediza de acero inoxidable. Porta suero, porta tubo de oxígeno y parachoque perimetral. Manija de arrastre. Ruedas de aproximadamente 100mm, al menos dos de ellas con freno. Contenedor para residuos patógenos. Terminación pintura epoxi.</t>
  </si>
  <si>
    <t>4.3.3-5526.1</t>
  </si>
  <si>
    <t>COAGULOMETROS; USO: BIOQUIMICA, TIPO: BICANAL SEMIAUTOMATICO, DESCRIPICON: DET.DIF. PRUEBAS DE EMOSTASIS, DESCRIPCION: DET.DIF. PRUEBAS DE EMOSTASIS</t>
  </si>
  <si>
    <t>4.3.3-4600.3</t>
  </si>
  <si>
    <t>CONTADORES HEMATOLOGICOS; TIPO: AUTOMATICO, PARAMETRO: 18, CURVAS DE DISTRIBUCION: 3, IMPRESORA: SI, VOLUMEN DE LA MUESTRA: 20 µL</t>
  </si>
  <si>
    <t>4.3.3-4600.4</t>
  </si>
  <si>
    <t>CONTADORES HEMATOLOGICOS; TIPO: AUTOMATICO, PARAMETRO: 22, CURVAS DE DISTRIBUCION: 4, IMPRESORA: SI, VOLUMEN DE LA MUESTRA: 130 A 240 µL</t>
  </si>
  <si>
    <t>4.3.7-3108.2</t>
  </si>
  <si>
    <t>EQUIPO DE OFICINA Y MUEBLES</t>
  </si>
  <si>
    <t>CUNAS; MATERIAL ESTRUCTURA: 147 dBV/mPa , MEDIDA: 35 X 75 Cm, TIPO: ACRILICO, PLEGABLE: NO, MATERIAL: METAL</t>
  </si>
  <si>
    <t>Cuna acrílica articulada con colchón debe permitir el movimiento para mecer o fijar en una posición deseada. La estructura del carro construida en perfiles de hierro pintado con pintura epoxi. Canasto de acrílico transparente moldeado en una sola pieza con tarjetero de identificación. Tren rodante compuesto por 4 ruedas giratorias duales de, al menos, 50 mm. 2 de ellas con freno. Debe Incluir colchón a medida que compense la curvatura de la cuna brindando una superficie plana. Medidas aproximadas: 75 x 35 x 80 cm (largo x ancho x alto).</t>
  </si>
  <si>
    <t>4.3.3-134.4</t>
  </si>
  <si>
    <t>ELECTROCARDIOGRAFOS; TIPO: PORTATIL, ALIMENTACION: 220V Y BATERIA RECARGABLE</t>
  </si>
  <si>
    <t>4.3.3-9165.1</t>
  </si>
  <si>
    <t>EQUIPOS DE MONITOREO; USO: TERAPIA INTENSIVA/CORONARIA, CANTIDAD DE MONITORES: 1</t>
  </si>
  <si>
    <t>Monitor Multiparamétrico con pantalla táctil LCD color de 10” como mínimo, con resolución aproximada de 800x600, con botonera que permita realizar todas las funciones sin tocar la pantalla, con la posibilidad de seleccionar entre pacientes adultos, pediátricos y neonatales. Con múltiples puertos USB para conectar teclado, mouse y memorias extraíbles. Con los siguientes parámetros mínimos: ECG, Respiración, Temperatura, SpO2 y PNI. Con detección de marcapasos automática. Con batería con autonomía mínima de 4 horas. Debe cumplir con los siguientes requerimientos mínimos:  Memoria interna: para más de 120 horas de tablas y/o gráficos de tendencia. 1200 mediciones de PNI. 200 eventos de arritmias. 200 alarmas.  ECG: con cable de 5 derivaciones, velocidad de barrido de 25mm/seg. Rango de frecuencia de 15 a 350ppm con precisión del 1%.  Respiración: por impedancia entre RA-LL y RA-LA. Rango de medición de 0 a 150rpm con precisión de 2rpm.  Temperatura: Con sensor tipo YSI-10K, método por resistencia térmica, rango de medición de 0 a 50 ºC, con precisión de 0,3ºC.  SpO2: con sensor óptico, con rango de medición de 0 a 100% y precisión de 3%  PNI: por método oscilométrico, en modos manual/automático/continuo, rango de medición de 0 a 300mmHg con precisión de 1mmHg. Accesorios que se deben entregar:  1 Cable troncal de interconexión de ecg  1 Set de latiguillos de 5 derivaciones para ECG  1 Prolongador de interconexión para SpO2  1 Sensor de oximetría tipo dedal para adultos  1 Sensor de oximetría para pediatría/neonatología  1 Cuff tamaño pediátrico para PNI  1 Cuff tamaño adulto para PNI  1 Sensor de temperatura de piel  1 Batería  1 Cable de alimentación  Manuales y demás documentación. Debe estar inscripto en ANMAT y poseer 1 año de garantía.</t>
  </si>
  <si>
    <t>4.3.3-4084.27</t>
  </si>
  <si>
    <t>EQUIPOS DE RAYOS X; USO: ODONTOLOGICO, FRECUENCIA: ALTA, REGULACION: MANUAL, AMPLIACION DE APLIQUE: SIN, COMANDO: SIST. DE DISPARO A DISTANCIA</t>
  </si>
  <si>
    <t>Equipo de rayos rodante, con disparador digital. 
Características generales: Distancia Foco-Película: 200 mm; Diámetro de Diafragma de Plomo (filtro irremovible): 26 mm; Campo de Radiación (diam.): 60 mm; Corriente al Tubo: 9mA; Filtración Total: Equiv a 2.0 mm Al; Mancha Focal efectiva: 0.8 mm, Arrollamiento Inmerso en Aceite; Radiación Exterior ˂0,01 mGy/h a 100 cm de distancia; Peso aproximado: 35 kg
Características eléctricas: Alimentación: 230/110 VAC . ±10% – 50/60 Hz; Corriente Primaria; 4 A max – 230 VAC, 920 VA; 8 A max – 110 VAC, 880 VA; Alta Tensión: 70 Kvp</t>
  </si>
  <si>
    <t>4.3.3-9214.4</t>
  </si>
  <si>
    <t>EQUIPOS DE REHABILITACION; TIPO: DE ELECTROESTIMULACION, USO: FISIOTERAPIA</t>
  </si>
  <si>
    <t>Electroestimulador de ondas rusas de 8 canales. Totalmente microprocesado con 42 programas pre-establecidos como mínimo y la posibilidad de programar manualmente el tratamiento. Deberá contar con 3 modos de trabajo: Todos los canales, Extensión-Flexión, Secuencial. ONDAS RUSAS – 2500/5000 Hz. / INTERFERENCIAL / TENS.  Ondas rusas: Con una frecuencia de 2.500 Hz. Aplicadas en ráfagas, con una frecuencia de 10 a 100 Hz. Las ondas deben presentar una rampa de subida que comience a intensidad cero y vaya aumentando progresivamente hasta llegar al máximo seleccionado, luego debe mantener la intensidad constante (pero siempre en ráfagas), y luego caer suavemente en algunos segundos. Los tiempos para las zonas de rampas, contracción y relajación se deben poder modificar de acuerdo a cada paciente y tratamiento. Características eléctricas mínimas: • Aparato Clase I • Alimentación: 220 VCA 50/60 Hz • Consumo promedio: 200 Vatios • Controlado por Microprocesador • Pantalla LCD Gráfica COLOR de 320 x 240 sensible al tacto, retro iluminada. Accesorios que debe incluir: • 12 bandas elásticas largas con abrojo. • 16 electrodos grandes de 100 mm. • 8 electrodos chicos de 50 mm. • 8 cables dobles con Plug a fichas bananas de 4 mm. • 1 cable de Alimentación.</t>
  </si>
  <si>
    <t>4.3.3-9214.5</t>
  </si>
  <si>
    <t>EQUIPOS DE REHABILITACION; TIPO: MAGNETOTERAPIA, USO: FISIOTERAPIA</t>
  </si>
  <si>
    <t>Equipo generador de campo magnético totalmente digital. Con una pantalla LCD-LED. Debe incluir las siguientes patologías prefijadas: Artrosis, Osteoporosis, Tendinitis, Fractura, Desgarro, Lesiones Nerviosas, Heridas, Dermatosis, Bursitis, Epicondritis, Osteomielitis. También deberá contar con al menos 5 posiciones de memoria para que usuario configure sus programas. Y contar con un “modo” manual cuando no este seleccionada ni una patología ni una memoria de usuario. Debe poseer cuatro salidas como mínimo para conectar tanto aplicadores tipo túnel como así también aplicadores planos, pudiendo funcionar todos en forma simultánea.  El equipo debe cumplir con las siguientes características técnicas mínimas: • Tensión de alimentación: 220 V - 50/60 Hz • Consumo: 50 watts • Potencia de Emisión: 500 gauss • Frecuencia de Emisión: 5 a 100 hz. (en pasos de 5hz) • Controles: panel táctil • Potencia: Variable Por Comando Digital • Interfaz: Pantalla LCD-LED retroiluminada. • Temporizador: Digital • Normas: IEC 60601.1 - Equipo Clase 1 - tipo BF • Grado de Protección contra penetración de líquidos: IPX0 • Medidas aprox: 33.5 x 11.5 x 27 cm. (ancho x alto x profundidad) Debe incluir: -1 Equipo de Magnetoterapia con 4 salidas - (11 Programas + 5 Memorias), 2 Aplicadores Planos (Solenoides), -1 kit de bandas elásticas de 60 milímetros y pasador para ajustar, -1 Aplicador Túnel con Aros de Alto Impacto de 27cm de diámetro (efectivos 24cm), - 1 Cable de Conexión, -1 Manual en español. -1 Imán para corroborar el funcionamiento del equipo.</t>
  </si>
  <si>
    <t>4.3.3-7575.6</t>
  </si>
  <si>
    <t>EQUIPOS ODONTOLOGICOS; ALIMENTACION: 220 V, SILLON: ERGONOMICO, SALIVADERA: CERAMICA, PLATINA: PLASTICA, LAMPARA: FRIA, BANQUETA: RODANTE CON RESPALDO</t>
  </si>
  <si>
    <t>SILLON DENTAL COLGANTE COMPLETO
• Tapizado en cuerina anatómico y ergonómico sin costuras
• Apoya cabeza multi-articulado
• Foco LED circular, intensidad regulable
• Con calentador de agua llena vaso
• Control para asistente
• Salivadera redonda de vidrio templado con llena vaso y lava bacha comandados
• Sistema de agua presurizada
• Platina regulable Colibrí o manguera colgante
• Comandos electricos
• Tres salidas neumática
• Jeringa Triple
• Negatoscopio LED
• Eyector de alta y baja potencia 
• INCLUYE: * Banqueta con respaldo de contacto permanente, * Cavitador Neumático Kmd (3 Insertos), * Turbina Simple Spray Saca Fresa, * Contra Angulo 1:1 Coxo Externo a Gatillo, * Micromotor Neumático Rose 201am‐b2 Spray Externo 6m, * Compresor Gdk Jw032b 1.1hp 850w 38l Libre Aceite.</t>
  </si>
  <si>
    <t>4.3.3-7575.9</t>
  </si>
  <si>
    <t>EQUIPOS ODONTOLOGICOS; ALIMENTACION: 220 V, SILLON: SIN, SALIVADERA: SIN, PLATINA: SIN, LAMPARA: LED, BANQUETA: SIN, TIPO: LAMPARA DE FOTOCURADO</t>
  </si>
  <si>
    <t>Programa de 5, 10, 15, 20 segundos. Continuo + Intermitente + función Rampa. Con protector U.V. Comando digital. Fibra óptica giratoria 360º y esterilizable. Emisión de luz de hasta 480 nm. Polimeriza 4 mm en 10 segundos. Su potencia es de 1200 mW/cm2.</t>
  </si>
  <si>
    <t>4.3.3-164.9</t>
  </si>
  <si>
    <t>ESPECTROFOTOMETROS; TIPO: DE SIMPLE HAZ, RANGO LONG. DE ONDA: SIN VALOR, ANCHO DE BANDA: 3 nM, ELEM. DETECTOR: SIN VALOR</t>
  </si>
  <si>
    <t>4.3.3-4159.26</t>
  </si>
  <si>
    <t>ESTUFAS DE CULTIVO; DIMENSION: 60 X 40 X 40 Cm, TERMOSTATO: DIGITAL, RANGO DE TEMPERATURA: 20 A 70 °C, PUERTA VISOR: SI, GABINETE EXTERIOR: ACERO INOXIDABLE, GABINETE INTERIOR: ACERO, SENSIBILIDAD: SIN VALOR °C</t>
  </si>
  <si>
    <t>Interior en acero inoxidable grado 304 18/8
Exterior de hierro con pintura horneada
Aislamiento con lana de vidrio
2 puertas laterales con cierre a falleba giratoria
Ajuste de puertas con cordón de silicona
Aireador en la parte superior
Termómetro a mercurio de control empotrado en el frente
Temperatura mínima de trabajo 30ºC
Temperatura máxima de trabajo 200ºC
Termorregulador hidráulico a capilar
Indicadores luminosos de funcionamiento
Interruptor de corte de funcionamiento
Exactitud: +- 1,5% del valor final de temperatura
Uniformidad: +- 1,5% del valor final de temperatura
Conexión a 220 Vac. 50-60Hz.
Medida interna 60x40x 40
Volumen Lts. 96
Medida Externa 74 x 74 x 57
Accesorios: 2 estantes tipo rejilla regulables (5 posiciones)</t>
  </si>
  <si>
    <t>2.9.5-8874.36</t>
  </si>
  <si>
    <t>INSTRUMENTAL MEDICO; DESCARTABLE: NO, MATERIAL: METAL ELASTICO, ELEMENTO: DIAPASON</t>
  </si>
  <si>
    <t>- Diapason 128 Hz Hartmann – separador</t>
  </si>
  <si>
    <t>2.9.5-8874.9</t>
  </si>
  <si>
    <t>INSTRUMENTAL MEDICO; DESCRIPCION: TABLA LARGA DE INMOVILIZACION, DESCARTABLE: NO, MATERIAL: POLIETILENO, ELEMENTO: TABLA LARGA DE INMOVILIZACION</t>
  </si>
  <si>
    <t>2.9.5-5144.313</t>
  </si>
  <si>
    <t>INSTRUMENTAL ODONTOLOGICO; TIPO: GABINETE P/REVELADO, DESCARTABLE: NO, PRESENTACION: UNIDAD</t>
  </si>
  <si>
    <t>Gabinete de Revelado de amplia capacidad interior para manipular las radiografías dentales. Accesibles a través de dos empuñaduras de tela que no permitan el ingreso de luz del exterior y evitar que se velen las placas. Equipos 100 % estancos para evitar el ingreso de luz exterior y deben disponer de una Tapa Acrílica roja con protección UV. Material del gabinete: Acero Inoxidable.  Dimensiones aproximadas: Altura 240 mm, Largo 380 mm, Profundidad 255 mm. Peso aproximado 3 kg.</t>
  </si>
  <si>
    <t>4.3.3-3958.150</t>
  </si>
  <si>
    <t>INSTRUMENTOS DE MEDICION; USO: MEDIR GLUCOSA EN SANGRE, RANGO DE MEDICION: 10 - 600 MG/DL, PRECISION: 5 %, NOMBRE: GLUCOMETRO</t>
  </si>
  <si>
    <t>Medidor de glucosa ;Dispositivo de punción; 10 lancetas estériles; Manual del usuario; Guía de inicio; Estuche portátil.</t>
  </si>
  <si>
    <t>4.3.3-2044.2</t>
  </si>
  <si>
    <t>LARINGOSCOPIOS; MATERIAL: ACERO INOXIDABLE, RAMAS: ADULTO, ILUMINACION: CON</t>
  </si>
  <si>
    <t xml:space="preserve">Laringoscopio adulto tipo Mc Intosh fabricado en acero de primera calidad, con 3 ramas curvas (número: 3, 4 y 5). Con alimentación por pilas tipo C. Largo aproximado de 15cm. Con estuche de transporte. </t>
  </si>
  <si>
    <t>4.3.3-2044.3</t>
  </si>
  <si>
    <t>LARINGOSCOPIOS; MATERIAL: ACERO INOXIDABLE, RAMAS: PEDIATRICO, ILUMINACION: CON</t>
  </si>
  <si>
    <r>
      <t xml:space="preserve">Laringoscopio </t>
    </r>
    <r>
      <rPr>
        <b/>
        <sz val="11"/>
        <rFont val="Calibri"/>
        <family val="2"/>
        <scheme val="minor"/>
      </rPr>
      <t>pediátrico</t>
    </r>
    <r>
      <rPr>
        <sz val="11"/>
        <rFont val="Calibri"/>
        <family val="2"/>
        <scheme val="minor"/>
      </rPr>
      <t xml:space="preserve"> tipo Mc Intosh fabricado en acero de primera calidad, con </t>
    </r>
    <r>
      <rPr>
        <b/>
        <sz val="11"/>
        <rFont val="Calibri"/>
        <family val="2"/>
        <scheme val="minor"/>
      </rPr>
      <t>3 ramas curvas</t>
    </r>
    <r>
      <rPr>
        <sz val="11"/>
        <rFont val="Calibri"/>
        <family val="2"/>
        <scheme val="minor"/>
      </rPr>
      <t xml:space="preserve"> (número: 0/55mm, 1/85mm y 2/135mm). Con alimentación por pilas tipo C. Largo aproximado de 15cm. Con estuche de transporte. </t>
    </r>
  </si>
  <si>
    <t>4.3.3-5714.6</t>
  </si>
  <si>
    <t>LAVADOR DE PLACAS; TIPO: AUTOMATICO, CLASE DESECHO: 96 POCILLOS, USO: LABORATORIO</t>
  </si>
  <si>
    <t>4.3.3-5118.13</t>
  </si>
  <si>
    <t>LECTOR DE MICROPLACAS; RANGO DE LECTURA: 0.0000 A 4.0000 ABS, RANGO DE MEDICION: 200 A 1000 nM, EXACTITUD: +/- 1 %, PRECISION: &lt;1 %</t>
  </si>
  <si>
    <t>4.3.7-2823.9</t>
  </si>
  <si>
    <t>MESAS AUXILIARES; MATERIAL: AGLOMERADO, ANCHO: 40 Cm, ALTO: 75 Cm, PROFUNDIDAD: 56 Cm, RUEDAS: CON, TERMINACION: REVESTIMIENTO MELAMINICO</t>
  </si>
  <si>
    <t xml:space="preserve">Mesa auxiliar rodante de uso Odontologico, con 6 cajones y 1 gabinete con puerta lateral y 4 estantes, de melamina. </t>
  </si>
  <si>
    <t>4.3.3-131.1</t>
  </si>
  <si>
    <t>NEBULIZADORES; PESO APROX: 2700 GR, ALIMENTACION: 120V/60HZ - 220V/50HZ, TAMAÑO PARTICULAS: 0,5 A 5 Mn, LARGO X ANCHO X ALTO: 6 1/2 X 10 1/4 X 4 3/4 pulg, TAMAÑO DE PARTICULAS: 0,5 A 5 Mn</t>
  </si>
  <si>
    <t>4.3.3-1711.13</t>
  </si>
  <si>
    <t>SILLAS DE RUEDAS; ANCHO: 65 Cm, APOYABRAZO: FIJO, PIERNERA: FIJO, FRENO: CON, MATERIAL: ACERO</t>
  </si>
  <si>
    <t>Silla de Ruedas especialmente diseñada para usuarios con sobrepeso o de mayores dimensiones, con asiento extra ancho, barra doble cruzada inferior y estructura reforzada para soportar hasta 200 kg.
Estructura plegable de acero inoxidable recubierto de alta resistencia.  Apoyabrazos largos fijos, con superficie de apoyo acolchada blanda y apoya pies con plataforma metálica resistente y abatible para una mayor comodidad.  Ruedas traseras macizas con la tecnología “anti pinchazo” con aro manual ergonómico y ruedas delanteras multi direccionales.</t>
  </si>
  <si>
    <t>2.9.5-2020.1</t>
  </si>
  <si>
    <t>TAMBORES QUIRURGICOS; MATERIAL: ACERO INOXIDABLE, DIMENSION: 10 X 12 Cm</t>
  </si>
  <si>
    <t>Tambor Algodonero, tapa perforada</t>
  </si>
  <si>
    <t>Pedido de Necesidades Trimestrales</t>
  </si>
  <si>
    <t>JURISDICCION:</t>
  </si>
  <si>
    <t>040 - MINISTERIO DE SALUD</t>
  </si>
  <si>
    <t xml:space="preserve">SAF N°: </t>
  </si>
  <si>
    <t>011 - DIRECCION PROVINCIAL DE ADMINISTRACION - MINISTERIO DE SALUD</t>
  </si>
  <si>
    <t>EJERCICIO:</t>
  </si>
  <si>
    <t>TRIMESTRE:</t>
  </si>
  <si>
    <t>CUARTO</t>
  </si>
  <si>
    <t>Aspirador portátil de uso continuo libre de lubricantes. Debe Contar con una válvula reguladora de la aspiración desde un mínimo hasta un máximo. Debe poseer un frasco colector de 1000 cm3, con trampa antidesborde, para evitar el pasaje de líquido al cabezal aspirador. La unidad debe estar provista de un vacuómetro para proveer la indicación del vació generado por el aspirador.
Características técnicas mínimas:
- Tensión nominal: 220Vca.
- Caudal de aspiración: 34 l/min
- Vacío máximo: 58 cmHg
- Presión de salida: 1,5 a 1,8 Kg/cm²
- Presión sonora: 63,6 dB
- Capacidad del recipiente: 1 litro
Debe incluir:
-Vaso de 1 litro con Trampa
-Manual de uso</t>
  </si>
  <si>
    <t>Bomba de infusión volumétrica totalmente microcontrolada para perfus genéricos siliconados. Debe contar con display TFT color LCD táctil de, al menos, 4”, el grado de protección al polvo y al agua debe ser IP24, construida con de material plástico de alta calidad, con baterías de alta duración (9 horas aproximadamente), el peso máximo no deberá superar los 1,6Kg., tensión de alimentación 220Vca con potencia aproximada de 50VA. Debe estar aprobada por ANMAT y tener 1 año de garantía mínima.
Parámetros mínimos a cumplir: Precisión del sistema mayor a 1mL/h.Tasa de infusión con set de 60 gotas de 0,1 a 400mL/h. Tasa de bolus con set de 60 gotas de 0,1 a 400mL/h. Tasa de purga con set de 60 gotas de 400mL/h. Tasa de KVO de 0,01 a 5mL/h. Incremento de mínimo de caudal 0,01mL/h. Volumen total de infusión de 0,01 a 9999,99Ml. Intervalo de tiempo de 1minuto a 99horas. Rango de detección de oclusión aguas arriba de -75 a -600mmHg. Rango de detección de oclusión aguas abajo de 0 a 900mmHg. Rango de detección de aire (doble sensor) de 50 a 800uL. Debe indicar el nombre del medicamento que está infundiendo 
Modos de trabajo mínimos que debe incluir: Modo mL/h. Modo peso corporal. Modo goteo</t>
  </si>
  <si>
    <t>Plazos de entrega:</t>
  </si>
  <si>
    <t>veinte (20) dias habiles</t>
  </si>
  <si>
    <t>Lugar de Entrega:</t>
  </si>
  <si>
    <t>MINISTERIO DE SALUD - CHACABUCO N° 169 - en el horario de 8:00hs a 12:00hs de lunes a viernes</t>
  </si>
  <si>
    <t>Calidad Minima esperada:</t>
  </si>
  <si>
    <t>Garantia:</t>
  </si>
  <si>
    <t>cuarenta y cinco (45) días</t>
  </si>
  <si>
    <t>ESPECIFICIDADES ITEM 1</t>
  </si>
  <si>
    <t>ESPECIFICIDADES ITEM 2</t>
  </si>
  <si>
    <t>ESPECIFICIDADES ITEM 3</t>
  </si>
  <si>
    <t>ESPECIFICIDADES ITEM 4</t>
  </si>
  <si>
    <t>ESPECIFICIDADES ITEM 5</t>
  </si>
  <si>
    <t>ESPECIFICIDADES ITEM 6</t>
  </si>
  <si>
    <t>ESPECIFICIDADES ITEM 7</t>
  </si>
  <si>
    <t>ESPECIFICIDADES ITEM 8</t>
  </si>
  <si>
    <t>ESPECIFICIDADES ITEM 9</t>
  </si>
  <si>
    <t>ESPECIFICIDADES ITEM 10</t>
  </si>
  <si>
    <t>ESPECIFICIDADES ITEM 11</t>
  </si>
  <si>
    <t>ESPECIFICIDADES ITEM 12</t>
  </si>
  <si>
    <t>ESPECIFICIDADES ITEM 13</t>
  </si>
  <si>
    <t>ESPECIFICIDADES ITEM 14</t>
  </si>
  <si>
    <t>ESPECIFICIDADES ITEM 15</t>
  </si>
  <si>
    <t>ESPECIFICIDADES ITEM 16</t>
  </si>
  <si>
    <t>ESPECIFICIDADES ITEM 17</t>
  </si>
  <si>
    <t>ESPECIFICIDADES ITEM 18</t>
  </si>
  <si>
    <t>ESPECIFICIDADES ITEM 19</t>
  </si>
  <si>
    <t>ESPECIFICIDADES ITEM 20</t>
  </si>
  <si>
    <t>ESPECIFICIDADES ITEM 21</t>
  </si>
  <si>
    <t>ESPECIFICIDADES ITEM 22</t>
  </si>
  <si>
    <t>ESPECIFICIDADES ITEM 23</t>
  </si>
  <si>
    <t>ESPECIFICIDADES ITEM 24</t>
  </si>
  <si>
    <t>ESPECIFICIDADES ITEM 25</t>
  </si>
  <si>
    <t>ESPECIFICIDADES ITEM 26</t>
  </si>
  <si>
    <t>ESPECIFICIDADES ITEM 27</t>
  </si>
  <si>
    <t>ESPECIFICIDADES ITEM 28</t>
  </si>
  <si>
    <t>ESPECIFICIDADES ITEM 29</t>
  </si>
  <si>
    <t>ESPECIFICIDADES ITEM 30</t>
  </si>
  <si>
    <t>ESPECIFICIDADES ITEM 31</t>
  </si>
  <si>
    <t>ESPECIFICIDADES ITEM 32</t>
  </si>
  <si>
    <t>ESPECIFICIDADES ITEM 33</t>
  </si>
  <si>
    <t>ESPECIFICIDADES ITEM 34</t>
  </si>
  <si>
    <t>ESPECIFICIDADES ITEM 35</t>
  </si>
  <si>
    <t>ESPECIFICIDADES ITEM 36</t>
  </si>
  <si>
    <t>ESPECIFICIDADES ITEM 37</t>
  </si>
  <si>
    <t>Tabla larga plástica de inmovilización espinal y traslado para adultos obesos. Medidas aproximadas: 180 X 45 X 1,8 cm. Debe ser traslucida a RX, CT y MRI. Debe estar construida ergonómicamente en HDPE (polietileno de alta densidad, lavable antiestático de alta resistencia) sin costuras ni huecos, impermeable y atoxica. Debe presentar calados p/inmovilizador cervical, pectorales, abdomen y piernas independientes. Multifenestrada con amplios orificios para empuñaduras y orificios para tres cinturones de fijación de rápida liberación. Debe soportar una carga de 180 Kg como mínimo. Debe incluir 3 cinturones inmovilizadores.</t>
  </si>
  <si>
    <t>NEBULIZADOR:
- Capacidad para 1.75mL.
- Para Nebulizar  aproximado 0.34 mililitros por minuto.
- Con sistema monocámara.
- Funcionamiento de forma silenciosa.
- Niebla regulable
- Apagar automaticamente
- Aprobado por ANMAT.
- Incluir accesorios.</t>
  </si>
  <si>
    <t>NOTA DE PEDIDO</t>
  </si>
  <si>
    <t>N°</t>
  </si>
  <si>
    <t xml:space="preserve">JURISDICCIÓN: </t>
  </si>
  <si>
    <t>SAF:</t>
  </si>
  <si>
    <t>011 - DIRECCION PROVINCIAL DE ADMINISTRACION DEL MINISTERIO DE SALUD</t>
  </si>
  <si>
    <t>UNIDAD EJECUTORA:</t>
  </si>
  <si>
    <t>352 - MINISTERIO DE SALUD</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</si>
  <si>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</si>
  <si>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</si>
  <si>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</si>
  <si>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</si>
  <si>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</si>
  <si>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</si>
  <si>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</si>
  <si>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</si>
  <si>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</si>
  <si>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</si>
  <si>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</si>
  <si>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</si>
  <si>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rPr>
      <t>AUTORIZACIÓN</t>
    </r>
    <r>
      <rPr>
        <b/>
        <u/>
        <sz val="10"/>
        <rFont val="Arial"/>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</si>
  <si>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</si>
  <si>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</si>
  <si>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</si>
  <si>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</si>
  <si>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</si>
  <si>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</si>
  <si>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</si>
  <si>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</si>
  <si>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</si>
  <si>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</si>
  <si>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</si>
  <si>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</si>
  <si>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</si>
  <si>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</si>
  <si>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</si>
  <si>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</si>
  <si>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</si>
  <si>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</si>
  <si>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</si>
  <si>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EQUIPOS SANITARIOS Y DE LABORATORIO</t>
  </si>
  <si>
    <t>JUSTIFICACIÓN:</t>
  </si>
  <si>
    <t>DIEZ (10) AÑOS</t>
  </si>
  <si>
    <t>ADQUISICION DE UTILES MEDICOS Y EQUIPOS SANITARIOS Y DE LABORATORIO CON DESTINO A HOSPITALES DE LA PROVINCIA</t>
  </si>
  <si>
    <t>SI</t>
  </si>
  <si>
    <t>TOTAL RUBRO</t>
  </si>
  <si>
    <t>* ADJUNTAR FOLLETERIA, MANUALES Y/O CUALQUIER OTRA DOCUMENTACION QUE EL PROVEEDOR ESTIME NECESARIO PARA ACLARAR EL BIEN COTIZADO. EN CASO DE CORRESPONDER ADJUNTAR CERTIFICADO DE ANMAT.</t>
  </si>
  <si>
    <t>Espectrofótometro: 
Analizador clínico semiautomático de última generación. Impresora incorporada. Sistema que permite trabajar con microcelda de flujo termostatizada o cubetas macro y semimicro. Almacena hasta  132 técnicas abiertas y 30 curvas de calibración
Sistema óptico: -Monocromador con filtros interferenciales. -Rango de longitudes de onda: 340 - 1000 11111. -Selección de longitud de onda: rueda automática de filtros con 9 posiciones. -Filtros instalados: 340,405, 450, 505, 550, 620 y 750 nm + 2 posiciones libres. -Ancho de banda: 1O o 2 nm. -Rango fotométrico: -0,5 - 4,000 Abs. -Precisión: +/- 0,002 Abs.
Fuente de luz: -Lámpara Halógena 6V - 1OW. Cero automático. -Stand by automático. Ajuste automático por Software.
Sistema de cubetas DUAL: -Microcelda de flujo metálica con ventana de cuarzo. -10 mm de paso de luz, volumen: 18 µl. -Soporte standard de 10 nun x 10 nun para cubeta externa macro o semi-micro. -Celda de flujo termostatizada por efecto Peltier: 25°C, 30°C, 37°C.
Sistema de aspiración: -Bomba peristá ltica con motor paso a paso. -Volúmen programable: 100 a 500 µl. -Arrastre: 2% para 400 µl.
Interface con el operador: -Teclado de membrana  con 25 teclas para funciones y entradas numéricas. -Impresora térmica incorporada: 27 caracteres/línea. -Display gráfico de cristal liquido con contraste.
Programas: -132 test programables. -Control  de Calidad: Estadísticas, Gráficos de Levey Jennings. -Hasta 1O controles programables. Menu de mantenimiento. Control de impresora. INCLUYE UPS ACORDE AL EQUIPO</t>
  </si>
  <si>
    <t>Autoclave Digital Portatil Uso General 20 Litros: Debe contar con:- Sistema Inteligente de Control por Microprocesador que supervisa en tiempo Real los Parámetros de Ciclo (Temperatura/ Presión) dentro de la Cámara; - Sistema de Control LED Digital; - Alarma Sonora de Finalización de Proceso; - Sistema de Punto Seguridad (Cuando la Temperatura y la Presión llegan a su Punto de Seguridad, es cuando se podrá abrir la Tapa); - Sistema de Memoria (Programa Fijo de Ciclo: El Equipo dispone la Posibilidad de Programar y Setear un programa fijo de Ciclo de Esterilización); - Dispositivos de Seguridad: debe poseer dispositivos de Bloqueo contra Sobre temperatura y Sistema de Protección contra Sobre Presión y Sistema de Detección Automática de Fallas en el Proceso. -Cuerpo y Tapa construido en Acero Inoxidable Reforzado. - Rango de Timer 0-999 min. - Presion de Trabajo 0.142 Mpa. - Rango de Temperatura 50-126ºC. -Volumen de la Recamara Aprox. 20lt Volumen Util Aprox. 18lt. -Volumen de la cámara de esterilización Aprox. (diametro x altura) 280x260mm Cesta (diámetro x altura mm) Aprox. 260 x250mm. - Alimentación: 220V- 50Hz Consumo: 2 kW. INCLUYE UPS ACORDE AL EQUIPO</t>
  </si>
  <si>
    <t>COAGULOMETRO: Principio de medición: FOTOMÉTRICO Y TURBODENSITOMÉTRICO, MÉTODOS COAGULOMÉTRICOS. CROMOGÉNICOS Y TURBIDIMÉTRICOS. BLOQUE DE MEDICIÓN: TEMPERATURA CONTROLADA A 37,4 +/- 0.4°C (CON SISTEMA PELTIER). 2 O 4 CANALES DE MEDICIÓN CON DOS LONGITUDES DE ONDA (405 NM Y 750NM) DISPONIBLES CADA UNO. 4 POSICIONES DE REACTIVOS, UNA DE ELLAS CON FUNCIÓN MEZCLADORA.18/16 POSICIONES DE INCUBACIÓN DE CUBETAS. INICIO AUTOMÁTICO CON EL AGREGADO DEL REACTIVO. VOLUMEN DEL TEST: MICROCUBETAS CON CAPACIDAD DE 150-300UL. PANTALLA: LCD. 2 LINES. 20 CARÁCTERES CADA UNA. PANEL DE CONTROL: TECLADO DE MEMBRANA. INTERFACE: RS232 (IMPRESORA/ LECTOR DE CÓDIGO DE BARRAS). USB (HOST). SD-CARD. IMPRESORA: IMPRESORA TÉRMICA INTEGRADA. DIMENSIONES/PESO:26X33X9 CM (LARGO/ANCHO/ALTO):3,9KG. DETERMINACIONES: TP-APTT-FIB-TT-FACTORES VÍA. INTRINSECA Y EXTRINSECA – ATII – PC-DRVVT-DD SOFWARE/HARDWARE: SISTEMA ABIERTO. PARÁMETROS DE TESTS EDITABLES Y COPIABLES. 15 TESTS PROGRAMABLES. CÁLCULO AUTOMÁTICO EN SEGUNDOS, RIN% G7L, MG/DL, RATIO, ME, UG/ML. CURVA DE CALIBRACIÓN: EDITABLE (DE HASTA 9 PUNTOS). COMUNICACIÓN HOST UNDIRECCIONAL. INTERFAZ DE USUARIO MULTILINGUE (DE, EN, ES,FR,PT,TU). FUENTE DE ALIMENTACION:100V-240V. 47-63HZ,260MA. SALIDA:24VDC/3.7A. OPCIONAL: CONEXIÓN A IMPRESORA TÉRMICA EXTERNA. CONEXIÓN A LECTOR DE CÓDIGO DE BARRAS. INCLUYE UPS ACORDE AL EQUIPO</t>
  </si>
  <si>
    <t>Contador Hematológico 
Detección de WBC, detección de RBC y detección de PLT.
-Principio de medición: impedancia eléctrica más colorimetría. - Diferencia la población leucocitaria en tres grupos: neutrófilos, linfocitos y células medias (monocitos, eosinófilos y basófilos). -Dos modos de conteo: sangre completa o prediluida. - 9ul de muestra para el modo sangre entera y modo sangre capilar. -Almacenamiento de hasta 200.000 resultados incluyendo histogramas. Impresora térmica incorporada. Opción para impresora externa. -Lector de código de barras para muestras (opcional). -Pantalla color táctil de 8,4 pulgadas. -Diseño compacto, de 30 cm de ancho -Seguro y simple de usar -Software y manuales de operación en su idioma. INCLUYE UPS ACORDE AL EQUIPO</t>
  </si>
  <si>
    <t>Analizadores de hematología compactos totalmente automatizados con diferencial minimo de 4 partes.
Especificaciones
Principios y tecnologías: *Citometría de flujo fluorescente: WBC, DIFF, RET, IRF, diferencial de 2 partes para el análisis de fluidos corporales; *Método de impedancia con enfoque hidrodinámico: PLT-I, RBC, HCT; *Método SLS-hemoglobina libre de cianuro: HGB.
Parámetros analizados: * Parámetros reportables en sangre entera y modo prediluido. (WBC, RBC, HGB, HCT, VCM, HCM, CHCM, PLT-I, RDW-SD, RDW-CV, MPV, NEUT #, LINFO #, MONO #, EO #, BASO #, NEUT%, LINFO%, MONO%, EO%, BASO%, IG #, IG%), * Parámetros de investigación en sangre entera y modo prediluido (PDW, P-LCR, PCT),* Parámetros reportables en el modo de fluidos corporales (WBC-BF, RBC-BF, MN_, PMN_, MN_, PMN%, TC-BF#),  * Parámetros reportables en el canal de reticulocitos (RET#, RET%, IRF, RET-He), *Parámetros de investigación del canal de reticulocitos (LFR, MFR, HFR, PLT-O).
Rendimiento:
* Sangre entera: 
 CBC: hasta 60 muestras por hora; 
 CBC + DIFF: hasta 60 muestras por hora; 
 CBC + DIFF + RET: hasta 35 muestras por hora.
* Fluidos corporales: hasta 30 muestras por hora.
Modo de aspiración: análisis de tubo cerrado
Volumen de aspiración de muestra: * Sangre entera/modo Low WBC: 25 μl; * Modo prediluido: 70 μl; * Modo de fluidos corporales: 70 μl.
Almacenamiento de datos: * Resultados: 100.000 muestras; * Información de pacientes: 10.000 registros; * Archivos de control de calidad: 99 archivos por analizador; * Gráficas de control de calidad: 300 datos por archivo; * Histórico de reemplazo de reactivos: 5.000 registros; * Histórico de mantenimiento: 5.000 registros.
Control de calidad:
* Tres niveles de material de control de calidad para todos los parámetros;
* Dos niveles de material de control de calidad para fluidos corporales.
Dimensiones y peso aproximado:
Unidad principal: Ancho: 450 mm, Profundidad: 460 mm, Altura: 440 mm / Aprox.36 kg;
Pantalla: táctil multicolor integrada con gráficas de usuario intuitiva interfaz para respaldar tareas de rutina.
Conectividad extendida: * Puerto RS-232C y el puerto LAN para la conexión con el sistema de información (LIS) de cada laboratorio. * Cuatro puertos USB para lector de código de barras portátil, impresora y conexiones de dispositivos USB. INCLUYE UPS ACORDE AL EQUIPO</t>
  </si>
  <si>
    <t>Lavador de Elisa
Especificaciones  Técnicas 
Protocolos de lavado: Hasta 100. Ciclos de lavado: De O a 9. Volumen de dispensado: De 50 hasta 3000  uL. Protección contra colisión de fondo Automático. Volumen residual por hilera &lt;2  uL. Tiempo de inmersión:  De O a 300 segundos. Tiempo de agitación: De O a 300 segundos.  Opciones múltiples  1x8, 1x12. Medidas de las botellas: 2x2L (Detergente), 1x2L (Desechos), 1x2L (Agua destilada). Fuente de alimentación de CE 100-240V. Temperatura: De 5 a 35 ºC. Humedad: De 15 a 85 %. Dimensiones aproximadas 400 mm (Largo) x 330mm (ancho) x 145mm (Alto). INCLUYE UPS ACORDE AL EQUIPO</t>
  </si>
  <si>
    <t>Lector de Elisa de Microplaca
Pantalla LCD a color, sensible al tacto de 7.8". Cubierta opaca para evitar luz externa. Impresora térmica y opción a impresora externa. Capacidad para almacenar más de 20,000 resultados Múltiples opciones para ajuste de curva. Modos de agitación de velocidad y tiempo variables. Sistema óptico bi-cromático totalmente automático Amplio reporte con información del paciente. Lámpara de alta durabilidad. Software de gestión de datos (opcional).
Especificaciones Técnicas: * Data Management Software. * Método de detección Absorbancia. * Microplacas aceptadas 96 y 48 pozos. *Sistema de Medición: Sistema óptico de 8 canales. * Fuente de Luz Lámpara de Halogeno-tunsteno. * Puertos de Conexión 1 x RS232, 2 x USB. * Agitación Modos de agitación de velocidad y tiempo variables. * Ingreso de Datos Mediante Pantalla Táctil. * Pantalla LCD a color. INCLUYE UPS ACORDE AL EQUIPO</t>
  </si>
  <si>
    <t>ESPECIFICIDADES Y DETALLE TECNICO:</t>
  </si>
  <si>
    <t>Caja acero inoxidable 18 x 8 x 3 cm lisa: incluye 1 Mango de Bisturi N3 + 10 Hojas de bisturí Nº10, 1 Pinza de disección 14.5 cm, 1 Pinza Kocher Recta 14 cm, 1 Pinza con diente de ratón 14.5cm 1x2dientes, 1 Pinza Halsted Recta 10 cm recta, 1 Pinza Halsted Curva 10 cm, 1 Pinza Adson 12 cm sin dientes, 1 Tijera curación recta 14 cm, 1 Tijera Mayo punta roma 14 cm, 1 Porta Agujas Mayo Hegar 14 cm, 1 Sonda acanalada 13cm.</t>
  </si>
  <si>
    <t>Caja 20 x 0,9x04cm A. Incluye: 1 Tijera mayo recta 14 CM. 1 Tijera iris curva 9 CM. Estilete. 1 Sonda acanalada 13cm. 1 Porta agujas mayo hegar 14 CM. 1 Pinza kocher recta 14 CM. 1 Pinza halstead curva 10 CM. 1 Pinza halstead recta 10 CM. 1 Pinza de disección 14,5 CM. 1 Pinza diente de ratón 14.5 1x2 dientes CM. 1 Mango para bisturí nro3. 1Separador farabeuf 15x1.5 CM (par)</t>
  </si>
  <si>
    <t>CAJA DE COLOCACION DE DIU: caja acero inoxidable. 30 x 15 x 8 cm aprox. Incluyre: - 2 pinza maier 20 cm recta, - 1 pinza bertola 18 cm recta, - 1 pinza bertola 18 cm curva, - 1 pinza allis 19 cm. 5 x 6 dientes, - 2 tijera metzenbaum 20 cm, - 2 pinza pozzi erina 25 cm, - 1 histerómetro sims 32 cm maleable</t>
  </si>
  <si>
    <t>Electrocardiógrafo digital de 3 canales con cabezal de impresión térmica para papel de 50mm. Cantidad de derivaciones: 12. Totalmente digital, con pantalla de LCD de alta resolución para visualizar la señal de ECG antes de la impresión. Con resolución de impresión mínima de 8 puntos/mm. Debe poseer al menos 2 filtros digitales para evitar señales ruidosas. Debe ser provisto con cable paciente con protección contra desfibrilación. Con alarma de desconexión de electrodos mostrando en pantalla la derivación suelta. Alimentación eléctrica de 220Vca, 50Hz, 35Va con batería con 3 horas de autonomía como mínimo. El peso máximo debe ser de 2,5Kg. 
La medición de ECG debe cumplir con las siguientes características mínimas: Circuito de entrada flotante, con protección de marcapasos y de desfibrilación, 12 derivaciones, Resolución del conversor A/D de 12 bits, Voltaje de calibración 1mV +/-3%, Sensibilidad: 2,5; 5; 10; 20 (mm/mV), Impedancia de entrada mayor a 10MOhms, Con autocentrado de línea de base, Modo de registro manual/automático, Seguridad anti shock eléctrico: Clase I – Tipo CF.
Accesorios que debe incluir: Cable de alimentación, Cable paciente con protección contra desfibrilación, Juego de 4 electrodos de miembros tipo pinzas, Juego de electrodos precordiales tipo peritas, Rollo de papel térmico de 50mm, Portarollo de papel, Cable de tierra, Manual de instrucciones.</t>
  </si>
  <si>
    <t>garantia integral de doce (12) meses.</t>
  </si>
  <si>
    <t>Mantenimiento de oferta:</t>
  </si>
  <si>
    <t>Costo total estimado: PESOS CINCUENTA MILLONES SETECIENTOS VEINTIOCHO MIL DOSCIENTOS SESENTA Y TRES CON 00/100.-</t>
  </si>
  <si>
    <t>TOTAL DE PESOS: CINCUENTA MILLONES SETECIENTOS VEINTIOCHO MIL DOSCIENTOS SESENTA Y TRES CON 00/100.-</t>
  </si>
  <si>
    <t>Autorizo la realización de los  trámites correspondientes, a fin de proveer a  este Organismo los bienes, servicios o ejecución de obras públicas que se detallan en Nota  de Pedido N° XX/2022 , afectando la erogación resultante a los créditos presupuestarios aprobados a favor de esta Unidad Ejecutora, conforme al siguiente detalle: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</si>
</sst>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2C0A]\ * #,##0.00_-;\-[$$-2C0A]\ * #,##0.00_-;_-[$$-2C0A]\ * &quot;-&quot;??_-;_-@_-"/>
    <numFmt numFmtId="165" formatCode="_-[$$-2C0A]\ * #,##0.00_-;\-[$$-2C0A]\ * #,##0.00_-;_-[$$-2C0A]\ * &quot;-&quot;??_-;_-@"/>
    <numFmt numFmtId="166" formatCode="[$$-2C0A]\ #,##0.00"/>
    <numFmt numFmtId="167" formatCode="dd\-mm\-yy"/>
  </numFmts>
  <fonts count="38">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sz val="11"/>
      <color rgb="FF000000"/>
      <name val="Calibri"/>
      <family val="2"/>
      <scheme val="minor"/>
    </font>
    <font>
      <sz val="11"/>
      <color rgb="FFFF0000"/>
      <name val="Calibri"/>
      <family val="2"/>
      <scheme val="minor"/>
    </font>
    <font>
      <sz val="11"/>
      <color theme="0"/>
      <name val="Calibri"/>
      <family val="2"/>
      <scheme val="minor"/>
    </font>
    <font>
      <sz val="10"/>
      <color theme="1"/>
      <name val="Times New Roman"/>
      <family val="1"/>
    </font>
    <font>
      <b/>
      <sz val="14"/>
      <color theme="1"/>
      <name val="Times New Roman"/>
      <family val="1"/>
    </font>
    <font>
      <b/>
      <sz val="10"/>
      <color rgb="FF000000"/>
      <name val="Times New Roman"/>
      <family val="1"/>
    </font>
    <font>
      <sz val="10"/>
      <color rgb="FF000000"/>
      <name val="Times New Roman"/>
      <family val="1"/>
    </font>
    <font>
      <sz val="11"/>
      <color rgb="FF000000"/>
      <name val="Calibri"/>
      <family val="2"/>
    </font>
    <font>
      <b/>
      <sz val="11"/>
      <name val="Calibri"/>
      <family val="2"/>
    </font>
    <font>
      <sz val="11"/>
      <name val="Calibri"/>
    </font>
    <font>
      <sz val="11"/>
      <name val="Calibri"/>
      <family val="2"/>
    </font>
    <font>
      <sz val="10"/>
      <color rgb="FF000000"/>
      <name val="Calibri"/>
    </font>
    <font>
      <b/>
      <sz val="10"/>
      <color rgb="FF000000"/>
      <name val="Calibri"/>
      <family val="2"/>
    </font>
    <font>
      <sz val="10"/>
      <name val="Calibri"/>
    </font>
    <font>
      <b/>
      <sz val="10"/>
      <color rgb="FF000000"/>
      <name val="Calibri"/>
    </font>
    <font>
      <b/>
      <u/>
      <sz val="24"/>
      <name val="Times New Roman"/>
    </font>
    <font>
      <b/>
      <u/>
      <sz val="12"/>
      <name val="Times New Roman"/>
    </font>
    <font>
      <b/>
      <sz val="12"/>
      <name val="Times New Roman"/>
      <family val="1"/>
    </font>
    <font>
      <sz val="12"/>
      <name val="Times New Roman"/>
    </font>
    <font>
      <b/>
      <sz val="12"/>
      <name val="Times New Roman"/>
    </font>
    <font>
      <b/>
      <sz val="11"/>
      <name val="Times New Roman"/>
    </font>
    <font>
      <sz val="11"/>
      <name val="Times New Roman"/>
    </font>
    <font>
      <sz val="11"/>
      <name val="Times New Roman"/>
      <family val="1"/>
    </font>
    <font>
      <b/>
      <sz val="11"/>
      <name val="Arial"/>
    </font>
    <font>
      <b/>
      <sz val="12"/>
      <name val="Arial"/>
    </font>
    <font>
      <sz val="10"/>
      <name val="Arial"/>
    </font>
    <font>
      <sz val="11"/>
      <name val="Arial"/>
    </font>
    <font>
      <sz val="10"/>
      <name val="Times New Roman"/>
    </font>
    <font>
      <b/>
      <u/>
      <sz val="10"/>
      <name val="Arial"/>
    </font>
    <font>
      <sz val="11"/>
      <name val="Arial"/>
      <family val="2"/>
    </font>
    <font>
      <b/>
      <sz val="10"/>
      <name val="Arial"/>
    </font>
    <font>
      <b/>
      <sz val="11"/>
      <color rgb="FFFF0000"/>
      <name val="Calibri"/>
      <family val="2"/>
      <scheme val="minor"/>
    </font>
    <font>
      <b/>
      <sz val="14"/>
      <name val="Times New Roman"/>
      <family val="1"/>
    </font>
    <font>
      <b/>
      <sz val="11"/>
      <name val="Arial"/>
      <family val="2"/>
    </font>
  </fonts>
  <fills count="3">
    <fill>
      <patternFill patternType="none"/>
    </fill>
    <fill>
      <patternFill patternType="gray125"/>
    </fill>
    <fill>
      <patternFill patternType="solid">
        <fgColor rgb="FFFFFFFF"/>
        <bgColor rgb="FFFFFFFF"/>
      </patternFill>
    </fill>
  </fills>
  <borders count="92">
    <border>
      <left/>
      <right/>
      <top/>
      <bottom/>
      <diagonal/>
    </border>
    <border>
      <left style="medium">
        <color rgb="FF000000"/>
      </left>
      <right/>
      <top style="medium">
        <color rgb="FF000000"/>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3D3D3D"/>
      </right>
      <top style="medium">
        <color rgb="FF000000"/>
      </top>
      <bottom/>
      <diagonal/>
    </border>
    <border>
      <left style="medium">
        <color rgb="FF3D3D3D"/>
      </left>
      <right style="medium">
        <color rgb="FF000000"/>
      </right>
      <top style="medium">
        <color rgb="FF000000"/>
      </top>
      <bottom style="medium">
        <color rgb="FF3D3D3D"/>
      </bottom>
      <diagonal/>
    </border>
    <border>
      <left style="medium">
        <color rgb="FF000000"/>
      </left>
      <right/>
      <top/>
      <bottom style="medium">
        <color rgb="FF3D3D3D"/>
      </bottom>
      <diagonal/>
    </border>
    <border>
      <left/>
      <right/>
      <top/>
      <bottom style="medium">
        <color rgb="FF3D3D3D"/>
      </bottom>
      <diagonal/>
    </border>
    <border>
      <left style="medium">
        <color rgb="FF000000"/>
      </left>
      <right/>
      <top style="medium">
        <color rgb="FF3D3D3D"/>
      </top>
      <bottom style="medium">
        <color rgb="FF3D3D3D"/>
      </bottom>
      <diagonal/>
    </border>
    <border>
      <left/>
      <right/>
      <top style="medium">
        <color rgb="FF3D3D3D"/>
      </top>
      <bottom style="medium">
        <color rgb="FF3D3D3D"/>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3D3D3D"/>
      </top>
      <bottom/>
      <diagonal/>
    </border>
    <border>
      <left/>
      <right/>
      <top style="medium">
        <color rgb="FF3D3D3D"/>
      </top>
      <bottom/>
      <diagonal/>
    </border>
    <border>
      <left/>
      <right style="medium">
        <color rgb="FF3D3D3D"/>
      </right>
      <top style="medium">
        <color rgb="FF000000"/>
      </top>
      <bottom style="medium">
        <color rgb="FF000000"/>
      </bottom>
      <diagonal/>
    </border>
    <border>
      <left style="medium">
        <color rgb="FF3D3D3D"/>
      </left>
      <right/>
      <top style="medium">
        <color rgb="FF000000"/>
      </top>
      <bottom style="medium">
        <color rgb="FF000000"/>
      </bottom>
      <diagonal/>
    </border>
    <border>
      <left style="medium">
        <color rgb="FF000000"/>
      </left>
      <right style="medium">
        <color rgb="FF3D3D3D"/>
      </right>
      <top style="medium">
        <color rgb="FF000000"/>
      </top>
      <bottom/>
      <diagonal/>
    </border>
    <border>
      <left style="medium">
        <color rgb="FF3D3D3D"/>
      </left>
      <right style="medium">
        <color rgb="FF3D3D3D"/>
      </right>
      <top style="medium">
        <color rgb="FF000000"/>
      </top>
      <bottom/>
      <diagonal/>
    </border>
    <border>
      <left style="medium">
        <color rgb="FF3D3D3D"/>
      </left>
      <right/>
      <top style="medium">
        <color rgb="FF000000"/>
      </top>
      <bottom/>
      <diagonal/>
    </border>
    <border>
      <left style="medium">
        <color rgb="FF3D3D3D"/>
      </left>
      <right style="medium">
        <color rgb="FF000000"/>
      </right>
      <top style="medium">
        <color rgb="FF000000"/>
      </top>
      <bottom/>
      <diagonal/>
    </border>
    <border>
      <left style="medium">
        <color rgb="FF000000"/>
      </left>
      <right style="medium">
        <color rgb="FF3D3D3D"/>
      </right>
      <top/>
      <bottom/>
      <diagonal/>
    </border>
    <border>
      <left style="medium">
        <color rgb="FF3D3D3D"/>
      </left>
      <right style="medium">
        <color rgb="FF3D3D3D"/>
      </right>
      <top/>
      <bottom/>
      <diagonal/>
    </border>
    <border>
      <left style="medium">
        <color rgb="FF3D3D3D"/>
      </left>
      <right/>
      <top/>
      <bottom/>
      <diagonal/>
    </border>
    <border>
      <left/>
      <right style="medium">
        <color rgb="FF3D3D3D"/>
      </right>
      <top/>
      <bottom/>
      <diagonal/>
    </border>
    <border>
      <left style="medium">
        <color rgb="FF3D3D3D"/>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3D3D3D"/>
      </left>
      <right/>
      <top/>
      <bottom style="medium">
        <color rgb="FF3D3D3D"/>
      </bottom>
      <diagonal/>
    </border>
    <border>
      <left/>
      <right style="medium">
        <color rgb="FF000000"/>
      </right>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rgb="FF000000"/>
      </right>
      <top style="medium">
        <color rgb="FF3D3D3D"/>
      </top>
      <bottom style="medium">
        <color rgb="FF3D3D3D"/>
      </bottom>
      <diagonal/>
    </border>
    <border>
      <left/>
      <right style="medium">
        <color rgb="FF000000"/>
      </right>
      <top style="medium">
        <color rgb="FF3D3D3D"/>
      </top>
      <bottom/>
      <diagonal/>
    </border>
    <border>
      <left style="medium">
        <color rgb="FF3D3D3D"/>
      </left>
      <right/>
      <top style="medium">
        <color rgb="FF3D3D3D"/>
      </top>
      <bottom/>
      <diagonal/>
    </border>
    <border>
      <left/>
      <right style="medium">
        <color rgb="FF3D3D3D"/>
      </right>
      <top style="medium">
        <color rgb="FF3D3D3D"/>
      </top>
      <bottom/>
      <diagonal/>
    </border>
    <border>
      <left style="medium">
        <color rgb="FF000000"/>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000000"/>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rgb="FF000000"/>
      </right>
      <top style="medium">
        <color rgb="FF3D3D3D"/>
      </top>
      <bottom style="thin">
        <color rgb="FF3D3D3D"/>
      </bottom>
      <diagonal/>
    </border>
    <border>
      <left style="medium">
        <color rgb="FF000000"/>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rgb="FF000000"/>
      </right>
      <top style="thin">
        <color rgb="FF3D3D3D"/>
      </top>
      <bottom style="thin">
        <color rgb="FF3D3D3D"/>
      </bottom>
      <diagonal/>
    </border>
    <border>
      <left style="medium">
        <color rgb="FF000000"/>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right style="thin">
        <color rgb="FF3D3D3D"/>
      </right>
      <top style="thin">
        <color rgb="FF3D3D3D"/>
      </top>
      <bottom style="medium">
        <color rgb="FF3D3D3D"/>
      </bottom>
      <diagonal/>
    </border>
    <border>
      <left style="thin">
        <color rgb="FF3D3D3D"/>
      </left>
      <right style="medium">
        <color rgb="FF000000"/>
      </right>
      <top style="thin">
        <color rgb="FF3D3D3D"/>
      </top>
      <bottom style="medium">
        <color rgb="FF3D3D3D"/>
      </bottom>
      <diagonal/>
    </border>
    <border>
      <left/>
      <right style="medium">
        <color rgb="FF3D3D3D"/>
      </right>
      <top/>
      <bottom style="medium">
        <color rgb="FF3D3D3D"/>
      </bottom>
      <diagonal/>
    </border>
    <border>
      <left style="medium">
        <color rgb="FF3D3D3D"/>
      </left>
      <right style="medium">
        <color rgb="FF000000"/>
      </right>
      <top/>
      <bottom style="medium">
        <color rgb="FF3D3D3D"/>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259">
    <xf numFmtId="0" fontId="0" fillId="0" borderId="0" xfId="0"/>
    <xf numFmtId="0" fontId="3" fillId="0" borderId="0" xfId="0" applyFont="1" applyBorder="1" applyAlignment="1">
      <alignment vertical="center"/>
    </xf>
    <xf numFmtId="0" fontId="3" fillId="0" borderId="3" xfId="0" applyFont="1" applyFill="1" applyBorder="1" applyAlignment="1">
      <alignment horizontal="center" vertical="center"/>
    </xf>
    <xf numFmtId="0" fontId="3" fillId="0" borderId="3" xfId="0" applyFont="1" applyFill="1" applyBorder="1" applyAlignment="1">
      <alignment vertical="center"/>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3" fontId="3" fillId="0" borderId="3" xfId="0" applyNumberFormat="1" applyFont="1" applyFill="1" applyBorder="1" applyAlignment="1">
      <alignment horizontal="center" vertical="center" wrapText="1"/>
    </xf>
    <xf numFmtId="164" fontId="3" fillId="0" borderId="3" xfId="0" applyNumberFormat="1" applyFont="1" applyFill="1" applyBorder="1" applyAlignment="1">
      <alignment horizontal="center" vertical="center"/>
    </xf>
    <xf numFmtId="165" fontId="3" fillId="0" borderId="3" xfId="0" applyNumberFormat="1" applyFont="1" applyFill="1" applyBorder="1" applyAlignment="1">
      <alignment horizontal="center" vertical="center" wrapText="1"/>
    </xf>
    <xf numFmtId="0" fontId="3" fillId="0" borderId="3" xfId="0" applyFont="1" applyFill="1" applyBorder="1" applyAlignment="1">
      <alignment vertical="center" wrapText="1"/>
    </xf>
    <xf numFmtId="0" fontId="0" fillId="0" borderId="0" xfId="0" applyFont="1"/>
    <xf numFmtId="0" fontId="0" fillId="0" borderId="0" xfId="0" applyFill="1"/>
    <xf numFmtId="0" fontId="0" fillId="0" borderId="3" xfId="1" applyFont="1" applyBorder="1" applyAlignment="1">
      <alignment horizontal="center" vertical="center"/>
    </xf>
    <xf numFmtId="0" fontId="0" fillId="0" borderId="3" xfId="1" applyFont="1" applyBorder="1" applyAlignment="1">
      <alignment vertical="center" wrapText="1"/>
    </xf>
    <xf numFmtId="164" fontId="0" fillId="0" borderId="3" xfId="0" applyNumberFormat="1" applyFont="1" applyFill="1" applyBorder="1" applyAlignment="1">
      <alignment vertical="center"/>
    </xf>
    <xf numFmtId="0" fontId="0" fillId="0" borderId="4" xfId="1" applyFont="1" applyBorder="1" applyAlignment="1">
      <alignment horizontal="center" vertical="center"/>
    </xf>
    <xf numFmtId="0" fontId="0" fillId="0" borderId="4" xfId="1" applyFont="1" applyBorder="1" applyAlignment="1">
      <alignment vertical="center"/>
    </xf>
    <xf numFmtId="0" fontId="3" fillId="0" borderId="4" xfId="0" applyFont="1" applyFill="1" applyBorder="1" applyAlignment="1">
      <alignment horizontal="center" vertical="center" wrapText="1"/>
    </xf>
    <xf numFmtId="3" fontId="3" fillId="0" borderId="4" xfId="0" applyNumberFormat="1" applyFont="1" applyFill="1" applyBorder="1" applyAlignment="1">
      <alignment horizontal="center" vertical="center" wrapText="1"/>
    </xf>
    <xf numFmtId="164" fontId="3" fillId="0" borderId="4" xfId="0" applyNumberFormat="1" applyFont="1" applyFill="1" applyBorder="1" applyAlignment="1">
      <alignment horizontal="center" vertical="center"/>
    </xf>
    <xf numFmtId="0" fontId="0" fillId="0" borderId="4" xfId="0" applyFont="1" applyBorder="1" applyAlignment="1">
      <alignment vertical="center" wrapText="1"/>
    </xf>
    <xf numFmtId="0" fontId="0" fillId="0" borderId="0" xfId="0" applyFont="1" applyAlignment="1">
      <alignment vertical="center"/>
    </xf>
    <xf numFmtId="0" fontId="0" fillId="0" borderId="0" xfId="0" applyFont="1" applyFill="1"/>
    <xf numFmtId="164" fontId="3" fillId="0" borderId="3" xfId="0" applyNumberFormat="1" applyFont="1" applyFill="1" applyBorder="1" applyAlignment="1">
      <alignment horizontal="right" vertical="center" wrapText="1"/>
    </xf>
    <xf numFmtId="0" fontId="3" fillId="0" borderId="0" xfId="0" applyFont="1" applyFill="1" applyBorder="1" applyAlignment="1">
      <alignment horizontal="center" vertical="center"/>
    </xf>
    <xf numFmtId="0" fontId="3" fillId="0" borderId="0" xfId="0" applyFont="1" applyFill="1" applyAlignment="1">
      <alignment vertical="center"/>
    </xf>
    <xf numFmtId="0" fontId="0" fillId="0" borderId="3" xfId="1" applyFont="1" applyFill="1" applyBorder="1" applyAlignment="1">
      <alignment vertical="center"/>
    </xf>
    <xf numFmtId="0" fontId="0" fillId="0" borderId="3" xfId="1" applyFont="1" applyFill="1" applyBorder="1" applyAlignment="1">
      <alignment horizontal="center" vertical="center"/>
    </xf>
    <xf numFmtId="0" fontId="0" fillId="0" borderId="3" xfId="1" applyFont="1" applyFill="1" applyBorder="1" applyAlignment="1">
      <alignment vertical="center" wrapText="1"/>
    </xf>
    <xf numFmtId="0" fontId="0" fillId="0" borderId="3" xfId="0" applyFont="1" applyFill="1" applyBorder="1" applyAlignment="1">
      <alignment horizontal="center" vertical="center"/>
    </xf>
    <xf numFmtId="0" fontId="0" fillId="0" borderId="3" xfId="0" applyFont="1" applyFill="1" applyBorder="1" applyAlignment="1">
      <alignment vertical="center" wrapText="1"/>
    </xf>
    <xf numFmtId="0" fontId="0" fillId="0" borderId="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3" fillId="0" borderId="3" xfId="0" applyFont="1" applyFill="1" applyBorder="1" applyAlignment="1">
      <alignment horizontal="left" vertical="center"/>
    </xf>
    <xf numFmtId="0" fontId="0" fillId="0" borderId="0" xfId="0" applyFill="1" applyAlignment="1">
      <alignment vertical="center"/>
    </xf>
    <xf numFmtId="0" fontId="3" fillId="0" borderId="0" xfId="0" applyFont="1" applyFill="1" applyBorder="1" applyAlignment="1">
      <alignment vertical="center"/>
    </xf>
    <xf numFmtId="0" fontId="0" fillId="0" borderId="0" xfId="0" applyAlignment="1">
      <alignment vertical="center"/>
    </xf>
    <xf numFmtId="0" fontId="1" fillId="0" borderId="3" xfId="1" applyFont="1" applyBorder="1" applyAlignment="1">
      <alignment vertical="center"/>
    </xf>
    <xf numFmtId="0" fontId="1" fillId="0" borderId="3" xfId="1" applyFont="1" applyBorder="1" applyAlignment="1">
      <alignment horizontal="center" vertical="center"/>
    </xf>
    <xf numFmtId="164" fontId="0" fillId="0" borderId="3" xfId="0" applyNumberFormat="1" applyBorder="1" applyAlignment="1">
      <alignment vertical="center"/>
    </xf>
    <xf numFmtId="0" fontId="0" fillId="0" borderId="3" xfId="0" applyBorder="1" applyAlignment="1">
      <alignment vertical="center" wrapText="1"/>
    </xf>
    <xf numFmtId="0" fontId="0" fillId="0" borderId="0" xfId="0" applyAlignment="1">
      <alignment horizontal="center"/>
    </xf>
    <xf numFmtId="164" fontId="0" fillId="0" borderId="0" xfId="0" applyNumberFormat="1"/>
    <xf numFmtId="3" fontId="7" fillId="2" borderId="6" xfId="0" applyNumberFormat="1"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wrapText="1"/>
    </xf>
    <xf numFmtId="0" fontId="0" fillId="0" borderId="0" xfId="0" applyFont="1" applyAlignment="1"/>
    <xf numFmtId="0" fontId="5" fillId="0" borderId="0" xfId="0" applyFont="1" applyAlignment="1"/>
    <xf numFmtId="164" fontId="6" fillId="0" borderId="0" xfId="0" applyNumberFormat="1" applyFont="1" applyAlignment="1"/>
    <xf numFmtId="0" fontId="6" fillId="0" borderId="0" xfId="0" applyFont="1" applyAlignment="1"/>
    <xf numFmtId="0" fontId="10" fillId="0" borderId="0" xfId="0" applyFont="1" applyAlignment="1">
      <alignment horizontal="center" vertical="center" wrapText="1"/>
    </xf>
    <xf numFmtId="3" fontId="10" fillId="0" borderId="0" xfId="0" applyNumberFormat="1" applyFont="1" applyAlignment="1">
      <alignment horizontal="center" vertical="center" wrapText="1"/>
    </xf>
    <xf numFmtId="165" fontId="7" fillId="0" borderId="0" xfId="0" applyNumberFormat="1" applyFont="1" applyAlignment="1">
      <alignment horizontal="center" vertical="center"/>
    </xf>
    <xf numFmtId="0" fontId="11" fillId="0" borderId="0" xfId="0" applyFont="1" applyAlignment="1">
      <alignment vertical="center" wrapText="1"/>
    </xf>
    <xf numFmtId="0" fontId="11" fillId="0" borderId="0" xfId="0" applyFont="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wrapText="1"/>
    </xf>
    <xf numFmtId="0" fontId="2" fillId="0" borderId="9" xfId="0" applyFont="1" applyBorder="1" applyAlignment="1">
      <alignment horizontal="left" vertical="center" wrapText="1"/>
    </xf>
    <xf numFmtId="0" fontId="2" fillId="0" borderId="8" xfId="0" applyFont="1" applyBorder="1" applyAlignment="1">
      <alignment horizontal="center" vertical="center" wrapText="1"/>
    </xf>
    <xf numFmtId="3" fontId="2" fillId="0" borderId="10" xfId="0" applyNumberFormat="1" applyFont="1" applyBorder="1" applyAlignment="1">
      <alignment horizontal="center" vertical="center" wrapText="1"/>
    </xf>
    <xf numFmtId="164" fontId="2" fillId="0" borderId="11" xfId="0" applyNumberFormat="1" applyFont="1" applyBorder="1" applyAlignment="1">
      <alignment horizontal="center" vertical="center" wrapText="1"/>
    </xf>
    <xf numFmtId="165" fontId="2" fillId="0" borderId="8" xfId="0" applyNumberFormat="1" applyFont="1" applyBorder="1" applyAlignment="1">
      <alignment horizontal="center" vertical="center" wrapText="1"/>
    </xf>
    <xf numFmtId="0" fontId="2" fillId="0" borderId="12" xfId="0" applyFont="1" applyBorder="1" applyAlignment="1">
      <alignment horizontal="center" vertical="center" wrapText="1"/>
    </xf>
    <xf numFmtId="165" fontId="3" fillId="0" borderId="4" xfId="0" applyNumberFormat="1" applyFont="1" applyFill="1" applyBorder="1" applyAlignment="1">
      <alignment horizontal="center" vertical="center" wrapText="1"/>
    </xf>
    <xf numFmtId="0" fontId="0" fillId="0" borderId="4" xfId="0" applyFont="1" applyBorder="1" applyAlignment="1">
      <alignment horizontal="center" vertical="center"/>
    </xf>
    <xf numFmtId="0" fontId="0" fillId="0" borderId="0" xfId="0" applyFont="1" applyBorder="1"/>
    <xf numFmtId="0" fontId="0" fillId="0" borderId="0" xfId="0" applyFont="1" applyFill="1" applyBorder="1" applyAlignment="1">
      <alignment vertical="center"/>
    </xf>
    <xf numFmtId="0" fontId="13" fillId="0" borderId="14" xfId="0" applyFont="1" applyBorder="1" applyAlignment="1">
      <alignment horizontal="center" vertical="center" wrapText="1"/>
    </xf>
    <xf numFmtId="0" fontId="13" fillId="0" borderId="0" xfId="0" applyFont="1" applyAlignment="1">
      <alignment horizontal="center" vertical="center"/>
    </xf>
    <xf numFmtId="0" fontId="13" fillId="0" borderId="15" xfId="0" applyFont="1" applyBorder="1"/>
    <xf numFmtId="0" fontId="14" fillId="0" borderId="14" xfId="0" applyFont="1" applyBorder="1" applyAlignment="1">
      <alignment horizontal="center" vertical="center" wrapText="1"/>
    </xf>
    <xf numFmtId="0" fontId="13" fillId="0" borderId="0" xfId="0" applyFont="1" applyAlignment="1">
      <alignment horizontal="left" vertical="center"/>
    </xf>
    <xf numFmtId="0" fontId="0" fillId="0" borderId="15" xfId="0" applyFont="1" applyBorder="1" applyAlignment="1">
      <alignment horizontal="left" vertical="center" wrapText="1"/>
    </xf>
    <xf numFmtId="0" fontId="0" fillId="0" borderId="16" xfId="0" applyFont="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center" vertical="center" wrapText="1"/>
    </xf>
    <xf numFmtId="0" fontId="17"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horizontal="center" vertical="center"/>
    </xf>
    <xf numFmtId="165" fontId="20" fillId="0" borderId="25" xfId="0" applyNumberFormat="1" applyFont="1" applyBorder="1" applyAlignment="1">
      <alignment horizontal="right" vertical="center"/>
    </xf>
    <xf numFmtId="0" fontId="21" fillId="0" borderId="26" xfId="0" applyFont="1" applyBorder="1" applyAlignment="1">
      <alignment horizontal="center" vertical="center"/>
    </xf>
    <xf numFmtId="0" fontId="20" fillId="0" borderId="27" xfId="0" applyFont="1" applyBorder="1" applyAlignment="1">
      <alignment vertical="center"/>
    </xf>
    <xf numFmtId="0" fontId="20" fillId="0" borderId="28" xfId="0" applyFont="1" applyBorder="1" applyAlignment="1">
      <alignment horizontal="center" vertical="center"/>
    </xf>
    <xf numFmtId="0" fontId="20" fillId="0" borderId="28" xfId="0" applyFont="1" applyBorder="1" applyAlignment="1">
      <alignment vertical="center"/>
    </xf>
    <xf numFmtId="0" fontId="20" fillId="0" borderId="0" xfId="0" applyFont="1" applyAlignment="1">
      <alignment vertical="center"/>
    </xf>
    <xf numFmtId="165" fontId="20" fillId="0" borderId="0" xfId="0" applyNumberFormat="1" applyFont="1" applyAlignment="1">
      <alignment vertical="center"/>
    </xf>
    <xf numFmtId="0" fontId="20" fillId="0" borderId="15" xfId="0" applyFont="1" applyBorder="1" applyAlignment="1">
      <alignment vertical="center"/>
    </xf>
    <xf numFmtId="0" fontId="23" fillId="0" borderId="31" xfId="0" applyFont="1" applyBorder="1" applyAlignment="1">
      <alignment vertical="center"/>
    </xf>
    <xf numFmtId="0" fontId="23" fillId="0" borderId="32" xfId="0" applyFont="1" applyBorder="1" applyAlignment="1">
      <alignment vertical="center"/>
    </xf>
    <xf numFmtId="165" fontId="23" fillId="0" borderId="32" xfId="0" applyNumberFormat="1" applyFont="1" applyBorder="1" applyAlignment="1">
      <alignment vertical="center"/>
    </xf>
    <xf numFmtId="0" fontId="23" fillId="0" borderId="33" xfId="0" applyFont="1" applyBorder="1" applyAlignment="1">
      <alignment vertical="center"/>
    </xf>
    <xf numFmtId="0" fontId="23" fillId="0" borderId="37" xfId="0" applyFont="1" applyBorder="1" applyAlignment="1">
      <alignment vertical="center"/>
    </xf>
    <xf numFmtId="0" fontId="22" fillId="0" borderId="14" xfId="0" applyFont="1" applyBorder="1" applyAlignment="1">
      <alignment horizontal="left" vertical="center"/>
    </xf>
    <xf numFmtId="0" fontId="22" fillId="0" borderId="0" xfId="0" applyFont="1" applyAlignment="1">
      <alignment horizontal="center" vertical="center"/>
    </xf>
    <xf numFmtId="0" fontId="22" fillId="0" borderId="0" xfId="0" applyFont="1" applyAlignment="1">
      <alignment horizontal="left" vertical="center"/>
    </xf>
    <xf numFmtId="0" fontId="23" fillId="0" borderId="0" xfId="0" applyFont="1" applyAlignment="1">
      <alignment horizontal="left" vertical="center" wrapText="1"/>
    </xf>
    <xf numFmtId="165" fontId="23" fillId="0" borderId="0" xfId="0" applyNumberFormat="1" applyFont="1" applyAlignment="1">
      <alignment horizontal="left" vertical="center" wrapText="1"/>
    </xf>
    <xf numFmtId="0" fontId="23" fillId="0" borderId="15" xfId="0" applyFont="1" applyBorder="1" applyAlignment="1">
      <alignment horizontal="left" vertical="center" wrapText="1"/>
    </xf>
    <xf numFmtId="0" fontId="25" fillId="0" borderId="47" xfId="0" applyFont="1" applyBorder="1" applyAlignment="1">
      <alignment horizontal="center" vertical="center"/>
    </xf>
    <xf numFmtId="0" fontId="25" fillId="0" borderId="48" xfId="0" applyFont="1" applyBorder="1" applyAlignment="1">
      <alignment horizontal="center" vertical="center"/>
    </xf>
    <xf numFmtId="0" fontId="26" fillId="0" borderId="48" xfId="0" applyFont="1" applyBorder="1" applyAlignment="1">
      <alignment horizontal="center" vertical="center"/>
    </xf>
    <xf numFmtId="0" fontId="25" fillId="0" borderId="48" xfId="0" applyFont="1" applyBorder="1" applyAlignment="1">
      <alignment horizontal="center" vertical="center" wrapText="1"/>
    </xf>
    <xf numFmtId="165" fontId="25" fillId="0" borderId="48" xfId="0" applyNumberFormat="1" applyFont="1" applyBorder="1" applyAlignment="1">
      <alignment horizontal="center" vertical="center" wrapText="1"/>
    </xf>
    <xf numFmtId="3" fontId="25" fillId="0" borderId="51" xfId="0" applyNumberFormat="1" applyFont="1" applyBorder="1" applyAlignment="1">
      <alignment horizontal="center" vertical="center"/>
    </xf>
    <xf numFmtId="0" fontId="25" fillId="0" borderId="52" xfId="0" applyFont="1" applyBorder="1" applyAlignment="1">
      <alignment horizontal="center" vertical="center"/>
    </xf>
    <xf numFmtId="0" fontId="25" fillId="0" borderId="6" xfId="0" applyFont="1" applyBorder="1" applyAlignment="1">
      <alignment horizontal="center" vertical="center"/>
    </xf>
    <xf numFmtId="0" fontId="25" fillId="0" borderId="6" xfId="0" applyFont="1" applyBorder="1" applyAlignment="1">
      <alignment horizontal="center" vertical="center" wrapText="1"/>
    </xf>
    <xf numFmtId="165" fontId="25" fillId="0" borderId="6" xfId="0" applyNumberFormat="1" applyFont="1" applyBorder="1" applyAlignment="1">
      <alignment horizontal="center" vertical="center" wrapText="1"/>
    </xf>
    <xf numFmtId="3" fontId="25" fillId="0" borderId="55" xfId="0" applyNumberFormat="1" applyFont="1" applyBorder="1" applyAlignment="1">
      <alignment horizontal="center" vertical="center"/>
    </xf>
    <xf numFmtId="0" fontId="25" fillId="0" borderId="56" xfId="0" applyFont="1" applyBorder="1" applyAlignment="1">
      <alignment horizontal="center" vertical="center"/>
    </xf>
    <xf numFmtId="0" fontId="25" fillId="0" borderId="57" xfId="0" applyFont="1" applyBorder="1" applyAlignment="1">
      <alignment horizontal="center" vertical="center"/>
    </xf>
    <xf numFmtId="0" fontId="25" fillId="0" borderId="57" xfId="0" applyFont="1" applyBorder="1" applyAlignment="1">
      <alignment horizontal="center" vertical="center" wrapText="1"/>
    </xf>
    <xf numFmtId="165" fontId="25" fillId="0" borderId="57" xfId="0" applyNumberFormat="1" applyFont="1" applyBorder="1" applyAlignment="1">
      <alignment horizontal="center" vertical="center" wrapText="1"/>
    </xf>
    <xf numFmtId="3" fontId="25" fillId="0" borderId="60" xfId="0" applyNumberFormat="1" applyFont="1" applyBorder="1" applyAlignment="1">
      <alignment horizontal="center" vertical="center"/>
    </xf>
    <xf numFmtId="3" fontId="27" fillId="0" borderId="2" xfId="0" applyNumberFormat="1" applyFont="1" applyBorder="1"/>
    <xf numFmtId="167" fontId="0" fillId="0" borderId="2" xfId="0" applyNumberFormat="1" applyFont="1" applyBorder="1" applyAlignment="1">
      <alignment horizontal="left"/>
    </xf>
    <xf numFmtId="0" fontId="0" fillId="0" borderId="2" xfId="0" applyFont="1" applyBorder="1"/>
    <xf numFmtId="0" fontId="0" fillId="0" borderId="14" xfId="0" applyFont="1" applyBorder="1"/>
    <xf numFmtId="0" fontId="0" fillId="0" borderId="0" xfId="0" applyFont="1" applyAlignment="1">
      <alignment horizontal="left"/>
    </xf>
    <xf numFmtId="167" fontId="0" fillId="0" borderId="0" xfId="0" applyNumberFormat="1" applyFont="1" applyAlignment="1">
      <alignment horizontal="left"/>
    </xf>
    <xf numFmtId="165" fontId="0" fillId="0" borderId="15" xfId="0" applyNumberFormat="1" applyFont="1" applyBorder="1"/>
    <xf numFmtId="0" fontId="0" fillId="0" borderId="27" xfId="0" applyFont="1" applyBorder="1"/>
    <xf numFmtId="0" fontId="0" fillId="0" borderId="28" xfId="0" applyFont="1" applyBorder="1"/>
    <xf numFmtId="0" fontId="0" fillId="0" borderId="28" xfId="0" applyFont="1" applyBorder="1" applyAlignment="1">
      <alignment horizontal="left"/>
    </xf>
    <xf numFmtId="165" fontId="0" fillId="0" borderId="62" xfId="0" applyNumberFormat="1" applyFont="1" applyBorder="1"/>
    <xf numFmtId="0" fontId="34" fillId="0" borderId="69" xfId="0" applyFont="1" applyBorder="1" applyAlignment="1">
      <alignment horizontal="center" vertical="center"/>
    </xf>
    <xf numFmtId="0" fontId="34" fillId="0" borderId="70" xfId="0" applyFont="1" applyBorder="1" applyAlignment="1">
      <alignment horizontal="center" vertical="center"/>
    </xf>
    <xf numFmtId="0" fontId="34" fillId="0" borderId="70" xfId="0" applyFont="1" applyBorder="1" applyAlignment="1">
      <alignment horizontal="left" vertical="center"/>
    </xf>
    <xf numFmtId="0" fontId="34" fillId="0" borderId="71" xfId="0" applyFont="1" applyBorder="1" applyAlignment="1">
      <alignment horizontal="center" vertical="center"/>
    </xf>
    <xf numFmtId="0" fontId="34" fillId="0" borderId="43" xfId="0" applyFont="1" applyBorder="1" applyAlignment="1">
      <alignment horizontal="center" vertical="center"/>
    </xf>
    <xf numFmtId="0" fontId="0" fillId="0" borderId="72" xfId="0" applyFont="1" applyBorder="1" applyAlignment="1">
      <alignment horizontal="center" vertical="center"/>
    </xf>
    <xf numFmtId="0" fontId="0" fillId="0" borderId="73" xfId="0" applyFont="1" applyBorder="1" applyAlignment="1">
      <alignment horizontal="center" vertical="center"/>
    </xf>
    <xf numFmtId="0" fontId="0" fillId="0" borderId="74" xfId="0" applyFont="1" applyBorder="1" applyAlignment="1">
      <alignment horizontal="center" vertical="center"/>
    </xf>
    <xf numFmtId="165" fontId="0" fillId="0" borderId="76" xfId="0" applyNumberFormat="1" applyFont="1" applyBorder="1" applyAlignment="1">
      <alignment horizontal="center" vertical="center"/>
    </xf>
    <xf numFmtId="0" fontId="0" fillId="0" borderId="77" xfId="0" applyFont="1" applyBorder="1" applyAlignment="1">
      <alignment horizontal="center" vertical="center"/>
    </xf>
    <xf numFmtId="0" fontId="0" fillId="0" borderId="78" xfId="0" applyFont="1" applyBorder="1" applyAlignment="1">
      <alignment horizontal="center" vertical="center"/>
    </xf>
    <xf numFmtId="0" fontId="0" fillId="0" borderId="79" xfId="0" applyFont="1" applyBorder="1" applyAlignment="1">
      <alignment horizontal="center" vertical="center"/>
    </xf>
    <xf numFmtId="0" fontId="0" fillId="0" borderId="80" xfId="0" applyFont="1" applyBorder="1" applyAlignment="1">
      <alignment horizontal="center" vertical="center"/>
    </xf>
    <xf numFmtId="165" fontId="0" fillId="0" borderId="83" xfId="0" applyNumberFormat="1" applyFont="1" applyBorder="1" applyAlignment="1">
      <alignment horizontal="center" vertical="center"/>
    </xf>
    <xf numFmtId="0" fontId="30" fillId="0" borderId="77" xfId="0" applyFont="1" applyBorder="1" applyAlignment="1">
      <alignment horizontal="center" vertical="center"/>
    </xf>
    <xf numFmtId="0" fontId="30" fillId="0" borderId="78" xfId="0" applyFont="1" applyBorder="1" applyAlignment="1">
      <alignment horizontal="center" vertical="center"/>
    </xf>
    <xf numFmtId="0" fontId="30" fillId="0" borderId="79" xfId="0" applyFont="1" applyBorder="1" applyAlignment="1">
      <alignment horizontal="center" vertical="center"/>
    </xf>
    <xf numFmtId="0" fontId="30" fillId="0" borderId="80" xfId="0" applyFont="1" applyBorder="1" applyAlignment="1">
      <alignment horizontal="center" vertical="center"/>
    </xf>
    <xf numFmtId="0" fontId="0" fillId="0" borderId="84" xfId="0" applyFont="1" applyBorder="1" applyAlignment="1">
      <alignment horizontal="center" vertical="center"/>
    </xf>
    <xf numFmtId="0" fontId="0" fillId="0" borderId="85" xfId="0" applyFont="1" applyBorder="1" applyAlignment="1">
      <alignment horizontal="center" vertical="center"/>
    </xf>
    <xf numFmtId="0" fontId="0" fillId="0" borderId="86" xfId="0" applyFont="1" applyBorder="1" applyAlignment="1">
      <alignment horizontal="center" vertical="center"/>
    </xf>
    <xf numFmtId="165" fontId="0" fillId="0" borderId="88" xfId="0" applyNumberFormat="1" applyFont="1" applyBorder="1" applyAlignment="1">
      <alignment horizontal="center" vertical="center"/>
    </xf>
    <xf numFmtId="165" fontId="34" fillId="0" borderId="90" xfId="0" applyNumberFormat="1" applyFont="1" applyBorder="1" applyAlignment="1">
      <alignment horizontal="center" vertical="center"/>
    </xf>
    <xf numFmtId="0" fontId="3" fillId="0" borderId="4" xfId="0" applyFont="1" applyFill="1" applyBorder="1" applyAlignment="1">
      <alignment horizontal="center" vertical="center"/>
    </xf>
    <xf numFmtId="0" fontId="3" fillId="0" borderId="4" xfId="0" applyFont="1" applyFill="1" applyBorder="1" applyAlignment="1">
      <alignment vertical="center"/>
    </xf>
    <xf numFmtId="165" fontId="35" fillId="0" borderId="91" xfId="0" applyNumberFormat="1" applyFont="1" applyBorder="1" applyAlignment="1">
      <alignment vertical="center"/>
    </xf>
    <xf numFmtId="165" fontId="0" fillId="0" borderId="0" xfId="0" applyNumberFormat="1" applyFont="1" applyAlignment="1">
      <alignment vertical="center"/>
    </xf>
    <xf numFmtId="165" fontId="0" fillId="0" borderId="0" xfId="0" applyNumberFormat="1" applyFill="1"/>
    <xf numFmtId="165" fontId="0" fillId="0" borderId="0" xfId="0" applyNumberFormat="1" applyFill="1" applyAlignment="1">
      <alignment vertical="center"/>
    </xf>
    <xf numFmtId="165" fontId="0" fillId="0" borderId="0" xfId="0" applyNumberFormat="1" applyAlignment="1">
      <alignment vertical="center"/>
    </xf>
    <xf numFmtId="0" fontId="13" fillId="0" borderId="0" xfId="0" applyFont="1" applyAlignment="1">
      <alignment horizontal="center" vertical="center"/>
    </xf>
    <xf numFmtId="0" fontId="13" fillId="0" borderId="15" xfId="0" applyFont="1" applyBorder="1"/>
    <xf numFmtId="0" fontId="8" fillId="0" borderId="0" xfId="0" applyFont="1" applyAlignment="1">
      <alignment horizontal="center" vertical="center"/>
    </xf>
    <xf numFmtId="0" fontId="0" fillId="0" borderId="0" xfId="0" applyFont="1" applyAlignment="1"/>
    <xf numFmtId="0" fontId="9" fillId="0" borderId="0" xfId="0" applyFont="1" applyAlignment="1">
      <alignment horizontal="center"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35" fillId="0" borderId="7" xfId="0" applyFont="1" applyBorder="1" applyAlignment="1">
      <alignment horizontal="center" vertical="center"/>
    </xf>
    <xf numFmtId="0" fontId="35" fillId="0" borderId="9" xfId="0" applyFont="1" applyBorder="1" applyAlignment="1">
      <alignment horizontal="center" vertical="center"/>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2" fillId="0" borderId="15" xfId="0" applyFont="1" applyFill="1" applyBorder="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left" vertical="center"/>
    </xf>
    <xf numFmtId="0" fontId="13" fillId="0" borderId="15" xfId="0" applyFont="1" applyBorder="1" applyAlignment="1">
      <alignment horizontal="left" vertical="center"/>
    </xf>
    <xf numFmtId="0" fontId="17" fillId="0" borderId="22" xfId="0" applyFont="1" applyBorder="1" applyAlignment="1">
      <alignment horizontal="left" vertical="center" wrapText="1"/>
    </xf>
    <xf numFmtId="0" fontId="13" fillId="0" borderId="23" xfId="0" applyFont="1" applyBorder="1" applyAlignment="1">
      <alignment wrapText="1"/>
    </xf>
    <xf numFmtId="0" fontId="13" fillId="0" borderId="24" xfId="0" applyFont="1" applyBorder="1" applyAlignment="1">
      <alignment wrapText="1"/>
    </xf>
    <xf numFmtId="0" fontId="13" fillId="0" borderId="0" xfId="0" applyFont="1" applyAlignment="1">
      <alignment horizontal="left" vertical="center" wrapText="1"/>
    </xf>
    <xf numFmtId="0" fontId="14" fillId="0" borderId="15" xfId="0" applyFont="1" applyBorder="1" applyAlignment="1">
      <alignment horizontal="left" vertical="center"/>
    </xf>
    <xf numFmtId="0" fontId="0" fillId="0" borderId="17" xfId="0" applyFont="1" applyBorder="1" applyAlignment="1">
      <alignment horizontal="center" vertical="center"/>
    </xf>
    <xf numFmtId="0" fontId="13" fillId="0" borderId="18" xfId="0" applyFont="1" applyBorder="1"/>
    <xf numFmtId="0" fontId="16" fillId="0" borderId="19" xfId="0" applyFont="1" applyBorder="1" applyAlignment="1">
      <alignment horizontal="left" vertical="center" wrapText="1"/>
    </xf>
    <xf numFmtId="0" fontId="13" fillId="0" borderId="20" xfId="0" applyFont="1" applyBorder="1" applyAlignment="1">
      <alignment wrapText="1"/>
    </xf>
    <xf numFmtId="0" fontId="13" fillId="0" borderId="21" xfId="0" applyFont="1" applyBorder="1" applyAlignment="1">
      <alignment wrapText="1"/>
    </xf>
    <xf numFmtId="0" fontId="18" fillId="0" borderId="19" xfId="0" applyFont="1" applyBorder="1" applyAlignment="1">
      <alignment horizontal="left" vertical="center" wrapText="1"/>
    </xf>
    <xf numFmtId="166" fontId="23" fillId="0" borderId="31" xfId="0" applyNumberFormat="1" applyFont="1" applyBorder="1" applyAlignment="1">
      <alignment horizontal="center" vertical="center"/>
    </xf>
    <xf numFmtId="166" fontId="23" fillId="0" borderId="33" xfId="0" applyNumberFormat="1" applyFont="1" applyBorder="1" applyAlignment="1">
      <alignment horizontal="center" vertical="center"/>
    </xf>
    <xf numFmtId="0" fontId="22" fillId="0" borderId="34" xfId="0" applyFont="1" applyBorder="1" applyAlignment="1">
      <alignment horizontal="left" vertical="center" wrapText="1"/>
    </xf>
    <xf numFmtId="0" fontId="13" fillId="0" borderId="35" xfId="0" applyFont="1" applyBorder="1"/>
    <xf numFmtId="0" fontId="25" fillId="0" borderId="53" xfId="0" applyFont="1" applyBorder="1" applyAlignment="1">
      <alignment horizontal="left" vertical="center" wrapText="1"/>
    </xf>
    <xf numFmtId="0" fontId="25" fillId="0" borderId="54" xfId="0" applyFont="1" applyBorder="1" applyAlignment="1">
      <alignment horizontal="left" vertical="center" wrapText="1"/>
    </xf>
    <xf numFmtId="0" fontId="25" fillId="0" borderId="5" xfId="0" applyFont="1" applyBorder="1" applyAlignment="1">
      <alignment horizontal="left" vertical="center" wrapText="1"/>
    </xf>
    <xf numFmtId="0" fontId="22" fillId="0" borderId="31" xfId="0" applyFont="1" applyBorder="1" applyAlignment="1">
      <alignment horizontal="left" vertical="center"/>
    </xf>
    <xf numFmtId="0" fontId="13" fillId="0" borderId="32" xfId="0" applyFont="1" applyBorder="1"/>
    <xf numFmtId="0" fontId="13" fillId="0" borderId="36" xfId="0" applyFont="1" applyBorder="1"/>
    <xf numFmtId="0" fontId="24" fillId="0" borderId="38" xfId="0" applyFont="1" applyBorder="1" applyAlignment="1">
      <alignment horizontal="center" vertical="center"/>
    </xf>
    <xf numFmtId="0" fontId="13" fillId="0" borderId="42" xfId="0" applyFont="1" applyBorder="1"/>
    <xf numFmtId="0" fontId="24" fillId="0" borderId="39" xfId="0" applyFont="1" applyBorder="1" applyAlignment="1">
      <alignment horizontal="center" vertical="center" wrapText="1"/>
    </xf>
    <xf numFmtId="0" fontId="13" fillId="0" borderId="43" xfId="0" applyFont="1" applyBorder="1"/>
    <xf numFmtId="0" fontId="24" fillId="0" borderId="40" xfId="0" applyFont="1" applyBorder="1" applyAlignment="1">
      <alignment horizontal="center" vertical="center" wrapText="1"/>
    </xf>
    <xf numFmtId="0" fontId="13" fillId="0" borderId="2" xfId="0" applyFont="1" applyBorder="1"/>
    <xf numFmtId="0" fontId="13" fillId="0" borderId="25" xfId="0" applyFont="1" applyBorder="1"/>
    <xf numFmtId="0" fontId="13" fillId="0" borderId="44" xfId="0" applyFont="1" applyBorder="1"/>
    <xf numFmtId="0" fontId="13" fillId="0" borderId="45" xfId="0" applyFont="1" applyBorder="1"/>
    <xf numFmtId="165" fontId="24" fillId="0" borderId="39" xfId="0" applyNumberFormat="1" applyFont="1" applyBorder="1" applyAlignment="1">
      <alignment horizontal="center" vertical="center" wrapText="1"/>
    </xf>
    <xf numFmtId="0" fontId="24" fillId="0" borderId="41" xfId="0" applyFont="1" applyBorder="1" applyAlignment="1">
      <alignment horizontal="center" vertical="center" wrapText="1"/>
    </xf>
    <xf numFmtId="0" fontId="13" fillId="0" borderId="46" xfId="0" applyFont="1" applyBorder="1"/>
    <xf numFmtId="0" fontId="25" fillId="0" borderId="49" xfId="0" applyFont="1" applyBorder="1" applyAlignment="1">
      <alignment horizontal="left" vertical="center" wrapText="1"/>
    </xf>
    <xf numFmtId="0" fontId="13" fillId="0" borderId="50" xfId="0" applyFont="1" applyBorder="1" applyAlignment="1">
      <alignment wrapText="1"/>
    </xf>
    <xf numFmtId="0" fontId="19" fillId="0" borderId="1" xfId="0" applyFont="1" applyBorder="1" applyAlignment="1">
      <alignment horizontal="center" vertical="center"/>
    </xf>
    <xf numFmtId="0" fontId="22" fillId="0" borderId="29" xfId="0" applyFont="1" applyBorder="1" applyAlignment="1">
      <alignment horizontal="left" vertical="center" wrapText="1"/>
    </xf>
    <xf numFmtId="0" fontId="13" fillId="0" borderId="30" xfId="0" applyFont="1" applyBorder="1"/>
    <xf numFmtId="0" fontId="36" fillId="0" borderId="16" xfId="0" applyFont="1" applyBorder="1" applyAlignment="1">
      <alignment horizontal="left" vertical="center" wrapText="1"/>
    </xf>
    <xf numFmtId="0" fontId="13" fillId="0" borderId="17" xfId="0" applyFont="1" applyBorder="1"/>
    <xf numFmtId="0" fontId="25" fillId="0" borderId="58" xfId="0" applyFont="1" applyBorder="1" applyAlignment="1">
      <alignment horizontal="center" vertical="center" wrapText="1"/>
    </xf>
    <xf numFmtId="0" fontId="13" fillId="0" borderId="23" xfId="0" applyFont="1" applyBorder="1"/>
    <xf numFmtId="0" fontId="13" fillId="0" borderId="59" xfId="0" applyFont="1" applyBorder="1"/>
    <xf numFmtId="0" fontId="31" fillId="0" borderId="29" xfId="0" applyFont="1" applyBorder="1" applyAlignment="1">
      <alignment horizontal="left" vertical="center" wrapText="1"/>
    </xf>
    <xf numFmtId="0" fontId="13" fillId="0" borderId="63" xfId="0" applyFont="1" applyBorder="1"/>
    <xf numFmtId="0" fontId="30" fillId="0" borderId="64" xfId="0" applyFont="1" applyBorder="1" applyAlignment="1">
      <alignment horizontal="left"/>
    </xf>
    <xf numFmtId="0" fontId="13" fillId="0" borderId="65" xfId="0" applyFont="1" applyBorder="1"/>
    <xf numFmtId="49" fontId="33" fillId="0" borderId="14" xfId="0" applyNumberFormat="1" applyFont="1" applyBorder="1" applyAlignment="1">
      <alignment horizontal="left" vertical="center" wrapText="1"/>
    </xf>
    <xf numFmtId="0" fontId="34" fillId="0" borderId="34" xfId="0" applyFont="1" applyBorder="1" applyAlignment="1">
      <alignment horizontal="center" vertical="center"/>
    </xf>
    <xf numFmtId="0" fontId="13" fillId="0" borderId="66" xfId="0" applyFont="1" applyBorder="1"/>
    <xf numFmtId="0" fontId="34" fillId="0" borderId="29" xfId="0" applyFont="1" applyBorder="1" applyAlignment="1">
      <alignment horizontal="center" vertical="center"/>
    </xf>
    <xf numFmtId="0" fontId="34" fillId="0" borderId="67" xfId="0" applyFont="1" applyBorder="1" applyAlignment="1">
      <alignment horizontal="center" vertical="center" wrapText="1"/>
    </xf>
    <xf numFmtId="0" fontId="13" fillId="0" borderId="68" xfId="0" applyFont="1" applyBorder="1"/>
    <xf numFmtId="0" fontId="32" fillId="0" borderId="29" xfId="0" applyFont="1" applyBorder="1" applyAlignment="1">
      <alignment horizontal="left"/>
    </xf>
    <xf numFmtId="0" fontId="30" fillId="0" borderId="34" xfId="0" applyFont="1" applyBorder="1" applyAlignment="1">
      <alignment horizontal="left"/>
    </xf>
    <xf numFmtId="0" fontId="28" fillId="0" borderId="40" xfId="0" applyFont="1" applyBorder="1" applyAlignment="1">
      <alignment horizontal="center" vertical="center" wrapText="1"/>
    </xf>
    <xf numFmtId="0" fontId="13" fillId="0" borderId="13" xfId="0" applyFont="1" applyBorder="1"/>
    <xf numFmtId="0" fontId="13" fillId="0" borderId="61" xfId="0" applyFont="1" applyBorder="1"/>
    <xf numFmtId="0" fontId="13" fillId="0" borderId="62" xfId="0" applyFont="1" applyBorder="1"/>
    <xf numFmtId="0" fontId="29" fillId="0" borderId="29" xfId="0" applyFont="1" applyBorder="1"/>
    <xf numFmtId="0" fontId="0" fillId="0" borderId="31" xfId="0" applyFont="1" applyBorder="1" applyAlignment="1">
      <alignment horizontal="center"/>
    </xf>
    <xf numFmtId="3" fontId="27" fillId="0" borderId="32" xfId="0" applyNumberFormat="1" applyFont="1" applyBorder="1" applyAlignment="1">
      <alignment horizontal="center"/>
    </xf>
    <xf numFmtId="0" fontId="13" fillId="0" borderId="33" xfId="0" applyFont="1" applyBorder="1"/>
    <xf numFmtId="0" fontId="0" fillId="0" borderId="81" xfId="0" applyFont="1" applyBorder="1" applyAlignment="1">
      <alignment horizontal="center" vertical="center"/>
    </xf>
    <xf numFmtId="0" fontId="13" fillId="0" borderId="82" xfId="0" applyFont="1" applyBorder="1"/>
    <xf numFmtId="165" fontId="34" fillId="0" borderId="66" xfId="0" applyNumberFormat="1" applyFont="1" applyBorder="1" applyAlignment="1">
      <alignment horizontal="center" vertical="center"/>
    </xf>
    <xf numFmtId="0" fontId="0" fillId="0" borderId="74" xfId="0" applyFont="1" applyBorder="1" applyAlignment="1">
      <alignment horizontal="left" vertical="center" wrapText="1"/>
    </xf>
    <xf numFmtId="0" fontId="13" fillId="0" borderId="75" xfId="0" applyFont="1" applyBorder="1"/>
    <xf numFmtId="0" fontId="0" fillId="0" borderId="81" xfId="0" applyFont="1" applyBorder="1" applyAlignment="1">
      <alignment horizontal="left" vertical="center"/>
    </xf>
    <xf numFmtId="0" fontId="0" fillId="0" borderId="81" xfId="0" applyFont="1" applyBorder="1" applyAlignment="1">
      <alignment horizontal="center"/>
    </xf>
    <xf numFmtId="0" fontId="0" fillId="0" borderId="86" xfId="0" applyFont="1" applyBorder="1" applyAlignment="1">
      <alignment horizontal="left" vertical="center"/>
    </xf>
    <xf numFmtId="0" fontId="13" fillId="0" borderId="87" xfId="0" applyFont="1" applyBorder="1"/>
    <xf numFmtId="0" fontId="37" fillId="0" borderId="27" xfId="0" applyFont="1" applyBorder="1" applyAlignment="1">
      <alignment horizontal="left" vertical="center" wrapText="1"/>
    </xf>
    <xf numFmtId="0" fontId="13" fillId="0" borderId="28" xfId="0" applyFont="1" applyBorder="1"/>
    <xf numFmtId="0" fontId="13" fillId="0" borderId="89" xfId="0" applyFont="1" applyBorder="1"/>
    <xf numFmtId="0" fontId="0" fillId="0" borderId="34" xfId="0" applyFont="1" applyBorder="1"/>
    <xf numFmtId="0" fontId="27" fillId="0" borderId="31" xfId="0" applyFont="1" applyBorder="1" applyAlignment="1">
      <alignment vertical="center" wrapText="1"/>
    </xf>
    <xf numFmtId="0" fontId="30" fillId="0" borderId="35" xfId="0" applyFont="1" applyBorder="1" applyAlignment="1">
      <alignment vertical="center" wrapText="1"/>
    </xf>
    <xf numFmtId="0" fontId="30" fillId="0" borderId="14" xfId="0" applyFont="1" applyBorder="1" applyAlignment="1">
      <alignment horizontal="left" vertical="center" wrapText="1"/>
    </xf>
    <xf numFmtId="0" fontId="13" fillId="0" borderId="16" xfId="0" applyFont="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72"/>
  <sheetViews>
    <sheetView tabSelected="1" topLeftCell="A39" zoomScaleNormal="100" workbookViewId="0">
      <selection activeCell="E42" sqref="E42"/>
    </sheetView>
  </sheetViews>
  <sheetFormatPr baseColWidth="10" defaultRowHeight="15"/>
  <cols>
    <col min="1" max="1" width="5" style="41" customWidth="1"/>
    <col min="2" max="2" width="13.85546875" style="41" customWidth="1"/>
    <col min="3" max="3" width="47.140625" style="41" customWidth="1"/>
    <col min="4" max="4" width="5.5703125" customWidth="1"/>
    <col min="5" max="5" width="112.7109375" customWidth="1"/>
    <col min="6" max="6" width="18.140625" customWidth="1"/>
    <col min="7" max="7" width="12.42578125" customWidth="1"/>
    <col min="8" max="8" width="15.5703125" style="42" customWidth="1"/>
    <col min="9" max="9" width="19.28515625" customWidth="1"/>
    <col min="10" max="10" width="143.85546875" hidden="1" customWidth="1"/>
    <col min="12" max="13" width="16.42578125" style="36" bestFit="1" customWidth="1"/>
    <col min="14" max="14" width="15.42578125" bestFit="1" customWidth="1"/>
  </cols>
  <sheetData>
    <row r="1" spans="1:22" s="47" customFormat="1">
      <c r="A1" s="43">
        <v>2022</v>
      </c>
      <c r="B1" s="44"/>
      <c r="C1" s="45"/>
      <c r="D1" s="45"/>
      <c r="E1" s="46"/>
      <c r="F1" s="45"/>
      <c r="L1" s="21"/>
      <c r="M1" s="21"/>
      <c r="N1" s="48"/>
      <c r="O1" s="49"/>
      <c r="P1" s="49"/>
      <c r="Q1" s="50"/>
      <c r="R1" s="48"/>
      <c r="S1" s="48"/>
      <c r="T1" s="48"/>
      <c r="U1" s="48"/>
      <c r="V1" s="48"/>
    </row>
    <row r="2" spans="1:22" s="47" customFormat="1" ht="18.75">
      <c r="A2" s="45"/>
      <c r="B2" s="163" t="s">
        <v>109</v>
      </c>
      <c r="C2" s="164"/>
      <c r="D2" s="164"/>
      <c r="E2" s="164"/>
      <c r="F2" s="164"/>
      <c r="G2" s="164"/>
      <c r="H2" s="164"/>
      <c r="L2" s="21"/>
      <c r="M2" s="21"/>
      <c r="N2" s="48"/>
      <c r="O2" s="49"/>
      <c r="P2" s="49"/>
      <c r="Q2" s="50"/>
      <c r="R2" s="48"/>
      <c r="S2" s="48"/>
      <c r="T2" s="48"/>
      <c r="U2" s="48"/>
      <c r="V2" s="48"/>
    </row>
    <row r="3" spans="1:22" s="47" customFormat="1">
      <c r="A3" s="45"/>
      <c r="B3" s="44"/>
      <c r="C3" s="45"/>
      <c r="D3" s="45"/>
      <c r="E3" s="46"/>
      <c r="F3" s="45"/>
      <c r="L3" s="21"/>
      <c r="M3" s="21"/>
      <c r="N3" s="48"/>
      <c r="O3" s="49"/>
      <c r="P3" s="49"/>
      <c r="Q3" s="50"/>
      <c r="R3" s="48"/>
      <c r="S3" s="48"/>
      <c r="T3" s="48"/>
      <c r="U3" s="48"/>
      <c r="V3" s="48"/>
    </row>
    <row r="4" spans="1:22" s="47" customFormat="1">
      <c r="A4" s="165" t="s">
        <v>110</v>
      </c>
      <c r="B4" s="164"/>
      <c r="C4" s="166" t="s">
        <v>111</v>
      </c>
      <c r="D4" s="164"/>
      <c r="E4" s="164"/>
      <c r="F4" s="51"/>
      <c r="L4" s="21"/>
      <c r="M4" s="21"/>
      <c r="N4" s="48"/>
      <c r="O4" s="49"/>
      <c r="P4" s="49"/>
      <c r="Q4" s="50"/>
      <c r="R4" s="48"/>
      <c r="S4" s="48"/>
      <c r="T4" s="48"/>
      <c r="U4" s="48"/>
      <c r="V4" s="48"/>
    </row>
    <row r="5" spans="1:22" s="47" customFormat="1">
      <c r="A5" s="165" t="s">
        <v>112</v>
      </c>
      <c r="B5" s="164"/>
      <c r="C5" s="167" t="s">
        <v>113</v>
      </c>
      <c r="D5" s="164"/>
      <c r="E5" s="164"/>
      <c r="F5" s="51"/>
      <c r="G5" s="52"/>
      <c r="H5" s="53"/>
      <c r="I5" s="53"/>
      <c r="J5" s="54"/>
      <c r="K5" s="55"/>
      <c r="L5" s="54"/>
      <c r="M5" s="21"/>
      <c r="N5" s="48"/>
      <c r="O5" s="49"/>
      <c r="P5" s="49"/>
      <c r="Q5" s="50"/>
      <c r="R5" s="48"/>
      <c r="S5" s="48"/>
      <c r="T5" s="48"/>
      <c r="U5" s="48"/>
      <c r="V5" s="48"/>
    </row>
    <row r="6" spans="1:22" s="47" customFormat="1">
      <c r="A6" s="165" t="s">
        <v>114</v>
      </c>
      <c r="B6" s="164"/>
      <c r="C6" s="56">
        <v>2022</v>
      </c>
      <c r="D6" s="57"/>
      <c r="E6" s="56"/>
      <c r="F6" s="51"/>
      <c r="G6" s="52"/>
      <c r="H6" s="53"/>
      <c r="I6" s="53"/>
      <c r="J6" s="54"/>
      <c r="K6" s="55"/>
      <c r="L6" s="54"/>
      <c r="M6" s="21"/>
      <c r="N6" s="48"/>
      <c r="O6" s="49"/>
      <c r="P6" s="49"/>
      <c r="Q6" s="50"/>
      <c r="R6" s="48"/>
      <c r="S6" s="48"/>
      <c r="T6" s="48"/>
      <c r="U6" s="48"/>
      <c r="V6" s="48"/>
    </row>
    <row r="7" spans="1:22" s="47" customFormat="1">
      <c r="A7" s="165" t="s">
        <v>115</v>
      </c>
      <c r="B7" s="164"/>
      <c r="C7" s="56" t="s">
        <v>116</v>
      </c>
      <c r="D7" s="57"/>
      <c r="E7" s="56"/>
      <c r="F7" s="51"/>
      <c r="G7" s="52"/>
      <c r="H7" s="53"/>
      <c r="I7" s="53"/>
      <c r="J7" s="54"/>
      <c r="K7" s="55"/>
      <c r="L7" s="54"/>
      <c r="M7" s="21"/>
      <c r="N7" s="48"/>
      <c r="O7" s="49"/>
      <c r="P7" s="49"/>
      <c r="Q7" s="50"/>
      <c r="R7" s="48"/>
      <c r="S7" s="48"/>
      <c r="T7" s="48"/>
      <c r="U7" s="48"/>
      <c r="V7" s="48"/>
    </row>
    <row r="8" spans="1:22" ht="15.75" thickBot="1"/>
    <row r="9" spans="1:22" ht="45.75" thickBot="1">
      <c r="A9" s="58" t="s">
        <v>0</v>
      </c>
      <c r="B9" s="59" t="s">
        <v>1</v>
      </c>
      <c r="C9" s="60" t="s">
        <v>2</v>
      </c>
      <c r="D9" s="59" t="s">
        <v>3</v>
      </c>
      <c r="E9" s="61" t="s">
        <v>4</v>
      </c>
      <c r="F9" s="62" t="s">
        <v>5</v>
      </c>
      <c r="G9" s="63" t="s">
        <v>6</v>
      </c>
      <c r="H9" s="64" t="s">
        <v>7</v>
      </c>
      <c r="I9" s="65" t="s">
        <v>8</v>
      </c>
      <c r="J9" s="66" t="s">
        <v>9</v>
      </c>
      <c r="K9" s="1"/>
      <c r="L9" s="1"/>
    </row>
    <row r="10" spans="1:22" s="11" customFormat="1" ht="210" customHeight="1">
      <c r="A10" s="68">
        <v>1</v>
      </c>
      <c r="B10" s="68" t="s">
        <v>14</v>
      </c>
      <c r="C10" s="15" t="s">
        <v>13</v>
      </c>
      <c r="D10" s="16" t="s">
        <v>11</v>
      </c>
      <c r="E10" s="16" t="s">
        <v>15</v>
      </c>
      <c r="F10" s="17" t="s">
        <v>12</v>
      </c>
      <c r="G10" s="18">
        <v>20</v>
      </c>
      <c r="H10" s="19">
        <v>70156</v>
      </c>
      <c r="I10" s="67">
        <f t="shared" ref="I10:I46" si="0">G10*H10</f>
        <v>1403120</v>
      </c>
      <c r="J10" s="20" t="s">
        <v>117</v>
      </c>
      <c r="K10" s="21"/>
      <c r="L10" s="157"/>
      <c r="M10" s="159"/>
      <c r="N10" s="158"/>
    </row>
    <row r="11" spans="1:22" s="11" customFormat="1" ht="77.25" customHeight="1">
      <c r="A11" s="68">
        <v>2</v>
      </c>
      <c r="B11" s="4" t="s">
        <v>16</v>
      </c>
      <c r="C11" s="4" t="s">
        <v>13</v>
      </c>
      <c r="D11" s="4" t="s">
        <v>11</v>
      </c>
      <c r="E11" s="26" t="s">
        <v>17</v>
      </c>
      <c r="F11" s="4" t="s">
        <v>12</v>
      </c>
      <c r="G11" s="6">
        <v>1</v>
      </c>
      <c r="H11" s="23">
        <v>132500</v>
      </c>
      <c r="I11" s="8">
        <f t="shared" si="0"/>
        <v>132500</v>
      </c>
      <c r="J11" s="9" t="s">
        <v>18</v>
      </c>
      <c r="K11" s="22"/>
      <c r="L11" s="157"/>
      <c r="M11" s="159"/>
    </row>
    <row r="12" spans="1:22" s="11" customFormat="1" ht="123" customHeight="1">
      <c r="A12" s="68">
        <v>3</v>
      </c>
      <c r="B12" s="2" t="s">
        <v>16</v>
      </c>
      <c r="C12" s="4" t="s">
        <v>13</v>
      </c>
      <c r="D12" s="4" t="s">
        <v>11</v>
      </c>
      <c r="E12" s="9" t="s">
        <v>17</v>
      </c>
      <c r="F12" s="4" t="s">
        <v>12</v>
      </c>
      <c r="G12" s="6">
        <v>1</v>
      </c>
      <c r="H12" s="7">
        <v>525000</v>
      </c>
      <c r="I12" s="8">
        <f t="shared" si="0"/>
        <v>525000</v>
      </c>
      <c r="J12" s="9" t="s">
        <v>212</v>
      </c>
      <c r="K12" s="10"/>
      <c r="L12" s="157"/>
      <c r="M12" s="159"/>
    </row>
    <row r="13" spans="1:22" s="11" customFormat="1" ht="50.25" customHeight="1">
      <c r="A13" s="68">
        <v>4</v>
      </c>
      <c r="B13" s="2" t="s">
        <v>19</v>
      </c>
      <c r="C13" s="4" t="s">
        <v>13</v>
      </c>
      <c r="D13" s="4" t="s">
        <v>11</v>
      </c>
      <c r="E13" s="9" t="s">
        <v>20</v>
      </c>
      <c r="F13" s="4" t="s">
        <v>12</v>
      </c>
      <c r="G13" s="6">
        <v>3</v>
      </c>
      <c r="H13" s="23">
        <v>396807</v>
      </c>
      <c r="I13" s="8">
        <f t="shared" si="0"/>
        <v>1190421</v>
      </c>
      <c r="J13" s="9" t="s">
        <v>21</v>
      </c>
      <c r="K13" s="24"/>
      <c r="L13" s="157"/>
      <c r="M13" s="159"/>
    </row>
    <row r="14" spans="1:22" s="11" customFormat="1" ht="148.5" customHeight="1">
      <c r="A14" s="68">
        <v>5</v>
      </c>
      <c r="B14" s="2" t="s">
        <v>22</v>
      </c>
      <c r="C14" s="2" t="s">
        <v>13</v>
      </c>
      <c r="D14" s="4" t="s">
        <v>11</v>
      </c>
      <c r="E14" s="9" t="s">
        <v>23</v>
      </c>
      <c r="F14" s="4" t="s">
        <v>12</v>
      </c>
      <c r="G14" s="6">
        <v>20</v>
      </c>
      <c r="H14" s="23">
        <v>316490</v>
      </c>
      <c r="I14" s="8">
        <f t="shared" si="0"/>
        <v>6329800</v>
      </c>
      <c r="J14" s="9" t="s">
        <v>118</v>
      </c>
      <c r="K14" s="24"/>
      <c r="L14" s="157"/>
      <c r="M14" s="159"/>
    </row>
    <row r="15" spans="1:22" s="11" customFormat="1" ht="54.75" customHeight="1">
      <c r="A15" s="68">
        <v>6</v>
      </c>
      <c r="B15" s="2" t="s">
        <v>24</v>
      </c>
      <c r="C15" s="2" t="s">
        <v>25</v>
      </c>
      <c r="D15" s="4" t="s">
        <v>11</v>
      </c>
      <c r="E15" s="5" t="s">
        <v>26</v>
      </c>
      <c r="F15" s="4" t="s">
        <v>12</v>
      </c>
      <c r="G15" s="6">
        <v>20</v>
      </c>
      <c r="H15" s="23">
        <v>15200</v>
      </c>
      <c r="I15" s="8">
        <f t="shared" si="0"/>
        <v>304000</v>
      </c>
      <c r="J15" s="9" t="s">
        <v>219</v>
      </c>
      <c r="K15" s="25"/>
      <c r="L15" s="157"/>
      <c r="M15" s="159"/>
    </row>
    <row r="16" spans="1:22" s="11" customFormat="1" ht="60.75" customHeight="1">
      <c r="A16" s="68">
        <v>7</v>
      </c>
      <c r="B16" s="2" t="s">
        <v>24</v>
      </c>
      <c r="C16" s="2" t="s">
        <v>25</v>
      </c>
      <c r="D16" s="4" t="s">
        <v>11</v>
      </c>
      <c r="E16" s="5" t="s">
        <v>26</v>
      </c>
      <c r="F16" s="4" t="s">
        <v>12</v>
      </c>
      <c r="G16" s="6">
        <v>20</v>
      </c>
      <c r="H16" s="23">
        <v>18000</v>
      </c>
      <c r="I16" s="8">
        <f t="shared" si="0"/>
        <v>360000</v>
      </c>
      <c r="J16" s="9" t="s">
        <v>220</v>
      </c>
      <c r="K16" s="35"/>
      <c r="L16" s="157"/>
      <c r="M16" s="159"/>
    </row>
    <row r="17" spans="1:13" s="11" customFormat="1" ht="53.25" customHeight="1">
      <c r="A17" s="68">
        <v>8</v>
      </c>
      <c r="B17" s="2" t="s">
        <v>27</v>
      </c>
      <c r="C17" s="2" t="s">
        <v>25</v>
      </c>
      <c r="D17" s="4" t="s">
        <v>11</v>
      </c>
      <c r="E17" s="5" t="s">
        <v>28</v>
      </c>
      <c r="F17" s="4" t="s">
        <v>12</v>
      </c>
      <c r="G17" s="6">
        <v>7</v>
      </c>
      <c r="H17" s="23">
        <v>36100</v>
      </c>
      <c r="I17" s="8">
        <f t="shared" si="0"/>
        <v>252700</v>
      </c>
      <c r="J17" s="9" t="s">
        <v>221</v>
      </c>
      <c r="K17" s="35"/>
      <c r="L17" s="157"/>
      <c r="M17" s="159"/>
    </row>
    <row r="18" spans="1:13" s="11" customFormat="1" ht="41.25" customHeight="1">
      <c r="A18" s="68">
        <v>9</v>
      </c>
      <c r="B18" s="2" t="s">
        <v>29</v>
      </c>
      <c r="C18" s="4" t="s">
        <v>13</v>
      </c>
      <c r="D18" s="4" t="s">
        <v>11</v>
      </c>
      <c r="E18" s="9" t="s">
        <v>30</v>
      </c>
      <c r="F18" s="4" t="s">
        <v>12</v>
      </c>
      <c r="G18" s="6">
        <v>20</v>
      </c>
      <c r="H18" s="23">
        <v>62710</v>
      </c>
      <c r="I18" s="8">
        <f t="shared" si="0"/>
        <v>1254200</v>
      </c>
      <c r="J18" s="9" t="s">
        <v>31</v>
      </c>
      <c r="K18" s="24"/>
      <c r="L18" s="157"/>
      <c r="M18" s="159"/>
    </row>
    <row r="19" spans="1:13" s="11" customFormat="1" ht="45.75" customHeight="1">
      <c r="A19" s="68">
        <v>10</v>
      </c>
      <c r="B19" s="4" t="s">
        <v>32</v>
      </c>
      <c r="C19" s="4" t="s">
        <v>13</v>
      </c>
      <c r="D19" s="4" t="s">
        <v>11</v>
      </c>
      <c r="E19" s="3" t="s">
        <v>33</v>
      </c>
      <c r="F19" s="4" t="s">
        <v>12</v>
      </c>
      <c r="G19" s="6">
        <v>3</v>
      </c>
      <c r="H19" s="23">
        <v>66300</v>
      </c>
      <c r="I19" s="8">
        <f t="shared" si="0"/>
        <v>198900</v>
      </c>
      <c r="J19" s="5" t="s">
        <v>34</v>
      </c>
      <c r="K19" s="24"/>
      <c r="L19" s="157"/>
      <c r="M19" s="159"/>
    </row>
    <row r="20" spans="1:13" s="11" customFormat="1" ht="46.5" customHeight="1">
      <c r="A20" s="68">
        <v>11</v>
      </c>
      <c r="B20" s="2" t="s">
        <v>35</v>
      </c>
      <c r="C20" s="2" t="s">
        <v>36</v>
      </c>
      <c r="D20" s="4" t="s">
        <v>11</v>
      </c>
      <c r="E20" s="5" t="s">
        <v>37</v>
      </c>
      <c r="F20" s="4" t="s">
        <v>12</v>
      </c>
      <c r="G20" s="6">
        <v>14</v>
      </c>
      <c r="H20" s="23">
        <v>16756</v>
      </c>
      <c r="I20" s="8">
        <f t="shared" si="0"/>
        <v>234584</v>
      </c>
      <c r="J20" s="9" t="s">
        <v>38</v>
      </c>
      <c r="K20" s="35"/>
      <c r="L20" s="157"/>
      <c r="M20" s="159"/>
    </row>
    <row r="21" spans="1:13" s="11" customFormat="1" ht="69" customHeight="1">
      <c r="A21" s="68">
        <v>12</v>
      </c>
      <c r="B21" s="2" t="s">
        <v>39</v>
      </c>
      <c r="C21" s="4" t="s">
        <v>13</v>
      </c>
      <c r="D21" s="4" t="s">
        <v>11</v>
      </c>
      <c r="E21" s="9" t="s">
        <v>40</v>
      </c>
      <c r="F21" s="4" t="s">
        <v>12</v>
      </c>
      <c r="G21" s="6">
        <v>14</v>
      </c>
      <c r="H21" s="23">
        <v>408143</v>
      </c>
      <c r="I21" s="8">
        <f t="shared" si="0"/>
        <v>5714002</v>
      </c>
      <c r="J21" s="9" t="s">
        <v>41</v>
      </c>
      <c r="K21" s="24"/>
      <c r="L21" s="157"/>
      <c r="M21" s="159"/>
    </row>
    <row r="22" spans="1:13" s="11" customFormat="1" ht="157.5" customHeight="1">
      <c r="A22" s="68">
        <v>13</v>
      </c>
      <c r="B22" s="2" t="s">
        <v>42</v>
      </c>
      <c r="C22" s="4" t="s">
        <v>13</v>
      </c>
      <c r="D22" s="4" t="s">
        <v>11</v>
      </c>
      <c r="E22" s="5" t="s">
        <v>43</v>
      </c>
      <c r="F22" s="4" t="s">
        <v>12</v>
      </c>
      <c r="G22" s="6">
        <v>1</v>
      </c>
      <c r="H22" s="23">
        <v>3581000</v>
      </c>
      <c r="I22" s="8">
        <f t="shared" si="0"/>
        <v>3581000</v>
      </c>
      <c r="J22" s="9" t="s">
        <v>213</v>
      </c>
      <c r="K22" s="69"/>
      <c r="L22" s="157"/>
      <c r="M22" s="159"/>
    </row>
    <row r="23" spans="1:13" s="11" customFormat="1" ht="111.75" customHeight="1">
      <c r="A23" s="68">
        <v>14</v>
      </c>
      <c r="B23" s="2" t="s">
        <v>44</v>
      </c>
      <c r="C23" s="2" t="s">
        <v>25</v>
      </c>
      <c r="D23" s="4" t="s">
        <v>11</v>
      </c>
      <c r="E23" s="9" t="s">
        <v>45</v>
      </c>
      <c r="F23" s="4" t="s">
        <v>12</v>
      </c>
      <c r="G23" s="6">
        <v>2</v>
      </c>
      <c r="H23" s="7">
        <v>2015951</v>
      </c>
      <c r="I23" s="8">
        <f t="shared" si="0"/>
        <v>4031902</v>
      </c>
      <c r="J23" s="9" t="s">
        <v>214</v>
      </c>
      <c r="K23" s="69"/>
      <c r="L23" s="157"/>
      <c r="M23" s="159"/>
    </row>
    <row r="24" spans="1:13" ht="409.5" customHeight="1">
      <c r="A24" s="68">
        <v>15</v>
      </c>
      <c r="B24" s="27" t="s">
        <v>46</v>
      </c>
      <c r="C24" s="27" t="s">
        <v>25</v>
      </c>
      <c r="D24" s="4" t="s">
        <v>11</v>
      </c>
      <c r="E24" s="28" t="s">
        <v>47</v>
      </c>
      <c r="F24" s="27" t="s">
        <v>12</v>
      </c>
      <c r="G24" s="29">
        <v>1</v>
      </c>
      <c r="H24" s="14">
        <v>3704500</v>
      </c>
      <c r="I24" s="8">
        <f t="shared" si="0"/>
        <v>3704500</v>
      </c>
      <c r="J24" s="30" t="s">
        <v>215</v>
      </c>
      <c r="K24" s="69"/>
      <c r="L24" s="157"/>
      <c r="M24" s="159"/>
    </row>
    <row r="25" spans="1:13" s="11" customFormat="1" ht="60">
      <c r="A25" s="68">
        <v>16</v>
      </c>
      <c r="B25" s="29" t="s">
        <v>48</v>
      </c>
      <c r="C25" s="27" t="s">
        <v>49</v>
      </c>
      <c r="D25" s="26" t="s">
        <v>11</v>
      </c>
      <c r="E25" s="26" t="s">
        <v>50</v>
      </c>
      <c r="F25" s="4" t="s">
        <v>12</v>
      </c>
      <c r="G25" s="6">
        <v>14</v>
      </c>
      <c r="H25" s="7">
        <v>57998</v>
      </c>
      <c r="I25" s="8">
        <f t="shared" si="0"/>
        <v>811972</v>
      </c>
      <c r="J25" s="30" t="s">
        <v>51</v>
      </c>
      <c r="K25" s="70"/>
      <c r="L25" s="157"/>
      <c r="M25" s="159"/>
    </row>
    <row r="26" spans="1:13" s="11" customFormat="1" ht="150">
      <c r="A26" s="68">
        <v>17</v>
      </c>
      <c r="B26" s="2" t="s">
        <v>52</v>
      </c>
      <c r="C26" s="4" t="s">
        <v>25</v>
      </c>
      <c r="D26" s="4" t="s">
        <v>11</v>
      </c>
      <c r="E26" s="5" t="s">
        <v>53</v>
      </c>
      <c r="F26" s="4" t="s">
        <v>12</v>
      </c>
      <c r="G26" s="6">
        <v>5</v>
      </c>
      <c r="H26" s="23">
        <v>210000</v>
      </c>
      <c r="I26" s="8">
        <f t="shared" si="0"/>
        <v>1050000</v>
      </c>
      <c r="J26" s="9" t="s">
        <v>222</v>
      </c>
      <c r="K26" s="24"/>
      <c r="L26" s="157"/>
      <c r="M26" s="159"/>
    </row>
    <row r="27" spans="1:13" s="11" customFormat="1" ht="180">
      <c r="A27" s="68">
        <v>18</v>
      </c>
      <c r="B27" s="4" t="s">
        <v>54</v>
      </c>
      <c r="C27" s="31" t="s">
        <v>13</v>
      </c>
      <c r="D27" s="32" t="s">
        <v>11</v>
      </c>
      <c r="E27" s="5" t="s">
        <v>55</v>
      </c>
      <c r="F27" s="4" t="s">
        <v>12</v>
      </c>
      <c r="G27" s="6">
        <v>20</v>
      </c>
      <c r="H27" s="23">
        <v>513635</v>
      </c>
      <c r="I27" s="8">
        <f t="shared" si="0"/>
        <v>10272700</v>
      </c>
      <c r="J27" s="9" t="s">
        <v>56</v>
      </c>
      <c r="K27" s="24"/>
      <c r="L27" s="157"/>
      <c r="M27" s="159"/>
    </row>
    <row r="28" spans="1:13" s="11" customFormat="1" ht="90">
      <c r="A28" s="68">
        <v>19</v>
      </c>
      <c r="B28" s="2" t="s">
        <v>57</v>
      </c>
      <c r="C28" s="4" t="s">
        <v>13</v>
      </c>
      <c r="D28" s="4" t="s">
        <v>11</v>
      </c>
      <c r="E28" s="5" t="s">
        <v>58</v>
      </c>
      <c r="F28" s="4" t="s">
        <v>12</v>
      </c>
      <c r="G28" s="6">
        <v>1</v>
      </c>
      <c r="H28" s="23">
        <v>302275</v>
      </c>
      <c r="I28" s="8">
        <f t="shared" si="0"/>
        <v>302275</v>
      </c>
      <c r="J28" s="9" t="s">
        <v>59</v>
      </c>
      <c r="K28" s="24"/>
      <c r="L28" s="157"/>
      <c r="M28" s="159"/>
    </row>
    <row r="29" spans="1:13" s="11" customFormat="1" ht="135">
      <c r="A29" s="68">
        <v>20</v>
      </c>
      <c r="B29" s="2" t="s">
        <v>60</v>
      </c>
      <c r="C29" s="4" t="s">
        <v>13</v>
      </c>
      <c r="D29" s="4" t="s">
        <v>11</v>
      </c>
      <c r="E29" s="3" t="s">
        <v>61</v>
      </c>
      <c r="F29" s="4" t="s">
        <v>12</v>
      </c>
      <c r="G29" s="6">
        <v>3</v>
      </c>
      <c r="H29" s="23">
        <v>568007</v>
      </c>
      <c r="I29" s="8">
        <f t="shared" si="0"/>
        <v>1704021</v>
      </c>
      <c r="J29" s="9" t="s">
        <v>62</v>
      </c>
      <c r="K29" s="24"/>
      <c r="L29" s="157"/>
      <c r="M29" s="159"/>
    </row>
    <row r="30" spans="1:13" s="11" customFormat="1" ht="150">
      <c r="A30" s="68">
        <v>21</v>
      </c>
      <c r="B30" s="2" t="s">
        <v>63</v>
      </c>
      <c r="C30" s="4" t="s">
        <v>13</v>
      </c>
      <c r="D30" s="4" t="s">
        <v>11</v>
      </c>
      <c r="E30" s="33" t="s">
        <v>64</v>
      </c>
      <c r="F30" s="4" t="s">
        <v>12</v>
      </c>
      <c r="G30" s="6">
        <v>3</v>
      </c>
      <c r="H30" s="23">
        <v>461553</v>
      </c>
      <c r="I30" s="8">
        <f t="shared" si="0"/>
        <v>1384659</v>
      </c>
      <c r="J30" s="5" t="s">
        <v>65</v>
      </c>
      <c r="K30" s="24"/>
      <c r="L30" s="157"/>
      <c r="M30" s="159"/>
    </row>
    <row r="31" spans="1:13" s="34" customFormat="1" ht="252" customHeight="1">
      <c r="A31" s="68">
        <v>22</v>
      </c>
      <c r="B31" s="2" t="s">
        <v>66</v>
      </c>
      <c r="C31" s="4" t="s">
        <v>13</v>
      </c>
      <c r="D31" s="4" t="s">
        <v>11</v>
      </c>
      <c r="E31" s="9" t="s">
        <v>67</v>
      </c>
      <c r="F31" s="4" t="s">
        <v>12</v>
      </c>
      <c r="G31" s="6">
        <v>1</v>
      </c>
      <c r="H31" s="23">
        <v>865700</v>
      </c>
      <c r="I31" s="8">
        <f t="shared" si="0"/>
        <v>865700</v>
      </c>
      <c r="J31" s="9" t="s">
        <v>68</v>
      </c>
      <c r="K31" s="24"/>
      <c r="L31" s="157"/>
      <c r="M31" s="159"/>
    </row>
    <row r="32" spans="1:13" s="36" customFormat="1" ht="30">
      <c r="A32" s="68">
        <v>23</v>
      </c>
      <c r="B32" s="2" t="s">
        <v>69</v>
      </c>
      <c r="C32" s="4" t="s">
        <v>10</v>
      </c>
      <c r="D32" s="4" t="s">
        <v>11</v>
      </c>
      <c r="E32" s="9" t="s">
        <v>70</v>
      </c>
      <c r="F32" s="4" t="s">
        <v>12</v>
      </c>
      <c r="G32" s="6">
        <v>1</v>
      </c>
      <c r="H32" s="7">
        <v>34350</v>
      </c>
      <c r="I32" s="8">
        <f t="shared" si="0"/>
        <v>34350</v>
      </c>
      <c r="J32" s="9" t="s">
        <v>71</v>
      </c>
      <c r="K32" s="35"/>
      <c r="L32" s="157"/>
      <c r="M32" s="159"/>
    </row>
    <row r="33" spans="1:13" ht="210">
      <c r="A33" s="68">
        <v>24</v>
      </c>
      <c r="B33" s="2" t="s">
        <v>72</v>
      </c>
      <c r="C33" s="2" t="s">
        <v>25</v>
      </c>
      <c r="D33" s="4" t="s">
        <v>11</v>
      </c>
      <c r="E33" s="4" t="s">
        <v>73</v>
      </c>
      <c r="F33" s="4" t="s">
        <v>12</v>
      </c>
      <c r="G33" s="6">
        <v>1</v>
      </c>
      <c r="H33" s="7">
        <v>799100</v>
      </c>
      <c r="I33" s="8">
        <f t="shared" si="0"/>
        <v>799100</v>
      </c>
      <c r="J33" s="9" t="s">
        <v>211</v>
      </c>
      <c r="K33" s="10"/>
      <c r="L33" s="157"/>
      <c r="M33" s="159"/>
    </row>
    <row r="34" spans="1:13" s="11" customFormat="1" ht="285">
      <c r="A34" s="68">
        <v>25</v>
      </c>
      <c r="B34" s="12" t="s">
        <v>74</v>
      </c>
      <c r="C34" s="29" t="s">
        <v>25</v>
      </c>
      <c r="D34" s="4" t="s">
        <v>11</v>
      </c>
      <c r="E34" s="13" t="s">
        <v>75</v>
      </c>
      <c r="F34" s="29" t="s">
        <v>12</v>
      </c>
      <c r="G34" s="6">
        <v>1</v>
      </c>
      <c r="H34" s="14">
        <v>202868</v>
      </c>
      <c r="I34" s="8">
        <f t="shared" si="0"/>
        <v>202868</v>
      </c>
      <c r="J34" s="9" t="s">
        <v>76</v>
      </c>
      <c r="K34" s="10"/>
      <c r="L34" s="157"/>
      <c r="M34" s="159"/>
    </row>
    <row r="35" spans="1:13">
      <c r="A35" s="68">
        <v>26</v>
      </c>
      <c r="B35" s="2" t="s">
        <v>77</v>
      </c>
      <c r="C35" s="2" t="s">
        <v>25</v>
      </c>
      <c r="D35" s="4" t="s">
        <v>11</v>
      </c>
      <c r="E35" s="33" t="s">
        <v>78</v>
      </c>
      <c r="F35" s="4" t="s">
        <v>12</v>
      </c>
      <c r="G35" s="6">
        <v>5</v>
      </c>
      <c r="H35" s="23">
        <v>5800</v>
      </c>
      <c r="I35" s="8">
        <f t="shared" si="0"/>
        <v>29000</v>
      </c>
      <c r="J35" s="9" t="s">
        <v>79</v>
      </c>
      <c r="K35" s="35"/>
      <c r="L35" s="157"/>
      <c r="M35" s="159"/>
    </row>
    <row r="36" spans="1:13" ht="75">
      <c r="A36" s="68">
        <v>27</v>
      </c>
      <c r="B36" s="2" t="s">
        <v>80</v>
      </c>
      <c r="C36" s="2" t="s">
        <v>25</v>
      </c>
      <c r="D36" s="4" t="s">
        <v>11</v>
      </c>
      <c r="E36" s="9" t="s">
        <v>81</v>
      </c>
      <c r="F36" s="4" t="s">
        <v>12</v>
      </c>
      <c r="G36" s="6">
        <v>10</v>
      </c>
      <c r="H36" s="23">
        <v>48380</v>
      </c>
      <c r="I36" s="8">
        <f t="shared" si="0"/>
        <v>483800</v>
      </c>
      <c r="J36" s="9" t="s">
        <v>163</v>
      </c>
      <c r="K36" s="35"/>
      <c r="L36" s="157"/>
      <c r="M36" s="159"/>
    </row>
    <row r="37" spans="1:13" ht="60">
      <c r="A37" s="68">
        <v>28</v>
      </c>
      <c r="B37" s="38" t="s">
        <v>82</v>
      </c>
      <c r="C37" s="38" t="s">
        <v>25</v>
      </c>
      <c r="D37" s="4" t="s">
        <v>11</v>
      </c>
      <c r="E37" s="37" t="s">
        <v>83</v>
      </c>
      <c r="F37" s="4" t="s">
        <v>12</v>
      </c>
      <c r="G37" s="6">
        <v>1</v>
      </c>
      <c r="H37" s="39">
        <v>29250</v>
      </c>
      <c r="I37" s="8">
        <f t="shared" si="0"/>
        <v>29250</v>
      </c>
      <c r="J37" s="40" t="s">
        <v>84</v>
      </c>
      <c r="K37" s="36"/>
      <c r="L37" s="157"/>
      <c r="M37" s="159"/>
    </row>
    <row r="38" spans="1:13" ht="30">
      <c r="A38" s="68">
        <v>29</v>
      </c>
      <c r="B38" s="2" t="s">
        <v>85</v>
      </c>
      <c r="C38" s="4" t="s">
        <v>13</v>
      </c>
      <c r="D38" s="4" t="s">
        <v>11</v>
      </c>
      <c r="E38" s="9" t="s">
        <v>86</v>
      </c>
      <c r="F38" s="4" t="s">
        <v>12</v>
      </c>
      <c r="G38" s="6">
        <v>70</v>
      </c>
      <c r="H38" s="23">
        <v>8790</v>
      </c>
      <c r="I38" s="8">
        <f t="shared" si="0"/>
        <v>615300</v>
      </c>
      <c r="J38" s="9" t="s">
        <v>87</v>
      </c>
      <c r="K38" s="24"/>
      <c r="L38" s="157"/>
      <c r="M38" s="159"/>
    </row>
    <row r="39" spans="1:13" ht="30">
      <c r="A39" s="68">
        <v>30</v>
      </c>
      <c r="B39" s="2" t="s">
        <v>88</v>
      </c>
      <c r="C39" s="2" t="s">
        <v>25</v>
      </c>
      <c r="D39" s="4" t="s">
        <v>11</v>
      </c>
      <c r="E39" s="33" t="s">
        <v>89</v>
      </c>
      <c r="F39" s="4" t="s">
        <v>12</v>
      </c>
      <c r="G39" s="6">
        <v>10</v>
      </c>
      <c r="H39" s="23">
        <v>22000</v>
      </c>
      <c r="I39" s="8">
        <f t="shared" si="0"/>
        <v>220000</v>
      </c>
      <c r="J39" s="9" t="s">
        <v>90</v>
      </c>
      <c r="K39" s="24"/>
      <c r="L39" s="157"/>
      <c r="M39" s="159"/>
    </row>
    <row r="40" spans="1:13" ht="30">
      <c r="A40" s="68">
        <v>31</v>
      </c>
      <c r="B40" s="2" t="s">
        <v>91</v>
      </c>
      <c r="C40" s="2" t="s">
        <v>25</v>
      </c>
      <c r="D40" s="4" t="s">
        <v>11</v>
      </c>
      <c r="E40" s="3" t="s">
        <v>92</v>
      </c>
      <c r="F40" s="4" t="s">
        <v>12</v>
      </c>
      <c r="G40" s="6">
        <v>10</v>
      </c>
      <c r="H40" s="23">
        <v>19700</v>
      </c>
      <c r="I40" s="8">
        <f t="shared" si="0"/>
        <v>197000</v>
      </c>
      <c r="J40" s="9" t="s">
        <v>93</v>
      </c>
      <c r="K40" s="24"/>
      <c r="L40" s="157"/>
      <c r="M40" s="159"/>
    </row>
    <row r="41" spans="1:13" ht="90">
      <c r="A41" s="68">
        <v>32</v>
      </c>
      <c r="B41" s="2" t="s">
        <v>94</v>
      </c>
      <c r="C41" s="2" t="s">
        <v>13</v>
      </c>
      <c r="D41" s="4" t="s">
        <v>11</v>
      </c>
      <c r="E41" s="9" t="s">
        <v>95</v>
      </c>
      <c r="F41" s="4" t="s">
        <v>12</v>
      </c>
      <c r="G41" s="6">
        <v>1</v>
      </c>
      <c r="H41" s="7">
        <v>580000</v>
      </c>
      <c r="I41" s="8">
        <f t="shared" si="0"/>
        <v>580000</v>
      </c>
      <c r="J41" s="9" t="s">
        <v>216</v>
      </c>
      <c r="K41" s="10"/>
      <c r="L41" s="157"/>
      <c r="M41" s="159"/>
    </row>
    <row r="42" spans="1:13" ht="105">
      <c r="A42" s="68">
        <v>33</v>
      </c>
      <c r="B42" s="2" t="s">
        <v>96</v>
      </c>
      <c r="C42" s="2" t="s">
        <v>13</v>
      </c>
      <c r="D42" s="4" t="s">
        <v>11</v>
      </c>
      <c r="E42" s="9" t="s">
        <v>97</v>
      </c>
      <c r="F42" s="4" t="s">
        <v>12</v>
      </c>
      <c r="G42" s="6">
        <v>1</v>
      </c>
      <c r="H42" s="7">
        <v>665000</v>
      </c>
      <c r="I42" s="8">
        <f t="shared" si="0"/>
        <v>665000</v>
      </c>
      <c r="J42" s="9" t="s">
        <v>217</v>
      </c>
      <c r="K42" s="10"/>
      <c r="L42" s="157"/>
      <c r="M42" s="159"/>
    </row>
    <row r="43" spans="1:13" ht="30">
      <c r="A43" s="68">
        <v>34</v>
      </c>
      <c r="B43" s="2" t="s">
        <v>98</v>
      </c>
      <c r="C43" s="2" t="s">
        <v>49</v>
      </c>
      <c r="D43" s="4" t="s">
        <v>11</v>
      </c>
      <c r="E43" s="9" t="s">
        <v>99</v>
      </c>
      <c r="F43" s="4" t="s">
        <v>12</v>
      </c>
      <c r="G43" s="6">
        <v>1</v>
      </c>
      <c r="H43" s="7">
        <v>46900</v>
      </c>
      <c r="I43" s="8">
        <f t="shared" si="0"/>
        <v>46900</v>
      </c>
      <c r="J43" s="9" t="s">
        <v>100</v>
      </c>
      <c r="K43" s="35"/>
      <c r="L43" s="157"/>
      <c r="M43" s="159"/>
    </row>
    <row r="44" spans="1:13" s="11" customFormat="1" ht="135">
      <c r="A44" s="68">
        <v>35</v>
      </c>
      <c r="B44" s="2" t="s">
        <v>101</v>
      </c>
      <c r="C44" s="4" t="s">
        <v>13</v>
      </c>
      <c r="D44" s="4" t="s">
        <v>11</v>
      </c>
      <c r="E44" s="9" t="s">
        <v>102</v>
      </c>
      <c r="F44" s="4" t="s">
        <v>12</v>
      </c>
      <c r="G44" s="6">
        <v>3</v>
      </c>
      <c r="H44" s="23">
        <v>67913</v>
      </c>
      <c r="I44" s="8">
        <f t="shared" si="0"/>
        <v>203739</v>
      </c>
      <c r="J44" s="9" t="s">
        <v>164</v>
      </c>
      <c r="K44" s="24"/>
      <c r="L44" s="157"/>
      <c r="M44" s="159"/>
    </row>
    <row r="45" spans="1:13" ht="75">
      <c r="A45" s="68">
        <v>36</v>
      </c>
      <c r="B45" s="2" t="s">
        <v>103</v>
      </c>
      <c r="C45" s="4" t="s">
        <v>13</v>
      </c>
      <c r="D45" s="4" t="s">
        <v>11</v>
      </c>
      <c r="E45" s="5" t="s">
        <v>104</v>
      </c>
      <c r="F45" s="4" t="s">
        <v>12</v>
      </c>
      <c r="G45" s="6">
        <v>10</v>
      </c>
      <c r="H45" s="23">
        <v>79400</v>
      </c>
      <c r="I45" s="8">
        <f t="shared" si="0"/>
        <v>794000</v>
      </c>
      <c r="J45" s="9" t="s">
        <v>105</v>
      </c>
      <c r="K45" s="24"/>
      <c r="L45" s="157"/>
      <c r="M45" s="159"/>
    </row>
    <row r="46" spans="1:13" s="36" customFormat="1" ht="15.75" thickBot="1">
      <c r="A46" s="68">
        <v>37</v>
      </c>
      <c r="B46" s="154" t="s">
        <v>106</v>
      </c>
      <c r="C46" s="154" t="s">
        <v>25</v>
      </c>
      <c r="D46" s="17" t="s">
        <v>11</v>
      </c>
      <c r="E46" s="155" t="s">
        <v>107</v>
      </c>
      <c r="F46" s="17" t="s">
        <v>12</v>
      </c>
      <c r="G46" s="18">
        <v>20</v>
      </c>
      <c r="H46" s="19">
        <v>11000</v>
      </c>
      <c r="I46" s="67">
        <f t="shared" si="0"/>
        <v>220000</v>
      </c>
      <c r="J46" s="3" t="s">
        <v>108</v>
      </c>
      <c r="K46" s="1"/>
      <c r="L46" s="157"/>
      <c r="M46" s="159"/>
    </row>
    <row r="47" spans="1:13" ht="28.5" customHeight="1" thickBot="1">
      <c r="A47" s="168" t="s">
        <v>209</v>
      </c>
      <c r="B47" s="169"/>
      <c r="C47" s="169"/>
      <c r="D47" s="169"/>
      <c r="E47" s="169"/>
      <c r="F47" s="169"/>
      <c r="G47" s="169"/>
      <c r="H47" s="169"/>
      <c r="I47" s="156">
        <f>SUM(I10:I46)</f>
        <v>50728263</v>
      </c>
      <c r="L47" s="160"/>
      <c r="M47" s="160"/>
    </row>
    <row r="48" spans="1:13" ht="15.75" thickBot="1"/>
    <row r="49" spans="3:5">
      <c r="C49" s="170" t="s">
        <v>218</v>
      </c>
      <c r="D49" s="171"/>
      <c r="E49" s="172"/>
    </row>
    <row r="50" spans="3:5" ht="47.25" customHeight="1">
      <c r="C50" s="173" t="s">
        <v>210</v>
      </c>
      <c r="D50" s="174"/>
      <c r="E50" s="175"/>
    </row>
    <row r="51" spans="3:5">
      <c r="C51" s="71"/>
      <c r="D51" s="176"/>
      <c r="E51" s="162"/>
    </row>
    <row r="52" spans="3:5">
      <c r="C52" s="71" t="s">
        <v>119</v>
      </c>
      <c r="D52" s="177" t="s">
        <v>120</v>
      </c>
      <c r="E52" s="178"/>
    </row>
    <row r="53" spans="3:5">
      <c r="C53" s="71"/>
      <c r="D53" s="161"/>
      <c r="E53" s="162"/>
    </row>
    <row r="54" spans="3:5">
      <c r="C54" s="71" t="s">
        <v>121</v>
      </c>
      <c r="D54" s="182" t="s">
        <v>122</v>
      </c>
      <c r="E54" s="162"/>
    </row>
    <row r="55" spans="3:5">
      <c r="C55" s="71"/>
      <c r="D55" s="161"/>
      <c r="E55" s="162"/>
    </row>
    <row r="56" spans="3:5">
      <c r="C56" s="71" t="s">
        <v>123</v>
      </c>
      <c r="D56" s="161"/>
      <c r="E56" s="162"/>
    </row>
    <row r="57" spans="3:5">
      <c r="C57" s="71"/>
      <c r="D57" s="72"/>
      <c r="E57" s="73"/>
    </row>
    <row r="58" spans="3:5">
      <c r="C58" s="74" t="s">
        <v>124</v>
      </c>
      <c r="D58" s="177" t="s">
        <v>223</v>
      </c>
      <c r="E58" s="183"/>
    </row>
    <row r="59" spans="3:5">
      <c r="C59" s="71"/>
      <c r="D59" s="161"/>
      <c r="E59" s="162"/>
    </row>
    <row r="60" spans="3:5">
      <c r="C60" s="71" t="s">
        <v>224</v>
      </c>
      <c r="D60" s="75" t="s">
        <v>125</v>
      </c>
      <c r="E60" s="76"/>
    </row>
    <row r="61" spans="3:5" ht="15.75" thickBot="1">
      <c r="C61" s="77"/>
      <c r="D61" s="184"/>
      <c r="E61" s="185"/>
    </row>
    <row r="62" spans="3:5" ht="15.75" thickBot="1">
      <c r="C62" s="78"/>
      <c r="D62" s="78"/>
      <c r="E62" s="79"/>
    </row>
    <row r="63" spans="3:5">
      <c r="C63" s="186" t="s">
        <v>126</v>
      </c>
      <c r="D63" s="187"/>
      <c r="E63" s="188"/>
    </row>
    <row r="64" spans="3:5" ht="172.5" customHeight="1" thickBot="1">
      <c r="C64" s="179" t="str">
        <f>J10</f>
        <v>Aspirador portátil de uso continuo libre de lubricantes. Debe Contar con una válvula reguladora de la aspiración desde un mínimo hasta un máximo. Debe poseer un frasco colector de 1000 cm3, con trampa antidesborde, para evitar el pasaje de líquido al cabezal aspirador. La unidad debe estar provista de un vacuómetro para proveer la indicación del vació generado por el aspirador.
Características técnicas mínimas:
- Tensión nominal: 220Vca.
- Caudal de aspiración: 34 l/min
- Vacío máximo: 58 cmHg
- Presión de salida: 1,5 a 1,8 Kg/cm²
- Presión sonora: 63,6 dB
- Capacidad del recipiente: 1 litro
Debe incluir:
-Vaso de 1 litro con Trampa
-Manual de uso</v>
      </c>
      <c r="D64" s="180"/>
      <c r="E64" s="181"/>
    </row>
    <row r="65" spans="3:5" ht="15.75" thickBot="1">
      <c r="C65" s="80"/>
      <c r="D65" s="80"/>
      <c r="E65" s="79"/>
    </row>
    <row r="66" spans="3:5">
      <c r="C66" s="189" t="s">
        <v>127</v>
      </c>
      <c r="D66" s="187"/>
      <c r="E66" s="188"/>
    </row>
    <row r="67" spans="3:5" ht="57.75" customHeight="1" thickBot="1">
      <c r="C67" s="179" t="str">
        <f>J11</f>
        <v>Estufa De Esterilización. De mesa. Uso: odontológico. Capacidad: hasta 20 litros. Voltaje: 220V. Potencia máxima: hasta 400 W. Medidas aproximadas: Altura: 31 cm, Largo: 34 cm, Ancho: 45 cm. Exterior pintado en blanco y el interior en acero inoxidable. Programas: por lo menos 4 reeestablecidos y 1 programa manual. Controles digitales comandados por un microprocesador. Bandejas: mínimo 4 (amplias y perforadas) de acero inoxidable que permitan acomodar gran cantidad de instrumental, no oxide a los mismos ni afecte puntas ni filos. Apertura: lateral. Terminación: hecha completamente en acero inoxidable.</v>
      </c>
      <c r="D67" s="180"/>
      <c r="E67" s="181"/>
    </row>
    <row r="68" spans="3:5" ht="15.75" thickBot="1">
      <c r="C68" s="79"/>
      <c r="D68" s="79"/>
      <c r="E68" s="79"/>
    </row>
    <row r="69" spans="3:5">
      <c r="C69" s="189" t="s">
        <v>128</v>
      </c>
      <c r="D69" s="187"/>
      <c r="E69" s="188"/>
    </row>
    <row r="70" spans="3:5" ht="108" customHeight="1" thickBot="1">
      <c r="C70" s="179" t="str">
        <f>J12</f>
        <v>Autoclave Digital Portatil Uso General 20 Litros: Debe contar con:- Sistema Inteligente de Control por Microprocesador que supervisa en tiempo Real los Parámetros de Ciclo (Temperatura/ Presión) dentro de la Cámara; - Sistema de Control LED Digital; - Alarma Sonora de Finalización de Proceso; - Sistema de Punto Seguridad (Cuando la Temperatura y la Presión llegan a su Punto de Seguridad, es cuando se podrá abrir la Tapa); - Sistema de Memoria (Programa Fijo de Ciclo: El Equipo dispone la Posibilidad de Programar y Setear un programa fijo de Ciclo de Esterilización); - Dispositivos de Seguridad: debe poseer dispositivos de Bloqueo contra Sobre temperatura y Sistema de Protección contra Sobre Presión y Sistema de Detección Automática de Fallas en el Proceso. -Cuerpo y Tapa construido en Acero Inoxidable Reforzado. - Rango de Timer 0-999 min. - Presion de Trabajo 0.142 Mpa. - Rango de Temperatura 50-126ºC. -Volumen de la Recamara Aprox. 20lt Volumen Util Aprox. 18lt. -Volumen de la cámara de esterilización Aprox. (diametro x altura) 280x260mm Cesta (diámetro x altura mm) Aprox. 260 x250mm. - Alimentación: 220V- 50Hz Consumo: 2 kW. INCLUYE UPS ACORDE AL EQUIPO</v>
      </c>
      <c r="D70" s="180"/>
      <c r="E70" s="181"/>
    </row>
    <row r="71" spans="3:5" ht="15.75" thickBot="1">
      <c r="C71" s="81"/>
      <c r="D71" s="82"/>
      <c r="E71" s="82"/>
    </row>
    <row r="72" spans="3:5">
      <c r="C72" s="189" t="s">
        <v>129</v>
      </c>
      <c r="D72" s="187"/>
      <c r="E72" s="188"/>
    </row>
    <row r="73" spans="3:5" ht="56.25" customHeight="1" thickBot="1">
      <c r="C73" s="179" t="str">
        <f>J13</f>
        <v>Bicicleta fija de caño reforzada y terminada en pintura epoxi, con piñón fijo y pedalera reforzada con transmisión a correa, debe ser totalmente silenciosa. Con asiento regulable en altura. Con manubrios antideslizantes y regulables en altura y posición. Con sistema de resistencia magnética que se modifique desde la consola y con 10 niveles de resistencia. Debe incluir computadora con múltiples funciones. Debe soportar hasta 150kg.</v>
      </c>
      <c r="D73" s="180"/>
      <c r="E73" s="181"/>
    </row>
    <row r="74" spans="3:5" ht="15.75" thickBot="1">
      <c r="C74" s="81"/>
      <c r="D74" s="82"/>
      <c r="E74" s="82"/>
    </row>
    <row r="75" spans="3:5">
      <c r="C75" s="189" t="s">
        <v>130</v>
      </c>
      <c r="D75" s="187"/>
      <c r="E75" s="188"/>
    </row>
    <row r="76" spans="3:5" ht="108.75" customHeight="1" thickBot="1">
      <c r="C76" s="179" t="str">
        <f>J14</f>
        <v>Bomba de infusión volumétrica totalmente microcontrolada para perfus genéricos siliconados. Debe contar con display TFT color LCD táctil de, al menos, 4”, el grado de protección al polvo y al agua debe ser IP24, construida con de material plástico de alta calidad, con baterías de alta duración (9 horas aproximadamente), el peso máximo no deberá superar los 1,6Kg., tensión de alimentación 220Vca con potencia aproximada de 50VA. Debe estar aprobada por ANMAT y tener 1 año de garantía mínima.
Parámetros mínimos a cumplir: Precisión del sistema mayor a 1mL/h.Tasa de infusión con set de 60 gotas de 0,1 a 400mL/h. Tasa de bolus con set de 60 gotas de 0,1 a 400mL/h. Tasa de purga con set de 60 gotas de 400mL/h. Tasa de KVO de 0,01 a 5mL/h. Incremento de mínimo de caudal 0,01mL/h. Volumen total de infusión de 0,01 a 9999,99Ml. Intervalo de tiempo de 1minuto a 99horas. Rango de detección de oclusión aguas arriba de -75 a -600mmHg. Rango de detección de oclusión aguas abajo de 0 a 900mmHg. Rango de detección de aire (doble sensor) de 50 a 800uL. Debe indicar el nombre del medicamento que está infundiendo 
Modos de trabajo mínimos que debe incluir: Modo mL/h. Modo peso corporal. Modo goteo</v>
      </c>
      <c r="D76" s="180"/>
      <c r="E76" s="181"/>
    </row>
    <row r="77" spans="3:5" ht="15.75" thickBot="1">
      <c r="C77" s="81"/>
      <c r="D77" s="82"/>
      <c r="E77" s="82"/>
    </row>
    <row r="78" spans="3:5">
      <c r="C78" s="189" t="s">
        <v>131</v>
      </c>
      <c r="D78" s="187"/>
      <c r="E78" s="188"/>
    </row>
    <row r="79" spans="3:5" ht="48" customHeight="1" thickBot="1">
      <c r="C79" s="179" t="str">
        <f>J15</f>
        <v>Caja acero inoxidable 18 x 8 x 3 cm lisa: incluye 1 Mango de Bisturi N3 + 10 Hojas de bisturí Nº10, 1 Pinza de disección 14.5 cm, 1 Pinza Kocher Recta 14 cm, 1 Pinza con diente de ratón 14.5cm 1x2dientes, 1 Pinza Halsted Recta 10 cm recta, 1 Pinza Halsted Curva 10 cm, 1 Pinza Adson 12 cm sin dientes, 1 Tijera curación recta 14 cm, 1 Tijera Mayo punta roma 14 cm, 1 Porta Agujas Mayo Hegar 14 cm, 1 Sonda acanalada 13cm.</v>
      </c>
      <c r="D79" s="180"/>
      <c r="E79" s="181"/>
    </row>
    <row r="80" spans="3:5" ht="15.75" thickBot="1">
      <c r="C80" s="81"/>
      <c r="D80" s="82"/>
      <c r="E80" s="82"/>
    </row>
    <row r="81" spans="3:5">
      <c r="C81" s="189" t="s">
        <v>132</v>
      </c>
      <c r="D81" s="187"/>
      <c r="E81" s="188"/>
    </row>
    <row r="82" spans="3:5" ht="33.75" customHeight="1" thickBot="1">
      <c r="C82" s="179" t="str">
        <f>J16</f>
        <v>Caja 20 x 0,9x04cm A. Incluye: 1 Tijera mayo recta 14 CM. 1 Tijera iris curva 9 CM. Estilete. 1 Sonda acanalada 13cm. 1 Porta agujas mayo hegar 14 CM. 1 Pinza kocher recta 14 CM. 1 Pinza halstead curva 10 CM. 1 Pinza halstead recta 10 CM. 1 Pinza de disección 14,5 CM. 1 Pinza diente de ratón 14.5 1x2 dientes CM. 1 Mango para bisturí nro3. 1Separador farabeuf 15x1.5 CM (par)</v>
      </c>
      <c r="D82" s="180"/>
      <c r="E82" s="181"/>
    </row>
    <row r="83" spans="3:5" ht="15.75" thickBot="1">
      <c r="C83" s="81"/>
      <c r="D83" s="82"/>
      <c r="E83" s="82"/>
    </row>
    <row r="84" spans="3:5">
      <c r="C84" s="189" t="s">
        <v>133</v>
      </c>
      <c r="D84" s="187"/>
      <c r="E84" s="188"/>
    </row>
    <row r="85" spans="3:5" ht="35.25" customHeight="1" thickBot="1">
      <c r="C85" s="179" t="str">
        <f>J17</f>
        <v>CAJA DE COLOCACION DE DIU: caja acero inoxidable. 30 x 15 x 8 cm aprox. Incluyre: - 2 pinza maier 20 cm recta, - 1 pinza bertola 18 cm recta, - 1 pinza bertola 18 cm curva, - 1 pinza allis 19 cm. 5 x 6 dientes, - 2 tijera metzenbaum 20 cm, - 2 pinza pozzi erina 25 cm, - 1 histerómetro sims 32 cm maleable</v>
      </c>
      <c r="D85" s="180"/>
      <c r="E85" s="181"/>
    </row>
    <row r="86" spans="3:5" ht="15.75" thickBot="1">
      <c r="C86" s="81"/>
      <c r="D86" s="82"/>
      <c r="E86" s="82"/>
    </row>
    <row r="87" spans="3:5">
      <c r="C87" s="186" t="s">
        <v>134</v>
      </c>
      <c r="D87" s="187"/>
      <c r="E87" s="188"/>
    </row>
    <row r="88" spans="3:5" ht="27.75" customHeight="1" thickBot="1">
      <c r="C88" s="179" t="str">
        <f>J18</f>
        <v>Camilla de transporte reforzada con estructura metálica acabada en pintura epoxi, con barandas rebatibles, porta suero, porta oxígeno, con cuatro ruedas de 125 mm de diámetro como mínimo, con frenos. De espuma de poliuretano de alta densidad tapizada en ecocuero de primera calidad de color negro</v>
      </c>
      <c r="D88" s="180"/>
      <c r="E88" s="181"/>
    </row>
    <row r="89" spans="3:5" ht="15.75" thickBot="1">
      <c r="C89" s="81"/>
      <c r="D89" s="82"/>
      <c r="E89" s="82"/>
    </row>
    <row r="90" spans="3:5">
      <c r="C90" s="186" t="s">
        <v>135</v>
      </c>
      <c r="D90" s="187"/>
      <c r="E90" s="188"/>
    </row>
    <row r="91" spans="3:5" ht="40.5" customHeight="1" thickBot="1">
      <c r="C91" s="179" t="str">
        <f>J19</f>
        <v>Camilla fija para kinesiología con medidas aproximadas de: 75cm ancho, 185cm de largo y 75cm de alto, que soporte al menos 200kg de peso. Compuesta de caño estructural terminado en pintura epoxi. Con espuma de poliuretano de alta densidad tapizada en ecocuero de primera calidad de color negro.</v>
      </c>
      <c r="D91" s="180"/>
      <c r="E91" s="181"/>
    </row>
    <row r="92" spans="3:5" ht="15.75" thickBot="1">
      <c r="C92" s="81"/>
      <c r="D92" s="82"/>
      <c r="E92" s="82"/>
    </row>
    <row r="93" spans="3:5">
      <c r="C93" s="186" t="s">
        <v>136</v>
      </c>
      <c r="D93" s="187"/>
      <c r="E93" s="188"/>
    </row>
    <row r="94" spans="3:5" ht="27.75" customHeight="1" thickBot="1">
      <c r="C94" s="179" t="str">
        <f>J20</f>
        <v>Carro metálico protegido por pintura epoxi, para tubo de oxígeno de 6m3, con ruedas de goma de aproximadamente 175 a 180 mm y sistema de sujeción del tubo.</v>
      </c>
      <c r="D94" s="180"/>
      <c r="E94" s="181"/>
    </row>
    <row r="95" spans="3:5" ht="15.75" thickBot="1">
      <c r="C95" s="81"/>
      <c r="D95" s="82"/>
      <c r="E95" s="82"/>
    </row>
    <row r="96" spans="3:5">
      <c r="C96" s="186" t="s">
        <v>137</v>
      </c>
      <c r="D96" s="187"/>
      <c r="E96" s="188"/>
    </row>
    <row r="97" spans="3:5" ht="44.25" customHeight="1" thickBot="1">
      <c r="C97" s="179" t="str">
        <f>J21</f>
        <v>Carro de paro de 5 cajones. Construido en chapa SAE 1010. Cinco cajones con cerradura central, uno de ellos con división para medicamentos. Alzada para monitor
Bandeja auxiliar lateral corrediza de acero inoxidable. Porta suero, porta tubo de oxígeno y parachoque perimetral. Manija de arrastre. Ruedas de aproximadamente 100mm, al menos dos de ellas con freno. Contenedor para residuos patógenos. Terminación pintura epoxi.</v>
      </c>
      <c r="D97" s="180"/>
      <c r="E97" s="181"/>
    </row>
    <row r="98" spans="3:5" ht="15.75" thickBot="1">
      <c r="C98" s="81"/>
      <c r="D98" s="82"/>
      <c r="E98" s="82"/>
    </row>
    <row r="99" spans="3:5">
      <c r="C99" s="186" t="s">
        <v>138</v>
      </c>
      <c r="D99" s="187"/>
      <c r="E99" s="188"/>
    </row>
    <row r="100" spans="3:5" ht="109.5" customHeight="1" thickBot="1">
      <c r="C100" s="179" t="str">
        <f>J22</f>
        <v>COAGULOMETRO: Principio de medición: FOTOMÉTRICO Y TURBODENSITOMÉTRICO, MÉTODOS COAGULOMÉTRICOS. CROMOGÉNICOS Y TURBIDIMÉTRICOS. BLOQUE DE MEDICIÓN: TEMPERATURA CONTROLADA A 37,4 +/- 0.4°C (CON SISTEMA PELTIER). 2 O 4 CANALES DE MEDICIÓN CON DOS LONGITUDES DE ONDA (405 NM Y 750NM) DISPONIBLES CADA UNO. 4 POSICIONES DE REACTIVOS, UNA DE ELLAS CON FUNCIÓN MEZCLADORA.18/16 POSICIONES DE INCUBACIÓN DE CUBETAS. INICIO AUTOMÁTICO CON EL AGREGADO DEL REACTIVO. VOLUMEN DEL TEST: MICROCUBETAS CON CAPACIDAD DE 150-300UL. PANTALLA: LCD. 2 LINES. 20 CARÁCTERES CADA UNA. PANEL DE CONTROL: TECLADO DE MEMBRANA. INTERFACE: RS232 (IMPRESORA/ LECTOR DE CÓDIGO DE BARRAS). USB (HOST). SD-CARD. IMPRESORA: IMPRESORA TÉRMICA INTEGRADA. DIMENSIONES/PESO:26X33X9 CM (LARGO/ANCHO/ALTO):3,9KG. DETERMINACIONES: TP-APTT-FIB-TT-FACTORES VÍA. INTRINSECA Y EXTRINSECA – ATII – PC-DRVVT-DD SOFWARE/HARDWARE: SISTEMA ABIERTO. PARÁMETROS DE TESTS EDITABLES Y COPIABLES. 15 TESTS PROGRAMABLES. CÁLCULO AUTOMÁTICO EN SEGUNDOS, RIN% G7L, MG/DL, RATIO, ME, UG/ML. CURVA DE CALIBRACIÓN: EDITABLE (DE HASTA 9 PUNTOS). COMUNICACIÓN HOST UNDIRECCIONAL. INTERFAZ DE USUARIO MULTILINGUE (DE, EN, ES,FR,PT,TU). FUENTE DE ALIMENTACION:100V-240V. 47-63HZ,260MA. SALIDA:24VDC/3.7A. OPCIONAL: CONEXIÓN A IMPRESORA TÉRMICA EXTERNA. CONEXIÓN A LECTOR DE CÓDIGO DE BARRAS. INCLUYE UPS ACORDE AL EQUIPO</v>
      </c>
      <c r="D100" s="180"/>
      <c r="E100" s="181"/>
    </row>
    <row r="101" spans="3:5" ht="15.75" thickBot="1">
      <c r="C101" s="81"/>
      <c r="D101" s="82"/>
      <c r="E101" s="82"/>
    </row>
    <row r="102" spans="3:5">
      <c r="C102" s="186" t="s">
        <v>139</v>
      </c>
      <c r="D102" s="187"/>
      <c r="E102" s="188"/>
    </row>
    <row r="103" spans="3:5" ht="81.75" customHeight="1" thickBot="1">
      <c r="C103" s="179" t="str">
        <f>J23</f>
        <v>Contador Hematológico 
Detección de WBC, detección de RBC y detección de PLT.
-Principio de medición: impedancia eléctrica más colorimetría. - Diferencia la población leucocitaria en tres grupos: neutrófilos, linfocitos y células medias (monocitos, eosinófilos y basófilos). -Dos modos de conteo: sangre completa o prediluida. - 9ul de muestra para el modo sangre entera y modo sangre capilar. -Almacenamiento de hasta 200.000 resultados incluyendo histogramas. Impresora térmica incorporada. Opción para impresora externa. -Lector de código de barras para muestras (opcional). -Pantalla color táctil de 8,4 pulgadas. -Diseño compacto, de 30 cm de ancho -Seguro y simple de usar -Software y manuales de operación en su idioma. INCLUYE UPS ACORDE AL EQUIPO</v>
      </c>
      <c r="D103" s="180"/>
      <c r="E103" s="181"/>
    </row>
    <row r="104" spans="3:5" ht="15.75" thickBot="1">
      <c r="C104" s="81"/>
      <c r="D104" s="82"/>
      <c r="E104" s="82"/>
    </row>
    <row r="105" spans="3:5">
      <c r="C105" s="186" t="s">
        <v>140</v>
      </c>
      <c r="D105" s="187"/>
      <c r="E105" s="188"/>
    </row>
    <row r="106" spans="3:5" ht="336" customHeight="1" thickBot="1">
      <c r="C106" s="179" t="str">
        <f>J24</f>
        <v>Analizadores de hematología compactos totalmente automatizados con diferencial minimo de 4 partes.
Especificaciones
Principios y tecnologías: *Citometría de flujo fluorescente: WBC, DIFF, RET, IRF, diferencial de 2 partes para el análisis de fluidos corporales; *Método de impedancia con enfoque hidrodinámico: PLT-I, RBC, HCT; *Método SLS-hemoglobina libre de cianuro: HGB.
Parámetros analizados: * Parámetros reportables en sangre entera y modo prediluido. (WBC, RBC, HGB, HCT, VCM, HCM, CHCM, PLT-I, RDW-SD, RDW-CV, MPV, NEUT #, LINFO #, MONO #, EO #, BASO #, NEUT%, LINFO%, MONO%, EO%, BASO%, IG #, IG%), * Parámetros de investigación en sangre entera y modo prediluido (PDW, P-LCR, PCT),* Parámetros reportables en el modo de fluidos corporales (WBC-BF, RBC-BF, MN_, PMN_, MN_, PMN%, TC-BF#),  * Parámetros reportables en el canal de reticulocitos (RET#, RET%, IRF, RET-He), *Parámetros de investigación del canal de reticulocitos (LFR, MFR, HFR, PLT-O).
Rendimiento:
* Sangre entera: 
 CBC: hasta 60 muestras por hora; 
 CBC + DIFF: hasta 60 muestras por hora; 
 CBC + DIFF + RET: hasta 35 muestras por hora.
* Fluidos corporales: hasta 30 muestras por hora.
Modo de aspiración: análisis de tubo cerrado
Volumen de aspiración de muestra: * Sangre entera/modo Low WBC: 25 μl; * Modo prediluido: 70 μl; * Modo de fluidos corporales: 70 μl.
Almacenamiento de datos: * Resultados: 100.000 muestras; * Información de pacientes: 10.000 registros; * Archivos de control de calidad: 99 archivos por analizador; * Gráficas de control de calidad: 300 datos por archivo; * Histórico de reemplazo de reactivos: 5.000 registros; * Histórico de mantenimiento: 5.000 registros.
Control de calidad:
* Tres niveles de material de control de calidad para todos los parámetros;
* Dos niveles de material de control de calidad para fluidos corporales.
Dimensiones y peso aproximado:
Unidad principal: Ancho: 450 mm, Profundidad: 460 mm, Altura: 440 mm / Aprox.36 kg;
Pantalla: táctil multicolor integrada con gráficas de usuario intuitiva interfaz para respaldar tareas de rutina.
Conectividad extendida: * Puerto RS-232C y el puerto LAN para la conexión con el sistema de información (LIS) de cada laboratorio. * Cuatro puertos USB para lector de código de barras portátil, impresora y conexiones de dispositivos USB. INCLUYE UPS ACORDE AL EQUIPO</v>
      </c>
      <c r="D106" s="180"/>
      <c r="E106" s="181"/>
    </row>
    <row r="107" spans="3:5" ht="15.75" thickBot="1">
      <c r="C107" s="83"/>
      <c r="D107" s="83"/>
      <c r="E107" s="82"/>
    </row>
    <row r="108" spans="3:5">
      <c r="C108" s="186" t="s">
        <v>141</v>
      </c>
      <c r="D108" s="187"/>
      <c r="E108" s="188"/>
    </row>
    <row r="109" spans="3:5" ht="51.75" customHeight="1" thickBot="1">
      <c r="C109" s="179" t="str">
        <f>J25</f>
        <v>Cuna acrílica articulada con colchón debe permitir el movimiento para mecer o fijar en una posición deseada. La estructura del carro construida en perfiles de hierro pintado con pintura epoxi. Canasto de acrílico transparente moldeado en una sola pieza con tarjetero de identificación. Tren rodante compuesto por 4 ruedas giratorias duales de, al menos, 50 mm. 2 de ellas con freno. Debe Incluir colchón a medida que compense la curvatura de la cuna brindando una superficie plana. Medidas aproximadas: 75 x 35 x 80 cm (largo x ancho x alto).</v>
      </c>
      <c r="D109" s="180"/>
      <c r="E109" s="181"/>
    </row>
    <row r="110" spans="3:5" ht="15.75" thickBot="1">
      <c r="C110" s="84"/>
      <c r="D110" s="84"/>
      <c r="E110" s="82"/>
    </row>
    <row r="111" spans="3:5">
      <c r="C111" s="186" t="s">
        <v>142</v>
      </c>
      <c r="D111" s="187"/>
      <c r="E111" s="188"/>
    </row>
    <row r="112" spans="3:5" ht="144.75" customHeight="1" thickBot="1">
      <c r="C112" s="179" t="str">
        <f>J26</f>
        <v>Electrocardiógrafo digital de 3 canales con cabezal de impresión térmica para papel de 50mm. Cantidad de derivaciones: 12. Totalmente digital, con pantalla de LCD de alta resolución para visualizar la señal de ECG antes de la impresión. Con resolución de impresión mínima de 8 puntos/mm. Debe poseer al menos 2 filtros digitales para evitar señales ruidosas. Debe ser provisto con cable paciente con protección contra desfibrilación. Con alarma de desconexión de electrodos mostrando en pantalla la derivación suelta. Alimentación eléctrica de 220Vca, 50Hz, 35Va con batería con 3 horas de autonomía como mínimo. El peso máximo debe ser de 2,5Kg. 
La medición de ECG debe cumplir con las siguientes características mínimas: Circuito de entrada flotante, con protección de marcapasos y de desfibrilación, 12 derivaciones, Resolución del conversor A/D de 12 bits, Voltaje de calibración 1mV +/-3%, Sensibilidad: 2,5; 5; 10; 20 (mm/mV), Impedancia de entrada mayor a 10MOhms, Con autocentrado de línea de base, Modo de registro manual/automático, Seguridad anti shock eléctrico: Clase I – Tipo CF.
Accesorios que debe incluir: Cable de alimentación, Cable paciente con protección contra desfibrilación, Juego de 4 electrodos de miembros tipo pinzas, Juego de electrodos precordiales tipo peritas, Rollo de papel térmico de 50mm, Portarollo de papel, Cable de tierra, Manual de instrucciones.</v>
      </c>
      <c r="D112" s="180"/>
      <c r="E112" s="181"/>
    </row>
    <row r="113" spans="3:5" ht="15.75" thickBot="1">
      <c r="C113" s="84"/>
      <c r="D113" s="84"/>
      <c r="E113" s="82"/>
    </row>
    <row r="114" spans="3:5">
      <c r="C114" s="189" t="s">
        <v>143</v>
      </c>
      <c r="D114" s="187"/>
      <c r="E114" s="188"/>
    </row>
    <row r="115" spans="3:5" ht="154.5" customHeight="1" thickBot="1">
      <c r="C115" s="179" t="str">
        <f>J27</f>
        <v>Monitor Multiparamétrico con pantalla táctil LCD color de 10” como mínimo, con resolución aproximada de 800x600, con botonera que permita realizar todas las funciones sin tocar la pantalla, con la posibilidad de seleccionar entre pacientes adultos, pediátricos y neonatales. Con múltiples puertos USB para conectar teclado, mouse y memorias extraíbles. Con los siguientes parámetros mínimos: ECG, Respiración, Temperatura, SpO2 y PNI. Con detección de marcapasos automática. Con batería con autonomía mínima de 4 horas. Debe cumplir con los siguientes requerimientos mínimos:  Memoria interna: para más de 120 horas de tablas y/o gráficos de tendencia. 1200 mediciones de PNI. 200 eventos de arritmias. 200 alarmas.  ECG: con cable de 5 derivaciones, velocidad de barrido de 25mm/seg. Rango de frecuencia de 15 a 350ppm con precisión del 1%.  Respiración: por impedancia entre RA-LL y RA-LA. Rango de medición de 0 a 150rpm con precisión de 2rpm.  Temperatura: Con sensor tipo YSI-10K, método por resistencia térmica, rango de medición de 0 a 50 ºC, con precisión de 0,3ºC.  SpO2: con sensor óptico, con rango de medición de 0 a 100% y precisión de 3%  PNI: por método oscilométrico, en modos manual/automático/continuo, rango de medición de 0 a 300mmHg con precisión de 1mmHg. Accesorios que se deben entregar:  1 Cable troncal de interconexión de ecg  1 Set de latiguillos de 5 derivaciones para ECG  1 Prolongador de interconexión para SpO2  1 Sensor de oximetría tipo dedal para adultos  1 Sensor de oximetría para pediatría/neonatología  1 Cuff tamaño pediátrico para PNI  1 Cuff tamaño adulto para PNI  1 Sensor de temperatura de piel  1 Batería  1 Cable de alimentación  Manuales y demás documentación. Debe estar inscripto en ANMAT y poseer 1 año de garantía.</v>
      </c>
      <c r="D115" s="180"/>
      <c r="E115" s="181"/>
    </row>
    <row r="116" spans="3:5" ht="15.75" thickBot="1">
      <c r="C116" s="84"/>
      <c r="D116" s="84"/>
      <c r="E116" s="82"/>
    </row>
    <row r="117" spans="3:5">
      <c r="C117" s="186" t="s">
        <v>144</v>
      </c>
      <c r="D117" s="187"/>
      <c r="E117" s="188"/>
    </row>
    <row r="118" spans="3:5" ht="54.75" customHeight="1" thickBot="1">
      <c r="C118" s="179" t="str">
        <f>J28</f>
        <v>Equipo de rayos rodante, con disparador digital. 
Características generales: Distancia Foco-Película: 200 mm; Diámetro de Diafragma de Plomo (filtro irremovible): 26 mm; Campo de Radiación (diam.): 60 mm; Corriente al Tubo: 9mA; Filtración Total: Equiv a 2.0 mm Al; Mancha Focal efectiva: 0.8 mm, Arrollamiento Inmerso en Aceite; Radiación Exterior ˂0,01 mGy/h a 100 cm de distancia; Peso aproximado: 35 kg
Características eléctricas: Alimentación: 230/110 VAC . ±10% – 50/60 Hz; Corriente Primaria; 4 A max – 230 VAC, 920 VA; 8 A max – 110 VAC, 880 VA; Alta Tensión: 70 Kvp</v>
      </c>
      <c r="D118" s="180"/>
      <c r="E118" s="181"/>
    </row>
    <row r="119" spans="3:5" ht="15.75" thickBot="1"/>
    <row r="120" spans="3:5">
      <c r="C120" s="186" t="s">
        <v>145</v>
      </c>
      <c r="D120" s="187"/>
      <c r="E120" s="188"/>
    </row>
    <row r="121" spans="3:5" ht="108.75" customHeight="1" thickBot="1">
      <c r="C121" s="179" t="str">
        <f>J29</f>
        <v>Electroestimulador de ondas rusas de 8 canales. Totalmente microprocesado con 42 programas pre-establecidos como mínimo y la posibilidad de programar manualmente el tratamiento. Deberá contar con 3 modos de trabajo: Todos los canales, Extensión-Flexión, Secuencial. ONDAS RUSAS – 2500/5000 Hz. / INTERFERENCIAL / TENS.  Ondas rusas: Con una frecuencia de 2.500 Hz. Aplicadas en ráfagas, con una frecuencia de 10 a 100 Hz. Las ondas deben presentar una rampa de subida que comience a intensidad cero y vaya aumentando progresivamente hasta llegar al máximo seleccionado, luego debe mantener la intensidad constante (pero siempre en ráfagas), y luego caer suavemente en algunos segundos. Los tiempos para las zonas de rampas, contracción y relajación se deben poder modificar de acuerdo a cada paciente y tratamiento. Características eléctricas mínimas: • Aparato Clase I • Alimentación: 220 VCA 50/60 Hz • Consumo promedio: 200 Vatios • Controlado por Microprocesador • Pantalla LCD Gráfica COLOR de 320 x 240 sensible al tacto, retro iluminada. Accesorios que debe incluir: • 12 bandas elásticas largas con abrojo. • 16 electrodos grandes de 100 mm. • 8 electrodos chicos de 50 mm. • 8 cables dobles con Plug a fichas bananas de 4 mm. • 1 cable de Alimentación.</v>
      </c>
      <c r="D121" s="180"/>
      <c r="E121" s="181"/>
    </row>
    <row r="122" spans="3:5" ht="15.75" thickBot="1">
      <c r="C122" s="80"/>
      <c r="D122" s="80"/>
      <c r="E122" s="79"/>
    </row>
    <row r="123" spans="3:5">
      <c r="C123" s="189" t="s">
        <v>146</v>
      </c>
      <c r="D123" s="187"/>
      <c r="E123" s="188"/>
    </row>
    <row r="124" spans="3:5" ht="124.5" customHeight="1" thickBot="1">
      <c r="C124" s="179" t="str">
        <f>J30</f>
        <v>Equipo generador de campo magnético totalmente digital. Con una pantalla LCD-LED. Debe incluir las siguientes patologías prefijadas: Artrosis, Osteoporosis, Tendinitis, Fractura, Desgarro, Lesiones Nerviosas, Heridas, Dermatosis, Bursitis, Epicondritis, Osteomielitis. También deberá contar con al menos 5 posiciones de memoria para que usuario configure sus programas. Y contar con un “modo” manual cuando no este seleccionada ni una patología ni una memoria de usuario. Debe poseer cuatro salidas como mínimo para conectar tanto aplicadores tipo túnel como así también aplicadores planos, pudiendo funcionar todos en forma simultánea.  El equipo debe cumplir con las siguientes características técnicas mínimas: • Tensión de alimentación: 220 V - 50/60 Hz • Consumo: 50 watts • Potencia de Emisión: 500 gauss • Frecuencia de Emisión: 5 a 100 hz. (en pasos de 5hz) • Controles: panel táctil • Potencia: Variable Por Comando Digital • Interfaz: Pantalla LCD-LED retroiluminada. • Temporizador: Digital • Normas: IEC 60601.1 - Equipo Clase 1 - tipo BF • Grado de Protección contra penetración de líquidos: IPX0 • Medidas aprox: 33.5 x 11.5 x 27 cm. (ancho x alto x profundidad) Debe incluir: -1 Equipo de Magnetoterapia con 4 salidas - (11 Programas + 5 Memorias), 2 Aplicadores Planos (Solenoides), -1 kit de bandas elásticas de 60 milímetros y pasador para ajustar, -1 Aplicador Túnel con Aros de Alto Impacto de 27cm de diámetro (efectivos 24cm), - 1 Cable de Conexión, -1 Manual en español. -1 Imán para corroborar el funcionamiento del equipo.</v>
      </c>
      <c r="D124" s="180"/>
      <c r="E124" s="181"/>
    </row>
    <row r="125" spans="3:5" ht="15.75" thickBot="1">
      <c r="C125" s="79"/>
      <c r="D125" s="79"/>
      <c r="E125" s="79"/>
    </row>
    <row r="126" spans="3:5">
      <c r="C126" s="189" t="s">
        <v>147</v>
      </c>
      <c r="D126" s="187"/>
      <c r="E126" s="188"/>
    </row>
    <row r="127" spans="3:5" ht="216.75" customHeight="1" thickBot="1">
      <c r="C127" s="179" t="str">
        <f>J31</f>
        <v>SILLON DENTAL COLGANTE COMPLETO
• Tapizado en cuerina anatómico y ergonómico sin costuras
• Apoya cabeza multi-articulado
• Foco LED circular, intensidad regulable
• Con calentador de agua llena vaso
• Control para asistente
• Salivadera redonda de vidrio templado con llena vaso y lava bacha comandados
• Sistema de agua presurizada
• Platina regulable Colibrí o manguera colgante
• Comandos electricos
• Tres salidas neumática
• Jeringa Triple
• Negatoscopio LED
• Eyector de alta y baja potencia 
• INCLUYE: * Banqueta con respaldo de contacto permanente, * Cavitador Neumático Kmd (3 Insertos), * Turbina Simple Spray Saca Fresa, * Contra Angulo 1:1 Coxo Externo a Gatillo, * Micromotor Neumático Rose 201am‐b2 Spray Externo 6m, * Compresor Gdk Jw032b 1.1hp 850w 38l Libre Aceite.</v>
      </c>
      <c r="D127" s="180"/>
      <c r="E127" s="181"/>
    </row>
    <row r="128" spans="3:5" ht="15.75" thickBot="1">
      <c r="C128" s="81"/>
      <c r="D128" s="82"/>
      <c r="E128" s="82"/>
    </row>
    <row r="129" spans="3:5">
      <c r="C129" s="189" t="s">
        <v>148</v>
      </c>
      <c r="D129" s="187"/>
      <c r="E129" s="188"/>
    </row>
    <row r="130" spans="3:5" ht="43.5" customHeight="1" thickBot="1">
      <c r="C130" s="179" t="str">
        <f>J32</f>
        <v>Programa de 5, 10, 15, 20 segundos. Continuo + Intermitente + función Rampa. Con protector U.V. Comando digital. Fibra óptica giratoria 360º y esterilizable. Emisión de luz de hasta 480 nm. Polimeriza 4 mm en 10 segundos. Su potencia es de 1200 mW/cm2.</v>
      </c>
      <c r="D130" s="180"/>
      <c r="E130" s="181"/>
    </row>
    <row r="131" spans="3:5" ht="15.75" thickBot="1">
      <c r="C131" s="81"/>
      <c r="D131" s="82"/>
      <c r="E131" s="82"/>
    </row>
    <row r="132" spans="3:5">
      <c r="C132" s="189" t="s">
        <v>149</v>
      </c>
      <c r="D132" s="187"/>
      <c r="E132" s="188"/>
    </row>
    <row r="133" spans="3:5" ht="160.5" customHeight="1" thickBot="1">
      <c r="C133" s="179" t="str">
        <f>J33</f>
        <v>Espectrofótometro: 
Analizador clínico semiautomático de última generación. Impresora incorporada. Sistema que permite trabajar con microcelda de flujo termostatizada o cubetas macro y semimicro. Almacena hasta  132 técnicas abiertas y 30 curvas de calibración
Sistema óptico: -Monocromador con filtros interferenciales. -Rango de longitudes de onda: 340 - 1000 11111. -Selección de longitud de onda: rueda automática de filtros con 9 posiciones. -Filtros instalados: 340,405, 450, 505, 550, 620 y 750 nm + 2 posiciones libres. -Ancho de banda: 1O o 2 nm. -Rango fotométrico: -0,5 - 4,000 Abs. -Precisión: +/- 0,002 Abs.
Fuente de luz: -Lámpara Halógena 6V - 1OW. Cero automático. -Stand by automático. Ajuste automático por Software.
Sistema de cubetas DUAL: -Microcelda de flujo metálica con ventana de cuarzo. -10 mm de paso de luz, volumen: 18 µl. -Soporte standard de 10 nun x 10 nun para cubeta externa macro o semi-micro. -Celda de flujo termostatizada por efecto Peltier: 25°C, 30°C, 37°C.
Sistema de aspiración: -Bomba peristá ltica con motor paso a paso. -Volúmen programable: 100 a 500 µl. -Arrastre: 2% para 400 µl.
Interface con el operador: -Teclado de membrana  con 25 teclas para funciones y entradas numéricas. -Impresora térmica incorporada: 27 caracteres/línea. -Display gráfico de cristal liquido con contraste.
Programas: -132 test programables. -Control  de Calidad: Estadísticas, Gráficos de Levey Jennings. -Hasta 1O controles programables. Menu de mantenimiento. Control de impresora. INCLUYE UPS ACORDE AL EQUIPO</v>
      </c>
      <c r="D133" s="180"/>
      <c r="E133" s="181"/>
    </row>
    <row r="134" spans="3:5" ht="15.75" thickBot="1">
      <c r="C134" s="81"/>
      <c r="D134" s="82"/>
      <c r="E134" s="82"/>
    </row>
    <row r="135" spans="3:5">
      <c r="C135" s="189" t="s">
        <v>150</v>
      </c>
      <c r="D135" s="187"/>
      <c r="E135" s="188"/>
    </row>
    <row r="136" spans="3:5" ht="255.75" customHeight="1" thickBot="1">
      <c r="C136" s="179" t="str">
        <f>J34</f>
        <v>Interior en acero inoxidable grado 304 18/8
Exterior de hierro con pintura horneada
Aislamiento con lana de vidrio
2 puertas laterales con cierre a falleba giratoria
Ajuste de puertas con cordón de silicona
Aireador en la parte superior
Termómetro a mercurio de control empotrado en el frente
Temperatura mínima de trabajo 30ºC
Temperatura máxima de trabajo 200ºC
Termorregulador hidráulico a capilar
Indicadores luminosos de funcionamiento
Interruptor de corte de funcionamiento
Exactitud: +- 1,5% del valor final de temperatura
Uniformidad: +- 1,5% del valor final de temperatura
Conexión a 220 Vac. 50-60Hz.
Medida interna 60x40x 40
Volumen Lts. 96
Medida Externa 74 x 74 x 57
Accesorios: 2 estantes tipo rejilla regulables (5 posiciones)</v>
      </c>
      <c r="D136" s="180"/>
      <c r="E136" s="181"/>
    </row>
    <row r="137" spans="3:5" ht="15.75" thickBot="1">
      <c r="C137" s="81"/>
      <c r="D137" s="82"/>
      <c r="E137" s="82"/>
    </row>
    <row r="138" spans="3:5">
      <c r="C138" s="189" t="s">
        <v>151</v>
      </c>
      <c r="D138" s="187"/>
      <c r="E138" s="188"/>
    </row>
    <row r="139" spans="3:5" ht="33" customHeight="1" thickBot="1">
      <c r="C139" s="179" t="str">
        <f>J35</f>
        <v>- Diapason 128 Hz Hartmann – separador</v>
      </c>
      <c r="D139" s="180"/>
      <c r="E139" s="181"/>
    </row>
    <row r="140" spans="3:5" ht="15.75" thickBot="1">
      <c r="C140" s="81"/>
      <c r="D140" s="82"/>
      <c r="E140" s="82"/>
    </row>
    <row r="141" spans="3:5">
      <c r="C141" s="189" t="s">
        <v>152</v>
      </c>
      <c r="D141" s="187"/>
      <c r="E141" s="188"/>
    </row>
    <row r="142" spans="3:5" ht="55.5" customHeight="1" thickBot="1">
      <c r="C142" s="179" t="str">
        <f>J36</f>
        <v>Tabla larga plástica de inmovilización espinal y traslado para adultos obesos. Medidas aproximadas: 180 X 45 X 1,8 cm. Debe ser traslucida a RX, CT y MRI. Debe estar construida ergonómicamente en HDPE (polietileno de alta densidad, lavable antiestático de alta resistencia) sin costuras ni huecos, impermeable y atoxica. Debe presentar calados p/inmovilizador cervical, pectorales, abdomen y piernas independientes. Multifenestrada con amplios orificios para empuñaduras y orificios para tres cinturones de fijación de rápida liberación. Debe soportar una carga de 180 Kg como mínimo. Debe incluir 3 cinturones inmovilizadores.</v>
      </c>
      <c r="D142" s="180"/>
      <c r="E142" s="181"/>
    </row>
    <row r="143" spans="3:5" ht="15.75" thickBot="1">
      <c r="C143" s="81"/>
      <c r="D143" s="82"/>
      <c r="E143" s="82"/>
    </row>
    <row r="144" spans="3:5">
      <c r="C144" s="186" t="s">
        <v>153</v>
      </c>
      <c r="D144" s="187"/>
      <c r="E144" s="188"/>
    </row>
    <row r="145" spans="3:5" ht="53.25" customHeight="1" thickBot="1">
      <c r="C145" s="179" t="str">
        <f>J37</f>
        <v>Gabinete de Revelado de amplia capacidad interior para manipular las radiografías dentales. Accesibles a través de dos empuñaduras de tela que no permitan el ingreso de luz del exterior y evitar que se velen las placas. Equipos 100 % estancos para evitar el ingreso de luz exterior y deben disponer de una Tapa Acrílica roja con protección UV. Material del gabinete: Acero Inoxidable.  Dimensiones aproximadas: Altura 240 mm, Largo 380 mm, Profundidad 255 mm. Peso aproximado 3 kg.</v>
      </c>
      <c r="D145" s="180"/>
      <c r="E145" s="181"/>
    </row>
    <row r="146" spans="3:5" ht="15.75" thickBot="1">
      <c r="C146" s="81"/>
      <c r="D146" s="82"/>
      <c r="E146" s="82"/>
    </row>
    <row r="147" spans="3:5">
      <c r="C147" s="186" t="s">
        <v>154</v>
      </c>
      <c r="D147" s="187"/>
      <c r="E147" s="188"/>
    </row>
    <row r="148" spans="3:5" ht="24.75" customHeight="1" thickBot="1">
      <c r="C148" s="179" t="str">
        <f>J38</f>
        <v>Medidor de glucosa ;Dispositivo de punción; 10 lancetas estériles; Manual del usuario; Guía de inicio; Estuche portátil.</v>
      </c>
      <c r="D148" s="180"/>
      <c r="E148" s="181"/>
    </row>
    <row r="149" spans="3:5" ht="15.75" thickBot="1">
      <c r="C149" s="81"/>
      <c r="D149" s="82"/>
      <c r="E149" s="82"/>
    </row>
    <row r="150" spans="3:5">
      <c r="C150" s="186" t="s">
        <v>155</v>
      </c>
      <c r="D150" s="187"/>
      <c r="E150" s="188"/>
    </row>
    <row r="151" spans="3:5" ht="42.75" customHeight="1" thickBot="1">
      <c r="C151" s="179" t="str">
        <f>J39</f>
        <v xml:space="preserve">Laringoscopio adulto tipo Mc Intosh fabricado en acero de primera calidad, con 3 ramas curvas (número: 3, 4 y 5). Con alimentación por pilas tipo C. Largo aproximado de 15cm. Con estuche de transporte. </v>
      </c>
      <c r="D151" s="180"/>
      <c r="E151" s="181"/>
    </row>
    <row r="152" spans="3:5" ht="15.75" thickBot="1">
      <c r="C152" s="81"/>
      <c r="D152" s="82"/>
      <c r="E152" s="82"/>
    </row>
    <row r="153" spans="3:5">
      <c r="C153" s="186" t="s">
        <v>156</v>
      </c>
      <c r="D153" s="187"/>
      <c r="E153" s="188"/>
    </row>
    <row r="154" spans="3:5" ht="45" customHeight="1" thickBot="1">
      <c r="C154" s="179" t="str">
        <f>J40</f>
        <v xml:space="preserve">Laringoscopio pediátrico tipo Mc Intosh fabricado en acero de primera calidad, con 3 ramas curvas (número: 0/55mm, 1/85mm y 2/135mm). Con alimentación por pilas tipo C. Largo aproximado de 15cm. Con estuche de transporte. </v>
      </c>
      <c r="D154" s="180"/>
      <c r="E154" s="181"/>
    </row>
    <row r="155" spans="3:5" ht="15.75" thickBot="1">
      <c r="C155" s="81"/>
      <c r="D155" s="82"/>
      <c r="E155" s="82"/>
    </row>
    <row r="156" spans="3:5">
      <c r="C156" s="186" t="s">
        <v>157</v>
      </c>
      <c r="D156" s="187"/>
      <c r="E156" s="188"/>
    </row>
    <row r="157" spans="3:5" ht="73.5" customHeight="1" thickBot="1">
      <c r="C157" s="179" t="str">
        <f>J41</f>
        <v>Lavador de Elisa
Especificaciones  Técnicas 
Protocolos de lavado: Hasta 100. Ciclos de lavado: De O a 9. Volumen de dispensado: De 50 hasta 3000  uL. Protección contra colisión de fondo Automático. Volumen residual por hilera &lt;2  uL. Tiempo de inmersión:  De O a 300 segundos. Tiempo de agitación: De O a 300 segundos.  Opciones múltiples  1x8, 1x12. Medidas de las botellas: 2x2L (Detergente), 1x2L (Desechos), 1x2L (Agua destilada). Fuente de alimentación de CE 100-240V. Temperatura: De 5 a 35 ºC. Humedad: De 15 a 85 %. Dimensiones aproximadas 400 mm (Largo) x 330mm (ancho) x 145mm (Alto). INCLUYE UPS ACORDE AL EQUIPO</v>
      </c>
      <c r="D157" s="180"/>
      <c r="E157" s="181"/>
    </row>
    <row r="158" spans="3:5" ht="15.75" thickBot="1">
      <c r="C158" s="81"/>
      <c r="D158" s="82"/>
      <c r="E158" s="82"/>
    </row>
    <row r="159" spans="3:5">
      <c r="C159" s="186" t="s">
        <v>158</v>
      </c>
      <c r="D159" s="187"/>
      <c r="E159" s="188"/>
    </row>
    <row r="160" spans="3:5" ht="95.25" customHeight="1" thickBot="1">
      <c r="C160" s="179" t="str">
        <f>J42</f>
        <v>Lector de Elisa de Microplaca
Pantalla LCD a color, sensible al tacto de 7.8". Cubierta opaca para evitar luz externa. Impresora térmica y opción a impresora externa. Capacidad para almacenar más de 20,000 resultados Múltiples opciones para ajuste de curva. Modos de agitación de velocidad y tiempo variables. Sistema óptico bi-cromático totalmente automático Amplio reporte con información del paciente. Lámpara de alta durabilidad. Software de gestión de datos (opcional).
Especificaciones Técnicas: * Data Management Software. * Método de detección Absorbancia. * Microplacas aceptadas 96 y 48 pozos. *Sistema de Medición: Sistema óptico de 8 canales. * Fuente de Luz Lámpara de Halogeno-tunsteno. * Puertos de Conexión 1 x RS232, 2 x USB. * Agitación Modos de agitación de velocidad y tiempo variables. * Ingreso de Datos Mediante Pantalla Táctil. * Pantalla LCD a color. INCLUYE UPS ACORDE AL EQUIPO</v>
      </c>
      <c r="D160" s="180"/>
      <c r="E160" s="181"/>
    </row>
    <row r="161" spans="3:5" ht="15.75" thickBot="1">
      <c r="C161" s="81"/>
      <c r="D161" s="82"/>
      <c r="E161" s="82"/>
    </row>
    <row r="162" spans="3:5">
      <c r="C162" s="186" t="s">
        <v>159</v>
      </c>
      <c r="D162" s="187"/>
      <c r="E162" s="188"/>
    </row>
    <row r="163" spans="3:5" ht="31.5" customHeight="1" thickBot="1">
      <c r="C163" s="179" t="str">
        <f>J43</f>
        <v xml:space="preserve">Mesa auxiliar rodante de uso Odontologico, con 6 cajones y 1 gabinete con puerta lateral y 4 estantes, de melamina. </v>
      </c>
      <c r="D163" s="180"/>
      <c r="E163" s="181"/>
    </row>
    <row r="164" spans="3:5" ht="15.75" thickBot="1">
      <c r="C164" s="83"/>
      <c r="D164" s="83"/>
      <c r="E164" s="82"/>
    </row>
    <row r="165" spans="3:5">
      <c r="C165" s="186" t="s">
        <v>160</v>
      </c>
      <c r="D165" s="187"/>
      <c r="E165" s="188"/>
    </row>
    <row r="166" spans="3:5" ht="122.25" customHeight="1" thickBot="1">
      <c r="C166" s="179" t="str">
        <f>J44</f>
        <v>NEBULIZADOR:
- Capacidad para 1.75mL.
- Para Nebulizar  aproximado 0.34 mililitros por minuto.
- Con sistema monocámara.
- Funcionamiento de forma silenciosa.
- Niebla regulable
- Apagar automaticamente
- Aprobado por ANMAT.
- Incluir accesorios.</v>
      </c>
      <c r="D166" s="180"/>
      <c r="E166" s="181"/>
    </row>
    <row r="167" spans="3:5" ht="15.75" thickBot="1"/>
    <row r="168" spans="3:5">
      <c r="C168" s="186" t="s">
        <v>161</v>
      </c>
      <c r="D168" s="187"/>
      <c r="E168" s="188"/>
    </row>
    <row r="169" spans="3:5" ht="75.75" customHeight="1" thickBot="1">
      <c r="C169" s="179" t="str">
        <f>J45</f>
        <v>Silla de Ruedas especialmente diseñada para usuarios con sobrepeso o de mayores dimensiones, con asiento extra ancho, barra doble cruzada inferior y estructura reforzada para soportar hasta 200 kg.
Estructura plegable de acero inoxidable recubierto de alta resistencia.  Apoyabrazos largos fijos, con superficie de apoyo acolchada blanda y apoya pies con plataforma metálica resistente y abatible para una mayor comodidad.  Ruedas traseras macizas con la tecnología “anti pinchazo” con aro manual ergonómico y ruedas delanteras multi direccionales.</v>
      </c>
      <c r="D169" s="180"/>
      <c r="E169" s="181"/>
    </row>
    <row r="170" spans="3:5" ht="15.75" thickBot="1">
      <c r="C170" s="83"/>
      <c r="D170" s="83"/>
      <c r="E170" s="82"/>
    </row>
    <row r="171" spans="3:5">
      <c r="C171" s="186" t="s">
        <v>162</v>
      </c>
      <c r="D171" s="187"/>
      <c r="E171" s="188"/>
    </row>
    <row r="172" spans="3:5" ht="15.75" thickBot="1">
      <c r="C172" s="179" t="str">
        <f>J46</f>
        <v>Tambor Algodonero, tapa perforada</v>
      </c>
      <c r="D172" s="180"/>
      <c r="E172" s="181"/>
    </row>
  </sheetData>
  <mergeCells count="93">
    <mergeCell ref="C171:E171"/>
    <mergeCell ref="C172:E172"/>
    <mergeCell ref="C162:E162"/>
    <mergeCell ref="C163:E163"/>
    <mergeCell ref="C165:E165"/>
    <mergeCell ref="C166:E166"/>
    <mergeCell ref="C168:E168"/>
    <mergeCell ref="C169:E169"/>
    <mergeCell ref="C160:E160"/>
    <mergeCell ref="C144:E144"/>
    <mergeCell ref="C145:E145"/>
    <mergeCell ref="C147:E147"/>
    <mergeCell ref="C148:E148"/>
    <mergeCell ref="C150:E150"/>
    <mergeCell ref="C151:E151"/>
    <mergeCell ref="C153:E153"/>
    <mergeCell ref="C154:E154"/>
    <mergeCell ref="C156:E156"/>
    <mergeCell ref="C157:E157"/>
    <mergeCell ref="C159:E159"/>
    <mergeCell ref="C142:E142"/>
    <mergeCell ref="C126:E126"/>
    <mergeCell ref="C127:E127"/>
    <mergeCell ref="C129:E129"/>
    <mergeCell ref="C130:E130"/>
    <mergeCell ref="C132:E132"/>
    <mergeCell ref="C133:E133"/>
    <mergeCell ref="C135:E135"/>
    <mergeCell ref="C136:E136"/>
    <mergeCell ref="C138:E138"/>
    <mergeCell ref="C139:E139"/>
    <mergeCell ref="C141:E141"/>
    <mergeCell ref="C124:E124"/>
    <mergeCell ref="C108:E108"/>
    <mergeCell ref="C109:E109"/>
    <mergeCell ref="C111:E111"/>
    <mergeCell ref="C112:E112"/>
    <mergeCell ref="C114:E114"/>
    <mergeCell ref="C115:E115"/>
    <mergeCell ref="C117:E117"/>
    <mergeCell ref="C118:E118"/>
    <mergeCell ref="C120:E120"/>
    <mergeCell ref="C121:E121"/>
    <mergeCell ref="C123:E123"/>
    <mergeCell ref="C106:E106"/>
    <mergeCell ref="C90:E90"/>
    <mergeCell ref="C91:E91"/>
    <mergeCell ref="C93:E93"/>
    <mergeCell ref="C94:E94"/>
    <mergeCell ref="C96:E96"/>
    <mergeCell ref="C97:E97"/>
    <mergeCell ref="C99:E99"/>
    <mergeCell ref="C100:E100"/>
    <mergeCell ref="C102:E102"/>
    <mergeCell ref="C103:E103"/>
    <mergeCell ref="C105:E105"/>
    <mergeCell ref="C88:E88"/>
    <mergeCell ref="C72:E72"/>
    <mergeCell ref="C73:E73"/>
    <mergeCell ref="C75:E75"/>
    <mergeCell ref="C76:E76"/>
    <mergeCell ref="C78:E78"/>
    <mergeCell ref="C79:E79"/>
    <mergeCell ref="C81:E81"/>
    <mergeCell ref="C82:E82"/>
    <mergeCell ref="C84:E84"/>
    <mergeCell ref="C85:E85"/>
    <mergeCell ref="C87:E87"/>
    <mergeCell ref="C70:E70"/>
    <mergeCell ref="D54:E54"/>
    <mergeCell ref="D55:E55"/>
    <mergeCell ref="D56:E56"/>
    <mergeCell ref="D58:E58"/>
    <mergeCell ref="D59:E59"/>
    <mergeCell ref="D61:E61"/>
    <mergeCell ref="C63:E63"/>
    <mergeCell ref="C64:E64"/>
    <mergeCell ref="C66:E66"/>
    <mergeCell ref="C67:E67"/>
    <mergeCell ref="C69:E69"/>
    <mergeCell ref="D53:E53"/>
    <mergeCell ref="B2:H2"/>
    <mergeCell ref="A4:B4"/>
    <mergeCell ref="C4:E4"/>
    <mergeCell ref="A5:B5"/>
    <mergeCell ref="C5:E5"/>
    <mergeCell ref="A6:B6"/>
    <mergeCell ref="A47:H47"/>
    <mergeCell ref="A7:B7"/>
    <mergeCell ref="C49:E49"/>
    <mergeCell ref="C50:E50"/>
    <mergeCell ref="D51:E51"/>
    <mergeCell ref="D52:E5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topLeftCell="A10" workbookViewId="0">
      <selection activeCell="B28" sqref="B28"/>
    </sheetView>
  </sheetViews>
  <sheetFormatPr baseColWidth="10" defaultRowHeight="15"/>
  <cols>
    <col min="1" max="1" width="5.5703125" customWidth="1"/>
    <col min="2" max="2" width="15.140625" customWidth="1"/>
    <col min="3" max="3" width="14.140625" customWidth="1"/>
    <col min="4" max="4" width="26" customWidth="1"/>
    <col min="5" max="5" width="8" customWidth="1"/>
    <col min="6" max="6" width="7.85546875" customWidth="1"/>
    <col min="7" max="7" width="119.85546875" customWidth="1"/>
    <col min="8" max="8" width="11.140625" customWidth="1"/>
    <col min="9" max="9" width="15.5703125" customWidth="1"/>
    <col min="10" max="10" width="16.28515625" customWidth="1"/>
    <col min="11" max="11" width="15.5703125" customWidth="1"/>
  </cols>
  <sheetData>
    <row r="1" spans="1:11" ht="30.75" thickBot="1">
      <c r="A1" s="214" t="s">
        <v>165</v>
      </c>
      <c r="B1" s="205"/>
      <c r="C1" s="205"/>
      <c r="D1" s="205"/>
      <c r="E1" s="205"/>
      <c r="F1" s="205"/>
      <c r="G1" s="205"/>
      <c r="H1" s="205"/>
      <c r="I1" s="205"/>
      <c r="J1" s="85" t="s">
        <v>166</v>
      </c>
      <c r="K1" s="86"/>
    </row>
    <row r="2" spans="1:11" ht="16.5" thickBot="1">
      <c r="A2" s="87"/>
      <c r="B2" s="88"/>
      <c r="C2" s="89"/>
      <c r="D2" s="90"/>
      <c r="E2" s="90"/>
      <c r="F2" s="90"/>
      <c r="G2" s="90"/>
      <c r="H2" s="90"/>
      <c r="I2" s="90"/>
      <c r="J2" s="91"/>
      <c r="K2" s="92"/>
    </row>
    <row r="3" spans="1:11" ht="16.5" thickBot="1">
      <c r="A3" s="215" t="s">
        <v>167</v>
      </c>
      <c r="B3" s="216"/>
      <c r="C3" s="216"/>
      <c r="D3" s="93" t="s">
        <v>111</v>
      </c>
      <c r="E3" s="94"/>
      <c r="F3" s="94"/>
      <c r="G3" s="94"/>
      <c r="H3" s="94"/>
      <c r="I3" s="94"/>
      <c r="J3" s="95"/>
      <c r="K3" s="96"/>
    </row>
    <row r="4" spans="1:11" ht="16.5" thickBot="1">
      <c r="A4" s="192" t="s">
        <v>168</v>
      </c>
      <c r="B4" s="193"/>
      <c r="C4" s="193"/>
      <c r="D4" s="93" t="s">
        <v>169</v>
      </c>
      <c r="E4" s="94"/>
      <c r="F4" s="94"/>
      <c r="G4" s="94"/>
      <c r="H4" s="94"/>
      <c r="I4" s="94"/>
      <c r="J4" s="95"/>
      <c r="K4" s="96"/>
    </row>
    <row r="5" spans="1:11" ht="16.5" thickBot="1">
      <c r="A5" s="192" t="s">
        <v>170</v>
      </c>
      <c r="B5" s="193"/>
      <c r="C5" s="193"/>
      <c r="D5" s="93" t="s">
        <v>171</v>
      </c>
      <c r="E5" s="94"/>
      <c r="F5" s="94"/>
      <c r="G5" s="94"/>
      <c r="H5" s="94"/>
      <c r="I5" s="94"/>
      <c r="J5" s="95"/>
      <c r="K5" s="96"/>
    </row>
    <row r="6" spans="1:11" ht="16.5" thickBot="1">
      <c r="A6" s="215" t="s">
        <v>172</v>
      </c>
      <c r="B6" s="216"/>
      <c r="C6" s="216"/>
      <c r="D6" s="93" t="s">
        <v>171</v>
      </c>
      <c r="E6" s="94"/>
      <c r="F6" s="94"/>
      <c r="G6" s="94"/>
      <c r="H6" s="94"/>
      <c r="I6" s="94"/>
      <c r="J6" s="95"/>
      <c r="K6" s="96"/>
    </row>
    <row r="7" spans="1:11" ht="16.5" thickBot="1">
      <c r="A7" s="192" t="s">
        <v>173</v>
      </c>
      <c r="B7" s="193"/>
      <c r="C7" s="193"/>
      <c r="D7" s="93" t="s">
        <v>206</v>
      </c>
      <c r="E7" s="94"/>
      <c r="F7" s="94"/>
      <c r="G7" s="94"/>
      <c r="H7" s="94"/>
      <c r="I7" s="94"/>
      <c r="J7" s="95"/>
      <c r="K7" s="96"/>
    </row>
    <row r="8" spans="1:11" ht="16.5" thickBot="1">
      <c r="A8" s="197" t="s">
        <v>174</v>
      </c>
      <c r="B8" s="198"/>
      <c r="C8" s="199"/>
      <c r="D8" s="97" t="s">
        <v>207</v>
      </c>
      <c r="E8" s="94"/>
      <c r="F8" s="94"/>
      <c r="G8" s="94"/>
      <c r="H8" s="94"/>
      <c r="I8" s="94"/>
      <c r="J8" s="95"/>
      <c r="K8" s="96"/>
    </row>
    <row r="9" spans="1:11" ht="16.5" thickBot="1">
      <c r="A9" s="98"/>
      <c r="B9" s="99"/>
      <c r="C9" s="100"/>
      <c r="D9" s="101"/>
      <c r="E9" s="101"/>
      <c r="F9" s="101"/>
      <c r="G9" s="101"/>
      <c r="H9" s="101"/>
      <c r="I9" s="101"/>
      <c r="J9" s="102"/>
      <c r="K9" s="103"/>
    </row>
    <row r="10" spans="1:11">
      <c r="A10" s="200" t="s">
        <v>175</v>
      </c>
      <c r="B10" s="202" t="s">
        <v>176</v>
      </c>
      <c r="C10" s="204" t="s">
        <v>177</v>
      </c>
      <c r="D10" s="205"/>
      <c r="E10" s="205"/>
      <c r="F10" s="205"/>
      <c r="G10" s="206"/>
      <c r="H10" s="202" t="s">
        <v>178</v>
      </c>
      <c r="I10" s="202" t="s">
        <v>179</v>
      </c>
      <c r="J10" s="209" t="s">
        <v>180</v>
      </c>
      <c r="K10" s="210" t="s">
        <v>181</v>
      </c>
    </row>
    <row r="11" spans="1:11" ht="35.25" customHeight="1" thickBot="1">
      <c r="A11" s="201"/>
      <c r="B11" s="203"/>
      <c r="C11" s="207"/>
      <c r="D11" s="164"/>
      <c r="E11" s="164"/>
      <c r="F11" s="164"/>
      <c r="G11" s="208"/>
      <c r="H11" s="203"/>
      <c r="I11" s="203"/>
      <c r="J11" s="203"/>
      <c r="K11" s="211"/>
    </row>
    <row r="12" spans="1:11">
      <c r="A12" s="104">
        <v>1</v>
      </c>
      <c r="B12" s="105" t="str">
        <f>'SAF 11'!B10</f>
        <v>4.3.3-5080.1</v>
      </c>
      <c r="C12" s="212" t="str">
        <f>'SAF 11'!E10</f>
        <v>ASPIRADORES DE SECRECION; ALIMENTACION: 12-220 V, TIPO: PORTATIL</v>
      </c>
      <c r="D12" s="187"/>
      <c r="E12" s="187"/>
      <c r="F12" s="187"/>
      <c r="G12" s="213"/>
      <c r="H12" s="106" t="s">
        <v>208</v>
      </c>
      <c r="I12" s="107" t="str">
        <f>'SAF 11'!F10</f>
        <v>UNIDAD</v>
      </c>
      <c r="J12" s="108">
        <f>'SAF 11'!H10</f>
        <v>70156</v>
      </c>
      <c r="K12" s="109">
        <f>'SAF 11'!G10</f>
        <v>20</v>
      </c>
    </row>
    <row r="13" spans="1:11" ht="15.75" customHeight="1">
      <c r="A13" s="110">
        <v>2</v>
      </c>
      <c r="B13" s="111" t="str">
        <f>'SAF 11'!B11</f>
        <v>4.3.3-6616.14</v>
      </c>
      <c r="C13" s="194" t="str">
        <f>'SAF 11'!E11</f>
        <v>AUTOCLAVES ELECTRICOS; TIPO: AUTOMATICO, INDIC. TEMP: DIGITAL, CAPACIDAD: 20 L, ALIMENTACION: 220 V</v>
      </c>
      <c r="D13" s="195"/>
      <c r="E13" s="195"/>
      <c r="F13" s="195"/>
      <c r="G13" s="196"/>
      <c r="H13" s="111" t="s">
        <v>208</v>
      </c>
      <c r="I13" s="112" t="str">
        <f>'SAF 11'!F11</f>
        <v>UNIDAD</v>
      </c>
      <c r="J13" s="113">
        <f>'SAF 11'!H11</f>
        <v>132500</v>
      </c>
      <c r="K13" s="114">
        <f>'SAF 11'!G11</f>
        <v>1</v>
      </c>
    </row>
    <row r="14" spans="1:11" ht="15.75" customHeight="1">
      <c r="A14" s="110">
        <v>3</v>
      </c>
      <c r="B14" s="111" t="str">
        <f>'SAF 11'!B12</f>
        <v>4.3.3-6616.14</v>
      </c>
      <c r="C14" s="194" t="str">
        <f>'SAF 11'!E12</f>
        <v>AUTOCLAVES ELECTRICOS; TIPO: AUTOMATICO, INDIC. TEMP: DIGITAL, CAPACIDAD: 20 L, ALIMENTACION: 220 V</v>
      </c>
      <c r="D14" s="195"/>
      <c r="E14" s="195"/>
      <c r="F14" s="195"/>
      <c r="G14" s="196"/>
      <c r="H14" s="111" t="s">
        <v>208</v>
      </c>
      <c r="I14" s="112" t="str">
        <f>'SAF 11'!F12</f>
        <v>UNIDAD</v>
      </c>
      <c r="J14" s="113">
        <f>'SAF 11'!H12</f>
        <v>525000</v>
      </c>
      <c r="K14" s="114">
        <f>'SAF 11'!G12</f>
        <v>1</v>
      </c>
    </row>
    <row r="15" spans="1:11" ht="15.75" customHeight="1">
      <c r="A15" s="110">
        <v>4</v>
      </c>
      <c r="B15" s="111" t="str">
        <f>'SAF 11'!B13</f>
        <v>4.3.3-8300.1</v>
      </c>
      <c r="C15" s="194" t="str">
        <f>'SAF 11'!E13</f>
        <v>BICICLETAS P/ERGOMETRIA; VOLANTE DE INERCIA: 500 mm, ETAPA DE RESISTENCIA: 150 EN 150 Kgm, VOLANTE: DE INERCIA 500 mm</v>
      </c>
      <c r="D15" s="195"/>
      <c r="E15" s="195"/>
      <c r="F15" s="195"/>
      <c r="G15" s="196"/>
      <c r="H15" s="111" t="s">
        <v>208</v>
      </c>
      <c r="I15" s="112" t="str">
        <f>'SAF 11'!F13</f>
        <v>UNIDAD</v>
      </c>
      <c r="J15" s="113">
        <f>'SAF 11'!H13</f>
        <v>396807</v>
      </c>
      <c r="K15" s="114">
        <f>'SAF 11'!G13</f>
        <v>3</v>
      </c>
    </row>
    <row r="16" spans="1:11" ht="15.75" customHeight="1">
      <c r="A16" s="110">
        <v>5</v>
      </c>
      <c r="B16" s="111" t="str">
        <f>'SAF 11'!B14</f>
        <v>4.3.3-5420.6</v>
      </c>
      <c r="C16" s="194" t="str">
        <f>'SAF 11'!E14</f>
        <v>BOMBAS DE INFUSION; ALIMENTACION: 220 V, LECTURA: DISPLAY GRAFICO, VOLUMEN:  01-9999 ML, CONTRAPRESION: 40 KPA A 120 KPA</v>
      </c>
      <c r="D16" s="195"/>
      <c r="E16" s="195"/>
      <c r="F16" s="195"/>
      <c r="G16" s="196"/>
      <c r="H16" s="111" t="s">
        <v>208</v>
      </c>
      <c r="I16" s="112" t="str">
        <f>'SAF 11'!F14</f>
        <v>UNIDAD</v>
      </c>
      <c r="J16" s="113">
        <f>'SAF 11'!H14</f>
        <v>316490</v>
      </c>
      <c r="K16" s="114">
        <f>'SAF 11'!G14</f>
        <v>20</v>
      </c>
    </row>
    <row r="17" spans="1:11" ht="15.75" customHeight="1">
      <c r="A17" s="110">
        <v>6</v>
      </c>
      <c r="B17" s="111" t="str">
        <f>'SAF 11'!B15</f>
        <v>2.9.5-7987.9</v>
      </c>
      <c r="C17" s="194" t="str">
        <f>'SAF 11'!E15</f>
        <v>CAJAS DE INSTRUMENTAL; MATERIAL: ACERO INOXIDABLE, USO: CIRUGIA, CANTIDAD: 1</v>
      </c>
      <c r="D17" s="195"/>
      <c r="E17" s="195"/>
      <c r="F17" s="195"/>
      <c r="G17" s="196"/>
      <c r="H17" s="111" t="s">
        <v>208</v>
      </c>
      <c r="I17" s="112" t="str">
        <f>'SAF 11'!F15</f>
        <v>UNIDAD</v>
      </c>
      <c r="J17" s="113">
        <f>'SAF 11'!H15</f>
        <v>15200</v>
      </c>
      <c r="K17" s="114">
        <f>'SAF 11'!G15</f>
        <v>20</v>
      </c>
    </row>
    <row r="18" spans="1:11" ht="15.75" customHeight="1">
      <c r="A18" s="110">
        <v>7</v>
      </c>
      <c r="B18" s="111" t="str">
        <f>'SAF 11'!B16</f>
        <v>2.9.5-7987.9</v>
      </c>
      <c r="C18" s="194" t="str">
        <f>'SAF 11'!E16</f>
        <v>CAJAS DE INSTRUMENTAL; MATERIAL: ACERO INOXIDABLE, USO: CIRUGIA, CANTIDAD: 1</v>
      </c>
      <c r="D18" s="195"/>
      <c r="E18" s="195"/>
      <c r="F18" s="195"/>
      <c r="G18" s="196"/>
      <c r="H18" s="111" t="s">
        <v>208</v>
      </c>
      <c r="I18" s="112" t="str">
        <f>'SAF 11'!F16</f>
        <v>UNIDAD</v>
      </c>
      <c r="J18" s="113">
        <f>'SAF 11'!H16</f>
        <v>18000</v>
      </c>
      <c r="K18" s="114">
        <f>'SAF 11'!G16</f>
        <v>20</v>
      </c>
    </row>
    <row r="19" spans="1:11" ht="15.75" customHeight="1">
      <c r="A19" s="110">
        <v>8</v>
      </c>
      <c r="B19" s="111" t="str">
        <f>'SAF 11'!B17</f>
        <v>2.9.5-7987.1</v>
      </c>
      <c r="C19" s="194" t="str">
        <f>'SAF 11'!E17</f>
        <v>CAJAS DE INSTRUMENTAL; MATERIAL: ACERO INOXIDABLE, USO: EXAMEN GINECOLOG./INST.DE DIU, CANT.INSTRUMETAL: 10, CANTIDAD: 1</v>
      </c>
      <c r="D19" s="195"/>
      <c r="E19" s="195"/>
      <c r="F19" s="195"/>
      <c r="G19" s="196"/>
      <c r="H19" s="111" t="s">
        <v>208</v>
      </c>
      <c r="I19" s="112" t="str">
        <f>'SAF 11'!F17</f>
        <v>UNIDAD</v>
      </c>
      <c r="J19" s="113">
        <f>'SAF 11'!H17</f>
        <v>36100</v>
      </c>
      <c r="K19" s="114">
        <f>'SAF 11'!G17</f>
        <v>7</v>
      </c>
    </row>
    <row r="20" spans="1:11" ht="15.75" customHeight="1">
      <c r="A20" s="110">
        <v>9</v>
      </c>
      <c r="B20" s="111" t="str">
        <f>'SAF 11'!B18</f>
        <v>4.3.3-1719.48</v>
      </c>
      <c r="C20" s="194" t="str">
        <f>'SAF 11'!E18</f>
        <v>CAMILLAS; ANCHO: 60 Cm, LARGO: 200 Cm, ALTO: 70 Cm, ARNESES: SIN, TIPO: RODANTE</v>
      </c>
      <c r="D20" s="195"/>
      <c r="E20" s="195"/>
      <c r="F20" s="195"/>
      <c r="G20" s="196"/>
      <c r="H20" s="111" t="s">
        <v>208</v>
      </c>
      <c r="I20" s="112" t="str">
        <f>'SAF 11'!F18</f>
        <v>UNIDAD</v>
      </c>
      <c r="J20" s="113">
        <f>'SAF 11'!H18</f>
        <v>62710</v>
      </c>
      <c r="K20" s="114">
        <f>'SAF 11'!G18</f>
        <v>20</v>
      </c>
    </row>
    <row r="21" spans="1:11" ht="15.75" customHeight="1">
      <c r="A21" s="110">
        <v>10</v>
      </c>
      <c r="B21" s="111" t="str">
        <f>'SAF 11'!B19</f>
        <v>4.3.3-1719.27</v>
      </c>
      <c r="C21" s="194" t="str">
        <f>'SAF 11'!E19</f>
        <v>CAMILLAS; ANCHO: 75 Cm, LARGO: 185 Cm, ALTO: 75 Cm, ARNESES: SIN, TIPO: KINESICA</v>
      </c>
      <c r="D21" s="195"/>
      <c r="E21" s="195"/>
      <c r="F21" s="195"/>
      <c r="G21" s="196"/>
      <c r="H21" s="111" t="s">
        <v>208</v>
      </c>
      <c r="I21" s="112" t="str">
        <f>'SAF 11'!F19</f>
        <v>UNIDAD</v>
      </c>
      <c r="J21" s="113">
        <f>'SAF 11'!H19</f>
        <v>66300</v>
      </c>
      <c r="K21" s="114">
        <f>'SAF 11'!G19</f>
        <v>3</v>
      </c>
    </row>
    <row r="22" spans="1:11" ht="33.75" customHeight="1">
      <c r="A22" s="110">
        <v>11</v>
      </c>
      <c r="B22" s="111" t="str">
        <f>'SAF 11'!B20</f>
        <v>4.3.2-6331.12</v>
      </c>
      <c r="C22" s="194" t="str">
        <f>'SAF 11'!E20</f>
        <v>CARROS P/TRANSP.; SUPERFICIE: 30 X 40 Cm, ALTURA: 120 Cm, MATERIAL: CHAPA METAL PLEGADA, ESTRUCTURA: METALICA, RUEDAS: 2 REFORZADAS- DIAM. 180 mm, ACCESORIO: 2 AGARRADERAS, MATERIAL ESTRUCTURA: METALICA</v>
      </c>
      <c r="D22" s="195"/>
      <c r="E22" s="195"/>
      <c r="F22" s="195"/>
      <c r="G22" s="196"/>
      <c r="H22" s="111" t="s">
        <v>208</v>
      </c>
      <c r="I22" s="112" t="str">
        <f>'SAF 11'!F20</f>
        <v>UNIDAD</v>
      </c>
      <c r="J22" s="113">
        <f>'SAF 11'!H20</f>
        <v>16756</v>
      </c>
      <c r="K22" s="114">
        <f>'SAF 11'!G20</f>
        <v>14</v>
      </c>
    </row>
    <row r="23" spans="1:11" ht="70.5" customHeight="1">
      <c r="A23" s="110">
        <v>12</v>
      </c>
      <c r="B23" s="111" t="str">
        <f>'SAF 11'!B21</f>
        <v>4.3.3-5416.1</v>
      </c>
      <c r="C23" s="194" t="str">
        <f>'SAF 11'!E21</f>
        <v>CARROS USO HOSPITALARIO; TERMINACION: ANTIOXIDANTE, ESTRUCTURA: REFORZADA DE CHAPA ACERO SAE, MEDIDAS: 0,70 X 0,50 X 0,90 M, PARACHOQUE: GOMA, PLANO SUPERIOR: ESTRATIFICADOS CON BARANDAS, CAJONES: CON, DIVISIONES: P/MATERIALES, MASTIL: CON, CONTENEDOR: P/RESIDUOS BIOLOGICOS, ALZADA SUPERIOR: PORTA CARDIODESFIBRILADOR, CANTIDAD DE CAJONES: CON, MATERIAL ESTRUCTURA: REFORZADA DE CHAPA ACERO SAE, DIMENSION: 0,70 X 0,50 X 0,90 M, TIPO: DE PARO</v>
      </c>
      <c r="D23" s="195"/>
      <c r="E23" s="195"/>
      <c r="F23" s="195"/>
      <c r="G23" s="196"/>
      <c r="H23" s="111" t="s">
        <v>208</v>
      </c>
      <c r="I23" s="112" t="str">
        <f>'SAF 11'!F21</f>
        <v>UNIDAD</v>
      </c>
      <c r="J23" s="113">
        <f>'SAF 11'!H21</f>
        <v>408143</v>
      </c>
      <c r="K23" s="114">
        <f>'SAF 11'!G21</f>
        <v>14</v>
      </c>
    </row>
    <row r="24" spans="1:11" ht="38.25" customHeight="1">
      <c r="A24" s="110">
        <v>13</v>
      </c>
      <c r="B24" s="111" t="str">
        <f>'SAF 11'!B22</f>
        <v>4.3.3-5526.1</v>
      </c>
      <c r="C24" s="194" t="str">
        <f>'SAF 11'!E22</f>
        <v>COAGULOMETROS; USO: BIOQUIMICA, TIPO: BICANAL SEMIAUTOMATICO, DESCRIPICON: DET.DIF. PRUEBAS DE EMOSTASIS, DESCRIPCION: DET.DIF. PRUEBAS DE EMOSTASIS</v>
      </c>
      <c r="D24" s="195"/>
      <c r="E24" s="195"/>
      <c r="F24" s="195"/>
      <c r="G24" s="196"/>
      <c r="H24" s="111" t="s">
        <v>208</v>
      </c>
      <c r="I24" s="112" t="str">
        <f>'SAF 11'!F22</f>
        <v>UNIDAD</v>
      </c>
      <c r="J24" s="113">
        <f>'SAF 11'!H22</f>
        <v>3581000</v>
      </c>
      <c r="K24" s="114">
        <f>'SAF 11'!G22</f>
        <v>1</v>
      </c>
    </row>
    <row r="25" spans="1:11" ht="15.75" customHeight="1">
      <c r="A25" s="110">
        <v>14</v>
      </c>
      <c r="B25" s="111" t="str">
        <f>'SAF 11'!B23</f>
        <v>4.3.3-4600.3</v>
      </c>
      <c r="C25" s="194" t="str">
        <f>'SAF 11'!E23</f>
        <v>CONTADORES HEMATOLOGICOS; TIPO: AUTOMATICO, PARAMETRO: 18, CURVAS DE DISTRIBUCION: 3, IMPRESORA: SI, VOLUMEN DE LA MUESTRA: 20 µL</v>
      </c>
      <c r="D25" s="195"/>
      <c r="E25" s="195"/>
      <c r="F25" s="195"/>
      <c r="G25" s="196"/>
      <c r="H25" s="111" t="s">
        <v>208</v>
      </c>
      <c r="I25" s="112" t="str">
        <f>'SAF 11'!F23</f>
        <v>UNIDAD</v>
      </c>
      <c r="J25" s="113">
        <f>'SAF 11'!H23</f>
        <v>2015951</v>
      </c>
      <c r="K25" s="114">
        <f>'SAF 11'!G23</f>
        <v>2</v>
      </c>
    </row>
    <row r="26" spans="1:11" ht="15.75" customHeight="1">
      <c r="A26" s="110">
        <v>15</v>
      </c>
      <c r="B26" s="111" t="str">
        <f>'SAF 11'!B24</f>
        <v>4.3.3-4600.4</v>
      </c>
      <c r="C26" s="194" t="str">
        <f>'SAF 11'!E24</f>
        <v>CONTADORES HEMATOLOGICOS; TIPO: AUTOMATICO, PARAMETRO: 22, CURVAS DE DISTRIBUCION: 4, IMPRESORA: SI, VOLUMEN DE LA MUESTRA: 130 A 240 µL</v>
      </c>
      <c r="D26" s="195"/>
      <c r="E26" s="195"/>
      <c r="F26" s="195"/>
      <c r="G26" s="196"/>
      <c r="H26" s="111" t="s">
        <v>208</v>
      </c>
      <c r="I26" s="112" t="str">
        <f>'SAF 11'!F24</f>
        <v>UNIDAD</v>
      </c>
      <c r="J26" s="113">
        <f>'SAF 11'!H24</f>
        <v>3704500</v>
      </c>
      <c r="K26" s="114">
        <f>'SAF 11'!G24</f>
        <v>1</v>
      </c>
    </row>
    <row r="27" spans="1:11" ht="15.75" customHeight="1">
      <c r="A27" s="110">
        <v>16</v>
      </c>
      <c r="B27" s="111" t="str">
        <f>'SAF 11'!B25</f>
        <v>4.3.7-3108.2</v>
      </c>
      <c r="C27" s="194" t="str">
        <f>'SAF 11'!E25</f>
        <v>CUNAS; MATERIAL ESTRUCTURA: 147 dBV/mPa , MEDIDA: 35 X 75 Cm, TIPO: ACRILICO, PLEGABLE: NO, MATERIAL: METAL</v>
      </c>
      <c r="D27" s="195"/>
      <c r="E27" s="195"/>
      <c r="F27" s="195"/>
      <c r="G27" s="196"/>
      <c r="H27" s="111" t="s">
        <v>208</v>
      </c>
      <c r="I27" s="112" t="str">
        <f>'SAF 11'!F25</f>
        <v>UNIDAD</v>
      </c>
      <c r="J27" s="113">
        <f>'SAF 11'!H25</f>
        <v>57998</v>
      </c>
      <c r="K27" s="114">
        <f>'SAF 11'!G25</f>
        <v>14</v>
      </c>
    </row>
    <row r="28" spans="1:11" ht="15.75" customHeight="1">
      <c r="A28" s="110">
        <v>17</v>
      </c>
      <c r="B28" s="111" t="str">
        <f>'SAF 11'!B26</f>
        <v>4.3.3-134.4</v>
      </c>
      <c r="C28" s="194" t="str">
        <f>'SAF 11'!E26</f>
        <v>ELECTROCARDIOGRAFOS; TIPO: PORTATIL, ALIMENTACION: 220V Y BATERIA RECARGABLE</v>
      </c>
      <c r="D28" s="195"/>
      <c r="E28" s="195"/>
      <c r="F28" s="195"/>
      <c r="G28" s="196"/>
      <c r="H28" s="111" t="s">
        <v>208</v>
      </c>
      <c r="I28" s="112" t="str">
        <f>'SAF 11'!F26</f>
        <v>UNIDAD</v>
      </c>
      <c r="J28" s="113">
        <f>'SAF 11'!H26</f>
        <v>210000</v>
      </c>
      <c r="K28" s="114">
        <f>'SAF 11'!G26</f>
        <v>5</v>
      </c>
    </row>
    <row r="29" spans="1:11" ht="15.75" customHeight="1">
      <c r="A29" s="110">
        <v>18</v>
      </c>
      <c r="B29" s="111" t="str">
        <f>'SAF 11'!B27</f>
        <v>4.3.3-9165.1</v>
      </c>
      <c r="C29" s="194" t="str">
        <f>'SAF 11'!E27</f>
        <v>EQUIPOS DE MONITOREO; USO: TERAPIA INTENSIVA/CORONARIA, CANTIDAD DE MONITORES: 1</v>
      </c>
      <c r="D29" s="195"/>
      <c r="E29" s="195"/>
      <c r="F29" s="195"/>
      <c r="G29" s="196"/>
      <c r="H29" s="111" t="s">
        <v>208</v>
      </c>
      <c r="I29" s="112" t="str">
        <f>'SAF 11'!F27</f>
        <v>UNIDAD</v>
      </c>
      <c r="J29" s="113">
        <f>'SAF 11'!H27</f>
        <v>513635</v>
      </c>
      <c r="K29" s="114">
        <f>'SAF 11'!G27</f>
        <v>20</v>
      </c>
    </row>
    <row r="30" spans="1:11" ht="15.75" customHeight="1">
      <c r="A30" s="110">
        <v>19</v>
      </c>
      <c r="B30" s="111" t="str">
        <f>'SAF 11'!B28</f>
        <v>4.3.3-4084.27</v>
      </c>
      <c r="C30" s="194" t="str">
        <f>'SAF 11'!E28</f>
        <v>EQUIPOS DE RAYOS X; USO: ODONTOLOGICO, FRECUENCIA: ALTA, REGULACION: MANUAL, AMPLIACION DE APLIQUE: SIN, COMANDO: SIST. DE DISPARO A DISTANCIA</v>
      </c>
      <c r="D30" s="195"/>
      <c r="E30" s="195"/>
      <c r="F30" s="195"/>
      <c r="G30" s="196"/>
      <c r="H30" s="111" t="s">
        <v>208</v>
      </c>
      <c r="I30" s="112" t="str">
        <f>'SAF 11'!F28</f>
        <v>UNIDAD</v>
      </c>
      <c r="J30" s="113">
        <f>'SAF 11'!H28</f>
        <v>302275</v>
      </c>
      <c r="K30" s="114">
        <f>'SAF 11'!G28</f>
        <v>1</v>
      </c>
    </row>
    <row r="31" spans="1:11" ht="15.75" customHeight="1">
      <c r="A31" s="110">
        <v>20</v>
      </c>
      <c r="B31" s="111" t="str">
        <f>'SAF 11'!B29</f>
        <v>4.3.3-9214.4</v>
      </c>
      <c r="C31" s="194" t="str">
        <f>'SAF 11'!E29</f>
        <v>EQUIPOS DE REHABILITACION; TIPO: DE ELECTROESTIMULACION, USO: FISIOTERAPIA</v>
      </c>
      <c r="D31" s="195"/>
      <c r="E31" s="195"/>
      <c r="F31" s="195"/>
      <c r="G31" s="196"/>
      <c r="H31" s="111" t="s">
        <v>208</v>
      </c>
      <c r="I31" s="112" t="str">
        <f>'SAF 11'!F29</f>
        <v>UNIDAD</v>
      </c>
      <c r="J31" s="113">
        <f>'SAF 11'!H29</f>
        <v>568007</v>
      </c>
      <c r="K31" s="114">
        <f>'SAF 11'!G29</f>
        <v>3</v>
      </c>
    </row>
    <row r="32" spans="1:11" ht="15.75" customHeight="1">
      <c r="A32" s="110">
        <v>21</v>
      </c>
      <c r="B32" s="111" t="str">
        <f>'SAF 11'!B30</f>
        <v>4.3.3-9214.5</v>
      </c>
      <c r="C32" s="194" t="str">
        <f>'SAF 11'!E30</f>
        <v>EQUIPOS DE REHABILITACION; TIPO: MAGNETOTERAPIA, USO: FISIOTERAPIA</v>
      </c>
      <c r="D32" s="195"/>
      <c r="E32" s="195"/>
      <c r="F32" s="195"/>
      <c r="G32" s="196"/>
      <c r="H32" s="111" t="s">
        <v>208</v>
      </c>
      <c r="I32" s="112" t="str">
        <f>'SAF 11'!F30</f>
        <v>UNIDAD</v>
      </c>
      <c r="J32" s="113">
        <f>'SAF 11'!H30</f>
        <v>461553</v>
      </c>
      <c r="K32" s="114">
        <f>'SAF 11'!G30</f>
        <v>3</v>
      </c>
    </row>
    <row r="33" spans="1:11" ht="31.5" customHeight="1">
      <c r="A33" s="110">
        <v>22</v>
      </c>
      <c r="B33" s="111" t="str">
        <f>'SAF 11'!B31</f>
        <v>4.3.3-7575.6</v>
      </c>
      <c r="C33" s="194" t="str">
        <f>'SAF 11'!E31</f>
        <v>EQUIPOS ODONTOLOGICOS; ALIMENTACION: 220 V, SILLON: ERGONOMICO, SALIVADERA: CERAMICA, PLATINA: PLASTICA, LAMPARA: FRIA, BANQUETA: RODANTE CON RESPALDO</v>
      </c>
      <c r="D33" s="195"/>
      <c r="E33" s="195"/>
      <c r="F33" s="195"/>
      <c r="G33" s="196"/>
      <c r="H33" s="111" t="s">
        <v>208</v>
      </c>
      <c r="I33" s="112" t="str">
        <f>'SAF 11'!F31</f>
        <v>UNIDAD</v>
      </c>
      <c r="J33" s="113">
        <f>'SAF 11'!H31</f>
        <v>865700</v>
      </c>
      <c r="K33" s="114">
        <f>'SAF 11'!G31</f>
        <v>1</v>
      </c>
    </row>
    <row r="34" spans="1:11" ht="15.75" customHeight="1">
      <c r="A34" s="110">
        <v>23</v>
      </c>
      <c r="B34" s="111" t="str">
        <f>'SAF 11'!B32</f>
        <v>4.3.3-7575.9</v>
      </c>
      <c r="C34" s="194" t="str">
        <f>'SAF 11'!E32</f>
        <v>EQUIPOS ODONTOLOGICOS; ALIMENTACION: 220 V, SILLON: SIN, SALIVADERA: SIN, PLATINA: SIN, LAMPARA: LED, BANQUETA: SIN, TIPO: LAMPARA DE FOTOCURADO</v>
      </c>
      <c r="D34" s="195"/>
      <c r="E34" s="195"/>
      <c r="F34" s="195"/>
      <c r="G34" s="196"/>
      <c r="H34" s="111" t="s">
        <v>208</v>
      </c>
      <c r="I34" s="112" t="str">
        <f>'SAF 11'!F32</f>
        <v>UNIDAD</v>
      </c>
      <c r="J34" s="113">
        <f>'SAF 11'!H32</f>
        <v>34350</v>
      </c>
      <c r="K34" s="114">
        <f>'SAF 11'!G32</f>
        <v>1</v>
      </c>
    </row>
    <row r="35" spans="1:11" ht="15.75" customHeight="1">
      <c r="A35" s="110">
        <v>24</v>
      </c>
      <c r="B35" s="111" t="str">
        <f>'SAF 11'!B33</f>
        <v>4.3.3-164.9</v>
      </c>
      <c r="C35" s="194" t="str">
        <f>'SAF 11'!E33</f>
        <v>ESPECTROFOTOMETROS; TIPO: DE SIMPLE HAZ, RANGO LONG. DE ONDA: SIN VALOR, ANCHO DE BANDA: 3 nM, ELEM. DETECTOR: SIN VALOR</v>
      </c>
      <c r="D35" s="195"/>
      <c r="E35" s="195"/>
      <c r="F35" s="195"/>
      <c r="G35" s="196"/>
      <c r="H35" s="111" t="s">
        <v>208</v>
      </c>
      <c r="I35" s="112" t="str">
        <f>'SAF 11'!F33</f>
        <v>UNIDAD</v>
      </c>
      <c r="J35" s="113">
        <f>'SAF 11'!H33</f>
        <v>799100</v>
      </c>
      <c r="K35" s="114">
        <f>'SAF 11'!G33</f>
        <v>1</v>
      </c>
    </row>
    <row r="36" spans="1:11" ht="32.25" customHeight="1">
      <c r="A36" s="110">
        <v>25</v>
      </c>
      <c r="B36" s="111" t="str">
        <f>'SAF 11'!B34</f>
        <v>4.3.3-4159.26</v>
      </c>
      <c r="C36" s="194" t="str">
        <f>'SAF 11'!E34</f>
        <v>ESTUFAS DE CULTIVO; DIMENSION: 60 X 40 X 40 Cm, TERMOSTATO: DIGITAL, RANGO DE TEMPERATURA: 20 A 70 °C, PUERTA VISOR: SI, GABINETE EXTERIOR: ACERO INOXIDABLE, GABINETE INTERIOR: ACERO, SENSIBILIDAD: SIN VALOR °C</v>
      </c>
      <c r="D36" s="195"/>
      <c r="E36" s="195"/>
      <c r="F36" s="195"/>
      <c r="G36" s="196"/>
      <c r="H36" s="111" t="s">
        <v>208</v>
      </c>
      <c r="I36" s="112" t="str">
        <f>'SAF 11'!F34</f>
        <v>UNIDAD</v>
      </c>
      <c r="J36" s="113">
        <f>'SAF 11'!H34</f>
        <v>202868</v>
      </c>
      <c r="K36" s="114">
        <f>'SAF 11'!G34</f>
        <v>1</v>
      </c>
    </row>
    <row r="37" spans="1:11" ht="15.75" customHeight="1">
      <c r="A37" s="110">
        <v>26</v>
      </c>
      <c r="B37" s="111" t="str">
        <f>'SAF 11'!B35</f>
        <v>2.9.5-8874.36</v>
      </c>
      <c r="C37" s="194" t="str">
        <f>'SAF 11'!E35</f>
        <v>INSTRUMENTAL MEDICO; DESCARTABLE: NO, MATERIAL: METAL ELASTICO, ELEMENTO: DIAPASON</v>
      </c>
      <c r="D37" s="195"/>
      <c r="E37" s="195"/>
      <c r="F37" s="195"/>
      <c r="G37" s="196"/>
      <c r="H37" s="111" t="s">
        <v>208</v>
      </c>
      <c r="I37" s="112" t="str">
        <f>'SAF 11'!F35</f>
        <v>UNIDAD</v>
      </c>
      <c r="J37" s="113">
        <f>'SAF 11'!H35</f>
        <v>5800</v>
      </c>
      <c r="K37" s="114">
        <f>'SAF 11'!G35</f>
        <v>5</v>
      </c>
    </row>
    <row r="38" spans="1:11" ht="15.75" customHeight="1">
      <c r="A38" s="110">
        <v>27</v>
      </c>
      <c r="B38" s="111" t="str">
        <f>'SAF 11'!B36</f>
        <v>2.9.5-8874.9</v>
      </c>
      <c r="C38" s="194" t="str">
        <f>'SAF 11'!E36</f>
        <v>INSTRUMENTAL MEDICO; DESCRIPCION: TABLA LARGA DE INMOVILIZACION, DESCARTABLE: NO, MATERIAL: POLIETILENO, ELEMENTO: TABLA LARGA DE INMOVILIZACION</v>
      </c>
      <c r="D38" s="195"/>
      <c r="E38" s="195"/>
      <c r="F38" s="195"/>
      <c r="G38" s="196"/>
      <c r="H38" s="111" t="s">
        <v>208</v>
      </c>
      <c r="I38" s="112" t="str">
        <f>'SAF 11'!F36</f>
        <v>UNIDAD</v>
      </c>
      <c r="J38" s="113">
        <f>'SAF 11'!H36</f>
        <v>48380</v>
      </c>
      <c r="K38" s="114">
        <f>'SAF 11'!G36</f>
        <v>10</v>
      </c>
    </row>
    <row r="39" spans="1:11" ht="15.75" customHeight="1">
      <c r="A39" s="110">
        <v>28</v>
      </c>
      <c r="B39" s="111" t="str">
        <f>'SAF 11'!B37</f>
        <v>2.9.5-5144.313</v>
      </c>
      <c r="C39" s="194" t="str">
        <f>'SAF 11'!E37</f>
        <v>INSTRUMENTAL ODONTOLOGICO; TIPO: GABINETE P/REVELADO, DESCARTABLE: NO, PRESENTACION: UNIDAD</v>
      </c>
      <c r="D39" s="195"/>
      <c r="E39" s="195"/>
      <c r="F39" s="195"/>
      <c r="G39" s="196"/>
      <c r="H39" s="111" t="s">
        <v>208</v>
      </c>
      <c r="I39" s="112" t="str">
        <f>'SAF 11'!F37</f>
        <v>UNIDAD</v>
      </c>
      <c r="J39" s="113">
        <f>'SAF 11'!H37</f>
        <v>29250</v>
      </c>
      <c r="K39" s="114">
        <f>'SAF 11'!G37</f>
        <v>1</v>
      </c>
    </row>
    <row r="40" spans="1:11" ht="15.75" customHeight="1">
      <c r="A40" s="110">
        <v>29</v>
      </c>
      <c r="B40" s="111" t="str">
        <f>'SAF 11'!B38</f>
        <v>4.3.3-3958.150</v>
      </c>
      <c r="C40" s="194" t="str">
        <f>'SAF 11'!E38</f>
        <v>INSTRUMENTOS DE MEDICION; USO: MEDIR GLUCOSA EN SANGRE, RANGO DE MEDICION: 10 - 600 MG/DL, PRECISION: 5 %, NOMBRE: GLUCOMETRO</v>
      </c>
      <c r="D40" s="195"/>
      <c r="E40" s="195"/>
      <c r="F40" s="195"/>
      <c r="G40" s="196"/>
      <c r="H40" s="111" t="s">
        <v>208</v>
      </c>
      <c r="I40" s="112" t="str">
        <f>'SAF 11'!F38</f>
        <v>UNIDAD</v>
      </c>
      <c r="J40" s="113">
        <f>'SAF 11'!H38</f>
        <v>8790</v>
      </c>
      <c r="K40" s="114">
        <f>'SAF 11'!G38</f>
        <v>70</v>
      </c>
    </row>
    <row r="41" spans="1:11" ht="15.75" customHeight="1">
      <c r="A41" s="110">
        <v>30</v>
      </c>
      <c r="B41" s="111" t="str">
        <f>'SAF 11'!B39</f>
        <v>4.3.3-2044.2</v>
      </c>
      <c r="C41" s="194" t="str">
        <f>'SAF 11'!E39</f>
        <v>LARINGOSCOPIOS; MATERIAL: ACERO INOXIDABLE, RAMAS: ADULTO, ILUMINACION: CON</v>
      </c>
      <c r="D41" s="195"/>
      <c r="E41" s="195"/>
      <c r="F41" s="195"/>
      <c r="G41" s="196"/>
      <c r="H41" s="111" t="s">
        <v>208</v>
      </c>
      <c r="I41" s="112" t="str">
        <f>'SAF 11'!F39</f>
        <v>UNIDAD</v>
      </c>
      <c r="J41" s="113">
        <f>'SAF 11'!H39</f>
        <v>22000</v>
      </c>
      <c r="K41" s="114">
        <f>'SAF 11'!G39</f>
        <v>10</v>
      </c>
    </row>
    <row r="42" spans="1:11" ht="15.75" customHeight="1">
      <c r="A42" s="110">
        <v>31</v>
      </c>
      <c r="B42" s="111" t="str">
        <f>'SAF 11'!B40</f>
        <v>4.3.3-2044.3</v>
      </c>
      <c r="C42" s="194" t="str">
        <f>'SAF 11'!E40</f>
        <v>LARINGOSCOPIOS; MATERIAL: ACERO INOXIDABLE, RAMAS: PEDIATRICO, ILUMINACION: CON</v>
      </c>
      <c r="D42" s="195"/>
      <c r="E42" s="195"/>
      <c r="F42" s="195"/>
      <c r="G42" s="196"/>
      <c r="H42" s="111" t="s">
        <v>208</v>
      </c>
      <c r="I42" s="112" t="str">
        <f>'SAF 11'!F40</f>
        <v>UNIDAD</v>
      </c>
      <c r="J42" s="113">
        <f>'SAF 11'!H40</f>
        <v>19700</v>
      </c>
      <c r="K42" s="114">
        <f>'SAF 11'!G40</f>
        <v>10</v>
      </c>
    </row>
    <row r="43" spans="1:11" ht="15.75" customHeight="1">
      <c r="A43" s="110">
        <v>32</v>
      </c>
      <c r="B43" s="111" t="str">
        <f>'SAF 11'!B41</f>
        <v>4.3.3-5714.6</v>
      </c>
      <c r="C43" s="194" t="str">
        <f>'SAF 11'!E41</f>
        <v>LAVADOR DE PLACAS; TIPO: AUTOMATICO, CLASE DESECHO: 96 POCILLOS, USO: LABORATORIO</v>
      </c>
      <c r="D43" s="195"/>
      <c r="E43" s="195"/>
      <c r="F43" s="195"/>
      <c r="G43" s="196"/>
      <c r="H43" s="111" t="s">
        <v>208</v>
      </c>
      <c r="I43" s="112" t="str">
        <f>'SAF 11'!F41</f>
        <v>UNIDAD</v>
      </c>
      <c r="J43" s="113">
        <f>'SAF 11'!H41</f>
        <v>580000</v>
      </c>
      <c r="K43" s="114">
        <f>'SAF 11'!G41</f>
        <v>1</v>
      </c>
    </row>
    <row r="44" spans="1:11" ht="15.75" customHeight="1">
      <c r="A44" s="110">
        <v>33</v>
      </c>
      <c r="B44" s="111" t="str">
        <f>'SAF 11'!B42</f>
        <v>4.3.3-5118.13</v>
      </c>
      <c r="C44" s="194" t="str">
        <f>'SAF 11'!E42</f>
        <v>LECTOR DE MICROPLACAS; RANGO DE LECTURA: 0.0000 A 4.0000 ABS, RANGO DE MEDICION: 200 A 1000 nM, EXACTITUD: +/- 1 %, PRECISION: &lt;1 %</v>
      </c>
      <c r="D44" s="195"/>
      <c r="E44" s="195"/>
      <c r="F44" s="195"/>
      <c r="G44" s="196"/>
      <c r="H44" s="111" t="s">
        <v>208</v>
      </c>
      <c r="I44" s="112" t="str">
        <f>'SAF 11'!F42</f>
        <v>UNIDAD</v>
      </c>
      <c r="J44" s="113">
        <f>'SAF 11'!H42</f>
        <v>665000</v>
      </c>
      <c r="K44" s="114">
        <f>'SAF 11'!G42</f>
        <v>1</v>
      </c>
    </row>
    <row r="45" spans="1:11" ht="15.75" customHeight="1">
      <c r="A45" s="110">
        <v>34</v>
      </c>
      <c r="B45" s="111" t="str">
        <f>'SAF 11'!B43</f>
        <v>4.3.7-2823.9</v>
      </c>
      <c r="C45" s="194" t="str">
        <f>'SAF 11'!E43</f>
        <v>MESAS AUXILIARES; MATERIAL: AGLOMERADO, ANCHO: 40 Cm, ALTO: 75 Cm, PROFUNDIDAD: 56 Cm, RUEDAS: CON, TERMINACION: REVESTIMIENTO MELAMINICO</v>
      </c>
      <c r="D45" s="195"/>
      <c r="E45" s="195"/>
      <c r="F45" s="195"/>
      <c r="G45" s="196"/>
      <c r="H45" s="111" t="s">
        <v>208</v>
      </c>
      <c r="I45" s="112" t="str">
        <f>'SAF 11'!F43</f>
        <v>UNIDAD</v>
      </c>
      <c r="J45" s="113">
        <f>'SAF 11'!H43</f>
        <v>46900</v>
      </c>
      <c r="K45" s="114">
        <f>'SAF 11'!G43</f>
        <v>1</v>
      </c>
    </row>
    <row r="46" spans="1:11" ht="32.25" customHeight="1">
      <c r="A46" s="110">
        <v>35</v>
      </c>
      <c r="B46" s="111" t="str">
        <f>'SAF 11'!B44</f>
        <v>4.3.3-131.1</v>
      </c>
      <c r="C46" s="194" t="str">
        <f>'SAF 11'!E44</f>
        <v>NEBULIZADORES; PESO APROX: 2700 GR, ALIMENTACION: 120V/60HZ - 220V/50HZ, TAMAÑO PARTICULAS: 0,5 A 5 Mn, LARGO X ANCHO X ALTO: 6 1/2 X 10 1/4 X 4 3/4 pulg, TAMAÑO DE PARTICULAS: 0,5 A 5 Mn</v>
      </c>
      <c r="D46" s="195"/>
      <c r="E46" s="195"/>
      <c r="F46" s="195"/>
      <c r="G46" s="196"/>
      <c r="H46" s="111" t="s">
        <v>208</v>
      </c>
      <c r="I46" s="112" t="str">
        <f>'SAF 11'!F44</f>
        <v>UNIDAD</v>
      </c>
      <c r="J46" s="113">
        <f>'SAF 11'!H44</f>
        <v>67913</v>
      </c>
      <c r="K46" s="114">
        <f>'SAF 11'!G44</f>
        <v>3</v>
      </c>
    </row>
    <row r="47" spans="1:11" ht="15.75" customHeight="1">
      <c r="A47" s="110">
        <v>36</v>
      </c>
      <c r="B47" s="111" t="str">
        <f>'SAF 11'!B45</f>
        <v>4.3.3-1711.13</v>
      </c>
      <c r="C47" s="194" t="str">
        <f>'SAF 11'!E45</f>
        <v>SILLAS DE RUEDAS; ANCHO: 65 Cm, APOYABRAZO: FIJO, PIERNERA: FIJO, FRENO: CON, MATERIAL: ACERO</v>
      </c>
      <c r="D47" s="195"/>
      <c r="E47" s="195"/>
      <c r="F47" s="195"/>
      <c r="G47" s="196"/>
      <c r="H47" s="111" t="s">
        <v>208</v>
      </c>
      <c r="I47" s="112" t="str">
        <f>'SAF 11'!F45</f>
        <v>UNIDAD</v>
      </c>
      <c r="J47" s="113">
        <f>'SAF 11'!H45</f>
        <v>79400</v>
      </c>
      <c r="K47" s="114">
        <f>'SAF 11'!G45</f>
        <v>10</v>
      </c>
    </row>
    <row r="48" spans="1:11" ht="15" customHeight="1">
      <c r="A48" s="110">
        <v>37</v>
      </c>
      <c r="B48" s="111" t="str">
        <f>'SAF 11'!B46</f>
        <v>2.9.5-2020.1</v>
      </c>
      <c r="C48" s="194" t="str">
        <f>'SAF 11'!E46</f>
        <v>TAMBORES QUIRURGICOS; MATERIAL: ACERO INOXIDABLE, DIMENSION: 10 X 12 Cm</v>
      </c>
      <c r="D48" s="195"/>
      <c r="E48" s="195"/>
      <c r="F48" s="195"/>
      <c r="G48" s="196"/>
      <c r="H48" s="111" t="s">
        <v>208</v>
      </c>
      <c r="I48" s="112" t="str">
        <f>'SAF 11'!F46</f>
        <v>UNIDAD</v>
      </c>
      <c r="J48" s="113">
        <f>'SAF 11'!H46</f>
        <v>11000</v>
      </c>
      <c r="K48" s="114">
        <f>'SAF 11'!G46</f>
        <v>20</v>
      </c>
    </row>
    <row r="49" spans="1:11" ht="15.75" thickBot="1">
      <c r="A49" s="115"/>
      <c r="B49" s="116"/>
      <c r="C49" s="219"/>
      <c r="D49" s="220"/>
      <c r="E49" s="220"/>
      <c r="F49" s="220"/>
      <c r="G49" s="221"/>
      <c r="H49" s="116"/>
      <c r="I49" s="117"/>
      <c r="J49" s="118"/>
      <c r="K49" s="119"/>
    </row>
    <row r="50" spans="1:11" ht="16.5" thickBot="1">
      <c r="A50" s="217" t="s">
        <v>225</v>
      </c>
      <c r="B50" s="218"/>
      <c r="C50" s="218"/>
      <c r="D50" s="218"/>
      <c r="E50" s="218"/>
      <c r="F50" s="218"/>
      <c r="G50" s="218"/>
      <c r="H50" s="218"/>
      <c r="I50" s="185"/>
      <c r="J50" s="190">
        <f>SUMPRODUCT(J12:J48,K12:K48)</f>
        <v>50728263</v>
      </c>
      <c r="K50" s="191"/>
    </row>
  </sheetData>
  <mergeCells count="54">
    <mergeCell ref="C35:G35"/>
    <mergeCell ref="C36:G36"/>
    <mergeCell ref="C37:G37"/>
    <mergeCell ref="C38:G38"/>
    <mergeCell ref="C32:G32"/>
    <mergeCell ref="A50:I50"/>
    <mergeCell ref="C39:G39"/>
    <mergeCell ref="C40:G40"/>
    <mergeCell ref="C41:G41"/>
    <mergeCell ref="C42:G42"/>
    <mergeCell ref="C43:G43"/>
    <mergeCell ref="C47:G47"/>
    <mergeCell ref="C48:G48"/>
    <mergeCell ref="C49:G49"/>
    <mergeCell ref="I10:I11"/>
    <mergeCell ref="C23:G23"/>
    <mergeCell ref="C18:G18"/>
    <mergeCell ref="C19:G19"/>
    <mergeCell ref="C20:G20"/>
    <mergeCell ref="C21:G21"/>
    <mergeCell ref="C22:G22"/>
    <mergeCell ref="C31:G31"/>
    <mergeCell ref="C14:G14"/>
    <mergeCell ref="C15:G15"/>
    <mergeCell ref="C16:G16"/>
    <mergeCell ref="C17:G17"/>
    <mergeCell ref="C30:G30"/>
    <mergeCell ref="C24:G24"/>
    <mergeCell ref="C25:G25"/>
    <mergeCell ref="C26:G26"/>
    <mergeCell ref="C27:G27"/>
    <mergeCell ref="C28:G28"/>
    <mergeCell ref="C29:G29"/>
    <mergeCell ref="A1:I1"/>
    <mergeCell ref="A3:C3"/>
    <mergeCell ref="A4:C4"/>
    <mergeCell ref="A5:C5"/>
    <mergeCell ref="A6:C6"/>
    <mergeCell ref="J50:K50"/>
    <mergeCell ref="A7:C7"/>
    <mergeCell ref="C44:G44"/>
    <mergeCell ref="C45:G45"/>
    <mergeCell ref="C46:G46"/>
    <mergeCell ref="A8:C8"/>
    <mergeCell ref="A10:A11"/>
    <mergeCell ref="B10:B11"/>
    <mergeCell ref="C10:G11"/>
    <mergeCell ref="H10:H11"/>
    <mergeCell ref="C33:G33"/>
    <mergeCell ref="C34:G34"/>
    <mergeCell ref="J10:J11"/>
    <mergeCell ref="K10:K11"/>
    <mergeCell ref="C12:G12"/>
    <mergeCell ref="C13:G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topLeftCell="A4" workbookViewId="0">
      <selection activeCell="A11" sqref="A11"/>
    </sheetView>
  </sheetViews>
  <sheetFormatPr baseColWidth="10" defaultRowHeight="15"/>
  <cols>
    <col min="1" max="5" width="4.42578125" customWidth="1"/>
    <col min="6" max="6" width="5" customWidth="1"/>
    <col min="7" max="14" width="4.42578125" customWidth="1"/>
    <col min="15" max="15" width="14.85546875" customWidth="1"/>
    <col min="16" max="16" width="24.42578125" customWidth="1"/>
    <col min="17" max="17" width="15.5703125" customWidth="1"/>
  </cols>
  <sheetData>
    <row r="1" spans="1:17" ht="15.75" customHeight="1" thickBot="1">
      <c r="A1" s="239" t="s">
        <v>114</v>
      </c>
      <c r="B1" s="198"/>
      <c r="C1" s="198"/>
      <c r="D1" s="240">
        <v>2022</v>
      </c>
      <c r="E1" s="241"/>
      <c r="F1" s="120"/>
      <c r="G1" s="120"/>
      <c r="H1" s="121"/>
      <c r="I1" s="121"/>
      <c r="J1" s="121"/>
      <c r="K1" s="121"/>
      <c r="L1" s="121"/>
      <c r="M1" s="121"/>
      <c r="N1" s="121"/>
      <c r="O1" s="122"/>
      <c r="P1" s="234" t="s">
        <v>182</v>
      </c>
      <c r="Q1" s="235"/>
    </row>
    <row r="2" spans="1:17" ht="15.75" thickBot="1">
      <c r="A2" s="123"/>
      <c r="B2" s="10"/>
      <c r="C2" s="10"/>
      <c r="D2" s="10"/>
      <c r="E2" s="10"/>
      <c r="F2" s="10"/>
      <c r="G2" s="124"/>
      <c r="H2" s="125"/>
      <c r="I2" s="125"/>
      <c r="J2" s="125"/>
      <c r="K2" s="125"/>
      <c r="L2" s="125"/>
      <c r="M2" s="125"/>
      <c r="N2" s="125"/>
      <c r="O2" s="10"/>
      <c r="P2" s="236"/>
      <c r="Q2" s="237"/>
    </row>
    <row r="3" spans="1:17" ht="15.75" thickBot="1">
      <c r="A3" s="123"/>
      <c r="B3" s="10"/>
      <c r="C3" s="10"/>
      <c r="D3" s="10"/>
      <c r="E3" s="10"/>
      <c r="F3" s="10"/>
      <c r="G3" s="124"/>
      <c r="H3" s="10"/>
      <c r="I3" s="10"/>
      <c r="J3" s="10"/>
      <c r="K3" s="10"/>
      <c r="L3" s="10"/>
      <c r="M3" s="10"/>
      <c r="N3" s="10"/>
      <c r="O3" s="10"/>
      <c r="P3" s="10"/>
      <c r="Q3" s="126"/>
    </row>
    <row r="4" spans="1:17" ht="15.75" thickBot="1">
      <c r="A4" s="238" t="s">
        <v>183</v>
      </c>
      <c r="B4" s="216"/>
      <c r="C4" s="216"/>
      <c r="D4" s="216"/>
      <c r="E4" s="216"/>
      <c r="F4" s="223"/>
      <c r="G4" s="224" t="str">
        <f>NP!D3</f>
        <v>040 - MINISTERIO DE SALUD</v>
      </c>
      <c r="H4" s="216"/>
      <c r="I4" s="216"/>
      <c r="J4" s="216"/>
      <c r="K4" s="216"/>
      <c r="L4" s="216"/>
      <c r="M4" s="216"/>
      <c r="N4" s="216"/>
      <c r="O4" s="216"/>
      <c r="P4" s="216"/>
      <c r="Q4" s="225"/>
    </row>
    <row r="5" spans="1:17" ht="15.75" thickBot="1">
      <c r="A5" s="222" t="s">
        <v>168</v>
      </c>
      <c r="B5" s="216"/>
      <c r="C5" s="216"/>
      <c r="D5" s="216"/>
      <c r="E5" s="216"/>
      <c r="F5" s="223"/>
      <c r="G5" s="224" t="str">
        <f>NP!D4</f>
        <v>011 - DIRECCION PROVINCIAL DE ADMINISTRACION DEL MINISTERIO DE SALUD</v>
      </c>
      <c r="H5" s="216"/>
      <c r="I5" s="216"/>
      <c r="J5" s="216"/>
      <c r="K5" s="216"/>
      <c r="L5" s="216"/>
      <c r="M5" s="216"/>
      <c r="N5" s="216"/>
      <c r="O5" s="216"/>
      <c r="P5" s="216"/>
      <c r="Q5" s="225"/>
    </row>
    <row r="6" spans="1:17" ht="15.75" customHeight="1" thickBot="1">
      <c r="A6" s="222" t="s">
        <v>170</v>
      </c>
      <c r="B6" s="216"/>
      <c r="C6" s="216"/>
      <c r="D6" s="216"/>
      <c r="E6" s="216"/>
      <c r="F6" s="223"/>
      <c r="G6" s="224" t="str">
        <f>NP!D5</f>
        <v>352 - MINISTERIO DE SALUD</v>
      </c>
      <c r="H6" s="216"/>
      <c r="I6" s="216"/>
      <c r="J6" s="216"/>
      <c r="K6" s="216"/>
      <c r="L6" s="216"/>
      <c r="M6" s="216"/>
      <c r="N6" s="216"/>
      <c r="O6" s="216"/>
      <c r="P6" s="216"/>
      <c r="Q6" s="225"/>
    </row>
    <row r="7" spans="1:17" ht="15.75" customHeight="1" thickBot="1">
      <c r="A7" s="222" t="s">
        <v>172</v>
      </c>
      <c r="B7" s="216"/>
      <c r="C7" s="216"/>
      <c r="D7" s="216"/>
      <c r="E7" s="216"/>
      <c r="F7" s="223"/>
      <c r="G7" s="224" t="str">
        <f>NP!D6</f>
        <v>352 - MINISTERIO DE SALUD</v>
      </c>
      <c r="H7" s="216"/>
      <c r="I7" s="216"/>
      <c r="J7" s="216"/>
      <c r="K7" s="216"/>
      <c r="L7" s="216"/>
      <c r="M7" s="216"/>
      <c r="N7" s="216"/>
      <c r="O7" s="216"/>
      <c r="P7" s="216"/>
      <c r="Q7" s="225"/>
    </row>
    <row r="8" spans="1:17" ht="15.75" thickBot="1">
      <c r="A8" s="232" t="s">
        <v>184</v>
      </c>
      <c r="B8" s="216"/>
      <c r="C8" s="216"/>
      <c r="D8" s="216"/>
      <c r="E8" s="216"/>
      <c r="F8" s="216"/>
      <c r="G8" s="216"/>
      <c r="H8" s="216"/>
      <c r="I8" s="216"/>
      <c r="J8" s="216"/>
      <c r="K8" s="216"/>
      <c r="L8" s="216"/>
      <c r="M8" s="216"/>
      <c r="N8" s="216"/>
      <c r="O8" s="216"/>
      <c r="P8" s="216"/>
      <c r="Q8" s="225"/>
    </row>
    <row r="9" spans="1:17">
      <c r="A9" s="233" t="s">
        <v>185</v>
      </c>
      <c r="B9" s="193"/>
      <c r="C9" s="193"/>
      <c r="D9" s="193"/>
      <c r="E9" s="193"/>
      <c r="F9" s="193"/>
      <c r="G9" s="193"/>
      <c r="H9" s="193"/>
      <c r="I9" s="193"/>
      <c r="J9" s="193"/>
      <c r="K9" s="193"/>
      <c r="L9" s="193"/>
      <c r="M9" s="193"/>
      <c r="N9" s="193"/>
      <c r="O9" s="193"/>
      <c r="P9" s="193"/>
      <c r="Q9" s="228"/>
    </row>
    <row r="10" spans="1:17" ht="57" customHeight="1">
      <c r="A10" s="226" t="s">
        <v>227</v>
      </c>
      <c r="B10" s="164"/>
      <c r="C10" s="164"/>
      <c r="D10" s="164"/>
      <c r="E10" s="164"/>
      <c r="F10" s="164"/>
      <c r="G10" s="164"/>
      <c r="H10" s="164"/>
      <c r="I10" s="164"/>
      <c r="J10" s="164"/>
      <c r="K10" s="164"/>
      <c r="L10" s="164"/>
      <c r="M10" s="164"/>
      <c r="N10" s="164"/>
      <c r="O10" s="164"/>
      <c r="P10" s="164"/>
      <c r="Q10" s="162"/>
    </row>
    <row r="11" spans="1:17" ht="15.75" thickBot="1">
      <c r="A11" s="127"/>
      <c r="B11" s="128"/>
      <c r="C11" s="128"/>
      <c r="D11" s="128"/>
      <c r="E11" s="128"/>
      <c r="F11" s="128"/>
      <c r="G11" s="129"/>
      <c r="H11" s="128"/>
      <c r="I11" s="128"/>
      <c r="J11" s="128"/>
      <c r="K11" s="128"/>
      <c r="L11" s="128"/>
      <c r="M11" s="128"/>
      <c r="N11" s="128"/>
      <c r="O11" s="128"/>
      <c r="P11" s="128"/>
      <c r="Q11" s="130"/>
    </row>
    <row r="12" spans="1:17" ht="15.75" thickBot="1">
      <c r="A12" s="227" t="s">
        <v>186</v>
      </c>
      <c r="B12" s="193"/>
      <c r="C12" s="193"/>
      <c r="D12" s="193"/>
      <c r="E12" s="193"/>
      <c r="F12" s="193"/>
      <c r="G12" s="193"/>
      <c r="H12" s="193"/>
      <c r="I12" s="193"/>
      <c r="J12" s="193"/>
      <c r="K12" s="193"/>
      <c r="L12" s="193"/>
      <c r="M12" s="193"/>
      <c r="N12" s="193"/>
      <c r="O12" s="193"/>
      <c r="P12" s="193"/>
      <c r="Q12" s="228"/>
    </row>
    <row r="13" spans="1:17" ht="15.75" customHeight="1" thickBot="1">
      <c r="A13" s="229" t="s">
        <v>187</v>
      </c>
      <c r="B13" s="216"/>
      <c r="C13" s="216"/>
      <c r="D13" s="216"/>
      <c r="E13" s="216"/>
      <c r="F13" s="216"/>
      <c r="G13" s="216"/>
      <c r="H13" s="216"/>
      <c r="I13" s="216"/>
      <c r="J13" s="216"/>
      <c r="K13" s="216"/>
      <c r="L13" s="216"/>
      <c r="M13" s="216"/>
      <c r="N13" s="223"/>
      <c r="O13" s="230" t="s">
        <v>188</v>
      </c>
      <c r="P13" s="231"/>
      <c r="Q13" s="244" t="s">
        <v>189</v>
      </c>
    </row>
    <row r="14" spans="1:17" ht="15.75" thickBot="1">
      <c r="A14" s="131" t="s">
        <v>190</v>
      </c>
      <c r="B14" s="132" t="s">
        <v>191</v>
      </c>
      <c r="C14" s="132" t="s">
        <v>192</v>
      </c>
      <c r="D14" s="132" t="s">
        <v>193</v>
      </c>
      <c r="E14" s="132" t="s">
        <v>194</v>
      </c>
      <c r="F14" s="132" t="s">
        <v>195</v>
      </c>
      <c r="G14" s="133" t="s">
        <v>196</v>
      </c>
      <c r="H14" s="132" t="s">
        <v>197</v>
      </c>
      <c r="I14" s="132" t="s">
        <v>198</v>
      </c>
      <c r="J14" s="132" t="s">
        <v>199</v>
      </c>
      <c r="K14" s="132" t="s">
        <v>199</v>
      </c>
      <c r="L14" s="132" t="s">
        <v>200</v>
      </c>
      <c r="M14" s="134" t="s">
        <v>201</v>
      </c>
      <c r="N14" s="135" t="s">
        <v>202</v>
      </c>
      <c r="O14" s="207"/>
      <c r="P14" s="208"/>
      <c r="Q14" s="162"/>
    </row>
    <row r="15" spans="1:17" ht="15" customHeight="1">
      <c r="A15" s="136">
        <v>1</v>
      </c>
      <c r="B15" s="137"/>
      <c r="C15" s="137"/>
      <c r="D15" s="137">
        <v>1</v>
      </c>
      <c r="E15" s="137"/>
      <c r="F15" s="137">
        <v>4901</v>
      </c>
      <c r="G15" s="137">
        <v>3</v>
      </c>
      <c r="H15" s="137">
        <v>1</v>
      </c>
      <c r="I15" s="137">
        <v>4</v>
      </c>
      <c r="J15" s="137">
        <v>3</v>
      </c>
      <c r="K15" s="137">
        <v>3</v>
      </c>
      <c r="L15" s="137"/>
      <c r="M15" s="138">
        <v>1</v>
      </c>
      <c r="N15" s="137" t="s">
        <v>203</v>
      </c>
      <c r="O15" s="245" t="s">
        <v>204</v>
      </c>
      <c r="P15" s="246"/>
      <c r="Q15" s="139">
        <f>NP!J50</f>
        <v>50728263</v>
      </c>
    </row>
    <row r="16" spans="1:17">
      <c r="A16" s="140"/>
      <c r="B16" s="141"/>
      <c r="C16" s="141"/>
      <c r="D16" s="141"/>
      <c r="E16" s="141"/>
      <c r="F16" s="141"/>
      <c r="G16" s="141"/>
      <c r="H16" s="141"/>
      <c r="I16" s="141"/>
      <c r="J16" s="141"/>
      <c r="K16" s="141"/>
      <c r="L16" s="141"/>
      <c r="M16" s="142"/>
      <c r="N16" s="143"/>
      <c r="O16" s="247"/>
      <c r="P16" s="243"/>
      <c r="Q16" s="144"/>
    </row>
    <row r="17" spans="1:17">
      <c r="A17" s="140"/>
      <c r="B17" s="141"/>
      <c r="C17" s="141"/>
      <c r="D17" s="141"/>
      <c r="E17" s="141"/>
      <c r="F17" s="141"/>
      <c r="G17" s="141"/>
      <c r="H17" s="141"/>
      <c r="I17" s="141"/>
      <c r="J17" s="141"/>
      <c r="K17" s="141"/>
      <c r="L17" s="141"/>
      <c r="M17" s="142"/>
      <c r="N17" s="143"/>
      <c r="O17" s="248"/>
      <c r="P17" s="243"/>
      <c r="Q17" s="144"/>
    </row>
    <row r="18" spans="1:17">
      <c r="A18" s="140"/>
      <c r="B18" s="141"/>
      <c r="C18" s="141"/>
      <c r="D18" s="141"/>
      <c r="E18" s="141"/>
      <c r="F18" s="141"/>
      <c r="G18" s="141"/>
      <c r="H18" s="141"/>
      <c r="I18" s="141"/>
      <c r="J18" s="141"/>
      <c r="K18" s="141"/>
      <c r="L18" s="141"/>
      <c r="M18" s="142"/>
      <c r="N18" s="143"/>
      <c r="O18" s="242"/>
      <c r="P18" s="243"/>
      <c r="Q18" s="144"/>
    </row>
    <row r="19" spans="1:17">
      <c r="A19" s="140"/>
      <c r="B19" s="141"/>
      <c r="C19" s="141"/>
      <c r="D19" s="141"/>
      <c r="E19" s="141"/>
      <c r="F19" s="141"/>
      <c r="G19" s="141"/>
      <c r="H19" s="141"/>
      <c r="I19" s="141"/>
      <c r="J19" s="141"/>
      <c r="K19" s="141"/>
      <c r="L19" s="141"/>
      <c r="M19" s="142"/>
      <c r="N19" s="143"/>
      <c r="O19" s="242"/>
      <c r="P19" s="243"/>
      <c r="Q19" s="144"/>
    </row>
    <row r="20" spans="1:17">
      <c r="A20" s="140"/>
      <c r="B20" s="141"/>
      <c r="C20" s="141"/>
      <c r="D20" s="141"/>
      <c r="E20" s="141"/>
      <c r="F20" s="141"/>
      <c r="G20" s="141"/>
      <c r="H20" s="141"/>
      <c r="I20" s="141"/>
      <c r="J20" s="141"/>
      <c r="K20" s="141"/>
      <c r="L20" s="141"/>
      <c r="M20" s="142"/>
      <c r="N20" s="143"/>
      <c r="O20" s="242"/>
      <c r="P20" s="243"/>
      <c r="Q20" s="144"/>
    </row>
    <row r="21" spans="1:17">
      <c r="A21" s="140"/>
      <c r="B21" s="141"/>
      <c r="C21" s="141"/>
      <c r="D21" s="141"/>
      <c r="E21" s="141"/>
      <c r="F21" s="141"/>
      <c r="G21" s="141"/>
      <c r="H21" s="141"/>
      <c r="I21" s="141"/>
      <c r="J21" s="141"/>
      <c r="K21" s="141"/>
      <c r="L21" s="141"/>
      <c r="M21" s="142"/>
      <c r="N21" s="143"/>
      <c r="O21" s="242"/>
      <c r="P21" s="243"/>
      <c r="Q21" s="144"/>
    </row>
    <row r="22" spans="1:17">
      <c r="A22" s="140"/>
      <c r="B22" s="141"/>
      <c r="C22" s="141"/>
      <c r="D22" s="141"/>
      <c r="E22" s="141"/>
      <c r="F22" s="141"/>
      <c r="G22" s="141"/>
      <c r="H22" s="141"/>
      <c r="I22" s="141"/>
      <c r="J22" s="141"/>
      <c r="K22" s="141"/>
      <c r="L22" s="141"/>
      <c r="M22" s="142"/>
      <c r="N22" s="143"/>
      <c r="O22" s="242"/>
      <c r="P22" s="243"/>
      <c r="Q22" s="144"/>
    </row>
    <row r="23" spans="1:17">
      <c r="A23" s="140"/>
      <c r="B23" s="141"/>
      <c r="C23" s="141"/>
      <c r="D23" s="141"/>
      <c r="E23" s="141"/>
      <c r="F23" s="141"/>
      <c r="G23" s="141"/>
      <c r="H23" s="141"/>
      <c r="I23" s="141"/>
      <c r="J23" s="141"/>
      <c r="K23" s="141"/>
      <c r="L23" s="141"/>
      <c r="M23" s="142"/>
      <c r="N23" s="143"/>
      <c r="O23" s="242"/>
      <c r="P23" s="243"/>
      <c r="Q23" s="144"/>
    </row>
    <row r="24" spans="1:17">
      <c r="A24" s="140"/>
      <c r="B24" s="141"/>
      <c r="C24" s="141"/>
      <c r="D24" s="141"/>
      <c r="E24" s="141"/>
      <c r="F24" s="141"/>
      <c r="G24" s="141"/>
      <c r="H24" s="141"/>
      <c r="I24" s="141"/>
      <c r="J24" s="141"/>
      <c r="K24" s="141"/>
      <c r="L24" s="141"/>
      <c r="M24" s="142"/>
      <c r="N24" s="143"/>
      <c r="O24" s="242"/>
      <c r="P24" s="243"/>
      <c r="Q24" s="144"/>
    </row>
    <row r="25" spans="1:17">
      <c r="A25" s="140"/>
      <c r="B25" s="141"/>
      <c r="C25" s="141"/>
      <c r="D25" s="141"/>
      <c r="E25" s="141"/>
      <c r="F25" s="141"/>
      <c r="G25" s="141"/>
      <c r="H25" s="141"/>
      <c r="I25" s="141"/>
      <c r="J25" s="141"/>
      <c r="K25" s="141"/>
      <c r="L25" s="141"/>
      <c r="M25" s="142"/>
      <c r="N25" s="143"/>
      <c r="O25" s="242"/>
      <c r="P25" s="243"/>
      <c r="Q25" s="144"/>
    </row>
    <row r="26" spans="1:17">
      <c r="A26" s="140"/>
      <c r="B26" s="141"/>
      <c r="C26" s="141"/>
      <c r="D26" s="141"/>
      <c r="E26" s="141"/>
      <c r="F26" s="141"/>
      <c r="G26" s="141"/>
      <c r="H26" s="141"/>
      <c r="I26" s="141"/>
      <c r="J26" s="141"/>
      <c r="K26" s="141"/>
      <c r="L26" s="141"/>
      <c r="M26" s="142"/>
      <c r="N26" s="143"/>
      <c r="O26" s="242"/>
      <c r="P26" s="243"/>
      <c r="Q26" s="144"/>
    </row>
    <row r="27" spans="1:17">
      <c r="A27" s="140"/>
      <c r="B27" s="141"/>
      <c r="C27" s="141"/>
      <c r="D27" s="141"/>
      <c r="E27" s="141"/>
      <c r="F27" s="141"/>
      <c r="G27" s="141"/>
      <c r="H27" s="141"/>
      <c r="I27" s="141"/>
      <c r="J27" s="141"/>
      <c r="K27" s="141"/>
      <c r="L27" s="141"/>
      <c r="M27" s="142"/>
      <c r="N27" s="143"/>
      <c r="O27" s="242"/>
      <c r="P27" s="243"/>
      <c r="Q27" s="144"/>
    </row>
    <row r="28" spans="1:17">
      <c r="A28" s="140"/>
      <c r="B28" s="141"/>
      <c r="C28" s="141"/>
      <c r="D28" s="141"/>
      <c r="E28" s="141"/>
      <c r="F28" s="141"/>
      <c r="G28" s="141"/>
      <c r="H28" s="141"/>
      <c r="I28" s="141"/>
      <c r="J28" s="141"/>
      <c r="K28" s="141"/>
      <c r="L28" s="141"/>
      <c r="M28" s="142"/>
      <c r="N28" s="143"/>
      <c r="O28" s="242"/>
      <c r="P28" s="243"/>
      <c r="Q28" s="144"/>
    </row>
    <row r="29" spans="1:17">
      <c r="A29" s="140"/>
      <c r="B29" s="141"/>
      <c r="C29" s="141"/>
      <c r="D29" s="141"/>
      <c r="E29" s="141"/>
      <c r="F29" s="141"/>
      <c r="G29" s="141"/>
      <c r="H29" s="141"/>
      <c r="I29" s="141"/>
      <c r="J29" s="141"/>
      <c r="K29" s="141"/>
      <c r="L29" s="141"/>
      <c r="M29" s="142"/>
      <c r="N29" s="143"/>
      <c r="O29" s="242"/>
      <c r="P29" s="243"/>
      <c r="Q29" s="144"/>
    </row>
    <row r="30" spans="1:17">
      <c r="A30" s="140"/>
      <c r="B30" s="141"/>
      <c r="C30" s="141"/>
      <c r="D30" s="141"/>
      <c r="E30" s="141"/>
      <c r="F30" s="141"/>
      <c r="G30" s="141"/>
      <c r="H30" s="141"/>
      <c r="I30" s="141"/>
      <c r="J30" s="141"/>
      <c r="K30" s="141"/>
      <c r="L30" s="141"/>
      <c r="M30" s="142"/>
      <c r="N30" s="143"/>
      <c r="O30" s="242"/>
      <c r="P30" s="243"/>
      <c r="Q30" s="144"/>
    </row>
    <row r="31" spans="1:17">
      <c r="A31" s="140"/>
      <c r="B31" s="141"/>
      <c r="C31" s="141"/>
      <c r="D31" s="141"/>
      <c r="E31" s="141"/>
      <c r="F31" s="141"/>
      <c r="G31" s="141"/>
      <c r="H31" s="141"/>
      <c r="I31" s="141"/>
      <c r="J31" s="141"/>
      <c r="K31" s="141"/>
      <c r="L31" s="141"/>
      <c r="M31" s="142"/>
      <c r="N31" s="143"/>
      <c r="O31" s="242"/>
      <c r="P31" s="243"/>
      <c r="Q31" s="144"/>
    </row>
    <row r="32" spans="1:17">
      <c r="A32" s="140"/>
      <c r="B32" s="141"/>
      <c r="C32" s="141"/>
      <c r="D32" s="141"/>
      <c r="E32" s="141"/>
      <c r="F32" s="143"/>
      <c r="G32" s="141"/>
      <c r="H32" s="141"/>
      <c r="I32" s="141"/>
      <c r="J32" s="141"/>
      <c r="K32" s="141"/>
      <c r="L32" s="141"/>
      <c r="M32" s="142"/>
      <c r="N32" s="143"/>
      <c r="O32" s="247"/>
      <c r="P32" s="243"/>
      <c r="Q32" s="144"/>
    </row>
    <row r="33" spans="1:17">
      <c r="A33" s="140"/>
      <c r="B33" s="141"/>
      <c r="C33" s="141"/>
      <c r="D33" s="141"/>
      <c r="E33" s="141"/>
      <c r="F33" s="141"/>
      <c r="G33" s="141"/>
      <c r="H33" s="141"/>
      <c r="I33" s="141"/>
      <c r="J33" s="141"/>
      <c r="K33" s="141"/>
      <c r="L33" s="141"/>
      <c r="M33" s="142"/>
      <c r="N33" s="143"/>
      <c r="O33" s="247"/>
      <c r="P33" s="243"/>
      <c r="Q33" s="144"/>
    </row>
    <row r="34" spans="1:17">
      <c r="A34" s="140"/>
      <c r="B34" s="141"/>
      <c r="C34" s="141"/>
      <c r="D34" s="141"/>
      <c r="E34" s="141"/>
      <c r="F34" s="143"/>
      <c r="G34" s="141"/>
      <c r="H34" s="141"/>
      <c r="I34" s="141"/>
      <c r="J34" s="141"/>
      <c r="K34" s="141"/>
      <c r="L34" s="141"/>
      <c r="M34" s="142"/>
      <c r="N34" s="143"/>
      <c r="O34" s="247"/>
      <c r="P34" s="243"/>
      <c r="Q34" s="144"/>
    </row>
    <row r="35" spans="1:17">
      <c r="A35" s="140"/>
      <c r="B35" s="141"/>
      <c r="C35" s="141"/>
      <c r="D35" s="141"/>
      <c r="E35" s="141"/>
      <c r="F35" s="143"/>
      <c r="G35" s="141"/>
      <c r="H35" s="141"/>
      <c r="I35" s="141"/>
      <c r="J35" s="141"/>
      <c r="K35" s="141"/>
      <c r="L35" s="141"/>
      <c r="M35" s="142"/>
      <c r="N35" s="143"/>
      <c r="O35" s="247"/>
      <c r="P35" s="243"/>
      <c r="Q35" s="144"/>
    </row>
    <row r="36" spans="1:17">
      <c r="A36" s="145"/>
      <c r="B36" s="146"/>
      <c r="C36" s="146"/>
      <c r="D36" s="146"/>
      <c r="E36" s="146"/>
      <c r="F36" s="143"/>
      <c r="G36" s="146"/>
      <c r="H36" s="146"/>
      <c r="I36" s="146"/>
      <c r="J36" s="146"/>
      <c r="K36" s="146"/>
      <c r="L36" s="146"/>
      <c r="M36" s="147"/>
      <c r="N36" s="148"/>
      <c r="O36" s="247"/>
      <c r="P36" s="243"/>
      <c r="Q36" s="144"/>
    </row>
    <row r="37" spans="1:17" ht="15.75" thickBot="1">
      <c r="A37" s="149"/>
      <c r="B37" s="150"/>
      <c r="C37" s="150"/>
      <c r="D37" s="150"/>
      <c r="E37" s="150"/>
      <c r="F37" s="150"/>
      <c r="G37" s="150"/>
      <c r="H37" s="150"/>
      <c r="I37" s="150"/>
      <c r="J37" s="150"/>
      <c r="K37" s="150"/>
      <c r="L37" s="150"/>
      <c r="M37" s="151"/>
      <c r="N37" s="150"/>
      <c r="O37" s="249"/>
      <c r="P37" s="250"/>
      <c r="Q37" s="152"/>
    </row>
    <row r="38" spans="1:17" ht="31.5" customHeight="1" thickBot="1">
      <c r="A38" s="251" t="s">
        <v>226</v>
      </c>
      <c r="B38" s="252"/>
      <c r="C38" s="252"/>
      <c r="D38" s="252"/>
      <c r="E38" s="252"/>
      <c r="F38" s="252"/>
      <c r="G38" s="252"/>
      <c r="H38" s="252"/>
      <c r="I38" s="252"/>
      <c r="J38" s="252"/>
      <c r="K38" s="252"/>
      <c r="L38" s="252"/>
      <c r="M38" s="252"/>
      <c r="N38" s="252"/>
      <c r="O38" s="252"/>
      <c r="P38" s="253"/>
      <c r="Q38" s="153">
        <f>SUM(Q15:Q37)</f>
        <v>50728263</v>
      </c>
    </row>
    <row r="39" spans="1:17" ht="15.75" thickBot="1">
      <c r="A39" s="254"/>
      <c r="B39" s="193"/>
      <c r="C39" s="193"/>
      <c r="D39" s="193"/>
      <c r="E39" s="193"/>
      <c r="F39" s="193"/>
      <c r="G39" s="193"/>
      <c r="H39" s="193"/>
      <c r="I39" s="193"/>
      <c r="J39" s="193"/>
      <c r="K39" s="193"/>
      <c r="L39" s="193"/>
      <c r="M39" s="193"/>
      <c r="N39" s="193"/>
      <c r="O39" s="193"/>
      <c r="P39" s="193"/>
      <c r="Q39" s="228"/>
    </row>
    <row r="40" spans="1:17" ht="15.75" thickBot="1">
      <c r="A40" s="255" t="s">
        <v>205</v>
      </c>
      <c r="B40" s="198"/>
      <c r="C40" s="198"/>
      <c r="D40" s="198"/>
      <c r="E40" s="198"/>
      <c r="F40" s="241"/>
      <c r="G40" s="256"/>
      <c r="H40" s="193"/>
      <c r="I40" s="193"/>
      <c r="J40" s="193"/>
      <c r="K40" s="193"/>
      <c r="L40" s="193"/>
      <c r="M40" s="193"/>
      <c r="N40" s="193"/>
      <c r="O40" s="193"/>
      <c r="P40" s="193"/>
      <c r="Q40" s="228"/>
    </row>
    <row r="41" spans="1:17">
      <c r="A41" s="257" t="str">
        <f>NP!D8</f>
        <v>ADQUISICION DE UTILES MEDICOS Y EQUIPOS SANITARIOS Y DE LABORATORIO CON DESTINO A HOSPITALES DE LA PROVINCIA</v>
      </c>
      <c r="B41" s="164"/>
      <c r="C41" s="164"/>
      <c r="D41" s="164"/>
      <c r="E41" s="164"/>
      <c r="F41" s="164"/>
      <c r="G41" s="164"/>
      <c r="H41" s="164"/>
      <c r="I41" s="164"/>
      <c r="J41" s="164"/>
      <c r="K41" s="164"/>
      <c r="L41" s="164"/>
      <c r="M41" s="164"/>
      <c r="N41" s="164"/>
      <c r="O41" s="164"/>
      <c r="P41" s="164"/>
      <c r="Q41" s="162"/>
    </row>
    <row r="42" spans="1:17" ht="19.5" customHeight="1" thickBot="1">
      <c r="A42" s="258"/>
      <c r="B42" s="218"/>
      <c r="C42" s="218"/>
      <c r="D42" s="218"/>
      <c r="E42" s="218"/>
      <c r="F42" s="218"/>
      <c r="G42" s="218"/>
      <c r="H42" s="218"/>
      <c r="I42" s="218"/>
      <c r="J42" s="218"/>
      <c r="K42" s="218"/>
      <c r="L42" s="218"/>
      <c r="M42" s="218"/>
      <c r="N42" s="218"/>
      <c r="O42" s="218"/>
      <c r="P42" s="218"/>
      <c r="Q42" s="185"/>
    </row>
  </sheetData>
  <mergeCells count="46">
    <mergeCell ref="A38:P38"/>
    <mergeCell ref="A39:Q39"/>
    <mergeCell ref="A40:F40"/>
    <mergeCell ref="G40:Q40"/>
    <mergeCell ref="A41:Q42"/>
    <mergeCell ref="O37:P37"/>
    <mergeCell ref="O26:P26"/>
    <mergeCell ref="O27:P27"/>
    <mergeCell ref="O28:P28"/>
    <mergeCell ref="O29:P29"/>
    <mergeCell ref="O30:P30"/>
    <mergeCell ref="O31:P31"/>
    <mergeCell ref="O32:P32"/>
    <mergeCell ref="O33:P33"/>
    <mergeCell ref="O34:P34"/>
    <mergeCell ref="O35:P35"/>
    <mergeCell ref="O36:P36"/>
    <mergeCell ref="O25:P25"/>
    <mergeCell ref="Q13:Q14"/>
    <mergeCell ref="O15:P15"/>
    <mergeCell ref="O16:P16"/>
    <mergeCell ref="O17:P17"/>
    <mergeCell ref="O18:P18"/>
    <mergeCell ref="O19:P19"/>
    <mergeCell ref="O20:P20"/>
    <mergeCell ref="O21:P21"/>
    <mergeCell ref="O22:P22"/>
    <mergeCell ref="O23:P23"/>
    <mergeCell ref="O24:P24"/>
    <mergeCell ref="P1:Q2"/>
    <mergeCell ref="A4:F4"/>
    <mergeCell ref="G4:Q4"/>
    <mergeCell ref="A5:F5"/>
    <mergeCell ref="G5:Q5"/>
    <mergeCell ref="A1:C1"/>
    <mergeCell ref="D1:E1"/>
    <mergeCell ref="A6:F6"/>
    <mergeCell ref="G6:Q6"/>
    <mergeCell ref="A10:Q10"/>
    <mergeCell ref="A12:Q12"/>
    <mergeCell ref="A13:N13"/>
    <mergeCell ref="O13:P14"/>
    <mergeCell ref="A8:Q8"/>
    <mergeCell ref="A9:Q9"/>
    <mergeCell ref="A7:F7"/>
    <mergeCell ref="G7:Q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SAF 11</vt:lpstr>
      <vt:lpstr>NP</vt:lpstr>
      <vt:lpstr>APG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2022-09-30T20:56:46Z</dcterms:created>
  <dcterms:modified xsi:type="dcterms:W3CDTF">2022-10-03T20:25:48Z</dcterms:modified>
</cp:coreProperties>
</file>