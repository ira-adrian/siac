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D321BC93-CC0E-486A-B0F8-D9D84A60FA81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 " sheetId="4" r:id="rId1"/>
    <sheet name="NP DPFeI" sheetId="2" r:id="rId2"/>
    <sheet name="APG DPFeI" sheetId="3" r:id="rId3"/>
    <sheet name="NP DPMIyA" sheetId="7" r:id="rId4"/>
    <sheet name="APG DPMIyA" sheetId="8" r:id="rId5"/>
  </sheets>
  <definedNames>
    <definedName name="_xlnm._FilterDatabase" localSheetId="0" hidden="1">'Necesidades Trimestrales '!$A$9:$M$35</definedName>
    <definedName name="_xlnm.Print_Area" localSheetId="2">'APG DPFeI'!$A$1:$Q$27</definedName>
    <definedName name="_xlnm.Print_Area" localSheetId="4">'APG DPMIyA'!$A$1:$Q$27</definedName>
    <definedName name="_xlnm.Print_Area" localSheetId="0">'Necesidades Trimestrales '!#REF!</definedName>
    <definedName name="_xlnm.Print_Area" localSheetId="1">'NP DPFeI'!$A$1:$K$37</definedName>
    <definedName name="_xlnm.Print_Area" localSheetId="3">'NP DPMIyA'!$A$1:$K$13</definedName>
  </definedNames>
  <calcPr calcId="181029"/>
</workbook>
</file>

<file path=xl/calcChain.xml><?xml version="1.0" encoding="utf-8"?>
<calcChain xmlns="http://schemas.openxmlformats.org/spreadsheetml/2006/main">
  <c r="B28" i="2" l="1"/>
  <c r="C26" i="2"/>
  <c r="C24" i="2"/>
  <c r="C20" i="2"/>
  <c r="C16" i="2"/>
  <c r="C13" i="2"/>
  <c r="K12" i="7" l="1"/>
  <c r="A26" i="8" l="1"/>
  <c r="A10" i="8"/>
  <c r="G7" i="8"/>
  <c r="G6" i="8"/>
  <c r="G4" i="8"/>
  <c r="J12" i="7"/>
  <c r="I12" i="7"/>
  <c r="C12" i="7"/>
  <c r="B12" i="7"/>
  <c r="D4" i="7"/>
  <c r="G5" i="8" s="1"/>
  <c r="D3" i="7"/>
  <c r="A26" i="3"/>
  <c r="J13" i="7" l="1"/>
  <c r="Q15" i="8" s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C14" i="2"/>
  <c r="C15" i="2"/>
  <c r="C17" i="2"/>
  <c r="C18" i="2"/>
  <c r="C19" i="2"/>
  <c r="C21" i="2"/>
  <c r="C22" i="2"/>
  <c r="C23" i="2"/>
  <c r="C25" i="2"/>
  <c r="C27" i="2"/>
  <c r="C28" i="2"/>
  <c r="C29" i="2"/>
  <c r="C30" i="2"/>
  <c r="C31" i="2"/>
  <c r="C32" i="2"/>
  <c r="C33" i="2"/>
  <c r="C34" i="2"/>
  <c r="C35" i="2"/>
  <c r="C36" i="2"/>
  <c r="B31" i="2"/>
  <c r="B32" i="2"/>
  <c r="B33" i="2"/>
  <c r="B34" i="2"/>
  <c r="B35" i="2"/>
  <c r="B36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9" i="2"/>
  <c r="B30" i="2"/>
  <c r="K12" i="2"/>
  <c r="J12" i="2"/>
  <c r="I12" i="2"/>
  <c r="C12" i="2"/>
  <c r="B12" i="2"/>
  <c r="K11" i="4"/>
  <c r="M11" i="4" s="1"/>
  <c r="K12" i="4"/>
  <c r="M12" i="4" s="1"/>
  <c r="K13" i="4"/>
  <c r="M13" i="4" s="1"/>
  <c r="K14" i="4"/>
  <c r="M14" i="4" s="1"/>
  <c r="K15" i="4"/>
  <c r="M15" i="4" s="1"/>
  <c r="K16" i="4"/>
  <c r="M16" i="4" s="1"/>
  <c r="K17" i="4"/>
  <c r="M17" i="4" s="1"/>
  <c r="K18" i="4"/>
  <c r="M18" i="4" s="1"/>
  <c r="K19" i="4"/>
  <c r="M19" i="4" s="1"/>
  <c r="K20" i="4"/>
  <c r="M20" i="4" s="1"/>
  <c r="Q20" i="4" s="1"/>
  <c r="Q36" i="4" s="1"/>
  <c r="K21" i="4"/>
  <c r="M21" i="4" s="1"/>
  <c r="K22" i="4"/>
  <c r="M22" i="4" s="1"/>
  <c r="R22" i="4" s="1"/>
  <c r="K23" i="4"/>
  <c r="M23" i="4" s="1"/>
  <c r="K24" i="4"/>
  <c r="M24" i="4" s="1"/>
  <c r="P24" i="4" s="1"/>
  <c r="K25" i="4"/>
  <c r="M25" i="4" s="1"/>
  <c r="K26" i="4"/>
  <c r="M26" i="4" s="1"/>
  <c r="P26" i="4" s="1"/>
  <c r="K27" i="4"/>
  <c r="M27" i="4" s="1"/>
  <c r="K28" i="4"/>
  <c r="M28" i="4" s="1"/>
  <c r="P28" i="4" s="1"/>
  <c r="K29" i="4"/>
  <c r="M29" i="4" s="1"/>
  <c r="K30" i="4"/>
  <c r="M30" i="4" s="1"/>
  <c r="P30" i="4" s="1"/>
  <c r="K31" i="4"/>
  <c r="M31" i="4" s="1"/>
  <c r="K32" i="4"/>
  <c r="M32" i="4" s="1"/>
  <c r="R32" i="4" s="1"/>
  <c r="K33" i="4"/>
  <c r="M33" i="4" s="1"/>
  <c r="K34" i="4"/>
  <c r="M34" i="4" s="1"/>
  <c r="R34" i="4" s="1"/>
  <c r="K35" i="4"/>
  <c r="M35" i="4" s="1"/>
  <c r="R35" i="4" s="1"/>
  <c r="K10" i="4"/>
  <c r="M10" i="4" s="1"/>
  <c r="P10" i="4" s="1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10" i="4"/>
  <c r="P27" i="4" l="1"/>
  <c r="P23" i="4"/>
  <c r="R31" i="4"/>
  <c r="R18" i="4"/>
  <c r="R33" i="4"/>
  <c r="P21" i="4"/>
  <c r="R19" i="4"/>
  <c r="R15" i="4"/>
  <c r="P11" i="4"/>
  <c r="R14" i="4"/>
  <c r="P29" i="4"/>
  <c r="P25" i="4"/>
  <c r="R17" i="4"/>
  <c r="R13" i="4"/>
  <c r="R16" i="4"/>
  <c r="Q16" i="3"/>
  <c r="J36" i="4"/>
  <c r="H36" i="4"/>
  <c r="M36" i="4"/>
  <c r="G4" i="3"/>
  <c r="D4" i="2"/>
  <c r="D3" i="2"/>
  <c r="R36" i="4" l="1"/>
  <c r="Q17" i="3" s="1"/>
  <c r="P36" i="4"/>
  <c r="Q15" i="3" s="1"/>
  <c r="J37" i="2"/>
  <c r="S36" i="4" l="1"/>
  <c r="Q23" i="3"/>
  <c r="Q23" i="8" l="1"/>
  <c r="A10" i="3"/>
  <c r="G6" i="3" l="1"/>
  <c r="G7" i="3"/>
  <c r="G5" i="3"/>
</calcChain>
</file>

<file path=xl/sharedStrings.xml><?xml version="1.0" encoding="utf-8"?>
<sst xmlns="http://schemas.openxmlformats.org/spreadsheetml/2006/main" count="272" uniqueCount="149">
  <si>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</si>
  <si>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</si>
  <si>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</si>
  <si>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</si>
  <si>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</si>
  <si>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</si>
  <si>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</si>
  <si>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</si>
  <si>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</si>
  <si>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</si>
  <si>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</si>
  <si>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</si>
  <si>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</si>
  <si>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</si>
  <si>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</si>
  <si>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</si>
  <si>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</si>
  <si>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</si>
  <si>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</si>
  <si>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</si>
  <si>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</si>
  <si>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</si>
  <si>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</si>
  <si>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</si>
  <si>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</si>
  <si>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</si>
  <si>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</si>
  <si>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</si>
  <si>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</si>
  <si>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</si>
  <si>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</si>
  <si>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</si>
  <si>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</si>
  <si>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</si>
  <si>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</si>
  <si>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</si>
  <si>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</si>
  <si>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</si>
  <si>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</si>
  <si>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</si>
  <si>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</si>
  <si>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</si>
  <si>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</si>
  <si>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</si>
  <si>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</si>
  <si>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</si>
  <si>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</si>
  <si>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</si>
  <si>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</si>
  <si>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</si>
  <si>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</si>
  <si>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</si>
  <si>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</si>
  <si>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UNIDAD</t>
  </si>
  <si>
    <t>COMPRIMIDO</t>
  </si>
  <si>
    <t>AMPOLLA</t>
  </si>
  <si>
    <t>FRASCO</t>
  </si>
  <si>
    <t>Semestral</t>
  </si>
  <si>
    <t>xxx/2022</t>
  </si>
  <si>
    <t>2.5.2-1839.31</t>
  </si>
  <si>
    <t>VASODILATADORES CORONARIOS; TIPO: MONODROGA, DROGA GENERICA: DILTIAZEM, FORMA FARMACEUTICA: COMPRIMIDO, PRESENTACION: 60 mGr</t>
  </si>
  <si>
    <t>PROD. MEDICO/FARMACEUTICOS/LAB</t>
  </si>
  <si>
    <t>SI</t>
  </si>
  <si>
    <t>Productos Farmacéuticos y Medicinales</t>
  </si>
  <si>
    <t>Adquisición de DESIERTOS Y FRACASADOS TERCER TRIMESTRE</t>
  </si>
  <si>
    <t>2.5.2-8078.68</t>
  </si>
  <si>
    <t>QUIMICOS</t>
  </si>
  <si>
    <t>EXCIPIENTES; TIPO: MONODROGA, PRESENTACION: ENVASE X 1 Kg, COMPUESTO: CARBON ACTIVADO, CONCENTRACION/PUREZA: 100 %</t>
  </si>
  <si>
    <t>2.5.2-1901.7</t>
  </si>
  <si>
    <t>VITAMINAS; FORMA FARMACEUTICA: AMPOLLA, PRESENTACION: 2 mL, TIPO: MONODROGA, DROGA GENERICA: VITAMINA B</t>
  </si>
  <si>
    <t>2.9.5-6752.8</t>
  </si>
  <si>
    <t>ASPIRADORES MEDICOS; TIPO: MANUAL, CAPACIDAD: 60 CM3, USO: ENDOUTERINO</t>
  </si>
  <si>
    <t>2.9.5-2204.25</t>
  </si>
  <si>
    <t>GUÍAS DE SUERO; USO: ADMINISTRACIÓN DE SOLUCIONES; AGUJA: CON; MODELO: V13; TIPO: FOTOSENSIBLE; MACROGOTERO CON CONEXIÓN ROLLER LUER SLIP</t>
  </si>
  <si>
    <t>2.9.5-2204.51</t>
  </si>
  <si>
    <t>GUÍAS DE SUERO; USO: ADMINISTRACIÓN DE SOLUCIONES; AGUJA: CON; MODELO: V17; TIPO: FOTOSENSIBLE; MICROGOTERO CON CONEXIÓN ROLLER LUER SLIP</t>
  </si>
  <si>
    <t>DESCARTABLES COMUNES</t>
  </si>
  <si>
    <t>2.9.5-6379.1</t>
  </si>
  <si>
    <t>CLAVIJAS DE CIRUGIA; TIPO: KIRSCHNER, MATERIAL: ACERO INOXIDABLE, DIAMETRO: 0,5 mm, PRESENTACION: UNIDAD</t>
  </si>
  <si>
    <t>2.9.5-6379.2</t>
  </si>
  <si>
    <t>CLAVIJAS DE CIRUGIA; TIPO: KIRSCHNER, MATERIAL: ACERO INOXIDABLE, DIAMETRO: 1 mm, PRESENTACION: UNIDAD</t>
  </si>
  <si>
    <t>2.9.5-6379.3</t>
  </si>
  <si>
    <t>CLAVIJAS DE CIRUGIA; TIPO: KIRSCHNER, MATERIAL: ACERO INOXIDABLE, DIAMETRO: 1,5 mm, PRESENTACION: UNIDAD</t>
  </si>
  <si>
    <t>2.9.5-6379.5</t>
  </si>
  <si>
    <t>CLAVIJAS DE CIRUGIA; TIPO: KIRSCHNER, MATERIAL: ACERO INOXIDABLE, DIAMETRO: 2 MM, PRESENTACION: UNIDAD</t>
  </si>
  <si>
    <t>2.9.5-6379.6</t>
  </si>
  <si>
    <t>CLAVIJAS DE CIRUGÍA; TIPO: KIRSCHNER; DIÁMETRO: 2,5 MM; MATERIAL: ACERO INOXIDABLE; PRESENTACIÓN: UNIDAD</t>
  </si>
  <si>
    <t>2.9.5-2554.26</t>
  </si>
  <si>
    <t>PROD.MEDICO/FARMACEUTICOS/LAB</t>
  </si>
  <si>
    <t>PAPELES P/ESTERILIZACION; TIPO: GRADO MEDICO, PRESENTACION: ROLLO X 60 CM X 200 M</t>
  </si>
  <si>
    <t>BOBINA</t>
  </si>
  <si>
    <t>ESTERILIZACION</t>
  </si>
  <si>
    <t>CATETERES/SONDAS; NUMERO: SIN, TIPO: TUBO DE LUKEN PARA TOMA DE MUESTRAS</t>
  </si>
  <si>
    <t>2.9.5-2161.545</t>
  </si>
  <si>
    <t>CAJA</t>
  </si>
  <si>
    <t>ANTIBIOTICOS P/PERSONAS; TIPO: ANTITUBERCULOSTATICO, DROGA GENERICA: RIFAMPICINA X 2 GR, FORMA FARMACEUTICA: EN SUSPENSION CADA 100 mL, PRESENTACION: FRASCO X 50 Ml</t>
  </si>
  <si>
    <t>2.5.2-1821.201</t>
  </si>
  <si>
    <t>2.5.2-1868.37</t>
  </si>
  <si>
    <t>ANSIOLITICOS; TIPO: MONODROGA, DROGA GENERICA: CLONAZEPAN 2 MG, FORMA FARMACEUTICA: COMPRIMIDOS, PRESENTACION: UNIDAD</t>
  </si>
  <si>
    <t>2.5.2-1868.82</t>
  </si>
  <si>
    <t>ANSIOLITICOS; TIPO: MONODROGA, DROGA GENERICA: PREGABALINA 75 MG, FORMA FARMACEUTICA: COMPRIMIDO, PRESENTACION: UNIDAD</t>
  </si>
  <si>
    <t>2.5.2-7316.5</t>
  </si>
  <si>
    <t>ANTIPSICOTICOS; PRESENTACION: COMPRIMIDOS, TIPO: MONODROGA, DROGA GENERICA: QUETIAPINA 100 mGr</t>
  </si>
  <si>
    <t>ANSIOLITICOS; TIPO: MONODROGA, DROGA GENERICA: CLOBAZAM, FORMA FARMACEUTICA: COMPRIMIDO, PRESENTACION: 60 X 20 mGr</t>
  </si>
  <si>
    <t>2.5.2-1868.26</t>
  </si>
  <si>
    <t>ANTIEPILEPTICOS; TIPO: MONODROGA, FORMA FARMACEUTICA: COMPRIMIDO, PRESENTACION: 60, DROGA GENERICA: CLOBAZAM X 10 mGr</t>
  </si>
  <si>
    <t>2.5.2-1865.29</t>
  </si>
  <si>
    <t>2.5.2-1871.7</t>
  </si>
  <si>
    <t>NEUROLEPTICOS; TIPO: MONODROGA, DROGA GENERICA: LEVOMEPROMAZINA, FORMA FARMACEUTICA: COMPRIMIDO, PRESENTACION: 25 mGr</t>
  </si>
  <si>
    <t>AGREGADOS MINISTERIO SALUD + MATERNIDAD</t>
  </si>
  <si>
    <t>2.9.5-8799.11</t>
  </si>
  <si>
    <t>JERINGA; MATERIAL: PLASTICO, CAPACIDAD: 5 CM3, ACCESORIOS: SIN, TIPO: ESTERIL, ACCESORIO: SIN</t>
  </si>
  <si>
    <t>2.9.5-2157.73</t>
  </si>
  <si>
    <t>JERINGAS DESCARTABLES; CAPACIDAD: 10 CM3, AGUJA: SIN, USO: MEDICINAL</t>
  </si>
  <si>
    <t>2.9.5-441.437</t>
  </si>
  <si>
    <t>AGUJAS QUIRURGICAS; TIPO: P/INSULINA, ESPECIFICACION: 32 G, PRESENTACION: ENVASE X 100 UN</t>
  </si>
  <si>
    <t>2.9.5-931.49</t>
  </si>
  <si>
    <t>TELAS ADHESIVAS; ANCHO: 2,5 Cm, LONG.DE CUERPO: 9 M, TIPO: IMPERMEABLE</t>
  </si>
  <si>
    <t>2.9.5-931.36</t>
  </si>
  <si>
    <t>TELAS ADHESIVAS; ANCHO: 5 Cm, LONG.DE CUERPO: 9 M, TIPO: IMPERMEABLE</t>
  </si>
  <si>
    <t>2.5.2-1865.79</t>
  </si>
  <si>
    <t>ANTIEPILEPTICOS; TIPO: MONODROGA, DROGA GENERICA: LEVETIRACETAM X 1000 MG, FORMA FARMACEUTICA: COMPRIMIDO, PRESENTACION: ENVASE X 30 UN</t>
  </si>
  <si>
    <t>011 - Direccion Provincial de Administracion - M.S.</t>
  </si>
  <si>
    <t>TOTAL DESIERTOS Y FRACASADOS</t>
  </si>
  <si>
    <t>CANT. FCIA</t>
  </si>
  <si>
    <t>TOTAL FCIA</t>
  </si>
  <si>
    <t>CANT DPMIyA</t>
  </si>
  <si>
    <t>TOTAL DPMIyA</t>
  </si>
  <si>
    <t>CANT. TOTAL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</si>
  <si>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</si>
  <si>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</si>
  <si>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</si>
  <si>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diez (10) dias habiles</t>
  </si>
  <si>
    <t>Lugar de Entrega:</t>
  </si>
  <si>
    <t>Calidad Minima esperada</t>
  </si>
  <si>
    <t>Mantenimiento</t>
  </si>
  <si>
    <t>cuarenta y cinco (45) días habiles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</si>
  <si>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N 2</t>
    </r>
    <r>
      <rPr>
        <sz val="10"/>
        <rFont val="Times New Roman"/>
        <family val="1"/>
      </rPr>
      <t>: VITAMINAS; FORMA FARMACEUTICA: AMPOLLA, PRESENTACION: 2 mL, TIPO: BECOZYM NF AMPOLLAS NICOTINAMIDA 40 MG/2 ML + PIRIDOXIMA CLORHIDRATO 4 MG/2 ML , VITAMINA B 1 10 MG/2 ML, VITAMINA B 2 5,47 MG/2ML, DEXPANTENOL 6 MG/2 ML VIA DE ADMINISTRACION ENDOVENOSO / INTRAMUSCULAR</t>
    </r>
  </si>
  <si>
    <r>
      <rPr>
        <b/>
        <sz val="10"/>
        <rFont val="Calibri"/>
        <family val="2"/>
      </rPr>
      <t>Especificidades ITEMS 3</t>
    </r>
    <r>
      <rPr>
        <b/>
        <sz val="10"/>
        <rFont val="Times New Roman"/>
        <family val="1"/>
      </rPr>
      <t xml:space="preserve">:  </t>
    </r>
    <r>
      <rPr>
        <sz val="10"/>
        <rFont val="Times New Roman"/>
        <family val="1"/>
      </rPr>
      <t>AMEU CON KIT DE CANULAS DE 4 A 12 MM</t>
    </r>
  </si>
  <si>
    <t>469 - Direccion Provincial de Farmacia e Insumos</t>
  </si>
  <si>
    <t>ITEMS 1, 2, 4 al 26 - DIR. PROV. DE FARMACIA E INSUMOS - CHACABUCO N° 169 - en el horario de 8:00hs a 12:00hs de lunes a viernes. DEBIENDO CORRER LOS GASTOS DE FLETES, ACARREO, CARGA, DESCARGA Y SEGURO A CARGO DEL ADJUDICATARIO.</t>
  </si>
  <si>
    <t>ITEM 3 - DIR. PROV. MATERNIDAD, INFANCIA Y ADOLESCENCIA - CHACABUCO N° 169 - en el horario de 8:00hs a 12:00hs de lunes a viernes. DEBIENDO CORRER LOS GASTOS DE FLETES, ACARREO, CARGA, DESCARGA Y SEGURO A CARGO DEL ADJUDICATARIO.</t>
  </si>
  <si>
    <t>Otros NEP</t>
  </si>
  <si>
    <t>Utiles menores medicos, quirurgicos y de laboratorio</t>
  </si>
  <si>
    <t>162 - Direccion Provincial Maternidad, Infancia y Adolescencia</t>
  </si>
  <si>
    <t>Costo total estimado: PESOS TRESCIENTOS SESENTA MIL con 00/100.</t>
  </si>
  <si>
    <t>TOTAL DE PESOS: TRESCIENTOS SESENTA MIL con 00/100.</t>
  </si>
  <si>
    <t>Costo total estimado: PESOS VEINTINUEVE MILLONES CUARENTA Y SIETE MIL CUATROCIENTOS CUARENTA con 00/100.</t>
  </si>
  <si>
    <t>TOTAL DE PESOS: VEINTINUEVE MILLONES CUARENTA Y SIETE MIL CUATROCIENTOS CUARENTA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</si>
</sst>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&quot;$&quot;\ * #,##0.00_-;\-&quot;$&quot;\ * #,##0.00_-;_-&quot;$&quot;\ * &quot;-&quot;??_-;_-@"/>
    <numFmt numFmtId="171" formatCode="_-[$$-2C0A]\ * #,##0.00_-;\-[$$-2C0A]\ * #,##0.00_-;_-[$$-2C0A]\ * &quot;-&quot;??_-;_-@_-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b/>
      <u/>
      <sz val="10"/>
      <name val="Times New Roman"/>
      <family val="1"/>
    </font>
    <font>
      <b/>
      <sz val="10"/>
      <name val="Times New Roman"/>
      <family val="1"/>
    </font>
    <font>
      <b/>
      <sz val="10"/>
      <name val="Calibri"/>
      <family val="2"/>
    </font>
    <font>
      <b/>
      <sz val="10"/>
      <color rgb="FFFF0000"/>
      <name val="Arial"/>
      <family val="2"/>
    </font>
    <font>
      <b/>
      <sz val="10"/>
      <color rgb="FFFF0000"/>
      <name val="Times New Roman"/>
      <family val="1"/>
    </font>
    <font>
      <b/>
      <u/>
      <sz val="11"/>
      <name val="Times New Roman"/>
      <family val="1"/>
      <charset val="1"/>
    </font>
    <font>
      <sz val="11"/>
      <name val="Times New Roman"/>
      <family val="1"/>
      <charset val="1"/>
    </font>
    <font>
      <sz val="11"/>
      <name val="Arial"/>
      <family val="2"/>
    </font>
    <font>
      <b/>
      <sz val="11"/>
      <name val="Times New Roman"/>
      <family val="1"/>
    </font>
    <font>
      <sz val="10"/>
      <color theme="0"/>
      <name val="Times New Roman"/>
      <family val="1"/>
    </font>
    <font>
      <b/>
      <sz val="12"/>
      <color theme="0"/>
      <name val="Arial"/>
      <family val="2"/>
    </font>
    <font>
      <b/>
      <sz val="10"/>
      <color theme="0"/>
      <name val="Times New Roman"/>
      <family val="1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</borders>
  <cellStyleXfs count="9">
    <xf numFmtId="0" fontId="0" fillId="0" borderId="0"/>
    <xf numFmtId="166" fontId="12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2" fillId="0" borderId="0"/>
    <xf numFmtId="0" fontId="12" fillId="0" borderId="0"/>
    <xf numFmtId="0" fontId="12" fillId="0" borderId="0"/>
    <xf numFmtId="0" fontId="1" fillId="0" borderId="0"/>
  </cellStyleXfs>
  <cellXfs count="224">
    <xf numFmtId="0" fontId="0" fillId="0" borderId="0" xfId="0"/>
    <xf numFmtId="0" fontId="0" fillId="0" borderId="0" xfId="0" applyAlignment="1">
      <alignment horizontal="left"/>
    </xf>
    <xf numFmtId="3" fontId="7" fillId="0" borderId="0" xfId="0" applyNumberFormat="1" applyFont="1"/>
    <xf numFmtId="169" fontId="0" fillId="0" borderId="0" xfId="0" applyNumberFormat="1" applyAlignment="1">
      <alignment horizontal="left"/>
    </xf>
    <xf numFmtId="0" fontId="3" fillId="0" borderId="0" xfId="0" applyFont="1"/>
    <xf numFmtId="0" fontId="11" fillId="0" borderId="18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left" vertical="center"/>
    </xf>
    <xf numFmtId="0" fontId="11" fillId="0" borderId="20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7" fontId="0" fillId="0" borderId="33" xfId="3" applyNumberFormat="1" applyFont="1" applyBorder="1" applyAlignment="1" applyProtection="1">
      <alignment horizontal="center" vertical="center"/>
    </xf>
    <xf numFmtId="0" fontId="22" fillId="0" borderId="48" xfId="7" applyFont="1" applyBorder="1" applyAlignment="1">
      <alignment horizontal="center" vertical="center" wrapText="1"/>
    </xf>
    <xf numFmtId="0" fontId="12" fillId="0" borderId="38" xfId="0" applyFont="1" applyFill="1" applyBorder="1" applyAlignment="1">
      <alignment horizontal="center" vertical="center"/>
    </xf>
    <xf numFmtId="0" fontId="13" fillId="0" borderId="0" xfId="5" applyFont="1" applyFill="1"/>
    <xf numFmtId="0" fontId="16" fillId="0" borderId="0" xfId="5" applyFont="1" applyFill="1" applyAlignment="1">
      <alignment horizontal="left" vertical="center" wrapText="1"/>
    </xf>
    <xf numFmtId="0" fontId="19" fillId="0" borderId="38" xfId="5" applyFont="1" applyFill="1" applyBorder="1" applyAlignment="1">
      <alignment horizontal="center" vertical="center" wrapText="1"/>
    </xf>
    <xf numFmtId="164" fontId="19" fillId="0" borderId="38" xfId="5" applyNumberFormat="1" applyFont="1" applyFill="1" applyBorder="1" applyAlignment="1">
      <alignment horizontal="center" vertical="center" wrapText="1"/>
    </xf>
    <xf numFmtId="0" fontId="13" fillId="0" borderId="0" xfId="5" applyFont="1" applyFill="1" applyAlignment="1">
      <alignment horizontal="center" vertical="center"/>
    </xf>
    <xf numFmtId="0" fontId="13" fillId="0" borderId="0" xfId="5" applyFont="1" applyFill="1" applyAlignment="1">
      <alignment vertical="center"/>
    </xf>
    <xf numFmtId="0" fontId="12" fillId="0" borderId="40" xfId="0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center" vertical="center" wrapText="1"/>
    </xf>
    <xf numFmtId="0" fontId="20" fillId="0" borderId="38" xfId="0" applyFont="1" applyFill="1" applyBorder="1" applyAlignment="1">
      <alignment horizontal="center" vertical="center" wrapText="1"/>
    </xf>
    <xf numFmtId="3" fontId="12" fillId="0" borderId="38" xfId="0" applyNumberFormat="1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 wrapText="1"/>
    </xf>
    <xf numFmtId="0" fontId="20" fillId="0" borderId="42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left" vertical="center" wrapText="1"/>
    </xf>
    <xf numFmtId="3" fontId="12" fillId="0" borderId="41" xfId="0" applyNumberFormat="1" applyFont="1" applyFill="1" applyBorder="1" applyAlignment="1">
      <alignment horizontal="center" vertical="center"/>
    </xf>
    <xf numFmtId="0" fontId="12" fillId="0" borderId="38" xfId="0" applyFont="1" applyFill="1" applyBorder="1" applyAlignment="1">
      <alignment horizontal="left" vertical="center" wrapText="1"/>
    </xf>
    <xf numFmtId="164" fontId="12" fillId="0" borderId="38" xfId="1" applyNumberFormat="1" applyFont="1" applyFill="1" applyBorder="1" applyAlignment="1" applyProtection="1">
      <alignment horizontal="center" vertical="center" wrapText="1"/>
    </xf>
    <xf numFmtId="44" fontId="12" fillId="0" borderId="38" xfId="1" applyNumberFormat="1" applyFont="1" applyFill="1" applyBorder="1" applyAlignment="1">
      <alignment horizontal="center" vertical="center"/>
    </xf>
    <xf numFmtId="44" fontId="12" fillId="0" borderId="44" xfId="1" applyNumberFormat="1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20" fillId="0" borderId="38" xfId="5" applyFont="1" applyFill="1" applyBorder="1" applyAlignment="1">
      <alignment horizontal="center" vertical="center" wrapText="1"/>
    </xf>
    <xf numFmtId="170" fontId="12" fillId="0" borderId="38" xfId="0" applyNumberFormat="1" applyFont="1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3" fontId="12" fillId="0" borderId="42" xfId="0" applyNumberFormat="1" applyFont="1" applyFill="1" applyBorder="1" applyAlignment="1">
      <alignment horizontal="center" vertical="center"/>
    </xf>
    <xf numFmtId="44" fontId="12" fillId="0" borderId="42" xfId="1" applyNumberFormat="1" applyFont="1" applyFill="1" applyBorder="1" applyAlignment="1">
      <alignment horizontal="center" vertical="center"/>
    </xf>
    <xf numFmtId="0" fontId="20" fillId="0" borderId="40" xfId="0" applyFont="1" applyFill="1" applyBorder="1" applyAlignment="1">
      <alignment horizontal="center" vertical="center" wrapText="1"/>
    </xf>
    <xf numFmtId="3" fontId="12" fillId="0" borderId="40" xfId="0" applyNumberFormat="1" applyFont="1" applyFill="1" applyBorder="1" applyAlignment="1">
      <alignment horizontal="center" vertical="center"/>
    </xf>
    <xf numFmtId="44" fontId="12" fillId="0" borderId="40" xfId="1" applyNumberFormat="1" applyFont="1" applyFill="1" applyBorder="1" applyAlignment="1">
      <alignment horizontal="center" vertical="center"/>
    </xf>
    <xf numFmtId="0" fontId="22" fillId="0" borderId="48" xfId="7" applyFont="1" applyFill="1" applyBorder="1" applyAlignment="1">
      <alignment horizontal="center" vertical="center" wrapText="1"/>
    </xf>
    <xf numFmtId="3" fontId="12" fillId="0" borderId="44" xfId="0" applyNumberFormat="1" applyFont="1" applyFill="1" applyBorder="1" applyAlignment="1">
      <alignment horizontal="center" vertical="center"/>
    </xf>
    <xf numFmtId="171" fontId="19" fillId="0" borderId="38" xfId="5" applyNumberFormat="1" applyFont="1" applyFill="1" applyBorder="1" applyAlignment="1">
      <alignment horizontal="center" vertical="center" wrapText="1"/>
    </xf>
    <xf numFmtId="171" fontId="12" fillId="0" borderId="38" xfId="0" applyNumberFormat="1" applyFont="1" applyFill="1" applyBorder="1" applyAlignment="1">
      <alignment horizontal="center" vertical="center"/>
    </xf>
    <xf numFmtId="171" fontId="12" fillId="0" borderId="42" xfId="0" applyNumberFormat="1" applyFont="1" applyFill="1" applyBorder="1" applyAlignment="1">
      <alignment horizontal="center" vertical="center"/>
    </xf>
    <xf numFmtId="0" fontId="19" fillId="0" borderId="38" xfId="5" applyNumberFormat="1" applyFont="1" applyFill="1" applyBorder="1" applyAlignment="1">
      <alignment horizontal="center" vertical="center" wrapText="1"/>
    </xf>
    <xf numFmtId="0" fontId="12" fillId="0" borderId="38" xfId="0" applyNumberFormat="1" applyFont="1" applyFill="1" applyBorder="1" applyAlignment="1">
      <alignment horizontal="center" vertical="center"/>
    </xf>
    <xf numFmtId="0" fontId="12" fillId="0" borderId="42" xfId="0" applyNumberFormat="1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 wrapText="1"/>
    </xf>
    <xf numFmtId="0" fontId="27" fillId="0" borderId="0" xfId="5" applyFont="1" applyFill="1" applyAlignment="1">
      <alignment vertical="center"/>
    </xf>
    <xf numFmtId="0" fontId="22" fillId="0" borderId="45" xfId="7" applyFont="1" applyFill="1" applyBorder="1" applyAlignment="1">
      <alignment horizontal="center" vertical="center" wrapText="1"/>
    </xf>
    <xf numFmtId="0" fontId="13" fillId="0" borderId="0" xfId="7" applyFont="1" applyFill="1" applyBorder="1" applyAlignment="1">
      <alignment horizontal="left" vertical="center" wrapText="1"/>
    </xf>
    <xf numFmtId="0" fontId="13" fillId="0" borderId="0" xfId="7" applyFont="1" applyFill="1" applyBorder="1" applyAlignment="1">
      <alignment horizontal="center" vertical="center"/>
    </xf>
    <xf numFmtId="0" fontId="13" fillId="0" borderId="0" xfId="7" applyFont="1" applyFill="1" applyBorder="1" applyAlignment="1">
      <alignment vertical="center"/>
    </xf>
    <xf numFmtId="0" fontId="13" fillId="0" borderId="0" xfId="7" applyFont="1" applyBorder="1" applyAlignment="1">
      <alignment horizontal="center" vertical="center"/>
    </xf>
    <xf numFmtId="0" fontId="22" fillId="0" borderId="50" xfId="7" applyFont="1" applyBorder="1" applyAlignment="1">
      <alignment horizontal="center" vertical="center" wrapText="1"/>
    </xf>
    <xf numFmtId="0" fontId="16" fillId="0" borderId="0" xfId="5" applyFont="1" applyFill="1" applyAlignment="1">
      <alignment horizontal="center" vertical="center" wrapText="1"/>
    </xf>
    <xf numFmtId="170" fontId="12" fillId="0" borderId="42" xfId="0" applyNumberFormat="1" applyFont="1" applyFill="1" applyBorder="1" applyAlignment="1">
      <alignment horizontal="center" vertical="center"/>
    </xf>
    <xf numFmtId="3" fontId="26" fillId="0" borderId="59" xfId="5" applyNumberFormat="1" applyFont="1" applyFill="1" applyBorder="1" applyAlignment="1">
      <alignment horizontal="center" vertical="center"/>
    </xf>
    <xf numFmtId="171" fontId="26" fillId="0" borderId="59" xfId="5" applyNumberFormat="1" applyFont="1" applyFill="1" applyBorder="1" applyAlignment="1">
      <alignment horizontal="center" vertical="center"/>
    </xf>
    <xf numFmtId="0" fontId="26" fillId="0" borderId="59" xfId="5" applyNumberFormat="1" applyFont="1" applyFill="1" applyBorder="1" applyAlignment="1">
      <alignment horizontal="center" vertical="center"/>
    </xf>
    <xf numFmtId="170" fontId="26" fillId="0" borderId="59" xfId="0" applyNumberFormat="1" applyFont="1" applyFill="1" applyBorder="1" applyAlignment="1">
      <alignment horizontal="center" vertical="center"/>
    </xf>
    <xf numFmtId="164" fontId="26" fillId="0" borderId="60" xfId="1" applyNumberFormat="1" applyFont="1" applyFill="1" applyBorder="1" applyAlignment="1" applyProtection="1">
      <alignment horizontal="right" vertical="center" wrapText="1"/>
    </xf>
    <xf numFmtId="0" fontId="3" fillId="0" borderId="0" xfId="0" applyFont="1" applyFill="1" applyAlignment="1">
      <alignment vertical="center"/>
    </xf>
    <xf numFmtId="0" fontId="0" fillId="0" borderId="0" xfId="0" applyFill="1"/>
    <xf numFmtId="171" fontId="13" fillId="0" borderId="0" xfId="5" applyNumberFormat="1" applyFont="1" applyFill="1" applyAlignment="1">
      <alignment vertical="center"/>
    </xf>
    <xf numFmtId="0" fontId="13" fillId="0" borderId="0" xfId="5" applyNumberFormat="1" applyFont="1" applyFill="1" applyAlignment="1">
      <alignment vertical="center"/>
    </xf>
    <xf numFmtId="164" fontId="13" fillId="0" borderId="0" xfId="5" applyNumberFormat="1" applyFont="1" applyFill="1" applyAlignment="1">
      <alignment vertical="center"/>
    </xf>
    <xf numFmtId="171" fontId="16" fillId="0" borderId="0" xfId="5" applyNumberFormat="1" applyFont="1" applyFill="1" applyAlignment="1">
      <alignment horizontal="center" vertical="center" wrapText="1"/>
    </xf>
    <xf numFmtId="0" fontId="16" fillId="0" borderId="0" xfId="5" applyNumberFormat="1" applyFont="1" applyFill="1" applyAlignment="1">
      <alignment horizontal="center" vertical="center" wrapText="1"/>
    </xf>
    <xf numFmtId="0" fontId="17" fillId="0" borderId="0" xfId="5" applyFont="1" applyFill="1" applyAlignment="1">
      <alignment horizontal="left" vertical="center" wrapText="1"/>
    </xf>
    <xf numFmtId="0" fontId="13" fillId="0" borderId="49" xfId="5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horizontal="left" vertical="center"/>
    </xf>
    <xf numFmtId="0" fontId="29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 indent="1"/>
    </xf>
    <xf numFmtId="0" fontId="29" fillId="0" borderId="6" xfId="0" applyFont="1" applyFill="1" applyBorder="1" applyAlignment="1">
      <alignment horizontal="center" vertical="center"/>
    </xf>
    <xf numFmtId="0" fontId="30" fillId="0" borderId="6" xfId="0" applyFont="1" applyFill="1" applyBorder="1" applyAlignment="1">
      <alignment horizontal="center" vertical="center"/>
    </xf>
    <xf numFmtId="0" fontId="29" fillId="0" borderId="6" xfId="0" applyFont="1" applyFill="1" applyBorder="1" applyAlignment="1">
      <alignment horizontal="center" vertical="center" wrapText="1"/>
    </xf>
    <xf numFmtId="3" fontId="29" fillId="0" borderId="6" xfId="0" applyNumberFormat="1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171" fontId="28" fillId="0" borderId="2" xfId="0" applyNumberFormat="1" applyFont="1" applyFill="1" applyBorder="1" applyAlignment="1">
      <alignment horizontal="right" vertical="center"/>
    </xf>
    <xf numFmtId="171" fontId="28" fillId="0" borderId="0" xfId="0" applyNumberFormat="1" applyFont="1" applyFill="1" applyAlignment="1">
      <alignment vertical="center"/>
    </xf>
    <xf numFmtId="171" fontId="6" fillId="0" borderId="0" xfId="0" applyNumberFormat="1" applyFont="1" applyFill="1" applyAlignment="1">
      <alignment horizontal="left" vertical="center" wrapText="1" indent="1"/>
    </xf>
    <xf numFmtId="171" fontId="29" fillId="0" borderId="6" xfId="1" applyNumberFormat="1" applyFont="1" applyFill="1" applyBorder="1" applyAlignment="1" applyProtection="1">
      <alignment horizontal="right" vertical="center" wrapText="1"/>
    </xf>
    <xf numFmtId="171" fontId="9" fillId="0" borderId="0" xfId="0" applyNumberFormat="1" applyFont="1" applyFill="1" applyAlignment="1">
      <alignment vertical="center"/>
    </xf>
    <xf numFmtId="0" fontId="3" fillId="0" borderId="0" xfId="0" applyFont="1" applyFill="1"/>
    <xf numFmtId="0" fontId="0" fillId="0" borderId="2" xfId="0" applyFill="1" applyBorder="1"/>
    <xf numFmtId="0" fontId="0" fillId="0" borderId="15" xfId="0" applyFill="1" applyBorder="1"/>
    <xf numFmtId="0" fontId="0" fillId="0" borderId="4" xfId="0" applyFill="1" applyBorder="1"/>
    <xf numFmtId="0" fontId="0" fillId="0" borderId="4" xfId="0" applyFill="1" applyBorder="1" applyAlignment="1">
      <alignment horizontal="left"/>
    </xf>
    <xf numFmtId="0" fontId="0" fillId="0" borderId="16" xfId="0" applyFill="1" applyBorder="1"/>
    <xf numFmtId="0" fontId="18" fillId="0" borderId="0" xfId="5" applyFont="1" applyFill="1" applyAlignment="1">
      <alignment horizontal="left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167" fontId="12" fillId="0" borderId="24" xfId="3" applyNumberFormat="1" applyFont="1" applyFill="1" applyBorder="1" applyAlignment="1" applyProtection="1">
      <alignment horizontal="center" vertical="center" wrapText="1"/>
    </xf>
    <xf numFmtId="0" fontId="12" fillId="0" borderId="0" xfId="0" applyFont="1" applyFill="1" applyAlignment="1">
      <alignment wrapText="1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67" fontId="12" fillId="0" borderId="29" xfId="3" applyNumberFormat="1" applyFont="1" applyBorder="1" applyAlignment="1" applyProtection="1">
      <alignment horizontal="center" vertical="center" wrapText="1"/>
    </xf>
    <xf numFmtId="0" fontId="12" fillId="0" borderId="0" xfId="0" applyFont="1" applyAlignment="1">
      <alignment wrapText="1"/>
    </xf>
    <xf numFmtId="0" fontId="32" fillId="0" borderId="0" xfId="5" applyFont="1" applyFill="1"/>
    <xf numFmtId="0" fontId="32" fillId="0" borderId="0" xfId="5" applyFont="1" applyFill="1" applyAlignment="1">
      <alignment horizontal="center" vertical="center"/>
    </xf>
    <xf numFmtId="164" fontId="33" fillId="0" borderId="0" xfId="0" applyNumberFormat="1" applyFont="1" applyFill="1" applyAlignment="1">
      <alignment vertical="center" wrapText="1"/>
    </xf>
    <xf numFmtId="167" fontId="11" fillId="0" borderId="34" xfId="0" applyNumberFormat="1" applyFont="1" applyFill="1" applyBorder="1" applyAlignment="1">
      <alignment horizontal="center" vertical="center"/>
    </xf>
    <xf numFmtId="164" fontId="34" fillId="0" borderId="0" xfId="5" applyNumberFormat="1" applyFont="1" applyFill="1" applyAlignment="1">
      <alignment vertical="center"/>
    </xf>
    <xf numFmtId="167" fontId="12" fillId="0" borderId="62" xfId="3" applyNumberFormat="1" applyFont="1" applyFill="1" applyBorder="1" applyAlignment="1" applyProtection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67" xfId="0" applyFont="1" applyBorder="1" applyAlignment="1">
      <alignment horizontal="left" vertical="center"/>
    </xf>
    <xf numFmtId="0" fontId="11" fillId="0" borderId="68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164" fontId="12" fillId="0" borderId="38" xfId="1" applyNumberFormat="1" applyFont="1" applyFill="1" applyBorder="1" applyAlignment="1" applyProtection="1">
      <alignment horizontal="right" vertical="center" wrapText="1"/>
    </xf>
    <xf numFmtId="0" fontId="12" fillId="0" borderId="38" xfId="5" applyFont="1" applyFill="1" applyBorder="1" applyAlignment="1">
      <alignment horizontal="center" vertical="center"/>
    </xf>
    <xf numFmtId="0" fontId="12" fillId="0" borderId="38" xfId="5" applyFont="1" applyFill="1" applyBorder="1" applyAlignment="1">
      <alignment vertical="center" wrapText="1"/>
    </xf>
    <xf numFmtId="3" fontId="12" fillId="0" borderId="38" xfId="5" applyNumberFormat="1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3" fontId="12" fillId="0" borderId="42" xfId="5" applyNumberFormat="1" applyFont="1" applyFill="1" applyBorder="1" applyAlignment="1">
      <alignment horizontal="center" vertical="center"/>
    </xf>
    <xf numFmtId="164" fontId="12" fillId="0" borderId="42" xfId="1" applyNumberFormat="1" applyFont="1" applyFill="1" applyBorder="1" applyAlignment="1" applyProtection="1">
      <alignment horizontal="right" vertical="center" wrapText="1"/>
    </xf>
    <xf numFmtId="164" fontId="35" fillId="0" borderId="0" xfId="5" applyNumberFormat="1" applyFont="1" applyFill="1" applyAlignment="1">
      <alignment vertical="center"/>
    </xf>
    <xf numFmtId="0" fontId="35" fillId="0" borderId="0" xfId="5" applyFont="1" applyFill="1" applyAlignment="1">
      <alignment vertical="center"/>
    </xf>
    <xf numFmtId="0" fontId="12" fillId="0" borderId="0" xfId="5" applyFont="1" applyFill="1" applyAlignment="1">
      <alignment vertical="center"/>
    </xf>
    <xf numFmtId="0" fontId="12" fillId="0" borderId="42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54" xfId="0" applyFont="1" applyFill="1" applyBorder="1" applyAlignment="1">
      <alignment vertical="center" wrapText="1"/>
    </xf>
    <xf numFmtId="0" fontId="12" fillId="0" borderId="61" xfId="0" applyFont="1" applyFill="1" applyBorder="1" applyAlignment="1">
      <alignment vertical="center" wrapText="1"/>
    </xf>
    <xf numFmtId="0" fontId="12" fillId="0" borderId="39" xfId="5" applyFont="1" applyFill="1" applyBorder="1" applyAlignment="1">
      <alignment horizontal="center" vertical="center"/>
    </xf>
    <xf numFmtId="0" fontId="12" fillId="0" borderId="0" xfId="5" applyFont="1" applyFill="1" applyBorder="1" applyAlignment="1">
      <alignment horizontal="center" vertical="center"/>
    </xf>
    <xf numFmtId="0" fontId="12" fillId="0" borderId="39" xfId="5" applyFont="1" applyFill="1" applyBorder="1" applyAlignment="1">
      <alignment horizontal="center" vertical="center" wrapText="1"/>
    </xf>
    <xf numFmtId="0" fontId="12" fillId="0" borderId="0" xfId="5" applyFont="1" applyFill="1" applyBorder="1" applyAlignment="1">
      <alignment horizontal="center" vertical="center" wrapText="1"/>
    </xf>
    <xf numFmtId="0" fontId="12" fillId="0" borderId="43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56" xfId="0" applyFont="1" applyFill="1" applyBorder="1" applyAlignment="1">
      <alignment horizontal="center" vertical="center" wrapText="1"/>
    </xf>
    <xf numFmtId="0" fontId="12" fillId="0" borderId="5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26" fillId="0" borderId="58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0" fontId="13" fillId="0" borderId="46" xfId="7" applyFont="1" applyFill="1" applyBorder="1" applyAlignment="1">
      <alignment horizontal="left" vertical="center" wrapText="1"/>
    </xf>
    <xf numFmtId="0" fontId="13" fillId="0" borderId="47" xfId="7" applyFont="1" applyFill="1" applyBorder="1" applyAlignment="1">
      <alignment horizontal="left" vertical="center" wrapText="1"/>
    </xf>
    <xf numFmtId="0" fontId="13" fillId="0" borderId="0" xfId="7" applyFont="1" applyFill="1" applyBorder="1" applyAlignment="1">
      <alignment horizontal="left" vertical="center"/>
    </xf>
    <xf numFmtId="0" fontId="13" fillId="0" borderId="49" xfId="7" applyFont="1" applyFill="1" applyBorder="1" applyAlignment="1">
      <alignment horizontal="left" vertical="center"/>
    </xf>
    <xf numFmtId="0" fontId="13" fillId="0" borderId="0" xfId="7" applyFont="1" applyFill="1" applyBorder="1" applyAlignment="1">
      <alignment horizontal="left" vertical="center" wrapText="1"/>
    </xf>
    <xf numFmtId="0" fontId="13" fillId="0" borderId="49" xfId="7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/>
    </xf>
    <xf numFmtId="0" fontId="13" fillId="0" borderId="53" xfId="0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left" vertical="center"/>
    </xf>
    <xf numFmtId="0" fontId="22" fillId="0" borderId="48" xfId="7" applyFont="1" applyFill="1" applyBorder="1" applyAlignment="1">
      <alignment horizontal="center" vertical="center" wrapText="1"/>
    </xf>
    <xf numFmtId="0" fontId="14" fillId="0" borderId="0" xfId="5" applyFont="1" applyFill="1" applyAlignment="1">
      <alignment horizontal="center" vertical="center"/>
    </xf>
    <xf numFmtId="0" fontId="15" fillId="0" borderId="0" xfId="5" applyFont="1" applyFill="1" applyAlignment="1">
      <alignment horizontal="left" vertical="center" wrapText="1"/>
    </xf>
    <xf numFmtId="0" fontId="18" fillId="0" borderId="0" xfId="5" applyFont="1" applyFill="1" applyAlignment="1">
      <alignment horizontal="left" vertical="center" wrapText="1"/>
    </xf>
    <xf numFmtId="0" fontId="13" fillId="0" borderId="45" xfId="0" applyFont="1" applyFill="1" applyBorder="1" applyAlignment="1">
      <alignment vertical="center" wrapText="1"/>
    </xf>
    <xf numFmtId="0" fontId="0" fillId="0" borderId="46" xfId="0" applyFill="1" applyBorder="1" applyAlignment="1">
      <alignment vertical="center" wrapText="1"/>
    </xf>
    <xf numFmtId="0" fontId="0" fillId="0" borderId="47" xfId="0" applyFill="1" applyBorder="1" applyAlignment="1">
      <alignment vertical="center" wrapText="1"/>
    </xf>
    <xf numFmtId="0" fontId="0" fillId="0" borderId="50" xfId="0" applyFill="1" applyBorder="1" applyAlignment="1">
      <alignment vertical="center" wrapText="1"/>
    </xf>
    <xf numFmtId="0" fontId="0" fillId="0" borderId="51" xfId="0" applyFill="1" applyBorder="1" applyAlignment="1">
      <alignment vertical="center" wrapText="1"/>
    </xf>
    <xf numFmtId="0" fontId="0" fillId="0" borderId="52" xfId="0" applyFill="1" applyBorder="1" applyAlignment="1">
      <alignment vertical="center" wrapText="1"/>
    </xf>
    <xf numFmtId="0" fontId="13" fillId="0" borderId="51" xfId="7" applyFont="1" applyBorder="1" applyAlignment="1">
      <alignment horizontal="left" vertical="center"/>
    </xf>
    <xf numFmtId="0" fontId="13" fillId="0" borderId="52" xfId="7" applyFont="1" applyBorder="1" applyAlignment="1">
      <alignment horizontal="left" vertical="center"/>
    </xf>
    <xf numFmtId="0" fontId="29" fillId="0" borderId="10" xfId="0" applyFont="1" applyFill="1" applyBorder="1" applyAlignment="1">
      <alignment horizontal="left" vertical="center" wrapText="1"/>
    </xf>
    <xf numFmtId="0" fontId="29" fillId="0" borderId="53" xfId="0" applyFont="1" applyFill="1" applyBorder="1" applyAlignment="1">
      <alignment horizontal="left" vertical="center" wrapText="1"/>
    </xf>
    <xf numFmtId="0" fontId="29" fillId="0" borderId="1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 indent="1"/>
    </xf>
    <xf numFmtId="168" fontId="31" fillId="0" borderId="6" xfId="0" applyNumberFormat="1" applyFont="1" applyFill="1" applyBorder="1" applyAlignment="1">
      <alignment horizontal="center" vertical="center"/>
    </xf>
    <xf numFmtId="0" fontId="29" fillId="0" borderId="8" xfId="0" applyFont="1" applyFill="1" applyBorder="1" applyAlignment="1">
      <alignment horizontal="left" vertical="center"/>
    </xf>
    <xf numFmtId="0" fontId="6" fillId="0" borderId="35" xfId="0" applyFont="1" applyFill="1" applyBorder="1" applyAlignment="1">
      <alignment horizontal="left" vertical="center" wrapText="1"/>
    </xf>
    <xf numFmtId="0" fontId="6" fillId="0" borderId="5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 wrapText="1"/>
    </xf>
    <xf numFmtId="171" fontId="6" fillId="0" borderId="6" xfId="0" applyNumberFormat="1" applyFont="1" applyFill="1" applyBorder="1" applyAlignment="1">
      <alignment horizontal="center" vertical="center" wrapText="1"/>
    </xf>
    <xf numFmtId="0" fontId="28" fillId="0" borderId="0" xfId="0" applyFont="1" applyFill="1" applyAlignment="1">
      <alignment horizontal="center" vertical="center"/>
    </xf>
    <xf numFmtId="0" fontId="29" fillId="0" borderId="5" xfId="0" applyFont="1" applyFill="1" applyBorder="1" applyAlignment="1">
      <alignment horizontal="left" vertical="center" wrapText="1"/>
    </xf>
    <xf numFmtId="0" fontId="29" fillId="0" borderId="7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35" xfId="0" applyFont="1" applyFill="1" applyBorder="1" applyAlignment="1">
      <alignment vertical="center" wrapText="1"/>
    </xf>
    <xf numFmtId="0" fontId="7" fillId="0" borderId="9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9" fillId="0" borderId="34" xfId="0" applyFont="1" applyFill="1" applyBorder="1" applyAlignment="1">
      <alignment horizontal="left" vertical="center" wrapText="1" indent="1"/>
    </xf>
    <xf numFmtId="0" fontId="12" fillId="0" borderId="28" xfId="0" applyFont="1" applyBorder="1" applyAlignment="1">
      <alignment horizontal="left" vertical="center" wrapText="1"/>
    </xf>
    <xf numFmtId="0" fontId="0" fillId="0" borderId="31" xfId="0" applyBorder="1" applyAlignment="1">
      <alignment horizontal="left" vertical="center"/>
    </xf>
    <xf numFmtId="0" fontId="7" fillId="0" borderId="34" xfId="0" applyFont="1" applyFill="1" applyBorder="1" applyAlignment="1">
      <alignment horizontal="left" vertical="center" wrapText="1"/>
    </xf>
    <xf numFmtId="0" fontId="0" fillId="0" borderId="12" xfId="0" applyFill="1" applyBorder="1"/>
    <xf numFmtId="0" fontId="12" fillId="0" borderId="22" xfId="0" applyFont="1" applyFill="1" applyBorder="1" applyAlignment="1">
      <alignment horizontal="left" vertical="center" wrapText="1"/>
    </xf>
    <xf numFmtId="0" fontId="9" fillId="0" borderId="13" xfId="0" applyFont="1" applyFill="1" applyBorder="1"/>
    <xf numFmtId="0" fontId="9" fillId="0" borderId="14" xfId="0" applyFont="1" applyFill="1" applyBorder="1" applyAlignment="1">
      <alignment horizontal="left" vertical="center" wrapText="1" indent="1"/>
    </xf>
    <xf numFmtId="0" fontId="11" fillId="0" borderId="1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37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indent="1"/>
    </xf>
    <xf numFmtId="0" fontId="10" fillId="0" borderId="3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3" fillId="0" borderId="3" xfId="0" applyFont="1" applyBorder="1"/>
    <xf numFmtId="0" fontId="9" fillId="0" borderId="3" xfId="0" applyFont="1" applyBorder="1" applyAlignment="1">
      <alignment horizontal="left" indent="1"/>
    </xf>
    <xf numFmtId="168" fontId="31" fillId="0" borderId="10" xfId="0" applyNumberFormat="1" applyFont="1" applyFill="1" applyBorder="1" applyAlignment="1">
      <alignment horizontal="center" vertical="center"/>
    </xf>
    <xf numFmtId="168" fontId="31" fillId="0" borderId="11" xfId="0" applyNumberFormat="1" applyFont="1" applyFill="1" applyBorder="1" applyAlignment="1">
      <alignment horizontal="center" vertical="center"/>
    </xf>
    <xf numFmtId="0" fontId="12" fillId="0" borderId="26" xfId="0" applyFont="1" applyBorder="1" applyAlignment="1">
      <alignment horizontal="left" vertical="center" wrapText="1"/>
    </xf>
    <xf numFmtId="0" fontId="11" fillId="0" borderId="63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1" fillId="0" borderId="65" xfId="0" applyFont="1" applyBorder="1" applyAlignment="1">
      <alignment horizontal="center" vertical="center" wrapText="1"/>
    </xf>
    <xf numFmtId="0" fontId="11" fillId="0" borderId="70" xfId="0" applyFont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/>
    </xf>
    <xf numFmtId="0" fontId="11" fillId="0" borderId="71" xfId="0" applyFont="1" applyBorder="1" applyAlignment="1">
      <alignment horizontal="center" vertical="center"/>
    </xf>
  </cellXfs>
  <cellStyles count="9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  <cellStyle name="Normal 3" xfId="8" xr:uid="{00000000-0005-0000-0000-000008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1531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2"/>
  <sheetViews>
    <sheetView tabSelected="1" topLeftCell="A21" zoomScale="71" zoomScaleNormal="71" workbookViewId="0">
      <selection activeCell="F42" sqref="F42"/>
    </sheetView>
  </sheetViews>
  <sheetFormatPr baseColWidth="10" defaultColWidth="11" defaultRowHeight="12.75" x14ac:dyDescent="0.2"/>
  <cols>
    <col min="1" max="1" width="8" style="21" customWidth="1"/>
    <col min="2" max="2" width="14" style="20" customWidth="1"/>
    <col min="3" max="3" width="35.85546875" style="20" bestFit="1" customWidth="1"/>
    <col min="4" max="4" width="8.5703125" style="21" customWidth="1"/>
    <col min="5" max="5" width="139.85546875" style="21" customWidth="1"/>
    <col min="6" max="6" width="14.7109375" style="21" customWidth="1"/>
    <col min="7" max="7" width="10.42578125" style="21" hidden="1" customWidth="1"/>
    <col min="8" max="8" width="15.42578125" style="69" hidden="1" customWidth="1"/>
    <col min="9" max="9" width="10.42578125" style="21" hidden="1" customWidth="1"/>
    <col min="10" max="10" width="12.85546875" style="69" hidden="1" customWidth="1"/>
    <col min="11" max="11" width="12.85546875" style="70" customWidth="1"/>
    <col min="12" max="12" width="15.7109375" style="21" customWidth="1"/>
    <col min="13" max="13" width="18.42578125" style="71" customWidth="1"/>
    <col min="14" max="15" width="11" style="21" customWidth="1"/>
    <col min="16" max="16" width="17.140625" style="112" customWidth="1"/>
    <col min="17" max="17" width="15.140625" style="112" customWidth="1"/>
    <col min="18" max="18" width="18.42578125" style="112" customWidth="1"/>
    <col min="19" max="19" width="14.42578125" style="112" customWidth="1"/>
    <col min="20" max="16384" width="11" style="16"/>
  </cols>
  <sheetData>
    <row r="1" spans="1:19" x14ac:dyDescent="0.2">
      <c r="A1" s="21">
        <v>2022</v>
      </c>
    </row>
    <row r="2" spans="1:19" ht="27" x14ac:dyDescent="0.2">
      <c r="B2" s="163" t="s">
        <v>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</row>
    <row r="3" spans="1:19" ht="12" customHeight="1" x14ac:dyDescent="0.2"/>
    <row r="4" spans="1:19" ht="18" customHeight="1" x14ac:dyDescent="0.2">
      <c r="A4" s="164" t="s">
        <v>1</v>
      </c>
      <c r="B4" s="164"/>
      <c r="C4" s="165" t="s">
        <v>50</v>
      </c>
      <c r="D4" s="165"/>
      <c r="E4" s="165"/>
      <c r="F4" s="17"/>
      <c r="G4" s="60"/>
      <c r="H4" s="72"/>
      <c r="I4" s="60"/>
      <c r="J4" s="72"/>
      <c r="K4" s="73"/>
      <c r="L4" s="17"/>
    </row>
    <row r="5" spans="1:19" ht="18" customHeight="1" x14ac:dyDescent="0.2">
      <c r="A5" s="164" t="s">
        <v>2</v>
      </c>
      <c r="B5" s="164"/>
      <c r="C5" s="165" t="s">
        <v>122</v>
      </c>
      <c r="D5" s="165"/>
      <c r="E5" s="165"/>
      <c r="F5" s="17"/>
      <c r="G5" s="60"/>
      <c r="H5" s="72"/>
      <c r="I5" s="60"/>
      <c r="J5" s="72"/>
      <c r="K5" s="73"/>
      <c r="L5" s="17"/>
    </row>
    <row r="6" spans="1:19" ht="16.5" customHeight="1" x14ac:dyDescent="0.2">
      <c r="A6" s="164" t="s">
        <v>3</v>
      </c>
      <c r="B6" s="164"/>
      <c r="C6" s="100">
        <v>2022</v>
      </c>
      <c r="D6" s="74"/>
      <c r="E6" s="74"/>
      <c r="F6" s="17"/>
      <c r="G6" s="60"/>
      <c r="H6" s="72"/>
      <c r="I6" s="60"/>
      <c r="J6" s="72"/>
      <c r="K6" s="73"/>
      <c r="L6" s="17"/>
    </row>
    <row r="7" spans="1:19" ht="16.5" customHeight="1" x14ac:dyDescent="0.2">
      <c r="A7" s="164" t="s">
        <v>4</v>
      </c>
      <c r="B7" s="164"/>
      <c r="C7" s="100">
        <v>4</v>
      </c>
      <c r="D7" s="74"/>
      <c r="E7" s="74"/>
      <c r="F7" s="17"/>
      <c r="G7" s="60"/>
      <c r="H7" s="72"/>
      <c r="I7" s="60"/>
      <c r="J7" s="72"/>
      <c r="K7" s="73"/>
      <c r="L7" s="17"/>
    </row>
    <row r="8" spans="1:19" x14ac:dyDescent="0.2">
      <c r="B8" s="60"/>
      <c r="C8" s="60"/>
      <c r="D8" s="17"/>
      <c r="E8" s="17"/>
      <c r="F8" s="17"/>
      <c r="G8" s="60"/>
      <c r="H8" s="72"/>
      <c r="I8" s="60"/>
      <c r="J8" s="72"/>
      <c r="K8" s="73"/>
      <c r="L8" s="17"/>
    </row>
    <row r="9" spans="1:19" s="20" customFormat="1" ht="38.25" x14ac:dyDescent="0.2">
      <c r="A9" s="18" t="s">
        <v>5</v>
      </c>
      <c r="B9" s="18" t="s">
        <v>6</v>
      </c>
      <c r="C9" s="18" t="s">
        <v>7</v>
      </c>
      <c r="D9" s="18" t="s">
        <v>8</v>
      </c>
      <c r="E9" s="18" t="s">
        <v>9</v>
      </c>
      <c r="F9" s="18" t="s">
        <v>10</v>
      </c>
      <c r="G9" s="18" t="s">
        <v>124</v>
      </c>
      <c r="H9" s="46" t="s">
        <v>125</v>
      </c>
      <c r="I9" s="18" t="s">
        <v>126</v>
      </c>
      <c r="J9" s="46" t="s">
        <v>127</v>
      </c>
      <c r="K9" s="49" t="s">
        <v>128</v>
      </c>
      <c r="L9" s="18" t="s">
        <v>11</v>
      </c>
      <c r="M9" s="19" t="s">
        <v>12</v>
      </c>
      <c r="P9" s="113">
        <v>252</v>
      </c>
      <c r="Q9" s="113">
        <v>259</v>
      </c>
      <c r="R9" s="113">
        <v>295</v>
      </c>
      <c r="S9" s="113"/>
    </row>
    <row r="10" spans="1:19" s="134" customFormat="1" ht="26.25" customHeight="1" x14ac:dyDescent="0.2">
      <c r="A10" s="22">
        <v>1</v>
      </c>
      <c r="B10" s="23" t="s">
        <v>65</v>
      </c>
      <c r="C10" s="15" t="s">
        <v>66</v>
      </c>
      <c r="D10" s="24">
        <v>252</v>
      </c>
      <c r="E10" s="30" t="s">
        <v>67</v>
      </c>
      <c r="F10" s="23" t="s">
        <v>53</v>
      </c>
      <c r="G10" s="25">
        <v>20</v>
      </c>
      <c r="H10" s="47">
        <f t="shared" ref="H10:H35" si="0">+G10*L10</f>
        <v>130000</v>
      </c>
      <c r="I10" s="25"/>
      <c r="J10" s="47">
        <f t="shared" ref="J10:J35" si="1">+I10*L10</f>
        <v>0</v>
      </c>
      <c r="K10" s="50">
        <f t="shared" ref="K10:K35" si="2">+G10+I10</f>
        <v>20</v>
      </c>
      <c r="L10" s="32">
        <v>6500</v>
      </c>
      <c r="M10" s="123">
        <f t="shared" ref="M10:M35" si="3">+K10*L10</f>
        <v>130000</v>
      </c>
      <c r="N10" s="136"/>
      <c r="O10" s="137"/>
      <c r="P10" s="132">
        <f>+M10</f>
        <v>130000</v>
      </c>
      <c r="Q10" s="132"/>
      <c r="R10" s="132"/>
      <c r="S10" s="133"/>
    </row>
    <row r="11" spans="1:19" s="134" customFormat="1" ht="26.25" customHeight="1" x14ac:dyDescent="0.2">
      <c r="A11" s="15">
        <v>2</v>
      </c>
      <c r="B11" s="26" t="s">
        <v>68</v>
      </c>
      <c r="C11" s="26" t="s">
        <v>61</v>
      </c>
      <c r="D11" s="27">
        <v>252</v>
      </c>
      <c r="E11" s="28" t="s">
        <v>69</v>
      </c>
      <c r="F11" s="26" t="s">
        <v>55</v>
      </c>
      <c r="G11" s="29">
        <v>100</v>
      </c>
      <c r="H11" s="47">
        <f t="shared" si="0"/>
        <v>17000</v>
      </c>
      <c r="I11" s="29"/>
      <c r="J11" s="47">
        <f t="shared" si="1"/>
        <v>0</v>
      </c>
      <c r="K11" s="50">
        <f t="shared" si="2"/>
        <v>100</v>
      </c>
      <c r="L11" s="40">
        <v>170</v>
      </c>
      <c r="M11" s="123">
        <f t="shared" si="3"/>
        <v>17000</v>
      </c>
      <c r="N11" s="136"/>
      <c r="O11" s="137"/>
      <c r="P11" s="132">
        <f t="shared" ref="P11:P30" si="4">+M11</f>
        <v>17000</v>
      </c>
      <c r="Q11" s="132"/>
      <c r="R11" s="132"/>
      <c r="S11" s="133"/>
    </row>
    <row r="12" spans="1:19" s="134" customFormat="1" ht="26.25" customHeight="1" x14ac:dyDescent="0.2">
      <c r="A12" s="15">
        <v>3</v>
      </c>
      <c r="B12" s="15" t="s">
        <v>70</v>
      </c>
      <c r="C12" s="23" t="s">
        <v>61</v>
      </c>
      <c r="D12" s="24">
        <v>295</v>
      </c>
      <c r="E12" s="30" t="s">
        <v>71</v>
      </c>
      <c r="F12" s="15" t="s">
        <v>53</v>
      </c>
      <c r="G12" s="25">
        <v>0</v>
      </c>
      <c r="H12" s="47">
        <f t="shared" si="0"/>
        <v>0</v>
      </c>
      <c r="I12" s="25">
        <v>10</v>
      </c>
      <c r="J12" s="47">
        <f t="shared" si="1"/>
        <v>360000</v>
      </c>
      <c r="K12" s="50">
        <f t="shared" si="2"/>
        <v>10</v>
      </c>
      <c r="L12" s="31">
        <v>36000</v>
      </c>
      <c r="M12" s="123">
        <f t="shared" si="3"/>
        <v>360000</v>
      </c>
      <c r="N12" s="144" t="s">
        <v>76</v>
      </c>
      <c r="O12" s="145"/>
      <c r="P12" s="132"/>
      <c r="Q12" s="132"/>
      <c r="R12" s="132"/>
      <c r="S12" s="133"/>
    </row>
    <row r="13" spans="1:19" s="134" customFormat="1" ht="27.75" customHeight="1" x14ac:dyDescent="0.2">
      <c r="A13" s="15">
        <v>4</v>
      </c>
      <c r="B13" s="15" t="s">
        <v>72</v>
      </c>
      <c r="C13" s="23" t="s">
        <v>61</v>
      </c>
      <c r="D13" s="24">
        <v>295</v>
      </c>
      <c r="E13" s="30" t="s">
        <v>73</v>
      </c>
      <c r="F13" s="15" t="s">
        <v>53</v>
      </c>
      <c r="G13" s="25">
        <v>50</v>
      </c>
      <c r="H13" s="47">
        <f t="shared" si="0"/>
        <v>7500</v>
      </c>
      <c r="I13" s="25"/>
      <c r="J13" s="47">
        <f t="shared" si="1"/>
        <v>0</v>
      </c>
      <c r="K13" s="50">
        <f t="shared" si="2"/>
        <v>50</v>
      </c>
      <c r="L13" s="32">
        <v>150</v>
      </c>
      <c r="M13" s="123">
        <f t="shared" si="3"/>
        <v>7500</v>
      </c>
      <c r="N13" s="144"/>
      <c r="O13" s="145"/>
      <c r="P13" s="132"/>
      <c r="Q13" s="132"/>
      <c r="R13" s="132">
        <f t="shared" ref="R13:R35" si="5">+M13</f>
        <v>7500</v>
      </c>
      <c r="S13" s="133"/>
    </row>
    <row r="14" spans="1:19" s="134" customFormat="1" ht="27.75" customHeight="1" x14ac:dyDescent="0.2">
      <c r="A14" s="15">
        <v>5</v>
      </c>
      <c r="B14" s="15" t="s">
        <v>74</v>
      </c>
      <c r="C14" s="23" t="s">
        <v>61</v>
      </c>
      <c r="D14" s="24">
        <v>295</v>
      </c>
      <c r="E14" s="30" t="s">
        <v>75</v>
      </c>
      <c r="F14" s="15" t="s">
        <v>53</v>
      </c>
      <c r="G14" s="25">
        <v>50</v>
      </c>
      <c r="H14" s="47">
        <f t="shared" si="0"/>
        <v>9000</v>
      </c>
      <c r="I14" s="25"/>
      <c r="J14" s="47">
        <f t="shared" si="1"/>
        <v>0</v>
      </c>
      <c r="K14" s="50">
        <f t="shared" si="2"/>
        <v>50</v>
      </c>
      <c r="L14" s="32">
        <v>180</v>
      </c>
      <c r="M14" s="123">
        <f t="shared" si="3"/>
        <v>9000</v>
      </c>
      <c r="N14" s="144"/>
      <c r="O14" s="145"/>
      <c r="P14" s="132"/>
      <c r="Q14" s="132"/>
      <c r="R14" s="132">
        <f t="shared" si="5"/>
        <v>9000</v>
      </c>
      <c r="S14" s="133"/>
    </row>
    <row r="15" spans="1:19" s="134" customFormat="1" ht="24.75" customHeight="1" x14ac:dyDescent="0.2">
      <c r="A15" s="15">
        <v>6</v>
      </c>
      <c r="B15" s="15" t="s">
        <v>77</v>
      </c>
      <c r="C15" s="23" t="s">
        <v>61</v>
      </c>
      <c r="D15" s="24">
        <v>295</v>
      </c>
      <c r="E15" s="35" t="s">
        <v>78</v>
      </c>
      <c r="F15" s="15" t="s">
        <v>53</v>
      </c>
      <c r="G15" s="25">
        <v>100</v>
      </c>
      <c r="H15" s="47">
        <f t="shared" si="0"/>
        <v>69000</v>
      </c>
      <c r="I15" s="45"/>
      <c r="J15" s="47">
        <f t="shared" si="1"/>
        <v>0</v>
      </c>
      <c r="K15" s="50">
        <f t="shared" si="2"/>
        <v>100</v>
      </c>
      <c r="L15" s="33">
        <v>690</v>
      </c>
      <c r="M15" s="123">
        <f t="shared" si="3"/>
        <v>69000</v>
      </c>
      <c r="N15" s="136"/>
      <c r="O15" s="137"/>
      <c r="P15" s="132"/>
      <c r="Q15" s="132"/>
      <c r="R15" s="132">
        <f t="shared" si="5"/>
        <v>69000</v>
      </c>
      <c r="S15" s="133"/>
    </row>
    <row r="16" spans="1:19" s="134" customFormat="1" ht="24.75" customHeight="1" x14ac:dyDescent="0.2">
      <c r="A16" s="15">
        <v>7</v>
      </c>
      <c r="B16" s="15" t="s">
        <v>79</v>
      </c>
      <c r="C16" s="23" t="s">
        <v>61</v>
      </c>
      <c r="D16" s="24">
        <v>295</v>
      </c>
      <c r="E16" s="34" t="s">
        <v>80</v>
      </c>
      <c r="F16" s="15" t="s">
        <v>53</v>
      </c>
      <c r="G16" s="25">
        <v>80</v>
      </c>
      <c r="H16" s="47">
        <f t="shared" si="0"/>
        <v>55200</v>
      </c>
      <c r="I16" s="45"/>
      <c r="J16" s="47">
        <f t="shared" si="1"/>
        <v>0</v>
      </c>
      <c r="K16" s="50">
        <f t="shared" si="2"/>
        <v>80</v>
      </c>
      <c r="L16" s="33">
        <v>690</v>
      </c>
      <c r="M16" s="123">
        <f t="shared" si="3"/>
        <v>55200</v>
      </c>
      <c r="N16" s="136"/>
      <c r="O16" s="137"/>
      <c r="P16" s="132"/>
      <c r="Q16" s="132"/>
      <c r="R16" s="132">
        <f t="shared" si="5"/>
        <v>55200</v>
      </c>
      <c r="S16" s="133"/>
    </row>
    <row r="17" spans="1:19" s="134" customFormat="1" ht="24.75" customHeight="1" x14ac:dyDescent="0.2">
      <c r="A17" s="15">
        <v>8</v>
      </c>
      <c r="B17" s="15" t="s">
        <v>81</v>
      </c>
      <c r="C17" s="23" t="s">
        <v>61</v>
      </c>
      <c r="D17" s="24">
        <v>295</v>
      </c>
      <c r="E17" s="34" t="s">
        <v>82</v>
      </c>
      <c r="F17" s="15" t="s">
        <v>53</v>
      </c>
      <c r="G17" s="25">
        <v>100</v>
      </c>
      <c r="H17" s="47">
        <f t="shared" si="0"/>
        <v>69000</v>
      </c>
      <c r="I17" s="45"/>
      <c r="J17" s="47">
        <f t="shared" si="1"/>
        <v>0</v>
      </c>
      <c r="K17" s="50">
        <f t="shared" si="2"/>
        <v>100</v>
      </c>
      <c r="L17" s="33">
        <v>690</v>
      </c>
      <c r="M17" s="123">
        <f t="shared" si="3"/>
        <v>69000</v>
      </c>
      <c r="N17" s="136"/>
      <c r="O17" s="137"/>
      <c r="P17" s="132"/>
      <c r="Q17" s="132"/>
      <c r="R17" s="132">
        <f t="shared" si="5"/>
        <v>69000</v>
      </c>
      <c r="S17" s="133"/>
    </row>
    <row r="18" spans="1:19" s="134" customFormat="1" ht="24.75" customHeight="1" x14ac:dyDescent="0.2">
      <c r="A18" s="15">
        <v>9</v>
      </c>
      <c r="B18" s="15" t="s">
        <v>83</v>
      </c>
      <c r="C18" s="23" t="s">
        <v>61</v>
      </c>
      <c r="D18" s="24">
        <v>295</v>
      </c>
      <c r="E18" s="35" t="s">
        <v>84</v>
      </c>
      <c r="F18" s="15" t="s">
        <v>53</v>
      </c>
      <c r="G18" s="25">
        <v>100</v>
      </c>
      <c r="H18" s="47">
        <f t="shared" si="0"/>
        <v>69000</v>
      </c>
      <c r="I18" s="25"/>
      <c r="J18" s="47">
        <f t="shared" si="1"/>
        <v>0</v>
      </c>
      <c r="K18" s="50">
        <f t="shared" si="2"/>
        <v>100</v>
      </c>
      <c r="L18" s="32">
        <v>690</v>
      </c>
      <c r="M18" s="123">
        <f t="shared" si="3"/>
        <v>69000</v>
      </c>
      <c r="N18" s="136"/>
      <c r="O18" s="137"/>
      <c r="P18" s="132"/>
      <c r="Q18" s="132"/>
      <c r="R18" s="132">
        <f t="shared" si="5"/>
        <v>69000</v>
      </c>
      <c r="S18" s="133"/>
    </row>
    <row r="19" spans="1:19" s="134" customFormat="1" ht="24.75" customHeight="1" x14ac:dyDescent="0.2">
      <c r="A19" s="15">
        <v>10</v>
      </c>
      <c r="B19" s="15" t="s">
        <v>85</v>
      </c>
      <c r="C19" s="23" t="s">
        <v>61</v>
      </c>
      <c r="D19" s="24">
        <v>295</v>
      </c>
      <c r="E19" s="35" t="s">
        <v>86</v>
      </c>
      <c r="F19" s="15" t="s">
        <v>53</v>
      </c>
      <c r="G19" s="25">
        <v>100</v>
      </c>
      <c r="H19" s="47">
        <f t="shared" si="0"/>
        <v>69000</v>
      </c>
      <c r="I19" s="25"/>
      <c r="J19" s="47">
        <f t="shared" si="1"/>
        <v>0</v>
      </c>
      <c r="K19" s="50">
        <f t="shared" si="2"/>
        <v>100</v>
      </c>
      <c r="L19" s="32">
        <v>690</v>
      </c>
      <c r="M19" s="123">
        <f t="shared" si="3"/>
        <v>69000</v>
      </c>
      <c r="N19" s="136"/>
      <c r="O19" s="137"/>
      <c r="P19" s="132"/>
      <c r="Q19" s="132"/>
      <c r="R19" s="132">
        <f t="shared" si="5"/>
        <v>69000</v>
      </c>
      <c r="S19" s="133"/>
    </row>
    <row r="20" spans="1:19" s="134" customFormat="1" ht="24.75" customHeight="1" x14ac:dyDescent="0.2">
      <c r="A20" s="15">
        <v>11</v>
      </c>
      <c r="B20" s="15" t="s">
        <v>87</v>
      </c>
      <c r="C20" s="15" t="s">
        <v>88</v>
      </c>
      <c r="D20" s="24">
        <v>259</v>
      </c>
      <c r="E20" s="34" t="s">
        <v>89</v>
      </c>
      <c r="F20" s="15" t="s">
        <v>90</v>
      </c>
      <c r="G20" s="25">
        <v>25</v>
      </c>
      <c r="H20" s="47">
        <f t="shared" si="0"/>
        <v>395000</v>
      </c>
      <c r="I20" s="25"/>
      <c r="J20" s="47">
        <f t="shared" si="1"/>
        <v>0</v>
      </c>
      <c r="K20" s="50">
        <f t="shared" si="2"/>
        <v>25</v>
      </c>
      <c r="L20" s="32">
        <v>15800</v>
      </c>
      <c r="M20" s="123">
        <f t="shared" si="3"/>
        <v>395000</v>
      </c>
      <c r="N20" s="144" t="s">
        <v>91</v>
      </c>
      <c r="O20" s="145"/>
      <c r="P20" s="132"/>
      <c r="Q20" s="132">
        <f t="shared" ref="Q20" si="6">+M20</f>
        <v>395000</v>
      </c>
      <c r="R20" s="132"/>
      <c r="S20" s="133"/>
    </row>
    <row r="21" spans="1:19" s="134" customFormat="1" ht="24.75" customHeight="1" x14ac:dyDescent="0.2">
      <c r="A21" s="15">
        <v>12</v>
      </c>
      <c r="B21" s="124" t="s">
        <v>59</v>
      </c>
      <c r="C21" s="124" t="s">
        <v>61</v>
      </c>
      <c r="D21" s="36">
        <v>252</v>
      </c>
      <c r="E21" s="125" t="s">
        <v>60</v>
      </c>
      <c r="F21" s="124" t="s">
        <v>54</v>
      </c>
      <c r="G21" s="126">
        <v>3000</v>
      </c>
      <c r="H21" s="47">
        <f t="shared" si="0"/>
        <v>101340</v>
      </c>
      <c r="I21" s="126"/>
      <c r="J21" s="47">
        <f t="shared" si="1"/>
        <v>0</v>
      </c>
      <c r="K21" s="50">
        <f t="shared" si="2"/>
        <v>3000</v>
      </c>
      <c r="L21" s="32">
        <v>33.78</v>
      </c>
      <c r="M21" s="123">
        <f t="shared" si="3"/>
        <v>101340</v>
      </c>
      <c r="N21" s="142"/>
      <c r="O21" s="143"/>
      <c r="P21" s="132">
        <f t="shared" si="4"/>
        <v>101340</v>
      </c>
      <c r="Q21" s="132"/>
      <c r="R21" s="132"/>
      <c r="S21" s="133"/>
    </row>
    <row r="22" spans="1:19" s="134" customFormat="1" ht="24.75" customHeight="1" x14ac:dyDescent="0.2">
      <c r="A22" s="15">
        <v>13</v>
      </c>
      <c r="B22" s="15" t="s">
        <v>93</v>
      </c>
      <c r="C22" s="124" t="s">
        <v>61</v>
      </c>
      <c r="D22" s="36">
        <v>295</v>
      </c>
      <c r="E22" s="30" t="s">
        <v>92</v>
      </c>
      <c r="F22" s="15" t="s">
        <v>53</v>
      </c>
      <c r="G22" s="126">
        <v>50</v>
      </c>
      <c r="H22" s="47">
        <f t="shared" si="0"/>
        <v>62500</v>
      </c>
      <c r="I22" s="126"/>
      <c r="J22" s="47">
        <f t="shared" si="1"/>
        <v>0</v>
      </c>
      <c r="K22" s="50">
        <f t="shared" si="2"/>
        <v>50</v>
      </c>
      <c r="L22" s="37">
        <v>1250</v>
      </c>
      <c r="M22" s="123">
        <f t="shared" si="3"/>
        <v>62500</v>
      </c>
      <c r="N22" s="138"/>
      <c r="O22" s="139"/>
      <c r="P22" s="132"/>
      <c r="Q22" s="132"/>
      <c r="R22" s="132">
        <f t="shared" si="5"/>
        <v>62500</v>
      </c>
      <c r="S22" s="133"/>
    </row>
    <row r="23" spans="1:19" s="134" customFormat="1" ht="24.75" customHeight="1" x14ac:dyDescent="0.2">
      <c r="A23" s="15">
        <v>14</v>
      </c>
      <c r="B23" s="15" t="s">
        <v>96</v>
      </c>
      <c r="C23" s="124" t="s">
        <v>61</v>
      </c>
      <c r="D23" s="36">
        <v>252</v>
      </c>
      <c r="E23" s="30" t="s">
        <v>95</v>
      </c>
      <c r="F23" s="15" t="s">
        <v>56</v>
      </c>
      <c r="G23" s="126">
        <v>50</v>
      </c>
      <c r="H23" s="47">
        <f t="shared" si="0"/>
        <v>42500</v>
      </c>
      <c r="I23" s="126"/>
      <c r="J23" s="47">
        <f t="shared" si="1"/>
        <v>0</v>
      </c>
      <c r="K23" s="50">
        <f t="shared" si="2"/>
        <v>50</v>
      </c>
      <c r="L23" s="37">
        <v>850</v>
      </c>
      <c r="M23" s="123">
        <f t="shared" si="3"/>
        <v>42500</v>
      </c>
      <c r="N23" s="140"/>
      <c r="O23" s="141"/>
      <c r="P23" s="132">
        <f t="shared" si="4"/>
        <v>42500</v>
      </c>
      <c r="Q23" s="132"/>
      <c r="R23" s="132"/>
      <c r="S23" s="133"/>
    </row>
    <row r="24" spans="1:19" s="134" customFormat="1" ht="24.75" customHeight="1" x14ac:dyDescent="0.2">
      <c r="A24" s="15">
        <v>15</v>
      </c>
      <c r="B24" s="15" t="s">
        <v>97</v>
      </c>
      <c r="C24" s="15" t="s">
        <v>61</v>
      </c>
      <c r="D24" s="24">
        <v>252</v>
      </c>
      <c r="E24" s="30" t="s">
        <v>98</v>
      </c>
      <c r="F24" s="15" t="s">
        <v>54</v>
      </c>
      <c r="G24" s="25">
        <v>35000</v>
      </c>
      <c r="H24" s="47">
        <f t="shared" si="0"/>
        <v>178500</v>
      </c>
      <c r="I24" s="25"/>
      <c r="J24" s="47">
        <f t="shared" si="1"/>
        <v>0</v>
      </c>
      <c r="K24" s="50">
        <f t="shared" si="2"/>
        <v>35000</v>
      </c>
      <c r="L24" s="32">
        <v>5.0999999999999996</v>
      </c>
      <c r="M24" s="123">
        <f t="shared" si="3"/>
        <v>178500</v>
      </c>
      <c r="N24" s="146" t="s">
        <v>109</v>
      </c>
      <c r="O24" s="147"/>
      <c r="P24" s="132">
        <f t="shared" si="4"/>
        <v>178500</v>
      </c>
      <c r="Q24" s="132"/>
      <c r="R24" s="132"/>
      <c r="S24" s="133"/>
    </row>
    <row r="25" spans="1:19" s="134" customFormat="1" ht="24.75" customHeight="1" x14ac:dyDescent="0.2">
      <c r="A25" s="15">
        <v>16</v>
      </c>
      <c r="B25" s="15" t="s">
        <v>120</v>
      </c>
      <c r="C25" s="15" t="s">
        <v>61</v>
      </c>
      <c r="D25" s="27">
        <v>252</v>
      </c>
      <c r="E25" s="35" t="s">
        <v>121</v>
      </c>
      <c r="F25" s="38" t="s">
        <v>94</v>
      </c>
      <c r="G25" s="39">
        <v>200</v>
      </c>
      <c r="H25" s="47">
        <f t="shared" si="0"/>
        <v>674200</v>
      </c>
      <c r="I25" s="39"/>
      <c r="J25" s="47">
        <f t="shared" si="1"/>
        <v>0</v>
      </c>
      <c r="K25" s="50">
        <f t="shared" si="2"/>
        <v>200</v>
      </c>
      <c r="L25" s="40">
        <v>3371</v>
      </c>
      <c r="M25" s="123">
        <f t="shared" si="3"/>
        <v>674200</v>
      </c>
      <c r="N25" s="136"/>
      <c r="O25" s="148"/>
      <c r="P25" s="132">
        <f t="shared" si="4"/>
        <v>674200</v>
      </c>
      <c r="Q25" s="132"/>
      <c r="R25" s="132"/>
      <c r="S25" s="133"/>
    </row>
    <row r="26" spans="1:19" s="134" customFormat="1" ht="24.75" customHeight="1" x14ac:dyDescent="0.2">
      <c r="A26" s="15">
        <v>17</v>
      </c>
      <c r="B26" s="15" t="s">
        <v>107</v>
      </c>
      <c r="C26" s="15" t="s">
        <v>61</v>
      </c>
      <c r="D26" s="24">
        <v>252</v>
      </c>
      <c r="E26" s="30" t="s">
        <v>108</v>
      </c>
      <c r="F26" s="15" t="s">
        <v>54</v>
      </c>
      <c r="G26" s="25">
        <v>10000</v>
      </c>
      <c r="H26" s="47">
        <f t="shared" si="0"/>
        <v>92000</v>
      </c>
      <c r="I26" s="25"/>
      <c r="J26" s="47">
        <f t="shared" si="1"/>
        <v>0</v>
      </c>
      <c r="K26" s="50">
        <f t="shared" si="2"/>
        <v>10000</v>
      </c>
      <c r="L26" s="32">
        <v>9.1999999999999993</v>
      </c>
      <c r="M26" s="123">
        <f t="shared" si="3"/>
        <v>92000</v>
      </c>
      <c r="N26" s="136"/>
      <c r="O26" s="148"/>
      <c r="P26" s="132">
        <f t="shared" si="4"/>
        <v>92000</v>
      </c>
      <c r="Q26" s="132"/>
      <c r="R26" s="132"/>
      <c r="S26" s="133"/>
    </row>
    <row r="27" spans="1:19" s="134" customFormat="1" ht="24.75" customHeight="1" x14ac:dyDescent="0.2">
      <c r="A27" s="15">
        <v>18</v>
      </c>
      <c r="B27" s="22" t="s">
        <v>99</v>
      </c>
      <c r="C27" s="22" t="s">
        <v>61</v>
      </c>
      <c r="D27" s="41">
        <v>252</v>
      </c>
      <c r="E27" s="127" t="s">
        <v>100</v>
      </c>
      <c r="F27" s="22" t="s">
        <v>54</v>
      </c>
      <c r="G27" s="42">
        <v>5000</v>
      </c>
      <c r="H27" s="47">
        <f t="shared" si="0"/>
        <v>64000</v>
      </c>
      <c r="I27" s="42"/>
      <c r="J27" s="47">
        <f t="shared" si="1"/>
        <v>0</v>
      </c>
      <c r="K27" s="50">
        <f t="shared" si="2"/>
        <v>5000</v>
      </c>
      <c r="L27" s="43">
        <v>12.8</v>
      </c>
      <c r="M27" s="123">
        <f t="shared" si="3"/>
        <v>64000</v>
      </c>
      <c r="N27" s="136"/>
      <c r="O27" s="148"/>
      <c r="P27" s="132">
        <f t="shared" si="4"/>
        <v>64000</v>
      </c>
      <c r="Q27" s="132"/>
      <c r="R27" s="132"/>
      <c r="S27" s="133"/>
    </row>
    <row r="28" spans="1:19" s="134" customFormat="1" ht="24.75" customHeight="1" x14ac:dyDescent="0.2">
      <c r="A28" s="15">
        <v>19</v>
      </c>
      <c r="B28" s="15" t="s">
        <v>101</v>
      </c>
      <c r="C28" s="15" t="s">
        <v>61</v>
      </c>
      <c r="D28" s="24">
        <v>252</v>
      </c>
      <c r="E28" s="30" t="s">
        <v>102</v>
      </c>
      <c r="F28" s="15" t="s">
        <v>54</v>
      </c>
      <c r="G28" s="25">
        <v>8000</v>
      </c>
      <c r="H28" s="47">
        <f t="shared" si="0"/>
        <v>129600</v>
      </c>
      <c r="I28" s="25"/>
      <c r="J28" s="47">
        <f t="shared" si="1"/>
        <v>0</v>
      </c>
      <c r="K28" s="50">
        <f t="shared" si="2"/>
        <v>8000</v>
      </c>
      <c r="L28" s="32">
        <v>16.2</v>
      </c>
      <c r="M28" s="123">
        <f t="shared" si="3"/>
        <v>129600</v>
      </c>
      <c r="N28" s="136"/>
      <c r="O28" s="148"/>
      <c r="P28" s="132">
        <f t="shared" si="4"/>
        <v>129600</v>
      </c>
      <c r="Q28" s="132"/>
      <c r="R28" s="132"/>
      <c r="S28" s="133"/>
    </row>
    <row r="29" spans="1:19" s="134" customFormat="1" ht="24.75" customHeight="1" x14ac:dyDescent="0.2">
      <c r="A29" s="15">
        <v>20</v>
      </c>
      <c r="B29" s="15" t="s">
        <v>104</v>
      </c>
      <c r="C29" s="15" t="s">
        <v>61</v>
      </c>
      <c r="D29" s="24">
        <v>252</v>
      </c>
      <c r="E29" s="35" t="s">
        <v>103</v>
      </c>
      <c r="F29" s="15" t="s">
        <v>94</v>
      </c>
      <c r="G29" s="15">
        <v>100</v>
      </c>
      <c r="H29" s="47">
        <f t="shared" si="0"/>
        <v>664100</v>
      </c>
      <c r="I29" s="15"/>
      <c r="J29" s="47">
        <f t="shared" si="1"/>
        <v>0</v>
      </c>
      <c r="K29" s="50">
        <f t="shared" si="2"/>
        <v>100</v>
      </c>
      <c r="L29" s="37">
        <v>6641</v>
      </c>
      <c r="M29" s="123">
        <f t="shared" si="3"/>
        <v>664100</v>
      </c>
      <c r="N29" s="136"/>
      <c r="O29" s="148"/>
      <c r="P29" s="132">
        <f t="shared" si="4"/>
        <v>664100</v>
      </c>
      <c r="Q29" s="132"/>
      <c r="R29" s="132"/>
      <c r="S29" s="133"/>
    </row>
    <row r="30" spans="1:19" s="134" customFormat="1" ht="24.75" customHeight="1" x14ac:dyDescent="0.2">
      <c r="A30" s="15">
        <v>21</v>
      </c>
      <c r="B30" s="15" t="s">
        <v>106</v>
      </c>
      <c r="C30" s="15" t="s">
        <v>61</v>
      </c>
      <c r="D30" s="24">
        <v>252</v>
      </c>
      <c r="E30" s="30" t="s">
        <v>105</v>
      </c>
      <c r="F30" s="15" t="s">
        <v>94</v>
      </c>
      <c r="G30" s="15">
        <v>120</v>
      </c>
      <c r="H30" s="47">
        <f t="shared" si="0"/>
        <v>429000</v>
      </c>
      <c r="I30" s="15"/>
      <c r="J30" s="47">
        <f t="shared" si="1"/>
        <v>0</v>
      </c>
      <c r="K30" s="50">
        <f t="shared" si="2"/>
        <v>120</v>
      </c>
      <c r="L30" s="37">
        <v>3575</v>
      </c>
      <c r="M30" s="123">
        <f t="shared" si="3"/>
        <v>429000</v>
      </c>
      <c r="N30" s="136"/>
      <c r="O30" s="148"/>
      <c r="P30" s="132">
        <f t="shared" si="4"/>
        <v>429000</v>
      </c>
      <c r="Q30" s="132"/>
      <c r="R30" s="132"/>
      <c r="S30" s="133"/>
    </row>
    <row r="31" spans="1:19" s="134" customFormat="1" ht="24.75" customHeight="1" x14ac:dyDescent="0.2">
      <c r="A31" s="15">
        <v>22</v>
      </c>
      <c r="B31" s="15" t="s">
        <v>110</v>
      </c>
      <c r="C31" s="15" t="s">
        <v>61</v>
      </c>
      <c r="D31" s="15">
        <v>295</v>
      </c>
      <c r="E31" s="35" t="s">
        <v>111</v>
      </c>
      <c r="F31" s="15" t="s">
        <v>53</v>
      </c>
      <c r="G31" s="25">
        <v>300000</v>
      </c>
      <c r="H31" s="47">
        <f t="shared" si="0"/>
        <v>2934000</v>
      </c>
      <c r="I31" s="25"/>
      <c r="J31" s="47">
        <f t="shared" si="1"/>
        <v>0</v>
      </c>
      <c r="K31" s="50">
        <f t="shared" si="2"/>
        <v>300000</v>
      </c>
      <c r="L31" s="32">
        <v>9.7799999999999994</v>
      </c>
      <c r="M31" s="123">
        <f t="shared" si="3"/>
        <v>2934000</v>
      </c>
      <c r="N31" s="136"/>
      <c r="O31" s="148"/>
      <c r="P31" s="132"/>
      <c r="Q31" s="132"/>
      <c r="R31" s="132">
        <f t="shared" si="5"/>
        <v>2934000</v>
      </c>
      <c r="S31" s="133"/>
    </row>
    <row r="32" spans="1:19" s="134" customFormat="1" ht="24.75" customHeight="1" x14ac:dyDescent="0.2">
      <c r="A32" s="15">
        <v>23</v>
      </c>
      <c r="B32" s="15" t="s">
        <v>112</v>
      </c>
      <c r="C32" s="15" t="s">
        <v>61</v>
      </c>
      <c r="D32" s="15">
        <v>295</v>
      </c>
      <c r="E32" s="35" t="s">
        <v>113</v>
      </c>
      <c r="F32" s="15" t="s">
        <v>53</v>
      </c>
      <c r="G32" s="25">
        <v>150000</v>
      </c>
      <c r="H32" s="47">
        <f t="shared" si="0"/>
        <v>2124000</v>
      </c>
      <c r="I32" s="25"/>
      <c r="J32" s="47">
        <f t="shared" si="1"/>
        <v>0</v>
      </c>
      <c r="K32" s="50">
        <f t="shared" si="2"/>
        <v>150000</v>
      </c>
      <c r="L32" s="32">
        <v>14.16</v>
      </c>
      <c r="M32" s="123">
        <f t="shared" si="3"/>
        <v>2124000</v>
      </c>
      <c r="N32" s="136"/>
      <c r="O32" s="148"/>
      <c r="P32" s="132"/>
      <c r="Q32" s="132"/>
      <c r="R32" s="132">
        <f t="shared" si="5"/>
        <v>2124000</v>
      </c>
      <c r="S32" s="133"/>
    </row>
    <row r="33" spans="1:19" s="134" customFormat="1" ht="24.75" customHeight="1" x14ac:dyDescent="0.2">
      <c r="A33" s="15">
        <v>24</v>
      </c>
      <c r="B33" s="38" t="s">
        <v>114</v>
      </c>
      <c r="C33" s="128" t="s">
        <v>61</v>
      </c>
      <c r="D33" s="38">
        <v>295</v>
      </c>
      <c r="E33" s="129" t="s">
        <v>115</v>
      </c>
      <c r="F33" s="38" t="s">
        <v>53</v>
      </c>
      <c r="G33" s="39">
        <v>4000</v>
      </c>
      <c r="H33" s="47">
        <f t="shared" si="0"/>
        <v>18800000</v>
      </c>
      <c r="I33" s="39"/>
      <c r="J33" s="47">
        <f t="shared" si="1"/>
        <v>0</v>
      </c>
      <c r="K33" s="50">
        <f t="shared" si="2"/>
        <v>4000</v>
      </c>
      <c r="L33" s="40">
        <v>4700</v>
      </c>
      <c r="M33" s="123">
        <f t="shared" si="3"/>
        <v>18800000</v>
      </c>
      <c r="N33" s="136"/>
      <c r="O33" s="148"/>
      <c r="P33" s="132"/>
      <c r="Q33" s="132"/>
      <c r="R33" s="132">
        <f t="shared" si="5"/>
        <v>18800000</v>
      </c>
      <c r="S33" s="133"/>
    </row>
    <row r="34" spans="1:19" s="134" customFormat="1" ht="24.75" customHeight="1" x14ac:dyDescent="0.2">
      <c r="A34" s="15">
        <v>25</v>
      </c>
      <c r="B34" s="15" t="s">
        <v>116</v>
      </c>
      <c r="C34" s="15" t="s">
        <v>61</v>
      </c>
      <c r="D34" s="23">
        <v>295</v>
      </c>
      <c r="E34" s="35" t="s">
        <v>117</v>
      </c>
      <c r="F34" s="15" t="s">
        <v>53</v>
      </c>
      <c r="G34" s="25">
        <v>8000</v>
      </c>
      <c r="H34" s="47">
        <f t="shared" si="0"/>
        <v>1064000</v>
      </c>
      <c r="I34" s="25"/>
      <c r="J34" s="47">
        <f t="shared" si="1"/>
        <v>0</v>
      </c>
      <c r="K34" s="50">
        <f t="shared" si="2"/>
        <v>8000</v>
      </c>
      <c r="L34" s="37">
        <v>133</v>
      </c>
      <c r="M34" s="123">
        <f t="shared" si="3"/>
        <v>1064000</v>
      </c>
      <c r="N34" s="136"/>
      <c r="O34" s="148"/>
      <c r="P34" s="132"/>
      <c r="Q34" s="132"/>
      <c r="R34" s="132">
        <f t="shared" si="5"/>
        <v>1064000</v>
      </c>
      <c r="S34" s="133"/>
    </row>
    <row r="35" spans="1:19" s="134" customFormat="1" ht="24.75" customHeight="1" thickBot="1" x14ac:dyDescent="0.25">
      <c r="A35" s="38">
        <v>26</v>
      </c>
      <c r="B35" s="38" t="s">
        <v>118</v>
      </c>
      <c r="C35" s="38" t="s">
        <v>61</v>
      </c>
      <c r="D35" s="26">
        <v>295</v>
      </c>
      <c r="E35" s="135" t="s">
        <v>119</v>
      </c>
      <c r="F35" s="38" t="s">
        <v>53</v>
      </c>
      <c r="G35" s="130">
        <v>3000</v>
      </c>
      <c r="H35" s="48">
        <f t="shared" si="0"/>
        <v>798000</v>
      </c>
      <c r="I35" s="130"/>
      <c r="J35" s="48">
        <f t="shared" si="1"/>
        <v>0</v>
      </c>
      <c r="K35" s="51">
        <f t="shared" si="2"/>
        <v>3000</v>
      </c>
      <c r="L35" s="61">
        <v>266</v>
      </c>
      <c r="M35" s="131">
        <f t="shared" si="3"/>
        <v>798000</v>
      </c>
      <c r="N35" s="149"/>
      <c r="O35" s="150"/>
      <c r="P35" s="132"/>
      <c r="Q35" s="132"/>
      <c r="R35" s="132">
        <f t="shared" si="5"/>
        <v>798000</v>
      </c>
      <c r="S35" s="133"/>
    </row>
    <row r="36" spans="1:19" s="53" customFormat="1" ht="22.5" customHeight="1" thickBot="1" x14ac:dyDescent="0.25">
      <c r="A36" s="151" t="s">
        <v>123</v>
      </c>
      <c r="B36" s="152"/>
      <c r="C36" s="152"/>
      <c r="D36" s="152"/>
      <c r="E36" s="152"/>
      <c r="F36" s="152"/>
      <c r="G36" s="62"/>
      <c r="H36" s="63">
        <f>SUM(H10:H35)</f>
        <v>29047440</v>
      </c>
      <c r="I36" s="62"/>
      <c r="J36" s="63">
        <f>SUM(J10:J35)</f>
        <v>360000</v>
      </c>
      <c r="K36" s="64"/>
      <c r="L36" s="65"/>
      <c r="M36" s="66">
        <f>SUM(M10:M35)</f>
        <v>29407440</v>
      </c>
      <c r="N36" s="52"/>
      <c r="O36" s="52"/>
      <c r="P36" s="114">
        <f>SUM(P10:P35)</f>
        <v>2522240</v>
      </c>
      <c r="Q36" s="114">
        <f t="shared" ref="Q36:R36" si="7">SUM(Q10:Q35)</f>
        <v>395000</v>
      </c>
      <c r="R36" s="114">
        <f t="shared" si="7"/>
        <v>26130200</v>
      </c>
      <c r="S36" s="116">
        <f>SUM(P36:R36)</f>
        <v>29047440</v>
      </c>
    </row>
    <row r="37" spans="1:19" ht="13.5" thickBot="1" x14ac:dyDescent="0.25">
      <c r="P37" s="112">
        <v>252</v>
      </c>
      <c r="Q37" s="112">
        <v>259</v>
      </c>
      <c r="R37" s="112">
        <v>295</v>
      </c>
    </row>
    <row r="38" spans="1:19" ht="91.5" customHeight="1" x14ac:dyDescent="0.2">
      <c r="C38" s="54" t="s">
        <v>129</v>
      </c>
      <c r="D38" s="153" t="s">
        <v>130</v>
      </c>
      <c r="E38" s="154"/>
    </row>
    <row r="39" spans="1:19" ht="15" x14ac:dyDescent="0.2">
      <c r="C39" s="44"/>
      <c r="D39" s="55"/>
      <c r="E39" s="75"/>
    </row>
    <row r="40" spans="1:19" ht="12.75" customHeight="1" x14ac:dyDescent="0.2">
      <c r="C40" s="44" t="s">
        <v>131</v>
      </c>
      <c r="D40" s="155" t="s">
        <v>132</v>
      </c>
      <c r="E40" s="156"/>
    </row>
    <row r="41" spans="1:19" ht="15" x14ac:dyDescent="0.2">
      <c r="C41" s="44"/>
      <c r="D41" s="56"/>
      <c r="E41" s="75"/>
    </row>
    <row r="42" spans="1:19" ht="37.5" customHeight="1" x14ac:dyDescent="0.2">
      <c r="C42" s="162" t="s">
        <v>133</v>
      </c>
      <c r="D42" s="157" t="s">
        <v>140</v>
      </c>
      <c r="E42" s="158"/>
    </row>
    <row r="43" spans="1:19" ht="31.5" customHeight="1" x14ac:dyDescent="0.2">
      <c r="C43" s="162"/>
      <c r="D43" s="157" t="s">
        <v>141</v>
      </c>
      <c r="E43" s="158"/>
    </row>
    <row r="44" spans="1:19" ht="15" x14ac:dyDescent="0.2">
      <c r="C44" s="44"/>
      <c r="D44" s="57"/>
      <c r="E44" s="75"/>
    </row>
    <row r="45" spans="1:19" ht="15" x14ac:dyDescent="0.2">
      <c r="C45" s="14" t="s">
        <v>134</v>
      </c>
      <c r="D45" s="58"/>
      <c r="E45" s="75"/>
    </row>
    <row r="46" spans="1:19" ht="15" x14ac:dyDescent="0.2">
      <c r="C46" s="14"/>
      <c r="D46" s="58"/>
      <c r="E46" s="75"/>
    </row>
    <row r="47" spans="1:19" ht="15.75" thickBot="1" x14ac:dyDescent="0.25">
      <c r="C47" s="59" t="s">
        <v>135</v>
      </c>
      <c r="D47" s="172" t="s">
        <v>136</v>
      </c>
      <c r="E47" s="173"/>
    </row>
    <row r="49" spans="3:6" ht="13.5" thickBot="1" x14ac:dyDescent="0.25"/>
    <row r="50" spans="3:6" x14ac:dyDescent="0.2">
      <c r="C50" s="166" t="s">
        <v>137</v>
      </c>
      <c r="D50" s="167"/>
      <c r="E50" s="167"/>
      <c r="F50" s="168"/>
    </row>
    <row r="51" spans="3:6" ht="33.75" customHeight="1" thickBot="1" x14ac:dyDescent="0.25">
      <c r="C51" s="169"/>
      <c r="D51" s="170"/>
      <c r="E51" s="170"/>
      <c r="F51" s="171"/>
    </row>
    <row r="52" spans="3:6" ht="36.75" customHeight="1" thickBot="1" x14ac:dyDescent="0.25">
      <c r="C52" s="159" t="s">
        <v>138</v>
      </c>
      <c r="D52" s="160"/>
      <c r="E52" s="160"/>
      <c r="F52" s="161"/>
    </row>
  </sheetData>
  <mergeCells count="23">
    <mergeCell ref="C52:F52"/>
    <mergeCell ref="D43:E43"/>
    <mergeCell ref="C42:C43"/>
    <mergeCell ref="B2:L2"/>
    <mergeCell ref="A4:B4"/>
    <mergeCell ref="C4:E4"/>
    <mergeCell ref="A5:B5"/>
    <mergeCell ref="C5:E5"/>
    <mergeCell ref="A6:B6"/>
    <mergeCell ref="A7:B7"/>
    <mergeCell ref="C50:F51"/>
    <mergeCell ref="D47:E47"/>
    <mergeCell ref="N24:O35"/>
    <mergeCell ref="A36:F36"/>
    <mergeCell ref="D38:E38"/>
    <mergeCell ref="D40:E40"/>
    <mergeCell ref="D42:E42"/>
    <mergeCell ref="N10:O11"/>
    <mergeCell ref="N22:O23"/>
    <mergeCell ref="N21:O21"/>
    <mergeCell ref="N20:O20"/>
    <mergeCell ref="N15:O19"/>
    <mergeCell ref="N12:O14"/>
  </mergeCells>
  <conditionalFormatting sqref="C40:C42 C44:C47">
    <cfRule type="duplicateValues" dxfId="3" priority="1"/>
  </conditionalFormatting>
  <conditionalFormatting sqref="C40:C42 C44:C47">
    <cfRule type="duplicateValues" dxfId="2" priority="2"/>
  </conditionalFormatting>
  <conditionalFormatting sqref="C40:C42 C44:C47">
    <cfRule type="duplicateValues" dxfId="1" priority="3"/>
  </conditionalFormatting>
  <conditionalFormatting sqref="C40:C42 C44:C47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7"/>
  <sheetViews>
    <sheetView topLeftCell="A26" zoomScaleNormal="100" workbookViewId="0">
      <selection activeCell="P11" sqref="P11"/>
    </sheetView>
  </sheetViews>
  <sheetFormatPr baseColWidth="10" defaultColWidth="9.140625" defaultRowHeight="14.25" x14ac:dyDescent="0.2"/>
  <cols>
    <col min="1" max="1" width="5.5703125" style="87" customWidth="1"/>
    <col min="2" max="2" width="15.140625" style="88" customWidth="1"/>
    <col min="3" max="3" width="14.140625" style="87" customWidth="1"/>
    <col min="4" max="4" width="26" style="87" customWidth="1"/>
    <col min="5" max="5" width="8" style="87" customWidth="1"/>
    <col min="6" max="6" width="7.85546875" style="87" customWidth="1"/>
    <col min="7" max="7" width="62.140625" style="87" customWidth="1"/>
    <col min="8" max="8" width="9.28515625" style="87" customWidth="1"/>
    <col min="9" max="9" width="15.5703125" style="87" customWidth="1"/>
    <col min="10" max="10" width="14.7109375" style="93" customWidth="1"/>
    <col min="11" max="11" width="15.5703125" style="87" customWidth="1"/>
    <col min="12" max="14" width="5.85546875" style="67" customWidth="1"/>
    <col min="15" max="15" width="12.5703125" style="67" customWidth="1"/>
    <col min="16" max="1024" width="9.140625" style="67"/>
    <col min="1025" max="16384" width="9.140625" style="68"/>
  </cols>
  <sheetData>
    <row r="1" spans="1:11" ht="15" thickBot="1" x14ac:dyDescent="0.25">
      <c r="A1" s="186" t="s">
        <v>13</v>
      </c>
      <c r="B1" s="186"/>
      <c r="C1" s="186"/>
      <c r="D1" s="186"/>
      <c r="E1" s="186"/>
      <c r="F1" s="186"/>
      <c r="G1" s="186"/>
      <c r="H1" s="186"/>
      <c r="I1" s="186"/>
      <c r="J1" s="89" t="s">
        <v>14</v>
      </c>
      <c r="K1" s="76" t="s">
        <v>58</v>
      </c>
    </row>
    <row r="2" spans="1:11" ht="15" thickBot="1" x14ac:dyDescent="0.25">
      <c r="A2" s="77"/>
      <c r="B2" s="78"/>
      <c r="C2" s="77"/>
      <c r="D2" s="79"/>
      <c r="E2" s="79"/>
      <c r="F2" s="79"/>
      <c r="G2" s="79"/>
      <c r="H2" s="79"/>
      <c r="I2" s="79"/>
      <c r="J2" s="90"/>
      <c r="K2" s="79"/>
    </row>
    <row r="3" spans="1:11" ht="15.75" thickBot="1" x14ac:dyDescent="0.25">
      <c r="A3" s="187" t="s">
        <v>47</v>
      </c>
      <c r="B3" s="187"/>
      <c r="C3" s="187"/>
      <c r="D3" s="177" t="str">
        <f>+'Necesidades Trimestrales '!C4</f>
        <v>040 - Ministerio de Salud</v>
      </c>
      <c r="E3" s="177"/>
      <c r="F3" s="177"/>
      <c r="G3" s="177"/>
      <c r="H3" s="177"/>
      <c r="I3" s="177"/>
      <c r="J3" s="177"/>
      <c r="K3" s="177"/>
    </row>
    <row r="4" spans="1:11" ht="15.75" thickBot="1" x14ac:dyDescent="0.25">
      <c r="A4" s="188" t="s">
        <v>48</v>
      </c>
      <c r="B4" s="188"/>
      <c r="C4" s="188"/>
      <c r="D4" s="177" t="str">
        <f>+'Necesidades Trimestrales '!C5</f>
        <v>011 - Direccion Provincial de Administracion - M.S.</v>
      </c>
      <c r="E4" s="177"/>
      <c r="F4" s="177"/>
      <c r="G4" s="177"/>
      <c r="H4" s="177"/>
      <c r="I4" s="177"/>
      <c r="J4" s="177"/>
      <c r="K4" s="177"/>
    </row>
    <row r="5" spans="1:11" ht="15.75" thickBot="1" x14ac:dyDescent="0.25">
      <c r="A5" s="188" t="s">
        <v>26</v>
      </c>
      <c r="B5" s="188"/>
      <c r="C5" s="188"/>
      <c r="D5" s="177" t="s">
        <v>139</v>
      </c>
      <c r="E5" s="177"/>
      <c r="F5" s="177"/>
      <c r="G5" s="177"/>
      <c r="H5" s="177"/>
      <c r="I5" s="177"/>
      <c r="J5" s="177"/>
      <c r="K5" s="177"/>
    </row>
    <row r="6" spans="1:11" ht="15.75" thickBot="1" x14ac:dyDescent="0.25">
      <c r="A6" s="187" t="s">
        <v>49</v>
      </c>
      <c r="B6" s="187"/>
      <c r="C6" s="187"/>
      <c r="D6" s="177" t="s">
        <v>139</v>
      </c>
      <c r="E6" s="177"/>
      <c r="F6" s="177"/>
      <c r="G6" s="177"/>
      <c r="H6" s="177"/>
      <c r="I6" s="177"/>
      <c r="J6" s="177"/>
      <c r="K6" s="177"/>
    </row>
    <row r="7" spans="1:11" ht="15.75" thickBot="1" x14ac:dyDescent="0.25">
      <c r="A7" s="188" t="s">
        <v>15</v>
      </c>
      <c r="B7" s="188"/>
      <c r="C7" s="188"/>
      <c r="D7" s="177" t="s">
        <v>57</v>
      </c>
      <c r="E7" s="177"/>
      <c r="F7" s="177"/>
      <c r="G7" s="177"/>
      <c r="H7" s="177"/>
      <c r="I7" s="177"/>
      <c r="J7" s="177"/>
      <c r="K7" s="177"/>
    </row>
    <row r="8" spans="1:11" ht="15.75" customHeight="1" thickBot="1" x14ac:dyDescent="0.25">
      <c r="A8" s="179" t="s">
        <v>16</v>
      </c>
      <c r="B8" s="179"/>
      <c r="C8" s="179"/>
      <c r="D8" s="180" t="s">
        <v>64</v>
      </c>
      <c r="E8" s="181"/>
      <c r="F8" s="181"/>
      <c r="G8" s="181"/>
      <c r="H8" s="181"/>
      <c r="I8" s="181"/>
      <c r="J8" s="181"/>
      <c r="K8" s="182"/>
    </row>
    <row r="9" spans="1:11" ht="15.75" thickBot="1" x14ac:dyDescent="0.25">
      <c r="A9" s="80"/>
      <c r="B9" s="81"/>
      <c r="C9" s="80"/>
      <c r="D9" s="82"/>
      <c r="E9" s="82"/>
      <c r="F9" s="82"/>
      <c r="G9" s="82"/>
      <c r="H9" s="82"/>
      <c r="I9" s="82"/>
      <c r="J9" s="91"/>
      <c r="K9" s="82"/>
    </row>
    <row r="10" spans="1:11" ht="33.75" customHeight="1" thickBot="1" x14ac:dyDescent="0.25">
      <c r="A10" s="183" t="s">
        <v>17</v>
      </c>
      <c r="B10" s="184" t="s">
        <v>18</v>
      </c>
      <c r="C10" s="184" t="s">
        <v>19</v>
      </c>
      <c r="D10" s="184"/>
      <c r="E10" s="184"/>
      <c r="F10" s="184"/>
      <c r="G10" s="184"/>
      <c r="H10" s="184" t="s">
        <v>20</v>
      </c>
      <c r="I10" s="184" t="s">
        <v>21</v>
      </c>
      <c r="J10" s="185" t="s">
        <v>22</v>
      </c>
      <c r="K10" s="184" t="s">
        <v>23</v>
      </c>
    </row>
    <row r="11" spans="1:11" ht="33.75" customHeight="1" thickBot="1" x14ac:dyDescent="0.25">
      <c r="A11" s="183"/>
      <c r="B11" s="184"/>
      <c r="C11" s="184"/>
      <c r="D11" s="184"/>
      <c r="E11" s="184"/>
      <c r="F11" s="184"/>
      <c r="G11" s="184"/>
      <c r="H11" s="184"/>
      <c r="I11" s="184"/>
      <c r="J11" s="185"/>
      <c r="K11" s="184"/>
    </row>
    <row r="12" spans="1:11" ht="41.25" customHeight="1" thickBot="1" x14ac:dyDescent="0.25">
      <c r="A12" s="83">
        <v>1</v>
      </c>
      <c r="B12" s="84" t="str">
        <f>'Necesidades Trimestrales '!B10</f>
        <v>2.5.2-8078.68</v>
      </c>
      <c r="C12" s="174" t="str">
        <f>'Necesidades Trimestrales '!E10</f>
        <v>EXCIPIENTES; TIPO: MONODROGA, PRESENTACION: ENVASE X 1 Kg, COMPUESTO: CARBON ACTIVADO, CONCENTRACION/PUREZA: 100 %</v>
      </c>
      <c r="D12" s="175"/>
      <c r="E12" s="175"/>
      <c r="F12" s="175"/>
      <c r="G12" s="176"/>
      <c r="H12" s="83" t="s">
        <v>52</v>
      </c>
      <c r="I12" s="85" t="str">
        <f>'Necesidades Trimestrales '!F10</f>
        <v>UNIDAD</v>
      </c>
      <c r="J12" s="92">
        <f>'Necesidades Trimestrales '!L10</f>
        <v>6500</v>
      </c>
      <c r="K12" s="86">
        <f>'Necesidades Trimestrales '!G10</f>
        <v>20</v>
      </c>
    </row>
    <row r="13" spans="1:11" ht="41.25" customHeight="1" thickBot="1" x14ac:dyDescent="0.25">
      <c r="A13" s="83">
        <v>2</v>
      </c>
      <c r="B13" s="84" t="str">
        <f>'Necesidades Trimestrales '!B11</f>
        <v>2.5.2-1901.7</v>
      </c>
      <c r="C13" s="174" t="str">
        <f>'Necesidades Trimestrales '!E11</f>
        <v>VITAMINAS; FORMA FARMACEUTICA: AMPOLLA, PRESENTACION: 2 mL, TIPO: MONODROGA, DROGA GENERICA: VITAMINA B</v>
      </c>
      <c r="D13" s="175"/>
      <c r="E13" s="175"/>
      <c r="F13" s="175"/>
      <c r="G13" s="176"/>
      <c r="H13" s="83" t="s">
        <v>62</v>
      </c>
      <c r="I13" s="85" t="str">
        <f>'Necesidades Trimestrales '!F11</f>
        <v>AMPOLLA</v>
      </c>
      <c r="J13" s="92">
        <f>'Necesidades Trimestrales '!L11</f>
        <v>170</v>
      </c>
      <c r="K13" s="86">
        <f>'Necesidades Trimestrales '!G11</f>
        <v>100</v>
      </c>
    </row>
    <row r="14" spans="1:11" ht="41.25" customHeight="1" thickBot="1" x14ac:dyDescent="0.25">
      <c r="A14" s="83">
        <v>3</v>
      </c>
      <c r="B14" s="84" t="str">
        <f>'Necesidades Trimestrales '!B13</f>
        <v>2.9.5-2204.25</v>
      </c>
      <c r="C14" s="174" t="str">
        <f>'Necesidades Trimestrales '!E13</f>
        <v>GUÍAS DE SUERO; USO: ADMINISTRACIÓN DE SOLUCIONES; AGUJA: CON; MODELO: V13; TIPO: FOTOSENSIBLE; MACROGOTERO CON CONEXIÓN ROLLER LUER SLIP</v>
      </c>
      <c r="D14" s="175"/>
      <c r="E14" s="175"/>
      <c r="F14" s="175"/>
      <c r="G14" s="176"/>
      <c r="H14" s="83" t="s">
        <v>52</v>
      </c>
      <c r="I14" s="85" t="str">
        <f>'Necesidades Trimestrales '!F13</f>
        <v>UNIDAD</v>
      </c>
      <c r="J14" s="92">
        <f>'Necesidades Trimestrales '!L13</f>
        <v>150</v>
      </c>
      <c r="K14" s="86">
        <f>'Necesidades Trimestrales '!G13</f>
        <v>50</v>
      </c>
    </row>
    <row r="15" spans="1:11" ht="41.25" customHeight="1" thickBot="1" x14ac:dyDescent="0.25">
      <c r="A15" s="83">
        <v>4</v>
      </c>
      <c r="B15" s="84" t="str">
        <f>'Necesidades Trimestrales '!B14</f>
        <v>2.9.5-2204.51</v>
      </c>
      <c r="C15" s="174" t="str">
        <f>'Necesidades Trimestrales '!E14</f>
        <v>GUÍAS DE SUERO; USO: ADMINISTRACIÓN DE SOLUCIONES; AGUJA: CON; MODELO: V17; TIPO: FOTOSENSIBLE; MICROGOTERO CON CONEXIÓN ROLLER LUER SLIP</v>
      </c>
      <c r="D15" s="175"/>
      <c r="E15" s="175"/>
      <c r="F15" s="175"/>
      <c r="G15" s="176"/>
      <c r="H15" s="83" t="s">
        <v>52</v>
      </c>
      <c r="I15" s="85" t="str">
        <f>'Necesidades Trimestrales '!F14</f>
        <v>UNIDAD</v>
      </c>
      <c r="J15" s="92">
        <f>'Necesidades Trimestrales '!L14</f>
        <v>180</v>
      </c>
      <c r="K15" s="86">
        <f>'Necesidades Trimestrales '!G14</f>
        <v>50</v>
      </c>
    </row>
    <row r="16" spans="1:11" ht="41.25" customHeight="1" thickBot="1" x14ac:dyDescent="0.25">
      <c r="A16" s="83">
        <v>5</v>
      </c>
      <c r="B16" s="84" t="str">
        <f>'Necesidades Trimestrales '!B15</f>
        <v>2.9.5-6379.1</v>
      </c>
      <c r="C16" s="174" t="str">
        <f>'Necesidades Trimestrales '!E15</f>
        <v>CLAVIJAS DE CIRUGIA; TIPO: KIRSCHNER, MATERIAL: ACERO INOXIDABLE, DIAMETRO: 0,5 mm, PRESENTACION: UNIDAD</v>
      </c>
      <c r="D16" s="175"/>
      <c r="E16" s="175"/>
      <c r="F16" s="175"/>
      <c r="G16" s="176"/>
      <c r="H16" s="83" t="s">
        <v>52</v>
      </c>
      <c r="I16" s="85" t="str">
        <f>'Necesidades Trimestrales '!F15</f>
        <v>UNIDAD</v>
      </c>
      <c r="J16" s="92">
        <f>'Necesidades Trimestrales '!L15</f>
        <v>690</v>
      </c>
      <c r="K16" s="86">
        <f>'Necesidades Trimestrales '!G15</f>
        <v>100</v>
      </c>
    </row>
    <row r="17" spans="1:11" ht="41.25" customHeight="1" thickBot="1" x14ac:dyDescent="0.25">
      <c r="A17" s="83">
        <v>6</v>
      </c>
      <c r="B17" s="84" t="str">
        <f>'Necesidades Trimestrales '!B16</f>
        <v>2.9.5-6379.2</v>
      </c>
      <c r="C17" s="174" t="str">
        <f>'Necesidades Trimestrales '!E16</f>
        <v>CLAVIJAS DE CIRUGIA; TIPO: KIRSCHNER, MATERIAL: ACERO INOXIDABLE, DIAMETRO: 1 mm, PRESENTACION: UNIDAD</v>
      </c>
      <c r="D17" s="175"/>
      <c r="E17" s="175"/>
      <c r="F17" s="175"/>
      <c r="G17" s="176"/>
      <c r="H17" s="83" t="s">
        <v>52</v>
      </c>
      <c r="I17" s="85" t="str">
        <f>'Necesidades Trimestrales '!F16</f>
        <v>UNIDAD</v>
      </c>
      <c r="J17" s="92">
        <f>'Necesidades Trimestrales '!L16</f>
        <v>690</v>
      </c>
      <c r="K17" s="86">
        <f>'Necesidades Trimestrales '!G16</f>
        <v>80</v>
      </c>
    </row>
    <row r="18" spans="1:11" ht="41.25" customHeight="1" thickBot="1" x14ac:dyDescent="0.25">
      <c r="A18" s="83">
        <v>7</v>
      </c>
      <c r="B18" s="84" t="str">
        <f>'Necesidades Trimestrales '!B17</f>
        <v>2.9.5-6379.3</v>
      </c>
      <c r="C18" s="174" t="str">
        <f>'Necesidades Trimestrales '!E17</f>
        <v>CLAVIJAS DE CIRUGIA; TIPO: KIRSCHNER, MATERIAL: ACERO INOXIDABLE, DIAMETRO: 1,5 mm, PRESENTACION: UNIDAD</v>
      </c>
      <c r="D18" s="175"/>
      <c r="E18" s="175"/>
      <c r="F18" s="175"/>
      <c r="G18" s="176"/>
      <c r="H18" s="83" t="s">
        <v>52</v>
      </c>
      <c r="I18" s="85" t="str">
        <f>'Necesidades Trimestrales '!F17</f>
        <v>UNIDAD</v>
      </c>
      <c r="J18" s="92">
        <f>'Necesidades Trimestrales '!L17</f>
        <v>690</v>
      </c>
      <c r="K18" s="86">
        <f>'Necesidades Trimestrales '!G17</f>
        <v>100</v>
      </c>
    </row>
    <row r="19" spans="1:11" ht="41.25" customHeight="1" thickBot="1" x14ac:dyDescent="0.25">
      <c r="A19" s="83">
        <v>8</v>
      </c>
      <c r="B19" s="84" t="str">
        <f>'Necesidades Trimestrales '!B18</f>
        <v>2.9.5-6379.5</v>
      </c>
      <c r="C19" s="174" t="str">
        <f>'Necesidades Trimestrales '!E18</f>
        <v>CLAVIJAS DE CIRUGIA; TIPO: KIRSCHNER, MATERIAL: ACERO INOXIDABLE, DIAMETRO: 2 MM, PRESENTACION: UNIDAD</v>
      </c>
      <c r="D19" s="175"/>
      <c r="E19" s="175"/>
      <c r="F19" s="175"/>
      <c r="G19" s="176"/>
      <c r="H19" s="83" t="s">
        <v>52</v>
      </c>
      <c r="I19" s="85" t="str">
        <f>'Necesidades Trimestrales '!F18</f>
        <v>UNIDAD</v>
      </c>
      <c r="J19" s="92">
        <f>'Necesidades Trimestrales '!L18</f>
        <v>690</v>
      </c>
      <c r="K19" s="86">
        <f>'Necesidades Trimestrales '!G18</f>
        <v>100</v>
      </c>
    </row>
    <row r="20" spans="1:11" ht="41.25" customHeight="1" thickBot="1" x14ac:dyDescent="0.25">
      <c r="A20" s="83">
        <v>9</v>
      </c>
      <c r="B20" s="84" t="str">
        <f>'Necesidades Trimestrales '!B19</f>
        <v>2.9.5-6379.6</v>
      </c>
      <c r="C20" s="174" t="str">
        <f>'Necesidades Trimestrales '!E19</f>
        <v>CLAVIJAS DE CIRUGÍA; TIPO: KIRSCHNER; DIÁMETRO: 2,5 MM; MATERIAL: ACERO INOXIDABLE; PRESENTACIÓN: UNIDAD</v>
      </c>
      <c r="D20" s="175"/>
      <c r="E20" s="175"/>
      <c r="F20" s="175"/>
      <c r="G20" s="176"/>
      <c r="H20" s="83" t="s">
        <v>52</v>
      </c>
      <c r="I20" s="85" t="str">
        <f>'Necesidades Trimestrales '!F19</f>
        <v>UNIDAD</v>
      </c>
      <c r="J20" s="92">
        <f>'Necesidades Trimestrales '!L19</f>
        <v>690</v>
      </c>
      <c r="K20" s="86">
        <f>'Necesidades Trimestrales '!G19</f>
        <v>100</v>
      </c>
    </row>
    <row r="21" spans="1:11" ht="41.25" customHeight="1" thickBot="1" x14ac:dyDescent="0.25">
      <c r="A21" s="83">
        <v>10</v>
      </c>
      <c r="B21" s="84" t="str">
        <f>'Necesidades Trimestrales '!B20</f>
        <v>2.9.5-2554.26</v>
      </c>
      <c r="C21" s="174" t="str">
        <f>'Necesidades Trimestrales '!E20</f>
        <v>PAPELES P/ESTERILIZACION; TIPO: GRADO MEDICO, PRESENTACION: ROLLO X 60 CM X 200 M</v>
      </c>
      <c r="D21" s="175"/>
      <c r="E21" s="175"/>
      <c r="F21" s="175"/>
      <c r="G21" s="176"/>
      <c r="H21" s="83" t="s">
        <v>52</v>
      </c>
      <c r="I21" s="85" t="str">
        <f>'Necesidades Trimestrales '!F20</f>
        <v>BOBINA</v>
      </c>
      <c r="J21" s="92">
        <f>'Necesidades Trimestrales '!L20</f>
        <v>15800</v>
      </c>
      <c r="K21" s="86">
        <f>'Necesidades Trimestrales '!G20</f>
        <v>25</v>
      </c>
    </row>
    <row r="22" spans="1:11" ht="41.25" customHeight="1" thickBot="1" x14ac:dyDescent="0.25">
      <c r="A22" s="83">
        <v>11</v>
      </c>
      <c r="B22" s="84" t="str">
        <f>'Necesidades Trimestrales '!B21</f>
        <v>2.5.2-1839.31</v>
      </c>
      <c r="C22" s="174" t="str">
        <f>'Necesidades Trimestrales '!E21</f>
        <v>VASODILATADORES CORONARIOS; TIPO: MONODROGA, DROGA GENERICA: DILTIAZEM, FORMA FARMACEUTICA: COMPRIMIDO, PRESENTACION: 60 mGr</v>
      </c>
      <c r="D22" s="175"/>
      <c r="E22" s="175"/>
      <c r="F22" s="175"/>
      <c r="G22" s="176"/>
      <c r="H22" s="83" t="s">
        <v>52</v>
      </c>
      <c r="I22" s="85" t="str">
        <f>'Necesidades Trimestrales '!F21</f>
        <v>COMPRIMIDO</v>
      </c>
      <c r="J22" s="92">
        <f>'Necesidades Trimestrales '!L21</f>
        <v>33.78</v>
      </c>
      <c r="K22" s="86">
        <f>'Necesidades Trimestrales '!G21</f>
        <v>3000</v>
      </c>
    </row>
    <row r="23" spans="1:11" ht="41.25" customHeight="1" thickBot="1" x14ac:dyDescent="0.25">
      <c r="A23" s="83">
        <v>12</v>
      </c>
      <c r="B23" s="84" t="str">
        <f>'Necesidades Trimestrales '!B22</f>
        <v>2.9.5-2161.545</v>
      </c>
      <c r="C23" s="174" t="str">
        <f>'Necesidades Trimestrales '!E22</f>
        <v>CATETERES/SONDAS; NUMERO: SIN, TIPO: TUBO DE LUKEN PARA TOMA DE MUESTRAS</v>
      </c>
      <c r="D23" s="175"/>
      <c r="E23" s="175"/>
      <c r="F23" s="175"/>
      <c r="G23" s="176"/>
      <c r="H23" s="83" t="s">
        <v>52</v>
      </c>
      <c r="I23" s="85" t="str">
        <f>'Necesidades Trimestrales '!F22</f>
        <v>UNIDAD</v>
      </c>
      <c r="J23" s="92">
        <f>'Necesidades Trimestrales '!L22</f>
        <v>1250</v>
      </c>
      <c r="K23" s="86">
        <f>'Necesidades Trimestrales '!G22</f>
        <v>50</v>
      </c>
    </row>
    <row r="24" spans="1:11" ht="41.25" customHeight="1" thickBot="1" x14ac:dyDescent="0.25">
      <c r="A24" s="83">
        <v>13</v>
      </c>
      <c r="B24" s="84" t="str">
        <f>'Necesidades Trimestrales '!B23</f>
        <v>2.5.2-1821.201</v>
      </c>
      <c r="C24" s="174" t="str">
        <f>'Necesidades Trimestrales '!E23</f>
        <v>ANTIBIOTICOS P/PERSONAS; TIPO: ANTITUBERCULOSTATICO, DROGA GENERICA: RIFAMPICINA X 2 GR, FORMA FARMACEUTICA: EN SUSPENSION CADA 100 mL, PRESENTACION: FRASCO X 50 Ml</v>
      </c>
      <c r="D24" s="175"/>
      <c r="E24" s="175"/>
      <c r="F24" s="175"/>
      <c r="G24" s="176"/>
      <c r="H24" s="83" t="s">
        <v>52</v>
      </c>
      <c r="I24" s="85" t="str">
        <f>'Necesidades Trimestrales '!F23</f>
        <v>FRASCO</v>
      </c>
      <c r="J24" s="92">
        <f>'Necesidades Trimestrales '!L23</f>
        <v>850</v>
      </c>
      <c r="K24" s="86">
        <f>'Necesidades Trimestrales '!G23</f>
        <v>50</v>
      </c>
    </row>
    <row r="25" spans="1:11" ht="41.25" customHeight="1" thickBot="1" x14ac:dyDescent="0.25">
      <c r="A25" s="83">
        <v>14</v>
      </c>
      <c r="B25" s="84" t="str">
        <f>'Necesidades Trimestrales '!B24</f>
        <v>2.5.2-1868.37</v>
      </c>
      <c r="C25" s="174" t="str">
        <f>'Necesidades Trimestrales '!E24</f>
        <v>ANSIOLITICOS; TIPO: MONODROGA, DROGA GENERICA: CLONAZEPAN 2 MG, FORMA FARMACEUTICA: COMPRIMIDOS, PRESENTACION: UNIDAD</v>
      </c>
      <c r="D25" s="175"/>
      <c r="E25" s="175"/>
      <c r="F25" s="175"/>
      <c r="G25" s="176"/>
      <c r="H25" s="83" t="s">
        <v>52</v>
      </c>
      <c r="I25" s="85" t="str">
        <f>'Necesidades Trimestrales '!F24</f>
        <v>COMPRIMIDO</v>
      </c>
      <c r="J25" s="92">
        <f>'Necesidades Trimestrales '!L24</f>
        <v>5.0999999999999996</v>
      </c>
      <c r="K25" s="86">
        <f>'Necesidades Trimestrales '!G24</f>
        <v>35000</v>
      </c>
    </row>
    <row r="26" spans="1:11" ht="41.25" customHeight="1" thickBot="1" x14ac:dyDescent="0.25">
      <c r="A26" s="83">
        <v>15</v>
      </c>
      <c r="B26" s="84" t="str">
        <f>'Necesidades Trimestrales '!B25</f>
        <v>2.5.2-1865.79</v>
      </c>
      <c r="C26" s="174" t="str">
        <f>'Necesidades Trimestrales '!E25</f>
        <v>ANTIEPILEPTICOS; TIPO: MONODROGA, DROGA GENERICA: LEVETIRACETAM X 1000 MG, FORMA FARMACEUTICA: COMPRIMIDO, PRESENTACION: ENVASE X 30 UN</v>
      </c>
      <c r="D26" s="175"/>
      <c r="E26" s="175"/>
      <c r="F26" s="175"/>
      <c r="G26" s="176"/>
      <c r="H26" s="83" t="s">
        <v>52</v>
      </c>
      <c r="I26" s="85" t="str">
        <f>'Necesidades Trimestrales '!F25</f>
        <v>CAJA</v>
      </c>
      <c r="J26" s="92">
        <f>'Necesidades Trimestrales '!L25</f>
        <v>3371</v>
      </c>
      <c r="K26" s="86">
        <f>'Necesidades Trimestrales '!G25</f>
        <v>200</v>
      </c>
    </row>
    <row r="27" spans="1:11" ht="41.25" customHeight="1" thickBot="1" x14ac:dyDescent="0.25">
      <c r="A27" s="83">
        <v>16</v>
      </c>
      <c r="B27" s="84" t="str">
        <f>'Necesidades Trimestrales '!B26</f>
        <v>2.5.2-1871.7</v>
      </c>
      <c r="C27" s="174" t="str">
        <f>'Necesidades Trimestrales '!E26</f>
        <v>NEUROLEPTICOS; TIPO: MONODROGA, DROGA GENERICA: LEVOMEPROMAZINA, FORMA FARMACEUTICA: COMPRIMIDO, PRESENTACION: 25 mGr</v>
      </c>
      <c r="D27" s="175"/>
      <c r="E27" s="175"/>
      <c r="F27" s="175"/>
      <c r="G27" s="176"/>
      <c r="H27" s="83" t="s">
        <v>52</v>
      </c>
      <c r="I27" s="85" t="str">
        <f>'Necesidades Trimestrales '!F26</f>
        <v>COMPRIMIDO</v>
      </c>
      <c r="J27" s="92">
        <f>'Necesidades Trimestrales '!L26</f>
        <v>9.1999999999999993</v>
      </c>
      <c r="K27" s="86">
        <f>'Necesidades Trimestrales '!G26</f>
        <v>10000</v>
      </c>
    </row>
    <row r="28" spans="1:11" ht="41.25" customHeight="1" thickBot="1" x14ac:dyDescent="0.25">
      <c r="A28" s="83">
        <v>17</v>
      </c>
      <c r="B28" s="84" t="str">
        <f>'Necesidades Trimestrales '!B27</f>
        <v>2.5.2-1868.82</v>
      </c>
      <c r="C28" s="174" t="str">
        <f>'Necesidades Trimestrales '!E27</f>
        <v>ANSIOLITICOS; TIPO: MONODROGA, DROGA GENERICA: PREGABALINA 75 MG, FORMA FARMACEUTICA: COMPRIMIDO, PRESENTACION: UNIDAD</v>
      </c>
      <c r="D28" s="175"/>
      <c r="E28" s="175"/>
      <c r="F28" s="175"/>
      <c r="G28" s="176"/>
      <c r="H28" s="83" t="s">
        <v>52</v>
      </c>
      <c r="I28" s="85" t="str">
        <f>'Necesidades Trimestrales '!F27</f>
        <v>COMPRIMIDO</v>
      </c>
      <c r="J28" s="92">
        <f>'Necesidades Trimestrales '!L27</f>
        <v>12.8</v>
      </c>
      <c r="K28" s="86">
        <f>'Necesidades Trimestrales '!G27</f>
        <v>5000</v>
      </c>
    </row>
    <row r="29" spans="1:11" ht="41.25" customHeight="1" thickBot="1" x14ac:dyDescent="0.25">
      <c r="A29" s="83">
        <v>18</v>
      </c>
      <c r="B29" s="84" t="str">
        <f>'Necesidades Trimestrales '!B28</f>
        <v>2.5.2-7316.5</v>
      </c>
      <c r="C29" s="174" t="str">
        <f>'Necesidades Trimestrales '!E28</f>
        <v>ANTIPSICOTICOS; PRESENTACION: COMPRIMIDOS, TIPO: MONODROGA, DROGA GENERICA: QUETIAPINA 100 mGr</v>
      </c>
      <c r="D29" s="175"/>
      <c r="E29" s="175"/>
      <c r="F29" s="175"/>
      <c r="G29" s="176"/>
      <c r="H29" s="83" t="s">
        <v>52</v>
      </c>
      <c r="I29" s="85" t="str">
        <f>'Necesidades Trimestrales '!F28</f>
        <v>COMPRIMIDO</v>
      </c>
      <c r="J29" s="92">
        <f>'Necesidades Trimestrales '!L28</f>
        <v>16.2</v>
      </c>
      <c r="K29" s="86">
        <f>'Necesidades Trimestrales '!G28</f>
        <v>8000</v>
      </c>
    </row>
    <row r="30" spans="1:11" ht="41.25" customHeight="1" thickBot="1" x14ac:dyDescent="0.25">
      <c r="A30" s="83">
        <v>19</v>
      </c>
      <c r="B30" s="84" t="str">
        <f>'Necesidades Trimestrales '!B29</f>
        <v>2.5.2-1868.26</v>
      </c>
      <c r="C30" s="174" t="str">
        <f>'Necesidades Trimestrales '!E29</f>
        <v>ANSIOLITICOS; TIPO: MONODROGA, DROGA GENERICA: CLOBAZAM, FORMA FARMACEUTICA: COMPRIMIDO, PRESENTACION: 60 X 20 mGr</v>
      </c>
      <c r="D30" s="175"/>
      <c r="E30" s="175"/>
      <c r="F30" s="175"/>
      <c r="G30" s="176"/>
      <c r="H30" s="83" t="s">
        <v>52</v>
      </c>
      <c r="I30" s="85" t="str">
        <f>'Necesidades Trimestrales '!F29</f>
        <v>CAJA</v>
      </c>
      <c r="J30" s="92">
        <f>'Necesidades Trimestrales '!L29</f>
        <v>6641</v>
      </c>
      <c r="K30" s="86">
        <f>'Necesidades Trimestrales '!G29</f>
        <v>100</v>
      </c>
    </row>
    <row r="31" spans="1:11" ht="41.25" customHeight="1" thickBot="1" x14ac:dyDescent="0.25">
      <c r="A31" s="83">
        <v>20</v>
      </c>
      <c r="B31" s="84" t="str">
        <f>'Necesidades Trimestrales '!B30</f>
        <v>2.5.2-1865.29</v>
      </c>
      <c r="C31" s="174" t="str">
        <f>'Necesidades Trimestrales '!E30</f>
        <v>ANTIEPILEPTICOS; TIPO: MONODROGA, FORMA FARMACEUTICA: COMPRIMIDO, PRESENTACION: 60, DROGA GENERICA: CLOBAZAM X 10 mGr</v>
      </c>
      <c r="D31" s="175"/>
      <c r="E31" s="175"/>
      <c r="F31" s="175"/>
      <c r="G31" s="176"/>
      <c r="H31" s="83" t="s">
        <v>52</v>
      </c>
      <c r="I31" s="85" t="str">
        <f>'Necesidades Trimestrales '!F30</f>
        <v>CAJA</v>
      </c>
      <c r="J31" s="92">
        <f>'Necesidades Trimestrales '!L30</f>
        <v>3575</v>
      </c>
      <c r="K31" s="86">
        <f>'Necesidades Trimestrales '!G30</f>
        <v>120</v>
      </c>
    </row>
    <row r="32" spans="1:11" ht="41.25" customHeight="1" thickBot="1" x14ac:dyDescent="0.25">
      <c r="A32" s="83">
        <v>21</v>
      </c>
      <c r="B32" s="84" t="str">
        <f>'Necesidades Trimestrales '!B31</f>
        <v>2.9.5-8799.11</v>
      </c>
      <c r="C32" s="174" t="str">
        <f>'Necesidades Trimestrales '!E31</f>
        <v>JERINGA; MATERIAL: PLASTICO, CAPACIDAD: 5 CM3, ACCESORIOS: SIN, TIPO: ESTERIL, ACCESORIO: SIN</v>
      </c>
      <c r="D32" s="175"/>
      <c r="E32" s="175"/>
      <c r="F32" s="175"/>
      <c r="G32" s="176"/>
      <c r="H32" s="83" t="s">
        <v>52</v>
      </c>
      <c r="I32" s="85" t="str">
        <f>'Necesidades Trimestrales '!F31</f>
        <v>UNIDAD</v>
      </c>
      <c r="J32" s="92">
        <f>'Necesidades Trimestrales '!L31</f>
        <v>9.7799999999999994</v>
      </c>
      <c r="K32" s="86">
        <f>'Necesidades Trimestrales '!G31</f>
        <v>300000</v>
      </c>
    </row>
    <row r="33" spans="1:11" ht="41.25" customHeight="1" thickBot="1" x14ac:dyDescent="0.25">
      <c r="A33" s="83">
        <v>22</v>
      </c>
      <c r="B33" s="84" t="str">
        <f>'Necesidades Trimestrales '!B32</f>
        <v>2.9.5-2157.73</v>
      </c>
      <c r="C33" s="174" t="str">
        <f>'Necesidades Trimestrales '!E32</f>
        <v>JERINGAS DESCARTABLES; CAPACIDAD: 10 CM3, AGUJA: SIN, USO: MEDICINAL</v>
      </c>
      <c r="D33" s="175"/>
      <c r="E33" s="175"/>
      <c r="F33" s="175"/>
      <c r="G33" s="176"/>
      <c r="H33" s="83" t="s">
        <v>52</v>
      </c>
      <c r="I33" s="85" t="str">
        <f>'Necesidades Trimestrales '!F32</f>
        <v>UNIDAD</v>
      </c>
      <c r="J33" s="92">
        <f>'Necesidades Trimestrales '!L32</f>
        <v>14.16</v>
      </c>
      <c r="K33" s="86">
        <f>'Necesidades Trimestrales '!G32</f>
        <v>150000</v>
      </c>
    </row>
    <row r="34" spans="1:11" ht="41.25" customHeight="1" thickBot="1" x14ac:dyDescent="0.25">
      <c r="A34" s="83">
        <v>23</v>
      </c>
      <c r="B34" s="84" t="str">
        <f>'Necesidades Trimestrales '!B33</f>
        <v>2.9.5-441.437</v>
      </c>
      <c r="C34" s="174" t="str">
        <f>'Necesidades Trimestrales '!E33</f>
        <v>AGUJAS QUIRURGICAS; TIPO: P/INSULINA, ESPECIFICACION: 32 G, PRESENTACION: ENVASE X 100 UN</v>
      </c>
      <c r="D34" s="175"/>
      <c r="E34" s="175"/>
      <c r="F34" s="175"/>
      <c r="G34" s="176"/>
      <c r="H34" s="83" t="s">
        <v>52</v>
      </c>
      <c r="I34" s="85" t="str">
        <f>'Necesidades Trimestrales '!F33</f>
        <v>UNIDAD</v>
      </c>
      <c r="J34" s="92">
        <f>'Necesidades Trimestrales '!L33</f>
        <v>4700</v>
      </c>
      <c r="K34" s="86">
        <f>'Necesidades Trimestrales '!G33</f>
        <v>4000</v>
      </c>
    </row>
    <row r="35" spans="1:11" ht="41.25" customHeight="1" thickBot="1" x14ac:dyDescent="0.25">
      <c r="A35" s="83">
        <v>24</v>
      </c>
      <c r="B35" s="84" t="str">
        <f>'Necesidades Trimestrales '!B34</f>
        <v>2.9.5-931.49</v>
      </c>
      <c r="C35" s="174" t="str">
        <f>'Necesidades Trimestrales '!E34</f>
        <v>TELAS ADHESIVAS; ANCHO: 2,5 Cm, LONG.DE CUERPO: 9 M, TIPO: IMPERMEABLE</v>
      </c>
      <c r="D35" s="175"/>
      <c r="E35" s="175"/>
      <c r="F35" s="175"/>
      <c r="G35" s="176"/>
      <c r="H35" s="83" t="s">
        <v>52</v>
      </c>
      <c r="I35" s="85" t="str">
        <f>'Necesidades Trimestrales '!F34</f>
        <v>UNIDAD</v>
      </c>
      <c r="J35" s="92">
        <f>'Necesidades Trimestrales '!L34</f>
        <v>133</v>
      </c>
      <c r="K35" s="86">
        <f>'Necesidades Trimestrales '!G34</f>
        <v>8000</v>
      </c>
    </row>
    <row r="36" spans="1:11" ht="41.25" customHeight="1" thickBot="1" x14ac:dyDescent="0.25">
      <c r="A36" s="83">
        <v>25</v>
      </c>
      <c r="B36" s="84" t="str">
        <f>'Necesidades Trimestrales '!B35</f>
        <v>2.9.5-931.36</v>
      </c>
      <c r="C36" s="174" t="str">
        <f>'Necesidades Trimestrales '!E35</f>
        <v>TELAS ADHESIVAS; ANCHO: 5 Cm, LONG.DE CUERPO: 9 M, TIPO: IMPERMEABLE</v>
      </c>
      <c r="D36" s="175"/>
      <c r="E36" s="175"/>
      <c r="F36" s="175"/>
      <c r="G36" s="176"/>
      <c r="H36" s="83" t="s">
        <v>52</v>
      </c>
      <c r="I36" s="85" t="str">
        <f>'Necesidades Trimestrales '!F35</f>
        <v>UNIDAD</v>
      </c>
      <c r="J36" s="92">
        <f>'Necesidades Trimestrales '!L35</f>
        <v>266</v>
      </c>
      <c r="K36" s="86">
        <f>'Necesidades Trimestrales '!G35</f>
        <v>3000</v>
      </c>
    </row>
    <row r="37" spans="1:11" ht="42" customHeight="1" thickBot="1" x14ac:dyDescent="0.25">
      <c r="A37" s="177" t="s">
        <v>147</v>
      </c>
      <c r="B37" s="177"/>
      <c r="C37" s="177"/>
      <c r="D37" s="177"/>
      <c r="E37" s="177"/>
      <c r="F37" s="177"/>
      <c r="G37" s="177"/>
      <c r="H37" s="177"/>
      <c r="I37" s="177"/>
      <c r="J37" s="178">
        <f>SUMPRODUCT(J12:J36,K12:K36)</f>
        <v>29047440</v>
      </c>
      <c r="K37" s="178"/>
    </row>
  </sheetData>
  <mergeCells count="47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37:I37"/>
    <mergeCell ref="J37:K37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22:G22"/>
    <mergeCell ref="C23:G23"/>
    <mergeCell ref="C24:G24"/>
    <mergeCell ref="C17:G17"/>
    <mergeCell ref="C18:G18"/>
    <mergeCell ref="C19:G19"/>
    <mergeCell ref="C20:G20"/>
    <mergeCell ref="C21:G21"/>
    <mergeCell ref="C13:G13"/>
    <mergeCell ref="C14:G14"/>
    <mergeCell ref="C15:G15"/>
    <mergeCell ref="C16:G16"/>
    <mergeCell ref="C25:G25"/>
    <mergeCell ref="C26:G26"/>
    <mergeCell ref="C27:G27"/>
    <mergeCell ref="C28:G28"/>
    <mergeCell ref="C29:G29"/>
    <mergeCell ref="C35:G35"/>
    <mergeCell ref="C36:G36"/>
    <mergeCell ref="C30:G30"/>
    <mergeCell ref="C31:G31"/>
    <mergeCell ref="C32:G32"/>
    <mergeCell ref="C34:G34"/>
    <mergeCell ref="C33:G3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"/>
  <sheetViews>
    <sheetView topLeftCell="A7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18.85546875" customWidth="1"/>
    <col min="17" max="17" width="14.7109375" customWidth="1"/>
  </cols>
  <sheetData>
    <row r="1" spans="1:17" ht="15.75" customHeight="1" x14ac:dyDescent="0.25">
      <c r="A1" s="210" t="s">
        <v>3</v>
      </c>
      <c r="B1" s="210"/>
      <c r="C1" s="210"/>
      <c r="D1" s="211">
        <v>2022</v>
      </c>
      <c r="E1" s="211"/>
      <c r="F1" s="2"/>
      <c r="G1" s="2"/>
      <c r="H1" s="3"/>
      <c r="I1" s="3"/>
      <c r="J1" s="3"/>
      <c r="K1" s="3"/>
      <c r="L1" s="3"/>
      <c r="M1" s="3"/>
      <c r="N1" s="3"/>
      <c r="P1" s="212" t="s">
        <v>24</v>
      </c>
      <c r="Q1" s="212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212"/>
      <c r="Q2" s="212"/>
    </row>
    <row r="4" spans="1:17" s="4" customFormat="1" ht="18" customHeight="1" thickBot="1" x14ac:dyDescent="0.25">
      <c r="A4" s="213" t="s">
        <v>25</v>
      </c>
      <c r="B4" s="213"/>
      <c r="C4" s="213"/>
      <c r="D4" s="213"/>
      <c r="E4" s="213"/>
      <c r="F4" s="213"/>
      <c r="G4" s="214" t="str">
        <f>+'Necesidades Trimestrales '!C4</f>
        <v>040 - Ministerio de Salud</v>
      </c>
      <c r="H4" s="214"/>
      <c r="I4" s="214"/>
      <c r="J4" s="214"/>
      <c r="K4" s="214"/>
      <c r="L4" s="214"/>
      <c r="M4" s="214"/>
      <c r="N4" s="214"/>
      <c r="O4" s="214"/>
      <c r="P4" s="214"/>
      <c r="Q4" s="214"/>
    </row>
    <row r="5" spans="1:17" s="94" customFormat="1" ht="18" customHeight="1" thickBot="1" x14ac:dyDescent="0.25">
      <c r="A5" s="205" t="s">
        <v>48</v>
      </c>
      <c r="B5" s="206"/>
      <c r="C5" s="206"/>
      <c r="D5" s="206"/>
      <c r="E5" s="206"/>
      <c r="F5" s="207"/>
      <c r="G5" s="208" t="str">
        <f>'NP DPFeI'!D4</f>
        <v>011 - Direccion Provincial de Administracion - M.S.</v>
      </c>
      <c r="H5" s="208"/>
      <c r="I5" s="208"/>
      <c r="J5" s="208"/>
      <c r="K5" s="208"/>
      <c r="L5" s="208"/>
      <c r="M5" s="208"/>
      <c r="N5" s="208"/>
      <c r="O5" s="208"/>
      <c r="P5" s="208"/>
      <c r="Q5" s="208"/>
    </row>
    <row r="6" spans="1:17" s="94" customFormat="1" ht="18" customHeight="1" thickBot="1" x14ac:dyDescent="0.25">
      <c r="A6" s="205" t="s">
        <v>26</v>
      </c>
      <c r="B6" s="206"/>
      <c r="C6" s="206"/>
      <c r="D6" s="206"/>
      <c r="E6" s="206"/>
      <c r="F6" s="207"/>
      <c r="G6" s="208" t="str">
        <f>'NP DPFeI'!D5</f>
        <v>469 - Direccion Provincial de Farmacia e Insumos</v>
      </c>
      <c r="H6" s="208"/>
      <c r="I6" s="208"/>
      <c r="J6" s="208"/>
      <c r="K6" s="208"/>
      <c r="L6" s="208"/>
      <c r="M6" s="208"/>
      <c r="N6" s="208"/>
      <c r="O6" s="208"/>
      <c r="P6" s="208"/>
      <c r="Q6" s="208"/>
    </row>
    <row r="7" spans="1:17" s="94" customFormat="1" ht="18" customHeight="1" thickBot="1" x14ac:dyDescent="0.25">
      <c r="A7" s="205" t="s">
        <v>49</v>
      </c>
      <c r="B7" s="206"/>
      <c r="C7" s="206"/>
      <c r="D7" s="206"/>
      <c r="E7" s="206"/>
      <c r="F7" s="207"/>
      <c r="G7" s="208" t="str">
        <f>'NP DPFeI'!D6</f>
        <v>469 - Direccion Provincial de Farmacia e Insumos</v>
      </c>
      <c r="H7" s="208"/>
      <c r="I7" s="208"/>
      <c r="J7" s="208"/>
      <c r="K7" s="208"/>
      <c r="L7" s="208"/>
      <c r="M7" s="208"/>
      <c r="N7" s="208"/>
      <c r="O7" s="208"/>
      <c r="P7" s="208"/>
      <c r="Q7" s="208"/>
    </row>
    <row r="8" spans="1:17" s="68" customFormat="1" ht="18" customHeight="1" thickBot="1" x14ac:dyDescent="0.25">
      <c r="A8" s="209" t="s">
        <v>27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s="68" customFormat="1" ht="18" customHeight="1" x14ac:dyDescent="0.2">
      <c r="A9" s="199" t="s">
        <v>28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Q9" s="95"/>
    </row>
    <row r="10" spans="1:17" s="68" customFormat="1" ht="54.75" customHeight="1" x14ac:dyDescent="0.2">
      <c r="A10" s="200" t="str">
        <f>"Autorizo la realización de los  trámites correspondientes, a fin de proveer a  este Organismo los bienes y/o servicios que se detallan en Nota  de Pedido N° " &amp; 'NP DPFeI'!K1&amp;",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</row>
    <row r="11" spans="1:17" s="68" customFormat="1" ht="9" customHeight="1" x14ac:dyDescent="0.2">
      <c r="A11" s="96"/>
      <c r="B11" s="97"/>
      <c r="C11" s="97"/>
      <c r="D11" s="97"/>
      <c r="E11" s="97"/>
      <c r="F11" s="97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9"/>
    </row>
    <row r="12" spans="1:17" ht="15.75" customHeight="1" x14ac:dyDescent="0.2">
      <c r="A12" s="201" t="s">
        <v>29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</row>
    <row r="13" spans="1:17" ht="15.75" customHeight="1" x14ac:dyDescent="0.2">
      <c r="A13" s="202" t="s">
        <v>30</v>
      </c>
      <c r="B13" s="202"/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202"/>
      <c r="O13" s="203" t="s">
        <v>31</v>
      </c>
      <c r="P13" s="203"/>
      <c r="Q13" s="204" t="s">
        <v>32</v>
      </c>
    </row>
    <row r="14" spans="1:17" ht="15.75" customHeight="1" x14ac:dyDescent="0.2">
      <c r="A14" s="5" t="s">
        <v>33</v>
      </c>
      <c r="B14" s="6" t="s">
        <v>34</v>
      </c>
      <c r="C14" s="6" t="s">
        <v>35</v>
      </c>
      <c r="D14" s="6" t="s">
        <v>36</v>
      </c>
      <c r="E14" s="6" t="s">
        <v>37</v>
      </c>
      <c r="F14" s="6" t="s">
        <v>38</v>
      </c>
      <c r="G14" s="7" t="s">
        <v>39</v>
      </c>
      <c r="H14" s="6" t="s">
        <v>40</v>
      </c>
      <c r="I14" s="6" t="s">
        <v>41</v>
      </c>
      <c r="J14" s="6" t="s">
        <v>42</v>
      </c>
      <c r="K14" s="6" t="s">
        <v>42</v>
      </c>
      <c r="L14" s="6" t="s">
        <v>43</v>
      </c>
      <c r="M14" s="8" t="s">
        <v>44</v>
      </c>
      <c r="N14" s="9" t="s">
        <v>45</v>
      </c>
      <c r="O14" s="203"/>
      <c r="P14" s="203"/>
      <c r="Q14" s="204"/>
    </row>
    <row r="15" spans="1:17" s="105" customFormat="1" ht="17.25" customHeight="1" x14ac:dyDescent="0.2">
      <c r="A15" s="101">
        <v>30</v>
      </c>
      <c r="B15" s="102"/>
      <c r="C15" s="102"/>
      <c r="D15" s="102">
        <v>1</v>
      </c>
      <c r="E15" s="102"/>
      <c r="F15" s="102">
        <v>4901</v>
      </c>
      <c r="G15" s="102">
        <v>3</v>
      </c>
      <c r="H15" s="102">
        <v>1</v>
      </c>
      <c r="I15" s="102">
        <v>2</v>
      </c>
      <c r="J15" s="102">
        <v>5</v>
      </c>
      <c r="K15" s="102">
        <v>2</v>
      </c>
      <c r="L15" s="102"/>
      <c r="M15" s="103">
        <v>1</v>
      </c>
      <c r="N15" s="102" t="s">
        <v>51</v>
      </c>
      <c r="O15" s="198" t="s">
        <v>63</v>
      </c>
      <c r="P15" s="198"/>
      <c r="Q15" s="104">
        <f>'Necesidades Trimestrales '!P36</f>
        <v>2522240</v>
      </c>
    </row>
    <row r="16" spans="1:17" s="111" customFormat="1" ht="17.25" customHeight="1" x14ac:dyDescent="0.2">
      <c r="A16" s="106">
        <v>30</v>
      </c>
      <c r="B16" s="107"/>
      <c r="C16" s="107"/>
      <c r="D16" s="107">
        <v>1</v>
      </c>
      <c r="E16" s="107"/>
      <c r="F16" s="107">
        <v>4901</v>
      </c>
      <c r="G16" s="107">
        <v>3</v>
      </c>
      <c r="H16" s="107">
        <v>1</v>
      </c>
      <c r="I16" s="107">
        <v>2</v>
      </c>
      <c r="J16" s="107">
        <v>5</v>
      </c>
      <c r="K16" s="107">
        <v>9</v>
      </c>
      <c r="L16" s="107"/>
      <c r="M16" s="108">
        <v>1</v>
      </c>
      <c r="N16" s="109" t="s">
        <v>51</v>
      </c>
      <c r="O16" s="194" t="s">
        <v>142</v>
      </c>
      <c r="P16" s="194"/>
      <c r="Q16" s="110">
        <f>'Necesidades Trimestrales '!Q36</f>
        <v>395000</v>
      </c>
    </row>
    <row r="17" spans="1:17" s="111" customFormat="1" ht="26.25" customHeight="1" x14ac:dyDescent="0.2">
      <c r="A17" s="106">
        <v>30</v>
      </c>
      <c r="B17" s="107"/>
      <c r="C17" s="107"/>
      <c r="D17" s="107">
        <v>1</v>
      </c>
      <c r="E17" s="107"/>
      <c r="F17" s="109">
        <v>4901</v>
      </c>
      <c r="G17" s="107">
        <v>3</v>
      </c>
      <c r="H17" s="107">
        <v>1</v>
      </c>
      <c r="I17" s="107">
        <v>2</v>
      </c>
      <c r="J17" s="107">
        <v>9</v>
      </c>
      <c r="K17" s="107">
        <v>5</v>
      </c>
      <c r="L17" s="107"/>
      <c r="M17" s="108">
        <v>1</v>
      </c>
      <c r="N17" s="109" t="s">
        <v>51</v>
      </c>
      <c r="O17" s="194" t="s">
        <v>143</v>
      </c>
      <c r="P17" s="194"/>
      <c r="Q17" s="110">
        <f>'Necesidades Trimestrales '!R36</f>
        <v>26130200</v>
      </c>
    </row>
    <row r="18" spans="1:17" s="111" customFormat="1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94"/>
      <c r="P18" s="194"/>
      <c r="Q18" s="110"/>
    </row>
    <row r="19" spans="1:17" s="111" customFormat="1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94"/>
      <c r="P19" s="194"/>
      <c r="Q19" s="110"/>
    </row>
    <row r="20" spans="1:17" s="111" customFormat="1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94"/>
      <c r="P20" s="194"/>
      <c r="Q20" s="110"/>
    </row>
    <row r="21" spans="1:17" s="111" customFormat="1" ht="17.25" customHeight="1" x14ac:dyDescent="0.2">
      <c r="A21" s="106"/>
      <c r="B21" s="107"/>
      <c r="C21" s="107"/>
      <c r="D21" s="107"/>
      <c r="E21" s="107"/>
      <c r="F21" s="109"/>
      <c r="G21" s="107"/>
      <c r="H21" s="107"/>
      <c r="I21" s="107"/>
      <c r="J21" s="107"/>
      <c r="K21" s="107"/>
      <c r="L21" s="107"/>
      <c r="M21" s="108"/>
      <c r="N21" s="109"/>
      <c r="O21" s="194"/>
      <c r="P21" s="194"/>
      <c r="Q21" s="110"/>
    </row>
    <row r="22" spans="1:17" ht="17.25" customHeight="1" x14ac:dyDescent="0.2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1"/>
      <c r="O22" s="195"/>
      <c r="P22" s="195"/>
      <c r="Q22" s="13"/>
    </row>
    <row r="23" spans="1:17" s="68" customFormat="1" ht="29.25" customHeight="1" x14ac:dyDescent="0.2">
      <c r="A23" s="196" t="s">
        <v>148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15">
        <f>SUM(Q15:Q22)</f>
        <v>29047440</v>
      </c>
    </row>
    <row r="24" spans="1:17" s="68" customFormat="1" ht="18" customHeight="1" thickBot="1" x14ac:dyDescent="0.25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</row>
    <row r="25" spans="1:17" s="68" customFormat="1" ht="17.25" customHeight="1" thickBot="1" x14ac:dyDescent="0.25">
      <c r="A25" s="189" t="s">
        <v>46</v>
      </c>
      <c r="B25" s="190"/>
      <c r="C25" s="190"/>
      <c r="D25" s="190"/>
      <c r="E25" s="190"/>
      <c r="F25" s="191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</row>
    <row r="26" spans="1:17" s="68" customFormat="1" ht="18" customHeight="1" thickBot="1" x14ac:dyDescent="0.25">
      <c r="A26" s="193" t="str">
        <f>'NP DPFeI'!D8</f>
        <v>Adquisición de DESIERTOS Y FRACASADOS TERCER TRIMESTRE</v>
      </c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</row>
    <row r="27" spans="1:17" s="68" customFormat="1" ht="15" customHeight="1" x14ac:dyDescent="0.2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3"/>
  <sheetViews>
    <sheetView zoomScaleNormal="100" workbookViewId="0">
      <selection activeCell="G18" sqref="G18"/>
    </sheetView>
  </sheetViews>
  <sheetFormatPr baseColWidth="10" defaultColWidth="9.140625" defaultRowHeight="14.25" x14ac:dyDescent="0.2"/>
  <cols>
    <col min="1" max="1" width="5.5703125" style="87" customWidth="1"/>
    <col min="2" max="2" width="15.140625" style="88" customWidth="1"/>
    <col min="3" max="3" width="14.140625" style="87" customWidth="1"/>
    <col min="4" max="4" width="26" style="87" customWidth="1"/>
    <col min="5" max="5" width="8" style="87" customWidth="1"/>
    <col min="6" max="6" width="7.85546875" style="87" customWidth="1"/>
    <col min="7" max="7" width="62.140625" style="87" customWidth="1"/>
    <col min="8" max="8" width="9.28515625" style="87" customWidth="1"/>
    <col min="9" max="9" width="15.5703125" style="87" customWidth="1"/>
    <col min="10" max="10" width="14.7109375" style="93" customWidth="1"/>
    <col min="11" max="11" width="15.5703125" style="87" customWidth="1"/>
    <col min="12" max="14" width="5.85546875" style="67" customWidth="1"/>
    <col min="15" max="15" width="12.5703125" style="67" customWidth="1"/>
    <col min="16" max="1024" width="9.140625" style="67"/>
    <col min="1025" max="16384" width="9.140625" style="68"/>
  </cols>
  <sheetData>
    <row r="1" spans="1:11" ht="15" thickBot="1" x14ac:dyDescent="0.25">
      <c r="A1" s="186" t="s">
        <v>13</v>
      </c>
      <c r="B1" s="186"/>
      <c r="C1" s="186"/>
      <c r="D1" s="186"/>
      <c r="E1" s="186"/>
      <c r="F1" s="186"/>
      <c r="G1" s="186"/>
      <c r="H1" s="186"/>
      <c r="I1" s="186"/>
      <c r="J1" s="89" t="s">
        <v>14</v>
      </c>
      <c r="K1" s="76" t="s">
        <v>58</v>
      </c>
    </row>
    <row r="2" spans="1:11" ht="15" thickBot="1" x14ac:dyDescent="0.25">
      <c r="A2" s="77"/>
      <c r="B2" s="78"/>
      <c r="C2" s="77"/>
      <c r="D2" s="79"/>
      <c r="E2" s="79"/>
      <c r="F2" s="79"/>
      <c r="G2" s="79"/>
      <c r="H2" s="79"/>
      <c r="I2" s="79"/>
      <c r="J2" s="90"/>
      <c r="K2" s="79"/>
    </row>
    <row r="3" spans="1:11" ht="15.75" thickBot="1" x14ac:dyDescent="0.25">
      <c r="A3" s="187" t="s">
        <v>47</v>
      </c>
      <c r="B3" s="187"/>
      <c r="C3" s="187"/>
      <c r="D3" s="177" t="str">
        <f>+'Necesidades Trimestrales '!C4</f>
        <v>040 - Ministerio de Salud</v>
      </c>
      <c r="E3" s="177"/>
      <c r="F3" s="177"/>
      <c r="G3" s="177"/>
      <c r="H3" s="177"/>
      <c r="I3" s="177"/>
      <c r="J3" s="177"/>
      <c r="K3" s="177"/>
    </row>
    <row r="4" spans="1:11" ht="15.75" thickBot="1" x14ac:dyDescent="0.25">
      <c r="A4" s="188" t="s">
        <v>48</v>
      </c>
      <c r="B4" s="188"/>
      <c r="C4" s="188"/>
      <c r="D4" s="177" t="str">
        <f>+'Necesidades Trimestrales '!C5</f>
        <v>011 - Direccion Provincial de Administracion - M.S.</v>
      </c>
      <c r="E4" s="177"/>
      <c r="F4" s="177"/>
      <c r="G4" s="177"/>
      <c r="H4" s="177"/>
      <c r="I4" s="177"/>
      <c r="J4" s="177"/>
      <c r="K4" s="177"/>
    </row>
    <row r="5" spans="1:11" ht="15.75" thickBot="1" x14ac:dyDescent="0.25">
      <c r="A5" s="188" t="s">
        <v>26</v>
      </c>
      <c r="B5" s="188"/>
      <c r="C5" s="188"/>
      <c r="D5" s="177" t="s">
        <v>144</v>
      </c>
      <c r="E5" s="177"/>
      <c r="F5" s="177"/>
      <c r="G5" s="177"/>
      <c r="H5" s="177"/>
      <c r="I5" s="177"/>
      <c r="J5" s="177"/>
      <c r="K5" s="177"/>
    </row>
    <row r="6" spans="1:11" ht="15.75" thickBot="1" x14ac:dyDescent="0.25">
      <c r="A6" s="187" t="s">
        <v>49</v>
      </c>
      <c r="B6" s="187"/>
      <c r="C6" s="187"/>
      <c r="D6" s="177" t="s">
        <v>144</v>
      </c>
      <c r="E6" s="177"/>
      <c r="F6" s="177"/>
      <c r="G6" s="177"/>
      <c r="H6" s="177"/>
      <c r="I6" s="177"/>
      <c r="J6" s="177"/>
      <c r="K6" s="177"/>
    </row>
    <row r="7" spans="1:11" ht="15.75" thickBot="1" x14ac:dyDescent="0.25">
      <c r="A7" s="188" t="s">
        <v>15</v>
      </c>
      <c r="B7" s="188"/>
      <c r="C7" s="188"/>
      <c r="D7" s="177" t="s">
        <v>57</v>
      </c>
      <c r="E7" s="177"/>
      <c r="F7" s="177"/>
      <c r="G7" s="177"/>
      <c r="H7" s="177"/>
      <c r="I7" s="177"/>
      <c r="J7" s="177"/>
      <c r="K7" s="177"/>
    </row>
    <row r="8" spans="1:11" ht="15.75" customHeight="1" thickBot="1" x14ac:dyDescent="0.25">
      <c r="A8" s="179" t="s">
        <v>16</v>
      </c>
      <c r="B8" s="179"/>
      <c r="C8" s="179"/>
      <c r="D8" s="180" t="s">
        <v>64</v>
      </c>
      <c r="E8" s="181"/>
      <c r="F8" s="181"/>
      <c r="G8" s="181"/>
      <c r="H8" s="181"/>
      <c r="I8" s="181"/>
      <c r="J8" s="181"/>
      <c r="K8" s="182"/>
    </row>
    <row r="9" spans="1:11" ht="15.75" thickBot="1" x14ac:dyDescent="0.25">
      <c r="A9" s="80"/>
      <c r="B9" s="81"/>
      <c r="C9" s="80"/>
      <c r="D9" s="82"/>
      <c r="E9" s="82"/>
      <c r="F9" s="82"/>
      <c r="G9" s="82"/>
      <c r="H9" s="82"/>
      <c r="I9" s="82"/>
      <c r="J9" s="91"/>
      <c r="K9" s="82"/>
    </row>
    <row r="10" spans="1:11" ht="33.75" customHeight="1" thickBot="1" x14ac:dyDescent="0.25">
      <c r="A10" s="183" t="s">
        <v>17</v>
      </c>
      <c r="B10" s="184" t="s">
        <v>18</v>
      </c>
      <c r="C10" s="184" t="s">
        <v>19</v>
      </c>
      <c r="D10" s="184"/>
      <c r="E10" s="184"/>
      <c r="F10" s="184"/>
      <c r="G10" s="184"/>
      <c r="H10" s="184" t="s">
        <v>20</v>
      </c>
      <c r="I10" s="184" t="s">
        <v>21</v>
      </c>
      <c r="J10" s="185" t="s">
        <v>22</v>
      </c>
      <c r="K10" s="184" t="s">
        <v>23</v>
      </c>
    </row>
    <row r="11" spans="1:11" ht="33.75" customHeight="1" thickBot="1" x14ac:dyDescent="0.25">
      <c r="A11" s="183"/>
      <c r="B11" s="184"/>
      <c r="C11" s="184"/>
      <c r="D11" s="184"/>
      <c r="E11" s="184"/>
      <c r="F11" s="184"/>
      <c r="G11" s="184"/>
      <c r="H11" s="184"/>
      <c r="I11" s="184"/>
      <c r="J11" s="185"/>
      <c r="K11" s="184"/>
    </row>
    <row r="12" spans="1:11" ht="41.25" customHeight="1" thickBot="1" x14ac:dyDescent="0.25">
      <c r="A12" s="83">
        <v>1</v>
      </c>
      <c r="B12" s="84" t="str">
        <f>'Necesidades Trimestrales '!B12</f>
        <v>2.9.5-6752.8</v>
      </c>
      <c r="C12" s="174" t="str">
        <f>'Necesidades Trimestrales '!E12</f>
        <v>ASPIRADORES MEDICOS; TIPO: MANUAL, CAPACIDAD: 60 CM3, USO: ENDOUTERINO</v>
      </c>
      <c r="D12" s="175"/>
      <c r="E12" s="175"/>
      <c r="F12" s="175"/>
      <c r="G12" s="176"/>
      <c r="H12" s="83" t="s">
        <v>62</v>
      </c>
      <c r="I12" s="85" t="str">
        <f>'Necesidades Trimestrales '!F12</f>
        <v>UNIDAD</v>
      </c>
      <c r="J12" s="92">
        <f>'Necesidades Trimestrales '!L12</f>
        <v>36000</v>
      </c>
      <c r="K12" s="86">
        <f>'Necesidades Trimestrales '!I12</f>
        <v>10</v>
      </c>
    </row>
    <row r="13" spans="1:11" ht="42" customHeight="1" thickBot="1" x14ac:dyDescent="0.25">
      <c r="A13" s="177" t="s">
        <v>145</v>
      </c>
      <c r="B13" s="177"/>
      <c r="C13" s="177"/>
      <c r="D13" s="177"/>
      <c r="E13" s="177"/>
      <c r="F13" s="177"/>
      <c r="G13" s="177"/>
      <c r="H13" s="177"/>
      <c r="I13" s="177"/>
      <c r="J13" s="215">
        <f>SUMPRODUCT(J12:J12,K12:K12)</f>
        <v>360000</v>
      </c>
      <c r="K13" s="216"/>
    </row>
  </sheetData>
  <mergeCells count="23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3:I13"/>
    <mergeCell ref="J13:K13"/>
    <mergeCell ref="K10:K11"/>
    <mergeCell ref="C12:G12"/>
    <mergeCell ref="A10:A11"/>
    <mergeCell ref="B10:B11"/>
    <mergeCell ref="C10:G11"/>
    <mergeCell ref="H10:H11"/>
    <mergeCell ref="I10:I11"/>
    <mergeCell ref="J10:J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7"/>
  <sheetViews>
    <sheetView zoomScale="90" zoomScaleNormal="9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5" width="14.85546875" customWidth="1"/>
    <col min="16" max="16" width="18.85546875" customWidth="1"/>
    <col min="17" max="17" width="14.7109375" customWidth="1"/>
  </cols>
  <sheetData>
    <row r="1" spans="1:17" ht="15.75" customHeight="1" thickBot="1" x14ac:dyDescent="0.3">
      <c r="A1" s="210" t="s">
        <v>3</v>
      </c>
      <c r="B1" s="210"/>
      <c r="C1" s="210"/>
      <c r="D1" s="211">
        <v>2022</v>
      </c>
      <c r="E1" s="211"/>
      <c r="F1" s="2"/>
      <c r="G1" s="2"/>
      <c r="H1" s="3"/>
      <c r="I1" s="3"/>
      <c r="J1" s="3"/>
      <c r="K1" s="3"/>
      <c r="L1" s="3"/>
      <c r="M1" s="3"/>
      <c r="N1" s="3"/>
      <c r="P1" s="212" t="s">
        <v>24</v>
      </c>
      <c r="Q1" s="212"/>
    </row>
    <row r="2" spans="1:17" ht="15.75" customHeight="1" thickBot="1" x14ac:dyDescent="0.25">
      <c r="H2" s="3"/>
      <c r="I2" s="3"/>
      <c r="J2" s="3"/>
      <c r="K2" s="3"/>
      <c r="L2" s="3"/>
      <c r="M2" s="3"/>
      <c r="N2" s="3"/>
      <c r="P2" s="212"/>
      <c r="Q2" s="212"/>
    </row>
    <row r="4" spans="1:17" s="4" customFormat="1" ht="18" customHeight="1" thickBot="1" x14ac:dyDescent="0.25">
      <c r="A4" s="213" t="s">
        <v>25</v>
      </c>
      <c r="B4" s="213"/>
      <c r="C4" s="213"/>
      <c r="D4" s="213"/>
      <c r="E4" s="213"/>
      <c r="F4" s="213"/>
      <c r="G4" s="214" t="str">
        <f>+'Necesidades Trimestrales '!C4</f>
        <v>040 - Ministerio de Salud</v>
      </c>
      <c r="H4" s="214"/>
      <c r="I4" s="214"/>
      <c r="J4" s="214"/>
      <c r="K4" s="214"/>
      <c r="L4" s="214"/>
      <c r="M4" s="214"/>
      <c r="N4" s="214"/>
      <c r="O4" s="214"/>
      <c r="P4" s="214"/>
      <c r="Q4" s="214"/>
    </row>
    <row r="5" spans="1:17" s="94" customFormat="1" ht="18" customHeight="1" thickBot="1" x14ac:dyDescent="0.25">
      <c r="A5" s="205" t="s">
        <v>48</v>
      </c>
      <c r="B5" s="206"/>
      <c r="C5" s="206"/>
      <c r="D5" s="206"/>
      <c r="E5" s="206"/>
      <c r="F5" s="207"/>
      <c r="G5" s="208" t="str">
        <f>'NP DPMIyA'!D4</f>
        <v>011 - Direccion Provincial de Administracion - M.S.</v>
      </c>
      <c r="H5" s="208"/>
      <c r="I5" s="208"/>
      <c r="J5" s="208"/>
      <c r="K5" s="208"/>
      <c r="L5" s="208"/>
      <c r="M5" s="208"/>
      <c r="N5" s="208"/>
      <c r="O5" s="208"/>
      <c r="P5" s="208"/>
      <c r="Q5" s="208"/>
    </row>
    <row r="6" spans="1:17" s="94" customFormat="1" ht="18" customHeight="1" thickBot="1" x14ac:dyDescent="0.25">
      <c r="A6" s="205" t="s">
        <v>26</v>
      </c>
      <c r="B6" s="206"/>
      <c r="C6" s="206"/>
      <c r="D6" s="206"/>
      <c r="E6" s="206"/>
      <c r="F6" s="207"/>
      <c r="G6" s="208" t="str">
        <f>'NP DPMIyA'!D5</f>
        <v>162 - Direccion Provincial Maternidad, Infancia y Adolescencia</v>
      </c>
      <c r="H6" s="208"/>
      <c r="I6" s="208"/>
      <c r="J6" s="208"/>
      <c r="K6" s="208"/>
      <c r="L6" s="208"/>
      <c r="M6" s="208"/>
      <c r="N6" s="208"/>
      <c r="O6" s="208"/>
      <c r="P6" s="208"/>
      <c r="Q6" s="208"/>
    </row>
    <row r="7" spans="1:17" s="94" customFormat="1" ht="18" customHeight="1" thickBot="1" x14ac:dyDescent="0.25">
      <c r="A7" s="205" t="s">
        <v>49</v>
      </c>
      <c r="B7" s="206"/>
      <c r="C7" s="206"/>
      <c r="D7" s="206"/>
      <c r="E7" s="206"/>
      <c r="F7" s="207"/>
      <c r="G7" s="208" t="str">
        <f>'NP DPMIyA'!D6</f>
        <v>162 - Direccion Provincial Maternidad, Infancia y Adolescencia</v>
      </c>
      <c r="H7" s="208"/>
      <c r="I7" s="208"/>
      <c r="J7" s="208"/>
      <c r="K7" s="208"/>
      <c r="L7" s="208"/>
      <c r="M7" s="208"/>
      <c r="N7" s="208"/>
      <c r="O7" s="208"/>
      <c r="P7" s="208"/>
      <c r="Q7" s="208"/>
    </row>
    <row r="8" spans="1:17" s="68" customFormat="1" ht="18" customHeight="1" thickBot="1" x14ac:dyDescent="0.25">
      <c r="A8" s="209" t="s">
        <v>27</v>
      </c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</row>
    <row r="9" spans="1:17" s="68" customFormat="1" ht="18" customHeight="1" x14ac:dyDescent="0.2">
      <c r="A9" s="199" t="s">
        <v>28</v>
      </c>
      <c r="B9" s="199"/>
      <c r="C9" s="199"/>
      <c r="D9" s="199"/>
      <c r="E9" s="199"/>
      <c r="F9" s="199"/>
      <c r="G9" s="199"/>
      <c r="H9" s="199"/>
      <c r="I9" s="199"/>
      <c r="J9" s="199"/>
      <c r="K9" s="199"/>
      <c r="L9" s="199"/>
      <c r="M9" s="199"/>
      <c r="N9" s="199"/>
      <c r="Q9" s="95"/>
    </row>
    <row r="10" spans="1:17" s="68" customFormat="1" ht="54.75" customHeight="1" x14ac:dyDescent="0.2">
      <c r="A10" s="200" t="str">
        <f>"Autorizo la realización de los  trámites correspondientes, a fin de proveer a  este Organismo los bienes y/o servicios que se detallan en Nota  de Pedido N° " &amp; 'NP DPMIyA'!K1&amp;",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200"/>
      <c r="C10" s="200"/>
      <c r="D10" s="200"/>
      <c r="E10" s="200"/>
      <c r="F10" s="200"/>
      <c r="G10" s="200"/>
      <c r="H10" s="200"/>
      <c r="I10" s="200"/>
      <c r="J10" s="200"/>
      <c r="K10" s="200"/>
      <c r="L10" s="200"/>
      <c r="M10" s="200"/>
      <c r="N10" s="200"/>
      <c r="O10" s="200"/>
      <c r="P10" s="200"/>
      <c r="Q10" s="200"/>
    </row>
    <row r="11" spans="1:17" s="68" customFormat="1" ht="9" customHeight="1" thickBot="1" x14ac:dyDescent="0.25">
      <c r="A11" s="96"/>
      <c r="B11" s="97"/>
      <c r="C11" s="97"/>
      <c r="D11" s="97"/>
      <c r="E11" s="97"/>
      <c r="F11" s="97"/>
      <c r="G11" s="98"/>
      <c r="H11" s="97"/>
      <c r="I11" s="97"/>
      <c r="J11" s="97"/>
      <c r="K11" s="97"/>
      <c r="L11" s="97"/>
      <c r="M11" s="97"/>
      <c r="N11" s="97"/>
      <c r="O11" s="97"/>
      <c r="P11" s="97"/>
      <c r="Q11" s="99"/>
    </row>
    <row r="12" spans="1:17" ht="15.75" customHeight="1" thickBot="1" x14ac:dyDescent="0.25">
      <c r="A12" s="201" t="s">
        <v>29</v>
      </c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</row>
    <row r="13" spans="1:17" ht="15.75" customHeight="1" thickBot="1" x14ac:dyDescent="0.25">
      <c r="A13" s="218" t="s">
        <v>30</v>
      </c>
      <c r="B13" s="219"/>
      <c r="C13" s="219"/>
      <c r="D13" s="219"/>
      <c r="E13" s="219"/>
      <c r="F13" s="219"/>
      <c r="G13" s="219"/>
      <c r="H13" s="219"/>
      <c r="I13" s="219"/>
      <c r="J13" s="219"/>
      <c r="K13" s="219"/>
      <c r="L13" s="219"/>
      <c r="M13" s="219"/>
      <c r="N13" s="219"/>
      <c r="O13" s="220" t="s">
        <v>31</v>
      </c>
      <c r="P13" s="220"/>
      <c r="Q13" s="222" t="s">
        <v>32</v>
      </c>
    </row>
    <row r="14" spans="1:17" ht="15.75" customHeight="1" thickBot="1" x14ac:dyDescent="0.25">
      <c r="A14" s="118" t="s">
        <v>33</v>
      </c>
      <c r="B14" s="119" t="s">
        <v>34</v>
      </c>
      <c r="C14" s="119" t="s">
        <v>35</v>
      </c>
      <c r="D14" s="119" t="s">
        <v>36</v>
      </c>
      <c r="E14" s="119" t="s">
        <v>37</v>
      </c>
      <c r="F14" s="119" t="s">
        <v>38</v>
      </c>
      <c r="G14" s="120" t="s">
        <v>39</v>
      </c>
      <c r="H14" s="119" t="s">
        <v>40</v>
      </c>
      <c r="I14" s="119" t="s">
        <v>41</v>
      </c>
      <c r="J14" s="119" t="s">
        <v>42</v>
      </c>
      <c r="K14" s="119" t="s">
        <v>42</v>
      </c>
      <c r="L14" s="119" t="s">
        <v>43</v>
      </c>
      <c r="M14" s="121" t="s">
        <v>44</v>
      </c>
      <c r="N14" s="122" t="s">
        <v>45</v>
      </c>
      <c r="O14" s="221"/>
      <c r="P14" s="221"/>
      <c r="Q14" s="223"/>
    </row>
    <row r="15" spans="1:17" s="105" customFormat="1" ht="37.5" customHeight="1" x14ac:dyDescent="0.2">
      <c r="A15" s="106">
        <v>20</v>
      </c>
      <c r="B15" s="107"/>
      <c r="C15" s="107"/>
      <c r="D15" s="107">
        <v>1</v>
      </c>
      <c r="E15" s="107"/>
      <c r="F15" s="107">
        <v>4901</v>
      </c>
      <c r="G15" s="107">
        <v>3</v>
      </c>
      <c r="H15" s="107">
        <v>1</v>
      </c>
      <c r="I15" s="107">
        <v>2</v>
      </c>
      <c r="J15" s="107">
        <v>9</v>
      </c>
      <c r="K15" s="107">
        <v>5</v>
      </c>
      <c r="L15" s="107"/>
      <c r="M15" s="108">
        <v>1</v>
      </c>
      <c r="N15" s="107" t="s">
        <v>51</v>
      </c>
      <c r="O15" s="217" t="s">
        <v>143</v>
      </c>
      <c r="P15" s="217"/>
      <c r="Q15" s="117">
        <f>'NP DPMIyA'!J13</f>
        <v>360000</v>
      </c>
    </row>
    <row r="16" spans="1:17" s="111" customFormat="1" ht="17.25" customHeight="1" x14ac:dyDescent="0.2">
      <c r="A16" s="106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8"/>
      <c r="N16" s="109"/>
      <c r="O16" s="194"/>
      <c r="P16" s="194"/>
      <c r="Q16" s="110"/>
    </row>
    <row r="17" spans="1:17" s="111" customFormat="1" ht="26.25" customHeight="1" x14ac:dyDescent="0.2">
      <c r="A17" s="106"/>
      <c r="B17" s="107"/>
      <c r="C17" s="107"/>
      <c r="D17" s="107"/>
      <c r="E17" s="107"/>
      <c r="F17" s="109"/>
      <c r="G17" s="107"/>
      <c r="H17" s="107"/>
      <c r="I17" s="107"/>
      <c r="J17" s="107"/>
      <c r="K17" s="107"/>
      <c r="L17" s="107"/>
      <c r="M17" s="108"/>
      <c r="N17" s="109"/>
      <c r="O17" s="194"/>
      <c r="P17" s="194"/>
      <c r="Q17" s="110"/>
    </row>
    <row r="18" spans="1:17" s="111" customFormat="1" ht="17.25" customHeight="1" x14ac:dyDescent="0.2">
      <c r="A18" s="106"/>
      <c r="B18" s="107"/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8"/>
      <c r="N18" s="109"/>
      <c r="O18" s="194"/>
      <c r="P18" s="194"/>
      <c r="Q18" s="110"/>
    </row>
    <row r="19" spans="1:17" s="111" customFormat="1" ht="17.25" customHeight="1" x14ac:dyDescent="0.2">
      <c r="A19" s="106"/>
      <c r="B19" s="107"/>
      <c r="C19" s="107"/>
      <c r="D19" s="107"/>
      <c r="E19" s="107"/>
      <c r="F19" s="109"/>
      <c r="G19" s="107"/>
      <c r="H19" s="107"/>
      <c r="I19" s="107"/>
      <c r="J19" s="107"/>
      <c r="K19" s="107"/>
      <c r="L19" s="107"/>
      <c r="M19" s="108"/>
      <c r="N19" s="109"/>
      <c r="O19" s="194"/>
      <c r="P19" s="194"/>
      <c r="Q19" s="110"/>
    </row>
    <row r="20" spans="1:17" s="111" customFormat="1" ht="17.25" customHeight="1" x14ac:dyDescent="0.2">
      <c r="A20" s="106"/>
      <c r="B20" s="107"/>
      <c r="C20" s="107"/>
      <c r="D20" s="107"/>
      <c r="E20" s="107"/>
      <c r="F20" s="109"/>
      <c r="G20" s="107"/>
      <c r="H20" s="107"/>
      <c r="I20" s="107"/>
      <c r="J20" s="107"/>
      <c r="K20" s="107"/>
      <c r="L20" s="107"/>
      <c r="M20" s="108"/>
      <c r="N20" s="109"/>
      <c r="O20" s="194"/>
      <c r="P20" s="194"/>
      <c r="Q20" s="110"/>
    </row>
    <row r="21" spans="1:17" s="111" customFormat="1" ht="17.25" customHeight="1" x14ac:dyDescent="0.2">
      <c r="A21" s="106"/>
      <c r="B21" s="107"/>
      <c r="C21" s="107"/>
      <c r="D21" s="107"/>
      <c r="E21" s="107"/>
      <c r="F21" s="109"/>
      <c r="G21" s="107"/>
      <c r="H21" s="107"/>
      <c r="I21" s="107"/>
      <c r="J21" s="107"/>
      <c r="K21" s="107"/>
      <c r="L21" s="107"/>
      <c r="M21" s="108"/>
      <c r="N21" s="109"/>
      <c r="O21" s="194"/>
      <c r="P21" s="194"/>
      <c r="Q21" s="110"/>
    </row>
    <row r="22" spans="1:17" ht="17.25" customHeight="1" thickBot="1" x14ac:dyDescent="0.25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2"/>
      <c r="N22" s="11"/>
      <c r="O22" s="195"/>
      <c r="P22" s="195"/>
      <c r="Q22" s="13"/>
    </row>
    <row r="23" spans="1:17" s="68" customFormat="1" ht="29.25" customHeight="1" thickBot="1" x14ac:dyDescent="0.25">
      <c r="A23" s="196" t="s">
        <v>146</v>
      </c>
      <c r="B23" s="196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15">
        <f>SUM(Q15:Q22)</f>
        <v>360000</v>
      </c>
    </row>
    <row r="24" spans="1:17" s="68" customFormat="1" ht="18" customHeight="1" thickBot="1" x14ac:dyDescent="0.25">
      <c r="A24" s="197"/>
      <c r="B24" s="197"/>
      <c r="C24" s="197"/>
      <c r="D24" s="197"/>
      <c r="E24" s="197"/>
      <c r="F24" s="197"/>
      <c r="G24" s="197"/>
      <c r="H24" s="197"/>
      <c r="I24" s="197"/>
      <c r="J24" s="197"/>
      <c r="K24" s="197"/>
      <c r="L24" s="197"/>
      <c r="M24" s="197"/>
      <c r="N24" s="197"/>
      <c r="O24" s="197"/>
      <c r="P24" s="197"/>
      <c r="Q24" s="197"/>
    </row>
    <row r="25" spans="1:17" s="68" customFormat="1" ht="17.25" customHeight="1" thickBot="1" x14ac:dyDescent="0.25">
      <c r="A25" s="189" t="s">
        <v>46</v>
      </c>
      <c r="B25" s="190"/>
      <c r="C25" s="190"/>
      <c r="D25" s="190"/>
      <c r="E25" s="190"/>
      <c r="F25" s="191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</row>
    <row r="26" spans="1:17" s="68" customFormat="1" ht="18" customHeight="1" thickBot="1" x14ac:dyDescent="0.25">
      <c r="A26" s="193" t="str">
        <f>'NP DPMIyA'!D8</f>
        <v>Adquisición de DESIERTOS Y FRACASADOS TERCER TRIMESTRE</v>
      </c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</row>
    <row r="27" spans="1:17" s="68" customFormat="1" ht="15" customHeight="1" thickBot="1" x14ac:dyDescent="0.25">
      <c r="A27" s="193"/>
      <c r="B27" s="193"/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Necesidades Trimestrales </vt:lpstr>
      <vt:lpstr>NP DPFeI</vt:lpstr>
      <vt:lpstr>APG DPFeI</vt:lpstr>
      <vt:lpstr>NP DPMIyA</vt:lpstr>
      <vt:lpstr>APG DPMIyA</vt:lpstr>
      <vt:lpstr>'APG DPFeI'!Área_de_impresión</vt:lpstr>
      <vt:lpstr>'APG DPMIyA'!Área_de_impresión</vt:lpstr>
      <vt:lpstr>'NP DPFeI'!Área_de_impresión</vt:lpstr>
      <vt:lpstr>'NP DPMIyA'!Área_de_impresión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2020-07-23T13:47:13Z</cp:lastPrinted>
  <dcterms:created xsi:type="dcterms:W3CDTF">2020-07-17T23:44:49Z</dcterms:created>
  <dcterms:modified xsi:type="dcterms:W3CDTF">2022-11-07T13:06:05Z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