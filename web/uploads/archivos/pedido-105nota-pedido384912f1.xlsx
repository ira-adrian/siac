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<sst xmlns="http://schemas.openxmlformats.org/spreadsheetml/2006/main" count="84" uniqueCount="76">
  <si>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</si>
  <si>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</si>
  <si>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</si>
  <si>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</si>
  <si>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</si>
  <si>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</si>
  <si>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</si>
  <si>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</si>
  <si>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</si>
  <si>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</si>
  <si>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</si>
  <si>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</si>
  <si>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</si>
  <si>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</si>
  <si>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</si>
  <si>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</si>
  <si>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</si>
  <si>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</si>
  <si>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</si>
  <si>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</si>
  <si>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</si>
  <si>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</si>
  <si>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</si>
  <si>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</si>
  <si>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</si>
  <si>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</si>
  <si>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</si>
  <si>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</si>
  <si>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</si>
  <si>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</si>
  <si>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</si>
  <si>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</si>
  <si>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</si>
  <si>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</si>
  <si>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</si>
  <si>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</si>
  <si>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</si>
  <si>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</si>
  <si>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</si>
  <si>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</si>
  <si>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</si>
  <si>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</si>
  <si>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</si>
  <si>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</si>
  <si>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</si>
  <si>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</si>
  <si>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</si>
  <si>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</si>
  <si>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</si>
  <si>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</si>
  <si>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</si>
  <si>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</si>
  <si>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</si>
  <si>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</si>
  <si>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</si>
  <si>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</si>
  <si>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</si>
  <si>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</si>
  <si>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</si>
  <si>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</si>
  <si>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</si>
  <si>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</si>
  <si>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</si>
  <si>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NO</t>
  </si>
  <si>
    <t>2.6.5-335.18</t>
  </si>
  <si>
    <t>CEMENTO PORTLAND; CANT. PLIEGOS BOLSA: 3, PRESENTACION: BOLSA X 50 Kg, TIPO: NORMAL</t>
  </si>
  <si>
    <t>UNIDAD</t>
  </si>
  <si>
    <t>adquisición de bolsas de cemento para la Planta de PreMoldeados para la realizacion de block, anillos para fosa, postes, etc. Los que seran destinados a subsidios a beneficiarios por emergencia habitacional</t>
  </si>
  <si>
    <t>CEMENTO, CAL Y YESO</t>
  </si>
  <si>
    <t>NUEVO</t>
  </si>
  <si>
    <t>30 Dias.</t>
  </si>
  <si>
    <t>MATERIALES DE CONSTRUCCION</t>
  </si>
  <si>
    <t>DEBIENDO CORRER LOS GASTOS DE FLETES, ACARREO, CARGA Y DESCARGA POR CUENTA DEL ADJUDICATARIO.</t>
  </si>
  <si>
    <t>Costo total estimado: Tres Millones Cincuenta y Cinco Mil con 00/100</t>
  </si>
  <si>
    <t>16/2022</t>
  </si>
  <si>
    <t>TOTAL DE PESOS: Tres Millones Cincuenta y Cinco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</si>
</sst>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C1" zoomScaleNormal="100" workbookViewId="0">
      <selection activeCell="G11" sqref="G11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60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62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1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71</v>
      </c>
      <c r="D10" s="68" t="str">
        <f>LEFT(B10,5)</f>
        <v>2.6.5</v>
      </c>
      <c r="E10" s="69" t="s">
        <v>65</v>
      </c>
      <c r="F10" s="68" t="s">
        <v>66</v>
      </c>
      <c r="G10" s="68">
        <v>2350</v>
      </c>
      <c r="H10" s="90">
        <v>1300</v>
      </c>
      <c r="I10" s="76">
        <f>G10*H10</f>
        <v>3055000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3055000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65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57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58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5"/>
      <c r="C22" s="99" t="s">
        <v>72</v>
      </c>
      <c r="D22" s="99"/>
      <c r="E22" s="96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5" t="s">
        <v>69</v>
      </c>
      <c r="D24" s="95"/>
      <c r="E24" s="95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5" t="s">
        <v>70</v>
      </c>
      <c r="D26" s="95"/>
      <c r="E26" s="95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6"/>
      <c r="D28" s="96"/>
      <c r="E28" s="96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C24:E24"/>
    <mergeCell ref="C26:E26"/>
    <mergeCell ref="C28:E28"/>
    <mergeCell ref="A6:B6"/>
    <mergeCell ref="A7:B7"/>
    <mergeCell ref="C18:E18"/>
    <mergeCell ref="C20:E20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20</v>
      </c>
      <c r="B1" s="100"/>
      <c r="C1" s="100"/>
      <c r="D1" s="100"/>
      <c r="E1" s="100"/>
      <c r="F1" s="100"/>
      <c r="G1" s="100"/>
      <c r="H1" s="100"/>
      <c r="I1" s="100"/>
      <c r="J1" s="77" t="s">
        <v>21</v>
      </c>
      <c r="K1" s="78" t="s">
        <v>74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1" t="s">
        <v>54</v>
      </c>
      <c r="B3" s="101"/>
      <c r="C3" s="101"/>
      <c r="D3" s="102" t="str">
        <f>'Necesidades Trimestrales'!C4</f>
        <v>35 - Ministerio de Vivienda y Urbanizacion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55</v>
      </c>
      <c r="B4" s="103"/>
      <c r="C4" s="103"/>
      <c r="D4" s="102" t="str">
        <f>'Necesidades Trimestrales'!C5</f>
        <v>48 - Direccion Provincial de Gestion de Administracion y Recursos Humanos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33</v>
      </c>
      <c r="B5" s="103"/>
      <c r="C5" s="103"/>
      <c r="D5" s="102" t="s">
        <v>61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56</v>
      </c>
      <c r="B6" s="101"/>
      <c r="C6" s="101"/>
      <c r="D6" s="102" t="s">
        <v>61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22</v>
      </c>
      <c r="B7" s="103"/>
      <c r="C7" s="103"/>
      <c r="D7" s="102" t="str">
        <f>'Necesidades Trimestrales'!C7 &amp; "° Trimestre - Año " &amp; 'Necesidades Trimestrales'!C6</f>
        <v>1° Trimestre - Año 2022</v>
      </c>
      <c r="E7" s="102"/>
      <c r="F7" s="102"/>
      <c r="G7" s="102"/>
      <c r="H7" s="102"/>
      <c r="I7" s="102"/>
      <c r="J7" s="102"/>
      <c r="K7" s="102"/>
    </row>
    <row r="8" spans="1:11" ht="33" customHeight="1" x14ac:dyDescent="0.2">
      <c r="A8" s="104" t="s">
        <v>23</v>
      </c>
      <c r="B8" s="104"/>
      <c r="C8" s="104"/>
      <c r="D8" s="105" t="s">
        <v>67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6" customHeight="1" thickBot="1" x14ac:dyDescent="0.25">
      <c r="A12" s="83">
        <v>1</v>
      </c>
      <c r="B12" s="83" t="str">
        <f>'Necesidades Trimestrales'!B10</f>
        <v>2.6.5-335.18</v>
      </c>
      <c r="C12" s="111" t="str">
        <f>'Necesidades Trimestrales'!E10</f>
        <v>CEMENTO PORTLAND; CANT. PLIEGOS BOLSA: 3, PRESENTACION: BOLSA X 50 Kg, TIPO: NORMAL</v>
      </c>
      <c r="D12" s="111"/>
      <c r="E12" s="111"/>
      <c r="F12" s="111"/>
      <c r="G12" s="111"/>
      <c r="H12" s="83" t="s">
        <v>63</v>
      </c>
      <c r="I12" s="85" t="str">
        <f>'Necesidades Trimestrales'!F10</f>
        <v>UNIDAD</v>
      </c>
      <c r="J12" s="91">
        <f>'Necesidades Trimestrales'!H10</f>
        <v>1300</v>
      </c>
      <c r="K12" s="87">
        <f>'Necesidades Trimestrales'!G10</f>
        <v>2350</v>
      </c>
    </row>
    <row r="13" spans="1:11" ht="27.75" customHeight="1" x14ac:dyDescent="0.2">
      <c r="A13" s="88"/>
      <c r="B13" s="84"/>
      <c r="C13" s="111"/>
      <c r="D13" s="111"/>
      <c r="E13" s="111"/>
      <c r="F13" s="111"/>
      <c r="G13" s="11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2"/>
      <c r="D14" s="112"/>
      <c r="E14" s="112"/>
      <c r="F14" s="112"/>
      <c r="G14" s="112"/>
      <c r="H14" s="5"/>
      <c r="I14" s="6"/>
      <c r="J14" s="6"/>
      <c r="K14" s="7"/>
    </row>
    <row r="15" spans="1:11" ht="20.25" customHeight="1" x14ac:dyDescent="0.2">
      <c r="A15" s="109" t="s">
        <v>73</v>
      </c>
      <c r="B15" s="109"/>
      <c r="C15" s="109"/>
      <c r="D15" s="109"/>
      <c r="E15" s="109"/>
      <c r="F15" s="109"/>
      <c r="G15" s="109"/>
      <c r="H15" s="109"/>
      <c r="I15" s="109"/>
      <c r="J15" s="110">
        <f>SUMPRODUCT(J12:J14,K12:K14)</f>
        <v>3055000</v>
      </c>
      <c r="K15" s="110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O22" sqref="O22:P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3" t="s">
        <v>3</v>
      </c>
      <c r="B1" s="113"/>
      <c r="C1" s="113"/>
      <c r="D1" s="114">
        <f>'Necesidades Trimestrales'!C6</f>
        <v>2022</v>
      </c>
      <c r="E1" s="114"/>
      <c r="F1" s="9"/>
      <c r="G1" s="9"/>
      <c r="H1" s="10"/>
      <c r="I1" s="10"/>
      <c r="J1" s="10"/>
      <c r="K1" s="10"/>
      <c r="L1" s="10"/>
      <c r="M1" s="10"/>
      <c r="N1" s="10"/>
      <c r="P1" s="115" t="s">
        <v>31</v>
      </c>
      <c r="Q1" s="115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5"/>
      <c r="Q2" s="115"/>
    </row>
    <row r="4" spans="1:17" s="11" customFormat="1" ht="18" customHeight="1" thickBot="1" x14ac:dyDescent="0.25">
      <c r="A4" s="116" t="s">
        <v>32</v>
      </c>
      <c r="B4" s="116"/>
      <c r="C4" s="116"/>
      <c r="D4" s="116"/>
      <c r="E4" s="116"/>
      <c r="F4" s="116"/>
      <c r="G4" s="117" t="str">
        <f>' NotaPedido'!D3</f>
        <v>35 - Ministerio de Vivienda y Urbanizacion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11" customFormat="1" ht="18" customHeight="1" thickBot="1" x14ac:dyDescent="0.25">
      <c r="A5" s="118" t="s">
        <v>55</v>
      </c>
      <c r="B5" s="119"/>
      <c r="C5" s="119"/>
      <c r="D5" s="119"/>
      <c r="E5" s="119"/>
      <c r="F5" s="120"/>
      <c r="G5" s="117" t="str">
        <f>' NotaPedido'!D4</f>
        <v>48 - Direccion Provincial de Gestion de Administracion y Recursos Humanos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11" customFormat="1" ht="18" customHeight="1" thickBot="1" x14ac:dyDescent="0.25">
      <c r="A6" s="118" t="s">
        <v>33</v>
      </c>
      <c r="B6" s="119"/>
      <c r="C6" s="119"/>
      <c r="D6" s="119"/>
      <c r="E6" s="119"/>
      <c r="F6" s="120"/>
      <c r="G6" s="117" t="str">
        <f>' NotaPedido'!D5</f>
        <v>Ministerio de Vivienda y Urbanizacion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11" customFormat="1" ht="18" customHeight="1" thickBot="1" x14ac:dyDescent="0.25">
      <c r="A7" s="118" t="s">
        <v>56</v>
      </c>
      <c r="B7" s="119"/>
      <c r="C7" s="119"/>
      <c r="D7" s="119"/>
      <c r="E7" s="119"/>
      <c r="F7" s="120"/>
      <c r="G7" s="117" t="str">
        <f>' NotaPedido'!D6</f>
        <v>Ministerio de Vivienda y Urbanizacion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21" t="s">
        <v>34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22" t="s">
        <v>35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12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16/2022,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4" t="s">
        <v>36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37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38</v>
      </c>
      <c r="P13" s="126"/>
      <c r="Q13" s="127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6"/>
      <c r="P14" s="126"/>
      <c r="Q14" s="127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6</v>
      </c>
      <c r="K15" s="43" t="str">
        <f>RIGHT('Necesidades Trimestrales'!D10,1)</f>
        <v>5</v>
      </c>
      <c r="L15" s="43">
        <v>0</v>
      </c>
      <c r="M15" s="44">
        <v>1</v>
      </c>
      <c r="N15" s="45" t="s">
        <v>59</v>
      </c>
      <c r="O15" s="128" t="s">
        <v>68</v>
      </c>
      <c r="P15" s="129"/>
      <c r="Q15" s="22">
        <f>'Necesidades Trimestrales'!I10</f>
        <v>3055000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30"/>
      <c r="P16" s="130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30"/>
      <c r="P17" s="130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30"/>
      <c r="P18" s="130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30"/>
      <c r="P19" s="130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30"/>
      <c r="P20" s="130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6"/>
      <c r="P21" s="136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7"/>
      <c r="P22" s="137"/>
      <c r="Q22" s="36"/>
    </row>
    <row r="23" spans="1:18" ht="20.25" customHeight="1" x14ac:dyDescent="0.2">
      <c r="A23" s="138" t="s">
        <v>75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37">
        <f>Q15</f>
        <v>3055000</v>
      </c>
    </row>
    <row r="24" spans="1:18" ht="18" customHeight="1" thickBot="1" x14ac:dyDescent="0.2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7.25" customHeight="1" thickBot="1" x14ac:dyDescent="0.25">
      <c r="A25" s="131" t="s">
        <v>53</v>
      </c>
      <c r="B25" s="132"/>
      <c r="C25" s="132"/>
      <c r="D25" s="132"/>
      <c r="E25" s="132"/>
      <c r="F25" s="133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18" ht="23.25" customHeight="1" thickBot="1" x14ac:dyDescent="0.25">
      <c r="A26" s="135" t="s">
        <v>67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</row>
    <row r="27" spans="1:18" ht="20.25" customHeight="1" x14ac:dyDescent="0.2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2021-08-13T13:19:34Z</cp:lastPrinted>
  <dcterms:created xsi:type="dcterms:W3CDTF">2020-07-17T23:44:49Z</dcterms:created>
  <dcterms:modified xsi:type="dcterms:W3CDTF">2022-02-02T13:40:34Z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