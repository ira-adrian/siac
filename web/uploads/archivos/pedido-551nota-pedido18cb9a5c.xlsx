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EBD6E737-5E30-41D8-8566-4EE623D68AFE}"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4" r:id="rId1"/>
    <sheet name=" NotaPedido" sheetId="2" r:id="rId2"/>
    <sheet name="Autor Gastar" sheetId="3" r:id="rId3"/>
  </sheets>
  <definedNames>
    <definedName name="_xlnm.Print_Area" localSheetId="1">' NotaPedido'!$A$1:$K$16</definedName>
    <definedName name="_xlnm.Print_Area" localSheetId="2">'Autor Gastar'!$A$1:$Q$22</definedName>
    <definedName name="_xlnm.Print_Area" localSheetId="0">'Necesidades Trimestrales'!$A$1:$J$134</definedName>
  </definedNames>
  <calcPr calcId="181029"/>
</workbook>
</file>

<file path=xl/calcChain.xml><?xml version="1.0" encoding="utf-8"?>
<calcChain xmlns="http://schemas.openxmlformats.org/spreadsheetml/2006/main">
  <c r="K15" i="2" l="1"/>
  <c r="J15" i="2"/>
  <c r="C15" i="2"/>
  <c r="B15" i="2"/>
  <c r="I15" i="2"/>
  <c r="I10" i="4" l="1"/>
  <c r="D10" i="4"/>
  <c r="D1" i="3"/>
  <c r="G6" i="3"/>
  <c r="I13" i="2"/>
  <c r="I14" i="2"/>
  <c r="I8" i="4"/>
  <c r="I9" i="4"/>
  <c r="J13" i="2"/>
  <c r="J14" i="2"/>
  <c r="C13" i="2"/>
  <c r="C14" i="2"/>
  <c r="B13" i="2"/>
  <c r="B14" i="2"/>
  <c r="K13" i="2"/>
  <c r="K14" i="2"/>
  <c r="K12" i="2"/>
  <c r="J12" i="2"/>
  <c r="I12" i="2"/>
  <c r="C12" i="2"/>
  <c r="B12" i="2"/>
  <c r="D9" i="4"/>
  <c r="D8" i="4"/>
  <c r="I7" i="4"/>
  <c r="D7" i="4"/>
  <c r="I11" i="4" l="1"/>
  <c r="M11" i="4"/>
  <c r="J16" i="2"/>
  <c r="A10" i="3" l="1"/>
  <c r="G7" i="3"/>
  <c r="G4" i="3" l="1"/>
  <c r="G5" i="3" l="1"/>
  <c r="Q18" i="3" l="1"/>
</calcChain>
</file>

<file path=xl/sharedStrings.xml><?xml version="1.0" encoding="utf-8"?>
<sst xmlns="http://schemas.openxmlformats.org/spreadsheetml/2006/main" count="125" uniqueCount="89">
  <si>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</si>
  <si>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</si>
  <si>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</si>
  <si>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</si>
  <si>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</si>
  <si>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</si>
  <si>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</si>
  <si>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</si>
  <si>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</si>
  <si>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</si>
  <si>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</si>
  <si>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</si>
  <si>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</si>
  <si>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</si>
  <si>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Descripción técnica</t>
  </si>
  <si>
    <t>Plazos y lugares de entrega</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</si>
  <si>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</si>
  <si>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</si>
  <si>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</si>
  <si>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</si>
  <si>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</si>
  <si>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</si>
  <si>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</si>
  <si>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</si>
  <si>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</si>
  <si>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</si>
  <si>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</si>
  <si>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</si>
  <si>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</si>
  <si>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</si>
  <si>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</si>
  <si>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</si>
  <si>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</si>
  <si>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</si>
  <si>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</si>
  <si>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</si>
  <si>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</si>
  <si>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</si>
  <si>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</si>
  <si>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</si>
  <si>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</si>
  <si>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</si>
  <si>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</si>
  <si>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</si>
  <si>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</si>
  <si>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</si>
  <si>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</si>
  <si>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</si>
  <si>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</si>
  <si>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</si>
  <si>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</si>
  <si>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</si>
  <si>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</si>
  <si>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</si>
  <si>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</si>
  <si>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</si>
  <si>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</si>
  <si>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DIRECCION PROVINCIAL DE GESTION ADMINISTRATIVA Y RECURSOS HUMANOS</t>
  </si>
  <si>
    <t>Especificidades Item N° 1</t>
  </si>
  <si>
    <r>
      <t>Calidad Minima esperada:</t>
    </r>
    <r>
      <rPr>
        <sz val="10"/>
        <rFont val="Times New Roman"/>
        <family val="1"/>
      </rPr>
      <t xml:space="preserve">  primera calidad</t>
    </r>
  </si>
  <si>
    <t xml:space="preserve">Mantenimiento: </t>
  </si>
  <si>
    <t>mínima de Un (1) año.</t>
  </si>
  <si>
    <t>EQUIPO DE OFICINA Y MUEBLES</t>
  </si>
  <si>
    <t>1.1</t>
  </si>
  <si>
    <t>SECRETARIA DE INNOVACION TECNOLOGICA</t>
  </si>
  <si>
    <t>Equipos de Oficina y Muebles</t>
  </si>
  <si>
    <t>El plazo de entrega  dentro de los diez (10) dias  hábiles de recibida la orden de compra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En la  misma se presentará Remito que deberá cumplimentar lo dispuesto por la R.G. AFIP  1415/03, sin excepción.</t>
  </si>
  <si>
    <t>Especificidades Item N° 2</t>
  </si>
  <si>
    <t>Especificidades Item N° 3</t>
  </si>
  <si>
    <t>Especificidades Item N° 4</t>
  </si>
  <si>
    <r>
      <t xml:space="preserve">Mantenimiento: </t>
    </r>
    <r>
      <rPr>
        <sz val="10"/>
        <rFont val="Times New Roman"/>
        <family val="1"/>
      </rPr>
      <t xml:space="preserve">treinta (30) DIAS HABILES </t>
    </r>
  </si>
  <si>
    <r>
      <t>Mantenimiento:</t>
    </r>
    <r>
      <rPr>
        <sz val="10"/>
        <rFont val="Times New Roman"/>
        <family val="1"/>
      </rPr>
      <t xml:space="preserve"> treinta (30) DIAS HABILES </t>
    </r>
  </si>
  <si>
    <t>4.3.7-40.1145</t>
  </si>
  <si>
    <t>4.3.7-45.379</t>
  </si>
  <si>
    <t>SILLAS; MATERIAL ESTRUCTURA: PLASTICO, TAPIZADO: VINILICO, PATAS: C/RODAMIENTO, CANTIDAD PATAS: 5, ALTURA: REGULABLE, GIRATORIA: SI, APOYABRAZO: SIN, RESPALDO: FIJO, ASIENTO: FIJO</t>
  </si>
  <si>
    <t>ESCRITORIOS; MATERIAL ESTRUCTURA: AGLOMERADO, TERMINACION: MELAMINA, DIM. DEL PLANO DE APOYO: 120 X 70 Cm, CANTIDAD DE CAJONES: SIN</t>
  </si>
  <si>
    <t>4º TRIMESTRE 2021</t>
  </si>
  <si>
    <t>Costo total estimado:  PESOS UN MILLON TRESCIENTOS CUARENTA MIL QUINIENTOS VEINTE CON 00/100</t>
  </si>
  <si>
    <t>PESOS: UN MILLON TRESCIENTOS CUARENTA MIL QUINIENTOS VEINTE CON 00/100</t>
  </si>
  <si>
    <t>Escritorio desarmable de 1.20 x 0,70 m. Sin  cajones.</t>
  </si>
  <si>
    <t>4.3.7-45.172</t>
  </si>
  <si>
    <t>SILLAS; MATERIAL ESTRUCTURA: POLIPROPILENO, PATAS: TIPO TRINEO, Nº PATAS: 2, ALTURA: FIJA, GIRATORIA: NO, APOYA BRAZO: SIN, RESPALDO: BAJO, ASIENTO: POLIPROPILENO, TAPIZADO: SIN, CANTIDAD PATAS: 2, APOYABRAZO: SIN</t>
  </si>
  <si>
    <t>ADQUISICIÓN DE MUEBLES  PARA LA CREACIÓN DEL CENTRO DEL CONOCIMIENTO</t>
  </si>
  <si>
    <t xml:space="preserve">Sillon estilo escandinavo. Estructura pintada. Caño de 3/4 x 2 mm de espesor. Patines regulables con cabeza móvil.  Industria nacional </t>
  </si>
  <si>
    <t>Silla Monocasco en homopolímero de Alto Impacto. Estructura fija con patas de Varilla Cromada. Estructura fija. Apilable</t>
  </si>
  <si>
    <t>040/2021</t>
  </si>
  <si>
    <t>Silla giratoria sin apoyabarazo de pvc. Cantidad de patas 5.</t>
  </si>
  <si>
    <t>4.3.7-1606.211</t>
  </si>
  <si>
    <t>SILLONES/SOFAS; TAPIZADO: SIN, CANTIDAD DE CUERPOS: 1, MATERIAL ESTRUCTURA: METAL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</si>
</sst>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 #,##0.00_-;\-&quot;$&quot;\ * #,##0.00_-;_-&quot;$&quot;\ * &quot;-&quot;??_-;_-@_-"/>
    <numFmt numFmtId="43" formatCode="_-* #,##0.00_-;\-* #,##0.00_-;_-* &quot;-&quot;??_-;_-@_-"/>
    <numFmt numFmtId="164" formatCode="_(\$* #,##0.00_);_(\$* \(#,##0.00\);_(\$* \-??_);_(@_)"/>
    <numFmt numFmtId="165" formatCode="[$$-2C0A]\ #,##0.00;[$$-2C0A]&quot; -&quot;#,##0.00"/>
    <numFmt numFmtId="166" formatCode="[$$-2C0A]\ #,##0.00"/>
    <numFmt numFmtId="167" formatCode="dd\-mm\-yy;@"/>
    <numFmt numFmtId="168" formatCode="_-&quot;$&quot;* #,##0.00_-;\-&quot;$&quot;* #,##0.00_-;_-&quot;$&quot;* &quot;-&quot;??_-;_-@_-"/>
    <numFmt numFmtId="169" formatCode="_-[$$-2C0A]\ * #,##0.00_-;\-[$$-2C0A]\ * #,##0.00_-;_-[$$-2C0A]\ * &quot;-&quot;??_-;_-@_-"/>
  </numFmts>
  <fonts count="26"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u/>
      <sz val="10"/>
      <name val="Times New Roman"/>
      <family val="1"/>
    </font>
    <font>
      <b/>
      <sz val="12"/>
      <color rgb="FF000000"/>
      <name val="Times New Roman"/>
      <family val="1"/>
    </font>
    <font>
      <sz val="10"/>
      <name val="Arial"/>
      <family val="2"/>
    </font>
    <font>
      <sz val="11"/>
      <name val="Times New Roman"/>
      <family val="1"/>
    </font>
    <font>
      <sz val="11"/>
      <color theme="1"/>
      <name val="Arial"/>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45">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thick">
        <color auto="1"/>
      </left>
      <right style="thick">
        <color auto="1"/>
      </right>
      <top style="thick">
        <color auto="1"/>
      </top>
      <bottom/>
      <diagonal/>
    </border>
  </borders>
  <cellStyleXfs count="10">
    <xf numFmtId="0" fontId="0" fillId="0" borderId="0"/>
    <xf numFmtId="0" fontId="2" fillId="0" borderId="1" applyProtection="0"/>
    <xf numFmtId="164" fontId="3" fillId="0" borderId="0" applyBorder="0" applyProtection="0"/>
    <xf numFmtId="0" fontId="4" fillId="2" borderId="0" applyBorder="0" applyProtection="0"/>
    <xf numFmtId="0" fontId="15" fillId="0" borderId="0"/>
    <xf numFmtId="168" fontId="15" fillId="0" borderId="0" applyFont="0" applyFill="0" applyBorder="0" applyAlignment="0" applyProtection="0"/>
    <xf numFmtId="43" fontId="23" fillId="0" borderId="0" applyFont="0" applyFill="0" applyBorder="0" applyAlignment="0" applyProtection="0"/>
    <xf numFmtId="0" fontId="1" fillId="0" borderId="0"/>
    <xf numFmtId="44" fontId="1" fillId="0" borderId="0" applyFont="0" applyFill="0" applyBorder="0" applyAlignment="0" applyProtection="0"/>
    <xf numFmtId="0" fontId="25" fillId="0" borderId="0"/>
  </cellStyleXfs>
  <cellXfs count="132">
    <xf numFmtId="0" fontId="0" fillId="0" borderId="0" xfId="0"/>
    <xf numFmtId="0" fontId="0" fillId="0" borderId="0" xfId="0" applyBorder="1"/>
    <xf numFmtId="0" fontId="3" fillId="0" borderId="0" xfId="0" applyFont="1" applyBorder="1" applyAlignment="1">
      <alignment vertical="center"/>
    </xf>
    <xf numFmtId="0" fontId="6" fillId="0" borderId="10" xfId="0" applyFont="1" applyBorder="1" applyAlignment="1">
      <alignment horizontal="right" vertical="center"/>
    </xf>
    <xf numFmtId="0" fontId="6" fillId="0" borderId="12" xfId="0" applyFont="1" applyBorder="1" applyAlignment="1">
      <alignment vertical="center"/>
    </xf>
    <xf numFmtId="0" fontId="6" fillId="0" borderId="0" xfId="0" applyFont="1" applyBorder="1" applyAlignment="1">
      <alignment vertical="center"/>
    </xf>
    <xf numFmtId="0" fontId="8" fillId="0" borderId="0" xfId="0" applyFont="1" applyBorder="1" applyAlignment="1">
      <alignment horizontal="left" vertical="center"/>
    </xf>
    <xf numFmtId="0" fontId="7"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7" fontId="0" fillId="0" borderId="0" xfId="0" applyNumberFormat="1" applyAlignment="1">
      <alignment horizontal="left"/>
    </xf>
    <xf numFmtId="0" fontId="3"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29" xfId="0" applyFont="1" applyBorder="1" applyAlignment="1">
      <alignment horizontal="left" vertical="center"/>
    </xf>
    <xf numFmtId="0" fontId="14" fillId="0" borderId="30" xfId="0" applyFont="1" applyBorder="1" applyAlignment="1">
      <alignment horizontal="center" vertical="center"/>
    </xf>
    <xf numFmtId="0" fontId="14" fillId="0" borderId="24" xfId="0" applyFont="1" applyBorder="1" applyAlignment="1">
      <alignment horizontal="center" vertical="center"/>
    </xf>
    <xf numFmtId="0" fontId="0" fillId="0" borderId="32" xfId="0" applyFont="1" applyBorder="1" applyAlignment="1">
      <alignment horizontal="center" vertical="center"/>
    </xf>
    <xf numFmtId="165" fontId="0" fillId="0" borderId="34" xfId="2" applyNumberFormat="1" applyFont="1" applyBorder="1" applyAlignment="1" applyProtection="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165" fontId="0" fillId="0" borderId="38" xfId="2" applyNumberFormat="1" applyFont="1" applyBorder="1" applyAlignment="1" applyProtection="1">
      <alignment horizontal="center" vertical="center"/>
    </xf>
    <xf numFmtId="165" fontId="14" fillId="0" borderId="39" xfId="0" applyNumberFormat="1" applyFont="1" applyBorder="1" applyAlignment="1">
      <alignment horizontal="center" vertical="center"/>
    </xf>
    <xf numFmtId="0" fontId="0" fillId="4" borderId="31" xfId="0" applyFont="1" applyFill="1" applyBorder="1" applyAlignment="1">
      <alignment horizontal="center" vertical="center"/>
    </xf>
    <xf numFmtId="0" fontId="0" fillId="4" borderId="32" xfId="0" applyFont="1" applyFill="1" applyBorder="1" applyAlignment="1">
      <alignment horizontal="center" vertical="center"/>
    </xf>
    <xf numFmtId="0" fontId="0" fillId="4" borderId="33" xfId="0" applyFont="1" applyFill="1" applyBorder="1" applyAlignment="1">
      <alignment horizontal="center" vertical="center"/>
    </xf>
    <xf numFmtId="0" fontId="15" fillId="0" borderId="0" xfId="0" applyFont="1"/>
    <xf numFmtId="0" fontId="0" fillId="0" borderId="0" xfId="0" applyAlignment="1">
      <alignment horizontal="left" vertical="top"/>
    </xf>
    <xf numFmtId="166" fontId="3" fillId="0" borderId="0" xfId="0" applyNumberFormat="1" applyFont="1" applyBorder="1" applyAlignment="1">
      <alignment vertical="center"/>
    </xf>
    <xf numFmtId="0" fontId="16" fillId="0" borderId="0" xfId="4" applyFont="1"/>
    <xf numFmtId="0" fontId="21" fillId="0" borderId="2" xfId="4" applyFont="1" applyBorder="1"/>
    <xf numFmtId="0" fontId="16" fillId="0" borderId="3" xfId="4" applyFont="1" applyBorder="1"/>
    <xf numFmtId="0" fontId="16" fillId="0" borderId="4" xfId="4" applyFont="1" applyBorder="1"/>
    <xf numFmtId="0" fontId="16" fillId="0" borderId="5" xfId="4" applyFont="1" applyBorder="1"/>
    <xf numFmtId="0" fontId="16" fillId="0" borderId="6" xfId="4" applyFont="1" applyBorder="1"/>
    <xf numFmtId="0" fontId="21" fillId="0" borderId="5" xfId="4" applyFont="1" applyBorder="1" applyAlignment="1">
      <alignment horizontal="left" indent="3"/>
    </xf>
    <xf numFmtId="0" fontId="16" fillId="4" borderId="0" xfId="4" applyFont="1" applyFill="1" applyAlignment="1">
      <alignment horizontal="left" vertical="center" wrapText="1"/>
    </xf>
    <xf numFmtId="0" fontId="16" fillId="4" borderId="6" xfId="4" applyFont="1" applyFill="1" applyBorder="1" applyAlignment="1">
      <alignment horizontal="left" vertical="center" wrapText="1"/>
    </xf>
    <xf numFmtId="0" fontId="16" fillId="4" borderId="0" xfId="4" applyFont="1" applyFill="1" applyAlignment="1">
      <alignment horizontal="left" vertical="center"/>
    </xf>
    <xf numFmtId="0" fontId="16" fillId="0" borderId="5" xfId="4" applyFont="1" applyBorder="1" applyAlignment="1">
      <alignment horizontal="left" indent="3"/>
    </xf>
    <xf numFmtId="0" fontId="16" fillId="0" borderId="0" xfId="4" applyFont="1" applyAlignment="1">
      <alignment horizontal="center" wrapText="1"/>
    </xf>
    <xf numFmtId="0" fontId="16" fillId="0" borderId="6" xfId="4" applyFont="1" applyBorder="1" applyAlignment="1">
      <alignment horizontal="center" wrapText="1"/>
    </xf>
    <xf numFmtId="0" fontId="16" fillId="0" borderId="7" xfId="4" applyFont="1" applyBorder="1" applyAlignment="1">
      <alignment horizontal="left" indent="3"/>
    </xf>
    <xf numFmtId="0" fontId="16" fillId="0" borderId="8" xfId="4" applyFont="1" applyBorder="1"/>
    <xf numFmtId="0" fontId="16" fillId="0" borderId="9" xfId="4" applyFont="1" applyBorder="1"/>
    <xf numFmtId="0" fontId="16" fillId="4" borderId="0" xfId="4" applyFont="1" applyFill="1" applyAlignment="1">
      <alignment horizontal="left" vertical="center" wrapText="1"/>
    </xf>
    <xf numFmtId="0" fontId="16" fillId="4" borderId="6" xfId="4" applyFont="1" applyFill="1" applyBorder="1" applyAlignment="1">
      <alignment horizontal="left" vertical="center" wrapText="1"/>
    </xf>
    <xf numFmtId="0" fontId="7" fillId="0" borderId="11" xfId="0" applyFont="1" applyFill="1" applyBorder="1" applyAlignment="1">
      <alignment horizontal="center" vertical="center"/>
    </xf>
    <xf numFmtId="43" fontId="3" fillId="0" borderId="0" xfId="6" applyFont="1" applyBorder="1" applyAlignment="1">
      <alignment vertical="center"/>
    </xf>
    <xf numFmtId="0" fontId="18" fillId="0" borderId="0" xfId="0" applyFont="1" applyAlignment="1">
      <alignment horizontal="left" wrapText="1"/>
    </xf>
    <xf numFmtId="0" fontId="18" fillId="0" borderId="0" xfId="0" applyFont="1" applyAlignment="1">
      <alignment horizontal="center" wrapText="1"/>
    </xf>
    <xf numFmtId="0" fontId="16" fillId="0" borderId="0" xfId="0" applyFont="1"/>
    <xf numFmtId="0" fontId="22" fillId="4" borderId="0" xfId="0" applyFont="1" applyFill="1" applyAlignment="1">
      <alignment horizontal="left" wrapText="1" indent="1"/>
    </xf>
    <xf numFmtId="0" fontId="19" fillId="3" borderId="0" xfId="0" applyFont="1" applyFill="1" applyAlignment="1">
      <alignment horizontal="left" wrapText="1"/>
    </xf>
    <xf numFmtId="0" fontId="17" fillId="0" borderId="0" xfId="0" applyFont="1" applyBorder="1" applyAlignment="1">
      <alignment horizontal="left" vertical="center" wrapText="1"/>
    </xf>
    <xf numFmtId="0" fontId="19" fillId="0" borderId="44" xfId="0" applyFont="1" applyBorder="1" applyAlignment="1">
      <alignment horizontal="center" vertical="center" wrapText="1"/>
    </xf>
    <xf numFmtId="0" fontId="16" fillId="3" borderId="14" xfId="0" applyFont="1" applyFill="1" applyBorder="1" applyAlignment="1">
      <alignment horizontal="left" vertical="center" wrapText="1"/>
    </xf>
    <xf numFmtId="0" fontId="16" fillId="3" borderId="14" xfId="0" applyFont="1" applyFill="1" applyBorder="1" applyAlignment="1">
      <alignment horizontal="center" vertical="center" wrapText="1"/>
    </xf>
    <xf numFmtId="168" fontId="16" fillId="3" borderId="14" xfId="5" applyFont="1" applyFill="1" applyBorder="1" applyAlignment="1">
      <alignment horizontal="left" vertical="center" wrapText="1"/>
    </xf>
    <xf numFmtId="168" fontId="16" fillId="0" borderId="0" xfId="4" applyNumberFormat="1" applyFont="1"/>
    <xf numFmtId="0" fontId="24" fillId="0" borderId="18" xfId="0" applyFont="1" applyBorder="1" applyAlignment="1">
      <alignment horizontal="center" vertical="center" wrapText="1"/>
    </xf>
    <xf numFmtId="0" fontId="24" fillId="0" borderId="16" xfId="0" applyFont="1" applyBorder="1" applyAlignment="1">
      <alignment horizontal="center" vertical="center"/>
    </xf>
    <xf numFmtId="0" fontId="16" fillId="4" borderId="19" xfId="0" applyFont="1" applyFill="1" applyBorder="1" applyAlignment="1">
      <alignment horizontal="center" vertical="center"/>
    </xf>
    <xf numFmtId="0" fontId="24" fillId="0" borderId="17" xfId="0" applyFont="1" applyBorder="1" applyAlignment="1">
      <alignment horizontal="center" vertical="center" wrapText="1"/>
    </xf>
    <xf numFmtId="0" fontId="15" fillId="4" borderId="32" xfId="0" applyFont="1" applyFill="1" applyBorder="1" applyAlignment="1">
      <alignment horizontal="center" vertical="center"/>
    </xf>
    <xf numFmtId="44" fontId="16" fillId="0" borderId="0" xfId="4" applyNumberFormat="1" applyFont="1"/>
    <xf numFmtId="169" fontId="24" fillId="0" borderId="18" xfId="0" applyNumberFormat="1" applyFont="1" applyBorder="1" applyAlignment="1">
      <alignment horizontal="center" vertical="center" wrapText="1"/>
    </xf>
    <xf numFmtId="0" fontId="16" fillId="0" borderId="0" xfId="4" applyFont="1" applyAlignment="1">
      <alignment vertical="center"/>
    </xf>
    <xf numFmtId="0" fontId="16" fillId="3" borderId="0" xfId="4" applyFont="1" applyFill="1"/>
    <xf numFmtId="0" fontId="0" fillId="4" borderId="29" xfId="0" applyFont="1" applyFill="1" applyBorder="1" applyAlignment="1">
      <alignment horizontal="center" vertical="center"/>
    </xf>
    <xf numFmtId="0" fontId="0" fillId="0" borderId="29" xfId="0" applyFont="1" applyBorder="1" applyAlignment="1">
      <alignment horizontal="center" vertical="center"/>
    </xf>
    <xf numFmtId="0" fontId="0" fillId="4" borderId="28" xfId="0" applyFont="1" applyFill="1" applyBorder="1" applyAlignment="1">
      <alignment horizontal="center" vertical="center"/>
    </xf>
    <xf numFmtId="0" fontId="0" fillId="4" borderId="30" xfId="0" applyFont="1" applyFill="1" applyBorder="1" applyAlignment="1">
      <alignment horizontal="center" vertical="center"/>
    </xf>
    <xf numFmtId="0" fontId="15" fillId="4" borderId="29" xfId="0" applyFont="1" applyFill="1" applyBorder="1" applyAlignment="1">
      <alignment horizontal="center" vertical="center"/>
    </xf>
    <xf numFmtId="0" fontId="17" fillId="0" borderId="0" xfId="0" applyFont="1" applyBorder="1" applyAlignment="1">
      <alignment horizontal="left" vertical="center" wrapText="1"/>
    </xf>
    <xf numFmtId="0" fontId="22" fillId="4" borderId="0" xfId="0" applyFont="1" applyFill="1" applyBorder="1" applyAlignment="1">
      <alignment horizontal="left" wrapText="1" indent="1"/>
    </xf>
    <xf numFmtId="0" fontId="16" fillId="3" borderId="0" xfId="4" applyFont="1" applyFill="1" applyAlignment="1">
      <alignment horizontal="left" vertical="center" wrapText="1"/>
    </xf>
    <xf numFmtId="0" fontId="16" fillId="3" borderId="6" xfId="4" applyFont="1" applyFill="1" applyBorder="1" applyAlignment="1">
      <alignment horizontal="left" vertical="center" wrapText="1"/>
    </xf>
    <xf numFmtId="0" fontId="16" fillId="4" borderId="0" xfId="4" applyFont="1" applyFill="1" applyAlignment="1">
      <alignment horizontal="left" wrapText="1"/>
    </xf>
    <xf numFmtId="0" fontId="16" fillId="4" borderId="6" xfId="4" applyFont="1" applyFill="1" applyBorder="1" applyAlignment="1">
      <alignment horizontal="left" wrapText="1"/>
    </xf>
    <xf numFmtId="0" fontId="16" fillId="4" borderId="0" xfId="4" applyFont="1" applyFill="1" applyAlignment="1">
      <alignment horizontal="left" vertical="center" wrapText="1"/>
    </xf>
    <xf numFmtId="0" fontId="16" fillId="4" borderId="6" xfId="4" applyFont="1" applyFill="1" applyBorder="1" applyAlignment="1">
      <alignment horizontal="left" vertical="center" wrapText="1"/>
    </xf>
    <xf numFmtId="0" fontId="16" fillId="3" borderId="0" xfId="4" applyFont="1" applyFill="1" applyAlignment="1">
      <alignment vertical="center" wrapText="1"/>
    </xf>
    <xf numFmtId="0" fontId="16" fillId="3" borderId="6" xfId="4" applyFont="1" applyFill="1" applyBorder="1" applyAlignment="1">
      <alignment vertical="center" wrapText="1"/>
    </xf>
    <xf numFmtId="0" fontId="6" fillId="0" borderId="0" xfId="0" applyFont="1" applyBorder="1" applyAlignment="1">
      <alignment horizontal="center" vertical="center"/>
    </xf>
    <xf numFmtId="0" fontId="8" fillId="0" borderId="13" xfId="0" applyFont="1" applyBorder="1" applyAlignment="1">
      <alignment horizontal="left" vertical="center" wrapText="1"/>
    </xf>
    <xf numFmtId="0" fontId="7" fillId="0" borderId="14" xfId="0" applyFont="1" applyFill="1" applyBorder="1" applyAlignment="1">
      <alignment horizontal="left" vertical="center" wrapText="1" indent="1"/>
    </xf>
    <xf numFmtId="0" fontId="8" fillId="0" borderId="15" xfId="0" applyFont="1" applyBorder="1" applyAlignment="1">
      <alignment horizontal="left" vertical="center" wrapText="1"/>
    </xf>
    <xf numFmtId="0" fontId="7" fillId="3" borderId="14" xfId="0" applyFont="1" applyFill="1" applyBorder="1" applyAlignment="1">
      <alignment horizontal="left" vertical="center" wrapText="1" indent="1"/>
    </xf>
    <xf numFmtId="0" fontId="9" fillId="0" borderId="14" xfId="0" applyFont="1" applyBorder="1" applyAlignment="1">
      <alignment horizontal="left" vertical="center" wrapText="1" indent="1"/>
    </xf>
    <xf numFmtId="166" fontId="8" fillId="0" borderId="14" xfId="0" applyNumberFormat="1" applyFont="1" applyBorder="1" applyAlignment="1">
      <alignment horizontal="center" vertical="center"/>
    </xf>
    <xf numFmtId="0" fontId="16" fillId="0" borderId="17" xfId="0" applyFont="1" applyFill="1" applyBorder="1" applyAlignment="1">
      <alignment horizontal="left" vertical="center" wrapText="1" indent="1"/>
    </xf>
    <xf numFmtId="0" fontId="9" fillId="0" borderId="16" xfId="0" applyFont="1" applyBorder="1" applyAlignment="1">
      <alignment horizontal="center" vertical="center"/>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6" xfId="0" applyFont="1" applyBorder="1" applyAlignment="1">
      <alignment horizontal="left" vertical="center"/>
    </xf>
    <xf numFmtId="0" fontId="20" fillId="0" borderId="18" xfId="0" applyFont="1" applyBorder="1" applyAlignment="1">
      <alignment horizontal="left" vertical="center" wrapText="1"/>
    </xf>
    <xf numFmtId="0" fontId="0" fillId="0" borderId="20" xfId="0" applyFont="1" applyBorder="1" applyAlignment="1">
      <alignment horizontal="center"/>
    </xf>
    <xf numFmtId="3" fontId="10" fillId="0" borderId="21" xfId="0" applyNumberFormat="1" applyFont="1" applyBorder="1" applyAlignment="1">
      <alignment horizontal="center"/>
    </xf>
    <xf numFmtId="0" fontId="11" fillId="0" borderId="11" xfId="0" applyFont="1" applyBorder="1" applyAlignment="1">
      <alignment horizontal="center" vertical="center" wrapText="1"/>
    </xf>
    <xf numFmtId="0" fontId="3" fillId="0" borderId="11" xfId="0" applyFont="1" applyBorder="1"/>
    <xf numFmtId="0" fontId="12" fillId="0" borderId="11" xfId="0" applyFont="1" applyBorder="1" applyAlignment="1">
      <alignment horizontal="left" indent="1"/>
    </xf>
    <xf numFmtId="0" fontId="0" fillId="0" borderId="36" xfId="0" applyBorder="1" applyAlignment="1">
      <alignment horizontal="left" vertical="center"/>
    </xf>
    <xf numFmtId="0" fontId="5" fillId="0" borderId="13" xfId="0" applyFont="1" applyBorder="1" applyAlignment="1">
      <alignment horizontal="left" vertical="center" wrapText="1"/>
    </xf>
    <xf numFmtId="0" fontId="5" fillId="0" borderId="41" xfId="0" applyFont="1" applyBorder="1" applyAlignment="1">
      <alignment horizontal="left" vertical="center" wrapText="1"/>
    </xf>
    <xf numFmtId="0" fontId="5" fillId="0" borderId="42" xfId="0" applyFont="1" applyBorder="1" applyAlignment="1">
      <alignment horizontal="left" vertical="center" wrapText="1"/>
    </xf>
    <xf numFmtId="0" fontId="13" fillId="0" borderId="11" xfId="0" applyFont="1" applyBorder="1" applyAlignment="1">
      <alignment horizontal="left"/>
    </xf>
    <xf numFmtId="0" fontId="12" fillId="0" borderId="11" xfId="0" applyFont="1" applyFill="1" applyBorder="1" applyAlignment="1">
      <alignment horizontal="left" indent="1"/>
    </xf>
    <xf numFmtId="0" fontId="3" fillId="0" borderId="13" xfId="0" applyFont="1" applyFill="1" applyBorder="1" applyAlignment="1">
      <alignment horizontal="left" vertical="center" indent="1"/>
    </xf>
    <xf numFmtId="0" fontId="3" fillId="0" borderId="41" xfId="0" applyFont="1" applyFill="1" applyBorder="1" applyAlignment="1">
      <alignment horizontal="left" vertical="center" indent="1"/>
    </xf>
    <xf numFmtId="0" fontId="3" fillId="0" borderId="42" xfId="0" applyFont="1" applyFill="1" applyBorder="1" applyAlignment="1">
      <alignment horizontal="left" vertical="center" indent="1"/>
    </xf>
    <xf numFmtId="0" fontId="15" fillId="0" borderId="33" xfId="0" applyFont="1" applyBorder="1" applyAlignment="1">
      <alignment vertical="center"/>
    </xf>
    <xf numFmtId="0" fontId="0" fillId="0" borderId="43" xfId="0" applyFont="1" applyBorder="1" applyAlignment="1">
      <alignment vertical="center"/>
    </xf>
    <xf numFmtId="0" fontId="12" fillId="0" borderId="23" xfId="0" applyFont="1" applyBorder="1"/>
    <xf numFmtId="0" fontId="12" fillId="0" borderId="24" xfId="0" applyFont="1" applyFill="1" applyBorder="1" applyAlignment="1">
      <alignment horizontal="left" vertical="center" wrapText="1" indent="1"/>
    </xf>
    <xf numFmtId="0" fontId="14" fillId="0" borderId="22" xfId="0" applyFont="1" applyBorder="1" applyAlignment="1">
      <alignment horizontal="center" vertical="center"/>
    </xf>
    <xf numFmtId="0" fontId="14" fillId="0" borderId="11" xfId="0" applyFont="1" applyBorder="1" applyAlignment="1">
      <alignment horizontal="center" vertical="center"/>
    </xf>
    <xf numFmtId="0" fontId="14" fillId="0" borderId="22" xfId="0" applyFont="1" applyBorder="1" applyAlignment="1">
      <alignment horizontal="center" vertical="center" wrapText="1"/>
    </xf>
    <xf numFmtId="0" fontId="14" fillId="0" borderId="27" xfId="0" applyFont="1" applyBorder="1" applyAlignment="1">
      <alignment horizontal="center" vertical="center"/>
    </xf>
    <xf numFmtId="0" fontId="10" fillId="0" borderId="20" xfId="0" applyFont="1" applyBorder="1" applyAlignment="1">
      <alignment vertical="center" wrapText="1"/>
    </xf>
    <xf numFmtId="0" fontId="10" fillId="0" borderId="40" xfId="0" applyFont="1" applyBorder="1" applyAlignment="1">
      <alignment vertical="center" wrapText="1"/>
    </xf>
    <xf numFmtId="0" fontId="10" fillId="0" borderId="17" xfId="0" applyFont="1" applyBorder="1" applyAlignment="1">
      <alignment vertical="center" wrapText="1"/>
    </xf>
    <xf numFmtId="0" fontId="12" fillId="0" borderId="27" xfId="0" applyFont="1" applyBorder="1" applyAlignment="1">
      <alignment vertical="center" wrapText="1"/>
    </xf>
    <xf numFmtId="0" fontId="3" fillId="0" borderId="39" xfId="0" applyFont="1" applyFill="1" applyBorder="1" applyAlignment="1">
      <alignment horizontal="left" vertical="center" wrapText="1" indent="1"/>
    </xf>
    <xf numFmtId="0" fontId="14" fillId="0" borderId="39" xfId="0" applyFont="1" applyBorder="1" applyAlignment="1">
      <alignment horizontal="left" vertical="center" wrapText="1"/>
    </xf>
    <xf numFmtId="0" fontId="0" fillId="0" borderId="22" xfId="0" applyBorder="1"/>
  </cellXfs>
  <cellStyles count="10">
    <cellStyle name="Encabezado 1" xfId="1" xr:uid="{00000000-0005-0000-0000-000000000000}"/>
    <cellStyle name="Millares" xfId="6" builtinId="3"/>
    <cellStyle name="Moneda 2" xfId="5" xr:uid="{00000000-0005-0000-0000-000002000000}"/>
    <cellStyle name="Moneda 3" xfId="8" xr:uid="{00000000-0005-0000-0000-000003000000}"/>
    <cellStyle name="Moneda_AUTORIZACION Y NOTA DE PEDIDO" xfId="2" xr:uid="{00000000-0005-0000-0000-000004000000}"/>
    <cellStyle name="Neutral 1" xfId="3" xr:uid="{00000000-0005-0000-0000-000005000000}"/>
    <cellStyle name="Normal" xfId="0" builtinId="0"/>
    <cellStyle name="Normal 2" xfId="4" xr:uid="{00000000-0005-0000-0000-000007000000}"/>
    <cellStyle name="Normal 2 2" xfId="9" xr:uid="{00000000-0005-0000-0000-000008000000}"/>
    <cellStyle name="Normal 3" xfId="7"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2"/>
  <sheetViews>
    <sheetView tabSelected="1" zoomScaleNormal="100" workbookViewId="0">
      <selection activeCell="B10" sqref="B10"/>
    </sheetView>
  </sheetViews>
  <sheetFormatPr baseColWidth="10" defaultColWidth="11" defaultRowHeight="12.75" x14ac:dyDescent="0.2"/>
  <cols>
    <col min="1" max="1" width="4.5703125" style="35" customWidth="1"/>
    <col min="2" max="2" width="13.42578125" style="35" customWidth="1"/>
    <col min="3" max="3" width="26.140625" style="35" customWidth="1"/>
    <col min="4" max="4" width="10.5703125" style="35" customWidth="1"/>
    <col min="5" max="5" width="58.42578125" style="35" customWidth="1"/>
    <col min="6" max="6" width="11" style="35"/>
    <col min="7" max="7" width="11.140625" style="35" customWidth="1"/>
    <col min="8" max="8" width="13.85546875" style="35" customWidth="1"/>
    <col min="9" max="9" width="13" style="35" customWidth="1"/>
    <col min="10" max="12" width="11" style="35"/>
    <col min="13" max="13" width="14.42578125" style="35" customWidth="1"/>
    <col min="14" max="16384" width="11" style="35"/>
  </cols>
  <sheetData>
    <row r="1" spans="1:13" ht="15.75" customHeight="1" x14ac:dyDescent="0.25">
      <c r="A1" s="80" t="s">
        <v>0</v>
      </c>
      <c r="B1" s="80"/>
      <c r="C1" s="81" t="s">
        <v>55</v>
      </c>
      <c r="D1" s="81"/>
      <c r="E1" s="81"/>
      <c r="F1" s="55"/>
      <c r="G1" s="56"/>
      <c r="H1" s="55"/>
      <c r="I1" s="57"/>
    </row>
    <row r="2" spans="1:13" ht="15.75" x14ac:dyDescent="0.25">
      <c r="A2" s="80" t="s">
        <v>1</v>
      </c>
      <c r="B2" s="80"/>
      <c r="C2" s="81" t="s">
        <v>56</v>
      </c>
      <c r="D2" s="81"/>
      <c r="E2" s="81"/>
      <c r="F2" s="55"/>
      <c r="G2" s="56"/>
      <c r="H2" s="55"/>
      <c r="I2" s="57"/>
    </row>
    <row r="3" spans="1:13" ht="15.75" customHeight="1" x14ac:dyDescent="0.25">
      <c r="A3" s="80" t="s">
        <v>2</v>
      </c>
      <c r="B3" s="80"/>
      <c r="C3" s="58">
        <v>2021</v>
      </c>
      <c r="D3" s="59"/>
      <c r="E3" s="59"/>
      <c r="F3" s="55"/>
      <c r="G3" s="56"/>
      <c r="H3" s="55"/>
      <c r="I3" s="57"/>
    </row>
    <row r="4" spans="1:13" ht="18" customHeight="1" x14ac:dyDescent="0.25">
      <c r="A4" s="80" t="s">
        <v>3</v>
      </c>
      <c r="B4" s="80"/>
      <c r="C4" s="58">
        <v>4</v>
      </c>
      <c r="D4" s="59"/>
      <c r="E4" s="59"/>
      <c r="F4" s="55"/>
      <c r="G4" s="56"/>
      <c r="H4" s="55"/>
      <c r="I4" s="57"/>
    </row>
    <row r="5" spans="1:13" ht="16.5" customHeight="1" thickBot="1" x14ac:dyDescent="0.3">
      <c r="A5" s="60"/>
      <c r="B5" s="60"/>
      <c r="C5" s="58"/>
      <c r="D5" s="59"/>
      <c r="E5" s="59"/>
      <c r="F5" s="55"/>
      <c r="G5" s="56"/>
      <c r="H5" s="55"/>
      <c r="I5" s="57"/>
    </row>
    <row r="6" spans="1:13" ht="45" customHeight="1" thickTop="1" thickBot="1" x14ac:dyDescent="0.25">
      <c r="A6" s="61" t="s">
        <v>4</v>
      </c>
      <c r="B6" s="61" t="s">
        <v>5</v>
      </c>
      <c r="C6" s="61" t="s">
        <v>6</v>
      </c>
      <c r="D6" s="61" t="s">
        <v>7</v>
      </c>
      <c r="E6" s="61" t="s">
        <v>8</v>
      </c>
      <c r="F6" s="61" t="s">
        <v>9</v>
      </c>
      <c r="G6" s="61" t="s">
        <v>10</v>
      </c>
      <c r="H6" s="61" t="s">
        <v>11</v>
      </c>
      <c r="I6" s="61" t="s">
        <v>12</v>
      </c>
    </row>
    <row r="7" spans="1:13" ht="88.5" customHeight="1" thickBot="1" x14ac:dyDescent="0.25">
      <c r="A7" s="63">
        <v>1</v>
      </c>
      <c r="B7" s="63" t="s">
        <v>72</v>
      </c>
      <c r="C7" s="63" t="s">
        <v>62</v>
      </c>
      <c r="D7" s="63" t="str">
        <f t="shared" ref="D7:D10" si="0">LEFT(B7,5)</f>
        <v>4.3.7</v>
      </c>
      <c r="E7" s="62" t="s">
        <v>75</v>
      </c>
      <c r="F7" s="63" t="s">
        <v>13</v>
      </c>
      <c r="G7" s="63">
        <v>7</v>
      </c>
      <c r="H7" s="64">
        <v>26490</v>
      </c>
      <c r="I7" s="64">
        <f>H7*G7</f>
        <v>185430</v>
      </c>
      <c r="M7" s="65"/>
    </row>
    <row r="8" spans="1:13" ht="58.5" customHeight="1" thickBot="1" x14ac:dyDescent="0.25">
      <c r="A8" s="63">
        <v>2</v>
      </c>
      <c r="B8" s="63" t="s">
        <v>87</v>
      </c>
      <c r="C8" s="63" t="s">
        <v>62</v>
      </c>
      <c r="D8" s="63" t="str">
        <f t="shared" si="0"/>
        <v>4.3.7</v>
      </c>
      <c r="E8" s="62" t="s">
        <v>88</v>
      </c>
      <c r="F8" s="63" t="s">
        <v>13</v>
      </c>
      <c r="G8" s="63">
        <v>4</v>
      </c>
      <c r="H8" s="64">
        <v>27990</v>
      </c>
      <c r="I8" s="64">
        <f t="shared" ref="I8:I10" si="1">H8*G8</f>
        <v>111960</v>
      </c>
      <c r="M8" s="65"/>
    </row>
    <row r="9" spans="1:13" ht="63" customHeight="1" thickBot="1" x14ac:dyDescent="0.25">
      <c r="A9" s="63">
        <v>3</v>
      </c>
      <c r="B9" s="63" t="s">
        <v>73</v>
      </c>
      <c r="C9" s="63" t="s">
        <v>62</v>
      </c>
      <c r="D9" s="63" t="str">
        <f t="shared" si="0"/>
        <v>4.3.7</v>
      </c>
      <c r="E9" s="62" t="s">
        <v>74</v>
      </c>
      <c r="F9" s="63" t="s">
        <v>13</v>
      </c>
      <c r="G9" s="63">
        <v>17</v>
      </c>
      <c r="H9" s="64">
        <v>11990</v>
      </c>
      <c r="I9" s="64">
        <f t="shared" si="1"/>
        <v>203830</v>
      </c>
      <c r="J9" s="73"/>
      <c r="M9" s="65"/>
    </row>
    <row r="10" spans="1:13" ht="67.5" customHeight="1" thickBot="1" x14ac:dyDescent="0.25">
      <c r="A10" s="63">
        <v>4</v>
      </c>
      <c r="B10" s="63" t="s">
        <v>80</v>
      </c>
      <c r="C10" s="63" t="s">
        <v>62</v>
      </c>
      <c r="D10" s="63" t="str">
        <f t="shared" si="0"/>
        <v>4.3.7</v>
      </c>
      <c r="E10" s="62" t="s">
        <v>81</v>
      </c>
      <c r="F10" s="63" t="s">
        <v>13</v>
      </c>
      <c r="G10" s="63">
        <v>70</v>
      </c>
      <c r="H10" s="64">
        <v>11990</v>
      </c>
      <c r="I10" s="64">
        <f t="shared" si="1"/>
        <v>839300</v>
      </c>
      <c r="J10" s="74"/>
      <c r="M10" s="65"/>
    </row>
    <row r="11" spans="1:13" x14ac:dyDescent="0.2">
      <c r="I11" s="65">
        <f>SUM(I7:I10)</f>
        <v>1340520</v>
      </c>
      <c r="M11" s="71" t="e">
        <f>SUM(#REF!)</f>
        <v>#REF!</v>
      </c>
    </row>
    <row r="13" spans="1:13" ht="13.5" thickBot="1" x14ac:dyDescent="0.25"/>
    <row r="14" spans="1:13" x14ac:dyDescent="0.2">
      <c r="B14" s="36" t="s">
        <v>58</v>
      </c>
      <c r="C14" s="37"/>
      <c r="D14" s="37"/>
      <c r="E14" s="38"/>
    </row>
    <row r="15" spans="1:13" x14ac:dyDescent="0.2">
      <c r="B15" s="39"/>
      <c r="E15" s="40"/>
    </row>
    <row r="16" spans="1:13" x14ac:dyDescent="0.2">
      <c r="B16" s="41" t="s">
        <v>14</v>
      </c>
      <c r="E16" s="40"/>
    </row>
    <row r="17" spans="2:5" ht="40.5" customHeight="1" x14ac:dyDescent="0.2">
      <c r="B17" s="41"/>
      <c r="C17" s="82" t="s">
        <v>79</v>
      </c>
      <c r="D17" s="82"/>
      <c r="E17" s="83"/>
    </row>
    <row r="18" spans="2:5" x14ac:dyDescent="0.2">
      <c r="B18" s="41"/>
      <c r="C18" s="44"/>
      <c r="D18" s="42"/>
      <c r="E18" s="43"/>
    </row>
    <row r="19" spans="2:5" x14ac:dyDescent="0.2">
      <c r="B19" s="41" t="s">
        <v>15</v>
      </c>
      <c r="E19" s="40"/>
    </row>
    <row r="20" spans="2:5" ht="12.75" customHeight="1" x14ac:dyDescent="0.2">
      <c r="B20" s="45"/>
      <c r="C20" s="86" t="s">
        <v>66</v>
      </c>
      <c r="D20" s="86"/>
      <c r="E20" s="87"/>
    </row>
    <row r="21" spans="2:5" ht="87.75" customHeight="1" x14ac:dyDescent="0.2">
      <c r="B21" s="45"/>
      <c r="C21" s="86"/>
      <c r="D21" s="86"/>
      <c r="E21" s="87"/>
    </row>
    <row r="22" spans="2:5" x14ac:dyDescent="0.2">
      <c r="B22" s="41" t="s">
        <v>59</v>
      </c>
      <c r="E22" s="40"/>
    </row>
    <row r="23" spans="2:5" x14ac:dyDescent="0.2">
      <c r="B23" s="45"/>
      <c r="C23" s="84"/>
      <c r="D23" s="84"/>
      <c r="E23" s="85"/>
    </row>
    <row r="24" spans="2:5" x14ac:dyDescent="0.2">
      <c r="B24" s="41" t="s">
        <v>70</v>
      </c>
      <c r="C24" s="46"/>
      <c r="D24" s="46"/>
      <c r="E24" s="47"/>
    </row>
    <row r="25" spans="2:5" x14ac:dyDescent="0.2">
      <c r="B25" s="45"/>
      <c r="C25" s="84"/>
      <c r="D25" s="84"/>
      <c r="E25" s="85"/>
    </row>
    <row r="26" spans="2:5" x14ac:dyDescent="0.2">
      <c r="B26" s="41" t="s">
        <v>16</v>
      </c>
      <c r="C26" s="35" t="s">
        <v>61</v>
      </c>
      <c r="E26" s="40"/>
    </row>
    <row r="27" spans="2:5" x14ac:dyDescent="0.2">
      <c r="B27" s="41"/>
      <c r="C27" s="84"/>
      <c r="D27" s="84"/>
      <c r="E27" s="85"/>
    </row>
    <row r="28" spans="2:5" ht="13.5" thickBot="1" x14ac:dyDescent="0.25">
      <c r="B28" s="48"/>
      <c r="C28" s="49"/>
      <c r="D28" s="49"/>
      <c r="E28" s="50"/>
    </row>
    <row r="30" spans="2:5" ht="13.5" thickBot="1" x14ac:dyDescent="0.25"/>
    <row r="31" spans="2:5" x14ac:dyDescent="0.2">
      <c r="B31" s="36" t="s">
        <v>67</v>
      </c>
      <c r="C31" s="37"/>
      <c r="D31" s="37"/>
      <c r="E31" s="38"/>
    </row>
    <row r="32" spans="2:5" x14ac:dyDescent="0.2">
      <c r="B32" s="39"/>
      <c r="E32" s="40"/>
    </row>
    <row r="33" spans="2:5" x14ac:dyDescent="0.2">
      <c r="B33" s="41" t="s">
        <v>14</v>
      </c>
      <c r="E33" s="40"/>
    </row>
    <row r="34" spans="2:5" ht="56.25" customHeight="1" x14ac:dyDescent="0.2">
      <c r="B34" s="41"/>
      <c r="C34" s="82" t="s">
        <v>83</v>
      </c>
      <c r="D34" s="82"/>
      <c r="E34" s="83"/>
    </row>
    <row r="35" spans="2:5" x14ac:dyDescent="0.2">
      <c r="B35" s="41"/>
      <c r="C35" s="44"/>
      <c r="D35" s="51"/>
      <c r="E35" s="52"/>
    </row>
    <row r="36" spans="2:5" x14ac:dyDescent="0.2">
      <c r="B36" s="41" t="s">
        <v>15</v>
      </c>
      <c r="E36" s="40"/>
    </row>
    <row r="37" spans="2:5" ht="20.25" customHeight="1" x14ac:dyDescent="0.2">
      <c r="B37" s="45"/>
      <c r="C37" s="86" t="s">
        <v>66</v>
      </c>
      <c r="D37" s="86"/>
      <c r="E37" s="87"/>
    </row>
    <row r="38" spans="2:5" ht="54.75" customHeight="1" x14ac:dyDescent="0.2">
      <c r="B38" s="45"/>
      <c r="C38" s="86"/>
      <c r="D38" s="86"/>
      <c r="E38" s="87"/>
    </row>
    <row r="39" spans="2:5" x14ac:dyDescent="0.2">
      <c r="B39" s="41" t="s">
        <v>59</v>
      </c>
      <c r="E39" s="40"/>
    </row>
    <row r="40" spans="2:5" x14ac:dyDescent="0.2">
      <c r="B40" s="45"/>
      <c r="C40" s="84"/>
      <c r="D40" s="84"/>
      <c r="E40" s="85"/>
    </row>
    <row r="41" spans="2:5" x14ac:dyDescent="0.2">
      <c r="B41" s="41" t="s">
        <v>60</v>
      </c>
      <c r="C41" s="46"/>
      <c r="D41" s="46"/>
      <c r="E41" s="47"/>
    </row>
    <row r="42" spans="2:5" x14ac:dyDescent="0.2">
      <c r="B42" s="45"/>
      <c r="C42" s="84"/>
      <c r="D42" s="84"/>
      <c r="E42" s="85"/>
    </row>
    <row r="43" spans="2:5" x14ac:dyDescent="0.2">
      <c r="B43" s="41" t="s">
        <v>16</v>
      </c>
      <c r="C43" s="35" t="s">
        <v>61</v>
      </c>
      <c r="E43" s="40"/>
    </row>
    <row r="44" spans="2:5" x14ac:dyDescent="0.2">
      <c r="B44" s="41"/>
      <c r="C44" s="84"/>
      <c r="D44" s="84"/>
      <c r="E44" s="85"/>
    </row>
    <row r="45" spans="2:5" ht="13.5" thickBot="1" x14ac:dyDescent="0.25">
      <c r="B45" s="48"/>
      <c r="C45" s="49"/>
      <c r="D45" s="49"/>
      <c r="E45" s="50"/>
    </row>
    <row r="47" spans="2:5" ht="13.5" thickBot="1" x14ac:dyDescent="0.25"/>
    <row r="48" spans="2:5" x14ac:dyDescent="0.2">
      <c r="B48" s="36" t="s">
        <v>68</v>
      </c>
      <c r="C48" s="37"/>
      <c r="D48" s="37"/>
      <c r="E48" s="38"/>
    </row>
    <row r="49" spans="2:5" x14ac:dyDescent="0.2">
      <c r="B49" s="39"/>
      <c r="E49" s="40"/>
    </row>
    <row r="50" spans="2:5" x14ac:dyDescent="0.2">
      <c r="B50" s="41" t="s">
        <v>14</v>
      </c>
      <c r="E50" s="40"/>
    </row>
    <row r="51" spans="2:5" ht="34.5" customHeight="1" x14ac:dyDescent="0.2">
      <c r="B51" s="41"/>
      <c r="C51" s="88" t="s">
        <v>86</v>
      </c>
      <c r="D51" s="88"/>
      <c r="E51" s="89"/>
    </row>
    <row r="52" spans="2:5" x14ac:dyDescent="0.2">
      <c r="B52" s="41"/>
      <c r="C52" s="44"/>
      <c r="D52" s="51"/>
      <c r="E52" s="52"/>
    </row>
    <row r="53" spans="2:5" x14ac:dyDescent="0.2">
      <c r="B53" s="41" t="s">
        <v>15</v>
      </c>
      <c r="E53" s="40"/>
    </row>
    <row r="54" spans="2:5" ht="12.75" customHeight="1" x14ac:dyDescent="0.2">
      <c r="B54" s="45"/>
      <c r="C54" s="86" t="s">
        <v>66</v>
      </c>
      <c r="D54" s="86"/>
      <c r="E54" s="87"/>
    </row>
    <row r="55" spans="2:5" ht="73.5" customHeight="1" x14ac:dyDescent="0.2">
      <c r="B55" s="45"/>
      <c r="C55" s="86"/>
      <c r="D55" s="86"/>
      <c r="E55" s="87"/>
    </row>
    <row r="56" spans="2:5" x14ac:dyDescent="0.2">
      <c r="B56" s="41" t="s">
        <v>59</v>
      </c>
      <c r="E56" s="40"/>
    </row>
    <row r="57" spans="2:5" x14ac:dyDescent="0.2">
      <c r="B57" s="45"/>
      <c r="C57" s="84"/>
      <c r="D57" s="84"/>
      <c r="E57" s="85"/>
    </row>
    <row r="58" spans="2:5" x14ac:dyDescent="0.2">
      <c r="B58" s="41" t="s">
        <v>71</v>
      </c>
      <c r="C58" s="46"/>
      <c r="D58" s="46"/>
      <c r="E58" s="47"/>
    </row>
    <row r="59" spans="2:5" x14ac:dyDescent="0.2">
      <c r="B59" s="45"/>
      <c r="C59" s="84"/>
      <c r="D59" s="84"/>
      <c r="E59" s="85"/>
    </row>
    <row r="60" spans="2:5" x14ac:dyDescent="0.2">
      <c r="B60" s="41" t="s">
        <v>16</v>
      </c>
      <c r="C60" s="35" t="s">
        <v>61</v>
      </c>
      <c r="E60" s="40"/>
    </row>
    <row r="61" spans="2:5" x14ac:dyDescent="0.2">
      <c r="B61" s="41"/>
      <c r="C61" s="84"/>
      <c r="D61" s="84"/>
      <c r="E61" s="85"/>
    </row>
    <row r="62" spans="2:5" ht="13.5" thickBot="1" x14ac:dyDescent="0.25">
      <c r="B62" s="48"/>
      <c r="C62" s="49"/>
      <c r="D62" s="49"/>
      <c r="E62" s="50"/>
    </row>
    <row r="64" spans="2:5" ht="13.5" thickBot="1" x14ac:dyDescent="0.25"/>
    <row r="65" spans="2:5" x14ac:dyDescent="0.2">
      <c r="B65" s="36" t="s">
        <v>69</v>
      </c>
      <c r="C65" s="37"/>
      <c r="D65" s="37"/>
      <c r="E65" s="38"/>
    </row>
    <row r="66" spans="2:5" x14ac:dyDescent="0.2">
      <c r="B66" s="39"/>
      <c r="E66" s="40"/>
    </row>
    <row r="67" spans="2:5" x14ac:dyDescent="0.2">
      <c r="B67" s="41" t="s">
        <v>14</v>
      </c>
      <c r="E67" s="40"/>
    </row>
    <row r="68" spans="2:5" ht="36" customHeight="1" x14ac:dyDescent="0.2">
      <c r="B68" s="41"/>
      <c r="C68" s="82" t="s">
        <v>84</v>
      </c>
      <c r="D68" s="82"/>
      <c r="E68" s="83"/>
    </row>
    <row r="69" spans="2:5" x14ac:dyDescent="0.2">
      <c r="B69" s="41"/>
      <c r="C69" s="44"/>
      <c r="D69" s="51"/>
      <c r="E69" s="52"/>
    </row>
    <row r="70" spans="2:5" x14ac:dyDescent="0.2">
      <c r="B70" s="41" t="s">
        <v>15</v>
      </c>
      <c r="E70" s="40"/>
    </row>
    <row r="71" spans="2:5" ht="12.75" customHeight="1" x14ac:dyDescent="0.2">
      <c r="B71" s="45"/>
      <c r="C71" s="86" t="s">
        <v>66</v>
      </c>
      <c r="D71" s="86"/>
      <c r="E71" s="87"/>
    </row>
    <row r="72" spans="2:5" ht="65.25" customHeight="1" x14ac:dyDescent="0.2">
      <c r="B72" s="45"/>
      <c r="C72" s="86"/>
      <c r="D72" s="86"/>
      <c r="E72" s="87"/>
    </row>
    <row r="73" spans="2:5" x14ac:dyDescent="0.2">
      <c r="B73" s="41" t="s">
        <v>59</v>
      </c>
      <c r="E73" s="40"/>
    </row>
    <row r="74" spans="2:5" x14ac:dyDescent="0.2">
      <c r="B74" s="45"/>
      <c r="C74" s="84"/>
      <c r="D74" s="84"/>
      <c r="E74" s="85"/>
    </row>
    <row r="75" spans="2:5" x14ac:dyDescent="0.2">
      <c r="B75" s="41" t="s">
        <v>70</v>
      </c>
      <c r="C75" s="46"/>
      <c r="D75" s="46"/>
      <c r="E75" s="47"/>
    </row>
    <row r="76" spans="2:5" x14ac:dyDescent="0.2">
      <c r="B76" s="45"/>
      <c r="C76" s="84"/>
      <c r="D76" s="84"/>
      <c r="E76" s="85"/>
    </row>
    <row r="77" spans="2:5" x14ac:dyDescent="0.2">
      <c r="B77" s="41" t="s">
        <v>16</v>
      </c>
      <c r="C77" s="35" t="s">
        <v>61</v>
      </c>
      <c r="E77" s="40"/>
    </row>
    <row r="78" spans="2:5" x14ac:dyDescent="0.2">
      <c r="B78" s="41"/>
      <c r="C78" s="84"/>
      <c r="D78" s="84"/>
      <c r="E78" s="85"/>
    </row>
    <row r="79" spans="2:5" ht="13.5" thickBot="1" x14ac:dyDescent="0.25">
      <c r="B79" s="48"/>
      <c r="C79" s="49"/>
      <c r="D79" s="49"/>
      <c r="E79" s="50"/>
    </row>
    <row r="85" ht="46.5" customHeight="1" x14ac:dyDescent="0.2"/>
    <row r="88" ht="12.75" customHeight="1" x14ac:dyDescent="0.2"/>
    <row r="89" ht="66" customHeight="1" x14ac:dyDescent="0.2"/>
    <row r="102" ht="4.5" customHeight="1" x14ac:dyDescent="0.2"/>
    <row r="104" ht="12.75" customHeight="1" x14ac:dyDescent="0.2"/>
    <row r="105" ht="6.75" customHeight="1" x14ac:dyDescent="0.2"/>
    <row r="106" ht="69.75" hidden="1" customHeight="1" x14ac:dyDescent="0.2"/>
    <row r="107" ht="9" customHeight="1" x14ac:dyDescent="0.2"/>
    <row r="108" ht="72" customHeight="1" x14ac:dyDescent="0.2"/>
    <row r="119" ht="9.75" customHeight="1" x14ac:dyDescent="0.2"/>
    <row r="121" ht="42" customHeight="1" x14ac:dyDescent="0.2"/>
    <row r="122" ht="6.75" customHeight="1" x14ac:dyDescent="0.2"/>
    <row r="123" ht="16.5" customHeight="1" x14ac:dyDescent="0.2"/>
    <row r="124" ht="12.75" customHeight="1" x14ac:dyDescent="0.2"/>
    <row r="125" ht="63" customHeight="1" x14ac:dyDescent="0.2"/>
    <row r="136" ht="54" customHeight="1" x14ac:dyDescent="0.2"/>
    <row r="138" ht="12.75" customHeight="1" x14ac:dyDescent="0.2"/>
    <row r="139" ht="12.75" customHeight="1" x14ac:dyDescent="0.2"/>
    <row r="140" ht="58.5" customHeight="1" x14ac:dyDescent="0.2"/>
    <row r="141" ht="12.75" customHeight="1" x14ac:dyDescent="0.2"/>
    <row r="153" ht="46.5" customHeight="1" x14ac:dyDescent="0.2"/>
    <row r="155" ht="12.75" customHeight="1" x14ac:dyDescent="0.2"/>
    <row r="156" ht="12.75" customHeight="1" x14ac:dyDescent="0.2"/>
    <row r="157" ht="60.75" customHeight="1" x14ac:dyDescent="0.2"/>
    <row r="158" ht="12.75" customHeight="1" x14ac:dyDescent="0.2"/>
    <row r="170" ht="63.75" customHeight="1" x14ac:dyDescent="0.2"/>
    <row r="173" ht="12.75" customHeight="1" x14ac:dyDescent="0.2"/>
    <row r="174" ht="56.25" customHeight="1" x14ac:dyDescent="0.2"/>
    <row r="176" ht="12.75" customHeight="1" x14ac:dyDescent="0.2"/>
    <row r="187" ht="72.75" customHeight="1" x14ac:dyDescent="0.2"/>
    <row r="190" ht="12.75" customHeight="1" x14ac:dyDescent="0.2"/>
    <row r="191" ht="60.75" customHeight="1" x14ac:dyDescent="0.2"/>
    <row r="193" ht="12.75" customHeight="1" x14ac:dyDescent="0.2"/>
    <row r="205" ht="44.25" customHeight="1" x14ac:dyDescent="0.2"/>
    <row r="208" ht="12.75" customHeight="1" x14ac:dyDescent="0.2"/>
    <row r="209" ht="66.75" customHeight="1" x14ac:dyDescent="0.2"/>
    <row r="211" ht="12.75" customHeight="1" x14ac:dyDescent="0.2"/>
    <row r="222" ht="71.25" customHeight="1" x14ac:dyDescent="0.2"/>
    <row r="225" ht="12.75" customHeight="1" x14ac:dyDescent="0.2"/>
    <row r="226" ht="69" customHeight="1" x14ac:dyDescent="0.2"/>
    <row r="228" ht="12.75" customHeight="1" x14ac:dyDescent="0.2"/>
    <row r="240" ht="46.5" customHeight="1" x14ac:dyDescent="0.2"/>
    <row r="242" ht="12.75" customHeight="1" x14ac:dyDescent="0.2"/>
    <row r="243" ht="12.75" customHeight="1" x14ac:dyDescent="0.2"/>
    <row r="244" ht="67.5" customHeight="1" x14ac:dyDescent="0.2"/>
    <row r="245" ht="12.75" customHeight="1" x14ac:dyDescent="0.2"/>
    <row r="257" ht="90.75" customHeight="1" x14ac:dyDescent="0.2"/>
    <row r="259" ht="12.75" customHeight="1" x14ac:dyDescent="0.2"/>
    <row r="260" ht="12.75" customHeight="1" x14ac:dyDescent="0.2"/>
    <row r="261" ht="70.5" customHeight="1" x14ac:dyDescent="0.2"/>
    <row r="262" ht="12.75" customHeight="1" x14ac:dyDescent="0.2"/>
    <row r="274" ht="108" customHeight="1" x14ac:dyDescent="0.2"/>
    <row r="276" ht="12.75" customHeight="1" x14ac:dyDescent="0.2"/>
    <row r="277" ht="12.75" customHeight="1" x14ac:dyDescent="0.2"/>
    <row r="278" ht="63" customHeight="1" x14ac:dyDescent="0.2"/>
    <row r="279" ht="12.75" customHeight="1" x14ac:dyDescent="0.2"/>
    <row r="291" ht="70.5" customHeight="1" x14ac:dyDescent="0.2"/>
    <row r="294" ht="12.75" customHeight="1" x14ac:dyDescent="0.2"/>
    <row r="295" ht="68.25" customHeight="1" x14ac:dyDescent="0.2"/>
    <row r="308" ht="57.75" customHeight="1" x14ac:dyDescent="0.2"/>
    <row r="311" ht="12.75" customHeight="1" x14ac:dyDescent="0.2"/>
    <row r="312" ht="55.5" customHeight="1" x14ac:dyDescent="0.2"/>
  </sheetData>
  <mergeCells count="26">
    <mergeCell ref="C74:E74"/>
    <mergeCell ref="C76:E76"/>
    <mergeCell ref="C78:E78"/>
    <mergeCell ref="C34:E34"/>
    <mergeCell ref="C51:E51"/>
    <mergeCell ref="C68:E68"/>
    <mergeCell ref="C61:E61"/>
    <mergeCell ref="C71:E72"/>
    <mergeCell ref="C54:E55"/>
    <mergeCell ref="C57:E57"/>
    <mergeCell ref="C59:E59"/>
    <mergeCell ref="C37:E38"/>
    <mergeCell ref="C40:E40"/>
    <mergeCell ref="C42:E42"/>
    <mergeCell ref="C44:E44"/>
    <mergeCell ref="C27:E27"/>
    <mergeCell ref="A3:B3"/>
    <mergeCell ref="A4:B4"/>
    <mergeCell ref="C20:E21"/>
    <mergeCell ref="C23:E23"/>
    <mergeCell ref="C25:E25"/>
    <mergeCell ref="A1:B1"/>
    <mergeCell ref="C1:E1"/>
    <mergeCell ref="C17:E17"/>
    <mergeCell ref="A2:B2"/>
    <mergeCell ref="C2:E2"/>
  </mergeCells>
  <pageMargins left="0.7" right="0.7" top="0.75" bottom="0.75" header="0.3" footer="0.3"/>
  <pageSetup paperSize="190" scale="81" orientation="landscape" verticalDpi="0" r:id="rId1"/>
  <rowBreaks count="2" manualBreakCount="2">
    <brk id="12" max="9" man="1"/>
    <brk id="45"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22"/>
  <sheetViews>
    <sheetView topLeftCell="A6" zoomScaleNormal="100" workbookViewId="0">
      <selection activeCell="G21" sqref="G21"/>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7.5703125" style="2" customWidth="1"/>
    <col min="13" max="14" width="5.85546875" style="2" customWidth="1"/>
    <col min="15" max="15" width="12.5703125" style="2" customWidth="1"/>
    <col min="16" max="1024" width="9.140625" style="2"/>
  </cols>
  <sheetData>
    <row r="1" spans="1:12" ht="18" customHeight="1" x14ac:dyDescent="0.2">
      <c r="A1" s="90" t="s">
        <v>17</v>
      </c>
      <c r="B1" s="90"/>
      <c r="C1" s="90"/>
      <c r="D1" s="90"/>
      <c r="E1" s="90"/>
      <c r="F1" s="90"/>
      <c r="G1" s="90"/>
      <c r="H1" s="90"/>
      <c r="I1" s="90"/>
      <c r="J1" s="3" t="s">
        <v>18</v>
      </c>
      <c r="K1" s="53" t="s">
        <v>85</v>
      </c>
    </row>
    <row r="2" spans="1:12" ht="18.75" customHeight="1" thickBot="1" x14ac:dyDescent="0.25">
      <c r="A2" s="4"/>
      <c r="B2" s="4"/>
      <c r="C2" s="4"/>
      <c r="D2" s="5"/>
      <c r="E2" s="5"/>
      <c r="F2" s="5"/>
      <c r="G2" s="5"/>
      <c r="H2" s="5"/>
      <c r="I2" s="5"/>
      <c r="J2" s="5"/>
      <c r="K2" s="5"/>
    </row>
    <row r="3" spans="1:12" ht="18.75" customHeight="1" thickBot="1" x14ac:dyDescent="0.25">
      <c r="A3" s="91" t="s">
        <v>52</v>
      </c>
      <c r="B3" s="91"/>
      <c r="C3" s="91"/>
      <c r="D3" s="94" t="s">
        <v>55</v>
      </c>
      <c r="E3" s="94"/>
      <c r="F3" s="94"/>
      <c r="G3" s="94"/>
      <c r="H3" s="94"/>
      <c r="I3" s="94"/>
      <c r="J3" s="94"/>
      <c r="K3" s="94"/>
    </row>
    <row r="4" spans="1:12" ht="18.75" customHeight="1" thickBot="1" x14ac:dyDescent="0.25">
      <c r="A4" s="93" t="s">
        <v>53</v>
      </c>
      <c r="B4" s="93"/>
      <c r="C4" s="93"/>
      <c r="D4" s="94" t="s">
        <v>56</v>
      </c>
      <c r="E4" s="94"/>
      <c r="F4" s="94"/>
      <c r="G4" s="94"/>
      <c r="H4" s="94"/>
      <c r="I4" s="94"/>
      <c r="J4" s="94"/>
      <c r="K4" s="94"/>
    </row>
    <row r="5" spans="1:12" ht="18.75" customHeight="1" thickBot="1" x14ac:dyDescent="0.25">
      <c r="A5" s="93" t="s">
        <v>31</v>
      </c>
      <c r="B5" s="93"/>
      <c r="C5" s="93"/>
      <c r="D5" s="92" t="s">
        <v>64</v>
      </c>
      <c r="E5" s="92"/>
      <c r="F5" s="92"/>
      <c r="G5" s="92"/>
      <c r="H5" s="92"/>
      <c r="I5" s="92"/>
      <c r="J5" s="92"/>
      <c r="K5" s="92"/>
    </row>
    <row r="6" spans="1:12" ht="16.5" customHeight="1" thickBot="1" x14ac:dyDescent="0.25">
      <c r="A6" s="91" t="s">
        <v>54</v>
      </c>
      <c r="B6" s="91"/>
      <c r="C6" s="91"/>
      <c r="D6" s="92" t="s">
        <v>57</v>
      </c>
      <c r="E6" s="92"/>
      <c r="F6" s="92"/>
      <c r="G6" s="92"/>
      <c r="H6" s="92"/>
      <c r="I6" s="92"/>
      <c r="J6" s="92"/>
      <c r="K6" s="92"/>
    </row>
    <row r="7" spans="1:12" ht="16.5" customHeight="1" x14ac:dyDescent="0.2">
      <c r="A7" s="93" t="s">
        <v>19</v>
      </c>
      <c r="B7" s="93"/>
      <c r="C7" s="93"/>
      <c r="D7" s="94" t="s">
        <v>76</v>
      </c>
      <c r="E7" s="94"/>
      <c r="F7" s="94"/>
      <c r="G7" s="94"/>
      <c r="H7" s="94"/>
      <c r="I7" s="94"/>
      <c r="J7" s="94"/>
      <c r="K7" s="94"/>
    </row>
    <row r="8" spans="1:12" ht="42.75" customHeight="1" x14ac:dyDescent="0.2">
      <c r="A8" s="101" t="s">
        <v>20</v>
      </c>
      <c r="B8" s="101"/>
      <c r="C8" s="101"/>
      <c r="D8" s="97" t="s">
        <v>82</v>
      </c>
      <c r="E8" s="97"/>
      <c r="F8" s="97"/>
      <c r="G8" s="97"/>
      <c r="H8" s="97"/>
      <c r="I8" s="97"/>
      <c r="J8" s="97"/>
      <c r="K8" s="97"/>
    </row>
    <row r="9" spans="1:12" ht="15.75" x14ac:dyDescent="0.2">
      <c r="A9" s="6"/>
      <c r="B9" s="6"/>
      <c r="C9" s="6"/>
      <c r="D9" s="7"/>
      <c r="E9" s="7"/>
      <c r="F9" s="7"/>
      <c r="G9" s="7"/>
      <c r="H9" s="7"/>
      <c r="I9" s="7"/>
      <c r="J9" s="7"/>
      <c r="K9" s="7"/>
    </row>
    <row r="10" spans="1:12" ht="18.75" customHeight="1" x14ac:dyDescent="0.2">
      <c r="A10" s="98" t="s">
        <v>21</v>
      </c>
      <c r="B10" s="99" t="s">
        <v>22</v>
      </c>
      <c r="C10" s="99" t="s">
        <v>23</v>
      </c>
      <c r="D10" s="99"/>
      <c r="E10" s="99"/>
      <c r="F10" s="99"/>
      <c r="G10" s="99"/>
      <c r="H10" s="99" t="s">
        <v>24</v>
      </c>
      <c r="I10" s="99" t="s">
        <v>25</v>
      </c>
      <c r="J10" s="99" t="s">
        <v>26</v>
      </c>
      <c r="K10" s="100" t="s">
        <v>27</v>
      </c>
    </row>
    <row r="11" spans="1:12" ht="24" customHeight="1" thickBot="1" x14ac:dyDescent="0.25">
      <c r="A11" s="98"/>
      <c r="B11" s="99"/>
      <c r="C11" s="99"/>
      <c r="D11" s="99"/>
      <c r="E11" s="99"/>
      <c r="F11" s="99"/>
      <c r="G11" s="99"/>
      <c r="H11" s="99"/>
      <c r="I11" s="99"/>
      <c r="J11" s="99"/>
      <c r="K11" s="100"/>
    </row>
    <row r="12" spans="1:12" ht="35.25" customHeight="1" thickBot="1" x14ac:dyDescent="0.25">
      <c r="A12" s="67">
        <v>1</v>
      </c>
      <c r="B12" s="66" t="str">
        <f>'Necesidades Trimestrales'!B7</f>
        <v>4.3.7-40.1145</v>
      </c>
      <c r="C12" s="102" t="str">
        <f>'Necesidades Trimestrales'!E7</f>
        <v>ESCRITORIOS; MATERIAL ESTRUCTURA: AGLOMERADO, TERMINACION: MELAMINA, DIM. DEL PLANO DE APOYO: 120 X 70 Cm, CANTIDAD DE CAJONES: SIN</v>
      </c>
      <c r="D12" s="102"/>
      <c r="E12" s="102"/>
      <c r="F12" s="102"/>
      <c r="G12" s="102"/>
      <c r="H12" s="68" t="s">
        <v>28</v>
      </c>
      <c r="I12" s="66" t="str">
        <f>'Necesidades Trimestrales'!F7</f>
        <v>UNIDAD</v>
      </c>
      <c r="J12" s="72">
        <f>'Necesidades Trimestrales'!H7</f>
        <v>26490</v>
      </c>
      <c r="K12" s="69">
        <f>'Necesidades Trimestrales'!G7</f>
        <v>7</v>
      </c>
    </row>
    <row r="13" spans="1:12" ht="30.75" customHeight="1" thickBot="1" x14ac:dyDescent="0.25">
      <c r="A13" s="67">
        <v>2</v>
      </c>
      <c r="B13" s="66" t="str">
        <f>'Necesidades Trimestrales'!B8</f>
        <v>4.3.7-1606.211</v>
      </c>
      <c r="C13" s="102" t="str">
        <f>'Necesidades Trimestrales'!E8</f>
        <v>SILLONES/SOFAS; TAPIZADO: SIN, CANTIDAD DE CUERPOS: 1, MATERIAL ESTRUCTURA: METAL</v>
      </c>
      <c r="D13" s="102"/>
      <c r="E13" s="102"/>
      <c r="F13" s="102"/>
      <c r="G13" s="102"/>
      <c r="H13" s="68" t="s">
        <v>28</v>
      </c>
      <c r="I13" s="66" t="str">
        <f>'Necesidades Trimestrales'!F8</f>
        <v>UNIDAD</v>
      </c>
      <c r="J13" s="72">
        <f>'Necesidades Trimestrales'!H8</f>
        <v>27990</v>
      </c>
      <c r="K13" s="69">
        <f>'Necesidades Trimestrales'!G8</f>
        <v>4</v>
      </c>
    </row>
    <row r="14" spans="1:12" ht="51" customHeight="1" thickBot="1" x14ac:dyDescent="0.25">
      <c r="A14" s="67">
        <v>3</v>
      </c>
      <c r="B14" s="66" t="str">
        <f>'Necesidades Trimestrales'!B9</f>
        <v>4.3.7-45.379</v>
      </c>
      <c r="C14" s="102" t="str">
        <f>'Necesidades Trimestrales'!E9</f>
        <v>SILLAS; MATERIAL ESTRUCTURA: PLASTICO, TAPIZADO: VINILICO, PATAS: C/RODAMIENTO, CANTIDAD PATAS: 5, ALTURA: REGULABLE, GIRATORIA: SI, APOYABRAZO: SIN, RESPALDO: FIJO, ASIENTO: FIJO</v>
      </c>
      <c r="D14" s="102"/>
      <c r="E14" s="102"/>
      <c r="F14" s="102"/>
      <c r="G14" s="102"/>
      <c r="H14" s="68" t="s">
        <v>28</v>
      </c>
      <c r="I14" s="66" t="str">
        <f>'Necesidades Trimestrales'!F9</f>
        <v>UNIDAD</v>
      </c>
      <c r="J14" s="72">
        <f>'Necesidades Trimestrales'!H9</f>
        <v>11990</v>
      </c>
      <c r="K14" s="69">
        <f>'Necesidades Trimestrales'!G9</f>
        <v>17</v>
      </c>
    </row>
    <row r="15" spans="1:12" ht="68.25" customHeight="1" thickBot="1" x14ac:dyDescent="0.25">
      <c r="A15" s="67">
        <v>4</v>
      </c>
      <c r="B15" s="66" t="str">
        <f>'Necesidades Trimestrales'!B10</f>
        <v>4.3.7-45.172</v>
      </c>
      <c r="C15" s="102" t="str">
        <f>'Necesidades Trimestrales'!E10</f>
        <v>SILLAS; MATERIAL ESTRUCTURA: POLIPROPILENO, PATAS: TIPO TRINEO, Nº PATAS: 2, ALTURA: FIJA, GIRATORIA: NO, APOYA BRAZO: SIN, RESPALDO: BAJO, ASIENTO: POLIPROPILENO, TAPIZADO: SIN, CANTIDAD PATAS: 2, APOYABRAZO: SIN</v>
      </c>
      <c r="D15" s="102"/>
      <c r="E15" s="102"/>
      <c r="F15" s="102"/>
      <c r="G15" s="102"/>
      <c r="H15" s="68" t="s">
        <v>28</v>
      </c>
      <c r="I15" s="66" t="str">
        <f>'Necesidades Trimestrales'!F10</f>
        <v>UNIDAD</v>
      </c>
      <c r="J15" s="72">
        <f>'Necesidades Trimestrales'!H10</f>
        <v>11990</v>
      </c>
      <c r="K15" s="69">
        <f>'Necesidades Trimestrales'!G10</f>
        <v>70</v>
      </c>
    </row>
    <row r="16" spans="1:12" ht="31.5" customHeight="1" thickBot="1" x14ac:dyDescent="0.25">
      <c r="A16" s="95" t="s">
        <v>77</v>
      </c>
      <c r="B16" s="95"/>
      <c r="C16" s="95"/>
      <c r="D16" s="95"/>
      <c r="E16" s="95"/>
      <c r="F16" s="95"/>
      <c r="G16" s="95"/>
      <c r="H16" s="95"/>
      <c r="I16" s="95"/>
      <c r="J16" s="96">
        <f>SUMPRODUCT(J12:J15,K12:K15)</f>
        <v>1340520</v>
      </c>
      <c r="K16" s="96"/>
      <c r="L16" s="34"/>
    </row>
    <row r="20" spans="10:12" x14ac:dyDescent="0.2">
      <c r="L20" s="54"/>
    </row>
    <row r="22" spans="10:12" x14ac:dyDescent="0.2">
      <c r="J22" s="54"/>
    </row>
  </sheetData>
  <mergeCells count="26">
    <mergeCell ref="A16:I16"/>
    <mergeCell ref="J16:K16"/>
    <mergeCell ref="D8:K8"/>
    <mergeCell ref="A10:A11"/>
    <mergeCell ref="B10:B11"/>
    <mergeCell ref="C10:G11"/>
    <mergeCell ref="H10:H11"/>
    <mergeCell ref="I10:I11"/>
    <mergeCell ref="J10:J11"/>
    <mergeCell ref="K10:K11"/>
    <mergeCell ref="A8:C8"/>
    <mergeCell ref="C12:G12"/>
    <mergeCell ref="C13:G13"/>
    <mergeCell ref="C14:G14"/>
    <mergeCell ref="C15:G15"/>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firstPageNumber="0" fitToHeight="0"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5"/>
  <sheetViews>
    <sheetView zoomScale="110" zoomScaleNormal="110" workbookViewId="0">
      <selection activeCell="A21" sqref="A21:Q22"/>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1" width="4.42578125" customWidth="1"/>
    <col min="12" max="12" width="5.42578125" customWidth="1"/>
    <col min="13" max="14" width="4.42578125" customWidth="1"/>
    <col min="15" max="15" width="14.85546875" customWidth="1"/>
    <col min="16" max="16" width="14" customWidth="1"/>
    <col min="17" max="17" width="14.7109375" customWidth="1"/>
  </cols>
  <sheetData>
    <row r="1" spans="1:17" ht="15.75" customHeight="1" x14ac:dyDescent="0.25">
      <c r="A1" s="103" t="s">
        <v>2</v>
      </c>
      <c r="B1" s="103"/>
      <c r="C1" s="103"/>
      <c r="D1" s="104">
        <f>'Necesidades Trimestrales'!C3</f>
        <v>2021</v>
      </c>
      <c r="E1" s="104"/>
      <c r="F1" s="9"/>
      <c r="G1" s="9"/>
      <c r="H1" s="10"/>
      <c r="I1" s="10"/>
      <c r="J1" s="10"/>
      <c r="K1" s="10"/>
      <c r="L1" s="10"/>
      <c r="M1" s="10"/>
      <c r="N1" s="10"/>
      <c r="P1" s="105" t="s">
        <v>29</v>
      </c>
      <c r="Q1" s="105"/>
    </row>
    <row r="2" spans="1:17" ht="15.75" customHeight="1" x14ac:dyDescent="0.2">
      <c r="H2" s="10"/>
      <c r="I2" s="10"/>
      <c r="J2" s="10"/>
      <c r="K2" s="10"/>
      <c r="L2" s="10"/>
      <c r="M2" s="10"/>
      <c r="N2" s="10"/>
      <c r="P2" s="105"/>
      <c r="Q2" s="105"/>
    </row>
    <row r="4" spans="1:17" s="11" customFormat="1" ht="18" customHeight="1" thickBot="1" x14ac:dyDescent="0.25">
      <c r="A4" s="106" t="s">
        <v>30</v>
      </c>
      <c r="B4" s="106"/>
      <c r="C4" s="106"/>
      <c r="D4" s="106"/>
      <c r="E4" s="106"/>
      <c r="F4" s="106"/>
      <c r="G4" s="107" t="str">
        <f>' NotaPedido'!D3</f>
        <v>70 - MINISTERIO DE CIENCIA E INNOVACION TECNOLOGICA</v>
      </c>
      <c r="H4" s="107"/>
      <c r="I4" s="107"/>
      <c r="J4" s="107"/>
      <c r="K4" s="107"/>
      <c r="L4" s="107"/>
      <c r="M4" s="107"/>
      <c r="N4" s="107"/>
      <c r="O4" s="107"/>
      <c r="P4" s="107"/>
      <c r="Q4" s="107"/>
    </row>
    <row r="5" spans="1:17" s="11" customFormat="1" ht="18" customHeight="1" thickBot="1" x14ac:dyDescent="0.25">
      <c r="A5" s="109" t="s">
        <v>53</v>
      </c>
      <c r="B5" s="110"/>
      <c r="C5" s="110"/>
      <c r="D5" s="110"/>
      <c r="E5" s="110"/>
      <c r="F5" s="111"/>
      <c r="G5" s="107" t="str">
        <f>' NotaPedido'!D4</f>
        <v>20 - MINISTERIO DE CIENCIA E INNOVACION TECNOLOGICA</v>
      </c>
      <c r="H5" s="107"/>
      <c r="I5" s="107"/>
      <c r="J5" s="107"/>
      <c r="K5" s="107"/>
      <c r="L5" s="107"/>
      <c r="M5" s="107"/>
      <c r="N5" s="107"/>
      <c r="O5" s="107"/>
      <c r="P5" s="107"/>
      <c r="Q5" s="107"/>
    </row>
    <row r="6" spans="1:17" s="11" customFormat="1" ht="18" customHeight="1" thickBot="1" x14ac:dyDescent="0.25">
      <c r="A6" s="109" t="s">
        <v>31</v>
      </c>
      <c r="B6" s="110"/>
      <c r="C6" s="110"/>
      <c r="D6" s="110"/>
      <c r="E6" s="110"/>
      <c r="F6" s="111"/>
      <c r="G6" s="113" t="str">
        <f>' NotaPedido'!D5</f>
        <v>SECRETARIA DE INNOVACION TECNOLOGICA</v>
      </c>
      <c r="H6" s="113"/>
      <c r="I6" s="113"/>
      <c r="J6" s="113"/>
      <c r="K6" s="113"/>
      <c r="L6" s="113"/>
      <c r="M6" s="113"/>
      <c r="N6" s="113"/>
      <c r="O6" s="113"/>
      <c r="P6" s="113"/>
      <c r="Q6" s="113"/>
    </row>
    <row r="7" spans="1:17" s="11" customFormat="1" ht="25.5" customHeight="1" thickBot="1" x14ac:dyDescent="0.25">
      <c r="A7" s="109" t="s">
        <v>54</v>
      </c>
      <c r="B7" s="110"/>
      <c r="C7" s="110"/>
      <c r="D7" s="110"/>
      <c r="E7" s="110"/>
      <c r="F7" s="111"/>
      <c r="G7" s="114" t="str">
        <f>' NotaPedido'!D6</f>
        <v>DIRECCION PROVINCIAL DE GESTION ADMINISTRATIVA Y RECURSOS HUMANOS</v>
      </c>
      <c r="H7" s="115"/>
      <c r="I7" s="115"/>
      <c r="J7" s="115"/>
      <c r="K7" s="115"/>
      <c r="L7" s="115"/>
      <c r="M7" s="115"/>
      <c r="N7" s="115"/>
      <c r="O7" s="115"/>
      <c r="P7" s="115"/>
      <c r="Q7" s="116"/>
    </row>
    <row r="8" spans="1:17" ht="18" customHeight="1" thickBot="1" x14ac:dyDescent="0.25">
      <c r="A8" s="112" t="s">
        <v>32</v>
      </c>
      <c r="B8" s="112"/>
      <c r="C8" s="112"/>
      <c r="D8" s="112"/>
      <c r="E8" s="112"/>
      <c r="F8" s="112"/>
      <c r="G8" s="112"/>
      <c r="H8" s="112"/>
      <c r="I8" s="112"/>
      <c r="J8" s="112"/>
      <c r="K8" s="112"/>
      <c r="L8" s="112"/>
      <c r="M8" s="112"/>
      <c r="N8" s="112"/>
      <c r="O8" s="112"/>
      <c r="P8" s="112"/>
      <c r="Q8" s="112"/>
    </row>
    <row r="9" spans="1:17" ht="18" customHeight="1" x14ac:dyDescent="0.2">
      <c r="A9" s="119" t="s">
        <v>33</v>
      </c>
      <c r="B9" s="119"/>
      <c r="C9" s="119"/>
      <c r="D9" s="119"/>
      <c r="E9" s="119"/>
      <c r="F9" s="119"/>
      <c r="G9" s="119"/>
      <c r="H9" s="119"/>
      <c r="I9" s="119"/>
      <c r="J9" s="119"/>
      <c r="K9" s="119"/>
      <c r="L9" s="119"/>
      <c r="M9" s="119"/>
      <c r="N9" s="119"/>
      <c r="O9" s="1"/>
      <c r="P9" s="1"/>
      <c r="Q9" s="12"/>
    </row>
    <row r="10" spans="1:17" ht="54.75" customHeight="1" x14ac:dyDescent="0.2">
      <c r="A10" s="120"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040/2021,  afectando la erogación resultante a los créditos presupuestarios aprobados a favor de esta Unidad Ejecutora, conforme al siguiente detalle:</v>
      </c>
      <c r="B10" s="120"/>
      <c r="C10" s="120"/>
      <c r="D10" s="120"/>
      <c r="E10" s="120"/>
      <c r="F10" s="120"/>
      <c r="G10" s="120"/>
      <c r="H10" s="120"/>
      <c r="I10" s="120"/>
      <c r="J10" s="120"/>
      <c r="K10" s="120"/>
      <c r="L10" s="120"/>
      <c r="M10" s="120"/>
      <c r="N10" s="120"/>
      <c r="O10" s="120"/>
      <c r="P10" s="120"/>
      <c r="Q10" s="120"/>
    </row>
    <row r="11" spans="1:17" ht="9" customHeight="1" x14ac:dyDescent="0.2">
      <c r="A11" s="13"/>
      <c r="B11" s="14"/>
      <c r="C11" s="14"/>
      <c r="D11" s="14"/>
      <c r="E11" s="14"/>
      <c r="F11" s="14"/>
      <c r="G11" s="15"/>
      <c r="H11" s="14"/>
      <c r="I11" s="14"/>
      <c r="J11" s="14"/>
      <c r="K11" s="14"/>
      <c r="L11" s="14"/>
      <c r="M11" s="14"/>
      <c r="N11" s="14"/>
      <c r="O11" s="14"/>
      <c r="P11" s="14"/>
      <c r="Q11" s="16"/>
    </row>
    <row r="12" spans="1:17" ht="15.75" customHeight="1" x14ac:dyDescent="0.2">
      <c r="A12" s="121" t="s">
        <v>34</v>
      </c>
      <c r="B12" s="121"/>
      <c r="C12" s="121"/>
      <c r="D12" s="121"/>
      <c r="E12" s="121"/>
      <c r="F12" s="121"/>
      <c r="G12" s="121"/>
      <c r="H12" s="121"/>
      <c r="I12" s="121"/>
      <c r="J12" s="121"/>
      <c r="K12" s="121"/>
      <c r="L12" s="121"/>
      <c r="M12" s="121"/>
      <c r="N12" s="121"/>
      <c r="O12" s="121"/>
      <c r="P12" s="121"/>
      <c r="Q12" s="121"/>
    </row>
    <row r="13" spans="1:17" ht="15.75" customHeight="1" x14ac:dyDescent="0.2">
      <c r="A13" s="122" t="s">
        <v>35</v>
      </c>
      <c r="B13" s="122"/>
      <c r="C13" s="122"/>
      <c r="D13" s="122"/>
      <c r="E13" s="122"/>
      <c r="F13" s="122"/>
      <c r="G13" s="122"/>
      <c r="H13" s="122"/>
      <c r="I13" s="122"/>
      <c r="J13" s="122"/>
      <c r="K13" s="122"/>
      <c r="L13" s="122"/>
      <c r="M13" s="122"/>
      <c r="N13" s="122"/>
      <c r="O13" s="123" t="s">
        <v>36</v>
      </c>
      <c r="P13" s="123"/>
      <c r="Q13" s="124" t="s">
        <v>37</v>
      </c>
    </row>
    <row r="14" spans="1:17" ht="15.75" customHeight="1" thickBot="1" x14ac:dyDescent="0.25">
      <c r="A14" s="17" t="s">
        <v>38</v>
      </c>
      <c r="B14" s="18" t="s">
        <v>39</v>
      </c>
      <c r="C14" s="18" t="s">
        <v>40</v>
      </c>
      <c r="D14" s="18" t="s">
        <v>41</v>
      </c>
      <c r="E14" s="18" t="s">
        <v>42</v>
      </c>
      <c r="F14" s="18" t="s">
        <v>43</v>
      </c>
      <c r="G14" s="19" t="s">
        <v>44</v>
      </c>
      <c r="H14" s="18" t="s">
        <v>45</v>
      </c>
      <c r="I14" s="18" t="s">
        <v>46</v>
      </c>
      <c r="J14" s="18" t="s">
        <v>47</v>
      </c>
      <c r="K14" s="18" t="s">
        <v>47</v>
      </c>
      <c r="L14" s="18" t="s">
        <v>48</v>
      </c>
      <c r="M14" s="20" t="s">
        <v>49</v>
      </c>
      <c r="N14" s="21" t="s">
        <v>50</v>
      </c>
      <c r="O14" s="123"/>
      <c r="P14" s="123"/>
      <c r="Q14" s="124"/>
    </row>
    <row r="15" spans="1:17" ht="28.5" customHeight="1" x14ac:dyDescent="0.2">
      <c r="A15" s="29">
        <v>3</v>
      </c>
      <c r="B15" s="30">
        <v>0</v>
      </c>
      <c r="C15" s="30">
        <v>0</v>
      </c>
      <c r="D15" s="30">
        <v>1</v>
      </c>
      <c r="E15" s="30">
        <v>0</v>
      </c>
      <c r="F15" s="30">
        <v>4901</v>
      </c>
      <c r="G15" s="30">
        <v>3</v>
      </c>
      <c r="H15" s="30">
        <v>5</v>
      </c>
      <c r="I15" s="22">
        <v>4</v>
      </c>
      <c r="J15" s="22">
        <v>3</v>
      </c>
      <c r="K15" s="22">
        <v>7</v>
      </c>
      <c r="L15" s="30">
        <v>0</v>
      </c>
      <c r="M15" s="31">
        <v>1</v>
      </c>
      <c r="N15" s="70" t="s">
        <v>63</v>
      </c>
      <c r="O15" s="117" t="s">
        <v>65</v>
      </c>
      <c r="P15" s="118"/>
      <c r="Q15" s="23">
        <v>1340520</v>
      </c>
    </row>
    <row r="16" spans="1:17" ht="28.5" customHeight="1" thickBot="1" x14ac:dyDescent="0.25">
      <c r="A16" s="77"/>
      <c r="B16" s="75"/>
      <c r="C16" s="75"/>
      <c r="D16" s="75"/>
      <c r="E16" s="75"/>
      <c r="F16" s="75"/>
      <c r="G16" s="75"/>
      <c r="H16" s="75"/>
      <c r="I16" s="76"/>
      <c r="J16" s="76"/>
      <c r="K16" s="76"/>
      <c r="L16" s="75"/>
      <c r="M16" s="78"/>
      <c r="N16" s="79"/>
      <c r="O16" s="108"/>
      <c r="P16" s="108"/>
      <c r="Q16" s="27"/>
    </row>
    <row r="17" spans="1:19" ht="29.25" customHeight="1" thickBot="1" x14ac:dyDescent="0.25">
      <c r="A17" s="24"/>
      <c r="B17" s="25"/>
      <c r="C17" s="25"/>
      <c r="D17" s="25"/>
      <c r="E17" s="25"/>
      <c r="F17" s="25"/>
      <c r="G17" s="25"/>
      <c r="H17" s="25"/>
      <c r="I17" s="25"/>
      <c r="J17" s="25"/>
      <c r="K17" s="25"/>
      <c r="L17" s="25"/>
      <c r="M17" s="26"/>
      <c r="N17" s="25"/>
      <c r="O17" s="108"/>
      <c r="P17" s="108"/>
      <c r="Q17" s="27"/>
    </row>
    <row r="18" spans="1:19" ht="25.5" customHeight="1" thickBot="1" x14ac:dyDescent="0.25">
      <c r="A18" s="130" t="s">
        <v>78</v>
      </c>
      <c r="B18" s="130"/>
      <c r="C18" s="130"/>
      <c r="D18" s="130"/>
      <c r="E18" s="130"/>
      <c r="F18" s="130"/>
      <c r="G18" s="130"/>
      <c r="H18" s="130"/>
      <c r="I18" s="130"/>
      <c r="J18" s="130"/>
      <c r="K18" s="130"/>
      <c r="L18" s="130"/>
      <c r="M18" s="130"/>
      <c r="N18" s="130"/>
      <c r="O18" s="130"/>
      <c r="P18" s="130"/>
      <c r="Q18" s="28">
        <f>SUM(Q15:Q17)</f>
        <v>1340520</v>
      </c>
    </row>
    <row r="19" spans="1:19" ht="16.5" customHeight="1" thickBot="1" x14ac:dyDescent="0.25">
      <c r="A19" s="131"/>
      <c r="B19" s="131"/>
      <c r="C19" s="131"/>
      <c r="D19" s="131"/>
      <c r="E19" s="131"/>
      <c r="F19" s="131"/>
      <c r="G19" s="131"/>
      <c r="H19" s="131"/>
      <c r="I19" s="131"/>
      <c r="J19" s="131"/>
      <c r="K19" s="131"/>
      <c r="L19" s="131"/>
      <c r="M19" s="131"/>
      <c r="N19" s="131"/>
      <c r="O19" s="131"/>
      <c r="P19" s="131"/>
      <c r="Q19" s="131"/>
      <c r="S19" s="33"/>
    </row>
    <row r="20" spans="1:19" ht="29.25" customHeight="1" thickBot="1" x14ac:dyDescent="0.25">
      <c r="A20" s="125" t="s">
        <v>51</v>
      </c>
      <c r="B20" s="126"/>
      <c r="C20" s="126"/>
      <c r="D20" s="126"/>
      <c r="E20" s="126"/>
      <c r="F20" s="127"/>
      <c r="G20" s="128"/>
      <c r="H20" s="128"/>
      <c r="I20" s="128"/>
      <c r="J20" s="128"/>
      <c r="K20" s="128"/>
      <c r="L20" s="128"/>
      <c r="M20" s="128"/>
      <c r="N20" s="128"/>
      <c r="O20" s="128"/>
      <c r="P20" s="128"/>
      <c r="Q20" s="128"/>
    </row>
    <row r="21" spans="1:19" ht="18" customHeight="1" thickBot="1" x14ac:dyDescent="0.25">
      <c r="A21" s="129" t="s">
        <v>82</v>
      </c>
      <c r="B21" s="129"/>
      <c r="C21" s="129"/>
      <c r="D21" s="129"/>
      <c r="E21" s="129"/>
      <c r="F21" s="129"/>
      <c r="G21" s="129"/>
      <c r="H21" s="129"/>
      <c r="I21" s="129"/>
      <c r="J21" s="129"/>
      <c r="K21" s="129"/>
      <c r="L21" s="129"/>
      <c r="M21" s="129"/>
      <c r="N21" s="129"/>
      <c r="O21" s="129"/>
      <c r="P21" s="129"/>
      <c r="Q21" s="129"/>
    </row>
    <row r="22" spans="1:19" ht="17.25" customHeight="1" thickBot="1" x14ac:dyDescent="0.25">
      <c r="A22" s="129"/>
      <c r="B22" s="129"/>
      <c r="C22" s="129"/>
      <c r="D22" s="129"/>
      <c r="E22" s="129"/>
      <c r="F22" s="129"/>
      <c r="G22" s="129"/>
      <c r="H22" s="129"/>
      <c r="I22" s="129"/>
      <c r="J22" s="129"/>
      <c r="K22" s="129"/>
      <c r="L22" s="129"/>
      <c r="M22" s="129"/>
      <c r="N22" s="129"/>
      <c r="O22" s="129"/>
      <c r="P22" s="129"/>
      <c r="Q22" s="129"/>
    </row>
    <row r="23" spans="1:19" ht="18" customHeight="1" x14ac:dyDescent="0.2"/>
    <row r="24" spans="1:19" ht="32.25" customHeight="1" x14ac:dyDescent="0.2"/>
    <row r="25" spans="1:19" x14ac:dyDescent="0.2">
      <c r="A25" s="32"/>
    </row>
  </sheetData>
  <mergeCells count="26">
    <mergeCell ref="A20:F20"/>
    <mergeCell ref="G20:Q20"/>
    <mergeCell ref="A21:Q22"/>
    <mergeCell ref="O17:P17"/>
    <mergeCell ref="A18:P18"/>
    <mergeCell ref="A19:Q19"/>
    <mergeCell ref="O16:P16"/>
    <mergeCell ref="A5:F5"/>
    <mergeCell ref="G5:Q5"/>
    <mergeCell ref="A8:Q8"/>
    <mergeCell ref="A6:F6"/>
    <mergeCell ref="G6:Q6"/>
    <mergeCell ref="A7:F7"/>
    <mergeCell ref="G7:Q7"/>
    <mergeCell ref="O15:P15"/>
    <mergeCell ref="A9:N9"/>
    <mergeCell ref="A10:Q10"/>
    <mergeCell ref="A12:Q12"/>
    <mergeCell ref="A13:N13"/>
    <mergeCell ref="O13:P14"/>
    <mergeCell ref="Q13:Q14"/>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2021-09-17T16:07:04Z</cp:lastPrinted>
  <dcterms:created xsi:type="dcterms:W3CDTF">2020-07-17T23:44:49Z</dcterms:created>
  <dcterms:modified xsi:type="dcterms:W3CDTF">2021-09-22T15:23:56Z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