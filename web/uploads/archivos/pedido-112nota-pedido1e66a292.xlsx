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12077117-5C44-4259-A53E-D57A80B981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011'!$A$9:$W$9</definedName>
  </definedNames>
  <calcPr calcId="181029"/>
</workbook>
</file>

<file path=xl/calcChain.xml><?xml version="1.0" encoding="utf-8"?>
<calcChain xmlns="http://schemas.openxmlformats.org/spreadsheetml/2006/main">
  <c r="K19" i="2" l="1"/>
  <c r="K2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12" i="2"/>
  <c r="A41" i="3" l="1"/>
  <c r="G6" i="3"/>
  <c r="G7" i="3"/>
  <c r="J13" i="2"/>
  <c r="J14" i="2"/>
  <c r="J15" i="2"/>
  <c r="J16" i="2"/>
  <c r="J17" i="2"/>
  <c r="J18" i="2"/>
  <c r="J19" i="2"/>
  <c r="M19" i="2" s="1"/>
  <c r="J20" i="2"/>
  <c r="J21" i="2"/>
  <c r="J22" i="2"/>
  <c r="M22" i="2" s="1"/>
  <c r="J23" i="2"/>
  <c r="J24" i="2"/>
  <c r="J25" i="2"/>
  <c r="J26" i="2"/>
  <c r="J27" i="2"/>
  <c r="J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12" i="2"/>
  <c r="D4" i="2"/>
  <c r="G5" i="3" s="1"/>
  <c r="D3" i="2"/>
  <c r="G4" i="3" s="1"/>
  <c r="K17" i="2" l="1"/>
  <c r="M17" i="2" s="1"/>
  <c r="K21" i="2"/>
  <c r="M21" i="2" s="1"/>
  <c r="K12" i="2"/>
  <c r="M12" i="2" s="1"/>
  <c r="K16" i="2"/>
  <c r="M16" i="2" s="1"/>
  <c r="K20" i="2"/>
  <c r="M20" i="2" s="1"/>
  <c r="K23" i="2"/>
  <c r="M23" i="2" s="1"/>
  <c r="K24" i="2"/>
  <c r="M24" i="2" s="1"/>
  <c r="K15" i="2"/>
  <c r="M15" i="2" s="1"/>
  <c r="K27" i="2"/>
  <c r="M27" i="2" s="1"/>
  <c r="K14" i="2"/>
  <c r="M14" i="2" s="1"/>
  <c r="K18" i="2"/>
  <c r="M18" i="2" s="1"/>
  <c r="K26" i="2"/>
  <c r="M26" i="2" s="1"/>
  <c r="K13" i="2"/>
  <c r="M13" i="2" s="1"/>
  <c r="K25" i="2"/>
  <c r="M25" i="2" s="1"/>
  <c r="M29" i="2" l="1"/>
  <c r="J29" i="2" s="1"/>
  <c r="Q15" i="3"/>
  <c r="Q38" i="3" s="1"/>
</calcChain>
</file>

<file path=xl/sharedStrings.xml><?xml version="1.0" encoding="utf-8"?>
<sst xmlns="http://schemas.openxmlformats.org/spreadsheetml/2006/main" count="173" uniqueCount="111">
  <si>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</si>
  <si>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</si>
  <si>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</si>
  <si>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</si>
  <si>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</si>
  <si>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</si>
  <si>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</si>
  <si>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</si>
  <si>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</si>
  <si>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</si>
  <si>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</si>
  <si>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</si>
  <si>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</si>
  <si>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</si>
  <si>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</si>
  <si>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</si>
  <si>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</si>
  <si>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</si>
  <si>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</si>
  <si>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</si>
  <si>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</si>
  <si>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</si>
  <si>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</si>
  <si>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</si>
  <si>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</si>
  <si>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</si>
  <si>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</si>
  <si>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</si>
  <si>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CANTIDAD TOTAL</t>
  </si>
  <si>
    <t xml:space="preserve">IMPORTE TOTAL ESTIMADO </t>
  </si>
  <si>
    <t>PRODUCTOS  MEDICOS/FARMACEUTICOS/LAB.</t>
  </si>
  <si>
    <t>2.5.2</t>
  </si>
  <si>
    <t xml:space="preserve">Acetato de goserelin  depot </t>
  </si>
  <si>
    <t xml:space="preserve">Azacitidina 100 mg </t>
  </si>
  <si>
    <t>Frasco- ampolla</t>
  </si>
  <si>
    <t>Bevacizumab 100 mg</t>
  </si>
  <si>
    <t>Frasco -ampolla</t>
  </si>
  <si>
    <t>Bevacizumab 400 mg</t>
  </si>
  <si>
    <t>Fulvestrant 250 mg x 2 ampollas</t>
  </si>
  <si>
    <t>nilotinib 150 x 120 comp</t>
  </si>
  <si>
    <t>nilotinib 200 x 120 comp</t>
  </si>
  <si>
    <t xml:space="preserve">Pembrolizumab 100 mg </t>
  </si>
  <si>
    <t xml:space="preserve">pertuzumab 420 mg </t>
  </si>
  <si>
    <t>Trastuzumab 440MG.</t>
  </si>
  <si>
    <t>TOTAL RUBRO MEDICAMENTOS ONCOLOGICOS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</si>
  <si>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</si>
  <si>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</si>
  <si>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</si>
  <si>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</si>
  <si>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</si>
  <si>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</si>
  <si>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</si>
  <si>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</si>
  <si>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</si>
  <si>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</si>
  <si>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</si>
  <si>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</si>
  <si>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</si>
  <si>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</si>
  <si>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</si>
  <si>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</si>
  <si>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</si>
  <si>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</si>
  <si>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</si>
  <si>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</si>
  <si>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</si>
  <si>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</si>
  <si>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</si>
  <si>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</si>
  <si>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</si>
  <si>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</si>
  <si>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</si>
  <si>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</si>
  <si>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</si>
  <si>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</si>
  <si>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</si>
  <si>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</si>
  <si>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</si>
  <si>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</si>
  <si>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</si>
  <si>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</si>
  <si>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</si>
  <si>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</si>
  <si>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</si>
  <si>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</si>
  <si>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</si>
  <si>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Calidad Minima esperada</t>
  </si>
  <si>
    <t>Mantenimiento</t>
  </si>
  <si>
    <t>cuarenta y cinco (45) días</t>
  </si>
  <si>
    <t xml:space="preserve"> 01/2022</t>
  </si>
  <si>
    <t>DIRECCION PROVINCIAL DE CANCER</t>
  </si>
  <si>
    <t>1° TRIMESTRE 2022</t>
  </si>
  <si>
    <t>ADQUISICION DEL RUBRO MEDICAMENTOS ONCOLOGICOS</t>
  </si>
  <si>
    <t>Autorizo la realización de los  trámites correspondientes, a fin de proveer a  este Organismo los bienes que se detallan en Nota  de Pedido N° 01/2022 afectando la erogación resultante a los créditos presupuestarios aprobados a favor de esta Unidad Ejecutora, conforme al siguiente detalle:</t>
  </si>
  <si>
    <t>1.1</t>
  </si>
  <si>
    <t>PRODUCTOS FARMACEUTICOS Y MEDICINALES</t>
  </si>
  <si>
    <t>DIR. PROV. DE CANCER - CHACABUCO N° 169 - en el horario de 8:00hs a 12:00hs de lunes a viernes</t>
  </si>
  <si>
    <t>veinte (20) dias habiles</t>
  </si>
  <si>
    <t>CAJA</t>
  </si>
  <si>
    <t>Jeringa Prellenada</t>
  </si>
  <si>
    <t>Vial Inyectable</t>
  </si>
  <si>
    <t>imatinib 100 mg x 180 comp</t>
  </si>
  <si>
    <t>imatinib 400 mg x 30 comp</t>
  </si>
  <si>
    <t>pazopanib 200 mg x 30 comp</t>
  </si>
  <si>
    <t>Regorafenib 40 mg  tab.3 x 28 comp (84 comp)</t>
  </si>
  <si>
    <t>sunitinib 25 mg x 28 caps</t>
  </si>
  <si>
    <t>Lenalidomida 25 mg  x 21 caps</t>
  </si>
  <si>
    <t>NO</t>
  </si>
  <si>
    <t>Costo total estimado: QUINCE MILLONES CIENTO DIECINUEVE MIL CIENTO OCHENTA Y DOS CON 60/100.-</t>
  </si>
  <si>
    <t>TOTAL DE PESOS: QUINCE MILLONES CIENTO DIECINUEVE MIL CIENTO OCHENTA Y DOS CON 60/100.-</t>
  </si>
  <si>
    <t>PRECIO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</si>
</sst>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u val="singleAccounting"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7" fillId="0" borderId="0"/>
    <xf numFmtId="164" fontId="7" fillId="0" borderId="0" applyBorder="0" applyAlignment="0" applyProtection="0"/>
    <xf numFmtId="0" fontId="1" fillId="0" borderId="0"/>
    <xf numFmtId="0" fontId="7" fillId="0" borderId="0"/>
    <xf numFmtId="0" fontId="7" fillId="0" borderId="0"/>
    <xf numFmtId="169" fontId="19" fillId="0" borderId="0" applyBorder="0" applyProtection="0"/>
    <xf numFmtId="0" fontId="23" fillId="0" borderId="59" applyProtection="0"/>
    <xf numFmtId="0" fontId="23" fillId="0" borderId="59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7" fillId="0" borderId="0" applyBorder="0" applyAlignment="0" applyProtection="0"/>
    <xf numFmtId="171" fontId="7" fillId="0" borderId="0" applyBorder="0" applyProtection="0"/>
    <xf numFmtId="171" fontId="7" fillId="0" borderId="0" applyBorder="0" applyProtection="0"/>
    <xf numFmtId="171" fontId="7" fillId="0" borderId="0" applyBorder="0" applyProtection="0"/>
    <xf numFmtId="0" fontId="24" fillId="3" borderId="0" applyBorder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03">
    <xf numFmtId="0" fontId="0" fillId="0" borderId="0" xfId="0"/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11" fillId="0" borderId="15" xfId="0" applyFont="1" applyBorder="1" applyAlignment="1">
      <alignment horizontal="left" vertical="center" wrapText="1" indent="1"/>
    </xf>
    <xf numFmtId="0" fontId="14" fillId="0" borderId="25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5" fillId="0" borderId="9" xfId="0" applyFont="1" applyBorder="1" applyAlignment="1">
      <alignment horizontal="center" vertical="center" wrapText="1"/>
    </xf>
    <xf numFmtId="3" fontId="15" fillId="0" borderId="26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3" fontId="17" fillId="0" borderId="31" xfId="0" applyNumberFormat="1" applyFont="1" applyBorder="1" applyAlignment="1"/>
    <xf numFmtId="168" fontId="0" fillId="0" borderId="31" xfId="0" applyNumberFormat="1" applyBorder="1" applyAlignment="1">
      <alignment horizontal="left"/>
    </xf>
    <xf numFmtId="0" fontId="0" fillId="0" borderId="31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7" xfId="0" applyBorder="1"/>
    <xf numFmtId="0" fontId="22" fillId="0" borderId="4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170" fontId="0" fillId="0" borderId="52" xfId="7" applyNumberFormat="1" applyFont="1" applyBorder="1" applyAlignment="1" applyProtection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70" fontId="0" fillId="0" borderId="56" xfId="7" applyNumberFormat="1" applyFont="1" applyBorder="1" applyAlignment="1" applyProtection="1">
      <alignment horizontal="center" vertical="center"/>
    </xf>
    <xf numFmtId="170" fontId="22" fillId="0" borderId="58" xfId="0" applyNumberFormat="1" applyFont="1" applyBorder="1" applyAlignment="1">
      <alignment horizontal="center" vertical="center"/>
    </xf>
    <xf numFmtId="0" fontId="25" fillId="0" borderId="10" xfId="5" applyFont="1" applyFill="1" applyBorder="1" applyAlignment="1">
      <alignment horizontal="center" vertical="center" wrapText="1"/>
    </xf>
    <xf numFmtId="0" fontId="25" fillId="0" borderId="21" xfId="5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horizontal="left" vertical="center" wrapText="1"/>
    </xf>
    <xf numFmtId="0" fontId="25" fillId="0" borderId="21" xfId="5" applyFont="1" applyFill="1" applyBorder="1" applyAlignment="1">
      <alignment horizontal="center" wrapText="1"/>
    </xf>
    <xf numFmtId="0" fontId="25" fillId="0" borderId="21" xfId="5" applyFont="1" applyBorder="1" applyAlignment="1">
      <alignment horizontal="center" wrapText="1"/>
    </xf>
    <xf numFmtId="0" fontId="25" fillId="0" borderId="60" xfId="5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2" fillId="0" borderId="0" xfId="5" applyFont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66" fontId="11" fillId="0" borderId="0" xfId="0" applyNumberFormat="1" applyFont="1" applyBorder="1" applyAlignment="1">
      <alignment horizontal="left" vertical="center" wrapText="1" indent="1"/>
    </xf>
    <xf numFmtId="166" fontId="15" fillId="0" borderId="9" xfId="0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26" fillId="0" borderId="0" xfId="0" applyNumberFormat="1" applyFont="1"/>
    <xf numFmtId="0" fontId="6" fillId="0" borderId="1" xfId="0" applyFont="1" applyFill="1" applyBorder="1" applyAlignment="1">
      <alignment horizontal="left" vertical="center" wrapText="1"/>
    </xf>
    <xf numFmtId="3" fontId="6" fillId="0" borderId="3" xfId="2" applyNumberFormat="1" applyFont="1" applyFill="1" applyBorder="1" applyAlignment="1">
      <alignment horizontal="center" vertical="center" wrapText="1"/>
    </xf>
    <xf numFmtId="3" fontId="6" fillId="0" borderId="1" xfId="2" applyNumberFormat="1" applyFont="1" applyFill="1" applyBorder="1" applyAlignment="1">
      <alignment horizontal="center" vertical="center" wrapText="1"/>
    </xf>
    <xf numFmtId="3" fontId="6" fillId="0" borderId="5" xfId="2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1" fontId="2" fillId="0" borderId="0" xfId="0" applyNumberFormat="1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166" fontId="2" fillId="0" borderId="0" xfId="0" applyNumberFormat="1" applyFont="1" applyFill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0" fontId="0" fillId="0" borderId="0" xfId="0" applyFill="1"/>
    <xf numFmtId="0" fontId="5" fillId="0" borderId="0" xfId="0" applyFont="1" applyFill="1" applyAlignment="1">
      <alignment horizontal="center" vertical="center" wrapText="1"/>
    </xf>
    <xf numFmtId="1" fontId="5" fillId="0" borderId="0" xfId="0" applyNumberFormat="1" applyFont="1" applyFill="1" applyAlignment="1">
      <alignment horizontal="center" vertical="center" wrapText="1"/>
    </xf>
    <xf numFmtId="165" fontId="5" fillId="0" borderId="0" xfId="0" applyNumberFormat="1" applyFont="1" applyFill="1" applyAlignment="1">
      <alignment horizontal="center" vertical="center" wrapText="1"/>
    </xf>
    <xf numFmtId="3" fontId="5" fillId="0" borderId="0" xfId="0" applyNumberFormat="1" applyFont="1" applyFill="1" applyAlignment="1">
      <alignment horizontal="center" vertical="center" wrapText="1"/>
    </xf>
    <xf numFmtId="166" fontId="5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0" fontId="2" fillId="0" borderId="0" xfId="5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66" fontId="6" fillId="0" borderId="3" xfId="0" applyNumberFormat="1" applyFont="1" applyFill="1" applyBorder="1" applyAlignment="1">
      <alignment horizontal="center" vertical="center"/>
    </xf>
    <xf numFmtId="3" fontId="6" fillId="0" borderId="3" xfId="0" applyNumberFormat="1" applyFont="1" applyFill="1" applyBorder="1" applyAlignment="1">
      <alignment horizontal="center" vertical="center"/>
    </xf>
    <xf numFmtId="166" fontId="6" fillId="0" borderId="3" xfId="2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/>
    <xf numFmtId="3" fontId="6" fillId="0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/>
    </xf>
    <xf numFmtId="166" fontId="6" fillId="0" borderId="4" xfId="0" applyNumberFormat="1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166" fontId="6" fillId="0" borderId="2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3" fontId="8" fillId="0" borderId="7" xfId="0" applyNumberFormat="1" applyFont="1" applyFill="1" applyBorder="1" applyAlignment="1">
      <alignment horizontal="center" vertical="center"/>
    </xf>
    <xf numFmtId="166" fontId="8" fillId="0" borderId="7" xfId="0" applyNumberFormat="1" applyFont="1" applyFill="1" applyBorder="1" applyAlignment="1">
      <alignment horizontal="center" vertical="center"/>
    </xf>
    <xf numFmtId="3" fontId="6" fillId="0" borderId="7" xfId="2" applyNumberFormat="1" applyFont="1" applyFill="1" applyBorder="1" applyAlignment="1">
      <alignment horizontal="center" vertical="center" wrapText="1"/>
    </xf>
    <xf numFmtId="166" fontId="8" fillId="0" borderId="8" xfId="2" applyNumberFormat="1" applyFont="1" applyFill="1" applyBorder="1" applyAlignment="1">
      <alignment horizontal="center" vertical="center" wrapText="1"/>
    </xf>
    <xf numFmtId="0" fontId="8" fillId="0" borderId="0" xfId="0" applyFont="1" applyFill="1"/>
    <xf numFmtId="166" fontId="10" fillId="0" borderId="11" xfId="0" applyNumberFormat="1" applyFont="1" applyFill="1" applyBorder="1" applyAlignment="1">
      <alignment horizontal="right" vertical="center"/>
    </xf>
    <xf numFmtId="0" fontId="11" fillId="0" borderId="12" xfId="0" applyFont="1" applyFill="1" applyBorder="1" applyAlignment="1">
      <alignment horizontal="center" vertical="center"/>
    </xf>
    <xf numFmtId="166" fontId="26" fillId="0" borderId="0" xfId="0" applyNumberFormat="1" applyFont="1" applyFill="1"/>
    <xf numFmtId="0" fontId="10" fillId="0" borderId="13" xfId="0" applyFont="1" applyFill="1" applyBorder="1" applyAlignment="1">
      <alignment vertical="center"/>
    </xf>
    <xf numFmtId="0" fontId="10" fillId="0" borderId="14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66" fontId="10" fillId="0" borderId="0" xfId="0" applyNumberFormat="1" applyFont="1" applyFill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5" fillId="0" borderId="65" xfId="0" applyNumberFormat="1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166" fontId="15" fillId="0" borderId="5" xfId="0" applyNumberFormat="1" applyFont="1" applyBorder="1" applyAlignment="1">
      <alignment horizontal="center" vertical="center" wrapText="1"/>
    </xf>
    <xf numFmtId="3" fontId="15" fillId="0" borderId="67" xfId="0" applyNumberFormat="1" applyFont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0" fillId="0" borderId="45" xfId="0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/>
    </xf>
    <xf numFmtId="170" fontId="0" fillId="0" borderId="47" xfId="7" applyNumberFormat="1" applyFont="1" applyFill="1" applyBorder="1" applyAlignment="1" applyProtection="1">
      <alignment horizontal="center" vertical="center"/>
    </xf>
    <xf numFmtId="0" fontId="2" fillId="0" borderId="0" xfId="5" applyFont="1" applyFill="1" applyBorder="1" applyAlignment="1">
      <alignment horizontal="left" vertical="center" wrapText="1"/>
    </xf>
    <xf numFmtId="0" fontId="2" fillId="0" borderId="15" xfId="5" applyFont="1" applyFill="1" applyBorder="1" applyAlignment="1">
      <alignment horizontal="left" vertical="center" wrapText="1"/>
    </xf>
    <xf numFmtId="0" fontId="2" fillId="0" borderId="61" xfId="5" applyFont="1" applyBorder="1" applyAlignment="1">
      <alignment horizontal="left" vertical="center" wrapText="1"/>
    </xf>
    <xf numFmtId="0" fontId="2" fillId="0" borderId="62" xfId="5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31" xfId="5" applyFont="1" applyFill="1" applyBorder="1" applyAlignment="1">
      <alignment horizontal="left" vertical="center" wrapText="1"/>
    </xf>
    <xf numFmtId="0" fontId="2" fillId="0" borderId="63" xfId="5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left" vertical="center" wrapText="1"/>
    </xf>
    <xf numFmtId="0" fontId="11" fillId="0" borderId="17" xfId="0" applyFont="1" applyFill="1" applyBorder="1" applyAlignment="1">
      <alignment horizontal="left" vertical="center" wrapText="1" indent="1"/>
    </xf>
    <xf numFmtId="0" fontId="9" fillId="0" borderId="10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left" vertical="center"/>
    </xf>
    <xf numFmtId="0" fontId="11" fillId="0" borderId="20" xfId="0" applyFont="1" applyFill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166" fontId="13" fillId="0" borderId="23" xfId="0" applyNumberFormat="1" applyFont="1" applyBorder="1" applyAlignment="1">
      <alignment horizontal="center" vertical="center" wrapText="1"/>
    </xf>
    <xf numFmtId="166" fontId="13" fillId="0" borderId="64" xfId="0" applyNumberFormat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 indent="1"/>
    </xf>
    <xf numFmtId="167" fontId="12" fillId="0" borderId="17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3" fontId="17" fillId="0" borderId="30" xfId="0" applyNumberFormat="1" applyFont="1" applyFill="1" applyBorder="1" applyAlignment="1">
      <alignment horizontal="center"/>
    </xf>
    <xf numFmtId="0" fontId="18" fillId="0" borderId="12" xfId="0" applyFont="1" applyBorder="1" applyAlignment="1">
      <alignment horizontal="center" vertical="center" wrapText="1"/>
    </xf>
    <xf numFmtId="0" fontId="19" fillId="0" borderId="32" xfId="0" applyFont="1" applyFill="1" applyBorder="1"/>
    <xf numFmtId="0" fontId="20" fillId="0" borderId="33" xfId="0" applyFont="1" applyFill="1" applyBorder="1" applyAlignment="1">
      <alignment horizontal="left" indent="1"/>
    </xf>
    <xf numFmtId="0" fontId="15" fillId="0" borderId="32" xfId="0" applyFont="1" applyFill="1" applyBorder="1" applyAlignment="1">
      <alignment horizontal="left" vertical="center" wrapText="1"/>
    </xf>
    <xf numFmtId="0" fontId="21" fillId="0" borderId="34" xfId="0" applyFont="1" applyBorder="1" applyAlignment="1">
      <alignment horizontal="left"/>
    </xf>
    <xf numFmtId="0" fontId="0" fillId="0" borderId="51" xfId="0" applyFont="1" applyBorder="1" applyAlignment="1">
      <alignment horizontal="center" vertical="center"/>
    </xf>
    <xf numFmtId="0" fontId="20" fillId="0" borderId="36" xfId="0" applyNumberFormat="1" applyFont="1" applyFill="1" applyBorder="1" applyAlignment="1">
      <alignment horizontal="justify" vertical="center" wrapText="1"/>
    </xf>
    <xf numFmtId="0" fontId="22" fillId="0" borderId="35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/>
    </xf>
    <xf numFmtId="0" fontId="0" fillId="0" borderId="45" xfId="0" applyFont="1" applyFill="1" applyBorder="1" applyAlignment="1">
      <alignment horizontal="left" vertical="center" wrapText="1"/>
    </xf>
    <xf numFmtId="0" fontId="0" fillId="0" borderId="51" xfId="0" applyFont="1" applyBorder="1" applyAlignment="1">
      <alignment horizontal="left" vertical="center"/>
    </xf>
    <xf numFmtId="0" fontId="0" fillId="0" borderId="51" xfId="0" applyBorder="1" applyAlignment="1">
      <alignment horizontal="center"/>
    </xf>
    <xf numFmtId="0" fontId="17" fillId="0" borderId="17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20" fillId="0" borderId="28" xfId="0" applyFont="1" applyFill="1" applyBorder="1" applyAlignment="1">
      <alignment horizontal="left" vertical="center" wrapText="1" indent="1"/>
    </xf>
    <xf numFmtId="0" fontId="0" fillId="0" borderId="51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17" fillId="0" borderId="57" xfId="0" applyFont="1" applyBorder="1" applyAlignment="1">
      <alignment horizontal="left" vertical="center" wrapText="1"/>
    </xf>
    <xf numFmtId="0" fontId="0" fillId="0" borderId="35" xfId="0" applyBorder="1"/>
    <xf numFmtId="166" fontId="28" fillId="0" borderId="3" xfId="2" applyNumberFormat="1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vertical="center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tabSelected="1" zoomScale="130" zoomScaleNormal="130" workbookViewId="0">
      <selection activeCell="X20" sqref="X20"/>
    </sheetView>
  </sheetViews>
  <sheetFormatPr baseColWidth="10" defaultRowHeight="15" x14ac:dyDescent="0.25"/>
  <cols>
    <col min="1" max="1" width="5.42578125" style="19" bestFit="1" customWidth="1"/>
    <col min="2" max="2" width="13" style="19" bestFit="1" customWidth="1"/>
    <col min="3" max="3" width="39.7109375" style="19" customWidth="1"/>
    <col min="4" max="4" width="8.7109375" style="19" customWidth="1"/>
    <col min="5" max="5" width="56.7109375" style="20" customWidth="1"/>
    <col min="6" max="6" width="21.85546875" style="19" bestFit="1" customWidth="1"/>
    <col min="7" max="7" width="17.140625" style="19" customWidth="1"/>
    <col min="8" max="8" width="10.85546875" style="19" customWidth="1"/>
    <col min="9" max="9" width="8" style="19" customWidth="1"/>
    <col min="10" max="10" width="14.5703125" style="19" customWidth="1"/>
    <col min="11" max="11" width="9.42578125" style="19" customWidth="1"/>
    <col min="12" max="12" width="14" style="19" customWidth="1"/>
    <col min="13" max="13" width="8.28515625" style="19" customWidth="1"/>
    <col min="14" max="14" width="14.140625" style="19" customWidth="1"/>
    <col min="15" max="15" width="4.5703125" style="19" customWidth="1"/>
    <col min="16" max="16" width="12.42578125" style="19" customWidth="1"/>
    <col min="17" max="17" width="14.7109375" style="19" customWidth="1"/>
    <col min="18" max="18" width="13.85546875" style="19" customWidth="1"/>
    <col min="19" max="19" width="10.5703125" style="21" customWidth="1"/>
    <col min="20" max="20" width="10.5703125" style="22" customWidth="1"/>
    <col min="21" max="21" width="10.42578125" style="21" bestFit="1" customWidth="1"/>
    <col min="22" max="22" width="12.42578125" style="22" bestFit="1" customWidth="1"/>
    <col min="23" max="23" width="16.28515625" style="22" bestFit="1" customWidth="1"/>
  </cols>
  <sheetData>
    <row r="1" spans="1:23" s="98" customFormat="1" x14ac:dyDescent="0.25">
      <c r="A1" s="89">
        <v>2022</v>
      </c>
      <c r="B1" s="90"/>
      <c r="C1" s="91"/>
      <c r="D1" s="91"/>
      <c r="E1" s="92"/>
      <c r="F1" s="91"/>
      <c r="G1" s="91"/>
      <c r="H1" s="91"/>
      <c r="I1" s="91"/>
      <c r="J1" s="91"/>
      <c r="K1" s="91"/>
      <c r="L1" s="91"/>
      <c r="M1" s="93"/>
      <c r="N1" s="94"/>
      <c r="O1" s="95"/>
      <c r="P1" s="91"/>
      <c r="Q1" s="93"/>
      <c r="R1" s="91"/>
      <c r="S1" s="95"/>
      <c r="T1" s="96"/>
      <c r="U1" s="95"/>
      <c r="V1" s="97"/>
      <c r="W1" s="96"/>
    </row>
    <row r="2" spans="1:23" s="98" customFormat="1" ht="18.75" x14ac:dyDescent="0.25">
      <c r="A2" s="91"/>
      <c r="B2" s="202" t="s">
        <v>0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96"/>
    </row>
    <row r="3" spans="1:23" s="98" customFormat="1" x14ac:dyDescent="0.25">
      <c r="A3" s="91"/>
      <c r="B3" s="90"/>
      <c r="C3" s="91"/>
      <c r="D3" s="91"/>
      <c r="E3" s="92"/>
      <c r="F3" s="91"/>
      <c r="G3" s="91"/>
      <c r="H3" s="91"/>
      <c r="I3" s="91"/>
      <c r="J3" s="91"/>
      <c r="K3" s="91"/>
      <c r="L3" s="91"/>
      <c r="M3" s="93"/>
      <c r="N3" s="94"/>
      <c r="O3" s="95"/>
      <c r="P3" s="91"/>
      <c r="Q3" s="93"/>
      <c r="R3" s="91"/>
      <c r="S3" s="95"/>
      <c r="T3" s="96"/>
      <c r="U3" s="95"/>
      <c r="V3" s="97"/>
      <c r="W3" s="96"/>
    </row>
    <row r="4" spans="1:23" s="98" customFormat="1" x14ac:dyDescent="0.25">
      <c r="A4" s="155" t="s">
        <v>1</v>
      </c>
      <c r="B4" s="155"/>
      <c r="C4" s="73" t="s">
        <v>2</v>
      </c>
      <c r="D4" s="73"/>
      <c r="E4" s="73"/>
      <c r="F4" s="99"/>
      <c r="G4" s="99"/>
      <c r="H4" s="99"/>
      <c r="I4" s="99"/>
      <c r="J4" s="99"/>
      <c r="K4" s="99"/>
      <c r="L4" s="99"/>
      <c r="M4" s="100"/>
      <c r="N4" s="101"/>
      <c r="O4" s="102"/>
      <c r="P4" s="99"/>
      <c r="Q4" s="100"/>
      <c r="R4" s="99"/>
      <c r="S4" s="102"/>
      <c r="T4" s="103"/>
      <c r="U4" s="102"/>
      <c r="V4" s="97"/>
      <c r="W4" s="96"/>
    </row>
    <row r="5" spans="1:23" s="98" customFormat="1" ht="15" customHeight="1" x14ac:dyDescent="0.25">
      <c r="A5" s="155" t="s">
        <v>3</v>
      </c>
      <c r="B5" s="155"/>
      <c r="C5" s="73" t="s">
        <v>4</v>
      </c>
      <c r="D5" s="73"/>
      <c r="E5" s="73"/>
      <c r="F5" s="99"/>
      <c r="G5" s="99"/>
      <c r="H5" s="99"/>
      <c r="I5" s="99"/>
      <c r="J5" s="99"/>
      <c r="K5" s="99"/>
      <c r="L5" s="99"/>
      <c r="M5" s="100"/>
      <c r="N5" s="101"/>
      <c r="O5" s="102"/>
      <c r="P5" s="99"/>
      <c r="Q5" s="100"/>
      <c r="R5" s="99"/>
      <c r="S5" s="102"/>
      <c r="T5" s="103"/>
      <c r="U5" s="102"/>
      <c r="V5" s="97"/>
      <c r="W5" s="96"/>
    </row>
    <row r="6" spans="1:23" s="98" customFormat="1" x14ac:dyDescent="0.25">
      <c r="A6" s="155" t="s">
        <v>5</v>
      </c>
      <c r="B6" s="155"/>
      <c r="C6" s="74">
        <v>2022</v>
      </c>
      <c r="D6" s="75"/>
      <c r="E6" s="74"/>
      <c r="F6" s="99"/>
      <c r="G6" s="99"/>
      <c r="H6" s="99"/>
      <c r="I6" s="99"/>
      <c r="J6" s="99"/>
      <c r="K6" s="99"/>
      <c r="L6" s="99"/>
      <c r="M6" s="100"/>
      <c r="N6" s="101"/>
      <c r="O6" s="102"/>
      <c r="P6" s="99"/>
      <c r="Q6" s="100"/>
      <c r="R6" s="99"/>
      <c r="S6" s="102"/>
      <c r="T6" s="103"/>
      <c r="U6" s="102"/>
      <c r="V6" s="97"/>
      <c r="W6" s="96"/>
    </row>
    <row r="7" spans="1:23" s="98" customFormat="1" x14ac:dyDescent="0.25">
      <c r="A7" s="155" t="s">
        <v>6</v>
      </c>
      <c r="B7" s="155"/>
      <c r="C7" s="74" t="s">
        <v>7</v>
      </c>
      <c r="D7" s="75"/>
      <c r="E7" s="74"/>
      <c r="F7" s="99"/>
      <c r="G7" s="99"/>
      <c r="H7" s="99"/>
      <c r="I7" s="99"/>
      <c r="J7" s="99"/>
      <c r="K7" s="99"/>
      <c r="L7" s="99"/>
      <c r="M7" s="100"/>
      <c r="N7" s="101"/>
      <c r="O7" s="102"/>
      <c r="P7" s="99"/>
      <c r="Q7" s="100"/>
      <c r="R7" s="99"/>
      <c r="S7" s="102"/>
      <c r="T7" s="103"/>
      <c r="U7" s="102"/>
      <c r="V7" s="97"/>
      <c r="W7" s="96"/>
    </row>
    <row r="8" spans="1:23" x14ac:dyDescent="0.25">
      <c r="A8" s="1"/>
      <c r="B8" s="4"/>
      <c r="C8" s="4"/>
      <c r="D8" s="4"/>
      <c r="E8" s="9"/>
      <c r="F8" s="4"/>
      <c r="G8" s="4"/>
      <c r="H8" s="4"/>
      <c r="I8" s="4"/>
      <c r="J8" s="4"/>
      <c r="K8" s="4"/>
      <c r="L8" s="4"/>
      <c r="M8" s="5"/>
      <c r="N8" s="6"/>
      <c r="O8" s="7"/>
      <c r="P8" s="4"/>
      <c r="Q8" s="5"/>
      <c r="R8" s="4"/>
      <c r="S8" s="7"/>
      <c r="T8" s="8"/>
      <c r="U8" s="7"/>
      <c r="V8" s="3"/>
      <c r="W8" s="2"/>
    </row>
    <row r="9" spans="1:23" ht="25.5" x14ac:dyDescent="0.25">
      <c r="A9" s="10" t="s">
        <v>8</v>
      </c>
      <c r="B9" s="10" t="s">
        <v>9</v>
      </c>
      <c r="C9" s="11" t="s">
        <v>10</v>
      </c>
      <c r="D9" s="10" t="s">
        <v>11</v>
      </c>
      <c r="E9" s="12" t="s">
        <v>12</v>
      </c>
      <c r="F9" s="11" t="s">
        <v>13</v>
      </c>
      <c r="G9" s="11" t="s">
        <v>14</v>
      </c>
      <c r="H9" s="11" t="s">
        <v>15</v>
      </c>
      <c r="I9" s="13" t="s">
        <v>16</v>
      </c>
      <c r="J9" s="11" t="s">
        <v>17</v>
      </c>
      <c r="K9" s="11" t="s">
        <v>18</v>
      </c>
      <c r="L9" s="11" t="s">
        <v>19</v>
      </c>
      <c r="M9" s="14" t="s">
        <v>20</v>
      </c>
      <c r="N9" s="15" t="s">
        <v>21</v>
      </c>
      <c r="O9" s="16" t="s">
        <v>22</v>
      </c>
      <c r="P9" s="11" t="s">
        <v>23</v>
      </c>
      <c r="Q9" s="14" t="s">
        <v>24</v>
      </c>
      <c r="R9" s="11" t="s">
        <v>25</v>
      </c>
      <c r="S9" s="16" t="s">
        <v>26</v>
      </c>
      <c r="T9" s="17" t="s">
        <v>27</v>
      </c>
      <c r="U9" s="16" t="s">
        <v>28</v>
      </c>
      <c r="V9" s="18" t="s">
        <v>110</v>
      </c>
      <c r="W9" s="17" t="s">
        <v>29</v>
      </c>
    </row>
    <row r="10" spans="1:23" s="114" customFormat="1" ht="12.75" x14ac:dyDescent="0.2">
      <c r="A10" s="108">
        <v>1</v>
      </c>
      <c r="B10" s="108"/>
      <c r="C10" s="108" t="s">
        <v>30</v>
      </c>
      <c r="D10" s="108" t="s">
        <v>31</v>
      </c>
      <c r="E10" s="85" t="s">
        <v>32</v>
      </c>
      <c r="F10" s="109" t="s">
        <v>99</v>
      </c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>
        <v>10</v>
      </c>
      <c r="R10" s="110">
        <v>333150</v>
      </c>
      <c r="S10" s="111"/>
      <c r="T10" s="110">
        <v>0</v>
      </c>
      <c r="U10" s="82">
        <v>10</v>
      </c>
      <c r="V10" s="110">
        <v>33315</v>
      </c>
      <c r="W10" s="112">
        <v>333150</v>
      </c>
    </row>
    <row r="11" spans="1:23" s="114" customFormat="1" ht="12.75" x14ac:dyDescent="0.2">
      <c r="A11" s="108">
        <v>2</v>
      </c>
      <c r="B11" s="113"/>
      <c r="C11" s="113" t="s">
        <v>30</v>
      </c>
      <c r="D11" s="113" t="s">
        <v>31</v>
      </c>
      <c r="E11" s="81" t="s">
        <v>33</v>
      </c>
      <c r="F11" s="113" t="s">
        <v>34</v>
      </c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>
        <v>14</v>
      </c>
      <c r="R11" s="110">
        <v>60760</v>
      </c>
      <c r="S11" s="115"/>
      <c r="T11" s="116">
        <v>0</v>
      </c>
      <c r="U11" s="83">
        <v>14</v>
      </c>
      <c r="V11" s="116">
        <v>4340</v>
      </c>
      <c r="W11" s="112">
        <v>60760</v>
      </c>
    </row>
    <row r="12" spans="1:23" s="114" customFormat="1" ht="12.75" x14ac:dyDescent="0.2">
      <c r="A12" s="108">
        <v>3</v>
      </c>
      <c r="B12" s="113"/>
      <c r="C12" s="113" t="s">
        <v>30</v>
      </c>
      <c r="D12" s="113" t="s">
        <v>31</v>
      </c>
      <c r="E12" s="81" t="s">
        <v>35</v>
      </c>
      <c r="F12" s="113" t="s">
        <v>36</v>
      </c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>
        <v>8</v>
      </c>
      <c r="R12" s="110">
        <v>408080</v>
      </c>
      <c r="S12" s="115"/>
      <c r="T12" s="116">
        <v>0</v>
      </c>
      <c r="U12" s="83">
        <v>8</v>
      </c>
      <c r="V12" s="116">
        <v>51010</v>
      </c>
      <c r="W12" s="112">
        <v>408080</v>
      </c>
    </row>
    <row r="13" spans="1:23" s="114" customFormat="1" ht="12.75" x14ac:dyDescent="0.2">
      <c r="A13" s="108">
        <v>4</v>
      </c>
      <c r="B13" s="113"/>
      <c r="C13" s="113" t="s">
        <v>30</v>
      </c>
      <c r="D13" s="113" t="s">
        <v>31</v>
      </c>
      <c r="E13" s="81" t="s">
        <v>37</v>
      </c>
      <c r="F13" s="113" t="s">
        <v>36</v>
      </c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>
        <v>8</v>
      </c>
      <c r="R13" s="110">
        <v>1486480</v>
      </c>
      <c r="S13" s="115"/>
      <c r="T13" s="116">
        <v>0</v>
      </c>
      <c r="U13" s="83">
        <v>8</v>
      </c>
      <c r="V13" s="116">
        <v>185810</v>
      </c>
      <c r="W13" s="112">
        <v>1486480</v>
      </c>
    </row>
    <row r="14" spans="1:23" s="114" customFormat="1" ht="12.75" x14ac:dyDescent="0.2">
      <c r="A14" s="108">
        <v>5</v>
      </c>
      <c r="B14" s="113"/>
      <c r="C14" s="113" t="s">
        <v>30</v>
      </c>
      <c r="D14" s="113" t="s">
        <v>31</v>
      </c>
      <c r="E14" s="81" t="s">
        <v>38</v>
      </c>
      <c r="F14" s="113" t="s">
        <v>36</v>
      </c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>
        <v>3</v>
      </c>
      <c r="R14" s="110">
        <v>40545</v>
      </c>
      <c r="S14" s="115"/>
      <c r="T14" s="116">
        <v>0</v>
      </c>
      <c r="U14" s="83">
        <v>3</v>
      </c>
      <c r="V14" s="116">
        <v>13515</v>
      </c>
      <c r="W14" s="112">
        <v>40545</v>
      </c>
    </row>
    <row r="15" spans="1:23" s="114" customFormat="1" ht="12.75" x14ac:dyDescent="0.2">
      <c r="A15" s="108">
        <v>6</v>
      </c>
      <c r="B15" s="113"/>
      <c r="C15" s="113" t="s">
        <v>30</v>
      </c>
      <c r="D15" s="113" t="s">
        <v>31</v>
      </c>
      <c r="E15" s="81" t="s">
        <v>101</v>
      </c>
      <c r="F15" s="113" t="s">
        <v>98</v>
      </c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>
        <v>5</v>
      </c>
      <c r="R15" s="110">
        <v>18500</v>
      </c>
      <c r="S15" s="115"/>
      <c r="T15" s="116">
        <v>0</v>
      </c>
      <c r="U15" s="83">
        <v>5</v>
      </c>
      <c r="V15" s="116">
        <v>3700</v>
      </c>
      <c r="W15" s="112">
        <v>18500</v>
      </c>
    </row>
    <row r="16" spans="1:23" s="114" customFormat="1" x14ac:dyDescent="0.2">
      <c r="A16" s="108">
        <v>7</v>
      </c>
      <c r="B16" s="113"/>
      <c r="C16" s="113" t="s">
        <v>30</v>
      </c>
      <c r="D16" s="113" t="s">
        <v>31</v>
      </c>
      <c r="E16" s="81" t="s">
        <v>102</v>
      </c>
      <c r="F16" s="113" t="s">
        <v>98</v>
      </c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>
        <v>5</v>
      </c>
      <c r="R16" s="110">
        <v>19200</v>
      </c>
      <c r="S16" s="115"/>
      <c r="T16" s="116">
        <v>0</v>
      </c>
      <c r="U16" s="83">
        <v>5</v>
      </c>
      <c r="V16" s="116">
        <v>3840</v>
      </c>
      <c r="W16" s="201">
        <v>19200</v>
      </c>
    </row>
    <row r="17" spans="1:23" s="114" customFormat="1" ht="12.75" x14ac:dyDescent="0.2">
      <c r="A17" s="108">
        <v>8</v>
      </c>
      <c r="B17" s="113"/>
      <c r="C17" s="113" t="s">
        <v>30</v>
      </c>
      <c r="D17" s="113" t="s">
        <v>31</v>
      </c>
      <c r="E17" s="81" t="s">
        <v>106</v>
      </c>
      <c r="F17" s="113" t="s">
        <v>98</v>
      </c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>
        <v>2</v>
      </c>
      <c r="R17" s="110">
        <v>400160</v>
      </c>
      <c r="S17" s="115"/>
      <c r="T17" s="116">
        <v>0</v>
      </c>
      <c r="U17" s="83">
        <v>3</v>
      </c>
      <c r="V17" s="116">
        <v>200080</v>
      </c>
      <c r="W17" s="112">
        <v>600240</v>
      </c>
    </row>
    <row r="18" spans="1:23" s="114" customFormat="1" ht="12.75" x14ac:dyDescent="0.2">
      <c r="A18" s="108">
        <v>9</v>
      </c>
      <c r="B18" s="113"/>
      <c r="C18" s="113" t="s">
        <v>30</v>
      </c>
      <c r="D18" s="113" t="s">
        <v>31</v>
      </c>
      <c r="E18" s="81" t="s">
        <v>39</v>
      </c>
      <c r="F18" s="113" t="s">
        <v>98</v>
      </c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>
        <v>5</v>
      </c>
      <c r="R18" s="110">
        <v>1689800</v>
      </c>
      <c r="S18" s="115"/>
      <c r="T18" s="116">
        <v>0</v>
      </c>
      <c r="U18" s="83">
        <v>5</v>
      </c>
      <c r="V18" s="116">
        <v>337960</v>
      </c>
      <c r="W18" s="112">
        <v>1689800</v>
      </c>
    </row>
    <row r="19" spans="1:23" s="114" customFormat="1" ht="12.75" x14ac:dyDescent="0.2">
      <c r="A19" s="108">
        <v>10</v>
      </c>
      <c r="B19" s="113"/>
      <c r="C19" s="113" t="s">
        <v>30</v>
      </c>
      <c r="D19" s="113" t="s">
        <v>31</v>
      </c>
      <c r="E19" s="81" t="s">
        <v>40</v>
      </c>
      <c r="F19" s="113" t="s">
        <v>98</v>
      </c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>
        <v>5</v>
      </c>
      <c r="R19" s="110">
        <v>2461700</v>
      </c>
      <c r="S19" s="115"/>
      <c r="T19" s="116">
        <v>0</v>
      </c>
      <c r="U19" s="83">
        <v>5</v>
      </c>
      <c r="V19" s="116">
        <v>492340</v>
      </c>
      <c r="W19" s="112">
        <v>2461700</v>
      </c>
    </row>
    <row r="20" spans="1:23" s="114" customFormat="1" ht="12.75" x14ac:dyDescent="0.2">
      <c r="A20" s="108">
        <v>11</v>
      </c>
      <c r="B20" s="113"/>
      <c r="C20" s="113" t="s">
        <v>30</v>
      </c>
      <c r="D20" s="113" t="s">
        <v>31</v>
      </c>
      <c r="E20" s="81" t="s">
        <v>103</v>
      </c>
      <c r="F20" s="113" t="s">
        <v>98</v>
      </c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>
        <v>2</v>
      </c>
      <c r="R20" s="110">
        <v>24700</v>
      </c>
      <c r="S20" s="115"/>
      <c r="T20" s="116">
        <v>0</v>
      </c>
      <c r="U20" s="83">
        <v>5</v>
      </c>
      <c r="V20" s="116">
        <v>12350</v>
      </c>
      <c r="W20" s="112">
        <v>61750</v>
      </c>
    </row>
    <row r="21" spans="1:23" s="114" customFormat="1" ht="12.75" x14ac:dyDescent="0.2">
      <c r="A21" s="108">
        <v>12</v>
      </c>
      <c r="B21" s="113"/>
      <c r="C21" s="113" t="s">
        <v>30</v>
      </c>
      <c r="D21" s="113" t="s">
        <v>31</v>
      </c>
      <c r="E21" s="81" t="s">
        <v>41</v>
      </c>
      <c r="F21" s="113" t="s">
        <v>100</v>
      </c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>
        <v>10</v>
      </c>
      <c r="R21" s="110">
        <v>3552631.5999999996</v>
      </c>
      <c r="S21" s="115"/>
      <c r="T21" s="116"/>
      <c r="U21" s="83">
        <v>10</v>
      </c>
      <c r="V21" s="117">
        <v>355263.16</v>
      </c>
      <c r="W21" s="112">
        <v>3552631.5999999996</v>
      </c>
    </row>
    <row r="22" spans="1:23" s="114" customFormat="1" ht="12.75" x14ac:dyDescent="0.2">
      <c r="A22" s="108">
        <v>13</v>
      </c>
      <c r="B22" s="87"/>
      <c r="C22" s="113" t="s">
        <v>30</v>
      </c>
      <c r="D22" s="87" t="s">
        <v>31</v>
      </c>
      <c r="E22" s="81" t="s">
        <v>42</v>
      </c>
      <c r="F22" s="113" t="s">
        <v>100</v>
      </c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>
        <v>5</v>
      </c>
      <c r="R22" s="110">
        <v>2157400</v>
      </c>
      <c r="S22" s="115"/>
      <c r="T22" s="116">
        <v>0</v>
      </c>
      <c r="U22" s="83">
        <v>5</v>
      </c>
      <c r="V22" s="116">
        <v>431480</v>
      </c>
      <c r="W22" s="112">
        <v>2157400</v>
      </c>
    </row>
    <row r="23" spans="1:23" s="114" customFormat="1" ht="15" customHeight="1" x14ac:dyDescent="0.2">
      <c r="A23" s="108">
        <v>14</v>
      </c>
      <c r="B23" s="113"/>
      <c r="C23" s="113" t="s">
        <v>30</v>
      </c>
      <c r="D23" s="113" t="s">
        <v>31</v>
      </c>
      <c r="E23" s="81" t="s">
        <v>104</v>
      </c>
      <c r="F23" s="113" t="s">
        <v>98</v>
      </c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>
        <v>2</v>
      </c>
      <c r="R23" s="110">
        <v>500000</v>
      </c>
      <c r="S23" s="115"/>
      <c r="T23" s="116">
        <v>0</v>
      </c>
      <c r="U23" s="83">
        <v>2</v>
      </c>
      <c r="V23" s="116">
        <v>250000</v>
      </c>
      <c r="W23" s="112">
        <v>500000</v>
      </c>
    </row>
    <row r="24" spans="1:23" s="114" customFormat="1" ht="12.75" x14ac:dyDescent="0.2">
      <c r="A24" s="108">
        <v>15</v>
      </c>
      <c r="B24" s="113"/>
      <c r="C24" s="113" t="s">
        <v>30</v>
      </c>
      <c r="D24" s="113" t="s">
        <v>31</v>
      </c>
      <c r="E24" s="81" t="s">
        <v>105</v>
      </c>
      <c r="F24" s="113" t="s">
        <v>98</v>
      </c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>
        <v>2</v>
      </c>
      <c r="R24" s="110">
        <v>915696</v>
      </c>
      <c r="S24" s="115"/>
      <c r="T24" s="116">
        <v>0</v>
      </c>
      <c r="U24" s="83">
        <v>2</v>
      </c>
      <c r="V24" s="116">
        <v>457848</v>
      </c>
      <c r="W24" s="112">
        <v>915696</v>
      </c>
    </row>
    <row r="25" spans="1:23" s="114" customFormat="1" ht="13.5" thickBot="1" x14ac:dyDescent="0.25">
      <c r="A25" s="108">
        <v>16</v>
      </c>
      <c r="B25" s="118"/>
      <c r="C25" s="118" t="s">
        <v>30</v>
      </c>
      <c r="D25" s="118" t="s">
        <v>31</v>
      </c>
      <c r="E25" s="86" t="s">
        <v>43</v>
      </c>
      <c r="F25" s="118" t="s">
        <v>36</v>
      </c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>
        <v>5</v>
      </c>
      <c r="R25" s="119">
        <v>813250</v>
      </c>
      <c r="S25" s="120"/>
      <c r="T25" s="121">
        <v>0</v>
      </c>
      <c r="U25" s="84">
        <v>5</v>
      </c>
      <c r="V25" s="121">
        <v>162650</v>
      </c>
      <c r="W25" s="112">
        <v>813250</v>
      </c>
    </row>
    <row r="26" spans="1:23" s="129" customFormat="1" ht="24.75" customHeight="1" thickBot="1" x14ac:dyDescent="0.25">
      <c r="A26" s="122"/>
      <c r="B26" s="123"/>
      <c r="C26" s="123"/>
      <c r="D26" s="123"/>
      <c r="E26" s="124" t="s">
        <v>44</v>
      </c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5"/>
      <c r="T26" s="126">
        <v>0</v>
      </c>
      <c r="U26" s="127"/>
      <c r="V26" s="126"/>
      <c r="W26" s="128">
        <v>15119182.6</v>
      </c>
    </row>
    <row r="27" spans="1:23" ht="15.75" thickBot="1" x14ac:dyDescent="0.3"/>
    <row r="28" spans="1:23" s="98" customFormat="1" ht="152.25" customHeight="1" x14ac:dyDescent="0.25">
      <c r="A28" s="104"/>
      <c r="B28" s="104"/>
      <c r="C28" s="65" t="s">
        <v>82</v>
      </c>
      <c r="D28" s="156" t="s">
        <v>83</v>
      </c>
      <c r="E28" s="157"/>
      <c r="F28" s="107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5"/>
      <c r="T28" s="106"/>
      <c r="U28" s="105"/>
      <c r="V28" s="106"/>
      <c r="W28" s="106"/>
    </row>
    <row r="29" spans="1:23" ht="38.25" customHeight="1" x14ac:dyDescent="0.25">
      <c r="C29" s="66"/>
      <c r="D29" s="67"/>
      <c r="E29" s="71"/>
    </row>
    <row r="30" spans="1:23" s="98" customFormat="1" ht="15" customHeight="1" x14ac:dyDescent="0.25">
      <c r="A30" s="104"/>
      <c r="B30" s="104"/>
      <c r="C30" s="68" t="s">
        <v>84</v>
      </c>
      <c r="D30" s="151" t="s">
        <v>97</v>
      </c>
      <c r="E30" s="152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5"/>
      <c r="T30" s="106"/>
      <c r="U30" s="105"/>
      <c r="V30" s="106"/>
      <c r="W30" s="106"/>
    </row>
    <row r="31" spans="1:23" x14ac:dyDescent="0.25">
      <c r="C31" s="68"/>
      <c r="D31" s="67"/>
      <c r="E31" s="71"/>
    </row>
    <row r="32" spans="1:23" s="98" customFormat="1" ht="27" customHeight="1" x14ac:dyDescent="0.25">
      <c r="A32" s="104"/>
      <c r="B32" s="104"/>
      <c r="C32" s="68" t="s">
        <v>85</v>
      </c>
      <c r="D32" s="151" t="s">
        <v>96</v>
      </c>
      <c r="E32" s="152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5"/>
      <c r="T32" s="106"/>
      <c r="U32" s="105"/>
      <c r="V32" s="106"/>
      <c r="W32" s="106"/>
    </row>
    <row r="33" spans="3:5" x14ac:dyDescent="0.25">
      <c r="C33" s="68"/>
      <c r="D33" s="67"/>
      <c r="E33" s="71"/>
    </row>
    <row r="34" spans="3:5" x14ac:dyDescent="0.25">
      <c r="C34" s="69" t="s">
        <v>86</v>
      </c>
      <c r="D34" s="72"/>
      <c r="E34" s="71"/>
    </row>
    <row r="35" spans="3:5" x14ac:dyDescent="0.25">
      <c r="C35" s="69"/>
      <c r="D35" s="72"/>
      <c r="E35" s="71"/>
    </row>
    <row r="36" spans="3:5" ht="15.75" customHeight="1" thickBot="1" x14ac:dyDescent="0.3">
      <c r="C36" s="70" t="s">
        <v>87</v>
      </c>
      <c r="D36" s="153" t="s">
        <v>88</v>
      </c>
      <c r="E36" s="154"/>
    </row>
  </sheetData>
  <mergeCells count="8">
    <mergeCell ref="D32:E32"/>
    <mergeCell ref="D36:E36"/>
    <mergeCell ref="A7:B7"/>
    <mergeCell ref="A6:B6"/>
    <mergeCell ref="A4:B4"/>
    <mergeCell ref="A5:B5"/>
    <mergeCell ref="D30:E30"/>
    <mergeCell ref="D28:E28"/>
  </mergeCells>
  <conditionalFormatting sqref="B22">
    <cfRule type="duplicateValues" dxfId="13" priority="15"/>
  </conditionalFormatting>
  <conditionalFormatting sqref="E22">
    <cfRule type="duplicateValues" dxfId="12" priority="16"/>
  </conditionalFormatting>
  <conditionalFormatting sqref="E22">
    <cfRule type="duplicateValues" dxfId="11" priority="17"/>
    <cfRule type="duplicateValues" dxfId="10" priority="18"/>
  </conditionalFormatting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30:C36">
    <cfRule type="duplicateValues" dxfId="3" priority="1"/>
  </conditionalFormatting>
  <conditionalFormatting sqref="C30:C36">
    <cfRule type="duplicateValues" dxfId="2" priority="2"/>
  </conditionalFormatting>
  <conditionalFormatting sqref="C30:C36">
    <cfRule type="duplicateValues" dxfId="1" priority="3"/>
  </conditionalFormatting>
  <conditionalFormatting sqref="C30:C36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zoomScale="90" zoomScaleNormal="90" workbookViewId="0">
      <selection activeCell="B37" sqref="B37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79" customWidth="1"/>
    <col min="11" max="11" width="15.5703125" customWidth="1"/>
    <col min="13" max="13" width="15.5703125" style="80" bestFit="1" customWidth="1"/>
  </cols>
  <sheetData>
    <row r="1" spans="1:13" s="98" customFormat="1" ht="30.75" thickBot="1" x14ac:dyDescent="0.3">
      <c r="A1" s="160" t="s">
        <v>45</v>
      </c>
      <c r="B1" s="160"/>
      <c r="C1" s="160"/>
      <c r="D1" s="160"/>
      <c r="E1" s="160"/>
      <c r="F1" s="160"/>
      <c r="G1" s="160"/>
      <c r="H1" s="160"/>
      <c r="I1" s="160"/>
      <c r="J1" s="130" t="s">
        <v>46</v>
      </c>
      <c r="K1" s="131" t="s">
        <v>89</v>
      </c>
      <c r="M1" s="132"/>
    </row>
    <row r="2" spans="1:13" s="98" customFormat="1" ht="16.5" thickBot="1" x14ac:dyDescent="0.3">
      <c r="A2" s="133"/>
      <c r="B2" s="134"/>
      <c r="C2" s="134"/>
      <c r="D2" s="135"/>
      <c r="E2" s="135"/>
      <c r="F2" s="135"/>
      <c r="G2" s="135"/>
      <c r="H2" s="135"/>
      <c r="I2" s="135"/>
      <c r="J2" s="136"/>
      <c r="K2" s="137"/>
      <c r="M2" s="132"/>
    </row>
    <row r="3" spans="1:13" s="98" customFormat="1" ht="16.5" thickBot="1" x14ac:dyDescent="0.3">
      <c r="A3" s="161" t="s">
        <v>47</v>
      </c>
      <c r="B3" s="161"/>
      <c r="C3" s="161"/>
      <c r="D3" s="159" t="str">
        <f>'SAF 011'!C4</f>
        <v>040 - MINISTERIO DE SALUD</v>
      </c>
      <c r="E3" s="159"/>
      <c r="F3" s="159"/>
      <c r="G3" s="159"/>
      <c r="H3" s="159"/>
      <c r="I3" s="159"/>
      <c r="J3" s="159"/>
      <c r="K3" s="159"/>
      <c r="M3" s="132"/>
    </row>
    <row r="4" spans="1:13" s="98" customFormat="1" ht="16.5" thickBot="1" x14ac:dyDescent="0.3">
      <c r="A4" s="158" t="s">
        <v>48</v>
      </c>
      <c r="B4" s="158"/>
      <c r="C4" s="158"/>
      <c r="D4" s="159" t="str">
        <f>'SAF 011'!C5</f>
        <v>011 - DIRECCION PROVINCIAL DE ADMINISTRACION - MINISTERIO DE SALUD</v>
      </c>
      <c r="E4" s="159"/>
      <c r="F4" s="159"/>
      <c r="G4" s="159"/>
      <c r="H4" s="159"/>
      <c r="I4" s="159"/>
      <c r="J4" s="159"/>
      <c r="K4" s="159"/>
      <c r="M4" s="132"/>
    </row>
    <row r="5" spans="1:13" s="98" customFormat="1" ht="16.5" thickBot="1" x14ac:dyDescent="0.3">
      <c r="A5" s="158" t="s">
        <v>49</v>
      </c>
      <c r="B5" s="158"/>
      <c r="C5" s="158"/>
      <c r="D5" s="159" t="s">
        <v>90</v>
      </c>
      <c r="E5" s="159"/>
      <c r="F5" s="159"/>
      <c r="G5" s="159"/>
      <c r="H5" s="159"/>
      <c r="I5" s="159"/>
      <c r="J5" s="159"/>
      <c r="K5" s="159"/>
      <c r="M5" s="132"/>
    </row>
    <row r="6" spans="1:13" s="98" customFormat="1" ht="16.5" thickBot="1" x14ac:dyDescent="0.3">
      <c r="A6" s="161" t="s">
        <v>50</v>
      </c>
      <c r="B6" s="161"/>
      <c r="C6" s="161"/>
      <c r="D6" s="159" t="s">
        <v>90</v>
      </c>
      <c r="E6" s="159"/>
      <c r="F6" s="159"/>
      <c r="G6" s="159"/>
      <c r="H6" s="159"/>
      <c r="I6" s="159"/>
      <c r="J6" s="159"/>
      <c r="K6" s="159"/>
      <c r="M6" s="132"/>
    </row>
    <row r="7" spans="1:13" s="98" customFormat="1" ht="16.5" thickBot="1" x14ac:dyDescent="0.3">
      <c r="A7" s="158" t="s">
        <v>51</v>
      </c>
      <c r="B7" s="158"/>
      <c r="C7" s="158"/>
      <c r="D7" s="159" t="s">
        <v>91</v>
      </c>
      <c r="E7" s="159"/>
      <c r="F7" s="159"/>
      <c r="G7" s="159"/>
      <c r="H7" s="159"/>
      <c r="I7" s="159"/>
      <c r="J7" s="159"/>
      <c r="K7" s="159"/>
      <c r="M7" s="132"/>
    </row>
    <row r="8" spans="1:13" s="98" customFormat="1" ht="16.5" thickBot="1" x14ac:dyDescent="0.3">
      <c r="A8" s="162" t="s">
        <v>52</v>
      </c>
      <c r="B8" s="162"/>
      <c r="C8" s="162"/>
      <c r="D8" s="163" t="s">
        <v>92</v>
      </c>
      <c r="E8" s="163"/>
      <c r="F8" s="163"/>
      <c r="G8" s="163"/>
      <c r="H8" s="163"/>
      <c r="I8" s="163"/>
      <c r="J8" s="163"/>
      <c r="K8" s="163"/>
      <c r="M8" s="132"/>
    </row>
    <row r="9" spans="1:13" ht="16.5" thickBot="1" x14ac:dyDescent="0.3">
      <c r="A9" s="23"/>
      <c r="B9" s="24"/>
      <c r="C9" s="24"/>
      <c r="D9" s="25"/>
      <c r="E9" s="25"/>
      <c r="F9" s="25"/>
      <c r="G9" s="25"/>
      <c r="H9" s="25"/>
      <c r="I9" s="25"/>
      <c r="J9" s="76"/>
      <c r="K9" s="26"/>
    </row>
    <row r="10" spans="1:13" ht="15.75" thickBot="1" x14ac:dyDescent="0.3">
      <c r="A10" s="165" t="s">
        <v>53</v>
      </c>
      <c r="B10" s="167" t="s">
        <v>54</v>
      </c>
      <c r="C10" s="167" t="s">
        <v>55</v>
      </c>
      <c r="D10" s="167"/>
      <c r="E10" s="167"/>
      <c r="F10" s="167"/>
      <c r="G10" s="167"/>
      <c r="H10" s="167" t="s">
        <v>56</v>
      </c>
      <c r="I10" s="167" t="s">
        <v>57</v>
      </c>
      <c r="J10" s="172" t="s">
        <v>58</v>
      </c>
      <c r="K10" s="169" t="s">
        <v>59</v>
      </c>
    </row>
    <row r="11" spans="1:13" ht="36" customHeight="1" thickBot="1" x14ac:dyDescent="0.3">
      <c r="A11" s="166"/>
      <c r="B11" s="168"/>
      <c r="C11" s="168"/>
      <c r="D11" s="168"/>
      <c r="E11" s="168"/>
      <c r="F11" s="168"/>
      <c r="G11" s="168"/>
      <c r="H11" s="168"/>
      <c r="I11" s="168"/>
      <c r="J11" s="173"/>
      <c r="K11" s="170"/>
    </row>
    <row r="12" spans="1:13" ht="15.75" x14ac:dyDescent="0.25">
      <c r="A12" s="27">
        <v>1</v>
      </c>
      <c r="B12" s="28"/>
      <c r="C12" s="171" t="str">
        <f>'SAF 011'!E10</f>
        <v xml:space="preserve">Acetato de goserelin  depot </v>
      </c>
      <c r="D12" s="171"/>
      <c r="E12" s="171"/>
      <c r="F12" s="171"/>
      <c r="G12" s="171"/>
      <c r="H12" s="88" t="s">
        <v>107</v>
      </c>
      <c r="I12" s="29" t="str">
        <f>+'SAF 011'!F10</f>
        <v>Jeringa Prellenada</v>
      </c>
      <c r="J12" s="77">
        <f>'SAF 011'!V10</f>
        <v>33315</v>
      </c>
      <c r="K12" s="30">
        <f>+'SAF 011'!U10</f>
        <v>10</v>
      </c>
      <c r="M12" s="80">
        <f>+J12*K12</f>
        <v>333150</v>
      </c>
    </row>
    <row r="13" spans="1:13" ht="16.5" customHeight="1" x14ac:dyDescent="0.25">
      <c r="A13" s="31">
        <v>2</v>
      </c>
      <c r="B13" s="32"/>
      <c r="C13" s="164" t="str">
        <f>'SAF 011'!E11</f>
        <v xml:space="preserve">Azacitidina 100 mg </v>
      </c>
      <c r="D13" s="164"/>
      <c r="E13" s="164"/>
      <c r="F13" s="164"/>
      <c r="G13" s="164"/>
      <c r="H13" s="138" t="s">
        <v>107</v>
      </c>
      <c r="I13" s="139" t="str">
        <f>+'SAF 011'!F11</f>
        <v>Frasco- ampolla</v>
      </c>
      <c r="J13" s="78">
        <f>'SAF 011'!V11</f>
        <v>4340</v>
      </c>
      <c r="K13" s="140">
        <f>+'SAF 011'!U11</f>
        <v>14</v>
      </c>
      <c r="M13" s="80">
        <f t="shared" ref="M13:M27" si="0">+J13*K13</f>
        <v>60760</v>
      </c>
    </row>
    <row r="14" spans="1:13" ht="16.5" customHeight="1" x14ac:dyDescent="0.25">
      <c r="A14" s="31">
        <v>3</v>
      </c>
      <c r="B14" s="32"/>
      <c r="C14" s="164" t="str">
        <f>'SAF 011'!E12</f>
        <v>Bevacizumab 100 mg</v>
      </c>
      <c r="D14" s="164"/>
      <c r="E14" s="164"/>
      <c r="F14" s="164"/>
      <c r="G14" s="164"/>
      <c r="H14" s="138" t="s">
        <v>107</v>
      </c>
      <c r="I14" s="139" t="str">
        <f>+'SAF 011'!F12</f>
        <v>Frasco -ampolla</v>
      </c>
      <c r="J14" s="78">
        <f>'SAF 011'!V12</f>
        <v>51010</v>
      </c>
      <c r="K14" s="140">
        <f>+'SAF 011'!U12</f>
        <v>8</v>
      </c>
      <c r="M14" s="80">
        <f t="shared" si="0"/>
        <v>408080</v>
      </c>
    </row>
    <row r="15" spans="1:13" ht="16.5" customHeight="1" x14ac:dyDescent="0.25">
      <c r="A15" s="31">
        <v>4</v>
      </c>
      <c r="B15" s="32"/>
      <c r="C15" s="164" t="str">
        <f>'SAF 011'!E13</f>
        <v>Bevacizumab 400 mg</v>
      </c>
      <c r="D15" s="164"/>
      <c r="E15" s="164"/>
      <c r="F15" s="164"/>
      <c r="G15" s="164"/>
      <c r="H15" s="138" t="s">
        <v>107</v>
      </c>
      <c r="I15" s="139" t="str">
        <f>+'SAF 011'!F13</f>
        <v>Frasco -ampolla</v>
      </c>
      <c r="J15" s="78">
        <f>'SAF 011'!V13</f>
        <v>185810</v>
      </c>
      <c r="K15" s="140">
        <f>+'SAF 011'!U13</f>
        <v>8</v>
      </c>
      <c r="M15" s="80">
        <f t="shared" si="0"/>
        <v>1486480</v>
      </c>
    </row>
    <row r="16" spans="1:13" ht="16.5" customHeight="1" x14ac:dyDescent="0.25">
      <c r="A16" s="31">
        <v>5</v>
      </c>
      <c r="B16" s="32"/>
      <c r="C16" s="164" t="str">
        <f>'SAF 011'!E14</f>
        <v>Fulvestrant 250 mg x 2 ampollas</v>
      </c>
      <c r="D16" s="164"/>
      <c r="E16" s="164"/>
      <c r="F16" s="164"/>
      <c r="G16" s="164"/>
      <c r="H16" s="138" t="s">
        <v>107</v>
      </c>
      <c r="I16" s="139" t="str">
        <f>+'SAF 011'!F14</f>
        <v>Frasco -ampolla</v>
      </c>
      <c r="J16" s="78">
        <f>'SAF 011'!V14</f>
        <v>13515</v>
      </c>
      <c r="K16" s="140">
        <f>+'SAF 011'!U14</f>
        <v>3</v>
      </c>
      <c r="M16" s="80">
        <f t="shared" si="0"/>
        <v>40545</v>
      </c>
    </row>
    <row r="17" spans="1:13" ht="16.5" customHeight="1" x14ac:dyDescent="0.25">
      <c r="A17" s="31">
        <v>6</v>
      </c>
      <c r="B17" s="32"/>
      <c r="C17" s="164" t="str">
        <f>'SAF 011'!E15</f>
        <v>imatinib 100 mg x 180 comp</v>
      </c>
      <c r="D17" s="164"/>
      <c r="E17" s="164"/>
      <c r="F17" s="164"/>
      <c r="G17" s="164"/>
      <c r="H17" s="138" t="s">
        <v>107</v>
      </c>
      <c r="I17" s="139" t="str">
        <f>+'SAF 011'!F15</f>
        <v>CAJA</v>
      </c>
      <c r="J17" s="78">
        <f>'SAF 011'!V15</f>
        <v>3700</v>
      </c>
      <c r="K17" s="140">
        <f>+'SAF 011'!U15</f>
        <v>5</v>
      </c>
      <c r="M17" s="80">
        <f t="shared" si="0"/>
        <v>18500</v>
      </c>
    </row>
    <row r="18" spans="1:13" ht="16.5" customHeight="1" x14ac:dyDescent="0.25">
      <c r="A18" s="31">
        <v>7</v>
      </c>
      <c r="B18" s="32"/>
      <c r="C18" s="164" t="str">
        <f>'SAF 011'!E16</f>
        <v>imatinib 400 mg x 30 comp</v>
      </c>
      <c r="D18" s="164"/>
      <c r="E18" s="164"/>
      <c r="F18" s="164"/>
      <c r="G18" s="164"/>
      <c r="H18" s="138" t="s">
        <v>107</v>
      </c>
      <c r="I18" s="139" t="str">
        <f>+'SAF 011'!F16</f>
        <v>CAJA</v>
      </c>
      <c r="J18" s="78">
        <f>'SAF 011'!V16</f>
        <v>3840</v>
      </c>
      <c r="K18" s="140">
        <f>+'SAF 011'!U16</f>
        <v>5</v>
      </c>
      <c r="M18" s="80">
        <f t="shared" si="0"/>
        <v>19200</v>
      </c>
    </row>
    <row r="19" spans="1:13" ht="16.5" customHeight="1" x14ac:dyDescent="0.25">
      <c r="A19" s="31">
        <v>8</v>
      </c>
      <c r="B19" s="32"/>
      <c r="C19" s="164" t="str">
        <f>'SAF 011'!E17</f>
        <v>Lenalidomida 25 mg  x 21 caps</v>
      </c>
      <c r="D19" s="164"/>
      <c r="E19" s="164"/>
      <c r="F19" s="164"/>
      <c r="G19" s="164"/>
      <c r="H19" s="138" t="s">
        <v>107</v>
      </c>
      <c r="I19" s="139" t="str">
        <f>+'SAF 011'!F17</f>
        <v>CAJA</v>
      </c>
      <c r="J19" s="78">
        <f>'SAF 011'!V17</f>
        <v>200080</v>
      </c>
      <c r="K19" s="140">
        <f>+'SAF 011'!U17</f>
        <v>3</v>
      </c>
      <c r="M19" s="80">
        <f t="shared" si="0"/>
        <v>600240</v>
      </c>
    </row>
    <row r="20" spans="1:13" ht="16.5" customHeight="1" x14ac:dyDescent="0.25">
      <c r="A20" s="31">
        <v>9</v>
      </c>
      <c r="B20" s="32"/>
      <c r="C20" s="164" t="str">
        <f>'SAF 011'!E18</f>
        <v>nilotinib 150 x 120 comp</v>
      </c>
      <c r="D20" s="164"/>
      <c r="E20" s="164"/>
      <c r="F20" s="164"/>
      <c r="G20" s="164"/>
      <c r="H20" s="138" t="s">
        <v>107</v>
      </c>
      <c r="I20" s="139" t="str">
        <f>+'SAF 011'!F18</f>
        <v>CAJA</v>
      </c>
      <c r="J20" s="78">
        <f>'SAF 011'!V18</f>
        <v>337960</v>
      </c>
      <c r="K20" s="140">
        <f>+'SAF 011'!U18</f>
        <v>5</v>
      </c>
      <c r="M20" s="80">
        <f t="shared" si="0"/>
        <v>1689800</v>
      </c>
    </row>
    <row r="21" spans="1:13" ht="16.5" customHeight="1" x14ac:dyDescent="0.25">
      <c r="A21" s="31">
        <v>10</v>
      </c>
      <c r="B21" s="32"/>
      <c r="C21" s="164" t="str">
        <f>'SAF 011'!E19</f>
        <v>nilotinib 200 x 120 comp</v>
      </c>
      <c r="D21" s="164"/>
      <c r="E21" s="164"/>
      <c r="F21" s="164"/>
      <c r="G21" s="164"/>
      <c r="H21" s="138" t="s">
        <v>107</v>
      </c>
      <c r="I21" s="139" t="str">
        <f>+'SAF 011'!F19</f>
        <v>CAJA</v>
      </c>
      <c r="J21" s="78">
        <f>'SAF 011'!V19</f>
        <v>492340</v>
      </c>
      <c r="K21" s="140">
        <f>+'SAF 011'!U19</f>
        <v>5</v>
      </c>
      <c r="M21" s="80">
        <f t="shared" si="0"/>
        <v>2461700</v>
      </c>
    </row>
    <row r="22" spans="1:13" ht="16.5" customHeight="1" x14ac:dyDescent="0.25">
      <c r="A22" s="31">
        <v>11</v>
      </c>
      <c r="B22" s="32"/>
      <c r="C22" s="164" t="str">
        <f>'SAF 011'!E20</f>
        <v>pazopanib 200 mg x 30 comp</v>
      </c>
      <c r="D22" s="164"/>
      <c r="E22" s="164"/>
      <c r="F22" s="164"/>
      <c r="G22" s="164"/>
      <c r="H22" s="138" t="s">
        <v>107</v>
      </c>
      <c r="I22" s="139" t="str">
        <f>+'SAF 011'!F20</f>
        <v>CAJA</v>
      </c>
      <c r="J22" s="78">
        <f>'SAF 011'!V20</f>
        <v>12350</v>
      </c>
      <c r="K22" s="140">
        <f>+'SAF 011'!U20</f>
        <v>5</v>
      </c>
      <c r="M22" s="80">
        <f t="shared" si="0"/>
        <v>61750</v>
      </c>
    </row>
    <row r="23" spans="1:13" ht="16.5" customHeight="1" x14ac:dyDescent="0.25">
      <c r="A23" s="31">
        <v>12</v>
      </c>
      <c r="B23" s="32"/>
      <c r="C23" s="164" t="str">
        <f>'SAF 011'!E21</f>
        <v xml:space="preserve">Pembrolizumab 100 mg </v>
      </c>
      <c r="D23" s="164"/>
      <c r="E23" s="164"/>
      <c r="F23" s="164"/>
      <c r="G23" s="164"/>
      <c r="H23" s="138" t="s">
        <v>107</v>
      </c>
      <c r="I23" s="139" t="str">
        <f>+'SAF 011'!F21</f>
        <v>Vial Inyectable</v>
      </c>
      <c r="J23" s="78">
        <f>'SAF 011'!V21</f>
        <v>355263.16</v>
      </c>
      <c r="K23" s="140">
        <f>+'SAF 011'!U21</f>
        <v>10</v>
      </c>
      <c r="M23" s="80">
        <f t="shared" si="0"/>
        <v>3552631.5999999996</v>
      </c>
    </row>
    <row r="24" spans="1:13" ht="16.5" customHeight="1" x14ac:dyDescent="0.25">
      <c r="A24" s="31">
        <v>13</v>
      </c>
      <c r="B24" s="32"/>
      <c r="C24" s="164" t="str">
        <f>'SAF 011'!E22</f>
        <v xml:space="preserve">pertuzumab 420 mg </v>
      </c>
      <c r="D24" s="164"/>
      <c r="E24" s="164"/>
      <c r="F24" s="164"/>
      <c r="G24" s="164"/>
      <c r="H24" s="138" t="s">
        <v>107</v>
      </c>
      <c r="I24" s="139" t="str">
        <f>+'SAF 011'!F22</f>
        <v>Vial Inyectable</v>
      </c>
      <c r="J24" s="78">
        <f>'SAF 011'!V22</f>
        <v>431480</v>
      </c>
      <c r="K24" s="140">
        <f>+'SAF 011'!U22</f>
        <v>5</v>
      </c>
      <c r="M24" s="80">
        <f t="shared" si="0"/>
        <v>2157400</v>
      </c>
    </row>
    <row r="25" spans="1:13" ht="16.5" customHeight="1" x14ac:dyDescent="0.25">
      <c r="A25" s="31">
        <v>14</v>
      </c>
      <c r="B25" s="32"/>
      <c r="C25" s="164" t="str">
        <f>'SAF 011'!E23</f>
        <v>Regorafenib 40 mg  tab.3 x 28 comp (84 comp)</v>
      </c>
      <c r="D25" s="164"/>
      <c r="E25" s="164"/>
      <c r="F25" s="164"/>
      <c r="G25" s="164"/>
      <c r="H25" s="138" t="s">
        <v>107</v>
      </c>
      <c r="I25" s="139" t="str">
        <f>+'SAF 011'!F23</f>
        <v>CAJA</v>
      </c>
      <c r="J25" s="78">
        <f>'SAF 011'!V23</f>
        <v>250000</v>
      </c>
      <c r="K25" s="140">
        <f>+'SAF 011'!U23</f>
        <v>2</v>
      </c>
      <c r="M25" s="80">
        <f t="shared" si="0"/>
        <v>500000</v>
      </c>
    </row>
    <row r="26" spans="1:13" ht="16.5" customHeight="1" x14ac:dyDescent="0.25">
      <c r="A26" s="31">
        <v>15</v>
      </c>
      <c r="B26" s="32"/>
      <c r="C26" s="164" t="str">
        <f>'SAF 011'!E24</f>
        <v>sunitinib 25 mg x 28 caps</v>
      </c>
      <c r="D26" s="164"/>
      <c r="E26" s="164"/>
      <c r="F26" s="164"/>
      <c r="G26" s="164"/>
      <c r="H26" s="138" t="s">
        <v>107</v>
      </c>
      <c r="I26" s="139" t="str">
        <f>+'SAF 011'!F24</f>
        <v>CAJA</v>
      </c>
      <c r="J26" s="78">
        <f>'SAF 011'!V24</f>
        <v>457848</v>
      </c>
      <c r="K26" s="140">
        <f>+'SAF 011'!U24</f>
        <v>2</v>
      </c>
      <c r="M26" s="80">
        <f t="shared" si="0"/>
        <v>915696</v>
      </c>
    </row>
    <row r="27" spans="1:13" ht="15.75" customHeight="1" x14ac:dyDescent="0.25">
      <c r="A27" s="31">
        <v>16</v>
      </c>
      <c r="B27" s="32"/>
      <c r="C27" s="164" t="str">
        <f>'SAF 011'!E25</f>
        <v>Trastuzumab 440MG.</v>
      </c>
      <c r="D27" s="164"/>
      <c r="E27" s="164"/>
      <c r="F27" s="164"/>
      <c r="G27" s="164"/>
      <c r="H27" s="138" t="s">
        <v>107</v>
      </c>
      <c r="I27" s="139" t="str">
        <f>+'SAF 011'!F25</f>
        <v>Frasco -ampolla</v>
      </c>
      <c r="J27" s="78">
        <f>'SAF 011'!V25</f>
        <v>162650</v>
      </c>
      <c r="K27" s="140">
        <f>+'SAF 011'!U25</f>
        <v>5</v>
      </c>
      <c r="M27" s="80">
        <f t="shared" si="0"/>
        <v>813250</v>
      </c>
    </row>
    <row r="28" spans="1:13" ht="16.5" thickBot="1" x14ac:dyDescent="0.3">
      <c r="A28" s="141"/>
      <c r="B28" s="142"/>
      <c r="C28" s="176"/>
      <c r="D28" s="176"/>
      <c r="E28" s="176"/>
      <c r="F28" s="176"/>
      <c r="G28" s="176"/>
      <c r="H28" s="143"/>
      <c r="I28" s="144"/>
      <c r="J28" s="145"/>
      <c r="K28" s="146"/>
    </row>
    <row r="29" spans="1:13" ht="36" customHeight="1" thickBot="1" x14ac:dyDescent="0.3">
      <c r="A29" s="174" t="s">
        <v>108</v>
      </c>
      <c r="B29" s="174"/>
      <c r="C29" s="174"/>
      <c r="D29" s="174"/>
      <c r="E29" s="174"/>
      <c r="F29" s="174"/>
      <c r="G29" s="174"/>
      <c r="H29" s="174"/>
      <c r="I29" s="174"/>
      <c r="J29" s="175">
        <f>+M29</f>
        <v>15119182.6</v>
      </c>
      <c r="K29" s="175"/>
      <c r="M29" s="80">
        <f>SUM(M12:M28)</f>
        <v>15119182.6</v>
      </c>
    </row>
  </sheetData>
  <mergeCells count="39">
    <mergeCell ref="C22:G22"/>
    <mergeCell ref="C17:G17"/>
    <mergeCell ref="C18:G18"/>
    <mergeCell ref="C19:G19"/>
    <mergeCell ref="C20:G20"/>
    <mergeCell ref="C21:G21"/>
    <mergeCell ref="A29:I29"/>
    <mergeCell ref="J29:K29"/>
    <mergeCell ref="C23:G23"/>
    <mergeCell ref="C24:G24"/>
    <mergeCell ref="C25:G25"/>
    <mergeCell ref="C26:G26"/>
    <mergeCell ref="C27:G27"/>
    <mergeCell ref="C28:G28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0" workbookViewId="0">
      <selection activeCell="S9" sqref="S9"/>
    </sheetView>
  </sheetViews>
  <sheetFormatPr baseColWidth="10" defaultRowHeight="15" x14ac:dyDescent="0.25"/>
  <cols>
    <col min="1" max="5" width="4.42578125" customWidth="1"/>
    <col min="6" max="6" width="7.71093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78" t="s">
        <v>5</v>
      </c>
      <c r="B1" s="178"/>
      <c r="C1" s="178"/>
      <c r="D1" s="179">
        <v>2022</v>
      </c>
      <c r="E1" s="179"/>
      <c r="F1" s="33"/>
      <c r="G1" s="33"/>
      <c r="H1" s="34"/>
      <c r="I1" s="34"/>
      <c r="J1" s="34"/>
      <c r="K1" s="34"/>
      <c r="L1" s="34"/>
      <c r="M1" s="34"/>
      <c r="N1" s="34"/>
      <c r="O1" s="35"/>
      <c r="P1" s="180" t="s">
        <v>60</v>
      </c>
      <c r="Q1" s="180"/>
    </row>
    <row r="2" spans="1:17" ht="15.75" thickBot="1" x14ac:dyDescent="0.3">
      <c r="A2" s="36"/>
      <c r="B2" s="37"/>
      <c r="C2" s="37"/>
      <c r="D2" s="37"/>
      <c r="E2" s="37"/>
      <c r="F2" s="37"/>
      <c r="G2" s="38"/>
      <c r="H2" s="39"/>
      <c r="I2" s="39"/>
      <c r="J2" s="39"/>
      <c r="K2" s="39"/>
      <c r="L2" s="39"/>
      <c r="M2" s="39"/>
      <c r="N2" s="39"/>
      <c r="O2" s="37"/>
      <c r="P2" s="180"/>
      <c r="Q2" s="180"/>
    </row>
    <row r="3" spans="1:17" ht="15.75" thickBot="1" x14ac:dyDescent="0.3">
      <c r="A3" s="36"/>
      <c r="B3" s="37"/>
      <c r="C3" s="37"/>
      <c r="D3" s="37"/>
      <c r="E3" s="37"/>
      <c r="F3" s="37"/>
      <c r="G3" s="38"/>
      <c r="H3" s="37"/>
      <c r="I3" s="37"/>
      <c r="J3" s="37"/>
      <c r="K3" s="37"/>
      <c r="L3" s="37"/>
      <c r="M3" s="37"/>
      <c r="N3" s="37"/>
      <c r="O3" s="37"/>
      <c r="P3" s="37"/>
      <c r="Q3" s="40"/>
    </row>
    <row r="4" spans="1:17" s="98" customFormat="1" ht="15.75" thickBot="1" x14ac:dyDescent="0.3">
      <c r="A4" s="181" t="s">
        <v>61</v>
      </c>
      <c r="B4" s="181"/>
      <c r="C4" s="181"/>
      <c r="D4" s="181"/>
      <c r="E4" s="181"/>
      <c r="F4" s="181"/>
      <c r="G4" s="182" t="str">
        <f>NP!D3</f>
        <v>040 - MINISTERIO DE SALUD</v>
      </c>
      <c r="H4" s="182"/>
      <c r="I4" s="182"/>
      <c r="J4" s="182"/>
      <c r="K4" s="182"/>
      <c r="L4" s="182"/>
      <c r="M4" s="182"/>
      <c r="N4" s="182"/>
      <c r="O4" s="182"/>
      <c r="P4" s="182"/>
      <c r="Q4" s="182"/>
    </row>
    <row r="5" spans="1:17" s="98" customFormat="1" ht="15.75" thickBot="1" x14ac:dyDescent="0.3">
      <c r="A5" s="183" t="s">
        <v>48</v>
      </c>
      <c r="B5" s="183"/>
      <c r="C5" s="183"/>
      <c r="D5" s="183"/>
      <c r="E5" s="183"/>
      <c r="F5" s="183"/>
      <c r="G5" s="182" t="str">
        <f>NP!D4</f>
        <v>011 - DIRECCION PROVINCIAL DE ADMINISTRACION - MINISTERIO DE SALUD</v>
      </c>
      <c r="H5" s="182"/>
      <c r="I5" s="182"/>
      <c r="J5" s="182"/>
      <c r="K5" s="182"/>
      <c r="L5" s="182"/>
      <c r="M5" s="182"/>
      <c r="N5" s="182"/>
      <c r="O5" s="182"/>
      <c r="P5" s="182"/>
      <c r="Q5" s="182"/>
    </row>
    <row r="6" spans="1:17" s="98" customFormat="1" ht="15.75" thickBot="1" x14ac:dyDescent="0.3">
      <c r="A6" s="183" t="s">
        <v>49</v>
      </c>
      <c r="B6" s="183"/>
      <c r="C6" s="183"/>
      <c r="D6" s="183"/>
      <c r="E6" s="183"/>
      <c r="F6" s="183"/>
      <c r="G6" s="182" t="str">
        <f>NP!D5</f>
        <v>DIRECCION PROVINCIAL DE CANCER</v>
      </c>
      <c r="H6" s="182"/>
      <c r="I6" s="182"/>
      <c r="J6" s="182"/>
      <c r="K6" s="182"/>
      <c r="L6" s="182"/>
      <c r="M6" s="182"/>
      <c r="N6" s="182"/>
      <c r="O6" s="182"/>
      <c r="P6" s="182"/>
      <c r="Q6" s="182"/>
    </row>
    <row r="7" spans="1:17" s="98" customFormat="1" ht="15.75" thickBot="1" x14ac:dyDescent="0.3">
      <c r="A7" s="183" t="s">
        <v>50</v>
      </c>
      <c r="B7" s="183"/>
      <c r="C7" s="183"/>
      <c r="D7" s="183"/>
      <c r="E7" s="183"/>
      <c r="F7" s="183"/>
      <c r="G7" s="182" t="str">
        <f>NP!D6</f>
        <v>DIRECCION PROVINCIAL DE CANCER</v>
      </c>
      <c r="H7" s="182"/>
      <c r="I7" s="182"/>
      <c r="J7" s="182"/>
      <c r="K7" s="182"/>
      <c r="L7" s="182"/>
      <c r="M7" s="182"/>
      <c r="N7" s="182"/>
      <c r="O7" s="182"/>
      <c r="P7" s="182"/>
      <c r="Q7" s="182"/>
    </row>
    <row r="8" spans="1:17" ht="15.75" thickBot="1" x14ac:dyDescent="0.3">
      <c r="A8" s="184" t="s">
        <v>62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</row>
    <row r="9" spans="1:17" ht="20.25" customHeight="1" x14ac:dyDescent="0.25">
      <c r="A9" s="177" t="s">
        <v>63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</row>
    <row r="10" spans="1:17" s="98" customFormat="1" ht="69" customHeight="1" x14ac:dyDescent="0.25">
      <c r="A10" s="186" t="s">
        <v>93</v>
      </c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</row>
    <row r="11" spans="1:17" ht="15.75" thickBot="1" x14ac:dyDescent="0.3">
      <c r="A11" s="41"/>
      <c r="B11" s="42"/>
      <c r="C11" s="42"/>
      <c r="D11" s="42"/>
      <c r="E11" s="42"/>
      <c r="F11" s="42"/>
      <c r="G11" s="43"/>
      <c r="H11" s="42"/>
      <c r="I11" s="42"/>
      <c r="J11" s="42"/>
      <c r="K11" s="42"/>
      <c r="L11" s="42"/>
      <c r="M11" s="42"/>
      <c r="N11" s="42"/>
      <c r="O11" s="42"/>
      <c r="P11" s="42"/>
      <c r="Q11" s="44"/>
    </row>
    <row r="12" spans="1:17" ht="15.75" thickBot="1" x14ac:dyDescent="0.3">
      <c r="A12" s="187" t="s">
        <v>64</v>
      </c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</row>
    <row r="13" spans="1:17" ht="15.75" thickBot="1" x14ac:dyDescent="0.3">
      <c r="A13" s="188" t="s">
        <v>65</v>
      </c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9" t="s">
        <v>66</v>
      </c>
      <c r="P13" s="189"/>
      <c r="Q13" s="190" t="s">
        <v>67</v>
      </c>
    </row>
    <row r="14" spans="1:17" ht="15.75" thickBot="1" x14ac:dyDescent="0.3">
      <c r="A14" s="45" t="s">
        <v>68</v>
      </c>
      <c r="B14" s="46" t="s">
        <v>69</v>
      </c>
      <c r="C14" s="46" t="s">
        <v>70</v>
      </c>
      <c r="D14" s="46" t="s">
        <v>71</v>
      </c>
      <c r="E14" s="46" t="s">
        <v>72</v>
      </c>
      <c r="F14" s="46" t="s">
        <v>73</v>
      </c>
      <c r="G14" s="47" t="s">
        <v>74</v>
      </c>
      <c r="H14" s="46" t="s">
        <v>75</v>
      </c>
      <c r="I14" s="46" t="s">
        <v>76</v>
      </c>
      <c r="J14" s="46" t="s">
        <v>77</v>
      </c>
      <c r="K14" s="46" t="s">
        <v>77</v>
      </c>
      <c r="L14" s="46" t="s">
        <v>78</v>
      </c>
      <c r="M14" s="48" t="s">
        <v>79</v>
      </c>
      <c r="N14" s="49" t="s">
        <v>80</v>
      </c>
      <c r="O14" s="189"/>
      <c r="P14" s="189"/>
      <c r="Q14" s="190"/>
    </row>
    <row r="15" spans="1:17" s="98" customFormat="1" ht="35.25" customHeight="1" x14ac:dyDescent="0.25">
      <c r="A15" s="147">
        <v>44</v>
      </c>
      <c r="B15" s="148"/>
      <c r="C15" s="148"/>
      <c r="D15" s="148">
        <v>1</v>
      </c>
      <c r="E15" s="148"/>
      <c r="F15" s="148">
        <v>4901</v>
      </c>
      <c r="G15" s="148">
        <v>3</v>
      </c>
      <c r="H15" s="148">
        <v>1</v>
      </c>
      <c r="I15" s="148">
        <v>2</v>
      </c>
      <c r="J15" s="148">
        <v>5</v>
      </c>
      <c r="K15" s="148">
        <v>2</v>
      </c>
      <c r="L15" s="148"/>
      <c r="M15" s="149">
        <v>1</v>
      </c>
      <c r="N15" s="148" t="s">
        <v>94</v>
      </c>
      <c r="O15" s="191" t="s">
        <v>95</v>
      </c>
      <c r="P15" s="191"/>
      <c r="Q15" s="150">
        <f>NP!M29</f>
        <v>15119182.6</v>
      </c>
    </row>
    <row r="16" spans="1:17" x14ac:dyDescent="0.25">
      <c r="A16" s="50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2"/>
      <c r="N16" s="53"/>
      <c r="O16" s="192"/>
      <c r="P16" s="192"/>
      <c r="Q16" s="54"/>
    </row>
    <row r="17" spans="1:17" x14ac:dyDescent="0.25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2"/>
      <c r="N17" s="53"/>
      <c r="O17" s="193"/>
      <c r="P17" s="193"/>
      <c r="Q17" s="54"/>
    </row>
    <row r="18" spans="1:17" x14ac:dyDescent="0.25">
      <c r="A18" s="50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2"/>
      <c r="N18" s="53"/>
      <c r="O18" s="185"/>
      <c r="P18" s="185"/>
      <c r="Q18" s="54"/>
    </row>
    <row r="19" spans="1:17" x14ac:dyDescent="0.25">
      <c r="A19" s="50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2"/>
      <c r="N19" s="53"/>
      <c r="O19" s="185"/>
      <c r="P19" s="185"/>
      <c r="Q19" s="54"/>
    </row>
    <row r="20" spans="1:17" x14ac:dyDescent="0.25">
      <c r="A20" s="50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2"/>
      <c r="N20" s="53"/>
      <c r="O20" s="185"/>
      <c r="P20" s="185"/>
      <c r="Q20" s="54"/>
    </row>
    <row r="21" spans="1:17" x14ac:dyDescent="0.25">
      <c r="A21" s="50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2"/>
      <c r="N21" s="53"/>
      <c r="O21" s="185"/>
      <c r="P21" s="185"/>
      <c r="Q21" s="54"/>
    </row>
    <row r="22" spans="1:17" x14ac:dyDescent="0.25">
      <c r="A22" s="50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2"/>
      <c r="N22" s="53"/>
      <c r="O22" s="185"/>
      <c r="P22" s="185"/>
      <c r="Q22" s="54"/>
    </row>
    <row r="23" spans="1:17" x14ac:dyDescent="0.25">
      <c r="A23" s="50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2"/>
      <c r="N23" s="53"/>
      <c r="O23" s="185"/>
      <c r="P23" s="185"/>
      <c r="Q23" s="54"/>
    </row>
    <row r="24" spans="1:17" x14ac:dyDescent="0.25">
      <c r="A24" s="50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2"/>
      <c r="N24" s="53"/>
      <c r="O24" s="185"/>
      <c r="P24" s="185"/>
      <c r="Q24" s="54"/>
    </row>
    <row r="25" spans="1:17" x14ac:dyDescent="0.25">
      <c r="A25" s="50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2"/>
      <c r="N25" s="53"/>
      <c r="O25" s="185"/>
      <c r="P25" s="185"/>
      <c r="Q25" s="54"/>
    </row>
    <row r="26" spans="1:17" x14ac:dyDescent="0.25">
      <c r="A26" s="50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2"/>
      <c r="N26" s="53"/>
      <c r="O26" s="185"/>
      <c r="P26" s="185"/>
      <c r="Q26" s="54"/>
    </row>
    <row r="27" spans="1:17" x14ac:dyDescent="0.25">
      <c r="A27" s="50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2"/>
      <c r="N27" s="53"/>
      <c r="O27" s="185"/>
      <c r="P27" s="185"/>
      <c r="Q27" s="54"/>
    </row>
    <row r="28" spans="1:17" x14ac:dyDescent="0.25">
      <c r="A28" s="50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2"/>
      <c r="N28" s="53"/>
      <c r="O28" s="185"/>
      <c r="P28" s="185"/>
      <c r="Q28" s="54"/>
    </row>
    <row r="29" spans="1:17" x14ac:dyDescent="0.25">
      <c r="A29" s="50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  <c r="N29" s="53"/>
      <c r="O29" s="185"/>
      <c r="P29" s="185"/>
      <c r="Q29" s="54"/>
    </row>
    <row r="30" spans="1:17" x14ac:dyDescent="0.25">
      <c r="A30" s="50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2"/>
      <c r="N30" s="53"/>
      <c r="O30" s="185"/>
      <c r="P30" s="185"/>
      <c r="Q30" s="54"/>
    </row>
    <row r="31" spans="1:17" x14ac:dyDescent="0.25">
      <c r="A31" s="50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2"/>
      <c r="N31" s="53"/>
      <c r="O31" s="185"/>
      <c r="P31" s="185"/>
      <c r="Q31" s="54"/>
    </row>
    <row r="32" spans="1:17" x14ac:dyDescent="0.25">
      <c r="A32" s="50"/>
      <c r="B32" s="51"/>
      <c r="C32" s="51"/>
      <c r="D32" s="51"/>
      <c r="E32" s="51"/>
      <c r="F32" s="53"/>
      <c r="G32" s="51"/>
      <c r="H32" s="51"/>
      <c r="I32" s="51"/>
      <c r="J32" s="51"/>
      <c r="K32" s="51"/>
      <c r="L32" s="51"/>
      <c r="M32" s="52"/>
      <c r="N32" s="53"/>
      <c r="O32" s="192"/>
      <c r="P32" s="192"/>
      <c r="Q32" s="54"/>
    </row>
    <row r="33" spans="1:17" x14ac:dyDescent="0.25">
      <c r="A33" s="50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2"/>
      <c r="N33" s="53"/>
      <c r="O33" s="192"/>
      <c r="P33" s="192"/>
      <c r="Q33" s="54"/>
    </row>
    <row r="34" spans="1:17" x14ac:dyDescent="0.25">
      <c r="A34" s="50"/>
      <c r="B34" s="51"/>
      <c r="C34" s="51"/>
      <c r="D34" s="51"/>
      <c r="E34" s="51"/>
      <c r="F34" s="53"/>
      <c r="G34" s="51"/>
      <c r="H34" s="51"/>
      <c r="I34" s="51"/>
      <c r="J34" s="51"/>
      <c r="K34" s="51"/>
      <c r="L34" s="51"/>
      <c r="M34" s="52"/>
      <c r="N34" s="53"/>
      <c r="O34" s="192"/>
      <c r="P34" s="192"/>
      <c r="Q34" s="54"/>
    </row>
    <row r="35" spans="1:17" x14ac:dyDescent="0.25">
      <c r="A35" s="50"/>
      <c r="B35" s="51"/>
      <c r="C35" s="51"/>
      <c r="D35" s="51"/>
      <c r="E35" s="51"/>
      <c r="F35" s="53"/>
      <c r="G35" s="51"/>
      <c r="H35" s="51"/>
      <c r="I35" s="51"/>
      <c r="J35" s="51"/>
      <c r="K35" s="51"/>
      <c r="L35" s="51"/>
      <c r="M35" s="52"/>
      <c r="N35" s="53"/>
      <c r="O35" s="192"/>
      <c r="P35" s="192"/>
      <c r="Q35" s="54"/>
    </row>
    <row r="36" spans="1:17" x14ac:dyDescent="0.25">
      <c r="A36" s="55"/>
      <c r="B36" s="56"/>
      <c r="C36" s="56"/>
      <c r="D36" s="56"/>
      <c r="E36" s="56"/>
      <c r="F36" s="57"/>
      <c r="G36" s="56"/>
      <c r="H36" s="56"/>
      <c r="I36" s="56"/>
      <c r="J36" s="56"/>
      <c r="K36" s="56"/>
      <c r="L36" s="56"/>
      <c r="M36" s="58"/>
      <c r="N36" s="59"/>
      <c r="O36" s="197"/>
      <c r="P36" s="197"/>
      <c r="Q36" s="54"/>
    </row>
    <row r="37" spans="1:17" ht="15.75" thickBot="1" x14ac:dyDescent="0.3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2"/>
      <c r="N37" s="61"/>
      <c r="O37" s="198"/>
      <c r="P37" s="198"/>
      <c r="Q37" s="63"/>
    </row>
    <row r="38" spans="1:17" ht="33" customHeight="1" thickBot="1" x14ac:dyDescent="0.3">
      <c r="A38" s="199" t="s">
        <v>109</v>
      </c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64">
        <f>SUM(Q15:Q37)</f>
        <v>15119182.6</v>
      </c>
    </row>
    <row r="39" spans="1:17" ht="15.75" thickBot="1" x14ac:dyDescent="0.3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</row>
    <row r="40" spans="1:17" ht="15.75" thickBot="1" x14ac:dyDescent="0.3">
      <c r="A40" s="194" t="s">
        <v>81</v>
      </c>
      <c r="B40" s="194"/>
      <c r="C40" s="194"/>
      <c r="D40" s="194"/>
      <c r="E40" s="194"/>
      <c r="F40" s="194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</row>
    <row r="41" spans="1:17" s="98" customFormat="1" ht="15.75" thickBot="1" x14ac:dyDescent="0.3">
      <c r="A41" s="196" t="str">
        <f>NP!D8</f>
        <v>ADQUISICION DEL RUBRO MEDICAMENTOS ONCOLOGICOS</v>
      </c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</row>
    <row r="42" spans="1:17" s="98" customFormat="1" ht="15.75" thickBot="1" x14ac:dyDescent="0.3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ADRIAN</cp:lastModifiedBy>
  <dcterms:created xsi:type="dcterms:W3CDTF">2021-12-21T17:55:07Z</dcterms:created>
  <dcterms:modified xsi:type="dcterms:W3CDTF">2022-01-24T14:07:11Z</dcterms:modified>
</cp:coreProperties>
</file>