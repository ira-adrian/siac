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heckCompatibility="1" defaultThemeVersion="124226"/>
  <bookViews>
    <workbookView xWindow="-120" yWindow="0" windowWidth="17490" windowHeight="10890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Trimestrales'!$A$9:$I$10</definedName>
    <definedName name="_xlnm.Print_Area" localSheetId="1">' NotaPedido'!$A$1:$K$13</definedName>
    <definedName name="_xlnm.Print_Area" localSheetId="2">'Autor Gastar'!$A$1:$Q$26</definedName>
    <definedName name="_xlnm.Print_Area" localSheetId="0">'Necesidades Trimestrales'!$E$9:$E$10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2" i="2" l="1"/>
  <c r="Q22" i="3" l="1"/>
  <c r="J12" i="2" l="1"/>
  <c r="I12" i="2"/>
  <c r="C12" i="2"/>
  <c r="I10" i="1" l="1"/>
  <c r="J13" i="2" l="1"/>
  <c r="A10" i="3" l="1"/>
  <c r="D3" i="2" l="1"/>
  <c r="G4" i="3" s="1"/>
  <c r="D4" i="2"/>
  <c r="G5" i="3" l="1"/>
  <c r="D5" i="2"/>
  <c r="D1" i="3"/>
  <c r="D6" i="2" l="1"/>
  <c r="G7" i="3" s="1"/>
  <c r="G6" i="3"/>
</calcChain>
</file>

<file path=xl/sharedStrings.xml><?xml version="1.0" encoding="utf-8"?>
<sst xmlns="http://schemas.openxmlformats.org/spreadsheetml/2006/main" count="82" uniqueCount="77">
  <si>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</si>
  <si>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</si>
  <si>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</si>
  <si>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</si>
  <si>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</si>
  <si>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</si>
  <si>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</si>
  <si>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</si>
  <si>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</si>
  <si>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</si>
  <si>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</si>
  <si>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</si>
  <si>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</si>
  <si>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</si>
  <si>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</si>
  <si>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</si>
  <si>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</si>
  <si>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</si>
  <si>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</si>
  <si>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</si>
  <si>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</si>
  <si>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</si>
  <si>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</si>
  <si>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</si>
  <si>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</si>
  <si>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</si>
  <si>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</si>
  <si>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</si>
  <si>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</si>
  <si>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</si>
  <si>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</si>
  <si>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</si>
  <si>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</si>
  <si>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</si>
  <si>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</si>
  <si>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</si>
  <si>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</si>
  <si>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</si>
  <si>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</si>
  <si>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</si>
  <si>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</si>
  <si>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</si>
  <si>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</si>
  <si>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</si>
  <si>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</si>
  <si>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</si>
  <si>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</si>
  <si>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</si>
  <si>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</si>
  <si>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</si>
  <si>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</si>
  <si>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</si>
  <si>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</si>
  <si>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</si>
  <si>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Semestral</t>
  </si>
  <si>
    <t>Adquisición de TERAPIA RESPIRATORIA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</si>
  <si>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</si>
  <si>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</si>
  <si>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</t>
    </r>
  </si>
  <si>
    <r>
      <t>Mantenimiento de Oferta</t>
    </r>
    <r>
      <rPr>
        <sz val="10"/>
        <rFont val="Times New Roman"/>
        <family val="1"/>
      </rPr>
      <t xml:space="preserve">: 45 dias habiles </t>
    </r>
  </si>
  <si>
    <t>Descripción técnica</t>
  </si>
  <si>
    <t>Para AIRVO 2.</t>
  </si>
  <si>
    <t>Especificidades Item N° 32:</t>
  </si>
  <si>
    <t>Especificidades Item N° 33:</t>
  </si>
  <si>
    <t>|</t>
  </si>
  <si>
    <t>24 - HOPITAL DE NIÑOS EVA PERON</t>
  </si>
  <si>
    <t>012-2022</t>
  </si>
  <si>
    <t>Para la adquisición de Insumos paraTerapia Respiratoria destinados al Servicio de Farmacia del Hospital Interzonal de Niños Eva Peron, para el normal funcionamiento del organismo.</t>
  </si>
  <si>
    <r>
      <t xml:space="preserve">Descripción técnica: </t>
    </r>
    <r>
      <rPr>
        <sz val="10"/>
        <rFont val="Times New Roman"/>
        <family val="1"/>
      </rPr>
      <t xml:space="preserve">CON RAMAL INSPIRATORIO CALENTADO </t>
    </r>
  </si>
  <si>
    <r>
      <t xml:space="preserve">Descripción técnica: </t>
    </r>
    <r>
      <rPr>
        <sz val="10"/>
        <rFont val="Times New Roman"/>
        <family val="1"/>
      </rPr>
      <t xml:space="preserve">CON RAMAL ISNPIRATORIO CALENTADO </t>
    </r>
  </si>
  <si>
    <t>Especificidades Item N° 31:</t>
  </si>
  <si>
    <t>2.5.2-1726.519</t>
  </si>
  <si>
    <t>SOLUCIONES P/MEDICINA; PRESENTACION: AMPOLLA X 20 ML, TIPO: CLORURO DE SODIO MOLAR AL 20 %</t>
  </si>
  <si>
    <t>AMPOLLA</t>
  </si>
  <si>
    <t>Costo total estimado: Sesenta y un Mil seiscientos con 00/100.</t>
  </si>
  <si>
    <t>TOTAL DE PESOS: Sesenta y un mil seiscientos con 30/100.</t>
  </si>
  <si>
    <t>PRODUCTOS FARMACEUTICOS Y MEDICINALES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</si>
</sst>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 &quot;$&quot;\ * #,##0.00_ ;_ &quot;$&quot;\ * \-#,##0.00_ ;_ &quot;$&quot;\ * &quot;-&quot;??_ ;_ @_ 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&quot;$&quot;\ #,##0.00"/>
  </numFmts>
  <fonts count="26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54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8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143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11" xfId="0" applyBorder="1"/>
    <xf numFmtId="0" fontId="0" fillId="0" borderId="26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27" xfId="0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7" fontId="0" fillId="0" borderId="35" xfId="3" applyNumberFormat="1" applyFont="1" applyBorder="1" applyAlignment="1" applyProtection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167" fontId="0" fillId="0" borderId="40" xfId="3" applyNumberFormat="1" applyFont="1" applyBorder="1" applyAlignment="1" applyProtection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67" fontId="0" fillId="0" borderId="44" xfId="3" applyNumberFormat="1" applyFont="1" applyBorder="1" applyAlignment="1" applyProtection="1">
      <alignment horizontal="center" vertical="center"/>
    </xf>
    <xf numFmtId="0" fontId="5" fillId="3" borderId="11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vertical="center"/>
    </xf>
    <xf numFmtId="0" fontId="0" fillId="3" borderId="0" xfId="0" applyFill="1"/>
    <xf numFmtId="0" fontId="5" fillId="3" borderId="13" xfId="0" applyFont="1" applyFill="1" applyBorder="1" applyAlignment="1">
      <alignment vertical="center"/>
    </xf>
    <xf numFmtId="0" fontId="5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 wrapText="1" indent="1"/>
    </xf>
    <xf numFmtId="0" fontId="4" fillId="3" borderId="51" xfId="0" applyFont="1" applyFill="1" applyBorder="1" applyAlignment="1">
      <alignment horizontal="center" vertical="center"/>
    </xf>
    <xf numFmtId="0" fontId="4" fillId="3" borderId="51" xfId="0" applyFont="1" applyFill="1" applyBorder="1" applyAlignment="1">
      <alignment horizontal="center" vertical="center" wrapText="1"/>
    </xf>
    <xf numFmtId="167" fontId="4" fillId="3" borderId="51" xfId="1" applyNumberFormat="1" applyFont="1" applyFill="1" applyBorder="1" applyAlignment="1" applyProtection="1">
      <alignment horizontal="right" vertical="center" wrapText="1"/>
    </xf>
    <xf numFmtId="3" fontId="4" fillId="3" borderId="51" xfId="0" applyNumberFormat="1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left" vertical="center"/>
    </xf>
    <xf numFmtId="0" fontId="4" fillId="4" borderId="20" xfId="0" applyFont="1" applyFill="1" applyBorder="1" applyAlignment="1">
      <alignment horizontal="center" vertical="center"/>
    </xf>
    <xf numFmtId="0" fontId="15" fillId="3" borderId="0" xfId="0" applyFont="1" applyFill="1"/>
    <xf numFmtId="0" fontId="18" fillId="3" borderId="0" xfId="0" applyFont="1" applyFill="1" applyAlignment="1">
      <alignment horizontal="left" wrapText="1"/>
    </xf>
    <xf numFmtId="0" fontId="18" fillId="3" borderId="0" xfId="0" applyFont="1" applyFill="1" applyAlignment="1">
      <alignment horizontal="center" wrapText="1"/>
    </xf>
    <xf numFmtId="0" fontId="23" fillId="3" borderId="2" xfId="0" applyFont="1" applyFill="1" applyBorder="1" applyAlignment="1">
      <alignment horizontal="center" vertical="center" wrapText="1"/>
    </xf>
    <xf numFmtId="0" fontId="23" fillId="3" borderId="52" xfId="0" applyFont="1" applyFill="1" applyBorder="1" applyAlignment="1">
      <alignment horizontal="center" vertical="center" wrapText="1"/>
    </xf>
    <xf numFmtId="0" fontId="23" fillId="3" borderId="53" xfId="0" applyFont="1" applyFill="1" applyBorder="1" applyAlignment="1">
      <alignment horizontal="center" vertical="center" wrapText="1"/>
    </xf>
    <xf numFmtId="0" fontId="23" fillId="3" borderId="49" xfId="0" applyFont="1" applyFill="1" applyBorder="1" applyAlignment="1">
      <alignment horizontal="center" vertical="center" wrapText="1"/>
    </xf>
    <xf numFmtId="164" fontId="15" fillId="3" borderId="0" xfId="0" applyNumberFormat="1" applyFont="1" applyFill="1"/>
    <xf numFmtId="164" fontId="23" fillId="3" borderId="2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21" fillId="0" borderId="3" xfId="0" applyFont="1" applyBorder="1" applyAlignment="1">
      <alignment horizontal="left" indent="3"/>
    </xf>
    <xf numFmtId="0" fontId="15" fillId="0" borderId="4" xfId="0" applyFont="1" applyBorder="1"/>
    <xf numFmtId="0" fontId="15" fillId="0" borderId="5" xfId="0" applyFont="1" applyBorder="1"/>
    <xf numFmtId="170" fontId="20" fillId="0" borderId="0" xfId="0" applyNumberFormat="1" applyFont="1"/>
    <xf numFmtId="167" fontId="15" fillId="0" borderId="0" xfId="0" applyNumberFormat="1" applyFont="1"/>
    <xf numFmtId="0" fontId="15" fillId="0" borderId="6" xfId="0" applyFont="1" applyBorder="1"/>
    <xf numFmtId="0" fontId="15" fillId="0" borderId="0" xfId="0" applyFont="1" applyBorder="1"/>
    <xf numFmtId="0" fontId="21" fillId="0" borderId="8" xfId="0" applyFont="1" applyBorder="1" applyAlignment="1"/>
    <xf numFmtId="0" fontId="15" fillId="0" borderId="9" xfId="0" applyFont="1" applyBorder="1" applyAlignment="1">
      <alignment horizontal="center" wrapText="1"/>
    </xf>
    <xf numFmtId="0" fontId="15" fillId="0" borderId="9" xfId="0" applyFont="1" applyFill="1" applyBorder="1" applyAlignment="1">
      <alignment horizontal="center" wrapText="1"/>
    </xf>
    <xf numFmtId="0" fontId="15" fillId="0" borderId="10" xfId="0" applyFont="1" applyBorder="1" applyAlignment="1">
      <alignment horizontal="center" wrapText="1"/>
    </xf>
    <xf numFmtId="0" fontId="21" fillId="0" borderId="3" xfId="0" applyFont="1" applyBorder="1"/>
    <xf numFmtId="0" fontId="21" fillId="0" borderId="6" xfId="0" applyFont="1" applyBorder="1" applyAlignment="1"/>
    <xf numFmtId="0" fontId="15" fillId="0" borderId="7" xfId="0" applyFont="1" applyBorder="1"/>
    <xf numFmtId="0" fontId="15" fillId="0" borderId="0" xfId="0" applyFont="1" applyFill="1" applyBorder="1" applyAlignment="1">
      <alignment horizontal="left" vertical="center" wrapText="1"/>
    </xf>
    <xf numFmtId="0" fontId="18" fillId="0" borderId="0" xfId="0" applyFont="1" applyFill="1" applyAlignment="1">
      <alignment horizontal="left" wrapText="1"/>
    </xf>
    <xf numFmtId="0" fontId="18" fillId="0" borderId="0" xfId="0" applyFont="1" applyFill="1" applyAlignment="1">
      <alignment horizontal="center" wrapText="1"/>
    </xf>
    <xf numFmtId="164" fontId="15" fillId="0" borderId="0" xfId="0" applyNumberFormat="1" applyFont="1" applyFill="1"/>
    <xf numFmtId="0" fontId="15" fillId="0" borderId="0" xfId="0" applyFont="1" applyFill="1"/>
    <xf numFmtId="0" fontId="22" fillId="0" borderId="0" xfId="0" applyFont="1" applyFill="1" applyAlignment="1">
      <alignment horizontal="left" wrapText="1" indent="1"/>
    </xf>
    <xf numFmtId="0" fontId="19" fillId="0" borderId="0" xfId="0" applyFont="1" applyFill="1" applyAlignment="1">
      <alignment horizontal="left" wrapText="1"/>
    </xf>
    <xf numFmtId="0" fontId="24" fillId="0" borderId="50" xfId="0" applyFont="1" applyFill="1" applyBorder="1" applyAlignment="1">
      <alignment horizontal="center" vertical="center" wrapText="1"/>
    </xf>
    <xf numFmtId="17" fontId="6" fillId="0" borderId="12" xfId="0" applyNumberFormat="1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0" fillId="0" borderId="34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167" fontId="0" fillId="0" borderId="0" xfId="0" applyNumberFormat="1"/>
    <xf numFmtId="0" fontId="25" fillId="3" borderId="0" xfId="0" applyFont="1" applyFill="1" applyBorder="1" applyAlignment="1">
      <alignment vertical="center"/>
    </xf>
    <xf numFmtId="167" fontId="13" fillId="0" borderId="45" xfId="0" applyNumberFormat="1" applyFont="1" applyFill="1" applyBorder="1" applyAlignment="1">
      <alignment horizontal="center" vertical="center"/>
    </xf>
    <xf numFmtId="0" fontId="14" fillId="0" borderId="0" xfId="0" applyFont="1"/>
    <xf numFmtId="0" fontId="14" fillId="0" borderId="50" xfId="0" applyFont="1" applyFill="1" applyBorder="1" applyAlignment="1">
      <alignment horizontal="center" vertical="center"/>
    </xf>
    <xf numFmtId="3" fontId="14" fillId="0" borderId="50" xfId="0" applyNumberFormat="1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left" vertical="center"/>
    </xf>
    <xf numFmtId="44" fontId="14" fillId="0" borderId="50" xfId="1" applyNumberFormat="1" applyFont="1" applyFill="1" applyBorder="1" applyAlignment="1">
      <alignment horizontal="center"/>
    </xf>
    <xf numFmtId="44" fontId="14" fillId="0" borderId="50" xfId="1" applyNumberFormat="1" applyFont="1" applyFill="1" applyBorder="1" applyAlignment="1" applyProtection="1">
      <alignment horizontal="right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22" fillId="4" borderId="0" xfId="0" applyFont="1" applyFill="1" applyBorder="1" applyAlignment="1">
      <alignment horizontal="left" wrapText="1" indent="1"/>
    </xf>
    <xf numFmtId="0" fontId="22" fillId="0" borderId="0" xfId="0" applyFont="1" applyFill="1" applyBorder="1" applyAlignment="1">
      <alignment horizontal="left" wrapText="1" indent="1"/>
    </xf>
    <xf numFmtId="0" fontId="15" fillId="0" borderId="8" xfId="0" applyFont="1" applyFill="1" applyBorder="1" applyAlignment="1">
      <alignment horizontal="left" vertical="center" wrapText="1"/>
    </xf>
    <xf numFmtId="0" fontId="15" fillId="0" borderId="9" xfId="0" applyFont="1" applyFill="1" applyBorder="1" applyAlignment="1">
      <alignment horizontal="left" vertical="center" wrapText="1"/>
    </xf>
    <xf numFmtId="0" fontId="15" fillId="0" borderId="10" xfId="0" applyFont="1" applyFill="1" applyBorder="1" applyAlignment="1">
      <alignment horizontal="left" vertical="center" wrapText="1"/>
    </xf>
    <xf numFmtId="0" fontId="15" fillId="4" borderId="6" xfId="6" applyFont="1" applyFill="1" applyBorder="1" applyAlignment="1">
      <alignment horizontal="left" wrapText="1"/>
    </xf>
    <xf numFmtId="0" fontId="15" fillId="4" borderId="0" xfId="6" applyFont="1" applyFill="1" applyBorder="1" applyAlignment="1">
      <alignment horizontal="left" wrapText="1"/>
    </xf>
    <xf numFmtId="0" fontId="15" fillId="4" borderId="7" xfId="6" applyFont="1" applyFill="1" applyBorder="1" applyAlignment="1">
      <alignment horizontal="left" wrapText="1"/>
    </xf>
    <xf numFmtId="0" fontId="4" fillId="3" borderId="51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center" wrapText="1" indent="1"/>
    </xf>
    <xf numFmtId="168" fontId="7" fillId="3" borderId="15" xfId="0" applyNumberFormat="1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left" vertical="center"/>
    </xf>
    <xf numFmtId="0" fontId="6" fillId="0" borderId="18" xfId="0" applyFont="1" applyFill="1" applyBorder="1" applyAlignment="1">
      <alignment horizontal="left" vertical="center" wrapText="1" indent="1"/>
    </xf>
    <xf numFmtId="0" fontId="8" fillId="3" borderId="17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 wrapText="1"/>
    </xf>
    <xf numFmtId="0" fontId="8" fillId="3" borderId="18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left" vertical="center" wrapText="1"/>
    </xf>
    <xf numFmtId="0" fontId="6" fillId="0" borderId="15" xfId="0" applyFont="1" applyFill="1" applyBorder="1" applyAlignment="1">
      <alignment horizontal="left" vertical="center" wrapText="1" indent="1"/>
    </xf>
    <xf numFmtId="0" fontId="7" fillId="0" borderId="16" xfId="0" applyFont="1" applyFill="1" applyBorder="1" applyAlignment="1">
      <alignment horizontal="left" vertical="center" wrapText="1"/>
    </xf>
    <xf numFmtId="0" fontId="7" fillId="3" borderId="14" xfId="0" applyFont="1" applyFill="1" applyBorder="1" applyAlignment="1">
      <alignment horizontal="left" vertical="center" wrapText="1"/>
    </xf>
    <xf numFmtId="0" fontId="11" fillId="0" borderId="45" xfId="0" applyFont="1" applyFill="1" applyBorder="1" applyAlignment="1">
      <alignment horizontal="left" vertical="center" wrapText="1" indent="1"/>
    </xf>
    <xf numFmtId="0" fontId="0" fillId="0" borderId="39" xfId="0" applyFont="1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0" fillId="0" borderId="42" xfId="0" applyBorder="1" applyAlignment="1">
      <alignment horizontal="left" vertical="center"/>
    </xf>
    <xf numFmtId="0" fontId="9" fillId="0" borderId="45" xfId="0" applyFont="1" applyFill="1" applyBorder="1" applyAlignment="1">
      <alignment horizontal="left" vertical="center" wrapText="1"/>
    </xf>
    <xf numFmtId="0" fontId="0" fillId="0" borderId="23" xfId="0" applyBorder="1"/>
    <xf numFmtId="0" fontId="14" fillId="0" borderId="33" xfId="0" applyFont="1" applyFill="1" applyBorder="1" applyAlignment="1">
      <alignment horizontal="left" vertical="center" wrapText="1"/>
    </xf>
    <xf numFmtId="0" fontId="0" fillId="0" borderId="33" xfId="0" applyFont="1" applyFill="1" applyBorder="1" applyAlignment="1">
      <alignment horizontal="left" vertical="center" wrapText="1"/>
    </xf>
    <xf numFmtId="0" fontId="9" fillId="0" borderId="21" xfId="0" applyFont="1" applyBorder="1" applyAlignment="1">
      <alignment vertical="center" wrapText="1"/>
    </xf>
    <xf numFmtId="0" fontId="9" fillId="0" borderId="46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11" fillId="0" borderId="28" xfId="0" applyFont="1" applyBorder="1" applyAlignment="1">
      <alignment vertical="center" wrapText="1"/>
    </xf>
    <xf numFmtId="0" fontId="11" fillId="0" borderId="24" xfId="0" applyFont="1" applyBorder="1"/>
    <xf numFmtId="0" fontId="11" fillId="0" borderId="25" xfId="0" applyFont="1" applyFill="1" applyBorder="1" applyAlignment="1">
      <alignment horizontal="left" vertical="center" wrapText="1" indent="1"/>
    </xf>
    <xf numFmtId="0" fontId="13" fillId="0" borderId="23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4" fillId="0" borderId="48" xfId="0" applyFont="1" applyFill="1" applyBorder="1" applyAlignment="1">
      <alignment horizontal="left" vertical="center" wrapText="1"/>
    </xf>
    <xf numFmtId="0" fontId="11" fillId="0" borderId="12" xfId="0" applyFont="1" applyFill="1" applyBorder="1" applyAlignment="1">
      <alignment horizontal="left" indent="1"/>
    </xf>
    <xf numFmtId="0" fontId="12" fillId="0" borderId="12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9" fillId="0" borderId="22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 vertical="center" wrapText="1"/>
    </xf>
    <xf numFmtId="0" fontId="2" fillId="0" borderId="12" xfId="0" applyFont="1" applyBorder="1"/>
    <xf numFmtId="0" fontId="11" fillId="0" borderId="12" xfId="0" applyFont="1" applyBorder="1" applyAlignment="1">
      <alignment horizontal="left" indent="1"/>
    </xf>
    <xf numFmtId="0" fontId="14" fillId="0" borderId="50" xfId="0" applyFont="1" applyFill="1" applyBorder="1" applyAlignment="1">
      <alignment vertical="center"/>
    </xf>
  </cellXfs>
  <cellStyles count="8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28"/>
  <sheetViews>
    <sheetView tabSelected="1" zoomScale="90" zoomScaleNormal="90" workbookViewId="0">
      <selection activeCell="B14" sqref="B14:E15"/>
    </sheetView>
  </sheetViews>
  <sheetFormatPr baseColWidth="10" defaultColWidth="11" defaultRowHeight="12.75" x14ac:dyDescent="0.2"/>
  <cols>
    <col min="1" max="1" width="4.5703125" style="44" customWidth="1"/>
    <col min="2" max="2" width="14" style="44" customWidth="1"/>
    <col min="3" max="3" width="13.28515625" style="44" customWidth="1"/>
    <col min="4" max="4" width="8.42578125" style="44" customWidth="1"/>
    <col min="5" max="5" width="93.42578125" style="44" customWidth="1"/>
    <col min="6" max="6" width="11" style="44"/>
    <col min="7" max="7" width="10.42578125" style="44" bestFit="1" customWidth="1"/>
    <col min="8" max="8" width="15.7109375" style="44" customWidth="1"/>
    <col min="9" max="9" width="18.5703125" style="51" customWidth="1"/>
    <col min="10" max="16384" width="11" style="44"/>
  </cols>
  <sheetData>
    <row r="2" spans="1:9" ht="27" x14ac:dyDescent="0.35">
      <c r="B2" s="91" t="s">
        <v>0</v>
      </c>
      <c r="C2" s="91"/>
      <c r="D2" s="91"/>
      <c r="E2" s="91"/>
      <c r="F2" s="91"/>
      <c r="G2" s="91"/>
      <c r="H2" s="91"/>
    </row>
    <row r="3" spans="1:9" ht="12" customHeight="1" x14ac:dyDescent="0.2"/>
    <row r="4" spans="1:9" ht="18" customHeight="1" x14ac:dyDescent="0.25">
      <c r="A4" s="92" t="s">
        <v>1</v>
      </c>
      <c r="B4" s="92"/>
      <c r="C4" s="93" t="s">
        <v>51</v>
      </c>
      <c r="D4" s="93"/>
      <c r="E4" s="93"/>
      <c r="F4" s="45"/>
      <c r="G4" s="46"/>
      <c r="H4" s="45"/>
    </row>
    <row r="5" spans="1:9" s="72" customFormat="1" ht="18" customHeight="1" x14ac:dyDescent="0.25">
      <c r="A5" s="90" t="s">
        <v>2</v>
      </c>
      <c r="B5" s="90"/>
      <c r="C5" s="94" t="s">
        <v>65</v>
      </c>
      <c r="D5" s="94"/>
      <c r="E5" s="94"/>
      <c r="F5" s="69"/>
      <c r="G5" s="70"/>
      <c r="H5" s="69"/>
      <c r="I5" s="71"/>
    </row>
    <row r="6" spans="1:9" s="72" customFormat="1" ht="16.5" customHeight="1" x14ac:dyDescent="0.25">
      <c r="A6" s="90" t="s">
        <v>3</v>
      </c>
      <c r="B6" s="90"/>
      <c r="C6" s="73">
        <v>2022</v>
      </c>
      <c r="D6" s="74"/>
      <c r="E6" s="74"/>
      <c r="F6" s="69"/>
      <c r="G6" s="70"/>
      <c r="H6" s="69"/>
      <c r="I6" s="71"/>
    </row>
    <row r="7" spans="1:9" s="72" customFormat="1" ht="16.5" customHeight="1" x14ac:dyDescent="0.25">
      <c r="A7" s="90" t="s">
        <v>4</v>
      </c>
      <c r="B7" s="90"/>
      <c r="C7" s="73">
        <v>2</v>
      </c>
      <c r="D7" s="74"/>
      <c r="E7" s="74"/>
      <c r="F7" s="69"/>
      <c r="G7" s="70"/>
      <c r="H7" s="69"/>
      <c r="I7" s="71"/>
    </row>
    <row r="8" spans="1:9" ht="13.5" thickBot="1" x14ac:dyDescent="0.25">
      <c r="B8" s="45"/>
      <c r="C8" s="46"/>
      <c r="D8" s="45"/>
      <c r="E8" s="45"/>
      <c r="F8" s="45"/>
      <c r="G8" s="46"/>
      <c r="H8" s="45"/>
    </row>
    <row r="9" spans="1:9" ht="39" thickTop="1" x14ac:dyDescent="0.2">
      <c r="A9" s="47" t="s">
        <v>5</v>
      </c>
      <c r="B9" s="47" t="s">
        <v>6</v>
      </c>
      <c r="C9" s="47" t="s">
        <v>7</v>
      </c>
      <c r="D9" s="48" t="s">
        <v>8</v>
      </c>
      <c r="E9" s="49" t="s">
        <v>9</v>
      </c>
      <c r="F9" s="50" t="s">
        <v>10</v>
      </c>
      <c r="G9" s="47" t="s">
        <v>11</v>
      </c>
      <c r="H9" s="47" t="s">
        <v>12</v>
      </c>
      <c r="I9" s="52" t="s">
        <v>13</v>
      </c>
    </row>
    <row r="10" spans="1:9" s="72" customFormat="1" x14ac:dyDescent="0.2">
      <c r="A10" s="85">
        <v>13</v>
      </c>
      <c r="B10" s="87" t="s">
        <v>71</v>
      </c>
      <c r="C10" s="85"/>
      <c r="D10" s="75"/>
      <c r="E10" s="142" t="s">
        <v>72</v>
      </c>
      <c r="F10" s="85" t="s">
        <v>73</v>
      </c>
      <c r="G10" s="86">
        <v>1400</v>
      </c>
      <c r="H10" s="88">
        <v>44</v>
      </c>
      <c r="I10" s="89">
        <f t="shared" ref="I10" si="0">+G10*H10</f>
        <v>61600</v>
      </c>
    </row>
    <row r="12" spans="1:9" ht="13.5" thickBot="1" x14ac:dyDescent="0.25"/>
    <row r="13" spans="1:9" s="53" customFormat="1" x14ac:dyDescent="0.2">
      <c r="B13" s="54" t="s">
        <v>56</v>
      </c>
      <c r="C13" s="55"/>
      <c r="D13" s="55"/>
      <c r="E13" s="56"/>
      <c r="H13" s="57"/>
      <c r="I13" s="58"/>
    </row>
    <row r="14" spans="1:9" s="53" customFormat="1" ht="13.5" customHeight="1" x14ac:dyDescent="0.2">
      <c r="B14" s="98" t="s">
        <v>57</v>
      </c>
      <c r="C14" s="99"/>
      <c r="D14" s="99"/>
      <c r="E14" s="100"/>
      <c r="H14" s="57"/>
    </row>
    <row r="15" spans="1:9" s="53" customFormat="1" ht="25.5" customHeight="1" x14ac:dyDescent="0.2">
      <c r="B15" s="98"/>
      <c r="C15" s="99"/>
      <c r="D15" s="99"/>
      <c r="E15" s="100"/>
      <c r="F15" s="59"/>
      <c r="G15" s="60"/>
      <c r="H15" s="57"/>
    </row>
    <row r="16" spans="1:9" s="53" customFormat="1" ht="13.5" customHeight="1" x14ac:dyDescent="0.2">
      <c r="B16" s="98" t="s">
        <v>58</v>
      </c>
      <c r="C16" s="99"/>
      <c r="D16" s="99"/>
      <c r="E16" s="100"/>
      <c r="F16" s="59"/>
      <c r="G16" s="60"/>
      <c r="H16" s="57"/>
    </row>
    <row r="17" spans="1:8" s="53" customFormat="1" ht="13.5" thickBot="1" x14ac:dyDescent="0.25">
      <c r="B17" s="61" t="s">
        <v>59</v>
      </c>
      <c r="C17" s="62"/>
      <c r="D17" s="63"/>
      <c r="E17" s="64"/>
      <c r="F17" s="59"/>
      <c r="G17" s="60"/>
      <c r="H17" s="57"/>
    </row>
    <row r="18" spans="1:8" s="53" customFormat="1" ht="12" customHeight="1" thickBot="1" x14ac:dyDescent="0.25">
      <c r="H18" s="57"/>
    </row>
    <row r="19" spans="1:8" s="53" customFormat="1" x14ac:dyDescent="0.2">
      <c r="B19" s="65" t="s">
        <v>70</v>
      </c>
      <c r="C19" s="55"/>
      <c r="D19" s="55"/>
      <c r="E19" s="56"/>
      <c r="H19" s="57"/>
    </row>
    <row r="20" spans="1:8" s="53" customFormat="1" x14ac:dyDescent="0.2">
      <c r="B20" s="66" t="s">
        <v>60</v>
      </c>
      <c r="C20" s="60"/>
      <c r="D20" s="60"/>
      <c r="E20" s="67"/>
      <c r="H20" s="57"/>
    </row>
    <row r="21" spans="1:8" s="53" customFormat="1" ht="13.5" thickBot="1" x14ac:dyDescent="0.25">
      <c r="B21" s="95" t="s">
        <v>61</v>
      </c>
      <c r="C21" s="96"/>
      <c r="D21" s="96"/>
      <c r="E21" s="97"/>
      <c r="H21" s="57"/>
    </row>
    <row r="22" spans="1:8" s="53" customFormat="1" x14ac:dyDescent="0.2">
      <c r="B22" s="65" t="s">
        <v>62</v>
      </c>
      <c r="C22" s="55"/>
      <c r="D22" s="55"/>
      <c r="E22" s="56"/>
      <c r="H22" s="57"/>
    </row>
    <row r="23" spans="1:8" s="53" customFormat="1" x14ac:dyDescent="0.2">
      <c r="B23" s="66" t="s">
        <v>68</v>
      </c>
      <c r="C23" s="60"/>
      <c r="D23" s="60"/>
      <c r="E23" s="67"/>
      <c r="H23" s="57"/>
    </row>
    <row r="24" spans="1:8" s="53" customFormat="1" ht="13.5" thickBot="1" x14ac:dyDescent="0.25">
      <c r="B24" s="95"/>
      <c r="C24" s="96"/>
      <c r="D24" s="96"/>
      <c r="E24" s="97"/>
      <c r="H24" s="57"/>
    </row>
    <row r="25" spans="1:8" s="53" customFormat="1" x14ac:dyDescent="0.2">
      <c r="B25" s="65" t="s">
        <v>63</v>
      </c>
      <c r="C25" s="55"/>
      <c r="D25" s="55"/>
      <c r="E25" s="56"/>
      <c r="H25" s="57"/>
    </row>
    <row r="26" spans="1:8" s="53" customFormat="1" x14ac:dyDescent="0.2">
      <c r="B26" s="66" t="s">
        <v>69</v>
      </c>
      <c r="C26" s="60"/>
      <c r="D26" s="60"/>
      <c r="E26" s="67"/>
      <c r="H26" s="57"/>
    </row>
    <row r="27" spans="1:8" s="53" customFormat="1" ht="13.5" thickBot="1" x14ac:dyDescent="0.25">
      <c r="A27" s="53" t="s">
        <v>64</v>
      </c>
      <c r="B27" s="95"/>
      <c r="C27" s="96"/>
      <c r="D27" s="96"/>
      <c r="E27" s="97"/>
      <c r="H27" s="57"/>
    </row>
    <row r="28" spans="1:8" s="53" customFormat="1" x14ac:dyDescent="0.2">
      <c r="B28" s="68"/>
      <c r="C28" s="68"/>
      <c r="D28" s="68"/>
      <c r="E28" s="68"/>
      <c r="H28" s="57"/>
    </row>
  </sheetData>
  <autoFilter ref="A9:I10"/>
  <mergeCells count="12">
    <mergeCell ref="B21:E21"/>
    <mergeCell ref="B14:E15"/>
    <mergeCell ref="B16:E16"/>
    <mergeCell ref="B24:E24"/>
    <mergeCell ref="B27:E27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14"/>
  <sheetViews>
    <sheetView zoomScale="70" zoomScaleNormal="70" workbookViewId="0">
      <selection activeCell="G24" sqref="G24"/>
    </sheetView>
  </sheetViews>
  <sheetFormatPr baseColWidth="10" defaultColWidth="9.140625" defaultRowHeight="12.75" x14ac:dyDescent="0.2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4" width="5.8554687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 x14ac:dyDescent="0.2">
      <c r="A1" s="109" t="s">
        <v>14</v>
      </c>
      <c r="B1" s="109"/>
      <c r="C1" s="109"/>
      <c r="D1" s="109"/>
      <c r="E1" s="109"/>
      <c r="F1" s="109"/>
      <c r="G1" s="109"/>
      <c r="H1" s="109"/>
      <c r="I1" s="109"/>
      <c r="J1" s="31" t="s">
        <v>15</v>
      </c>
      <c r="K1" s="76" t="s">
        <v>66</v>
      </c>
    </row>
    <row r="2" spans="1:11" ht="18.75" customHeight="1" thickBot="1" x14ac:dyDescent="0.25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 x14ac:dyDescent="0.25">
      <c r="A3" s="113" t="s">
        <v>48</v>
      </c>
      <c r="B3" s="113"/>
      <c r="C3" s="113"/>
      <c r="D3" s="102" t="str">
        <f>'Necesidades Trimestrales'!C4</f>
        <v>040 - Ministerio de Salud</v>
      </c>
      <c r="E3" s="102"/>
      <c r="F3" s="102"/>
      <c r="G3" s="102"/>
      <c r="H3" s="102"/>
      <c r="I3" s="102"/>
      <c r="J3" s="102"/>
      <c r="K3" s="102"/>
    </row>
    <row r="4" spans="1:11" ht="18.75" customHeight="1" thickBot="1" x14ac:dyDescent="0.25">
      <c r="A4" s="112" t="s">
        <v>49</v>
      </c>
      <c r="B4" s="112"/>
      <c r="C4" s="112"/>
      <c r="D4" s="111" t="str">
        <f>'Necesidades Trimestrales'!C5</f>
        <v>24 - HOPITAL DE NIÑOS EVA PERON</v>
      </c>
      <c r="E4" s="111"/>
      <c r="F4" s="111"/>
      <c r="G4" s="111"/>
      <c r="H4" s="111"/>
      <c r="I4" s="111"/>
      <c r="J4" s="111"/>
      <c r="K4" s="111"/>
    </row>
    <row r="5" spans="1:11" ht="18.75" customHeight="1" thickBot="1" x14ac:dyDescent="0.25">
      <c r="A5" s="112" t="s">
        <v>27</v>
      </c>
      <c r="B5" s="112"/>
      <c r="C5" s="112"/>
      <c r="D5" s="111" t="str">
        <f>+D4</f>
        <v>24 - HOPITAL DE NIÑOS EVA PERON</v>
      </c>
      <c r="E5" s="111"/>
      <c r="F5" s="111"/>
      <c r="G5" s="111"/>
      <c r="H5" s="111"/>
      <c r="I5" s="111"/>
      <c r="J5" s="111"/>
      <c r="K5" s="111"/>
    </row>
    <row r="6" spans="1:11" ht="16.5" customHeight="1" thickBot="1" x14ac:dyDescent="0.25">
      <c r="A6" s="110" t="s">
        <v>50</v>
      </c>
      <c r="B6" s="110"/>
      <c r="C6" s="110"/>
      <c r="D6" s="111" t="str">
        <f>+D5</f>
        <v>24 - HOPITAL DE NIÑOS EVA PERON</v>
      </c>
      <c r="E6" s="111"/>
      <c r="F6" s="111"/>
      <c r="G6" s="111"/>
      <c r="H6" s="111"/>
      <c r="I6" s="111"/>
      <c r="J6" s="111"/>
      <c r="K6" s="111"/>
    </row>
    <row r="7" spans="1:11" ht="16.5" customHeight="1" x14ac:dyDescent="0.2">
      <c r="A7" s="112" t="s">
        <v>16</v>
      </c>
      <c r="B7" s="112"/>
      <c r="C7" s="112"/>
      <c r="D7" s="111" t="s">
        <v>54</v>
      </c>
      <c r="E7" s="111"/>
      <c r="F7" s="111"/>
      <c r="G7" s="111"/>
      <c r="H7" s="111"/>
      <c r="I7" s="111"/>
      <c r="J7" s="111"/>
      <c r="K7" s="111"/>
    </row>
    <row r="8" spans="1:11" ht="16.5" customHeight="1" x14ac:dyDescent="0.2">
      <c r="A8" s="104" t="s">
        <v>17</v>
      </c>
      <c r="B8" s="104"/>
      <c r="C8" s="104"/>
      <c r="D8" s="105" t="s">
        <v>55</v>
      </c>
      <c r="E8" s="105"/>
      <c r="F8" s="105"/>
      <c r="G8" s="105"/>
      <c r="H8" s="105"/>
      <c r="I8" s="105"/>
      <c r="J8" s="105"/>
      <c r="K8" s="105"/>
    </row>
    <row r="9" spans="1:11" ht="15.75" x14ac:dyDescent="0.2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 x14ac:dyDescent="0.2">
      <c r="A10" s="106" t="s">
        <v>18</v>
      </c>
      <c r="B10" s="107" t="s">
        <v>19</v>
      </c>
      <c r="C10" s="107" t="s">
        <v>20</v>
      </c>
      <c r="D10" s="107"/>
      <c r="E10" s="107"/>
      <c r="F10" s="107"/>
      <c r="G10" s="107"/>
      <c r="H10" s="107" t="s">
        <v>21</v>
      </c>
      <c r="I10" s="107" t="s">
        <v>22</v>
      </c>
      <c r="J10" s="107" t="s">
        <v>23</v>
      </c>
      <c r="K10" s="108" t="s">
        <v>24</v>
      </c>
    </row>
    <row r="11" spans="1:11" ht="24" customHeight="1" thickBot="1" x14ac:dyDescent="0.25">
      <c r="A11" s="106"/>
      <c r="B11" s="107"/>
      <c r="C11" s="107"/>
      <c r="D11" s="107"/>
      <c r="E11" s="107"/>
      <c r="F11" s="107"/>
      <c r="G11" s="107"/>
      <c r="H11" s="107"/>
      <c r="I11" s="107"/>
      <c r="J11" s="107"/>
      <c r="K11" s="108"/>
    </row>
    <row r="12" spans="1:11" ht="20.25" customHeight="1" thickBot="1" x14ac:dyDescent="0.25">
      <c r="A12" s="38">
        <v>13</v>
      </c>
      <c r="B12" s="42"/>
      <c r="C12" s="101" t="str">
        <f>+'Necesidades Trimestrales'!E10</f>
        <v>SOLUCIONES P/MEDICINA; PRESENTACION: AMPOLLA X 20 ML, TIPO: CLORURO DE SODIO MOLAR AL 20 %</v>
      </c>
      <c r="D12" s="101"/>
      <c r="E12" s="101"/>
      <c r="F12" s="101"/>
      <c r="G12" s="101"/>
      <c r="H12" s="43" t="s">
        <v>53</v>
      </c>
      <c r="I12" s="39" t="str">
        <f>+'Necesidades Trimestrales'!F10</f>
        <v>AMPOLLA</v>
      </c>
      <c r="J12" s="40">
        <f>+'Necesidades Trimestrales'!H10</f>
        <v>44</v>
      </c>
      <c r="K12" s="41">
        <f>+'Necesidades Trimestrales'!G10</f>
        <v>1400</v>
      </c>
    </row>
    <row r="13" spans="1:11" ht="20.25" customHeight="1" thickBot="1" x14ac:dyDescent="0.25">
      <c r="A13" s="102" t="s">
        <v>74</v>
      </c>
      <c r="B13" s="102"/>
      <c r="C13" s="102"/>
      <c r="D13" s="102"/>
      <c r="E13" s="102"/>
      <c r="F13" s="102"/>
      <c r="G13" s="102"/>
      <c r="H13" s="102"/>
      <c r="I13" s="102"/>
      <c r="J13" s="103">
        <f>SUMPRODUCT(J12:J12,K12:K12)</f>
        <v>61600</v>
      </c>
      <c r="K13" s="103"/>
    </row>
    <row r="14" spans="1:11" ht="15" x14ac:dyDescent="0.2">
      <c r="J14" s="82"/>
    </row>
  </sheetData>
  <mergeCells count="23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3:I13"/>
    <mergeCell ref="J13:K13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2:G12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"/>
  <sheetViews>
    <sheetView zoomScale="130" zoomScaleNormal="130" workbookViewId="0">
      <selection activeCell="J18" sqref="J18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bestFit="1" customWidth="1"/>
  </cols>
  <sheetData>
    <row r="1" spans="1:17" ht="15.75" customHeight="1" x14ac:dyDescent="0.25">
      <c r="A1" s="137" t="s">
        <v>3</v>
      </c>
      <c r="B1" s="137"/>
      <c r="C1" s="137"/>
      <c r="D1" s="138">
        <f>'Necesidades Trimestrales'!C6</f>
        <v>2022</v>
      </c>
      <c r="E1" s="138"/>
      <c r="F1" s="3"/>
      <c r="G1" s="3"/>
      <c r="H1" s="4"/>
      <c r="I1" s="4"/>
      <c r="J1" s="4"/>
      <c r="K1" s="4"/>
      <c r="L1" s="4"/>
      <c r="M1" s="4"/>
      <c r="N1" s="4"/>
      <c r="P1" s="139" t="s">
        <v>25</v>
      </c>
      <c r="Q1" s="139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39"/>
      <c r="Q2" s="139"/>
    </row>
    <row r="4" spans="1:17" s="5" customFormat="1" ht="18" customHeight="1" thickBot="1" x14ac:dyDescent="0.25">
      <c r="A4" s="140" t="s">
        <v>26</v>
      </c>
      <c r="B4" s="140"/>
      <c r="C4" s="140"/>
      <c r="D4" s="140"/>
      <c r="E4" s="140"/>
      <c r="F4" s="140"/>
      <c r="G4" s="141" t="str">
        <f>' NotaPedido'!D3</f>
        <v>040 - Ministerio de Salud</v>
      </c>
      <c r="H4" s="141"/>
      <c r="I4" s="141"/>
      <c r="J4" s="141"/>
      <c r="K4" s="141"/>
      <c r="L4" s="141"/>
      <c r="M4" s="141"/>
      <c r="N4" s="141"/>
      <c r="O4" s="141"/>
      <c r="P4" s="141"/>
      <c r="Q4" s="141"/>
    </row>
    <row r="5" spans="1:17" s="5" customFormat="1" ht="18" customHeight="1" thickBot="1" x14ac:dyDescent="0.25">
      <c r="A5" s="132" t="s">
        <v>49</v>
      </c>
      <c r="B5" s="133"/>
      <c r="C5" s="133"/>
      <c r="D5" s="133"/>
      <c r="E5" s="133"/>
      <c r="F5" s="134"/>
      <c r="G5" s="135" t="str">
        <f>' NotaPedido'!D4</f>
        <v>24 - HOPITAL DE NIÑOS EVA PERON</v>
      </c>
      <c r="H5" s="135"/>
      <c r="I5" s="135"/>
      <c r="J5" s="135"/>
      <c r="K5" s="135"/>
      <c r="L5" s="135"/>
      <c r="M5" s="135"/>
      <c r="N5" s="135"/>
      <c r="O5" s="135"/>
      <c r="P5" s="135"/>
      <c r="Q5" s="135"/>
    </row>
    <row r="6" spans="1:17" s="5" customFormat="1" ht="18" customHeight="1" thickBot="1" x14ac:dyDescent="0.25">
      <c r="A6" s="132" t="s">
        <v>27</v>
      </c>
      <c r="B6" s="133"/>
      <c r="C6" s="133"/>
      <c r="D6" s="133"/>
      <c r="E6" s="133"/>
      <c r="F6" s="134"/>
      <c r="G6" s="135" t="str">
        <f>' NotaPedido'!D5</f>
        <v>24 - HOPITAL DE NIÑOS EVA PERON</v>
      </c>
      <c r="H6" s="135"/>
      <c r="I6" s="135"/>
      <c r="J6" s="135"/>
      <c r="K6" s="135"/>
      <c r="L6" s="135"/>
      <c r="M6" s="135"/>
      <c r="N6" s="135"/>
      <c r="O6" s="135"/>
      <c r="P6" s="135"/>
      <c r="Q6" s="135"/>
    </row>
    <row r="7" spans="1:17" s="5" customFormat="1" ht="18" customHeight="1" thickBot="1" x14ac:dyDescent="0.25">
      <c r="A7" s="132" t="s">
        <v>50</v>
      </c>
      <c r="B7" s="133"/>
      <c r="C7" s="133"/>
      <c r="D7" s="133"/>
      <c r="E7" s="133"/>
      <c r="F7" s="134"/>
      <c r="G7" s="135" t="str">
        <f>' NotaPedido'!D6</f>
        <v>24 - HOPITAL DE NIÑOS EVA PERON</v>
      </c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17" ht="18" customHeight="1" thickBot="1" x14ac:dyDescent="0.25">
      <c r="A8" s="136" t="s">
        <v>28</v>
      </c>
      <c r="B8" s="136"/>
      <c r="C8" s="136"/>
      <c r="D8" s="136"/>
      <c r="E8" s="136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</row>
    <row r="9" spans="1:17" ht="18" customHeight="1" x14ac:dyDescent="0.2">
      <c r="A9" s="126" t="s">
        <v>29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"/>
      <c r="P9" s="1"/>
      <c r="Q9" s="6"/>
    </row>
    <row r="10" spans="1:17" ht="54.75" customHeight="1" x14ac:dyDescent="0.2">
      <c r="A10" s="12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012-2022,  afectando la erogación resultante a los créditos presupuestarios aprobados a favor de esta Unidad Ejecutora, conforme al siguiente detalle:</v>
      </c>
      <c r="B10" s="127"/>
      <c r="C10" s="127"/>
      <c r="D10" s="127"/>
      <c r="E10" s="127"/>
      <c r="F10" s="127"/>
      <c r="G10" s="127"/>
      <c r="H10" s="127"/>
      <c r="I10" s="127"/>
      <c r="J10" s="127"/>
      <c r="K10" s="127"/>
      <c r="L10" s="127"/>
      <c r="M10" s="127"/>
      <c r="N10" s="127"/>
      <c r="O10" s="127"/>
      <c r="P10" s="127"/>
      <c r="Q10" s="127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x14ac:dyDescent="0.2">
      <c r="A12" s="128" t="s">
        <v>30</v>
      </c>
      <c r="B12" s="128"/>
      <c r="C12" s="128"/>
      <c r="D12" s="128"/>
      <c r="E12" s="128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spans="1:17" ht="15.75" customHeight="1" x14ac:dyDescent="0.2">
      <c r="A13" s="129" t="s">
        <v>31</v>
      </c>
      <c r="B13" s="129"/>
      <c r="C13" s="129"/>
      <c r="D13" s="129"/>
      <c r="E13" s="129"/>
      <c r="F13" s="129"/>
      <c r="G13" s="129"/>
      <c r="H13" s="129"/>
      <c r="I13" s="129"/>
      <c r="J13" s="129"/>
      <c r="K13" s="129"/>
      <c r="L13" s="129"/>
      <c r="M13" s="129"/>
      <c r="N13" s="129"/>
      <c r="O13" s="130" t="s">
        <v>32</v>
      </c>
      <c r="P13" s="130"/>
      <c r="Q13" s="131" t="s">
        <v>33</v>
      </c>
    </row>
    <row r="14" spans="1:17" ht="15.75" customHeight="1" x14ac:dyDescent="0.2">
      <c r="A14" s="11" t="s">
        <v>34</v>
      </c>
      <c r="B14" s="12" t="s">
        <v>35</v>
      </c>
      <c r="C14" s="12" t="s">
        <v>36</v>
      </c>
      <c r="D14" s="12" t="s">
        <v>37</v>
      </c>
      <c r="E14" s="12" t="s">
        <v>38</v>
      </c>
      <c r="F14" s="12" t="s">
        <v>39</v>
      </c>
      <c r="G14" s="13" t="s">
        <v>40</v>
      </c>
      <c r="H14" s="12" t="s">
        <v>41</v>
      </c>
      <c r="I14" s="12" t="s">
        <v>42</v>
      </c>
      <c r="J14" s="12" t="s">
        <v>43</v>
      </c>
      <c r="K14" s="12" t="s">
        <v>43</v>
      </c>
      <c r="L14" s="12" t="s">
        <v>44</v>
      </c>
      <c r="M14" s="14" t="s">
        <v>45</v>
      </c>
      <c r="N14" s="15" t="s">
        <v>46</v>
      </c>
      <c r="O14" s="130"/>
      <c r="P14" s="130"/>
      <c r="Q14" s="131"/>
    </row>
    <row r="15" spans="1:17" ht="39" customHeight="1" x14ac:dyDescent="0.2">
      <c r="A15" s="77">
        <v>36</v>
      </c>
      <c r="B15" s="78"/>
      <c r="C15" s="78"/>
      <c r="D15" s="78">
        <v>1</v>
      </c>
      <c r="E15" s="78"/>
      <c r="F15" s="78">
        <v>4901</v>
      </c>
      <c r="G15" s="78">
        <v>3</v>
      </c>
      <c r="H15" s="78">
        <v>310</v>
      </c>
      <c r="I15" s="78">
        <v>2</v>
      </c>
      <c r="J15" s="78">
        <v>5</v>
      </c>
      <c r="K15" s="78">
        <v>2</v>
      </c>
      <c r="L15" s="78"/>
      <c r="M15" s="79">
        <v>1</v>
      </c>
      <c r="N15" s="80" t="s">
        <v>52</v>
      </c>
      <c r="O15" s="120" t="s">
        <v>76</v>
      </c>
      <c r="P15" s="121"/>
      <c r="Q15" s="16">
        <v>61600</v>
      </c>
    </row>
    <row r="16" spans="1:17" ht="17.25" customHeight="1" x14ac:dyDescent="0.2">
      <c r="A16" s="17"/>
      <c r="B16" s="18"/>
      <c r="C16" s="18"/>
      <c r="D16" s="18"/>
      <c r="E16" s="18"/>
      <c r="F16" s="20"/>
      <c r="G16" s="18"/>
      <c r="H16" s="18"/>
      <c r="I16" s="18"/>
      <c r="J16" s="18"/>
      <c r="K16" s="18"/>
      <c r="L16" s="18"/>
      <c r="M16" s="19"/>
      <c r="N16" s="20"/>
      <c r="O16" s="115"/>
      <c r="P16" s="115"/>
      <c r="Q16" s="21"/>
    </row>
    <row r="17" spans="1:20" ht="17.25" customHeight="1" x14ac:dyDescent="0.2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9"/>
      <c r="N17" s="20"/>
      <c r="O17" s="115"/>
      <c r="P17" s="115"/>
      <c r="Q17" s="21"/>
    </row>
    <row r="18" spans="1:20" ht="17.25" customHeight="1" x14ac:dyDescent="0.2">
      <c r="A18" s="17"/>
      <c r="B18" s="18"/>
      <c r="C18" s="18"/>
      <c r="D18" s="18"/>
      <c r="E18" s="18"/>
      <c r="F18" s="20"/>
      <c r="G18" s="18"/>
      <c r="H18" s="18"/>
      <c r="I18" s="18"/>
      <c r="J18" s="18"/>
      <c r="K18" s="18"/>
      <c r="L18" s="18"/>
      <c r="M18" s="19"/>
      <c r="N18" s="20"/>
      <c r="O18" s="115"/>
      <c r="P18" s="115"/>
      <c r="Q18" s="21"/>
    </row>
    <row r="19" spans="1:20" ht="17.25" customHeight="1" x14ac:dyDescent="0.2">
      <c r="A19" s="17"/>
      <c r="B19" s="18"/>
      <c r="C19" s="18"/>
      <c r="D19" s="18"/>
      <c r="E19" s="18"/>
      <c r="F19" s="20"/>
      <c r="G19" s="18"/>
      <c r="H19" s="18"/>
      <c r="I19" s="18"/>
      <c r="J19" s="18"/>
      <c r="K19" s="18"/>
      <c r="L19" s="18"/>
      <c r="M19" s="19"/>
      <c r="N19" s="20"/>
      <c r="O19" s="115"/>
      <c r="P19" s="115"/>
      <c r="Q19" s="21"/>
    </row>
    <row r="20" spans="1:20" ht="17.25" customHeight="1" x14ac:dyDescent="0.2">
      <c r="A20" s="22"/>
      <c r="B20" s="23"/>
      <c r="C20" s="23"/>
      <c r="D20" s="23"/>
      <c r="E20" s="23"/>
      <c r="F20" s="24"/>
      <c r="G20" s="23"/>
      <c r="H20" s="23"/>
      <c r="I20" s="23"/>
      <c r="J20" s="23"/>
      <c r="K20" s="23"/>
      <c r="L20" s="23"/>
      <c r="M20" s="25"/>
      <c r="N20" s="26"/>
      <c r="O20" s="116"/>
      <c r="P20" s="116"/>
      <c r="Q20" s="21"/>
      <c r="R20" s="1"/>
    </row>
    <row r="21" spans="1:20" ht="17.25" customHeight="1" x14ac:dyDescent="0.2">
      <c r="A21" s="27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9"/>
      <c r="N21" s="28"/>
      <c r="O21" s="117"/>
      <c r="P21" s="117"/>
      <c r="Q21" s="30"/>
    </row>
    <row r="22" spans="1:20" ht="29.25" customHeight="1" x14ac:dyDescent="0.2">
      <c r="A22" s="118" t="s">
        <v>75</v>
      </c>
      <c r="B22" s="118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8"/>
      <c r="P22" s="118"/>
      <c r="Q22" s="83">
        <f>SUM(Q15:Q21)</f>
        <v>61600</v>
      </c>
      <c r="S22" s="81"/>
      <c r="T22" s="84"/>
    </row>
    <row r="23" spans="1:20" ht="18" customHeight="1" thickBot="1" x14ac:dyDescent="0.25">
      <c r="A23" s="119"/>
      <c r="B23" s="119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9"/>
      <c r="P23" s="119"/>
      <c r="Q23" s="119"/>
    </row>
    <row r="24" spans="1:20" ht="17.25" customHeight="1" thickBot="1" x14ac:dyDescent="0.25">
      <c r="A24" s="122" t="s">
        <v>47</v>
      </c>
      <c r="B24" s="123"/>
      <c r="C24" s="123"/>
      <c r="D24" s="123"/>
      <c r="E24" s="123"/>
      <c r="F24" s="124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</row>
    <row r="25" spans="1:20" ht="18" customHeight="1" thickBot="1" x14ac:dyDescent="0.25">
      <c r="A25" s="114" t="s">
        <v>67</v>
      </c>
      <c r="B25" s="114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</row>
    <row r="26" spans="1:20" ht="15" customHeight="1" x14ac:dyDescent="0.2">
      <c r="A26" s="114"/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</row>
  </sheetData>
  <mergeCells count="30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24:F24"/>
    <mergeCell ref="G24:Q24"/>
    <mergeCell ref="A25:Q26"/>
    <mergeCell ref="O19:P19"/>
    <mergeCell ref="O20:P20"/>
    <mergeCell ref="O21:P21"/>
    <mergeCell ref="A22:P22"/>
    <mergeCell ref="A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Lorena</cp:lastModifiedBy>
  <cp:revision>2</cp:revision>
  <cp:lastPrinted>2020-07-23T13:47:13Z</cp:lastPrinted>
  <dcterms:created xsi:type="dcterms:W3CDTF">2020-07-17T23:44:49Z</dcterms:created>
  <dcterms:modified xsi:type="dcterms:W3CDTF">2022-06-03T14:33:50Z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