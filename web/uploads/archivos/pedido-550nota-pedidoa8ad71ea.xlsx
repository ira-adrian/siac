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mc:AlternateContent xmlns:mc="http://schemas.openxmlformats.org/markup-compatibility/2006">
    <mc:Choice Requires="x15">
      <x15ac:absPath xmlns:x15ac="http://schemas.microsoft.com/office/spreadsheetml/2010/11/ac" url="C:\Users\COMPRAS\Downloads\"/>
    </mc:Choice>
  </mc:AlternateContent>
  <xr:revisionPtr revIDLastSave="0" documentId="13_ncr:1_{ED46471A-FC80-49A1-BE0B-0051D698DBFF}" xr6:coauthVersionLast="47" xr6:coauthVersionMax="47" xr10:uidLastSave="{00000000-0000-0000-0000-000000000000}"/>
  <bookViews>
    <workbookView xWindow="-120" yWindow="-120" windowWidth="29040" windowHeight="15840" xr2:uid="{00000000-000D-0000-FFFF-FFFF00000000}"/>
  </bookViews>
  <sheets>
    <sheet name="Necesidades Trimestrales" sheetId="1" r:id="rId1"/>
    <sheet name="Nota de Pedido" sheetId="2" r:id="rId2"/>
    <sheet name="Auto Gastar" sheetId="3" r:id="rId3"/>
  </sheets>
  <externalReferences>
    <externalReference r:id="rId4"/>
  </externalReferences>
  <definedNames>
    <definedName name="_xlnm.Print_Area" localSheetId="0">'Necesidades Trimestrales'!$A$1:$I$404</definedName>
  </definedNames>
  <calcPr calcId="181029"/>
</workbook>
</file>

<file path=xl/calcChain.xml><?xml version="1.0" encoding="utf-8"?>
<calcChain xmlns="http://schemas.openxmlformats.org/spreadsheetml/2006/main">
  <c r="K13" i="2" l="1"/>
  <c r="K14" i="2"/>
  <c r="K15" i="2"/>
  <c r="K16" i="2"/>
  <c r="K17" i="2"/>
  <c r="K18" i="2"/>
  <c r="K19" i="2"/>
  <c r="K20" i="2"/>
  <c r="K21" i="2"/>
  <c r="K22" i="2"/>
  <c r="K23" i="2"/>
  <c r="K24" i="2"/>
  <c r="K25" i="2"/>
  <c r="K26" i="2"/>
  <c r="K27" i="2"/>
  <c r="K12" i="2"/>
  <c r="J13" i="2"/>
  <c r="J14" i="2"/>
  <c r="J15" i="2"/>
  <c r="J16" i="2"/>
  <c r="J17" i="2"/>
  <c r="J18" i="2"/>
  <c r="J19" i="2"/>
  <c r="J20" i="2"/>
  <c r="J21" i="2"/>
  <c r="J22" i="2"/>
  <c r="J23" i="2"/>
  <c r="J24" i="2"/>
  <c r="J25" i="2"/>
  <c r="J26" i="2"/>
  <c r="J27" i="2"/>
  <c r="J12" i="2"/>
  <c r="C13" i="2"/>
  <c r="C14" i="2"/>
  <c r="C15" i="2"/>
  <c r="C16" i="2"/>
  <c r="C17" i="2"/>
  <c r="C18" i="2"/>
  <c r="C19" i="2"/>
  <c r="C20" i="2"/>
  <c r="C21" i="2"/>
  <c r="C22" i="2"/>
  <c r="C23" i="2"/>
  <c r="C24" i="2"/>
  <c r="C25" i="2"/>
  <c r="C26" i="2"/>
  <c r="C27" i="2"/>
  <c r="C12" i="2"/>
  <c r="B13" i="2"/>
  <c r="B14" i="2"/>
  <c r="B15" i="2"/>
  <c r="B16" i="2"/>
  <c r="B17" i="2"/>
  <c r="B18" i="2"/>
  <c r="B19" i="2"/>
  <c r="B20" i="2"/>
  <c r="B21" i="2"/>
  <c r="B22" i="2"/>
  <c r="B23" i="2"/>
  <c r="B24" i="2"/>
  <c r="B25" i="2"/>
  <c r="B26" i="2"/>
  <c r="B27" i="2"/>
  <c r="B12" i="2"/>
  <c r="Q23" i="3"/>
  <c r="G7" i="3"/>
  <c r="G5" i="3"/>
  <c r="G4" i="3"/>
  <c r="D1" i="3"/>
  <c r="J28" i="2" l="1"/>
  <c r="D179" i="1"/>
  <c r="I179" i="1"/>
  <c r="I174" i="1" l="1"/>
  <c r="I175" i="1"/>
  <c r="I176" i="1"/>
  <c r="I177" i="1"/>
  <c r="I178" i="1"/>
  <c r="I180" i="1"/>
  <c r="I181" i="1"/>
  <c r="I182" i="1"/>
  <c r="I183" i="1"/>
  <c r="I184" i="1"/>
  <c r="I185" i="1"/>
  <c r="I186" i="1"/>
  <c r="I187" i="1"/>
  <c r="I188" i="1"/>
  <c r="I189" i="1"/>
  <c r="D174" i="1"/>
  <c r="D175" i="1"/>
  <c r="D176" i="1"/>
  <c r="D177" i="1"/>
  <c r="D178" i="1"/>
  <c r="D180" i="1"/>
  <c r="D181" i="1"/>
  <c r="D182" i="1"/>
  <c r="D183" i="1"/>
  <c r="D184" i="1"/>
  <c r="D185" i="1"/>
  <c r="D186" i="1"/>
  <c r="D187" i="1"/>
  <c r="D188" i="1"/>
  <c r="D189" i="1"/>
  <c r="I190" i="1" l="1"/>
</calcChain>
</file>

<file path=xl/sharedStrings.xml><?xml version="1.0" encoding="utf-8"?>
<sst xmlns="http://schemas.openxmlformats.org/spreadsheetml/2006/main" count="333" uniqueCount="138">
  <si>
    <t>Pedido de Necesidades Trimestrales</t>
  </si>
  <si>
    <t>JURISDICCION:</t>
  </si>
  <si>
    <t xml:space="preserve">SAF N°: </t>
  </si>
  <si>
    <t>EJERCICIO:</t>
  </si>
  <si>
    <t>TRIMESTRE:</t>
  </si>
  <si>
    <t>UNIDAD</t>
  </si>
  <si>
    <t>INFORMATICA</t>
  </si>
  <si>
    <t>EQUIPO DE OFICINA Y MUEBLES</t>
  </si>
  <si>
    <t>EQUIPOS</t>
  </si>
  <si>
    <t>Descripción técnica</t>
  </si>
  <si>
    <t>Plazos y lugares de entrega</t>
  </si>
  <si>
    <t>Calidad Minima esperada</t>
  </si>
  <si>
    <t>Mantenimiento</t>
  </si>
  <si>
    <t>Garantia</t>
  </si>
  <si>
    <t>70 - MINISTERIO DE CIENCIA E INNOVACION TECNOLOGICA</t>
  </si>
  <si>
    <t>20 - MINISTERIO DE CIENCIA E INNOVACION TECNOLOGICA</t>
  </si>
  <si>
    <t>4.3.5-8922.8</t>
  </si>
  <si>
    <t>ARTICULOS DEL HOGAR</t>
  </si>
  <si>
    <t>JUEGOS DE SALON; TIPO: CONSOLA DE VIDEOJUEGOS</t>
  </si>
  <si>
    <t>Especificidades Item N° 1</t>
  </si>
  <si>
    <t>mínima de Un (1) año</t>
  </si>
  <si>
    <t>Especificidades Item N° 2</t>
  </si>
  <si>
    <t>Especificidades Item N° 3</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</si>
  <si>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</si>
  <si>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</si>
  <si>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</si>
  <si>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</si>
  <si>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</si>
  <si>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</si>
  <si>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</si>
  <si>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</si>
  <si>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</si>
  <si>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</si>
  <si>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</si>
  <si>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</si>
  <si>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</si>
  <si>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4.3.5-9163.64</t>
  </si>
  <si>
    <t>4.3.7-46.128</t>
  </si>
  <si>
    <t>4.3.6-9707.20</t>
  </si>
  <si>
    <t>4.3.7-45.517</t>
  </si>
  <si>
    <t>4.3.7-1362.52</t>
  </si>
  <si>
    <t>4.3.5-241.105</t>
  </si>
  <si>
    <t>4.3.7-56.26</t>
  </si>
  <si>
    <t>4.3.5-9163.90</t>
  </si>
  <si>
    <t>4.3.6-6160.222</t>
  </si>
  <si>
    <t>4.3.5-9163.76</t>
  </si>
  <si>
    <t>Costo total estimado: PROYECTO LABORATORIO DE ROBOTICA</t>
  </si>
  <si>
    <t>EQUIPOS DIDACTICOS TECNICOS; NOMBRE: SISTEMA DE SONIDO, TIPO: ESTEREO</t>
  </si>
  <si>
    <t>SILLONES EJECUTIVOS; TAPIZADO: ECOCUERO, ALTURA: REGULABLE, GIRATORIO: SI, MATERIAL: ACERO Y PLASTICO</t>
  </si>
  <si>
    <t>IMPRESORA 3D; TIPO: FDM, DIMENSION: 220 X 220 X 260 MM, RESOLUCION: SEGÚN PLIEGO, PRECISION: SEGÚN PLIEGO, ESPESOR CAPA: SEGÚN PLIEGO</t>
  </si>
  <si>
    <t>SILLAS; MATERIAL ESTRUCTURA: METAL, TAPIZADO: SIN, ALTURA: 77 Cm, GIRATORIA: NO</t>
  </si>
  <si>
    <t>MESAS CURVAS; CURVA: CIRCULAR, DIMENSION: DIAMETRO 120 Cm, MATERIAL: METAL, TERMINACION: FIBRA DE VIDRIO</t>
  </si>
  <si>
    <t>TELEVISORES; PANTALLA: SMART LED FULL HD 60 pulg, NORMA: MULTINORMA, CANTIDAD DE CANALES: INDEFINIDO, APAGADO: CON, VISION MULTICANAL: CON</t>
  </si>
  <si>
    <t>MESAS P/TELEVISORES; MATERIAL: AGLOMERADO, TAMAÑO: 110 X 110 X 60 Cm, PATAS: CON RUEDAS, ESTANTE: 2</t>
  </si>
  <si>
    <t>EQUIPOS DIDACTICOS TECNICOS; NOMBRE: KIT EXPERIMENTAL , TIPO: SEGÚN PLIEGO</t>
  </si>
  <si>
    <t>COMPUTADORAS; TIPO: NOTEBOOK, CODIGO ETAP: PC-007, VERSION ETAP: 23.0</t>
  </si>
  <si>
    <t>EQUIPOS DIDACTICOS TECNICOS; NOMBRE: ROBOT DIDACTICO, TIPO: 4 EJES</t>
  </si>
  <si>
    <t>EQUIPOS DIDACTICOS TECNICOS; NOMBRE: KIT EXPERIMENTAL , EQUIPOS DIDACTICOS TECNICOS; NOMBRE: KIT EXPERIMENTAL , TIPO: SEGÚN PLIEGO SEGÚN PLIEGO</t>
  </si>
  <si>
    <t xml:space="preserve">Treinta (30) Días hábiles. </t>
  </si>
  <si>
    <t>Consola de video juego Tipo Sony Playstation 5 825GB standart</t>
  </si>
  <si>
    <t>Sillon de escritorio Tipo  Ideon Extreme Hunter Pro gamer ergonómica negra y azul con tapizado de cuero sintético</t>
  </si>
  <si>
    <t>Mesa  redonda 1,2m  de diamentro Tipo Eamer Decototale</t>
  </si>
  <si>
    <t>Mesa Con Ruedas Auxiliar Armada para Objetos  como Smart Tv Led Audio</t>
  </si>
  <si>
    <t xml:space="preserve">El Kit incluye: Arduino UNO SMD con chipset CH340
 20 Cables de Conexion para Protoboard MACHO-HEMBRA 10cm de longitud
 Protoboard de 400 puntos
 18 Diodo LEDS de 5MM DIFUSO ( 6 AMARILLOS, 6 VERDES y 6 ROJOS )
 30 Resistencias de 1/4 WATT ( 10 de 1k, 10 de 10k y 10 de 220 )
 2 Fotorresistores LDR
 6 Pulsadores SWITCH Arduino con protectores
 Adaptador para Bateria de 9v 
</t>
  </si>
  <si>
    <t xml:space="preserve">1)- Arduino Uno SMD compatible Chipset de comunicación usb CH340 o FT232R . 2)- Integrado 74HC595N. 3)- Buzzer. 4)- Sensor infrarrojo. 5)- Receptor Sensor Infrarrojo 1838B.
6)- Ball switch. 7)- Juegos de cables macho-macho. 8)- Sensor de temperatura LM35. 9)- Protectores para pulsadores. 10)- Pulsadores. 11)- Modulo Joystick. 12)- Fotoresistores. 13)- Protoboard de 830 puntos. 14)- Control remoto de 21 botones. 15)- Modulo RTC. 16).Motor paso a paso 28BYJ-48. 17)- Cables de protoboard macho-hembra (paquete de 20 unidades, 20cm de longitud por cable). 18)- Modulo Relay rele de 1 canal con entrada TTL. 19)-Cable USB A/B. 20)- Display de 1 digito, 8 segmentos. 21)- Display de 4 digitos, 8 segmentos. 22)- Modulo controlador de motores paso a paso SBT0811. 23)- Matriz led 8x8. 24)- Matriz de pulsadores 4x4. 25)- Juego de resistencias 1K / 10K / 220R. 26)- kit con lector RFID-RC522, llavero, tarjeta y juego de pines. 27)- Adaptador de bateria de 9V a pin de carga. 28)- Modulo sensor microfono KY-037. 29)- Modulo RGB KY-016. 30)- Servo sg90. 31)- Sensor de Nivel de agua. 32)- Display LCD 16*2 fondo azul. 33)- Juego de Leds. 34)- Modulo dht11 de temperatura y humedad.
35)- Potenciometro B10k
</t>
  </si>
  <si>
    <t>Sillas metalica  con apoya brazos Tipo Master Decototale</t>
  </si>
  <si>
    <t xml:space="preserve"># 1 x 4DOF Robot Kit de brazo
# 4 x Mg90s Servo
# 1 x Joystick botón controlador
# 1x Arduino UNO SMD
# 1x Cable Arduino USB A/B
# 1 x adaptador de corriente USB Cable Plug
# 1 x Fuente alimentacion USB 5v 2a
</t>
  </si>
  <si>
    <t># 1 Núcleo Rasti basado en Arduino Nano: Pantalla incorporada al núcleo. # 8 puertos de entrada / salida con conectores RJ11. # Conexión vía: USB / Bluetooth / Infrarrojo. # 17 sensores, actuadores y motores: • 2 motoreductores. • 1 motor Rasti. • 1 LED bicolor. • 1 Sensor pulsador. • 1 Servomotor. • 1 Sensor ultrasónico. • 2 Sensores de velocidad encoder. • 1 Sensor de gas. • 1 Sensor de luz. • 1 Sensor de humedad del suelo. • 1 Sensor barrera infrarroja. • 1 Sensor de temperatura y humedad. • 1 Sensor de sonido. • 2 Sensores siguelíneas. #  485 Bloques, engranajes y accesorios Rasti. # 2 Pilas recargables tipo 18650 incluidas. # Carga por puerto microUSB estándar. # Cargador 220v. incluido. #  Software de Programación RastiBlock: Open Source (código abierto), gratuito y libre. Basado en Scratch para programar en bloques.. # APP para celulares y tablets con sistema Android para controlar por ejemplo un vehículo. Mas Valija.</t>
  </si>
  <si>
    <t>4.3.7-40.1320</t>
  </si>
  <si>
    <t>ESCRITORIOS; MATERIAL ESTRUCTURA: AGLOMERADO, TERMINACION: ENCHAPADO EN MELAMINA, DIM. DEL PLANO DE APOYO: 1,20 X 0,60 X 0,75 M, CANTIDAD DE CAJONES: 2</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</si>
  <si>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Se presentará Remito que deberá cumplimentar lo dispuesto por la R.G. AFIP  1415/03, sin excepción.</t>
  </si>
  <si>
    <t>Impresora 3 d  tipo Creality Ender 3 V2. Tecnología de Impresión 3D: FDM. Cantidad de extrusores: 2. Apta para filamentos ABS, PLA y Nylon. Largo de la zona de impresión: 220mm. Ancho de la zona de impresión: 220mm. Altura de la zona de impresión: 260mm. Resolución mínima y máxima de la capa: 390um – 100um. Temperatura máxima de la cama caliente: 110°C</t>
  </si>
  <si>
    <t>Escritorio de 1,20 X 0,60 X 0,75 M con 2 cajones.</t>
  </si>
  <si>
    <t>Smart Tv 60". Resolucion FHD 1920x1080. Entradas HDMI y puertos USB disponibles. Sintonizador digital incorporado con funcion PVR y Timeshift para grabar tus programas favoritos. Wi-fi. Netflix, Youtube y Vewd (ex Opera store).</t>
  </si>
  <si>
    <t>NOTEBOOK – Pantalla HD 15.6” Resolución 1366px x 768px mínimo.  Procesador Tipo Intel Core i3 1005G1 hasta 3.4GHz. Memoria del Sistema 4GB DDR4 2666mhz. Conectividad Lector de Tarjeta 4 en 1. HDMI. USB 4 (2X 3.29), (2X3.2 Type C). Almacenamiento HDD 1TB 5400rpm. Sistema Operativo WINDOWS 10/ 11 Pro. Batería li-ion 3 celdas 36wh mínimo. Wifi.</t>
  </si>
  <si>
    <t>Kit didactico Tipo LEGO® Education SPIKE ™ Prime.  Dispositivo con forma de ladrillo, con 6 puertos de entrada / salida, matriz de luz 5x5, conectividad Bluetooth, un altavoz, un giroscopio de 6 ejes y una batería recargable. Motores y sensores de alta precisión que permiten a los estudiantes diseñar y construir divertidos robots, dispositivos dinámicos y otros modelos interactivos.  Incluye sensores y motores de gran precisión que, junto con una amplia variedad de elementos de construcción LEGO de colores</t>
  </si>
  <si>
    <t xml:space="preserve"> kit Auto Robot Inteligente 4wd Bluetooth:
# Arduino uno con cable (no original) # Sensor Shield Para Arduino Uno # SR04 sensor ultrasónico # Servomotor SG90 #  Bluetooth HC05 Maestro-Esclavo #  Puente H L298 #  Control Remoto #  Modulo IR #  3 Modulos seguidor de lineas TCRT5000 #  Kit cables Macho-Macho x 20 unidades #  Kit cables para soldar(4 pares de cables negros-rojos) # Chasis acrilico transparente # 4 motores con motoreductor # 4 Ruedas de plastico con goma # 4 Ruedas para encoder # Porta Pilas # Armazon Plastico para montaje de sensor SR04 con servo #kit de tornillos, separadores y tuercas para armado.
</t>
  </si>
  <si>
    <t>NOTA DE PEDIDO</t>
  </si>
  <si>
    <t>N°</t>
  </si>
  <si>
    <t xml:space="preserve">JURISDICCIÓN: </t>
  </si>
  <si>
    <t>SAF:</t>
  </si>
  <si>
    <t>UNIDAD EJECUTORA:</t>
  </si>
  <si>
    <t xml:space="preserve">DEPENDENCIA SOLICITANTE: </t>
  </si>
  <si>
    <t>DIRECCION PROVINCIAL DE GESTION ADMINISTRATIVA RECURSOS HUMANOS</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</si>
  <si>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</si>
  <si>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</si>
  <si>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</si>
  <si>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</si>
  <si>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</si>
  <si>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</si>
  <si>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</si>
  <si>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</si>
  <si>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</si>
  <si>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</si>
  <si>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</si>
  <si>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</si>
  <si>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</si>
  <si>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</si>
  <si>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</si>
  <si>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</si>
  <si>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</si>
  <si>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</si>
  <si>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</si>
  <si>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</si>
  <si>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</si>
  <si>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</si>
  <si>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</si>
  <si>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</si>
  <si>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</si>
  <si>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</si>
  <si>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</si>
  <si>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</si>
  <si>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</si>
  <si>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</si>
  <si>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</si>
  <si>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</si>
  <si>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Equipos para Computación</t>
  </si>
  <si>
    <t>Equipo Educacional y Recreativo</t>
  </si>
  <si>
    <t>JUSTIFICACIÓN:</t>
  </si>
  <si>
    <t>4° TRIMESTRE 2021</t>
  </si>
  <si>
    <t>Equipos de Oficina y Muebles</t>
  </si>
  <si>
    <t>Autorizo la realización de los  trámites correspondientes, a fin de proveer a  este Organismo los bienes y/o servicios que se detallan en Nota  de Pedido N° 038/2021,  afectando la erogación resultante a los créditos presupuestarios aprobados a favor de esta Unidad Ejecutora, conforme al siguiente detalle:</t>
  </si>
  <si>
    <t>038/2021</t>
  </si>
  <si>
    <t xml:space="preserve"> SECRETARIA DE CIENCIA Y TECNOLOGIA - SECRETARIA DE INNOVACION TECNOLOGICA</t>
  </si>
  <si>
    <t>SECRETARIA DE CIENCIA Y TECNOLOGIA - SECRETARIA DE INNOVACION TECNOLOGICA</t>
  </si>
  <si>
    <t xml:space="preserve">ADQUISICIÓN DE  EQUIPOS PARA LOS LABORATORIO DE ROBOTICA DE LAS  SECRETARIA DE CIENCIA Y TECNOLOGIA  Y  SECRETARIA DE INNOVACION TECNOLOGICA DEL MCIT.- </t>
  </si>
  <si>
    <t>Asistente virtual tipo alexa pantalla Parlante  inteligente integrada de 2,5" black</t>
  </si>
  <si>
    <t>PESOS: PESOS OCHO MILLONES DOSCIENTOS SESETENTA Y UN MIL SEISCIENTOS DIECISEIS CON 00/100.-</t>
  </si>
  <si>
    <t>Costo total estimado:  PESOS OCHO MILLONES DOSCIENTOS SESETENTA Y UN MIL SEISCIENTOS DIECISEIS CON 00/100.-</t>
  </si>
  <si>
    <t>ID</t>
  </si>
  <si>
    <t>CODIGO ITEM</t>
  </si>
  <si>
    <t>RUBRO DE COMPRA</t>
  </si>
  <si>
    <t xml:space="preserve">I.P.P. </t>
  </si>
  <si>
    <t>DESCRIPCION</t>
  </si>
  <si>
    <t>UNIDAD DE MEDIDA</t>
  </si>
  <si>
    <t>CANTIDAD</t>
  </si>
  <si>
    <t>PRECIO UNITARIO ESTIMADO</t>
  </si>
  <si>
    <t xml:space="preserve">IMPORTE TOTAL ESTIMADO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</si>
</sst>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 #,##0.00"/>
    <numFmt numFmtId="165" formatCode="_-[$$-2C0A]\ * #,##0.00_-;\-[$$-2C0A]\ * #,##0.00_-;_-[$$-2C0A]\ * &quot;-&quot;??_-;_-@"/>
    <numFmt numFmtId="166" formatCode="[$$-2C0A]\ #,##0.00"/>
    <numFmt numFmtId="167" formatCode="_(\$* #,##0.00_);_(\$* \(#,##0.00\);_(\$* \-??_);_(@_)"/>
    <numFmt numFmtId="168" formatCode="_-* #,##0.00&quot; €&quot;_-;\-* #,##0.00&quot; €&quot;_-;_-* \-??&quot; €&quot;_-;_-@_-"/>
    <numFmt numFmtId="169" formatCode="[$$-2C0A]\ #,##0.00;[$$-2C0A]&quot; -&quot;#,##0.00"/>
    <numFmt numFmtId="170" formatCode="dd\-mm\-yy;@"/>
    <numFmt numFmtId="171" formatCode="_-[$$-2C0A]\ * #,##0.00_-;\-[$$-2C0A]\ * #,##0.00_-;_-[$$-2C0A]\ * &quot;-&quot;??_-;_-@_-"/>
  </numFmts>
  <fonts count="50" x14ac:knownFonts="1">
    <font>
      <sz val="10"/>
      <color rgb="FF000000"/>
      <name val="Arial"/>
    </font>
    <font>
      <sz val="11"/>
      <color theme="1"/>
      <name val="Calibri"/>
      <family val="2"/>
      <scheme val="minor"/>
    </font>
    <font>
      <sz val="10"/>
      <name val="Times New Roman"/>
      <family val="1"/>
    </font>
    <font>
      <sz val="11"/>
      <name val="Times New Roman"/>
      <family val="1"/>
    </font>
    <font>
      <b/>
      <sz val="22"/>
      <name val="Times New Roman"/>
      <family val="1"/>
    </font>
    <font>
      <b/>
      <sz val="11"/>
      <color rgb="FF333333"/>
      <name val="Arial"/>
      <family val="2"/>
    </font>
    <font>
      <sz val="10"/>
      <name val="Arial"/>
      <family val="2"/>
    </font>
    <font>
      <sz val="11"/>
      <color rgb="FF333333"/>
      <name val="Arial"/>
      <family val="2"/>
    </font>
    <font>
      <sz val="11"/>
      <name val="Arial"/>
      <family val="2"/>
    </font>
    <font>
      <b/>
      <sz val="11"/>
      <name val="Arial"/>
      <family val="2"/>
    </font>
    <font>
      <b/>
      <sz val="11"/>
      <name val="Times New Roman"/>
      <family val="1"/>
    </font>
    <font>
      <sz val="10"/>
      <name val="Arial"/>
      <family val="2"/>
    </font>
    <font>
      <u/>
      <sz val="11"/>
      <name val="Arial"/>
      <family val="2"/>
    </font>
    <font>
      <sz val="11"/>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9"/>
      <name val="Calibri"/>
      <family val="2"/>
    </font>
    <font>
      <sz val="11"/>
      <color indexed="52"/>
      <name val="Calibri"/>
      <family val="2"/>
    </font>
    <font>
      <b/>
      <sz val="11"/>
      <color indexed="52"/>
      <name val="Calibri"/>
      <family val="2"/>
    </font>
    <font>
      <b/>
      <sz val="15"/>
      <color indexed="54"/>
      <name val="Calibri"/>
      <family val="2"/>
    </font>
    <font>
      <b/>
      <sz val="11"/>
      <color indexed="54"/>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1"/>
      <color indexed="8"/>
      <name val="Calibri"/>
      <family val="2"/>
    </font>
    <font>
      <sz val="18"/>
      <color indexed="54"/>
      <name val="Calibri Light"/>
      <family val="2"/>
    </font>
    <font>
      <b/>
      <sz val="13"/>
      <color indexed="54"/>
      <name val="Calibri"/>
      <family val="2"/>
    </font>
    <font>
      <sz val="11"/>
      <color theme="1"/>
      <name val="Arial"/>
      <family val="2"/>
    </font>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9"/>
      <name val="Arial"/>
      <family val="2"/>
      <charset val="1"/>
    </font>
    <font>
      <b/>
      <sz val="10"/>
      <color rgb="FF000000"/>
      <name val="Times New Roman"/>
      <family val="1"/>
    </font>
  </fonts>
  <fills count="24">
    <fill>
      <patternFill patternType="none"/>
    </fill>
    <fill>
      <patternFill patternType="gray125"/>
    </fill>
    <fill>
      <patternFill patternType="solid">
        <fgColor rgb="FFC0C0C0"/>
        <bgColor rgb="FFC0C0C0"/>
      </patternFill>
    </fill>
    <fill>
      <patternFill patternType="solid">
        <fgColor rgb="FFCCFFFF"/>
        <bgColor rgb="FFCCFFFF"/>
      </patternFill>
    </fill>
    <fill>
      <patternFill patternType="solid">
        <fgColor theme="0"/>
        <bgColor rgb="FFFFFF00"/>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6"/>
        <bgColor indexed="9"/>
      </patternFill>
    </fill>
    <fill>
      <patternFill patternType="solid">
        <fgColor indexed="31"/>
        <bgColor indexed="22"/>
      </patternFill>
    </fill>
    <fill>
      <patternFill patternType="solid">
        <fgColor indexed="42"/>
        <bgColor indexed="27"/>
      </patternFill>
    </fill>
    <fill>
      <patternFill patternType="solid">
        <fgColor indexed="44"/>
        <bgColor indexed="31"/>
      </patternFill>
    </fill>
    <fill>
      <patternFill patternType="solid">
        <fgColor indexed="22"/>
        <bgColor indexed="31"/>
      </patternFill>
    </fill>
    <fill>
      <patternFill patternType="solid">
        <fgColor indexed="43"/>
        <bgColor indexed="26"/>
      </patternFill>
    </fill>
    <fill>
      <patternFill patternType="solid">
        <fgColor indexed="49"/>
        <bgColor indexed="40"/>
      </patternFill>
    </fill>
    <fill>
      <patternFill patternType="solid">
        <fgColor indexed="57"/>
        <bgColor indexed="21"/>
      </patternFill>
    </fill>
    <fill>
      <patternFill patternType="solid">
        <fgColor indexed="55"/>
        <bgColor indexed="23"/>
      </patternFill>
    </fill>
    <fill>
      <patternFill patternType="solid">
        <fgColor indexed="53"/>
        <bgColor indexed="52"/>
      </patternFill>
    </fill>
    <fill>
      <patternFill patternType="solid">
        <fgColor indexed="51"/>
        <bgColor indexed="13"/>
      </patternFill>
    </fill>
    <fill>
      <patternFill patternType="solid">
        <fgColor indexed="62"/>
        <bgColor indexed="59"/>
      </patternFill>
    </fill>
    <fill>
      <patternFill patternType="solid">
        <fgColor indexed="45"/>
        <bgColor indexed="29"/>
      </patternFill>
    </fill>
    <fill>
      <patternFill patternType="solid">
        <fgColor theme="0" tint="-0.249977111117893"/>
        <bgColor indexed="64"/>
      </patternFill>
    </fill>
    <fill>
      <patternFill patternType="solid">
        <fgColor rgb="FFFFFF99"/>
        <bgColor rgb="FFFFFFCC"/>
      </patternFill>
    </fill>
    <fill>
      <patternFill patternType="solid">
        <fgColor theme="0"/>
        <bgColor indexed="64"/>
      </patternFill>
    </fill>
  </fills>
  <borders count="58">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4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4"/>
      </bottom>
      <diagonal/>
    </border>
    <border>
      <left/>
      <right/>
      <top/>
      <bottom style="medium">
        <color indexed="44"/>
      </bottom>
      <diagonal/>
    </border>
    <border>
      <left/>
      <right/>
      <top style="thin">
        <color indexed="49"/>
      </top>
      <bottom style="double">
        <color indexed="49"/>
      </bottom>
      <diagonal/>
    </border>
    <border>
      <left/>
      <right/>
      <top/>
      <bottom style="thick">
        <color rgb="FF33CCCC"/>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auto="1"/>
      </left>
      <right style="thick">
        <color auto="1"/>
      </right>
      <top style="thick">
        <color auto="1"/>
      </top>
      <bottom style="thin">
        <color indexed="64"/>
      </bottom>
      <diagonal/>
    </border>
  </borders>
  <cellStyleXfs count="50">
    <xf numFmtId="0" fontId="0" fillId="0" borderId="0"/>
    <xf numFmtId="0" fontId="1" fillId="0" borderId="3"/>
    <xf numFmtId="0" fontId="14" fillId="0" borderId="3"/>
    <xf numFmtId="0" fontId="15" fillId="5" borderId="3" applyNumberFormat="0" applyBorder="0" applyAlignment="0" applyProtection="0"/>
    <xf numFmtId="0" fontId="15" fillId="6" borderId="3" applyNumberFormat="0" applyBorder="0" applyAlignment="0" applyProtection="0"/>
    <xf numFmtId="0" fontId="15" fillId="7" borderId="3" applyNumberFormat="0" applyBorder="0" applyAlignment="0" applyProtection="0"/>
    <xf numFmtId="0" fontId="15" fillId="8" borderId="3" applyNumberFormat="0" applyBorder="0" applyAlignment="0" applyProtection="0"/>
    <xf numFmtId="0" fontId="15" fillId="9" borderId="3" applyNumberFormat="0" applyBorder="0" applyAlignment="0" applyProtection="0"/>
    <xf numFmtId="0" fontId="15" fillId="10" borderId="3" applyNumberFormat="0" applyBorder="0" applyAlignment="0" applyProtection="0"/>
    <xf numFmtId="0" fontId="15" fillId="11" borderId="3" applyNumberFormat="0" applyBorder="0" applyAlignment="0" applyProtection="0"/>
    <xf numFmtId="0" fontId="15" fillId="6" borderId="3" applyNumberFormat="0" applyBorder="0" applyAlignment="0" applyProtection="0"/>
    <xf numFmtId="0" fontId="15" fillId="12" borderId="3" applyNumberFormat="0" applyBorder="0" applyAlignment="0" applyProtection="0"/>
    <xf numFmtId="0" fontId="15" fillId="13" borderId="3" applyNumberFormat="0" applyBorder="0" applyAlignment="0" applyProtection="0"/>
    <xf numFmtId="0" fontId="15" fillId="11" borderId="3" applyNumberFormat="0" applyBorder="0" applyAlignment="0" applyProtection="0"/>
    <xf numFmtId="0" fontId="15" fillId="13" borderId="3" applyNumberFormat="0" applyBorder="0" applyAlignment="0" applyProtection="0"/>
    <xf numFmtId="0" fontId="16" fillId="11" borderId="3" applyNumberFormat="0" applyBorder="0" applyAlignment="0" applyProtection="0"/>
    <xf numFmtId="0" fontId="16" fillId="6" borderId="3" applyNumberFormat="0" applyBorder="0" applyAlignment="0" applyProtection="0"/>
    <xf numFmtId="0" fontId="16" fillId="12" borderId="3" applyNumberFormat="0" applyBorder="0" applyAlignment="0" applyProtection="0"/>
    <xf numFmtId="0" fontId="16" fillId="13" borderId="3" applyNumberFormat="0" applyBorder="0" applyAlignment="0" applyProtection="0"/>
    <xf numFmtId="0" fontId="16" fillId="14" borderId="3" applyNumberFormat="0" applyBorder="0" applyAlignment="0" applyProtection="0"/>
    <xf numFmtId="0" fontId="16" fillId="15" borderId="3" applyNumberFormat="0" applyBorder="0" applyAlignment="0" applyProtection="0"/>
    <xf numFmtId="0" fontId="17" fillId="10" borderId="3" applyNumberFormat="0" applyBorder="0" applyAlignment="0" applyProtection="0"/>
    <xf numFmtId="0" fontId="20" fillId="12" borderId="21" applyNumberFormat="0" applyAlignment="0" applyProtection="0"/>
    <xf numFmtId="0" fontId="18" fillId="16" borderId="22" applyNumberFormat="0" applyAlignment="0" applyProtection="0"/>
    <xf numFmtId="0" fontId="19" fillId="0" borderId="23" applyNumberFormat="0" applyFill="0" applyAlignment="0" applyProtection="0"/>
    <xf numFmtId="0" fontId="21" fillId="0" borderId="24" applyNumberFormat="0" applyFill="0" applyAlignment="0" applyProtection="0"/>
    <xf numFmtId="0" fontId="22" fillId="0" borderId="3" applyNumberFormat="0" applyFill="0" applyBorder="0" applyAlignment="0" applyProtection="0"/>
    <xf numFmtId="0" fontId="16" fillId="14" borderId="3" applyNumberFormat="0" applyBorder="0" applyAlignment="0" applyProtection="0"/>
    <xf numFmtId="0" fontId="16" fillId="17" borderId="3" applyNumberFormat="0" applyBorder="0" applyAlignment="0" applyProtection="0"/>
    <xf numFmtId="0" fontId="16" fillId="16" borderId="3" applyNumberFormat="0" applyBorder="0" applyAlignment="0" applyProtection="0"/>
    <xf numFmtId="0" fontId="16" fillId="18" borderId="3" applyNumberFormat="0" applyBorder="0" applyAlignment="0" applyProtection="0"/>
    <xf numFmtId="0" fontId="16" fillId="19" borderId="3" applyNumberFormat="0" applyBorder="0" applyAlignment="0" applyProtection="0"/>
    <xf numFmtId="0" fontId="16" fillId="15" borderId="3" applyNumberFormat="0" applyBorder="0" applyAlignment="0" applyProtection="0"/>
    <xf numFmtId="0" fontId="23" fillId="6" borderId="21" applyNumberFormat="0" applyAlignment="0" applyProtection="0"/>
    <xf numFmtId="0" fontId="24" fillId="20" borderId="3" applyNumberFormat="0" applyBorder="0" applyAlignment="0" applyProtection="0"/>
    <xf numFmtId="0" fontId="25" fillId="13" borderId="3" applyNumberFormat="0" applyBorder="0" applyAlignment="0" applyProtection="0"/>
    <xf numFmtId="0" fontId="6" fillId="8" borderId="25" applyNumberFormat="0" applyAlignment="0" applyProtection="0"/>
    <xf numFmtId="0" fontId="26" fillId="12" borderId="26" applyNumberFormat="0" applyAlignment="0" applyProtection="0"/>
    <xf numFmtId="0" fontId="27" fillId="0" borderId="3" applyNumberFormat="0" applyFill="0" applyBorder="0" applyAlignment="0" applyProtection="0"/>
    <xf numFmtId="0" fontId="28" fillId="0" borderId="3" applyNumberFormat="0" applyFill="0" applyBorder="0" applyAlignment="0" applyProtection="0"/>
    <xf numFmtId="0" fontId="30" fillId="0" borderId="3" applyNumberFormat="0" applyFill="0" applyBorder="0" applyAlignment="0" applyProtection="0"/>
    <xf numFmtId="0" fontId="31" fillId="0" borderId="27" applyNumberFormat="0" applyFill="0" applyAlignment="0" applyProtection="0"/>
    <xf numFmtId="0" fontId="22" fillId="0" borderId="28" applyNumberFormat="0" applyFill="0" applyAlignment="0" applyProtection="0"/>
    <xf numFmtId="0" fontId="29" fillId="0" borderId="29" applyNumberFormat="0" applyFill="0" applyAlignment="0" applyProtection="0"/>
    <xf numFmtId="0" fontId="32" fillId="0" borderId="3"/>
    <xf numFmtId="0" fontId="33" fillId="0" borderId="3"/>
    <xf numFmtId="168" fontId="6" fillId="0" borderId="3" applyBorder="0" applyProtection="0"/>
    <xf numFmtId="0" fontId="34" fillId="0" borderId="30" applyProtection="0"/>
    <xf numFmtId="167" fontId="35" fillId="0" borderId="3" applyBorder="0" applyProtection="0"/>
    <xf numFmtId="0" fontId="36" fillId="22" borderId="3" applyBorder="0" applyProtection="0"/>
  </cellStyleXfs>
  <cellXfs count="160">
    <xf numFmtId="0" fontId="0" fillId="0" borderId="0" xfId="0" applyFont="1" applyAlignment="1"/>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left" vertical="top"/>
    </xf>
    <xf numFmtId="164" fontId="2" fillId="0" borderId="0" xfId="0" applyNumberFormat="1" applyFont="1" applyAlignment="1">
      <alignment horizontal="center"/>
    </xf>
    <xf numFmtId="0" fontId="7" fillId="0" borderId="0" xfId="0" applyFont="1" applyAlignment="1">
      <alignment horizontal="left" wrapText="1"/>
    </xf>
    <xf numFmtId="0" fontId="7" fillId="0" borderId="0" xfId="0" applyFont="1" applyAlignment="1">
      <alignment horizontal="center" wrapText="1"/>
    </xf>
    <xf numFmtId="164" fontId="7" fillId="0" borderId="0" xfId="0" applyNumberFormat="1" applyFont="1" applyAlignment="1">
      <alignment horizontal="center" wrapText="1"/>
    </xf>
    <xf numFmtId="0" fontId="8" fillId="0" borderId="0" xfId="0" applyFont="1"/>
    <xf numFmtId="0" fontId="5" fillId="2" borderId="3" xfId="0" applyFont="1" applyFill="1" applyBorder="1" applyAlignment="1">
      <alignment horizontal="left" wrapText="1"/>
    </xf>
    <xf numFmtId="0" fontId="5" fillId="2" borderId="3" xfId="0" applyFont="1" applyFill="1" applyBorder="1" applyAlignment="1">
      <alignment horizontal="left" vertical="top" wrapText="1"/>
    </xf>
    <xf numFmtId="0" fontId="7" fillId="0" borderId="0" xfId="0" applyFont="1" applyAlignment="1">
      <alignment horizontal="center" vertical="center" wrapText="1"/>
    </xf>
    <xf numFmtId="0" fontId="7" fillId="0" borderId="0" xfId="0" applyFont="1" applyAlignment="1">
      <alignment horizontal="left" vertical="top" wrapText="1"/>
    </xf>
    <xf numFmtId="0" fontId="2" fillId="2" borderId="3" xfId="0" applyFont="1" applyFill="1" applyBorder="1"/>
    <xf numFmtId="0" fontId="2" fillId="0" borderId="0" xfId="0" applyFont="1" applyAlignment="1">
      <alignment vertical="center"/>
    </xf>
    <xf numFmtId="0" fontId="2" fillId="2" borderId="3" xfId="0" applyFont="1" applyFill="1" applyBorder="1" applyAlignment="1">
      <alignment vertical="center"/>
    </xf>
    <xf numFmtId="166" fontId="2" fillId="0" borderId="0" xfId="0" applyNumberFormat="1" applyFont="1" applyAlignment="1">
      <alignment horizontal="center" vertical="center"/>
    </xf>
    <xf numFmtId="0" fontId="2" fillId="2" borderId="3" xfId="0" applyFont="1" applyFill="1" applyBorder="1" applyAlignment="1">
      <alignment wrapText="1"/>
    </xf>
    <xf numFmtId="166" fontId="2" fillId="0" borderId="6" xfId="0" applyNumberFormat="1" applyFont="1" applyBorder="1" applyAlignment="1">
      <alignment horizontal="center" vertical="center"/>
    </xf>
    <xf numFmtId="0" fontId="2" fillId="0" borderId="6" xfId="0" applyFont="1" applyBorder="1"/>
    <xf numFmtId="0" fontId="11" fillId="2" borderId="3" xfId="0" applyFont="1" applyFill="1" applyBorder="1"/>
    <xf numFmtId="0" fontId="3" fillId="2" borderId="4" xfId="0" applyFont="1" applyFill="1" applyBorder="1" applyAlignment="1">
      <alignment horizontal="center" vertical="center"/>
    </xf>
    <xf numFmtId="0" fontId="3" fillId="0" borderId="4" xfId="0" applyFont="1" applyBorder="1" applyAlignment="1">
      <alignment horizontal="center" vertical="center"/>
    </xf>
    <xf numFmtId="165" fontId="3" fillId="0" borderId="4" xfId="0" applyNumberFormat="1" applyFont="1" applyBorder="1" applyAlignment="1">
      <alignment vertical="center"/>
    </xf>
    <xf numFmtId="0" fontId="3" fillId="2" borderId="4" xfId="0" applyFont="1" applyFill="1" applyBorder="1" applyAlignment="1">
      <alignment horizontal="left" vertical="center" wrapText="1"/>
    </xf>
    <xf numFmtId="165" fontId="10" fillId="3" borderId="5" xfId="0" applyNumberFormat="1" applyFont="1" applyFill="1" applyBorder="1" applyAlignment="1">
      <alignment vertical="center"/>
    </xf>
    <xf numFmtId="0" fontId="12" fillId="0" borderId="14" xfId="0" applyFont="1" applyBorder="1" applyAlignment="1">
      <alignment horizontal="left"/>
    </xf>
    <xf numFmtId="0" fontId="8" fillId="0" borderId="15" xfId="0" applyFont="1" applyBorder="1"/>
    <xf numFmtId="0" fontId="8" fillId="0" borderId="14" xfId="0" applyFont="1" applyBorder="1" applyAlignment="1">
      <alignment horizontal="left"/>
    </xf>
    <xf numFmtId="0" fontId="8" fillId="2" borderId="3" xfId="0" applyFont="1" applyFill="1" applyBorder="1"/>
    <xf numFmtId="0" fontId="8" fillId="2" borderId="17" xfId="0" applyFont="1" applyFill="1" applyBorder="1"/>
    <xf numFmtId="0" fontId="8" fillId="2" borderId="3" xfId="0" applyFont="1" applyFill="1" applyBorder="1" applyAlignment="1">
      <alignment horizontal="center" wrapText="1"/>
    </xf>
    <xf numFmtId="0" fontId="8" fillId="2" borderId="17" xfId="0" applyFont="1" applyFill="1" applyBorder="1" applyAlignment="1">
      <alignment horizontal="center" wrapText="1"/>
    </xf>
    <xf numFmtId="0" fontId="8" fillId="0" borderId="18" xfId="0" applyFont="1" applyBorder="1" applyAlignment="1">
      <alignment horizontal="left"/>
    </xf>
    <xf numFmtId="0" fontId="8" fillId="0" borderId="10" xfId="0" applyFont="1" applyBorder="1"/>
    <xf numFmtId="0" fontId="8" fillId="0" borderId="19" xfId="0" applyFont="1" applyBorder="1"/>
    <xf numFmtId="0" fontId="0" fillId="0" borderId="0" xfId="0" applyFont="1" applyAlignment="1"/>
    <xf numFmtId="0" fontId="3" fillId="4" borderId="4" xfId="0" applyFont="1" applyFill="1" applyBorder="1" applyAlignment="1">
      <alignment horizontal="center" vertical="center"/>
    </xf>
    <xf numFmtId="0" fontId="2" fillId="4" borderId="3" xfId="0" applyFont="1" applyFill="1" applyBorder="1" applyAlignment="1">
      <alignment vertical="center"/>
    </xf>
    <xf numFmtId="0" fontId="8" fillId="0" borderId="3" xfId="0" applyFont="1" applyBorder="1"/>
    <xf numFmtId="0" fontId="8" fillId="0" borderId="3" xfId="0" applyFont="1" applyBorder="1" applyAlignment="1">
      <alignment horizontal="left"/>
    </xf>
    <xf numFmtId="0" fontId="0" fillId="0" borderId="0" xfId="0" applyFont="1" applyAlignment="1"/>
    <xf numFmtId="0" fontId="3" fillId="0" borderId="3" xfId="0" applyFont="1" applyBorder="1"/>
    <xf numFmtId="0" fontId="3" fillId="0" borderId="3" xfId="0" applyFont="1" applyBorder="1" applyAlignment="1">
      <alignment horizontal="center" vertical="center"/>
    </xf>
    <xf numFmtId="0" fontId="3" fillId="0" borderId="3" xfId="0" applyFont="1" applyBorder="1" applyAlignment="1">
      <alignment horizontal="center"/>
    </xf>
    <xf numFmtId="0" fontId="3" fillId="0" borderId="3" xfId="0" applyFont="1" applyBorder="1" applyAlignment="1">
      <alignment horizontal="left" vertical="top"/>
    </xf>
    <xf numFmtId="164" fontId="3" fillId="0" borderId="3" xfId="0" applyNumberFormat="1" applyFont="1" applyBorder="1" applyAlignment="1">
      <alignment horizontal="center"/>
    </xf>
    <xf numFmtId="165" fontId="3" fillId="0" borderId="3" xfId="0" applyNumberFormat="1" applyFont="1" applyBorder="1"/>
    <xf numFmtId="0" fontId="0" fillId="0" borderId="20" xfId="0" applyBorder="1" applyAlignment="1">
      <alignment horizontal="center" vertical="center"/>
    </xf>
    <xf numFmtId="164" fontId="0" fillId="0" borderId="20" xfId="0" applyNumberFormat="1" applyBorder="1" applyAlignment="1">
      <alignment horizontal="center" vertical="center"/>
    </xf>
    <xf numFmtId="0" fontId="0" fillId="0" borderId="0" xfId="0" applyFont="1" applyAlignment="1"/>
    <xf numFmtId="170" fontId="0" fillId="0" borderId="0" xfId="0" applyNumberFormat="1" applyAlignment="1">
      <alignment horizontal="left"/>
    </xf>
    <xf numFmtId="0" fontId="0" fillId="0" borderId="0" xfId="0"/>
    <xf numFmtId="3" fontId="43" fillId="0" borderId="3" xfId="0" applyNumberFormat="1" applyFont="1" applyBorder="1"/>
    <xf numFmtId="0" fontId="38" fillId="0" borderId="31" xfId="45" applyFont="1" applyBorder="1" applyAlignment="1">
      <alignment horizontal="right" vertical="center"/>
    </xf>
    <xf numFmtId="0" fontId="38" fillId="0" borderId="33" xfId="45" applyFont="1" applyBorder="1" applyAlignment="1">
      <alignment vertical="center"/>
    </xf>
    <xf numFmtId="0" fontId="38" fillId="0" borderId="3" xfId="45" applyFont="1" applyBorder="1" applyAlignment="1">
      <alignment vertical="center"/>
    </xf>
    <xf numFmtId="0" fontId="40" fillId="0" borderId="3" xfId="45" applyFont="1" applyBorder="1" applyAlignment="1">
      <alignment horizontal="left" vertical="center"/>
    </xf>
    <xf numFmtId="0" fontId="39" fillId="0" borderId="3" xfId="45" applyFont="1" applyBorder="1" applyAlignment="1">
      <alignment horizontal="left" vertical="center" wrapText="1" indent="1"/>
    </xf>
    <xf numFmtId="0" fontId="39" fillId="4" borderId="32" xfId="45" applyFont="1" applyFill="1" applyBorder="1" applyAlignment="1">
      <alignment horizontal="center" vertical="center"/>
    </xf>
    <xf numFmtId="0" fontId="42" fillId="0" borderId="35" xfId="45" applyFont="1" applyBorder="1" applyAlignment="1">
      <alignment horizontal="center" vertical="center"/>
    </xf>
    <xf numFmtId="0" fontId="42" fillId="0" borderId="35" xfId="45" applyFont="1" applyBorder="1" applyAlignment="1">
      <alignment horizontal="left" vertical="center"/>
    </xf>
    <xf numFmtId="0" fontId="37" fillId="4" borderId="35" xfId="45" applyFont="1" applyFill="1" applyBorder="1" applyAlignment="1">
      <alignment horizontal="center" vertical="center"/>
    </xf>
    <xf numFmtId="0" fontId="37" fillId="23" borderId="35" xfId="45" applyFont="1" applyFill="1" applyBorder="1" applyAlignment="1">
      <alignment horizontal="center" vertical="center" wrapText="1"/>
    </xf>
    <xf numFmtId="169" fontId="37" fillId="23" borderId="35" xfId="46" applyNumberFormat="1" applyFont="1" applyFill="1" applyBorder="1" applyAlignment="1" applyProtection="1">
      <alignment horizontal="right" vertical="center" wrapText="1"/>
    </xf>
    <xf numFmtId="3" fontId="37" fillId="23" borderId="35" xfId="45" applyNumberFormat="1" applyFont="1" applyFill="1" applyBorder="1" applyAlignment="1">
      <alignment horizontal="center" vertical="center"/>
    </xf>
    <xf numFmtId="0" fontId="0" fillId="0" borderId="0" xfId="0" applyAlignment="1">
      <alignment horizontal="left"/>
    </xf>
    <xf numFmtId="0" fontId="0" fillId="0" borderId="3" xfId="0" applyBorder="1"/>
    <xf numFmtId="0" fontId="0" fillId="0" borderId="31" xfId="0" applyBorder="1"/>
    <xf numFmtId="0" fontId="0" fillId="0" borderId="45" xfId="0" applyBorder="1"/>
    <xf numFmtId="0" fontId="0" fillId="0" borderId="33" xfId="0" applyBorder="1"/>
    <xf numFmtId="0" fontId="0" fillId="0" borderId="33" xfId="0" applyBorder="1" applyAlignment="1">
      <alignment horizontal="left"/>
    </xf>
    <xf numFmtId="0" fontId="0" fillId="0" borderId="46" xfId="0" applyBorder="1"/>
    <xf numFmtId="0" fontId="47" fillId="0" borderId="48" xfId="0" applyFont="1" applyBorder="1" applyAlignment="1">
      <alignment horizontal="center" vertical="center"/>
    </xf>
    <xf numFmtId="0" fontId="47" fillId="0" borderId="49" xfId="0" applyFont="1" applyBorder="1" applyAlignment="1">
      <alignment horizontal="center" vertical="center"/>
    </xf>
    <xf numFmtId="0" fontId="47" fillId="0" borderId="49" xfId="0" applyFont="1" applyBorder="1" applyAlignment="1">
      <alignment horizontal="left" vertical="center"/>
    </xf>
    <xf numFmtId="0" fontId="47" fillId="0" borderId="50" xfId="0" applyFont="1" applyBorder="1" applyAlignment="1">
      <alignment horizontal="center" vertical="center"/>
    </xf>
    <xf numFmtId="0" fontId="47" fillId="0" borderId="44" xfId="0" applyFont="1" applyBorder="1" applyAlignment="1">
      <alignment horizontal="center" vertical="center"/>
    </xf>
    <xf numFmtId="0" fontId="0" fillId="4" borderId="51" xfId="0" applyFill="1" applyBorder="1" applyAlignment="1">
      <alignment horizontal="center" vertical="center"/>
    </xf>
    <xf numFmtId="0" fontId="0" fillId="0" borderId="51" xfId="0" applyBorder="1" applyAlignment="1">
      <alignment horizontal="center" vertical="center"/>
    </xf>
    <xf numFmtId="171" fontId="0" fillId="23" borderId="51" xfId="48" applyNumberFormat="1" applyFont="1" applyFill="1" applyBorder="1" applyAlignment="1" applyProtection="1">
      <alignment horizontal="center" vertical="center"/>
    </xf>
    <xf numFmtId="0" fontId="0" fillId="4" borderId="52" xfId="0" applyFill="1" applyBorder="1" applyAlignment="1">
      <alignment horizontal="center" vertical="center"/>
    </xf>
    <xf numFmtId="0" fontId="0" fillId="0" borderId="52" xfId="0" applyBorder="1" applyAlignment="1">
      <alignment horizontal="center" vertical="center"/>
    </xf>
    <xf numFmtId="171" fontId="0" fillId="0" borderId="52" xfId="48" applyNumberFormat="1" applyFont="1" applyBorder="1" applyAlignment="1" applyProtection="1">
      <alignment horizontal="center" vertical="center"/>
    </xf>
    <xf numFmtId="169" fontId="0" fillId="0" borderId="52" xfId="48" applyNumberFormat="1" applyFont="1" applyBorder="1" applyAlignment="1" applyProtection="1">
      <alignment horizontal="center" vertical="center"/>
    </xf>
    <xf numFmtId="0" fontId="45" fillId="0" borderId="52" xfId="0" applyFont="1" applyBorder="1" applyAlignment="1">
      <alignment horizontal="center" vertical="center"/>
    </xf>
    <xf numFmtId="169" fontId="47" fillId="23" borderId="53" xfId="0" applyNumberFormat="1" applyFont="1" applyFill="1" applyBorder="1" applyAlignment="1">
      <alignment horizontal="center" vertical="center"/>
    </xf>
    <xf numFmtId="0" fontId="49" fillId="0" borderId="57" xfId="0" applyFont="1" applyBorder="1" applyAlignment="1">
      <alignment horizontal="center" vertical="center" wrapText="1"/>
    </xf>
    <xf numFmtId="0" fontId="9" fillId="21" borderId="11" xfId="0" applyFont="1" applyFill="1" applyBorder="1" applyAlignment="1">
      <alignment horizontal="left" vertical="center" wrapText="1"/>
    </xf>
    <xf numFmtId="0" fontId="6" fillId="21" borderId="12" xfId="0" applyFont="1" applyFill="1" applyBorder="1"/>
    <xf numFmtId="0" fontId="6" fillId="21" borderId="13" xfId="0" applyFont="1" applyFill="1" applyBorder="1"/>
    <xf numFmtId="0" fontId="8" fillId="2" borderId="3" xfId="0" applyFont="1" applyFill="1" applyBorder="1" applyAlignment="1">
      <alignment horizontal="left" wrapText="1"/>
    </xf>
    <xf numFmtId="0" fontId="6" fillId="0" borderId="3" xfId="0" applyFont="1" applyBorder="1" applyAlignment="1"/>
    <xf numFmtId="0" fontId="6" fillId="0" borderId="17" xfId="0" applyFont="1" applyBorder="1" applyAlignment="1"/>
    <xf numFmtId="0" fontId="8" fillId="2" borderId="3" xfId="0" applyFont="1" applyFill="1" applyBorder="1" applyAlignment="1">
      <alignment horizontal="left" vertical="center" wrapText="1"/>
    </xf>
    <xf numFmtId="0" fontId="6" fillId="0" borderId="3" xfId="0" applyFont="1" applyBorder="1" applyAlignment="1">
      <alignment vertical="center"/>
    </xf>
    <xf numFmtId="0" fontId="6" fillId="0" borderId="17" xfId="0" applyFont="1" applyBorder="1" applyAlignment="1">
      <alignment vertical="center"/>
    </xf>
    <xf numFmtId="0" fontId="13" fillId="2" borderId="3" xfId="0" applyFont="1" applyFill="1" applyBorder="1" applyAlignment="1">
      <alignment horizontal="left" vertical="center"/>
    </xf>
    <xf numFmtId="0" fontId="6" fillId="0" borderId="3" xfId="0" applyFont="1" applyBorder="1" applyAlignment="1">
      <alignment horizontal="left" vertical="center"/>
    </xf>
    <xf numFmtId="0" fontId="6" fillId="0" borderId="17" xfId="0" applyFont="1" applyBorder="1" applyAlignment="1">
      <alignment horizontal="left" vertical="center"/>
    </xf>
    <xf numFmtId="0" fontId="8" fillId="2" borderId="1" xfId="0" applyFont="1" applyFill="1" applyBorder="1" applyAlignment="1">
      <alignment horizontal="center" wrapText="1"/>
    </xf>
    <xf numFmtId="0" fontId="6" fillId="0" borderId="2" xfId="0" applyFont="1" applyBorder="1"/>
    <xf numFmtId="0" fontId="6" fillId="0" borderId="16" xfId="0" applyFont="1" applyBorder="1"/>
    <xf numFmtId="0" fontId="8" fillId="2" borderId="3" xfId="0" applyFont="1" applyFill="1" applyBorder="1" applyAlignment="1">
      <alignment horizontal="center" wrapText="1"/>
    </xf>
    <xf numFmtId="0" fontId="8" fillId="2" borderId="17" xfId="0" applyFont="1" applyFill="1" applyBorder="1" applyAlignment="1">
      <alignment horizontal="center" wrapText="1"/>
    </xf>
    <xf numFmtId="0" fontId="8" fillId="2" borderId="17" xfId="0" applyFont="1" applyFill="1" applyBorder="1" applyAlignment="1">
      <alignment horizontal="left" vertical="center" wrapText="1"/>
    </xf>
    <xf numFmtId="0" fontId="13" fillId="2" borderId="17" xfId="0" applyFont="1" applyFill="1" applyBorder="1" applyAlignment="1">
      <alignment horizontal="left" vertical="center"/>
    </xf>
    <xf numFmtId="0" fontId="9" fillId="21" borderId="12" xfId="0" applyFont="1" applyFill="1" applyBorder="1" applyAlignment="1">
      <alignment horizontal="left" vertical="center" wrapText="1"/>
    </xf>
    <xf numFmtId="0" fontId="9" fillId="21" borderId="13" xfId="0" applyFont="1" applyFill="1" applyBorder="1" applyAlignment="1">
      <alignment horizontal="left" vertical="center" wrapText="1"/>
    </xf>
    <xf numFmtId="0" fontId="10" fillId="3" borderId="7" xfId="0" applyFont="1" applyFill="1" applyBorder="1" applyAlignment="1">
      <alignment horizontal="center" vertical="center" wrapText="1"/>
    </xf>
    <xf numFmtId="0" fontId="6" fillId="0" borderId="8" xfId="0" applyFont="1" applyBorder="1"/>
    <xf numFmtId="0" fontId="6" fillId="0" borderId="9" xfId="0" applyFont="1" applyBorder="1"/>
    <xf numFmtId="0" fontId="5" fillId="0" borderId="0" xfId="0" applyFont="1" applyAlignment="1">
      <alignment horizontal="left" vertical="center" wrapText="1"/>
    </xf>
    <xf numFmtId="0" fontId="0" fillId="0" borderId="0" xfId="0" applyFont="1" applyAlignment="1"/>
    <xf numFmtId="0" fontId="4" fillId="0" borderId="0" xfId="0" applyFont="1" applyAlignment="1">
      <alignment horizontal="center"/>
    </xf>
    <xf numFmtId="0" fontId="5" fillId="2" borderId="1" xfId="0" applyFont="1" applyFill="1" applyBorder="1" applyAlignment="1">
      <alignment horizontal="left" wrapText="1"/>
    </xf>
    <xf numFmtId="0" fontId="37" fillId="0" borderId="35" xfId="45" applyFont="1" applyBorder="1" applyAlignment="1">
      <alignment horizontal="left" vertical="center" wrapText="1"/>
    </xf>
    <xf numFmtId="0" fontId="38" fillId="0" borderId="3" xfId="45" applyFont="1" applyBorder="1" applyAlignment="1">
      <alignment horizontal="center" vertical="center"/>
    </xf>
    <xf numFmtId="0" fontId="40" fillId="0" borderId="34" xfId="45" applyFont="1" applyBorder="1" applyAlignment="1">
      <alignment horizontal="left" vertical="center" wrapText="1"/>
    </xf>
    <xf numFmtId="0" fontId="39" fillId="23" borderId="35" xfId="45" applyFont="1" applyFill="1" applyBorder="1" applyAlignment="1">
      <alignment horizontal="left" vertical="center" wrapText="1" indent="1"/>
    </xf>
    <xf numFmtId="0" fontId="40" fillId="0" borderId="36" xfId="45" applyFont="1" applyBorder="1" applyAlignment="1">
      <alignment horizontal="left" vertical="center" wrapText="1"/>
    </xf>
    <xf numFmtId="0" fontId="41" fillId="23" borderId="35" xfId="45" applyFont="1" applyFill="1" applyBorder="1" applyAlignment="1">
      <alignment horizontal="left" vertical="center" wrapText="1" indent="1"/>
    </xf>
    <xf numFmtId="166" fontId="40" fillId="23" borderId="35" xfId="45" applyNumberFormat="1" applyFont="1" applyFill="1" applyBorder="1" applyAlignment="1">
      <alignment horizontal="center" vertical="center"/>
    </xf>
    <xf numFmtId="0" fontId="40" fillId="0" borderId="37" xfId="45" applyFont="1" applyBorder="1" applyAlignment="1">
      <alignment horizontal="left" vertical="center"/>
    </xf>
    <xf numFmtId="0" fontId="2" fillId="4" borderId="38" xfId="45" applyFont="1" applyFill="1" applyBorder="1" applyAlignment="1">
      <alignment horizontal="left" vertical="center" wrapText="1" indent="1"/>
    </xf>
    <xf numFmtId="0" fontId="41" fillId="0" borderId="37" xfId="45" applyFont="1" applyBorder="1" applyAlignment="1">
      <alignment horizontal="center" vertical="center"/>
    </xf>
    <xf numFmtId="0" fontId="41" fillId="0" borderId="39" xfId="45" applyFont="1" applyBorder="1" applyAlignment="1">
      <alignment horizontal="center" vertical="center" wrapText="1"/>
    </xf>
    <xf numFmtId="0" fontId="41" fillId="0" borderId="38" xfId="45" applyFont="1" applyBorder="1" applyAlignment="1">
      <alignment horizontal="center" vertical="center" wrapText="1"/>
    </xf>
    <xf numFmtId="0" fontId="37" fillId="0" borderId="34" xfId="0" applyFont="1" applyBorder="1" applyAlignment="1">
      <alignment horizontal="left" vertical="center" wrapText="1"/>
    </xf>
    <xf numFmtId="0" fontId="37" fillId="0" borderId="55" xfId="0" applyFont="1" applyBorder="1" applyAlignment="1">
      <alignment horizontal="left" vertical="center" wrapText="1"/>
    </xf>
    <xf numFmtId="0" fontId="37" fillId="0" borderId="56" xfId="0" applyFont="1" applyBorder="1" applyAlignment="1">
      <alignment horizontal="left" vertical="center" wrapText="1"/>
    </xf>
    <xf numFmtId="0" fontId="45" fillId="0" borderId="32" xfId="0" applyFont="1" applyBorder="1" applyAlignment="1">
      <alignment horizontal="left" indent="1"/>
    </xf>
    <xf numFmtId="0" fontId="0" fillId="0" borderId="40" xfId="0" applyBorder="1" applyAlignment="1">
      <alignment horizontal="center"/>
    </xf>
    <xf numFmtId="3" fontId="43" fillId="0" borderId="41" xfId="0" applyNumberFormat="1" applyFont="1" applyBorder="1" applyAlignment="1">
      <alignment horizontal="center"/>
    </xf>
    <xf numFmtId="0" fontId="44" fillId="0" borderId="32" xfId="0" applyFont="1" applyBorder="1" applyAlignment="1">
      <alignment horizontal="center" vertical="center" wrapText="1"/>
    </xf>
    <xf numFmtId="0" fontId="35" fillId="0" borderId="32" xfId="0" applyFont="1" applyBorder="1"/>
    <xf numFmtId="0" fontId="6" fillId="0" borderId="51" xfId="0" applyFont="1" applyBorder="1" applyAlignment="1">
      <alignment horizontal="left" vertical="center" wrapText="1"/>
    </xf>
    <xf numFmtId="0" fontId="0" fillId="0" borderId="51" xfId="0" applyBorder="1" applyAlignment="1">
      <alignment horizontal="left" vertical="center" wrapText="1"/>
    </xf>
    <xf numFmtId="0" fontId="48" fillId="0" borderId="32" xfId="0" applyFont="1" applyBorder="1" applyAlignment="1">
      <alignment horizontal="left" indent="1"/>
    </xf>
    <xf numFmtId="0" fontId="35" fillId="0" borderId="32" xfId="0" applyFont="1" applyBorder="1" applyAlignment="1">
      <alignment horizontal="left" indent="1"/>
    </xf>
    <xf numFmtId="0" fontId="46" fillId="0" borderId="32" xfId="0" applyFont="1" applyBorder="1" applyAlignment="1">
      <alignment horizontal="left"/>
    </xf>
    <xf numFmtId="0" fontId="45" fillId="0" borderId="43" xfId="0" applyFont="1" applyBorder="1"/>
    <xf numFmtId="0" fontId="45" fillId="0" borderId="44" xfId="0" applyFont="1" applyBorder="1" applyAlignment="1">
      <alignment horizontal="left" vertical="center" wrapText="1" indent="1"/>
    </xf>
    <xf numFmtId="0" fontId="47" fillId="0" borderId="42" xfId="0" applyFont="1" applyBorder="1" applyAlignment="1">
      <alignment horizontal="center" vertical="center"/>
    </xf>
    <xf numFmtId="0" fontId="47" fillId="0" borderId="32" xfId="0" applyFont="1" applyBorder="1" applyAlignment="1">
      <alignment horizontal="center" vertical="center"/>
    </xf>
    <xf numFmtId="0" fontId="47" fillId="0" borderId="42" xfId="0" applyFont="1" applyBorder="1" applyAlignment="1">
      <alignment horizontal="center" vertical="center" wrapText="1"/>
    </xf>
    <xf numFmtId="0" fontId="47" fillId="0" borderId="47" xfId="0" applyFont="1" applyBorder="1" applyAlignment="1">
      <alignment horizontal="center" vertical="center"/>
    </xf>
    <xf numFmtId="0" fontId="6" fillId="4" borderId="53" xfId="0" applyFont="1" applyFill="1" applyBorder="1" applyAlignment="1">
      <alignment horizontal="left" vertical="center" wrapText="1" indent="1"/>
    </xf>
    <xf numFmtId="0" fontId="35" fillId="4" borderId="53" xfId="0" applyFont="1" applyFill="1" applyBorder="1" applyAlignment="1">
      <alignment horizontal="left" vertical="center" wrapText="1" indent="1"/>
    </xf>
    <xf numFmtId="0" fontId="6" fillId="0" borderId="52" xfId="0" applyFont="1" applyBorder="1" applyAlignment="1">
      <alignment horizontal="left" vertical="center" wrapText="1"/>
    </xf>
    <xf numFmtId="0" fontId="0" fillId="0" borderId="52" xfId="0" applyBorder="1" applyAlignment="1">
      <alignment horizontal="left" vertical="center" wrapText="1"/>
    </xf>
    <xf numFmtId="0" fontId="6" fillId="0" borderId="52" xfId="0" applyFont="1" applyBorder="1" applyAlignment="1">
      <alignment horizontal="left" vertical="center"/>
    </xf>
    <xf numFmtId="0" fontId="0" fillId="0" borderId="52" xfId="0" applyBorder="1" applyAlignment="1">
      <alignment horizontal="left" vertical="center"/>
    </xf>
    <xf numFmtId="0" fontId="43" fillId="23" borderId="53" xfId="0" applyFont="1" applyFill="1" applyBorder="1" applyAlignment="1">
      <alignment horizontal="left" vertical="center" wrapText="1"/>
    </xf>
    <xf numFmtId="0" fontId="0" fillId="0" borderId="42" xfId="0" applyBorder="1"/>
    <xf numFmtId="0" fontId="43" fillId="0" borderId="40" xfId="0" applyFont="1" applyBorder="1" applyAlignment="1">
      <alignment vertical="center" wrapText="1"/>
    </xf>
    <xf numFmtId="0" fontId="43" fillId="0" borderId="54" xfId="0" applyFont="1" applyBorder="1" applyAlignment="1">
      <alignment vertical="center" wrapText="1"/>
    </xf>
    <xf numFmtId="0" fontId="43" fillId="0" borderId="38" xfId="0" applyFont="1" applyBorder="1" applyAlignment="1">
      <alignment vertical="center" wrapText="1"/>
    </xf>
    <xf numFmtId="0" fontId="45" fillId="0" borderId="47" xfId="0" applyFont="1" applyBorder="1" applyAlignment="1">
      <alignment vertical="center" wrapText="1"/>
    </xf>
  </cellXfs>
  <cellStyles count="50">
    <cellStyle name="20% - Énfasis1 2" xfId="3" xr:uid="{00000000-0005-0000-0000-000000000000}"/>
    <cellStyle name="20% - Énfasis2 2" xfId="4" xr:uid="{00000000-0005-0000-0000-000001000000}"/>
    <cellStyle name="20% - Énfasis3 2" xfId="5" xr:uid="{00000000-0005-0000-0000-000002000000}"/>
    <cellStyle name="20% - Énfasis4 2" xfId="6" xr:uid="{00000000-0005-0000-0000-000003000000}"/>
    <cellStyle name="20% - Énfasis5 2" xfId="7" xr:uid="{00000000-0005-0000-0000-000004000000}"/>
    <cellStyle name="20% - Énfasis6 2" xfId="8" xr:uid="{00000000-0005-0000-0000-000005000000}"/>
    <cellStyle name="40% - Énfasis1 2" xfId="9" xr:uid="{00000000-0005-0000-0000-000006000000}"/>
    <cellStyle name="40% - Énfasis2 2" xfId="10" xr:uid="{00000000-0005-0000-0000-000007000000}"/>
    <cellStyle name="40% - Énfasis3 2" xfId="11" xr:uid="{00000000-0005-0000-0000-000008000000}"/>
    <cellStyle name="40% - Énfasis4 2" xfId="12" xr:uid="{00000000-0005-0000-0000-000009000000}"/>
    <cellStyle name="40% - Énfasis5 2" xfId="13" xr:uid="{00000000-0005-0000-0000-00000A000000}"/>
    <cellStyle name="40% - Énfasis6 2" xfId="14" xr:uid="{00000000-0005-0000-0000-00000B000000}"/>
    <cellStyle name="60% - Énfasis1 2" xfId="15" xr:uid="{00000000-0005-0000-0000-00000C000000}"/>
    <cellStyle name="60% - Énfasis2 2" xfId="16" xr:uid="{00000000-0005-0000-0000-00000D000000}"/>
    <cellStyle name="60% - Énfasis3 2" xfId="17" xr:uid="{00000000-0005-0000-0000-00000E000000}"/>
    <cellStyle name="60% - Énfasis4 2" xfId="18" xr:uid="{00000000-0005-0000-0000-00000F000000}"/>
    <cellStyle name="60% - Énfasis5 2" xfId="19" xr:uid="{00000000-0005-0000-0000-000010000000}"/>
    <cellStyle name="60% - Énfasis6 2" xfId="20" xr:uid="{00000000-0005-0000-0000-000011000000}"/>
    <cellStyle name="Buena 2" xfId="21" xr:uid="{00000000-0005-0000-0000-000012000000}"/>
    <cellStyle name="Cálculo 2" xfId="22" xr:uid="{00000000-0005-0000-0000-000013000000}"/>
    <cellStyle name="Celda de comprobación 2" xfId="23" xr:uid="{00000000-0005-0000-0000-000014000000}"/>
    <cellStyle name="Celda vinculada 2" xfId="24" xr:uid="{00000000-0005-0000-0000-000015000000}"/>
    <cellStyle name="Encabezado 1" xfId="25" xr:uid="{00000000-0005-0000-0000-000016000000}"/>
    <cellStyle name="Encabezado 1 2" xfId="47" xr:uid="{00000000-0005-0000-0000-000017000000}"/>
    <cellStyle name="Encabezado 4 2" xfId="26" xr:uid="{00000000-0005-0000-0000-000018000000}"/>
    <cellStyle name="Énfasis1 2" xfId="27" xr:uid="{00000000-0005-0000-0000-000019000000}"/>
    <cellStyle name="Énfasis2 2" xfId="28" xr:uid="{00000000-0005-0000-0000-00001A000000}"/>
    <cellStyle name="Énfasis3 2" xfId="29" xr:uid="{00000000-0005-0000-0000-00001B000000}"/>
    <cellStyle name="Énfasis4 2" xfId="30" xr:uid="{00000000-0005-0000-0000-00001C000000}"/>
    <cellStyle name="Énfasis5 2" xfId="31" xr:uid="{00000000-0005-0000-0000-00001D000000}"/>
    <cellStyle name="Énfasis6 2" xfId="32" xr:uid="{00000000-0005-0000-0000-00001E000000}"/>
    <cellStyle name="Entrada 2" xfId="33" xr:uid="{00000000-0005-0000-0000-00001F000000}"/>
    <cellStyle name="Incorrecto 2" xfId="34" xr:uid="{00000000-0005-0000-0000-000020000000}"/>
    <cellStyle name="Moneda 2" xfId="46" xr:uid="{00000000-0005-0000-0000-000021000000}"/>
    <cellStyle name="Moneda_AUTORIZACION Y NOTA DE PEDIDO" xfId="48" xr:uid="{00000000-0005-0000-0000-000022000000}"/>
    <cellStyle name="Neutral 1" xfId="35" xr:uid="{00000000-0005-0000-0000-000023000000}"/>
    <cellStyle name="Neutral 1 2" xfId="49" xr:uid="{00000000-0005-0000-0000-000024000000}"/>
    <cellStyle name="Normal" xfId="0" builtinId="0"/>
    <cellStyle name="Normal 2" xfId="2" xr:uid="{00000000-0005-0000-0000-000026000000}"/>
    <cellStyle name="Normal 3" xfId="44" xr:uid="{00000000-0005-0000-0000-000027000000}"/>
    <cellStyle name="Normal 4" xfId="1" xr:uid="{00000000-0005-0000-0000-000028000000}"/>
    <cellStyle name="Normal 5" xfId="45" xr:uid="{00000000-0005-0000-0000-000029000000}"/>
    <cellStyle name="Notas 2" xfId="36" xr:uid="{00000000-0005-0000-0000-00002A000000}"/>
    <cellStyle name="Salida 2" xfId="37" xr:uid="{00000000-0005-0000-0000-00002B000000}"/>
    <cellStyle name="Texto de advertencia 2" xfId="38" xr:uid="{00000000-0005-0000-0000-00002C000000}"/>
    <cellStyle name="Texto explicativo 2" xfId="39" xr:uid="{00000000-0005-0000-0000-00002D000000}"/>
    <cellStyle name="Título 2 2" xfId="41" xr:uid="{00000000-0005-0000-0000-00002E000000}"/>
    <cellStyle name="Título 3 2" xfId="42" xr:uid="{00000000-0005-0000-0000-00002F000000}"/>
    <cellStyle name="Título 4" xfId="40" xr:uid="{00000000-0005-0000-0000-000030000000}"/>
    <cellStyle name="Total 2" xfId="43"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UIZ%202021/TRAMITES%20COMPRAR/bienes%20de%20capital/BIENES%20DE%20CAPITAL%20DE%20AGUSTIN/NecesidadesTrimestrales-NP-APG%20bienes%20de%20capit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 NotaPedido"/>
      <sheetName val="Autor Gastar"/>
    </sheetNames>
    <sheetDataSet>
      <sheetData sheetId="0">
        <row r="6">
          <cell r="C6">
            <v>2021</v>
          </cell>
        </row>
      </sheetData>
      <sheetData sheetId="1">
        <row r="3">
          <cell r="D3" t="str">
            <v>70 - MINISTERIO DE CIENCIA E INNOVACION TECNOLOGICA</v>
          </cell>
        </row>
        <row r="4">
          <cell r="D4" t="str">
            <v>20 - MINISTERIO DE CIENCIA E INNOVACION TECNOLOGICA</v>
          </cell>
        </row>
        <row r="6">
          <cell r="D6" t="str">
            <v>DIRECCION PROVINCIAL DE GESTION ADMINISTRATIVA RECURSOS HUMANOS</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525"/>
  <sheetViews>
    <sheetView tabSelected="1" topLeftCell="D1" zoomScale="62" zoomScaleNormal="62" workbookViewId="0">
      <selection activeCell="J1" sqref="J1:XFD1048576"/>
    </sheetView>
  </sheetViews>
  <sheetFormatPr baseColWidth="10" defaultColWidth="12.5703125" defaultRowHeight="15" customHeight="1" x14ac:dyDescent="0.2"/>
  <cols>
    <col min="1" max="1" width="6.42578125" customWidth="1"/>
    <col min="2" max="2" width="16.85546875" customWidth="1"/>
    <col min="3" max="3" width="39.7109375" customWidth="1"/>
    <col min="4" max="4" width="8.42578125" customWidth="1"/>
    <col min="5" max="5" width="139.7109375" customWidth="1"/>
    <col min="6" max="6" width="11" customWidth="1"/>
    <col min="7" max="7" width="15.42578125" customWidth="1"/>
    <col min="8" max="8" width="18.5703125" customWidth="1"/>
    <col min="9" max="9" width="22.85546875" customWidth="1"/>
  </cols>
  <sheetData>
    <row r="1" spans="1:9" x14ac:dyDescent="0.2">
      <c r="A1" s="1"/>
      <c r="B1" s="2"/>
      <c r="C1" s="3"/>
      <c r="D1" s="1"/>
      <c r="E1" s="4"/>
      <c r="F1" s="1"/>
      <c r="G1" s="1"/>
      <c r="H1" s="5"/>
      <c r="I1" s="1"/>
    </row>
    <row r="2" spans="1:9" ht="27" x14ac:dyDescent="0.35">
      <c r="A2" s="1"/>
      <c r="B2" s="115" t="s">
        <v>0</v>
      </c>
      <c r="C2" s="114"/>
      <c r="D2" s="114"/>
      <c r="E2" s="114"/>
      <c r="F2" s="114"/>
      <c r="G2" s="114"/>
      <c r="H2" s="114"/>
      <c r="I2" s="1"/>
    </row>
    <row r="3" spans="1:9" x14ac:dyDescent="0.2">
      <c r="A3" s="1"/>
      <c r="B3" s="2"/>
      <c r="C3" s="3"/>
      <c r="D3" s="1"/>
      <c r="E3" s="4"/>
      <c r="F3" s="1"/>
      <c r="G3" s="1"/>
      <c r="H3" s="5"/>
      <c r="I3" s="1"/>
    </row>
    <row r="4" spans="1:9" ht="18" customHeight="1" x14ac:dyDescent="0.25">
      <c r="A4" s="113" t="s">
        <v>1</v>
      </c>
      <c r="B4" s="114"/>
      <c r="C4" s="116" t="s">
        <v>14</v>
      </c>
      <c r="D4" s="102"/>
      <c r="E4" s="102"/>
      <c r="F4" s="6"/>
      <c r="G4" s="7"/>
      <c r="H4" s="8"/>
      <c r="I4" s="9"/>
    </row>
    <row r="5" spans="1:9" ht="18" customHeight="1" x14ac:dyDescent="0.25">
      <c r="A5" s="113" t="s">
        <v>2</v>
      </c>
      <c r="B5" s="114"/>
      <c r="C5" s="116" t="s">
        <v>15</v>
      </c>
      <c r="D5" s="102"/>
      <c r="E5" s="102"/>
      <c r="F5" s="6"/>
      <c r="G5" s="7"/>
      <c r="H5" s="8"/>
      <c r="I5" s="9"/>
    </row>
    <row r="6" spans="1:9" ht="16.5" customHeight="1" x14ac:dyDescent="0.25">
      <c r="A6" s="113" t="s">
        <v>3</v>
      </c>
      <c r="B6" s="114"/>
      <c r="C6" s="10">
        <v>2021</v>
      </c>
      <c r="D6" s="10"/>
      <c r="E6" s="11"/>
      <c r="F6" s="6"/>
      <c r="G6" s="7"/>
      <c r="H6" s="8"/>
      <c r="I6" s="9"/>
    </row>
    <row r="7" spans="1:9" ht="16.5" customHeight="1" x14ac:dyDescent="0.25">
      <c r="A7" s="113" t="s">
        <v>4</v>
      </c>
      <c r="B7" s="114"/>
      <c r="C7" s="10">
        <v>4</v>
      </c>
      <c r="D7" s="10"/>
      <c r="E7" s="11"/>
      <c r="F7" s="6"/>
      <c r="G7" s="7"/>
      <c r="H7" s="8"/>
      <c r="I7" s="9"/>
    </row>
    <row r="8" spans="1:9" ht="14.25" x14ac:dyDescent="0.2">
      <c r="A8" s="9"/>
      <c r="B8" s="12"/>
      <c r="C8" s="7"/>
      <c r="D8" s="6"/>
      <c r="E8" s="13"/>
      <c r="F8" s="6"/>
      <c r="G8" s="7"/>
      <c r="H8" s="8"/>
      <c r="I8" s="9"/>
    </row>
    <row r="9" spans="1:9" ht="13.5" thickBot="1" x14ac:dyDescent="0.25">
      <c r="A9" s="1"/>
      <c r="B9" s="39"/>
      <c r="C9" s="1"/>
      <c r="D9" s="1"/>
      <c r="E9" s="1"/>
      <c r="F9" s="1"/>
      <c r="G9" s="1"/>
      <c r="H9" s="1"/>
      <c r="I9" s="1"/>
    </row>
    <row r="10" spans="1:9" ht="31.5" hidden="1" customHeight="1" x14ac:dyDescent="0.25">
      <c r="A10" s="15"/>
      <c r="B10" s="16"/>
      <c r="C10" s="15"/>
      <c r="D10" s="15"/>
      <c r="E10" s="15"/>
      <c r="F10" s="15"/>
      <c r="G10" s="15"/>
      <c r="H10" s="15"/>
      <c r="I10" s="15"/>
    </row>
    <row r="11" spans="1:9" ht="31.5" hidden="1" customHeight="1" x14ac:dyDescent="0.25">
      <c r="A11" s="15"/>
      <c r="B11" s="15"/>
      <c r="C11" s="15"/>
      <c r="D11" s="15"/>
      <c r="E11" s="15"/>
      <c r="F11" s="15"/>
      <c r="G11" s="15"/>
      <c r="H11" s="15"/>
      <c r="I11" s="15"/>
    </row>
    <row r="12" spans="1:9" ht="31.5" hidden="1" customHeight="1" x14ac:dyDescent="0.25">
      <c r="A12" s="15"/>
      <c r="B12" s="15"/>
      <c r="C12" s="15"/>
      <c r="D12" s="15"/>
      <c r="E12" s="15"/>
      <c r="F12" s="15"/>
      <c r="G12" s="15"/>
      <c r="H12" s="15"/>
      <c r="I12" s="15"/>
    </row>
    <row r="13" spans="1:9" ht="31.5" hidden="1" customHeight="1" x14ac:dyDescent="0.25">
      <c r="A13" s="15"/>
      <c r="B13" s="15"/>
      <c r="C13" s="15"/>
      <c r="D13" s="15"/>
      <c r="E13" s="15"/>
      <c r="F13" s="15"/>
      <c r="G13" s="15"/>
      <c r="H13" s="15"/>
      <c r="I13" s="15"/>
    </row>
    <row r="14" spans="1:9" ht="31.5" hidden="1" customHeight="1" x14ac:dyDescent="0.25">
      <c r="A14" s="15"/>
      <c r="B14" s="15"/>
      <c r="C14" s="15"/>
      <c r="D14" s="15"/>
      <c r="E14" s="15"/>
      <c r="F14" s="15"/>
      <c r="G14" s="15"/>
      <c r="H14" s="15"/>
      <c r="I14" s="15"/>
    </row>
    <row r="15" spans="1:9" ht="31.5" hidden="1" customHeight="1" x14ac:dyDescent="0.25">
      <c r="A15" s="15"/>
      <c r="B15" s="15"/>
      <c r="C15" s="15"/>
      <c r="D15" s="15"/>
      <c r="E15" s="15"/>
      <c r="F15" s="15"/>
      <c r="G15" s="15"/>
      <c r="H15" s="15"/>
      <c r="I15" s="15"/>
    </row>
    <row r="16" spans="1:9" ht="31.5" hidden="1" customHeight="1" x14ac:dyDescent="0.25">
      <c r="A16" s="15"/>
      <c r="B16" s="15"/>
      <c r="C16" s="15"/>
      <c r="D16" s="15"/>
      <c r="E16" s="15"/>
      <c r="F16" s="15"/>
      <c r="G16" s="15"/>
      <c r="H16" s="15"/>
      <c r="I16" s="15"/>
    </row>
    <row r="17" spans="1:9" ht="31.5" hidden="1" customHeight="1" x14ac:dyDescent="0.25">
      <c r="A17" s="15"/>
      <c r="B17" s="15"/>
      <c r="C17" s="15"/>
      <c r="D17" s="15"/>
      <c r="E17" s="15"/>
      <c r="F17" s="15"/>
      <c r="G17" s="15"/>
      <c r="H17" s="15"/>
      <c r="I17" s="15"/>
    </row>
    <row r="18" spans="1:9" ht="31.5" hidden="1" customHeight="1" x14ac:dyDescent="0.25">
      <c r="A18" s="15"/>
      <c r="B18" s="15"/>
      <c r="C18" s="15"/>
      <c r="D18" s="15"/>
      <c r="E18" s="15"/>
      <c r="F18" s="15"/>
      <c r="G18" s="15"/>
      <c r="H18" s="15"/>
      <c r="I18" s="15"/>
    </row>
    <row r="19" spans="1:9" ht="33.75" hidden="1" customHeight="1" x14ac:dyDescent="0.25">
      <c r="A19" s="15"/>
      <c r="B19" s="15"/>
      <c r="C19" s="15"/>
      <c r="D19" s="15"/>
      <c r="E19" s="15"/>
      <c r="F19" s="15"/>
      <c r="G19" s="15"/>
      <c r="H19" s="15"/>
      <c r="I19" s="15"/>
    </row>
    <row r="20" spans="1:9" ht="32.25" hidden="1" customHeight="1" x14ac:dyDescent="0.25">
      <c r="A20" s="15"/>
      <c r="B20" s="15"/>
      <c r="C20" s="15"/>
      <c r="D20" s="15"/>
      <c r="E20" s="15"/>
      <c r="F20" s="15"/>
      <c r="G20" s="15"/>
      <c r="H20" s="15"/>
      <c r="I20" s="15"/>
    </row>
    <row r="21" spans="1:9" ht="32.25" hidden="1" customHeight="1" x14ac:dyDescent="0.25">
      <c r="A21" s="15"/>
      <c r="B21" s="15"/>
      <c r="C21" s="15"/>
      <c r="D21" s="15"/>
      <c r="E21" s="15"/>
      <c r="F21" s="15"/>
      <c r="G21" s="15"/>
      <c r="H21" s="15"/>
      <c r="I21" s="15"/>
    </row>
    <row r="22" spans="1:9" ht="32.25" hidden="1" customHeight="1" x14ac:dyDescent="0.25">
      <c r="A22" s="15"/>
      <c r="B22" s="15"/>
      <c r="C22" s="15"/>
      <c r="D22" s="15"/>
      <c r="E22" s="15"/>
      <c r="F22" s="15"/>
      <c r="G22" s="15"/>
      <c r="H22" s="15"/>
      <c r="I22" s="15"/>
    </row>
    <row r="23" spans="1:9" ht="32.25" hidden="1" customHeight="1" x14ac:dyDescent="0.25">
      <c r="A23" s="15"/>
      <c r="B23" s="15"/>
      <c r="C23" s="15"/>
      <c r="D23" s="15"/>
      <c r="E23" s="15"/>
      <c r="F23" s="15"/>
      <c r="G23" s="15"/>
      <c r="H23" s="15"/>
      <c r="I23" s="15"/>
    </row>
    <row r="24" spans="1:9" ht="32.25" hidden="1" customHeight="1" x14ac:dyDescent="0.25">
      <c r="A24" s="15"/>
      <c r="B24" s="15"/>
      <c r="C24" s="15"/>
      <c r="D24" s="15"/>
      <c r="E24" s="15"/>
      <c r="F24" s="15"/>
      <c r="G24" s="15"/>
      <c r="H24" s="15"/>
      <c r="I24" s="15"/>
    </row>
    <row r="25" spans="1:9" ht="32.25" hidden="1" customHeight="1" x14ac:dyDescent="0.25">
      <c r="A25" s="15"/>
      <c r="B25" s="15"/>
      <c r="C25" s="15"/>
      <c r="D25" s="15"/>
      <c r="E25" s="15"/>
      <c r="F25" s="15"/>
      <c r="G25" s="15"/>
      <c r="H25" s="15"/>
      <c r="I25" s="15"/>
    </row>
    <row r="26" spans="1:9" ht="32.25" hidden="1" customHeight="1" x14ac:dyDescent="0.25">
      <c r="A26" s="15"/>
      <c r="B26" s="15"/>
      <c r="C26" s="15"/>
      <c r="D26" s="15"/>
      <c r="E26" s="15"/>
      <c r="F26" s="15"/>
      <c r="G26" s="15"/>
      <c r="H26" s="15"/>
      <c r="I26" s="15"/>
    </row>
    <row r="27" spans="1:9" ht="32.25" hidden="1" customHeight="1" x14ac:dyDescent="0.25">
      <c r="A27" s="15"/>
      <c r="B27" s="15"/>
      <c r="C27" s="15"/>
      <c r="D27" s="15"/>
      <c r="E27" s="15"/>
      <c r="F27" s="15"/>
      <c r="G27" s="15"/>
      <c r="H27" s="15"/>
      <c r="I27" s="15"/>
    </row>
    <row r="28" spans="1:9" ht="32.25" hidden="1" customHeight="1" x14ac:dyDescent="0.25">
      <c r="A28" s="15"/>
      <c r="B28" s="15"/>
      <c r="C28" s="15"/>
      <c r="D28" s="15"/>
      <c r="E28" s="15"/>
      <c r="F28" s="15"/>
      <c r="G28" s="15"/>
      <c r="H28" s="15"/>
      <c r="I28" s="15"/>
    </row>
    <row r="29" spans="1:9" ht="32.25" hidden="1" customHeight="1" x14ac:dyDescent="0.25">
      <c r="A29" s="15"/>
      <c r="B29" s="15"/>
      <c r="C29" s="15"/>
      <c r="D29" s="15"/>
      <c r="E29" s="15"/>
      <c r="F29" s="15"/>
      <c r="G29" s="15"/>
      <c r="H29" s="15"/>
      <c r="I29" s="15"/>
    </row>
    <row r="30" spans="1:9" ht="32.25" hidden="1" customHeight="1" x14ac:dyDescent="0.25">
      <c r="A30" s="15"/>
      <c r="B30" s="15"/>
      <c r="C30" s="15"/>
      <c r="D30" s="15"/>
      <c r="E30" s="15"/>
      <c r="F30" s="15"/>
      <c r="G30" s="15"/>
      <c r="H30" s="15"/>
      <c r="I30" s="15"/>
    </row>
    <row r="31" spans="1:9" ht="32.25" hidden="1" customHeight="1" x14ac:dyDescent="0.25">
      <c r="A31" s="15"/>
      <c r="B31" s="15"/>
      <c r="C31" s="15"/>
      <c r="D31" s="15"/>
      <c r="E31" s="15"/>
      <c r="F31" s="15"/>
      <c r="G31" s="15"/>
      <c r="H31" s="15"/>
      <c r="I31" s="15"/>
    </row>
    <row r="32" spans="1:9" ht="32.25" hidden="1" customHeight="1" x14ac:dyDescent="0.25">
      <c r="A32" s="15"/>
      <c r="B32" s="15"/>
      <c r="C32" s="15"/>
      <c r="D32" s="15"/>
      <c r="E32" s="15"/>
      <c r="F32" s="15"/>
      <c r="G32" s="15"/>
      <c r="H32" s="15"/>
      <c r="I32" s="15"/>
    </row>
    <row r="33" spans="1:9" ht="32.25" hidden="1" customHeight="1" x14ac:dyDescent="0.25">
      <c r="A33" s="15"/>
      <c r="B33" s="15"/>
      <c r="C33" s="15"/>
      <c r="D33" s="15"/>
      <c r="E33" s="15"/>
      <c r="F33" s="15"/>
      <c r="G33" s="15"/>
      <c r="H33" s="15"/>
      <c r="I33" s="15"/>
    </row>
    <row r="34" spans="1:9" ht="32.25" hidden="1" customHeight="1" x14ac:dyDescent="0.25">
      <c r="A34" s="15"/>
      <c r="B34" s="15"/>
      <c r="C34" s="15"/>
      <c r="D34" s="15"/>
      <c r="E34" s="15"/>
      <c r="F34" s="15"/>
      <c r="G34" s="15"/>
      <c r="H34" s="15"/>
      <c r="I34" s="15"/>
    </row>
    <row r="35" spans="1:9" ht="32.25" hidden="1" customHeight="1" x14ac:dyDescent="0.25">
      <c r="A35" s="15"/>
      <c r="B35" s="15"/>
      <c r="C35" s="15"/>
      <c r="D35" s="15"/>
      <c r="E35" s="15"/>
      <c r="F35" s="15"/>
      <c r="G35" s="15"/>
      <c r="H35" s="15"/>
      <c r="I35" s="15"/>
    </row>
    <row r="36" spans="1:9" ht="32.25" hidden="1" customHeight="1" x14ac:dyDescent="0.25">
      <c r="A36" s="15"/>
      <c r="B36" s="15"/>
      <c r="C36" s="15"/>
      <c r="D36" s="15"/>
      <c r="E36" s="15"/>
      <c r="F36" s="15"/>
      <c r="G36" s="15"/>
      <c r="H36" s="15"/>
      <c r="I36" s="15"/>
    </row>
    <row r="37" spans="1:9" ht="32.25" hidden="1" customHeight="1" x14ac:dyDescent="0.25">
      <c r="A37" s="15"/>
      <c r="B37" s="15"/>
      <c r="C37" s="15"/>
      <c r="D37" s="15"/>
      <c r="E37" s="15"/>
      <c r="F37" s="15"/>
      <c r="G37" s="15"/>
      <c r="H37" s="15"/>
      <c r="I37" s="15"/>
    </row>
    <row r="38" spans="1:9" ht="32.25" hidden="1" customHeight="1" x14ac:dyDescent="0.25">
      <c r="A38" s="15"/>
      <c r="B38" s="15"/>
      <c r="C38" s="15"/>
      <c r="D38" s="15"/>
      <c r="E38" s="15"/>
      <c r="F38" s="15"/>
      <c r="G38" s="15"/>
      <c r="H38" s="15"/>
      <c r="I38" s="15"/>
    </row>
    <row r="39" spans="1:9" ht="32.25" hidden="1" customHeight="1" x14ac:dyDescent="0.25">
      <c r="A39" s="15"/>
      <c r="B39" s="15"/>
      <c r="C39" s="15"/>
      <c r="D39" s="15"/>
      <c r="E39" s="15"/>
      <c r="F39" s="15"/>
      <c r="G39" s="15"/>
      <c r="H39" s="15"/>
      <c r="I39" s="15"/>
    </row>
    <row r="40" spans="1:9" ht="32.25" hidden="1" customHeight="1" x14ac:dyDescent="0.25">
      <c r="A40" s="15"/>
      <c r="B40" s="15"/>
      <c r="C40" s="15"/>
      <c r="D40" s="15"/>
      <c r="E40" s="15"/>
      <c r="F40" s="15"/>
      <c r="G40" s="15"/>
      <c r="H40" s="15"/>
      <c r="I40" s="15"/>
    </row>
    <row r="41" spans="1:9" ht="32.25" hidden="1" customHeight="1" x14ac:dyDescent="0.25">
      <c r="A41" s="15"/>
      <c r="B41" s="15"/>
      <c r="C41" s="15"/>
      <c r="D41" s="15"/>
      <c r="E41" s="15"/>
      <c r="F41" s="15"/>
      <c r="G41" s="15"/>
      <c r="H41" s="15"/>
      <c r="I41" s="15"/>
    </row>
    <row r="42" spans="1:9" ht="32.25" hidden="1" customHeight="1" x14ac:dyDescent="0.25">
      <c r="A42" s="15"/>
      <c r="B42" s="15"/>
      <c r="C42" s="15"/>
      <c r="D42" s="15"/>
      <c r="E42" s="15"/>
      <c r="F42" s="15"/>
      <c r="G42" s="15"/>
      <c r="H42" s="15"/>
      <c r="I42" s="15"/>
    </row>
    <row r="43" spans="1:9" ht="32.25" hidden="1" customHeight="1" x14ac:dyDescent="0.25">
      <c r="A43" s="15"/>
      <c r="B43" s="15"/>
      <c r="C43" s="15"/>
      <c r="D43" s="15"/>
      <c r="E43" s="15"/>
      <c r="F43" s="15"/>
      <c r="G43" s="15"/>
      <c r="H43" s="15"/>
      <c r="I43" s="15"/>
    </row>
    <row r="44" spans="1:9" ht="32.25" hidden="1" customHeight="1" x14ac:dyDescent="0.25">
      <c r="A44" s="15"/>
      <c r="B44" s="15"/>
      <c r="C44" s="15"/>
      <c r="D44" s="15"/>
      <c r="E44" s="15"/>
      <c r="F44" s="15"/>
      <c r="G44" s="15"/>
      <c r="H44" s="15"/>
      <c r="I44" s="15"/>
    </row>
    <row r="45" spans="1:9" ht="32.25" hidden="1" customHeight="1" x14ac:dyDescent="0.25">
      <c r="A45" s="15"/>
      <c r="B45" s="15"/>
      <c r="C45" s="15"/>
      <c r="D45" s="15"/>
      <c r="E45" s="15"/>
      <c r="F45" s="15"/>
      <c r="G45" s="15"/>
      <c r="H45" s="15"/>
      <c r="I45" s="15"/>
    </row>
    <row r="46" spans="1:9" ht="32.25" hidden="1" customHeight="1" x14ac:dyDescent="0.25">
      <c r="A46" s="15"/>
      <c r="B46" s="15"/>
      <c r="C46" s="15"/>
      <c r="D46" s="15"/>
      <c r="E46" s="15"/>
      <c r="F46" s="15"/>
      <c r="G46" s="15"/>
      <c r="H46" s="15"/>
      <c r="I46" s="15"/>
    </row>
    <row r="47" spans="1:9" ht="32.25" hidden="1" customHeight="1" x14ac:dyDescent="0.25">
      <c r="A47" s="15"/>
      <c r="B47" s="15"/>
      <c r="C47" s="15"/>
      <c r="D47" s="15"/>
      <c r="E47" s="15"/>
      <c r="F47" s="15"/>
      <c r="G47" s="15"/>
      <c r="H47" s="15"/>
      <c r="I47" s="15"/>
    </row>
    <row r="48" spans="1:9" ht="32.25" hidden="1" customHeight="1" x14ac:dyDescent="0.25">
      <c r="A48" s="15"/>
      <c r="B48" s="15"/>
      <c r="C48" s="15"/>
      <c r="D48" s="15"/>
      <c r="E48" s="15"/>
      <c r="F48" s="15"/>
      <c r="G48" s="15"/>
      <c r="H48" s="15"/>
      <c r="I48" s="15"/>
    </row>
    <row r="49" spans="1:9" ht="32.25" hidden="1" customHeight="1" x14ac:dyDescent="0.25">
      <c r="A49" s="15"/>
      <c r="B49" s="15"/>
      <c r="C49" s="15"/>
      <c r="D49" s="15"/>
      <c r="E49" s="15"/>
      <c r="F49" s="15"/>
      <c r="G49" s="15"/>
      <c r="H49" s="15"/>
      <c r="I49" s="15"/>
    </row>
    <row r="50" spans="1:9" ht="32.25" hidden="1" customHeight="1" x14ac:dyDescent="0.25">
      <c r="A50" s="15"/>
      <c r="B50" s="15"/>
      <c r="C50" s="15"/>
      <c r="D50" s="15"/>
      <c r="E50" s="15"/>
      <c r="F50" s="15"/>
      <c r="G50" s="15"/>
      <c r="H50" s="15"/>
      <c r="I50" s="15"/>
    </row>
    <row r="51" spans="1:9" ht="32.25" hidden="1" customHeight="1" x14ac:dyDescent="0.25">
      <c r="A51" s="15"/>
      <c r="B51" s="15"/>
      <c r="C51" s="15"/>
      <c r="D51" s="15"/>
      <c r="E51" s="15"/>
      <c r="F51" s="15"/>
      <c r="G51" s="15"/>
      <c r="H51" s="15"/>
      <c r="I51" s="15"/>
    </row>
    <row r="52" spans="1:9" ht="32.25" hidden="1" customHeight="1" x14ac:dyDescent="0.25">
      <c r="A52" s="15"/>
      <c r="B52" s="15"/>
      <c r="C52" s="15"/>
      <c r="D52" s="15"/>
      <c r="E52" s="15"/>
      <c r="F52" s="15"/>
      <c r="G52" s="15"/>
      <c r="H52" s="15"/>
      <c r="I52" s="15"/>
    </row>
    <row r="53" spans="1:9" ht="32.25" hidden="1" customHeight="1" x14ac:dyDescent="0.25">
      <c r="A53" s="15"/>
      <c r="B53" s="15"/>
      <c r="C53" s="15"/>
      <c r="D53" s="15"/>
      <c r="E53" s="15"/>
      <c r="F53" s="15"/>
      <c r="G53" s="15"/>
      <c r="H53" s="15"/>
      <c r="I53" s="15"/>
    </row>
    <row r="54" spans="1:9" ht="32.25" hidden="1" customHeight="1" x14ac:dyDescent="0.25">
      <c r="A54" s="15"/>
      <c r="B54" s="15"/>
      <c r="C54" s="15"/>
      <c r="D54" s="15"/>
      <c r="E54" s="15"/>
      <c r="F54" s="15"/>
      <c r="G54" s="15"/>
      <c r="H54" s="15"/>
      <c r="I54" s="15"/>
    </row>
    <row r="55" spans="1:9" ht="32.25" hidden="1" customHeight="1" x14ac:dyDescent="0.25">
      <c r="A55" s="15"/>
      <c r="B55" s="15"/>
      <c r="C55" s="15"/>
      <c r="D55" s="15"/>
      <c r="E55" s="15"/>
      <c r="F55" s="15"/>
      <c r="G55" s="15"/>
      <c r="H55" s="15"/>
      <c r="I55" s="15"/>
    </row>
    <row r="56" spans="1:9" ht="32.25" hidden="1" customHeight="1" x14ac:dyDescent="0.25">
      <c r="A56" s="15"/>
      <c r="B56" s="15"/>
      <c r="C56" s="15"/>
      <c r="D56" s="15"/>
      <c r="E56" s="15"/>
      <c r="F56" s="15"/>
      <c r="G56" s="15"/>
      <c r="H56" s="15"/>
      <c r="I56" s="15"/>
    </row>
    <row r="57" spans="1:9" ht="32.25" hidden="1" customHeight="1" x14ac:dyDescent="0.25">
      <c r="A57" s="15"/>
      <c r="B57" s="15"/>
      <c r="C57" s="15"/>
      <c r="D57" s="15"/>
      <c r="E57" s="15"/>
      <c r="F57" s="15"/>
      <c r="G57" s="15"/>
      <c r="H57" s="15"/>
      <c r="I57" s="15"/>
    </row>
    <row r="58" spans="1:9" ht="32.25" hidden="1" customHeight="1" x14ac:dyDescent="0.25">
      <c r="A58" s="15"/>
      <c r="B58" s="15"/>
      <c r="C58" s="15"/>
      <c r="D58" s="15"/>
      <c r="E58" s="15"/>
      <c r="F58" s="15"/>
      <c r="G58" s="15"/>
      <c r="H58" s="15"/>
      <c r="I58" s="15"/>
    </row>
    <row r="59" spans="1:9" ht="32.25" hidden="1" customHeight="1" x14ac:dyDescent="0.25">
      <c r="A59" s="15"/>
      <c r="B59" s="15"/>
      <c r="C59" s="15"/>
      <c r="D59" s="15"/>
      <c r="E59" s="15"/>
      <c r="F59" s="15"/>
      <c r="G59" s="15"/>
      <c r="H59" s="15"/>
      <c r="I59" s="15"/>
    </row>
    <row r="60" spans="1:9" ht="32.25" hidden="1" customHeight="1" x14ac:dyDescent="0.25">
      <c r="A60" s="15"/>
      <c r="B60" s="15"/>
      <c r="C60" s="15"/>
      <c r="D60" s="15"/>
      <c r="E60" s="15"/>
      <c r="F60" s="15"/>
      <c r="G60" s="15"/>
      <c r="H60" s="15"/>
      <c r="I60" s="15"/>
    </row>
    <row r="61" spans="1:9" ht="32.25" hidden="1" customHeight="1" x14ac:dyDescent="0.25">
      <c r="A61" s="15"/>
      <c r="B61" s="15"/>
      <c r="C61" s="15"/>
      <c r="D61" s="15"/>
      <c r="E61" s="15"/>
      <c r="F61" s="15"/>
      <c r="G61" s="15"/>
      <c r="H61" s="15"/>
      <c r="I61" s="15"/>
    </row>
    <row r="62" spans="1:9" ht="32.25" hidden="1" customHeight="1" x14ac:dyDescent="0.25">
      <c r="A62" s="15"/>
      <c r="B62" s="15"/>
      <c r="C62" s="15"/>
      <c r="D62" s="15"/>
      <c r="E62" s="15"/>
      <c r="F62" s="15"/>
      <c r="G62" s="15"/>
      <c r="H62" s="15"/>
      <c r="I62" s="15"/>
    </row>
    <row r="63" spans="1:9" ht="32.25" hidden="1" customHeight="1" x14ac:dyDescent="0.25">
      <c r="A63" s="15"/>
      <c r="B63" s="15"/>
      <c r="C63" s="15"/>
      <c r="D63" s="15"/>
      <c r="E63" s="15"/>
      <c r="F63" s="15"/>
      <c r="G63" s="15"/>
      <c r="H63" s="15"/>
      <c r="I63" s="15"/>
    </row>
    <row r="64" spans="1:9" ht="32.25" hidden="1" customHeight="1" x14ac:dyDescent="0.25">
      <c r="A64" s="15"/>
      <c r="B64" s="15"/>
      <c r="C64" s="15"/>
      <c r="D64" s="15"/>
      <c r="E64" s="15"/>
      <c r="F64" s="15"/>
      <c r="G64" s="15"/>
      <c r="H64" s="15"/>
      <c r="I64" s="15"/>
    </row>
    <row r="65" spans="1:9" ht="32.25" hidden="1" customHeight="1" x14ac:dyDescent="0.25">
      <c r="A65" s="15"/>
      <c r="B65" s="15"/>
      <c r="C65" s="15"/>
      <c r="D65" s="15"/>
      <c r="E65" s="15"/>
      <c r="F65" s="15"/>
      <c r="G65" s="15"/>
      <c r="H65" s="15"/>
      <c r="I65" s="15"/>
    </row>
    <row r="66" spans="1:9" ht="32.25" hidden="1" customHeight="1" x14ac:dyDescent="0.25">
      <c r="A66" s="15"/>
      <c r="B66" s="15"/>
      <c r="C66" s="15"/>
      <c r="D66" s="15"/>
      <c r="E66" s="15"/>
      <c r="F66" s="15"/>
      <c r="G66" s="15"/>
      <c r="H66" s="15"/>
      <c r="I66" s="15"/>
    </row>
    <row r="67" spans="1:9" ht="32.25" hidden="1" customHeight="1" x14ac:dyDescent="0.25">
      <c r="A67" s="15"/>
      <c r="B67" s="15"/>
      <c r="C67" s="15"/>
      <c r="D67" s="15"/>
      <c r="E67" s="15"/>
      <c r="F67" s="15"/>
      <c r="G67" s="15"/>
      <c r="H67" s="15"/>
      <c r="I67" s="15"/>
    </row>
    <row r="68" spans="1:9" ht="32.25" hidden="1" customHeight="1" x14ac:dyDescent="0.25">
      <c r="A68" s="15"/>
      <c r="B68" s="15"/>
      <c r="C68" s="15"/>
      <c r="D68" s="15"/>
      <c r="E68" s="15"/>
      <c r="F68" s="15"/>
      <c r="G68" s="15"/>
      <c r="H68" s="15"/>
      <c r="I68" s="15"/>
    </row>
    <row r="69" spans="1:9" ht="32.25" hidden="1" customHeight="1" x14ac:dyDescent="0.25">
      <c r="A69" s="15"/>
      <c r="B69" s="15"/>
      <c r="C69" s="15"/>
      <c r="D69" s="15"/>
      <c r="E69" s="15"/>
      <c r="F69" s="15"/>
      <c r="G69" s="15"/>
      <c r="H69" s="15"/>
      <c r="I69" s="15"/>
    </row>
    <row r="70" spans="1:9" ht="50.25" hidden="1" customHeight="1" x14ac:dyDescent="0.25">
      <c r="A70" s="15"/>
      <c r="B70" s="16"/>
      <c r="C70" s="15"/>
      <c r="D70" s="15"/>
      <c r="E70" s="15"/>
      <c r="F70" s="15"/>
      <c r="G70" s="15"/>
      <c r="H70" s="15"/>
      <c r="I70" s="15"/>
    </row>
    <row r="71" spans="1:9" ht="32.25" hidden="1" customHeight="1" x14ac:dyDescent="0.25">
      <c r="A71" s="16"/>
      <c r="B71" s="16"/>
      <c r="C71" s="16"/>
      <c r="D71" s="16"/>
      <c r="E71" s="16"/>
      <c r="F71" s="16"/>
      <c r="G71" s="16"/>
      <c r="H71" s="16"/>
      <c r="I71" s="16"/>
    </row>
    <row r="72" spans="1:9" ht="32.25" hidden="1" customHeight="1" x14ac:dyDescent="0.25">
      <c r="A72" s="16"/>
      <c r="B72" s="15"/>
      <c r="C72" s="16"/>
      <c r="D72" s="16"/>
      <c r="E72" s="16"/>
      <c r="F72" s="16"/>
      <c r="G72" s="16"/>
      <c r="H72" s="16"/>
      <c r="I72" s="16"/>
    </row>
    <row r="73" spans="1:9" ht="32.25" hidden="1" customHeight="1" x14ac:dyDescent="0.25">
      <c r="A73" s="15"/>
      <c r="B73" s="15"/>
      <c r="C73" s="15"/>
      <c r="D73" s="15"/>
      <c r="E73" s="15"/>
      <c r="F73" s="15"/>
      <c r="G73" s="15"/>
      <c r="H73" s="15"/>
      <c r="I73" s="15"/>
    </row>
    <row r="74" spans="1:9" ht="32.25" hidden="1" customHeight="1" x14ac:dyDescent="0.25">
      <c r="A74" s="15"/>
      <c r="C74" s="15"/>
      <c r="D74" s="15"/>
      <c r="E74" s="15"/>
      <c r="F74" s="15"/>
      <c r="G74" s="15"/>
      <c r="H74" s="15"/>
      <c r="I74" s="15"/>
    </row>
    <row r="75" spans="1:9" ht="31.5" hidden="1" customHeight="1" x14ac:dyDescent="0.25">
      <c r="A75" s="17"/>
      <c r="B75" s="17"/>
      <c r="C75" s="1"/>
      <c r="D75" s="1"/>
      <c r="E75" s="1"/>
      <c r="F75" s="1"/>
      <c r="G75" s="1"/>
      <c r="H75" s="1"/>
      <c r="I75" s="1"/>
    </row>
    <row r="76" spans="1:9" ht="16.5" hidden="1" customHeight="1" x14ac:dyDescent="0.25">
      <c r="A76" s="17"/>
      <c r="B76" s="1"/>
      <c r="C76" s="1"/>
      <c r="D76" s="1"/>
      <c r="E76" s="1"/>
      <c r="F76" s="1"/>
      <c r="G76" s="1"/>
      <c r="H76" s="1"/>
      <c r="I76" s="1"/>
    </row>
    <row r="77" spans="1:9" ht="26.25" hidden="1" customHeight="1" x14ac:dyDescent="0.25">
      <c r="A77" s="1"/>
      <c r="B77" s="1"/>
      <c r="C77" s="1"/>
      <c r="D77" s="1"/>
      <c r="E77" s="1"/>
      <c r="F77" s="1"/>
      <c r="G77" s="1"/>
      <c r="H77" s="1"/>
      <c r="I77" s="1"/>
    </row>
    <row r="78" spans="1:9" ht="26.25" hidden="1" customHeight="1" x14ac:dyDescent="0.25">
      <c r="A78" s="1"/>
      <c r="C78" s="1"/>
      <c r="D78" s="1"/>
      <c r="E78" s="1"/>
      <c r="F78" s="1"/>
      <c r="G78" s="1"/>
      <c r="H78" s="1"/>
      <c r="I78" s="1"/>
    </row>
    <row r="79" spans="1:9" ht="34.5" hidden="1" customHeight="1" x14ac:dyDescent="0.25">
      <c r="A79" s="17"/>
      <c r="B79" s="1"/>
      <c r="C79" s="1"/>
      <c r="D79" s="1"/>
      <c r="E79" s="1"/>
      <c r="F79" s="1"/>
      <c r="G79" s="1"/>
      <c r="H79" s="1"/>
      <c r="I79" s="1"/>
    </row>
    <row r="80" spans="1:9" ht="15.75" hidden="1" customHeight="1" x14ac:dyDescent="0.25">
      <c r="A80" s="1"/>
      <c r="B80" s="14"/>
      <c r="C80" s="1"/>
      <c r="D80" s="1"/>
      <c r="E80" s="1"/>
      <c r="F80" s="1"/>
      <c r="G80" s="1"/>
      <c r="H80" s="1"/>
      <c r="I80" s="1"/>
    </row>
    <row r="81" spans="1:9" ht="15.75" hidden="1" customHeight="1" x14ac:dyDescent="0.25">
      <c r="A81" s="14"/>
      <c r="B81" s="1"/>
      <c r="C81" s="14"/>
      <c r="D81" s="14"/>
      <c r="E81" s="14"/>
      <c r="F81" s="14"/>
      <c r="G81" s="14"/>
      <c r="H81" s="14"/>
      <c r="I81" s="14"/>
    </row>
    <row r="82" spans="1:9" ht="30" hidden="1" customHeight="1" x14ac:dyDescent="0.25">
      <c r="A82" s="1"/>
      <c r="B82" s="1"/>
      <c r="C82" s="1"/>
      <c r="D82" s="1"/>
      <c r="E82" s="1"/>
      <c r="F82" s="1"/>
      <c r="G82" s="1"/>
      <c r="H82" s="1"/>
      <c r="I82" s="1"/>
    </row>
    <row r="83" spans="1:9" ht="30" hidden="1" customHeight="1" x14ac:dyDescent="0.25">
      <c r="A83" s="1"/>
      <c r="B83" s="1"/>
      <c r="C83" s="1"/>
      <c r="D83" s="1"/>
      <c r="E83" s="1"/>
      <c r="F83" s="1"/>
      <c r="G83" s="1"/>
      <c r="H83" s="1"/>
      <c r="I83" s="1"/>
    </row>
    <row r="84" spans="1:9" ht="30" hidden="1" customHeight="1" x14ac:dyDescent="0.25">
      <c r="A84" s="1"/>
      <c r="B84" s="1"/>
      <c r="C84" s="1"/>
      <c r="D84" s="1"/>
      <c r="E84" s="1"/>
      <c r="F84" s="1"/>
      <c r="G84" s="1"/>
      <c r="H84" s="1"/>
      <c r="I84" s="1"/>
    </row>
    <row r="85" spans="1:9" ht="30" hidden="1" customHeight="1" x14ac:dyDescent="0.25">
      <c r="A85" s="1"/>
      <c r="B85" s="1"/>
      <c r="C85" s="1"/>
      <c r="D85" s="1"/>
      <c r="E85" s="1"/>
      <c r="F85" s="1"/>
      <c r="G85" s="1"/>
      <c r="H85" s="1"/>
      <c r="I85" s="1"/>
    </row>
    <row r="86" spans="1:9" ht="30" hidden="1" customHeight="1" x14ac:dyDescent="0.25">
      <c r="A86" s="1"/>
      <c r="B86" s="1"/>
      <c r="C86" s="1"/>
      <c r="D86" s="1"/>
      <c r="E86" s="1"/>
      <c r="F86" s="1"/>
      <c r="G86" s="1"/>
      <c r="H86" s="1"/>
      <c r="I86" s="1"/>
    </row>
    <row r="87" spans="1:9" ht="30" hidden="1" customHeight="1" x14ac:dyDescent="0.25">
      <c r="A87" s="1"/>
      <c r="B87" s="1"/>
      <c r="C87" s="1"/>
      <c r="D87" s="1"/>
      <c r="E87" s="1"/>
      <c r="F87" s="1"/>
      <c r="G87" s="1"/>
      <c r="H87" s="1"/>
      <c r="I87" s="1"/>
    </row>
    <row r="88" spans="1:9" ht="30" hidden="1" customHeight="1" x14ac:dyDescent="0.25">
      <c r="A88" s="1"/>
      <c r="B88" s="1"/>
      <c r="C88" s="1"/>
      <c r="D88" s="1"/>
      <c r="E88" s="1"/>
      <c r="F88" s="1"/>
      <c r="G88" s="1"/>
      <c r="H88" s="1"/>
      <c r="I88" s="1"/>
    </row>
    <row r="89" spans="1:9" ht="30" hidden="1" customHeight="1" x14ac:dyDescent="0.25">
      <c r="A89" s="1"/>
      <c r="B89" s="1"/>
      <c r="C89" s="1"/>
      <c r="D89" s="1"/>
      <c r="E89" s="1"/>
      <c r="F89" s="1"/>
      <c r="G89" s="1"/>
      <c r="H89" s="1"/>
      <c r="I89" s="1"/>
    </row>
    <row r="90" spans="1:9" ht="30" hidden="1" customHeight="1" x14ac:dyDescent="0.25">
      <c r="A90" s="1"/>
      <c r="B90" s="1"/>
      <c r="C90" s="1"/>
      <c r="D90" s="1"/>
      <c r="E90" s="1"/>
      <c r="F90" s="1"/>
      <c r="G90" s="1"/>
      <c r="H90" s="1"/>
      <c r="I90" s="1"/>
    </row>
    <row r="91" spans="1:9" ht="30" hidden="1" customHeight="1" x14ac:dyDescent="0.25">
      <c r="A91" s="1"/>
      <c r="B91" s="1"/>
      <c r="C91" s="1"/>
      <c r="D91" s="1"/>
      <c r="E91" s="1"/>
      <c r="F91" s="1"/>
      <c r="G91" s="1"/>
      <c r="H91" s="1"/>
      <c r="I91" s="1"/>
    </row>
    <row r="92" spans="1:9" ht="30" hidden="1" customHeight="1" x14ac:dyDescent="0.25">
      <c r="A92" s="1"/>
      <c r="B92" s="1"/>
      <c r="C92" s="1"/>
      <c r="D92" s="1"/>
      <c r="E92" s="1"/>
      <c r="F92" s="1"/>
      <c r="G92" s="1"/>
      <c r="H92" s="1"/>
      <c r="I92" s="1"/>
    </row>
    <row r="93" spans="1:9" ht="30" hidden="1" customHeight="1" x14ac:dyDescent="0.25">
      <c r="A93" s="1"/>
      <c r="B93" s="1"/>
      <c r="C93" s="1"/>
      <c r="D93" s="1"/>
      <c r="E93" s="1"/>
      <c r="F93" s="1"/>
      <c r="G93" s="1"/>
      <c r="H93" s="1"/>
      <c r="I93" s="1"/>
    </row>
    <row r="94" spans="1:9" ht="30" hidden="1" customHeight="1" x14ac:dyDescent="0.25">
      <c r="A94" s="1"/>
      <c r="B94" s="1"/>
      <c r="C94" s="1"/>
      <c r="D94" s="1"/>
      <c r="E94" s="1"/>
      <c r="F94" s="1"/>
      <c r="G94" s="1"/>
      <c r="H94" s="1"/>
      <c r="I94" s="1"/>
    </row>
    <row r="95" spans="1:9" ht="30" hidden="1" customHeight="1" x14ac:dyDescent="0.25">
      <c r="A95" s="1"/>
      <c r="B95" s="1"/>
      <c r="C95" s="1"/>
      <c r="D95" s="1"/>
      <c r="E95" s="1"/>
      <c r="F95" s="1"/>
      <c r="G95" s="1"/>
      <c r="H95" s="1"/>
      <c r="I95" s="1"/>
    </row>
    <row r="96" spans="1:9" ht="30" hidden="1" customHeight="1" x14ac:dyDescent="0.25">
      <c r="A96" s="1"/>
      <c r="B96" s="1"/>
      <c r="C96" s="1"/>
      <c r="D96" s="1"/>
      <c r="E96" s="1"/>
      <c r="F96" s="1"/>
      <c r="G96" s="1"/>
      <c r="H96" s="1"/>
      <c r="I96" s="1"/>
    </row>
    <row r="97" spans="1:9" ht="30" hidden="1" customHeight="1" x14ac:dyDescent="0.25">
      <c r="A97" s="1"/>
      <c r="B97" s="1"/>
      <c r="C97" s="1"/>
      <c r="D97" s="1"/>
      <c r="E97" s="1"/>
      <c r="F97" s="1"/>
      <c r="G97" s="1"/>
      <c r="H97" s="1"/>
      <c r="I97" s="1"/>
    </row>
    <row r="98" spans="1:9" ht="30" hidden="1" customHeight="1" x14ac:dyDescent="0.25">
      <c r="A98" s="1"/>
      <c r="B98" s="1"/>
      <c r="C98" s="1"/>
      <c r="D98" s="1"/>
      <c r="E98" s="1"/>
      <c r="F98" s="1"/>
      <c r="G98" s="1"/>
      <c r="H98" s="1"/>
      <c r="I98" s="1"/>
    </row>
    <row r="99" spans="1:9" ht="30" hidden="1" customHeight="1" x14ac:dyDescent="0.25">
      <c r="A99" s="1"/>
      <c r="B99" s="1"/>
      <c r="C99" s="1"/>
      <c r="D99" s="1"/>
      <c r="E99" s="1"/>
      <c r="F99" s="1"/>
      <c r="G99" s="1"/>
      <c r="H99" s="1"/>
      <c r="I99" s="1"/>
    </row>
    <row r="100" spans="1:9" ht="30" hidden="1" customHeight="1" x14ac:dyDescent="0.25">
      <c r="A100" s="1"/>
      <c r="B100" s="1"/>
      <c r="C100" s="1"/>
      <c r="D100" s="1"/>
      <c r="E100" s="1"/>
      <c r="F100" s="1"/>
      <c r="G100" s="1"/>
      <c r="H100" s="1"/>
      <c r="I100" s="1"/>
    </row>
    <row r="101" spans="1:9" ht="30" hidden="1" customHeight="1" x14ac:dyDescent="0.25">
      <c r="A101" s="1"/>
      <c r="B101" s="1"/>
      <c r="C101" s="1"/>
      <c r="D101" s="1"/>
      <c r="E101" s="1"/>
      <c r="F101" s="1"/>
      <c r="G101" s="1"/>
      <c r="H101" s="1"/>
      <c r="I101" s="1"/>
    </row>
    <row r="102" spans="1:9" ht="30" hidden="1" customHeight="1" x14ac:dyDescent="0.25">
      <c r="A102" s="1"/>
      <c r="B102" s="1"/>
      <c r="C102" s="1"/>
      <c r="D102" s="1"/>
      <c r="E102" s="1"/>
      <c r="F102" s="1"/>
      <c r="G102" s="1"/>
      <c r="H102" s="1"/>
      <c r="I102" s="1"/>
    </row>
    <row r="103" spans="1:9" ht="30" hidden="1" customHeight="1" x14ac:dyDescent="0.25">
      <c r="A103" s="1"/>
      <c r="B103" s="1"/>
      <c r="C103" s="1"/>
      <c r="D103" s="1"/>
      <c r="E103" s="1"/>
      <c r="F103" s="1"/>
      <c r="G103" s="1"/>
      <c r="H103" s="1"/>
      <c r="I103" s="1"/>
    </row>
    <row r="104" spans="1:9" ht="30" hidden="1" customHeight="1" x14ac:dyDescent="0.25">
      <c r="A104" s="1"/>
      <c r="B104" s="1"/>
      <c r="C104" s="1"/>
      <c r="D104" s="1"/>
      <c r="E104" s="1"/>
      <c r="F104" s="1"/>
      <c r="G104" s="1"/>
      <c r="H104" s="1"/>
      <c r="I104" s="1"/>
    </row>
    <row r="105" spans="1:9" ht="30" hidden="1" customHeight="1" x14ac:dyDescent="0.25">
      <c r="A105" s="1"/>
      <c r="B105" s="1"/>
      <c r="C105" s="1"/>
      <c r="D105" s="1"/>
      <c r="E105" s="1"/>
      <c r="F105" s="1"/>
      <c r="G105" s="1"/>
      <c r="H105" s="1"/>
      <c r="I105" s="1"/>
    </row>
    <row r="106" spans="1:9" ht="30" hidden="1" customHeight="1" x14ac:dyDescent="0.25">
      <c r="A106" s="1"/>
      <c r="B106" s="1"/>
      <c r="C106" s="1"/>
      <c r="D106" s="1"/>
      <c r="E106" s="1"/>
      <c r="F106" s="1"/>
      <c r="G106" s="1"/>
      <c r="H106" s="1"/>
      <c r="I106" s="1"/>
    </row>
    <row r="107" spans="1:9" ht="30" hidden="1" customHeight="1" x14ac:dyDescent="0.25">
      <c r="A107" s="1"/>
      <c r="B107" s="1"/>
      <c r="C107" s="1"/>
      <c r="D107" s="1"/>
      <c r="E107" s="1"/>
      <c r="F107" s="1"/>
      <c r="G107" s="1"/>
      <c r="H107" s="1"/>
      <c r="I107" s="1"/>
    </row>
    <row r="108" spans="1:9" ht="30" hidden="1" customHeight="1" x14ac:dyDescent="0.25">
      <c r="A108" s="1"/>
      <c r="B108" s="1"/>
      <c r="C108" s="1"/>
      <c r="D108" s="1"/>
      <c r="E108" s="1"/>
      <c r="F108" s="1"/>
      <c r="G108" s="1"/>
      <c r="H108" s="1"/>
      <c r="I108" s="1"/>
    </row>
    <row r="109" spans="1:9" ht="30" hidden="1" customHeight="1" x14ac:dyDescent="0.25">
      <c r="A109" s="1"/>
      <c r="B109" s="1"/>
      <c r="C109" s="1"/>
      <c r="D109" s="1"/>
      <c r="E109" s="1"/>
      <c r="F109" s="1"/>
      <c r="G109" s="1"/>
      <c r="H109" s="1"/>
      <c r="I109" s="1"/>
    </row>
    <row r="110" spans="1:9" ht="30" hidden="1" customHeight="1" x14ac:dyDescent="0.25">
      <c r="A110" s="1"/>
      <c r="B110" s="1"/>
      <c r="C110" s="1"/>
      <c r="D110" s="1"/>
      <c r="E110" s="1"/>
      <c r="F110" s="1"/>
      <c r="G110" s="1"/>
      <c r="H110" s="1"/>
      <c r="I110" s="1"/>
    </row>
    <row r="111" spans="1:9" ht="30" hidden="1" customHeight="1" x14ac:dyDescent="0.25">
      <c r="A111" s="1"/>
      <c r="B111" s="1"/>
      <c r="C111" s="1"/>
      <c r="D111" s="1"/>
      <c r="E111" s="1"/>
      <c r="F111" s="1"/>
      <c r="G111" s="1"/>
      <c r="H111" s="1"/>
      <c r="I111" s="1"/>
    </row>
    <row r="112" spans="1:9" ht="30" hidden="1" customHeight="1" x14ac:dyDescent="0.25">
      <c r="A112" s="1"/>
      <c r="B112" s="1"/>
      <c r="C112" s="1"/>
      <c r="D112" s="1"/>
      <c r="E112" s="1"/>
      <c r="F112" s="1"/>
      <c r="G112" s="1"/>
      <c r="H112" s="1"/>
      <c r="I112" s="1"/>
    </row>
    <row r="113" spans="1:9" ht="30" hidden="1" customHeight="1" x14ac:dyDescent="0.25">
      <c r="A113" s="1"/>
      <c r="B113" s="1"/>
      <c r="C113" s="1"/>
      <c r="D113" s="1"/>
      <c r="E113" s="1"/>
      <c r="F113" s="1"/>
      <c r="G113" s="1"/>
      <c r="H113" s="1"/>
      <c r="I113" s="1"/>
    </row>
    <row r="114" spans="1:9" ht="30" hidden="1" customHeight="1" x14ac:dyDescent="0.25">
      <c r="A114" s="1"/>
      <c r="B114" s="1"/>
      <c r="C114" s="1"/>
      <c r="D114" s="1"/>
      <c r="E114" s="1"/>
      <c r="F114" s="1"/>
      <c r="G114" s="1"/>
      <c r="H114" s="1"/>
      <c r="I114" s="1"/>
    </row>
    <row r="115" spans="1:9" ht="30" hidden="1" customHeight="1" x14ac:dyDescent="0.25">
      <c r="A115" s="1"/>
      <c r="B115" s="18"/>
      <c r="C115" s="1"/>
      <c r="D115" s="1"/>
      <c r="E115" s="1"/>
      <c r="F115" s="1"/>
      <c r="G115" s="1"/>
      <c r="H115" s="1"/>
      <c r="I115" s="1"/>
    </row>
    <row r="116" spans="1:9" ht="30" hidden="1" customHeight="1" x14ac:dyDescent="0.25">
      <c r="A116" s="18"/>
      <c r="C116" s="18"/>
      <c r="D116" s="18"/>
      <c r="E116" s="18"/>
      <c r="F116" s="18"/>
      <c r="G116" s="18"/>
      <c r="H116" s="18"/>
      <c r="I116" s="18"/>
    </row>
    <row r="117" spans="1:9" ht="33.75" hidden="1" customHeight="1" x14ac:dyDescent="0.25">
      <c r="A117" s="17"/>
      <c r="B117" s="19"/>
      <c r="C117" s="1"/>
      <c r="D117" s="1"/>
      <c r="E117" s="1"/>
      <c r="F117" s="1"/>
      <c r="G117" s="1"/>
      <c r="H117" s="1"/>
      <c r="I117" s="1"/>
    </row>
    <row r="118" spans="1:9" ht="16.5" hidden="1" customHeight="1" x14ac:dyDescent="0.25">
      <c r="A118" s="19"/>
      <c r="B118" s="1"/>
      <c r="C118" s="20"/>
      <c r="D118" s="20"/>
      <c r="E118" s="20"/>
      <c r="F118" s="20"/>
      <c r="G118" s="20"/>
      <c r="H118" s="20"/>
      <c r="I118" s="20"/>
    </row>
    <row r="119" spans="1:9" ht="30" hidden="1" customHeight="1" x14ac:dyDescent="0.25">
      <c r="A119" s="1"/>
      <c r="B119" s="1"/>
      <c r="C119" s="1"/>
      <c r="D119" s="1"/>
      <c r="E119" s="1"/>
      <c r="F119" s="1"/>
      <c r="G119" s="1"/>
      <c r="H119" s="1"/>
      <c r="I119" s="1"/>
    </row>
    <row r="120" spans="1:9" ht="30" hidden="1" customHeight="1" x14ac:dyDescent="0.25">
      <c r="A120" s="1"/>
      <c r="B120" s="1"/>
      <c r="C120" s="1"/>
      <c r="D120" s="1"/>
      <c r="E120" s="1"/>
      <c r="F120" s="1"/>
      <c r="G120" s="1"/>
      <c r="H120" s="1"/>
      <c r="I120" s="1"/>
    </row>
    <row r="121" spans="1:9" ht="30" hidden="1" customHeight="1" x14ac:dyDescent="0.25">
      <c r="A121" s="1"/>
      <c r="B121" s="1"/>
      <c r="C121" s="1"/>
      <c r="D121" s="1"/>
      <c r="E121" s="1"/>
      <c r="F121" s="1"/>
      <c r="G121" s="1"/>
      <c r="H121" s="1"/>
      <c r="I121" s="1"/>
    </row>
    <row r="122" spans="1:9" ht="30" hidden="1" customHeight="1" x14ac:dyDescent="0.25">
      <c r="A122" s="1"/>
      <c r="B122" s="1"/>
      <c r="C122" s="1"/>
      <c r="D122" s="1"/>
      <c r="E122" s="1"/>
      <c r="F122" s="1"/>
      <c r="G122" s="1"/>
      <c r="H122" s="1"/>
      <c r="I122" s="1"/>
    </row>
    <row r="123" spans="1:9" ht="30" hidden="1" customHeight="1" x14ac:dyDescent="0.25">
      <c r="A123" s="1"/>
      <c r="B123" s="1"/>
      <c r="C123" s="1"/>
      <c r="D123" s="1"/>
      <c r="E123" s="1"/>
      <c r="F123" s="1"/>
      <c r="G123" s="1"/>
      <c r="H123" s="1"/>
      <c r="I123" s="1"/>
    </row>
    <row r="124" spans="1:9" ht="30" hidden="1" customHeight="1" x14ac:dyDescent="0.25">
      <c r="A124" s="1"/>
      <c r="B124" s="1"/>
      <c r="C124" s="1"/>
      <c r="D124" s="1"/>
      <c r="E124" s="1"/>
      <c r="F124" s="1"/>
      <c r="G124" s="1"/>
      <c r="H124" s="1"/>
      <c r="I124" s="1"/>
    </row>
    <row r="125" spans="1:9" ht="30" hidden="1" customHeight="1" x14ac:dyDescent="0.25">
      <c r="A125" s="1"/>
      <c r="B125" s="1"/>
      <c r="C125" s="1"/>
      <c r="D125" s="1"/>
      <c r="E125" s="1"/>
      <c r="F125" s="1"/>
      <c r="G125" s="1"/>
      <c r="H125" s="1"/>
      <c r="I125" s="1"/>
    </row>
    <row r="126" spans="1:9" ht="30" hidden="1" customHeight="1" x14ac:dyDescent="0.25">
      <c r="A126" s="1"/>
      <c r="B126" s="1"/>
      <c r="C126" s="1"/>
      <c r="D126" s="1"/>
      <c r="E126" s="1"/>
      <c r="F126" s="1"/>
      <c r="G126" s="1"/>
      <c r="H126" s="1"/>
      <c r="I126" s="1"/>
    </row>
    <row r="127" spans="1:9" ht="30" hidden="1" customHeight="1" x14ac:dyDescent="0.25">
      <c r="A127" s="1"/>
      <c r="B127" s="1"/>
      <c r="C127" s="1"/>
      <c r="D127" s="1"/>
      <c r="E127" s="1"/>
      <c r="F127" s="1"/>
      <c r="G127" s="1"/>
      <c r="H127" s="1"/>
      <c r="I127" s="1"/>
    </row>
    <row r="128" spans="1:9" ht="30" hidden="1" customHeight="1" x14ac:dyDescent="0.25">
      <c r="A128" s="1"/>
      <c r="B128" s="1"/>
      <c r="C128" s="1"/>
      <c r="D128" s="1"/>
      <c r="E128" s="1"/>
      <c r="F128" s="1"/>
      <c r="G128" s="1"/>
      <c r="H128" s="1"/>
      <c r="I128" s="1"/>
    </row>
    <row r="129" spans="1:9" ht="30" hidden="1" customHeight="1" x14ac:dyDescent="0.25">
      <c r="A129" s="1"/>
      <c r="B129" s="1"/>
      <c r="C129" s="1"/>
      <c r="D129" s="1"/>
      <c r="E129" s="1"/>
      <c r="F129" s="1"/>
      <c r="G129" s="1"/>
      <c r="H129" s="1"/>
      <c r="I129" s="1"/>
    </row>
    <row r="130" spans="1:9" ht="30" hidden="1" customHeight="1" x14ac:dyDescent="0.25">
      <c r="A130" s="1"/>
      <c r="B130" s="1"/>
      <c r="C130" s="1"/>
      <c r="D130" s="1"/>
      <c r="E130" s="1"/>
      <c r="F130" s="1"/>
      <c r="G130" s="1"/>
      <c r="H130" s="1"/>
      <c r="I130" s="1"/>
    </row>
    <row r="131" spans="1:9" ht="30" hidden="1" customHeight="1" x14ac:dyDescent="0.25">
      <c r="A131" s="1"/>
      <c r="B131" s="1"/>
      <c r="C131" s="1"/>
      <c r="D131" s="1"/>
      <c r="E131" s="1"/>
      <c r="F131" s="1"/>
      <c r="G131" s="1"/>
      <c r="H131" s="1"/>
      <c r="I131" s="1"/>
    </row>
    <row r="132" spans="1:9" ht="30" hidden="1" customHeight="1" x14ac:dyDescent="0.25">
      <c r="A132" s="1"/>
      <c r="B132" s="1"/>
      <c r="C132" s="1"/>
      <c r="D132" s="1"/>
      <c r="E132" s="1"/>
      <c r="F132" s="1"/>
      <c r="G132" s="1"/>
      <c r="H132" s="1"/>
      <c r="I132" s="1"/>
    </row>
    <row r="133" spans="1:9" ht="30" hidden="1" customHeight="1" x14ac:dyDescent="0.25">
      <c r="A133" s="1"/>
      <c r="B133" s="1"/>
      <c r="C133" s="1"/>
      <c r="D133" s="1"/>
      <c r="E133" s="1"/>
      <c r="F133" s="1"/>
      <c r="G133" s="1"/>
      <c r="H133" s="1"/>
      <c r="I133" s="1"/>
    </row>
    <row r="134" spans="1:9" ht="30" hidden="1" customHeight="1" x14ac:dyDescent="0.25">
      <c r="A134" s="1"/>
      <c r="B134" s="1"/>
      <c r="C134" s="1"/>
      <c r="D134" s="1"/>
      <c r="E134" s="1"/>
      <c r="F134" s="1"/>
      <c r="G134" s="1"/>
      <c r="H134" s="1"/>
      <c r="I134" s="1"/>
    </row>
    <row r="135" spans="1:9" ht="30" hidden="1" customHeight="1" x14ac:dyDescent="0.25">
      <c r="A135" s="1"/>
      <c r="B135" s="1"/>
      <c r="C135" s="1"/>
      <c r="D135" s="1"/>
      <c r="E135" s="1"/>
      <c r="F135" s="1"/>
      <c r="G135" s="1"/>
      <c r="H135" s="1"/>
      <c r="I135" s="1"/>
    </row>
    <row r="136" spans="1:9" ht="30" hidden="1" customHeight="1" x14ac:dyDescent="0.25">
      <c r="A136" s="1"/>
      <c r="B136" s="1"/>
      <c r="C136" s="1"/>
      <c r="D136" s="1"/>
      <c r="E136" s="1"/>
      <c r="F136" s="1"/>
      <c r="G136" s="1"/>
      <c r="H136" s="1"/>
      <c r="I136" s="1"/>
    </row>
    <row r="137" spans="1:9" ht="30" hidden="1" customHeight="1" x14ac:dyDescent="0.25">
      <c r="A137" s="1"/>
      <c r="B137" s="1"/>
      <c r="C137" s="1"/>
      <c r="D137" s="1"/>
      <c r="E137" s="1"/>
      <c r="F137" s="1"/>
      <c r="G137" s="1"/>
      <c r="H137" s="1"/>
      <c r="I137" s="1"/>
    </row>
    <row r="138" spans="1:9" ht="30" hidden="1" customHeight="1" x14ac:dyDescent="0.25">
      <c r="A138" s="1"/>
      <c r="B138" s="1"/>
      <c r="C138" s="1"/>
      <c r="D138" s="1"/>
      <c r="E138" s="1"/>
      <c r="F138" s="1"/>
      <c r="G138" s="1"/>
      <c r="H138" s="1"/>
      <c r="I138" s="1"/>
    </row>
    <row r="139" spans="1:9" ht="30" hidden="1" customHeight="1" x14ac:dyDescent="0.25">
      <c r="A139" s="1"/>
      <c r="B139" s="1"/>
      <c r="C139" s="1"/>
      <c r="D139" s="1"/>
      <c r="E139" s="1"/>
      <c r="F139" s="1"/>
      <c r="G139" s="1"/>
      <c r="H139" s="1"/>
      <c r="I139" s="1"/>
    </row>
    <row r="140" spans="1:9" ht="30" hidden="1" customHeight="1" x14ac:dyDescent="0.25">
      <c r="A140" s="1"/>
      <c r="B140" s="1"/>
      <c r="C140" s="1"/>
      <c r="D140" s="1"/>
      <c r="E140" s="1"/>
      <c r="F140" s="1"/>
      <c r="G140" s="1"/>
      <c r="H140" s="1"/>
      <c r="I140" s="1"/>
    </row>
    <row r="141" spans="1:9" ht="30" hidden="1" customHeight="1" x14ac:dyDescent="0.25">
      <c r="A141" s="1"/>
      <c r="B141" s="1"/>
      <c r="C141" s="1"/>
      <c r="D141" s="1"/>
      <c r="E141" s="1"/>
      <c r="F141" s="1"/>
      <c r="G141" s="1"/>
      <c r="H141" s="1"/>
      <c r="I141" s="1"/>
    </row>
    <row r="142" spans="1:9" ht="30" hidden="1" customHeight="1" x14ac:dyDescent="0.25">
      <c r="A142" s="1"/>
      <c r="B142" s="1"/>
      <c r="C142" s="1"/>
      <c r="D142" s="1"/>
      <c r="E142" s="1"/>
      <c r="F142" s="1"/>
      <c r="G142" s="1"/>
      <c r="H142" s="1"/>
      <c r="I142" s="1"/>
    </row>
    <row r="143" spans="1:9" ht="30" hidden="1" customHeight="1" x14ac:dyDescent="0.25">
      <c r="A143" s="1"/>
      <c r="B143" s="1"/>
      <c r="C143" s="1"/>
      <c r="D143" s="1"/>
      <c r="E143" s="1"/>
      <c r="F143" s="1"/>
      <c r="G143" s="1"/>
      <c r="H143" s="1"/>
      <c r="I143" s="1"/>
    </row>
    <row r="144" spans="1:9" ht="30" hidden="1" customHeight="1" x14ac:dyDescent="0.25">
      <c r="A144" s="1"/>
      <c r="B144" s="1"/>
      <c r="C144" s="1"/>
      <c r="D144" s="1"/>
      <c r="E144" s="1"/>
      <c r="F144" s="1"/>
      <c r="G144" s="1"/>
      <c r="H144" s="1"/>
      <c r="I144" s="1"/>
    </row>
    <row r="145" spans="1:9" ht="30" hidden="1" customHeight="1" x14ac:dyDescent="0.25">
      <c r="A145" s="1"/>
      <c r="B145" s="21"/>
      <c r="C145" s="1"/>
      <c r="D145" s="1"/>
      <c r="E145" s="1"/>
      <c r="F145" s="1"/>
      <c r="G145" s="1"/>
      <c r="H145" s="1"/>
      <c r="I145" s="1"/>
    </row>
    <row r="146" spans="1:9" ht="30" hidden="1" customHeight="1" x14ac:dyDescent="0.25">
      <c r="A146" s="21"/>
      <c r="B146" s="21"/>
      <c r="C146" s="21"/>
      <c r="D146" s="21"/>
      <c r="E146" s="21"/>
      <c r="F146" s="21"/>
      <c r="G146" s="21"/>
      <c r="H146" s="21"/>
      <c r="I146" s="21"/>
    </row>
    <row r="147" spans="1:9" ht="30" hidden="1" customHeight="1" x14ac:dyDescent="0.25">
      <c r="A147" s="21"/>
      <c r="B147" s="21"/>
      <c r="C147" s="21"/>
      <c r="D147" s="21"/>
      <c r="E147" s="21"/>
      <c r="F147" s="21"/>
      <c r="G147" s="21"/>
      <c r="H147" s="21"/>
      <c r="I147" s="21"/>
    </row>
    <row r="148" spans="1:9" ht="15.75" hidden="1" customHeight="1" x14ac:dyDescent="0.25">
      <c r="A148" s="21"/>
      <c r="C148" s="21"/>
      <c r="D148" s="21"/>
      <c r="E148" s="21"/>
      <c r="F148" s="21"/>
      <c r="G148" s="21"/>
      <c r="H148" s="21"/>
      <c r="I148" s="21"/>
    </row>
    <row r="149" spans="1:9" ht="29.25" hidden="1" customHeight="1" x14ac:dyDescent="0.25">
      <c r="A149" s="17"/>
      <c r="B149" s="20"/>
      <c r="C149" s="1"/>
      <c r="D149" s="1"/>
      <c r="E149" s="1"/>
      <c r="F149" s="1"/>
      <c r="G149" s="1"/>
      <c r="H149" s="1"/>
      <c r="I149" s="1"/>
    </row>
    <row r="150" spans="1:9" ht="15.75" hidden="1" customHeight="1" x14ac:dyDescent="0.25">
      <c r="A150" s="20"/>
      <c r="B150" s="1"/>
      <c r="C150" s="20"/>
      <c r="D150" s="20"/>
      <c r="E150" s="20"/>
      <c r="F150" s="20"/>
      <c r="G150" s="20"/>
      <c r="H150" s="20"/>
      <c r="I150" s="20"/>
    </row>
    <row r="151" spans="1:9" ht="31.5" hidden="1" customHeight="1" x14ac:dyDescent="0.25">
      <c r="A151" s="1"/>
      <c r="B151" s="1"/>
      <c r="C151" s="1"/>
      <c r="D151" s="1"/>
      <c r="E151" s="1"/>
      <c r="F151" s="1"/>
      <c r="G151" s="1"/>
      <c r="H151" s="1"/>
      <c r="I151" s="1"/>
    </row>
    <row r="152" spans="1:9" ht="31.5" hidden="1" customHeight="1" x14ac:dyDescent="0.25">
      <c r="A152" s="1"/>
      <c r="B152" s="1"/>
      <c r="C152" s="1"/>
      <c r="D152" s="1"/>
      <c r="E152" s="1"/>
      <c r="F152" s="1"/>
      <c r="G152" s="1"/>
      <c r="H152" s="1"/>
      <c r="I152" s="1"/>
    </row>
    <row r="153" spans="1:9" ht="31.5" hidden="1" customHeight="1" x14ac:dyDescent="0.25">
      <c r="A153" s="1"/>
      <c r="B153" s="1"/>
      <c r="C153" s="1"/>
      <c r="D153" s="1"/>
      <c r="E153" s="1"/>
      <c r="F153" s="1"/>
      <c r="G153" s="1"/>
      <c r="H153" s="1"/>
      <c r="I153" s="1"/>
    </row>
    <row r="154" spans="1:9" ht="31.5" hidden="1" customHeight="1" x14ac:dyDescent="0.25">
      <c r="A154" s="1"/>
      <c r="B154" s="1"/>
      <c r="C154" s="1"/>
      <c r="D154" s="1"/>
      <c r="E154" s="1"/>
      <c r="F154" s="1"/>
      <c r="G154" s="1"/>
      <c r="H154" s="1"/>
      <c r="I154" s="1"/>
    </row>
    <row r="155" spans="1:9" ht="31.5" hidden="1" customHeight="1" x14ac:dyDescent="0.25">
      <c r="A155" s="1"/>
      <c r="B155" s="1"/>
      <c r="C155" s="1"/>
      <c r="D155" s="1"/>
      <c r="E155" s="1"/>
      <c r="F155" s="1"/>
      <c r="G155" s="1"/>
      <c r="H155" s="1"/>
      <c r="I155" s="1"/>
    </row>
    <row r="156" spans="1:9" ht="31.5" hidden="1" customHeight="1" x14ac:dyDescent="0.25">
      <c r="A156" s="1"/>
      <c r="B156" s="1"/>
      <c r="C156" s="1"/>
      <c r="D156" s="1"/>
      <c r="E156" s="1"/>
      <c r="F156" s="1"/>
      <c r="G156" s="1"/>
      <c r="H156" s="1"/>
      <c r="I156" s="1"/>
    </row>
    <row r="157" spans="1:9" ht="31.5" hidden="1" customHeight="1" x14ac:dyDescent="0.25">
      <c r="A157" s="1"/>
      <c r="B157" s="1"/>
      <c r="C157" s="1"/>
      <c r="D157" s="1"/>
      <c r="E157" s="1"/>
      <c r="F157" s="1"/>
      <c r="G157" s="1"/>
      <c r="H157" s="1"/>
      <c r="I157" s="1"/>
    </row>
    <row r="158" spans="1:9" ht="31.5" hidden="1" customHeight="1" x14ac:dyDescent="0.25">
      <c r="A158" s="1"/>
      <c r="C158" s="1"/>
      <c r="D158" s="1"/>
      <c r="E158" s="1"/>
      <c r="F158" s="1"/>
      <c r="G158" s="1"/>
      <c r="H158" s="1"/>
      <c r="I158" s="1"/>
    </row>
    <row r="159" spans="1:9" ht="31.5" hidden="1" customHeight="1" x14ac:dyDescent="0.25">
      <c r="A159" s="17"/>
      <c r="B159" s="1"/>
      <c r="C159" s="1"/>
      <c r="D159" s="1"/>
      <c r="E159" s="1"/>
      <c r="F159" s="1"/>
      <c r="G159" s="1"/>
      <c r="H159" s="1"/>
      <c r="I159" s="1"/>
    </row>
    <row r="160" spans="1:9" ht="15.75" hidden="1" customHeight="1" x14ac:dyDescent="0.25">
      <c r="A160" s="1"/>
      <c r="B160" s="1"/>
      <c r="C160" s="1"/>
      <c r="D160" s="1"/>
      <c r="E160" s="1"/>
      <c r="F160" s="1"/>
      <c r="G160" s="1"/>
      <c r="H160" s="1"/>
      <c r="I160" s="1"/>
    </row>
    <row r="161" spans="1:9" ht="30" hidden="1" customHeight="1" x14ac:dyDescent="0.25">
      <c r="A161" s="1"/>
      <c r="B161" s="1"/>
      <c r="C161" s="1"/>
      <c r="D161" s="1"/>
      <c r="E161" s="1"/>
      <c r="F161" s="1"/>
      <c r="G161" s="1"/>
      <c r="H161" s="1"/>
      <c r="I161" s="1"/>
    </row>
    <row r="162" spans="1:9" ht="30" hidden="1" customHeight="1" x14ac:dyDescent="0.25">
      <c r="A162" s="1"/>
      <c r="B162" s="1"/>
      <c r="C162" s="1"/>
      <c r="D162" s="1"/>
      <c r="E162" s="1"/>
      <c r="F162" s="1"/>
      <c r="G162" s="1"/>
      <c r="H162" s="1"/>
      <c r="I162" s="1"/>
    </row>
    <row r="163" spans="1:9" ht="30" hidden="1" customHeight="1" x14ac:dyDescent="0.25">
      <c r="A163" s="1"/>
      <c r="B163" s="1"/>
      <c r="C163" s="1"/>
      <c r="D163" s="1"/>
      <c r="E163" s="1"/>
      <c r="F163" s="1"/>
      <c r="G163" s="1"/>
      <c r="H163" s="1"/>
      <c r="I163" s="1"/>
    </row>
    <row r="164" spans="1:9" ht="30" hidden="1" customHeight="1" x14ac:dyDescent="0.25">
      <c r="A164" s="1"/>
      <c r="B164" s="1"/>
      <c r="C164" s="1"/>
      <c r="D164" s="1"/>
      <c r="E164" s="1"/>
      <c r="F164" s="1"/>
      <c r="G164" s="1"/>
      <c r="H164" s="1"/>
      <c r="I164" s="1"/>
    </row>
    <row r="165" spans="1:9" ht="30" hidden="1" customHeight="1" x14ac:dyDescent="0.25">
      <c r="A165" s="1"/>
      <c r="B165" s="1"/>
      <c r="C165" s="1"/>
      <c r="D165" s="1"/>
      <c r="E165" s="1"/>
      <c r="F165" s="1"/>
      <c r="G165" s="1"/>
      <c r="H165" s="1"/>
      <c r="I165" s="1"/>
    </row>
    <row r="166" spans="1:9" ht="30" hidden="1" customHeight="1" x14ac:dyDescent="0.25">
      <c r="A166" s="1"/>
      <c r="B166" s="1"/>
      <c r="C166" s="1"/>
      <c r="D166" s="1"/>
      <c r="E166" s="1"/>
      <c r="F166" s="1"/>
      <c r="G166" s="1"/>
      <c r="H166" s="1"/>
      <c r="I166" s="1"/>
    </row>
    <row r="167" spans="1:9" ht="30" hidden="1" customHeight="1" x14ac:dyDescent="0.25">
      <c r="A167" s="1"/>
      <c r="B167" s="1"/>
      <c r="C167" s="1"/>
      <c r="D167" s="1"/>
      <c r="E167" s="1"/>
      <c r="F167" s="1"/>
      <c r="G167" s="1"/>
      <c r="H167" s="1"/>
      <c r="I167" s="1"/>
    </row>
    <row r="168" spans="1:9" ht="30" hidden="1" customHeight="1" x14ac:dyDescent="0.25">
      <c r="A168" s="1"/>
      <c r="B168" s="1"/>
      <c r="C168" s="1"/>
      <c r="D168" s="1"/>
      <c r="E168" s="1"/>
      <c r="F168" s="1"/>
      <c r="G168" s="1"/>
      <c r="H168" s="1"/>
      <c r="I168" s="1"/>
    </row>
    <row r="169" spans="1:9" ht="30" hidden="1" customHeight="1" x14ac:dyDescent="0.25">
      <c r="A169" s="1"/>
      <c r="B169" s="1"/>
      <c r="C169" s="1"/>
      <c r="D169" s="1"/>
      <c r="E169" s="1"/>
      <c r="F169" s="1"/>
      <c r="G169" s="1"/>
      <c r="H169" s="1"/>
      <c r="I169" s="1"/>
    </row>
    <row r="170" spans="1:9" ht="30" hidden="1" customHeight="1" x14ac:dyDescent="0.25">
      <c r="A170" s="1"/>
      <c r="C170" s="1"/>
      <c r="D170" s="1"/>
      <c r="E170" s="1"/>
      <c r="F170" s="1"/>
      <c r="G170" s="1"/>
      <c r="H170" s="1"/>
      <c r="I170" s="1"/>
    </row>
    <row r="171" spans="1:9" ht="29.25" hidden="1" customHeight="1" x14ac:dyDescent="0.25">
      <c r="A171" s="17"/>
      <c r="B171" s="1"/>
      <c r="C171" s="1"/>
      <c r="D171" s="1"/>
      <c r="E171" s="1"/>
      <c r="F171" s="1"/>
      <c r="G171" s="1"/>
      <c r="H171" s="1"/>
      <c r="I171" s="1"/>
    </row>
    <row r="172" spans="1:9" ht="15.75" hidden="1" customHeight="1" x14ac:dyDescent="0.25">
      <c r="A172" s="1"/>
      <c r="B172" s="1"/>
      <c r="C172" s="1"/>
      <c r="D172" s="1"/>
      <c r="E172" s="1"/>
      <c r="F172" s="1"/>
      <c r="G172" s="1"/>
      <c r="H172" s="1"/>
      <c r="I172" s="1"/>
    </row>
    <row r="173" spans="1:9" ht="48.75" customHeight="1" thickTop="1" x14ac:dyDescent="0.2">
      <c r="A173" s="88" t="s">
        <v>129</v>
      </c>
      <c r="B173" s="88" t="s">
        <v>130</v>
      </c>
      <c r="C173" s="88" t="s">
        <v>131</v>
      </c>
      <c r="D173" s="88" t="s">
        <v>132</v>
      </c>
      <c r="E173" s="88" t="s">
        <v>133</v>
      </c>
      <c r="F173" s="88" t="s">
        <v>134</v>
      </c>
      <c r="G173" s="88" t="s">
        <v>135</v>
      </c>
      <c r="H173" s="88" t="s">
        <v>136</v>
      </c>
      <c r="I173" s="88" t="s">
        <v>137</v>
      </c>
    </row>
    <row r="174" spans="1:9" s="42" customFormat="1" ht="30.75" customHeight="1" x14ac:dyDescent="0.2">
      <c r="A174" s="38">
        <v>1</v>
      </c>
      <c r="B174" s="38" t="s">
        <v>16</v>
      </c>
      <c r="C174" s="22" t="s">
        <v>17</v>
      </c>
      <c r="D174" s="22" t="str">
        <f t="shared" ref="D174:D189" si="0">LEFT(B174,5)</f>
        <v>4.3.5</v>
      </c>
      <c r="E174" s="25" t="s">
        <v>18</v>
      </c>
      <c r="F174" s="23" t="s">
        <v>5</v>
      </c>
      <c r="G174" s="49">
        <v>3</v>
      </c>
      <c r="H174" s="50">
        <v>185000</v>
      </c>
      <c r="I174" s="24">
        <f t="shared" ref="I174:I189" si="1">G174*H174</f>
        <v>555000</v>
      </c>
    </row>
    <row r="175" spans="1:9" s="42" customFormat="1" ht="30.75" customHeight="1" x14ac:dyDescent="0.2">
      <c r="A175" s="38">
        <v>2</v>
      </c>
      <c r="B175" s="38" t="s">
        <v>36</v>
      </c>
      <c r="C175" s="22" t="s">
        <v>8</v>
      </c>
      <c r="D175" s="22" t="str">
        <f t="shared" si="0"/>
        <v>4.3.5</v>
      </c>
      <c r="E175" s="25" t="s">
        <v>47</v>
      </c>
      <c r="F175" s="23" t="s">
        <v>5</v>
      </c>
      <c r="G175" s="49">
        <v>4</v>
      </c>
      <c r="H175" s="50">
        <v>10000</v>
      </c>
      <c r="I175" s="24">
        <f t="shared" si="1"/>
        <v>40000</v>
      </c>
    </row>
    <row r="176" spans="1:9" s="42" customFormat="1" ht="30.75" customHeight="1" x14ac:dyDescent="0.2">
      <c r="A176" s="38">
        <v>3</v>
      </c>
      <c r="B176" s="38" t="s">
        <v>37</v>
      </c>
      <c r="C176" s="22" t="s">
        <v>7</v>
      </c>
      <c r="D176" s="22" t="str">
        <f t="shared" si="0"/>
        <v>4.3.7</v>
      </c>
      <c r="E176" s="25" t="s">
        <v>48</v>
      </c>
      <c r="F176" s="23" t="s">
        <v>5</v>
      </c>
      <c r="G176" s="49">
        <v>6</v>
      </c>
      <c r="H176" s="50">
        <v>34800</v>
      </c>
      <c r="I176" s="24">
        <f t="shared" si="1"/>
        <v>208800</v>
      </c>
    </row>
    <row r="177" spans="1:9" s="42" customFormat="1" ht="30.75" customHeight="1" x14ac:dyDescent="0.2">
      <c r="A177" s="38">
        <v>4</v>
      </c>
      <c r="B177" s="38" t="s">
        <v>38</v>
      </c>
      <c r="C177" s="22" t="s">
        <v>8</v>
      </c>
      <c r="D177" s="22" t="str">
        <f t="shared" si="0"/>
        <v>4.3.6</v>
      </c>
      <c r="E177" s="25" t="s">
        <v>49</v>
      </c>
      <c r="F177" s="23" t="s">
        <v>5</v>
      </c>
      <c r="G177" s="49">
        <v>16</v>
      </c>
      <c r="H177" s="50">
        <v>43200</v>
      </c>
      <c r="I177" s="24">
        <f t="shared" si="1"/>
        <v>691200</v>
      </c>
    </row>
    <row r="178" spans="1:9" s="42" customFormat="1" ht="30.75" customHeight="1" x14ac:dyDescent="0.2">
      <c r="A178" s="38">
        <v>5</v>
      </c>
      <c r="B178" s="38" t="s">
        <v>39</v>
      </c>
      <c r="C178" s="22" t="s">
        <v>7</v>
      </c>
      <c r="D178" s="22" t="str">
        <f t="shared" si="0"/>
        <v>4.3.7</v>
      </c>
      <c r="E178" s="25" t="s">
        <v>50</v>
      </c>
      <c r="F178" s="23" t="s">
        <v>5</v>
      </c>
      <c r="G178" s="49">
        <v>80</v>
      </c>
      <c r="H178" s="50">
        <v>7900</v>
      </c>
      <c r="I178" s="24">
        <f t="shared" si="1"/>
        <v>632000</v>
      </c>
    </row>
    <row r="179" spans="1:9" s="51" customFormat="1" ht="30.75" customHeight="1" x14ac:dyDescent="0.2">
      <c r="A179" s="38">
        <v>6</v>
      </c>
      <c r="B179" s="38" t="s">
        <v>68</v>
      </c>
      <c r="C179" s="22" t="s">
        <v>7</v>
      </c>
      <c r="D179" s="22" t="str">
        <f t="shared" si="0"/>
        <v>4.3.7</v>
      </c>
      <c r="E179" s="25" t="s">
        <v>69</v>
      </c>
      <c r="F179" s="23" t="s">
        <v>5</v>
      </c>
      <c r="G179" s="49">
        <v>8</v>
      </c>
      <c r="H179" s="50">
        <v>15000</v>
      </c>
      <c r="I179" s="24">
        <f t="shared" si="1"/>
        <v>120000</v>
      </c>
    </row>
    <row r="180" spans="1:9" s="42" customFormat="1" ht="30.75" customHeight="1" x14ac:dyDescent="0.2">
      <c r="A180" s="38">
        <v>7</v>
      </c>
      <c r="B180" s="38" t="s">
        <v>40</v>
      </c>
      <c r="C180" s="22" t="s">
        <v>7</v>
      </c>
      <c r="D180" s="22" t="str">
        <f t="shared" si="0"/>
        <v>4.3.7</v>
      </c>
      <c r="E180" s="25" t="s">
        <v>51</v>
      </c>
      <c r="F180" s="23" t="s">
        <v>5</v>
      </c>
      <c r="G180" s="49">
        <v>16</v>
      </c>
      <c r="H180" s="50">
        <v>34500</v>
      </c>
      <c r="I180" s="24">
        <f t="shared" si="1"/>
        <v>552000</v>
      </c>
    </row>
    <row r="181" spans="1:9" s="42" customFormat="1" ht="30.75" customHeight="1" x14ac:dyDescent="0.2">
      <c r="A181" s="38">
        <v>8</v>
      </c>
      <c r="B181" s="38" t="s">
        <v>41</v>
      </c>
      <c r="C181" s="22" t="s">
        <v>17</v>
      </c>
      <c r="D181" s="22" t="str">
        <f t="shared" si="0"/>
        <v>4.3.5</v>
      </c>
      <c r="E181" s="25" t="s">
        <v>52</v>
      </c>
      <c r="F181" s="23" t="s">
        <v>5</v>
      </c>
      <c r="G181" s="49">
        <v>4</v>
      </c>
      <c r="H181" s="50">
        <v>110000</v>
      </c>
      <c r="I181" s="24">
        <f t="shared" si="1"/>
        <v>440000</v>
      </c>
    </row>
    <row r="182" spans="1:9" s="42" customFormat="1" ht="30.75" customHeight="1" x14ac:dyDescent="0.2">
      <c r="A182" s="38">
        <v>9</v>
      </c>
      <c r="B182" s="38" t="s">
        <v>42</v>
      </c>
      <c r="C182" s="22" t="s">
        <v>7</v>
      </c>
      <c r="D182" s="22" t="str">
        <f t="shared" si="0"/>
        <v>4.3.7</v>
      </c>
      <c r="E182" s="25" t="s">
        <v>53</v>
      </c>
      <c r="F182" s="23" t="s">
        <v>5</v>
      </c>
      <c r="G182" s="49">
        <v>4</v>
      </c>
      <c r="H182" s="50">
        <v>6200</v>
      </c>
      <c r="I182" s="24">
        <f t="shared" si="1"/>
        <v>24800</v>
      </c>
    </row>
    <row r="183" spans="1:9" s="42" customFormat="1" ht="30.75" customHeight="1" x14ac:dyDescent="0.2">
      <c r="A183" s="38">
        <v>10</v>
      </c>
      <c r="B183" s="38" t="s">
        <v>43</v>
      </c>
      <c r="C183" s="22" t="s">
        <v>8</v>
      </c>
      <c r="D183" s="22" t="str">
        <f t="shared" si="0"/>
        <v>4.3.5</v>
      </c>
      <c r="E183" s="25" t="s">
        <v>54</v>
      </c>
      <c r="F183" s="23" t="s">
        <v>5</v>
      </c>
      <c r="G183" s="49">
        <v>80</v>
      </c>
      <c r="H183" s="50">
        <v>2200</v>
      </c>
      <c r="I183" s="24">
        <f t="shared" si="1"/>
        <v>176000</v>
      </c>
    </row>
    <row r="184" spans="1:9" s="42" customFormat="1" ht="30.75" customHeight="1" x14ac:dyDescent="0.2">
      <c r="A184" s="38">
        <v>11</v>
      </c>
      <c r="B184" s="38" t="s">
        <v>43</v>
      </c>
      <c r="C184" s="22" t="s">
        <v>8</v>
      </c>
      <c r="D184" s="22" t="str">
        <f t="shared" si="0"/>
        <v>4.3.5</v>
      </c>
      <c r="E184" s="25" t="s">
        <v>54</v>
      </c>
      <c r="F184" s="23" t="s">
        <v>5</v>
      </c>
      <c r="G184" s="49">
        <v>80</v>
      </c>
      <c r="H184" s="50">
        <v>14999</v>
      </c>
      <c r="I184" s="24">
        <f t="shared" si="1"/>
        <v>1199920</v>
      </c>
    </row>
    <row r="185" spans="1:9" s="42" customFormat="1" ht="30.75" customHeight="1" x14ac:dyDescent="0.2">
      <c r="A185" s="38">
        <v>12</v>
      </c>
      <c r="B185" s="38" t="s">
        <v>44</v>
      </c>
      <c r="C185" s="22" t="s">
        <v>6</v>
      </c>
      <c r="D185" s="22" t="str">
        <f t="shared" si="0"/>
        <v>4.3.6</v>
      </c>
      <c r="E185" s="25" t="s">
        <v>55</v>
      </c>
      <c r="F185" s="23" t="s">
        <v>5</v>
      </c>
      <c r="G185" s="49">
        <v>24</v>
      </c>
      <c r="H185" s="50">
        <v>89999</v>
      </c>
      <c r="I185" s="24">
        <f t="shared" si="1"/>
        <v>2159976</v>
      </c>
    </row>
    <row r="186" spans="1:9" s="42" customFormat="1" ht="30.75" customHeight="1" x14ac:dyDescent="0.2">
      <c r="A186" s="38">
        <v>13</v>
      </c>
      <c r="B186" s="38" t="s">
        <v>45</v>
      </c>
      <c r="C186" s="22" t="s">
        <v>8</v>
      </c>
      <c r="D186" s="22" t="str">
        <f t="shared" si="0"/>
        <v>4.3.5</v>
      </c>
      <c r="E186" s="25" t="s">
        <v>56</v>
      </c>
      <c r="F186" s="23" t="s">
        <v>5</v>
      </c>
      <c r="G186" s="49">
        <v>8</v>
      </c>
      <c r="H186" s="50">
        <v>11800</v>
      </c>
      <c r="I186" s="24">
        <f t="shared" si="1"/>
        <v>94400</v>
      </c>
    </row>
    <row r="187" spans="1:9" s="42" customFormat="1" ht="30.75" customHeight="1" x14ac:dyDescent="0.2">
      <c r="A187" s="38">
        <v>14</v>
      </c>
      <c r="B187" s="38" t="s">
        <v>43</v>
      </c>
      <c r="C187" s="22" t="s">
        <v>8</v>
      </c>
      <c r="D187" s="22" t="str">
        <f t="shared" si="0"/>
        <v>4.3.5</v>
      </c>
      <c r="E187" s="25" t="s">
        <v>57</v>
      </c>
      <c r="F187" s="23" t="s">
        <v>5</v>
      </c>
      <c r="G187" s="49">
        <v>8</v>
      </c>
      <c r="H187" s="50">
        <v>99000</v>
      </c>
      <c r="I187" s="24">
        <f t="shared" si="1"/>
        <v>792000</v>
      </c>
    </row>
    <row r="188" spans="1:9" s="42" customFormat="1" ht="30.75" customHeight="1" x14ac:dyDescent="0.2">
      <c r="A188" s="38">
        <v>15</v>
      </c>
      <c r="B188" s="38" t="s">
        <v>43</v>
      </c>
      <c r="C188" s="22" t="s">
        <v>8</v>
      </c>
      <c r="D188" s="22" t="str">
        <f t="shared" si="0"/>
        <v>4.3.5</v>
      </c>
      <c r="E188" s="25" t="s">
        <v>54</v>
      </c>
      <c r="F188" s="23" t="s">
        <v>5</v>
      </c>
      <c r="G188" s="49">
        <v>8</v>
      </c>
      <c r="H188" s="50">
        <v>62140</v>
      </c>
      <c r="I188" s="24">
        <f t="shared" si="1"/>
        <v>497120</v>
      </c>
    </row>
    <row r="189" spans="1:9" s="42" customFormat="1" ht="30.75" customHeight="1" x14ac:dyDescent="0.2">
      <c r="A189" s="38">
        <v>16</v>
      </c>
      <c r="B189" s="38" t="s">
        <v>43</v>
      </c>
      <c r="C189" s="22" t="s">
        <v>8</v>
      </c>
      <c r="D189" s="22" t="str">
        <f t="shared" si="0"/>
        <v>4.3.5</v>
      </c>
      <c r="E189" s="25" t="s">
        <v>54</v>
      </c>
      <c r="F189" s="23" t="s">
        <v>5</v>
      </c>
      <c r="G189" s="49">
        <v>8</v>
      </c>
      <c r="H189" s="50">
        <v>9800</v>
      </c>
      <c r="I189" s="24">
        <f t="shared" si="1"/>
        <v>78400</v>
      </c>
    </row>
    <row r="190" spans="1:9" s="42" customFormat="1" ht="30.75" customHeight="1" x14ac:dyDescent="0.2">
      <c r="A190" s="110" t="s">
        <v>46</v>
      </c>
      <c r="B190" s="111"/>
      <c r="C190" s="111"/>
      <c r="D190" s="111"/>
      <c r="E190" s="111"/>
      <c r="F190" s="111"/>
      <c r="G190" s="111"/>
      <c r="H190" s="112"/>
      <c r="I190" s="26">
        <f>SUM(I174:I189)</f>
        <v>8261616</v>
      </c>
    </row>
    <row r="191" spans="1:9" s="42" customFormat="1" ht="30.75" customHeight="1" x14ac:dyDescent="0.25">
      <c r="A191" s="43"/>
      <c r="B191" s="44"/>
      <c r="C191" s="45"/>
      <c r="D191" s="43"/>
      <c r="E191" s="46"/>
      <c r="F191" s="43"/>
      <c r="G191" s="43"/>
      <c r="H191" s="47"/>
      <c r="I191" s="48"/>
    </row>
    <row r="192" spans="1:9" s="42" customFormat="1" ht="30.75" customHeight="1" x14ac:dyDescent="0.2">
      <c r="A192" s="1"/>
      <c r="B192" s="1"/>
      <c r="C192" s="1"/>
      <c r="D192" s="1"/>
      <c r="E192" s="1"/>
      <c r="F192" s="1"/>
      <c r="G192" s="1"/>
      <c r="H192" s="1"/>
      <c r="I192" s="1"/>
    </row>
    <row r="193" spans="1:9" ht="30.75" customHeight="1" thickBot="1" x14ac:dyDescent="0.25"/>
    <row r="194" spans="1:9" ht="30.75" customHeight="1" thickBot="1" x14ac:dyDescent="0.25">
      <c r="B194" s="89" t="s">
        <v>19</v>
      </c>
      <c r="C194" s="90"/>
      <c r="D194" s="90"/>
      <c r="E194" s="91"/>
    </row>
    <row r="195" spans="1:9" ht="42.75" customHeight="1" x14ac:dyDescent="0.2">
      <c r="B195" s="27" t="s">
        <v>9</v>
      </c>
      <c r="C195" s="9"/>
      <c r="D195" s="9"/>
      <c r="E195" s="28"/>
    </row>
    <row r="196" spans="1:9" ht="30.75" customHeight="1" x14ac:dyDescent="0.2">
      <c r="B196" s="27"/>
      <c r="C196" s="95" t="s">
        <v>59</v>
      </c>
      <c r="D196" s="96"/>
      <c r="E196" s="97"/>
    </row>
    <row r="197" spans="1:9" ht="42" customHeight="1" x14ac:dyDescent="0.2">
      <c r="B197" s="27" t="s">
        <v>10</v>
      </c>
      <c r="C197" s="9"/>
      <c r="D197" s="9"/>
      <c r="E197" s="28"/>
    </row>
    <row r="198" spans="1:9" ht="64.5" customHeight="1" x14ac:dyDescent="0.2">
      <c r="B198" s="29"/>
      <c r="C198" s="95" t="s">
        <v>70</v>
      </c>
      <c r="D198" s="96"/>
      <c r="E198" s="97"/>
    </row>
    <row r="199" spans="1:9" ht="11.25" customHeight="1" x14ac:dyDescent="0.2">
      <c r="B199" s="27" t="s">
        <v>11</v>
      </c>
      <c r="C199" s="30"/>
      <c r="D199" s="30"/>
      <c r="E199" s="31"/>
    </row>
    <row r="200" spans="1:9" ht="21" customHeight="1" x14ac:dyDescent="0.2">
      <c r="B200" s="29"/>
      <c r="C200" s="101"/>
      <c r="D200" s="102"/>
      <c r="E200" s="103"/>
    </row>
    <row r="201" spans="1:9" ht="0.75" customHeight="1" x14ac:dyDescent="0.2">
      <c r="B201" s="27" t="s">
        <v>12</v>
      </c>
      <c r="C201" s="32"/>
      <c r="D201" s="32"/>
      <c r="E201" s="33"/>
    </row>
    <row r="202" spans="1:9" ht="12" customHeight="1" x14ac:dyDescent="0.2">
      <c r="B202" s="29"/>
      <c r="C202" s="95" t="s">
        <v>58</v>
      </c>
      <c r="D202" s="99"/>
      <c r="E202" s="100"/>
    </row>
    <row r="203" spans="1:9" ht="30.75" customHeight="1" x14ac:dyDescent="0.2">
      <c r="B203" s="27" t="s">
        <v>13</v>
      </c>
      <c r="C203" s="30"/>
      <c r="D203" s="30"/>
      <c r="E203" s="31"/>
    </row>
    <row r="204" spans="1:9" ht="21.75" customHeight="1" x14ac:dyDescent="0.2">
      <c r="B204" s="27"/>
      <c r="C204" s="98" t="s">
        <v>20</v>
      </c>
      <c r="D204" s="99"/>
      <c r="E204" s="100"/>
    </row>
    <row r="205" spans="1:9" s="37" customFormat="1" ht="30.75" customHeight="1" thickBot="1" x14ac:dyDescent="0.25">
      <c r="A205"/>
      <c r="B205" s="34"/>
      <c r="C205" s="35"/>
      <c r="D205" s="35"/>
      <c r="E205" s="36"/>
      <c r="F205"/>
      <c r="G205"/>
      <c r="H205"/>
      <c r="I205"/>
    </row>
    <row r="206" spans="1:9" ht="30.75" customHeight="1" thickBot="1" x14ac:dyDescent="0.25"/>
    <row r="207" spans="1:9" ht="30.75" customHeight="1" thickBot="1" x14ac:dyDescent="0.25">
      <c r="B207" s="89" t="s">
        <v>21</v>
      </c>
      <c r="C207" s="90"/>
      <c r="D207" s="90"/>
      <c r="E207" s="91"/>
    </row>
    <row r="208" spans="1:9" ht="30.75" customHeight="1" x14ac:dyDescent="0.2">
      <c r="B208" s="27" t="s">
        <v>9</v>
      </c>
      <c r="C208" s="9"/>
      <c r="D208" s="9"/>
      <c r="E208" s="28"/>
    </row>
    <row r="209" spans="2:5" ht="35.25" customHeight="1" x14ac:dyDescent="0.2">
      <c r="B209" s="27"/>
      <c r="C209" s="95" t="s">
        <v>126</v>
      </c>
      <c r="D209" s="96"/>
      <c r="E209" s="97"/>
    </row>
    <row r="210" spans="2:5" ht="12.75" customHeight="1" x14ac:dyDescent="0.2">
      <c r="B210" s="27" t="s">
        <v>10</v>
      </c>
      <c r="C210" s="9"/>
      <c r="D210" s="9"/>
      <c r="E210" s="28"/>
    </row>
    <row r="211" spans="2:5" ht="65.25" customHeight="1" x14ac:dyDescent="0.2">
      <c r="B211" s="29"/>
      <c r="C211" s="95" t="s">
        <v>70</v>
      </c>
      <c r="D211" s="96"/>
      <c r="E211" s="97"/>
    </row>
    <row r="212" spans="2:5" ht="13.5" customHeight="1" x14ac:dyDescent="0.2">
      <c r="B212" s="27" t="s">
        <v>11</v>
      </c>
      <c r="C212" s="30"/>
      <c r="D212" s="30"/>
      <c r="E212" s="31"/>
    </row>
    <row r="213" spans="2:5" ht="3" customHeight="1" x14ac:dyDescent="0.2">
      <c r="B213" s="29"/>
      <c r="C213" s="101"/>
      <c r="D213" s="102"/>
      <c r="E213" s="103"/>
    </row>
    <row r="214" spans="2:5" ht="30.75" customHeight="1" x14ac:dyDescent="0.2">
      <c r="B214" s="27" t="s">
        <v>12</v>
      </c>
      <c r="C214" s="32"/>
      <c r="D214" s="32"/>
      <c r="E214" s="33"/>
    </row>
    <row r="215" spans="2:5" ht="30.75" customHeight="1" x14ac:dyDescent="0.2">
      <c r="B215" s="29"/>
      <c r="C215" s="95" t="s">
        <v>58</v>
      </c>
      <c r="D215" s="99"/>
      <c r="E215" s="100"/>
    </row>
    <row r="216" spans="2:5" ht="30.75" customHeight="1" x14ac:dyDescent="0.2">
      <c r="B216" s="27" t="s">
        <v>13</v>
      </c>
      <c r="C216" s="30"/>
      <c r="D216" s="30"/>
      <c r="E216" s="31"/>
    </row>
    <row r="217" spans="2:5" ht="30.75" customHeight="1" x14ac:dyDescent="0.2">
      <c r="B217" s="27"/>
      <c r="C217" s="98" t="s">
        <v>20</v>
      </c>
      <c r="D217" s="99"/>
      <c r="E217" s="100"/>
    </row>
    <row r="218" spans="2:5" ht="30.75" customHeight="1" thickBot="1" x14ac:dyDescent="0.25">
      <c r="B218" s="34"/>
      <c r="C218" s="35"/>
      <c r="D218" s="35"/>
      <c r="E218" s="36"/>
    </row>
    <row r="219" spans="2:5" ht="30.75" customHeight="1" thickBot="1" x14ac:dyDescent="0.25"/>
    <row r="220" spans="2:5" ht="30.75" customHeight="1" thickBot="1" x14ac:dyDescent="0.25">
      <c r="B220" s="89" t="s">
        <v>22</v>
      </c>
      <c r="C220" s="90"/>
      <c r="D220" s="90"/>
      <c r="E220" s="91"/>
    </row>
    <row r="221" spans="2:5" ht="30.75" customHeight="1" x14ac:dyDescent="0.2">
      <c r="B221" s="27" t="s">
        <v>9</v>
      </c>
      <c r="C221" s="9"/>
      <c r="D221" s="9"/>
      <c r="E221" s="28"/>
    </row>
    <row r="222" spans="2:5" ht="30.75" customHeight="1" x14ac:dyDescent="0.2">
      <c r="B222" s="27"/>
      <c r="C222" s="95" t="s">
        <v>60</v>
      </c>
      <c r="D222" s="96"/>
      <c r="E222" s="97"/>
    </row>
    <row r="223" spans="2:5" ht="30.75" customHeight="1" x14ac:dyDescent="0.2">
      <c r="B223" s="27" t="s">
        <v>10</v>
      </c>
      <c r="C223" s="9"/>
      <c r="D223" s="9"/>
      <c r="E223" s="28"/>
    </row>
    <row r="224" spans="2:5" ht="77.25" customHeight="1" x14ac:dyDescent="0.2">
      <c r="B224" s="29"/>
      <c r="C224" s="95" t="s">
        <v>70</v>
      </c>
      <c r="D224" s="96"/>
      <c r="E224" s="97"/>
    </row>
    <row r="225" spans="2:5" ht="30.75" customHeight="1" x14ac:dyDescent="0.2">
      <c r="B225" s="27" t="s">
        <v>11</v>
      </c>
      <c r="C225" s="30"/>
      <c r="D225" s="30"/>
      <c r="E225" s="31"/>
    </row>
    <row r="226" spans="2:5" ht="8.25" customHeight="1" x14ac:dyDescent="0.2">
      <c r="B226" s="29"/>
      <c r="C226" s="101"/>
      <c r="D226" s="102"/>
      <c r="E226" s="103"/>
    </row>
    <row r="227" spans="2:5" ht="13.5" customHeight="1" x14ac:dyDescent="0.2">
      <c r="B227" s="27" t="s">
        <v>12</v>
      </c>
      <c r="C227" s="32"/>
      <c r="D227" s="32"/>
      <c r="E227" s="33"/>
    </row>
    <row r="228" spans="2:5" ht="30.75" customHeight="1" x14ac:dyDescent="0.2">
      <c r="B228" s="29"/>
      <c r="C228" s="95" t="s">
        <v>58</v>
      </c>
      <c r="D228" s="99"/>
      <c r="E228" s="100"/>
    </row>
    <row r="229" spans="2:5" ht="30.75" customHeight="1" x14ac:dyDescent="0.2">
      <c r="B229" s="27" t="s">
        <v>13</v>
      </c>
      <c r="C229" s="30"/>
      <c r="D229" s="30"/>
      <c r="E229" s="31"/>
    </row>
    <row r="230" spans="2:5" ht="30.75" customHeight="1" x14ac:dyDescent="0.2">
      <c r="B230" s="27"/>
      <c r="C230" s="98" t="s">
        <v>20</v>
      </c>
      <c r="D230" s="99"/>
      <c r="E230" s="100"/>
    </row>
    <row r="231" spans="2:5" ht="28.5" customHeight="1" thickBot="1" x14ac:dyDescent="0.25">
      <c r="B231" s="34"/>
      <c r="C231" s="35"/>
      <c r="D231" s="35"/>
      <c r="E231" s="36"/>
    </row>
    <row r="232" spans="2:5" ht="15.75" customHeight="1" thickBot="1" x14ac:dyDescent="0.25"/>
    <row r="233" spans="2:5" ht="29.25" customHeight="1" thickBot="1" x14ac:dyDescent="0.25">
      <c r="B233" s="89" t="s">
        <v>23</v>
      </c>
      <c r="C233" s="90"/>
      <c r="D233" s="90"/>
      <c r="E233" s="91"/>
    </row>
    <row r="234" spans="2:5" ht="29.25" customHeight="1" x14ac:dyDescent="0.2">
      <c r="B234" s="27" t="s">
        <v>9</v>
      </c>
      <c r="C234" s="9"/>
      <c r="D234" s="9"/>
      <c r="E234" s="28"/>
    </row>
    <row r="235" spans="2:5" ht="53.25" customHeight="1" x14ac:dyDescent="0.2">
      <c r="B235" s="27"/>
      <c r="C235" s="95" t="s">
        <v>71</v>
      </c>
      <c r="D235" s="96"/>
      <c r="E235" s="97"/>
    </row>
    <row r="236" spans="2:5" ht="29.25" customHeight="1" x14ac:dyDescent="0.2">
      <c r="B236" s="27" t="s">
        <v>10</v>
      </c>
      <c r="C236" s="9"/>
      <c r="D236" s="9"/>
      <c r="E236" s="28"/>
    </row>
    <row r="237" spans="2:5" ht="69.75" customHeight="1" x14ac:dyDescent="0.2">
      <c r="B237" s="29"/>
      <c r="C237" s="95" t="s">
        <v>70</v>
      </c>
      <c r="D237" s="96"/>
      <c r="E237" s="97"/>
    </row>
    <row r="238" spans="2:5" ht="29.25" customHeight="1" x14ac:dyDescent="0.2">
      <c r="B238" s="27" t="s">
        <v>11</v>
      </c>
      <c r="C238" s="30"/>
      <c r="D238" s="30"/>
      <c r="E238" s="31"/>
    </row>
    <row r="239" spans="2:5" ht="6" customHeight="1" x14ac:dyDescent="0.2">
      <c r="B239" s="29"/>
      <c r="C239" s="101"/>
      <c r="D239" s="102"/>
      <c r="E239" s="103"/>
    </row>
    <row r="240" spans="2:5" ht="21.75" customHeight="1" x14ac:dyDescent="0.2">
      <c r="B240" s="27" t="s">
        <v>12</v>
      </c>
      <c r="C240" s="32"/>
      <c r="D240" s="32"/>
      <c r="E240" s="33"/>
    </row>
    <row r="241" spans="2:5" ht="29.25" customHeight="1" x14ac:dyDescent="0.2">
      <c r="B241" s="29"/>
      <c r="C241" s="95" t="s">
        <v>58</v>
      </c>
      <c r="D241" s="99"/>
      <c r="E241" s="100"/>
    </row>
    <row r="242" spans="2:5" ht="29.25" customHeight="1" x14ac:dyDescent="0.2">
      <c r="B242" s="27" t="s">
        <v>13</v>
      </c>
      <c r="C242" s="30"/>
      <c r="D242" s="30"/>
      <c r="E242" s="31"/>
    </row>
    <row r="243" spans="2:5" ht="29.25" customHeight="1" x14ac:dyDescent="0.2">
      <c r="B243" s="27"/>
      <c r="C243" s="98" t="s">
        <v>20</v>
      </c>
      <c r="D243" s="99"/>
      <c r="E243" s="100"/>
    </row>
    <row r="244" spans="2:5" ht="29.25" customHeight="1" thickBot="1" x14ac:dyDescent="0.25">
      <c r="B244" s="34"/>
      <c r="C244" s="35"/>
      <c r="D244" s="35"/>
      <c r="E244" s="36"/>
    </row>
    <row r="245" spans="2:5" ht="29.25" customHeight="1" thickBot="1" x14ac:dyDescent="0.25"/>
    <row r="246" spans="2:5" ht="29.25" customHeight="1" thickBot="1" x14ac:dyDescent="0.25">
      <c r="B246" s="89" t="s">
        <v>24</v>
      </c>
      <c r="C246" s="90"/>
      <c r="D246" s="90"/>
      <c r="E246" s="91"/>
    </row>
    <row r="247" spans="2:5" ht="29.25" customHeight="1" x14ac:dyDescent="0.2">
      <c r="B247" s="27" t="s">
        <v>9</v>
      </c>
      <c r="C247" s="9"/>
      <c r="D247" s="9"/>
      <c r="E247" s="28"/>
    </row>
    <row r="248" spans="2:5" ht="29.25" customHeight="1" x14ac:dyDescent="0.2">
      <c r="B248" s="27"/>
      <c r="C248" s="95" t="s">
        <v>65</v>
      </c>
      <c r="D248" s="96"/>
      <c r="E248" s="97"/>
    </row>
    <row r="249" spans="2:5" ht="29.25" customHeight="1" x14ac:dyDescent="0.2">
      <c r="B249" s="27" t="s">
        <v>10</v>
      </c>
      <c r="C249" s="9"/>
      <c r="D249" s="9"/>
      <c r="E249" s="28"/>
    </row>
    <row r="250" spans="2:5" ht="78" customHeight="1" x14ac:dyDescent="0.2">
      <c r="B250" s="29"/>
      <c r="C250" s="95" t="s">
        <v>70</v>
      </c>
      <c r="D250" s="96"/>
      <c r="E250" s="97"/>
    </row>
    <row r="251" spans="2:5" ht="12.75" customHeight="1" x14ac:dyDescent="0.2">
      <c r="B251" s="27" t="s">
        <v>11</v>
      </c>
      <c r="C251" s="30"/>
      <c r="D251" s="30"/>
      <c r="E251" s="31"/>
    </row>
    <row r="252" spans="2:5" ht="17.25" customHeight="1" x14ac:dyDescent="0.2">
      <c r="B252" s="29"/>
      <c r="C252" s="101"/>
      <c r="D252" s="102"/>
      <c r="E252" s="103"/>
    </row>
    <row r="253" spans="2:5" ht="29.25" customHeight="1" x14ac:dyDescent="0.2">
      <c r="B253" s="27" t="s">
        <v>12</v>
      </c>
      <c r="C253" s="32"/>
      <c r="D253" s="32"/>
      <c r="E253" s="33"/>
    </row>
    <row r="254" spans="2:5" ht="29.25" customHeight="1" x14ac:dyDescent="0.2">
      <c r="B254" s="29"/>
      <c r="C254" s="95" t="s">
        <v>58</v>
      </c>
      <c r="D254" s="99"/>
      <c r="E254" s="100"/>
    </row>
    <row r="255" spans="2:5" ht="30" customHeight="1" x14ac:dyDescent="0.2">
      <c r="B255" s="27" t="s">
        <v>13</v>
      </c>
      <c r="C255" s="30"/>
      <c r="D255" s="30"/>
      <c r="E255" s="31"/>
    </row>
    <row r="256" spans="2:5" ht="15.75" customHeight="1" x14ac:dyDescent="0.2">
      <c r="B256" s="27"/>
      <c r="C256" s="98" t="s">
        <v>20</v>
      </c>
      <c r="D256" s="99"/>
      <c r="E256" s="100"/>
    </row>
    <row r="257" spans="2:5" ht="30" customHeight="1" thickBot="1" x14ac:dyDescent="0.25">
      <c r="B257" s="34"/>
      <c r="C257" s="35"/>
      <c r="D257" s="35"/>
      <c r="E257" s="36"/>
    </row>
    <row r="258" spans="2:5" s="51" customFormat="1" ht="30" customHeight="1" thickBot="1" x14ac:dyDescent="0.25">
      <c r="B258" s="41"/>
      <c r="C258" s="40"/>
      <c r="D258" s="40"/>
      <c r="E258" s="40"/>
    </row>
    <row r="259" spans="2:5" s="51" customFormat="1" ht="30" customHeight="1" thickBot="1" x14ac:dyDescent="0.25">
      <c r="B259" s="89" t="s">
        <v>25</v>
      </c>
      <c r="C259" s="90"/>
      <c r="D259" s="90"/>
      <c r="E259" s="91"/>
    </row>
    <row r="260" spans="2:5" s="51" customFormat="1" ht="30" customHeight="1" x14ac:dyDescent="0.2">
      <c r="B260" s="27" t="s">
        <v>9</v>
      </c>
      <c r="C260" s="9"/>
      <c r="D260" s="9"/>
      <c r="E260" s="28"/>
    </row>
    <row r="261" spans="2:5" ht="30" customHeight="1" x14ac:dyDescent="0.2">
      <c r="B261" s="27"/>
      <c r="C261" s="95" t="s">
        <v>72</v>
      </c>
      <c r="D261" s="96"/>
      <c r="E261" s="97"/>
    </row>
    <row r="262" spans="2:5" ht="30" customHeight="1" x14ac:dyDescent="0.2">
      <c r="B262" s="27" t="s">
        <v>10</v>
      </c>
      <c r="C262" s="9"/>
      <c r="D262" s="9"/>
      <c r="E262" s="28"/>
    </row>
    <row r="263" spans="2:5" ht="82.5" customHeight="1" x14ac:dyDescent="0.2">
      <c r="B263" s="29"/>
      <c r="C263" s="95" t="s">
        <v>70</v>
      </c>
      <c r="D263" s="96"/>
      <c r="E263" s="97"/>
    </row>
    <row r="264" spans="2:5" ht="30" customHeight="1" x14ac:dyDescent="0.2">
      <c r="B264" s="27" t="s">
        <v>11</v>
      </c>
      <c r="C264" s="30"/>
      <c r="D264" s="30"/>
      <c r="E264" s="31"/>
    </row>
    <row r="265" spans="2:5" ht="21" customHeight="1" x14ac:dyDescent="0.2">
      <c r="B265" s="29"/>
      <c r="C265" s="101"/>
      <c r="D265" s="102"/>
      <c r="E265" s="103"/>
    </row>
    <row r="266" spans="2:5" ht="35.25" customHeight="1" x14ac:dyDescent="0.2">
      <c r="B266" s="27" t="s">
        <v>12</v>
      </c>
      <c r="C266" s="32"/>
      <c r="D266" s="32"/>
      <c r="E266" s="33"/>
    </row>
    <row r="267" spans="2:5" ht="30" customHeight="1" x14ac:dyDescent="0.2">
      <c r="B267" s="29"/>
      <c r="C267" s="95" t="s">
        <v>58</v>
      </c>
      <c r="D267" s="99"/>
      <c r="E267" s="100"/>
    </row>
    <row r="268" spans="2:5" ht="18" customHeight="1" x14ac:dyDescent="0.2">
      <c r="B268" s="27" t="s">
        <v>13</v>
      </c>
      <c r="C268" s="30"/>
      <c r="D268" s="30"/>
      <c r="E268" s="31"/>
    </row>
    <row r="269" spans="2:5" ht="21" customHeight="1" x14ac:dyDescent="0.2">
      <c r="B269" s="27"/>
      <c r="C269" s="98" t="s">
        <v>20</v>
      </c>
      <c r="D269" s="99"/>
      <c r="E269" s="100"/>
    </row>
    <row r="270" spans="2:5" ht="30" customHeight="1" thickBot="1" x14ac:dyDescent="0.25">
      <c r="B270" s="34"/>
      <c r="C270" s="35"/>
      <c r="D270" s="35"/>
      <c r="E270" s="36"/>
    </row>
    <row r="271" spans="2:5" ht="30" customHeight="1" thickBot="1" x14ac:dyDescent="0.25">
      <c r="B271" s="41"/>
      <c r="C271" s="40"/>
      <c r="D271" s="40"/>
      <c r="E271" s="40"/>
    </row>
    <row r="272" spans="2:5" ht="30" customHeight="1" thickBot="1" x14ac:dyDescent="0.25">
      <c r="B272" s="89" t="s">
        <v>26</v>
      </c>
      <c r="C272" s="90"/>
      <c r="D272" s="90"/>
      <c r="E272" s="91"/>
    </row>
    <row r="273" spans="2:9" ht="30" customHeight="1" x14ac:dyDescent="0.2">
      <c r="B273" s="27" t="s">
        <v>9</v>
      </c>
      <c r="C273" s="9"/>
      <c r="D273" s="9"/>
      <c r="E273" s="28"/>
    </row>
    <row r="274" spans="2:9" s="51" customFormat="1" ht="30" customHeight="1" x14ac:dyDescent="0.2">
      <c r="B274" s="27"/>
      <c r="C274" s="95" t="s">
        <v>61</v>
      </c>
      <c r="D274" s="96"/>
      <c r="E274" s="97"/>
    </row>
    <row r="275" spans="2:9" s="51" customFormat="1" ht="30" customHeight="1" x14ac:dyDescent="0.2">
      <c r="B275" s="27" t="s">
        <v>10</v>
      </c>
      <c r="C275" s="9"/>
      <c r="D275" s="9"/>
      <c r="E275" s="28"/>
    </row>
    <row r="276" spans="2:9" s="51" customFormat="1" ht="53.25" customHeight="1" x14ac:dyDescent="0.2">
      <c r="B276" s="29"/>
      <c r="C276" s="95" t="s">
        <v>70</v>
      </c>
      <c r="D276" s="96"/>
      <c r="E276" s="97"/>
    </row>
    <row r="277" spans="2:9" s="51" customFormat="1" ht="30" customHeight="1" x14ac:dyDescent="0.2">
      <c r="B277" s="27" t="s">
        <v>11</v>
      </c>
      <c r="C277" s="30"/>
      <c r="D277" s="30"/>
      <c r="E277" s="31"/>
    </row>
    <row r="278" spans="2:9" s="51" customFormat="1" ht="22.5" customHeight="1" x14ac:dyDescent="0.2">
      <c r="B278" s="29"/>
      <c r="C278" s="101"/>
      <c r="D278" s="102"/>
      <c r="E278" s="103"/>
    </row>
    <row r="279" spans="2:9" s="51" customFormat="1" ht="31.5" customHeight="1" x14ac:dyDescent="0.2">
      <c r="B279" s="27" t="s">
        <v>12</v>
      </c>
      <c r="C279" s="32"/>
      <c r="D279" s="32"/>
      <c r="E279" s="33"/>
    </row>
    <row r="280" spans="2:9" s="51" customFormat="1" ht="30" customHeight="1" x14ac:dyDescent="0.2">
      <c r="B280" s="29"/>
      <c r="C280" s="95" t="s">
        <v>58</v>
      </c>
      <c r="D280" s="99"/>
      <c r="E280" s="100"/>
    </row>
    <row r="281" spans="2:9" s="51" customFormat="1" ht="12.75" customHeight="1" x14ac:dyDescent="0.2">
      <c r="B281" s="27" t="s">
        <v>13</v>
      </c>
      <c r="C281" s="30"/>
      <c r="D281" s="30"/>
      <c r="E281" s="31"/>
    </row>
    <row r="282" spans="2:9" s="51" customFormat="1" ht="30" customHeight="1" x14ac:dyDescent="0.2">
      <c r="B282" s="27"/>
      <c r="C282" s="98" t="s">
        <v>20</v>
      </c>
      <c r="D282" s="99"/>
      <c r="E282" s="100"/>
    </row>
    <row r="283" spans="2:9" s="51" customFormat="1" ht="30" customHeight="1" thickBot="1" x14ac:dyDescent="0.25">
      <c r="B283" s="34"/>
      <c r="C283" s="35"/>
      <c r="D283" s="35"/>
      <c r="E283" s="36"/>
    </row>
    <row r="284" spans="2:9" s="51" customFormat="1" ht="30" customHeight="1" thickBot="1" x14ac:dyDescent="0.25"/>
    <row r="285" spans="2:9" s="51" customFormat="1" ht="30" customHeight="1" thickBot="1" x14ac:dyDescent="0.25">
      <c r="B285" s="89" t="s">
        <v>27</v>
      </c>
      <c r="C285" s="108"/>
      <c r="D285" s="108"/>
      <c r="E285" s="109"/>
    </row>
    <row r="286" spans="2:9" s="51" customFormat="1" ht="9" customHeight="1" x14ac:dyDescent="0.2">
      <c r="B286" s="27" t="s">
        <v>9</v>
      </c>
      <c r="C286" s="9"/>
      <c r="D286" s="9"/>
      <c r="E286" s="28"/>
    </row>
    <row r="287" spans="2:9" s="51" customFormat="1" ht="30" customHeight="1" x14ac:dyDescent="0.2">
      <c r="B287" s="27"/>
      <c r="C287" s="95" t="s">
        <v>73</v>
      </c>
      <c r="D287" s="95"/>
      <c r="E287" s="106"/>
      <c r="H287" s="1"/>
      <c r="I287" s="1"/>
    </row>
    <row r="288" spans="2:9" ht="30" customHeight="1" x14ac:dyDescent="0.2">
      <c r="B288" s="27" t="s">
        <v>10</v>
      </c>
      <c r="C288" s="9"/>
      <c r="D288" s="9"/>
      <c r="E288" s="28"/>
    </row>
    <row r="289" spans="2:5" ht="72" customHeight="1" x14ac:dyDescent="0.2">
      <c r="B289" s="29"/>
      <c r="C289" s="95" t="s">
        <v>70</v>
      </c>
      <c r="D289" s="95"/>
      <c r="E289" s="106"/>
    </row>
    <row r="290" spans="2:5" ht="30" customHeight="1" x14ac:dyDescent="0.2">
      <c r="B290" s="27" t="s">
        <v>11</v>
      </c>
      <c r="C290" s="30"/>
      <c r="D290" s="30"/>
      <c r="E290" s="31"/>
    </row>
    <row r="291" spans="2:5" ht="30" customHeight="1" x14ac:dyDescent="0.2">
      <c r="B291" s="29"/>
      <c r="C291" s="104"/>
      <c r="D291" s="104"/>
      <c r="E291" s="105"/>
    </row>
    <row r="292" spans="2:5" ht="73.5" customHeight="1" x14ac:dyDescent="0.2">
      <c r="B292" s="27" t="s">
        <v>12</v>
      </c>
      <c r="C292" s="32"/>
      <c r="D292" s="32"/>
      <c r="E292" s="33"/>
    </row>
    <row r="293" spans="2:5" ht="30" customHeight="1" x14ac:dyDescent="0.2">
      <c r="B293" s="29"/>
      <c r="C293" s="95" t="s">
        <v>58</v>
      </c>
      <c r="D293" s="95"/>
      <c r="E293" s="106"/>
    </row>
    <row r="294" spans="2:5" ht="15" customHeight="1" x14ac:dyDescent="0.2">
      <c r="B294" s="27" t="s">
        <v>13</v>
      </c>
      <c r="C294" s="30"/>
      <c r="D294" s="30"/>
      <c r="E294" s="31"/>
    </row>
    <row r="295" spans="2:5" ht="28.5" customHeight="1" x14ac:dyDescent="0.2">
      <c r="B295" s="27"/>
      <c r="C295" s="98" t="s">
        <v>20</v>
      </c>
      <c r="D295" s="98"/>
      <c r="E295" s="107"/>
    </row>
    <row r="296" spans="2:5" ht="30" customHeight="1" thickBot="1" x14ac:dyDescent="0.25">
      <c r="B296" s="34"/>
      <c r="C296" s="35"/>
      <c r="D296" s="35"/>
      <c r="E296" s="36"/>
    </row>
    <row r="297" spans="2:5" ht="30" customHeight="1" thickBot="1" x14ac:dyDescent="0.25">
      <c r="B297" s="51"/>
      <c r="C297" s="51"/>
      <c r="D297" s="51"/>
      <c r="E297" s="51"/>
    </row>
    <row r="298" spans="2:5" ht="30" customHeight="1" thickBot="1" x14ac:dyDescent="0.25">
      <c r="B298" s="89" t="s">
        <v>28</v>
      </c>
      <c r="C298" s="90"/>
      <c r="D298" s="90"/>
      <c r="E298" s="91"/>
    </row>
    <row r="299" spans="2:5" ht="30" customHeight="1" x14ac:dyDescent="0.2">
      <c r="B299" s="27" t="s">
        <v>9</v>
      </c>
      <c r="C299" s="9"/>
      <c r="D299" s="9"/>
      <c r="E299" s="28"/>
    </row>
    <row r="300" spans="2:5" ht="30" customHeight="1" x14ac:dyDescent="0.2">
      <c r="B300" s="27"/>
      <c r="C300" s="95" t="s">
        <v>62</v>
      </c>
      <c r="D300" s="96"/>
      <c r="E300" s="97"/>
    </row>
    <row r="301" spans="2:5" ht="30" customHeight="1" x14ac:dyDescent="0.2">
      <c r="B301" s="27" t="s">
        <v>10</v>
      </c>
      <c r="C301" s="9"/>
      <c r="D301" s="9"/>
      <c r="E301" s="28"/>
    </row>
    <row r="302" spans="2:5" ht="30" customHeight="1" x14ac:dyDescent="0.2">
      <c r="B302" s="29"/>
      <c r="C302" s="95" t="s">
        <v>70</v>
      </c>
      <c r="D302" s="96"/>
      <c r="E302" s="97"/>
    </row>
    <row r="303" spans="2:5" ht="30" customHeight="1" x14ac:dyDescent="0.2">
      <c r="B303" s="27" t="s">
        <v>11</v>
      </c>
      <c r="C303" s="30"/>
      <c r="D303" s="30"/>
      <c r="E303" s="31"/>
    </row>
    <row r="304" spans="2:5" ht="30" customHeight="1" x14ac:dyDescent="0.2">
      <c r="B304" s="29"/>
      <c r="C304" s="101"/>
      <c r="D304" s="102"/>
      <c r="E304" s="103"/>
    </row>
    <row r="305" spans="2:5" ht="61.5" customHeight="1" x14ac:dyDescent="0.2">
      <c r="B305" s="27" t="s">
        <v>12</v>
      </c>
      <c r="C305" s="32"/>
      <c r="D305" s="32"/>
      <c r="E305" s="33"/>
    </row>
    <row r="306" spans="2:5" ht="30" customHeight="1" x14ac:dyDescent="0.2">
      <c r="B306" s="29"/>
      <c r="C306" s="95" t="s">
        <v>58</v>
      </c>
      <c r="D306" s="99"/>
      <c r="E306" s="100"/>
    </row>
    <row r="307" spans="2:5" ht="26.25" customHeight="1" x14ac:dyDescent="0.2">
      <c r="B307" s="27" t="s">
        <v>13</v>
      </c>
      <c r="C307" s="30"/>
      <c r="D307" s="30"/>
      <c r="E307" s="31"/>
    </row>
    <row r="308" spans="2:5" ht="30" customHeight="1" x14ac:dyDescent="0.2">
      <c r="B308" s="27"/>
      <c r="C308" s="98" t="s">
        <v>20</v>
      </c>
      <c r="D308" s="99"/>
      <c r="E308" s="100"/>
    </row>
    <row r="309" spans="2:5" ht="41.25" customHeight="1" thickBot="1" x14ac:dyDescent="0.25">
      <c r="B309" s="34"/>
      <c r="C309" s="35"/>
      <c r="D309" s="35"/>
      <c r="E309" s="36"/>
    </row>
    <row r="310" spans="2:5" ht="30" customHeight="1" thickBot="1" x14ac:dyDescent="0.25"/>
    <row r="311" spans="2:5" ht="30" customHeight="1" thickBot="1" x14ac:dyDescent="0.25">
      <c r="B311" s="89" t="s">
        <v>29</v>
      </c>
      <c r="C311" s="90"/>
      <c r="D311" s="90"/>
      <c r="E311" s="91"/>
    </row>
    <row r="312" spans="2:5" ht="30" customHeight="1" x14ac:dyDescent="0.2">
      <c r="B312" s="27" t="s">
        <v>9</v>
      </c>
      <c r="C312" s="9"/>
      <c r="D312" s="9"/>
      <c r="E312" s="28"/>
    </row>
    <row r="313" spans="2:5" ht="30" customHeight="1" x14ac:dyDescent="0.2">
      <c r="B313" s="27"/>
      <c r="C313" s="92" t="s">
        <v>63</v>
      </c>
      <c r="D313" s="93"/>
      <c r="E313" s="94"/>
    </row>
    <row r="314" spans="2:5" ht="30" customHeight="1" x14ac:dyDescent="0.2">
      <c r="B314" s="27" t="s">
        <v>10</v>
      </c>
      <c r="C314" s="9"/>
      <c r="D314" s="9"/>
      <c r="E314" s="28"/>
    </row>
    <row r="315" spans="2:5" ht="30" customHeight="1" x14ac:dyDescent="0.2">
      <c r="B315" s="29"/>
      <c r="C315" s="95" t="s">
        <v>70</v>
      </c>
      <c r="D315" s="96"/>
      <c r="E315" s="97"/>
    </row>
    <row r="316" spans="2:5" ht="22.5" customHeight="1" x14ac:dyDescent="0.2">
      <c r="B316" s="27" t="s">
        <v>11</v>
      </c>
      <c r="C316" s="30"/>
      <c r="D316" s="30"/>
      <c r="E316" s="31"/>
    </row>
    <row r="317" spans="2:5" ht="30" customHeight="1" x14ac:dyDescent="0.2">
      <c r="B317" s="29"/>
      <c r="C317" s="101"/>
      <c r="D317" s="102"/>
      <c r="E317" s="103"/>
    </row>
    <row r="318" spans="2:5" ht="31.5" customHeight="1" x14ac:dyDescent="0.2">
      <c r="B318" s="27" t="s">
        <v>12</v>
      </c>
      <c r="C318" s="32"/>
      <c r="D318" s="32"/>
      <c r="E318" s="33"/>
    </row>
    <row r="319" spans="2:5" ht="30" customHeight="1" x14ac:dyDescent="0.2">
      <c r="B319" s="29"/>
      <c r="C319" s="95" t="s">
        <v>58</v>
      </c>
      <c r="D319" s="99"/>
      <c r="E319" s="100"/>
    </row>
    <row r="320" spans="2:5" ht="18" customHeight="1" x14ac:dyDescent="0.2">
      <c r="B320" s="27" t="s">
        <v>13</v>
      </c>
      <c r="C320" s="30"/>
      <c r="D320" s="30"/>
      <c r="E320" s="31"/>
    </row>
    <row r="321" spans="2:5" ht="38.25" customHeight="1" x14ac:dyDescent="0.2">
      <c r="B321" s="27"/>
      <c r="C321" s="98" t="s">
        <v>20</v>
      </c>
      <c r="D321" s="99"/>
      <c r="E321" s="100"/>
    </row>
    <row r="322" spans="2:5" ht="15.75" customHeight="1" thickBot="1" x14ac:dyDescent="0.25">
      <c r="B322" s="34"/>
      <c r="C322" s="35"/>
      <c r="D322" s="35"/>
      <c r="E322" s="36"/>
    </row>
    <row r="323" spans="2:5" ht="24" customHeight="1" thickBot="1" x14ac:dyDescent="0.25"/>
    <row r="324" spans="2:5" ht="27.75" customHeight="1" thickBot="1" x14ac:dyDescent="0.25">
      <c r="B324" s="89" t="s">
        <v>30</v>
      </c>
      <c r="C324" s="90"/>
      <c r="D324" s="90"/>
      <c r="E324" s="91"/>
    </row>
    <row r="325" spans="2:5" ht="20.25" customHeight="1" x14ac:dyDescent="0.2">
      <c r="B325" s="27" t="s">
        <v>9</v>
      </c>
      <c r="C325" s="9"/>
      <c r="D325" s="9"/>
      <c r="E325" s="28"/>
    </row>
    <row r="326" spans="2:5" ht="201" customHeight="1" x14ac:dyDescent="0.2">
      <c r="B326" s="27"/>
      <c r="C326" s="95" t="s">
        <v>64</v>
      </c>
      <c r="D326" s="96"/>
      <c r="E326" s="97"/>
    </row>
    <row r="327" spans="2:5" ht="34.5" customHeight="1" x14ac:dyDescent="0.2">
      <c r="B327" s="27" t="s">
        <v>10</v>
      </c>
      <c r="C327" s="9"/>
      <c r="D327" s="9"/>
      <c r="E327" s="28"/>
    </row>
    <row r="328" spans="2:5" ht="78" customHeight="1" x14ac:dyDescent="0.2">
      <c r="B328" s="29"/>
      <c r="C328" s="95" t="s">
        <v>70</v>
      </c>
      <c r="D328" s="96"/>
      <c r="E328" s="97"/>
    </row>
    <row r="329" spans="2:5" ht="30" customHeight="1" x14ac:dyDescent="0.2">
      <c r="B329" s="27" t="s">
        <v>11</v>
      </c>
      <c r="C329" s="30"/>
      <c r="D329" s="30"/>
      <c r="E329" s="31"/>
    </row>
    <row r="330" spans="2:5" ht="21.75" customHeight="1" x14ac:dyDescent="0.2">
      <c r="B330" s="29"/>
      <c r="C330" s="101"/>
      <c r="D330" s="102"/>
      <c r="E330" s="103"/>
    </row>
    <row r="331" spans="2:5" ht="33.75" customHeight="1" x14ac:dyDescent="0.2">
      <c r="B331" s="27" t="s">
        <v>12</v>
      </c>
      <c r="C331" s="32"/>
      <c r="D331" s="32"/>
      <c r="E331" s="33"/>
    </row>
    <row r="332" spans="2:5" ht="15.75" customHeight="1" x14ac:dyDescent="0.2">
      <c r="B332" s="29"/>
      <c r="C332" s="95" t="s">
        <v>58</v>
      </c>
      <c r="D332" s="99"/>
      <c r="E332" s="100"/>
    </row>
    <row r="333" spans="2:5" ht="17.25" customHeight="1" x14ac:dyDescent="0.2">
      <c r="B333" s="27" t="s">
        <v>13</v>
      </c>
      <c r="C333" s="30"/>
      <c r="D333" s="30"/>
      <c r="E333" s="31"/>
    </row>
    <row r="334" spans="2:5" ht="33" customHeight="1" x14ac:dyDescent="0.2">
      <c r="B334" s="27"/>
      <c r="C334" s="98" t="s">
        <v>20</v>
      </c>
      <c r="D334" s="99"/>
      <c r="E334" s="100"/>
    </row>
    <row r="335" spans="2:5" ht="30" customHeight="1" thickBot="1" x14ac:dyDescent="0.25">
      <c r="B335" s="34"/>
      <c r="C335" s="35"/>
      <c r="D335" s="35"/>
      <c r="E335" s="36"/>
    </row>
    <row r="336" spans="2:5" ht="15.75" customHeight="1" thickBot="1" x14ac:dyDescent="0.25"/>
    <row r="337" spans="2:5" ht="56.25" customHeight="1" thickBot="1" x14ac:dyDescent="0.25">
      <c r="B337" s="89" t="s">
        <v>31</v>
      </c>
      <c r="C337" s="90"/>
      <c r="D337" s="90"/>
      <c r="E337" s="91"/>
    </row>
    <row r="338" spans="2:5" ht="13.5" customHeight="1" x14ac:dyDescent="0.2">
      <c r="B338" s="27" t="s">
        <v>9</v>
      </c>
      <c r="C338" s="9"/>
      <c r="D338" s="9"/>
      <c r="E338" s="28"/>
    </row>
    <row r="339" spans="2:5" ht="121.5" customHeight="1" x14ac:dyDescent="0.2">
      <c r="B339" s="27"/>
      <c r="C339" s="95" t="s">
        <v>74</v>
      </c>
      <c r="D339" s="96"/>
      <c r="E339" s="97"/>
    </row>
    <row r="340" spans="2:5" ht="32.25" customHeight="1" x14ac:dyDescent="0.2">
      <c r="B340" s="27" t="s">
        <v>10</v>
      </c>
      <c r="C340" s="9"/>
      <c r="D340" s="9"/>
      <c r="E340" s="28"/>
    </row>
    <row r="341" spans="2:5" ht="60" customHeight="1" x14ac:dyDescent="0.2">
      <c r="B341" s="29"/>
      <c r="C341" s="95" t="s">
        <v>70</v>
      </c>
      <c r="D341" s="96"/>
      <c r="E341" s="97"/>
    </row>
    <row r="342" spans="2:5" ht="25.5" customHeight="1" x14ac:dyDescent="0.2">
      <c r="B342" s="27" t="s">
        <v>11</v>
      </c>
      <c r="C342" s="30"/>
      <c r="D342" s="30"/>
      <c r="E342" s="31"/>
    </row>
    <row r="343" spans="2:5" ht="21" customHeight="1" x14ac:dyDescent="0.2">
      <c r="B343" s="29"/>
      <c r="C343" s="101"/>
      <c r="D343" s="102"/>
      <c r="E343" s="103"/>
    </row>
    <row r="344" spans="2:5" ht="22.5" customHeight="1" x14ac:dyDescent="0.2">
      <c r="B344" s="27" t="s">
        <v>12</v>
      </c>
      <c r="C344" s="32"/>
      <c r="D344" s="32"/>
      <c r="E344" s="33"/>
    </row>
    <row r="345" spans="2:5" ht="32.25" customHeight="1" x14ac:dyDescent="0.2">
      <c r="B345" s="29"/>
      <c r="C345" s="95" t="s">
        <v>58</v>
      </c>
      <c r="D345" s="99"/>
      <c r="E345" s="100"/>
    </row>
    <row r="346" spans="2:5" ht="21.75" customHeight="1" x14ac:dyDescent="0.2">
      <c r="B346" s="27" t="s">
        <v>13</v>
      </c>
      <c r="C346" s="30"/>
      <c r="D346" s="30"/>
      <c r="E346" s="31"/>
    </row>
    <row r="347" spans="2:5" ht="32.25" customHeight="1" x14ac:dyDescent="0.2">
      <c r="B347" s="27"/>
      <c r="C347" s="98" t="s">
        <v>20</v>
      </c>
      <c r="D347" s="99"/>
      <c r="E347" s="100"/>
    </row>
    <row r="348" spans="2:5" ht="19.5" customHeight="1" thickBot="1" x14ac:dyDescent="0.25">
      <c r="B348" s="34"/>
      <c r="C348" s="35"/>
      <c r="D348" s="35"/>
      <c r="E348" s="36"/>
    </row>
    <row r="349" spans="2:5" ht="32.25" customHeight="1" thickBot="1" x14ac:dyDescent="0.25"/>
    <row r="350" spans="2:5" ht="32.25" customHeight="1" thickBot="1" x14ac:dyDescent="0.25">
      <c r="B350" s="89" t="s">
        <v>32</v>
      </c>
      <c r="C350" s="90"/>
      <c r="D350" s="90"/>
      <c r="E350" s="91"/>
    </row>
    <row r="351" spans="2:5" ht="15" customHeight="1" x14ac:dyDescent="0.2">
      <c r="B351" s="27" t="s">
        <v>9</v>
      </c>
      <c r="C351" s="9"/>
      <c r="D351" s="9"/>
      <c r="E351" s="28"/>
    </row>
    <row r="352" spans="2:5" ht="138.75" customHeight="1" x14ac:dyDescent="0.2">
      <c r="B352" s="27"/>
      <c r="C352" s="95" t="s">
        <v>66</v>
      </c>
      <c r="D352" s="96"/>
      <c r="E352" s="97"/>
    </row>
    <row r="353" spans="2:5" ht="27.75" customHeight="1" x14ac:dyDescent="0.2">
      <c r="B353" s="27" t="s">
        <v>10</v>
      </c>
      <c r="C353" s="9"/>
      <c r="D353" s="9"/>
      <c r="E353" s="28"/>
    </row>
    <row r="354" spans="2:5" ht="77.25" customHeight="1" x14ac:dyDescent="0.2">
      <c r="B354" s="29"/>
      <c r="C354" s="95" t="s">
        <v>70</v>
      </c>
      <c r="D354" s="96"/>
      <c r="E354" s="97"/>
    </row>
    <row r="355" spans="2:5" ht="28.5" customHeight="1" x14ac:dyDescent="0.2">
      <c r="B355" s="27" t="s">
        <v>11</v>
      </c>
      <c r="C355" s="30"/>
      <c r="D355" s="30"/>
      <c r="E355" s="31"/>
    </row>
    <row r="356" spans="2:5" ht="15" customHeight="1" x14ac:dyDescent="0.2">
      <c r="B356" s="29"/>
      <c r="C356" s="101"/>
      <c r="D356" s="102"/>
      <c r="E356" s="103"/>
    </row>
    <row r="357" spans="2:5" ht="27" customHeight="1" x14ac:dyDescent="0.2">
      <c r="B357" s="27" t="s">
        <v>12</v>
      </c>
      <c r="C357" s="32"/>
      <c r="D357" s="32"/>
      <c r="E357" s="33"/>
    </row>
    <row r="358" spans="2:5" ht="23.25" customHeight="1" x14ac:dyDescent="0.2">
      <c r="B358" s="29"/>
      <c r="C358" s="95" t="s">
        <v>58</v>
      </c>
      <c r="D358" s="99"/>
      <c r="E358" s="100"/>
    </row>
    <row r="359" spans="2:5" ht="15.75" customHeight="1" x14ac:dyDescent="0.2">
      <c r="B359" s="27" t="s">
        <v>13</v>
      </c>
      <c r="C359" s="30"/>
      <c r="D359" s="30"/>
      <c r="E359" s="31"/>
    </row>
    <row r="360" spans="2:5" ht="29.25" customHeight="1" x14ac:dyDescent="0.2">
      <c r="B360" s="27"/>
      <c r="C360" s="98" t="s">
        <v>20</v>
      </c>
      <c r="D360" s="99"/>
      <c r="E360" s="100"/>
    </row>
    <row r="361" spans="2:5" ht="15" customHeight="1" thickBot="1" x14ac:dyDescent="0.25">
      <c r="B361" s="34"/>
      <c r="C361" s="35"/>
      <c r="D361" s="35"/>
      <c r="E361" s="36"/>
    </row>
    <row r="362" spans="2:5" ht="22.5" customHeight="1" thickBot="1" x14ac:dyDescent="0.25"/>
    <row r="363" spans="2:5" ht="26.25" customHeight="1" thickBot="1" x14ac:dyDescent="0.25">
      <c r="B363" s="89" t="s">
        <v>33</v>
      </c>
      <c r="C363" s="90"/>
      <c r="D363" s="90"/>
      <c r="E363" s="91"/>
    </row>
    <row r="364" spans="2:5" ht="27.75" customHeight="1" x14ac:dyDescent="0.2">
      <c r="B364" s="27" t="s">
        <v>9</v>
      </c>
      <c r="C364" s="9"/>
      <c r="D364" s="9"/>
      <c r="E364" s="28"/>
    </row>
    <row r="365" spans="2:5" ht="72.75" customHeight="1" x14ac:dyDescent="0.2">
      <c r="B365" s="27"/>
      <c r="C365" s="95" t="s">
        <v>75</v>
      </c>
      <c r="D365" s="96"/>
      <c r="E365" s="97"/>
    </row>
    <row r="366" spans="2:5" ht="35.25" customHeight="1" x14ac:dyDescent="0.2">
      <c r="B366" s="27" t="s">
        <v>10</v>
      </c>
      <c r="C366" s="9"/>
      <c r="D366" s="9"/>
      <c r="E366" s="28"/>
    </row>
    <row r="367" spans="2:5" ht="57.75" customHeight="1" x14ac:dyDescent="0.2">
      <c r="B367" s="29"/>
      <c r="C367" s="95" t="s">
        <v>70</v>
      </c>
      <c r="D367" s="96"/>
      <c r="E367" s="97"/>
    </row>
    <row r="368" spans="2:5" ht="20.25" customHeight="1" x14ac:dyDescent="0.2">
      <c r="B368" s="27" t="s">
        <v>11</v>
      </c>
      <c r="C368" s="30"/>
      <c r="D368" s="30"/>
      <c r="E368" s="31"/>
    </row>
    <row r="369" spans="2:5" ht="27.75" customHeight="1" x14ac:dyDescent="0.2">
      <c r="B369" s="29"/>
      <c r="C369" s="101"/>
      <c r="D369" s="102"/>
      <c r="E369" s="103"/>
    </row>
    <row r="370" spans="2:5" ht="40.5" customHeight="1" x14ac:dyDescent="0.2">
      <c r="B370" s="27" t="s">
        <v>12</v>
      </c>
      <c r="C370" s="32"/>
      <c r="D370" s="32"/>
      <c r="E370" s="33"/>
    </row>
    <row r="371" spans="2:5" ht="27.75" customHeight="1" x14ac:dyDescent="0.2">
      <c r="B371" s="29"/>
      <c r="C371" s="95" t="s">
        <v>58</v>
      </c>
      <c r="D371" s="99"/>
      <c r="E371" s="100"/>
    </row>
    <row r="372" spans="2:5" ht="27.75" customHeight="1" x14ac:dyDescent="0.2">
      <c r="B372" s="27" t="s">
        <v>13</v>
      </c>
      <c r="C372" s="30"/>
      <c r="D372" s="30"/>
      <c r="E372" s="31"/>
    </row>
    <row r="373" spans="2:5" ht="13.5" customHeight="1" x14ac:dyDescent="0.2">
      <c r="B373" s="27"/>
      <c r="C373" s="98" t="s">
        <v>20</v>
      </c>
      <c r="D373" s="99"/>
      <c r="E373" s="100"/>
    </row>
    <row r="374" spans="2:5" ht="13.5" customHeight="1" thickBot="1" x14ac:dyDescent="0.25">
      <c r="B374" s="34"/>
      <c r="C374" s="35"/>
      <c r="D374" s="35"/>
      <c r="E374" s="36"/>
    </row>
    <row r="375" spans="2:5" ht="13.5" customHeight="1" thickBot="1" x14ac:dyDescent="0.25"/>
    <row r="376" spans="2:5" ht="13.5" customHeight="1" thickBot="1" x14ac:dyDescent="0.25">
      <c r="B376" s="89" t="s">
        <v>34</v>
      </c>
      <c r="C376" s="90"/>
      <c r="D376" s="90"/>
      <c r="E376" s="91"/>
    </row>
    <row r="377" spans="2:5" ht="30.75" customHeight="1" x14ac:dyDescent="0.2">
      <c r="B377" s="27" t="s">
        <v>9</v>
      </c>
      <c r="C377" s="9"/>
      <c r="D377" s="9"/>
      <c r="E377" s="28"/>
    </row>
    <row r="378" spans="2:5" ht="141" customHeight="1" x14ac:dyDescent="0.2">
      <c r="B378" s="27"/>
      <c r="C378" s="95" t="s">
        <v>67</v>
      </c>
      <c r="D378" s="96"/>
      <c r="E378" s="97"/>
    </row>
    <row r="379" spans="2:5" ht="34.5" customHeight="1" x14ac:dyDescent="0.2">
      <c r="B379" s="27" t="s">
        <v>10</v>
      </c>
      <c r="C379" s="9"/>
      <c r="D379" s="9"/>
      <c r="E379" s="28"/>
    </row>
    <row r="380" spans="2:5" ht="81" customHeight="1" x14ac:dyDescent="0.2">
      <c r="B380" s="29"/>
      <c r="C380" s="95" t="s">
        <v>70</v>
      </c>
      <c r="D380" s="96"/>
      <c r="E380" s="97"/>
    </row>
    <row r="381" spans="2:5" ht="24" customHeight="1" x14ac:dyDescent="0.2">
      <c r="B381" s="27" t="s">
        <v>11</v>
      </c>
      <c r="C381" s="30"/>
      <c r="D381" s="30"/>
      <c r="E381" s="31"/>
    </row>
    <row r="382" spans="2:5" ht="14.25" customHeight="1" x14ac:dyDescent="0.2">
      <c r="B382" s="29"/>
      <c r="C382" s="101"/>
      <c r="D382" s="102"/>
      <c r="E382" s="103"/>
    </row>
    <row r="383" spans="2:5" ht="15" customHeight="1" x14ac:dyDescent="0.2">
      <c r="B383" s="27" t="s">
        <v>12</v>
      </c>
      <c r="C383" s="32"/>
      <c r="D383" s="32"/>
      <c r="E383" s="33"/>
    </row>
    <row r="384" spans="2:5" ht="27.75" customHeight="1" x14ac:dyDescent="0.2">
      <c r="B384" s="29"/>
      <c r="C384" s="95" t="s">
        <v>58</v>
      </c>
      <c r="D384" s="99"/>
      <c r="E384" s="100"/>
    </row>
    <row r="385" spans="2:5" ht="14.25" customHeight="1" x14ac:dyDescent="0.2">
      <c r="B385" s="27" t="s">
        <v>13</v>
      </c>
      <c r="C385" s="30"/>
      <c r="D385" s="30"/>
      <c r="E385" s="31"/>
    </row>
    <row r="386" spans="2:5" ht="27.75" customHeight="1" x14ac:dyDescent="0.2">
      <c r="B386" s="27"/>
      <c r="C386" s="98" t="s">
        <v>20</v>
      </c>
      <c r="D386" s="99"/>
      <c r="E386" s="100"/>
    </row>
    <row r="387" spans="2:5" ht="27.75" customHeight="1" thickBot="1" x14ac:dyDescent="0.25">
      <c r="B387" s="34"/>
      <c r="C387" s="35"/>
      <c r="D387" s="35"/>
      <c r="E387" s="36"/>
    </row>
    <row r="388" spans="2:5" ht="27.75" customHeight="1" thickBot="1" x14ac:dyDescent="0.25"/>
    <row r="389" spans="2:5" ht="27.75" customHeight="1" thickBot="1" x14ac:dyDescent="0.25">
      <c r="B389" s="89" t="s">
        <v>35</v>
      </c>
      <c r="C389" s="90"/>
      <c r="D389" s="90"/>
      <c r="E389" s="91"/>
    </row>
    <row r="390" spans="2:5" ht="27.75" customHeight="1" x14ac:dyDescent="0.2">
      <c r="B390" s="27" t="s">
        <v>9</v>
      </c>
      <c r="C390" s="9"/>
      <c r="D390" s="9"/>
      <c r="E390" s="28"/>
    </row>
    <row r="391" spans="2:5" ht="144" customHeight="1" x14ac:dyDescent="0.2">
      <c r="B391" s="27"/>
      <c r="C391" s="95" t="s">
        <v>76</v>
      </c>
      <c r="D391" s="96"/>
      <c r="E391" s="97"/>
    </row>
    <row r="392" spans="2:5" ht="21.75" customHeight="1" x14ac:dyDescent="0.2">
      <c r="B392" s="27" t="s">
        <v>10</v>
      </c>
      <c r="C392" s="9"/>
      <c r="D392" s="9"/>
      <c r="E392" s="28"/>
    </row>
    <row r="393" spans="2:5" ht="105" customHeight="1" x14ac:dyDescent="0.2">
      <c r="B393" s="29"/>
      <c r="C393" s="95" t="s">
        <v>70</v>
      </c>
      <c r="D393" s="96"/>
      <c r="E393" s="97"/>
    </row>
    <row r="394" spans="2:5" ht="15.75" customHeight="1" x14ac:dyDescent="0.2">
      <c r="B394" s="27" t="s">
        <v>11</v>
      </c>
      <c r="C394" s="30"/>
      <c r="D394" s="30"/>
      <c r="E394" s="31"/>
    </row>
    <row r="395" spans="2:5" ht="15" customHeight="1" x14ac:dyDescent="0.2">
      <c r="B395" s="29"/>
      <c r="C395" s="101"/>
      <c r="D395" s="102"/>
      <c r="E395" s="103"/>
    </row>
    <row r="396" spans="2:5" ht="25.5" customHeight="1" x14ac:dyDescent="0.2">
      <c r="B396" s="27" t="s">
        <v>12</v>
      </c>
      <c r="C396" s="32"/>
      <c r="D396" s="32"/>
      <c r="E396" s="33"/>
    </row>
    <row r="397" spans="2:5" ht="15" customHeight="1" x14ac:dyDescent="0.2">
      <c r="B397" s="29"/>
      <c r="C397" s="95" t="s">
        <v>58</v>
      </c>
      <c r="D397" s="99"/>
      <c r="E397" s="100"/>
    </row>
    <row r="398" spans="2:5" ht="15" customHeight="1" x14ac:dyDescent="0.2">
      <c r="B398" s="27" t="s">
        <v>13</v>
      </c>
      <c r="C398" s="30"/>
      <c r="D398" s="30"/>
      <c r="E398" s="31"/>
    </row>
    <row r="399" spans="2:5" ht="15" customHeight="1" x14ac:dyDescent="0.2">
      <c r="B399" s="27"/>
      <c r="C399" s="98" t="s">
        <v>20</v>
      </c>
      <c r="D399" s="99"/>
      <c r="E399" s="100"/>
    </row>
    <row r="400" spans="2:5" ht="15" customHeight="1" thickBot="1" x14ac:dyDescent="0.25">
      <c r="B400" s="34"/>
      <c r="C400" s="35"/>
      <c r="D400" s="35"/>
      <c r="E400" s="36"/>
    </row>
    <row r="401" ht="27.75" customHeight="1" x14ac:dyDescent="0.2"/>
    <row r="402" ht="27.75" customHeight="1" x14ac:dyDescent="0.2"/>
    <row r="403" ht="12.75" customHeight="1" x14ac:dyDescent="0.2"/>
    <row r="404" ht="27.75" customHeight="1" x14ac:dyDescent="0.2"/>
    <row r="405" ht="118.5" customHeight="1" x14ac:dyDescent="0.2"/>
    <row r="406" ht="27.75" customHeight="1" x14ac:dyDescent="0.2"/>
    <row r="407" ht="27.75" customHeight="1" x14ac:dyDescent="0.2"/>
    <row r="408" ht="17.25" customHeight="1" x14ac:dyDescent="0.2"/>
    <row r="409" ht="17.25" customHeight="1" x14ac:dyDescent="0.2"/>
    <row r="410" ht="17.25" customHeight="1" x14ac:dyDescent="0.2"/>
    <row r="411" ht="17.25" customHeight="1" x14ac:dyDescent="0.2"/>
    <row r="412" ht="17.25" customHeight="1" x14ac:dyDescent="0.2"/>
    <row r="413" ht="17.25" customHeight="1" x14ac:dyDescent="0.2"/>
    <row r="414" ht="17.25" customHeight="1" x14ac:dyDescent="0.2"/>
    <row r="415" ht="17.25" customHeight="1" x14ac:dyDescent="0.2"/>
    <row r="416" ht="27.75" customHeight="1" x14ac:dyDescent="0.2"/>
    <row r="417" ht="27.75" customHeight="1" x14ac:dyDescent="0.2"/>
    <row r="418" ht="27.75" customHeight="1" x14ac:dyDescent="0.2"/>
    <row r="419" ht="27.75" customHeight="1" x14ac:dyDescent="0.2"/>
    <row r="420" ht="27.75" customHeight="1" x14ac:dyDescent="0.2"/>
    <row r="430" ht="27.75" customHeight="1" x14ac:dyDescent="0.2"/>
    <row r="431" ht="27.75" customHeight="1" x14ac:dyDescent="0.2"/>
    <row r="432" ht="27.75" customHeight="1" x14ac:dyDescent="0.2"/>
    <row r="433" ht="27.75" customHeight="1" x14ac:dyDescent="0.2"/>
    <row r="434" ht="27.75" customHeight="1" x14ac:dyDescent="0.2"/>
    <row r="435" ht="27.75" customHeight="1" x14ac:dyDescent="0.2"/>
    <row r="444" ht="27.75" customHeight="1" x14ac:dyDescent="0.2"/>
    <row r="445" ht="27.75" customHeight="1" x14ac:dyDescent="0.2"/>
    <row r="446" ht="27.75" customHeight="1" x14ac:dyDescent="0.2"/>
    <row r="447" ht="27.75" customHeight="1" x14ac:dyDescent="0.2"/>
    <row r="448" ht="27.75" customHeight="1" x14ac:dyDescent="0.2"/>
    <row r="449" ht="27.75" customHeight="1" x14ac:dyDescent="0.2"/>
    <row r="450" ht="27.75" customHeight="1" x14ac:dyDescent="0.2"/>
    <row r="451" ht="27.75" customHeight="1" x14ac:dyDescent="0.2"/>
    <row r="452" ht="27.75" customHeight="1" x14ac:dyDescent="0.2"/>
    <row r="453" ht="27.75" customHeight="1" x14ac:dyDescent="0.2"/>
    <row r="454" ht="27.75" customHeight="1" x14ac:dyDescent="0.2"/>
    <row r="457" ht="94.5" customHeight="1" x14ac:dyDescent="0.2"/>
    <row r="459" ht="42.75" customHeight="1" x14ac:dyDescent="0.2"/>
    <row r="470" ht="70.5" customHeight="1" x14ac:dyDescent="0.2"/>
    <row r="472" ht="58.5" customHeight="1" x14ac:dyDescent="0.2"/>
    <row r="483" ht="57" customHeight="1" x14ac:dyDescent="0.2"/>
    <row r="485" ht="48.75" customHeight="1" x14ac:dyDescent="0.2"/>
    <row r="496" ht="64.5" customHeight="1" x14ac:dyDescent="0.2"/>
    <row r="498" ht="34.5" customHeight="1" x14ac:dyDescent="0.2"/>
    <row r="509" ht="75.75" customHeight="1" x14ac:dyDescent="0.2"/>
    <row r="511" ht="33" customHeight="1" x14ac:dyDescent="0.2"/>
    <row r="522" ht="72" customHeight="1" x14ac:dyDescent="0.2"/>
    <row r="524" ht="45" customHeight="1" x14ac:dyDescent="0.2"/>
    <row r="537" ht="46.5" customHeight="1" x14ac:dyDescent="0.2"/>
    <row r="550" ht="44.25" customHeight="1" x14ac:dyDescent="0.2"/>
    <row r="563" ht="39" customHeight="1" x14ac:dyDescent="0.2"/>
    <row r="576" ht="34.5" customHeight="1" x14ac:dyDescent="0.2"/>
    <row r="589" ht="46.5" customHeight="1" x14ac:dyDescent="0.2"/>
    <row r="602" ht="48.75" customHeight="1" x14ac:dyDescent="0.2"/>
    <row r="615" ht="35.25" customHeight="1" x14ac:dyDescent="0.2"/>
    <row r="626" ht="66" customHeight="1" x14ac:dyDescent="0.2"/>
    <row r="628" ht="27" customHeight="1" x14ac:dyDescent="0.2"/>
    <row r="639" ht="36.75" customHeight="1" x14ac:dyDescent="0.2"/>
    <row r="641" ht="44.25" customHeight="1" x14ac:dyDescent="0.2"/>
    <row r="652" ht="21" customHeight="1" x14ac:dyDescent="0.2"/>
    <row r="654" ht="42.75" customHeight="1" x14ac:dyDescent="0.2"/>
    <row r="665" ht="111.75" customHeight="1" x14ac:dyDescent="0.2"/>
    <row r="667" ht="35.25" customHeight="1" x14ac:dyDescent="0.2"/>
    <row r="678" ht="34.5" customHeight="1" x14ac:dyDescent="0.2"/>
    <row r="680" ht="36.75" customHeight="1" x14ac:dyDescent="0.2"/>
    <row r="693" ht="66" customHeight="1" x14ac:dyDescent="0.2"/>
    <row r="706" ht="36.75" customHeight="1" x14ac:dyDescent="0.2"/>
    <row r="717" ht="64.5" customHeight="1" x14ac:dyDescent="0.2"/>
    <row r="719" ht="38.25" customHeight="1" x14ac:dyDescent="0.2"/>
    <row r="730" ht="22.5" customHeight="1" x14ac:dyDescent="0.2"/>
    <row r="732" ht="50.25" customHeight="1" x14ac:dyDescent="0.2"/>
    <row r="743" ht="28.5" customHeight="1" x14ac:dyDescent="0.2"/>
    <row r="745" ht="54.75" customHeight="1" x14ac:dyDescent="0.2"/>
    <row r="756" ht="54" customHeight="1" x14ac:dyDescent="0.2"/>
    <row r="758" ht="28.5" customHeight="1" x14ac:dyDescent="0.2"/>
    <row r="769" ht="30.75" customHeight="1" x14ac:dyDescent="0.2"/>
    <row r="771" ht="41.25" customHeight="1" x14ac:dyDescent="0.2"/>
    <row r="782" ht="125.25" customHeight="1" x14ac:dyDescent="0.2"/>
    <row r="784" ht="35.25" customHeight="1" x14ac:dyDescent="0.2"/>
    <row r="795" ht="147.75" customHeight="1" x14ac:dyDescent="0.2"/>
    <row r="797" ht="58.5" customHeight="1" x14ac:dyDescent="0.2"/>
    <row r="808" ht="30.75" customHeight="1" x14ac:dyDescent="0.2"/>
    <row r="810" ht="48" customHeight="1" x14ac:dyDescent="0.2"/>
    <row r="821" ht="144" customHeight="1" x14ac:dyDescent="0.2"/>
    <row r="823" ht="48.75" customHeight="1" x14ac:dyDescent="0.2"/>
    <row r="834" ht="126.75" customHeight="1" x14ac:dyDescent="0.2"/>
    <row r="836" ht="50.25" customHeight="1" x14ac:dyDescent="0.2"/>
    <row r="847" ht="54" customHeight="1" x14ac:dyDescent="0.2"/>
    <row r="849" ht="50.25" customHeight="1" x14ac:dyDescent="0.2"/>
    <row r="860" ht="98.25" customHeight="1" x14ac:dyDescent="0.2"/>
    <row r="862" ht="56.25" customHeight="1" x14ac:dyDescent="0.2"/>
    <row r="873" ht="42.75" customHeight="1" x14ac:dyDescent="0.2"/>
    <row r="875" ht="68.25" customHeight="1" x14ac:dyDescent="0.2"/>
    <row r="886" ht="107.25" customHeight="1" x14ac:dyDescent="0.2"/>
    <row r="888" ht="50.25" customHeight="1" x14ac:dyDescent="0.2"/>
    <row r="899" ht="96" customHeight="1" x14ac:dyDescent="0.2"/>
    <row r="901" ht="54" customHeight="1" x14ac:dyDescent="0.2"/>
    <row r="912" ht="102" customHeight="1" x14ac:dyDescent="0.2"/>
    <row r="914" ht="57" customHeight="1" x14ac:dyDescent="0.2"/>
    <row r="925" ht="70.5" customHeight="1" x14ac:dyDescent="0.2"/>
    <row r="927" ht="56.25" customHeight="1" x14ac:dyDescent="0.2"/>
    <row r="938" ht="85.5" customHeight="1" x14ac:dyDescent="0.2"/>
    <row r="940" ht="74.25" customHeight="1" x14ac:dyDescent="0.2"/>
    <row r="951" ht="68.25" customHeight="1" x14ac:dyDescent="0.2"/>
    <row r="953" ht="39" customHeight="1" x14ac:dyDescent="0.2"/>
    <row r="964" ht="78" customHeight="1" x14ac:dyDescent="0.2"/>
    <row r="966" ht="54" customHeight="1" x14ac:dyDescent="0.2"/>
    <row r="977" ht="62.25" customHeight="1" x14ac:dyDescent="0.2"/>
    <row r="979" ht="34.5" customHeight="1" x14ac:dyDescent="0.2"/>
    <row r="990" ht="44.25" customHeight="1" x14ac:dyDescent="0.2"/>
    <row r="992" ht="54.75" customHeight="1" x14ac:dyDescent="0.2"/>
    <row r="1003" ht="56.25" customHeight="1" x14ac:dyDescent="0.2"/>
    <row r="1005" ht="76.5" customHeight="1" x14ac:dyDescent="0.2"/>
    <row r="1009" ht="23.25" customHeight="1" x14ac:dyDescent="0.2"/>
    <row r="1016" ht="46.5" customHeight="1" x14ac:dyDescent="0.2"/>
    <row r="1018" ht="48" customHeight="1" x14ac:dyDescent="0.2"/>
    <row r="1031" ht="48" customHeight="1" x14ac:dyDescent="0.2"/>
    <row r="1042" ht="26.25" customHeight="1" x14ac:dyDescent="0.2"/>
    <row r="1044" ht="46.5" customHeight="1" x14ac:dyDescent="0.2"/>
    <row r="1055" ht="29.25" customHeight="1" x14ac:dyDescent="0.2"/>
    <row r="1057" ht="48" customHeight="1" x14ac:dyDescent="0.2"/>
    <row r="1068" ht="41.25" customHeight="1" x14ac:dyDescent="0.2"/>
    <row r="1070" ht="45" customHeight="1" x14ac:dyDescent="0.2"/>
    <row r="1081" ht="28.5" customHeight="1" x14ac:dyDescent="0.2"/>
    <row r="1094" ht="24.75" customHeight="1" x14ac:dyDescent="0.2"/>
    <row r="1096" ht="46.5" customHeight="1" x14ac:dyDescent="0.2"/>
    <row r="1109" ht="45" customHeight="1" x14ac:dyDescent="0.2"/>
    <row r="1120" ht="26.25" customHeight="1" x14ac:dyDescent="0.2"/>
    <row r="1122" ht="45" customHeight="1" x14ac:dyDescent="0.2"/>
    <row r="1133" ht="18.75" customHeight="1" x14ac:dyDescent="0.2"/>
    <row r="1135" ht="48.75" customHeight="1" x14ac:dyDescent="0.2"/>
    <row r="1148" ht="66" customHeight="1" x14ac:dyDescent="0.2"/>
    <row r="1161" ht="45" customHeight="1" x14ac:dyDescent="0.2"/>
    <row r="1174" ht="40.5" customHeight="1" x14ac:dyDescent="0.2"/>
    <row r="1187" ht="46.5" customHeight="1" x14ac:dyDescent="0.2"/>
    <row r="1200" ht="48.75" customHeight="1" x14ac:dyDescent="0.2"/>
    <row r="1211" ht="19.5" customHeight="1" x14ac:dyDescent="0.2"/>
    <row r="1213" ht="56.25" customHeight="1" x14ac:dyDescent="0.2"/>
    <row r="1224" ht="24.75" customHeight="1" x14ac:dyDescent="0.2"/>
    <row r="1226" ht="47.25" customHeight="1" x14ac:dyDescent="0.2"/>
    <row r="1239" ht="44.25" customHeight="1" x14ac:dyDescent="0.2"/>
    <row r="1252" ht="57" customHeight="1" x14ac:dyDescent="0.2"/>
    <row r="1265" ht="48" customHeight="1" x14ac:dyDescent="0.2"/>
    <row r="1278" ht="54" customHeight="1" x14ac:dyDescent="0.2"/>
    <row r="1291" ht="50.25" customHeight="1" x14ac:dyDescent="0.2"/>
    <row r="1302" ht="19.5" customHeight="1" x14ac:dyDescent="0.2"/>
    <row r="1304" ht="40.5" customHeight="1" x14ac:dyDescent="0.2"/>
    <row r="1315" ht="28.5" customHeight="1" x14ac:dyDescent="0.2"/>
    <row r="1317" ht="48" customHeight="1" x14ac:dyDescent="0.2"/>
    <row r="1330" ht="41.25" customHeight="1" x14ac:dyDescent="0.2"/>
    <row r="1343" ht="44.25" customHeight="1" x14ac:dyDescent="0.2"/>
    <row r="1356" ht="54.75" customHeight="1" x14ac:dyDescent="0.2"/>
    <row r="1369" ht="36" customHeight="1" x14ac:dyDescent="0.2"/>
    <row r="1373" ht="24.75" customHeight="1" x14ac:dyDescent="0.2"/>
    <row r="1380" ht="23.25" customHeight="1" x14ac:dyDescent="0.2"/>
    <row r="1382" ht="40.5" customHeight="1" x14ac:dyDescent="0.2"/>
    <row r="1395" ht="62.25" customHeight="1" x14ac:dyDescent="0.2"/>
    <row r="1406" ht="23.25" customHeight="1" x14ac:dyDescent="0.2"/>
    <row r="1408" ht="52.5" customHeight="1" x14ac:dyDescent="0.2"/>
    <row r="1421" ht="41.25" customHeight="1" x14ac:dyDescent="0.2"/>
    <row r="1458" ht="34.5" customHeight="1" x14ac:dyDescent="0.2"/>
    <row r="1460" ht="57" customHeight="1" x14ac:dyDescent="0.2"/>
    <row r="1471" ht="66.75" customHeight="1" x14ac:dyDescent="0.2"/>
    <row r="1473" ht="46.5" customHeight="1" x14ac:dyDescent="0.2"/>
    <row r="1486" ht="62.25" customHeight="1" x14ac:dyDescent="0.2"/>
    <row r="1497" ht="69.75" customHeight="1" x14ac:dyDescent="0.2"/>
    <row r="1499" ht="48" customHeight="1" x14ac:dyDescent="0.2"/>
    <row r="1510" ht="64.5" customHeight="1" x14ac:dyDescent="0.2"/>
    <row r="1512" ht="52.5" customHeight="1" x14ac:dyDescent="0.2"/>
    <row r="1523" ht="234" customHeight="1" x14ac:dyDescent="0.2"/>
    <row r="1525" ht="68.25" customHeight="1" x14ac:dyDescent="0.2"/>
  </sheetData>
  <mergeCells count="104">
    <mergeCell ref="B194:E194"/>
    <mergeCell ref="C196:E196"/>
    <mergeCell ref="C198:E198"/>
    <mergeCell ref="A190:H190"/>
    <mergeCell ref="A6:B6"/>
    <mergeCell ref="B2:H2"/>
    <mergeCell ref="A7:B7"/>
    <mergeCell ref="A5:B5"/>
    <mergeCell ref="A4:B4"/>
    <mergeCell ref="C4:E4"/>
    <mergeCell ref="C5:E5"/>
    <mergeCell ref="C200:E200"/>
    <mergeCell ref="C202:E202"/>
    <mergeCell ref="C204:E204"/>
    <mergeCell ref="B207:E207"/>
    <mergeCell ref="C209:E209"/>
    <mergeCell ref="C211:E211"/>
    <mergeCell ref="C213:E213"/>
    <mergeCell ref="C215:E215"/>
    <mergeCell ref="C217:E217"/>
    <mergeCell ref="B220:E220"/>
    <mergeCell ref="C222:E222"/>
    <mergeCell ref="C224:E224"/>
    <mergeCell ref="C226:E226"/>
    <mergeCell ref="C228:E228"/>
    <mergeCell ref="C230:E230"/>
    <mergeCell ref="B233:E233"/>
    <mergeCell ref="C235:E235"/>
    <mergeCell ref="C237:E237"/>
    <mergeCell ref="B285:E285"/>
    <mergeCell ref="C287:E287"/>
    <mergeCell ref="C289:E289"/>
    <mergeCell ref="C239:E239"/>
    <mergeCell ref="C241:E241"/>
    <mergeCell ref="C243:E243"/>
    <mergeCell ref="B246:E246"/>
    <mergeCell ref="C248:E248"/>
    <mergeCell ref="C250:E250"/>
    <mergeCell ref="C252:E252"/>
    <mergeCell ref="C254:E254"/>
    <mergeCell ref="C256:E256"/>
    <mergeCell ref="C278:E278"/>
    <mergeCell ref="C280:E280"/>
    <mergeCell ref="C282:E282"/>
    <mergeCell ref="B259:E259"/>
    <mergeCell ref="C261:E261"/>
    <mergeCell ref="C263:E263"/>
    <mergeCell ref="C265:E265"/>
    <mergeCell ref="C267:E267"/>
    <mergeCell ref="C269:E269"/>
    <mergeCell ref="B272:E272"/>
    <mergeCell ref="C274:E274"/>
    <mergeCell ref="C276:E276"/>
    <mergeCell ref="C291:E291"/>
    <mergeCell ref="C293:E293"/>
    <mergeCell ref="C295:E295"/>
    <mergeCell ref="B298:E298"/>
    <mergeCell ref="C300:E300"/>
    <mergeCell ref="C302:E302"/>
    <mergeCell ref="C304:E304"/>
    <mergeCell ref="C306:E306"/>
    <mergeCell ref="C308:E308"/>
    <mergeCell ref="C399:E399"/>
    <mergeCell ref="B376:E376"/>
    <mergeCell ref="C378:E378"/>
    <mergeCell ref="C380:E380"/>
    <mergeCell ref="C382:E382"/>
    <mergeCell ref="C384:E384"/>
    <mergeCell ref="C386:E386"/>
    <mergeCell ref="C317:E317"/>
    <mergeCell ref="C319:E319"/>
    <mergeCell ref="C321:E321"/>
    <mergeCell ref="B324:E324"/>
    <mergeCell ref="C326:E326"/>
    <mergeCell ref="C328:E328"/>
    <mergeCell ref="C369:E369"/>
    <mergeCell ref="C371:E371"/>
    <mergeCell ref="B350:E350"/>
    <mergeCell ref="C352:E352"/>
    <mergeCell ref="C354:E354"/>
    <mergeCell ref="B311:E311"/>
    <mergeCell ref="C313:E313"/>
    <mergeCell ref="C315:E315"/>
    <mergeCell ref="C373:E373"/>
    <mergeCell ref="B389:E389"/>
    <mergeCell ref="C391:E391"/>
    <mergeCell ref="C393:E393"/>
    <mergeCell ref="C395:E395"/>
    <mergeCell ref="C397:E397"/>
    <mergeCell ref="C330:E330"/>
    <mergeCell ref="C332:E332"/>
    <mergeCell ref="C334:E334"/>
    <mergeCell ref="B337:E337"/>
    <mergeCell ref="C339:E339"/>
    <mergeCell ref="C341:E341"/>
    <mergeCell ref="C343:E343"/>
    <mergeCell ref="C345:E345"/>
    <mergeCell ref="C347:E347"/>
    <mergeCell ref="C356:E356"/>
    <mergeCell ref="C358:E358"/>
    <mergeCell ref="C360:E360"/>
    <mergeCell ref="B363:E363"/>
    <mergeCell ref="C365:E365"/>
    <mergeCell ref="C367:E367"/>
  </mergeCells>
  <pageMargins left="0.7" right="0.7" top="0.75" bottom="0.75" header="0" footer="0"/>
  <pageSetup paperSize="190" scale="4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8"/>
  <sheetViews>
    <sheetView topLeftCell="A19" workbookViewId="0">
      <selection activeCell="C26" sqref="C26:G26"/>
    </sheetView>
  </sheetViews>
  <sheetFormatPr baseColWidth="10" defaultRowHeight="12.75" x14ac:dyDescent="0.2"/>
  <cols>
    <col min="1" max="1" width="5.7109375" customWidth="1"/>
    <col min="2" max="2" width="15.5703125" customWidth="1"/>
    <col min="4" max="4" width="26.28515625" customWidth="1"/>
    <col min="7" max="7" width="23.28515625" customWidth="1"/>
    <col min="9" max="9" width="15.7109375" customWidth="1"/>
    <col min="10" max="10" width="14.85546875" customWidth="1"/>
  </cols>
  <sheetData>
    <row r="1" spans="1:11" ht="16.5" thickBot="1" x14ac:dyDescent="0.25">
      <c r="A1" s="118" t="s">
        <v>77</v>
      </c>
      <c r="B1" s="118"/>
      <c r="C1" s="118"/>
      <c r="D1" s="118"/>
      <c r="E1" s="118"/>
      <c r="F1" s="118"/>
      <c r="G1" s="118"/>
      <c r="H1" s="118"/>
      <c r="I1" s="118"/>
      <c r="J1" s="55" t="s">
        <v>78</v>
      </c>
      <c r="K1" s="60" t="s">
        <v>122</v>
      </c>
    </row>
    <row r="2" spans="1:11" ht="16.5" thickBot="1" x14ac:dyDescent="0.25">
      <c r="A2" s="56"/>
      <c r="B2" s="56"/>
      <c r="C2" s="56"/>
      <c r="D2" s="57"/>
      <c r="E2" s="57"/>
      <c r="F2" s="57"/>
      <c r="G2" s="57"/>
      <c r="H2" s="57"/>
      <c r="I2" s="57"/>
      <c r="J2" s="57"/>
      <c r="K2" s="57"/>
    </row>
    <row r="3" spans="1:11" ht="16.5" thickBot="1" x14ac:dyDescent="0.25">
      <c r="A3" s="119" t="s">
        <v>79</v>
      </c>
      <c r="B3" s="119"/>
      <c r="C3" s="119"/>
      <c r="D3" s="120" t="s">
        <v>14</v>
      </c>
      <c r="E3" s="120"/>
      <c r="F3" s="120"/>
      <c r="G3" s="120"/>
      <c r="H3" s="120"/>
      <c r="I3" s="120"/>
      <c r="J3" s="120"/>
      <c r="K3" s="120"/>
    </row>
    <row r="4" spans="1:11" ht="16.5" thickBot="1" x14ac:dyDescent="0.25">
      <c r="A4" s="121" t="s">
        <v>80</v>
      </c>
      <c r="B4" s="121"/>
      <c r="C4" s="121"/>
      <c r="D4" s="120" t="s">
        <v>15</v>
      </c>
      <c r="E4" s="120"/>
      <c r="F4" s="120"/>
      <c r="G4" s="120"/>
      <c r="H4" s="120"/>
      <c r="I4" s="120"/>
      <c r="J4" s="120"/>
      <c r="K4" s="120"/>
    </row>
    <row r="5" spans="1:11" ht="16.5" thickBot="1" x14ac:dyDescent="0.25">
      <c r="A5" s="121" t="s">
        <v>81</v>
      </c>
      <c r="B5" s="121"/>
      <c r="C5" s="121"/>
      <c r="D5" s="120" t="s">
        <v>123</v>
      </c>
      <c r="E5" s="120"/>
      <c r="F5" s="120"/>
      <c r="G5" s="120"/>
      <c r="H5" s="120"/>
      <c r="I5" s="120"/>
      <c r="J5" s="120"/>
      <c r="K5" s="120"/>
    </row>
    <row r="6" spans="1:11" ht="16.5" thickBot="1" x14ac:dyDescent="0.25">
      <c r="A6" s="119" t="s">
        <v>82</v>
      </c>
      <c r="B6" s="119"/>
      <c r="C6" s="119"/>
      <c r="D6" s="120" t="s">
        <v>83</v>
      </c>
      <c r="E6" s="120"/>
      <c r="F6" s="120"/>
      <c r="G6" s="120"/>
      <c r="H6" s="120"/>
      <c r="I6" s="120"/>
      <c r="J6" s="120"/>
      <c r="K6" s="120"/>
    </row>
    <row r="7" spans="1:11" ht="16.5" thickBot="1" x14ac:dyDescent="0.25">
      <c r="A7" s="121" t="s">
        <v>84</v>
      </c>
      <c r="B7" s="121"/>
      <c r="C7" s="121"/>
      <c r="D7" s="120" t="s">
        <v>119</v>
      </c>
      <c r="E7" s="120"/>
      <c r="F7" s="120"/>
      <c r="G7" s="120"/>
      <c r="H7" s="120"/>
      <c r="I7" s="120"/>
      <c r="J7" s="120"/>
      <c r="K7" s="120"/>
    </row>
    <row r="8" spans="1:11" ht="33" customHeight="1" thickBot="1" x14ac:dyDescent="0.25">
      <c r="A8" s="124" t="s">
        <v>85</v>
      </c>
      <c r="B8" s="124"/>
      <c r="C8" s="124"/>
      <c r="D8" s="125" t="s">
        <v>125</v>
      </c>
      <c r="E8" s="125"/>
      <c r="F8" s="125"/>
      <c r="G8" s="125"/>
      <c r="H8" s="125"/>
      <c r="I8" s="125"/>
      <c r="J8" s="125"/>
      <c r="K8" s="125"/>
    </row>
    <row r="9" spans="1:11" ht="16.5" thickBot="1" x14ac:dyDescent="0.25">
      <c r="A9" s="58"/>
      <c r="B9" s="58"/>
      <c r="C9" s="58"/>
      <c r="D9" s="59"/>
      <c r="E9" s="59"/>
      <c r="F9" s="59"/>
      <c r="G9" s="59"/>
      <c r="H9" s="59"/>
      <c r="I9" s="59"/>
      <c r="J9" s="59"/>
      <c r="K9" s="59"/>
    </row>
    <row r="10" spans="1:11" ht="13.5" thickBot="1" x14ac:dyDescent="0.25">
      <c r="A10" s="126" t="s">
        <v>86</v>
      </c>
      <c r="B10" s="127" t="s">
        <v>87</v>
      </c>
      <c r="C10" s="127" t="s">
        <v>88</v>
      </c>
      <c r="D10" s="127"/>
      <c r="E10" s="127"/>
      <c r="F10" s="127"/>
      <c r="G10" s="127"/>
      <c r="H10" s="127" t="s">
        <v>89</v>
      </c>
      <c r="I10" s="127" t="s">
        <v>90</v>
      </c>
      <c r="J10" s="127" t="s">
        <v>91</v>
      </c>
      <c r="K10" s="128" t="s">
        <v>92</v>
      </c>
    </row>
    <row r="11" spans="1:11" ht="13.5" thickBot="1" x14ac:dyDescent="0.25">
      <c r="A11" s="126"/>
      <c r="B11" s="127"/>
      <c r="C11" s="127"/>
      <c r="D11" s="127"/>
      <c r="E11" s="127"/>
      <c r="F11" s="127"/>
      <c r="G11" s="127"/>
      <c r="H11" s="127"/>
      <c r="I11" s="127"/>
      <c r="J11" s="127"/>
      <c r="K11" s="128"/>
    </row>
    <row r="12" spans="1:11" ht="30" customHeight="1" thickBot="1" x14ac:dyDescent="0.25">
      <c r="A12" s="61">
        <v>1</v>
      </c>
      <c r="B12" s="62" t="str">
        <f>'Necesidades Trimestrales'!B174</f>
        <v>4.3.5-8922.8</v>
      </c>
      <c r="C12" s="117" t="str">
        <f>'Necesidades Trimestrales'!E174</f>
        <v>JUEGOS DE SALON; TIPO: CONSOLA DE VIDEOJUEGOS</v>
      </c>
      <c r="D12" s="117"/>
      <c r="E12" s="117"/>
      <c r="F12" s="117"/>
      <c r="G12" s="117"/>
      <c r="H12" s="63" t="s">
        <v>93</v>
      </c>
      <c r="I12" s="64" t="s">
        <v>5</v>
      </c>
      <c r="J12" s="65">
        <f>'Necesidades Trimestrales'!H174</f>
        <v>185000</v>
      </c>
      <c r="K12" s="66">
        <f>'Necesidades Trimestrales'!G174</f>
        <v>3</v>
      </c>
    </row>
    <row r="13" spans="1:11" ht="30" customHeight="1" thickBot="1" x14ac:dyDescent="0.25">
      <c r="A13" s="61">
        <v>2</v>
      </c>
      <c r="B13" s="62" t="str">
        <f>'Necesidades Trimestrales'!B175</f>
        <v>4.3.5-9163.64</v>
      </c>
      <c r="C13" s="117" t="str">
        <f>'Necesidades Trimestrales'!E175</f>
        <v>EQUIPOS DIDACTICOS TECNICOS; NOMBRE: SISTEMA DE SONIDO, TIPO: ESTEREO</v>
      </c>
      <c r="D13" s="117"/>
      <c r="E13" s="117"/>
      <c r="F13" s="117"/>
      <c r="G13" s="117"/>
      <c r="H13" s="63" t="s">
        <v>93</v>
      </c>
      <c r="I13" s="64" t="s">
        <v>5</v>
      </c>
      <c r="J13" s="65">
        <f>'Necesidades Trimestrales'!H175</f>
        <v>10000</v>
      </c>
      <c r="K13" s="66">
        <f>'Necesidades Trimestrales'!G175</f>
        <v>4</v>
      </c>
    </row>
    <row r="14" spans="1:11" ht="30" customHeight="1" thickBot="1" x14ac:dyDescent="0.25">
      <c r="A14" s="61">
        <v>3</v>
      </c>
      <c r="B14" s="62" t="str">
        <f>'Necesidades Trimestrales'!B176</f>
        <v>4.3.7-46.128</v>
      </c>
      <c r="C14" s="117" t="str">
        <f>'Necesidades Trimestrales'!E176</f>
        <v>SILLONES EJECUTIVOS; TAPIZADO: ECOCUERO, ALTURA: REGULABLE, GIRATORIO: SI, MATERIAL: ACERO Y PLASTICO</v>
      </c>
      <c r="D14" s="117"/>
      <c r="E14" s="117"/>
      <c r="F14" s="117"/>
      <c r="G14" s="117"/>
      <c r="H14" s="63" t="s">
        <v>93</v>
      </c>
      <c r="I14" s="64" t="s">
        <v>5</v>
      </c>
      <c r="J14" s="65">
        <f>'Necesidades Trimestrales'!H176</f>
        <v>34800</v>
      </c>
      <c r="K14" s="66">
        <f>'Necesidades Trimestrales'!G176</f>
        <v>6</v>
      </c>
    </row>
    <row r="15" spans="1:11" ht="30" customHeight="1" thickBot="1" x14ac:dyDescent="0.25">
      <c r="A15" s="61">
        <v>4</v>
      </c>
      <c r="B15" s="62" t="str">
        <f>'Necesidades Trimestrales'!B177</f>
        <v>4.3.6-9707.20</v>
      </c>
      <c r="C15" s="117" t="str">
        <f>'Necesidades Trimestrales'!E177</f>
        <v>IMPRESORA 3D; TIPO: FDM, DIMENSION: 220 X 220 X 260 MM, RESOLUCION: SEGÚN PLIEGO, PRECISION: SEGÚN PLIEGO, ESPESOR CAPA: SEGÚN PLIEGO</v>
      </c>
      <c r="D15" s="117"/>
      <c r="E15" s="117"/>
      <c r="F15" s="117"/>
      <c r="G15" s="117"/>
      <c r="H15" s="63" t="s">
        <v>93</v>
      </c>
      <c r="I15" s="64" t="s">
        <v>5</v>
      </c>
      <c r="J15" s="65">
        <f>'Necesidades Trimestrales'!H177</f>
        <v>43200</v>
      </c>
      <c r="K15" s="66">
        <f>'Necesidades Trimestrales'!G177</f>
        <v>16</v>
      </c>
    </row>
    <row r="16" spans="1:11" ht="30" customHeight="1" thickBot="1" x14ac:dyDescent="0.25">
      <c r="A16" s="61">
        <v>5</v>
      </c>
      <c r="B16" s="62" t="str">
        <f>'Necesidades Trimestrales'!B178</f>
        <v>4.3.7-45.517</v>
      </c>
      <c r="C16" s="117" t="str">
        <f>'Necesidades Trimestrales'!E178</f>
        <v>SILLAS; MATERIAL ESTRUCTURA: METAL, TAPIZADO: SIN, ALTURA: 77 Cm, GIRATORIA: NO</v>
      </c>
      <c r="D16" s="117"/>
      <c r="E16" s="117"/>
      <c r="F16" s="117"/>
      <c r="G16" s="117"/>
      <c r="H16" s="63" t="s">
        <v>93</v>
      </c>
      <c r="I16" s="64" t="s">
        <v>5</v>
      </c>
      <c r="J16" s="65">
        <f>'Necesidades Trimestrales'!H178</f>
        <v>7900</v>
      </c>
      <c r="K16" s="66">
        <f>'Necesidades Trimestrales'!G178</f>
        <v>80</v>
      </c>
    </row>
    <row r="17" spans="1:11" ht="30" customHeight="1" thickBot="1" x14ac:dyDescent="0.25">
      <c r="A17" s="61">
        <v>6</v>
      </c>
      <c r="B17" s="62" t="str">
        <f>'Necesidades Trimestrales'!B179</f>
        <v>4.3.7-40.1320</v>
      </c>
      <c r="C17" s="117" t="str">
        <f>'Necesidades Trimestrales'!E179</f>
        <v>ESCRITORIOS; MATERIAL ESTRUCTURA: AGLOMERADO, TERMINACION: ENCHAPADO EN MELAMINA, DIM. DEL PLANO DE APOYO: 1,20 X 0,60 X 0,75 M, CANTIDAD DE CAJONES: 2</v>
      </c>
      <c r="D17" s="117"/>
      <c r="E17" s="117"/>
      <c r="F17" s="117"/>
      <c r="G17" s="117"/>
      <c r="H17" s="63" t="s">
        <v>93</v>
      </c>
      <c r="I17" s="64" t="s">
        <v>5</v>
      </c>
      <c r="J17" s="65">
        <f>'Necesidades Trimestrales'!H179</f>
        <v>15000</v>
      </c>
      <c r="K17" s="66">
        <f>'Necesidades Trimestrales'!G179</f>
        <v>8</v>
      </c>
    </row>
    <row r="18" spans="1:11" ht="30" customHeight="1" thickBot="1" x14ac:dyDescent="0.25">
      <c r="A18" s="61">
        <v>7</v>
      </c>
      <c r="B18" s="62" t="str">
        <f>'Necesidades Trimestrales'!B180</f>
        <v>4.3.7-1362.52</v>
      </c>
      <c r="C18" s="117" t="str">
        <f>'Necesidades Trimestrales'!E180</f>
        <v>MESAS CURVAS; CURVA: CIRCULAR, DIMENSION: DIAMETRO 120 Cm, MATERIAL: METAL, TERMINACION: FIBRA DE VIDRIO</v>
      </c>
      <c r="D18" s="117"/>
      <c r="E18" s="117"/>
      <c r="F18" s="117"/>
      <c r="G18" s="117"/>
      <c r="H18" s="63" t="s">
        <v>93</v>
      </c>
      <c r="I18" s="64" t="s">
        <v>5</v>
      </c>
      <c r="J18" s="65">
        <f>'Necesidades Trimestrales'!H180</f>
        <v>34500</v>
      </c>
      <c r="K18" s="66">
        <f>'Necesidades Trimestrales'!G180</f>
        <v>16</v>
      </c>
    </row>
    <row r="19" spans="1:11" ht="30" customHeight="1" thickBot="1" x14ac:dyDescent="0.25">
      <c r="A19" s="61">
        <v>8</v>
      </c>
      <c r="B19" s="62" t="str">
        <f>'Necesidades Trimestrales'!B181</f>
        <v>4.3.5-241.105</v>
      </c>
      <c r="C19" s="117" t="str">
        <f>'Necesidades Trimestrales'!E181</f>
        <v>TELEVISORES; PANTALLA: SMART LED FULL HD 60 pulg, NORMA: MULTINORMA, CANTIDAD DE CANALES: INDEFINIDO, APAGADO: CON, VISION MULTICANAL: CON</v>
      </c>
      <c r="D19" s="117"/>
      <c r="E19" s="117"/>
      <c r="F19" s="117"/>
      <c r="G19" s="117"/>
      <c r="H19" s="63" t="s">
        <v>93</v>
      </c>
      <c r="I19" s="64" t="s">
        <v>5</v>
      </c>
      <c r="J19" s="65">
        <f>'Necesidades Trimestrales'!H181</f>
        <v>110000</v>
      </c>
      <c r="K19" s="66">
        <f>'Necesidades Trimestrales'!G181</f>
        <v>4</v>
      </c>
    </row>
    <row r="20" spans="1:11" ht="30" customHeight="1" thickBot="1" x14ac:dyDescent="0.25">
      <c r="A20" s="61">
        <v>9</v>
      </c>
      <c r="B20" s="62" t="str">
        <f>'Necesidades Trimestrales'!B182</f>
        <v>4.3.7-56.26</v>
      </c>
      <c r="C20" s="117" t="str">
        <f>'Necesidades Trimestrales'!E182</f>
        <v>MESAS P/TELEVISORES; MATERIAL: AGLOMERADO, TAMAÑO: 110 X 110 X 60 Cm, PATAS: CON RUEDAS, ESTANTE: 2</v>
      </c>
      <c r="D20" s="117"/>
      <c r="E20" s="117"/>
      <c r="F20" s="117"/>
      <c r="G20" s="117"/>
      <c r="H20" s="63" t="s">
        <v>93</v>
      </c>
      <c r="I20" s="64" t="s">
        <v>5</v>
      </c>
      <c r="J20" s="65">
        <f>'Necesidades Trimestrales'!H182</f>
        <v>6200</v>
      </c>
      <c r="K20" s="66">
        <f>'Necesidades Trimestrales'!G182</f>
        <v>4</v>
      </c>
    </row>
    <row r="21" spans="1:11" ht="30" customHeight="1" thickBot="1" x14ac:dyDescent="0.25">
      <c r="A21" s="61">
        <v>10</v>
      </c>
      <c r="B21" s="62" t="str">
        <f>'Necesidades Trimestrales'!B183</f>
        <v>4.3.5-9163.90</v>
      </c>
      <c r="C21" s="117" t="str">
        <f>'Necesidades Trimestrales'!E183</f>
        <v>EQUIPOS DIDACTICOS TECNICOS; NOMBRE: KIT EXPERIMENTAL , TIPO: SEGÚN PLIEGO</v>
      </c>
      <c r="D21" s="117"/>
      <c r="E21" s="117"/>
      <c r="F21" s="117"/>
      <c r="G21" s="117"/>
      <c r="H21" s="63" t="s">
        <v>93</v>
      </c>
      <c r="I21" s="64" t="s">
        <v>5</v>
      </c>
      <c r="J21" s="65">
        <f>'Necesidades Trimestrales'!H183</f>
        <v>2200</v>
      </c>
      <c r="K21" s="66">
        <f>'Necesidades Trimestrales'!G183</f>
        <v>80</v>
      </c>
    </row>
    <row r="22" spans="1:11" ht="30" customHeight="1" thickBot="1" x14ac:dyDescent="0.25">
      <c r="A22" s="61">
        <v>11</v>
      </c>
      <c r="B22" s="62" t="str">
        <f>'Necesidades Trimestrales'!B184</f>
        <v>4.3.5-9163.90</v>
      </c>
      <c r="C22" s="117" t="str">
        <f>'Necesidades Trimestrales'!E184</f>
        <v>EQUIPOS DIDACTICOS TECNICOS; NOMBRE: KIT EXPERIMENTAL , TIPO: SEGÚN PLIEGO</v>
      </c>
      <c r="D22" s="117"/>
      <c r="E22" s="117"/>
      <c r="F22" s="117"/>
      <c r="G22" s="117"/>
      <c r="H22" s="63" t="s">
        <v>93</v>
      </c>
      <c r="I22" s="64" t="s">
        <v>5</v>
      </c>
      <c r="J22" s="65">
        <f>'Necesidades Trimestrales'!H184</f>
        <v>14999</v>
      </c>
      <c r="K22" s="66">
        <f>'Necesidades Trimestrales'!G184</f>
        <v>80</v>
      </c>
    </row>
    <row r="23" spans="1:11" ht="30" customHeight="1" thickBot="1" x14ac:dyDescent="0.25">
      <c r="A23" s="61">
        <v>12</v>
      </c>
      <c r="B23" s="62" t="str">
        <f>'Necesidades Trimestrales'!B185</f>
        <v>4.3.6-6160.222</v>
      </c>
      <c r="C23" s="117" t="str">
        <f>'Necesidades Trimestrales'!E185</f>
        <v>COMPUTADORAS; TIPO: NOTEBOOK, CODIGO ETAP: PC-007, VERSION ETAP: 23.0</v>
      </c>
      <c r="D23" s="117"/>
      <c r="E23" s="117"/>
      <c r="F23" s="117"/>
      <c r="G23" s="117"/>
      <c r="H23" s="63" t="s">
        <v>93</v>
      </c>
      <c r="I23" s="64" t="s">
        <v>5</v>
      </c>
      <c r="J23" s="65">
        <f>'Necesidades Trimestrales'!H185</f>
        <v>89999</v>
      </c>
      <c r="K23" s="66">
        <f>'Necesidades Trimestrales'!G185</f>
        <v>24</v>
      </c>
    </row>
    <row r="24" spans="1:11" ht="30" customHeight="1" thickBot="1" x14ac:dyDescent="0.25">
      <c r="A24" s="61">
        <v>13</v>
      </c>
      <c r="B24" s="62" t="str">
        <f>'Necesidades Trimestrales'!B186</f>
        <v>4.3.5-9163.76</v>
      </c>
      <c r="C24" s="117" t="str">
        <f>'Necesidades Trimestrales'!E186</f>
        <v>EQUIPOS DIDACTICOS TECNICOS; NOMBRE: ROBOT DIDACTICO, TIPO: 4 EJES</v>
      </c>
      <c r="D24" s="117"/>
      <c r="E24" s="117"/>
      <c r="F24" s="117"/>
      <c r="G24" s="117"/>
      <c r="H24" s="63" t="s">
        <v>93</v>
      </c>
      <c r="I24" s="64" t="s">
        <v>5</v>
      </c>
      <c r="J24" s="65">
        <f>'Necesidades Trimestrales'!H186</f>
        <v>11800</v>
      </c>
      <c r="K24" s="66">
        <f>'Necesidades Trimestrales'!G186</f>
        <v>8</v>
      </c>
    </row>
    <row r="25" spans="1:11" ht="30" customHeight="1" thickBot="1" x14ac:dyDescent="0.25">
      <c r="A25" s="61">
        <v>14</v>
      </c>
      <c r="B25" s="62" t="str">
        <f>'Necesidades Trimestrales'!B187</f>
        <v>4.3.5-9163.90</v>
      </c>
      <c r="C25" s="117" t="str">
        <f>'Necesidades Trimestrales'!E187</f>
        <v>EQUIPOS DIDACTICOS TECNICOS; NOMBRE: KIT EXPERIMENTAL , EQUIPOS DIDACTICOS TECNICOS; NOMBRE: KIT EXPERIMENTAL , TIPO: SEGÚN PLIEGO SEGÚN PLIEGO</v>
      </c>
      <c r="D25" s="117"/>
      <c r="E25" s="117"/>
      <c r="F25" s="117"/>
      <c r="G25" s="117"/>
      <c r="H25" s="63" t="s">
        <v>93</v>
      </c>
      <c r="I25" s="64" t="s">
        <v>5</v>
      </c>
      <c r="J25" s="65">
        <f>'Necesidades Trimestrales'!H187</f>
        <v>99000</v>
      </c>
      <c r="K25" s="66">
        <f>'Necesidades Trimestrales'!G187</f>
        <v>8</v>
      </c>
    </row>
    <row r="26" spans="1:11" ht="30" customHeight="1" thickBot="1" x14ac:dyDescent="0.25">
      <c r="A26" s="61">
        <v>15</v>
      </c>
      <c r="B26" s="62" t="str">
        <f>'Necesidades Trimestrales'!B188</f>
        <v>4.3.5-9163.90</v>
      </c>
      <c r="C26" s="117" t="str">
        <f>'Necesidades Trimestrales'!E188</f>
        <v>EQUIPOS DIDACTICOS TECNICOS; NOMBRE: KIT EXPERIMENTAL , TIPO: SEGÚN PLIEGO</v>
      </c>
      <c r="D26" s="117"/>
      <c r="E26" s="117"/>
      <c r="F26" s="117"/>
      <c r="G26" s="117"/>
      <c r="H26" s="63" t="s">
        <v>93</v>
      </c>
      <c r="I26" s="64" t="s">
        <v>5</v>
      </c>
      <c r="J26" s="65">
        <f>'Necesidades Trimestrales'!H188</f>
        <v>62140</v>
      </c>
      <c r="K26" s="66">
        <f>'Necesidades Trimestrales'!G188</f>
        <v>8</v>
      </c>
    </row>
    <row r="27" spans="1:11" ht="30" customHeight="1" thickBot="1" x14ac:dyDescent="0.25">
      <c r="A27" s="61">
        <v>16</v>
      </c>
      <c r="B27" s="62" t="str">
        <f>'Necesidades Trimestrales'!B189</f>
        <v>4.3.5-9163.90</v>
      </c>
      <c r="C27" s="117" t="str">
        <f>'Necesidades Trimestrales'!E189</f>
        <v>EQUIPOS DIDACTICOS TECNICOS; NOMBRE: KIT EXPERIMENTAL , TIPO: SEGÚN PLIEGO</v>
      </c>
      <c r="D27" s="117"/>
      <c r="E27" s="117"/>
      <c r="F27" s="117"/>
      <c r="G27" s="117"/>
      <c r="H27" s="63" t="s">
        <v>93</v>
      </c>
      <c r="I27" s="64" t="s">
        <v>5</v>
      </c>
      <c r="J27" s="65">
        <f>'Necesidades Trimestrales'!H189</f>
        <v>9800</v>
      </c>
      <c r="K27" s="66">
        <f>'Necesidades Trimestrales'!G189</f>
        <v>8</v>
      </c>
    </row>
    <row r="28" spans="1:11" ht="16.5" thickBot="1" x14ac:dyDescent="0.25">
      <c r="A28" s="122" t="s">
        <v>128</v>
      </c>
      <c r="B28" s="122"/>
      <c r="C28" s="122"/>
      <c r="D28" s="122"/>
      <c r="E28" s="122"/>
      <c r="F28" s="122"/>
      <c r="G28" s="122"/>
      <c r="H28" s="122"/>
      <c r="I28" s="122"/>
      <c r="J28" s="123">
        <f>SUMPRODUCT(J12:J27,K12:K27)</f>
        <v>8261616</v>
      </c>
      <c r="K28" s="123"/>
    </row>
  </sheetData>
  <mergeCells count="38">
    <mergeCell ref="C23:G23"/>
    <mergeCell ref="C24:G24"/>
    <mergeCell ref="C26:G26"/>
    <mergeCell ref="C25:G25"/>
    <mergeCell ref="A3:C3"/>
    <mergeCell ref="D3:K3"/>
    <mergeCell ref="A4:C4"/>
    <mergeCell ref="D4:K4"/>
    <mergeCell ref="A5:C5"/>
    <mergeCell ref="D5:K5"/>
    <mergeCell ref="C21:G21"/>
    <mergeCell ref="C22:G22"/>
    <mergeCell ref="C16:G16"/>
    <mergeCell ref="C17:G17"/>
    <mergeCell ref="C18:G18"/>
    <mergeCell ref="C19:G19"/>
    <mergeCell ref="A28:I28"/>
    <mergeCell ref="J28:K28"/>
    <mergeCell ref="C12:G12"/>
    <mergeCell ref="A8:C8"/>
    <mergeCell ref="D8:K8"/>
    <mergeCell ref="A10:A11"/>
    <mergeCell ref="B10:B11"/>
    <mergeCell ref="C10:G11"/>
    <mergeCell ref="H10:H11"/>
    <mergeCell ref="I10:I11"/>
    <mergeCell ref="J10:J11"/>
    <mergeCell ref="K10:K11"/>
    <mergeCell ref="C13:G13"/>
    <mergeCell ref="C14:G14"/>
    <mergeCell ref="C15:G15"/>
    <mergeCell ref="C27:G27"/>
    <mergeCell ref="C20:G20"/>
    <mergeCell ref="A1:I1"/>
    <mergeCell ref="A6:C6"/>
    <mergeCell ref="D6:K6"/>
    <mergeCell ref="A7:C7"/>
    <mergeCell ref="D7:K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8"/>
  <sheetViews>
    <sheetView topLeftCell="A13" zoomScale="136" zoomScaleNormal="136" workbookViewId="0">
      <selection activeCell="O15" sqref="O15:P15"/>
    </sheetView>
  </sheetViews>
  <sheetFormatPr baseColWidth="10" defaultRowHeight="12.75" x14ac:dyDescent="0.2"/>
  <cols>
    <col min="1" max="5" width="4.42578125" customWidth="1"/>
    <col min="6" max="6" width="5.42578125" customWidth="1"/>
    <col min="7" max="14" width="4.42578125" customWidth="1"/>
    <col min="15" max="15" width="15.28515625" customWidth="1"/>
    <col min="17" max="17" width="15" customWidth="1"/>
  </cols>
  <sheetData>
    <row r="1" spans="1:17" ht="15.75" thickBot="1" x14ac:dyDescent="0.3">
      <c r="A1" s="133" t="s">
        <v>3</v>
      </c>
      <c r="B1" s="133"/>
      <c r="C1" s="133"/>
      <c r="D1" s="134">
        <f>'[1]Necesidades Trimestrales'!C6</f>
        <v>2021</v>
      </c>
      <c r="E1" s="134"/>
      <c r="F1" s="54"/>
      <c r="G1" s="54"/>
      <c r="H1" s="52"/>
      <c r="I1" s="52"/>
      <c r="J1" s="52"/>
      <c r="K1" s="52"/>
      <c r="L1" s="52"/>
      <c r="M1" s="52"/>
      <c r="N1" s="52"/>
      <c r="O1" s="53"/>
      <c r="P1" s="135" t="s">
        <v>94</v>
      </c>
      <c r="Q1" s="135"/>
    </row>
    <row r="2" spans="1:17" ht="13.5" thickBot="1" x14ac:dyDescent="0.25">
      <c r="A2" s="53"/>
      <c r="B2" s="53"/>
      <c r="C2" s="53"/>
      <c r="D2" s="53"/>
      <c r="E2" s="53"/>
      <c r="F2" s="53"/>
      <c r="G2" s="67"/>
      <c r="H2" s="52"/>
      <c r="I2" s="52"/>
      <c r="J2" s="52"/>
      <c r="K2" s="52"/>
      <c r="L2" s="52"/>
      <c r="M2" s="52"/>
      <c r="N2" s="52"/>
      <c r="O2" s="53"/>
      <c r="P2" s="135"/>
      <c r="Q2" s="135"/>
    </row>
    <row r="3" spans="1:17" ht="13.5" thickBot="1" x14ac:dyDescent="0.25">
      <c r="A3" s="53"/>
      <c r="B3" s="53"/>
      <c r="C3" s="53"/>
      <c r="D3" s="53"/>
      <c r="E3" s="53"/>
      <c r="F3" s="53"/>
      <c r="G3" s="67"/>
      <c r="H3" s="53"/>
      <c r="I3" s="53"/>
      <c r="J3" s="53"/>
      <c r="K3" s="53"/>
      <c r="L3" s="53"/>
      <c r="M3" s="53"/>
      <c r="N3" s="53"/>
      <c r="O3" s="53"/>
      <c r="P3" s="53"/>
      <c r="Q3" s="53"/>
    </row>
    <row r="4" spans="1:17" ht="15" thickBot="1" x14ac:dyDescent="0.25">
      <c r="A4" s="136" t="s">
        <v>95</v>
      </c>
      <c r="B4" s="136"/>
      <c r="C4" s="136"/>
      <c r="D4" s="136"/>
      <c r="E4" s="136"/>
      <c r="F4" s="136"/>
      <c r="G4" s="132" t="str">
        <f>'[1] NotaPedido'!D3</f>
        <v>70 - MINISTERIO DE CIENCIA E INNOVACION TECNOLOGICA</v>
      </c>
      <c r="H4" s="132"/>
      <c r="I4" s="132"/>
      <c r="J4" s="132"/>
      <c r="K4" s="132"/>
      <c r="L4" s="132"/>
      <c r="M4" s="132"/>
      <c r="N4" s="132"/>
      <c r="O4" s="132"/>
      <c r="P4" s="132"/>
      <c r="Q4" s="132"/>
    </row>
    <row r="5" spans="1:17" ht="15" thickBot="1" x14ac:dyDescent="0.25">
      <c r="A5" s="129" t="s">
        <v>80</v>
      </c>
      <c r="B5" s="130"/>
      <c r="C5" s="130"/>
      <c r="D5" s="130"/>
      <c r="E5" s="130"/>
      <c r="F5" s="131"/>
      <c r="G5" s="132" t="str">
        <f>'[1] NotaPedido'!D4</f>
        <v>20 - MINISTERIO DE CIENCIA E INNOVACION TECNOLOGICA</v>
      </c>
      <c r="H5" s="132"/>
      <c r="I5" s="132"/>
      <c r="J5" s="132"/>
      <c r="K5" s="132"/>
      <c r="L5" s="132"/>
      <c r="M5" s="132"/>
      <c r="N5" s="132"/>
      <c r="O5" s="132"/>
      <c r="P5" s="132"/>
      <c r="Q5" s="132"/>
    </row>
    <row r="6" spans="1:17" ht="13.5" thickBot="1" x14ac:dyDescent="0.25">
      <c r="A6" s="129" t="s">
        <v>81</v>
      </c>
      <c r="B6" s="130"/>
      <c r="C6" s="130"/>
      <c r="D6" s="130"/>
      <c r="E6" s="130"/>
      <c r="F6" s="131"/>
      <c r="G6" s="139" t="s">
        <v>124</v>
      </c>
      <c r="H6" s="139"/>
      <c r="I6" s="139"/>
      <c r="J6" s="139"/>
      <c r="K6" s="139"/>
      <c r="L6" s="139"/>
      <c r="M6" s="139"/>
      <c r="N6" s="139"/>
      <c r="O6" s="139"/>
      <c r="P6" s="139"/>
      <c r="Q6" s="139"/>
    </row>
    <row r="7" spans="1:17" ht="13.5" thickBot="1" x14ac:dyDescent="0.25">
      <c r="A7" s="129" t="s">
        <v>82</v>
      </c>
      <c r="B7" s="130"/>
      <c r="C7" s="130"/>
      <c r="D7" s="130"/>
      <c r="E7" s="130"/>
      <c r="F7" s="131"/>
      <c r="G7" s="140" t="str">
        <f>'[1] NotaPedido'!D6</f>
        <v>DIRECCION PROVINCIAL DE GESTION ADMINISTRATIVA RECURSOS HUMANOS</v>
      </c>
      <c r="H7" s="140"/>
      <c r="I7" s="140"/>
      <c r="J7" s="140"/>
      <c r="K7" s="140"/>
      <c r="L7" s="140"/>
      <c r="M7" s="140"/>
      <c r="N7" s="140"/>
      <c r="O7" s="140"/>
      <c r="P7" s="140"/>
      <c r="Q7" s="140"/>
    </row>
    <row r="8" spans="1:17" ht="13.5" thickBot="1" x14ac:dyDescent="0.25">
      <c r="A8" s="141" t="s">
        <v>96</v>
      </c>
      <c r="B8" s="141"/>
      <c r="C8" s="141"/>
      <c r="D8" s="141"/>
      <c r="E8" s="141"/>
      <c r="F8" s="141"/>
      <c r="G8" s="141"/>
      <c r="H8" s="141"/>
      <c r="I8" s="141"/>
      <c r="J8" s="141"/>
      <c r="K8" s="141"/>
      <c r="L8" s="141"/>
      <c r="M8" s="141"/>
      <c r="N8" s="141"/>
      <c r="O8" s="141"/>
      <c r="P8" s="141"/>
      <c r="Q8" s="141"/>
    </row>
    <row r="9" spans="1:17" ht="21" customHeight="1" x14ac:dyDescent="0.2">
      <c r="A9" s="142" t="s">
        <v>97</v>
      </c>
      <c r="B9" s="142"/>
      <c r="C9" s="142"/>
      <c r="D9" s="142"/>
      <c r="E9" s="142"/>
      <c r="F9" s="142"/>
      <c r="G9" s="142"/>
      <c r="H9" s="142"/>
      <c r="I9" s="142"/>
      <c r="J9" s="142"/>
      <c r="K9" s="142"/>
      <c r="L9" s="142"/>
      <c r="M9" s="142"/>
      <c r="N9" s="142"/>
      <c r="O9" s="68"/>
      <c r="P9" s="68"/>
      <c r="Q9" s="69"/>
    </row>
    <row r="10" spans="1:17" ht="61.5" customHeight="1" x14ac:dyDescent="0.2">
      <c r="A10" s="143" t="s">
        <v>121</v>
      </c>
      <c r="B10" s="143"/>
      <c r="C10" s="143"/>
      <c r="D10" s="143"/>
      <c r="E10" s="143"/>
      <c r="F10" s="143"/>
      <c r="G10" s="143"/>
      <c r="H10" s="143"/>
      <c r="I10" s="143"/>
      <c r="J10" s="143"/>
      <c r="K10" s="143"/>
      <c r="L10" s="143"/>
      <c r="M10" s="143"/>
      <c r="N10" s="143"/>
      <c r="O10" s="143"/>
      <c r="P10" s="143"/>
      <c r="Q10" s="143"/>
    </row>
    <row r="11" spans="1:17" ht="3.75" customHeight="1" thickBot="1" x14ac:dyDescent="0.25">
      <c r="A11" s="70"/>
      <c r="B11" s="71"/>
      <c r="C11" s="71"/>
      <c r="D11" s="71"/>
      <c r="E11" s="71"/>
      <c r="F11" s="71"/>
      <c r="G11" s="72"/>
      <c r="H11" s="71"/>
      <c r="I11" s="71"/>
      <c r="J11" s="71"/>
      <c r="K11" s="71"/>
      <c r="L11" s="71"/>
      <c r="M11" s="71"/>
      <c r="N11" s="71"/>
      <c r="O11" s="71"/>
      <c r="P11" s="71"/>
      <c r="Q11" s="73"/>
    </row>
    <row r="12" spans="1:17" ht="18" customHeight="1" thickBot="1" x14ac:dyDescent="0.25">
      <c r="A12" s="144" t="s">
        <v>98</v>
      </c>
      <c r="B12" s="144"/>
      <c r="C12" s="144"/>
      <c r="D12" s="144"/>
      <c r="E12" s="144"/>
      <c r="F12" s="144"/>
      <c r="G12" s="144"/>
      <c r="H12" s="144"/>
      <c r="I12" s="144"/>
      <c r="J12" s="144"/>
      <c r="K12" s="144"/>
      <c r="L12" s="144"/>
      <c r="M12" s="144"/>
      <c r="N12" s="144"/>
      <c r="O12" s="144"/>
      <c r="P12" s="144"/>
      <c r="Q12" s="144"/>
    </row>
    <row r="13" spans="1:17" ht="17.25" customHeight="1" thickBot="1" x14ac:dyDescent="0.25">
      <c r="A13" s="145" t="s">
        <v>99</v>
      </c>
      <c r="B13" s="145"/>
      <c r="C13" s="145"/>
      <c r="D13" s="145"/>
      <c r="E13" s="145"/>
      <c r="F13" s="145"/>
      <c r="G13" s="145"/>
      <c r="H13" s="145"/>
      <c r="I13" s="145"/>
      <c r="J13" s="145"/>
      <c r="K13" s="145"/>
      <c r="L13" s="145"/>
      <c r="M13" s="145"/>
      <c r="N13" s="145"/>
      <c r="O13" s="146" t="s">
        <v>100</v>
      </c>
      <c r="P13" s="146"/>
      <c r="Q13" s="147" t="s">
        <v>101</v>
      </c>
    </row>
    <row r="14" spans="1:17" ht="20.25" customHeight="1" thickBot="1" x14ac:dyDescent="0.25">
      <c r="A14" s="74" t="s">
        <v>102</v>
      </c>
      <c r="B14" s="75" t="s">
        <v>103</v>
      </c>
      <c r="C14" s="75" t="s">
        <v>104</v>
      </c>
      <c r="D14" s="75" t="s">
        <v>105</v>
      </c>
      <c r="E14" s="75" t="s">
        <v>106</v>
      </c>
      <c r="F14" s="75" t="s">
        <v>107</v>
      </c>
      <c r="G14" s="76" t="s">
        <v>108</v>
      </c>
      <c r="H14" s="75" t="s">
        <v>109</v>
      </c>
      <c r="I14" s="75" t="s">
        <v>110</v>
      </c>
      <c r="J14" s="75" t="s">
        <v>111</v>
      </c>
      <c r="K14" s="75" t="s">
        <v>111</v>
      </c>
      <c r="L14" s="75" t="s">
        <v>112</v>
      </c>
      <c r="M14" s="77" t="s">
        <v>113</v>
      </c>
      <c r="N14" s="78" t="s">
        <v>114</v>
      </c>
      <c r="O14" s="146"/>
      <c r="P14" s="146"/>
      <c r="Q14" s="147"/>
    </row>
    <row r="15" spans="1:17" ht="24.95" customHeight="1" x14ac:dyDescent="0.2">
      <c r="A15" s="79">
        <v>2</v>
      </c>
      <c r="B15" s="79">
        <v>0</v>
      </c>
      <c r="C15" s="79">
        <v>0</v>
      </c>
      <c r="D15" s="79">
        <v>1</v>
      </c>
      <c r="E15" s="79">
        <v>0</v>
      </c>
      <c r="F15" s="79">
        <v>4901</v>
      </c>
      <c r="G15" s="79">
        <v>3</v>
      </c>
      <c r="H15" s="79">
        <v>5</v>
      </c>
      <c r="I15" s="80">
        <v>4</v>
      </c>
      <c r="J15" s="80">
        <v>3</v>
      </c>
      <c r="K15" s="80">
        <v>5</v>
      </c>
      <c r="L15" s="79">
        <v>0</v>
      </c>
      <c r="M15" s="79">
        <v>1</v>
      </c>
      <c r="N15" s="79" t="s">
        <v>115</v>
      </c>
      <c r="O15" s="137" t="s">
        <v>117</v>
      </c>
      <c r="P15" s="138"/>
      <c r="Q15" s="81">
        <v>3872840</v>
      </c>
    </row>
    <row r="16" spans="1:17" ht="24.95" customHeight="1" x14ac:dyDescent="0.2">
      <c r="A16" s="82">
        <v>3</v>
      </c>
      <c r="B16" s="82">
        <v>0</v>
      </c>
      <c r="C16" s="82">
        <v>0</v>
      </c>
      <c r="D16" s="82">
        <v>1</v>
      </c>
      <c r="E16" s="82">
        <v>0</v>
      </c>
      <c r="F16" s="82">
        <v>4901</v>
      </c>
      <c r="G16" s="82">
        <v>3</v>
      </c>
      <c r="H16" s="82">
        <v>5</v>
      </c>
      <c r="I16" s="83">
        <v>4</v>
      </c>
      <c r="J16" s="83">
        <v>3</v>
      </c>
      <c r="K16" s="83">
        <v>6</v>
      </c>
      <c r="L16" s="82">
        <v>0</v>
      </c>
      <c r="M16" s="82">
        <v>1</v>
      </c>
      <c r="N16" s="82" t="s">
        <v>115</v>
      </c>
      <c r="O16" s="150" t="s">
        <v>116</v>
      </c>
      <c r="P16" s="151"/>
      <c r="Q16" s="84">
        <v>2851176</v>
      </c>
    </row>
    <row r="17" spans="1:17" ht="24.95" customHeight="1" x14ac:dyDescent="0.2">
      <c r="A17" s="82">
        <v>3</v>
      </c>
      <c r="B17" s="82">
        <v>0</v>
      </c>
      <c r="C17" s="82">
        <v>0</v>
      </c>
      <c r="D17" s="82">
        <v>1</v>
      </c>
      <c r="E17" s="82">
        <v>0</v>
      </c>
      <c r="F17" s="82">
        <v>4901</v>
      </c>
      <c r="G17" s="82">
        <v>3</v>
      </c>
      <c r="H17" s="82">
        <v>5</v>
      </c>
      <c r="I17" s="83">
        <v>4</v>
      </c>
      <c r="J17" s="83">
        <v>3</v>
      </c>
      <c r="K17" s="83">
        <v>7</v>
      </c>
      <c r="L17" s="82">
        <v>0</v>
      </c>
      <c r="M17" s="82">
        <v>1</v>
      </c>
      <c r="N17" s="82" t="s">
        <v>115</v>
      </c>
      <c r="O17" s="150" t="s">
        <v>120</v>
      </c>
      <c r="P17" s="151"/>
      <c r="Q17" s="84">
        <v>1537600</v>
      </c>
    </row>
    <row r="18" spans="1:17" ht="24.95" customHeight="1" x14ac:dyDescent="0.2">
      <c r="A18" s="82"/>
      <c r="B18" s="82"/>
      <c r="C18" s="82"/>
      <c r="D18" s="82"/>
      <c r="E18" s="82"/>
      <c r="F18" s="82"/>
      <c r="G18" s="82"/>
      <c r="H18" s="82"/>
      <c r="I18" s="83"/>
      <c r="J18" s="83"/>
      <c r="K18" s="83"/>
      <c r="L18" s="82"/>
      <c r="M18" s="82"/>
      <c r="N18" s="82"/>
      <c r="O18" s="152"/>
      <c r="P18" s="153"/>
      <c r="Q18" s="84"/>
    </row>
    <row r="19" spans="1:17" ht="24.95" customHeight="1" x14ac:dyDescent="0.2">
      <c r="A19" s="82"/>
      <c r="B19" s="82"/>
      <c r="C19" s="82"/>
      <c r="D19" s="82"/>
      <c r="E19" s="82"/>
      <c r="F19" s="82"/>
      <c r="G19" s="82"/>
      <c r="H19" s="82"/>
      <c r="I19" s="83"/>
      <c r="J19" s="83"/>
      <c r="K19" s="83"/>
      <c r="L19" s="82"/>
      <c r="M19" s="82"/>
      <c r="N19" s="82"/>
      <c r="O19" s="152"/>
      <c r="P19" s="153"/>
      <c r="Q19" s="84"/>
    </row>
    <row r="20" spans="1:17" x14ac:dyDescent="0.2">
      <c r="A20" s="83"/>
      <c r="B20" s="83"/>
      <c r="C20" s="83"/>
      <c r="D20" s="83"/>
      <c r="E20" s="83"/>
      <c r="F20" s="83"/>
      <c r="G20" s="83"/>
      <c r="H20" s="83"/>
      <c r="I20" s="83"/>
      <c r="J20" s="83"/>
      <c r="K20" s="83"/>
      <c r="L20" s="83"/>
      <c r="M20" s="83"/>
      <c r="N20" s="83"/>
      <c r="O20" s="153"/>
      <c r="P20" s="153"/>
      <c r="Q20" s="85"/>
    </row>
    <row r="21" spans="1:17" ht="14.25" x14ac:dyDescent="0.2">
      <c r="A21" s="86"/>
      <c r="B21" s="86"/>
      <c r="C21" s="86"/>
      <c r="D21" s="86"/>
      <c r="E21" s="86"/>
      <c r="F21" s="83"/>
      <c r="G21" s="86"/>
      <c r="H21" s="86"/>
      <c r="I21" s="86"/>
      <c r="J21" s="86"/>
      <c r="K21" s="86"/>
      <c r="L21" s="86"/>
      <c r="M21" s="86"/>
      <c r="N21" s="86"/>
      <c r="O21" s="153"/>
      <c r="P21" s="153"/>
      <c r="Q21" s="85"/>
    </row>
    <row r="22" spans="1:17" x14ac:dyDescent="0.2">
      <c r="A22" s="83"/>
      <c r="B22" s="83"/>
      <c r="C22" s="83"/>
      <c r="D22" s="83"/>
      <c r="E22" s="83"/>
      <c r="F22" s="83"/>
      <c r="G22" s="83"/>
      <c r="H22" s="83"/>
      <c r="I22" s="83"/>
      <c r="J22" s="83"/>
      <c r="K22" s="83"/>
      <c r="L22" s="83"/>
      <c r="M22" s="83"/>
      <c r="N22" s="83"/>
      <c r="O22" s="153"/>
      <c r="P22" s="153"/>
      <c r="Q22" s="85"/>
    </row>
    <row r="23" spans="1:17" ht="35.25" customHeight="1" thickBot="1" x14ac:dyDescent="0.25">
      <c r="A23" s="154" t="s">
        <v>127</v>
      </c>
      <c r="B23" s="154"/>
      <c r="C23" s="154"/>
      <c r="D23" s="154"/>
      <c r="E23" s="154"/>
      <c r="F23" s="154"/>
      <c r="G23" s="154"/>
      <c r="H23" s="154"/>
      <c r="I23" s="154"/>
      <c r="J23" s="154"/>
      <c r="K23" s="154"/>
      <c r="L23" s="154"/>
      <c r="M23" s="154"/>
      <c r="N23" s="154"/>
      <c r="O23" s="154"/>
      <c r="P23" s="154"/>
      <c r="Q23" s="87">
        <f>SUM(Q15:Q22)</f>
        <v>8261616</v>
      </c>
    </row>
    <row r="24" spans="1:17" ht="13.5" thickBot="1" x14ac:dyDescent="0.25">
      <c r="A24" s="155"/>
      <c r="B24" s="155"/>
      <c r="C24" s="155"/>
      <c r="D24" s="155"/>
      <c r="E24" s="155"/>
      <c r="F24" s="155"/>
      <c r="G24" s="155"/>
      <c r="H24" s="155"/>
      <c r="I24" s="155"/>
      <c r="J24" s="155"/>
      <c r="K24" s="155"/>
      <c r="L24" s="155"/>
      <c r="M24" s="155"/>
      <c r="N24" s="155"/>
      <c r="O24" s="155"/>
      <c r="P24" s="155"/>
      <c r="Q24" s="155"/>
    </row>
    <row r="25" spans="1:17" ht="15.75" thickBot="1" x14ac:dyDescent="0.25">
      <c r="A25" s="156" t="s">
        <v>118</v>
      </c>
      <c r="B25" s="157"/>
      <c r="C25" s="157"/>
      <c r="D25" s="157"/>
      <c r="E25" s="157"/>
      <c r="F25" s="158"/>
      <c r="G25" s="159"/>
      <c r="H25" s="159"/>
      <c r="I25" s="159"/>
      <c r="J25" s="159"/>
      <c r="K25" s="159"/>
      <c r="L25" s="159"/>
      <c r="M25" s="159"/>
      <c r="N25" s="159"/>
      <c r="O25" s="159"/>
      <c r="P25" s="159"/>
      <c r="Q25" s="159"/>
    </row>
    <row r="26" spans="1:17" ht="13.5" thickBot="1" x14ac:dyDescent="0.25">
      <c r="A26" s="148" t="s">
        <v>125</v>
      </c>
      <c r="B26" s="149"/>
      <c r="C26" s="149"/>
      <c r="D26" s="149"/>
      <c r="E26" s="149"/>
      <c r="F26" s="149"/>
      <c r="G26" s="149"/>
      <c r="H26" s="149"/>
      <c r="I26" s="149"/>
      <c r="J26" s="149"/>
      <c r="K26" s="149"/>
      <c r="L26" s="149"/>
      <c r="M26" s="149"/>
      <c r="N26" s="149"/>
      <c r="O26" s="149"/>
      <c r="P26" s="149"/>
      <c r="Q26" s="149"/>
    </row>
    <row r="27" spans="1:17" ht="13.5" thickBot="1" x14ac:dyDescent="0.25">
      <c r="A27" s="149"/>
      <c r="B27" s="149"/>
      <c r="C27" s="149"/>
      <c r="D27" s="149"/>
      <c r="E27" s="149"/>
      <c r="F27" s="149"/>
      <c r="G27" s="149"/>
      <c r="H27" s="149"/>
      <c r="I27" s="149"/>
      <c r="J27" s="149"/>
      <c r="K27" s="149"/>
      <c r="L27" s="149"/>
      <c r="M27" s="149"/>
      <c r="N27" s="149"/>
      <c r="O27" s="149"/>
      <c r="P27" s="149"/>
      <c r="Q27" s="149"/>
    </row>
    <row r="28" spans="1:17" x14ac:dyDescent="0.2">
      <c r="A28" s="53"/>
      <c r="B28" s="53"/>
      <c r="C28" s="53"/>
      <c r="D28" s="53"/>
      <c r="E28" s="53"/>
      <c r="F28" s="53"/>
      <c r="G28" s="67"/>
      <c r="H28" s="53"/>
      <c r="I28" s="53"/>
      <c r="J28" s="53"/>
      <c r="K28" s="53"/>
      <c r="L28" s="53"/>
      <c r="M28" s="53"/>
      <c r="N28" s="53"/>
      <c r="O28" s="53"/>
      <c r="P28" s="53"/>
      <c r="Q28" s="53"/>
    </row>
  </sheetData>
  <mergeCells count="31">
    <mergeCell ref="A26:Q27"/>
    <mergeCell ref="O16:P16"/>
    <mergeCell ref="O17:P17"/>
    <mergeCell ref="O18:P18"/>
    <mergeCell ref="O19:P19"/>
    <mergeCell ref="O20:P20"/>
    <mergeCell ref="O21:P21"/>
    <mergeCell ref="O22:P22"/>
    <mergeCell ref="A23:P23"/>
    <mergeCell ref="A24:Q24"/>
    <mergeCell ref="A25:F25"/>
    <mergeCell ref="G25:Q25"/>
    <mergeCell ref="O15:P15"/>
    <mergeCell ref="A6:F6"/>
    <mergeCell ref="G6:Q6"/>
    <mergeCell ref="A7:F7"/>
    <mergeCell ref="G7:Q7"/>
    <mergeCell ref="A8:Q8"/>
    <mergeCell ref="A9:N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Nota de Pedido</vt:lpstr>
      <vt:lpstr>Auto Gastar</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cp:revision>2</cp:revision>
  <cp:lastPrinted>2021-09-13T11:30:03Z</cp:lastPrinted>
  <dcterms:created xsi:type="dcterms:W3CDTF">2020-07-17T23:44:49Z</dcterms:created>
  <dcterms:modified xsi:type="dcterms:W3CDTF">2021-09-22T14:20:12Z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