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E5B77A6-A440-40E9-9597-3866282EEDC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NotaPedido!$A$1:$K$116</definedName>
  </definedNames>
  <calcPr calcId="181029"/>
</workbook>
</file>

<file path=xl/calcChain.xml><?xml version="1.0" encoding="utf-8"?>
<calcChain xmlns="http://schemas.openxmlformats.org/spreadsheetml/2006/main">
  <c r="I14" i="2" l="1"/>
  <c r="K114" i="2" l="1"/>
  <c r="J114" i="2"/>
  <c r="I114" i="2"/>
  <c r="C114" i="2"/>
  <c r="B114" i="2"/>
  <c r="K113" i="2"/>
  <c r="J113" i="2"/>
  <c r="I113" i="2"/>
  <c r="C113" i="2"/>
  <c r="B113" i="2"/>
  <c r="K112" i="2"/>
  <c r="J112" i="2"/>
  <c r="I112" i="2"/>
  <c r="C112" i="2"/>
  <c r="B112" i="2"/>
  <c r="K111" i="2"/>
  <c r="J111" i="2"/>
  <c r="I111" i="2"/>
  <c r="C111" i="2"/>
  <c r="B111" i="2"/>
  <c r="K110" i="2"/>
  <c r="J110" i="2"/>
  <c r="I110" i="2"/>
  <c r="C110" i="2"/>
  <c r="B110" i="2"/>
  <c r="K109" i="2"/>
  <c r="J109" i="2"/>
  <c r="I109" i="2"/>
  <c r="C109" i="2"/>
  <c r="B109" i="2"/>
  <c r="K108" i="2"/>
  <c r="J108" i="2"/>
  <c r="I108" i="2"/>
  <c r="C108" i="2"/>
  <c r="B108" i="2"/>
  <c r="K107" i="2"/>
  <c r="J107" i="2"/>
  <c r="I107" i="2"/>
  <c r="C107" i="2"/>
  <c r="B107" i="2"/>
  <c r="K106" i="2"/>
  <c r="J106" i="2"/>
  <c r="I106" i="2"/>
  <c r="C106" i="2"/>
  <c r="B106" i="2"/>
  <c r="K105" i="2"/>
  <c r="J105" i="2"/>
  <c r="I105" i="2"/>
  <c r="C105" i="2"/>
  <c r="B105" i="2"/>
  <c r="K104" i="2"/>
  <c r="J104" i="2"/>
  <c r="I104" i="2"/>
  <c r="C104" i="2"/>
  <c r="B104" i="2"/>
  <c r="K103" i="2"/>
  <c r="J103" i="2"/>
  <c r="I103" i="2"/>
  <c r="C103" i="2"/>
  <c r="B103" i="2"/>
  <c r="K102" i="2"/>
  <c r="J102" i="2"/>
  <c r="I102" i="2"/>
  <c r="C102" i="2"/>
  <c r="B102" i="2"/>
  <c r="K101" i="2"/>
  <c r="J101" i="2"/>
  <c r="I101" i="2"/>
  <c r="C101" i="2"/>
  <c r="B101" i="2"/>
  <c r="K100" i="2"/>
  <c r="J100" i="2"/>
  <c r="I100" i="2"/>
  <c r="C100" i="2"/>
  <c r="B100" i="2"/>
  <c r="K99" i="2"/>
  <c r="J99" i="2"/>
  <c r="I99" i="2"/>
  <c r="C99" i="2"/>
  <c r="B99" i="2"/>
  <c r="K98" i="2"/>
  <c r="J98" i="2"/>
  <c r="I98" i="2"/>
  <c r="C98" i="2"/>
  <c r="B98" i="2"/>
  <c r="K97" i="2"/>
  <c r="J97" i="2"/>
  <c r="I97" i="2"/>
  <c r="C97" i="2"/>
  <c r="B97" i="2"/>
  <c r="K96" i="2"/>
  <c r="J96" i="2"/>
  <c r="I96" i="2"/>
  <c r="C96" i="2"/>
  <c r="B96" i="2"/>
  <c r="K95" i="2"/>
  <c r="J95" i="2"/>
  <c r="I95" i="2"/>
  <c r="C95" i="2"/>
  <c r="B95" i="2"/>
  <c r="K94" i="2"/>
  <c r="J94" i="2"/>
  <c r="I94" i="2"/>
  <c r="C94" i="2"/>
  <c r="B94" i="2"/>
  <c r="K93" i="2"/>
  <c r="J93" i="2"/>
  <c r="I93" i="2"/>
  <c r="C93" i="2"/>
  <c r="B93" i="2"/>
  <c r="K92" i="2"/>
  <c r="J92" i="2"/>
  <c r="I92" i="2"/>
  <c r="C92" i="2"/>
  <c r="B92" i="2"/>
  <c r="K91" i="2"/>
  <c r="J91" i="2"/>
  <c r="I91" i="2"/>
  <c r="C91" i="2"/>
  <c r="B91" i="2"/>
  <c r="K90" i="2"/>
  <c r="J90" i="2"/>
  <c r="I90" i="2"/>
  <c r="C90" i="2"/>
  <c r="B90" i="2"/>
  <c r="K89" i="2"/>
  <c r="J89" i="2"/>
  <c r="I89" i="2"/>
  <c r="C89" i="2"/>
  <c r="B89" i="2"/>
  <c r="K88" i="2"/>
  <c r="J88" i="2"/>
  <c r="I88" i="2"/>
  <c r="C88" i="2"/>
  <c r="B88" i="2"/>
  <c r="K87" i="2"/>
  <c r="J87" i="2"/>
  <c r="I87" i="2"/>
  <c r="C87" i="2"/>
  <c r="B87" i="2"/>
  <c r="K86" i="2"/>
  <c r="J86" i="2"/>
  <c r="I86" i="2"/>
  <c r="C86" i="2"/>
  <c r="B86" i="2"/>
  <c r="K85" i="2"/>
  <c r="J85" i="2"/>
  <c r="I85" i="2"/>
  <c r="C85" i="2"/>
  <c r="B85" i="2"/>
  <c r="K84" i="2"/>
  <c r="J84" i="2"/>
  <c r="I84" i="2"/>
  <c r="C84" i="2"/>
  <c r="B84" i="2"/>
  <c r="K83" i="2"/>
  <c r="J83" i="2"/>
  <c r="I83" i="2"/>
  <c r="C83" i="2"/>
  <c r="B83" i="2"/>
  <c r="K82" i="2"/>
  <c r="J82" i="2"/>
  <c r="I82" i="2"/>
  <c r="C82" i="2"/>
  <c r="B82" i="2"/>
  <c r="K81" i="2"/>
  <c r="J81" i="2"/>
  <c r="I81" i="2"/>
  <c r="C81" i="2"/>
  <c r="B81" i="2"/>
  <c r="K80" i="2"/>
  <c r="J80" i="2"/>
  <c r="I80" i="2"/>
  <c r="C80" i="2"/>
  <c r="B80" i="2"/>
  <c r="K79" i="2"/>
  <c r="J79" i="2"/>
  <c r="I79" i="2"/>
  <c r="C79" i="2"/>
  <c r="B79" i="2"/>
  <c r="K78" i="2"/>
  <c r="J78" i="2"/>
  <c r="I78" i="2"/>
  <c r="C78" i="2"/>
  <c r="B78" i="2"/>
  <c r="K77" i="2"/>
  <c r="J77" i="2"/>
  <c r="I77" i="2"/>
  <c r="C77" i="2"/>
  <c r="B77" i="2"/>
  <c r="K76" i="2"/>
  <c r="J76" i="2"/>
  <c r="I76" i="2"/>
  <c r="C76" i="2"/>
  <c r="B76" i="2"/>
  <c r="K75" i="2"/>
  <c r="J75" i="2"/>
  <c r="I75" i="2"/>
  <c r="C75" i="2"/>
  <c r="B75" i="2"/>
  <c r="K74" i="2"/>
  <c r="J74" i="2"/>
  <c r="I74" i="2"/>
  <c r="C74" i="2"/>
  <c r="B74" i="2"/>
  <c r="K73" i="2"/>
  <c r="J73" i="2"/>
  <c r="I73" i="2"/>
  <c r="C73" i="2"/>
  <c r="B73" i="2"/>
  <c r="K72" i="2"/>
  <c r="J72" i="2"/>
  <c r="I72" i="2"/>
  <c r="C72" i="2"/>
  <c r="B72" i="2"/>
  <c r="K71" i="2"/>
  <c r="J71" i="2"/>
  <c r="I71" i="2"/>
  <c r="C71" i="2"/>
  <c r="B71" i="2"/>
  <c r="K70" i="2"/>
  <c r="J70" i="2"/>
  <c r="I70" i="2"/>
  <c r="C70" i="2"/>
  <c r="B70" i="2"/>
  <c r="K69" i="2"/>
  <c r="J69" i="2"/>
  <c r="I69" i="2"/>
  <c r="C69" i="2"/>
  <c r="B69" i="2"/>
  <c r="K68" i="2"/>
  <c r="J68" i="2"/>
  <c r="I68" i="2"/>
  <c r="C68" i="2"/>
  <c r="B68" i="2"/>
  <c r="K67" i="2"/>
  <c r="J67" i="2"/>
  <c r="I67" i="2"/>
  <c r="C67" i="2"/>
  <c r="B67" i="2"/>
  <c r="K66" i="2"/>
  <c r="J66" i="2"/>
  <c r="I66" i="2"/>
  <c r="C66" i="2"/>
  <c r="B66" i="2"/>
  <c r="K65" i="2"/>
  <c r="J65" i="2"/>
  <c r="I65" i="2"/>
  <c r="C65" i="2"/>
  <c r="B65" i="2"/>
  <c r="K64" i="2"/>
  <c r="J64" i="2"/>
  <c r="I64" i="2"/>
  <c r="C64" i="2"/>
  <c r="B64" i="2"/>
  <c r="K63" i="2"/>
  <c r="J63" i="2"/>
  <c r="I63" i="2"/>
  <c r="C63" i="2"/>
  <c r="B63" i="2"/>
  <c r="K62" i="2"/>
  <c r="J62" i="2"/>
  <c r="I62" i="2"/>
  <c r="C62" i="2"/>
  <c r="B62" i="2"/>
  <c r="K61" i="2"/>
  <c r="J61" i="2"/>
  <c r="I61" i="2"/>
  <c r="C61" i="2"/>
  <c r="B61" i="2"/>
  <c r="K60" i="2"/>
  <c r="J60" i="2"/>
  <c r="I60" i="2"/>
  <c r="C60" i="2"/>
  <c r="B60" i="2"/>
  <c r="K59" i="2"/>
  <c r="J59" i="2"/>
  <c r="I59" i="2"/>
  <c r="C59" i="2"/>
  <c r="B59" i="2"/>
  <c r="K58" i="2"/>
  <c r="J58" i="2"/>
  <c r="I58" i="2"/>
  <c r="C58" i="2"/>
  <c r="B58" i="2"/>
  <c r="K57" i="2"/>
  <c r="J57" i="2"/>
  <c r="I57" i="2"/>
  <c r="C57" i="2"/>
  <c r="B57" i="2"/>
  <c r="K56" i="2"/>
  <c r="J56" i="2"/>
  <c r="I56" i="2"/>
  <c r="C56" i="2"/>
  <c r="B56" i="2"/>
  <c r="K55" i="2"/>
  <c r="J55" i="2"/>
  <c r="I55" i="2"/>
  <c r="C55" i="2"/>
  <c r="B55" i="2"/>
  <c r="K54" i="2"/>
  <c r="J54" i="2"/>
  <c r="I54" i="2"/>
  <c r="C54" i="2"/>
  <c r="B54" i="2"/>
  <c r="K53" i="2"/>
  <c r="J53" i="2"/>
  <c r="I53" i="2"/>
  <c r="C53" i="2"/>
  <c r="B53" i="2"/>
  <c r="K52" i="2"/>
  <c r="J52" i="2"/>
  <c r="I52" i="2"/>
  <c r="C52" i="2"/>
  <c r="B52" i="2"/>
  <c r="K51" i="2"/>
  <c r="J51" i="2"/>
  <c r="I51" i="2"/>
  <c r="C51" i="2"/>
  <c r="B51" i="2"/>
  <c r="K50" i="2"/>
  <c r="J50" i="2"/>
  <c r="I50" i="2"/>
  <c r="C50" i="2"/>
  <c r="B50" i="2"/>
  <c r="K49" i="2"/>
  <c r="J49" i="2"/>
  <c r="I49" i="2"/>
  <c r="C49" i="2"/>
  <c r="B49" i="2"/>
  <c r="K48" i="2"/>
  <c r="J48" i="2"/>
  <c r="I48" i="2"/>
  <c r="C48" i="2"/>
  <c r="B48" i="2"/>
  <c r="K47" i="2"/>
  <c r="J47" i="2"/>
  <c r="I47" i="2"/>
  <c r="C47" i="2"/>
  <c r="B47" i="2"/>
  <c r="K46" i="2"/>
  <c r="J46" i="2"/>
  <c r="I46" i="2"/>
  <c r="C46" i="2"/>
  <c r="B46" i="2"/>
  <c r="K45" i="2"/>
  <c r="J45" i="2"/>
  <c r="I45" i="2"/>
  <c r="C45" i="2"/>
  <c r="B45" i="2"/>
  <c r="K44" i="2"/>
  <c r="J44" i="2"/>
  <c r="I44" i="2"/>
  <c r="C44" i="2"/>
  <c r="B44" i="2"/>
  <c r="K43" i="2"/>
  <c r="J43" i="2"/>
  <c r="I43" i="2"/>
  <c r="C43" i="2"/>
  <c r="B43" i="2"/>
  <c r="K42" i="2"/>
  <c r="J42" i="2"/>
  <c r="I42" i="2"/>
  <c r="C42" i="2"/>
  <c r="B42" i="2"/>
  <c r="K41" i="2"/>
  <c r="J41" i="2"/>
  <c r="I41" i="2"/>
  <c r="C41" i="2"/>
  <c r="B41" i="2"/>
  <c r="K40" i="2"/>
  <c r="J40" i="2"/>
  <c r="I40" i="2"/>
  <c r="C40" i="2"/>
  <c r="B40" i="2"/>
  <c r="K39" i="2"/>
  <c r="J39" i="2"/>
  <c r="I39" i="2"/>
  <c r="C39" i="2"/>
  <c r="B39" i="2"/>
  <c r="K38" i="2"/>
  <c r="J38" i="2"/>
  <c r="I38" i="2"/>
  <c r="C38" i="2"/>
  <c r="B38" i="2"/>
  <c r="K37" i="2"/>
  <c r="J37" i="2"/>
  <c r="I37" i="2"/>
  <c r="C37" i="2"/>
  <c r="B37" i="2"/>
  <c r="K36" i="2"/>
  <c r="J36" i="2"/>
  <c r="I36" i="2"/>
  <c r="C36" i="2"/>
  <c r="B36" i="2"/>
  <c r="K35" i="2"/>
  <c r="J35" i="2"/>
  <c r="I35" i="2"/>
  <c r="C35" i="2"/>
  <c r="B35" i="2"/>
  <c r="K34" i="2"/>
  <c r="J34" i="2"/>
  <c r="I34" i="2"/>
  <c r="C34" i="2"/>
  <c r="B34" i="2"/>
  <c r="K33" i="2"/>
  <c r="J33" i="2"/>
  <c r="I33" i="2"/>
  <c r="C33" i="2"/>
  <c r="B33" i="2"/>
  <c r="K32" i="2"/>
  <c r="J32" i="2"/>
  <c r="I32" i="2"/>
  <c r="C32" i="2"/>
  <c r="B32" i="2"/>
  <c r="K31" i="2"/>
  <c r="J31" i="2"/>
  <c r="I31" i="2"/>
  <c r="C31" i="2"/>
  <c r="B31" i="2"/>
  <c r="K30" i="2"/>
  <c r="J30" i="2"/>
  <c r="I30" i="2"/>
  <c r="C30" i="2"/>
  <c r="B30" i="2"/>
  <c r="K29" i="2"/>
  <c r="J29" i="2"/>
  <c r="I29" i="2"/>
  <c r="C29" i="2"/>
  <c r="B29" i="2"/>
  <c r="K28" i="2"/>
  <c r="J28" i="2"/>
  <c r="I28" i="2"/>
  <c r="C28" i="2"/>
  <c r="B28" i="2"/>
  <c r="K27" i="2"/>
  <c r="J27" i="2"/>
  <c r="I27" i="2"/>
  <c r="C27" i="2"/>
  <c r="B27" i="2"/>
  <c r="K26" i="2"/>
  <c r="J26" i="2"/>
  <c r="I26" i="2"/>
  <c r="C26" i="2"/>
  <c r="B26" i="2"/>
  <c r="K25" i="2"/>
  <c r="J25" i="2"/>
  <c r="I25" i="2"/>
  <c r="C25" i="2"/>
  <c r="B25" i="2"/>
  <c r="K24" i="2"/>
  <c r="J24" i="2"/>
  <c r="I24" i="2"/>
  <c r="C24" i="2"/>
  <c r="B24" i="2"/>
  <c r="K23" i="2"/>
  <c r="J23" i="2"/>
  <c r="I23" i="2"/>
  <c r="C23" i="2"/>
  <c r="B23" i="2"/>
  <c r="K22" i="2"/>
  <c r="J22" i="2"/>
  <c r="I22" i="2"/>
  <c r="C22" i="2"/>
  <c r="B22" i="2"/>
  <c r="K21" i="2"/>
  <c r="J21" i="2"/>
  <c r="I21" i="2"/>
  <c r="C21" i="2"/>
  <c r="B21" i="2"/>
  <c r="K20" i="2"/>
  <c r="J20" i="2"/>
  <c r="I20" i="2"/>
  <c r="C20" i="2"/>
  <c r="B20" i="2"/>
  <c r="K19" i="2"/>
  <c r="J19" i="2"/>
  <c r="I19" i="2"/>
  <c r="C19" i="2"/>
  <c r="B19" i="2"/>
  <c r="K18" i="2"/>
  <c r="J18" i="2"/>
  <c r="I18" i="2"/>
  <c r="C18" i="2"/>
  <c r="B18" i="2"/>
  <c r="K17" i="2"/>
  <c r="J17" i="2"/>
  <c r="I17" i="2"/>
  <c r="C17" i="2"/>
  <c r="B17" i="2"/>
  <c r="K16" i="2"/>
  <c r="J16" i="2"/>
  <c r="I16" i="2"/>
  <c r="C16" i="2"/>
  <c r="B16" i="2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 l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A26" i="3" l="1"/>
  <c r="C15" i="2"/>
  <c r="C14" i="2"/>
  <c r="C13" i="2"/>
  <c r="C12" i="2"/>
  <c r="B15" i="2"/>
  <c r="A10" i="3"/>
  <c r="K15" i="2"/>
  <c r="J15" i="2"/>
  <c r="I15" i="2"/>
  <c r="K14" i="2"/>
  <c r="J14" i="2"/>
  <c r="B14" i="2"/>
  <c r="K13" i="2"/>
  <c r="J13" i="2"/>
  <c r="I13" i="2"/>
  <c r="B13" i="2"/>
  <c r="K12" i="2"/>
  <c r="J12" i="2"/>
  <c r="I12" i="2"/>
  <c r="B12" i="2"/>
  <c r="I13" i="1"/>
  <c r="I12" i="1"/>
  <c r="I11" i="1"/>
  <c r="I10" i="1"/>
  <c r="J116" i="2" l="1"/>
  <c r="T116" i="2" s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<sst xmlns="http://schemas.openxmlformats.org/spreadsheetml/2006/main" count="839" uniqueCount="320">
  <si>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</si>
  <si>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</si>
  <si>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</si>
  <si>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</si>
  <si>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</si>
  <si>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</si>
  <si>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</si>
  <si>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</si>
  <si>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</si>
  <si>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</si>
  <si>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</si>
  <si>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</si>
  <si>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</si>
  <si>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</si>
  <si>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</si>
  <si>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</si>
  <si>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</si>
  <si>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</si>
  <si>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</si>
  <si>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</si>
  <si>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</si>
  <si>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</si>
  <si>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</si>
  <si>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</si>
  <si>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</si>
  <si>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</si>
  <si>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</si>
  <si>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</si>
  <si>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</si>
  <si>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</si>
  <si>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</si>
  <si>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</si>
  <si>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</si>
  <si>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</si>
  <si>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</si>
  <si>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</si>
  <si>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</si>
  <si>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</si>
  <si>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</si>
  <si>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</si>
  <si>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</si>
  <si>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</si>
  <si>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</si>
  <si>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</si>
  <si>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</si>
  <si>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</si>
  <si>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</si>
  <si>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</si>
  <si>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</si>
  <si>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</si>
  <si>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</si>
  <si>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</si>
  <si>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</si>
  <si>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</si>
  <si>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</si>
  <si>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</si>
  <si>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</si>
  <si>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</si>
  <si>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</si>
  <si>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Especificidades Item N° 5:</t>
  </si>
  <si>
    <t>28 - MATERNIDAD PROVINCIAL 25 DE MAYO</t>
  </si>
  <si>
    <t>2.1.1-439.67</t>
  </si>
  <si>
    <t>ACEITES COMESTIBLES; TIPO: GIRASOL, PRESENTACION: ENVASE X 900 CM3, MATERIAL ENVASE: PLASTICO 1 (PET), ELEM. TRANSPORTE: SIN, MATERIAL ELEM. TRANSPORTE : SIN, LIBRE DE GLUTEN: NO</t>
  </si>
  <si>
    <t>2.1.1-6546.34</t>
  </si>
  <si>
    <t>VERDURAS Y HORTALIZAS; VARIEDAD: ACELGA, ESTADO: EN HOJA, PRESENTACION: ATADO, PESO: SIN VALOR</t>
  </si>
  <si>
    <t>2.1.1-6546.154</t>
  </si>
  <si>
    <t>VERDURAS Y HORTALIZAS; ESTADO: NATURAL, PESO: SIN VALOR, VARIEDAD: AJO, PRESENTACION: UNIDAD</t>
  </si>
  <si>
    <t>2.1.1-6539.38</t>
  </si>
  <si>
    <t>FRUTAS; VARIEDAD: ANANA, PRESENTACION: ENVASE X 850 GR, PESO: 850 GR, ESTADO: CONSERVA</t>
  </si>
  <si>
    <t>2.1.1-6546.330</t>
  </si>
  <si>
    <t>VERDURAS Y HORTALIZAS; VARIEDAD: ZAPALLO ANCO, ESTADO: NATURAL, PRESENTACION: UNIDAD, PESO: 1 Kg</t>
  </si>
  <si>
    <t>ALIMENTOS</t>
  </si>
  <si>
    <t>2.1.1</t>
  </si>
  <si>
    <t>ATADO</t>
  </si>
  <si>
    <t>LATA</t>
  </si>
  <si>
    <t>KG</t>
  </si>
  <si>
    <t>Plazo de entrega: 10 dias habiles desde la confeccion del instrumento contractual</t>
  </si>
  <si>
    <t>Lugar de entrega: Servicio de Nutricion y Dietoterapi de la Maternidad Provincial 25 de Mayo</t>
  </si>
  <si>
    <t>Horario de entrega: de 07:00 a 12:00 hs.</t>
  </si>
  <si>
    <t>BOTELLA</t>
  </si>
  <si>
    <t>UNIDAD</t>
  </si>
  <si>
    <t xml:space="preserve">Adquisición de Alimentos varios </t>
  </si>
  <si>
    <t>Alimentos para Personas</t>
  </si>
  <si>
    <t>10/21</t>
  </si>
  <si>
    <t>2.1.1-6546.230</t>
  </si>
  <si>
    <t>2.1.1-435.38</t>
  </si>
  <si>
    <t>2.1.1-435.60</t>
  </si>
  <si>
    <t>2.1.1-708.43</t>
  </si>
  <si>
    <t>2.1.1-2124.6</t>
  </si>
  <si>
    <t>2.1.1-6547.84</t>
  </si>
  <si>
    <t>2.1.1-481.38</t>
  </si>
  <si>
    <t>2.1.1-6539.30</t>
  </si>
  <si>
    <t>2.1.1-6546.207</t>
  </si>
  <si>
    <t>2.1.1-6546.177</t>
  </si>
  <si>
    <t>2.1.1-541.33</t>
  </si>
  <si>
    <t>2.1.1-2615.15</t>
  </si>
  <si>
    <t>2.1.1-541.137</t>
  </si>
  <si>
    <t>2.1.1-6546.236</t>
  </si>
  <si>
    <t>2.1.1-6546.377</t>
  </si>
  <si>
    <t>2.1.1-6546.269</t>
  </si>
  <si>
    <t>2.1.1-6539.123</t>
  </si>
  <si>
    <t>2.1.1-597.41</t>
  </si>
  <si>
    <t>2.1.1-597.43</t>
  </si>
  <si>
    <t>2.1.1-541.164</t>
  </si>
  <si>
    <t>2.1.1-489.91</t>
  </si>
  <si>
    <t>2.1.1-489.82</t>
  </si>
  <si>
    <t>2.1.1-2113.1</t>
  </si>
  <si>
    <t>2.1.1-455.24</t>
  </si>
  <si>
    <t>2.1.1-2113.2</t>
  </si>
  <si>
    <t>2.1.1-6539.54</t>
  </si>
  <si>
    <t>2.1.1-6539.46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</si>
  <si>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</si>
  <si>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</si>
  <si>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</si>
  <si>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</si>
  <si>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</si>
  <si>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</si>
  <si>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</si>
  <si>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2.1.1-705.121</t>
  </si>
  <si>
    <t>2.1.1-705.119</t>
  </si>
  <si>
    <t>2.1.1-705.91</t>
  </si>
  <si>
    <t>2.1.1-4227.44</t>
  </si>
  <si>
    <t>2.1.1-788.222</t>
  </si>
  <si>
    <t>2.1.1-510.3</t>
  </si>
  <si>
    <t>2.1.1-510.65</t>
  </si>
  <si>
    <t>2.1.1-482.77</t>
  </si>
  <si>
    <t>2.1.1-483.33</t>
  </si>
  <si>
    <t>2.1.1-969.96</t>
  </si>
  <si>
    <t>2.1.1-705.95</t>
  </si>
  <si>
    <t>2.1.1-705.105</t>
  </si>
  <si>
    <t>2.1.1-705.106</t>
  </si>
  <si>
    <t>2.1.1-6547.88</t>
  </si>
  <si>
    <t>2.1.1-6546.374</t>
  </si>
  <si>
    <t>2.1.1-2116.10</t>
  </si>
  <si>
    <t>2.1.1-6539.84</t>
  </si>
  <si>
    <t>2.1.1-6539.20</t>
  </si>
  <si>
    <t>2.1.1-706.6</t>
  </si>
  <si>
    <t>2.1.1-438.83</t>
  </si>
  <si>
    <t>2.1.1-541.49</t>
  </si>
  <si>
    <t>2.1.1-541.20</t>
  </si>
  <si>
    <t>2.1.1-6539.8</t>
  </si>
  <si>
    <t>2.1.1-489.181</t>
  </si>
  <si>
    <t>2.1.1-489.85</t>
  </si>
  <si>
    <t>2.1.1-669.64</t>
  </si>
  <si>
    <t>2.1.1-669.25</t>
  </si>
  <si>
    <t>2.1.1-6546.335</t>
  </si>
  <si>
    <t>2.1.1-541.29</t>
  </si>
  <si>
    <t>2.1.1-621.20</t>
  </si>
  <si>
    <t>2.1.1-6539.32</t>
  </si>
  <si>
    <t>2.1.1-6546.133</t>
  </si>
  <si>
    <t>2.1.1-489.97</t>
  </si>
  <si>
    <t>2.1.1-489.162</t>
  </si>
  <si>
    <t>2.1.1-6546.365</t>
  </si>
  <si>
    <t>2.1.1-6546.95</t>
  </si>
  <si>
    <t>2.1.1-489.190</t>
  </si>
  <si>
    <t>2.1.1-542.236</t>
  </si>
  <si>
    <t>2.1.1-542.240</t>
  </si>
  <si>
    <t>2.1.1-542.225</t>
  </si>
  <si>
    <t>2.1.1-707.38</t>
  </si>
  <si>
    <t>2.1.1-514.2</t>
  </si>
  <si>
    <t>2.1.1-514.15</t>
  </si>
  <si>
    <t>2.1.1-2610.1</t>
  </si>
  <si>
    <t>2.1.1-2429.4</t>
  </si>
  <si>
    <t>2.1.1-511.6</t>
  </si>
  <si>
    <t>2.1.1-6546.18</t>
  </si>
  <si>
    <t>2.1.1-6546.5</t>
  </si>
  <si>
    <t>2.1.1-519.23</t>
  </si>
  <si>
    <t>2.1.1-454.25</t>
  </si>
  <si>
    <t>2.1.1-456.91</t>
  </si>
  <si>
    <t>2.1.1-456.90</t>
  </si>
  <si>
    <t>2.1.1-6546.403</t>
  </si>
  <si>
    <t>2.1.1-6546.151</t>
  </si>
  <si>
    <t>2.1.1-6546.298</t>
  </si>
  <si>
    <t>2.1.1-6546.159</t>
  </si>
  <si>
    <t>2.1.1-6546.162</t>
  </si>
  <si>
    <t>2.1.1-438.30</t>
  </si>
  <si>
    <t>2.1.1-489.183</t>
  </si>
  <si>
    <t>2.1.1-6547.31</t>
  </si>
  <si>
    <t>2.1.1-2616.9</t>
  </si>
  <si>
    <t>2.1.1-482.63</t>
  </si>
  <si>
    <t>2.1.1-5917.8</t>
  </si>
  <si>
    <t>2.1.1-4975.2</t>
  </si>
  <si>
    <t>VERDURAS Y HORTALIZAS; VARIEDAD: APIO, ESTADO: NATURAL, PRESENTACION: ATADO, PESO: 800 GR</t>
  </si>
  <si>
    <t>ARROZ; TIPO GRANO: DOBLE, TIPO: BLANCO, PROCESO: PARBOLIZADO, PRESENTACION: ENVASE X 1 Kg, MATERIAL ENVASE: CARTON, CERTIFICADO FORESTAL (GFS): SIN, ELEM. TRANSPORTE: SIN, MATERIAL ELEM. TRANSPORTE: SIN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</si>
  <si>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</si>
  <si>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</si>
  <si>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</si>
  <si>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</si>
  <si>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</si>
  <si>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FRUTAS; VARIEDAD: BANANA, PRESENTACION: CAJON, ESTADO: NATURAL, PESO: SIN VALOR</t>
  </si>
  <si>
    <t>VERDURAS Y HORTALIZAS; VARIEDAD: BATATA, ESTADO: NATURAL, PRESENTACION: BOLSA, PESO: 10 Kg</t>
  </si>
  <si>
    <t>VERDURAS Y HORTALIZAS; VARIEDAD: BERENJENA, ESTADO: NATURAL, PRESENTACION: GRANEL, PESO: SIN VALOR</t>
  </si>
  <si>
    <t>CARNES; ESPECIE: VACUNA, CORTE: BOLA DE LOMO, TIPO: VACUNA</t>
  </si>
  <si>
    <t>CACAO; TIPO: INSTANTANEO, PRESENTACION: ENVASE X 800 GR, FORMA DE PRESENTACION: POLVO, MATERIAL ENVASE: CARTON, CERTICADO FORESTAL (GFS): CON, LIBRE DE GLUTEN: SI</t>
  </si>
  <si>
    <t>CARNES; ESPECIE: PORCINA, CORTE: CARRE CONGELADO, TIPO: PORCINA</t>
  </si>
  <si>
    <t>VERDURAS Y HORTALIZAS; VARIEDAD: CEBOLLA, ESTADO: NATURAL, PRESENTACION: BOLSA, PESO: 20 Kg</t>
  </si>
  <si>
    <t>VERDURAS Y HORTALIZAS; VARIEDAD: CEBOLLA DE VERDEO, ESTADO: NATURAL, PRESENTACION: CAJON, PESO: 10 Kg, ELEM. TRANSPORTE: CAJON, MATERIAL ELEM. TRANSPORTE: CARTON, LIBRE DE GLUTEN: NO</t>
  </si>
  <si>
    <t>VERDURAS Y HORTALIZAS; VARIEDAD: CHOCLO, ESTADO: GRANO, PRESENTACION: LATA, PESO: 350 GR</t>
  </si>
  <si>
    <t>FRUTAS; VARIEDAD: CIRUELA, ESTADO: DESECADA, PRESENTACION: ENVASE X 5 Kg, PESO: 5 Kg</t>
  </si>
  <si>
    <t>CONSERVAS DE FRUTAS; VARIEDAD: COCTEL, ENVASE: LATA, PESO: 800 GR, ELEM. TRANSPORTE: SIN, MATERIAL ELEM. TRANSPORTE: SIN, LIBRE DE GLUTEN: NO</t>
  </si>
  <si>
    <t>CONSERVAS DE FRUTAS; VARIEDAD: COCTEL, ENVASE: LATA, PESO: 820 GR, ELEM. TRANSPORTE: SIN, MATERIAL ELEM. TRANSPORTE: SIN, LIBRE DE GLUTEN: SI</t>
  </si>
  <si>
    <t>CARNES; TIPO: PORCINA, CORTE: COSTELETA</t>
  </si>
  <si>
    <t>ESPECIAS; TIPO: COMINO, PRESENTACION: SOBRE X 25 GR</t>
  </si>
  <si>
    <t>ESPECIAS; TIPO: ADOBO PARA PIZZA, PRESENTACION: SOBRE X 25 GR</t>
  </si>
  <si>
    <t>DULCES; TIPO: DE BATATA, PRESENTACION: LATA, PESO: 5</t>
  </si>
  <si>
    <t>DULCE DE LECHE; TIPO: COMUN, ENVASE: PLASTICO, CAPACIDAD: 1 Kg, PRESENTACION: ENVASE PLASTICO X 1 Kg</t>
  </si>
  <si>
    <t>DULCES; TIPO: DE MEMBRILLO, PRESENTACION: LATA, PESO: 5 Kg</t>
  </si>
  <si>
    <t>FRUTAS; VARIEDAD: DURAZNO, PRESENTACION: ENVASE X 820 GR, ESTADO: NATURAL, PESO: 820 GR</t>
  </si>
  <si>
    <t>FRUTAS; VARIEDAD: DURAZNO, ESTADO: CONSERVA, PRESENTACION: ENVASE X 800 GR, PESO: 800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</si>
  <si>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</si>
  <si>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</si>
  <si>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</si>
  <si>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</si>
  <si>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</si>
  <si>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</si>
  <si>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</si>
  <si>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LECHE; ESTADO: LIQUIDO, TIPO: PARA PREMATUROS, PROCESO: PASTEURIZADA, AGREGADO: VITAMINAS Y MINERALES, PRESENTACION: ENVASE X 200 CM3, MATERIAL ENVASE: TETRAFILM, ELEM. TRANSPORTE: SIN, MATERIAL ELEM. TRANSPORTE: SIN, CERTIFICADO FORESTAL (GFS): SI, LIBRE DE GLUTEN: SIN VALOR</t>
  </si>
  <si>
    <t>LECHE; ESTADO: LIQUIDO, TIPO: DE INICIO, PROCESO: PASTEURIZADA, AGREGADO: VITAMINAS Y MINERALES, PRESENTACION: ENVASE X 200 CM3, MATERIAL ENVASE: TETRAFILM, ELEM. TRANSPORTE: SIN, MATERIAL ELEM. TRANSPORTE: SIN, CERTIFICADO FORESTAL (GFS): SI, LIBRE DE GLUTEN: SIN VALOR</t>
  </si>
  <si>
    <t>LECHE; ESTADO: POLVO, TIPO: LACTANTE, PROCESO: PASTEURIZADA, AGREGADO: HIDROL. EXT. PROTEINA DE SUERO, PRESENTACION: ENVASE X 400 GR, MATERIAL ENVASE: METAL, ELEM. TRANSPORTE: SIN, MATERIAL ELEM. TRANSPORTE: SIN, CERTIFICADO FORESTAL (GFS): SIN, LIBRE DE GLUTEN: NO</t>
  </si>
  <si>
    <t>SUPLEMENTOS DIETARIOS; TIPO: ASOCIACION, DROGA GENERICA: FORMULA LACTEA SIN LACTOSA, PRESENTACION: ENVASE X 400 GR</t>
  </si>
  <si>
    <t>GALLETITAS; VARIEDAD: SALADA TOSTADA, RELLENO: SIN, PRESENTACION: ENVASE X 140 GR, ELEM. TRANSPORTE: SIN, MATERIAL ELEM. TRANSPORTE: SIN, LIBRE DE GLUTEN: SI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</si>
  <si>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</si>
  <si>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</si>
  <si>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</si>
  <si>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HUEVO DE GALLINA; TAMAÑO: MEDIANOS, COLOR: BLANCOS, PRESENTACION: 30</t>
  </si>
  <si>
    <t>FIAMBRES; TIPO: JAMON COCIDO, PRESENTACION: AL VACIO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</si>
  <si>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</si>
  <si>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</si>
  <si>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</si>
  <si>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</si>
  <si>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VERDURAS Y HORTALIZAS; VARIEDAD: LECHUGA ARREPOLLADA, ESTADO: NATURAL, PRESENTACION: A GRANEL, PESO: 300 GR CADA PLANTA, ELEM. TRANSPORTE: SIN, MATERIAL ELEM. TRANSPORTE: SIN, LIBRE DE GLUTEN: SI</t>
  </si>
  <si>
    <t>LEVADURAS; TIPO: SECA INSTANTANEA, PRESENTACION: SOBRE, PESO: 20 GR</t>
  </si>
  <si>
    <t>FRUTAS; VARIEDAD: LIMON, ESTADO: NATURAL, PRESENTACION: CAJON X 1 Kg, PESO: 1 Kg</t>
  </si>
  <si>
    <t>FRUTAS; ESTADO: NATURAL, VARIEDAD: MANZANA RED DELICIOSA, PRESENTACION: CAJON, PESO: SIN VALOR</t>
  </si>
  <si>
    <t>MATE COCIDO; ENVASE: CAJA CARTON, PRESENTACION: ENSOBRADO, SAQUITOS P/CAJA: 100 UN, PESO X SAQ.: 3 GR</t>
  </si>
  <si>
    <t>ADEREZOS; TIPO: MAYONESA LIGHT, PRESENTACION: ENVASE X 475 GR, LIBRE DE GLUTEN: SIN VALOR</t>
  </si>
  <si>
    <t>CARNES; ESPECIE: VACUNA, CORTE: NALGA, TIPO: VACUNA</t>
  </si>
  <si>
    <t>CARNES; CORTE: TAPA DE NALGA, ESPECIE: VACUNA, TIPO: VACUNA</t>
  </si>
  <si>
    <t>FRUTAS; VARIEDAD: NARANJA ESPECIAL, ESTADO: NATURAL, PRESENTACION: CAJON, PESO: SIN VALOR</t>
  </si>
  <si>
    <t>ESPECIAS; TIPO: NUEZ MOSCADA, PRESENTACION: ENVASE X 25 GR, LIBRE DE GLUTEN: SI</t>
  </si>
  <si>
    <t>ESPECIAS; PRESENTACION: SOBRE X 50 GR, TIPO: OREGANO</t>
  </si>
  <si>
    <t>PANES; TIPO: FRANCES, PRESENTACION: ENVASE X 1 Kg</t>
  </si>
  <si>
    <t>PANES; TIPO: RALLADO, PRESENTACION: BOLSA DE 1000 GR</t>
  </si>
  <si>
    <t>VERDURAS Y HORTALIZAS; VARIEDAD: PAPA BLANCA, ESTADO: NATURAL, PRESENTACION: BOLSA, PESO: 25 Kg</t>
  </si>
  <si>
    <t>CARNES; CORTE: PECETO, ESPECIE: VACUNA, TIPO: VACUNA</t>
  </si>
  <si>
    <t>AVES; TIPO: POLLO, PRESENTACION: CAJA X 22 Kg, EVISCERADO: SI, ELEM. TRANSPORTE: SIN, MATERIAL ELEM. TRANSPORTE: SIN, LIBRE DE GLUTEN: SIN VALOR</t>
  </si>
  <si>
    <t>FRUTAS; VARIEDAD: PERA AMARILLA, ESTADO: NATURAL, PRESENTACION: CAJON, PESO: SIN VALOR</t>
  </si>
  <si>
    <t>VERDURAS Y HORTALIZAS; VARIEDAD: PEREJIL, ESTADO: NATURAL, PRESENTACION: ATADO, PESO: 1 Kg</t>
  </si>
  <si>
    <t>ESPECIAS; TIPO: PIMENTON DULCE, PRESENTACION: PAQUETE X 50 GR</t>
  </si>
  <si>
    <t>ESPECIAS; TIPO: PIMIENTA NEGRA MOLIDA, PRESENTACION: ENVASE X 25 GR</t>
  </si>
  <si>
    <t>VERDURAS Y HORTALIZAS; VARIEDAD: MORRON ROJO, ESTADO: NATURAL, PRESENTACION: ENVASE X 10 Kg, PESO: 10 Kg, ELEM. TRANSPORTE: CAJON, MATERIAL ELEM. TRANSPORTE: MADERA, LIBRE DE GLUTEN: SI</t>
  </si>
  <si>
    <t>VERDURAS Y HORTALIZAS; VARIEDAD: MORRON VERDE, ESTADO: NATURAL, PRESENTACION: GRANEL, PESO: SIN VALOR</t>
  </si>
  <si>
    <t>ESPECIAS; TIPO: PROVENZAL, PRESENTACION: SOBRE X 50 GR, LIBRE DE GLUTEN: SI</t>
  </si>
  <si>
    <t>QUESOS; TIPO: CREMOSO, PRESENTACION: AL PESO, ELEM. TRANSPORTE: SIN, MATERIAL ELEM. TRANSPORTE: SIN, MATERIAL ENVASE: SIN, CERTIFICADO FORESTAL (GFS): SIN, LIBRE DE GLUTEN: A DEFINIR</t>
  </si>
  <si>
    <t>QUESOS; TIPO: SARDO, PRESENTACION: HORMA, ELEM. TRANSPORTE: SIN, MATERIAL ELEM. TRANSPORTE: SIN, MATERIAL ENVASE: SIN, CERTIFICADO FORESTAL (GFS): SIN, LIBRE DE GLUTEN: A DEFINIR</t>
  </si>
  <si>
    <t>QUESOS; TIPO: TYBO, PRESENTACION: ENVASE X 1 Kg, ELEM. TRANSPORTE: SIN, MATERIAL ELEM. TRANSPORTE: SIN, MATERIAL ENVASE: POLIESTIRENO, CERTIFICADO FORESTAL (GFS): SIN, LIBRE DE GLUTEN: SI</t>
  </si>
  <si>
    <t>PASTAS FRESCAS; VARIEDAD: RAVIOL, RELLENO: VERDURA Y POLLO, PRESENTACION: ENVASE X 500 GR</t>
  </si>
  <si>
    <t>SAL DE MESA; CONSISTENCIA: FINA, PESO: 500 GR, TIPO: SIN VALOR, ENVASE: PAQUETE</t>
  </si>
  <si>
    <t>SAL DE MESA; CONSISTENCIA: GRUESA, ENVASE: BOLSA, PESO: 1 Kg, TIPO: SIN VALOR</t>
  </si>
  <si>
    <t>TAPAS P/EMPANADAS; TIPO: P/HORNO, PRESENTACION: BOLSA X 12</t>
  </si>
  <si>
    <t>TAPAS P/TARTAS; TIPO: REDONDA, MASA: HOJALDRE, PRESENTACION: ENVASE X 400 GR</t>
  </si>
  <si>
    <t>TE; SAQUITOS 2G P/CAJA: 100, PRESENTACION: EN SAQUITOS ENSOBRADOS, PESO: SIN VALOR, TIPO: SIN VALOR</t>
  </si>
  <si>
    <t>VERDURAS Y HORTALIZAS; VARIEDAD: TOMATE REDONDO, ESTADO: NATURAL, PRESENTACION: CAJON, PESO: 10 Kg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</si>
  <si>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</si>
  <si>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</si>
  <si>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</si>
  <si>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YOGHURT; TIPO: DESCREMADO, AGREGADO: SIN, CONSISTENCIA: FIRME, SABOR: VAINILLA-FRUTILLA, PRESENTACION: POTE PLASTICO X 190 mL</t>
  </si>
  <si>
    <t>YOGHURT; TIPO: ENTERO, AGREGADO: SIN, CONSISTENCIA: FIRME, SABOR: VAINILLA-FRUTILLA, PRESENTACION: POTE PLASTICO X 190 mL</t>
  </si>
  <si>
    <t>VERDURAS Y HORTALIZAS; VARIEDAD: ZANAHORIA, ESTADO: NATURAL, PRESENTACION: BOLSA, PESO: NO CORRESPONDE, ELEM. TRANSPORTE: SIN, MATERIAL ELEM. TRANSPORTE: SIN, LIBRE DE GLUTEN: SI, ORGANICO: NO</t>
  </si>
  <si>
    <t>VERDURAS Y HORTALIZAS; VARIEDAD: ZAPALLITO REDONDO, ESTADO: NATURAL, PRESENTACION: CAJON, PESO: SIN VALOR</t>
  </si>
  <si>
    <t>VERDURAS Y HORTALIZAS; VARIEDAD: ZUCHINI, ESTADO: NATURAL, PRESENTACION: CAJON, PESO: 18 Kg</t>
  </si>
  <si>
    <t>VERDURAS Y HORTALIZAS; VARIEDAD: ZAPALLO CALABAZA, ESTADO: NATURAL, PRESENTACION: BOLSA, PESO: 20 Kg</t>
  </si>
  <si>
    <t>VERDURAS Y HORTALIZAS; VARIEDAD: ZAPALLO CRIOLLO, ESTADO: NATURAL, PRESENTACION: UNIDAD, PESO: SIN VALOR</t>
  </si>
  <si>
    <t>ADEREZOS; TIPO: MOSTAZA, ENVASE: POMO, CONTENIDO: 300 GR, PRESENTACION: ENVASE X 300 GR</t>
  </si>
  <si>
    <t>ESPECIAS; TIPO: PIMIENTA NEGRA, PRESENTACION: ENVASE X 25 GR, LIBRE DE GLUTEN: SI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</si>
  <si>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</si>
  <si>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</si>
  <si>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</si>
  <si>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CEREALES; TIPO: TRIGO BURGOL, PRESENTACION: ENVASE X 1 Kg</t>
  </si>
  <si>
    <t>RICOTA; ENVASE: PAQUETE, PESO: 1 Kg, SABOR: SIN</t>
  </si>
  <si>
    <t>PAQUETE</t>
  </si>
  <si>
    <t>CAJA</t>
  </si>
  <si>
    <t>CAJON</t>
  </si>
  <si>
    <t>BOLSA</t>
  </si>
  <si>
    <t>SOBRE</t>
  </si>
  <si>
    <t>CARTON</t>
  </si>
  <si>
    <t>HORMA</t>
  </si>
  <si>
    <t>VASO</t>
  </si>
  <si>
    <t>POMO</t>
  </si>
  <si>
    <t>269-Direccion Asistencial</t>
  </si>
  <si>
    <t>Servicio de Nutricion y Dietoterapia</t>
  </si>
  <si>
    <t>Item N° 13</t>
  </si>
  <si>
    <t>.</t>
  </si>
  <si>
    <t xml:space="preserve">PESO APROXIMADO DEL CAJON ENTRE 22 Y 24 KG </t>
  </si>
  <si>
    <t>Item N° 15</t>
  </si>
  <si>
    <t xml:space="preserve">PESO APROXIMADO DEL CAJON  13 KG  </t>
  </si>
  <si>
    <t>Item N° 57</t>
  </si>
  <si>
    <t xml:space="preserve">PESO APROXIMADO DEL CAJON  19 KG  </t>
  </si>
  <si>
    <t>Item N° 70</t>
  </si>
  <si>
    <t xml:space="preserve">PESO APROXIMADO DEL CAJON  18 KG  </t>
  </si>
  <si>
    <t>Item N° 75</t>
  </si>
  <si>
    <t xml:space="preserve">PESO APROXIMADO DEL CAJON  10 KG  </t>
  </si>
  <si>
    <t>Item N° 78</t>
  </si>
  <si>
    <t xml:space="preserve">PESO APROXIMADO DE LA ORMA  3,5 KG  </t>
  </si>
  <si>
    <t>Item N° 92</t>
  </si>
  <si>
    <t xml:space="preserve">PESO APROXIMADO DE LA BOLSA  14 KG  </t>
  </si>
  <si>
    <t>Item N° 93</t>
  </si>
  <si>
    <t xml:space="preserve">PESO APROXIMADO DEL CAJON   18 KG  </t>
  </si>
  <si>
    <t>Item N° 54</t>
  </si>
  <si>
    <t xml:space="preserve">PESO APROXIMADO DEL CAJON  4 KG  </t>
  </si>
  <si>
    <t>Item N° 62</t>
  </si>
  <si>
    <t>Item N° 96</t>
  </si>
  <si>
    <t xml:space="preserve">PESO APROXIMADO DEL ZAPALLO ENTRE 10 Y 15 KG  </t>
  </si>
  <si>
    <t>30 dias habiles</t>
  </si>
  <si>
    <t>SI</t>
  </si>
  <si>
    <t xml:space="preserve">1er.  </t>
  </si>
  <si>
    <t>Item N° 02</t>
  </si>
  <si>
    <t xml:space="preserve">PESO APROXIMADO DEL ATADO DE ACELGA  300 GRAMOS </t>
  </si>
  <si>
    <t>Costo total estimado: CINCO MILLONES SESENTA Y OCHO MIL DOSCIENTOS VEINTE con 25/100.-</t>
  </si>
  <si>
    <t>TOTAL DE PESOS: CINCO MILLONES SESENTA Y OCHOS MIL DOSCIENTOS VEINTE CON 25/100 CENTAVOS.-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</si>
</sst>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6" fontId="0" fillId="0" borderId="0" xfId="0" applyNumberFormat="1"/>
    <xf numFmtId="166" fontId="0" fillId="0" borderId="35" xfId="3" applyNumberFormat="1" applyFont="1" applyBorder="1" applyAlignment="1" applyProtection="1">
      <alignment horizontal="right" vertical="center"/>
    </xf>
    <xf numFmtId="166" fontId="13" fillId="0" borderId="40" xfId="0" applyNumberFormat="1" applyFont="1" applyBorder="1" applyAlignment="1">
      <alignment horizontal="right" vertical="center"/>
    </xf>
    <xf numFmtId="0" fontId="19" fillId="0" borderId="45" xfId="0" applyFont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1" fillId="4" borderId="54" xfId="0" applyFont="1" applyFill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166" fontId="20" fillId="4" borderId="51" xfId="1" applyNumberFormat="1" applyFont="1" applyFill="1" applyBorder="1" applyAlignment="1" applyProtection="1">
      <alignment horizontal="center" vertical="center" wrapText="1"/>
    </xf>
    <xf numFmtId="166" fontId="20" fillId="4" borderId="56" xfId="1" applyNumberFormat="1" applyFont="1" applyFill="1" applyBorder="1" applyAlignment="1" applyProtection="1">
      <alignment horizontal="center" vertical="center" wrapText="1"/>
    </xf>
    <xf numFmtId="0" fontId="4" fillId="5" borderId="19" xfId="0" applyFont="1" applyFill="1" applyBorder="1" applyAlignment="1">
      <alignment horizontal="center" vertical="center"/>
    </xf>
    <xf numFmtId="166" fontId="4" fillId="5" borderId="19" xfId="1" applyNumberFormat="1" applyFont="1" applyFill="1" applyBorder="1" applyAlignment="1" applyProtection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4" borderId="52" xfId="0" applyFont="1" applyFill="1" applyBorder="1" applyAlignment="1">
      <alignment horizontal="center" vertical="center" wrapText="1"/>
    </xf>
    <xf numFmtId="0" fontId="27" fillId="4" borderId="47" xfId="0" applyFont="1" applyFill="1" applyBorder="1" applyAlignment="1">
      <alignment horizontal="center" vertical="center" wrapText="1"/>
    </xf>
    <xf numFmtId="166" fontId="28" fillId="4" borderId="60" xfId="1" applyNumberFormat="1" applyFont="1" applyFill="1" applyBorder="1" applyAlignment="1" applyProtection="1">
      <alignment horizontal="center" vertical="center" wrapText="1"/>
    </xf>
    <xf numFmtId="166" fontId="28" fillId="4" borderId="19" xfId="1" applyNumberFormat="1" applyFont="1" applyFill="1" applyBorder="1" applyAlignment="1" applyProtection="1">
      <alignment horizontal="center" vertical="center" wrapText="1"/>
    </xf>
    <xf numFmtId="0" fontId="27" fillId="0" borderId="55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center" vertical="center" wrapText="1"/>
    </xf>
    <xf numFmtId="0" fontId="27" fillId="4" borderId="44" xfId="0" applyFont="1" applyFill="1" applyBorder="1" applyAlignment="1">
      <alignment horizontal="center" vertical="center" wrapText="1"/>
    </xf>
    <xf numFmtId="166" fontId="28" fillId="4" borderId="50" xfId="1" applyNumberFormat="1" applyFont="1" applyFill="1" applyBorder="1" applyAlignment="1" applyProtection="1">
      <alignment horizontal="center" vertical="center" wrapText="1"/>
    </xf>
    <xf numFmtId="166" fontId="28" fillId="4" borderId="55" xfId="1" applyNumberFormat="1" applyFont="1" applyFill="1" applyBorder="1" applyAlignment="1" applyProtection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6" xfId="0" applyFont="1" applyBorder="1" applyAlignment="1">
      <alignment horizontal="left"/>
    </xf>
    <xf numFmtId="0" fontId="15" fillId="0" borderId="0" xfId="0" applyFont="1" applyFill="1" applyBorder="1"/>
    <xf numFmtId="0" fontId="15" fillId="0" borderId="0" xfId="0" applyFont="1" applyFill="1" applyBorder="1" applyAlignment="1">
      <alignment vertical="center" wrapText="1"/>
    </xf>
    <xf numFmtId="0" fontId="15" fillId="0" borderId="0" xfId="0" applyFont="1" applyBorder="1" applyAlignment="1">
      <alignment horizontal="left" indent="3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2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center" vertical="center" wrapText="1"/>
    </xf>
    <xf numFmtId="166" fontId="20" fillId="4" borderId="0" xfId="1" applyNumberFormat="1" applyFont="1" applyFill="1" applyBorder="1" applyAlignment="1" applyProtection="1">
      <alignment horizontal="center" vertical="center" wrapText="1"/>
    </xf>
    <xf numFmtId="167" fontId="0" fillId="0" borderId="0" xfId="0" applyNumberFormat="1"/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6" fillId="5" borderId="14" xfId="0" applyFont="1" applyFill="1" applyBorder="1" applyAlignment="1">
      <alignment horizontal="left" vertical="center" wrapText="1" indent="1"/>
    </xf>
    <xf numFmtId="167" fontId="26" fillId="5" borderId="14" xfId="0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3" fillId="0" borderId="40" xfId="0" applyFont="1" applyBorder="1" applyAlignment="1">
      <alignment horizontal="left" vertical="center" wrapText="1"/>
    </xf>
    <xf numFmtId="0" fontId="0" fillId="0" borderId="22" xfId="0" applyBorder="1"/>
    <xf numFmtId="0" fontId="0" fillId="0" borderId="47" xfId="0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1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9"/>
  <sheetViews>
    <sheetView tabSelected="1" zoomScale="90" zoomScaleNormal="90" workbookViewId="0">
      <selection activeCell="H134" sqref="H134"/>
    </sheetView>
  </sheetViews>
  <sheetFormatPr baseColWidth="10" defaultColWidth="11" defaultRowHeight="12.75" x14ac:dyDescent="0.2"/>
  <cols>
    <col min="1" max="1" width="4.5703125" style="37" customWidth="1"/>
    <col min="2" max="2" width="14" style="37" customWidth="1"/>
    <col min="3" max="3" width="21.710937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07" t="s">
        <v>0</v>
      </c>
      <c r="C2" s="107"/>
      <c r="D2" s="107"/>
      <c r="E2" s="107"/>
      <c r="F2" s="107"/>
      <c r="G2" s="107"/>
      <c r="H2" s="107"/>
    </row>
    <row r="4" spans="1:9" ht="18" customHeight="1" x14ac:dyDescent="0.25">
      <c r="A4" s="106" t="s">
        <v>1</v>
      </c>
      <c r="B4" s="106"/>
      <c r="C4" s="108" t="s">
        <v>57</v>
      </c>
      <c r="D4" s="108"/>
      <c r="E4" s="108"/>
      <c r="F4" s="38"/>
      <c r="G4" s="39"/>
      <c r="H4" s="38"/>
    </row>
    <row r="5" spans="1:9" ht="18" customHeight="1" x14ac:dyDescent="0.25">
      <c r="A5" s="106" t="s">
        <v>2</v>
      </c>
      <c r="B5" s="106"/>
      <c r="C5" s="108" t="s">
        <v>60</v>
      </c>
      <c r="D5" s="108"/>
      <c r="E5" s="108"/>
      <c r="F5" s="38"/>
      <c r="G5" s="39"/>
      <c r="H5" s="38"/>
    </row>
    <row r="6" spans="1:9" ht="16.5" customHeight="1" x14ac:dyDescent="0.25">
      <c r="A6" s="106" t="s">
        <v>3</v>
      </c>
      <c r="B6" s="106"/>
      <c r="C6" s="96">
        <v>2021</v>
      </c>
      <c r="D6" s="97"/>
      <c r="E6" s="97"/>
      <c r="F6" s="38"/>
      <c r="G6" s="39"/>
      <c r="H6" s="38"/>
    </row>
    <row r="7" spans="1:9" ht="16.5" customHeight="1" x14ac:dyDescent="0.25">
      <c r="A7" s="106" t="s">
        <v>4</v>
      </c>
      <c r="B7" s="106"/>
      <c r="C7" s="96" t="s">
        <v>315</v>
      </c>
      <c r="D7" s="97"/>
      <c r="E7" s="97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8" t="s">
        <v>5</v>
      </c>
      <c r="B9" s="87" t="s">
        <v>6</v>
      </c>
      <c r="C9" s="48" t="s">
        <v>7</v>
      </c>
      <c r="D9" s="63" t="s">
        <v>8</v>
      </c>
      <c r="E9" s="57" t="s">
        <v>9</v>
      </c>
      <c r="F9" s="60" t="s">
        <v>10</v>
      </c>
      <c r="G9" s="57" t="s">
        <v>11</v>
      </c>
      <c r="H9" s="59" t="s">
        <v>12</v>
      </c>
      <c r="I9" s="57" t="s">
        <v>13</v>
      </c>
    </row>
    <row r="10" spans="1:9" ht="45.75" customHeight="1" x14ac:dyDescent="0.2">
      <c r="A10" s="74">
        <v>1</v>
      </c>
      <c r="B10" s="88" t="s">
        <v>61</v>
      </c>
      <c r="C10" s="74" t="s">
        <v>71</v>
      </c>
      <c r="D10" s="75" t="s">
        <v>72</v>
      </c>
      <c r="E10" s="76" t="s">
        <v>62</v>
      </c>
      <c r="F10" s="77" t="s">
        <v>79</v>
      </c>
      <c r="G10" s="78">
        <v>200</v>
      </c>
      <c r="H10" s="79">
        <v>140.80000000000001</v>
      </c>
      <c r="I10" s="80">
        <f t="shared" ref="I10:I13" si="0">G10*H10</f>
        <v>28160.000000000004</v>
      </c>
    </row>
    <row r="11" spans="1:9" ht="31.9" customHeight="1" x14ac:dyDescent="0.2">
      <c r="A11" s="81">
        <v>2</v>
      </c>
      <c r="B11" s="75" t="s">
        <v>63</v>
      </c>
      <c r="C11" s="81" t="s">
        <v>71</v>
      </c>
      <c r="D11" s="75" t="s">
        <v>72</v>
      </c>
      <c r="E11" s="82" t="s">
        <v>64</v>
      </c>
      <c r="F11" s="83" t="s">
        <v>73</v>
      </c>
      <c r="G11" s="84">
        <v>860</v>
      </c>
      <c r="H11" s="85">
        <v>21.12</v>
      </c>
      <c r="I11" s="86">
        <f t="shared" si="0"/>
        <v>18163.2</v>
      </c>
    </row>
    <row r="12" spans="1:9" ht="31.9" customHeight="1" x14ac:dyDescent="0.2">
      <c r="A12" s="81">
        <v>3</v>
      </c>
      <c r="B12" s="75" t="s">
        <v>65</v>
      </c>
      <c r="C12" s="81" t="s">
        <v>71</v>
      </c>
      <c r="D12" s="75" t="s">
        <v>72</v>
      </c>
      <c r="E12" s="82" t="s">
        <v>66</v>
      </c>
      <c r="F12" s="83" t="s">
        <v>80</v>
      </c>
      <c r="G12" s="84">
        <v>80</v>
      </c>
      <c r="H12" s="85">
        <v>50.6</v>
      </c>
      <c r="I12" s="86">
        <f t="shared" si="0"/>
        <v>4048</v>
      </c>
    </row>
    <row r="13" spans="1:9" ht="31.9" customHeight="1" x14ac:dyDescent="0.2">
      <c r="A13" s="81">
        <v>4</v>
      </c>
      <c r="B13" s="75" t="s">
        <v>67</v>
      </c>
      <c r="C13" s="81" t="s">
        <v>71</v>
      </c>
      <c r="D13" s="75" t="s">
        <v>72</v>
      </c>
      <c r="E13" s="82" t="s">
        <v>68</v>
      </c>
      <c r="F13" s="83" t="s">
        <v>74</v>
      </c>
      <c r="G13" s="84">
        <v>80</v>
      </c>
      <c r="H13" s="85">
        <v>324.5</v>
      </c>
      <c r="I13" s="86">
        <f t="shared" si="0"/>
        <v>25960</v>
      </c>
    </row>
    <row r="14" spans="1:9" ht="31.9" customHeight="1" x14ac:dyDescent="0.2">
      <c r="A14" s="81">
        <v>5</v>
      </c>
      <c r="B14" s="75" t="s">
        <v>69</v>
      </c>
      <c r="C14" s="81" t="s">
        <v>71</v>
      </c>
      <c r="D14" s="75" t="s">
        <v>72</v>
      </c>
      <c r="E14" s="82" t="s">
        <v>70</v>
      </c>
      <c r="F14" s="83" t="s">
        <v>75</v>
      </c>
      <c r="G14" s="84">
        <v>1200</v>
      </c>
      <c r="H14" s="85">
        <v>44</v>
      </c>
      <c r="I14" s="86">
        <f t="shared" ref="I14:I76" si="1">G14*H14</f>
        <v>52800</v>
      </c>
    </row>
    <row r="15" spans="1:9" ht="31.9" customHeight="1" x14ac:dyDescent="0.2">
      <c r="A15" s="81">
        <v>6</v>
      </c>
      <c r="B15" s="75" t="s">
        <v>84</v>
      </c>
      <c r="C15" s="81" t="s">
        <v>71</v>
      </c>
      <c r="D15" s="75" t="s">
        <v>72</v>
      </c>
      <c r="E15" s="82" t="s">
        <v>182</v>
      </c>
      <c r="F15" s="83" t="s">
        <v>73</v>
      </c>
      <c r="G15" s="84">
        <v>40</v>
      </c>
      <c r="H15" s="85">
        <v>99.000000000000014</v>
      </c>
      <c r="I15" s="86">
        <f t="shared" si="1"/>
        <v>3960.0000000000005</v>
      </c>
    </row>
    <row r="16" spans="1:9" ht="31.9" customHeight="1" x14ac:dyDescent="0.2">
      <c r="A16" s="81">
        <v>7</v>
      </c>
      <c r="B16" s="75" t="s">
        <v>85</v>
      </c>
      <c r="C16" s="81" t="s">
        <v>71</v>
      </c>
      <c r="D16" s="75" t="s">
        <v>72</v>
      </c>
      <c r="E16" s="82" t="s">
        <v>183</v>
      </c>
      <c r="F16" s="83" t="s">
        <v>280</v>
      </c>
      <c r="G16" s="84">
        <v>250</v>
      </c>
      <c r="H16" s="85">
        <v>300</v>
      </c>
      <c r="I16" s="86">
        <f t="shared" si="1"/>
        <v>75000</v>
      </c>
    </row>
    <row r="17" spans="1:9" ht="31.9" customHeight="1" x14ac:dyDescent="0.2">
      <c r="A17" s="81">
        <v>8</v>
      </c>
      <c r="B17" s="75" t="s">
        <v>86</v>
      </c>
      <c r="C17" s="81" t="s">
        <v>71</v>
      </c>
      <c r="D17" s="75" t="s">
        <v>72</v>
      </c>
      <c r="E17" s="82" t="s">
        <v>184</v>
      </c>
      <c r="F17" s="83" t="s">
        <v>280</v>
      </c>
      <c r="G17" s="84">
        <v>100</v>
      </c>
      <c r="H17" s="85">
        <v>80.300000000000011</v>
      </c>
      <c r="I17" s="86">
        <f t="shared" si="1"/>
        <v>8030.0000000000009</v>
      </c>
    </row>
    <row r="18" spans="1:9" ht="31.9" customHeight="1" x14ac:dyDescent="0.2">
      <c r="A18" s="81">
        <v>9</v>
      </c>
      <c r="B18" s="75" t="s">
        <v>87</v>
      </c>
      <c r="C18" s="81" t="s">
        <v>71</v>
      </c>
      <c r="D18" s="75" t="s">
        <v>72</v>
      </c>
      <c r="E18" s="82" t="s">
        <v>185</v>
      </c>
      <c r="F18" s="83" t="s">
        <v>74</v>
      </c>
      <c r="G18" s="84">
        <v>160</v>
      </c>
      <c r="H18" s="85">
        <v>148.5</v>
      </c>
      <c r="I18" s="86">
        <f t="shared" si="1"/>
        <v>23760</v>
      </c>
    </row>
    <row r="19" spans="1:9" ht="31.9" customHeight="1" x14ac:dyDescent="0.2">
      <c r="A19" s="81">
        <v>10</v>
      </c>
      <c r="B19" s="75" t="s">
        <v>88</v>
      </c>
      <c r="C19" s="81" t="s">
        <v>71</v>
      </c>
      <c r="D19" s="75" t="s">
        <v>72</v>
      </c>
      <c r="E19" s="82" t="s">
        <v>186</v>
      </c>
      <c r="F19" s="83" t="s">
        <v>281</v>
      </c>
      <c r="G19" s="84">
        <v>20</v>
      </c>
      <c r="H19" s="85">
        <v>93.500000000000014</v>
      </c>
      <c r="I19" s="86">
        <f t="shared" si="1"/>
        <v>1870.0000000000002</v>
      </c>
    </row>
    <row r="20" spans="1:9" ht="31.9" customHeight="1" x14ac:dyDescent="0.2">
      <c r="A20" s="81">
        <v>11</v>
      </c>
      <c r="B20" s="75" t="s">
        <v>89</v>
      </c>
      <c r="C20" s="81" t="s">
        <v>71</v>
      </c>
      <c r="D20" s="75" t="s">
        <v>72</v>
      </c>
      <c r="E20" s="82" t="s">
        <v>187</v>
      </c>
      <c r="F20" s="83" t="s">
        <v>74</v>
      </c>
      <c r="G20" s="84">
        <v>200</v>
      </c>
      <c r="H20" s="85">
        <v>35.200000000000003</v>
      </c>
      <c r="I20" s="86">
        <f t="shared" si="1"/>
        <v>7040.0000000000009</v>
      </c>
    </row>
    <row r="21" spans="1:9" ht="31.9" customHeight="1" x14ac:dyDescent="0.2">
      <c r="A21" s="81">
        <v>12</v>
      </c>
      <c r="B21" s="75" t="s">
        <v>90</v>
      </c>
      <c r="C21" s="81" t="s">
        <v>71</v>
      </c>
      <c r="D21" s="75" t="s">
        <v>72</v>
      </c>
      <c r="E21" s="82" t="s">
        <v>188</v>
      </c>
      <c r="F21" s="83" t="s">
        <v>280</v>
      </c>
      <c r="G21" s="84">
        <v>400</v>
      </c>
      <c r="H21" s="85">
        <v>60.500000000000007</v>
      </c>
      <c r="I21" s="86">
        <f t="shared" si="1"/>
        <v>24200.000000000004</v>
      </c>
    </row>
    <row r="22" spans="1:9" ht="31.9" customHeight="1" x14ac:dyDescent="0.2">
      <c r="A22" s="81">
        <v>13</v>
      </c>
      <c r="B22" s="75" t="s">
        <v>91</v>
      </c>
      <c r="C22" s="81" t="s">
        <v>71</v>
      </c>
      <c r="D22" s="75" t="s">
        <v>72</v>
      </c>
      <c r="E22" s="82" t="s">
        <v>189</v>
      </c>
      <c r="F22" s="83" t="s">
        <v>282</v>
      </c>
      <c r="G22" s="84">
        <v>10</v>
      </c>
      <c r="H22" s="85">
        <v>1606.0000000000002</v>
      </c>
      <c r="I22" s="86">
        <f t="shared" si="1"/>
        <v>16060.000000000002</v>
      </c>
    </row>
    <row r="23" spans="1:9" ht="31.9" customHeight="1" x14ac:dyDescent="0.2">
      <c r="A23" s="81">
        <v>14</v>
      </c>
      <c r="B23" s="75" t="s">
        <v>92</v>
      </c>
      <c r="C23" s="81" t="s">
        <v>71</v>
      </c>
      <c r="D23" s="75" t="s">
        <v>72</v>
      </c>
      <c r="E23" s="82" t="s">
        <v>190</v>
      </c>
      <c r="F23" s="83" t="s">
        <v>283</v>
      </c>
      <c r="G23" s="84">
        <v>15</v>
      </c>
      <c r="H23" s="85">
        <v>385.00000000000006</v>
      </c>
      <c r="I23" s="86">
        <f t="shared" si="1"/>
        <v>5775.0000000000009</v>
      </c>
    </row>
    <row r="24" spans="1:9" ht="31.9" customHeight="1" x14ac:dyDescent="0.2">
      <c r="A24" s="81">
        <v>15</v>
      </c>
      <c r="B24" s="75" t="s">
        <v>93</v>
      </c>
      <c r="C24" s="81" t="s">
        <v>71</v>
      </c>
      <c r="D24" s="75" t="s">
        <v>72</v>
      </c>
      <c r="E24" s="82" t="s">
        <v>191</v>
      </c>
      <c r="F24" s="83" t="s">
        <v>282</v>
      </c>
      <c r="G24" s="84">
        <v>10</v>
      </c>
      <c r="H24" s="85">
        <v>1067</v>
      </c>
      <c r="I24" s="86">
        <f t="shared" si="1"/>
        <v>10670</v>
      </c>
    </row>
    <row r="25" spans="1:9" ht="31.9" customHeight="1" x14ac:dyDescent="0.2">
      <c r="A25" s="81">
        <v>16</v>
      </c>
      <c r="B25" s="75" t="s">
        <v>94</v>
      </c>
      <c r="C25" s="81" t="s">
        <v>71</v>
      </c>
      <c r="D25" s="75" t="s">
        <v>72</v>
      </c>
      <c r="E25" s="82" t="s">
        <v>192</v>
      </c>
      <c r="F25" s="83" t="s">
        <v>75</v>
      </c>
      <c r="G25" s="84">
        <v>300</v>
      </c>
      <c r="H25" s="85">
        <v>707.30000000000007</v>
      </c>
      <c r="I25" s="86">
        <f t="shared" si="1"/>
        <v>212190.00000000003</v>
      </c>
    </row>
    <row r="26" spans="1:9" ht="31.9" customHeight="1" x14ac:dyDescent="0.2">
      <c r="A26" s="81">
        <v>17</v>
      </c>
      <c r="B26" s="75" t="s">
        <v>95</v>
      </c>
      <c r="C26" s="81" t="s">
        <v>71</v>
      </c>
      <c r="D26" s="75" t="s">
        <v>72</v>
      </c>
      <c r="E26" s="82" t="s">
        <v>193</v>
      </c>
      <c r="F26" s="83" t="s">
        <v>280</v>
      </c>
      <c r="G26" s="84">
        <v>40</v>
      </c>
      <c r="H26" s="85">
        <v>126.50000000000001</v>
      </c>
      <c r="I26" s="86">
        <f t="shared" si="1"/>
        <v>5060.0000000000009</v>
      </c>
    </row>
    <row r="27" spans="1:9" ht="31.9" customHeight="1" x14ac:dyDescent="0.2">
      <c r="A27" s="81">
        <v>18</v>
      </c>
      <c r="B27" s="75" t="s">
        <v>96</v>
      </c>
      <c r="C27" s="81" t="s">
        <v>71</v>
      </c>
      <c r="D27" s="75" t="s">
        <v>72</v>
      </c>
      <c r="E27" s="82" t="s">
        <v>194</v>
      </c>
      <c r="F27" s="83" t="s">
        <v>75</v>
      </c>
      <c r="G27" s="84">
        <v>150</v>
      </c>
      <c r="H27" s="85">
        <v>421.3</v>
      </c>
      <c r="I27" s="86">
        <f t="shared" si="1"/>
        <v>63195</v>
      </c>
    </row>
    <row r="28" spans="1:9" ht="31.9" customHeight="1" x14ac:dyDescent="0.2">
      <c r="A28" s="81">
        <v>19</v>
      </c>
      <c r="B28" s="75" t="s">
        <v>97</v>
      </c>
      <c r="C28" s="81" t="s">
        <v>71</v>
      </c>
      <c r="D28" s="75" t="s">
        <v>72</v>
      </c>
      <c r="E28" s="82" t="s">
        <v>195</v>
      </c>
      <c r="F28" s="83" t="s">
        <v>283</v>
      </c>
      <c r="G28" s="84">
        <v>36</v>
      </c>
      <c r="H28" s="85">
        <v>1364</v>
      </c>
      <c r="I28" s="86">
        <f t="shared" si="1"/>
        <v>49104</v>
      </c>
    </row>
    <row r="29" spans="1:9" ht="31.9" customHeight="1" x14ac:dyDescent="0.2">
      <c r="A29" s="81">
        <v>20</v>
      </c>
      <c r="B29" s="75" t="s">
        <v>98</v>
      </c>
      <c r="C29" s="81" t="s">
        <v>71</v>
      </c>
      <c r="D29" s="75" t="s">
        <v>72</v>
      </c>
      <c r="E29" s="82" t="s">
        <v>196</v>
      </c>
      <c r="F29" s="83" t="s">
        <v>282</v>
      </c>
      <c r="G29" s="84">
        <v>2</v>
      </c>
      <c r="H29" s="85">
        <v>495.00000000000006</v>
      </c>
      <c r="I29" s="86">
        <f t="shared" si="1"/>
        <v>990.00000000000011</v>
      </c>
    </row>
    <row r="30" spans="1:9" ht="31.9" customHeight="1" x14ac:dyDescent="0.2">
      <c r="A30" s="81">
        <v>21</v>
      </c>
      <c r="B30" s="75" t="s">
        <v>99</v>
      </c>
      <c r="C30" s="81" t="s">
        <v>71</v>
      </c>
      <c r="D30" s="75" t="s">
        <v>72</v>
      </c>
      <c r="E30" s="82" t="s">
        <v>197</v>
      </c>
      <c r="F30" s="83" t="s">
        <v>74</v>
      </c>
      <c r="G30" s="84">
        <v>200</v>
      </c>
      <c r="H30" s="85">
        <v>88</v>
      </c>
      <c r="I30" s="86">
        <f t="shared" si="1"/>
        <v>17600</v>
      </c>
    </row>
    <row r="31" spans="1:9" ht="31.9" customHeight="1" x14ac:dyDescent="0.2">
      <c r="A31" s="81">
        <v>22</v>
      </c>
      <c r="B31" s="75" t="s">
        <v>100</v>
      </c>
      <c r="C31" s="81" t="s">
        <v>71</v>
      </c>
      <c r="D31" s="75" t="s">
        <v>72</v>
      </c>
      <c r="E31" s="82" t="s">
        <v>198</v>
      </c>
      <c r="F31" s="83" t="s">
        <v>80</v>
      </c>
      <c r="G31" s="84">
        <v>2</v>
      </c>
      <c r="H31" s="85">
        <v>2717</v>
      </c>
      <c r="I31" s="86">
        <f t="shared" si="1"/>
        <v>5434</v>
      </c>
    </row>
    <row r="32" spans="1:9" ht="31.9" customHeight="1" x14ac:dyDescent="0.2">
      <c r="A32" s="81">
        <v>23</v>
      </c>
      <c r="B32" s="75" t="s">
        <v>101</v>
      </c>
      <c r="C32" s="81" t="s">
        <v>71</v>
      </c>
      <c r="D32" s="75" t="s">
        <v>72</v>
      </c>
      <c r="E32" s="82" t="s">
        <v>199</v>
      </c>
      <c r="F32" s="83" t="s">
        <v>74</v>
      </c>
      <c r="G32" s="84">
        <v>40</v>
      </c>
      <c r="H32" s="85">
        <v>820</v>
      </c>
      <c r="I32" s="86">
        <f t="shared" si="1"/>
        <v>32800</v>
      </c>
    </row>
    <row r="33" spans="1:9" ht="31.9" customHeight="1" x14ac:dyDescent="0.2">
      <c r="A33" s="81">
        <v>24</v>
      </c>
      <c r="B33" s="75" t="s">
        <v>102</v>
      </c>
      <c r="C33" s="81" t="s">
        <v>71</v>
      </c>
      <c r="D33" s="75" t="s">
        <v>72</v>
      </c>
      <c r="E33" s="82" t="s">
        <v>200</v>
      </c>
      <c r="F33" s="83" t="s">
        <v>74</v>
      </c>
      <c r="G33" s="84">
        <v>40</v>
      </c>
      <c r="H33" s="85">
        <v>820</v>
      </c>
      <c r="I33" s="86">
        <f t="shared" si="1"/>
        <v>32800</v>
      </c>
    </row>
    <row r="34" spans="1:9" ht="31.9" customHeight="1" x14ac:dyDescent="0.2">
      <c r="A34" s="81">
        <v>25</v>
      </c>
      <c r="B34" s="75" t="s">
        <v>103</v>
      </c>
      <c r="C34" s="81" t="s">
        <v>71</v>
      </c>
      <c r="D34" s="75" t="s">
        <v>72</v>
      </c>
      <c r="E34" s="82" t="s">
        <v>201</v>
      </c>
      <c r="F34" s="83" t="s">
        <v>75</v>
      </c>
      <c r="G34" s="84">
        <v>200</v>
      </c>
      <c r="H34" s="85">
        <v>486.20000000000005</v>
      </c>
      <c r="I34" s="86">
        <f t="shared" si="1"/>
        <v>97240.000000000015</v>
      </c>
    </row>
    <row r="35" spans="1:9" ht="31.9" customHeight="1" x14ac:dyDescent="0.2">
      <c r="A35" s="81">
        <v>26</v>
      </c>
      <c r="B35" s="75" t="s">
        <v>104</v>
      </c>
      <c r="C35" s="81" t="s">
        <v>71</v>
      </c>
      <c r="D35" s="75" t="s">
        <v>72</v>
      </c>
      <c r="E35" s="82" t="s">
        <v>202</v>
      </c>
      <c r="F35" s="83" t="s">
        <v>284</v>
      </c>
      <c r="G35" s="84">
        <v>25</v>
      </c>
      <c r="H35" s="85">
        <v>39.6</v>
      </c>
      <c r="I35" s="86">
        <f t="shared" si="1"/>
        <v>990</v>
      </c>
    </row>
    <row r="36" spans="1:9" ht="31.9" customHeight="1" x14ac:dyDescent="0.2">
      <c r="A36" s="81">
        <v>27</v>
      </c>
      <c r="B36" s="75" t="s">
        <v>105</v>
      </c>
      <c r="C36" s="81" t="s">
        <v>71</v>
      </c>
      <c r="D36" s="75" t="s">
        <v>72</v>
      </c>
      <c r="E36" s="82" t="s">
        <v>203</v>
      </c>
      <c r="F36" s="83" t="s">
        <v>284</v>
      </c>
      <c r="G36" s="84">
        <v>60</v>
      </c>
      <c r="H36" s="85">
        <v>38.5</v>
      </c>
      <c r="I36" s="86">
        <f t="shared" si="1"/>
        <v>2310</v>
      </c>
    </row>
    <row r="37" spans="1:9" ht="31.9" customHeight="1" x14ac:dyDescent="0.2">
      <c r="A37" s="81">
        <v>28</v>
      </c>
      <c r="B37" s="75" t="s">
        <v>106</v>
      </c>
      <c r="C37" s="81" t="s">
        <v>71</v>
      </c>
      <c r="D37" s="75" t="s">
        <v>72</v>
      </c>
      <c r="E37" s="82" t="s">
        <v>204</v>
      </c>
      <c r="F37" s="83" t="s">
        <v>74</v>
      </c>
      <c r="G37" s="84">
        <v>20</v>
      </c>
      <c r="H37" s="85">
        <v>935.00000000000011</v>
      </c>
      <c r="I37" s="86">
        <f t="shared" si="1"/>
        <v>18700.000000000004</v>
      </c>
    </row>
    <row r="38" spans="1:9" ht="31.9" customHeight="1" x14ac:dyDescent="0.2">
      <c r="A38" s="81">
        <v>29</v>
      </c>
      <c r="B38" s="75" t="s">
        <v>107</v>
      </c>
      <c r="C38" s="81" t="s">
        <v>71</v>
      </c>
      <c r="D38" s="75" t="s">
        <v>72</v>
      </c>
      <c r="E38" s="82" t="s">
        <v>205</v>
      </c>
      <c r="F38" s="83" t="s">
        <v>75</v>
      </c>
      <c r="G38" s="84">
        <v>20</v>
      </c>
      <c r="H38" s="85">
        <v>236.50000000000003</v>
      </c>
      <c r="I38" s="86">
        <f t="shared" si="1"/>
        <v>4730.0000000000009</v>
      </c>
    </row>
    <row r="39" spans="1:9" ht="31.9" customHeight="1" x14ac:dyDescent="0.2">
      <c r="A39" s="81">
        <v>30</v>
      </c>
      <c r="B39" s="75" t="s">
        <v>108</v>
      </c>
      <c r="C39" s="81" t="s">
        <v>71</v>
      </c>
      <c r="D39" s="75" t="s">
        <v>72</v>
      </c>
      <c r="E39" s="82" t="s">
        <v>206</v>
      </c>
      <c r="F39" s="83" t="s">
        <v>74</v>
      </c>
      <c r="G39" s="84">
        <v>20</v>
      </c>
      <c r="H39" s="85">
        <v>1089</v>
      </c>
      <c r="I39" s="86">
        <f t="shared" si="1"/>
        <v>21780</v>
      </c>
    </row>
    <row r="40" spans="1:9" ht="31.9" customHeight="1" x14ac:dyDescent="0.2">
      <c r="A40" s="81">
        <v>31</v>
      </c>
      <c r="B40" s="75" t="s">
        <v>109</v>
      </c>
      <c r="C40" s="81" t="s">
        <v>71</v>
      </c>
      <c r="D40" s="75" t="s">
        <v>72</v>
      </c>
      <c r="E40" s="82" t="s">
        <v>207</v>
      </c>
      <c r="F40" s="83" t="s">
        <v>74</v>
      </c>
      <c r="G40" s="84">
        <v>60</v>
      </c>
      <c r="H40" s="85">
        <v>121.00000000000001</v>
      </c>
      <c r="I40" s="86">
        <f t="shared" si="1"/>
        <v>7260.0000000000009</v>
      </c>
    </row>
    <row r="41" spans="1:9" ht="31.9" customHeight="1" x14ac:dyDescent="0.2">
      <c r="A41" s="81">
        <v>32</v>
      </c>
      <c r="B41" s="75" t="s">
        <v>110</v>
      </c>
      <c r="C41" s="81" t="s">
        <v>71</v>
      </c>
      <c r="D41" s="75" t="s">
        <v>72</v>
      </c>
      <c r="E41" s="82" t="s">
        <v>208</v>
      </c>
      <c r="F41" s="83" t="s">
        <v>74</v>
      </c>
      <c r="G41" s="84">
        <v>44</v>
      </c>
      <c r="H41" s="85">
        <v>121.00000000000001</v>
      </c>
      <c r="I41" s="86">
        <f t="shared" si="1"/>
        <v>5324.0000000000009</v>
      </c>
    </row>
    <row r="42" spans="1:9" ht="31.9" customHeight="1" x14ac:dyDescent="0.2">
      <c r="A42" s="81">
        <v>33</v>
      </c>
      <c r="B42" s="75" t="s">
        <v>111</v>
      </c>
      <c r="C42" s="81" t="s">
        <v>71</v>
      </c>
      <c r="D42" s="75" t="s">
        <v>72</v>
      </c>
      <c r="E42" s="82" t="s">
        <v>209</v>
      </c>
      <c r="F42" s="83" t="s">
        <v>79</v>
      </c>
      <c r="G42" s="84">
        <v>12</v>
      </c>
      <c r="H42" s="85">
        <v>176</v>
      </c>
      <c r="I42" s="86">
        <f t="shared" si="1"/>
        <v>2112</v>
      </c>
    </row>
    <row r="43" spans="1:9" ht="31.9" customHeight="1" x14ac:dyDescent="0.2">
      <c r="A43" s="81">
        <v>34</v>
      </c>
      <c r="B43" s="75" t="s">
        <v>112</v>
      </c>
      <c r="C43" s="81" t="s">
        <v>71</v>
      </c>
      <c r="D43" s="75" t="s">
        <v>72</v>
      </c>
      <c r="E43" s="82" t="s">
        <v>210</v>
      </c>
      <c r="F43" s="83" t="s">
        <v>281</v>
      </c>
      <c r="G43" s="84">
        <v>16</v>
      </c>
      <c r="H43" s="85">
        <v>220.00000000000003</v>
      </c>
      <c r="I43" s="86">
        <f t="shared" si="1"/>
        <v>3520.0000000000005</v>
      </c>
    </row>
    <row r="44" spans="1:9" ht="31.9" customHeight="1" x14ac:dyDescent="0.2">
      <c r="A44" s="81">
        <v>35</v>
      </c>
      <c r="B44" s="75" t="s">
        <v>113</v>
      </c>
      <c r="C44" s="81" t="s">
        <v>71</v>
      </c>
      <c r="D44" s="75" t="s">
        <v>72</v>
      </c>
      <c r="E44" s="82" t="s">
        <v>211</v>
      </c>
      <c r="F44" s="83" t="s">
        <v>280</v>
      </c>
      <c r="G44" s="84">
        <v>40</v>
      </c>
      <c r="H44" s="85">
        <v>50.87</v>
      </c>
      <c r="I44" s="86">
        <f t="shared" si="1"/>
        <v>2034.8</v>
      </c>
    </row>
    <row r="45" spans="1:9" ht="31.9" customHeight="1" x14ac:dyDescent="0.2">
      <c r="A45" s="81">
        <v>36</v>
      </c>
      <c r="B45" s="75" t="s">
        <v>114</v>
      </c>
      <c r="C45" s="81" t="s">
        <v>71</v>
      </c>
      <c r="D45" s="75" t="s">
        <v>72</v>
      </c>
      <c r="E45" s="82" t="s">
        <v>212</v>
      </c>
      <c r="F45" s="83" t="s">
        <v>280</v>
      </c>
      <c r="G45" s="84">
        <v>120</v>
      </c>
      <c r="H45" s="85">
        <v>50.87</v>
      </c>
      <c r="I45" s="86">
        <f t="shared" si="1"/>
        <v>6104.4</v>
      </c>
    </row>
    <row r="46" spans="1:9" ht="31.9" customHeight="1" x14ac:dyDescent="0.2">
      <c r="A46" s="81">
        <v>37</v>
      </c>
      <c r="B46" s="75" t="s">
        <v>115</v>
      </c>
      <c r="C46" s="81" t="s">
        <v>71</v>
      </c>
      <c r="D46" s="75" t="s">
        <v>72</v>
      </c>
      <c r="E46" s="82" t="s">
        <v>213</v>
      </c>
      <c r="F46" s="83" t="s">
        <v>280</v>
      </c>
      <c r="G46" s="84">
        <v>120</v>
      </c>
      <c r="H46" s="85">
        <v>50.87</v>
      </c>
      <c r="I46" s="86">
        <f t="shared" si="1"/>
        <v>6104.4</v>
      </c>
    </row>
    <row r="47" spans="1:9" ht="31.9" customHeight="1" x14ac:dyDescent="0.2">
      <c r="A47" s="81">
        <v>38</v>
      </c>
      <c r="B47" s="75" t="s">
        <v>116</v>
      </c>
      <c r="C47" s="81" t="s">
        <v>71</v>
      </c>
      <c r="D47" s="75" t="s">
        <v>72</v>
      </c>
      <c r="E47" s="82" t="s">
        <v>214</v>
      </c>
      <c r="F47" s="83" t="s">
        <v>281</v>
      </c>
      <c r="G47" s="84">
        <v>15</v>
      </c>
      <c r="H47" s="85">
        <v>108.35000000000001</v>
      </c>
      <c r="I47" s="86">
        <f t="shared" si="1"/>
        <v>1625.2500000000002</v>
      </c>
    </row>
    <row r="48" spans="1:9" ht="31.9" customHeight="1" x14ac:dyDescent="0.2">
      <c r="A48" s="81">
        <v>39</v>
      </c>
      <c r="B48" s="75" t="s">
        <v>117</v>
      </c>
      <c r="C48" s="81" t="s">
        <v>71</v>
      </c>
      <c r="D48" s="75" t="s">
        <v>72</v>
      </c>
      <c r="E48" s="82" t="s">
        <v>215</v>
      </c>
      <c r="F48" s="83" t="s">
        <v>281</v>
      </c>
      <c r="G48" s="84">
        <v>48</v>
      </c>
      <c r="H48" s="85">
        <v>46.2</v>
      </c>
      <c r="I48" s="86">
        <f t="shared" si="1"/>
        <v>2217.6000000000004</v>
      </c>
    </row>
    <row r="49" spans="1:9" ht="75" x14ac:dyDescent="0.2">
      <c r="A49" s="81">
        <v>40</v>
      </c>
      <c r="B49" s="75" t="s">
        <v>118</v>
      </c>
      <c r="C49" s="81" t="s">
        <v>71</v>
      </c>
      <c r="D49" s="75" t="s">
        <v>72</v>
      </c>
      <c r="E49" s="82" t="s">
        <v>216</v>
      </c>
      <c r="F49" s="83" t="s">
        <v>281</v>
      </c>
      <c r="G49" s="84">
        <v>4320</v>
      </c>
      <c r="H49" s="85">
        <v>438.88</v>
      </c>
      <c r="I49" s="86">
        <f t="shared" si="1"/>
        <v>1895961.6000000001</v>
      </c>
    </row>
    <row r="50" spans="1:9" ht="31.9" customHeight="1" x14ac:dyDescent="0.2">
      <c r="A50" s="81">
        <v>41</v>
      </c>
      <c r="B50" s="75" t="s">
        <v>119</v>
      </c>
      <c r="C50" s="81" t="s">
        <v>71</v>
      </c>
      <c r="D50" s="75" t="s">
        <v>72</v>
      </c>
      <c r="E50" s="82" t="s">
        <v>217</v>
      </c>
      <c r="F50" s="83" t="s">
        <v>281</v>
      </c>
      <c r="G50" s="84">
        <v>3600</v>
      </c>
      <c r="H50" s="85">
        <v>68.91</v>
      </c>
      <c r="I50" s="86">
        <f t="shared" si="1"/>
        <v>248076</v>
      </c>
    </row>
    <row r="51" spans="1:9" ht="31.9" customHeight="1" x14ac:dyDescent="0.2">
      <c r="A51" s="81">
        <v>42</v>
      </c>
      <c r="B51" s="75" t="s">
        <v>120</v>
      </c>
      <c r="C51" s="81" t="s">
        <v>71</v>
      </c>
      <c r="D51" s="75" t="s">
        <v>72</v>
      </c>
      <c r="E51" s="82" t="s">
        <v>218</v>
      </c>
      <c r="F51" s="83" t="s">
        <v>74</v>
      </c>
      <c r="G51" s="84">
        <v>8</v>
      </c>
      <c r="H51" s="85">
        <v>5456.15</v>
      </c>
      <c r="I51" s="86">
        <f t="shared" si="1"/>
        <v>43649.2</v>
      </c>
    </row>
    <row r="52" spans="1:9" ht="31.9" customHeight="1" x14ac:dyDescent="0.2">
      <c r="A52" s="81">
        <v>43</v>
      </c>
      <c r="B52" s="75" t="s">
        <v>121</v>
      </c>
      <c r="C52" s="81" t="s">
        <v>71</v>
      </c>
      <c r="D52" s="75" t="s">
        <v>72</v>
      </c>
      <c r="E52" s="82" t="s">
        <v>219</v>
      </c>
      <c r="F52" s="83" t="s">
        <v>74</v>
      </c>
      <c r="G52" s="84">
        <v>4</v>
      </c>
      <c r="H52" s="85">
        <v>5456.15</v>
      </c>
      <c r="I52" s="86">
        <f t="shared" si="1"/>
        <v>21824.6</v>
      </c>
    </row>
    <row r="53" spans="1:9" ht="39" customHeight="1" x14ac:dyDescent="0.2">
      <c r="A53" s="81">
        <v>44</v>
      </c>
      <c r="B53" s="75" t="s">
        <v>122</v>
      </c>
      <c r="C53" s="81" t="s">
        <v>71</v>
      </c>
      <c r="D53" s="75" t="s">
        <v>72</v>
      </c>
      <c r="E53" s="82" t="s">
        <v>220</v>
      </c>
      <c r="F53" s="83" t="s">
        <v>80</v>
      </c>
      <c r="G53" s="84">
        <v>24</v>
      </c>
      <c r="H53" s="85">
        <v>60</v>
      </c>
      <c r="I53" s="86">
        <f t="shared" si="1"/>
        <v>1440</v>
      </c>
    </row>
    <row r="54" spans="1:9" ht="31.9" customHeight="1" x14ac:dyDescent="0.2">
      <c r="A54" s="81">
        <v>45</v>
      </c>
      <c r="B54" s="75" t="s">
        <v>123</v>
      </c>
      <c r="C54" s="81" t="s">
        <v>71</v>
      </c>
      <c r="D54" s="75" t="s">
        <v>72</v>
      </c>
      <c r="E54" s="82" t="s">
        <v>221</v>
      </c>
      <c r="F54" s="83" t="s">
        <v>281</v>
      </c>
      <c r="G54" s="84">
        <v>300</v>
      </c>
      <c r="H54" s="85">
        <v>64.680000000000007</v>
      </c>
      <c r="I54" s="86">
        <f t="shared" si="1"/>
        <v>19404.000000000004</v>
      </c>
    </row>
    <row r="55" spans="1:9" ht="31.9" customHeight="1" x14ac:dyDescent="0.2">
      <c r="A55" s="81">
        <v>46</v>
      </c>
      <c r="B55" s="75" t="s">
        <v>124</v>
      </c>
      <c r="C55" s="81" t="s">
        <v>71</v>
      </c>
      <c r="D55" s="75" t="s">
        <v>72</v>
      </c>
      <c r="E55" s="82" t="s">
        <v>222</v>
      </c>
      <c r="F55" s="83" t="s">
        <v>281</v>
      </c>
      <c r="G55" s="84">
        <v>300</v>
      </c>
      <c r="H55" s="85">
        <v>56.92</v>
      </c>
      <c r="I55" s="86">
        <f t="shared" si="1"/>
        <v>17076</v>
      </c>
    </row>
    <row r="56" spans="1:9" ht="31.9" customHeight="1" x14ac:dyDescent="0.2">
      <c r="A56" s="81">
        <v>47</v>
      </c>
      <c r="B56" s="75" t="s">
        <v>125</v>
      </c>
      <c r="C56" s="81" t="s">
        <v>71</v>
      </c>
      <c r="D56" s="75" t="s">
        <v>72</v>
      </c>
      <c r="E56" s="82" t="s">
        <v>223</v>
      </c>
      <c r="F56" s="83" t="s">
        <v>280</v>
      </c>
      <c r="G56" s="84">
        <v>300</v>
      </c>
      <c r="H56" s="85">
        <v>61.050000000000004</v>
      </c>
      <c r="I56" s="86">
        <f t="shared" si="1"/>
        <v>18315</v>
      </c>
    </row>
    <row r="57" spans="1:9" ht="31.9" customHeight="1" x14ac:dyDescent="0.2">
      <c r="A57" s="81">
        <v>48</v>
      </c>
      <c r="B57" s="75" t="s">
        <v>126</v>
      </c>
      <c r="C57" s="81" t="s">
        <v>71</v>
      </c>
      <c r="D57" s="75" t="s">
        <v>72</v>
      </c>
      <c r="E57" s="82" t="s">
        <v>224</v>
      </c>
      <c r="F57" s="83" t="s">
        <v>285</v>
      </c>
      <c r="G57" s="84">
        <v>200</v>
      </c>
      <c r="H57" s="85">
        <v>319</v>
      </c>
      <c r="I57" s="86">
        <f t="shared" si="1"/>
        <v>63800</v>
      </c>
    </row>
    <row r="58" spans="1:9" ht="31.9" customHeight="1" x14ac:dyDescent="0.2">
      <c r="A58" s="81">
        <v>49</v>
      </c>
      <c r="B58" s="75" t="s">
        <v>127</v>
      </c>
      <c r="C58" s="81" t="s">
        <v>71</v>
      </c>
      <c r="D58" s="75" t="s">
        <v>72</v>
      </c>
      <c r="E58" s="82" t="s">
        <v>225</v>
      </c>
      <c r="F58" s="83" t="s">
        <v>75</v>
      </c>
      <c r="G58" s="84">
        <v>40</v>
      </c>
      <c r="H58" s="85">
        <v>704</v>
      </c>
      <c r="I58" s="86">
        <f t="shared" si="1"/>
        <v>28160</v>
      </c>
    </row>
    <row r="59" spans="1:9" ht="31.9" customHeight="1" x14ac:dyDescent="0.2">
      <c r="A59" s="81">
        <v>50</v>
      </c>
      <c r="B59" s="75" t="s">
        <v>128</v>
      </c>
      <c r="C59" s="81" t="s">
        <v>71</v>
      </c>
      <c r="D59" s="75" t="s">
        <v>72</v>
      </c>
      <c r="E59" s="82" t="s">
        <v>226</v>
      </c>
      <c r="F59" s="83" t="s">
        <v>281</v>
      </c>
      <c r="G59" s="84">
        <v>60</v>
      </c>
      <c r="H59" s="85">
        <v>360.32</v>
      </c>
      <c r="I59" s="86">
        <f t="shared" si="1"/>
        <v>21619.200000000001</v>
      </c>
    </row>
    <row r="60" spans="1:9" ht="31.9" customHeight="1" x14ac:dyDescent="0.2">
      <c r="A60" s="81">
        <v>51</v>
      </c>
      <c r="B60" s="75" t="s">
        <v>129</v>
      </c>
      <c r="C60" s="81" t="s">
        <v>71</v>
      </c>
      <c r="D60" s="75" t="s">
        <v>72</v>
      </c>
      <c r="E60" s="82" t="s">
        <v>227</v>
      </c>
      <c r="F60" s="83" t="s">
        <v>281</v>
      </c>
      <c r="G60" s="84">
        <v>500</v>
      </c>
      <c r="H60" s="85">
        <v>110.00000000000001</v>
      </c>
      <c r="I60" s="86">
        <f t="shared" si="1"/>
        <v>55000.000000000007</v>
      </c>
    </row>
    <row r="61" spans="1:9" ht="57" customHeight="1" x14ac:dyDescent="0.2">
      <c r="A61" s="81">
        <v>52</v>
      </c>
      <c r="B61" s="75" t="s">
        <v>130</v>
      </c>
      <c r="C61" s="81" t="s">
        <v>71</v>
      </c>
      <c r="D61" s="75" t="s">
        <v>72</v>
      </c>
      <c r="E61" s="82" t="s">
        <v>228</v>
      </c>
      <c r="F61" s="83" t="s">
        <v>79</v>
      </c>
      <c r="G61" s="84">
        <v>500</v>
      </c>
      <c r="H61" s="85">
        <v>110.00000000000001</v>
      </c>
      <c r="I61" s="86">
        <f t="shared" si="1"/>
        <v>55000.000000000007</v>
      </c>
    </row>
    <row r="62" spans="1:9" ht="31.9" customHeight="1" x14ac:dyDescent="0.2">
      <c r="A62" s="81">
        <v>53</v>
      </c>
      <c r="B62" s="75" t="s">
        <v>131</v>
      </c>
      <c r="C62" s="81" t="s">
        <v>71</v>
      </c>
      <c r="D62" s="75" t="s">
        <v>72</v>
      </c>
      <c r="E62" s="82" t="s">
        <v>229</v>
      </c>
      <c r="F62" s="83" t="s">
        <v>280</v>
      </c>
      <c r="G62" s="84">
        <v>20</v>
      </c>
      <c r="H62" s="85">
        <v>126.50000000000001</v>
      </c>
      <c r="I62" s="86">
        <f t="shared" si="1"/>
        <v>2530.0000000000005</v>
      </c>
    </row>
    <row r="63" spans="1:9" ht="49.5" customHeight="1" x14ac:dyDescent="0.2">
      <c r="A63" s="81">
        <v>54</v>
      </c>
      <c r="B63" s="75" t="s">
        <v>132</v>
      </c>
      <c r="C63" s="81" t="s">
        <v>71</v>
      </c>
      <c r="D63" s="75" t="s">
        <v>72</v>
      </c>
      <c r="E63" s="82" t="s">
        <v>230</v>
      </c>
      <c r="F63" s="83" t="s">
        <v>282</v>
      </c>
      <c r="G63" s="84">
        <v>10</v>
      </c>
      <c r="H63" s="85">
        <v>495.00000000000006</v>
      </c>
      <c r="I63" s="86">
        <f t="shared" si="1"/>
        <v>4950.0000000000009</v>
      </c>
    </row>
    <row r="64" spans="1:9" ht="31.9" customHeight="1" x14ac:dyDescent="0.2">
      <c r="A64" s="81">
        <v>55</v>
      </c>
      <c r="B64" s="75" t="s">
        <v>133</v>
      </c>
      <c r="C64" s="81" t="s">
        <v>71</v>
      </c>
      <c r="D64" s="75" t="s">
        <v>72</v>
      </c>
      <c r="E64" s="82" t="s">
        <v>231</v>
      </c>
      <c r="F64" s="83" t="s">
        <v>284</v>
      </c>
      <c r="G64" s="84">
        <v>50</v>
      </c>
      <c r="H64" s="85">
        <v>38.5</v>
      </c>
      <c r="I64" s="86">
        <f t="shared" si="1"/>
        <v>1925</v>
      </c>
    </row>
    <row r="65" spans="1:9" ht="31.9" customHeight="1" x14ac:dyDescent="0.2">
      <c r="A65" s="81">
        <v>56</v>
      </c>
      <c r="B65" s="75" t="s">
        <v>134</v>
      </c>
      <c r="C65" s="81" t="s">
        <v>71</v>
      </c>
      <c r="D65" s="75" t="s">
        <v>72</v>
      </c>
      <c r="E65" s="82" t="s">
        <v>232</v>
      </c>
      <c r="F65" s="83" t="s">
        <v>75</v>
      </c>
      <c r="G65" s="84">
        <v>50</v>
      </c>
      <c r="H65" s="85">
        <v>49.500000000000007</v>
      </c>
      <c r="I65" s="86">
        <f t="shared" si="1"/>
        <v>2475.0000000000005</v>
      </c>
    </row>
    <row r="66" spans="1:9" ht="31.9" customHeight="1" x14ac:dyDescent="0.2">
      <c r="A66" s="81">
        <v>57</v>
      </c>
      <c r="B66" s="75" t="s">
        <v>135</v>
      </c>
      <c r="C66" s="81" t="s">
        <v>71</v>
      </c>
      <c r="D66" s="75" t="s">
        <v>72</v>
      </c>
      <c r="E66" s="82" t="s">
        <v>233</v>
      </c>
      <c r="F66" s="83" t="s">
        <v>282</v>
      </c>
      <c r="G66" s="84">
        <v>26</v>
      </c>
      <c r="H66" s="85">
        <v>2112</v>
      </c>
      <c r="I66" s="86">
        <f t="shared" si="1"/>
        <v>54912</v>
      </c>
    </row>
    <row r="67" spans="1:9" ht="31.9" customHeight="1" x14ac:dyDescent="0.2">
      <c r="A67" s="81">
        <v>58</v>
      </c>
      <c r="B67" s="75" t="s">
        <v>136</v>
      </c>
      <c r="C67" s="81" t="s">
        <v>71</v>
      </c>
      <c r="D67" s="75" t="s">
        <v>72</v>
      </c>
      <c r="E67" s="82" t="s">
        <v>234</v>
      </c>
      <c r="F67" s="83" t="s">
        <v>281</v>
      </c>
      <c r="G67" s="84">
        <v>100</v>
      </c>
      <c r="H67" s="85">
        <v>119.35000000000001</v>
      </c>
      <c r="I67" s="86">
        <f t="shared" si="1"/>
        <v>11935</v>
      </c>
    </row>
    <row r="68" spans="1:9" ht="31.9" customHeight="1" x14ac:dyDescent="0.2">
      <c r="A68" s="81">
        <v>59</v>
      </c>
      <c r="B68" s="75" t="s">
        <v>137</v>
      </c>
      <c r="C68" s="81" t="s">
        <v>71</v>
      </c>
      <c r="D68" s="75" t="s">
        <v>72</v>
      </c>
      <c r="E68" s="82" t="s">
        <v>235</v>
      </c>
      <c r="F68" s="83" t="s">
        <v>280</v>
      </c>
      <c r="G68" s="84">
        <v>40</v>
      </c>
      <c r="H68" s="85">
        <v>66</v>
      </c>
      <c r="I68" s="86">
        <f t="shared" si="1"/>
        <v>2640</v>
      </c>
    </row>
    <row r="69" spans="1:9" ht="31.9" customHeight="1" x14ac:dyDescent="0.2">
      <c r="A69" s="81">
        <v>60</v>
      </c>
      <c r="B69" s="75" t="s">
        <v>138</v>
      </c>
      <c r="C69" s="81" t="s">
        <v>71</v>
      </c>
      <c r="D69" s="75" t="s">
        <v>72</v>
      </c>
      <c r="E69" s="82" t="s">
        <v>236</v>
      </c>
      <c r="F69" s="83" t="s">
        <v>75</v>
      </c>
      <c r="G69" s="84">
        <v>650</v>
      </c>
      <c r="H69" s="85">
        <v>707.85</v>
      </c>
      <c r="I69" s="86">
        <f t="shared" si="1"/>
        <v>460102.5</v>
      </c>
    </row>
    <row r="70" spans="1:9" ht="31.9" customHeight="1" x14ac:dyDescent="0.2">
      <c r="A70" s="81">
        <v>61</v>
      </c>
      <c r="B70" s="75" t="s">
        <v>139</v>
      </c>
      <c r="C70" s="81" t="s">
        <v>71</v>
      </c>
      <c r="D70" s="75" t="s">
        <v>72</v>
      </c>
      <c r="E70" s="82" t="s">
        <v>237</v>
      </c>
      <c r="F70" s="83" t="s">
        <v>75</v>
      </c>
      <c r="G70" s="84">
        <v>100</v>
      </c>
      <c r="H70" s="85">
        <v>707.85</v>
      </c>
      <c r="I70" s="86">
        <f t="shared" si="1"/>
        <v>70785</v>
      </c>
    </row>
    <row r="71" spans="1:9" ht="31.9" customHeight="1" x14ac:dyDescent="0.2">
      <c r="A71" s="81">
        <v>62</v>
      </c>
      <c r="B71" s="75" t="s">
        <v>140</v>
      </c>
      <c r="C71" s="81" t="s">
        <v>71</v>
      </c>
      <c r="D71" s="75" t="s">
        <v>72</v>
      </c>
      <c r="E71" s="82" t="s">
        <v>238</v>
      </c>
      <c r="F71" s="83" t="s">
        <v>282</v>
      </c>
      <c r="G71" s="84">
        <v>15</v>
      </c>
      <c r="H71" s="85">
        <v>577.5</v>
      </c>
      <c r="I71" s="86">
        <f t="shared" si="1"/>
        <v>8662.5</v>
      </c>
    </row>
    <row r="72" spans="1:9" ht="31.9" customHeight="1" x14ac:dyDescent="0.2">
      <c r="A72" s="81">
        <v>63</v>
      </c>
      <c r="B72" s="75" t="s">
        <v>141</v>
      </c>
      <c r="C72" s="81" t="s">
        <v>71</v>
      </c>
      <c r="D72" s="75" t="s">
        <v>72</v>
      </c>
      <c r="E72" s="82" t="s">
        <v>239</v>
      </c>
      <c r="F72" s="83" t="s">
        <v>284</v>
      </c>
      <c r="G72" s="84">
        <v>20</v>
      </c>
      <c r="H72" s="85">
        <v>121.00000000000001</v>
      </c>
      <c r="I72" s="86">
        <f t="shared" si="1"/>
        <v>2420.0000000000005</v>
      </c>
    </row>
    <row r="73" spans="1:9" ht="31.9" customHeight="1" x14ac:dyDescent="0.2">
      <c r="A73" s="81">
        <v>64</v>
      </c>
      <c r="B73" s="75" t="s">
        <v>142</v>
      </c>
      <c r="C73" s="81" t="s">
        <v>71</v>
      </c>
      <c r="D73" s="75" t="s">
        <v>72</v>
      </c>
      <c r="E73" s="82" t="s">
        <v>240</v>
      </c>
      <c r="F73" s="83" t="s">
        <v>284</v>
      </c>
      <c r="G73" s="84">
        <v>60</v>
      </c>
      <c r="H73" s="85">
        <v>59.400000000000006</v>
      </c>
      <c r="I73" s="86">
        <f t="shared" si="1"/>
        <v>3564.0000000000005</v>
      </c>
    </row>
    <row r="74" spans="1:9" ht="31.9" customHeight="1" x14ac:dyDescent="0.2">
      <c r="A74" s="81">
        <v>65</v>
      </c>
      <c r="B74" s="75" t="s">
        <v>143</v>
      </c>
      <c r="C74" s="81" t="s">
        <v>71</v>
      </c>
      <c r="D74" s="75" t="s">
        <v>72</v>
      </c>
      <c r="E74" s="82" t="s">
        <v>241</v>
      </c>
      <c r="F74" s="83" t="s">
        <v>75</v>
      </c>
      <c r="G74" s="84">
        <v>700</v>
      </c>
      <c r="H74" s="85">
        <v>88</v>
      </c>
      <c r="I74" s="86">
        <f t="shared" si="1"/>
        <v>61600</v>
      </c>
    </row>
    <row r="75" spans="1:9" ht="31.9" customHeight="1" x14ac:dyDescent="0.2">
      <c r="A75" s="81">
        <v>66</v>
      </c>
      <c r="B75" s="75" t="s">
        <v>144</v>
      </c>
      <c r="C75" s="81" t="s">
        <v>71</v>
      </c>
      <c r="D75" s="75" t="s">
        <v>72</v>
      </c>
      <c r="E75" s="82" t="s">
        <v>242</v>
      </c>
      <c r="F75" s="83" t="s">
        <v>75</v>
      </c>
      <c r="G75" s="84">
        <v>100</v>
      </c>
      <c r="H75" s="85">
        <v>187.00000000000003</v>
      </c>
      <c r="I75" s="86">
        <f t="shared" si="1"/>
        <v>18700.000000000004</v>
      </c>
    </row>
    <row r="76" spans="1:9" ht="31.9" customHeight="1" x14ac:dyDescent="0.2">
      <c r="A76" s="81">
        <v>67</v>
      </c>
      <c r="B76" s="75" t="s">
        <v>145</v>
      </c>
      <c r="C76" s="81" t="s">
        <v>71</v>
      </c>
      <c r="D76" s="75" t="s">
        <v>72</v>
      </c>
      <c r="E76" s="82" t="s">
        <v>243</v>
      </c>
      <c r="F76" s="83" t="s">
        <v>283</v>
      </c>
      <c r="G76" s="84">
        <v>50</v>
      </c>
      <c r="H76" s="85">
        <v>962.50000000000011</v>
      </c>
      <c r="I76" s="86">
        <f t="shared" si="1"/>
        <v>48125.000000000007</v>
      </c>
    </row>
    <row r="77" spans="1:9" ht="31.9" customHeight="1" x14ac:dyDescent="0.2">
      <c r="A77" s="81">
        <v>68</v>
      </c>
      <c r="B77" s="75" t="s">
        <v>146</v>
      </c>
      <c r="C77" s="81" t="s">
        <v>71</v>
      </c>
      <c r="D77" s="75" t="s">
        <v>72</v>
      </c>
      <c r="E77" s="82" t="s">
        <v>244</v>
      </c>
      <c r="F77" s="83" t="s">
        <v>75</v>
      </c>
      <c r="G77" s="84">
        <v>300</v>
      </c>
      <c r="H77" s="85">
        <v>707.85</v>
      </c>
      <c r="I77" s="86">
        <f t="shared" ref="I77:I102" si="2">G77*H77</f>
        <v>212355</v>
      </c>
    </row>
    <row r="78" spans="1:9" ht="31.9" customHeight="1" x14ac:dyDescent="0.2">
      <c r="A78" s="81">
        <v>69</v>
      </c>
      <c r="B78" s="75" t="s">
        <v>147</v>
      </c>
      <c r="C78" s="81" t="s">
        <v>71</v>
      </c>
      <c r="D78" s="75" t="s">
        <v>72</v>
      </c>
      <c r="E78" s="82" t="s">
        <v>245</v>
      </c>
      <c r="F78" s="83" t="s">
        <v>281</v>
      </c>
      <c r="G78" s="84">
        <v>90</v>
      </c>
      <c r="H78" s="85">
        <v>2662</v>
      </c>
      <c r="I78" s="86">
        <f t="shared" si="2"/>
        <v>239580</v>
      </c>
    </row>
    <row r="79" spans="1:9" ht="31.9" customHeight="1" x14ac:dyDescent="0.2">
      <c r="A79" s="81">
        <v>70</v>
      </c>
      <c r="B79" s="75" t="s">
        <v>148</v>
      </c>
      <c r="C79" s="81" t="s">
        <v>71</v>
      </c>
      <c r="D79" s="75" t="s">
        <v>72</v>
      </c>
      <c r="E79" s="82" t="s">
        <v>246</v>
      </c>
      <c r="F79" s="83" t="s">
        <v>282</v>
      </c>
      <c r="G79" s="84">
        <v>25</v>
      </c>
      <c r="H79" s="85">
        <v>2574</v>
      </c>
      <c r="I79" s="86">
        <f t="shared" si="2"/>
        <v>64350</v>
      </c>
    </row>
    <row r="80" spans="1:9" ht="31.9" customHeight="1" x14ac:dyDescent="0.2">
      <c r="A80" s="81">
        <v>71</v>
      </c>
      <c r="B80" s="75" t="s">
        <v>149</v>
      </c>
      <c r="C80" s="81" t="s">
        <v>71</v>
      </c>
      <c r="D80" s="75" t="s">
        <v>72</v>
      </c>
      <c r="E80" s="82" t="s">
        <v>247</v>
      </c>
      <c r="F80" s="83" t="s">
        <v>73</v>
      </c>
      <c r="G80" s="84">
        <v>50</v>
      </c>
      <c r="H80" s="85">
        <v>46.2</v>
      </c>
      <c r="I80" s="86">
        <f t="shared" si="2"/>
        <v>2310</v>
      </c>
    </row>
    <row r="81" spans="1:9" ht="31.9" customHeight="1" x14ac:dyDescent="0.2">
      <c r="A81" s="81">
        <v>72</v>
      </c>
      <c r="B81" s="75" t="s">
        <v>150</v>
      </c>
      <c r="C81" s="81" t="s">
        <v>71</v>
      </c>
      <c r="D81" s="75" t="s">
        <v>72</v>
      </c>
      <c r="E81" s="82" t="s">
        <v>248</v>
      </c>
      <c r="F81" s="83" t="s">
        <v>284</v>
      </c>
      <c r="G81" s="84">
        <v>60</v>
      </c>
      <c r="H81" s="85">
        <v>31.900000000000002</v>
      </c>
      <c r="I81" s="86">
        <f t="shared" si="2"/>
        <v>1914.0000000000002</v>
      </c>
    </row>
    <row r="82" spans="1:9" ht="31.9" customHeight="1" x14ac:dyDescent="0.2">
      <c r="A82" s="81">
        <v>73</v>
      </c>
      <c r="B82" s="75" t="s">
        <v>151</v>
      </c>
      <c r="C82" s="81" t="s">
        <v>71</v>
      </c>
      <c r="D82" s="75" t="s">
        <v>72</v>
      </c>
      <c r="E82" s="82" t="s">
        <v>249</v>
      </c>
      <c r="F82" s="83" t="s">
        <v>284</v>
      </c>
      <c r="G82" s="84">
        <v>15</v>
      </c>
      <c r="H82" s="85">
        <v>39.6</v>
      </c>
      <c r="I82" s="86">
        <f t="shared" si="2"/>
        <v>594</v>
      </c>
    </row>
    <row r="83" spans="1:9" ht="31.9" customHeight="1" x14ac:dyDescent="0.2">
      <c r="A83" s="81">
        <v>74</v>
      </c>
      <c r="B83" s="75" t="s">
        <v>152</v>
      </c>
      <c r="C83" s="81" t="s">
        <v>71</v>
      </c>
      <c r="D83" s="75" t="s">
        <v>72</v>
      </c>
      <c r="E83" s="82" t="s">
        <v>250</v>
      </c>
      <c r="F83" s="83" t="s">
        <v>282</v>
      </c>
      <c r="G83" s="84">
        <v>20</v>
      </c>
      <c r="H83" s="85">
        <v>1507.0000000000002</v>
      </c>
      <c r="I83" s="86">
        <f t="shared" si="2"/>
        <v>30140.000000000004</v>
      </c>
    </row>
    <row r="84" spans="1:9" ht="31.9" customHeight="1" x14ac:dyDescent="0.2">
      <c r="A84" s="81">
        <v>75</v>
      </c>
      <c r="B84" s="75" t="s">
        <v>153</v>
      </c>
      <c r="C84" s="81" t="s">
        <v>71</v>
      </c>
      <c r="D84" s="75" t="s">
        <v>72</v>
      </c>
      <c r="E84" s="82" t="s">
        <v>251</v>
      </c>
      <c r="F84" s="83" t="s">
        <v>282</v>
      </c>
      <c r="G84" s="84">
        <v>20</v>
      </c>
      <c r="H84" s="85">
        <v>968.00000000000011</v>
      </c>
      <c r="I84" s="86">
        <f t="shared" si="2"/>
        <v>19360.000000000004</v>
      </c>
    </row>
    <row r="85" spans="1:9" ht="31.9" customHeight="1" x14ac:dyDescent="0.2">
      <c r="A85" s="81">
        <v>76</v>
      </c>
      <c r="B85" s="75" t="s">
        <v>154</v>
      </c>
      <c r="C85" s="81" t="s">
        <v>71</v>
      </c>
      <c r="D85" s="75" t="s">
        <v>72</v>
      </c>
      <c r="E85" s="82" t="s">
        <v>252</v>
      </c>
      <c r="F85" s="83" t="s">
        <v>284</v>
      </c>
      <c r="G85" s="84">
        <v>60</v>
      </c>
      <c r="H85" s="85">
        <v>55.000000000000007</v>
      </c>
      <c r="I85" s="86">
        <f t="shared" si="2"/>
        <v>3300.0000000000005</v>
      </c>
    </row>
    <row r="86" spans="1:9" ht="31.9" customHeight="1" x14ac:dyDescent="0.2">
      <c r="A86" s="81">
        <v>77</v>
      </c>
      <c r="B86" s="75" t="s">
        <v>155</v>
      </c>
      <c r="C86" s="81" t="s">
        <v>71</v>
      </c>
      <c r="D86" s="75" t="s">
        <v>72</v>
      </c>
      <c r="E86" s="82" t="s">
        <v>253</v>
      </c>
      <c r="F86" s="83" t="s">
        <v>75</v>
      </c>
      <c r="G86" s="84">
        <v>200</v>
      </c>
      <c r="H86" s="85">
        <v>440.00000000000006</v>
      </c>
      <c r="I86" s="86">
        <f t="shared" si="2"/>
        <v>88000.000000000015</v>
      </c>
    </row>
    <row r="87" spans="1:9" ht="31.9" customHeight="1" x14ac:dyDescent="0.2">
      <c r="A87" s="81">
        <v>78</v>
      </c>
      <c r="B87" s="75" t="s">
        <v>156</v>
      </c>
      <c r="C87" s="81" t="s">
        <v>71</v>
      </c>
      <c r="D87" s="75" t="s">
        <v>72</v>
      </c>
      <c r="E87" s="82" t="s">
        <v>254</v>
      </c>
      <c r="F87" s="83" t="s">
        <v>286</v>
      </c>
      <c r="G87" s="84">
        <v>12</v>
      </c>
      <c r="H87" s="85">
        <v>990.00000000000011</v>
      </c>
      <c r="I87" s="86">
        <f t="shared" si="2"/>
        <v>11880.000000000002</v>
      </c>
    </row>
    <row r="88" spans="1:9" ht="31.9" customHeight="1" x14ac:dyDescent="0.2">
      <c r="A88" s="81">
        <v>79</v>
      </c>
      <c r="B88" s="75" t="s">
        <v>157</v>
      </c>
      <c r="C88" s="81" t="s">
        <v>71</v>
      </c>
      <c r="D88" s="75" t="s">
        <v>72</v>
      </c>
      <c r="E88" s="82" t="s">
        <v>255</v>
      </c>
      <c r="F88" s="83" t="s">
        <v>75</v>
      </c>
      <c r="G88" s="84">
        <v>40</v>
      </c>
      <c r="H88" s="85">
        <v>602.25</v>
      </c>
      <c r="I88" s="86">
        <f t="shared" si="2"/>
        <v>24090</v>
      </c>
    </row>
    <row r="89" spans="1:9" ht="31.9" customHeight="1" x14ac:dyDescent="0.2">
      <c r="A89" s="81">
        <v>80</v>
      </c>
      <c r="B89" s="75" t="s">
        <v>158</v>
      </c>
      <c r="C89" s="81" t="s">
        <v>71</v>
      </c>
      <c r="D89" s="75" t="s">
        <v>72</v>
      </c>
      <c r="E89" s="82" t="s">
        <v>256</v>
      </c>
      <c r="F89" s="83" t="s">
        <v>280</v>
      </c>
      <c r="G89" s="84">
        <v>80</v>
      </c>
      <c r="H89" s="85">
        <v>93.500000000000014</v>
      </c>
      <c r="I89" s="86">
        <f t="shared" si="2"/>
        <v>7480.0000000000009</v>
      </c>
    </row>
    <row r="90" spans="1:9" ht="31.9" customHeight="1" x14ac:dyDescent="0.2">
      <c r="A90" s="81">
        <v>81</v>
      </c>
      <c r="B90" s="75" t="s">
        <v>159</v>
      </c>
      <c r="C90" s="81" t="s">
        <v>71</v>
      </c>
      <c r="D90" s="75" t="s">
        <v>72</v>
      </c>
      <c r="E90" s="82" t="s">
        <v>257</v>
      </c>
      <c r="F90" s="83" t="s">
        <v>280</v>
      </c>
      <c r="G90" s="84">
        <v>120</v>
      </c>
      <c r="H90" s="85">
        <v>44</v>
      </c>
      <c r="I90" s="86">
        <f t="shared" si="2"/>
        <v>5280</v>
      </c>
    </row>
    <row r="91" spans="1:9" ht="31.9" customHeight="1" x14ac:dyDescent="0.2">
      <c r="A91" s="81">
        <v>82</v>
      </c>
      <c r="B91" s="75" t="s">
        <v>160</v>
      </c>
      <c r="C91" s="81" t="s">
        <v>71</v>
      </c>
      <c r="D91" s="75" t="s">
        <v>72</v>
      </c>
      <c r="E91" s="82" t="s">
        <v>258</v>
      </c>
      <c r="F91" s="83" t="s">
        <v>280</v>
      </c>
      <c r="G91" s="84">
        <v>20</v>
      </c>
      <c r="H91" s="85">
        <v>55.000000000000007</v>
      </c>
      <c r="I91" s="86">
        <f t="shared" si="2"/>
        <v>1100.0000000000002</v>
      </c>
    </row>
    <row r="92" spans="1:9" ht="31.9" customHeight="1" x14ac:dyDescent="0.2">
      <c r="A92" s="81">
        <v>83</v>
      </c>
      <c r="B92" s="75" t="s">
        <v>161</v>
      </c>
      <c r="C92" s="81" t="s">
        <v>71</v>
      </c>
      <c r="D92" s="75" t="s">
        <v>72</v>
      </c>
      <c r="E92" s="82" t="s">
        <v>259</v>
      </c>
      <c r="F92" s="83" t="s">
        <v>280</v>
      </c>
      <c r="G92" s="84">
        <v>200</v>
      </c>
      <c r="H92" s="85">
        <v>60.500000000000007</v>
      </c>
      <c r="I92" s="86">
        <f t="shared" si="2"/>
        <v>12100.000000000002</v>
      </c>
    </row>
    <row r="93" spans="1:9" ht="31.9" customHeight="1" x14ac:dyDescent="0.2">
      <c r="A93" s="81">
        <v>84</v>
      </c>
      <c r="B93" s="75" t="s">
        <v>162</v>
      </c>
      <c r="C93" s="81" t="s">
        <v>71</v>
      </c>
      <c r="D93" s="75" t="s">
        <v>72</v>
      </c>
      <c r="E93" s="82" t="s">
        <v>260</v>
      </c>
      <c r="F93" s="83" t="s">
        <v>280</v>
      </c>
      <c r="G93" s="84">
        <v>120</v>
      </c>
      <c r="H93" s="85">
        <v>82.5</v>
      </c>
      <c r="I93" s="86">
        <f t="shared" si="2"/>
        <v>9900</v>
      </c>
    </row>
    <row r="94" spans="1:9" ht="31.9" customHeight="1" x14ac:dyDescent="0.2">
      <c r="A94" s="81">
        <v>85</v>
      </c>
      <c r="B94" s="75" t="s">
        <v>163</v>
      </c>
      <c r="C94" s="81" t="s">
        <v>71</v>
      </c>
      <c r="D94" s="75" t="s">
        <v>72</v>
      </c>
      <c r="E94" s="82" t="s">
        <v>261</v>
      </c>
      <c r="F94" s="83" t="s">
        <v>281</v>
      </c>
      <c r="G94" s="84">
        <v>80</v>
      </c>
      <c r="H94" s="85">
        <v>91.850000000000009</v>
      </c>
      <c r="I94" s="86">
        <f t="shared" si="2"/>
        <v>7348.0000000000009</v>
      </c>
    </row>
    <row r="95" spans="1:9" ht="31.9" customHeight="1" x14ac:dyDescent="0.2">
      <c r="A95" s="81">
        <v>86</v>
      </c>
      <c r="B95" s="75" t="s">
        <v>164</v>
      </c>
      <c r="C95" s="81" t="s">
        <v>71</v>
      </c>
      <c r="D95" s="75" t="s">
        <v>72</v>
      </c>
      <c r="E95" s="82" t="s">
        <v>262</v>
      </c>
      <c r="F95" s="83" t="s">
        <v>282</v>
      </c>
      <c r="G95" s="84">
        <v>25</v>
      </c>
      <c r="H95" s="85">
        <v>990.00000000000011</v>
      </c>
      <c r="I95" s="86">
        <f t="shared" si="2"/>
        <v>24750.000000000004</v>
      </c>
    </row>
    <row r="96" spans="1:9" ht="31.9" customHeight="1" x14ac:dyDescent="0.2">
      <c r="A96" s="81">
        <v>87</v>
      </c>
      <c r="B96" s="75" t="s">
        <v>165</v>
      </c>
      <c r="C96" s="81" t="s">
        <v>71</v>
      </c>
      <c r="D96" s="75" t="s">
        <v>72</v>
      </c>
      <c r="E96" s="82" t="s">
        <v>263</v>
      </c>
      <c r="F96" s="83" t="s">
        <v>79</v>
      </c>
      <c r="G96" s="84">
        <v>260</v>
      </c>
      <c r="H96" s="85">
        <v>121.00000000000001</v>
      </c>
      <c r="I96" s="86">
        <f t="shared" si="2"/>
        <v>31460.000000000004</v>
      </c>
    </row>
    <row r="97" spans="1:9" ht="31.9" customHeight="1" x14ac:dyDescent="0.2">
      <c r="A97" s="81">
        <v>88</v>
      </c>
      <c r="B97" s="75" t="s">
        <v>166</v>
      </c>
      <c r="C97" s="81" t="s">
        <v>71</v>
      </c>
      <c r="D97" s="75" t="s">
        <v>72</v>
      </c>
      <c r="E97" s="82" t="s">
        <v>264</v>
      </c>
      <c r="F97" s="83" t="s">
        <v>79</v>
      </c>
      <c r="G97" s="84">
        <v>12</v>
      </c>
      <c r="H97" s="85">
        <v>118.80000000000001</v>
      </c>
      <c r="I97" s="86">
        <f t="shared" si="2"/>
        <v>1425.6000000000001</v>
      </c>
    </row>
    <row r="98" spans="1:9" ht="31.9" customHeight="1" x14ac:dyDescent="0.2">
      <c r="A98" s="81">
        <v>89</v>
      </c>
      <c r="B98" s="75" t="s">
        <v>167</v>
      </c>
      <c r="C98" s="81" t="s">
        <v>71</v>
      </c>
      <c r="D98" s="75" t="s">
        <v>72</v>
      </c>
      <c r="E98" s="82" t="s">
        <v>265</v>
      </c>
      <c r="F98" s="83" t="s">
        <v>280</v>
      </c>
      <c r="G98" s="84">
        <v>10</v>
      </c>
      <c r="H98" s="85">
        <v>346.5</v>
      </c>
      <c r="I98" s="86">
        <f t="shared" si="2"/>
        <v>3465</v>
      </c>
    </row>
    <row r="99" spans="1:9" ht="31.9" customHeight="1" x14ac:dyDescent="0.2">
      <c r="A99" s="81">
        <v>90</v>
      </c>
      <c r="B99" s="75" t="s">
        <v>168</v>
      </c>
      <c r="C99" s="81" t="s">
        <v>71</v>
      </c>
      <c r="D99" s="75" t="s">
        <v>72</v>
      </c>
      <c r="E99" s="82" t="s">
        <v>266</v>
      </c>
      <c r="F99" s="83" t="s">
        <v>287</v>
      </c>
      <c r="G99" s="84">
        <v>160</v>
      </c>
      <c r="H99" s="85">
        <v>65.72</v>
      </c>
      <c r="I99" s="86">
        <f t="shared" si="2"/>
        <v>10515.2</v>
      </c>
    </row>
    <row r="100" spans="1:9" ht="31.9" customHeight="1" x14ac:dyDescent="0.2">
      <c r="A100" s="81">
        <v>91</v>
      </c>
      <c r="B100" s="75" t="s">
        <v>169</v>
      </c>
      <c r="C100" s="81" t="s">
        <v>71</v>
      </c>
      <c r="D100" s="75" t="s">
        <v>72</v>
      </c>
      <c r="E100" s="82" t="s">
        <v>267</v>
      </c>
      <c r="F100" s="83" t="s">
        <v>287</v>
      </c>
      <c r="G100" s="84">
        <v>160</v>
      </c>
      <c r="H100" s="85">
        <v>65.72</v>
      </c>
      <c r="I100" s="86">
        <f t="shared" si="2"/>
        <v>10515.2</v>
      </c>
    </row>
    <row r="101" spans="1:9" ht="31.9" customHeight="1" x14ac:dyDescent="0.2">
      <c r="A101" s="81">
        <v>92</v>
      </c>
      <c r="B101" s="75" t="s">
        <v>170</v>
      </c>
      <c r="C101" s="81" t="s">
        <v>71</v>
      </c>
      <c r="D101" s="75" t="s">
        <v>72</v>
      </c>
      <c r="E101" s="82" t="s">
        <v>268</v>
      </c>
      <c r="F101" s="83" t="s">
        <v>283</v>
      </c>
      <c r="G101" s="84">
        <v>20</v>
      </c>
      <c r="H101" s="85">
        <v>910.80000000000007</v>
      </c>
      <c r="I101" s="86">
        <f t="shared" si="2"/>
        <v>18216</v>
      </c>
    </row>
    <row r="102" spans="1:9" ht="31.9" customHeight="1" x14ac:dyDescent="0.2">
      <c r="A102" s="81">
        <v>93</v>
      </c>
      <c r="B102" s="75" t="s">
        <v>171</v>
      </c>
      <c r="C102" s="81" t="s">
        <v>71</v>
      </c>
      <c r="D102" s="75" t="s">
        <v>72</v>
      </c>
      <c r="E102" s="82" t="s">
        <v>269</v>
      </c>
      <c r="F102" s="83" t="s">
        <v>282</v>
      </c>
      <c r="G102" s="84">
        <v>15</v>
      </c>
      <c r="H102" s="85">
        <v>726.00000000000011</v>
      </c>
      <c r="I102" s="86">
        <f t="shared" si="2"/>
        <v>10890.000000000002</v>
      </c>
    </row>
    <row r="103" spans="1:9" ht="31.9" customHeight="1" x14ac:dyDescent="0.2">
      <c r="A103" s="81">
        <v>94</v>
      </c>
      <c r="B103" s="75" t="s">
        <v>172</v>
      </c>
      <c r="C103" s="81" t="s">
        <v>71</v>
      </c>
      <c r="D103" s="75" t="s">
        <v>72</v>
      </c>
      <c r="E103" s="82" t="s">
        <v>270</v>
      </c>
      <c r="F103" s="83" t="s">
        <v>282</v>
      </c>
      <c r="G103" s="84">
        <v>10</v>
      </c>
      <c r="H103" s="85">
        <v>1188</v>
      </c>
      <c r="I103" s="86">
        <f t="shared" ref="I103:I112" si="3">G103*H103</f>
        <v>11880</v>
      </c>
    </row>
    <row r="104" spans="1:9" ht="31.9" customHeight="1" x14ac:dyDescent="0.2">
      <c r="A104" s="81">
        <v>95</v>
      </c>
      <c r="B104" s="75" t="s">
        <v>173</v>
      </c>
      <c r="C104" s="81" t="s">
        <v>71</v>
      </c>
      <c r="D104" s="75" t="s">
        <v>72</v>
      </c>
      <c r="E104" s="82" t="s">
        <v>271</v>
      </c>
      <c r="F104" s="83" t="s">
        <v>283</v>
      </c>
      <c r="G104" s="84">
        <v>10</v>
      </c>
      <c r="H104" s="85">
        <v>946.00000000000011</v>
      </c>
      <c r="I104" s="86">
        <f t="shared" si="3"/>
        <v>9460.0000000000018</v>
      </c>
    </row>
    <row r="105" spans="1:9" ht="31.9" customHeight="1" x14ac:dyDescent="0.2">
      <c r="A105" s="81">
        <v>96</v>
      </c>
      <c r="B105" s="75" t="s">
        <v>174</v>
      </c>
      <c r="C105" s="81" t="s">
        <v>71</v>
      </c>
      <c r="D105" s="75" t="s">
        <v>72</v>
      </c>
      <c r="E105" s="82" t="s">
        <v>272</v>
      </c>
      <c r="F105" s="83" t="s">
        <v>80</v>
      </c>
      <c r="G105" s="84">
        <v>15</v>
      </c>
      <c r="H105" s="85">
        <v>363.00000000000006</v>
      </c>
      <c r="I105" s="86">
        <f t="shared" si="3"/>
        <v>5445.0000000000009</v>
      </c>
    </row>
    <row r="106" spans="1:9" ht="31.9" customHeight="1" x14ac:dyDescent="0.2">
      <c r="A106" s="81">
        <v>97</v>
      </c>
      <c r="B106" s="75" t="s">
        <v>175</v>
      </c>
      <c r="C106" s="81" t="s">
        <v>71</v>
      </c>
      <c r="D106" s="75" t="s">
        <v>72</v>
      </c>
      <c r="E106" s="82" t="s">
        <v>273</v>
      </c>
      <c r="F106" s="83" t="s">
        <v>288</v>
      </c>
      <c r="G106" s="84">
        <v>40</v>
      </c>
      <c r="H106" s="85">
        <v>100</v>
      </c>
      <c r="I106" s="86">
        <f t="shared" si="3"/>
        <v>4000</v>
      </c>
    </row>
    <row r="107" spans="1:9" ht="31.9" customHeight="1" x14ac:dyDescent="0.2">
      <c r="A107" s="81">
        <v>98</v>
      </c>
      <c r="B107" s="75" t="s">
        <v>176</v>
      </c>
      <c r="C107" s="81" t="s">
        <v>71</v>
      </c>
      <c r="D107" s="75" t="s">
        <v>72</v>
      </c>
      <c r="E107" s="82" t="s">
        <v>274</v>
      </c>
      <c r="F107" s="83" t="s">
        <v>284</v>
      </c>
      <c r="G107" s="84">
        <v>15</v>
      </c>
      <c r="H107" s="85">
        <v>39.6</v>
      </c>
      <c r="I107" s="86">
        <f t="shared" si="3"/>
        <v>594</v>
      </c>
    </row>
    <row r="108" spans="1:9" ht="31.9" customHeight="1" x14ac:dyDescent="0.2">
      <c r="A108" s="81">
        <v>99</v>
      </c>
      <c r="B108" s="75" t="s">
        <v>177</v>
      </c>
      <c r="C108" s="81" t="s">
        <v>71</v>
      </c>
      <c r="D108" s="75" t="s">
        <v>72</v>
      </c>
      <c r="E108" s="82" t="s">
        <v>275</v>
      </c>
      <c r="F108" s="83" t="s">
        <v>280</v>
      </c>
      <c r="G108" s="84">
        <v>10</v>
      </c>
      <c r="H108" s="85">
        <v>200</v>
      </c>
      <c r="I108" s="86">
        <f t="shared" si="3"/>
        <v>2000</v>
      </c>
    </row>
    <row r="109" spans="1:9" ht="31.9" customHeight="1" x14ac:dyDescent="0.2">
      <c r="A109" s="81">
        <v>100</v>
      </c>
      <c r="B109" s="75" t="s">
        <v>178</v>
      </c>
      <c r="C109" s="81" t="s">
        <v>71</v>
      </c>
      <c r="D109" s="75" t="s">
        <v>72</v>
      </c>
      <c r="E109" s="82" t="s">
        <v>276</v>
      </c>
      <c r="F109" s="83" t="s">
        <v>280</v>
      </c>
      <c r="G109" s="84">
        <v>10</v>
      </c>
      <c r="H109" s="85">
        <v>100</v>
      </c>
      <c r="I109" s="86">
        <f t="shared" si="3"/>
        <v>1000</v>
      </c>
    </row>
    <row r="110" spans="1:9" ht="31.9" customHeight="1" x14ac:dyDescent="0.2">
      <c r="A110" s="81">
        <v>101</v>
      </c>
      <c r="B110" s="75" t="s">
        <v>179</v>
      </c>
      <c r="C110" s="81" t="s">
        <v>71</v>
      </c>
      <c r="D110" s="75" t="s">
        <v>72</v>
      </c>
      <c r="E110" s="82" t="s">
        <v>277</v>
      </c>
      <c r="F110" s="83" t="s">
        <v>280</v>
      </c>
      <c r="G110" s="84">
        <v>10</v>
      </c>
      <c r="H110" s="85">
        <v>115</v>
      </c>
      <c r="I110" s="86">
        <f t="shared" si="3"/>
        <v>1150</v>
      </c>
    </row>
    <row r="111" spans="1:9" ht="31.9" customHeight="1" x14ac:dyDescent="0.2">
      <c r="A111" s="81">
        <v>102</v>
      </c>
      <c r="B111" s="75" t="s">
        <v>180</v>
      </c>
      <c r="C111" s="81" t="s">
        <v>71</v>
      </c>
      <c r="D111" s="75" t="s">
        <v>72</v>
      </c>
      <c r="E111" s="82" t="s">
        <v>278</v>
      </c>
      <c r="F111" s="83" t="s">
        <v>280</v>
      </c>
      <c r="G111" s="84">
        <v>100</v>
      </c>
      <c r="H111" s="85">
        <v>150</v>
      </c>
      <c r="I111" s="86">
        <f t="shared" si="3"/>
        <v>15000</v>
      </c>
    </row>
    <row r="112" spans="1:9" ht="31.9" customHeight="1" x14ac:dyDescent="0.2">
      <c r="A112" s="81">
        <v>103</v>
      </c>
      <c r="B112" s="75" t="s">
        <v>181</v>
      </c>
      <c r="C112" s="81" t="s">
        <v>71</v>
      </c>
      <c r="D112" s="75" t="s">
        <v>72</v>
      </c>
      <c r="E112" s="82" t="s">
        <v>279</v>
      </c>
      <c r="F112" s="83" t="s">
        <v>280</v>
      </c>
      <c r="G112" s="84">
        <v>50</v>
      </c>
      <c r="H112" s="85">
        <v>280</v>
      </c>
      <c r="I112" s="86">
        <f t="shared" si="3"/>
        <v>14000</v>
      </c>
    </row>
    <row r="113" spans="1:9" ht="31.9" customHeight="1" thickBot="1" x14ac:dyDescent="0.25">
      <c r="A113" s="90"/>
      <c r="B113" s="89"/>
      <c r="C113" s="65"/>
      <c r="D113" s="64"/>
      <c r="E113" s="62"/>
      <c r="F113" s="61"/>
      <c r="G113" s="58"/>
      <c r="H113" s="66"/>
      <c r="I113" s="67"/>
    </row>
    <row r="114" spans="1:9" ht="31.9" customHeight="1" x14ac:dyDescent="0.2">
      <c r="A114" s="98"/>
      <c r="B114" s="91" t="s">
        <v>59</v>
      </c>
      <c r="C114" s="40" t="s">
        <v>316</v>
      </c>
      <c r="D114" s="40"/>
      <c r="E114" s="41"/>
      <c r="F114" s="103"/>
      <c r="G114" s="103"/>
      <c r="H114" s="104"/>
      <c r="I114" s="104"/>
    </row>
    <row r="115" spans="1:9" ht="31.9" customHeight="1" x14ac:dyDescent="0.2">
      <c r="A115" s="98"/>
      <c r="B115" s="42"/>
      <c r="E115" s="44"/>
      <c r="F115" s="103"/>
      <c r="G115" s="103"/>
      <c r="H115" s="104"/>
      <c r="I115" s="104"/>
    </row>
    <row r="116" spans="1:9" x14ac:dyDescent="0.2">
      <c r="B116" s="42" t="s">
        <v>14</v>
      </c>
      <c r="E116" s="44"/>
    </row>
    <row r="117" spans="1:9" x14ac:dyDescent="0.2">
      <c r="B117" s="42" t="s">
        <v>292</v>
      </c>
      <c r="C117" s="37" t="s">
        <v>317</v>
      </c>
      <c r="E117" s="44"/>
    </row>
    <row r="118" spans="1:9" x14ac:dyDescent="0.2">
      <c r="B118" s="42" t="s">
        <v>15</v>
      </c>
      <c r="E118" s="44"/>
    </row>
    <row r="119" spans="1:9" ht="11.25" customHeight="1" x14ac:dyDescent="0.2">
      <c r="B119" s="42"/>
      <c r="C119" s="37" t="s">
        <v>76</v>
      </c>
      <c r="E119" s="92"/>
    </row>
    <row r="120" spans="1:9" x14ac:dyDescent="0.2">
      <c r="B120" s="42"/>
      <c r="C120" s="37" t="s">
        <v>77</v>
      </c>
      <c r="E120" s="44"/>
    </row>
    <row r="121" spans="1:9" ht="41.25" customHeight="1" x14ac:dyDescent="0.2">
      <c r="B121" s="42"/>
      <c r="C121" s="37" t="s">
        <v>78</v>
      </c>
      <c r="E121" s="44"/>
    </row>
    <row r="122" spans="1:9" x14ac:dyDescent="0.2">
      <c r="B122" s="42" t="s">
        <v>16</v>
      </c>
      <c r="E122" s="44"/>
    </row>
    <row r="123" spans="1:9" x14ac:dyDescent="0.2">
      <c r="B123" s="42"/>
      <c r="E123" s="44"/>
    </row>
    <row r="124" spans="1:9" x14ac:dyDescent="0.2">
      <c r="B124" s="42" t="s">
        <v>17</v>
      </c>
      <c r="E124" s="44"/>
    </row>
    <row r="125" spans="1:9" x14ac:dyDescent="0.2">
      <c r="B125" s="42"/>
      <c r="E125" s="44"/>
    </row>
    <row r="126" spans="1:9" x14ac:dyDescent="0.2">
      <c r="B126" s="42" t="s">
        <v>18</v>
      </c>
      <c r="E126" s="44"/>
    </row>
    <row r="128" spans="1:9" ht="26.25" customHeight="1" thickBot="1" x14ac:dyDescent="0.25">
      <c r="B128" s="45"/>
      <c r="C128" s="46"/>
      <c r="D128" s="46"/>
      <c r="E128" s="47"/>
    </row>
    <row r="129" spans="2:5" ht="15" thickBot="1" x14ac:dyDescent="0.25">
      <c r="B129" s="99"/>
      <c r="C129" s="100"/>
      <c r="D129" s="101"/>
      <c r="E129" s="102"/>
    </row>
    <row r="130" spans="2:5" ht="26.25" customHeight="1" x14ac:dyDescent="0.2">
      <c r="B130" s="91" t="s">
        <v>59</v>
      </c>
      <c r="C130" s="40" t="s">
        <v>291</v>
      </c>
      <c r="D130" s="40"/>
      <c r="E130" s="41"/>
    </row>
    <row r="131" spans="2:5" x14ac:dyDescent="0.2">
      <c r="B131" s="42"/>
      <c r="E131" s="44"/>
    </row>
    <row r="132" spans="2:5" ht="23.25" customHeight="1" x14ac:dyDescent="0.2">
      <c r="B132" s="42" t="s">
        <v>14</v>
      </c>
      <c r="E132" s="44"/>
    </row>
    <row r="133" spans="2:5" x14ac:dyDescent="0.2">
      <c r="B133" s="42" t="s">
        <v>292</v>
      </c>
      <c r="C133" s="37" t="s">
        <v>293</v>
      </c>
      <c r="E133" s="44"/>
    </row>
    <row r="134" spans="2:5" x14ac:dyDescent="0.2">
      <c r="B134" s="42" t="s">
        <v>15</v>
      </c>
      <c r="E134" s="44"/>
    </row>
    <row r="135" spans="2:5" x14ac:dyDescent="0.2">
      <c r="B135" s="42"/>
      <c r="C135" s="37" t="s">
        <v>76</v>
      </c>
      <c r="E135" s="92"/>
    </row>
    <row r="136" spans="2:5" x14ac:dyDescent="0.2">
      <c r="B136" s="42"/>
      <c r="C136" s="37" t="s">
        <v>77</v>
      </c>
      <c r="E136" s="44"/>
    </row>
    <row r="137" spans="2:5" x14ac:dyDescent="0.2">
      <c r="B137" s="42"/>
      <c r="C137" s="37" t="s">
        <v>78</v>
      </c>
      <c r="E137" s="44"/>
    </row>
    <row r="138" spans="2:5" ht="22.5" customHeight="1" x14ac:dyDescent="0.2">
      <c r="B138" s="42" t="s">
        <v>16</v>
      </c>
      <c r="E138" s="44"/>
    </row>
    <row r="139" spans="2:5" ht="22.5" customHeight="1" x14ac:dyDescent="0.2">
      <c r="B139" s="42"/>
      <c r="E139" s="44"/>
    </row>
    <row r="140" spans="2:5" x14ac:dyDescent="0.2">
      <c r="B140" s="42" t="s">
        <v>17</v>
      </c>
      <c r="E140" s="44"/>
    </row>
    <row r="141" spans="2:5" x14ac:dyDescent="0.2">
      <c r="B141" s="42"/>
      <c r="E141" s="44"/>
    </row>
    <row r="142" spans="2:5" x14ac:dyDescent="0.2">
      <c r="B142" s="42" t="s">
        <v>18</v>
      </c>
      <c r="E142" s="44"/>
    </row>
    <row r="144" spans="2:5" ht="13.5" thickBot="1" x14ac:dyDescent="0.25">
      <c r="B144" s="45"/>
      <c r="C144" s="46"/>
      <c r="D144" s="46"/>
      <c r="E144" s="47"/>
    </row>
    <row r="146" spans="2:5" ht="13.5" thickBot="1" x14ac:dyDescent="0.25">
      <c r="B146" s="45"/>
      <c r="C146" s="46"/>
      <c r="D146" s="46"/>
      <c r="E146" s="47"/>
    </row>
    <row r="147" spans="2:5" ht="13.5" thickBot="1" x14ac:dyDescent="0.25">
      <c r="B147" s="93"/>
      <c r="C147" s="94"/>
      <c r="D147" s="94"/>
    </row>
    <row r="148" spans="2:5" x14ac:dyDescent="0.2">
      <c r="B148" s="91" t="s">
        <v>59</v>
      </c>
      <c r="C148" s="40" t="s">
        <v>294</v>
      </c>
      <c r="D148" s="40"/>
      <c r="E148" s="41"/>
    </row>
    <row r="149" spans="2:5" x14ac:dyDescent="0.2">
      <c r="B149" s="42"/>
      <c r="E149" s="44"/>
    </row>
    <row r="150" spans="2:5" x14ac:dyDescent="0.2">
      <c r="B150" s="42" t="s">
        <v>14</v>
      </c>
      <c r="E150" s="44"/>
    </row>
    <row r="151" spans="2:5" x14ac:dyDescent="0.2">
      <c r="B151" s="42" t="s">
        <v>292</v>
      </c>
      <c r="C151" s="37" t="s">
        <v>295</v>
      </c>
      <c r="E151" s="44"/>
    </row>
    <row r="152" spans="2:5" x14ac:dyDescent="0.2">
      <c r="B152" s="42" t="s">
        <v>15</v>
      </c>
      <c r="E152" s="44"/>
    </row>
    <row r="153" spans="2:5" x14ac:dyDescent="0.2">
      <c r="B153" s="42"/>
      <c r="C153" s="37" t="s">
        <v>76</v>
      </c>
      <c r="E153" s="92"/>
    </row>
    <row r="154" spans="2:5" x14ac:dyDescent="0.2">
      <c r="B154" s="42"/>
      <c r="C154" s="37" t="s">
        <v>77</v>
      </c>
      <c r="E154" s="92"/>
    </row>
    <row r="155" spans="2:5" ht="32.25" customHeight="1" x14ac:dyDescent="0.2">
      <c r="B155" s="42"/>
      <c r="C155" s="37" t="s">
        <v>78</v>
      </c>
      <c r="E155" s="44"/>
    </row>
    <row r="156" spans="2:5" x14ac:dyDescent="0.2">
      <c r="B156" s="42" t="s">
        <v>16</v>
      </c>
      <c r="E156" s="44"/>
    </row>
    <row r="157" spans="2:5" x14ac:dyDescent="0.2">
      <c r="B157" s="42"/>
      <c r="E157" s="44"/>
    </row>
    <row r="158" spans="2:5" x14ac:dyDescent="0.2">
      <c r="B158" s="42" t="s">
        <v>17</v>
      </c>
      <c r="E158" s="44"/>
    </row>
    <row r="159" spans="2:5" x14ac:dyDescent="0.2">
      <c r="B159" s="42"/>
      <c r="C159" s="37" t="s">
        <v>313</v>
      </c>
      <c r="E159" s="44"/>
    </row>
    <row r="160" spans="2:5" x14ac:dyDescent="0.2">
      <c r="B160" s="42" t="s">
        <v>18</v>
      </c>
      <c r="E160" s="44"/>
    </row>
    <row r="162" spans="2:5" ht="13.5" thickBot="1" x14ac:dyDescent="0.25">
      <c r="B162" s="45"/>
      <c r="C162" s="46"/>
      <c r="D162" s="46"/>
      <c r="E162" s="47"/>
    </row>
    <row r="163" spans="2:5" x14ac:dyDescent="0.2">
      <c r="B163" s="91" t="s">
        <v>59</v>
      </c>
      <c r="C163" s="40" t="s">
        <v>308</v>
      </c>
      <c r="D163" s="40"/>
      <c r="E163" s="41"/>
    </row>
    <row r="164" spans="2:5" x14ac:dyDescent="0.2">
      <c r="B164" s="42"/>
      <c r="E164" s="44"/>
    </row>
    <row r="165" spans="2:5" x14ac:dyDescent="0.2">
      <c r="B165" s="42" t="s">
        <v>14</v>
      </c>
      <c r="E165" s="44"/>
    </row>
    <row r="166" spans="2:5" x14ac:dyDescent="0.2">
      <c r="B166" s="42" t="s">
        <v>292</v>
      </c>
      <c r="C166" s="37" t="s">
        <v>309</v>
      </c>
      <c r="E166" s="44"/>
    </row>
    <row r="167" spans="2:5" x14ac:dyDescent="0.2">
      <c r="B167" s="42" t="s">
        <v>15</v>
      </c>
      <c r="E167" s="44"/>
    </row>
    <row r="168" spans="2:5" x14ac:dyDescent="0.2">
      <c r="B168" s="42"/>
      <c r="C168" s="37" t="s">
        <v>76</v>
      </c>
      <c r="E168" s="92"/>
    </row>
    <row r="169" spans="2:5" x14ac:dyDescent="0.2">
      <c r="B169" s="42"/>
      <c r="C169" s="37" t="s">
        <v>77</v>
      </c>
      <c r="E169" s="92"/>
    </row>
    <row r="170" spans="2:5" x14ac:dyDescent="0.2">
      <c r="B170" s="42"/>
      <c r="C170" s="37" t="s">
        <v>78</v>
      </c>
      <c r="E170" s="44"/>
    </row>
    <row r="171" spans="2:5" ht="29.25" customHeight="1" x14ac:dyDescent="0.2">
      <c r="B171" s="42" t="s">
        <v>16</v>
      </c>
      <c r="E171" s="44"/>
    </row>
    <row r="172" spans="2:5" x14ac:dyDescent="0.2">
      <c r="B172" s="42"/>
      <c r="E172" s="44"/>
    </row>
    <row r="173" spans="2:5" x14ac:dyDescent="0.2">
      <c r="B173" s="42" t="s">
        <v>17</v>
      </c>
      <c r="E173" s="44"/>
    </row>
    <row r="174" spans="2:5" x14ac:dyDescent="0.2">
      <c r="B174" s="42"/>
      <c r="C174" s="37" t="s">
        <v>313</v>
      </c>
      <c r="E174" s="44"/>
    </row>
    <row r="175" spans="2:5" x14ac:dyDescent="0.2">
      <c r="B175" s="42" t="s">
        <v>18</v>
      </c>
      <c r="E175" s="44"/>
    </row>
    <row r="177" spans="2:5" ht="13.5" thickBot="1" x14ac:dyDescent="0.25">
      <c r="B177" s="45"/>
      <c r="C177" s="46"/>
      <c r="D177" s="46"/>
      <c r="E177" s="47"/>
    </row>
    <row r="178" spans="2:5" ht="13.5" thickBot="1" x14ac:dyDescent="0.25">
      <c r="B178" s="93"/>
      <c r="C178" s="94"/>
      <c r="D178" s="94"/>
    </row>
    <row r="179" spans="2:5" x14ac:dyDescent="0.2">
      <c r="B179" s="91" t="s">
        <v>59</v>
      </c>
      <c r="C179" s="40" t="s">
        <v>296</v>
      </c>
      <c r="D179" s="40"/>
      <c r="E179" s="41"/>
    </row>
    <row r="180" spans="2:5" x14ac:dyDescent="0.2">
      <c r="B180" s="42"/>
      <c r="E180" s="44"/>
    </row>
    <row r="181" spans="2:5" x14ac:dyDescent="0.2">
      <c r="B181" s="42" t="s">
        <v>14</v>
      </c>
      <c r="E181" s="44"/>
    </row>
    <row r="182" spans="2:5" x14ac:dyDescent="0.2">
      <c r="B182" s="42" t="s">
        <v>292</v>
      </c>
      <c r="C182" s="37" t="s">
        <v>297</v>
      </c>
      <c r="E182" s="44"/>
    </row>
    <row r="183" spans="2:5" x14ac:dyDescent="0.2">
      <c r="B183" s="42" t="s">
        <v>15</v>
      </c>
      <c r="E183" s="44"/>
    </row>
    <row r="184" spans="2:5" x14ac:dyDescent="0.2">
      <c r="B184" s="42"/>
      <c r="C184" s="37" t="s">
        <v>76</v>
      </c>
      <c r="E184" s="92"/>
    </row>
    <row r="185" spans="2:5" x14ac:dyDescent="0.2">
      <c r="B185" s="42"/>
      <c r="C185" s="37" t="s">
        <v>77</v>
      </c>
      <c r="E185" s="92"/>
    </row>
    <row r="186" spans="2:5" x14ac:dyDescent="0.2">
      <c r="B186" s="42"/>
      <c r="C186" s="37" t="s">
        <v>78</v>
      </c>
      <c r="E186" s="44"/>
    </row>
    <row r="187" spans="2:5" x14ac:dyDescent="0.2">
      <c r="B187" s="42" t="s">
        <v>16</v>
      </c>
      <c r="E187" s="44"/>
    </row>
    <row r="188" spans="2:5" ht="31.5" customHeight="1" x14ac:dyDescent="0.2">
      <c r="B188" s="42"/>
      <c r="E188" s="44"/>
    </row>
    <row r="189" spans="2:5" x14ac:dyDescent="0.2">
      <c r="B189" s="42" t="s">
        <v>17</v>
      </c>
      <c r="E189" s="44"/>
    </row>
    <row r="190" spans="2:5" x14ac:dyDescent="0.2">
      <c r="B190" s="42"/>
      <c r="C190" s="37" t="s">
        <v>313</v>
      </c>
      <c r="E190" s="44"/>
    </row>
    <row r="191" spans="2:5" x14ac:dyDescent="0.2">
      <c r="B191" s="42" t="s">
        <v>18</v>
      </c>
      <c r="E191" s="44"/>
    </row>
    <row r="193" spans="2:5" ht="13.5" thickBot="1" x14ac:dyDescent="0.25">
      <c r="B193" s="45"/>
      <c r="C193" s="46"/>
      <c r="D193" s="46"/>
      <c r="E193" s="47"/>
    </row>
    <row r="194" spans="2:5" x14ac:dyDescent="0.2">
      <c r="B194" s="91" t="s">
        <v>59</v>
      </c>
      <c r="C194" s="40" t="s">
        <v>310</v>
      </c>
      <c r="D194" s="40"/>
      <c r="E194" s="41"/>
    </row>
    <row r="195" spans="2:5" x14ac:dyDescent="0.2">
      <c r="B195" s="42"/>
      <c r="E195" s="44"/>
    </row>
    <row r="196" spans="2:5" x14ac:dyDescent="0.2">
      <c r="B196" s="42" t="s">
        <v>14</v>
      </c>
      <c r="E196" s="44"/>
    </row>
    <row r="197" spans="2:5" x14ac:dyDescent="0.2">
      <c r="B197" s="42" t="s">
        <v>292</v>
      </c>
      <c r="C197" s="37" t="s">
        <v>299</v>
      </c>
      <c r="E197" s="44"/>
    </row>
    <row r="198" spans="2:5" x14ac:dyDescent="0.2">
      <c r="B198" s="42" t="s">
        <v>15</v>
      </c>
      <c r="E198" s="44"/>
    </row>
    <row r="199" spans="2:5" x14ac:dyDescent="0.2">
      <c r="B199" s="42"/>
      <c r="C199" s="37" t="s">
        <v>76</v>
      </c>
      <c r="E199" s="92"/>
    </row>
    <row r="200" spans="2:5" x14ac:dyDescent="0.2">
      <c r="B200" s="42"/>
      <c r="C200" s="37" t="s">
        <v>77</v>
      </c>
      <c r="E200" s="92"/>
    </row>
    <row r="201" spans="2:5" x14ac:dyDescent="0.2">
      <c r="B201" s="42"/>
      <c r="C201" s="37" t="s">
        <v>78</v>
      </c>
      <c r="E201" s="44"/>
    </row>
    <row r="202" spans="2:5" x14ac:dyDescent="0.2">
      <c r="B202" s="42" t="s">
        <v>16</v>
      </c>
      <c r="E202" s="44"/>
    </row>
    <row r="203" spans="2:5" x14ac:dyDescent="0.2">
      <c r="B203" s="42"/>
      <c r="E203" s="44"/>
    </row>
    <row r="204" spans="2:5" x14ac:dyDescent="0.2">
      <c r="B204" s="42" t="s">
        <v>17</v>
      </c>
      <c r="E204" s="44"/>
    </row>
    <row r="205" spans="2:5" ht="19.5" customHeight="1" x14ac:dyDescent="0.2">
      <c r="B205" s="42"/>
      <c r="C205" s="37" t="s">
        <v>313</v>
      </c>
      <c r="E205" s="44"/>
    </row>
    <row r="206" spans="2:5" x14ac:dyDescent="0.2">
      <c r="B206" s="42" t="s">
        <v>18</v>
      </c>
      <c r="E206" s="44"/>
    </row>
    <row r="208" spans="2:5" ht="13.5" thickBot="1" x14ac:dyDescent="0.25">
      <c r="B208" s="45"/>
      <c r="C208" s="46"/>
      <c r="D208" s="46"/>
      <c r="E208" s="47"/>
    </row>
    <row r="209" spans="2:5" ht="13.5" thickBot="1" x14ac:dyDescent="0.25">
      <c r="B209" s="93"/>
      <c r="C209" s="94"/>
      <c r="D209" s="94"/>
    </row>
    <row r="210" spans="2:5" x14ac:dyDescent="0.2">
      <c r="B210" s="91" t="s">
        <v>59</v>
      </c>
      <c r="C210" s="40" t="s">
        <v>298</v>
      </c>
      <c r="D210" s="40"/>
      <c r="E210" s="41"/>
    </row>
    <row r="211" spans="2:5" x14ac:dyDescent="0.2">
      <c r="B211" s="42"/>
      <c r="E211" s="44"/>
    </row>
    <row r="212" spans="2:5" x14ac:dyDescent="0.2">
      <c r="B212" s="42" t="s">
        <v>14</v>
      </c>
      <c r="E212" s="44"/>
    </row>
    <row r="213" spans="2:5" x14ac:dyDescent="0.2">
      <c r="B213" s="42" t="s">
        <v>292</v>
      </c>
      <c r="C213" s="37" t="s">
        <v>299</v>
      </c>
      <c r="E213" s="44"/>
    </row>
    <row r="214" spans="2:5" x14ac:dyDescent="0.2">
      <c r="B214" s="42" t="s">
        <v>15</v>
      </c>
      <c r="E214" s="44"/>
    </row>
    <row r="215" spans="2:5" x14ac:dyDescent="0.2">
      <c r="B215" s="42"/>
      <c r="C215" s="37" t="s">
        <v>76</v>
      </c>
      <c r="E215" s="92"/>
    </row>
    <row r="216" spans="2:5" x14ac:dyDescent="0.2">
      <c r="B216" s="42"/>
      <c r="C216" s="37" t="s">
        <v>77</v>
      </c>
      <c r="E216" s="92"/>
    </row>
    <row r="217" spans="2:5" x14ac:dyDescent="0.2">
      <c r="B217" s="42"/>
      <c r="C217" s="37" t="s">
        <v>78</v>
      </c>
      <c r="E217" s="44"/>
    </row>
    <row r="218" spans="2:5" x14ac:dyDescent="0.2">
      <c r="B218" s="42" t="s">
        <v>16</v>
      </c>
      <c r="E218" s="44"/>
    </row>
    <row r="219" spans="2:5" x14ac:dyDescent="0.2">
      <c r="B219" s="42"/>
      <c r="E219" s="44"/>
    </row>
    <row r="220" spans="2:5" x14ac:dyDescent="0.2">
      <c r="B220" s="42" t="s">
        <v>17</v>
      </c>
      <c r="E220" s="44"/>
    </row>
    <row r="221" spans="2:5" x14ac:dyDescent="0.2">
      <c r="B221" s="42"/>
      <c r="C221" s="37" t="s">
        <v>313</v>
      </c>
      <c r="E221" s="44"/>
    </row>
    <row r="222" spans="2:5" x14ac:dyDescent="0.2">
      <c r="B222" s="42" t="s">
        <v>18</v>
      </c>
      <c r="E222" s="44"/>
    </row>
    <row r="224" spans="2:5" ht="13.5" thickBot="1" x14ac:dyDescent="0.25">
      <c r="B224" s="45"/>
      <c r="C224" s="46"/>
      <c r="D224" s="46"/>
      <c r="E224" s="47"/>
    </row>
    <row r="225" spans="2:5" x14ac:dyDescent="0.2">
      <c r="B225" s="93"/>
      <c r="C225" s="94"/>
      <c r="D225" s="94"/>
    </row>
    <row r="226" spans="2:5" ht="13.5" thickBot="1" x14ac:dyDescent="0.25">
      <c r="B226" s="93"/>
      <c r="C226" s="94"/>
      <c r="D226" s="94"/>
    </row>
    <row r="227" spans="2:5" x14ac:dyDescent="0.2">
      <c r="B227" s="91" t="s">
        <v>59</v>
      </c>
      <c r="C227" s="40" t="s">
        <v>300</v>
      </c>
      <c r="D227" s="40"/>
      <c r="E227" s="41"/>
    </row>
    <row r="228" spans="2:5" x14ac:dyDescent="0.2">
      <c r="B228" s="42"/>
      <c r="E228" s="44"/>
    </row>
    <row r="229" spans="2:5" x14ac:dyDescent="0.2">
      <c r="B229" s="42" t="s">
        <v>14</v>
      </c>
      <c r="E229" s="44"/>
    </row>
    <row r="230" spans="2:5" x14ac:dyDescent="0.2">
      <c r="B230" s="42" t="s">
        <v>292</v>
      </c>
      <c r="C230" s="37" t="s">
        <v>301</v>
      </c>
      <c r="E230" s="44"/>
    </row>
    <row r="231" spans="2:5" x14ac:dyDescent="0.2">
      <c r="B231" s="42" t="s">
        <v>15</v>
      </c>
      <c r="E231" s="44"/>
    </row>
    <row r="232" spans="2:5" x14ac:dyDescent="0.2">
      <c r="B232" s="42"/>
      <c r="C232" s="37" t="s">
        <v>76</v>
      </c>
      <c r="E232" s="92"/>
    </row>
    <row r="233" spans="2:5" x14ac:dyDescent="0.2">
      <c r="B233" s="42"/>
      <c r="C233" s="37" t="s">
        <v>77</v>
      </c>
      <c r="E233" s="92"/>
    </row>
    <row r="234" spans="2:5" x14ac:dyDescent="0.2">
      <c r="B234" s="42"/>
      <c r="C234" s="37" t="s">
        <v>78</v>
      </c>
      <c r="E234" s="44"/>
    </row>
    <row r="235" spans="2:5" x14ac:dyDescent="0.2">
      <c r="B235" s="42" t="s">
        <v>16</v>
      </c>
      <c r="E235" s="44"/>
    </row>
    <row r="236" spans="2:5" x14ac:dyDescent="0.2">
      <c r="B236" s="42"/>
      <c r="E236" s="44"/>
    </row>
    <row r="237" spans="2:5" x14ac:dyDescent="0.2">
      <c r="B237" s="42" t="s">
        <v>17</v>
      </c>
      <c r="E237" s="44"/>
    </row>
    <row r="238" spans="2:5" x14ac:dyDescent="0.2">
      <c r="B238" s="42"/>
      <c r="C238" s="37" t="s">
        <v>313</v>
      </c>
      <c r="E238" s="44"/>
    </row>
    <row r="239" spans="2:5" x14ac:dyDescent="0.2">
      <c r="B239" s="42" t="s">
        <v>18</v>
      </c>
      <c r="E239" s="44"/>
    </row>
    <row r="241" spans="2:5" ht="13.5" thickBot="1" x14ac:dyDescent="0.25">
      <c r="B241" s="45"/>
      <c r="C241" s="46"/>
      <c r="D241" s="46"/>
      <c r="E241" s="47"/>
    </row>
    <row r="242" spans="2:5" x14ac:dyDescent="0.2">
      <c r="B242" s="93"/>
      <c r="C242" s="94"/>
      <c r="D242" s="94"/>
    </row>
    <row r="243" spans="2:5" ht="13.5" thickBot="1" x14ac:dyDescent="0.25">
      <c r="B243" s="93"/>
      <c r="C243" s="94"/>
      <c r="D243" s="94"/>
    </row>
    <row r="244" spans="2:5" x14ac:dyDescent="0.2">
      <c r="B244" s="91" t="s">
        <v>59</v>
      </c>
      <c r="C244" s="40" t="s">
        <v>302</v>
      </c>
      <c r="D244" s="40"/>
      <c r="E244" s="41"/>
    </row>
    <row r="245" spans="2:5" x14ac:dyDescent="0.2">
      <c r="B245" s="42"/>
      <c r="E245" s="44"/>
    </row>
    <row r="246" spans="2:5" x14ac:dyDescent="0.2">
      <c r="B246" s="42" t="s">
        <v>14</v>
      </c>
      <c r="E246" s="44"/>
    </row>
    <row r="247" spans="2:5" x14ac:dyDescent="0.2">
      <c r="B247" s="42" t="s">
        <v>292</v>
      </c>
      <c r="C247" s="37" t="s">
        <v>303</v>
      </c>
      <c r="E247" s="44"/>
    </row>
    <row r="248" spans="2:5" x14ac:dyDescent="0.2">
      <c r="B248" s="42" t="s">
        <v>15</v>
      </c>
      <c r="E248" s="44"/>
    </row>
    <row r="249" spans="2:5" x14ac:dyDescent="0.2">
      <c r="B249" s="42"/>
      <c r="C249" s="37" t="s">
        <v>76</v>
      </c>
      <c r="E249" s="92"/>
    </row>
    <row r="250" spans="2:5" x14ac:dyDescent="0.2">
      <c r="B250" s="42"/>
      <c r="C250" s="37" t="s">
        <v>77</v>
      </c>
      <c r="E250" s="92"/>
    </row>
    <row r="251" spans="2:5" x14ac:dyDescent="0.2">
      <c r="B251" s="42"/>
      <c r="C251" s="37" t="s">
        <v>78</v>
      </c>
      <c r="E251" s="44"/>
    </row>
    <row r="252" spans="2:5" x14ac:dyDescent="0.2">
      <c r="B252" s="42" t="s">
        <v>16</v>
      </c>
      <c r="E252" s="44"/>
    </row>
    <row r="253" spans="2:5" x14ac:dyDescent="0.2">
      <c r="B253" s="42"/>
      <c r="E253" s="44"/>
    </row>
    <row r="254" spans="2:5" x14ac:dyDescent="0.2">
      <c r="B254" s="42" t="s">
        <v>17</v>
      </c>
      <c r="E254" s="44"/>
    </row>
    <row r="255" spans="2:5" x14ac:dyDescent="0.2">
      <c r="B255" s="42"/>
      <c r="C255" s="37" t="s">
        <v>313</v>
      </c>
      <c r="E255" s="44"/>
    </row>
    <row r="256" spans="2:5" x14ac:dyDescent="0.2">
      <c r="B256" s="42" t="s">
        <v>18</v>
      </c>
      <c r="E256" s="44"/>
    </row>
    <row r="258" spans="2:5" ht="13.5" thickBot="1" x14ac:dyDescent="0.25">
      <c r="B258" s="45"/>
      <c r="C258" s="46"/>
      <c r="D258" s="46"/>
      <c r="E258" s="47"/>
    </row>
    <row r="259" spans="2:5" x14ac:dyDescent="0.2">
      <c r="B259" s="93"/>
      <c r="C259" s="94"/>
      <c r="D259" s="94"/>
    </row>
    <row r="260" spans="2:5" ht="13.5" thickBot="1" x14ac:dyDescent="0.25">
      <c r="B260" s="93"/>
      <c r="C260" s="94"/>
      <c r="D260" s="94"/>
    </row>
    <row r="261" spans="2:5" x14ac:dyDescent="0.2">
      <c r="B261" s="91" t="s">
        <v>59</v>
      </c>
      <c r="C261" s="40" t="s">
        <v>304</v>
      </c>
      <c r="D261" s="40"/>
      <c r="E261" s="41"/>
    </row>
    <row r="262" spans="2:5" x14ac:dyDescent="0.2">
      <c r="B262" s="42"/>
      <c r="E262" s="44"/>
    </row>
    <row r="263" spans="2:5" x14ac:dyDescent="0.2">
      <c r="B263" s="42" t="s">
        <v>14</v>
      </c>
      <c r="E263" s="44"/>
    </row>
    <row r="264" spans="2:5" x14ac:dyDescent="0.2">
      <c r="B264" s="42" t="s">
        <v>292</v>
      </c>
      <c r="C264" s="37" t="s">
        <v>305</v>
      </c>
      <c r="E264" s="44"/>
    </row>
    <row r="265" spans="2:5" x14ac:dyDescent="0.2">
      <c r="B265" s="42" t="s">
        <v>15</v>
      </c>
      <c r="E265" s="44"/>
    </row>
    <row r="266" spans="2:5" x14ac:dyDescent="0.2">
      <c r="B266" s="42"/>
      <c r="C266" s="37" t="s">
        <v>76</v>
      </c>
      <c r="E266" s="92"/>
    </row>
    <row r="267" spans="2:5" x14ac:dyDescent="0.2">
      <c r="B267" s="42"/>
      <c r="C267" s="37" t="s">
        <v>77</v>
      </c>
      <c r="E267" s="92"/>
    </row>
    <row r="268" spans="2:5" x14ac:dyDescent="0.2">
      <c r="B268" s="42"/>
      <c r="C268" s="37" t="s">
        <v>78</v>
      </c>
      <c r="E268" s="44"/>
    </row>
    <row r="269" spans="2:5" x14ac:dyDescent="0.2">
      <c r="B269" s="42" t="s">
        <v>16</v>
      </c>
      <c r="E269" s="44"/>
    </row>
    <row r="270" spans="2:5" x14ac:dyDescent="0.2">
      <c r="B270" s="42"/>
      <c r="E270" s="44"/>
    </row>
    <row r="271" spans="2:5" x14ac:dyDescent="0.2">
      <c r="B271" s="42" t="s">
        <v>17</v>
      </c>
      <c r="E271" s="44"/>
    </row>
    <row r="272" spans="2:5" x14ac:dyDescent="0.2">
      <c r="B272" s="42"/>
      <c r="C272" s="37" t="s">
        <v>313</v>
      </c>
      <c r="E272" s="44"/>
    </row>
    <row r="273" spans="2:5" x14ac:dyDescent="0.2">
      <c r="B273" s="42" t="s">
        <v>18</v>
      </c>
      <c r="E273" s="44"/>
    </row>
    <row r="275" spans="2:5" ht="13.5" thickBot="1" x14ac:dyDescent="0.25">
      <c r="B275" s="45"/>
      <c r="C275" s="46"/>
      <c r="D275" s="46"/>
      <c r="E275" s="47"/>
    </row>
    <row r="276" spans="2:5" x14ac:dyDescent="0.2">
      <c r="B276" s="93"/>
      <c r="C276" s="94"/>
      <c r="D276" s="94"/>
    </row>
    <row r="277" spans="2:5" ht="13.5" thickBot="1" x14ac:dyDescent="0.25">
      <c r="B277" s="93"/>
      <c r="C277" s="94"/>
      <c r="D277" s="94"/>
    </row>
    <row r="278" spans="2:5" x14ac:dyDescent="0.2">
      <c r="B278" s="91" t="s">
        <v>59</v>
      </c>
      <c r="C278" s="40" t="s">
        <v>306</v>
      </c>
      <c r="D278" s="40"/>
      <c r="E278" s="41"/>
    </row>
    <row r="279" spans="2:5" x14ac:dyDescent="0.2">
      <c r="B279" s="42"/>
      <c r="E279" s="44"/>
    </row>
    <row r="280" spans="2:5" x14ac:dyDescent="0.2">
      <c r="B280" s="42" t="s">
        <v>14</v>
      </c>
      <c r="E280" s="44"/>
    </row>
    <row r="281" spans="2:5" x14ac:dyDescent="0.2">
      <c r="B281" s="42" t="s">
        <v>292</v>
      </c>
      <c r="C281" s="37" t="s">
        <v>307</v>
      </c>
      <c r="E281" s="44"/>
    </row>
    <row r="282" spans="2:5" x14ac:dyDescent="0.2">
      <c r="B282" s="42" t="s">
        <v>15</v>
      </c>
      <c r="E282" s="44"/>
    </row>
    <row r="283" spans="2:5" x14ac:dyDescent="0.2">
      <c r="B283" s="42"/>
      <c r="C283" s="37" t="s">
        <v>76</v>
      </c>
      <c r="E283" s="92"/>
    </row>
    <row r="284" spans="2:5" x14ac:dyDescent="0.2">
      <c r="B284" s="42"/>
      <c r="C284" s="37" t="s">
        <v>77</v>
      </c>
      <c r="E284" s="92"/>
    </row>
    <row r="285" spans="2:5" x14ac:dyDescent="0.2">
      <c r="B285" s="42"/>
      <c r="C285" s="37" t="s">
        <v>78</v>
      </c>
      <c r="E285" s="44"/>
    </row>
    <row r="286" spans="2:5" x14ac:dyDescent="0.2">
      <c r="B286" s="42" t="s">
        <v>16</v>
      </c>
      <c r="E286" s="44"/>
    </row>
    <row r="287" spans="2:5" x14ac:dyDescent="0.2">
      <c r="B287" s="42"/>
      <c r="E287" s="44"/>
    </row>
    <row r="288" spans="2:5" x14ac:dyDescent="0.2">
      <c r="B288" s="42" t="s">
        <v>17</v>
      </c>
      <c r="E288" s="44"/>
    </row>
    <row r="289" spans="2:5" x14ac:dyDescent="0.2">
      <c r="B289" s="42"/>
      <c r="C289" s="37" t="s">
        <v>313</v>
      </c>
      <c r="E289" s="44"/>
    </row>
    <row r="290" spans="2:5" x14ac:dyDescent="0.2">
      <c r="B290" s="42" t="s">
        <v>18</v>
      </c>
      <c r="E290" s="44"/>
    </row>
    <row r="292" spans="2:5" ht="13.5" thickBot="1" x14ac:dyDescent="0.25">
      <c r="B292" s="45"/>
      <c r="C292" s="46"/>
      <c r="D292" s="46"/>
      <c r="E292" s="47"/>
    </row>
    <row r="293" spans="2:5" ht="13.5" thickBot="1" x14ac:dyDescent="0.25">
      <c r="B293" s="95"/>
      <c r="C293" s="43"/>
      <c r="D293" s="43"/>
      <c r="E293" s="43"/>
    </row>
    <row r="294" spans="2:5" x14ac:dyDescent="0.2">
      <c r="B294" s="91" t="s">
        <v>59</v>
      </c>
      <c r="C294" s="40" t="s">
        <v>311</v>
      </c>
      <c r="D294" s="40"/>
      <c r="E294" s="41"/>
    </row>
    <row r="295" spans="2:5" x14ac:dyDescent="0.2">
      <c r="B295" s="42"/>
      <c r="E295" s="44"/>
    </row>
    <row r="296" spans="2:5" x14ac:dyDescent="0.2">
      <c r="B296" s="42" t="s">
        <v>14</v>
      </c>
      <c r="E296" s="44"/>
    </row>
    <row r="297" spans="2:5" x14ac:dyDescent="0.2">
      <c r="B297" s="42" t="s">
        <v>292</v>
      </c>
      <c r="C297" s="37" t="s">
        <v>312</v>
      </c>
      <c r="E297" s="44"/>
    </row>
    <row r="298" spans="2:5" x14ac:dyDescent="0.2">
      <c r="B298" s="42" t="s">
        <v>15</v>
      </c>
      <c r="E298" s="44"/>
    </row>
    <row r="299" spans="2:5" x14ac:dyDescent="0.2">
      <c r="B299" s="42"/>
      <c r="C299" s="37" t="s">
        <v>76</v>
      </c>
      <c r="E299" s="92"/>
    </row>
    <row r="300" spans="2:5" x14ac:dyDescent="0.2">
      <c r="B300" s="42"/>
      <c r="C300" s="37" t="s">
        <v>77</v>
      </c>
      <c r="E300" s="92"/>
    </row>
    <row r="301" spans="2:5" x14ac:dyDescent="0.2">
      <c r="B301" s="42"/>
      <c r="C301" s="37" t="s">
        <v>78</v>
      </c>
      <c r="E301" s="44"/>
    </row>
    <row r="302" spans="2:5" x14ac:dyDescent="0.2">
      <c r="B302" s="42" t="s">
        <v>16</v>
      </c>
      <c r="E302" s="44"/>
    </row>
    <row r="303" spans="2:5" x14ac:dyDescent="0.2">
      <c r="B303" s="42"/>
      <c r="E303" s="44"/>
    </row>
    <row r="304" spans="2:5" x14ac:dyDescent="0.2">
      <c r="B304" s="42" t="s">
        <v>17</v>
      </c>
      <c r="E304" s="44"/>
    </row>
    <row r="305" spans="2:5" x14ac:dyDescent="0.2">
      <c r="B305" s="42"/>
      <c r="C305" s="37" t="s">
        <v>313</v>
      </c>
      <c r="E305" s="44"/>
    </row>
    <row r="306" spans="2:5" x14ac:dyDescent="0.2">
      <c r="B306" s="42" t="s">
        <v>18</v>
      </c>
      <c r="E306" s="44"/>
    </row>
    <row r="308" spans="2:5" ht="13.5" thickBot="1" x14ac:dyDescent="0.25">
      <c r="B308" s="45"/>
      <c r="C308" s="46"/>
      <c r="D308" s="46"/>
      <c r="E308" s="47"/>
    </row>
    <row r="309" spans="2:5" x14ac:dyDescent="0.2">
      <c r="B309" s="95"/>
      <c r="C309" s="43"/>
      <c r="D309" s="43"/>
      <c r="E309" s="43"/>
    </row>
  </sheetData>
  <mergeCells count="7"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16"/>
  <sheetViews>
    <sheetView topLeftCell="A106" zoomScale="90" zoomScaleNormal="90" workbookViewId="0">
      <selection activeCell="O115" sqref="O1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7" t="s">
        <v>19</v>
      </c>
      <c r="B1" s="117"/>
      <c r="C1" s="117"/>
      <c r="D1" s="117"/>
      <c r="E1" s="117"/>
      <c r="F1" s="117"/>
      <c r="G1" s="117"/>
      <c r="H1" s="117"/>
      <c r="I1" s="117"/>
      <c r="J1" s="3" t="s">
        <v>20</v>
      </c>
      <c r="K1" s="73" t="s">
        <v>83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8" t="s">
        <v>53</v>
      </c>
      <c r="B3" s="118"/>
      <c r="C3" s="118"/>
      <c r="D3" s="109" t="str">
        <f>'Necesidades Trimestrales'!C4</f>
        <v>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19" t="s">
        <v>54</v>
      </c>
      <c r="B4" s="119"/>
      <c r="C4" s="119"/>
      <c r="D4" s="109" t="str">
        <f>'Necesidades Trimestrales'!C5</f>
        <v>28 - MATERNIDAD PROVINCIAL 25 DE MAYO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19" t="s">
        <v>32</v>
      </c>
      <c r="B5" s="119"/>
      <c r="C5" s="119"/>
      <c r="D5" s="109" t="s">
        <v>289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18" t="s">
        <v>55</v>
      </c>
      <c r="B6" s="118"/>
      <c r="C6" s="118"/>
      <c r="D6" s="109" t="s">
        <v>290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19" t="s">
        <v>21</v>
      </c>
      <c r="B7" s="119"/>
      <c r="C7" s="119"/>
      <c r="D7" s="109" t="str">
        <f>'Necesidades Trimestrales'!C7 &amp; "° Trimestre - Año " &amp; 'Necesidades Trimestrales'!C6</f>
        <v>1er.  ° Trimestre - Año 2021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12" t="s">
        <v>22</v>
      </c>
      <c r="B8" s="112"/>
      <c r="C8" s="112"/>
      <c r="D8" s="113" t="s">
        <v>81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4" t="s">
        <v>23</v>
      </c>
      <c r="B10" s="115" t="s">
        <v>24</v>
      </c>
      <c r="C10" s="115" t="s">
        <v>25</v>
      </c>
      <c r="D10" s="115"/>
      <c r="E10" s="115"/>
      <c r="F10" s="115"/>
      <c r="G10" s="115"/>
      <c r="H10" s="115" t="s">
        <v>26</v>
      </c>
      <c r="I10" s="115" t="s">
        <v>27</v>
      </c>
      <c r="J10" s="115" t="s">
        <v>28</v>
      </c>
      <c r="K10" s="116" t="s">
        <v>29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35.25" customHeight="1" thickBot="1" x14ac:dyDescent="0.25">
      <c r="A12" s="8">
        <v>1</v>
      </c>
      <c r="B12" s="68" t="str">
        <f>'Necesidades Trimestrales'!B10</f>
        <v>2.1.1-439.67</v>
      </c>
      <c r="C12" s="111" t="str">
        <f>'Necesidades Trimestrales'!E10</f>
        <v>ACEITES COMESTIBLES; TIPO: GIRASOL, PRESENTACION: ENVASE X 900 CM3, MATERIAL ENVASE: PLASTICO 1 (PET), ELEM. TRANSPORTE: SIN, MATERIAL ELEM. TRANSPORTE : SIN, LIBRE DE GLUTEN: NO</v>
      </c>
      <c r="D12" s="111"/>
      <c r="E12" s="111"/>
      <c r="F12" s="111"/>
      <c r="G12" s="111"/>
      <c r="H12" s="49" t="s">
        <v>56</v>
      </c>
      <c r="I12" s="50" t="str">
        <f>'Necesidades Trimestrales'!F10</f>
        <v>BOTELLA</v>
      </c>
      <c r="J12" s="69">
        <f>'Necesidades Trimestrales'!H10</f>
        <v>140.80000000000001</v>
      </c>
      <c r="K12" s="51">
        <f>'Necesidades Trimestrales'!G10</f>
        <v>200</v>
      </c>
    </row>
    <row r="13" spans="1:11" ht="30.75" customHeight="1" thickBot="1" x14ac:dyDescent="0.25">
      <c r="A13" s="8">
        <v>2</v>
      </c>
      <c r="B13" s="68" t="str">
        <f>'Necesidades Trimestrales'!B11</f>
        <v>2.1.1-6546.34</v>
      </c>
      <c r="C13" s="111" t="str">
        <f>'Necesidades Trimestrales'!E11</f>
        <v>VERDURAS Y HORTALIZAS; VARIEDAD: ACELGA, ESTADO: EN HOJA, PRESENTACION: ATADO, PESO: SIN VALOR</v>
      </c>
      <c r="D13" s="111"/>
      <c r="E13" s="111"/>
      <c r="F13" s="111"/>
      <c r="G13" s="111"/>
      <c r="H13" s="49" t="s">
        <v>56</v>
      </c>
      <c r="I13" s="50" t="str">
        <f>'Necesidades Trimestrales'!F11</f>
        <v>ATADO</v>
      </c>
      <c r="J13" s="69">
        <f>'Necesidades Trimestrales'!H11</f>
        <v>21.12</v>
      </c>
      <c r="K13" s="51">
        <f>'Necesidades Trimestrales'!G11</f>
        <v>860</v>
      </c>
    </row>
    <row r="14" spans="1:11" ht="32.25" customHeight="1" thickBot="1" x14ac:dyDescent="0.25">
      <c r="A14" s="8">
        <v>3</v>
      </c>
      <c r="B14" s="68" t="str">
        <f>'Necesidades Trimestrales'!B12</f>
        <v>2.1.1-6546.154</v>
      </c>
      <c r="C14" s="111" t="str">
        <f>'Necesidades Trimestrales'!E12</f>
        <v>VERDURAS Y HORTALIZAS; ESTADO: NATURAL, PESO: SIN VALOR, VARIEDAD: AJO, PRESENTACION: UNIDAD</v>
      </c>
      <c r="D14" s="111"/>
      <c r="E14" s="111"/>
      <c r="F14" s="111"/>
      <c r="G14" s="111"/>
      <c r="H14" s="49" t="s">
        <v>56</v>
      </c>
      <c r="I14" s="50" t="str">
        <f>'Necesidades Trimestrales'!F12</f>
        <v>UNIDAD</v>
      </c>
      <c r="J14" s="69">
        <f>'Necesidades Trimestrales'!H12</f>
        <v>50.6</v>
      </c>
      <c r="K14" s="51">
        <f>'Necesidades Trimestrales'!G12</f>
        <v>80</v>
      </c>
    </row>
    <row r="15" spans="1:11" ht="38.25" customHeight="1" thickBot="1" x14ac:dyDescent="0.25">
      <c r="A15" s="8">
        <v>4</v>
      </c>
      <c r="B15" s="68" t="str">
        <f>'Necesidades Trimestrales'!B13</f>
        <v>2.1.1-6539.38</v>
      </c>
      <c r="C15" s="111" t="str">
        <f>'Necesidades Trimestrales'!E13</f>
        <v>FRUTAS; VARIEDAD: ANANA, PRESENTACION: ENVASE X 850 GR, PESO: 850 GR, ESTADO: CONSERVA</v>
      </c>
      <c r="D15" s="111"/>
      <c r="E15" s="111"/>
      <c r="F15" s="111"/>
      <c r="G15" s="111"/>
      <c r="H15" s="49" t="s">
        <v>56</v>
      </c>
      <c r="I15" s="50" t="str">
        <f>'Necesidades Trimestrales'!F13</f>
        <v>LATA</v>
      </c>
      <c r="J15" s="69">
        <f>'Necesidades Trimestrales'!H13</f>
        <v>324.5</v>
      </c>
      <c r="K15" s="51">
        <f>'Necesidades Trimestrales'!G13</f>
        <v>80</v>
      </c>
    </row>
    <row r="16" spans="1:11" ht="38.25" customHeight="1" thickBot="1" x14ac:dyDescent="0.25">
      <c r="A16" s="8">
        <v>5</v>
      </c>
      <c r="B16" s="68" t="str">
        <f>'Necesidades Trimestrales'!B14</f>
        <v>2.1.1-6546.330</v>
      </c>
      <c r="C16" s="111" t="str">
        <f>'Necesidades Trimestrales'!E14</f>
        <v>VERDURAS Y HORTALIZAS; VARIEDAD: ZAPALLO ANCO, ESTADO: NATURAL, PRESENTACION: UNIDAD, PESO: 1 Kg</v>
      </c>
      <c r="D16" s="111"/>
      <c r="E16" s="111"/>
      <c r="F16" s="111"/>
      <c r="G16" s="111"/>
      <c r="H16" s="49" t="s">
        <v>56</v>
      </c>
      <c r="I16" s="50" t="str">
        <f>'Necesidades Trimestrales'!F14</f>
        <v>KG</v>
      </c>
      <c r="J16" s="69">
        <f>'Necesidades Trimestrales'!H14</f>
        <v>44</v>
      </c>
      <c r="K16" s="51">
        <f>'Necesidades Trimestrales'!G14</f>
        <v>1200</v>
      </c>
    </row>
    <row r="17" spans="1:11" ht="38.25" customHeight="1" thickBot="1" x14ac:dyDescent="0.25">
      <c r="A17" s="8">
        <v>6</v>
      </c>
      <c r="B17" s="68" t="str">
        <f>'Necesidades Trimestrales'!B15</f>
        <v>2.1.1-6546.230</v>
      </c>
      <c r="C17" s="111" t="str">
        <f>'Necesidades Trimestrales'!E15</f>
        <v>VERDURAS Y HORTALIZAS; VARIEDAD: APIO, ESTADO: NATURAL, PRESENTACION: ATADO, PESO: 800 GR</v>
      </c>
      <c r="D17" s="111"/>
      <c r="E17" s="111"/>
      <c r="F17" s="111"/>
      <c r="G17" s="111"/>
      <c r="H17" s="49" t="s">
        <v>56</v>
      </c>
      <c r="I17" s="50" t="str">
        <f>'Necesidades Trimestrales'!F15</f>
        <v>ATADO</v>
      </c>
      <c r="J17" s="69">
        <f>'Necesidades Trimestrales'!H15</f>
        <v>99.000000000000014</v>
      </c>
      <c r="K17" s="51">
        <f>'Necesidades Trimestrales'!G15</f>
        <v>40</v>
      </c>
    </row>
    <row r="18" spans="1:11" ht="38.25" customHeight="1" thickBot="1" x14ac:dyDescent="0.25">
      <c r="A18" s="8">
        <v>7</v>
      </c>
      <c r="B18" s="68" t="str">
        <f>'Necesidades Trimestrales'!B16</f>
        <v>2.1.1-435.38</v>
      </c>
      <c r="C18" s="111" t="str">
        <f>'Necesidades Trimestrales'!E16</f>
        <v>ARROZ; TIPO GRANO: DOBLE, TIPO: BLANCO, PROCESO: PARBOLIZADO, PRESENTACION: ENVASE X 1 Kg, MATERIAL ENVASE: CARTON, CERTIFICADO FORESTAL (GFS): SIN, ELEM. TRANSPORTE: SIN, MATERIAL ELEM. TRANSPORTE: SIN</v>
      </c>
      <c r="D18" s="111"/>
      <c r="E18" s="111"/>
      <c r="F18" s="111"/>
      <c r="G18" s="111"/>
      <c r="H18" s="49" t="s">
        <v>56</v>
      </c>
      <c r="I18" s="50" t="str">
        <f>'Necesidades Trimestrales'!F16</f>
        <v>PAQUETE</v>
      </c>
      <c r="J18" s="69">
        <f>'Necesidades Trimestrales'!H16</f>
        <v>300</v>
      </c>
      <c r="K18" s="51">
        <f>'Necesidades Trimestrales'!G16</f>
        <v>250</v>
      </c>
    </row>
    <row r="19" spans="1:11" ht="38.25" customHeight="1" thickBot="1" x14ac:dyDescent="0.25">
      <c r="A19" s="8">
        <v>8</v>
      </c>
      <c r="B19" s="68" t="str">
        <f>'Necesidades Trimestrales'!B17</f>
        <v>2.1.1-435.60</v>
      </c>
      <c r="C19" s="111" t="str">
        <f>'Necesidades Trimestrales'!E17</f>
        <v>ARROZ; TIPO GRANO: LARGO-FINO, TIPO: BLANCO, PROCESO: SIN CASCARA, PRESENTACION: BOLSA X 1 Kg, MATERIAL ENVASE: PLASTICO, CERTIFICADO FORESTAL (GFS): SIN, ELEM. TRANSPORTE: SIN, MATERIAL ELEM. TRANSPORTE: SIN, LIBRE DE GLUTEN: SI</v>
      </c>
      <c r="D19" s="111"/>
      <c r="E19" s="111"/>
      <c r="F19" s="111"/>
      <c r="G19" s="111"/>
      <c r="H19" s="49" t="s">
        <v>56</v>
      </c>
      <c r="I19" s="50" t="str">
        <f>'Necesidades Trimestrales'!F17</f>
        <v>PAQUETE</v>
      </c>
      <c r="J19" s="69">
        <f>'Necesidades Trimestrales'!H17</f>
        <v>80.300000000000011</v>
      </c>
      <c r="K19" s="51">
        <f>'Necesidades Trimestrales'!G17</f>
        <v>100</v>
      </c>
    </row>
    <row r="20" spans="1:11" ht="38.25" customHeight="1" thickBot="1" x14ac:dyDescent="0.25">
      <c r="A20" s="8">
        <v>9</v>
      </c>
      <c r="B20" s="68" t="str">
        <f>'Necesidades Trimestrales'!B18</f>
        <v>2.1.1-708.43</v>
      </c>
      <c r="C20" s="111" t="str">
        <f>'Necesidades Trimestrales'!E18</f>
        <v>CONSERVAS PESCADO Y FRUTOS MAR; TIPO: ATUN, ESTADO: AL NATURAL, PESO: 170 GR, ENVASE: LATA, ELEM. TRANSPORTE: SIN, MATERIAL ELEM. TRANSPORTE: SIN</v>
      </c>
      <c r="D20" s="111"/>
      <c r="E20" s="111"/>
      <c r="F20" s="111"/>
      <c r="G20" s="111"/>
      <c r="H20" s="49" t="s">
        <v>56</v>
      </c>
      <c r="I20" s="50" t="str">
        <f>'Necesidades Trimestrales'!F18</f>
        <v>LATA</v>
      </c>
      <c r="J20" s="69">
        <f>'Necesidades Trimestrales'!H18</f>
        <v>148.5</v>
      </c>
      <c r="K20" s="51">
        <f>'Necesidades Trimestrales'!G18</f>
        <v>160</v>
      </c>
    </row>
    <row r="21" spans="1:11" ht="38.25" customHeight="1" thickBot="1" x14ac:dyDescent="0.25">
      <c r="A21" s="8">
        <v>10</v>
      </c>
      <c r="B21" s="68" t="str">
        <f>'Necesidades Trimestrales'!B19</f>
        <v>2.1.1-2124.6</v>
      </c>
      <c r="C21" s="111" t="str">
        <f>'Necesidades Trimestrales'!E19</f>
        <v>AVENAS; TIPO: ARROLLADA, ESTADO: INSTANTANEA, PRESENTACION: ENVASE X 350 GR, PESO: SIN VALOR</v>
      </c>
      <c r="D21" s="111"/>
      <c r="E21" s="111"/>
      <c r="F21" s="111"/>
      <c r="G21" s="111"/>
      <c r="H21" s="49" t="s">
        <v>56</v>
      </c>
      <c r="I21" s="50" t="str">
        <f>'Necesidades Trimestrales'!F19</f>
        <v>CAJA</v>
      </c>
      <c r="J21" s="69">
        <f>'Necesidades Trimestrales'!H19</f>
        <v>93.500000000000014</v>
      </c>
      <c r="K21" s="51">
        <f>'Necesidades Trimestrales'!G19</f>
        <v>20</v>
      </c>
    </row>
    <row r="22" spans="1:11" ht="38.25" customHeight="1" thickBot="1" x14ac:dyDescent="0.25">
      <c r="A22" s="8">
        <v>11</v>
      </c>
      <c r="B22" s="68" t="str">
        <f>'Necesidades Trimestrales'!B20</f>
        <v>2.1.1-6547.84</v>
      </c>
      <c r="C22" s="111" t="str">
        <f>'Necesidades Trimestrales'!E20</f>
        <v>LEGUMBRES; VARIEDAD: ARVEJAS, ESTADO: CONSERVA, PRESENTACION: LATA, PESO: 350 GR, MATERIAL ENVASE: METAL, ELEM. TRANSPORTE: SIN, MATERIAL ELEM. TRANSPORTE: SIN, LIBRE DE GLUTEN: NO</v>
      </c>
      <c r="D22" s="111"/>
      <c r="E22" s="111"/>
      <c r="F22" s="111"/>
      <c r="G22" s="111"/>
      <c r="H22" s="49" t="s">
        <v>56</v>
      </c>
      <c r="I22" s="50" t="str">
        <f>'Necesidades Trimestrales'!F20</f>
        <v>LATA</v>
      </c>
      <c r="J22" s="69">
        <f>'Necesidades Trimestrales'!H20</f>
        <v>35.200000000000003</v>
      </c>
      <c r="K22" s="51">
        <f>'Necesidades Trimestrales'!G20</f>
        <v>200</v>
      </c>
    </row>
    <row r="23" spans="1:11" ht="38.25" customHeight="1" thickBot="1" x14ac:dyDescent="0.25">
      <c r="A23" s="8">
        <v>12</v>
      </c>
      <c r="B23" s="68" t="str">
        <f>'Necesidades Trimestrales'!B21</f>
        <v>2.1.1-481.38</v>
      </c>
      <c r="C23" s="111" t="str">
        <f>'Necesidades Trimestrales'!E21</f>
        <v>AZUCARES; TIPO: "A" COMUN, ESTADO: MOLIDA, PESO: 1 Kg, MATERIAL ENVASE: PLASTICO, CERTIFICADO FORESTAL (GFS): SIN, ELEM. TRANSPORTE: SIN, MATERIAL ELEM. TRANSPORTE: SIN</v>
      </c>
      <c r="D23" s="111"/>
      <c r="E23" s="111"/>
      <c r="F23" s="111"/>
      <c r="G23" s="111"/>
      <c r="H23" s="49" t="s">
        <v>56</v>
      </c>
      <c r="I23" s="50" t="str">
        <f>'Necesidades Trimestrales'!F21</f>
        <v>PAQUETE</v>
      </c>
      <c r="J23" s="69">
        <f>'Necesidades Trimestrales'!H21</f>
        <v>60.500000000000007</v>
      </c>
      <c r="K23" s="51">
        <f>'Necesidades Trimestrales'!G21</f>
        <v>400</v>
      </c>
    </row>
    <row r="24" spans="1:11" ht="38.25" customHeight="1" thickBot="1" x14ac:dyDescent="0.25">
      <c r="A24" s="8">
        <v>13</v>
      </c>
      <c r="B24" s="68" t="str">
        <f>'Necesidades Trimestrales'!B22</f>
        <v>2.1.1-6539.30</v>
      </c>
      <c r="C24" s="111" t="str">
        <f>'Necesidades Trimestrales'!E22</f>
        <v>FRUTAS; VARIEDAD: BANANA, PRESENTACION: CAJON, ESTADO: NATURAL, PESO: SIN VALOR</v>
      </c>
      <c r="D24" s="111"/>
      <c r="E24" s="111"/>
      <c r="F24" s="111"/>
      <c r="G24" s="111"/>
      <c r="H24" s="49" t="s">
        <v>314</v>
      </c>
      <c r="I24" s="50" t="str">
        <f>'Necesidades Trimestrales'!F22</f>
        <v>CAJON</v>
      </c>
      <c r="J24" s="69">
        <f>'Necesidades Trimestrales'!H22</f>
        <v>1606.0000000000002</v>
      </c>
      <c r="K24" s="51">
        <f>'Necesidades Trimestrales'!G22</f>
        <v>10</v>
      </c>
    </row>
    <row r="25" spans="1:11" ht="38.25" customHeight="1" thickBot="1" x14ac:dyDescent="0.25">
      <c r="A25" s="8">
        <v>14</v>
      </c>
      <c r="B25" s="68" t="str">
        <f>'Necesidades Trimestrales'!B23</f>
        <v>2.1.1-6546.207</v>
      </c>
      <c r="C25" s="111" t="str">
        <f>'Necesidades Trimestrales'!E23</f>
        <v>VERDURAS Y HORTALIZAS; VARIEDAD: BATATA, ESTADO: NATURAL, PRESENTACION: BOLSA, PESO: 10 Kg</v>
      </c>
      <c r="D25" s="111"/>
      <c r="E25" s="111"/>
      <c r="F25" s="111"/>
      <c r="G25" s="111"/>
      <c r="H25" s="49" t="s">
        <v>56</v>
      </c>
      <c r="I25" s="50" t="str">
        <f>'Necesidades Trimestrales'!F23</f>
        <v>BOLSA</v>
      </c>
      <c r="J25" s="69">
        <f>'Necesidades Trimestrales'!H23</f>
        <v>385.00000000000006</v>
      </c>
      <c r="K25" s="51">
        <f>'Necesidades Trimestrales'!G23</f>
        <v>15</v>
      </c>
    </row>
    <row r="26" spans="1:11" ht="38.25" customHeight="1" thickBot="1" x14ac:dyDescent="0.25">
      <c r="A26" s="8">
        <v>15</v>
      </c>
      <c r="B26" s="68" t="str">
        <f>'Necesidades Trimestrales'!B24</f>
        <v>2.1.1-6546.177</v>
      </c>
      <c r="C26" s="111" t="str">
        <f>'Necesidades Trimestrales'!E24</f>
        <v>VERDURAS Y HORTALIZAS; VARIEDAD: BERENJENA, ESTADO: NATURAL, PRESENTACION: GRANEL, PESO: SIN VALOR</v>
      </c>
      <c r="D26" s="111"/>
      <c r="E26" s="111"/>
      <c r="F26" s="111"/>
      <c r="G26" s="111"/>
      <c r="H26" s="49" t="s">
        <v>314</v>
      </c>
      <c r="I26" s="50" t="str">
        <f>'Necesidades Trimestrales'!F24</f>
        <v>CAJON</v>
      </c>
      <c r="J26" s="69">
        <f>'Necesidades Trimestrales'!H24</f>
        <v>1067</v>
      </c>
      <c r="K26" s="51">
        <f>'Necesidades Trimestrales'!G24</f>
        <v>10</v>
      </c>
    </row>
    <row r="27" spans="1:11" ht="38.25" customHeight="1" thickBot="1" x14ac:dyDescent="0.25">
      <c r="A27" s="8">
        <v>16</v>
      </c>
      <c r="B27" s="68" t="str">
        <f>'Necesidades Trimestrales'!B25</f>
        <v>2.1.1-541.33</v>
      </c>
      <c r="C27" s="111" t="str">
        <f>'Necesidades Trimestrales'!E25</f>
        <v>CARNES; ESPECIE: VACUNA, CORTE: BOLA DE LOMO, TIPO: VACUNA</v>
      </c>
      <c r="D27" s="111"/>
      <c r="E27" s="111"/>
      <c r="F27" s="111"/>
      <c r="G27" s="111"/>
      <c r="H27" s="49" t="s">
        <v>56</v>
      </c>
      <c r="I27" s="50" t="str">
        <f>'Necesidades Trimestrales'!F25</f>
        <v>KG</v>
      </c>
      <c r="J27" s="69">
        <f>'Necesidades Trimestrales'!H25</f>
        <v>707.30000000000007</v>
      </c>
      <c r="K27" s="51">
        <f>'Necesidades Trimestrales'!G25</f>
        <v>300</v>
      </c>
    </row>
    <row r="28" spans="1:11" ht="38.25" customHeight="1" thickBot="1" x14ac:dyDescent="0.25">
      <c r="A28" s="8">
        <v>17</v>
      </c>
      <c r="B28" s="68" t="str">
        <f>'Necesidades Trimestrales'!B26</f>
        <v>2.1.1-2615.15</v>
      </c>
      <c r="C28" s="111" t="str">
        <f>'Necesidades Trimestrales'!E26</f>
        <v>CACAO; TIPO: INSTANTANEO, PRESENTACION: ENVASE X 800 GR, FORMA DE PRESENTACION: POLVO, MATERIAL ENVASE: CARTON, CERTICADO FORESTAL (GFS): CON, LIBRE DE GLUTEN: SI</v>
      </c>
      <c r="D28" s="111"/>
      <c r="E28" s="111"/>
      <c r="F28" s="111"/>
      <c r="G28" s="111"/>
      <c r="H28" s="49" t="s">
        <v>56</v>
      </c>
      <c r="I28" s="50" t="str">
        <f>'Necesidades Trimestrales'!F26</f>
        <v>PAQUETE</v>
      </c>
      <c r="J28" s="69">
        <f>'Necesidades Trimestrales'!H26</f>
        <v>126.50000000000001</v>
      </c>
      <c r="K28" s="51">
        <f>'Necesidades Trimestrales'!G26</f>
        <v>40</v>
      </c>
    </row>
    <row r="29" spans="1:11" ht="38.25" customHeight="1" thickBot="1" x14ac:dyDescent="0.25">
      <c r="A29" s="8">
        <v>18</v>
      </c>
      <c r="B29" s="68" t="str">
        <f>'Necesidades Trimestrales'!B27</f>
        <v>2.1.1-541.137</v>
      </c>
      <c r="C29" s="111" t="str">
        <f>'Necesidades Trimestrales'!E27</f>
        <v>CARNES; ESPECIE: PORCINA, CORTE: CARRE CONGELADO, TIPO: PORCINA</v>
      </c>
      <c r="D29" s="111"/>
      <c r="E29" s="111"/>
      <c r="F29" s="111"/>
      <c r="G29" s="111"/>
      <c r="H29" s="49" t="s">
        <v>56</v>
      </c>
      <c r="I29" s="50" t="str">
        <f>'Necesidades Trimestrales'!F27</f>
        <v>KG</v>
      </c>
      <c r="J29" s="69">
        <f>'Necesidades Trimestrales'!H27</f>
        <v>421.3</v>
      </c>
      <c r="K29" s="51">
        <f>'Necesidades Trimestrales'!G27</f>
        <v>150</v>
      </c>
    </row>
    <row r="30" spans="1:11" ht="38.25" customHeight="1" thickBot="1" x14ac:dyDescent="0.25">
      <c r="A30" s="8">
        <v>19</v>
      </c>
      <c r="B30" s="68" t="str">
        <f>'Necesidades Trimestrales'!B28</f>
        <v>2.1.1-6546.236</v>
      </c>
      <c r="C30" s="111" t="str">
        <f>'Necesidades Trimestrales'!E28</f>
        <v>VERDURAS Y HORTALIZAS; VARIEDAD: CEBOLLA, ESTADO: NATURAL, PRESENTACION: BOLSA, PESO: 20 Kg</v>
      </c>
      <c r="D30" s="111"/>
      <c r="E30" s="111"/>
      <c r="F30" s="111"/>
      <c r="G30" s="111"/>
      <c r="H30" s="49" t="s">
        <v>56</v>
      </c>
      <c r="I30" s="50" t="str">
        <f>'Necesidades Trimestrales'!F28</f>
        <v>BOLSA</v>
      </c>
      <c r="J30" s="69">
        <f>'Necesidades Trimestrales'!H28</f>
        <v>1364</v>
      </c>
      <c r="K30" s="51">
        <f>'Necesidades Trimestrales'!G28</f>
        <v>36</v>
      </c>
    </row>
    <row r="31" spans="1:11" ht="38.25" customHeight="1" thickBot="1" x14ac:dyDescent="0.25">
      <c r="A31" s="8">
        <v>20</v>
      </c>
      <c r="B31" s="68" t="str">
        <f>'Necesidades Trimestrales'!B29</f>
        <v>2.1.1-6546.377</v>
      </c>
      <c r="C31" s="111" t="str">
        <f>'Necesidades Trimestrales'!E29</f>
        <v>VERDURAS Y HORTALIZAS; VARIEDAD: CEBOLLA DE VERDEO, ESTADO: NATURAL, PRESENTACION: CAJON, PESO: 10 Kg, ELEM. TRANSPORTE: CAJON, MATERIAL ELEM. TRANSPORTE: CARTON, LIBRE DE GLUTEN: NO</v>
      </c>
      <c r="D31" s="111"/>
      <c r="E31" s="111"/>
      <c r="F31" s="111"/>
      <c r="G31" s="111"/>
      <c r="H31" s="49" t="s">
        <v>56</v>
      </c>
      <c r="I31" s="50" t="str">
        <f>'Necesidades Trimestrales'!F29</f>
        <v>CAJON</v>
      </c>
      <c r="J31" s="69">
        <f>'Necesidades Trimestrales'!H29</f>
        <v>495.00000000000006</v>
      </c>
      <c r="K31" s="51">
        <f>'Necesidades Trimestrales'!G29</f>
        <v>2</v>
      </c>
    </row>
    <row r="32" spans="1:11" ht="38.25" customHeight="1" thickBot="1" x14ac:dyDescent="0.25">
      <c r="A32" s="8">
        <v>21</v>
      </c>
      <c r="B32" s="68" t="str">
        <f>'Necesidades Trimestrales'!B30</f>
        <v>2.1.1-6546.269</v>
      </c>
      <c r="C32" s="111" t="str">
        <f>'Necesidades Trimestrales'!E30</f>
        <v>VERDURAS Y HORTALIZAS; VARIEDAD: CHOCLO, ESTADO: GRANO, PRESENTACION: LATA, PESO: 350 GR</v>
      </c>
      <c r="D32" s="111"/>
      <c r="E32" s="111"/>
      <c r="F32" s="111"/>
      <c r="G32" s="111"/>
      <c r="H32" s="49" t="s">
        <v>56</v>
      </c>
      <c r="I32" s="50" t="str">
        <f>'Necesidades Trimestrales'!F30</f>
        <v>LATA</v>
      </c>
      <c r="J32" s="69">
        <f>'Necesidades Trimestrales'!H30</f>
        <v>88</v>
      </c>
      <c r="K32" s="51">
        <f>'Necesidades Trimestrales'!G30</f>
        <v>200</v>
      </c>
    </row>
    <row r="33" spans="1:11" ht="38.25" customHeight="1" thickBot="1" x14ac:dyDescent="0.25">
      <c r="A33" s="8">
        <v>22</v>
      </c>
      <c r="B33" s="68" t="str">
        <f>'Necesidades Trimestrales'!B31</f>
        <v>2.1.1-6539.123</v>
      </c>
      <c r="C33" s="111" t="str">
        <f>'Necesidades Trimestrales'!E31</f>
        <v>FRUTAS; VARIEDAD: CIRUELA, ESTADO: DESECADA, PRESENTACION: ENVASE X 5 Kg, PESO: 5 Kg</v>
      </c>
      <c r="D33" s="111"/>
      <c r="E33" s="111"/>
      <c r="F33" s="111"/>
      <c r="G33" s="111"/>
      <c r="H33" s="49" t="s">
        <v>56</v>
      </c>
      <c r="I33" s="50" t="str">
        <f>'Necesidades Trimestrales'!F31</f>
        <v>UNIDAD</v>
      </c>
      <c r="J33" s="69">
        <f>'Necesidades Trimestrales'!H31</f>
        <v>2717</v>
      </c>
      <c r="K33" s="51">
        <f>'Necesidades Trimestrales'!G31</f>
        <v>2</v>
      </c>
    </row>
    <row r="34" spans="1:11" ht="38.25" customHeight="1" thickBot="1" x14ac:dyDescent="0.25">
      <c r="A34" s="8">
        <v>23</v>
      </c>
      <c r="B34" s="68" t="str">
        <f>'Necesidades Trimestrales'!B32</f>
        <v>2.1.1-597.41</v>
      </c>
      <c r="C34" s="111" t="str">
        <f>'Necesidades Trimestrales'!E32</f>
        <v>CONSERVAS DE FRUTAS; VARIEDAD: COCTEL, ENVASE: LATA, PESO: 800 GR, ELEM. TRANSPORTE: SIN, MATERIAL ELEM. TRANSPORTE: SIN, LIBRE DE GLUTEN: NO</v>
      </c>
      <c r="D34" s="111"/>
      <c r="E34" s="111"/>
      <c r="F34" s="111"/>
      <c r="G34" s="111"/>
      <c r="H34" s="49" t="s">
        <v>56</v>
      </c>
      <c r="I34" s="50" t="str">
        <f>'Necesidades Trimestrales'!F32</f>
        <v>LATA</v>
      </c>
      <c r="J34" s="69">
        <f>'Necesidades Trimestrales'!H32</f>
        <v>820</v>
      </c>
      <c r="K34" s="51">
        <f>'Necesidades Trimestrales'!G32</f>
        <v>40</v>
      </c>
    </row>
    <row r="35" spans="1:11" ht="38.25" customHeight="1" thickBot="1" x14ac:dyDescent="0.25">
      <c r="A35" s="8">
        <v>24</v>
      </c>
      <c r="B35" s="68" t="str">
        <f>'Necesidades Trimestrales'!B33</f>
        <v>2.1.1-597.43</v>
      </c>
      <c r="C35" s="111" t="str">
        <f>'Necesidades Trimestrales'!E33</f>
        <v>CONSERVAS DE FRUTAS; VARIEDAD: COCTEL, ENVASE: LATA, PESO: 820 GR, ELEM. TRANSPORTE: SIN, MATERIAL ELEM. TRANSPORTE: SIN, LIBRE DE GLUTEN: SI</v>
      </c>
      <c r="D35" s="111"/>
      <c r="E35" s="111"/>
      <c r="F35" s="111"/>
      <c r="G35" s="111"/>
      <c r="H35" s="49" t="s">
        <v>56</v>
      </c>
      <c r="I35" s="50" t="str">
        <f>'Necesidades Trimestrales'!F33</f>
        <v>LATA</v>
      </c>
      <c r="J35" s="69">
        <f>'Necesidades Trimestrales'!H33</f>
        <v>820</v>
      </c>
      <c r="K35" s="51">
        <f>'Necesidades Trimestrales'!G33</f>
        <v>40</v>
      </c>
    </row>
    <row r="36" spans="1:11" ht="38.25" customHeight="1" thickBot="1" x14ac:dyDescent="0.25">
      <c r="A36" s="8">
        <v>25</v>
      </c>
      <c r="B36" s="68" t="str">
        <f>'Necesidades Trimestrales'!B34</f>
        <v>2.1.1-541.164</v>
      </c>
      <c r="C36" s="111" t="str">
        <f>'Necesidades Trimestrales'!E34</f>
        <v>CARNES; TIPO: PORCINA, CORTE: COSTELETA</v>
      </c>
      <c r="D36" s="111"/>
      <c r="E36" s="111"/>
      <c r="F36" s="111"/>
      <c r="G36" s="111"/>
      <c r="H36" s="49" t="s">
        <v>56</v>
      </c>
      <c r="I36" s="50" t="str">
        <f>'Necesidades Trimestrales'!F34</f>
        <v>KG</v>
      </c>
      <c r="J36" s="69">
        <f>'Necesidades Trimestrales'!H34</f>
        <v>486.20000000000005</v>
      </c>
      <c r="K36" s="51">
        <f>'Necesidades Trimestrales'!G34</f>
        <v>200</v>
      </c>
    </row>
    <row r="37" spans="1:11" ht="38.25" customHeight="1" thickBot="1" x14ac:dyDescent="0.25">
      <c r="A37" s="8">
        <v>26</v>
      </c>
      <c r="B37" s="68" t="str">
        <f>'Necesidades Trimestrales'!B35</f>
        <v>2.1.1-489.91</v>
      </c>
      <c r="C37" s="111" t="str">
        <f>'Necesidades Trimestrales'!E35</f>
        <v>ESPECIAS; TIPO: COMINO, PRESENTACION: SOBRE X 25 GR</v>
      </c>
      <c r="D37" s="111"/>
      <c r="E37" s="111"/>
      <c r="F37" s="111"/>
      <c r="G37" s="111"/>
      <c r="H37" s="49" t="s">
        <v>56</v>
      </c>
      <c r="I37" s="50" t="str">
        <f>'Necesidades Trimestrales'!F35</f>
        <v>SOBRE</v>
      </c>
      <c r="J37" s="69">
        <f>'Necesidades Trimestrales'!H35</f>
        <v>39.6</v>
      </c>
      <c r="K37" s="51">
        <f>'Necesidades Trimestrales'!G35</f>
        <v>25</v>
      </c>
    </row>
    <row r="38" spans="1:11" ht="38.25" customHeight="1" thickBot="1" x14ac:dyDescent="0.25">
      <c r="A38" s="8">
        <v>27</v>
      </c>
      <c r="B38" s="68" t="str">
        <f>'Necesidades Trimestrales'!B36</f>
        <v>2.1.1-489.82</v>
      </c>
      <c r="C38" s="111" t="str">
        <f>'Necesidades Trimestrales'!E36</f>
        <v>ESPECIAS; TIPO: ADOBO PARA PIZZA, PRESENTACION: SOBRE X 25 GR</v>
      </c>
      <c r="D38" s="111"/>
      <c r="E38" s="111"/>
      <c r="F38" s="111"/>
      <c r="G38" s="111"/>
      <c r="H38" s="49" t="s">
        <v>56</v>
      </c>
      <c r="I38" s="50" t="str">
        <f>'Necesidades Trimestrales'!F36</f>
        <v>SOBRE</v>
      </c>
      <c r="J38" s="69">
        <f>'Necesidades Trimestrales'!H36</f>
        <v>38.5</v>
      </c>
      <c r="K38" s="51">
        <f>'Necesidades Trimestrales'!G36</f>
        <v>60</v>
      </c>
    </row>
    <row r="39" spans="1:11" ht="38.25" customHeight="1" thickBot="1" x14ac:dyDescent="0.25">
      <c r="A39" s="8">
        <v>28</v>
      </c>
      <c r="B39" s="68" t="str">
        <f>'Necesidades Trimestrales'!B37</f>
        <v>2.1.1-2113.1</v>
      </c>
      <c r="C39" s="111" t="str">
        <f>'Necesidades Trimestrales'!E37</f>
        <v>DULCES; TIPO: DE BATATA, PRESENTACION: LATA, PESO: 5</v>
      </c>
      <c r="D39" s="111"/>
      <c r="E39" s="111"/>
      <c r="F39" s="111"/>
      <c r="G39" s="111"/>
      <c r="H39" s="49" t="s">
        <v>56</v>
      </c>
      <c r="I39" s="50" t="str">
        <f>'Necesidades Trimestrales'!F37</f>
        <v>LATA</v>
      </c>
      <c r="J39" s="69">
        <f>'Necesidades Trimestrales'!H37</f>
        <v>935.00000000000011</v>
      </c>
      <c r="K39" s="51">
        <f>'Necesidades Trimestrales'!G37</f>
        <v>20</v>
      </c>
    </row>
    <row r="40" spans="1:11" ht="38.25" customHeight="1" thickBot="1" x14ac:dyDescent="0.25">
      <c r="A40" s="8">
        <v>29</v>
      </c>
      <c r="B40" s="68" t="str">
        <f>'Necesidades Trimestrales'!B38</f>
        <v>2.1.1-455.24</v>
      </c>
      <c r="C40" s="111" t="str">
        <f>'Necesidades Trimestrales'!E38</f>
        <v>DULCE DE LECHE; TIPO: COMUN, ENVASE: PLASTICO, CAPACIDAD: 1 Kg, PRESENTACION: ENVASE PLASTICO X 1 Kg</v>
      </c>
      <c r="D40" s="111"/>
      <c r="E40" s="111"/>
      <c r="F40" s="111"/>
      <c r="G40" s="111"/>
      <c r="H40" s="49" t="s">
        <v>56</v>
      </c>
      <c r="I40" s="50" t="str">
        <f>'Necesidades Trimestrales'!F38</f>
        <v>KG</v>
      </c>
      <c r="J40" s="69">
        <f>'Necesidades Trimestrales'!H38</f>
        <v>236.50000000000003</v>
      </c>
      <c r="K40" s="51">
        <f>'Necesidades Trimestrales'!G38</f>
        <v>20</v>
      </c>
    </row>
    <row r="41" spans="1:11" ht="38.25" customHeight="1" thickBot="1" x14ac:dyDescent="0.25">
      <c r="A41" s="8">
        <v>30</v>
      </c>
      <c r="B41" s="68" t="str">
        <f>'Necesidades Trimestrales'!B39</f>
        <v>2.1.1-2113.2</v>
      </c>
      <c r="C41" s="111" t="str">
        <f>'Necesidades Trimestrales'!E39</f>
        <v>DULCES; TIPO: DE MEMBRILLO, PRESENTACION: LATA, PESO: 5 Kg</v>
      </c>
      <c r="D41" s="111"/>
      <c r="E41" s="111"/>
      <c r="F41" s="111"/>
      <c r="G41" s="111"/>
      <c r="H41" s="49" t="s">
        <v>56</v>
      </c>
      <c r="I41" s="50" t="str">
        <f>'Necesidades Trimestrales'!F39</f>
        <v>LATA</v>
      </c>
      <c r="J41" s="69">
        <f>'Necesidades Trimestrales'!H39</f>
        <v>1089</v>
      </c>
      <c r="K41" s="51">
        <f>'Necesidades Trimestrales'!G39</f>
        <v>20</v>
      </c>
    </row>
    <row r="42" spans="1:11" ht="38.25" customHeight="1" thickBot="1" x14ac:dyDescent="0.25">
      <c r="A42" s="8">
        <v>31</v>
      </c>
      <c r="B42" s="68" t="str">
        <f>'Necesidades Trimestrales'!B40</f>
        <v>2.1.1-6539.54</v>
      </c>
      <c r="C42" s="111" t="str">
        <f>'Necesidades Trimestrales'!E40</f>
        <v>FRUTAS; VARIEDAD: DURAZNO, PRESENTACION: ENVASE X 820 GR, ESTADO: NATURAL, PESO: 820 GR</v>
      </c>
      <c r="D42" s="111"/>
      <c r="E42" s="111"/>
      <c r="F42" s="111"/>
      <c r="G42" s="111"/>
      <c r="H42" s="49" t="s">
        <v>56</v>
      </c>
      <c r="I42" s="50" t="str">
        <f>'Necesidades Trimestrales'!F40</f>
        <v>LATA</v>
      </c>
      <c r="J42" s="69">
        <f>'Necesidades Trimestrales'!H40</f>
        <v>121.00000000000001</v>
      </c>
      <c r="K42" s="51">
        <f>'Necesidades Trimestrales'!G40</f>
        <v>60</v>
      </c>
    </row>
    <row r="43" spans="1:11" ht="38.25" customHeight="1" thickBot="1" x14ac:dyDescent="0.25">
      <c r="A43" s="8">
        <v>32</v>
      </c>
      <c r="B43" s="68" t="str">
        <f>'Necesidades Trimestrales'!B41</f>
        <v>2.1.1-6539.46</v>
      </c>
      <c r="C43" s="111" t="str">
        <f>'Necesidades Trimestrales'!E41</f>
        <v>FRUTAS; VARIEDAD: DURAZNO, ESTADO: CONSERVA, PRESENTACION: ENVASE X 800 GR, PESO: 800 GR</v>
      </c>
      <c r="D43" s="111"/>
      <c r="E43" s="111"/>
      <c r="F43" s="111"/>
      <c r="G43" s="111"/>
      <c r="H43" s="49" t="s">
        <v>56</v>
      </c>
      <c r="I43" s="50" t="str">
        <f>'Necesidades Trimestrales'!F41</f>
        <v>LATA</v>
      </c>
      <c r="J43" s="69">
        <f>'Necesidades Trimestrales'!H41</f>
        <v>121.00000000000001</v>
      </c>
      <c r="K43" s="51">
        <f>'Necesidades Trimestrales'!G41</f>
        <v>44</v>
      </c>
    </row>
    <row r="44" spans="1:11" ht="38.25" customHeight="1" thickBot="1" x14ac:dyDescent="0.25">
      <c r="A44" s="8">
        <v>33</v>
      </c>
      <c r="B44" s="68" t="str">
        <f>'Necesidades Trimestrales'!B42</f>
        <v>2.1.1-595.2</v>
      </c>
      <c r="C44" s="111" t="str">
        <f>'Necesidades Trimestrales'!E42</f>
        <v>EDULCORANTES; PRESENTACION: LIQUIDO, ENVASE: BOTELLA PLASTICA, CONTENIDO: 500 CM3</v>
      </c>
      <c r="D44" s="111"/>
      <c r="E44" s="111"/>
      <c r="F44" s="111"/>
      <c r="G44" s="111"/>
      <c r="H44" s="49" t="s">
        <v>56</v>
      </c>
      <c r="I44" s="50" t="str">
        <f>'Necesidades Trimestrales'!F42</f>
        <v>BOTELLA</v>
      </c>
      <c r="J44" s="69">
        <f>'Necesidades Trimestrales'!H42</f>
        <v>176</v>
      </c>
      <c r="K44" s="51">
        <f>'Necesidades Trimestrales'!G42</f>
        <v>12</v>
      </c>
    </row>
    <row r="45" spans="1:11" ht="38.25" customHeight="1" thickBot="1" x14ac:dyDescent="0.25">
      <c r="A45" s="8">
        <v>34</v>
      </c>
      <c r="B45" s="68" t="str">
        <f>'Necesidades Trimestrales'!B43</f>
        <v>2.1.1-595.14</v>
      </c>
      <c r="C45" s="111" t="str">
        <f>'Necesidades Trimestrales'!E43</f>
        <v>EDULCORANTES; PRESENTACION: POLVO, ENVASE: SOBRE INDIVIDUAL, CONTENIDO: 500 SOBRES DE 1 GR</v>
      </c>
      <c r="D45" s="111"/>
      <c r="E45" s="111"/>
      <c r="F45" s="111"/>
      <c r="G45" s="111"/>
      <c r="H45" s="49" t="s">
        <v>56</v>
      </c>
      <c r="I45" s="50" t="str">
        <f>'Necesidades Trimestrales'!F43</f>
        <v>CAJA</v>
      </c>
      <c r="J45" s="69">
        <f>'Necesidades Trimestrales'!H43</f>
        <v>220.00000000000003</v>
      </c>
      <c r="K45" s="51">
        <f>'Necesidades Trimestrales'!G43</f>
        <v>16</v>
      </c>
    </row>
    <row r="46" spans="1:11" ht="38.25" customHeight="1" thickBot="1" x14ac:dyDescent="0.25">
      <c r="A46" s="8">
        <v>35</v>
      </c>
      <c r="B46" s="68" t="str">
        <f>'Necesidades Trimestrales'!B44</f>
        <v>2.1.1-2868.59</v>
      </c>
      <c r="C46" s="111" t="str">
        <f>'Necesidades Trimestrales'!E44</f>
        <v>FIDEOS SECOS; VARIEDAD: MOSTACHOLES, RELLENO: SIN, PRESENTACION: ENVASE X 500 GR, MATERIAL ENVASE: PVC, ELEM. TRANSPORTE: CAJA, MATERIAL ELEM. TRANSPORTE: CARTON, CERTIFICADO FORESTAL (GFS): SIN, LIBRE DE GLUTEN: NO</v>
      </c>
      <c r="D46" s="111"/>
      <c r="E46" s="111"/>
      <c r="F46" s="111"/>
      <c r="G46" s="111"/>
      <c r="H46" s="49" t="s">
        <v>56</v>
      </c>
      <c r="I46" s="50" t="str">
        <f>'Necesidades Trimestrales'!F44</f>
        <v>PAQUETE</v>
      </c>
      <c r="J46" s="69">
        <f>'Necesidades Trimestrales'!H44</f>
        <v>50.87</v>
      </c>
      <c r="K46" s="51">
        <f>'Necesidades Trimestrales'!G44</f>
        <v>40</v>
      </c>
    </row>
    <row r="47" spans="1:11" ht="38.25" customHeight="1" thickBot="1" x14ac:dyDescent="0.25">
      <c r="A47" s="8">
        <v>36</v>
      </c>
      <c r="B47" s="68" t="str">
        <f>'Necesidades Trimestrales'!B45</f>
        <v>2.1.1-2868.53</v>
      </c>
      <c r="C47" s="111" t="str">
        <f>'Necesidades Trimestrales'!E45</f>
        <v>FIDEOS SECOS; VARIEDAD: TIRABUZON, RELLENO: SIN, PRESENTACION: ENVASE X 500 GR, MATERIAL ENVASE: PLASTICO 1 (PET), ELEM. TRANSPORTE: SIN, MATERIAL ELEM. TRANSPORTE: SIN, CERTIFICADO FORESTAL (GFS): SIN, LIBRE DE GLUTEN: NO</v>
      </c>
      <c r="D47" s="111"/>
      <c r="E47" s="111"/>
      <c r="F47" s="111"/>
      <c r="G47" s="111"/>
      <c r="H47" s="49" t="s">
        <v>56</v>
      </c>
      <c r="I47" s="50" t="str">
        <f>'Necesidades Trimestrales'!F45</f>
        <v>PAQUETE</v>
      </c>
      <c r="J47" s="69">
        <f>'Necesidades Trimestrales'!H45</f>
        <v>50.87</v>
      </c>
      <c r="K47" s="51">
        <f>'Necesidades Trimestrales'!G45</f>
        <v>120</v>
      </c>
    </row>
    <row r="48" spans="1:11" ht="38.25" customHeight="1" thickBot="1" x14ac:dyDescent="0.25">
      <c r="A48" s="8">
        <v>37</v>
      </c>
      <c r="B48" s="68" t="str">
        <f>'Necesidades Trimestrales'!B46</f>
        <v>2.1.1-2868.55</v>
      </c>
      <c r="C48" s="111" t="str">
        <f>'Necesidades Trimestrales'!E46</f>
        <v>FIDEOS SECOS; VARIEDAD: TALLARIN, RELLENO: SIN, PRESENTACION: ENVASE X 500 GR, MATERIAL ENVASE: PLASTICO 1 (PET), ELEM. TRANSPORTE: SIN, MATERIAL ELEM. TRANSPORTE: SIN, CERTIFICADO FORESTAL (GFS): SIN, LIBRE DE GLUTEN: NO</v>
      </c>
      <c r="D48" s="111"/>
      <c r="E48" s="111"/>
      <c r="F48" s="111"/>
      <c r="G48" s="111"/>
      <c r="H48" s="49" t="s">
        <v>56</v>
      </c>
      <c r="I48" s="50" t="str">
        <f>'Necesidades Trimestrales'!F46</f>
        <v>PAQUETE</v>
      </c>
      <c r="J48" s="69">
        <f>'Necesidades Trimestrales'!H46</f>
        <v>50.87</v>
      </c>
      <c r="K48" s="51">
        <f>'Necesidades Trimestrales'!G46</f>
        <v>120</v>
      </c>
    </row>
    <row r="49" spans="1:11" ht="38.25" customHeight="1" thickBot="1" x14ac:dyDescent="0.25">
      <c r="A49" s="8">
        <v>38</v>
      </c>
      <c r="B49" s="68" t="str">
        <f>'Necesidades Trimestrales'!B47</f>
        <v>2.1.1-613.2</v>
      </c>
      <c r="C49" s="111" t="str">
        <f>'Necesidades Trimestrales'!E47</f>
        <v>FECULA DE MAIZ; PESO: 500 GR, ENVASE: CAJA DE CARTON</v>
      </c>
      <c r="D49" s="111"/>
      <c r="E49" s="111"/>
      <c r="F49" s="111"/>
      <c r="G49" s="111"/>
      <c r="H49" s="49" t="s">
        <v>56</v>
      </c>
      <c r="I49" s="50" t="str">
        <f>'Necesidades Trimestrales'!F47</f>
        <v>CAJA</v>
      </c>
      <c r="J49" s="69">
        <f>'Necesidades Trimestrales'!H47</f>
        <v>108.35000000000001</v>
      </c>
      <c r="K49" s="51">
        <f>'Necesidades Trimestrales'!G47</f>
        <v>15</v>
      </c>
    </row>
    <row r="50" spans="1:11" ht="38.25" customHeight="1" thickBot="1" x14ac:dyDescent="0.25">
      <c r="A50" s="8">
        <v>39</v>
      </c>
      <c r="B50" s="68" t="str">
        <f>'Necesidades Trimestrales'!B48</f>
        <v>2.1.1-513.9</v>
      </c>
      <c r="C50" s="111" t="str">
        <f>'Necesidades Trimestrales'!E48</f>
        <v>FLANES; PESO: 60 GR, ENVASE: CAJA CARTON, ESTADO PREPARACION: CON COCCION, SABOR: VAINILLA, TIPO: SIN VALOR, PRESENTACION: 60 GR</v>
      </c>
      <c r="D50" s="111"/>
      <c r="E50" s="111"/>
      <c r="F50" s="111"/>
      <c r="G50" s="111"/>
      <c r="H50" s="49" t="s">
        <v>56</v>
      </c>
      <c r="I50" s="50" t="str">
        <f>'Necesidades Trimestrales'!F48</f>
        <v>CAJA</v>
      </c>
      <c r="J50" s="69">
        <f>'Necesidades Trimestrales'!H48</f>
        <v>46.2</v>
      </c>
      <c r="K50" s="51">
        <f>'Necesidades Trimestrales'!G48</f>
        <v>48</v>
      </c>
    </row>
    <row r="51" spans="1:11" ht="38.25" customHeight="1" thickBot="1" x14ac:dyDescent="0.25">
      <c r="A51" s="8">
        <v>40</v>
      </c>
      <c r="B51" s="68" t="str">
        <f>'Necesidades Trimestrales'!B49</f>
        <v>2.1.1-705.121</v>
      </c>
      <c r="C51" s="111" t="str">
        <f>'Necesidades Trimestrales'!E49</f>
        <v>LECHE; ESTADO: LIQUIDO, TIPO: PARA PREMATUROS, PROCESO: PASTEURIZADA, AGREGADO: VITAMINAS Y MINERALES, PRESENTACION: ENVASE X 200 CM3, MATERIAL ENVASE: TETRAFILM, ELEM. TRANSPORTE: SIN, MATERIAL ELEM. TRANSPORTE: SIN, CERTIFICADO FORESTAL (GFS): SI, LIBRE DE GLUTEN: SIN VALOR</v>
      </c>
      <c r="D51" s="111"/>
      <c r="E51" s="111"/>
      <c r="F51" s="111"/>
      <c r="G51" s="111"/>
      <c r="H51" s="49" t="s">
        <v>56</v>
      </c>
      <c r="I51" s="50" t="str">
        <f>'Necesidades Trimestrales'!F49</f>
        <v>CAJA</v>
      </c>
      <c r="J51" s="69">
        <f>'Necesidades Trimestrales'!H49</f>
        <v>438.88</v>
      </c>
      <c r="K51" s="51">
        <f>'Necesidades Trimestrales'!G49</f>
        <v>4320</v>
      </c>
    </row>
    <row r="52" spans="1:11" ht="38.25" customHeight="1" thickBot="1" x14ac:dyDescent="0.25">
      <c r="A52" s="8">
        <v>41</v>
      </c>
      <c r="B52" s="68" t="str">
        <f>'Necesidades Trimestrales'!B50</f>
        <v>2.1.1-705.119</v>
      </c>
      <c r="C52" s="111" t="str">
        <f>'Necesidades Trimestrales'!E50</f>
        <v>LECHE; ESTADO: LIQUIDO, TIPO: DE INICIO, PROCESO: PASTEURIZADA, AGREGADO: VITAMINAS Y MINERALES, PRESENTACION: ENVASE X 200 CM3, MATERIAL ENVASE: TETRAFILM, ELEM. TRANSPORTE: SIN, MATERIAL ELEM. TRANSPORTE: SIN, CERTIFICADO FORESTAL (GFS): SI, LIBRE DE GLUTEN: SIN VALOR</v>
      </c>
      <c r="D52" s="111"/>
      <c r="E52" s="111"/>
      <c r="F52" s="111"/>
      <c r="G52" s="111"/>
      <c r="H52" s="49" t="s">
        <v>56</v>
      </c>
      <c r="I52" s="50" t="str">
        <f>'Necesidades Trimestrales'!F50</f>
        <v>CAJA</v>
      </c>
      <c r="J52" s="69">
        <f>'Necesidades Trimestrales'!H50</f>
        <v>68.91</v>
      </c>
      <c r="K52" s="51">
        <f>'Necesidades Trimestrales'!G50</f>
        <v>3600</v>
      </c>
    </row>
    <row r="53" spans="1:11" ht="38.25" customHeight="1" thickBot="1" x14ac:dyDescent="0.25">
      <c r="A53" s="8">
        <v>42</v>
      </c>
      <c r="B53" s="68" t="str">
        <f>'Necesidades Trimestrales'!B51</f>
        <v>2.1.1-705.91</v>
      </c>
      <c r="C53" s="111" t="str">
        <f>'Necesidades Trimestrales'!E51</f>
        <v>LECHE; ESTADO: POLVO, TIPO: LACTANTE, PROCESO: PASTEURIZADA, AGREGADO: HIDROL. EXT. PROTEINA DE SUERO, PRESENTACION: ENVASE X 400 GR, MATERIAL ENVASE: METAL, ELEM. TRANSPORTE: SIN, MATERIAL ELEM. TRANSPORTE: SIN, CERTIFICADO FORESTAL (GFS): SIN, LIBRE DE GLUTEN: NO</v>
      </c>
      <c r="D53" s="111"/>
      <c r="E53" s="111"/>
      <c r="F53" s="111"/>
      <c r="G53" s="111"/>
      <c r="H53" s="49" t="s">
        <v>56</v>
      </c>
      <c r="I53" s="50" t="str">
        <f>'Necesidades Trimestrales'!F51</f>
        <v>LATA</v>
      </c>
      <c r="J53" s="69">
        <f>'Necesidades Trimestrales'!H51</f>
        <v>5456.15</v>
      </c>
      <c r="K53" s="51">
        <f>'Necesidades Trimestrales'!G51</f>
        <v>8</v>
      </c>
    </row>
    <row r="54" spans="1:11" ht="38.25" customHeight="1" thickBot="1" x14ac:dyDescent="0.25">
      <c r="A54" s="8">
        <v>43</v>
      </c>
      <c r="B54" s="68" t="str">
        <f>'Necesidades Trimestrales'!B52</f>
        <v>2.1.1-4227.44</v>
      </c>
      <c r="C54" s="111" t="str">
        <f>'Necesidades Trimestrales'!E52</f>
        <v>SUPLEMENTOS DIETARIOS; TIPO: ASOCIACION, DROGA GENERICA: FORMULA LACTEA SIN LACTOSA, PRESENTACION: ENVASE X 400 GR</v>
      </c>
      <c r="D54" s="111"/>
      <c r="E54" s="111"/>
      <c r="F54" s="111"/>
      <c r="G54" s="111"/>
      <c r="H54" s="49" t="s">
        <v>56</v>
      </c>
      <c r="I54" s="50" t="str">
        <f>'Necesidades Trimestrales'!F52</f>
        <v>LATA</v>
      </c>
      <c r="J54" s="69">
        <f>'Necesidades Trimestrales'!H52</f>
        <v>5456.15</v>
      </c>
      <c r="K54" s="51">
        <f>'Necesidades Trimestrales'!G52</f>
        <v>4</v>
      </c>
    </row>
    <row r="55" spans="1:11" ht="38.25" customHeight="1" thickBot="1" x14ac:dyDescent="0.25">
      <c r="A55" s="8">
        <v>44</v>
      </c>
      <c r="B55" s="68" t="str">
        <f>'Necesidades Trimestrales'!B53</f>
        <v>2.1.1-788.222</v>
      </c>
      <c r="C55" s="111" t="str">
        <f>'Necesidades Trimestrales'!E53</f>
        <v>GALLETITAS; VARIEDAD: SALADA TOSTADA, RELLENO: SIN, PRESENTACION: ENVASE X 140 GR, ELEM. TRANSPORTE: SIN, MATERIAL ELEM. TRANSPORTE: SIN, LIBRE DE GLUTEN: SI</v>
      </c>
      <c r="D55" s="111"/>
      <c r="E55" s="111"/>
      <c r="F55" s="111"/>
      <c r="G55" s="111"/>
      <c r="H55" s="49" t="s">
        <v>56</v>
      </c>
      <c r="I55" s="50" t="str">
        <f>'Necesidades Trimestrales'!F53</f>
        <v>UNIDAD</v>
      </c>
      <c r="J55" s="69">
        <f>'Necesidades Trimestrales'!H53</f>
        <v>60</v>
      </c>
      <c r="K55" s="51">
        <f>'Necesidades Trimestrales'!G53</f>
        <v>24</v>
      </c>
    </row>
    <row r="56" spans="1:11" ht="38.25" customHeight="1" thickBot="1" x14ac:dyDescent="0.25">
      <c r="A56" s="8">
        <v>45</v>
      </c>
      <c r="B56" s="68" t="str">
        <f>'Necesidades Trimestrales'!B54</f>
        <v>2.1.1-510.3</v>
      </c>
      <c r="C56" s="111" t="str">
        <f>'Necesidades Trimestrales'!E54</f>
        <v>GELATINAS; TIPO: BAJAS CALORIAS, ENVASE: CAJA DE CARTON, PESO: 30 GR, SABOR: CEREZA</v>
      </c>
      <c r="D56" s="111"/>
      <c r="E56" s="111"/>
      <c r="F56" s="111"/>
      <c r="G56" s="111"/>
      <c r="H56" s="49" t="s">
        <v>56</v>
      </c>
      <c r="I56" s="50" t="str">
        <f>'Necesidades Trimestrales'!F54</f>
        <v>CAJA</v>
      </c>
      <c r="J56" s="69">
        <f>'Necesidades Trimestrales'!H54</f>
        <v>64.680000000000007</v>
      </c>
      <c r="K56" s="51">
        <f>'Necesidades Trimestrales'!G54</f>
        <v>300</v>
      </c>
    </row>
    <row r="57" spans="1:11" ht="38.25" customHeight="1" thickBot="1" x14ac:dyDescent="0.25">
      <c r="A57" s="8">
        <v>46</v>
      </c>
      <c r="B57" s="68" t="str">
        <f>'Necesidades Trimestrales'!B55</f>
        <v>2.1.1-510.65</v>
      </c>
      <c r="C57" s="111" t="str">
        <f>'Necesidades Trimestrales'!E55</f>
        <v>GELATINAS; TIPO: COMUN, PESO: 50 GR, SABOR: DURAZNO, ENVASE: CAJA DE CARTON, LIBRE DE GLUTEN: NO</v>
      </c>
      <c r="D57" s="111"/>
      <c r="E57" s="111"/>
      <c r="F57" s="111"/>
      <c r="G57" s="111"/>
      <c r="H57" s="49" t="s">
        <v>56</v>
      </c>
      <c r="I57" s="50" t="str">
        <f>'Necesidades Trimestrales'!F55</f>
        <v>CAJA</v>
      </c>
      <c r="J57" s="69">
        <f>'Necesidades Trimestrales'!H55</f>
        <v>56.92</v>
      </c>
      <c r="K57" s="51">
        <f>'Necesidades Trimestrales'!G55</f>
        <v>300</v>
      </c>
    </row>
    <row r="58" spans="1:11" ht="38.25" customHeight="1" thickBot="1" x14ac:dyDescent="0.25">
      <c r="A58" s="8">
        <v>47</v>
      </c>
      <c r="B58" s="68" t="str">
        <f>'Necesidades Trimestrales'!B56</f>
        <v>2.1.1-482.77</v>
      </c>
      <c r="C58" s="111" t="str">
        <f>'Necesidades Trimestrales'!E56</f>
        <v>HARINAS; TIPO: DE TRIGO 0000, PRESENTACION: ENVASE X 1 Kg, MATERIAL ENVASE: PAPEL, CERTICADO FORESTAL (GFS): SIN, ELEM. TRANSPORTE: SIN, MATERIAL ELEM. TRANSPORTE: SIN, LIBRE DE GLUTEN: NO</v>
      </c>
      <c r="D58" s="111"/>
      <c r="E58" s="111"/>
      <c r="F58" s="111"/>
      <c r="G58" s="111"/>
      <c r="H58" s="49" t="s">
        <v>56</v>
      </c>
      <c r="I58" s="50" t="str">
        <f>'Necesidades Trimestrales'!F56</f>
        <v>PAQUETE</v>
      </c>
      <c r="J58" s="69">
        <f>'Necesidades Trimestrales'!H56</f>
        <v>61.050000000000004</v>
      </c>
      <c r="K58" s="51">
        <f>'Necesidades Trimestrales'!G56</f>
        <v>300</v>
      </c>
    </row>
    <row r="59" spans="1:11" ht="38.25" customHeight="1" thickBot="1" x14ac:dyDescent="0.25">
      <c r="A59" s="8">
        <v>48</v>
      </c>
      <c r="B59" s="68" t="str">
        <f>'Necesidades Trimestrales'!B57</f>
        <v>2.1.1-483.33</v>
      </c>
      <c r="C59" s="111" t="str">
        <f>'Necesidades Trimestrales'!E57</f>
        <v>HUEVO DE GALLINA; TAMAÑO: MEDIANOS, COLOR: BLANCOS, PRESENTACION: 30</v>
      </c>
      <c r="D59" s="111"/>
      <c r="E59" s="111"/>
      <c r="F59" s="111"/>
      <c r="G59" s="111"/>
      <c r="H59" s="49" t="s">
        <v>56</v>
      </c>
      <c r="I59" s="50" t="str">
        <f>'Necesidades Trimestrales'!F57</f>
        <v>CARTON</v>
      </c>
      <c r="J59" s="69">
        <f>'Necesidades Trimestrales'!H57</f>
        <v>319</v>
      </c>
      <c r="K59" s="51">
        <f>'Necesidades Trimestrales'!G57</f>
        <v>200</v>
      </c>
    </row>
    <row r="60" spans="1:11" ht="38.25" customHeight="1" thickBot="1" x14ac:dyDescent="0.25">
      <c r="A60" s="8">
        <v>49</v>
      </c>
      <c r="B60" s="68" t="str">
        <f>'Necesidades Trimestrales'!B58</f>
        <v>2.1.1-969.96</v>
      </c>
      <c r="C60" s="111" t="str">
        <f>'Necesidades Trimestrales'!E58</f>
        <v>FIAMBRES; TIPO: JAMON COCIDO, PRESENTACION: AL VACIO</v>
      </c>
      <c r="D60" s="111"/>
      <c r="E60" s="111"/>
      <c r="F60" s="111"/>
      <c r="G60" s="111"/>
      <c r="H60" s="49" t="s">
        <v>56</v>
      </c>
      <c r="I60" s="50" t="str">
        <f>'Necesidades Trimestrales'!F58</f>
        <v>KG</v>
      </c>
      <c r="J60" s="69">
        <f>'Necesidades Trimestrales'!H58</f>
        <v>704</v>
      </c>
      <c r="K60" s="51">
        <f>'Necesidades Trimestrales'!G58</f>
        <v>40</v>
      </c>
    </row>
    <row r="61" spans="1:11" ht="38.25" customHeight="1" thickBot="1" x14ac:dyDescent="0.25">
      <c r="A61" s="8">
        <v>50</v>
      </c>
      <c r="B61" s="68" t="str">
        <f>'Necesidades Trimestrales'!B59</f>
        <v>2.1.1-705.95</v>
      </c>
      <c r="C61" s="111" t="str">
        <f>'Necesidades Trimestrales'!E59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61" s="111"/>
      <c r="E61" s="111"/>
      <c r="F61" s="111"/>
      <c r="G61" s="111"/>
      <c r="H61" s="49" t="s">
        <v>56</v>
      </c>
      <c r="I61" s="50" t="str">
        <f>'Necesidades Trimestrales'!F59</f>
        <v>CAJA</v>
      </c>
      <c r="J61" s="69">
        <f>'Necesidades Trimestrales'!H59</f>
        <v>360.32</v>
      </c>
      <c r="K61" s="51">
        <f>'Necesidades Trimestrales'!G59</f>
        <v>60</v>
      </c>
    </row>
    <row r="62" spans="1:11" ht="38.25" customHeight="1" thickBot="1" x14ac:dyDescent="0.25">
      <c r="A62" s="8">
        <v>51</v>
      </c>
      <c r="B62" s="68" t="str">
        <f>'Necesidades Trimestrales'!B60</f>
        <v>2.1.1-705.105</v>
      </c>
      <c r="C62" s="111" t="str">
        <f>'Necesidades Trimestrales'!E60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62" s="111"/>
      <c r="E62" s="111"/>
      <c r="F62" s="111"/>
      <c r="G62" s="111"/>
      <c r="H62" s="49" t="s">
        <v>56</v>
      </c>
      <c r="I62" s="50" t="str">
        <f>'Necesidades Trimestrales'!F60</f>
        <v>CAJA</v>
      </c>
      <c r="J62" s="69">
        <f>'Necesidades Trimestrales'!H60</f>
        <v>110.00000000000001</v>
      </c>
      <c r="K62" s="51">
        <f>'Necesidades Trimestrales'!G60</f>
        <v>500</v>
      </c>
    </row>
    <row r="63" spans="1:11" ht="38.25" customHeight="1" thickBot="1" x14ac:dyDescent="0.25">
      <c r="A63" s="8">
        <v>52</v>
      </c>
      <c r="B63" s="68" t="str">
        <f>'Necesidades Trimestrales'!B61</f>
        <v>2.1.1-705.106</v>
      </c>
      <c r="C63" s="111" t="str">
        <f>'Necesidades Trimestrales'!E61</f>
        <v>LECHE; ESTADO: LIQUIDO, TIPO: ENTERA, PROCESO: LARGA VIDA, AGREGADO: VITAMINAS A Y D, PRESENTACION: ENVASE X 1 L, MATERIAL ENVASE: PLASTICO, ELEM. TRANSPORTE: SIN, MATERIAL ELEM. TRANSPORTE: SIN, CERTIFICADO FORESTAL (GFS): SIN, LIBRE DE GLUTEN: SI</v>
      </c>
      <c r="D63" s="111"/>
      <c r="E63" s="111"/>
      <c r="F63" s="111"/>
      <c r="G63" s="111"/>
      <c r="H63" s="49" t="s">
        <v>56</v>
      </c>
      <c r="I63" s="50" t="str">
        <f>'Necesidades Trimestrales'!F61</f>
        <v>BOTELLA</v>
      </c>
      <c r="J63" s="69">
        <f>'Necesidades Trimestrales'!H61</f>
        <v>110.00000000000001</v>
      </c>
      <c r="K63" s="51">
        <f>'Necesidades Trimestrales'!G61</f>
        <v>500</v>
      </c>
    </row>
    <row r="64" spans="1:11" ht="38.25" customHeight="1" thickBot="1" x14ac:dyDescent="0.25">
      <c r="A64" s="8">
        <v>53</v>
      </c>
      <c r="B64" s="68" t="str">
        <f>'Necesidades Trimestrales'!B62</f>
        <v>2.1.1-6547.88</v>
      </c>
      <c r="C64" s="111" t="str">
        <f>'Necesidades Trimestrales'!E62</f>
        <v>LEGUMBRES; VARIEDAD: LENTEJA, ESTADO: SECO, PRESENTACION: BOLSA, PESO: 450 GR, MATERIAL ENVASE: PLASTICO, ELEM. TRANSPORTE: SIN, MATERIAL ELEM. TRANSPORTE: SIN, LIBRE DE GLUTEN: SI</v>
      </c>
      <c r="D64" s="111"/>
      <c r="E64" s="111"/>
      <c r="F64" s="111"/>
      <c r="G64" s="111"/>
      <c r="H64" s="49" t="s">
        <v>56</v>
      </c>
      <c r="I64" s="50" t="str">
        <f>'Necesidades Trimestrales'!F62</f>
        <v>PAQUETE</v>
      </c>
      <c r="J64" s="69">
        <f>'Necesidades Trimestrales'!H62</f>
        <v>126.50000000000001</v>
      </c>
      <c r="K64" s="51">
        <f>'Necesidades Trimestrales'!G62</f>
        <v>20</v>
      </c>
    </row>
    <row r="65" spans="1:11" ht="38.25" customHeight="1" thickBot="1" x14ac:dyDescent="0.25">
      <c r="A65" s="8">
        <v>54</v>
      </c>
      <c r="B65" s="68" t="str">
        <f>'Necesidades Trimestrales'!B63</f>
        <v>2.1.1-6546.374</v>
      </c>
      <c r="C65" s="111" t="str">
        <f>'Necesidades Trimestrales'!E63</f>
        <v>VERDURAS Y HORTALIZAS; VARIEDAD: LECHUGA ARREPOLLADA, ESTADO: NATURAL, PRESENTACION: A GRANEL, PESO: 300 GR CADA PLANTA, ELEM. TRANSPORTE: SIN, MATERIAL ELEM. TRANSPORTE: SIN, LIBRE DE GLUTEN: SI</v>
      </c>
      <c r="D65" s="111"/>
      <c r="E65" s="111"/>
      <c r="F65" s="111"/>
      <c r="G65" s="111"/>
      <c r="H65" s="49" t="s">
        <v>314</v>
      </c>
      <c r="I65" s="50" t="str">
        <f>'Necesidades Trimestrales'!F63</f>
        <v>CAJON</v>
      </c>
      <c r="J65" s="69">
        <f>'Necesidades Trimestrales'!H63</f>
        <v>495.00000000000006</v>
      </c>
      <c r="K65" s="51">
        <f>'Necesidades Trimestrales'!G63</f>
        <v>10</v>
      </c>
    </row>
    <row r="66" spans="1:11" ht="38.25" customHeight="1" thickBot="1" x14ac:dyDescent="0.25">
      <c r="A66" s="8">
        <v>55</v>
      </c>
      <c r="B66" s="68" t="str">
        <f>'Necesidades Trimestrales'!B64</f>
        <v>2.1.1-2116.10</v>
      </c>
      <c r="C66" s="111" t="str">
        <f>'Necesidades Trimestrales'!E64</f>
        <v>LEVADURAS; TIPO: SECA INSTANTANEA, PRESENTACION: SOBRE, PESO: 20 GR</v>
      </c>
      <c r="D66" s="111"/>
      <c r="E66" s="111"/>
      <c r="F66" s="111"/>
      <c r="G66" s="111"/>
      <c r="H66" s="49" t="s">
        <v>56</v>
      </c>
      <c r="I66" s="50" t="str">
        <f>'Necesidades Trimestrales'!F64</f>
        <v>SOBRE</v>
      </c>
      <c r="J66" s="69">
        <f>'Necesidades Trimestrales'!H64</f>
        <v>38.5</v>
      </c>
      <c r="K66" s="51">
        <f>'Necesidades Trimestrales'!G64</f>
        <v>50</v>
      </c>
    </row>
    <row r="67" spans="1:11" ht="38.25" customHeight="1" thickBot="1" x14ac:dyDescent="0.25">
      <c r="A67" s="8">
        <v>56</v>
      </c>
      <c r="B67" s="68" t="str">
        <f>'Necesidades Trimestrales'!B65</f>
        <v>2.1.1-6539.84</v>
      </c>
      <c r="C67" s="111" t="str">
        <f>'Necesidades Trimestrales'!E65</f>
        <v>FRUTAS; VARIEDAD: LIMON, ESTADO: NATURAL, PRESENTACION: CAJON X 1 Kg, PESO: 1 Kg</v>
      </c>
      <c r="D67" s="111"/>
      <c r="E67" s="111"/>
      <c r="F67" s="111"/>
      <c r="G67" s="111"/>
      <c r="H67" s="49" t="s">
        <v>56</v>
      </c>
      <c r="I67" s="50" t="str">
        <f>'Necesidades Trimestrales'!F65</f>
        <v>KG</v>
      </c>
      <c r="J67" s="69">
        <f>'Necesidades Trimestrales'!H65</f>
        <v>49.500000000000007</v>
      </c>
      <c r="K67" s="51">
        <f>'Necesidades Trimestrales'!G65</f>
        <v>50</v>
      </c>
    </row>
    <row r="68" spans="1:11" ht="38.25" customHeight="1" thickBot="1" x14ac:dyDescent="0.25">
      <c r="A68" s="8">
        <v>57</v>
      </c>
      <c r="B68" s="68" t="str">
        <f>'Necesidades Trimestrales'!B66</f>
        <v>2.1.1-6539.20</v>
      </c>
      <c r="C68" s="111" t="str">
        <f>'Necesidades Trimestrales'!E66</f>
        <v>FRUTAS; ESTADO: NATURAL, VARIEDAD: MANZANA RED DELICIOSA, PRESENTACION: CAJON, PESO: SIN VALOR</v>
      </c>
      <c r="D68" s="111"/>
      <c r="E68" s="111"/>
      <c r="F68" s="111"/>
      <c r="G68" s="111"/>
      <c r="H68" s="49" t="s">
        <v>314</v>
      </c>
      <c r="I68" s="50" t="str">
        <f>'Necesidades Trimestrales'!F66</f>
        <v>CAJON</v>
      </c>
      <c r="J68" s="69">
        <f>'Necesidades Trimestrales'!H66</f>
        <v>2112</v>
      </c>
      <c r="K68" s="51">
        <f>'Necesidades Trimestrales'!G66</f>
        <v>26</v>
      </c>
    </row>
    <row r="69" spans="1:11" ht="38.25" customHeight="1" thickBot="1" x14ac:dyDescent="0.25">
      <c r="A69" s="8">
        <v>58</v>
      </c>
      <c r="B69" s="68" t="str">
        <f>'Necesidades Trimestrales'!B67</f>
        <v>2.1.1-706.6</v>
      </c>
      <c r="C69" s="111" t="str">
        <f>'Necesidades Trimestrales'!E67</f>
        <v>MATE COCIDO; ENVASE: CAJA CARTON, PRESENTACION: ENSOBRADO, SAQUITOS P/CAJA: 100 UN, PESO X SAQ.: 3 GR</v>
      </c>
      <c r="D69" s="111"/>
      <c r="E69" s="111"/>
      <c r="F69" s="111"/>
      <c r="G69" s="111"/>
      <c r="H69" s="49" t="s">
        <v>56</v>
      </c>
      <c r="I69" s="50" t="str">
        <f>'Necesidades Trimestrales'!F67</f>
        <v>CAJA</v>
      </c>
      <c r="J69" s="69">
        <f>'Necesidades Trimestrales'!H67</f>
        <v>119.35000000000001</v>
      </c>
      <c r="K69" s="51">
        <f>'Necesidades Trimestrales'!G67</f>
        <v>100</v>
      </c>
    </row>
    <row r="70" spans="1:11" ht="38.25" customHeight="1" thickBot="1" x14ac:dyDescent="0.25">
      <c r="A70" s="8">
        <v>59</v>
      </c>
      <c r="B70" s="68" t="str">
        <f>'Necesidades Trimestrales'!B68</f>
        <v>2.1.1-438.83</v>
      </c>
      <c r="C70" s="111" t="str">
        <f>'Necesidades Trimestrales'!E68</f>
        <v>ADEREZOS; TIPO: MAYONESA LIGHT, PRESENTACION: ENVASE X 475 GR, LIBRE DE GLUTEN: SIN VALOR</v>
      </c>
      <c r="D70" s="111"/>
      <c r="E70" s="111"/>
      <c r="F70" s="111"/>
      <c r="G70" s="111"/>
      <c r="H70" s="49" t="s">
        <v>56</v>
      </c>
      <c r="I70" s="50" t="str">
        <f>'Necesidades Trimestrales'!F68</f>
        <v>PAQUETE</v>
      </c>
      <c r="J70" s="69">
        <f>'Necesidades Trimestrales'!H68</f>
        <v>66</v>
      </c>
      <c r="K70" s="51">
        <f>'Necesidades Trimestrales'!G68</f>
        <v>40</v>
      </c>
    </row>
    <row r="71" spans="1:11" ht="38.25" customHeight="1" thickBot="1" x14ac:dyDescent="0.25">
      <c r="A71" s="8">
        <v>60</v>
      </c>
      <c r="B71" s="68" t="str">
        <f>'Necesidades Trimestrales'!B69</f>
        <v>2.1.1-541.49</v>
      </c>
      <c r="C71" s="111" t="str">
        <f>'Necesidades Trimestrales'!E69</f>
        <v>CARNES; ESPECIE: VACUNA, CORTE: NALGA, TIPO: VACUNA</v>
      </c>
      <c r="D71" s="111"/>
      <c r="E71" s="111"/>
      <c r="F71" s="111"/>
      <c r="G71" s="111"/>
      <c r="H71" s="49" t="s">
        <v>56</v>
      </c>
      <c r="I71" s="50" t="str">
        <f>'Necesidades Trimestrales'!F69</f>
        <v>KG</v>
      </c>
      <c r="J71" s="69">
        <f>'Necesidades Trimestrales'!H69</f>
        <v>707.85</v>
      </c>
      <c r="K71" s="51">
        <f>'Necesidades Trimestrales'!G69</f>
        <v>650</v>
      </c>
    </row>
    <row r="72" spans="1:11" ht="38.25" customHeight="1" thickBot="1" x14ac:dyDescent="0.25">
      <c r="A72" s="8">
        <v>61</v>
      </c>
      <c r="B72" s="68" t="str">
        <f>'Necesidades Trimestrales'!B70</f>
        <v>2.1.1-541.20</v>
      </c>
      <c r="C72" s="111" t="str">
        <f>'Necesidades Trimestrales'!E70</f>
        <v>CARNES; CORTE: TAPA DE NALGA, ESPECIE: VACUNA, TIPO: VACUNA</v>
      </c>
      <c r="D72" s="111"/>
      <c r="E72" s="111"/>
      <c r="F72" s="111"/>
      <c r="G72" s="111"/>
      <c r="H72" s="49" t="s">
        <v>56</v>
      </c>
      <c r="I72" s="50" t="str">
        <f>'Necesidades Trimestrales'!F70</f>
        <v>KG</v>
      </c>
      <c r="J72" s="69">
        <f>'Necesidades Trimestrales'!H70</f>
        <v>707.85</v>
      </c>
      <c r="K72" s="51">
        <f>'Necesidades Trimestrales'!G70</f>
        <v>100</v>
      </c>
    </row>
    <row r="73" spans="1:11" ht="38.25" customHeight="1" thickBot="1" x14ac:dyDescent="0.25">
      <c r="A73" s="8">
        <v>62</v>
      </c>
      <c r="B73" s="68" t="str">
        <f>'Necesidades Trimestrales'!B71</f>
        <v>2.1.1-6539.8</v>
      </c>
      <c r="C73" s="111" t="str">
        <f>'Necesidades Trimestrales'!E71</f>
        <v>FRUTAS; VARIEDAD: NARANJA ESPECIAL, ESTADO: NATURAL, PRESENTACION: CAJON, PESO: SIN VALOR</v>
      </c>
      <c r="D73" s="111"/>
      <c r="E73" s="111"/>
      <c r="F73" s="111"/>
      <c r="G73" s="111"/>
      <c r="H73" s="49" t="s">
        <v>314</v>
      </c>
      <c r="I73" s="50" t="str">
        <f>'Necesidades Trimestrales'!F71</f>
        <v>CAJON</v>
      </c>
      <c r="J73" s="69">
        <f>'Necesidades Trimestrales'!H71</f>
        <v>577.5</v>
      </c>
      <c r="K73" s="51">
        <f>'Necesidades Trimestrales'!G71</f>
        <v>15</v>
      </c>
    </row>
    <row r="74" spans="1:11" ht="38.25" customHeight="1" thickBot="1" x14ac:dyDescent="0.25">
      <c r="A74" s="8">
        <v>63</v>
      </c>
      <c r="B74" s="68" t="str">
        <f>'Necesidades Trimestrales'!B72</f>
        <v>2.1.1-489.181</v>
      </c>
      <c r="C74" s="111" t="str">
        <f>'Necesidades Trimestrales'!E72</f>
        <v>ESPECIAS; TIPO: NUEZ MOSCADA, PRESENTACION: ENVASE X 25 GR, LIBRE DE GLUTEN: SI</v>
      </c>
      <c r="D74" s="111"/>
      <c r="E74" s="111"/>
      <c r="F74" s="111"/>
      <c r="G74" s="111"/>
      <c r="H74" s="49" t="s">
        <v>56</v>
      </c>
      <c r="I74" s="50" t="str">
        <f>'Necesidades Trimestrales'!F72</f>
        <v>SOBRE</v>
      </c>
      <c r="J74" s="69">
        <f>'Necesidades Trimestrales'!H72</f>
        <v>121.00000000000001</v>
      </c>
      <c r="K74" s="51">
        <f>'Necesidades Trimestrales'!G72</f>
        <v>20</v>
      </c>
    </row>
    <row r="75" spans="1:11" ht="38.25" customHeight="1" thickBot="1" x14ac:dyDescent="0.25">
      <c r="A75" s="8">
        <v>64</v>
      </c>
      <c r="B75" s="68" t="str">
        <f>'Necesidades Trimestrales'!B73</f>
        <v>2.1.1-489.85</v>
      </c>
      <c r="C75" s="111" t="str">
        <f>'Necesidades Trimestrales'!E73</f>
        <v>ESPECIAS; PRESENTACION: SOBRE X 50 GR, TIPO: OREGANO</v>
      </c>
      <c r="D75" s="111"/>
      <c r="E75" s="111"/>
      <c r="F75" s="111"/>
      <c r="G75" s="111"/>
      <c r="H75" s="49" t="s">
        <v>56</v>
      </c>
      <c r="I75" s="50" t="str">
        <f>'Necesidades Trimestrales'!F73</f>
        <v>SOBRE</v>
      </c>
      <c r="J75" s="69">
        <f>'Necesidades Trimestrales'!H73</f>
        <v>59.400000000000006</v>
      </c>
      <c r="K75" s="51">
        <f>'Necesidades Trimestrales'!G73</f>
        <v>60</v>
      </c>
    </row>
    <row r="76" spans="1:11" ht="38.25" customHeight="1" thickBot="1" x14ac:dyDescent="0.25">
      <c r="A76" s="8">
        <v>65</v>
      </c>
      <c r="B76" s="68" t="str">
        <f>'Necesidades Trimestrales'!B74</f>
        <v>2.1.1-669.64</v>
      </c>
      <c r="C76" s="111" t="str">
        <f>'Necesidades Trimestrales'!E74</f>
        <v>PANES; TIPO: FRANCES, PRESENTACION: ENVASE X 1 Kg</v>
      </c>
      <c r="D76" s="111"/>
      <c r="E76" s="111"/>
      <c r="F76" s="111"/>
      <c r="G76" s="111"/>
      <c r="H76" s="49" t="s">
        <v>56</v>
      </c>
      <c r="I76" s="50" t="str">
        <f>'Necesidades Trimestrales'!F74</f>
        <v>KG</v>
      </c>
      <c r="J76" s="69">
        <f>'Necesidades Trimestrales'!H74</f>
        <v>88</v>
      </c>
      <c r="K76" s="51">
        <f>'Necesidades Trimestrales'!G74</f>
        <v>700</v>
      </c>
    </row>
    <row r="77" spans="1:11" ht="38.25" customHeight="1" thickBot="1" x14ac:dyDescent="0.25">
      <c r="A77" s="8">
        <v>66</v>
      </c>
      <c r="B77" s="68" t="str">
        <f>'Necesidades Trimestrales'!B75</f>
        <v>2.1.1-669.25</v>
      </c>
      <c r="C77" s="111" t="str">
        <f>'Necesidades Trimestrales'!E75</f>
        <v>PANES; TIPO: RALLADO, PRESENTACION: BOLSA DE 1000 GR</v>
      </c>
      <c r="D77" s="111"/>
      <c r="E77" s="111"/>
      <c r="F77" s="111"/>
      <c r="G77" s="111"/>
      <c r="H77" s="49" t="s">
        <v>56</v>
      </c>
      <c r="I77" s="50" t="str">
        <f>'Necesidades Trimestrales'!F75</f>
        <v>KG</v>
      </c>
      <c r="J77" s="69">
        <f>'Necesidades Trimestrales'!H75</f>
        <v>187.00000000000003</v>
      </c>
      <c r="K77" s="51">
        <f>'Necesidades Trimestrales'!G75</f>
        <v>100</v>
      </c>
    </row>
    <row r="78" spans="1:11" ht="38.25" customHeight="1" thickBot="1" x14ac:dyDescent="0.25">
      <c r="A78" s="8">
        <v>67</v>
      </c>
      <c r="B78" s="68" t="str">
        <f>'Necesidades Trimestrales'!B76</f>
        <v>2.1.1-6546.335</v>
      </c>
      <c r="C78" s="111" t="str">
        <f>'Necesidades Trimestrales'!E76</f>
        <v>VERDURAS Y HORTALIZAS; VARIEDAD: PAPA BLANCA, ESTADO: NATURAL, PRESENTACION: BOLSA, PESO: 25 Kg</v>
      </c>
      <c r="D78" s="111"/>
      <c r="E78" s="111"/>
      <c r="F78" s="111"/>
      <c r="G78" s="111"/>
      <c r="H78" s="49" t="s">
        <v>56</v>
      </c>
      <c r="I78" s="50" t="str">
        <f>'Necesidades Trimestrales'!F76</f>
        <v>BOLSA</v>
      </c>
      <c r="J78" s="69">
        <f>'Necesidades Trimestrales'!H76</f>
        <v>962.50000000000011</v>
      </c>
      <c r="K78" s="51">
        <f>'Necesidades Trimestrales'!G76</f>
        <v>50</v>
      </c>
    </row>
    <row r="79" spans="1:11" ht="38.25" customHeight="1" thickBot="1" x14ac:dyDescent="0.25">
      <c r="A79" s="8">
        <v>68</v>
      </c>
      <c r="B79" s="68" t="str">
        <f>'Necesidades Trimestrales'!B77</f>
        <v>2.1.1-541.29</v>
      </c>
      <c r="C79" s="111" t="str">
        <f>'Necesidades Trimestrales'!E77</f>
        <v>CARNES; CORTE: PECETO, ESPECIE: VACUNA, TIPO: VACUNA</v>
      </c>
      <c r="D79" s="111"/>
      <c r="E79" s="111"/>
      <c r="F79" s="111"/>
      <c r="G79" s="111"/>
      <c r="H79" s="49" t="s">
        <v>56</v>
      </c>
      <c r="I79" s="50" t="str">
        <f>'Necesidades Trimestrales'!F77</f>
        <v>KG</v>
      </c>
      <c r="J79" s="69">
        <f>'Necesidades Trimestrales'!H77</f>
        <v>707.85</v>
      </c>
      <c r="K79" s="51">
        <f>'Necesidades Trimestrales'!G77</f>
        <v>300</v>
      </c>
    </row>
    <row r="80" spans="1:11" ht="38.25" customHeight="1" thickBot="1" x14ac:dyDescent="0.25">
      <c r="A80" s="8">
        <v>69</v>
      </c>
      <c r="B80" s="68" t="str">
        <f>'Necesidades Trimestrales'!B78</f>
        <v>2.1.1-621.20</v>
      </c>
      <c r="C80" s="111" t="str">
        <f>'Necesidades Trimestrales'!E78</f>
        <v>AVES; TIPO: POLLO, PRESENTACION: CAJA X 22 Kg, EVISCERADO: SI, ELEM. TRANSPORTE: SIN, MATERIAL ELEM. TRANSPORTE: SIN, LIBRE DE GLUTEN: SIN VALOR</v>
      </c>
      <c r="D80" s="111"/>
      <c r="E80" s="111"/>
      <c r="F80" s="111"/>
      <c r="G80" s="111"/>
      <c r="H80" s="49" t="s">
        <v>56</v>
      </c>
      <c r="I80" s="50" t="str">
        <f>'Necesidades Trimestrales'!F78</f>
        <v>CAJA</v>
      </c>
      <c r="J80" s="69">
        <f>'Necesidades Trimestrales'!H78</f>
        <v>2662</v>
      </c>
      <c r="K80" s="51">
        <f>'Necesidades Trimestrales'!G78</f>
        <v>90</v>
      </c>
    </row>
    <row r="81" spans="1:11" ht="38.25" customHeight="1" thickBot="1" x14ac:dyDescent="0.25">
      <c r="A81" s="8">
        <v>70</v>
      </c>
      <c r="B81" s="68" t="str">
        <f>'Necesidades Trimestrales'!B79</f>
        <v>2.1.1-6539.32</v>
      </c>
      <c r="C81" s="111" t="str">
        <f>'Necesidades Trimestrales'!E79</f>
        <v>FRUTAS; VARIEDAD: PERA AMARILLA, ESTADO: NATURAL, PRESENTACION: CAJON, PESO: SIN VALOR</v>
      </c>
      <c r="D81" s="111"/>
      <c r="E81" s="111"/>
      <c r="F81" s="111"/>
      <c r="G81" s="111"/>
      <c r="H81" s="49" t="s">
        <v>314</v>
      </c>
      <c r="I81" s="50" t="str">
        <f>'Necesidades Trimestrales'!F79</f>
        <v>CAJON</v>
      </c>
      <c r="J81" s="69">
        <f>'Necesidades Trimestrales'!H79</f>
        <v>2574</v>
      </c>
      <c r="K81" s="51">
        <f>'Necesidades Trimestrales'!G79</f>
        <v>25</v>
      </c>
    </row>
    <row r="82" spans="1:11" ht="38.25" customHeight="1" thickBot="1" x14ac:dyDescent="0.25">
      <c r="A82" s="8">
        <v>71</v>
      </c>
      <c r="B82" s="68" t="str">
        <f>'Necesidades Trimestrales'!B80</f>
        <v>2.1.1-6546.133</v>
      </c>
      <c r="C82" s="111" t="str">
        <f>'Necesidades Trimestrales'!E80</f>
        <v>VERDURAS Y HORTALIZAS; VARIEDAD: PEREJIL, ESTADO: NATURAL, PRESENTACION: ATADO, PESO: 1 Kg</v>
      </c>
      <c r="D82" s="111"/>
      <c r="E82" s="111"/>
      <c r="F82" s="111"/>
      <c r="G82" s="111"/>
      <c r="H82" s="49" t="s">
        <v>56</v>
      </c>
      <c r="I82" s="50" t="str">
        <f>'Necesidades Trimestrales'!F80</f>
        <v>ATADO</v>
      </c>
      <c r="J82" s="69">
        <f>'Necesidades Trimestrales'!H80</f>
        <v>46.2</v>
      </c>
      <c r="K82" s="51">
        <f>'Necesidades Trimestrales'!G80</f>
        <v>50</v>
      </c>
    </row>
    <row r="83" spans="1:11" ht="38.25" customHeight="1" thickBot="1" x14ac:dyDescent="0.25">
      <c r="A83" s="8">
        <v>72</v>
      </c>
      <c r="B83" s="68" t="str">
        <f>'Necesidades Trimestrales'!B81</f>
        <v>2.1.1-489.97</v>
      </c>
      <c r="C83" s="111" t="str">
        <f>'Necesidades Trimestrales'!E81</f>
        <v>ESPECIAS; TIPO: PIMENTON DULCE, PRESENTACION: PAQUETE X 50 GR</v>
      </c>
      <c r="D83" s="111"/>
      <c r="E83" s="111"/>
      <c r="F83" s="111"/>
      <c r="G83" s="111"/>
      <c r="H83" s="49" t="s">
        <v>56</v>
      </c>
      <c r="I83" s="50" t="str">
        <f>'Necesidades Trimestrales'!F81</f>
        <v>SOBRE</v>
      </c>
      <c r="J83" s="69">
        <f>'Necesidades Trimestrales'!H81</f>
        <v>31.900000000000002</v>
      </c>
      <c r="K83" s="51">
        <f>'Necesidades Trimestrales'!G81</f>
        <v>60</v>
      </c>
    </row>
    <row r="84" spans="1:11" ht="38.25" customHeight="1" thickBot="1" x14ac:dyDescent="0.25">
      <c r="A84" s="8">
        <v>73</v>
      </c>
      <c r="B84" s="68" t="str">
        <f>'Necesidades Trimestrales'!B82</f>
        <v>2.1.1-489.162</v>
      </c>
      <c r="C84" s="111" t="str">
        <f>'Necesidades Trimestrales'!E82</f>
        <v>ESPECIAS; TIPO: PIMIENTA NEGRA MOLIDA, PRESENTACION: ENVASE X 25 GR</v>
      </c>
      <c r="D84" s="111"/>
      <c r="E84" s="111"/>
      <c r="F84" s="111"/>
      <c r="G84" s="111"/>
      <c r="H84" s="49" t="s">
        <v>56</v>
      </c>
      <c r="I84" s="50" t="str">
        <f>'Necesidades Trimestrales'!F82</f>
        <v>SOBRE</v>
      </c>
      <c r="J84" s="69">
        <f>'Necesidades Trimestrales'!H82</f>
        <v>39.6</v>
      </c>
      <c r="K84" s="51">
        <f>'Necesidades Trimestrales'!G82</f>
        <v>15</v>
      </c>
    </row>
    <row r="85" spans="1:11" ht="38.25" customHeight="1" thickBot="1" x14ac:dyDescent="0.25">
      <c r="A85" s="8">
        <v>74</v>
      </c>
      <c r="B85" s="68" t="str">
        <f>'Necesidades Trimestrales'!B83</f>
        <v>2.1.1-6546.365</v>
      </c>
      <c r="C85" s="111" t="str">
        <f>'Necesidades Trimestrales'!E83</f>
        <v>VERDURAS Y HORTALIZAS; VARIEDAD: MORRON ROJO, ESTADO: NATURAL, PRESENTACION: ENVASE X 10 Kg, PESO: 10 Kg, ELEM. TRANSPORTE: CAJON, MATERIAL ELEM. TRANSPORTE: MADERA, LIBRE DE GLUTEN: SI</v>
      </c>
      <c r="D85" s="111"/>
      <c r="E85" s="111"/>
      <c r="F85" s="111"/>
      <c r="G85" s="111"/>
      <c r="H85" s="49" t="s">
        <v>56</v>
      </c>
      <c r="I85" s="50" t="str">
        <f>'Necesidades Trimestrales'!F83</f>
        <v>CAJON</v>
      </c>
      <c r="J85" s="69">
        <f>'Necesidades Trimestrales'!H83</f>
        <v>1507.0000000000002</v>
      </c>
      <c r="K85" s="51">
        <f>'Necesidades Trimestrales'!G83</f>
        <v>20</v>
      </c>
    </row>
    <row r="86" spans="1:11" ht="38.25" customHeight="1" thickBot="1" x14ac:dyDescent="0.25">
      <c r="A86" s="8">
        <v>75</v>
      </c>
      <c r="B86" s="68" t="str">
        <f>'Necesidades Trimestrales'!B84</f>
        <v>2.1.1-6546.95</v>
      </c>
      <c r="C86" s="111" t="str">
        <f>'Necesidades Trimestrales'!E84</f>
        <v>VERDURAS Y HORTALIZAS; VARIEDAD: MORRON VERDE, ESTADO: NATURAL, PRESENTACION: GRANEL, PESO: SIN VALOR</v>
      </c>
      <c r="D86" s="111"/>
      <c r="E86" s="111"/>
      <c r="F86" s="111"/>
      <c r="G86" s="111"/>
      <c r="H86" s="49" t="s">
        <v>314</v>
      </c>
      <c r="I86" s="50" t="str">
        <f>'Necesidades Trimestrales'!F84</f>
        <v>CAJON</v>
      </c>
      <c r="J86" s="69">
        <f>'Necesidades Trimestrales'!H84</f>
        <v>968.00000000000011</v>
      </c>
      <c r="K86" s="51">
        <f>'Necesidades Trimestrales'!G84</f>
        <v>20</v>
      </c>
    </row>
    <row r="87" spans="1:11" ht="38.25" customHeight="1" thickBot="1" x14ac:dyDescent="0.25">
      <c r="A87" s="8">
        <v>76</v>
      </c>
      <c r="B87" s="68" t="str">
        <f>'Necesidades Trimestrales'!B85</f>
        <v>2.1.1-489.190</v>
      </c>
      <c r="C87" s="111" t="str">
        <f>'Necesidades Trimestrales'!E85</f>
        <v>ESPECIAS; TIPO: PROVENZAL, PRESENTACION: SOBRE X 50 GR, LIBRE DE GLUTEN: SI</v>
      </c>
      <c r="D87" s="111"/>
      <c r="E87" s="111"/>
      <c r="F87" s="111"/>
      <c r="G87" s="111"/>
      <c r="H87" s="49" t="s">
        <v>56</v>
      </c>
      <c r="I87" s="50" t="str">
        <f>'Necesidades Trimestrales'!F85</f>
        <v>SOBRE</v>
      </c>
      <c r="J87" s="69">
        <f>'Necesidades Trimestrales'!H85</f>
        <v>55.000000000000007</v>
      </c>
      <c r="K87" s="51">
        <f>'Necesidades Trimestrales'!G85</f>
        <v>60</v>
      </c>
    </row>
    <row r="88" spans="1:11" ht="38.25" customHeight="1" thickBot="1" x14ac:dyDescent="0.25">
      <c r="A88" s="8">
        <v>77</v>
      </c>
      <c r="B88" s="68" t="str">
        <f>'Necesidades Trimestrales'!B86</f>
        <v>2.1.1-542.236</v>
      </c>
      <c r="C88" s="111" t="str">
        <f>'Necesidades Trimestrales'!E86</f>
        <v>QUESOS; TIPO: CREMOSO, PRESENTACION: AL PESO, ELEM. TRANSPORTE: SIN, MATERIAL ELEM. TRANSPORTE: SIN, MATERIAL ENVASE: SIN, CERTIFICADO FORESTAL (GFS): SIN, LIBRE DE GLUTEN: A DEFINIR</v>
      </c>
      <c r="D88" s="111"/>
      <c r="E88" s="111"/>
      <c r="F88" s="111"/>
      <c r="G88" s="111"/>
      <c r="H88" s="49" t="s">
        <v>56</v>
      </c>
      <c r="I88" s="50" t="str">
        <f>'Necesidades Trimestrales'!F86</f>
        <v>KG</v>
      </c>
      <c r="J88" s="69">
        <f>'Necesidades Trimestrales'!H86</f>
        <v>440.00000000000006</v>
      </c>
      <c r="K88" s="51">
        <f>'Necesidades Trimestrales'!G86</f>
        <v>200</v>
      </c>
    </row>
    <row r="89" spans="1:11" ht="38.25" customHeight="1" thickBot="1" x14ac:dyDescent="0.25">
      <c r="A89" s="8">
        <v>78</v>
      </c>
      <c r="B89" s="68" t="str">
        <f>'Necesidades Trimestrales'!B87</f>
        <v>2.1.1-542.240</v>
      </c>
      <c r="C89" s="111" t="str">
        <f>'Necesidades Trimestrales'!E87</f>
        <v>QUESOS; TIPO: SARDO, PRESENTACION: HORMA, ELEM. TRANSPORTE: SIN, MATERIAL ELEM. TRANSPORTE: SIN, MATERIAL ENVASE: SIN, CERTIFICADO FORESTAL (GFS): SIN, LIBRE DE GLUTEN: A DEFINIR</v>
      </c>
      <c r="D89" s="111"/>
      <c r="E89" s="111"/>
      <c r="F89" s="111"/>
      <c r="G89" s="111"/>
      <c r="H89" s="49" t="s">
        <v>314</v>
      </c>
      <c r="I89" s="50" t="str">
        <f>'Necesidades Trimestrales'!F87</f>
        <v>HORMA</v>
      </c>
      <c r="J89" s="69">
        <f>'Necesidades Trimestrales'!H87</f>
        <v>990.00000000000011</v>
      </c>
      <c r="K89" s="51">
        <f>'Necesidades Trimestrales'!G87</f>
        <v>12</v>
      </c>
    </row>
    <row r="90" spans="1:11" ht="38.25" customHeight="1" thickBot="1" x14ac:dyDescent="0.25">
      <c r="A90" s="8">
        <v>79</v>
      </c>
      <c r="B90" s="68" t="str">
        <f>'Necesidades Trimestrales'!B88</f>
        <v>2.1.1-542.225</v>
      </c>
      <c r="C90" s="111" t="str">
        <f>'Necesidades Trimestrales'!E88</f>
        <v>QUESOS; TIPO: TYBO, PRESENTACION: ENVASE X 1 Kg, ELEM. TRANSPORTE: SIN, MATERIAL ELEM. TRANSPORTE: SIN, MATERIAL ENVASE: POLIESTIRENO, CERTIFICADO FORESTAL (GFS): SIN, LIBRE DE GLUTEN: SI</v>
      </c>
      <c r="D90" s="111"/>
      <c r="E90" s="111"/>
      <c r="F90" s="111"/>
      <c r="G90" s="111"/>
      <c r="H90" s="49" t="s">
        <v>56</v>
      </c>
      <c r="I90" s="50" t="str">
        <f>'Necesidades Trimestrales'!F88</f>
        <v>KG</v>
      </c>
      <c r="J90" s="69">
        <f>'Necesidades Trimestrales'!H88</f>
        <v>602.25</v>
      </c>
      <c r="K90" s="51">
        <f>'Necesidades Trimestrales'!G88</f>
        <v>40</v>
      </c>
    </row>
    <row r="91" spans="1:11" ht="38.25" customHeight="1" thickBot="1" x14ac:dyDescent="0.25">
      <c r="A91" s="8">
        <v>80</v>
      </c>
      <c r="B91" s="68" t="str">
        <f>'Necesidades Trimestrales'!B89</f>
        <v>2.1.1-707.38</v>
      </c>
      <c r="C91" s="111" t="str">
        <f>'Necesidades Trimestrales'!E89</f>
        <v>PASTAS FRESCAS; VARIEDAD: RAVIOL, RELLENO: VERDURA Y POLLO, PRESENTACION: ENVASE X 500 GR</v>
      </c>
      <c r="D91" s="111"/>
      <c r="E91" s="111"/>
      <c r="F91" s="111"/>
      <c r="G91" s="111"/>
      <c r="H91" s="49" t="s">
        <v>56</v>
      </c>
      <c r="I91" s="50" t="str">
        <f>'Necesidades Trimestrales'!F89</f>
        <v>PAQUETE</v>
      </c>
      <c r="J91" s="69">
        <f>'Necesidades Trimestrales'!H89</f>
        <v>93.500000000000014</v>
      </c>
      <c r="K91" s="51">
        <f>'Necesidades Trimestrales'!G89</f>
        <v>80</v>
      </c>
    </row>
    <row r="92" spans="1:11" ht="38.25" customHeight="1" thickBot="1" x14ac:dyDescent="0.25">
      <c r="A92" s="8">
        <v>81</v>
      </c>
      <c r="B92" s="68" t="str">
        <f>'Necesidades Trimestrales'!B90</f>
        <v>2.1.1-514.2</v>
      </c>
      <c r="C92" s="111" t="str">
        <f>'Necesidades Trimestrales'!E90</f>
        <v>SAL DE MESA; CONSISTENCIA: FINA, PESO: 500 GR, TIPO: SIN VALOR, ENVASE: PAQUETE</v>
      </c>
      <c r="D92" s="111"/>
      <c r="E92" s="111"/>
      <c r="F92" s="111"/>
      <c r="G92" s="111"/>
      <c r="H92" s="49" t="s">
        <v>56</v>
      </c>
      <c r="I92" s="50" t="str">
        <f>'Necesidades Trimestrales'!F90</f>
        <v>PAQUETE</v>
      </c>
      <c r="J92" s="69">
        <f>'Necesidades Trimestrales'!H90</f>
        <v>44</v>
      </c>
      <c r="K92" s="51">
        <f>'Necesidades Trimestrales'!G90</f>
        <v>120</v>
      </c>
    </row>
    <row r="93" spans="1:11" ht="38.25" customHeight="1" thickBot="1" x14ac:dyDescent="0.25">
      <c r="A93" s="8">
        <v>82</v>
      </c>
      <c r="B93" s="68" t="str">
        <f>'Necesidades Trimestrales'!B91</f>
        <v>2.1.1-514.15</v>
      </c>
      <c r="C93" s="111" t="str">
        <f>'Necesidades Trimestrales'!E91</f>
        <v>SAL DE MESA; CONSISTENCIA: GRUESA, ENVASE: BOLSA, PESO: 1 Kg, TIPO: SIN VALOR</v>
      </c>
      <c r="D93" s="111"/>
      <c r="E93" s="111"/>
      <c r="F93" s="111"/>
      <c r="G93" s="111"/>
      <c r="H93" s="49" t="s">
        <v>56</v>
      </c>
      <c r="I93" s="50" t="str">
        <f>'Necesidades Trimestrales'!F91</f>
        <v>PAQUETE</v>
      </c>
      <c r="J93" s="69">
        <f>'Necesidades Trimestrales'!H91</f>
        <v>55.000000000000007</v>
      </c>
      <c r="K93" s="51">
        <f>'Necesidades Trimestrales'!G91</f>
        <v>20</v>
      </c>
    </row>
    <row r="94" spans="1:11" ht="38.25" customHeight="1" thickBot="1" x14ac:dyDescent="0.25">
      <c r="A94" s="8">
        <v>83</v>
      </c>
      <c r="B94" s="68" t="str">
        <f>'Necesidades Trimestrales'!B92</f>
        <v>2.1.1-2610.1</v>
      </c>
      <c r="C94" s="111" t="str">
        <f>'Necesidades Trimestrales'!E92</f>
        <v>TAPAS P/EMPANADAS; TIPO: P/HORNO, PRESENTACION: BOLSA X 12</v>
      </c>
      <c r="D94" s="111"/>
      <c r="E94" s="111"/>
      <c r="F94" s="111"/>
      <c r="G94" s="111"/>
      <c r="H94" s="49" t="s">
        <v>56</v>
      </c>
      <c r="I94" s="50" t="str">
        <f>'Necesidades Trimestrales'!F92</f>
        <v>PAQUETE</v>
      </c>
      <c r="J94" s="69">
        <f>'Necesidades Trimestrales'!H92</f>
        <v>60.500000000000007</v>
      </c>
      <c r="K94" s="51">
        <f>'Necesidades Trimestrales'!G92</f>
        <v>200</v>
      </c>
    </row>
    <row r="95" spans="1:11" ht="38.25" customHeight="1" thickBot="1" x14ac:dyDescent="0.25">
      <c r="A95" s="8">
        <v>84</v>
      </c>
      <c r="B95" s="68" t="str">
        <f>'Necesidades Trimestrales'!B93</f>
        <v>2.1.1-2429.4</v>
      </c>
      <c r="C95" s="111" t="str">
        <f>'Necesidades Trimestrales'!E93</f>
        <v>TAPAS P/TARTAS; TIPO: REDONDA, MASA: HOJALDRE, PRESENTACION: ENVASE X 400 GR</v>
      </c>
      <c r="D95" s="111"/>
      <c r="E95" s="111"/>
      <c r="F95" s="111"/>
      <c r="G95" s="111"/>
      <c r="H95" s="49" t="s">
        <v>56</v>
      </c>
      <c r="I95" s="50" t="str">
        <f>'Necesidades Trimestrales'!F93</f>
        <v>PAQUETE</v>
      </c>
      <c r="J95" s="69">
        <f>'Necesidades Trimestrales'!H93</f>
        <v>82.5</v>
      </c>
      <c r="K95" s="51">
        <f>'Necesidades Trimestrales'!G93</f>
        <v>120</v>
      </c>
    </row>
    <row r="96" spans="1:11" ht="38.25" customHeight="1" thickBot="1" x14ac:dyDescent="0.25">
      <c r="A96" s="8">
        <v>85</v>
      </c>
      <c r="B96" s="68" t="str">
        <f>'Necesidades Trimestrales'!B94</f>
        <v>2.1.1-511.6</v>
      </c>
      <c r="C96" s="111" t="str">
        <f>'Necesidades Trimestrales'!E94</f>
        <v>TE; SAQUITOS 2G P/CAJA: 100, PRESENTACION: EN SAQUITOS ENSOBRADOS, PESO: SIN VALOR, TIPO: SIN VALOR</v>
      </c>
      <c r="D96" s="111"/>
      <c r="E96" s="111"/>
      <c r="F96" s="111"/>
      <c r="G96" s="111"/>
      <c r="H96" s="49" t="s">
        <v>56</v>
      </c>
      <c r="I96" s="50" t="str">
        <f>'Necesidades Trimestrales'!F94</f>
        <v>CAJA</v>
      </c>
      <c r="J96" s="69">
        <f>'Necesidades Trimestrales'!H94</f>
        <v>91.850000000000009</v>
      </c>
      <c r="K96" s="51">
        <f>'Necesidades Trimestrales'!G94</f>
        <v>80</v>
      </c>
    </row>
    <row r="97" spans="1:11" ht="38.25" customHeight="1" thickBot="1" x14ac:dyDescent="0.25">
      <c r="A97" s="8">
        <v>86</v>
      </c>
      <c r="B97" s="68" t="str">
        <f>'Necesidades Trimestrales'!B95</f>
        <v>2.1.1-6546.18</v>
      </c>
      <c r="C97" s="111" t="str">
        <f>'Necesidades Trimestrales'!E95</f>
        <v>VERDURAS Y HORTALIZAS; VARIEDAD: TOMATE REDONDO, ESTADO: NATURAL, PRESENTACION: CAJON, PESO: 10 Kg</v>
      </c>
      <c r="D97" s="111"/>
      <c r="E97" s="111"/>
      <c r="F97" s="111"/>
      <c r="G97" s="111"/>
      <c r="H97" s="49" t="s">
        <v>56</v>
      </c>
      <c r="I97" s="50" t="str">
        <f>'Necesidades Trimestrales'!F95</f>
        <v>CAJON</v>
      </c>
      <c r="J97" s="69">
        <f>'Necesidades Trimestrales'!H95</f>
        <v>990.00000000000011</v>
      </c>
      <c r="K97" s="51">
        <f>'Necesidades Trimestrales'!G95</f>
        <v>25</v>
      </c>
    </row>
    <row r="98" spans="1:11" ht="38.25" customHeight="1" thickBot="1" x14ac:dyDescent="0.25">
      <c r="A98" s="8">
        <v>87</v>
      </c>
      <c r="B98" s="68" t="str">
        <f>'Necesidades Trimestrales'!B96</f>
        <v>2.1.1-6546.5</v>
      </c>
      <c r="C98" s="111" t="str">
        <f>'Necesidades Trimestrales'!E96</f>
        <v>VERDURAS Y HORTALIZAS; PRESENTACION: BOTELLA, VARIEDAD: TOMATE PERITA, ESTADO: TRITURADO, PESO: 970 GR</v>
      </c>
      <c r="D98" s="111"/>
      <c r="E98" s="111"/>
      <c r="F98" s="111"/>
      <c r="G98" s="111"/>
      <c r="H98" s="49" t="s">
        <v>56</v>
      </c>
      <c r="I98" s="50" t="str">
        <f>'Necesidades Trimestrales'!F96</f>
        <v>BOTELLA</v>
      </c>
      <c r="J98" s="69">
        <f>'Necesidades Trimestrales'!H96</f>
        <v>121.00000000000001</v>
      </c>
      <c r="K98" s="51">
        <f>'Necesidades Trimestrales'!G96</f>
        <v>260</v>
      </c>
    </row>
    <row r="99" spans="1:11" ht="38.25" customHeight="1" thickBot="1" x14ac:dyDescent="0.25">
      <c r="A99" s="8">
        <v>88</v>
      </c>
      <c r="B99" s="68" t="str">
        <f>'Necesidades Trimestrales'!B97</f>
        <v>2.1.1-519.23</v>
      </c>
      <c r="C99" s="111" t="str">
        <f>'Necesidades Trimestrales'!E97</f>
        <v>VINAGRES; TIPO: MANZANA, PRESENTACION: ENVASE X 1 L, MATERIAL ENVASE: PLASTICO 1 (PET)</v>
      </c>
      <c r="D99" s="111"/>
      <c r="E99" s="111"/>
      <c r="F99" s="111"/>
      <c r="G99" s="111"/>
      <c r="H99" s="49" t="s">
        <v>56</v>
      </c>
      <c r="I99" s="50" t="str">
        <f>'Necesidades Trimestrales'!F97</f>
        <v>BOTELLA</v>
      </c>
      <c r="J99" s="69">
        <f>'Necesidades Trimestrales'!H97</f>
        <v>118.80000000000001</v>
      </c>
      <c r="K99" s="51">
        <f>'Necesidades Trimestrales'!G97</f>
        <v>12</v>
      </c>
    </row>
    <row r="100" spans="1:11" ht="38.25" customHeight="1" thickBot="1" x14ac:dyDescent="0.25">
      <c r="A100" s="8">
        <v>89</v>
      </c>
      <c r="B100" s="68" t="str">
        <f>'Necesidades Trimestrales'!B98</f>
        <v>2.1.1-454.25</v>
      </c>
      <c r="C100" s="111" t="str">
        <f>'Necesidades Trimestrales'!E98</f>
        <v>YERBAS; PALO: CON, PESO: 1 Kg, MATERIAL ENVASE : PAPEL, CERTIFICADO FORESTAL (GFS): CON, ELEM. TRANSPORTE: SIN, MATERIAL ELEM. TRANSPORTE: SIN, LIBRE DE GLUTEN: SI</v>
      </c>
      <c r="D100" s="111"/>
      <c r="E100" s="111"/>
      <c r="F100" s="111"/>
      <c r="G100" s="111"/>
      <c r="H100" s="49" t="s">
        <v>56</v>
      </c>
      <c r="I100" s="50" t="str">
        <f>'Necesidades Trimestrales'!F98</f>
        <v>PAQUETE</v>
      </c>
      <c r="J100" s="69">
        <f>'Necesidades Trimestrales'!H98</f>
        <v>346.5</v>
      </c>
      <c r="K100" s="51">
        <f>'Necesidades Trimestrales'!G98</f>
        <v>10</v>
      </c>
    </row>
    <row r="101" spans="1:11" ht="38.25" customHeight="1" thickBot="1" x14ac:dyDescent="0.25">
      <c r="A101" s="8">
        <v>90</v>
      </c>
      <c r="B101" s="68" t="str">
        <f>'Necesidades Trimestrales'!B99</f>
        <v>2.1.1-456.91</v>
      </c>
      <c r="C101" s="111" t="str">
        <f>'Necesidades Trimestrales'!E99</f>
        <v>YOGHURT; TIPO: DESCREMADO, AGREGADO: SIN, CONSISTENCIA: FIRME, SABOR: VAINILLA-FRUTILLA, PRESENTACION: POTE PLASTICO X 190 mL</v>
      </c>
      <c r="D101" s="111"/>
      <c r="E101" s="111"/>
      <c r="F101" s="111"/>
      <c r="G101" s="111"/>
      <c r="H101" s="49" t="s">
        <v>56</v>
      </c>
      <c r="I101" s="50" t="str">
        <f>'Necesidades Trimestrales'!F99</f>
        <v>VASO</v>
      </c>
      <c r="J101" s="69">
        <f>'Necesidades Trimestrales'!H99</f>
        <v>65.72</v>
      </c>
      <c r="K101" s="51">
        <f>'Necesidades Trimestrales'!G99</f>
        <v>160</v>
      </c>
    </row>
    <row r="102" spans="1:11" ht="38.25" customHeight="1" thickBot="1" x14ac:dyDescent="0.25">
      <c r="A102" s="8">
        <v>91</v>
      </c>
      <c r="B102" s="68" t="str">
        <f>'Necesidades Trimestrales'!B100</f>
        <v>2.1.1-456.90</v>
      </c>
      <c r="C102" s="111" t="str">
        <f>'Necesidades Trimestrales'!E100</f>
        <v>YOGHURT; TIPO: ENTERO, AGREGADO: SIN, CONSISTENCIA: FIRME, SABOR: VAINILLA-FRUTILLA, PRESENTACION: POTE PLASTICO X 190 mL</v>
      </c>
      <c r="D102" s="111"/>
      <c r="E102" s="111"/>
      <c r="F102" s="111"/>
      <c r="G102" s="111"/>
      <c r="H102" s="49" t="s">
        <v>56</v>
      </c>
      <c r="I102" s="50" t="str">
        <f>'Necesidades Trimestrales'!F100</f>
        <v>VASO</v>
      </c>
      <c r="J102" s="69">
        <f>'Necesidades Trimestrales'!H100</f>
        <v>65.72</v>
      </c>
      <c r="K102" s="51">
        <f>'Necesidades Trimestrales'!G100</f>
        <v>160</v>
      </c>
    </row>
    <row r="103" spans="1:11" ht="38.25" customHeight="1" thickBot="1" x14ac:dyDescent="0.25">
      <c r="A103" s="8">
        <v>92</v>
      </c>
      <c r="B103" s="68" t="str">
        <f>'Necesidades Trimestrales'!B101</f>
        <v>2.1.1-6546.403</v>
      </c>
      <c r="C103" s="111" t="str">
        <f>'Necesidades Trimestrales'!E101</f>
        <v>VERDURAS Y HORTALIZAS; VARIEDAD: ZANAHORIA, ESTADO: NATURAL, PRESENTACION: BOLSA, PESO: NO CORRESPONDE, ELEM. TRANSPORTE: SIN, MATERIAL ELEM. TRANSPORTE: SIN, LIBRE DE GLUTEN: SI, ORGANICO: NO</v>
      </c>
      <c r="D103" s="111"/>
      <c r="E103" s="111"/>
      <c r="F103" s="111"/>
      <c r="G103" s="111"/>
      <c r="H103" s="49" t="s">
        <v>314</v>
      </c>
      <c r="I103" s="50" t="str">
        <f>'Necesidades Trimestrales'!F101</f>
        <v>BOLSA</v>
      </c>
      <c r="J103" s="69">
        <f>'Necesidades Trimestrales'!H101</f>
        <v>910.80000000000007</v>
      </c>
      <c r="K103" s="51">
        <f>'Necesidades Trimestrales'!G101</f>
        <v>20</v>
      </c>
    </row>
    <row r="104" spans="1:11" ht="38.25" customHeight="1" thickBot="1" x14ac:dyDescent="0.25">
      <c r="A104" s="8">
        <v>93</v>
      </c>
      <c r="B104" s="68" t="str">
        <f>'Necesidades Trimestrales'!B102</f>
        <v>2.1.1-6546.151</v>
      </c>
      <c r="C104" s="111" t="str">
        <f>'Necesidades Trimestrales'!E102</f>
        <v>VERDURAS Y HORTALIZAS; VARIEDAD: ZAPALLITO REDONDO, ESTADO: NATURAL, PRESENTACION: CAJON, PESO: SIN VALOR</v>
      </c>
      <c r="D104" s="111"/>
      <c r="E104" s="111"/>
      <c r="F104" s="111"/>
      <c r="G104" s="111"/>
      <c r="H104" s="49" t="s">
        <v>314</v>
      </c>
      <c r="I104" s="50" t="str">
        <f>'Necesidades Trimestrales'!F102</f>
        <v>CAJON</v>
      </c>
      <c r="J104" s="69">
        <f>'Necesidades Trimestrales'!H102</f>
        <v>726.00000000000011</v>
      </c>
      <c r="K104" s="51">
        <f>'Necesidades Trimestrales'!G102</f>
        <v>15</v>
      </c>
    </row>
    <row r="105" spans="1:11" ht="38.25" customHeight="1" thickBot="1" x14ac:dyDescent="0.25">
      <c r="A105" s="8">
        <v>94</v>
      </c>
      <c r="B105" s="68" t="str">
        <f>'Necesidades Trimestrales'!B103</f>
        <v>2.1.1-6546.298</v>
      </c>
      <c r="C105" s="111" t="str">
        <f>'Necesidades Trimestrales'!E103</f>
        <v>VERDURAS Y HORTALIZAS; VARIEDAD: ZUCHINI, ESTADO: NATURAL, PRESENTACION: CAJON, PESO: 18 Kg</v>
      </c>
      <c r="D105" s="111"/>
      <c r="E105" s="111"/>
      <c r="F105" s="111"/>
      <c r="G105" s="111"/>
      <c r="H105" s="49" t="s">
        <v>56</v>
      </c>
      <c r="I105" s="50" t="str">
        <f>'Necesidades Trimestrales'!F103</f>
        <v>CAJON</v>
      </c>
      <c r="J105" s="69">
        <f>'Necesidades Trimestrales'!H103</f>
        <v>1188</v>
      </c>
      <c r="K105" s="51">
        <f>'Necesidades Trimestrales'!G103</f>
        <v>10</v>
      </c>
    </row>
    <row r="106" spans="1:11" ht="38.25" customHeight="1" thickBot="1" x14ac:dyDescent="0.25">
      <c r="A106" s="8">
        <v>95</v>
      </c>
      <c r="B106" s="68" t="str">
        <f>'Necesidades Trimestrales'!B104</f>
        <v>2.1.1-6546.159</v>
      </c>
      <c r="C106" s="111" t="str">
        <f>'Necesidades Trimestrales'!E104</f>
        <v>VERDURAS Y HORTALIZAS; VARIEDAD: ZAPALLO CALABAZA, ESTADO: NATURAL, PRESENTACION: BOLSA, PESO: 20 Kg</v>
      </c>
      <c r="D106" s="111"/>
      <c r="E106" s="111"/>
      <c r="F106" s="111"/>
      <c r="G106" s="111"/>
      <c r="H106" s="49" t="s">
        <v>56</v>
      </c>
      <c r="I106" s="50" t="str">
        <f>'Necesidades Trimestrales'!F104</f>
        <v>BOLSA</v>
      </c>
      <c r="J106" s="69">
        <f>'Necesidades Trimestrales'!H104</f>
        <v>946.00000000000011</v>
      </c>
      <c r="K106" s="51">
        <f>'Necesidades Trimestrales'!G104</f>
        <v>10</v>
      </c>
    </row>
    <row r="107" spans="1:11" ht="38.25" customHeight="1" thickBot="1" x14ac:dyDescent="0.25">
      <c r="A107" s="8">
        <v>96</v>
      </c>
      <c r="B107" s="68" t="str">
        <f>'Necesidades Trimestrales'!B105</f>
        <v>2.1.1-6546.162</v>
      </c>
      <c r="C107" s="111" t="str">
        <f>'Necesidades Trimestrales'!E105</f>
        <v>VERDURAS Y HORTALIZAS; VARIEDAD: ZAPALLO CRIOLLO, ESTADO: NATURAL, PRESENTACION: UNIDAD, PESO: SIN VALOR</v>
      </c>
      <c r="D107" s="111"/>
      <c r="E107" s="111"/>
      <c r="F107" s="111"/>
      <c r="G107" s="111"/>
      <c r="H107" s="49" t="s">
        <v>314</v>
      </c>
      <c r="I107" s="50" t="str">
        <f>'Necesidades Trimestrales'!F105</f>
        <v>UNIDAD</v>
      </c>
      <c r="J107" s="69">
        <f>'Necesidades Trimestrales'!H105</f>
        <v>363.00000000000006</v>
      </c>
      <c r="K107" s="51">
        <f>'Necesidades Trimestrales'!G105</f>
        <v>15</v>
      </c>
    </row>
    <row r="108" spans="1:11" ht="38.25" customHeight="1" thickBot="1" x14ac:dyDescent="0.25">
      <c r="A108" s="8">
        <v>97</v>
      </c>
      <c r="B108" s="68" t="str">
        <f>'Necesidades Trimestrales'!B106</f>
        <v>2.1.1-438.30</v>
      </c>
      <c r="C108" s="111" t="str">
        <f>'Necesidades Trimestrales'!E106</f>
        <v>ADEREZOS; TIPO: MOSTAZA, ENVASE: POMO, CONTENIDO: 300 GR, PRESENTACION: ENVASE X 300 GR</v>
      </c>
      <c r="D108" s="111"/>
      <c r="E108" s="111"/>
      <c r="F108" s="111"/>
      <c r="G108" s="111"/>
      <c r="H108" s="49" t="s">
        <v>56</v>
      </c>
      <c r="I108" s="50" t="str">
        <f>'Necesidades Trimestrales'!F106</f>
        <v>POMO</v>
      </c>
      <c r="J108" s="69">
        <f>'Necesidades Trimestrales'!H106</f>
        <v>100</v>
      </c>
      <c r="K108" s="51">
        <f>'Necesidades Trimestrales'!G106</f>
        <v>40</v>
      </c>
    </row>
    <row r="109" spans="1:11" ht="38.25" customHeight="1" thickBot="1" x14ac:dyDescent="0.25">
      <c r="A109" s="8">
        <v>98</v>
      </c>
      <c r="B109" s="68" t="str">
        <f>'Necesidades Trimestrales'!B107</f>
        <v>2.1.1-489.183</v>
      </c>
      <c r="C109" s="111" t="str">
        <f>'Necesidades Trimestrales'!E107</f>
        <v>ESPECIAS; TIPO: PIMIENTA NEGRA, PRESENTACION: ENVASE X 25 GR, LIBRE DE GLUTEN: SI</v>
      </c>
      <c r="D109" s="111"/>
      <c r="E109" s="111"/>
      <c r="F109" s="111"/>
      <c r="G109" s="111"/>
      <c r="H109" s="49" t="s">
        <v>56</v>
      </c>
      <c r="I109" s="50" t="str">
        <f>'Necesidades Trimestrales'!F107</f>
        <v>SOBRE</v>
      </c>
      <c r="J109" s="69">
        <f>'Necesidades Trimestrales'!H107</f>
        <v>39.6</v>
      </c>
      <c r="K109" s="51">
        <f>'Necesidades Trimestrales'!G107</f>
        <v>15</v>
      </c>
    </row>
    <row r="110" spans="1:11" ht="38.25" customHeight="1" thickBot="1" x14ac:dyDescent="0.25">
      <c r="A110" s="8">
        <v>99</v>
      </c>
      <c r="B110" s="68" t="str">
        <f>'Necesidades Trimestrales'!B108</f>
        <v>2.1.1-6547.31</v>
      </c>
      <c r="C110" s="111" t="str">
        <f>'Necesidades Trimestrales'!E108</f>
        <v>LEGUMBRES; VARIEDAD: POROTO ALUBIA, ESTADO: NATURAL, PRESENTACION: BOLSA PLASTICA, PESO: 500 GR</v>
      </c>
      <c r="D110" s="111"/>
      <c r="E110" s="111"/>
      <c r="F110" s="111"/>
      <c r="G110" s="111"/>
      <c r="H110" s="49" t="s">
        <v>56</v>
      </c>
      <c r="I110" s="50" t="str">
        <f>'Necesidades Trimestrales'!F108</f>
        <v>PAQUETE</v>
      </c>
      <c r="J110" s="69">
        <f>'Necesidades Trimestrales'!H108</f>
        <v>200</v>
      </c>
      <c r="K110" s="51">
        <f>'Necesidades Trimestrales'!G108</f>
        <v>10</v>
      </c>
    </row>
    <row r="111" spans="1:11" ht="38.25" customHeight="1" thickBot="1" x14ac:dyDescent="0.25">
      <c r="A111" s="8">
        <v>100</v>
      </c>
      <c r="B111" s="68" t="str">
        <f>'Necesidades Trimestrales'!B109</f>
        <v>2.1.1-2616.9</v>
      </c>
      <c r="C111" s="111" t="str">
        <f>'Necesidades Trimestrales'!E109</f>
        <v>MAIZ; TIPO: BLANCO PISADO, PRESENTACION: ENVASE X 500 GR, FORMA DE PRESENTACION: SIN VALOR</v>
      </c>
      <c r="D111" s="111"/>
      <c r="E111" s="111"/>
      <c r="F111" s="111"/>
      <c r="G111" s="111"/>
      <c r="H111" s="49" t="s">
        <v>56</v>
      </c>
      <c r="I111" s="50" t="str">
        <f>'Necesidades Trimestrales'!F109</f>
        <v>PAQUETE</v>
      </c>
      <c r="J111" s="69">
        <f>'Necesidades Trimestrales'!H109</f>
        <v>100</v>
      </c>
      <c r="K111" s="51">
        <f>'Necesidades Trimestrales'!G109</f>
        <v>10</v>
      </c>
    </row>
    <row r="112" spans="1:11" ht="38.25" customHeight="1" thickBot="1" x14ac:dyDescent="0.25">
      <c r="A112" s="8">
        <v>101</v>
      </c>
      <c r="B112" s="68" t="str">
        <f>'Necesidades Trimestrales'!B110</f>
        <v>2.1.1-482.63</v>
      </c>
      <c r="C112" s="111" t="str">
        <f>'Necesidades Trimestrales'!E110</f>
        <v>HARINAS; TIPO: MAIZ, PRESENTACION: ENVASE X 750 GR, MATERIAL ENVASE: PAPEL, CERTICADO FORESTAL (GFS): SIN, ELEM. TRANSPORTE: SIN, MATERIAL ELEM. TRANSPORTE: SIN</v>
      </c>
      <c r="D112" s="111"/>
      <c r="E112" s="111"/>
      <c r="F112" s="111"/>
      <c r="G112" s="111"/>
      <c r="H112" s="49" t="s">
        <v>56</v>
      </c>
      <c r="I112" s="50" t="str">
        <f>'Necesidades Trimestrales'!F110</f>
        <v>PAQUETE</v>
      </c>
      <c r="J112" s="69">
        <f>'Necesidades Trimestrales'!H110</f>
        <v>115</v>
      </c>
      <c r="K112" s="51">
        <f>'Necesidades Trimestrales'!G110</f>
        <v>10</v>
      </c>
    </row>
    <row r="113" spans="1:1024" ht="38.25" customHeight="1" thickBot="1" x14ac:dyDescent="0.25">
      <c r="A113" s="8">
        <v>102</v>
      </c>
      <c r="B113" s="68" t="str">
        <f>'Necesidades Trimestrales'!B111</f>
        <v>2.1.1-5917.8</v>
      </c>
      <c r="C113" s="111" t="str">
        <f>'Necesidades Trimestrales'!E111</f>
        <v>CEREALES; TIPO: TRIGO BURGOL, PRESENTACION: ENVASE X 1 Kg</v>
      </c>
      <c r="D113" s="111"/>
      <c r="E113" s="111"/>
      <c r="F113" s="111"/>
      <c r="G113" s="111"/>
      <c r="H113" s="49" t="s">
        <v>56</v>
      </c>
      <c r="I113" s="50" t="str">
        <f>'Necesidades Trimestrales'!F111</f>
        <v>PAQUETE</v>
      </c>
      <c r="J113" s="69">
        <f>'Necesidades Trimestrales'!H111</f>
        <v>150</v>
      </c>
      <c r="K113" s="51">
        <f>'Necesidades Trimestrales'!G111</f>
        <v>100</v>
      </c>
    </row>
    <row r="114" spans="1:1024" ht="38.25" customHeight="1" thickBot="1" x14ac:dyDescent="0.25">
      <c r="A114" s="8">
        <v>103</v>
      </c>
      <c r="B114" s="68" t="str">
        <f>'Necesidades Trimestrales'!B112</f>
        <v>2.1.1-4975.2</v>
      </c>
      <c r="C114" s="111" t="str">
        <f>'Necesidades Trimestrales'!E112</f>
        <v>RICOTA; ENVASE: PAQUETE, PESO: 1 Kg, SABOR: SIN</v>
      </c>
      <c r="D114" s="111"/>
      <c r="E114" s="111"/>
      <c r="F114" s="111"/>
      <c r="G114" s="111"/>
      <c r="H114" s="49" t="s">
        <v>56</v>
      </c>
      <c r="I114" s="50" t="str">
        <f>'Necesidades Trimestrales'!F112</f>
        <v>PAQUETE</v>
      </c>
      <c r="J114" s="69">
        <f>'Necesidades Trimestrales'!H112</f>
        <v>280</v>
      </c>
      <c r="K114" s="51">
        <f>'Necesidades Trimestrales'!G112</f>
        <v>50</v>
      </c>
    </row>
    <row r="115" spans="1:1024" ht="39.75" customHeight="1" thickBot="1" x14ac:dyDescent="0.25">
      <c r="A115" s="8"/>
      <c r="B115" s="68"/>
      <c r="C115" s="111"/>
      <c r="D115" s="111"/>
      <c r="E115" s="111"/>
      <c r="F115" s="111"/>
      <c r="G115" s="111"/>
      <c r="H115" s="49"/>
      <c r="I115" s="50"/>
      <c r="J115" s="69"/>
      <c r="K115" s="51"/>
    </row>
    <row r="116" spans="1:1024" ht="20.25" customHeight="1" thickBot="1" x14ac:dyDescent="0.25">
      <c r="A116" s="109" t="s">
        <v>318</v>
      </c>
      <c r="B116" s="109"/>
      <c r="C116" s="109"/>
      <c r="D116" s="109"/>
      <c r="E116" s="109"/>
      <c r="F116" s="109"/>
      <c r="G116" s="109"/>
      <c r="H116" s="109"/>
      <c r="I116" s="109"/>
      <c r="J116" s="110">
        <f>SUMPRODUCT(J12:J115,K12:K115)</f>
        <v>5068220.25</v>
      </c>
      <c r="K116" s="110"/>
      <c r="L116"/>
      <c r="M116"/>
      <c r="N116"/>
      <c r="O116"/>
      <c r="P116"/>
      <c r="Q116"/>
      <c r="R116"/>
      <c r="S116"/>
      <c r="T116" s="105">
        <f>O116-J116</f>
        <v>-5068220.25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</row>
  </sheetData>
  <mergeCells count="126">
    <mergeCell ref="C114:G114"/>
    <mergeCell ref="C109:G109"/>
    <mergeCell ref="C110:G110"/>
    <mergeCell ref="C111:G111"/>
    <mergeCell ref="C112:G112"/>
    <mergeCell ref="C113:G113"/>
    <mergeCell ref="C104:G104"/>
    <mergeCell ref="C105:G105"/>
    <mergeCell ref="C106:G106"/>
    <mergeCell ref="C107:G107"/>
    <mergeCell ref="C108:G108"/>
    <mergeCell ref="C99:G99"/>
    <mergeCell ref="C100:G100"/>
    <mergeCell ref="C101:G101"/>
    <mergeCell ref="C102:G102"/>
    <mergeCell ref="C103:G103"/>
    <mergeCell ref="C94:G94"/>
    <mergeCell ref="C95:G95"/>
    <mergeCell ref="C96:G96"/>
    <mergeCell ref="C97:G97"/>
    <mergeCell ref="C98:G98"/>
    <mergeCell ref="C89:G89"/>
    <mergeCell ref="C90:G90"/>
    <mergeCell ref="C91:G91"/>
    <mergeCell ref="C92:G92"/>
    <mergeCell ref="C93:G93"/>
    <mergeCell ref="C84:G84"/>
    <mergeCell ref="C85:G85"/>
    <mergeCell ref="C86:G86"/>
    <mergeCell ref="C87:G87"/>
    <mergeCell ref="C88:G88"/>
    <mergeCell ref="C79:G79"/>
    <mergeCell ref="C80:G80"/>
    <mergeCell ref="C81:G81"/>
    <mergeCell ref="C82:G82"/>
    <mergeCell ref="C83:G83"/>
    <mergeCell ref="C74:G74"/>
    <mergeCell ref="C75:G75"/>
    <mergeCell ref="C76:G76"/>
    <mergeCell ref="C77:G77"/>
    <mergeCell ref="C78:G78"/>
    <mergeCell ref="C69:G69"/>
    <mergeCell ref="C70:G70"/>
    <mergeCell ref="C71:G71"/>
    <mergeCell ref="C72:G72"/>
    <mergeCell ref="C73:G73"/>
    <mergeCell ref="C64:G64"/>
    <mergeCell ref="C65:G65"/>
    <mergeCell ref="C66:G66"/>
    <mergeCell ref="C67:G67"/>
    <mergeCell ref="C68:G68"/>
    <mergeCell ref="C59:G59"/>
    <mergeCell ref="C60:G60"/>
    <mergeCell ref="C61:G61"/>
    <mergeCell ref="C62:G62"/>
    <mergeCell ref="C63:G63"/>
    <mergeCell ref="C54:G54"/>
    <mergeCell ref="C55:G55"/>
    <mergeCell ref="C56:G56"/>
    <mergeCell ref="C57:G57"/>
    <mergeCell ref="C58:G58"/>
    <mergeCell ref="C49:G49"/>
    <mergeCell ref="C50:G50"/>
    <mergeCell ref="C51:G51"/>
    <mergeCell ref="C52:G52"/>
    <mergeCell ref="C53:G53"/>
    <mergeCell ref="C44:G44"/>
    <mergeCell ref="C45:G45"/>
    <mergeCell ref="C46:G46"/>
    <mergeCell ref="C47:G47"/>
    <mergeCell ref="C48:G48"/>
    <mergeCell ref="C28:G2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16:I116"/>
    <mergeCell ref="J116:K116"/>
    <mergeCell ref="C12:G12"/>
    <mergeCell ref="C13:G13"/>
    <mergeCell ref="C14:G14"/>
    <mergeCell ref="C15:G15"/>
    <mergeCell ref="C115:G115"/>
    <mergeCell ref="C16:G16"/>
    <mergeCell ref="C17:G17"/>
    <mergeCell ref="C18:G18"/>
    <mergeCell ref="C19:G19"/>
    <mergeCell ref="C20:G20"/>
    <mergeCell ref="C21:G21"/>
    <mergeCell ref="C22:G22"/>
    <mergeCell ref="C23:G23"/>
    <mergeCell ref="C29:G29"/>
    <mergeCell ref="C30:G30"/>
    <mergeCell ref="C31:G31"/>
    <mergeCell ref="C32:G32"/>
    <mergeCell ref="C33:G33"/>
    <mergeCell ref="C24:G24"/>
    <mergeCell ref="C25:G25"/>
    <mergeCell ref="C26:G26"/>
    <mergeCell ref="C27:G2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1" zoomScale="120" zoomScaleNormal="120" workbookViewId="0">
      <selection activeCell="R23" sqref="R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5" t="s">
        <v>3</v>
      </c>
      <c r="B1" s="145"/>
      <c r="C1" s="145"/>
      <c r="D1" s="146">
        <f>'Necesidades Trimestrales'!C6</f>
        <v>2021</v>
      </c>
      <c r="E1" s="146"/>
      <c r="F1" s="10"/>
      <c r="G1" s="10"/>
      <c r="H1" s="11"/>
      <c r="I1" s="11"/>
      <c r="J1" s="11"/>
      <c r="K1" s="11"/>
      <c r="L1" s="11"/>
      <c r="M1" s="11"/>
      <c r="N1" s="11"/>
      <c r="P1" s="147" t="s">
        <v>30</v>
      </c>
      <c r="Q1" s="14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7"/>
      <c r="Q2" s="147"/>
    </row>
    <row r="4" spans="1:17" s="12" customFormat="1" ht="18" customHeight="1" thickBot="1" x14ac:dyDescent="0.25">
      <c r="A4" s="148" t="s">
        <v>31</v>
      </c>
      <c r="B4" s="148"/>
      <c r="C4" s="148"/>
      <c r="D4" s="148"/>
      <c r="E4" s="148"/>
      <c r="F4" s="148"/>
      <c r="G4" s="143" t="str">
        <f>NotaPedido!D3</f>
        <v>40 -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s="12" customFormat="1" ht="18" customHeight="1" thickBot="1" x14ac:dyDescent="0.25">
      <c r="A5" s="140" t="s">
        <v>54</v>
      </c>
      <c r="B5" s="141"/>
      <c r="C5" s="141"/>
      <c r="D5" s="141"/>
      <c r="E5" s="141"/>
      <c r="F5" s="142"/>
      <c r="G5" s="143" t="str">
        <f>NotaPedido!D4</f>
        <v>28 - MATERNIDAD PROVINCIAL 25 DE MAYO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s="12" customFormat="1" ht="18" customHeight="1" thickBot="1" x14ac:dyDescent="0.25">
      <c r="A6" s="140" t="s">
        <v>32</v>
      </c>
      <c r="B6" s="141"/>
      <c r="C6" s="141"/>
      <c r="D6" s="141"/>
      <c r="E6" s="141"/>
      <c r="F6" s="142"/>
      <c r="G6" s="143" t="str">
        <f>NotaPedido!D5</f>
        <v>269-Direccion Asistencial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s="12" customFormat="1" ht="18" customHeight="1" thickBot="1" x14ac:dyDescent="0.25">
      <c r="A7" s="140" t="s">
        <v>55</v>
      </c>
      <c r="B7" s="141"/>
      <c r="C7" s="141"/>
      <c r="D7" s="141"/>
      <c r="E7" s="141"/>
      <c r="F7" s="142"/>
      <c r="G7" s="143" t="str">
        <f>NotaPedido!D6</f>
        <v>Servicio de Nutricion y Dietoterapia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8" customHeight="1" thickBot="1" x14ac:dyDescent="0.25">
      <c r="A8" s="144" t="s">
        <v>33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">
      <c r="A9" s="134" t="s">
        <v>34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"/>
      <c r="P9" s="1"/>
      <c r="Q9" s="13"/>
    </row>
    <row r="10" spans="1:17" ht="54.75" customHeight="1" x14ac:dyDescent="0.2">
      <c r="A10" s="135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10/21,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6" t="s">
        <v>35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 x14ac:dyDescent="0.2">
      <c r="A13" s="137" t="s">
        <v>36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37</v>
      </c>
      <c r="P13" s="138"/>
      <c r="Q13" s="139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8"/>
      <c r="P14" s="138"/>
      <c r="Q14" s="139"/>
    </row>
    <row r="15" spans="1:17" ht="17.25" customHeight="1" x14ac:dyDescent="0.2">
      <c r="A15" s="70">
        <v>42</v>
      </c>
      <c r="B15" s="71"/>
      <c r="C15" s="71"/>
      <c r="D15" s="71">
        <v>2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1</v>
      </c>
      <c r="K15" s="71">
        <v>1</v>
      </c>
      <c r="L15" s="71"/>
      <c r="M15" s="71">
        <v>1</v>
      </c>
      <c r="N15" s="71" t="s">
        <v>58</v>
      </c>
      <c r="O15" s="130" t="s">
        <v>82</v>
      </c>
      <c r="P15" s="130"/>
      <c r="Q15" s="72">
        <v>5068220.25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52"/>
      <c r="I16" s="24"/>
      <c r="J16" s="24"/>
      <c r="K16" s="24"/>
      <c r="L16" s="24"/>
      <c r="M16" s="25"/>
      <c r="N16" s="53"/>
      <c r="O16" s="131"/>
      <c r="P16" s="131"/>
      <c r="Q16" s="55"/>
    </row>
    <row r="17" spans="1:19" ht="17.25" customHeight="1" x14ac:dyDescent="0.2">
      <c r="A17" s="23"/>
      <c r="B17" s="24"/>
      <c r="C17" s="24"/>
      <c r="D17" s="24"/>
      <c r="E17" s="24"/>
      <c r="F17" s="24"/>
      <c r="G17" s="24"/>
      <c r="H17" s="52"/>
      <c r="I17" s="24"/>
      <c r="J17" s="24"/>
      <c r="K17" s="24"/>
      <c r="L17" s="24"/>
      <c r="M17" s="25"/>
      <c r="N17" s="53"/>
      <c r="O17" s="132"/>
      <c r="P17" s="132"/>
      <c r="Q17" s="55"/>
      <c r="S17" s="54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52"/>
      <c r="I18" s="24"/>
      <c r="J18" s="24"/>
      <c r="K18" s="24"/>
      <c r="L18" s="24"/>
      <c r="M18" s="25"/>
      <c r="N18" s="53"/>
      <c r="O18" s="133"/>
      <c r="P18" s="125"/>
      <c r="Q18" s="55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5"/>
      <c r="P19" s="125"/>
      <c r="Q19" s="27"/>
    </row>
    <row r="20" spans="1:19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5"/>
      <c r="P20" s="125"/>
      <c r="Q20" s="27"/>
    </row>
    <row r="21" spans="1:19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26"/>
      <c r="P21" s="126"/>
      <c r="Q21" s="27"/>
      <c r="R21" s="1"/>
    </row>
    <row r="22" spans="1:19" ht="17.25" customHeight="1" thickBot="1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7"/>
      <c r="P22" s="127"/>
      <c r="Q22" s="36"/>
    </row>
    <row r="23" spans="1:19" ht="34.5" customHeight="1" thickBot="1" x14ac:dyDescent="0.25">
      <c r="A23" s="128" t="s">
        <v>319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56">
        <f>SUM(Q15:Q22)</f>
        <v>5068220.25</v>
      </c>
    </row>
    <row r="24" spans="1:19" ht="18" customHeight="1" thickBo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9" ht="17.25" customHeight="1" thickBot="1" x14ac:dyDescent="0.25">
      <c r="A25" s="120" t="s">
        <v>52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9" ht="18" customHeight="1" thickBot="1" x14ac:dyDescent="0.25">
      <c r="A26" s="124" t="str">
        <f>"Para la "&amp; NotaPedido!D8 &amp;" para ser destinados a " &amp; NotaPedido!D6 &amp;"  de la Maternidad Provincial 25 de Mayo del Ministerio de Salud."</f>
        <v>Para la Adquisición de Alimentos varios  para ser destinados a Servicio de Nutricion y Dietoterapia  de la Maternidad Provincial 25 de Mayo del Ministerio de Salud.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 spans="1:19" ht="15" customHeight="1" x14ac:dyDescent="0.2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2021-08-12T15:09:24Z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