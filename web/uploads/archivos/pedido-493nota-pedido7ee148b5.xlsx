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ompartir\COMPRAS\4TO TRIMESTRE\UDAI 2 CAMIONETAS\nueva nota\"/>
    </mc:Choice>
  </mc:AlternateContent>
  <xr:revisionPtr revIDLastSave="0" documentId="13_ncr:1_{F512358A-0C54-46DB-BD8C-CD54BE2E3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ftware" sheetId="1" r:id="rId1"/>
    <sheet name="Autor Gastar" sheetId="3" r:id="rId2"/>
  </sheets>
  <externalReferences>
    <externalReference r:id="rId3"/>
    <externalReference r:id="rId4"/>
  </externalReferences>
  <definedNames>
    <definedName name="_xlcn.WorksheetConnection_RelevamientodeHardMinisteriodeTrabajoyRRHH20base.xlsxTabla11" localSheetId="1" hidden="1">[1]!Tabla1[#Data]</definedName>
    <definedName name="_xlcn.WorksheetConnection_RelevamientodeHardMinisteriodeTrabajoyRRHH20base.xlsxTabla11" hidden="1">[2]!Tabla1[#Data]</definedName>
    <definedName name="_xlnm.Print_Area" localSheetId="1">'Autor Gastar'!$A$1:$Q$20</definedName>
    <definedName name="ORGANIGRAMA" localSheetId="1">#REF!</definedName>
    <definedName name="ORGANIGRAMA">#REF!</definedName>
    <definedName name="toners" localSheetId="1">#REF!</definedName>
    <definedName name="toner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3" l="1"/>
  <c r="I10" i="1" l="1"/>
  <c r="Q15" i="3" s="1"/>
  <c r="Q16" i="3" s="1"/>
  <c r="I11" i="1" l="1"/>
</calcChain>
</file>

<file path=xl/sharedStrings.xml><?xml version="1.0" encoding="utf-8"?>
<sst xmlns="http://schemas.openxmlformats.org/spreadsheetml/2006/main" count="67" uniqueCount="65">
  <si>
    <t>Garantia</t>
  </si>
  <si>
    <t>Mantenimiento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</si>
  <si>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</si>
  <si>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Calidad Minima esperada</t>
  </si>
  <si>
    <t>Plazos y lugares de entrega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</si>
  <si>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</si>
  <si>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</si>
  <si>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</si>
  <si>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</si>
  <si>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</si>
  <si>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</si>
  <si>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</si>
  <si>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</si>
  <si>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</si>
  <si>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EJERCICIO:</t>
  </si>
  <si>
    <t>22 - Subsecretaria de Administracion Financiera del Ministerio de Trabajo, Planificacion y Recursos Humanos</t>
  </si>
  <si>
    <t xml:space="preserve">SAF N°: </t>
  </si>
  <si>
    <t>12 -Ministerio de Trabajo, Planificacion y Recursos Humanos</t>
  </si>
  <si>
    <t>JURISDICCION:</t>
  </si>
  <si>
    <t>Pedido de Necesidades Trimestrales</t>
  </si>
  <si>
    <t>AUTORIZACION PARA GASTAR</t>
  </si>
  <si>
    <t>JURISDICCIÓN:</t>
  </si>
  <si>
    <t>SAF:</t>
  </si>
  <si>
    <t>UNIDAD EJECUTORA: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</si>
  <si>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</si>
  <si>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</si>
  <si>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</si>
  <si>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Necesidad Trimestral,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</si>
  <si>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</si>
  <si>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</si>
  <si>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</si>
  <si>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</si>
  <si>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</si>
  <si>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</si>
  <si>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</si>
  <si>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</si>
  <si>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</si>
  <si>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</si>
  <si>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</si>
  <si>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</si>
  <si>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</si>
  <si>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</si>
  <si>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</si>
  <si>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</si>
  <si>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</si>
  <si>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</si>
  <si>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</si>
  <si>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Especificidades Item N° 1:</t>
  </si>
  <si>
    <t>60 (sesenta) días</t>
  </si>
  <si>
    <t>Programas de Computación</t>
  </si>
  <si>
    <t>PERIODO</t>
  </si>
  <si>
    <t>12 - Ministerio de Trabajo, Planificación y Recursos Humanos</t>
  </si>
  <si>
    <t>22 - Subsecretaria de Administración Financiera del Ministerio de Trabajo, Planificación y Recursos Humanos</t>
  </si>
  <si>
    <t>Ministerio de Trabajo, Planificación y Recursos Humanos</t>
  </si>
  <si>
    <t>COSTO ESTIMADO: VENTISIETE MILLONES DOSCIENTOS VEINTICINCO MIL CON 00/100.-</t>
  </si>
  <si>
    <t>Adquisición de las licencias de las aplicaciones de registros de asistencia geo referenciada, compra e instalación del software de procesamiento centralizado de datos y servidor de datos, para 44.000 empleados aproximadamente Aplicaciones de registro de asistencia georeferenciadas. Software de procesamiento centralizado y Servidor Central.</t>
  </si>
  <si>
    <t>4.3.2</t>
  </si>
  <si>
    <t>VEHICULOS UTILITARIOS; TIPO: FURGON, ALTURA MAX: 1801 mm, TIPO MOTOR: NAFTERO 4 TIEMPOS, Nº CILINDROS: 4, DISPOSICION: DELANTERO EN LINEA, CILINDRADA: 1360 CM3, POTENCIA DIN.: 75 CV, POTENCIA SAE.: 75 CV, PESO P/MARCHA: 1115 Kg, PESO BRUTO ADM: SIN VALOR, ALTURA: 1801 mm, TIPO DE MOTOR: NAFTERO, POTENCIA: 75 CV, CANT. DE CILINDROS: 4</t>
  </si>
  <si>
    <t>4.3.2-215.85</t>
  </si>
  <si>
    <t>UNIDAD</t>
  </si>
  <si>
    <t>La adquisición de Dos Vehiculos destinados a oficinas moviles del rganismo ANSES-UDAI CATAMARCA. Caracteristicas Motor: 1.4 8v.</t>
  </si>
  <si>
    <t>EQUIPOS</t>
  </si>
  <si>
    <r>
      <t>Plazo de entrega</t>
    </r>
    <r>
      <rPr>
        <b/>
        <sz val="11"/>
        <rFont val="Times New Roman"/>
        <family val="1"/>
      </rPr>
      <t xml:space="preserve"> Siete (07) dias habiles. Periodo de utilización 5 años</t>
    </r>
    <r>
      <rPr>
        <sz val="11"/>
        <rFont val="Times New Roman"/>
        <family val="1"/>
      </rPr>
      <t xml:space="preserve">. 
La entrega dese efectuará en el Ministerio de Trabajo, planificación y Recurso Humanos,  Provincia de Catamarca, sito en - Av. Colon N° 960 - San Fernando del Valle de Catamarca. De 08 a 12 horas.
</t>
    </r>
  </si>
  <si>
    <t>Garantía: 2 años ó 100.000 km (lo que ocurra primero).</t>
  </si>
  <si>
    <t xml:space="preserve">El precio consignado incluye FLETE, GARANTIA, PATENTAMIENTO. Garantía: 2 años ó 100.000 km (lo que ocurra primero). Manual de informacion del vehiculo. PATENTAMIENTO sera a nombre del MINISTERIO DE TRABAJO, PLANIFICACION Y RECURSOS HUMANOS - CUIT 30-71703777-0. Cobertura de seguro obligatorio de responsabilidad civil contra terceros y terceros transportados por 60 ( sesenta ) dias contados a partir de la recepcion definitiva de los moviles.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</si>
</sst>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[$$-2C0A]\ * #,##0.00_ ;_ [$$-2C0A]\ * \-#,##0.00_ ;_ [$$-2C0A]\ * &quot;-&quot;??_ ;_ @_ "/>
    <numFmt numFmtId="165" formatCode="_-* #,##0.00&quot; €&quot;_-;\-* #,##0.00&quot; €&quot;_-;_-* \-??&quot; €&quot;_-;_-@_-"/>
    <numFmt numFmtId="166" formatCode="dd\-mm\-yy;@"/>
    <numFmt numFmtId="167" formatCode="_-[$$-2C0A]\ * #,##0.00_-;\-[$$-2C0A]\ * #,##0.00_-;_-[$$-2C0A]\ * &quot;-&quot;??_-;_-@_-"/>
    <numFmt numFmtId="168" formatCode="_(\$* #,##0.00_);_(\$* \(#,##0.00\);_(\$* \-??_);_(@_)"/>
    <numFmt numFmtId="169" formatCode="[$$-2C0A]\ #,##0.00"/>
    <numFmt numFmtId="170" formatCode="[$$-2C0A]\ #,##0.00;[$$-2C0A]&quot; -&quot;#,##0.00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  <charset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6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5" fontId="9" fillId="0" borderId="0" applyBorder="0" applyProtection="0"/>
    <xf numFmtId="0" fontId="15" fillId="0" borderId="17" applyProtection="0"/>
    <xf numFmtId="0" fontId="16" fillId="2" borderId="0" applyBorder="0" applyProtection="0"/>
    <xf numFmtId="0" fontId="2" fillId="0" borderId="0"/>
    <xf numFmtId="0" fontId="2" fillId="0" borderId="0"/>
    <xf numFmtId="0" fontId="9" fillId="0" borderId="0"/>
    <xf numFmtId="168" fontId="23" fillId="0" borderId="0" applyBorder="0" applyProtection="0"/>
    <xf numFmtId="0" fontId="1" fillId="0" borderId="0"/>
  </cellStyleXfs>
  <cellXfs count="10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left" indent="3"/>
    </xf>
    <xf numFmtId="0" fontId="4" fillId="0" borderId="5" xfId="0" applyFont="1" applyBorder="1" applyAlignment="1">
      <alignment horizontal="left" indent="3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 applyAlignment="1">
      <alignment horizontal="left" indent="3"/>
    </xf>
    <xf numFmtId="0" fontId="3" fillId="0" borderId="4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indent="3"/>
    </xf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 applyAlignment="1">
      <alignment horizontal="left" indent="3"/>
    </xf>
    <xf numFmtId="164" fontId="8" fillId="0" borderId="10" xfId="1" applyNumberFormat="1" applyFont="1" applyFill="1" applyBorder="1" applyAlignment="1" applyProtection="1">
      <alignment horizontal="right" vertical="center" wrapText="1"/>
    </xf>
    <xf numFmtId="164" fontId="8" fillId="0" borderId="11" xfId="1" applyNumberFormat="1" applyFont="1" applyFill="1" applyBorder="1" applyAlignment="1" applyProtection="1">
      <alignment horizontal="right" vertical="center" wrapText="1"/>
    </xf>
    <xf numFmtId="1" fontId="10" fillId="0" borderId="11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11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wrapText="1" indent="1"/>
    </xf>
    <xf numFmtId="3" fontId="18" fillId="0" borderId="0" xfId="0" applyNumberFormat="1" applyFont="1" applyBorder="1" applyAlignment="1"/>
    <xf numFmtId="166" fontId="17" fillId="0" borderId="0" xfId="0" applyNumberFormat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25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28" xfId="0" applyFont="1" applyBorder="1" applyAlignment="1">
      <alignment horizontal="left"/>
    </xf>
    <xf numFmtId="0" fontId="17" fillId="0" borderId="29" xfId="0" applyFont="1" applyBorder="1"/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3" xfId="0" applyFont="1" applyBorder="1" applyAlignment="1">
      <alignment horizontal="left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7" fillId="0" borderId="40" xfId="0" applyFont="1" applyFill="1" applyBorder="1" applyAlignment="1">
      <alignment horizontal="center" vertical="center"/>
    </xf>
    <xf numFmtId="167" fontId="17" fillId="0" borderId="9" xfId="7" applyNumberFormat="1" applyFont="1" applyFill="1" applyBorder="1" applyAlignment="1" applyProtection="1">
      <alignment horizontal="center" vertical="center"/>
    </xf>
    <xf numFmtId="170" fontId="17" fillId="0" borderId="0" xfId="0" applyNumberFormat="1" applyFont="1"/>
    <xf numFmtId="170" fontId="22" fillId="0" borderId="41" xfId="0" applyNumberFormat="1" applyFont="1" applyBorder="1" applyAlignment="1">
      <alignment horizontal="center" vertical="center"/>
    </xf>
    <xf numFmtId="0" fontId="4" fillId="0" borderId="8" xfId="0" applyFont="1" applyBorder="1"/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/>
    <xf numFmtId="169" fontId="3" fillId="0" borderId="0" xfId="0" applyNumberFormat="1" applyFont="1"/>
    <xf numFmtId="0" fontId="3" fillId="0" borderId="3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5" fillId="0" borderId="9" xfId="0" applyNumberFormat="1" applyFont="1" applyBorder="1"/>
    <xf numFmtId="0" fontId="11" fillId="0" borderId="44" xfId="0" applyFont="1" applyBorder="1" applyAlignment="1">
      <alignment horizontal="center" vertical="center" wrapText="1"/>
    </xf>
    <xf numFmtId="49" fontId="0" fillId="0" borderId="43" xfId="0" applyNumberFormat="1" applyBorder="1"/>
    <xf numFmtId="0" fontId="11" fillId="0" borderId="45" xfId="0" applyFont="1" applyBorder="1" applyAlignment="1">
      <alignment horizontal="center" vertical="center" wrapText="1"/>
    </xf>
    <xf numFmtId="0" fontId="0" fillId="0" borderId="43" xfId="0" applyNumberFormat="1" applyBorder="1" applyAlignment="1">
      <alignment wrapText="1"/>
    </xf>
    <xf numFmtId="0" fontId="4" fillId="0" borderId="5" xfId="0" applyFont="1" applyBorder="1"/>
    <xf numFmtId="0" fontId="14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wrapText="1" indent="1"/>
    </xf>
    <xf numFmtId="0" fontId="20" fillId="0" borderId="22" xfId="0" applyFont="1" applyBorder="1" applyAlignment="1">
      <alignment horizontal="left" wrapText="1" indent="1"/>
    </xf>
    <xf numFmtId="0" fontId="20" fillId="0" borderId="23" xfId="0" applyFont="1" applyBorder="1" applyAlignment="1">
      <alignment horizontal="left" wrapText="1" indent="1"/>
    </xf>
    <xf numFmtId="0" fontId="17" fillId="0" borderId="18" xfId="0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 vertical="center" wrapText="1"/>
    </xf>
    <xf numFmtId="0" fontId="17" fillId="0" borderId="20" xfId="0" applyFont="1" applyBorder="1"/>
    <xf numFmtId="0" fontId="20" fillId="0" borderId="20" xfId="0" applyFont="1" applyBorder="1" applyAlignment="1">
      <alignment horizontal="left" indent="1"/>
    </xf>
    <xf numFmtId="0" fontId="20" fillId="0" borderId="24" xfId="0" applyFont="1" applyBorder="1"/>
    <xf numFmtId="0" fontId="20" fillId="0" borderId="26" xfId="0" applyFont="1" applyBorder="1" applyAlignment="1">
      <alignment horizontal="left" vertical="center" wrapText="1" indent="1"/>
    </xf>
    <xf numFmtId="0" fontId="22" fillId="0" borderId="30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21" fillId="0" borderId="20" xfId="0" applyFont="1" applyBorder="1" applyAlignment="1">
      <alignment horizontal="left"/>
    </xf>
    <xf numFmtId="0" fontId="17" fillId="0" borderId="36" xfId="0" applyFont="1" applyFill="1" applyBorder="1" applyAlignment="1">
      <alignment horizontal="left" vertical="center" wrapText="1"/>
    </xf>
    <xf numFmtId="0" fontId="17" fillId="0" borderId="37" xfId="0" applyFont="1" applyFill="1" applyBorder="1" applyAlignment="1">
      <alignment horizontal="left" vertical="center" wrapText="1"/>
    </xf>
    <xf numFmtId="0" fontId="20" fillId="0" borderId="41" xfId="0" applyFont="1" applyFill="1" applyBorder="1" applyAlignment="1">
      <alignment horizontal="left" vertical="center" wrapText="1" indent="1"/>
    </xf>
    <xf numFmtId="0" fontId="18" fillId="0" borderId="41" xfId="0" applyFont="1" applyBorder="1" applyAlignment="1">
      <alignment horizontal="left" vertical="center" wrapText="1"/>
    </xf>
    <xf numFmtId="0" fontId="17" fillId="0" borderId="30" xfId="0" applyFont="1" applyBorder="1"/>
    <xf numFmtId="0" fontId="18" fillId="0" borderId="18" xfId="0" applyFont="1" applyBorder="1" applyAlignment="1">
      <alignment vertical="center" wrapText="1"/>
    </xf>
    <xf numFmtId="0" fontId="18" fillId="0" borderId="42" xfId="0" applyFont="1" applyBorder="1" applyAlignment="1">
      <alignment vertical="center" wrapText="1"/>
    </xf>
    <xf numFmtId="0" fontId="18" fillId="0" borderId="35" xfId="0" applyFont="1" applyBorder="1" applyAlignment="1">
      <alignment vertical="center" wrapText="1"/>
    </xf>
    <xf numFmtId="0" fontId="20" fillId="0" borderId="31" xfId="0" applyFont="1" applyBorder="1" applyAlignment="1">
      <alignment vertical="center" wrapText="1"/>
    </xf>
  </cellXfs>
  <cellStyles count="9">
    <cellStyle name="Encabezado 1" xfId="2" xr:uid="{00000000-0005-0000-0000-000000000000}"/>
    <cellStyle name="Moneda" xfId="1" builtinId="4"/>
    <cellStyle name="Moneda_AUTORIZACION Y NOTA DE PEDIDO" xfId="7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2 2" xfId="8" xr:uid="{00000000-0005-0000-0000-000006000000}"/>
    <cellStyle name="Normal 3" xfId="5" xr:uid="{00000000-0005-0000-0000-000007000000}"/>
    <cellStyle name="Normal 4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5" zoomScaleNormal="85" workbookViewId="0">
      <selection activeCell="C18" sqref="C18:E19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82.28515625" style="1" customWidth="1"/>
    <col min="6" max="6" width="11" style="1"/>
    <col min="7" max="7" width="12.7109375" style="1" customWidth="1"/>
    <col min="8" max="8" width="16.5703125" style="1" customWidth="1"/>
    <col min="9" max="9" width="20.42578125" style="1" customWidth="1"/>
    <col min="10" max="16384" width="11" style="1"/>
  </cols>
  <sheetData>
    <row r="2" spans="1:9" ht="27" x14ac:dyDescent="0.35">
      <c r="B2" s="64" t="s">
        <v>19</v>
      </c>
      <c r="C2" s="64"/>
      <c r="D2" s="64"/>
      <c r="E2" s="64"/>
      <c r="F2" s="64"/>
      <c r="G2" s="64"/>
      <c r="H2" s="64"/>
    </row>
    <row r="4" spans="1:9" ht="18" customHeight="1" x14ac:dyDescent="0.25">
      <c r="A4" s="65" t="s">
        <v>18</v>
      </c>
      <c r="B4" s="65"/>
      <c r="C4" s="66" t="s">
        <v>17</v>
      </c>
      <c r="D4" s="66"/>
      <c r="E4" s="66"/>
      <c r="F4" s="25"/>
      <c r="G4" s="26"/>
      <c r="H4" s="25"/>
    </row>
    <row r="5" spans="1:9" ht="27" customHeight="1" x14ac:dyDescent="0.2">
      <c r="A5" s="65" t="s">
        <v>16</v>
      </c>
      <c r="B5" s="65"/>
      <c r="C5" s="67" t="s">
        <v>15</v>
      </c>
      <c r="D5" s="67"/>
      <c r="E5" s="67"/>
      <c r="F5" s="25"/>
      <c r="G5" s="26"/>
      <c r="H5" s="25"/>
    </row>
    <row r="6" spans="1:9" ht="16.5" customHeight="1" x14ac:dyDescent="0.25">
      <c r="A6" s="65" t="s">
        <v>14</v>
      </c>
      <c r="B6" s="65"/>
      <c r="C6" s="28">
        <v>2022</v>
      </c>
      <c r="D6" s="27"/>
      <c r="E6" s="27"/>
      <c r="F6" s="25"/>
      <c r="G6" s="26"/>
      <c r="H6" s="25"/>
    </row>
    <row r="7" spans="1:9" ht="16.5" customHeight="1" x14ac:dyDescent="0.25">
      <c r="A7" s="65" t="s">
        <v>50</v>
      </c>
      <c r="B7" s="65"/>
      <c r="C7" s="28">
        <v>4</v>
      </c>
      <c r="D7" s="27"/>
      <c r="E7" s="27"/>
      <c r="F7" s="25"/>
      <c r="G7" s="26"/>
      <c r="H7" s="25"/>
    </row>
    <row r="8" spans="1:9" ht="13.5" thickBot="1" x14ac:dyDescent="0.25">
      <c r="B8" s="25"/>
      <c r="C8" s="26"/>
      <c r="D8" s="25"/>
      <c r="E8" s="25"/>
      <c r="F8" s="25"/>
      <c r="G8" s="26"/>
      <c r="H8" s="25"/>
    </row>
    <row r="9" spans="1:9" ht="39.75" thickTop="1" thickBot="1" x14ac:dyDescent="0.25">
      <c r="A9" s="24" t="s">
        <v>13</v>
      </c>
      <c r="B9" s="59" t="s">
        <v>12</v>
      </c>
      <c r="C9" s="59" t="s">
        <v>11</v>
      </c>
      <c r="D9" s="23" t="s">
        <v>10</v>
      </c>
      <c r="E9" s="61" t="s">
        <v>9</v>
      </c>
      <c r="F9" s="22" t="s">
        <v>8</v>
      </c>
      <c r="G9" s="21" t="s">
        <v>7</v>
      </c>
      <c r="H9" s="21" t="s">
        <v>6</v>
      </c>
      <c r="I9" s="21" t="s">
        <v>5</v>
      </c>
    </row>
    <row r="10" spans="1:9" ht="66.75" customHeight="1" thickBot="1" x14ac:dyDescent="0.25">
      <c r="A10" s="20">
        <v>1</v>
      </c>
      <c r="B10" s="60" t="s">
        <v>58</v>
      </c>
      <c r="C10" s="60" t="s">
        <v>61</v>
      </c>
      <c r="D10" s="19" t="s">
        <v>56</v>
      </c>
      <c r="E10" s="62" t="s">
        <v>57</v>
      </c>
      <c r="F10" s="18" t="s">
        <v>59</v>
      </c>
      <c r="G10" s="17">
        <v>2</v>
      </c>
      <c r="H10" s="16">
        <v>5200000</v>
      </c>
      <c r="I10" s="15">
        <f>G10*H10</f>
        <v>10400000</v>
      </c>
    </row>
    <row r="11" spans="1:9" ht="23.25" customHeight="1" thickBot="1" x14ac:dyDescent="0.25">
      <c r="I11" s="58">
        <f>SUM(I10:I10)</f>
        <v>10400000</v>
      </c>
    </row>
    <row r="12" spans="1:9" x14ac:dyDescent="0.2">
      <c r="B12" s="50" t="s">
        <v>47</v>
      </c>
      <c r="C12" s="13"/>
      <c r="D12" s="13"/>
      <c r="E12" s="51"/>
      <c r="F12" s="52"/>
    </row>
    <row r="13" spans="1:9" ht="15" customHeight="1" x14ac:dyDescent="0.2">
      <c r="B13" s="63"/>
      <c r="C13" s="74" t="s">
        <v>60</v>
      </c>
      <c r="D13" s="74"/>
      <c r="E13" s="75"/>
      <c r="F13" s="52"/>
    </row>
    <row r="14" spans="1:9" ht="67.5" customHeight="1" x14ac:dyDescent="0.2">
      <c r="B14" s="53"/>
      <c r="C14" s="74" t="s">
        <v>64</v>
      </c>
      <c r="D14" s="74"/>
      <c r="E14" s="75"/>
      <c r="F14" s="52"/>
      <c r="I14" s="54"/>
    </row>
    <row r="15" spans="1:9" ht="13.5" customHeight="1" thickBot="1" x14ac:dyDescent="0.25">
      <c r="B15" s="55"/>
      <c r="C15" s="56"/>
      <c r="D15" s="56"/>
      <c r="E15" s="57"/>
      <c r="F15" s="52"/>
    </row>
    <row r="16" spans="1:9" ht="25.5" customHeight="1" thickBot="1" x14ac:dyDescent="0.25"/>
    <row r="17" spans="2:5" ht="31.5" customHeight="1" x14ac:dyDescent="0.2">
      <c r="B17" s="14" t="s">
        <v>4</v>
      </c>
      <c r="C17" s="13"/>
      <c r="D17" s="13"/>
      <c r="E17" s="12"/>
    </row>
    <row r="18" spans="2:5" x14ac:dyDescent="0.2">
      <c r="B18" s="8"/>
      <c r="C18" s="71" t="s">
        <v>62</v>
      </c>
      <c r="D18" s="72"/>
      <c r="E18" s="73"/>
    </row>
    <row r="19" spans="2:5" ht="57" customHeight="1" x14ac:dyDescent="0.2">
      <c r="B19" s="8"/>
      <c r="C19" s="72"/>
      <c r="D19" s="72"/>
      <c r="E19" s="73"/>
    </row>
    <row r="20" spans="2:5" ht="18" customHeight="1" x14ac:dyDescent="0.2">
      <c r="B20" s="11" t="s">
        <v>3</v>
      </c>
      <c r="C20" s="7"/>
      <c r="D20" s="7"/>
      <c r="E20" s="6"/>
    </row>
    <row r="21" spans="2:5" ht="32.25" customHeight="1" x14ac:dyDescent="0.2">
      <c r="B21" s="8"/>
      <c r="C21" s="69" t="s">
        <v>2</v>
      </c>
      <c r="D21" s="69"/>
      <c r="E21" s="70"/>
    </row>
    <row r="22" spans="2:5" ht="36.75" customHeight="1" x14ac:dyDescent="0.2">
      <c r="B22" s="5" t="s">
        <v>1</v>
      </c>
      <c r="C22" s="10"/>
      <c r="D22" s="10"/>
      <c r="E22" s="9"/>
    </row>
    <row r="23" spans="2:5" ht="26.25" customHeight="1" x14ac:dyDescent="0.2">
      <c r="B23" s="8"/>
      <c r="C23" s="69" t="s">
        <v>48</v>
      </c>
      <c r="D23" s="69"/>
      <c r="E23" s="70"/>
    </row>
    <row r="24" spans="2:5" ht="17.25" customHeight="1" x14ac:dyDescent="0.2">
      <c r="B24" s="5" t="s">
        <v>0</v>
      </c>
      <c r="C24" s="7" t="s">
        <v>63</v>
      </c>
      <c r="D24" s="7"/>
      <c r="E24" s="6"/>
    </row>
    <row r="25" spans="2:5" ht="23.25" customHeight="1" x14ac:dyDescent="0.2">
      <c r="B25" s="5"/>
      <c r="C25" s="68"/>
      <c r="D25" s="68"/>
      <c r="E25" s="68"/>
    </row>
    <row r="26" spans="2:5" ht="13.5" thickBot="1" x14ac:dyDescent="0.25">
      <c r="B26" s="4"/>
      <c r="C26" s="3"/>
      <c r="D26" s="3"/>
      <c r="E26" s="2"/>
    </row>
  </sheetData>
  <mergeCells count="13">
    <mergeCell ref="C25:E25"/>
    <mergeCell ref="A7:B7"/>
    <mergeCell ref="C21:E21"/>
    <mergeCell ref="C23:E23"/>
    <mergeCell ref="A6:B6"/>
    <mergeCell ref="C18:E19"/>
    <mergeCell ref="C14:E14"/>
    <mergeCell ref="C13:E1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zoomScale="115" zoomScaleNormal="115" workbookViewId="0">
      <selection activeCell="V16" sqref="V16"/>
    </sheetView>
  </sheetViews>
  <sheetFormatPr baseColWidth="10" defaultColWidth="11" defaultRowHeight="13.5" x14ac:dyDescent="0.25"/>
  <cols>
    <col min="1" max="5" width="4.42578125" style="31" customWidth="1"/>
    <col min="6" max="6" width="5.85546875" style="31" customWidth="1"/>
    <col min="7" max="7" width="4.42578125" style="32" customWidth="1"/>
    <col min="8" max="14" width="4.42578125" style="31" customWidth="1"/>
    <col min="15" max="16" width="14.85546875" style="31" customWidth="1"/>
    <col min="17" max="17" width="16.7109375" style="31" customWidth="1"/>
    <col min="18" max="18" width="11" style="31"/>
    <col min="19" max="19" width="11.7109375" style="31" bestFit="1" customWidth="1"/>
    <col min="20" max="16384" width="11" style="31"/>
  </cols>
  <sheetData>
    <row r="1" spans="1:20" ht="15.75" customHeight="1" thickBot="1" x14ac:dyDescent="0.3">
      <c r="A1" s="82" t="s">
        <v>14</v>
      </c>
      <c r="B1" s="82"/>
      <c r="C1" s="82"/>
      <c r="D1" s="83">
        <v>2022</v>
      </c>
      <c r="E1" s="83"/>
      <c r="F1" s="29"/>
      <c r="G1" s="29"/>
      <c r="H1" s="30"/>
      <c r="I1" s="30"/>
      <c r="J1" s="30"/>
      <c r="K1" s="30"/>
      <c r="L1" s="30"/>
      <c r="M1" s="30"/>
      <c r="N1" s="30"/>
      <c r="P1" s="84" t="s">
        <v>20</v>
      </c>
      <c r="Q1" s="84"/>
    </row>
    <row r="2" spans="1:20" ht="15.75" customHeight="1" thickBot="1" x14ac:dyDescent="0.3">
      <c r="H2" s="30"/>
      <c r="I2" s="30"/>
      <c r="J2" s="30"/>
      <c r="K2" s="30"/>
      <c r="L2" s="30"/>
      <c r="M2" s="30"/>
      <c r="N2" s="30"/>
      <c r="P2" s="84"/>
      <c r="Q2" s="84"/>
    </row>
    <row r="4" spans="1:20" ht="18" customHeight="1" thickBot="1" x14ac:dyDescent="0.35">
      <c r="A4" s="85" t="s">
        <v>21</v>
      </c>
      <c r="B4" s="85"/>
      <c r="C4" s="85"/>
      <c r="D4" s="85"/>
      <c r="E4" s="85"/>
      <c r="F4" s="85"/>
      <c r="G4" s="86" t="s">
        <v>51</v>
      </c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20" ht="35.25" customHeight="1" thickBot="1" x14ac:dyDescent="0.35">
      <c r="A5" s="76" t="s">
        <v>22</v>
      </c>
      <c r="B5" s="77"/>
      <c r="C5" s="77"/>
      <c r="D5" s="77"/>
      <c r="E5" s="77"/>
      <c r="F5" s="78"/>
      <c r="G5" s="79" t="s">
        <v>52</v>
      </c>
      <c r="H5" s="80"/>
      <c r="I5" s="80"/>
      <c r="J5" s="80"/>
      <c r="K5" s="80"/>
      <c r="L5" s="80"/>
      <c r="M5" s="80"/>
      <c r="N5" s="80"/>
      <c r="O5" s="80"/>
      <c r="P5" s="80"/>
      <c r="Q5" s="81"/>
    </row>
    <row r="6" spans="1:20" ht="18" customHeight="1" thickBot="1" x14ac:dyDescent="0.35">
      <c r="A6" s="76" t="s">
        <v>23</v>
      </c>
      <c r="B6" s="77"/>
      <c r="C6" s="77"/>
      <c r="D6" s="77"/>
      <c r="E6" s="77"/>
      <c r="F6" s="78"/>
      <c r="G6" s="86" t="s">
        <v>53</v>
      </c>
      <c r="H6" s="86"/>
      <c r="I6" s="86"/>
      <c r="J6" s="86"/>
      <c r="K6" s="86"/>
      <c r="L6" s="86"/>
      <c r="M6" s="86"/>
      <c r="N6" s="86"/>
      <c r="O6" s="86"/>
      <c r="P6" s="86"/>
      <c r="Q6" s="86"/>
    </row>
    <row r="7" spans="1:20" ht="18" customHeight="1" thickBot="1" x14ac:dyDescent="0.35">
      <c r="A7" s="76" t="s">
        <v>24</v>
      </c>
      <c r="B7" s="77"/>
      <c r="C7" s="77"/>
      <c r="D7" s="77"/>
      <c r="E7" s="77"/>
      <c r="F7" s="78"/>
      <c r="G7" s="86" t="str">
        <f>+G6</f>
        <v>Ministerio de Trabajo, Planificación y Recursos Humanos</v>
      </c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20" ht="18" customHeight="1" thickBot="1" x14ac:dyDescent="0.3">
      <c r="A8" s="93" t="s">
        <v>25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</row>
    <row r="9" spans="1:20" ht="18" customHeight="1" x14ac:dyDescent="0.3">
      <c r="A9" s="87" t="s">
        <v>26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33"/>
      <c r="P9" s="33"/>
      <c r="Q9" s="34"/>
    </row>
    <row r="10" spans="1:20" ht="65.25" customHeight="1" x14ac:dyDescent="0.25">
      <c r="A10" s="88" t="s">
        <v>27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</row>
    <row r="11" spans="1:20" ht="9" customHeight="1" thickBot="1" x14ac:dyDescent="0.3">
      <c r="A11" s="35"/>
      <c r="B11" s="36"/>
      <c r="C11" s="36"/>
      <c r="D11" s="36"/>
      <c r="E11" s="36"/>
      <c r="F11" s="36"/>
      <c r="G11" s="37"/>
      <c r="H11" s="36"/>
      <c r="I11" s="36"/>
      <c r="J11" s="36"/>
      <c r="K11" s="36"/>
      <c r="L11" s="36"/>
      <c r="M11" s="36"/>
      <c r="N11" s="36"/>
      <c r="O11" s="36"/>
      <c r="P11" s="36"/>
      <c r="Q11" s="38"/>
    </row>
    <row r="12" spans="1:20" ht="15.75" customHeight="1" thickBot="1" x14ac:dyDescent="0.3">
      <c r="A12" s="89" t="s">
        <v>28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</row>
    <row r="13" spans="1:20" ht="15.75" customHeight="1" thickBot="1" x14ac:dyDescent="0.3">
      <c r="A13" s="89" t="s">
        <v>29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90" t="s">
        <v>30</v>
      </c>
      <c r="P13" s="90"/>
      <c r="Q13" s="92" t="s">
        <v>31</v>
      </c>
    </row>
    <row r="14" spans="1:20" ht="15.75" customHeight="1" thickBot="1" x14ac:dyDescent="0.3">
      <c r="A14" s="39" t="s">
        <v>32</v>
      </c>
      <c r="B14" s="40" t="s">
        <v>33</v>
      </c>
      <c r="C14" s="40" t="s">
        <v>34</v>
      </c>
      <c r="D14" s="40" t="s">
        <v>35</v>
      </c>
      <c r="E14" s="40" t="s">
        <v>36</v>
      </c>
      <c r="F14" s="40" t="s">
        <v>37</v>
      </c>
      <c r="G14" s="41" t="s">
        <v>38</v>
      </c>
      <c r="H14" s="40" t="s">
        <v>39</v>
      </c>
      <c r="I14" s="40" t="s">
        <v>40</v>
      </c>
      <c r="J14" s="40" t="s">
        <v>41</v>
      </c>
      <c r="K14" s="40" t="s">
        <v>41</v>
      </c>
      <c r="L14" s="40" t="s">
        <v>42</v>
      </c>
      <c r="M14" s="42" t="s">
        <v>43</v>
      </c>
      <c r="N14" s="43" t="s">
        <v>44</v>
      </c>
      <c r="O14" s="91"/>
      <c r="P14" s="90"/>
      <c r="Q14" s="92"/>
    </row>
    <row r="15" spans="1:20" ht="17.25" customHeight="1" thickBot="1" x14ac:dyDescent="0.3">
      <c r="A15" s="44">
        <v>14</v>
      </c>
      <c r="B15" s="45">
        <v>0</v>
      </c>
      <c r="C15" s="45">
        <v>0</v>
      </c>
      <c r="D15" s="45">
        <v>1</v>
      </c>
      <c r="E15" s="45">
        <v>0</v>
      </c>
      <c r="F15" s="45">
        <v>4901</v>
      </c>
      <c r="G15" s="45">
        <v>3</v>
      </c>
      <c r="H15" s="45">
        <v>6</v>
      </c>
      <c r="I15" s="45">
        <v>4</v>
      </c>
      <c r="J15" s="45">
        <v>8</v>
      </c>
      <c r="K15" s="45">
        <v>1</v>
      </c>
      <c r="L15" s="45">
        <v>0</v>
      </c>
      <c r="M15" s="46">
        <v>1</v>
      </c>
      <c r="N15" s="45" t="s">
        <v>45</v>
      </c>
      <c r="O15" s="94" t="s">
        <v>49</v>
      </c>
      <c r="P15" s="95"/>
      <c r="Q15" s="47">
        <f>+software!I10</f>
        <v>10400000</v>
      </c>
    </row>
    <row r="16" spans="1:20" ht="28.5" customHeight="1" thickBot="1" x14ac:dyDescent="0.3">
      <c r="A16" s="97" t="s">
        <v>54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49">
        <f>+Q15</f>
        <v>10400000</v>
      </c>
      <c r="S16" s="48"/>
      <c r="T16" s="48"/>
    </row>
    <row r="17" spans="1:17" ht="18" customHeight="1" thickBot="1" x14ac:dyDescent="0.3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</row>
    <row r="18" spans="1:17" ht="17.25" customHeight="1" thickBot="1" x14ac:dyDescent="0.3">
      <c r="A18" s="99" t="s">
        <v>46</v>
      </c>
      <c r="B18" s="100"/>
      <c r="C18" s="100"/>
      <c r="D18" s="100"/>
      <c r="E18" s="100"/>
      <c r="F18" s="10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</row>
    <row r="19" spans="1:17" ht="26.25" customHeight="1" thickBot="1" x14ac:dyDescent="0.3">
      <c r="A19" s="96" t="s">
        <v>55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</row>
    <row r="20" spans="1:17" ht="47.25" customHeight="1" thickBot="1" x14ac:dyDescent="0.3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</sheetData>
  <mergeCells count="24">
    <mergeCell ref="O15:P15"/>
    <mergeCell ref="A19:Q20"/>
    <mergeCell ref="A16:P16"/>
    <mergeCell ref="A17:Q17"/>
    <mergeCell ref="A18:F18"/>
    <mergeCell ref="G18:Q18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software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usuario</cp:lastModifiedBy>
  <dcterms:created xsi:type="dcterms:W3CDTF">2022-06-23T12:01:14Z</dcterms:created>
  <dcterms:modified xsi:type="dcterms:W3CDTF">2022-09-19T18:38:31Z</dcterms:modified>
</cp:coreProperties>
</file>