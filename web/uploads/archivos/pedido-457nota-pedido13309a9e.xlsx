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Trimestrales'!$A$9:$I$41</definedName>
    <definedName name="_xlnm.Print_Area" localSheetId="1">' NotaPedido'!$A$1:$K$45</definedName>
    <definedName name="_xlnm.Print_Area" localSheetId="2">'Autor Gastar'!$A$1:$Q$25</definedName>
    <definedName name="_xlnm.Print_Area" localSheetId="0">'Necesidades Trimestrales'!$E$9:$E$41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5" i="2" l="1"/>
  <c r="I35" i="1" l="1"/>
  <c r="I36" i="1"/>
  <c r="I37" i="1"/>
  <c r="I38" i="1"/>
  <c r="I39" i="1"/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0" i="1"/>
  <c r="I29" i="1"/>
  <c r="I28" i="1"/>
  <c r="I27" i="1"/>
  <c r="I26" i="1"/>
  <c r="I25" i="1"/>
  <c r="I24" i="1"/>
  <c r="I34" i="1"/>
  <c r="I33" i="1"/>
  <c r="I32" i="1"/>
  <c r="I31" i="1"/>
  <c r="I40" i="1"/>
  <c r="I42" i="1"/>
  <c r="I41" i="1" l="1"/>
  <c r="A10" i="3" l="1"/>
  <c r="G6" i="3" l="1"/>
  <c r="G7" i="3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<sst xmlns="http://schemas.openxmlformats.org/spreadsheetml/2006/main" count="271" uniqueCount="105">
  <si>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</si>
  <si>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</si>
  <si>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</si>
  <si>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</si>
  <si>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</si>
  <si>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</si>
  <si>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</si>
  <si>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</si>
  <si>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</si>
  <si>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</si>
  <si>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</si>
  <si>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</si>
  <si>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</si>
  <si>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</si>
  <si>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</si>
  <si>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</si>
  <si>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</si>
  <si>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</si>
  <si>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</si>
  <si>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</si>
  <si>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</si>
  <si>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</si>
  <si>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</si>
  <si>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</si>
  <si>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</si>
  <si>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</si>
  <si>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</si>
  <si>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</si>
  <si>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</si>
  <si>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</si>
  <si>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</si>
  <si>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</si>
  <si>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</si>
  <si>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</si>
  <si>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</si>
  <si>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</si>
  <si>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</si>
  <si>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</si>
  <si>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</si>
  <si>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</si>
  <si>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</si>
  <si>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</si>
  <si>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</si>
  <si>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</si>
  <si>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</si>
  <si>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</si>
  <si>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</si>
  <si>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</si>
  <si>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</si>
  <si>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</si>
  <si>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</si>
  <si>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</si>
  <si>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024 - Hospital Interzonal de Niños</t>
  </si>
  <si>
    <t>040 - Ministerio de Salud</t>
  </si>
  <si>
    <t>NO</t>
  </si>
  <si>
    <t>PROD. MEDICO/FARMACEUTICOS/LAB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</si>
  <si>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</si>
  <si>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</si>
  <si>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</si>
  <si>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</si>
  <si>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t>Especificidades Item N° 1:</t>
  </si>
  <si>
    <t>UNIDAD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</si>
  <si>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</si>
  <si>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Servicio de Farmacia</t>
  </si>
  <si>
    <t>Productos Farmaceuticos y Medicinales</t>
  </si>
  <si>
    <t>1.1</t>
  </si>
  <si>
    <t>ALGODÓN  x 500 GRS.TIPO DONCELLA</t>
  </si>
  <si>
    <t>APO ADHESIVO 10 X 12  TIPO TEGADERM</t>
  </si>
  <si>
    <t>APO ADHESIVO 6 X 7 TIPO TEGADERM</t>
  </si>
  <si>
    <t>BOTAS ALTAS DESCARTABLES DE 30 GRAMOS CON TIRA EL PAR</t>
  </si>
  <si>
    <t>CAMISOLINES DES. SMS CON MANGAS Y PUÑO DE 1,40 MTS. DE LARGO, 30 GRS. COLOR AZUL</t>
  </si>
  <si>
    <t>CANULAS NASALES PARA OXIGENOTERAPIA -  ADULTOS</t>
  </si>
  <si>
    <t>CANULAS NASALES PARA OXIGENOTERAPIA - NEONATALES</t>
  </si>
  <si>
    <t>CANULAS NASALES PARA OXIGENOTERAPIA - PEDIATRICOS</t>
  </si>
  <si>
    <t>CATETER INTRAVENOSO Nº 22 TIPO HOSPIRA/BD</t>
  </si>
  <si>
    <t>CATETER INTRAVENOSO Nº 24 TIPO HOSPIRA/BD</t>
  </si>
  <si>
    <t>CLORHEXIDINA 2 % SOLUCION x 250 ml.</t>
  </si>
  <si>
    <t>CLORHEXIDINA 4% JABON x 500 ML CON VALVULA DISPENSADORA TIPO NOVARA</t>
  </si>
  <si>
    <t>ELECTRODOS DESCARTABLES ADULTO TIPO 3M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</si>
  <si>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</si>
  <si>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</si>
  <si>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</si>
  <si>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</si>
  <si>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</si>
  <si>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HILO DE SUTURA TIPO VICRYL N2-0 CODIGO J317 CON AGUJA</t>
  </si>
  <si>
    <t>LLAVE 3 VIAS ESTERIL 360° LUERLOCK C/PROLONG. 15CM</t>
  </si>
  <si>
    <t>LLAVE 3 VIAS ESTERIL 360° LUERLOCK C/PROLONG. 30 CM</t>
  </si>
  <si>
    <t>LLAVE 3 VIAS ESTERIL 360° LUERLOCK C/PROLONG.50 CM</t>
  </si>
  <si>
    <t>SET DE VIA CENTRAL SIMPLE LUMEN VIA 7 FRENCH TIPO ARROW</t>
  </si>
  <si>
    <t>SONDA K30 CON REGULADOR</t>
  </si>
  <si>
    <t>SONDA NASOGASTRICA  K30</t>
  </si>
  <si>
    <t>SONDA NASOGASTRICA  K31</t>
  </si>
  <si>
    <t>SONDA NASOGASTRICA K 33</t>
  </si>
  <si>
    <t>SONDA NASOGASTRICA K 35</t>
  </si>
  <si>
    <t>SONDA P/ASPIRACION MUCUS T/K29P C/REGULADOR</t>
  </si>
  <si>
    <t>SONDA P/ASPIRACION MUCUS T/K31P C/REG.</t>
  </si>
  <si>
    <t>TELA ADHESIVA 5 MM X 9,00 MTS TIPO ADHESUR</t>
  </si>
  <si>
    <t>TELA ADHESIVA HIPOALERGENICA MICROPORE 2,5 CM TIPO 3 M</t>
  </si>
  <si>
    <t>TELA ADHESIVA HIPOALERGENICA TRANSPORE 2,5 CM TIPO 3 M</t>
  </si>
  <si>
    <t xml:space="preserve">UNIDAD </t>
  </si>
  <si>
    <t xml:space="preserve">PARES </t>
  </si>
  <si>
    <t>542/2020</t>
  </si>
  <si>
    <t>Adquisición de Descartables</t>
  </si>
  <si>
    <t>Para la adquisición de Descartables destinados al servico de Farmacia del Hospital Interzonal de Niños Eva Peron, para el normal funcionamiento del organismo.</t>
  </si>
  <si>
    <t>TOTAL DE PESOS: TRES MILLONES SETECIENTOS CINCUENTA Y NUEVE MIL QUINIENTOS CUARENTA Y CUATRO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</si>
</sst>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</cellStyleXfs>
  <cellXfs count="13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0" fillId="0" borderId="41" xfId="3" applyNumberFormat="1" applyFont="1" applyBorder="1" applyAlignment="1" applyProtection="1">
      <alignment horizontal="center" vertical="center"/>
    </xf>
    <xf numFmtId="167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0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7" fontId="15" fillId="0" borderId="0" xfId="0" applyNumberFormat="1" applyFont="1"/>
    <xf numFmtId="0" fontId="19" fillId="0" borderId="46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168" fontId="15" fillId="0" borderId="0" xfId="0" applyNumberFormat="1" applyFont="1"/>
    <xf numFmtId="0" fontId="20" fillId="0" borderId="5" xfId="0" applyFont="1" applyBorder="1" applyAlignment="1">
      <alignment horizontal="left" indent="3"/>
    </xf>
    <xf numFmtId="0" fontId="20" fillId="0" borderId="8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left" indent="3"/>
    </xf>
    <xf numFmtId="0" fontId="15" fillId="0" borderId="49" xfId="0" applyFont="1" applyBorder="1" applyAlignment="1">
      <alignment horizontal="center" vertical="center"/>
    </xf>
    <xf numFmtId="0" fontId="14" fillId="0" borderId="3" xfId="0" applyFont="1" applyBorder="1"/>
    <xf numFmtId="0" fontId="18" fillId="0" borderId="3" xfId="0" applyFont="1" applyBorder="1" applyAlignment="1">
      <alignment horizontal="center" vertical="center" wrapText="1"/>
    </xf>
    <xf numFmtId="167" fontId="15" fillId="4" borderId="4" xfId="1" applyNumberFormat="1" applyFont="1" applyFill="1" applyBorder="1" applyAlignment="1" applyProtection="1">
      <alignment horizontal="right" vertical="center" wrapText="1"/>
    </xf>
    <xf numFmtId="0" fontId="6" fillId="0" borderId="14" xfId="0" applyFont="1" applyFill="1" applyBorder="1" applyAlignment="1">
      <alignment horizontal="center" vertical="center"/>
    </xf>
    <xf numFmtId="0" fontId="22" fillId="0" borderId="52" xfId="0" applyFont="1" applyBorder="1" applyAlignment="1">
      <alignment vertical="center" wrapText="1"/>
    </xf>
    <xf numFmtId="0" fontId="22" fillId="0" borderId="52" xfId="0" applyFont="1" applyBorder="1" applyAlignment="1">
      <alignment horizontal="left" vertical="center" wrapText="1"/>
    </xf>
    <xf numFmtId="3" fontId="23" fillId="0" borderId="52" xfId="0" applyNumberFormat="1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164" fontId="0" fillId="0" borderId="52" xfId="0" applyNumberFormat="1" applyBorder="1" applyAlignment="1">
      <alignment horizontal="center" vertical="center"/>
    </xf>
    <xf numFmtId="0" fontId="0" fillId="0" borderId="52" xfId="0" applyFill="1" applyBorder="1" applyAlignment="1">
      <alignment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vertical="center"/>
    </xf>
    <xf numFmtId="0" fontId="4" fillId="4" borderId="52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22" fillId="0" borderId="57" xfId="0" applyFont="1" applyBorder="1" applyAlignment="1">
      <alignment horizontal="left" vertical="center" wrapText="1"/>
    </xf>
    <xf numFmtId="0" fontId="22" fillId="0" borderId="58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 indent="1"/>
    </xf>
    <xf numFmtId="168" fontId="7" fillId="3" borderId="56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55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7"/>
  <sheetViews>
    <sheetView tabSelected="1" zoomScale="93" zoomScaleNormal="93" workbookViewId="0">
      <selection activeCell="C5" sqref="C5:E5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96.28515625" style="31" customWidth="1"/>
    <col min="6" max="6" width="11" style="31"/>
    <col min="7" max="7" width="12.140625" style="31" customWidth="1"/>
    <col min="8" max="8" width="13.85546875" style="31" customWidth="1"/>
    <col min="9" max="9" width="18.5703125" style="31" customWidth="1"/>
    <col min="10" max="11" width="11" style="31"/>
    <col min="12" max="12" width="13.140625" style="31" customWidth="1"/>
    <col min="13" max="16384" width="11" style="31"/>
  </cols>
  <sheetData>
    <row r="2" spans="1:10" ht="27" x14ac:dyDescent="0.35">
      <c r="B2" s="87" t="s">
        <v>0</v>
      </c>
      <c r="C2" s="87"/>
      <c r="D2" s="87"/>
      <c r="E2" s="87"/>
      <c r="F2" s="87"/>
      <c r="G2" s="87"/>
      <c r="H2" s="87"/>
    </row>
    <row r="3" spans="1:10" ht="12" customHeight="1" x14ac:dyDescent="0.2"/>
    <row r="4" spans="1:10" ht="18" customHeight="1" x14ac:dyDescent="0.25">
      <c r="A4" s="84" t="s">
        <v>1</v>
      </c>
      <c r="B4" s="84"/>
      <c r="C4" s="88" t="s">
        <v>53</v>
      </c>
      <c r="D4" s="88"/>
      <c r="E4" s="88"/>
      <c r="F4" s="32"/>
      <c r="G4" s="33"/>
      <c r="H4" s="32"/>
    </row>
    <row r="5" spans="1:10" ht="18" customHeight="1" x14ac:dyDescent="0.25">
      <c r="A5" s="84" t="s">
        <v>2</v>
      </c>
      <c r="B5" s="84"/>
      <c r="C5" s="88" t="s">
        <v>52</v>
      </c>
      <c r="D5" s="88"/>
      <c r="E5" s="88"/>
      <c r="F5" s="32"/>
      <c r="G5" s="33"/>
      <c r="H5" s="32"/>
    </row>
    <row r="6" spans="1:10" ht="16.5" customHeight="1" x14ac:dyDescent="0.25">
      <c r="A6" s="84" t="s">
        <v>3</v>
      </c>
      <c r="B6" s="84"/>
      <c r="C6" s="54">
        <v>2020</v>
      </c>
      <c r="D6" s="55"/>
      <c r="E6" s="55"/>
      <c r="F6" s="32"/>
      <c r="G6" s="33"/>
      <c r="H6" s="32"/>
    </row>
    <row r="7" spans="1:10" ht="16.5" customHeight="1" x14ac:dyDescent="0.25">
      <c r="A7" s="84" t="s">
        <v>4</v>
      </c>
      <c r="B7" s="84"/>
      <c r="C7" s="54">
        <v>4</v>
      </c>
      <c r="D7" s="55"/>
      <c r="E7" s="55"/>
      <c r="F7" s="32"/>
      <c r="G7" s="33"/>
      <c r="H7" s="32"/>
    </row>
    <row r="8" spans="1:10" ht="13.5" thickBot="1" x14ac:dyDescent="0.25">
      <c r="B8" s="32"/>
      <c r="C8" s="33"/>
      <c r="D8" s="32"/>
      <c r="E8" s="32"/>
      <c r="F8" s="32"/>
      <c r="G8" s="33"/>
      <c r="H8" s="32"/>
      <c r="J8" s="63"/>
    </row>
    <row r="9" spans="1:10" ht="39.75" thickTop="1" thickBot="1" x14ac:dyDescent="0.25">
      <c r="A9" s="34" t="s">
        <v>5</v>
      </c>
      <c r="B9" s="34" t="s">
        <v>6</v>
      </c>
      <c r="C9" s="34" t="s">
        <v>7</v>
      </c>
      <c r="D9" s="56" t="s">
        <v>8</v>
      </c>
      <c r="E9" s="57" t="s">
        <v>9</v>
      </c>
      <c r="F9" s="46" t="s">
        <v>10</v>
      </c>
      <c r="G9" s="34" t="s">
        <v>11</v>
      </c>
      <c r="H9" s="34" t="s">
        <v>12</v>
      </c>
      <c r="I9" s="34" t="s">
        <v>13</v>
      </c>
    </row>
    <row r="10" spans="1:10" ht="16.5" thickBot="1" x14ac:dyDescent="0.25">
      <c r="A10" s="70">
        <v>1</v>
      </c>
      <c r="B10" s="71"/>
      <c r="C10" s="71" t="s">
        <v>55</v>
      </c>
      <c r="D10" s="72">
        <v>295</v>
      </c>
      <c r="E10" s="75" t="s">
        <v>66</v>
      </c>
      <c r="F10" s="77" t="s">
        <v>61</v>
      </c>
      <c r="G10" s="78">
        <v>1000</v>
      </c>
      <c r="H10" s="79">
        <v>348</v>
      </c>
      <c r="I10" s="73">
        <f t="shared" ref="I10:I34" si="0">+G10*H10</f>
        <v>348000</v>
      </c>
    </row>
    <row r="11" spans="1:10" ht="16.5" thickBot="1" x14ac:dyDescent="0.25">
      <c r="A11" s="70">
        <v>2</v>
      </c>
      <c r="B11" s="71"/>
      <c r="C11" s="71" t="s">
        <v>55</v>
      </c>
      <c r="D11" s="72">
        <v>295</v>
      </c>
      <c r="E11" s="76" t="s">
        <v>67</v>
      </c>
      <c r="F11" s="77" t="s">
        <v>61</v>
      </c>
      <c r="G11" s="78">
        <v>200</v>
      </c>
      <c r="H11" s="79">
        <v>105</v>
      </c>
      <c r="I11" s="73">
        <f t="shared" si="0"/>
        <v>21000</v>
      </c>
    </row>
    <row r="12" spans="1:10" ht="16.5" thickBot="1" x14ac:dyDescent="0.25">
      <c r="A12" s="70">
        <v>3</v>
      </c>
      <c r="B12" s="71"/>
      <c r="C12" s="71" t="s">
        <v>55</v>
      </c>
      <c r="D12" s="72">
        <v>295</v>
      </c>
      <c r="E12" s="76" t="s">
        <v>68</v>
      </c>
      <c r="F12" s="77" t="s">
        <v>99</v>
      </c>
      <c r="G12" s="78">
        <v>100</v>
      </c>
      <c r="H12" s="79">
        <v>125</v>
      </c>
      <c r="I12" s="73">
        <f t="shared" si="0"/>
        <v>12500</v>
      </c>
    </row>
    <row r="13" spans="1:10" ht="16.5" thickBot="1" x14ac:dyDescent="0.25">
      <c r="A13" s="70">
        <v>4</v>
      </c>
      <c r="B13" s="71"/>
      <c r="C13" s="71" t="s">
        <v>55</v>
      </c>
      <c r="D13" s="72">
        <v>295</v>
      </c>
      <c r="E13" s="75" t="s">
        <v>69</v>
      </c>
      <c r="F13" s="77" t="s">
        <v>100</v>
      </c>
      <c r="G13" s="78">
        <v>3000</v>
      </c>
      <c r="H13" s="79">
        <v>6.9</v>
      </c>
      <c r="I13" s="73">
        <f t="shared" si="0"/>
        <v>20700</v>
      </c>
    </row>
    <row r="14" spans="1:10" ht="16.5" thickBot="1" x14ac:dyDescent="0.25">
      <c r="A14" s="70">
        <v>5</v>
      </c>
      <c r="B14" s="71"/>
      <c r="C14" s="71" t="s">
        <v>55</v>
      </c>
      <c r="D14" s="72">
        <v>295</v>
      </c>
      <c r="E14" s="75" t="s">
        <v>70</v>
      </c>
      <c r="F14" s="77" t="s">
        <v>61</v>
      </c>
      <c r="G14" s="78">
        <v>1000</v>
      </c>
      <c r="H14" s="79">
        <v>49</v>
      </c>
      <c r="I14" s="73">
        <f t="shared" si="0"/>
        <v>49000</v>
      </c>
    </row>
    <row r="15" spans="1:10" ht="16.5" thickBot="1" x14ac:dyDescent="0.25">
      <c r="A15" s="70">
        <v>6</v>
      </c>
      <c r="B15" s="71"/>
      <c r="C15" s="71" t="s">
        <v>55</v>
      </c>
      <c r="D15" s="72">
        <v>295</v>
      </c>
      <c r="E15" s="75" t="s">
        <v>71</v>
      </c>
      <c r="F15" s="77" t="s">
        <v>61</v>
      </c>
      <c r="G15" s="78">
        <v>100</v>
      </c>
      <c r="H15" s="79">
        <v>19</v>
      </c>
      <c r="I15" s="73">
        <f t="shared" si="0"/>
        <v>1900</v>
      </c>
    </row>
    <row r="16" spans="1:10" ht="16.5" thickBot="1" x14ac:dyDescent="0.25">
      <c r="A16" s="70">
        <v>7</v>
      </c>
      <c r="B16" s="71"/>
      <c r="C16" s="71" t="s">
        <v>55</v>
      </c>
      <c r="D16" s="72">
        <v>295</v>
      </c>
      <c r="E16" s="75" t="s">
        <v>72</v>
      </c>
      <c r="F16" s="77" t="s">
        <v>99</v>
      </c>
      <c r="G16" s="78">
        <v>300</v>
      </c>
      <c r="H16" s="79">
        <v>22</v>
      </c>
      <c r="I16" s="73">
        <f t="shared" si="0"/>
        <v>6600</v>
      </c>
    </row>
    <row r="17" spans="1:9" ht="16.5" thickBot="1" x14ac:dyDescent="0.25">
      <c r="A17" s="70">
        <v>8</v>
      </c>
      <c r="B17" s="71"/>
      <c r="C17" s="71" t="s">
        <v>55</v>
      </c>
      <c r="D17" s="72">
        <v>295</v>
      </c>
      <c r="E17" s="75" t="s">
        <v>73</v>
      </c>
      <c r="F17" s="77" t="s">
        <v>61</v>
      </c>
      <c r="G17" s="78">
        <v>300</v>
      </c>
      <c r="H17" s="79">
        <v>23</v>
      </c>
      <c r="I17" s="73">
        <f t="shared" si="0"/>
        <v>6900</v>
      </c>
    </row>
    <row r="18" spans="1:9" ht="16.5" thickBot="1" x14ac:dyDescent="0.25">
      <c r="A18" s="70">
        <v>9</v>
      </c>
      <c r="B18" s="71"/>
      <c r="C18" s="71" t="s">
        <v>55</v>
      </c>
      <c r="D18" s="72">
        <v>295</v>
      </c>
      <c r="E18" s="75" t="s">
        <v>74</v>
      </c>
      <c r="F18" s="77" t="s">
        <v>61</v>
      </c>
      <c r="G18" s="78">
        <v>1000</v>
      </c>
      <c r="H18" s="79">
        <v>34.49</v>
      </c>
      <c r="I18" s="73">
        <f t="shared" si="0"/>
        <v>34490</v>
      </c>
    </row>
    <row r="19" spans="1:9" ht="16.5" thickBot="1" x14ac:dyDescent="0.25">
      <c r="A19" s="70">
        <v>10</v>
      </c>
      <c r="B19" s="71"/>
      <c r="C19" s="71" t="s">
        <v>55</v>
      </c>
      <c r="D19" s="72">
        <v>295</v>
      </c>
      <c r="E19" s="75" t="s">
        <v>75</v>
      </c>
      <c r="F19" s="77" t="s">
        <v>61</v>
      </c>
      <c r="G19" s="78">
        <v>1000</v>
      </c>
      <c r="H19" s="79">
        <v>37.75</v>
      </c>
      <c r="I19" s="73">
        <f t="shared" si="0"/>
        <v>37750</v>
      </c>
    </row>
    <row r="20" spans="1:9" ht="16.5" thickBot="1" x14ac:dyDescent="0.25">
      <c r="A20" s="70">
        <v>11</v>
      </c>
      <c r="B20" s="71"/>
      <c r="C20" s="71" t="s">
        <v>55</v>
      </c>
      <c r="D20" s="72">
        <v>295</v>
      </c>
      <c r="E20" s="75" t="s">
        <v>76</v>
      </c>
      <c r="F20" s="77" t="s">
        <v>61</v>
      </c>
      <c r="G20" s="78">
        <v>100</v>
      </c>
      <c r="H20" s="79">
        <v>623</v>
      </c>
      <c r="I20" s="73">
        <f t="shared" si="0"/>
        <v>62300</v>
      </c>
    </row>
    <row r="21" spans="1:9" ht="16.5" thickBot="1" x14ac:dyDescent="0.25">
      <c r="A21" s="70">
        <v>12</v>
      </c>
      <c r="B21" s="71"/>
      <c r="C21" s="71" t="s">
        <v>55</v>
      </c>
      <c r="D21" s="72">
        <v>295</v>
      </c>
      <c r="E21" s="75" t="s">
        <v>77</v>
      </c>
      <c r="F21" s="77" t="s">
        <v>61</v>
      </c>
      <c r="G21" s="78">
        <v>300</v>
      </c>
      <c r="H21" s="79">
        <v>826</v>
      </c>
      <c r="I21" s="73">
        <f t="shared" si="0"/>
        <v>247800</v>
      </c>
    </row>
    <row r="22" spans="1:9" ht="16.5" thickBot="1" x14ac:dyDescent="0.25">
      <c r="A22" s="70">
        <v>13</v>
      </c>
      <c r="B22" s="71"/>
      <c r="C22" s="71" t="s">
        <v>55</v>
      </c>
      <c r="D22" s="72">
        <v>295</v>
      </c>
      <c r="E22" s="75" t="s">
        <v>78</v>
      </c>
      <c r="F22" s="77" t="s">
        <v>61</v>
      </c>
      <c r="G22" s="78">
        <v>1000</v>
      </c>
      <c r="H22" s="79">
        <v>12</v>
      </c>
      <c r="I22" s="73">
        <f t="shared" si="0"/>
        <v>12000</v>
      </c>
    </row>
    <row r="23" spans="1:9" ht="16.5" thickBot="1" x14ac:dyDescent="0.25">
      <c r="A23" s="70">
        <v>14</v>
      </c>
      <c r="B23" s="71"/>
      <c r="C23" s="71" t="s">
        <v>55</v>
      </c>
      <c r="D23" s="72">
        <v>295</v>
      </c>
      <c r="E23" s="75" t="s">
        <v>79</v>
      </c>
      <c r="F23" s="77" t="s">
        <v>61</v>
      </c>
      <c r="G23" s="78">
        <v>20</v>
      </c>
      <c r="H23" s="79">
        <v>256</v>
      </c>
      <c r="I23" s="73">
        <f t="shared" si="0"/>
        <v>5120</v>
      </c>
    </row>
    <row r="24" spans="1:9" ht="16.5" thickBot="1" x14ac:dyDescent="0.25">
      <c r="A24" s="70">
        <v>15</v>
      </c>
      <c r="B24" s="71"/>
      <c r="C24" s="71" t="s">
        <v>55</v>
      </c>
      <c r="D24" s="72">
        <v>295</v>
      </c>
      <c r="E24" s="75" t="s">
        <v>80</v>
      </c>
      <c r="F24" s="77" t="s">
        <v>61</v>
      </c>
      <c r="G24" s="78">
        <v>1000</v>
      </c>
      <c r="H24" s="79">
        <v>21</v>
      </c>
      <c r="I24" s="73">
        <f t="shared" si="0"/>
        <v>21000</v>
      </c>
    </row>
    <row r="25" spans="1:9" ht="16.5" thickBot="1" x14ac:dyDescent="0.25">
      <c r="A25" s="70">
        <v>16</v>
      </c>
      <c r="B25" s="71"/>
      <c r="C25" s="71" t="s">
        <v>55</v>
      </c>
      <c r="D25" s="72">
        <v>295</v>
      </c>
      <c r="E25" s="75" t="s">
        <v>81</v>
      </c>
      <c r="F25" s="77" t="s">
        <v>61</v>
      </c>
      <c r="G25" s="78">
        <v>1000</v>
      </c>
      <c r="H25" s="79">
        <v>21</v>
      </c>
      <c r="I25" s="73">
        <f t="shared" si="0"/>
        <v>21000</v>
      </c>
    </row>
    <row r="26" spans="1:9" ht="16.5" thickBot="1" x14ac:dyDescent="0.25">
      <c r="A26" s="70">
        <v>17</v>
      </c>
      <c r="B26" s="71"/>
      <c r="C26" s="71" t="s">
        <v>55</v>
      </c>
      <c r="D26" s="72">
        <v>295</v>
      </c>
      <c r="E26" s="75" t="s">
        <v>82</v>
      </c>
      <c r="F26" s="77" t="s">
        <v>61</v>
      </c>
      <c r="G26" s="78">
        <v>1000</v>
      </c>
      <c r="H26" s="79">
        <v>21</v>
      </c>
      <c r="I26" s="73">
        <f t="shared" si="0"/>
        <v>21000</v>
      </c>
    </row>
    <row r="27" spans="1:9" ht="16.5" thickBot="1" x14ac:dyDescent="0.25">
      <c r="A27" s="70">
        <v>18</v>
      </c>
      <c r="B27" s="71"/>
      <c r="C27" s="71" t="s">
        <v>55</v>
      </c>
      <c r="D27" s="72">
        <v>295</v>
      </c>
      <c r="E27" s="75" t="s">
        <v>83</v>
      </c>
      <c r="F27" s="77" t="s">
        <v>61</v>
      </c>
      <c r="G27" s="78">
        <v>1000</v>
      </c>
      <c r="H27" s="79">
        <v>20</v>
      </c>
      <c r="I27" s="73">
        <f t="shared" si="0"/>
        <v>20000</v>
      </c>
    </row>
    <row r="28" spans="1:9" ht="16.5" thickBot="1" x14ac:dyDescent="0.25">
      <c r="A28" s="70">
        <v>19</v>
      </c>
      <c r="B28" s="71"/>
      <c r="C28" s="71" t="s">
        <v>55</v>
      </c>
      <c r="D28" s="72">
        <v>295</v>
      </c>
      <c r="E28" s="76" t="s">
        <v>84</v>
      </c>
      <c r="F28" s="77" t="s">
        <v>61</v>
      </c>
      <c r="G28" s="78">
        <v>144</v>
      </c>
      <c r="H28" s="79">
        <v>456</v>
      </c>
      <c r="I28" s="73">
        <f t="shared" si="0"/>
        <v>65664</v>
      </c>
    </row>
    <row r="29" spans="1:9" ht="16.5" thickBot="1" x14ac:dyDescent="0.25">
      <c r="A29" s="70">
        <v>20</v>
      </c>
      <c r="B29" s="71"/>
      <c r="C29" s="71" t="s">
        <v>55</v>
      </c>
      <c r="D29" s="72">
        <v>295</v>
      </c>
      <c r="E29" s="75" t="s">
        <v>85</v>
      </c>
      <c r="F29" s="77" t="s">
        <v>61</v>
      </c>
      <c r="G29" s="78">
        <v>1000</v>
      </c>
      <c r="H29" s="79">
        <v>16</v>
      </c>
      <c r="I29" s="73">
        <f t="shared" si="0"/>
        <v>16000</v>
      </c>
    </row>
    <row r="30" spans="1:9" ht="16.5" thickBot="1" x14ac:dyDescent="0.25">
      <c r="A30" s="70">
        <v>21</v>
      </c>
      <c r="B30" s="71"/>
      <c r="C30" s="71" t="s">
        <v>55</v>
      </c>
      <c r="D30" s="72">
        <v>295</v>
      </c>
      <c r="E30" s="75" t="s">
        <v>86</v>
      </c>
      <c r="F30" s="77" t="s">
        <v>61</v>
      </c>
      <c r="G30" s="78">
        <v>1000</v>
      </c>
      <c r="H30" s="79">
        <v>19</v>
      </c>
      <c r="I30" s="73">
        <f t="shared" si="0"/>
        <v>19000</v>
      </c>
    </row>
    <row r="31" spans="1:9" ht="16.5" thickBot="1" x14ac:dyDescent="0.25">
      <c r="A31" s="70">
        <v>22</v>
      </c>
      <c r="B31" s="71"/>
      <c r="C31" s="71" t="s">
        <v>55</v>
      </c>
      <c r="D31" s="72">
        <v>295</v>
      </c>
      <c r="E31" s="75" t="s">
        <v>87</v>
      </c>
      <c r="F31" s="77" t="s">
        <v>61</v>
      </c>
      <c r="G31" s="78">
        <v>1000</v>
      </c>
      <c r="H31" s="79">
        <v>22</v>
      </c>
      <c r="I31" s="73">
        <f t="shared" si="0"/>
        <v>22000</v>
      </c>
    </row>
    <row r="32" spans="1:9" ht="16.5" thickBot="1" x14ac:dyDescent="0.25">
      <c r="A32" s="70">
        <v>23</v>
      </c>
      <c r="B32" s="71"/>
      <c r="C32" s="71" t="s">
        <v>55</v>
      </c>
      <c r="D32" s="72">
        <v>295</v>
      </c>
      <c r="E32" s="76" t="s">
        <v>88</v>
      </c>
      <c r="F32" s="77" t="s">
        <v>61</v>
      </c>
      <c r="G32" s="80">
        <v>1000</v>
      </c>
      <c r="H32" s="79">
        <v>2008.49</v>
      </c>
      <c r="I32" s="73">
        <f t="shared" si="0"/>
        <v>2008490</v>
      </c>
    </row>
    <row r="33" spans="1:9" ht="16.5" thickBot="1" x14ac:dyDescent="0.25">
      <c r="A33" s="70">
        <v>24</v>
      </c>
      <c r="B33" s="71"/>
      <c r="C33" s="71" t="s">
        <v>55</v>
      </c>
      <c r="D33" s="72">
        <v>295</v>
      </c>
      <c r="E33" s="75" t="s">
        <v>89</v>
      </c>
      <c r="F33" s="77" t="s">
        <v>61</v>
      </c>
      <c r="G33" s="78">
        <v>1000</v>
      </c>
      <c r="H33" s="79">
        <v>45</v>
      </c>
      <c r="I33" s="73">
        <f t="shared" si="0"/>
        <v>45000</v>
      </c>
    </row>
    <row r="34" spans="1:9" ht="16.5" thickBot="1" x14ac:dyDescent="0.25">
      <c r="A34" s="70">
        <v>25</v>
      </c>
      <c r="B34" s="71"/>
      <c r="C34" s="71" t="s">
        <v>55</v>
      </c>
      <c r="D34" s="72">
        <v>295</v>
      </c>
      <c r="E34" s="75" t="s">
        <v>90</v>
      </c>
      <c r="F34" s="77" t="s">
        <v>61</v>
      </c>
      <c r="G34" s="78">
        <v>2000</v>
      </c>
      <c r="H34" s="79">
        <v>36</v>
      </c>
      <c r="I34" s="73">
        <f t="shared" si="0"/>
        <v>72000</v>
      </c>
    </row>
    <row r="35" spans="1:9" ht="16.5" thickBot="1" x14ac:dyDescent="0.25">
      <c r="A35" s="70">
        <v>26</v>
      </c>
      <c r="B35" s="71"/>
      <c r="C35" s="71" t="s">
        <v>55</v>
      </c>
      <c r="D35" s="72">
        <v>295</v>
      </c>
      <c r="E35" s="75" t="s">
        <v>91</v>
      </c>
      <c r="F35" s="77" t="s">
        <v>61</v>
      </c>
      <c r="G35" s="78">
        <v>2000</v>
      </c>
      <c r="H35" s="79">
        <v>36</v>
      </c>
      <c r="I35" s="73">
        <f t="shared" ref="I35:I39" si="1">+G35*H35</f>
        <v>72000</v>
      </c>
    </row>
    <row r="36" spans="1:9" ht="16.5" thickBot="1" x14ac:dyDescent="0.25">
      <c r="A36" s="70">
        <v>27</v>
      </c>
      <c r="B36" s="71"/>
      <c r="C36" s="71" t="s">
        <v>55</v>
      </c>
      <c r="D36" s="72">
        <v>295</v>
      </c>
      <c r="E36" s="75" t="s">
        <v>92</v>
      </c>
      <c r="F36" s="77" t="s">
        <v>61</v>
      </c>
      <c r="G36" s="78">
        <v>2000</v>
      </c>
      <c r="H36" s="79">
        <v>36</v>
      </c>
      <c r="I36" s="73">
        <f t="shared" si="1"/>
        <v>72000</v>
      </c>
    </row>
    <row r="37" spans="1:9" ht="16.5" thickBot="1" x14ac:dyDescent="0.25">
      <c r="A37" s="70">
        <v>28</v>
      </c>
      <c r="B37" s="71"/>
      <c r="C37" s="71" t="s">
        <v>55</v>
      </c>
      <c r="D37" s="72">
        <v>295</v>
      </c>
      <c r="E37" s="75" t="s">
        <v>93</v>
      </c>
      <c r="F37" s="77" t="s">
        <v>61</v>
      </c>
      <c r="G37" s="78">
        <v>2000</v>
      </c>
      <c r="H37" s="79">
        <v>36</v>
      </c>
      <c r="I37" s="73">
        <f t="shared" si="1"/>
        <v>72000</v>
      </c>
    </row>
    <row r="38" spans="1:9" ht="16.5" thickBot="1" x14ac:dyDescent="0.25">
      <c r="A38" s="70">
        <v>29</v>
      </c>
      <c r="B38" s="71"/>
      <c r="C38" s="71" t="s">
        <v>55</v>
      </c>
      <c r="D38" s="72">
        <v>295</v>
      </c>
      <c r="E38" s="75" t="s">
        <v>94</v>
      </c>
      <c r="F38" s="77" t="s">
        <v>61</v>
      </c>
      <c r="G38" s="78">
        <v>1000</v>
      </c>
      <c r="H38" s="79">
        <v>38</v>
      </c>
      <c r="I38" s="73">
        <f t="shared" si="1"/>
        <v>38000</v>
      </c>
    </row>
    <row r="39" spans="1:9" ht="16.5" thickBot="1" x14ac:dyDescent="0.25">
      <c r="A39" s="70">
        <v>30</v>
      </c>
      <c r="B39" s="71"/>
      <c r="C39" s="71" t="s">
        <v>55</v>
      </c>
      <c r="D39" s="72">
        <v>295</v>
      </c>
      <c r="E39" s="75" t="s">
        <v>95</v>
      </c>
      <c r="F39" s="77" t="s">
        <v>61</v>
      </c>
      <c r="G39" s="78">
        <v>1000</v>
      </c>
      <c r="H39" s="79">
        <v>38</v>
      </c>
      <c r="I39" s="73">
        <f t="shared" si="1"/>
        <v>38000</v>
      </c>
    </row>
    <row r="40" spans="1:9" ht="16.5" thickBot="1" x14ac:dyDescent="0.25">
      <c r="A40" s="70">
        <v>31</v>
      </c>
      <c r="B40" s="71"/>
      <c r="C40" s="71" t="s">
        <v>55</v>
      </c>
      <c r="D40" s="72">
        <v>295</v>
      </c>
      <c r="E40" s="76" t="s">
        <v>96</v>
      </c>
      <c r="F40" s="77" t="s">
        <v>61</v>
      </c>
      <c r="G40" s="78">
        <v>1000</v>
      </c>
      <c r="H40" s="79">
        <v>198</v>
      </c>
      <c r="I40" s="73">
        <f>+G40*H40</f>
        <v>198000</v>
      </c>
    </row>
    <row r="41" spans="1:9" ht="16.5" thickBot="1" x14ac:dyDescent="0.25">
      <c r="A41" s="70">
        <v>32</v>
      </c>
      <c r="B41" s="71"/>
      <c r="C41" s="71" t="s">
        <v>55</v>
      </c>
      <c r="D41" s="72">
        <v>295</v>
      </c>
      <c r="E41" s="75" t="s">
        <v>97</v>
      </c>
      <c r="F41" s="77" t="s">
        <v>61</v>
      </c>
      <c r="G41" s="78">
        <v>500</v>
      </c>
      <c r="H41" s="79">
        <v>53.5</v>
      </c>
      <c r="I41" s="73">
        <f>+G41*H41</f>
        <v>26750</v>
      </c>
    </row>
    <row r="42" spans="1:9" ht="15.75" x14ac:dyDescent="0.2">
      <c r="A42" s="70">
        <v>33</v>
      </c>
      <c r="B42" s="71"/>
      <c r="C42" s="71" t="s">
        <v>55</v>
      </c>
      <c r="D42" s="72">
        <v>295</v>
      </c>
      <c r="E42" s="76" t="s">
        <v>98</v>
      </c>
      <c r="F42" s="77" t="s">
        <v>61</v>
      </c>
      <c r="G42" s="78">
        <v>500</v>
      </c>
      <c r="H42" s="79">
        <v>91.16</v>
      </c>
      <c r="I42" s="73">
        <f>+G42*H42</f>
        <v>45580</v>
      </c>
    </row>
    <row r="43" spans="1:9" x14ac:dyDescent="0.2">
      <c r="I43" s="45"/>
    </row>
    <row r="44" spans="1:9" ht="13.5" thickBot="1" x14ac:dyDescent="0.25"/>
    <row r="45" spans="1:9" x14ac:dyDescent="0.2">
      <c r="B45" s="64" t="s">
        <v>56</v>
      </c>
      <c r="C45" s="36"/>
      <c r="D45" s="36"/>
      <c r="E45" s="37"/>
    </row>
    <row r="46" spans="1:9" ht="12.75" customHeight="1" x14ac:dyDescent="0.2">
      <c r="B46" s="89" t="s">
        <v>62</v>
      </c>
      <c r="C46" s="90"/>
      <c r="D46" s="90"/>
      <c r="E46" s="91"/>
    </row>
    <row r="47" spans="1:9" ht="26.25" customHeight="1" x14ac:dyDescent="0.2">
      <c r="B47" s="89"/>
      <c r="C47" s="90"/>
      <c r="D47" s="90"/>
      <c r="E47" s="91"/>
    </row>
    <row r="48" spans="1:9" ht="26.25" customHeight="1" x14ac:dyDescent="0.2">
      <c r="B48" s="89" t="s">
        <v>57</v>
      </c>
      <c r="C48" s="90"/>
      <c r="D48" s="90"/>
      <c r="E48" s="91"/>
    </row>
    <row r="49" spans="2:5" x14ac:dyDescent="0.2">
      <c r="B49" s="65" t="s">
        <v>58</v>
      </c>
      <c r="C49" s="66"/>
      <c r="D49" s="67"/>
      <c r="E49" s="68"/>
    </row>
    <row r="50" spans="2:5" ht="26.25" customHeight="1" x14ac:dyDescent="0.2">
      <c r="B50" s="69"/>
      <c r="C50" s="92" t="s">
        <v>59</v>
      </c>
      <c r="D50" s="92"/>
      <c r="E50" s="92"/>
    </row>
    <row r="51" spans="2:5" ht="13.5" thickBot="1" x14ac:dyDescent="0.25">
      <c r="B51" s="42"/>
      <c r="C51" s="43"/>
      <c r="D51" s="43"/>
      <c r="E51" s="44"/>
    </row>
    <row r="52" spans="2:5" ht="13.5" thickBot="1" x14ac:dyDescent="0.25"/>
    <row r="53" spans="2:5" x14ac:dyDescent="0.2">
      <c r="B53" s="35" t="s">
        <v>60</v>
      </c>
      <c r="C53" s="36"/>
      <c r="D53" s="36"/>
      <c r="E53" s="37"/>
    </row>
    <row r="54" spans="2:5" ht="5.25" customHeight="1" x14ac:dyDescent="0.2">
      <c r="B54" s="38"/>
      <c r="C54" s="39"/>
      <c r="D54" s="39"/>
      <c r="E54" s="40"/>
    </row>
    <row r="55" spans="2:5" x14ac:dyDescent="0.2">
      <c r="B55" s="41"/>
      <c r="C55" s="39"/>
      <c r="D55" s="39"/>
      <c r="E55" s="40"/>
    </row>
    <row r="56" spans="2:5" x14ac:dyDescent="0.2">
      <c r="B56" s="41"/>
      <c r="C56" s="85"/>
      <c r="D56" s="85"/>
      <c r="E56" s="86"/>
    </row>
    <row r="57" spans="2:5" ht="13.5" thickBot="1" x14ac:dyDescent="0.25">
      <c r="B57" s="42"/>
      <c r="C57" s="43"/>
      <c r="D57" s="43"/>
      <c r="E57" s="44"/>
    </row>
  </sheetData>
  <autoFilter ref="A9:I41"/>
  <mergeCells count="11">
    <mergeCell ref="A6:B6"/>
    <mergeCell ref="A7:B7"/>
    <mergeCell ref="C56:E56"/>
    <mergeCell ref="B2:H2"/>
    <mergeCell ref="A4:B4"/>
    <mergeCell ref="C4:E4"/>
    <mergeCell ref="A5:B5"/>
    <mergeCell ref="C5:E5"/>
    <mergeCell ref="B46:E47"/>
    <mergeCell ref="B48:E48"/>
    <mergeCell ref="C50:E5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topLeftCell="A33" zoomScale="80" zoomScaleNormal="80" workbookViewId="0">
      <selection activeCell="C18" sqref="C18:G18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4" width="5.85546875" style="48" customWidth="1"/>
    <col min="15" max="15" width="12.5703125" style="48" customWidth="1"/>
    <col min="16" max="1024" width="9.140625" style="48"/>
    <col min="1025" max="16384" width="9.140625" style="49"/>
  </cols>
  <sheetData>
    <row r="1" spans="1:11" ht="18" customHeight="1" x14ac:dyDescent="0.2">
      <c r="A1" s="96" t="s">
        <v>14</v>
      </c>
      <c r="B1" s="96"/>
      <c r="C1" s="96"/>
      <c r="D1" s="96"/>
      <c r="E1" s="96"/>
      <c r="F1" s="96"/>
      <c r="G1" s="96"/>
      <c r="H1" s="96"/>
      <c r="I1" s="96"/>
      <c r="J1" s="47" t="s">
        <v>15</v>
      </c>
      <c r="K1" s="74" t="s">
        <v>101</v>
      </c>
    </row>
    <row r="2" spans="1:11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1" ht="18.75" customHeight="1" thickBot="1" x14ac:dyDescent="0.25">
      <c r="A3" s="97" t="s">
        <v>48</v>
      </c>
      <c r="B3" s="97"/>
      <c r="C3" s="97"/>
      <c r="D3" s="98" t="str">
        <f>'Necesidades Trimestrales'!C4</f>
        <v>040 -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49</v>
      </c>
      <c r="B4" s="99"/>
      <c r="C4" s="99"/>
      <c r="D4" s="98" t="str">
        <f>'Necesidades Trimestrales'!C5</f>
        <v>024 - Hospital Interzonal de Niños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27</v>
      </c>
      <c r="B5" s="99"/>
      <c r="C5" s="99"/>
      <c r="D5" s="98" t="s">
        <v>52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50</v>
      </c>
      <c r="B6" s="97"/>
      <c r="C6" s="97"/>
      <c r="D6" s="98" t="s">
        <v>63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16</v>
      </c>
      <c r="B7" s="99"/>
      <c r="C7" s="99"/>
      <c r="D7" s="98" t="str">
        <f>'Necesidades Trimestrales'!C7 &amp; "° Trimestre - Año " &amp; 'Necesidades Trimestrales'!C6</f>
        <v>4° Trimestre - Año 2020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102" t="s">
        <v>17</v>
      </c>
      <c r="B8" s="102"/>
      <c r="C8" s="102"/>
      <c r="D8" s="103" t="s">
        <v>102</v>
      </c>
      <c r="E8" s="103"/>
      <c r="F8" s="103"/>
      <c r="G8" s="103"/>
      <c r="H8" s="103"/>
      <c r="I8" s="103"/>
      <c r="J8" s="103"/>
      <c r="K8" s="103"/>
    </row>
    <row r="9" spans="1:11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1" ht="18.75" customHeight="1" thickBot="1" x14ac:dyDescent="0.25">
      <c r="A10" s="104" t="s">
        <v>18</v>
      </c>
      <c r="B10" s="106" t="s">
        <v>19</v>
      </c>
      <c r="C10" s="106" t="s">
        <v>20</v>
      </c>
      <c r="D10" s="106"/>
      <c r="E10" s="106"/>
      <c r="F10" s="106"/>
      <c r="G10" s="106"/>
      <c r="H10" s="106" t="s">
        <v>21</v>
      </c>
      <c r="I10" s="106" t="s">
        <v>22</v>
      </c>
      <c r="J10" s="106" t="s">
        <v>23</v>
      </c>
      <c r="K10" s="108" t="s">
        <v>24</v>
      </c>
    </row>
    <row r="11" spans="1:11" ht="24" customHeight="1" x14ac:dyDescent="0.2">
      <c r="A11" s="105"/>
      <c r="B11" s="107"/>
      <c r="C11" s="107"/>
      <c r="D11" s="107"/>
      <c r="E11" s="107"/>
      <c r="F11" s="107"/>
      <c r="G11" s="107"/>
      <c r="H11" s="107"/>
      <c r="I11" s="107"/>
      <c r="J11" s="107"/>
      <c r="K11" s="109"/>
    </row>
    <row r="12" spans="1:11" ht="30" customHeight="1" x14ac:dyDescent="0.2">
      <c r="A12" s="81">
        <v>1</v>
      </c>
      <c r="B12" s="82"/>
      <c r="C12" s="93" t="s">
        <v>66</v>
      </c>
      <c r="D12" s="94"/>
      <c r="E12" s="94"/>
      <c r="F12" s="94"/>
      <c r="G12" s="95"/>
      <c r="H12" s="83" t="s">
        <v>54</v>
      </c>
      <c r="I12" s="77" t="s">
        <v>61</v>
      </c>
      <c r="J12" s="79">
        <v>348</v>
      </c>
      <c r="K12" s="78">
        <v>1000</v>
      </c>
    </row>
    <row r="13" spans="1:11" ht="30" customHeight="1" x14ac:dyDescent="0.2">
      <c r="A13" s="81">
        <v>2</v>
      </c>
      <c r="B13" s="82"/>
      <c r="C13" s="93" t="s">
        <v>67</v>
      </c>
      <c r="D13" s="94"/>
      <c r="E13" s="94"/>
      <c r="F13" s="94"/>
      <c r="G13" s="95"/>
      <c r="H13" s="83" t="s">
        <v>54</v>
      </c>
      <c r="I13" s="77" t="s">
        <v>61</v>
      </c>
      <c r="J13" s="79">
        <v>105</v>
      </c>
      <c r="K13" s="78">
        <v>200</v>
      </c>
    </row>
    <row r="14" spans="1:11" ht="30" customHeight="1" x14ac:dyDescent="0.2">
      <c r="A14" s="81">
        <v>3</v>
      </c>
      <c r="B14" s="82"/>
      <c r="C14" s="93" t="s">
        <v>68</v>
      </c>
      <c r="D14" s="94"/>
      <c r="E14" s="94"/>
      <c r="F14" s="94"/>
      <c r="G14" s="95"/>
      <c r="H14" s="83" t="s">
        <v>54</v>
      </c>
      <c r="I14" s="77" t="s">
        <v>99</v>
      </c>
      <c r="J14" s="79">
        <v>125</v>
      </c>
      <c r="K14" s="78">
        <v>100</v>
      </c>
    </row>
    <row r="15" spans="1:11" ht="30" customHeight="1" x14ac:dyDescent="0.2">
      <c r="A15" s="81">
        <v>4</v>
      </c>
      <c r="B15" s="82"/>
      <c r="C15" s="93" t="s">
        <v>69</v>
      </c>
      <c r="D15" s="94"/>
      <c r="E15" s="94"/>
      <c r="F15" s="94"/>
      <c r="G15" s="95"/>
      <c r="H15" s="83" t="s">
        <v>54</v>
      </c>
      <c r="I15" s="77" t="s">
        <v>100</v>
      </c>
      <c r="J15" s="79">
        <v>6.9</v>
      </c>
      <c r="K15" s="78">
        <v>3000</v>
      </c>
    </row>
    <row r="16" spans="1:11" ht="30" customHeight="1" x14ac:dyDescent="0.2">
      <c r="A16" s="81">
        <v>5</v>
      </c>
      <c r="B16" s="82"/>
      <c r="C16" s="93" t="s">
        <v>70</v>
      </c>
      <c r="D16" s="94"/>
      <c r="E16" s="94"/>
      <c r="F16" s="94"/>
      <c r="G16" s="95"/>
      <c r="H16" s="83" t="s">
        <v>54</v>
      </c>
      <c r="I16" s="77" t="s">
        <v>61</v>
      </c>
      <c r="J16" s="79">
        <v>49</v>
      </c>
      <c r="K16" s="78">
        <v>1000</v>
      </c>
    </row>
    <row r="17" spans="1:11" ht="30" customHeight="1" x14ac:dyDescent="0.2">
      <c r="A17" s="81">
        <v>6</v>
      </c>
      <c r="B17" s="82"/>
      <c r="C17" s="93" t="s">
        <v>71</v>
      </c>
      <c r="D17" s="94"/>
      <c r="E17" s="94"/>
      <c r="F17" s="94"/>
      <c r="G17" s="95"/>
      <c r="H17" s="83" t="s">
        <v>54</v>
      </c>
      <c r="I17" s="77" t="s">
        <v>61</v>
      </c>
      <c r="J17" s="79">
        <v>19</v>
      </c>
      <c r="K17" s="78">
        <v>100</v>
      </c>
    </row>
    <row r="18" spans="1:11" ht="30" customHeight="1" x14ac:dyDescent="0.2">
      <c r="A18" s="81">
        <v>7</v>
      </c>
      <c r="B18" s="82"/>
      <c r="C18" s="93" t="s">
        <v>72</v>
      </c>
      <c r="D18" s="94"/>
      <c r="E18" s="94"/>
      <c r="F18" s="94"/>
      <c r="G18" s="95"/>
      <c r="H18" s="83" t="s">
        <v>54</v>
      </c>
      <c r="I18" s="77" t="s">
        <v>99</v>
      </c>
      <c r="J18" s="79">
        <v>22</v>
      </c>
      <c r="K18" s="78">
        <v>300</v>
      </c>
    </row>
    <row r="19" spans="1:11" ht="30" customHeight="1" x14ac:dyDescent="0.2">
      <c r="A19" s="81">
        <v>8</v>
      </c>
      <c r="B19" s="82"/>
      <c r="C19" s="93" t="s">
        <v>73</v>
      </c>
      <c r="D19" s="94"/>
      <c r="E19" s="94"/>
      <c r="F19" s="94"/>
      <c r="G19" s="95"/>
      <c r="H19" s="83" t="s">
        <v>54</v>
      </c>
      <c r="I19" s="77" t="s">
        <v>61</v>
      </c>
      <c r="J19" s="79">
        <v>23</v>
      </c>
      <c r="K19" s="78">
        <v>300</v>
      </c>
    </row>
    <row r="20" spans="1:11" ht="30" customHeight="1" x14ac:dyDescent="0.2">
      <c r="A20" s="81">
        <v>9</v>
      </c>
      <c r="B20" s="82"/>
      <c r="C20" s="93" t="s">
        <v>74</v>
      </c>
      <c r="D20" s="94"/>
      <c r="E20" s="94"/>
      <c r="F20" s="94"/>
      <c r="G20" s="95"/>
      <c r="H20" s="83" t="s">
        <v>54</v>
      </c>
      <c r="I20" s="77" t="s">
        <v>61</v>
      </c>
      <c r="J20" s="79">
        <v>34.49</v>
      </c>
      <c r="K20" s="78">
        <v>1000</v>
      </c>
    </row>
    <row r="21" spans="1:11" ht="30" customHeight="1" x14ac:dyDescent="0.2">
      <c r="A21" s="81">
        <v>10</v>
      </c>
      <c r="B21" s="82"/>
      <c r="C21" s="93" t="s">
        <v>75</v>
      </c>
      <c r="D21" s="94"/>
      <c r="E21" s="94"/>
      <c r="F21" s="94"/>
      <c r="G21" s="95"/>
      <c r="H21" s="83" t="s">
        <v>54</v>
      </c>
      <c r="I21" s="77" t="s">
        <v>61</v>
      </c>
      <c r="J21" s="79">
        <v>37.75</v>
      </c>
      <c r="K21" s="78">
        <v>1000</v>
      </c>
    </row>
    <row r="22" spans="1:11" ht="30" customHeight="1" x14ac:dyDescent="0.2">
      <c r="A22" s="81">
        <v>11</v>
      </c>
      <c r="B22" s="82"/>
      <c r="C22" s="93" t="s">
        <v>76</v>
      </c>
      <c r="D22" s="94"/>
      <c r="E22" s="94"/>
      <c r="F22" s="94"/>
      <c r="G22" s="95"/>
      <c r="H22" s="83" t="s">
        <v>54</v>
      </c>
      <c r="I22" s="77" t="s">
        <v>61</v>
      </c>
      <c r="J22" s="79">
        <v>623</v>
      </c>
      <c r="K22" s="78">
        <v>100</v>
      </c>
    </row>
    <row r="23" spans="1:11" ht="30" customHeight="1" x14ac:dyDescent="0.2">
      <c r="A23" s="81">
        <v>12</v>
      </c>
      <c r="B23" s="82"/>
      <c r="C23" s="93" t="s">
        <v>77</v>
      </c>
      <c r="D23" s="94"/>
      <c r="E23" s="94"/>
      <c r="F23" s="94"/>
      <c r="G23" s="95"/>
      <c r="H23" s="83" t="s">
        <v>54</v>
      </c>
      <c r="I23" s="77" t="s">
        <v>61</v>
      </c>
      <c r="J23" s="79">
        <v>826</v>
      </c>
      <c r="K23" s="78">
        <v>300</v>
      </c>
    </row>
    <row r="24" spans="1:11" ht="30" customHeight="1" x14ac:dyDescent="0.2">
      <c r="A24" s="81">
        <v>13</v>
      </c>
      <c r="B24" s="82"/>
      <c r="C24" s="93" t="s">
        <v>78</v>
      </c>
      <c r="D24" s="94"/>
      <c r="E24" s="94"/>
      <c r="F24" s="94"/>
      <c r="G24" s="95"/>
      <c r="H24" s="83" t="s">
        <v>54</v>
      </c>
      <c r="I24" s="77" t="s">
        <v>61</v>
      </c>
      <c r="J24" s="79">
        <v>12</v>
      </c>
      <c r="K24" s="78">
        <v>1000</v>
      </c>
    </row>
    <row r="25" spans="1:11" ht="30" customHeight="1" x14ac:dyDescent="0.2">
      <c r="A25" s="81">
        <v>14</v>
      </c>
      <c r="B25" s="82"/>
      <c r="C25" s="93" t="s">
        <v>79</v>
      </c>
      <c r="D25" s="94"/>
      <c r="E25" s="94"/>
      <c r="F25" s="94"/>
      <c r="G25" s="95"/>
      <c r="H25" s="83" t="s">
        <v>54</v>
      </c>
      <c r="I25" s="77" t="s">
        <v>61</v>
      </c>
      <c r="J25" s="79">
        <v>256</v>
      </c>
      <c r="K25" s="78">
        <v>20</v>
      </c>
    </row>
    <row r="26" spans="1:11" ht="30" customHeight="1" x14ac:dyDescent="0.2">
      <c r="A26" s="81">
        <v>15</v>
      </c>
      <c r="B26" s="82"/>
      <c r="C26" s="93" t="s">
        <v>80</v>
      </c>
      <c r="D26" s="94"/>
      <c r="E26" s="94"/>
      <c r="F26" s="94"/>
      <c r="G26" s="95"/>
      <c r="H26" s="83" t="s">
        <v>54</v>
      </c>
      <c r="I26" s="77" t="s">
        <v>61</v>
      </c>
      <c r="J26" s="79">
        <v>21</v>
      </c>
      <c r="K26" s="78">
        <v>1000</v>
      </c>
    </row>
    <row r="27" spans="1:11" ht="30" customHeight="1" x14ac:dyDescent="0.2">
      <c r="A27" s="81">
        <v>16</v>
      </c>
      <c r="B27" s="82"/>
      <c r="C27" s="93" t="s">
        <v>81</v>
      </c>
      <c r="D27" s="94"/>
      <c r="E27" s="94"/>
      <c r="F27" s="94"/>
      <c r="G27" s="95"/>
      <c r="H27" s="83" t="s">
        <v>54</v>
      </c>
      <c r="I27" s="77" t="s">
        <v>61</v>
      </c>
      <c r="J27" s="79">
        <v>21</v>
      </c>
      <c r="K27" s="78">
        <v>1000</v>
      </c>
    </row>
    <row r="28" spans="1:11" ht="30" customHeight="1" x14ac:dyDescent="0.2">
      <c r="A28" s="81">
        <v>17</v>
      </c>
      <c r="B28" s="82"/>
      <c r="C28" s="93" t="s">
        <v>82</v>
      </c>
      <c r="D28" s="94"/>
      <c r="E28" s="94"/>
      <c r="F28" s="94"/>
      <c r="G28" s="95"/>
      <c r="H28" s="83" t="s">
        <v>54</v>
      </c>
      <c r="I28" s="77" t="s">
        <v>61</v>
      </c>
      <c r="J28" s="79">
        <v>21</v>
      </c>
      <c r="K28" s="78">
        <v>1000</v>
      </c>
    </row>
    <row r="29" spans="1:11" ht="30" customHeight="1" x14ac:dyDescent="0.2">
      <c r="A29" s="81">
        <v>18</v>
      </c>
      <c r="B29" s="82"/>
      <c r="C29" s="93" t="s">
        <v>83</v>
      </c>
      <c r="D29" s="94"/>
      <c r="E29" s="94"/>
      <c r="F29" s="94"/>
      <c r="G29" s="95"/>
      <c r="H29" s="83" t="s">
        <v>54</v>
      </c>
      <c r="I29" s="77" t="s">
        <v>61</v>
      </c>
      <c r="J29" s="79">
        <v>20</v>
      </c>
      <c r="K29" s="78">
        <v>1000</v>
      </c>
    </row>
    <row r="30" spans="1:11" ht="30" customHeight="1" x14ac:dyDescent="0.2">
      <c r="A30" s="81">
        <v>19</v>
      </c>
      <c r="B30" s="82"/>
      <c r="C30" s="93" t="s">
        <v>84</v>
      </c>
      <c r="D30" s="94"/>
      <c r="E30" s="94"/>
      <c r="F30" s="94"/>
      <c r="G30" s="95"/>
      <c r="H30" s="83" t="s">
        <v>54</v>
      </c>
      <c r="I30" s="77" t="s">
        <v>61</v>
      </c>
      <c r="J30" s="79">
        <v>456</v>
      </c>
      <c r="K30" s="78">
        <v>144</v>
      </c>
    </row>
    <row r="31" spans="1:11" ht="30" customHeight="1" x14ac:dyDescent="0.2">
      <c r="A31" s="81">
        <v>20</v>
      </c>
      <c r="B31" s="82"/>
      <c r="C31" s="93" t="s">
        <v>85</v>
      </c>
      <c r="D31" s="94"/>
      <c r="E31" s="94"/>
      <c r="F31" s="94"/>
      <c r="G31" s="95"/>
      <c r="H31" s="83" t="s">
        <v>54</v>
      </c>
      <c r="I31" s="77" t="s">
        <v>61</v>
      </c>
      <c r="J31" s="79">
        <v>16</v>
      </c>
      <c r="K31" s="78">
        <v>1000</v>
      </c>
    </row>
    <row r="32" spans="1:11" ht="30" customHeight="1" x14ac:dyDescent="0.2">
      <c r="A32" s="81">
        <v>21</v>
      </c>
      <c r="B32" s="82"/>
      <c r="C32" s="93" t="s">
        <v>86</v>
      </c>
      <c r="D32" s="94"/>
      <c r="E32" s="94"/>
      <c r="F32" s="94"/>
      <c r="G32" s="95"/>
      <c r="H32" s="83" t="s">
        <v>54</v>
      </c>
      <c r="I32" s="77" t="s">
        <v>61</v>
      </c>
      <c r="J32" s="79">
        <v>19</v>
      </c>
      <c r="K32" s="78">
        <v>1000</v>
      </c>
    </row>
    <row r="33" spans="1:11" ht="30" customHeight="1" x14ac:dyDescent="0.2">
      <c r="A33" s="81">
        <v>22</v>
      </c>
      <c r="B33" s="82"/>
      <c r="C33" s="93" t="s">
        <v>87</v>
      </c>
      <c r="D33" s="94"/>
      <c r="E33" s="94"/>
      <c r="F33" s="94"/>
      <c r="G33" s="95"/>
      <c r="H33" s="83" t="s">
        <v>54</v>
      </c>
      <c r="I33" s="77" t="s">
        <v>61</v>
      </c>
      <c r="J33" s="79">
        <v>22</v>
      </c>
      <c r="K33" s="78">
        <v>1000</v>
      </c>
    </row>
    <row r="34" spans="1:11" ht="30" customHeight="1" x14ac:dyDescent="0.2">
      <c r="A34" s="81">
        <v>23</v>
      </c>
      <c r="B34" s="82"/>
      <c r="C34" s="93" t="s">
        <v>88</v>
      </c>
      <c r="D34" s="94"/>
      <c r="E34" s="94"/>
      <c r="F34" s="94"/>
      <c r="G34" s="95"/>
      <c r="H34" s="83" t="s">
        <v>54</v>
      </c>
      <c r="I34" s="77" t="s">
        <v>61</v>
      </c>
      <c r="J34" s="79">
        <v>2008.49</v>
      </c>
      <c r="K34" s="80">
        <v>1000</v>
      </c>
    </row>
    <row r="35" spans="1:11" ht="30" customHeight="1" x14ac:dyDescent="0.2">
      <c r="A35" s="81">
        <v>24</v>
      </c>
      <c r="B35" s="82"/>
      <c r="C35" s="93" t="s">
        <v>89</v>
      </c>
      <c r="D35" s="94"/>
      <c r="E35" s="94"/>
      <c r="F35" s="94"/>
      <c r="G35" s="95"/>
      <c r="H35" s="83" t="s">
        <v>54</v>
      </c>
      <c r="I35" s="77" t="s">
        <v>61</v>
      </c>
      <c r="J35" s="79">
        <v>45</v>
      </c>
      <c r="K35" s="78">
        <v>1000</v>
      </c>
    </row>
    <row r="36" spans="1:11" ht="30" customHeight="1" x14ac:dyDescent="0.2">
      <c r="A36" s="81">
        <v>25</v>
      </c>
      <c r="B36" s="82"/>
      <c r="C36" s="93" t="s">
        <v>90</v>
      </c>
      <c r="D36" s="94"/>
      <c r="E36" s="94"/>
      <c r="F36" s="94"/>
      <c r="G36" s="95"/>
      <c r="H36" s="83" t="s">
        <v>54</v>
      </c>
      <c r="I36" s="77" t="s">
        <v>61</v>
      </c>
      <c r="J36" s="79">
        <v>36</v>
      </c>
      <c r="K36" s="78">
        <v>2000</v>
      </c>
    </row>
    <row r="37" spans="1:11" ht="30" customHeight="1" x14ac:dyDescent="0.2">
      <c r="A37" s="81">
        <v>26</v>
      </c>
      <c r="B37" s="82"/>
      <c r="C37" s="93" t="s">
        <v>91</v>
      </c>
      <c r="D37" s="94"/>
      <c r="E37" s="94"/>
      <c r="F37" s="94"/>
      <c r="G37" s="95"/>
      <c r="H37" s="83" t="s">
        <v>54</v>
      </c>
      <c r="I37" s="77" t="s">
        <v>61</v>
      </c>
      <c r="J37" s="79">
        <v>36</v>
      </c>
      <c r="K37" s="78">
        <v>2000</v>
      </c>
    </row>
    <row r="38" spans="1:11" ht="30" customHeight="1" x14ac:dyDescent="0.2">
      <c r="A38" s="81">
        <v>27</v>
      </c>
      <c r="B38" s="82"/>
      <c r="C38" s="93" t="s">
        <v>92</v>
      </c>
      <c r="D38" s="94"/>
      <c r="E38" s="94"/>
      <c r="F38" s="94"/>
      <c r="G38" s="95"/>
      <c r="H38" s="83" t="s">
        <v>54</v>
      </c>
      <c r="I38" s="77" t="s">
        <v>61</v>
      </c>
      <c r="J38" s="79">
        <v>36</v>
      </c>
      <c r="K38" s="78">
        <v>2000</v>
      </c>
    </row>
    <row r="39" spans="1:11" ht="30" customHeight="1" x14ac:dyDescent="0.2">
      <c r="A39" s="81">
        <v>28</v>
      </c>
      <c r="B39" s="82"/>
      <c r="C39" s="93" t="s">
        <v>93</v>
      </c>
      <c r="D39" s="94"/>
      <c r="E39" s="94"/>
      <c r="F39" s="94"/>
      <c r="G39" s="95"/>
      <c r="H39" s="83" t="s">
        <v>54</v>
      </c>
      <c r="I39" s="77" t="s">
        <v>61</v>
      </c>
      <c r="J39" s="79">
        <v>36</v>
      </c>
      <c r="K39" s="78">
        <v>2000</v>
      </c>
    </row>
    <row r="40" spans="1:11" ht="30" customHeight="1" x14ac:dyDescent="0.2">
      <c r="A40" s="81">
        <v>29</v>
      </c>
      <c r="B40" s="82"/>
      <c r="C40" s="93" t="s">
        <v>94</v>
      </c>
      <c r="D40" s="94"/>
      <c r="E40" s="94"/>
      <c r="F40" s="94"/>
      <c r="G40" s="95"/>
      <c r="H40" s="83" t="s">
        <v>54</v>
      </c>
      <c r="I40" s="77" t="s">
        <v>61</v>
      </c>
      <c r="J40" s="79">
        <v>38</v>
      </c>
      <c r="K40" s="78">
        <v>1000</v>
      </c>
    </row>
    <row r="41" spans="1:11" ht="30" customHeight="1" x14ac:dyDescent="0.2">
      <c r="A41" s="81">
        <v>30</v>
      </c>
      <c r="B41" s="82"/>
      <c r="C41" s="93" t="s">
        <v>95</v>
      </c>
      <c r="D41" s="94"/>
      <c r="E41" s="94"/>
      <c r="F41" s="94"/>
      <c r="G41" s="95"/>
      <c r="H41" s="83" t="s">
        <v>54</v>
      </c>
      <c r="I41" s="77" t="s">
        <v>61</v>
      </c>
      <c r="J41" s="79">
        <v>38</v>
      </c>
      <c r="K41" s="78">
        <v>1000</v>
      </c>
    </row>
    <row r="42" spans="1:11" ht="30" customHeight="1" x14ac:dyDescent="0.2">
      <c r="A42" s="81">
        <v>31</v>
      </c>
      <c r="B42" s="82"/>
      <c r="C42" s="93" t="s">
        <v>96</v>
      </c>
      <c r="D42" s="94"/>
      <c r="E42" s="94"/>
      <c r="F42" s="94"/>
      <c r="G42" s="95"/>
      <c r="H42" s="83" t="s">
        <v>54</v>
      </c>
      <c r="I42" s="77" t="s">
        <v>61</v>
      </c>
      <c r="J42" s="79">
        <v>198</v>
      </c>
      <c r="K42" s="78">
        <v>1000</v>
      </c>
    </row>
    <row r="43" spans="1:11" ht="30" customHeight="1" x14ac:dyDescent="0.2">
      <c r="A43" s="81">
        <v>32</v>
      </c>
      <c r="B43" s="82"/>
      <c r="C43" s="93" t="s">
        <v>97</v>
      </c>
      <c r="D43" s="94"/>
      <c r="E43" s="94"/>
      <c r="F43" s="94"/>
      <c r="G43" s="95"/>
      <c r="H43" s="83" t="s">
        <v>54</v>
      </c>
      <c r="I43" s="77" t="s">
        <v>61</v>
      </c>
      <c r="J43" s="79">
        <v>53.5</v>
      </c>
      <c r="K43" s="78">
        <v>500</v>
      </c>
    </row>
    <row r="44" spans="1:11" ht="30" customHeight="1" x14ac:dyDescent="0.2">
      <c r="A44" s="81">
        <v>33</v>
      </c>
      <c r="B44" s="82"/>
      <c r="C44" s="93" t="s">
        <v>98</v>
      </c>
      <c r="D44" s="94"/>
      <c r="E44" s="94"/>
      <c r="F44" s="94"/>
      <c r="G44" s="95"/>
      <c r="H44" s="83" t="s">
        <v>54</v>
      </c>
      <c r="I44" s="77" t="s">
        <v>61</v>
      </c>
      <c r="J44" s="79">
        <v>91.16</v>
      </c>
      <c r="K44" s="78">
        <v>500</v>
      </c>
    </row>
    <row r="45" spans="1:11" ht="20.25" customHeight="1" thickBot="1" x14ac:dyDescent="0.25">
      <c r="A45" s="100" t="s">
        <v>51</v>
      </c>
      <c r="B45" s="100"/>
      <c r="C45" s="100"/>
      <c r="D45" s="100"/>
      <c r="E45" s="100"/>
      <c r="F45" s="100"/>
      <c r="G45" s="100"/>
      <c r="H45" s="100"/>
      <c r="I45" s="100"/>
      <c r="J45" s="101">
        <f>SUMPRODUCT(J12:J44,K12:K44)</f>
        <v>3759544</v>
      </c>
      <c r="K45" s="101"/>
    </row>
  </sheetData>
  <mergeCells count="55">
    <mergeCell ref="A45:I45"/>
    <mergeCell ref="J45:K45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C38:G3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2:G42"/>
    <mergeCell ref="C43:G43"/>
    <mergeCell ref="C44:G44"/>
    <mergeCell ref="C13:G13"/>
    <mergeCell ref="C14:G14"/>
    <mergeCell ref="C15:G15"/>
    <mergeCell ref="C39:G39"/>
    <mergeCell ref="C40:G40"/>
    <mergeCell ref="C35:G35"/>
    <mergeCell ref="C36:G36"/>
    <mergeCell ref="C41:G41"/>
    <mergeCell ref="C16:G16"/>
    <mergeCell ref="C17:G17"/>
    <mergeCell ref="C18:G18"/>
    <mergeCell ref="C19:G19"/>
    <mergeCell ref="C30:G30"/>
    <mergeCell ref="C31:G31"/>
    <mergeCell ref="C32:G32"/>
    <mergeCell ref="C33:G33"/>
    <mergeCell ref="C34:G34"/>
    <mergeCell ref="C25:G25"/>
    <mergeCell ref="C26:G26"/>
    <mergeCell ref="C27:G27"/>
    <mergeCell ref="C28:G28"/>
    <mergeCell ref="C29:G29"/>
    <mergeCell ref="C20:G20"/>
    <mergeCell ref="C21:G21"/>
    <mergeCell ref="C22:G22"/>
    <mergeCell ref="C23:G23"/>
    <mergeCell ref="C24:G2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8" zoomScale="130" zoomScaleNormal="130" workbookViewId="0">
      <selection activeCell="M27" sqref="M2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0" t="s">
        <v>3</v>
      </c>
      <c r="B1" s="110"/>
      <c r="C1" s="110"/>
      <c r="D1" s="111">
        <f>'Necesidades Trimestrales'!C6</f>
        <v>2020</v>
      </c>
      <c r="E1" s="111"/>
      <c r="F1" s="3"/>
      <c r="G1" s="3"/>
      <c r="H1" s="4"/>
      <c r="I1" s="4"/>
      <c r="J1" s="4"/>
      <c r="K1" s="4"/>
      <c r="L1" s="4"/>
      <c r="M1" s="4"/>
      <c r="N1" s="4"/>
      <c r="P1" s="112" t="s">
        <v>25</v>
      </c>
      <c r="Q1" s="11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2"/>
      <c r="Q2" s="112"/>
    </row>
    <row r="4" spans="1:17" s="5" customFormat="1" ht="18" customHeight="1" thickBot="1" x14ac:dyDescent="0.25">
      <c r="A4" s="113" t="s">
        <v>26</v>
      </c>
      <c r="B4" s="113"/>
      <c r="C4" s="113"/>
      <c r="D4" s="113"/>
      <c r="E4" s="113"/>
      <c r="F4" s="113"/>
      <c r="G4" s="114" t="str">
        <f>' NotaPedido'!D3</f>
        <v>040 - Ministerio de Salud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s="5" customFormat="1" ht="18" customHeight="1" thickBot="1" x14ac:dyDescent="0.25">
      <c r="A5" s="115" t="s">
        <v>49</v>
      </c>
      <c r="B5" s="116"/>
      <c r="C5" s="116"/>
      <c r="D5" s="116"/>
      <c r="E5" s="116"/>
      <c r="F5" s="117"/>
      <c r="G5" s="114" t="str">
        <f>' NotaPedido'!D4</f>
        <v>024 - Hospital Interzonal de Niños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s="5" customFormat="1" ht="18" customHeight="1" thickBot="1" x14ac:dyDescent="0.25">
      <c r="A6" s="115" t="s">
        <v>27</v>
      </c>
      <c r="B6" s="116"/>
      <c r="C6" s="116"/>
      <c r="D6" s="116"/>
      <c r="E6" s="116"/>
      <c r="F6" s="117"/>
      <c r="G6" s="114" t="str">
        <f>' NotaPedido'!D5</f>
        <v>024 - Hospital Interzonal de Niños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s="5" customFormat="1" ht="18" customHeight="1" thickBot="1" x14ac:dyDescent="0.25">
      <c r="A7" s="115" t="s">
        <v>50</v>
      </c>
      <c r="B7" s="116"/>
      <c r="C7" s="116"/>
      <c r="D7" s="116"/>
      <c r="E7" s="116"/>
      <c r="F7" s="117"/>
      <c r="G7" s="114" t="str">
        <f>' NotaPedido'!D6</f>
        <v>Servicio de Farmacia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18" customHeight="1" thickBot="1" x14ac:dyDescent="0.25">
      <c r="A8" s="118" t="s">
        <v>28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19" t="s">
        <v>29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6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542/2020,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1" t="s">
        <v>30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32</v>
      </c>
      <c r="P13" s="123"/>
      <c r="Q13" s="124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23"/>
      <c r="P14" s="123"/>
      <c r="Q14" s="124"/>
    </row>
    <row r="15" spans="1:17" ht="26.25" customHeight="1" x14ac:dyDescent="0.2">
      <c r="A15" s="58">
        <v>36</v>
      </c>
      <c r="B15" s="59"/>
      <c r="C15" s="59"/>
      <c r="D15" s="59">
        <v>1</v>
      </c>
      <c r="E15" s="59"/>
      <c r="F15" s="59">
        <v>4901</v>
      </c>
      <c r="G15" s="59">
        <v>3</v>
      </c>
      <c r="H15" s="59">
        <v>310</v>
      </c>
      <c r="I15" s="60">
        <v>2</v>
      </c>
      <c r="J15" s="60">
        <v>9</v>
      </c>
      <c r="K15" s="60">
        <v>5</v>
      </c>
      <c r="L15" s="59"/>
      <c r="M15" s="61">
        <v>1</v>
      </c>
      <c r="N15" s="62" t="s">
        <v>65</v>
      </c>
      <c r="O15" s="125" t="s">
        <v>64</v>
      </c>
      <c r="P15" s="126"/>
      <c r="Q15" s="20">
        <v>3759544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27"/>
      <c r="P16" s="127"/>
      <c r="Q16" s="20"/>
    </row>
    <row r="17" spans="1:18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27"/>
      <c r="P17" s="127"/>
      <c r="Q17" s="20"/>
    </row>
    <row r="18" spans="1:18" ht="17.25" customHeight="1" x14ac:dyDescent="0.2">
      <c r="A18" s="16"/>
      <c r="B18" s="17"/>
      <c r="C18" s="17"/>
      <c r="D18" s="17"/>
      <c r="E18" s="17"/>
      <c r="F18" s="19"/>
      <c r="G18" s="17"/>
      <c r="H18" s="17"/>
      <c r="I18" s="17"/>
      <c r="J18" s="17"/>
      <c r="K18" s="17"/>
      <c r="L18" s="17"/>
      <c r="M18" s="18"/>
      <c r="N18" s="19"/>
      <c r="O18" s="127"/>
      <c r="P18" s="127"/>
      <c r="Q18" s="20"/>
    </row>
    <row r="19" spans="1:18" ht="17.25" customHeight="1" x14ac:dyDescent="0.2">
      <c r="A19" s="21"/>
      <c r="B19" s="22"/>
      <c r="C19" s="22"/>
      <c r="D19" s="22"/>
      <c r="E19" s="22"/>
      <c r="F19" s="23"/>
      <c r="G19" s="22"/>
      <c r="H19" s="22"/>
      <c r="I19" s="22"/>
      <c r="J19" s="22"/>
      <c r="K19" s="22"/>
      <c r="L19" s="22"/>
      <c r="M19" s="24"/>
      <c r="N19" s="25"/>
      <c r="O19" s="133"/>
      <c r="P19" s="133"/>
      <c r="Q19" s="20"/>
      <c r="R19" s="1"/>
    </row>
    <row r="20" spans="1:18" ht="17.25" customHeight="1" x14ac:dyDescent="0.2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7"/>
      <c r="O20" s="134"/>
      <c r="P20" s="134"/>
      <c r="Q20" s="29"/>
    </row>
    <row r="21" spans="1:18" ht="29.25" customHeight="1" x14ac:dyDescent="0.2">
      <c r="A21" s="135" t="s">
        <v>104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30">
        <f>SUM(Q15:Q20)</f>
        <v>3759544</v>
      </c>
    </row>
    <row r="22" spans="1:18" ht="18" customHeight="1" thickBot="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</row>
    <row r="23" spans="1:18" ht="17.25" customHeight="1" thickBot="1" x14ac:dyDescent="0.25">
      <c r="A23" s="128" t="s">
        <v>47</v>
      </c>
      <c r="B23" s="129"/>
      <c r="C23" s="129"/>
      <c r="D23" s="129"/>
      <c r="E23" s="129"/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8" ht="18" customHeight="1" thickBot="1" x14ac:dyDescent="0.25">
      <c r="A24" s="132" t="s">
        <v>103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5" customHeight="1" x14ac:dyDescent="0.2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2020-11-19T15:56:05Z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