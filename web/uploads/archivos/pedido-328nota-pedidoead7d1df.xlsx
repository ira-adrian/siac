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DPPR\"/>
    </mc:Choice>
  </mc:AlternateContent>
  <bookViews>
    <workbookView xWindow="0" yWindow="0" windowWidth="20400" windowHeight="7155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Gastar'!$A$1:$Q$26</definedName>
    <definedName name="_xlnm.Print_Area" localSheetId="1">NotaPedido!$A$1:$K$24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K17" i="2"/>
  <c r="K18" i="2"/>
  <c r="K19" i="2"/>
  <c r="K20" i="2"/>
  <c r="K21" i="2"/>
  <c r="K22" i="2"/>
  <c r="K23" i="2"/>
  <c r="C16" i="2"/>
  <c r="C17" i="2"/>
  <c r="C18" i="2"/>
  <c r="C19" i="2"/>
  <c r="C20" i="2"/>
  <c r="C21" i="2"/>
  <c r="C22" i="2"/>
  <c r="C23" i="2"/>
  <c r="J18" i="2"/>
  <c r="J19" i="2"/>
  <c r="J20" i="2"/>
  <c r="J21" i="2"/>
  <c r="J22" i="2"/>
  <c r="J23" i="2"/>
  <c r="I17" i="2"/>
  <c r="I18" i="2"/>
  <c r="I19" i="2"/>
  <c r="I20" i="2"/>
  <c r="I21" i="2"/>
  <c r="I22" i="2"/>
  <c r="I23" i="2"/>
  <c r="A25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13" i="1"/>
  <c r="I12" i="1"/>
  <c r="I21" i="1"/>
  <c r="I20" i="1"/>
  <c r="I19" i="1"/>
  <c r="I18" i="1"/>
  <c r="I14" i="1"/>
  <c r="I17" i="1"/>
  <c r="I16" i="1"/>
  <c r="I15" i="1"/>
  <c r="I11" i="1"/>
  <c r="I10" i="1"/>
  <c r="J24" i="2" l="1"/>
  <c r="G6" i="3" l="1"/>
  <c r="G7" i="3"/>
  <c r="D7" i="2"/>
  <c r="D3" i="2"/>
  <c r="G4" i="3" s="1"/>
  <c r="D4" i="2"/>
  <c r="G5" i="3" s="1"/>
  <c r="D1" i="3" l="1"/>
  <c r="Q22" i="3"/>
</calcChain>
</file>

<file path=xl/sharedStrings.xml><?xml version="1.0" encoding="utf-8"?>
<sst xmlns="http://schemas.openxmlformats.org/spreadsheetml/2006/main" count="135" uniqueCount="86">
  <si>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</si>
  <si>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</si>
  <si>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</si>
  <si>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</si>
  <si>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</si>
  <si>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</si>
  <si>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</si>
  <si>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</si>
  <si>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</si>
  <si>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</si>
  <si>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</si>
  <si>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</si>
  <si>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</si>
  <si>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</si>
  <si>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</si>
  <si>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</si>
  <si>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</si>
  <si>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</si>
  <si>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</si>
  <si>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</si>
  <si>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</si>
  <si>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</si>
  <si>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</si>
  <si>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</si>
  <si>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</si>
  <si>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</si>
  <si>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</si>
  <si>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</si>
  <si>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</si>
  <si>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</si>
  <si>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</si>
  <si>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</si>
  <si>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</si>
  <si>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</si>
  <si>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</si>
  <si>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</si>
  <si>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</si>
  <si>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</si>
  <si>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</si>
  <si>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</si>
  <si>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</si>
  <si>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</si>
  <si>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</si>
  <si>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</si>
  <si>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</si>
  <si>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</si>
  <si>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</si>
  <si>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</si>
  <si>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</si>
  <si>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</si>
  <si>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</si>
  <si>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</si>
  <si>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</si>
  <si>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</si>
  <si>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</si>
  <si>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</si>
  <si>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</si>
  <si>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</si>
  <si>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</si>
  <si>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</si>
  <si>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</si>
  <si>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</si>
  <si>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</si>
  <si>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 xml:space="preserve">45 dias habiles </t>
  </si>
  <si>
    <t>3.1</t>
  </si>
  <si>
    <t>1.1</t>
  </si>
  <si>
    <t xml:space="preserve">MEDICAMENTOS </t>
  </si>
  <si>
    <t>2.5.2</t>
  </si>
  <si>
    <t>015 - 2021</t>
  </si>
  <si>
    <t>Adquisición de Alimentos Enterales (Nutrición), Soluciones p/equilibrio Hidroelectrolitico y Soluciones para Dialisis</t>
  </si>
  <si>
    <t>ALIMENTACION PARENTERAL INYECTABLE DE GRAN VOLUMEN TIPO OLI CLINOMEL/SMOKAVIBEN</t>
  </si>
  <si>
    <t>UNIDAD</t>
  </si>
  <si>
    <t>SOLUCION DEXTROSA AL 10% SACHET DE 250 ML</t>
  </si>
  <si>
    <t>BICARBONATO 1 MOLAR SACHET X 100 ML</t>
  </si>
  <si>
    <t>SOLUCION DEXTROSA AL 10% SACHET DE 500 ML</t>
  </si>
  <si>
    <t>SOLUCION DEXTROSA AL 25% SACHET DE 500 ML</t>
  </si>
  <si>
    <t>SOLUCION DEXTROSA 50%SACHET X 500ML</t>
  </si>
  <si>
    <t>SOLUCION DEXTROSA AL 5 % SACHET DE 500 ML</t>
  </si>
  <si>
    <t>SOLUCION FISIOLOGICA 0,9 % SACHET X 500 ML</t>
  </si>
  <si>
    <t>SOLUCION FISIOLOGICA 0,9% SACHET X 100 ML</t>
  </si>
  <si>
    <t>SOLUCION RINGER LACTATO DE 500 ML</t>
  </si>
  <si>
    <t>SOLUCION A CONCENTRADO ACIDO PARA HEMODIALISIS , FORMULA GLUCOSADOS Y NO GLUCOSADAS</t>
  </si>
  <si>
    <t>SOLUCION B CONCENTRADO BASICO, FORMULA DE BICARBONATO EN SOLUCION</t>
  </si>
  <si>
    <t xml:space="preserve">10 dias - Servicio de Farmacia del HISJB - Avda. Illia y Mariano Moreno </t>
  </si>
  <si>
    <t>Costo total estimado: cuatro millones trescientos sesenta mil ochocientos cuarenta y cinco con 40/100.-------------</t>
  </si>
  <si>
    <t>TOTAL DE PESOS: CUATRO MILLONES TRESCIENTOS SESENTA MIL OCHOCIENTOS CUARENTA Y CINCO CON 40/100.-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</si>
</sst>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166" fontId="0" fillId="0" borderId="0" xfId="0" applyNumberFormat="1"/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26" fillId="0" borderId="32" xfId="0" applyFont="1" applyBorder="1" applyAlignment="1">
      <alignment horizontal="left" vertical="center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7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7"/>
  <sheetViews>
    <sheetView tabSelected="1" zoomScale="80" zoomScaleNormal="80" workbookViewId="0">
      <selection activeCell="I32" sqref="I32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78" t="s">
        <v>0</v>
      </c>
      <c r="C2" s="78"/>
      <c r="D2" s="78"/>
      <c r="E2" s="78"/>
      <c r="F2" s="78"/>
      <c r="G2" s="78"/>
      <c r="H2" s="78"/>
    </row>
    <row r="4" spans="1:9" ht="18" customHeight="1" x14ac:dyDescent="0.25">
      <c r="A4" s="79" t="s">
        <v>1</v>
      </c>
      <c r="B4" s="79"/>
      <c r="C4" s="80" t="s">
        <v>58</v>
      </c>
      <c r="D4" s="80"/>
      <c r="E4" s="80"/>
      <c r="F4" s="40"/>
      <c r="G4" s="41"/>
      <c r="H4" s="40"/>
    </row>
    <row r="5" spans="1:9" ht="18" customHeight="1" x14ac:dyDescent="0.25">
      <c r="A5" s="79" t="s">
        <v>2</v>
      </c>
      <c r="B5" s="79"/>
      <c r="C5" s="80" t="s">
        <v>59</v>
      </c>
      <c r="D5" s="80"/>
      <c r="E5" s="80"/>
      <c r="F5" s="40"/>
      <c r="G5" s="41"/>
      <c r="H5" s="40"/>
    </row>
    <row r="6" spans="1:9" ht="16.5" customHeight="1" x14ac:dyDescent="0.25">
      <c r="A6" s="79" t="s">
        <v>3</v>
      </c>
      <c r="B6" s="79"/>
      <c r="C6" s="63">
        <v>2021</v>
      </c>
      <c r="D6" s="64"/>
      <c r="E6" s="64"/>
      <c r="F6" s="40"/>
      <c r="G6" s="41"/>
      <c r="H6" s="40"/>
    </row>
    <row r="7" spans="1:9" ht="16.5" customHeight="1" x14ac:dyDescent="0.25">
      <c r="A7" s="79" t="s">
        <v>4</v>
      </c>
      <c r="B7" s="79"/>
      <c r="C7" s="63">
        <v>2</v>
      </c>
      <c r="D7" s="64"/>
      <c r="E7" s="6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60"/>
      <c r="C10" s="57" t="s">
        <v>66</v>
      </c>
      <c r="D10" s="58" t="s">
        <v>67</v>
      </c>
      <c r="E10" s="59" t="s">
        <v>70</v>
      </c>
      <c r="F10" s="60" t="s">
        <v>71</v>
      </c>
      <c r="G10" s="60">
        <v>24</v>
      </c>
      <c r="H10" s="61">
        <v>16134</v>
      </c>
      <c r="I10" s="62">
        <f t="shared" ref="I10:I21" si="0">G10*H10</f>
        <v>387216</v>
      </c>
    </row>
    <row r="11" spans="1:9" ht="31.9" customHeight="1" thickBot="1" x14ac:dyDescent="0.25">
      <c r="A11" s="56">
        <v>2</v>
      </c>
      <c r="B11" s="60"/>
      <c r="C11" s="57" t="s">
        <v>66</v>
      </c>
      <c r="D11" s="58" t="s">
        <v>67</v>
      </c>
      <c r="E11" s="59" t="s">
        <v>73</v>
      </c>
      <c r="F11" s="60" t="s">
        <v>71</v>
      </c>
      <c r="G11" s="60">
        <v>100</v>
      </c>
      <c r="H11" s="61">
        <v>707.84</v>
      </c>
      <c r="I11" s="62">
        <f t="shared" si="0"/>
        <v>70784</v>
      </c>
    </row>
    <row r="12" spans="1:9" ht="31.9" customHeight="1" thickBot="1" x14ac:dyDescent="0.25">
      <c r="A12" s="56">
        <v>3</v>
      </c>
      <c r="B12" s="60"/>
      <c r="C12" s="57" t="s">
        <v>66</v>
      </c>
      <c r="D12" s="58" t="s">
        <v>67</v>
      </c>
      <c r="E12" s="59" t="s">
        <v>81</v>
      </c>
      <c r="F12" s="60" t="s">
        <v>71</v>
      </c>
      <c r="G12" s="60">
        <v>500</v>
      </c>
      <c r="H12" s="61">
        <v>519</v>
      </c>
      <c r="I12" s="62">
        <f t="shared" si="0"/>
        <v>259500</v>
      </c>
    </row>
    <row r="13" spans="1:9" ht="31.9" customHeight="1" thickBot="1" x14ac:dyDescent="0.25">
      <c r="A13" s="56">
        <v>4</v>
      </c>
      <c r="B13" s="60"/>
      <c r="C13" s="57" t="s">
        <v>66</v>
      </c>
      <c r="D13" s="58" t="s">
        <v>67</v>
      </c>
      <c r="E13" s="59" t="s">
        <v>82</v>
      </c>
      <c r="F13" s="60" t="s">
        <v>71</v>
      </c>
      <c r="G13" s="60">
        <v>720</v>
      </c>
      <c r="H13" s="61">
        <v>685</v>
      </c>
      <c r="I13" s="62">
        <f t="shared" si="0"/>
        <v>493200</v>
      </c>
    </row>
    <row r="14" spans="1:9" ht="31.9" customHeight="1" thickBot="1" x14ac:dyDescent="0.25">
      <c r="A14" s="56">
        <v>5</v>
      </c>
      <c r="B14" s="60"/>
      <c r="C14" s="57" t="s">
        <v>66</v>
      </c>
      <c r="D14" s="58" t="s">
        <v>67</v>
      </c>
      <c r="E14" s="59" t="s">
        <v>76</v>
      </c>
      <c r="F14" s="60" t="s">
        <v>71</v>
      </c>
      <c r="G14" s="60">
        <v>20</v>
      </c>
      <c r="H14" s="61">
        <v>906.03</v>
      </c>
      <c r="I14" s="62">
        <f t="shared" si="0"/>
        <v>18120.599999999999</v>
      </c>
    </row>
    <row r="15" spans="1:9" ht="31.9" customHeight="1" thickBot="1" x14ac:dyDescent="0.25">
      <c r="A15" s="56">
        <v>6</v>
      </c>
      <c r="B15" s="60"/>
      <c r="C15" s="57" t="s">
        <v>66</v>
      </c>
      <c r="D15" s="58" t="s">
        <v>67</v>
      </c>
      <c r="E15" s="59" t="s">
        <v>72</v>
      </c>
      <c r="F15" s="60" t="s">
        <v>71</v>
      </c>
      <c r="G15" s="60">
        <v>20</v>
      </c>
      <c r="H15" s="61">
        <v>67.06</v>
      </c>
      <c r="I15" s="62">
        <f t="shared" si="0"/>
        <v>1341.2</v>
      </c>
    </row>
    <row r="16" spans="1:9" ht="31.9" customHeight="1" thickBot="1" x14ac:dyDescent="0.25">
      <c r="A16" s="56">
        <v>7</v>
      </c>
      <c r="B16" s="60"/>
      <c r="C16" s="57" t="s">
        <v>66</v>
      </c>
      <c r="D16" s="58" t="s">
        <v>67</v>
      </c>
      <c r="E16" s="59" t="s">
        <v>74</v>
      </c>
      <c r="F16" s="60" t="s">
        <v>71</v>
      </c>
      <c r="G16" s="60">
        <v>20</v>
      </c>
      <c r="H16" s="61">
        <v>67.06</v>
      </c>
      <c r="I16" s="62">
        <f t="shared" si="0"/>
        <v>1341.2</v>
      </c>
    </row>
    <row r="17" spans="1:9" ht="31.9" customHeight="1" thickBot="1" x14ac:dyDescent="0.25">
      <c r="A17" s="56">
        <v>8</v>
      </c>
      <c r="B17" s="60"/>
      <c r="C17" s="57" t="s">
        <v>66</v>
      </c>
      <c r="D17" s="58" t="s">
        <v>67</v>
      </c>
      <c r="E17" s="59" t="s">
        <v>75</v>
      </c>
      <c r="F17" s="60" t="s">
        <v>71</v>
      </c>
      <c r="G17" s="60">
        <v>10</v>
      </c>
      <c r="H17" s="61">
        <v>707.84</v>
      </c>
      <c r="I17" s="62">
        <f t="shared" si="0"/>
        <v>7078.4000000000005</v>
      </c>
    </row>
    <row r="18" spans="1:9" ht="31.9" customHeight="1" thickBot="1" x14ac:dyDescent="0.25">
      <c r="A18" s="56">
        <v>9</v>
      </c>
      <c r="B18" s="60"/>
      <c r="C18" s="57" t="s">
        <v>66</v>
      </c>
      <c r="D18" s="58" t="s">
        <v>67</v>
      </c>
      <c r="E18" s="59" t="s">
        <v>77</v>
      </c>
      <c r="F18" s="60" t="s">
        <v>71</v>
      </c>
      <c r="G18" s="60">
        <v>8000</v>
      </c>
      <c r="H18" s="61">
        <v>76</v>
      </c>
      <c r="I18" s="62">
        <f t="shared" si="0"/>
        <v>608000</v>
      </c>
    </row>
    <row r="19" spans="1:9" ht="31.9" customHeight="1" thickBot="1" x14ac:dyDescent="0.25">
      <c r="A19" s="56">
        <v>10</v>
      </c>
      <c r="B19" s="60"/>
      <c r="C19" s="57" t="s">
        <v>66</v>
      </c>
      <c r="D19" s="58" t="s">
        <v>67</v>
      </c>
      <c r="E19" s="59" t="s">
        <v>78</v>
      </c>
      <c r="F19" s="60" t="s">
        <v>71</v>
      </c>
      <c r="G19" s="60">
        <v>40000</v>
      </c>
      <c r="H19" s="61">
        <v>60</v>
      </c>
      <c r="I19" s="62">
        <f t="shared" si="0"/>
        <v>2400000</v>
      </c>
    </row>
    <row r="20" spans="1:9" ht="31.9" customHeight="1" thickBot="1" x14ac:dyDescent="0.25">
      <c r="A20" s="56">
        <v>11</v>
      </c>
      <c r="B20" s="60"/>
      <c r="C20" s="57" t="s">
        <v>66</v>
      </c>
      <c r="D20" s="58" t="s">
        <v>67</v>
      </c>
      <c r="E20" s="59" t="s">
        <v>79</v>
      </c>
      <c r="F20" s="60" t="s">
        <v>71</v>
      </c>
      <c r="G20" s="60">
        <v>400</v>
      </c>
      <c r="H20" s="61">
        <v>71.02</v>
      </c>
      <c r="I20" s="62">
        <f t="shared" si="0"/>
        <v>28408</v>
      </c>
    </row>
    <row r="21" spans="1:9" ht="31.9" customHeight="1" thickBot="1" x14ac:dyDescent="0.25">
      <c r="A21" s="56">
        <v>12</v>
      </c>
      <c r="B21" s="60"/>
      <c r="C21" s="57" t="s">
        <v>66</v>
      </c>
      <c r="D21" s="58" t="s">
        <v>67</v>
      </c>
      <c r="E21" s="59" t="s">
        <v>80</v>
      </c>
      <c r="F21" s="60" t="s">
        <v>71</v>
      </c>
      <c r="G21" s="60">
        <v>100</v>
      </c>
      <c r="H21" s="61">
        <v>858.56</v>
      </c>
      <c r="I21" s="62">
        <f t="shared" si="0"/>
        <v>85856</v>
      </c>
    </row>
    <row r="24" spans="1:9" x14ac:dyDescent="0.2">
      <c r="B24" s="42" t="s">
        <v>14</v>
      </c>
      <c r="C24" s="43"/>
      <c r="D24" s="43"/>
      <c r="E24" s="44"/>
    </row>
    <row r="25" spans="1:9" ht="5.25" customHeight="1" x14ac:dyDescent="0.2">
      <c r="B25" s="45"/>
      <c r="C25" s="46"/>
      <c r="D25" s="46"/>
      <c r="E25" s="47"/>
    </row>
    <row r="26" spans="1:9" x14ac:dyDescent="0.2">
      <c r="B26" s="48" t="s">
        <v>15</v>
      </c>
      <c r="C26" s="46"/>
      <c r="D26" s="46"/>
      <c r="E26" s="47"/>
    </row>
    <row r="27" spans="1:9" ht="41.25" customHeight="1" x14ac:dyDescent="0.2">
      <c r="B27" s="48"/>
      <c r="C27" s="81"/>
      <c r="D27" s="81"/>
      <c r="E27" s="81"/>
    </row>
    <row r="28" spans="1:9" x14ac:dyDescent="0.2">
      <c r="B28" s="48" t="s">
        <v>16</v>
      </c>
      <c r="C28" s="46"/>
      <c r="D28" s="46"/>
      <c r="E28" s="47"/>
    </row>
    <row r="29" spans="1:9" x14ac:dyDescent="0.2">
      <c r="B29" s="49"/>
      <c r="C29" s="84" t="s">
        <v>83</v>
      </c>
      <c r="D29" s="84"/>
      <c r="E29" s="84"/>
    </row>
    <row r="30" spans="1:9" x14ac:dyDescent="0.2">
      <c r="B30" s="49"/>
      <c r="C30" s="85"/>
      <c r="D30" s="85"/>
      <c r="E30" s="85"/>
    </row>
    <row r="31" spans="1:9" x14ac:dyDescent="0.2">
      <c r="B31" s="48" t="s">
        <v>17</v>
      </c>
      <c r="C31" s="46"/>
      <c r="D31" s="46"/>
      <c r="E31" s="47"/>
    </row>
    <row r="32" spans="1:9" ht="26.25" customHeight="1" x14ac:dyDescent="0.2">
      <c r="B32" s="49"/>
      <c r="C32" s="81"/>
      <c r="D32" s="81"/>
      <c r="E32" s="81"/>
    </row>
    <row r="33" spans="2:5" x14ac:dyDescent="0.2">
      <c r="B33" s="48" t="s">
        <v>18</v>
      </c>
      <c r="C33" s="50"/>
      <c r="D33" s="50"/>
      <c r="E33" s="51"/>
    </row>
    <row r="34" spans="2:5" ht="26.25" customHeight="1" x14ac:dyDescent="0.2">
      <c r="B34" s="49"/>
      <c r="C34" s="82" t="s">
        <v>63</v>
      </c>
      <c r="D34" s="82"/>
      <c r="E34" s="82"/>
    </row>
    <row r="35" spans="2:5" x14ac:dyDescent="0.2">
      <c r="B35" s="48" t="s">
        <v>19</v>
      </c>
      <c r="C35" s="46"/>
      <c r="D35" s="46"/>
      <c r="E35" s="47"/>
    </row>
    <row r="36" spans="2:5" ht="23.25" customHeight="1" x14ac:dyDescent="0.2">
      <c r="B36" s="48"/>
      <c r="C36" s="83"/>
      <c r="D36" s="83"/>
      <c r="E36" s="83"/>
    </row>
    <row r="37" spans="2:5" x14ac:dyDescent="0.2">
      <c r="B37" s="52"/>
      <c r="C37" s="53"/>
      <c r="D37" s="53"/>
      <c r="E37" s="54"/>
    </row>
  </sheetData>
  <sortState ref="C10:I21">
    <sortCondition ref="E10:E21"/>
  </sortState>
  <mergeCells count="13">
    <mergeCell ref="C32:E32"/>
    <mergeCell ref="C34:E34"/>
    <mergeCell ref="C36:E36"/>
    <mergeCell ref="A6:B6"/>
    <mergeCell ref="A7:B7"/>
    <mergeCell ref="C27:E27"/>
    <mergeCell ref="C29:E29"/>
    <mergeCell ref="C30:E30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4"/>
  <sheetViews>
    <sheetView topLeftCell="A3" zoomScale="70" zoomScaleNormal="70" workbookViewId="0">
      <selection activeCell="Q17" sqref="Q17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86" t="s">
        <v>20</v>
      </c>
      <c r="B1" s="86"/>
      <c r="C1" s="86"/>
      <c r="D1" s="86"/>
      <c r="E1" s="86"/>
      <c r="F1" s="86"/>
      <c r="G1" s="86"/>
      <c r="H1" s="86"/>
      <c r="I1" s="86"/>
      <c r="J1" s="3" t="s">
        <v>21</v>
      </c>
      <c r="K1" s="65" t="s">
        <v>68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87" t="s">
        <v>54</v>
      </c>
      <c r="B3" s="87"/>
      <c r="C3" s="87"/>
      <c r="D3" s="88" t="str">
        <f>'Necesidades Trimestrales'!C4</f>
        <v>40 - Ministerio de Salud</v>
      </c>
      <c r="E3" s="88"/>
      <c r="F3" s="88"/>
      <c r="G3" s="88"/>
      <c r="H3" s="88"/>
      <c r="I3" s="88"/>
      <c r="J3" s="88"/>
      <c r="K3" s="88"/>
    </row>
    <row r="4" spans="1:11" ht="18.75" customHeight="1" thickBot="1" x14ac:dyDescent="0.25">
      <c r="A4" s="89" t="s">
        <v>55</v>
      </c>
      <c r="B4" s="89"/>
      <c r="C4" s="89"/>
      <c r="D4" s="88" t="str">
        <f>'Necesidades Trimestrales'!C5</f>
        <v>23 - Hospital Interzonal San Juan Bautista</v>
      </c>
      <c r="E4" s="88"/>
      <c r="F4" s="88"/>
      <c r="G4" s="88"/>
      <c r="H4" s="88"/>
      <c r="I4" s="88"/>
      <c r="J4" s="88"/>
      <c r="K4" s="88"/>
    </row>
    <row r="5" spans="1:11" ht="18.75" customHeight="1" thickBot="1" x14ac:dyDescent="0.25">
      <c r="A5" s="89" t="s">
        <v>33</v>
      </c>
      <c r="B5" s="89"/>
      <c r="C5" s="89"/>
      <c r="D5" s="88" t="s">
        <v>60</v>
      </c>
      <c r="E5" s="88"/>
      <c r="F5" s="88"/>
      <c r="G5" s="88"/>
      <c r="H5" s="88"/>
      <c r="I5" s="88"/>
      <c r="J5" s="88"/>
      <c r="K5" s="88"/>
    </row>
    <row r="6" spans="1:11" ht="16.5" customHeight="1" thickBot="1" x14ac:dyDescent="0.25">
      <c r="A6" s="87" t="s">
        <v>56</v>
      </c>
      <c r="B6" s="87"/>
      <c r="C6" s="87"/>
      <c r="D6" s="88" t="s">
        <v>61</v>
      </c>
      <c r="E6" s="88"/>
      <c r="F6" s="88"/>
      <c r="G6" s="88"/>
      <c r="H6" s="88"/>
      <c r="I6" s="88"/>
      <c r="J6" s="88"/>
      <c r="K6" s="88"/>
    </row>
    <row r="7" spans="1:11" ht="16.5" customHeight="1" x14ac:dyDescent="0.2">
      <c r="A7" s="89" t="s">
        <v>22</v>
      </c>
      <c r="B7" s="89"/>
      <c r="C7" s="89"/>
      <c r="D7" s="88" t="str">
        <f>'Necesidades Trimestrales'!C7 &amp; "° Trimestre - Año " &amp; 'Necesidades Trimestrales'!C6</f>
        <v>2° Trimestre - Año 2021</v>
      </c>
      <c r="E7" s="88"/>
      <c r="F7" s="88"/>
      <c r="G7" s="88"/>
      <c r="H7" s="88"/>
      <c r="I7" s="88"/>
      <c r="J7" s="88"/>
      <c r="K7" s="88"/>
    </row>
    <row r="8" spans="1:11" ht="16.5" customHeight="1" x14ac:dyDescent="0.2">
      <c r="A8" s="92" t="s">
        <v>23</v>
      </c>
      <c r="B8" s="92"/>
      <c r="C8" s="92"/>
      <c r="D8" s="93" t="s">
        <v>69</v>
      </c>
      <c r="E8" s="93"/>
      <c r="F8" s="93"/>
      <c r="G8" s="93"/>
      <c r="H8" s="93"/>
      <c r="I8" s="93"/>
      <c r="J8" s="93"/>
      <c r="K8" s="93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4" t="s">
        <v>24</v>
      </c>
      <c r="B10" s="95" t="s">
        <v>25</v>
      </c>
      <c r="C10" s="95" t="s">
        <v>26</v>
      </c>
      <c r="D10" s="95"/>
      <c r="E10" s="95"/>
      <c r="F10" s="95"/>
      <c r="G10" s="95"/>
      <c r="H10" s="95" t="s">
        <v>27</v>
      </c>
      <c r="I10" s="95" t="s">
        <v>28</v>
      </c>
      <c r="J10" s="95" t="s">
        <v>29</v>
      </c>
      <c r="K10" s="96" t="s">
        <v>30</v>
      </c>
    </row>
    <row r="11" spans="1:11" ht="24" customHeight="1" thickBot="1" x14ac:dyDescent="0.25">
      <c r="A11" s="94"/>
      <c r="B11" s="95"/>
      <c r="C11" s="95"/>
      <c r="D11" s="95"/>
      <c r="E11" s="95"/>
      <c r="F11" s="95"/>
      <c r="G11" s="95"/>
      <c r="H11" s="95"/>
      <c r="I11" s="95"/>
      <c r="J11" s="95"/>
      <c r="K11" s="96"/>
    </row>
    <row r="12" spans="1:11" ht="20.25" customHeight="1" thickBot="1" x14ac:dyDescent="0.25">
      <c r="A12" s="8">
        <v>1</v>
      </c>
      <c r="B12" s="66">
        <f>'Necesidades Trimestrales'!B10</f>
        <v>0</v>
      </c>
      <c r="C12" s="97" t="str">
        <f>'Necesidades Trimestrales'!E10</f>
        <v>ALIMENTACION PARENTERAL INYECTABLE DE GRAN VOLUMEN TIPO OLI CLINOMEL/SMOKAVIBEN</v>
      </c>
      <c r="D12" s="97"/>
      <c r="E12" s="97"/>
      <c r="F12" s="97"/>
      <c r="G12" s="97"/>
      <c r="H12" s="67" t="s">
        <v>57</v>
      </c>
      <c r="I12" s="68" t="str">
        <f>'Necesidades Trimestrales'!F10</f>
        <v>UNIDAD</v>
      </c>
      <c r="J12" s="69">
        <f>'Necesidades Trimestrales'!H10</f>
        <v>16134</v>
      </c>
      <c r="K12" s="70">
        <f>'Necesidades Trimestrales'!G10</f>
        <v>24</v>
      </c>
    </row>
    <row r="13" spans="1:11" ht="20.25" customHeight="1" thickBot="1" x14ac:dyDescent="0.25">
      <c r="A13" s="8">
        <v>2</v>
      </c>
      <c r="B13" s="66">
        <f>'Necesidades Trimestrales'!B11</f>
        <v>0</v>
      </c>
      <c r="C13" s="97" t="str">
        <f>'Necesidades Trimestrales'!E11</f>
        <v>BICARBONATO 1 MOLAR SACHET X 100 ML</v>
      </c>
      <c r="D13" s="97"/>
      <c r="E13" s="97"/>
      <c r="F13" s="97"/>
      <c r="G13" s="97"/>
      <c r="H13" s="67" t="s">
        <v>57</v>
      </c>
      <c r="I13" s="68" t="str">
        <f>'Necesidades Trimestrales'!F11</f>
        <v>UNIDAD</v>
      </c>
      <c r="J13" s="69">
        <f>'Necesidades Trimestrales'!H11</f>
        <v>707.84</v>
      </c>
      <c r="K13" s="70">
        <f>'Necesidades Trimestrales'!G11</f>
        <v>100</v>
      </c>
    </row>
    <row r="14" spans="1:11" ht="20.25" customHeight="1" thickBot="1" x14ac:dyDescent="0.25">
      <c r="A14" s="8">
        <v>3</v>
      </c>
      <c r="B14" s="66">
        <f>'Necesidades Trimestrales'!B12</f>
        <v>0</v>
      </c>
      <c r="C14" s="97" t="str">
        <f>'Necesidades Trimestrales'!E12</f>
        <v>SOLUCION A CONCENTRADO ACIDO PARA HEMODIALISIS , FORMULA GLUCOSADOS Y NO GLUCOSADAS</v>
      </c>
      <c r="D14" s="97"/>
      <c r="E14" s="97"/>
      <c r="F14" s="97"/>
      <c r="G14" s="97"/>
      <c r="H14" s="67" t="s">
        <v>57</v>
      </c>
      <c r="I14" s="68" t="str">
        <f>'Necesidades Trimestrales'!F12</f>
        <v>UNIDAD</v>
      </c>
      <c r="J14" s="69">
        <f>'Necesidades Trimestrales'!H12</f>
        <v>519</v>
      </c>
      <c r="K14" s="70">
        <f>'Necesidades Trimestrales'!G12</f>
        <v>500</v>
      </c>
    </row>
    <row r="15" spans="1:11" ht="20.25" customHeight="1" thickBot="1" x14ac:dyDescent="0.25">
      <c r="A15" s="8">
        <v>4</v>
      </c>
      <c r="B15" s="66">
        <f>'Necesidades Trimestrales'!B13</f>
        <v>0</v>
      </c>
      <c r="C15" s="97" t="str">
        <f>'Necesidades Trimestrales'!E13</f>
        <v>SOLUCION B CONCENTRADO BASICO, FORMULA DE BICARBONATO EN SOLUCION</v>
      </c>
      <c r="D15" s="97"/>
      <c r="E15" s="97"/>
      <c r="F15" s="97"/>
      <c r="G15" s="97"/>
      <c r="H15" s="67" t="s">
        <v>57</v>
      </c>
      <c r="I15" s="68" t="str">
        <f>'Necesidades Trimestrales'!F13</f>
        <v>UNIDAD</v>
      </c>
      <c r="J15" s="69">
        <f>'Necesidades Trimestrales'!H13</f>
        <v>685</v>
      </c>
      <c r="K15" s="70">
        <f>'Necesidades Trimestrales'!G13</f>
        <v>720</v>
      </c>
    </row>
    <row r="16" spans="1:11" ht="20.25" customHeight="1" thickBot="1" x14ac:dyDescent="0.25">
      <c r="A16" s="8">
        <v>5</v>
      </c>
      <c r="B16" s="66">
        <f>'Necesidades Trimestrales'!B14</f>
        <v>0</v>
      </c>
      <c r="C16" s="97" t="str">
        <f>'Necesidades Trimestrales'!E14</f>
        <v>SOLUCION DEXTROSA 50%SACHET X 500ML</v>
      </c>
      <c r="D16" s="97"/>
      <c r="E16" s="97"/>
      <c r="F16" s="97"/>
      <c r="G16" s="97"/>
      <c r="H16" s="67" t="s">
        <v>57</v>
      </c>
      <c r="I16" s="68" t="str">
        <f>'Necesidades Trimestrales'!F14</f>
        <v>UNIDAD</v>
      </c>
      <c r="J16" s="69">
        <f>'Necesidades Trimestrales'!H14</f>
        <v>906.03</v>
      </c>
      <c r="K16" s="70">
        <f>'Necesidades Trimestrales'!G14</f>
        <v>20</v>
      </c>
    </row>
    <row r="17" spans="1:1024" ht="20.25" customHeight="1" thickBot="1" x14ac:dyDescent="0.25">
      <c r="A17" s="8">
        <v>6</v>
      </c>
      <c r="B17" s="66">
        <f>'Necesidades Trimestrales'!B15</f>
        <v>0</v>
      </c>
      <c r="C17" s="97" t="str">
        <f>'Necesidades Trimestrales'!E15</f>
        <v>SOLUCION DEXTROSA AL 10% SACHET DE 250 ML</v>
      </c>
      <c r="D17" s="97"/>
      <c r="E17" s="97"/>
      <c r="F17" s="97"/>
      <c r="G17" s="97"/>
      <c r="H17" s="67" t="s">
        <v>57</v>
      </c>
      <c r="I17" s="68" t="str">
        <f>'Necesidades Trimestrales'!F15</f>
        <v>UNIDAD</v>
      </c>
      <c r="J17" s="69">
        <f>'Necesidades Trimestrales'!H15</f>
        <v>67.06</v>
      </c>
      <c r="K17" s="70">
        <f>'Necesidades Trimestrales'!G15</f>
        <v>20</v>
      </c>
    </row>
    <row r="18" spans="1:1024" ht="20.25" customHeight="1" thickBot="1" x14ac:dyDescent="0.25">
      <c r="A18" s="8">
        <v>7</v>
      </c>
      <c r="B18" s="66">
        <f>'Necesidades Trimestrales'!B16</f>
        <v>0</v>
      </c>
      <c r="C18" s="97" t="str">
        <f>'Necesidades Trimestrales'!E16</f>
        <v>SOLUCION DEXTROSA AL 10% SACHET DE 500 ML</v>
      </c>
      <c r="D18" s="97"/>
      <c r="E18" s="97"/>
      <c r="F18" s="97"/>
      <c r="G18" s="97"/>
      <c r="H18" s="67" t="s">
        <v>57</v>
      </c>
      <c r="I18" s="68" t="str">
        <f>'Necesidades Trimestrales'!F16</f>
        <v>UNIDAD</v>
      </c>
      <c r="J18" s="69">
        <f>'Necesidades Trimestrales'!H16</f>
        <v>67.06</v>
      </c>
      <c r="K18" s="70">
        <f>'Necesidades Trimestrales'!G16</f>
        <v>20</v>
      </c>
    </row>
    <row r="19" spans="1:1024" ht="20.25" customHeight="1" thickBot="1" x14ac:dyDescent="0.25">
      <c r="A19" s="8">
        <v>8</v>
      </c>
      <c r="B19" s="66">
        <f>'Necesidades Trimestrales'!B17</f>
        <v>0</v>
      </c>
      <c r="C19" s="97" t="str">
        <f>'Necesidades Trimestrales'!E17</f>
        <v>SOLUCION DEXTROSA AL 25% SACHET DE 500 ML</v>
      </c>
      <c r="D19" s="97"/>
      <c r="E19" s="97"/>
      <c r="F19" s="97"/>
      <c r="G19" s="97"/>
      <c r="H19" s="67" t="s">
        <v>57</v>
      </c>
      <c r="I19" s="68" t="str">
        <f>'Necesidades Trimestrales'!F17</f>
        <v>UNIDAD</v>
      </c>
      <c r="J19" s="69">
        <f>'Necesidades Trimestrales'!H17</f>
        <v>707.84</v>
      </c>
      <c r="K19" s="70">
        <f>'Necesidades Trimestrales'!G17</f>
        <v>10</v>
      </c>
    </row>
    <row r="20" spans="1:1024" ht="20.25" customHeight="1" thickBot="1" x14ac:dyDescent="0.25">
      <c r="A20" s="8">
        <v>9</v>
      </c>
      <c r="B20" s="66">
        <f>'Necesidades Trimestrales'!B18</f>
        <v>0</v>
      </c>
      <c r="C20" s="97" t="str">
        <f>'Necesidades Trimestrales'!E18</f>
        <v>SOLUCION DEXTROSA AL 5 % SACHET DE 500 ML</v>
      </c>
      <c r="D20" s="97"/>
      <c r="E20" s="97"/>
      <c r="F20" s="97"/>
      <c r="G20" s="97"/>
      <c r="H20" s="67" t="s">
        <v>57</v>
      </c>
      <c r="I20" s="68" t="str">
        <f>'Necesidades Trimestrales'!F18</f>
        <v>UNIDAD</v>
      </c>
      <c r="J20" s="69">
        <f>'Necesidades Trimestrales'!H18</f>
        <v>76</v>
      </c>
      <c r="K20" s="70">
        <f>'Necesidades Trimestrales'!G18</f>
        <v>8000</v>
      </c>
    </row>
    <row r="21" spans="1:1024" ht="20.25" customHeight="1" thickBot="1" x14ac:dyDescent="0.25">
      <c r="A21" s="8">
        <v>10</v>
      </c>
      <c r="B21" s="66">
        <f>'Necesidades Trimestrales'!B19</f>
        <v>0</v>
      </c>
      <c r="C21" s="97" t="str">
        <f>'Necesidades Trimestrales'!E19</f>
        <v>SOLUCION FISIOLOGICA 0,9 % SACHET X 500 ML</v>
      </c>
      <c r="D21" s="97"/>
      <c r="E21" s="97"/>
      <c r="F21" s="97"/>
      <c r="G21" s="97"/>
      <c r="H21" s="67" t="s">
        <v>57</v>
      </c>
      <c r="I21" s="68" t="str">
        <f>'Necesidades Trimestrales'!F19</f>
        <v>UNIDAD</v>
      </c>
      <c r="J21" s="69">
        <f>'Necesidades Trimestrales'!H19</f>
        <v>60</v>
      </c>
      <c r="K21" s="70">
        <f>'Necesidades Trimestrales'!G19</f>
        <v>40000</v>
      </c>
    </row>
    <row r="22" spans="1:1024" ht="20.25" customHeight="1" thickBot="1" x14ac:dyDescent="0.25">
      <c r="A22" s="8">
        <v>11</v>
      </c>
      <c r="B22" s="66">
        <f>'Necesidades Trimestrales'!B20</f>
        <v>0</v>
      </c>
      <c r="C22" s="97" t="str">
        <f>'Necesidades Trimestrales'!E20</f>
        <v>SOLUCION FISIOLOGICA 0,9% SACHET X 100 ML</v>
      </c>
      <c r="D22" s="97"/>
      <c r="E22" s="97"/>
      <c r="F22" s="97"/>
      <c r="G22" s="97"/>
      <c r="H22" s="67" t="s">
        <v>57</v>
      </c>
      <c r="I22" s="68" t="str">
        <f>'Necesidades Trimestrales'!F20</f>
        <v>UNIDAD</v>
      </c>
      <c r="J22" s="69">
        <f>'Necesidades Trimestrales'!H20</f>
        <v>71.02</v>
      </c>
      <c r="K22" s="70">
        <f>'Necesidades Trimestrales'!G20</f>
        <v>400</v>
      </c>
    </row>
    <row r="23" spans="1:1024" ht="20.25" customHeight="1" thickBot="1" x14ac:dyDescent="0.25">
      <c r="A23" s="8">
        <v>12</v>
      </c>
      <c r="B23" s="66">
        <f>'Necesidades Trimestrales'!B21</f>
        <v>0</v>
      </c>
      <c r="C23" s="97" t="str">
        <f>'Necesidades Trimestrales'!E21</f>
        <v>SOLUCION RINGER LACTATO DE 500 ML</v>
      </c>
      <c r="D23" s="97"/>
      <c r="E23" s="97"/>
      <c r="F23" s="97"/>
      <c r="G23" s="97"/>
      <c r="H23" s="67" t="s">
        <v>57</v>
      </c>
      <c r="I23" s="68" t="str">
        <f>'Necesidades Trimestrales'!F21</f>
        <v>UNIDAD</v>
      </c>
      <c r="J23" s="69">
        <f>'Necesidades Trimestrales'!H21</f>
        <v>858.56</v>
      </c>
      <c r="K23" s="70">
        <f>'Necesidades Trimestrales'!G21</f>
        <v>100</v>
      </c>
    </row>
    <row r="24" spans="1:1024" ht="20.25" customHeight="1" thickBot="1" x14ac:dyDescent="0.25">
      <c r="A24" s="90" t="s">
        <v>84</v>
      </c>
      <c r="B24" s="90"/>
      <c r="C24" s="90"/>
      <c r="D24" s="90"/>
      <c r="E24" s="90"/>
      <c r="F24" s="90"/>
      <c r="G24" s="90"/>
      <c r="H24" s="90"/>
      <c r="I24" s="90"/>
      <c r="J24" s="91">
        <f>SUMPRODUCT(J12:J23,K12:K23)</f>
        <v>4360845.4000000004</v>
      </c>
      <c r="K24" s="91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</row>
  </sheetData>
  <mergeCells count="34">
    <mergeCell ref="C19:G19"/>
    <mergeCell ref="C20:G20"/>
    <mergeCell ref="C14:G14"/>
    <mergeCell ref="C15:G15"/>
    <mergeCell ref="C16:G16"/>
    <mergeCell ref="C17:G17"/>
    <mergeCell ref="C18:G18"/>
    <mergeCell ref="A24:I24"/>
    <mergeCell ref="J24:K2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1:G21"/>
    <mergeCell ref="C22:G22"/>
    <mergeCell ref="C23:G23"/>
    <mergeCell ref="C12:G12"/>
    <mergeCell ref="C13:G1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opLeftCell="A16" zoomScale="130" zoomScaleNormal="130" workbookViewId="0">
      <selection activeCell="S12" sqref="S12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9" ht="15.75" customHeight="1" x14ac:dyDescent="0.25">
      <c r="A1" s="98" t="s">
        <v>3</v>
      </c>
      <c r="B1" s="98"/>
      <c r="C1" s="98"/>
      <c r="D1" s="99">
        <f>'Necesidades Trimestrales'!C6</f>
        <v>2021</v>
      </c>
      <c r="E1" s="99"/>
      <c r="F1" s="10"/>
      <c r="G1" s="10"/>
      <c r="H1" s="11"/>
      <c r="I1" s="11"/>
      <c r="J1" s="11"/>
      <c r="K1" s="11"/>
      <c r="L1" s="11"/>
      <c r="M1" s="11"/>
      <c r="N1" s="11"/>
      <c r="P1" s="100" t="s">
        <v>31</v>
      </c>
      <c r="Q1" s="100"/>
    </row>
    <row r="2" spans="1:19" ht="15.75" customHeight="1" x14ac:dyDescent="0.2">
      <c r="H2" s="11"/>
      <c r="I2" s="11"/>
      <c r="J2" s="11"/>
      <c r="K2" s="11"/>
      <c r="L2" s="11"/>
      <c r="M2" s="11"/>
      <c r="N2" s="11"/>
      <c r="P2" s="100"/>
      <c r="Q2" s="100"/>
    </row>
    <row r="4" spans="1:19" s="12" customFormat="1" ht="18" customHeight="1" thickBot="1" x14ac:dyDescent="0.25">
      <c r="A4" s="101" t="s">
        <v>32</v>
      </c>
      <c r="B4" s="101"/>
      <c r="C4" s="101"/>
      <c r="D4" s="101"/>
      <c r="E4" s="101"/>
      <c r="F4" s="101"/>
      <c r="G4" s="102" t="str">
        <f>NotaPedido!D3</f>
        <v>40 - Ministerio de Salud</v>
      </c>
      <c r="H4" s="102"/>
      <c r="I4" s="102"/>
      <c r="J4" s="102"/>
      <c r="K4" s="102"/>
      <c r="L4" s="102"/>
      <c r="M4" s="102"/>
      <c r="N4" s="102"/>
      <c r="O4" s="102"/>
      <c r="P4" s="102"/>
      <c r="Q4" s="102"/>
    </row>
    <row r="5" spans="1:19" s="12" customFormat="1" ht="18" customHeight="1" thickBot="1" x14ac:dyDescent="0.25">
      <c r="A5" s="103" t="s">
        <v>55</v>
      </c>
      <c r="B5" s="104"/>
      <c r="C5" s="104"/>
      <c r="D5" s="104"/>
      <c r="E5" s="104"/>
      <c r="F5" s="105"/>
      <c r="G5" s="102" t="str">
        <f>NotaPedido!D4</f>
        <v>23 - Hospital Interzonal San Juan Bautista</v>
      </c>
      <c r="H5" s="102"/>
      <c r="I5" s="102"/>
      <c r="J5" s="102"/>
      <c r="K5" s="102"/>
      <c r="L5" s="102"/>
      <c r="M5" s="102"/>
      <c r="N5" s="102"/>
      <c r="O5" s="102"/>
      <c r="P5" s="102"/>
      <c r="Q5" s="102"/>
    </row>
    <row r="6" spans="1:19" s="12" customFormat="1" ht="18" customHeight="1" thickBot="1" x14ac:dyDescent="0.25">
      <c r="A6" s="103" t="s">
        <v>33</v>
      </c>
      <c r="B6" s="104"/>
      <c r="C6" s="104"/>
      <c r="D6" s="104"/>
      <c r="E6" s="104"/>
      <c r="F6" s="105"/>
      <c r="G6" s="102" t="str">
        <f>NotaPedido!D5</f>
        <v>168 - Direccion Asistencial</v>
      </c>
      <c r="H6" s="102"/>
      <c r="I6" s="102"/>
      <c r="J6" s="102"/>
      <c r="K6" s="102"/>
      <c r="L6" s="102"/>
      <c r="M6" s="102"/>
      <c r="N6" s="102"/>
      <c r="O6" s="102"/>
      <c r="P6" s="102"/>
      <c r="Q6" s="102"/>
    </row>
    <row r="7" spans="1:19" s="12" customFormat="1" ht="18" customHeight="1" thickBot="1" x14ac:dyDescent="0.25">
      <c r="A7" s="103" t="s">
        <v>56</v>
      </c>
      <c r="B7" s="104"/>
      <c r="C7" s="104"/>
      <c r="D7" s="104"/>
      <c r="E7" s="104"/>
      <c r="F7" s="105"/>
      <c r="G7" s="102" t="str">
        <f>NotaPedido!D6</f>
        <v>Servicio de Farmacia</v>
      </c>
      <c r="H7" s="102"/>
      <c r="I7" s="102"/>
      <c r="J7" s="102"/>
      <c r="K7" s="102"/>
      <c r="L7" s="102"/>
      <c r="M7" s="102"/>
      <c r="N7" s="102"/>
      <c r="O7" s="102"/>
      <c r="P7" s="102"/>
      <c r="Q7" s="102"/>
    </row>
    <row r="8" spans="1:19" ht="18" customHeight="1" thickBot="1" x14ac:dyDescent="0.25">
      <c r="A8" s="106" t="s">
        <v>34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</row>
    <row r="9" spans="1:19" ht="18" customHeight="1" x14ac:dyDescent="0.2">
      <c r="A9" s="111" t="s">
        <v>35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"/>
      <c r="P9" s="1"/>
      <c r="Q9" s="13"/>
    </row>
    <row r="10" spans="1:19" ht="54.75" customHeight="1" x14ac:dyDescent="0.2">
      <c r="A10" s="112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015 - 2021,  afectando la erogación resultante a los créditos presupuestarios aprobados a favor de esta Unidad Ejecutora, conforme al siguiente detalle: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</row>
    <row r="11" spans="1:19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9" ht="15.75" customHeight="1" x14ac:dyDescent="0.2">
      <c r="A12" s="113" t="s">
        <v>36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</row>
    <row r="13" spans="1:19" ht="15.75" customHeight="1" x14ac:dyDescent="0.2">
      <c r="A13" s="114" t="s">
        <v>37</v>
      </c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5" t="s">
        <v>38</v>
      </c>
      <c r="P13" s="115"/>
      <c r="Q13" s="116" t="s">
        <v>39</v>
      </c>
    </row>
    <row r="14" spans="1:19" ht="15.75" customHeight="1" thickBot="1" x14ac:dyDescent="0.25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15"/>
      <c r="P14" s="115"/>
      <c r="Q14" s="116"/>
    </row>
    <row r="15" spans="1:19" ht="17.25" customHeight="1" x14ac:dyDescent="0.2">
      <c r="A15" s="74">
        <v>33</v>
      </c>
      <c r="B15" s="75"/>
      <c r="C15" s="75"/>
      <c r="D15" s="75">
        <v>2</v>
      </c>
      <c r="E15" s="75"/>
      <c r="F15" s="75">
        <v>4901</v>
      </c>
      <c r="G15" s="75">
        <v>3</v>
      </c>
      <c r="H15" s="76" t="s">
        <v>64</v>
      </c>
      <c r="I15" s="75">
        <v>2</v>
      </c>
      <c r="J15" s="75">
        <v>5</v>
      </c>
      <c r="K15" s="75">
        <v>2</v>
      </c>
      <c r="L15" s="75"/>
      <c r="M15" s="77">
        <v>1</v>
      </c>
      <c r="N15" s="76" t="s">
        <v>65</v>
      </c>
      <c r="O15" s="107" t="s">
        <v>62</v>
      </c>
      <c r="P15" s="107"/>
      <c r="Q15" s="23">
        <v>4360845.4000000004</v>
      </c>
    </row>
    <row r="16" spans="1:19" ht="17.25" customHeight="1" x14ac:dyDescent="0.2">
      <c r="A16" s="24"/>
      <c r="B16" s="25"/>
      <c r="C16" s="25"/>
      <c r="D16" s="25"/>
      <c r="E16" s="25"/>
      <c r="F16" s="27"/>
      <c r="G16" s="25"/>
      <c r="H16" s="71"/>
      <c r="I16" s="25"/>
      <c r="J16" s="25"/>
      <c r="K16" s="25"/>
      <c r="L16" s="25"/>
      <c r="M16" s="26"/>
      <c r="N16" s="72"/>
      <c r="O16" s="108"/>
      <c r="P16" s="108"/>
      <c r="Q16" s="28"/>
      <c r="S16" s="73"/>
    </row>
    <row r="17" spans="1:18" ht="17.25" customHeight="1" x14ac:dyDescent="0.2">
      <c r="A17" s="24"/>
      <c r="B17" s="25"/>
      <c r="C17" s="25"/>
      <c r="D17" s="25"/>
      <c r="E17" s="25"/>
      <c r="F17" s="25"/>
      <c r="G17" s="25"/>
      <c r="H17" s="71"/>
      <c r="I17" s="25"/>
      <c r="J17" s="25"/>
      <c r="K17" s="25"/>
      <c r="L17" s="25"/>
      <c r="M17" s="26"/>
      <c r="N17" s="72"/>
      <c r="O17" s="109"/>
      <c r="P17" s="110"/>
      <c r="Q17" s="28"/>
    </row>
    <row r="18" spans="1:18" ht="17.25" customHeight="1" x14ac:dyDescent="0.2">
      <c r="A18" s="24"/>
      <c r="B18" s="25"/>
      <c r="C18" s="25"/>
      <c r="D18" s="25"/>
      <c r="E18" s="25"/>
      <c r="F18" s="27"/>
      <c r="G18" s="25"/>
      <c r="H18" s="25"/>
      <c r="I18" s="25"/>
      <c r="J18" s="25"/>
      <c r="K18" s="25"/>
      <c r="L18" s="25"/>
      <c r="M18" s="26"/>
      <c r="N18" s="27"/>
      <c r="O18" s="110"/>
      <c r="P18" s="110"/>
      <c r="Q18" s="28"/>
    </row>
    <row r="19" spans="1:18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10"/>
      <c r="P19" s="110"/>
      <c r="Q19" s="28"/>
    </row>
    <row r="20" spans="1:18" ht="17.25" customHeight="1" x14ac:dyDescent="0.2">
      <c r="A20" s="29"/>
      <c r="B20" s="30"/>
      <c r="C20" s="30"/>
      <c r="D20" s="30"/>
      <c r="E20" s="30"/>
      <c r="F20" s="31"/>
      <c r="G20" s="30"/>
      <c r="H20" s="30"/>
      <c r="I20" s="30"/>
      <c r="J20" s="30"/>
      <c r="K20" s="30"/>
      <c r="L20" s="30"/>
      <c r="M20" s="32"/>
      <c r="N20" s="33"/>
      <c r="O20" s="122"/>
      <c r="P20" s="122"/>
      <c r="Q20" s="28"/>
      <c r="R20" s="1"/>
    </row>
    <row r="21" spans="1:18" ht="17.25" customHeight="1" x14ac:dyDescent="0.2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35"/>
      <c r="O21" s="123"/>
      <c r="P21" s="123"/>
      <c r="Q21" s="37"/>
    </row>
    <row r="22" spans="1:18" ht="20.25" customHeight="1" x14ac:dyDescent="0.2">
      <c r="A22" s="124" t="s">
        <v>85</v>
      </c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38">
        <f>SUM(Q15:Q21)</f>
        <v>4360845.4000000004</v>
      </c>
    </row>
    <row r="23" spans="1:18" ht="18" customHeight="1" thickBot="1" x14ac:dyDescent="0.25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</row>
    <row r="24" spans="1:18" ht="17.25" customHeight="1" thickBot="1" x14ac:dyDescent="0.25">
      <c r="A24" s="117" t="s">
        <v>53</v>
      </c>
      <c r="B24" s="118"/>
      <c r="C24" s="118"/>
      <c r="D24" s="118"/>
      <c r="E24" s="118"/>
      <c r="F24" s="119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</row>
    <row r="25" spans="1:18" ht="18" customHeight="1" thickBot="1" x14ac:dyDescent="0.25">
      <c r="A25" s="121" t="str">
        <f>"Para la "&amp; NotaPedido!D8 &amp;" para ser destinados al " &amp; NotaPedido!D6 &amp;"  del HISJB del Ministerio de Salud."</f>
        <v>Para la Adquisición de Alimentos Enterales (Nutrición), Soluciones p/equilibrio Hidroelectrolitico y Soluciones para Dialisis para ser destinados al Servicio de Farmacia  del HISJB del Ministerio de Salud.</v>
      </c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</row>
    <row r="26" spans="1:18" ht="15" customHeight="1" x14ac:dyDescent="0.2">
      <c r="A26" s="121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</row>
  </sheetData>
  <mergeCells count="30">
    <mergeCell ref="A24:F24"/>
    <mergeCell ref="G24:Q24"/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usuario</cp:lastModifiedBy>
  <cp:revision>2</cp:revision>
  <cp:lastPrinted>2020-07-17T22:18:48Z</cp:lastPrinted>
  <dcterms:created xsi:type="dcterms:W3CDTF">2020-07-17T23:44:49Z</dcterms:created>
  <dcterms:modified xsi:type="dcterms:W3CDTF">2021-08-13T21:34:01Z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