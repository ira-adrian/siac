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08"/>
  <workbookPr defaultThemeVersion="124226"/>
  <xr:revisionPtr revIDLastSave="0" documentId="11_5C20691268116588A1094B9CE24578BDF2ED8CC2" xr6:coauthVersionLast="47" xr6:coauthVersionMax="47" xr10:uidLastSave="{00000000-0000-0000-0000-000000000000}"/>
  <bookViews>
    <workbookView xWindow="-105" yWindow="-45" windowWidth="16605" windowHeight="9435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13" i="2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I12" i="1" l="1"/>
  <c r="O15" i="3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<sst xmlns="http://schemas.openxmlformats.org/spreadsheetml/2006/main" count="91" uniqueCount="79">
  <si>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</si>
  <si>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</si>
  <si>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</si>
  <si>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</si>
  <si>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</si>
  <si>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</si>
  <si>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</si>
  <si>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</si>
  <si>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</si>
  <si>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</si>
  <si>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</si>
  <si>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</si>
  <si>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</si>
  <si>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</si>
  <si>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</si>
  <si>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</si>
  <si>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2.5.1-9052.2119</t>
  </si>
  <si>
    <t>QUIMICOS</t>
  </si>
  <si>
    <t>2.5.1</t>
  </si>
  <si>
    <t>REACTIVOS P/LAB. TEC. MANUAL ; NOMBRE: DETECTOR DE DROGAS ILICITAS, USO: DETECTOR DE DROGAS ILICITAS, PRESENTACION: SEGÚN PLIEGO</t>
  </si>
  <si>
    <t>UNIDAD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</si>
  <si>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</si>
  <si>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</si>
  <si>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t>REACTIVO CANATEST CAJA X 10 AMPOLLAS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</si>
  <si>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2</t>
    </r>
    <r>
      <rPr>
        <sz val="11"/>
        <color theme="1"/>
        <rFont val="Calibri"/>
        <family val="2"/>
        <scheme val="minor"/>
      </rPr>
      <t/>
    </r>
  </si>
  <si>
    <t>REACTIVO COCATEST CAJA POR X10 AMPOLLAS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</si>
  <si>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</si>
  <si>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</si>
  <si>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</si>
  <si>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 xml:space="preserve">Que Cumpla con lo Solicitado de Forma Integra. </t>
  </si>
  <si>
    <t>Mantenimiento</t>
  </si>
  <si>
    <t>30 DIAS</t>
  </si>
  <si>
    <t>Garantia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</si>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</sst>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3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166" fontId="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</cellStyleXfs>
  <cellXfs count="148">
    <xf numFmtId="0" fontId="0" fillId="0" borderId="0" xfId="0"/>
    <xf numFmtId="0" fontId="6" fillId="3" borderId="0" xfId="0" applyFont="1" applyFill="1"/>
    <xf numFmtId="0" fontId="9" fillId="3" borderId="0" xfId="0" applyFont="1" applyFill="1" applyAlignment="1">
      <alignment horizontal="left" wrapText="1"/>
    </xf>
    <xf numFmtId="0" fontId="8" fillId="3" borderId="43" xfId="0" applyFont="1" applyFill="1" applyBorder="1" applyAlignment="1">
      <alignment horizontal="center" vertical="center" wrapText="1"/>
    </xf>
    <xf numFmtId="0" fontId="6" fillId="3" borderId="0" xfId="0" applyFont="1" applyFill="1" applyBorder="1"/>
    <xf numFmtId="0" fontId="6" fillId="3" borderId="0" xfId="0" applyFont="1" applyFill="1" applyAlignment="1">
      <alignment horizontal="left"/>
    </xf>
    <xf numFmtId="0" fontId="9" fillId="3" borderId="0" xfId="0" applyFont="1" applyFill="1" applyAlignment="1">
      <alignment horizontal="center" wrapText="1"/>
    </xf>
    <xf numFmtId="0" fontId="20" fillId="4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171" fontId="7" fillId="3" borderId="38" xfId="0" applyNumberFormat="1" applyFont="1" applyFill="1" applyBorder="1"/>
    <xf numFmtId="3" fontId="15" fillId="3" borderId="0" xfId="0" applyNumberFormat="1" applyFont="1" applyFill="1" applyBorder="1" applyAlignment="1"/>
    <xf numFmtId="169" fontId="6" fillId="3" borderId="0" xfId="0" applyNumberFormat="1" applyFont="1" applyFill="1" applyAlignment="1">
      <alignment horizontal="left"/>
    </xf>
    <xf numFmtId="0" fontId="6" fillId="3" borderId="10" xfId="0" applyFont="1" applyFill="1" applyBorder="1"/>
    <xf numFmtId="0" fontId="6" fillId="3" borderId="24" xfId="0" applyFont="1" applyFill="1" applyBorder="1"/>
    <xf numFmtId="0" fontId="6" fillId="3" borderId="12" xfId="0" applyFont="1" applyFill="1" applyBorder="1"/>
    <xf numFmtId="0" fontId="6" fillId="3" borderId="12" xfId="0" applyFont="1" applyFill="1" applyBorder="1" applyAlignment="1">
      <alignment horizontal="left"/>
    </xf>
    <xf numFmtId="0" fontId="6" fillId="3" borderId="25" xfId="0" applyFont="1" applyFill="1" applyBorder="1"/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167" fontId="6" fillId="3" borderId="33" xfId="3" applyNumberFormat="1" applyFont="1" applyFill="1" applyBorder="1" applyAlignment="1" applyProtection="1">
      <alignment horizontal="center" vertical="center"/>
    </xf>
    <xf numFmtId="167" fontId="7" fillId="3" borderId="34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right" vertical="center"/>
    </xf>
    <xf numFmtId="0" fontId="13" fillId="3" borderId="1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170" fontId="6" fillId="3" borderId="42" xfId="1" applyNumberFormat="1" applyFont="1" applyFill="1" applyBorder="1" applyAlignment="1" applyProtection="1">
      <alignment horizontal="center" vertical="center"/>
    </xf>
    <xf numFmtId="3" fontId="6" fillId="3" borderId="42" xfId="0" applyNumberFormat="1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>
      <alignment vertical="center"/>
    </xf>
    <xf numFmtId="0" fontId="10" fillId="5" borderId="2" xfId="0" applyFont="1" applyFill="1" applyBorder="1" applyAlignment="1">
      <alignment horizontal="left"/>
    </xf>
    <xf numFmtId="0" fontId="6" fillId="5" borderId="3" xfId="0" applyFont="1" applyFill="1" applyBorder="1"/>
    <xf numFmtId="0" fontId="6" fillId="5" borderId="4" xfId="0" applyFont="1" applyFill="1" applyBorder="1"/>
    <xf numFmtId="0" fontId="6" fillId="5" borderId="0" xfId="0" applyFont="1" applyFill="1" applyBorder="1"/>
    <xf numFmtId="0" fontId="6" fillId="5" borderId="6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6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left" indent="3"/>
    </xf>
    <xf numFmtId="0" fontId="11" fillId="5" borderId="5" xfId="0" applyFont="1" applyFill="1" applyBorder="1" applyAlignment="1"/>
    <xf numFmtId="0" fontId="10" fillId="5" borderId="5" xfId="0" applyFont="1" applyFill="1" applyBorder="1" applyAlignment="1">
      <alignment horizontal="left" indent="3"/>
    </xf>
    <xf numFmtId="0" fontId="6" fillId="5" borderId="7" xfId="0" applyFont="1" applyFill="1" applyBorder="1" applyAlignment="1">
      <alignment horizontal="left" indent="3"/>
    </xf>
    <xf numFmtId="0" fontId="8" fillId="3" borderId="50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 wrapText="1"/>
    </xf>
    <xf numFmtId="0" fontId="22" fillId="0" borderId="52" xfId="0" applyFont="1" applyBorder="1" applyAlignment="1">
      <alignment horizontal="center" vertical="center"/>
    </xf>
    <xf numFmtId="49" fontId="6" fillId="0" borderId="54" xfId="0" applyNumberFormat="1" applyFont="1" applyBorder="1" applyAlignment="1">
      <alignment vertical="center"/>
    </xf>
    <xf numFmtId="49" fontId="22" fillId="0" borderId="54" xfId="0" applyNumberFormat="1" applyFont="1" applyBorder="1" applyAlignment="1">
      <alignment vertical="center" wrapText="1"/>
    </xf>
    <xf numFmtId="0" fontId="9" fillId="3" borderId="54" xfId="0" applyFont="1" applyFill="1" applyBorder="1" applyAlignment="1">
      <alignment horizontal="center" vertical="center" wrapText="1"/>
    </xf>
    <xf numFmtId="49" fontId="22" fillId="0" borderId="54" xfId="0" applyNumberFormat="1" applyFont="1" applyBorder="1" applyAlignment="1">
      <alignment vertical="top" wrapText="1"/>
    </xf>
    <xf numFmtId="0" fontId="22" fillId="0" borderId="54" xfId="0" applyFont="1" applyBorder="1" applyAlignment="1">
      <alignment horizontal="center" vertical="center" wrapText="1"/>
    </xf>
    <xf numFmtId="164" fontId="22" fillId="0" borderId="54" xfId="1" applyNumberFormat="1" applyFont="1" applyBorder="1" applyAlignment="1">
      <alignment horizontal="center" vertical="center"/>
    </xf>
    <xf numFmtId="167" fontId="6" fillId="3" borderId="55" xfId="1" applyNumberFormat="1" applyFont="1" applyFill="1" applyBorder="1" applyAlignment="1" applyProtection="1">
      <alignment horizontal="right" vertical="center" wrapText="1"/>
    </xf>
    <xf numFmtId="49" fontId="6" fillId="3" borderId="56" xfId="0" applyNumberFormat="1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left" wrapText="1"/>
    </xf>
    <xf numFmtId="0" fontId="6" fillId="5" borderId="6" xfId="0" applyFont="1" applyFill="1" applyBorder="1" applyAlignment="1">
      <alignment horizontal="left" wrapText="1"/>
    </xf>
    <xf numFmtId="0" fontId="6" fillId="5" borderId="0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19" fillId="3" borderId="0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left" vertical="center" wrapText="1"/>
    </xf>
    <xf numFmtId="0" fontId="20" fillId="4" borderId="0" xfId="0" applyFont="1" applyFill="1" applyBorder="1" applyAlignment="1">
      <alignment horizontal="left" wrapText="1" inden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3" fillId="3" borderId="38" xfId="0" applyFont="1" applyFill="1" applyBorder="1" applyAlignment="1">
      <alignment horizontal="left" vertical="center" wrapText="1" indent="1"/>
    </xf>
    <xf numFmtId="168" fontId="13" fillId="3" borderId="38" xfId="0" applyNumberFormat="1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left" vertical="center" wrapText="1" indent="1"/>
    </xf>
    <xf numFmtId="0" fontId="13" fillId="3" borderId="44" xfId="0" applyFont="1" applyFill="1" applyBorder="1" applyAlignment="1">
      <alignment horizontal="left" vertical="center" wrapText="1" indent="1"/>
    </xf>
    <xf numFmtId="0" fontId="13" fillId="3" borderId="20" xfId="0" applyFont="1" applyFill="1" applyBorder="1" applyAlignment="1">
      <alignment horizontal="left" vertical="center" wrapText="1" indent="1"/>
    </xf>
    <xf numFmtId="0" fontId="15" fillId="3" borderId="19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left" vertical="center"/>
    </xf>
    <xf numFmtId="49" fontId="16" fillId="3" borderId="45" xfId="0" applyNumberFormat="1" applyFont="1" applyFill="1" applyBorder="1" applyAlignment="1">
      <alignment horizontal="left" vertical="center" wrapText="1"/>
    </xf>
    <xf numFmtId="0" fontId="16" fillId="3" borderId="53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left" vertical="center" wrapText="1" indent="1"/>
    </xf>
    <xf numFmtId="0" fontId="14" fillId="3" borderId="15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 indent="1"/>
    </xf>
    <xf numFmtId="0" fontId="6" fillId="3" borderId="32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17" xfId="0" applyFont="1" applyFill="1" applyBorder="1" applyAlignment="1">
      <alignment vertical="center" wrapText="1"/>
    </xf>
    <xf numFmtId="0" fontId="17" fillId="3" borderId="46" xfId="0" applyFont="1" applyFill="1" applyBorder="1" applyAlignment="1">
      <alignment vertical="center" wrapText="1"/>
    </xf>
    <xf numFmtId="0" fontId="17" fillId="3" borderId="47" xfId="0" applyFont="1" applyFill="1" applyBorder="1" applyAlignment="1">
      <alignment vertical="center" wrapText="1"/>
    </xf>
    <xf numFmtId="0" fontId="17" fillId="3" borderId="22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5" xfId="0" applyFont="1" applyFill="1" applyBorder="1" applyAlignment="1">
      <alignment horizontal="left" vertical="center" wrapText="1"/>
    </xf>
    <xf numFmtId="0" fontId="15" fillId="3" borderId="34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vertical="center"/>
    </xf>
    <xf numFmtId="0" fontId="7" fillId="3" borderId="40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7" fillId="3" borderId="22" xfId="0" applyFont="1" applyFill="1" applyBorder="1" applyAlignment="1"/>
    <xf numFmtId="0" fontId="17" fillId="3" borderId="23" xfId="0" applyFont="1" applyFill="1" applyBorder="1" applyAlignment="1">
      <alignment horizontal="left" vertical="center" wrapText="1" indent="1"/>
    </xf>
    <xf numFmtId="0" fontId="7" fillId="3" borderId="2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6" fillId="3" borderId="36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indent="1"/>
    </xf>
    <xf numFmtId="0" fontId="11" fillId="3" borderId="11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center"/>
    </xf>
    <xf numFmtId="3" fontId="15" fillId="3" borderId="20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1"/>
  <sheetViews>
    <sheetView tabSelected="1" topLeftCell="A24" zoomScale="85" zoomScaleNormal="85" workbookViewId="0">
      <selection activeCell="C30" sqref="C30:E30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21.28515625" style="1" customWidth="1"/>
    <col min="4" max="4" width="8.42578125" style="1" customWidth="1"/>
    <col min="5" max="5" width="94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>
      <c r="B2" s="87" t="s">
        <v>0</v>
      </c>
      <c r="C2" s="87"/>
      <c r="D2" s="87"/>
      <c r="E2" s="87"/>
      <c r="F2" s="87"/>
      <c r="G2" s="87"/>
      <c r="H2" s="87"/>
    </row>
    <row r="4" spans="1:9" ht="18" customHeight="1">
      <c r="A4" s="88" t="s">
        <v>1</v>
      </c>
      <c r="B4" s="88"/>
      <c r="C4" s="89" t="s">
        <v>2</v>
      </c>
      <c r="D4" s="89"/>
      <c r="E4" s="89"/>
      <c r="F4" s="2"/>
      <c r="G4" s="6"/>
      <c r="H4" s="2"/>
    </row>
    <row r="5" spans="1:9" ht="18" customHeight="1">
      <c r="A5" s="88" t="s">
        <v>3</v>
      </c>
      <c r="B5" s="88"/>
      <c r="C5" s="89" t="s">
        <v>4</v>
      </c>
      <c r="D5" s="89"/>
      <c r="E5" s="89"/>
      <c r="F5" s="2"/>
      <c r="G5" s="6"/>
      <c r="H5" s="2"/>
    </row>
    <row r="6" spans="1:9" ht="16.5" customHeight="1">
      <c r="A6" s="88" t="s">
        <v>5</v>
      </c>
      <c r="B6" s="88"/>
      <c r="C6" s="7">
        <v>2022</v>
      </c>
      <c r="D6" s="8"/>
      <c r="E6" s="8"/>
      <c r="F6" s="2"/>
      <c r="G6" s="6"/>
      <c r="H6" s="2"/>
    </row>
    <row r="7" spans="1:9" ht="16.5" customHeight="1">
      <c r="A7" s="88" t="s">
        <v>6</v>
      </c>
      <c r="B7" s="88"/>
      <c r="C7" s="7">
        <v>2</v>
      </c>
      <c r="D7" s="8"/>
      <c r="E7" s="8"/>
      <c r="F7" s="2"/>
      <c r="G7" s="6"/>
      <c r="H7" s="2"/>
    </row>
    <row r="8" spans="1:9" ht="14.25" thickBot="1">
      <c r="B8" s="2"/>
      <c r="C8" s="6"/>
      <c r="D8" s="2"/>
      <c r="E8" s="2"/>
      <c r="F8" s="2"/>
      <c r="G8" s="6"/>
      <c r="H8" s="2"/>
    </row>
    <row r="9" spans="1:9" ht="39.75" thickTop="1" thickBot="1">
      <c r="A9" s="60" t="s">
        <v>7</v>
      </c>
      <c r="B9" s="62" t="s">
        <v>8</v>
      </c>
      <c r="C9" s="61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spans="1:9" ht="27.75" thickBot="1">
      <c r="A10" s="64">
        <v>1</v>
      </c>
      <c r="B10" s="65" t="s">
        <v>16</v>
      </c>
      <c r="C10" s="66" t="s">
        <v>17</v>
      </c>
      <c r="D10" s="67" t="s">
        <v>18</v>
      </c>
      <c r="E10" s="68" t="s">
        <v>19</v>
      </c>
      <c r="F10" s="67" t="s">
        <v>20</v>
      </c>
      <c r="G10" s="69">
        <v>60</v>
      </c>
      <c r="H10" s="70">
        <v>5775</v>
      </c>
      <c r="I10" s="71">
        <f t="shared" ref="I10:I11" si="0">H10*G10</f>
        <v>346500</v>
      </c>
    </row>
    <row r="11" spans="1:9" ht="27.75" thickBot="1">
      <c r="A11" s="64">
        <v>2</v>
      </c>
      <c r="B11" s="65" t="s">
        <v>16</v>
      </c>
      <c r="C11" s="66" t="s">
        <v>17</v>
      </c>
      <c r="D11" s="67" t="s">
        <v>18</v>
      </c>
      <c r="E11" s="68" t="s">
        <v>19</v>
      </c>
      <c r="F11" s="67" t="s">
        <v>20</v>
      </c>
      <c r="G11" s="69">
        <v>20</v>
      </c>
      <c r="H11" s="70">
        <v>5775</v>
      </c>
      <c r="I11" s="71">
        <f t="shared" si="0"/>
        <v>115500</v>
      </c>
    </row>
    <row r="12" spans="1:9" ht="18.75" customHeight="1" thickBot="1">
      <c r="B12" s="63"/>
      <c r="I12" s="9">
        <f>SUM(I10:I11)</f>
        <v>462000</v>
      </c>
    </row>
    <row r="13" spans="1:9">
      <c r="B13" s="40" t="s">
        <v>21</v>
      </c>
      <c r="C13" s="41"/>
      <c r="D13" s="41"/>
      <c r="E13" s="42"/>
    </row>
    <row r="14" spans="1:9">
      <c r="B14" s="92" t="s">
        <v>22</v>
      </c>
      <c r="C14" s="93"/>
      <c r="D14" s="43"/>
      <c r="E14" s="44"/>
    </row>
    <row r="15" spans="1:9" ht="39" customHeight="1">
      <c r="B15" s="76"/>
      <c r="C15" s="94" t="s">
        <v>23</v>
      </c>
      <c r="D15" s="94"/>
      <c r="E15" s="95"/>
    </row>
    <row r="16" spans="1:9" ht="14.25" customHeight="1">
      <c r="B16" s="92" t="s">
        <v>24</v>
      </c>
      <c r="C16" s="93"/>
      <c r="D16" s="43"/>
      <c r="E16" s="44"/>
    </row>
    <row r="17" spans="2:5" ht="39" customHeight="1">
      <c r="B17" s="76"/>
      <c r="C17" s="94" t="s">
        <v>25</v>
      </c>
      <c r="D17" s="94"/>
      <c r="E17" s="95"/>
    </row>
    <row r="18" spans="2:5" ht="39" customHeight="1" thickBot="1">
      <c r="B18" s="75"/>
      <c r="C18" s="90"/>
      <c r="D18" s="90"/>
      <c r="E18" s="91"/>
    </row>
    <row r="19" spans="2:5" ht="14.25" customHeight="1" thickBot="1">
      <c r="B19" s="77"/>
      <c r="C19" s="73"/>
      <c r="D19" s="73"/>
      <c r="E19" s="74"/>
    </row>
    <row r="20" spans="2:5">
      <c r="B20" s="45" t="s">
        <v>26</v>
      </c>
      <c r="C20" s="46"/>
      <c r="D20" s="41"/>
      <c r="E20" s="47"/>
    </row>
    <row r="21" spans="2:5" ht="85.5" customHeight="1">
      <c r="B21" s="48"/>
      <c r="C21" s="79" t="s">
        <v>27</v>
      </c>
      <c r="D21" s="79"/>
      <c r="E21" s="80"/>
    </row>
    <row r="22" spans="2:5">
      <c r="B22" s="48"/>
      <c r="C22" s="81"/>
      <c r="D22" s="81"/>
      <c r="E22" s="82"/>
    </row>
    <row r="23" spans="2:5" ht="13.5" customHeight="1">
      <c r="B23" s="49" t="s">
        <v>28</v>
      </c>
      <c r="C23" s="50"/>
      <c r="D23" s="43"/>
      <c r="E23" s="78"/>
    </row>
    <row r="24" spans="2:5" ht="89.25" customHeight="1">
      <c r="B24" s="48"/>
      <c r="C24" s="79" t="s">
        <v>29</v>
      </c>
      <c r="D24" s="79"/>
      <c r="E24" s="80"/>
    </row>
    <row r="25" spans="2:5" ht="15.75" customHeight="1" thickBot="1">
      <c r="B25" s="51"/>
      <c r="C25" s="52"/>
      <c r="D25" s="52"/>
      <c r="E25" s="53"/>
    </row>
    <row r="26" spans="2:5" ht="14.25" thickBot="1">
      <c r="B26" s="43"/>
      <c r="C26" s="43"/>
      <c r="D26" s="43"/>
      <c r="E26" s="43"/>
    </row>
    <row r="27" spans="2:5" ht="13.5" customHeight="1">
      <c r="B27" s="45" t="s">
        <v>30</v>
      </c>
      <c r="C27" s="54"/>
      <c r="D27" s="54"/>
      <c r="E27" s="55"/>
    </row>
    <row r="28" spans="2:5">
      <c r="B28" s="56"/>
      <c r="C28" s="83" t="s">
        <v>31</v>
      </c>
      <c r="D28" s="83"/>
      <c r="E28" s="84"/>
    </row>
    <row r="29" spans="2:5" ht="13.5" customHeight="1">
      <c r="B29" s="57" t="s">
        <v>32</v>
      </c>
      <c r="C29" s="43"/>
      <c r="D29" s="43"/>
      <c r="E29" s="44"/>
    </row>
    <row r="30" spans="2:5">
      <c r="B30" s="58"/>
      <c r="C30" s="85"/>
      <c r="D30" s="85"/>
      <c r="E30" s="86"/>
    </row>
    <row r="31" spans="2:5" ht="14.25" customHeight="1" thickBot="1">
      <c r="B31" s="59"/>
      <c r="C31" s="52"/>
      <c r="D31" s="52"/>
      <c r="E31" s="53"/>
    </row>
  </sheetData>
  <mergeCells count="17">
    <mergeCell ref="C18:E18"/>
    <mergeCell ref="B14:C14"/>
    <mergeCell ref="C15:E15"/>
    <mergeCell ref="B16:C16"/>
    <mergeCell ref="A6:B6"/>
    <mergeCell ref="A7:B7"/>
    <mergeCell ref="C17:E17"/>
    <mergeCell ref="B2:H2"/>
    <mergeCell ref="A4:B4"/>
    <mergeCell ref="C4:E4"/>
    <mergeCell ref="A5:B5"/>
    <mergeCell ref="C5:E5"/>
    <mergeCell ref="C21:E21"/>
    <mergeCell ref="C22:E22"/>
    <mergeCell ref="C24:E24"/>
    <mergeCell ref="C28:E28"/>
    <mergeCell ref="C30:E3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defaultColWidth="9.140625" defaultRowHeight="13.5"/>
  <cols>
    <col min="1" max="1" width="5.42578125" style="29" customWidth="1"/>
    <col min="2" max="2" width="12.28515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77.42578125" style="29" customWidth="1"/>
    <col min="8" max="8" width="8.42578125" style="29" customWidth="1"/>
    <col min="9" max="9" width="12" style="29" customWidth="1"/>
    <col min="10" max="10" width="11.42578125" style="29" customWidth="1"/>
    <col min="11" max="11" width="10.85546875" style="29" customWidth="1"/>
    <col min="12" max="14" width="5.85546875" style="29" customWidth="1"/>
    <col min="15" max="15" width="12.5703125" style="29" customWidth="1"/>
    <col min="16" max="1024" width="9.140625" style="29"/>
    <col min="1025" max="16384" width="9.140625" style="1"/>
  </cols>
  <sheetData>
    <row r="1" spans="1:1024" ht="18" customHeight="1">
      <c r="A1" s="111" t="s">
        <v>33</v>
      </c>
      <c r="B1" s="111"/>
      <c r="C1" s="111"/>
      <c r="D1" s="111"/>
      <c r="E1" s="111"/>
      <c r="F1" s="111"/>
      <c r="G1" s="111"/>
      <c r="H1" s="111"/>
      <c r="I1" s="111"/>
      <c r="J1" s="27" t="s">
        <v>34</v>
      </c>
      <c r="K1" s="28" t="s">
        <v>35</v>
      </c>
    </row>
    <row r="2" spans="1:1024" ht="18.75" customHeight="1" thickBot="1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024" ht="18.75" customHeight="1" thickBot="1">
      <c r="A3" s="112" t="s">
        <v>36</v>
      </c>
      <c r="B3" s="112"/>
      <c r="C3" s="112"/>
      <c r="D3" s="115" t="str">
        <f>'Necesidades Trimestrales'!C4</f>
        <v>90 - Ministerio de Seguridad</v>
      </c>
      <c r="E3" s="115"/>
      <c r="F3" s="115"/>
      <c r="G3" s="115"/>
      <c r="H3" s="115"/>
      <c r="I3" s="115"/>
      <c r="J3" s="115"/>
      <c r="K3" s="115"/>
    </row>
    <row r="4" spans="1:1024" ht="18.75" customHeight="1" thickBot="1">
      <c r="A4" s="114" t="s">
        <v>37</v>
      </c>
      <c r="B4" s="114"/>
      <c r="C4" s="114"/>
      <c r="D4" s="115" t="str">
        <f>'Necesidades Trimestrales'!C5</f>
        <v>7- Dirección Provincial de Administración de la Policía de la Provincia de Catamarca</v>
      </c>
      <c r="E4" s="115"/>
      <c r="F4" s="115"/>
      <c r="G4" s="115"/>
      <c r="H4" s="115"/>
      <c r="I4" s="115"/>
      <c r="J4" s="115"/>
      <c r="K4" s="115"/>
    </row>
    <row r="5" spans="1:1024" ht="18.75" customHeight="1" thickBot="1">
      <c r="A5" s="114" t="s">
        <v>38</v>
      </c>
      <c r="B5" s="114"/>
      <c r="C5" s="114"/>
      <c r="D5" s="115" t="s">
        <v>39</v>
      </c>
      <c r="E5" s="115"/>
      <c r="F5" s="115"/>
      <c r="G5" s="115"/>
      <c r="H5" s="115"/>
      <c r="I5" s="115"/>
      <c r="J5" s="115"/>
      <c r="K5" s="115"/>
    </row>
    <row r="6" spans="1:1024" ht="16.5" customHeight="1" thickBot="1">
      <c r="A6" s="112" t="s">
        <v>40</v>
      </c>
      <c r="B6" s="112"/>
      <c r="C6" s="112"/>
      <c r="D6" s="113" t="s">
        <v>41</v>
      </c>
      <c r="E6" s="99"/>
      <c r="F6" s="99"/>
      <c r="G6" s="99"/>
      <c r="H6" s="99"/>
      <c r="I6" s="99"/>
      <c r="J6" s="99"/>
      <c r="K6" s="100"/>
    </row>
    <row r="7" spans="1:1024" ht="16.5" customHeight="1" thickBot="1">
      <c r="A7" s="114" t="s">
        <v>42</v>
      </c>
      <c r="B7" s="114"/>
      <c r="C7" s="114"/>
      <c r="D7" s="115" t="s">
        <v>43</v>
      </c>
      <c r="E7" s="115"/>
      <c r="F7" s="115"/>
      <c r="G7" s="115"/>
      <c r="H7" s="115"/>
      <c r="I7" s="115"/>
      <c r="J7" s="115"/>
      <c r="K7" s="115"/>
    </row>
    <row r="8" spans="1:1024" ht="16.5" customHeight="1" thickBot="1">
      <c r="A8" s="107" t="s">
        <v>44</v>
      </c>
      <c r="B8" s="107"/>
      <c r="C8" s="107"/>
      <c r="D8" s="98" t="s">
        <v>45</v>
      </c>
      <c r="E8" s="99"/>
      <c r="F8" s="99"/>
      <c r="G8" s="99"/>
      <c r="H8" s="99"/>
      <c r="I8" s="99"/>
      <c r="J8" s="99"/>
      <c r="K8" s="100"/>
    </row>
    <row r="9" spans="1:1024" ht="18" thickBot="1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024" ht="14.25" customHeight="1" thickBot="1">
      <c r="A10" s="101" t="s">
        <v>46</v>
      </c>
      <c r="B10" s="102" t="s">
        <v>47</v>
      </c>
      <c r="C10" s="103" t="s">
        <v>48</v>
      </c>
      <c r="D10" s="104"/>
      <c r="E10" s="104"/>
      <c r="F10" s="104"/>
      <c r="G10" s="105"/>
      <c r="H10" s="106" t="s">
        <v>49</v>
      </c>
      <c r="I10" s="104" t="s">
        <v>50</v>
      </c>
      <c r="J10" s="104" t="s">
        <v>51</v>
      </c>
      <c r="K10" s="105" t="s">
        <v>52</v>
      </c>
    </row>
    <row r="11" spans="1:1024" ht="14.25" customHeight="1" thickBot="1">
      <c r="A11" s="101"/>
      <c r="B11" s="102"/>
      <c r="C11" s="103"/>
      <c r="D11" s="104"/>
      <c r="E11" s="104"/>
      <c r="F11" s="104"/>
      <c r="G11" s="105"/>
      <c r="H11" s="106"/>
      <c r="I11" s="104"/>
      <c r="J11" s="104"/>
      <c r="K11" s="105"/>
    </row>
    <row r="12" spans="1:1024" ht="22.5" customHeight="1" thickBot="1">
      <c r="A12" s="34">
        <v>1</v>
      </c>
      <c r="B12" s="72" t="e">
        <f>'Necesidades Trimestrales'!#REF!</f>
        <v>#REF!</v>
      </c>
      <c r="C12" s="108" t="e">
        <f>'Necesidades Trimestrales'!#REF!</f>
        <v>#REF!</v>
      </c>
      <c r="D12" s="109"/>
      <c r="E12" s="109"/>
      <c r="F12" s="109"/>
      <c r="G12" s="110"/>
      <c r="H12" s="35" t="s">
        <v>53</v>
      </c>
      <c r="I12" s="36" t="e">
        <f>'Necesidades Trimestrales'!#REF!</f>
        <v>#REF!</v>
      </c>
      <c r="J12" s="37" t="e">
        <f>'Necesidades Trimestrales'!#REF!</f>
        <v>#REF!</v>
      </c>
      <c r="K12" s="38" t="e">
        <f>'Necesidades Trimestrales'!#REF!</f>
        <v>#REF!</v>
      </c>
    </row>
    <row r="13" spans="1:1024" ht="22.5" customHeight="1" thickBot="1">
      <c r="A13" s="34"/>
      <c r="B13" s="72" t="e">
        <f>'Necesidades Trimestrales'!#REF!</f>
        <v>#REF!</v>
      </c>
      <c r="C13" s="108" t="e">
        <f>'Necesidades Trimestrales'!#REF!</f>
        <v>#REF!</v>
      </c>
      <c r="D13" s="109"/>
      <c r="E13" s="109"/>
      <c r="F13" s="109"/>
      <c r="G13" s="110"/>
      <c r="H13" s="35" t="s">
        <v>53</v>
      </c>
      <c r="I13" s="36" t="e">
        <f>'Necesidades Trimestrales'!#REF!</f>
        <v>#REF!</v>
      </c>
      <c r="J13" s="37" t="e">
        <f>'Necesidades Trimestrales'!#REF!</f>
        <v>#REF!</v>
      </c>
      <c r="K13" s="38" t="e">
        <f>'Necesidades Trimestrales'!#REF!</f>
        <v>#REF!</v>
      </c>
    </row>
    <row r="14" spans="1:1024" ht="19.5" customHeight="1">
      <c r="A14" s="34">
        <v>3</v>
      </c>
      <c r="B14" s="72" t="e">
        <f>'Necesidades Trimestrales'!#REF!</f>
        <v>#REF!</v>
      </c>
      <c r="C14" s="108" t="e">
        <f>'Necesidades Trimestrales'!#REF!</f>
        <v>#REF!</v>
      </c>
      <c r="D14" s="109"/>
      <c r="E14" s="109"/>
      <c r="F14" s="109"/>
      <c r="G14" s="110"/>
      <c r="H14" s="35" t="s">
        <v>53</v>
      </c>
      <c r="I14" s="36" t="e">
        <f>'Necesidades Trimestrales'!#REF!</f>
        <v>#REF!</v>
      </c>
      <c r="J14" s="37" t="e">
        <f>'Necesidades Trimestrales'!#REF!</f>
        <v>#REF!</v>
      </c>
      <c r="K14" s="38" t="e">
        <f>'Necesidades Trimestrales'!#REF!</f>
        <v>#REF!</v>
      </c>
    </row>
    <row r="15" spans="1:1024" ht="15.75" thickBot="1">
      <c r="A15" s="96" t="s">
        <v>54</v>
      </c>
      <c r="B15" s="96"/>
      <c r="C15" s="96"/>
      <c r="D15" s="96"/>
      <c r="E15" s="96"/>
      <c r="F15" s="96"/>
      <c r="G15" s="96"/>
      <c r="H15" s="96"/>
      <c r="I15" s="96"/>
      <c r="J15" s="97">
        <f>'Necesidades Trimestrales'!I12</f>
        <v>462000</v>
      </c>
      <c r="K15" s="9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>
      <c r="J16" s="39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defaultColWidth="11" defaultRowHeight="13.5"/>
  <cols>
    <col min="1" max="6" width="4.425781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>
      <c r="A1" s="144" t="s">
        <v>5</v>
      </c>
      <c r="B1" s="144"/>
      <c r="C1" s="144"/>
      <c r="D1" s="145">
        <f>'Necesidades Trimestrales'!C6</f>
        <v>2022</v>
      </c>
      <c r="E1" s="145"/>
      <c r="F1" s="10"/>
      <c r="G1" s="10"/>
      <c r="H1" s="11"/>
      <c r="I1" s="11"/>
      <c r="J1" s="11"/>
      <c r="K1" s="11"/>
      <c r="L1" s="11"/>
      <c r="M1" s="11"/>
      <c r="N1" s="11"/>
      <c r="P1" s="146" t="s">
        <v>55</v>
      </c>
      <c r="Q1" s="146"/>
    </row>
    <row r="2" spans="1:17" ht="15.75" customHeight="1">
      <c r="H2" s="11"/>
      <c r="I2" s="11"/>
      <c r="J2" s="11"/>
      <c r="K2" s="11"/>
      <c r="L2" s="11"/>
      <c r="M2" s="11"/>
      <c r="N2" s="11"/>
      <c r="P2" s="146"/>
      <c r="Q2" s="146"/>
    </row>
    <row r="4" spans="1:17" ht="18" customHeight="1" thickBot="1">
      <c r="A4" s="147" t="s">
        <v>56</v>
      </c>
      <c r="B4" s="147"/>
      <c r="C4" s="147"/>
      <c r="D4" s="147"/>
      <c r="E4" s="147"/>
      <c r="F4" s="147"/>
      <c r="G4" s="142" t="str">
        <f>' NotaPedido'!D3</f>
        <v>90 - Ministerio de Seguridad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ht="18" customHeight="1" thickBot="1">
      <c r="A5" s="139" t="s">
        <v>37</v>
      </c>
      <c r="B5" s="140"/>
      <c r="C5" s="140"/>
      <c r="D5" s="140"/>
      <c r="E5" s="140"/>
      <c r="F5" s="141"/>
      <c r="G5" s="142" t="str">
        <f>' NotaPedido'!D4</f>
        <v>7- Dirección Provincial de Administración de la Policía de la Provincia de Catamarca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ht="18" customHeight="1" thickBot="1">
      <c r="A6" s="139" t="s">
        <v>38</v>
      </c>
      <c r="B6" s="140"/>
      <c r="C6" s="140"/>
      <c r="D6" s="140"/>
      <c r="E6" s="140"/>
      <c r="F6" s="141"/>
      <c r="G6" s="142" t="str">
        <f>' NotaPedido'!D5</f>
        <v>Policía de la Provincia de Catamarca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ht="18" customHeight="1" thickBot="1">
      <c r="A7" s="139" t="s">
        <v>40</v>
      </c>
      <c r="B7" s="140"/>
      <c r="C7" s="140"/>
      <c r="D7" s="140"/>
      <c r="E7" s="140"/>
      <c r="F7" s="141"/>
      <c r="G7" s="142" t="str">
        <f>' NotaPedido'!D6</f>
        <v>División Intendencia, Departamento Logística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>
      <c r="A8" s="143" t="s">
        <v>57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>
      <c r="A9" s="133" t="s">
        <v>58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4"/>
      <c r="P9" s="4"/>
      <c r="Q9" s="12"/>
    </row>
    <row r="10" spans="1:17" ht="66.75" customHeight="1">
      <c r="A10" s="134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>
      <c r="A12" s="135" t="s">
        <v>59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>
      <c r="A13" s="136" t="s">
        <v>60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61</v>
      </c>
      <c r="P13" s="137"/>
      <c r="Q13" s="138" t="s">
        <v>62</v>
      </c>
    </row>
    <row r="14" spans="1:17" ht="15.75" customHeight="1" thickBot="1">
      <c r="A14" s="17" t="s">
        <v>63</v>
      </c>
      <c r="B14" s="18" t="s">
        <v>64</v>
      </c>
      <c r="C14" s="18" t="s">
        <v>65</v>
      </c>
      <c r="D14" s="18" t="s">
        <v>66</v>
      </c>
      <c r="E14" s="18" t="s">
        <v>67</v>
      </c>
      <c r="F14" s="18" t="s">
        <v>68</v>
      </c>
      <c r="G14" s="19" t="s">
        <v>69</v>
      </c>
      <c r="H14" s="18" t="s">
        <v>70</v>
      </c>
      <c r="I14" s="18" t="s">
        <v>71</v>
      </c>
      <c r="J14" s="18" t="s">
        <v>72</v>
      </c>
      <c r="K14" s="18" t="s">
        <v>72</v>
      </c>
      <c r="L14" s="18" t="s">
        <v>73</v>
      </c>
      <c r="M14" s="20" t="s">
        <v>74</v>
      </c>
      <c r="N14" s="21" t="s">
        <v>75</v>
      </c>
      <c r="O14" s="137"/>
      <c r="P14" s="137"/>
      <c r="Q14" s="138"/>
    </row>
    <row r="15" spans="1:17" ht="26.25" customHeight="1">
      <c r="A15" s="22">
        <v>16</v>
      </c>
      <c r="B15" s="23">
        <v>0</v>
      </c>
      <c r="C15" s="23">
        <v>0</v>
      </c>
      <c r="D15" s="23">
        <v>1</v>
      </c>
      <c r="E15" s="23">
        <v>0</v>
      </c>
      <c r="F15" s="23">
        <v>10</v>
      </c>
      <c r="G15" s="23">
        <v>2</v>
      </c>
      <c r="H15" s="23">
        <v>210</v>
      </c>
      <c r="I15" s="23">
        <v>2</v>
      </c>
      <c r="J15" s="23">
        <v>9</v>
      </c>
      <c r="K15" s="23">
        <v>1</v>
      </c>
      <c r="L15" s="23">
        <v>0</v>
      </c>
      <c r="M15" s="24">
        <v>1</v>
      </c>
      <c r="N15" s="23" t="s">
        <v>76</v>
      </c>
      <c r="O15" s="116" t="e">
        <f>'Necesidades Trimestrales'!#REF!</f>
        <v>#REF!</v>
      </c>
      <c r="P15" s="117"/>
      <c r="Q15" s="25">
        <f>' NotaPedido'!J15</f>
        <v>462000</v>
      </c>
    </row>
    <row r="16" spans="1:17" ht="33" customHeight="1" thickBot="1">
      <c r="A16" s="129" t="s">
        <v>77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26">
        <f>Q15</f>
        <v>462000</v>
      </c>
    </row>
    <row r="17" spans="1:17" ht="18" customHeight="1" thickBot="1">
      <c r="A17" s="130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2"/>
    </row>
    <row r="18" spans="1:17" ht="17.25" customHeight="1" thickBot="1">
      <c r="A18" s="118" t="s">
        <v>78</v>
      </c>
      <c r="B18" s="119"/>
      <c r="C18" s="119"/>
      <c r="D18" s="119"/>
      <c r="E18" s="119"/>
      <c r="F18" s="120"/>
      <c r="G18" s="121"/>
      <c r="H18" s="122"/>
      <c r="I18" s="122"/>
      <c r="J18" s="122"/>
      <c r="K18" s="122"/>
      <c r="L18" s="122"/>
      <c r="M18" s="122"/>
      <c r="N18" s="122"/>
      <c r="O18" s="122"/>
      <c r="P18" s="122"/>
      <c r="Q18" s="122"/>
    </row>
    <row r="19" spans="1:17" ht="18" customHeight="1">
      <c r="A19" s="123" t="str">
        <f>' NotaPedido'!D8</f>
        <v>Adquisición de Uniformes de Fajina para el personal policial.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5"/>
    </row>
    <row r="20" spans="1:17" ht="15" customHeight="1" thickBot="1">
      <c r="A20" s="126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8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Javier Ponce</cp:lastModifiedBy>
  <cp:revision>2</cp:revision>
  <dcterms:created xsi:type="dcterms:W3CDTF">2020-07-17T23:44:49Z</dcterms:created>
  <dcterms:modified xsi:type="dcterms:W3CDTF">2022-03-10T12:21:33Z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