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LIBRERIA\"/>
    </mc:Choice>
  </mc:AlternateContent>
  <bookViews>
    <workbookView xWindow="0" yWindow="0" windowWidth="28800" windowHeight="11805" tabRatio="500"/>
  </bookViews>
  <sheets>
    <sheet name="Necesidades Trimestrales" sheetId="1" r:id="rId1"/>
    <sheet name=" NotaPedido" sheetId="2" r:id="rId2"/>
    <sheet name="APG" sheetId="3" r:id="rId3"/>
  </sheets>
  <definedNames>
    <definedName name="_xlnm.Print_Area" localSheetId="1">' NotaPedido'!$A$1:$K$82</definedName>
    <definedName name="_xlnm.Print_Area" localSheetId="2">APG!$A$1:$Q$40</definedName>
  </definedNames>
  <calcPr calcId="162913"/>
</workbook>
</file>

<file path=xl/calcChain.xml><?xml version="1.0" encoding="utf-8"?>
<calcChain xmlns="http://schemas.openxmlformats.org/spreadsheetml/2006/main">
  <c r="I28" i="1" l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D58" i="1"/>
  <c r="D56" i="1"/>
  <c r="D55" i="1"/>
  <c r="D54" i="1"/>
  <c r="D52" i="1"/>
  <c r="D51" i="1"/>
  <c r="D50" i="1"/>
  <c r="D49" i="1"/>
  <c r="D48" i="1"/>
  <c r="D47" i="1"/>
  <c r="D46" i="1"/>
  <c r="D45" i="1"/>
  <c r="D42" i="1"/>
  <c r="D41" i="1"/>
  <c r="D40" i="1"/>
  <c r="D39" i="1"/>
  <c r="D38" i="1"/>
  <c r="D37" i="1"/>
  <c r="D34" i="1"/>
  <c r="D13" i="1"/>
  <c r="D12" i="1"/>
  <c r="D11" i="1"/>
  <c r="D10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10" i="1"/>
  <c r="I78" i="1" l="1"/>
  <c r="A39" i="3"/>
  <c r="G30" i="2"/>
  <c r="F30" i="2"/>
  <c r="E30" i="2"/>
  <c r="C30" i="2"/>
  <c r="B30" i="2"/>
  <c r="G29" i="2"/>
  <c r="F29" i="2"/>
  <c r="E29" i="2"/>
  <c r="C29" i="2"/>
  <c r="B29" i="2"/>
  <c r="G28" i="2"/>
  <c r="F28" i="2"/>
  <c r="E28" i="2"/>
  <c r="C28" i="2"/>
  <c r="B28" i="2"/>
  <c r="G27" i="2"/>
  <c r="F27" i="2"/>
  <c r="E27" i="2"/>
  <c r="C27" i="2"/>
  <c r="B27" i="2"/>
  <c r="G26" i="2"/>
  <c r="F26" i="2"/>
  <c r="E26" i="2"/>
  <c r="C26" i="2"/>
  <c r="B26" i="2"/>
  <c r="G25" i="2"/>
  <c r="F25" i="2"/>
  <c r="E25" i="2"/>
  <c r="C25" i="2"/>
  <c r="B25" i="2"/>
  <c r="G24" i="2"/>
  <c r="F24" i="2"/>
  <c r="E24" i="2"/>
  <c r="C24" i="2"/>
  <c r="B24" i="2"/>
  <c r="G23" i="2"/>
  <c r="F23" i="2"/>
  <c r="E23" i="2"/>
  <c r="C23" i="2"/>
  <c r="B23" i="2"/>
  <c r="G22" i="2"/>
  <c r="F22" i="2"/>
  <c r="E22" i="2"/>
  <c r="C22" i="2"/>
  <c r="B22" i="2"/>
  <c r="G21" i="2"/>
  <c r="F21" i="2"/>
  <c r="E21" i="2"/>
  <c r="C21" i="2"/>
  <c r="B21" i="2"/>
  <c r="G20" i="2"/>
  <c r="F20" i="2"/>
  <c r="E20" i="2"/>
  <c r="C20" i="2"/>
  <c r="B20" i="2"/>
  <c r="G19" i="2"/>
  <c r="F19" i="2"/>
  <c r="E19" i="2"/>
  <c r="C19" i="2"/>
  <c r="B19" i="2"/>
  <c r="G18" i="2"/>
  <c r="F18" i="2"/>
  <c r="E18" i="2"/>
  <c r="C18" i="2"/>
  <c r="B18" i="2"/>
  <c r="G17" i="2"/>
  <c r="F17" i="2"/>
  <c r="E17" i="2"/>
  <c r="C17" i="2"/>
  <c r="B17" i="2"/>
  <c r="G16" i="2"/>
  <c r="F16" i="2"/>
  <c r="E16" i="2"/>
  <c r="C16" i="2"/>
  <c r="B16" i="2"/>
  <c r="G15" i="2"/>
  <c r="F15" i="2"/>
  <c r="E15" i="2"/>
  <c r="C15" i="2"/>
  <c r="B15" i="2"/>
  <c r="G14" i="2"/>
  <c r="F14" i="2"/>
  <c r="E14" i="2"/>
  <c r="C14" i="2"/>
  <c r="B14" i="2"/>
  <c r="G13" i="2"/>
  <c r="F13" i="2"/>
  <c r="E13" i="2"/>
  <c r="C13" i="2"/>
  <c r="B13" i="2"/>
  <c r="A10" i="3"/>
  <c r="G6" i="3" l="1"/>
  <c r="C4" i="2"/>
  <c r="G4" i="3" s="1"/>
  <c r="C5" i="2"/>
  <c r="G5" i="3" s="1"/>
  <c r="D1" i="3" l="1"/>
  <c r="Q36" i="3" l="1"/>
</calcChain>
</file>

<file path=xl/sharedStrings.xml><?xml version="1.0" encoding="utf-8"?>
<sst xmlns="http://schemas.openxmlformats.org/spreadsheetml/2006/main" count="553" uniqueCount="272">
  <si>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</si>
  <si>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</si>
  <si>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</si>
  <si>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</si>
  <si>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</si>
  <si>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</si>
  <si>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</si>
  <si>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</si>
  <si>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</si>
  <si>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</si>
  <si>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</si>
  <si>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</si>
  <si>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</si>
  <si>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</si>
  <si>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</si>
  <si>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</si>
  <si>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</si>
  <si>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</si>
  <si>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</si>
  <si>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</si>
  <si>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</si>
  <si>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</si>
  <si>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</si>
  <si>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</si>
  <si>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</si>
  <si>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</si>
  <si>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</si>
  <si>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</si>
  <si>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</si>
  <si>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</si>
  <si>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</si>
  <si>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</si>
  <si>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</si>
  <si>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</si>
  <si>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</si>
  <si>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</si>
  <si>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</si>
  <si>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</si>
  <si>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</si>
  <si>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</si>
  <si>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</si>
  <si>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</si>
  <si>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</si>
  <si>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</si>
  <si>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</si>
  <si>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</si>
  <si>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</si>
  <si>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</si>
  <si>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</si>
  <si>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</si>
  <si>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</si>
  <si>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</si>
  <si>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OBSERVACIONES:</t>
  </si>
  <si>
    <t>Plazos y lugares de entrega:</t>
  </si>
  <si>
    <t>Calidad Minima esperada:</t>
  </si>
  <si>
    <t>Mantenimiento:</t>
  </si>
  <si>
    <t>NO</t>
  </si>
  <si>
    <t>UNIDAD</t>
  </si>
  <si>
    <t>12 -Ministerio de Gobierno, Justicia y Derechos Humanos.</t>
  </si>
  <si>
    <t>06 - Secretaria de Gestion Administrativa del Ministerio de Gobierno, Justicia y Derechos Humanos</t>
  </si>
  <si>
    <t>Ministerio de Gobierno, Justicia y Derechos Humanos.</t>
  </si>
  <si>
    <t>30 (treinta)  días habiles</t>
  </si>
  <si>
    <t>Forma de Pago:</t>
  </si>
  <si>
    <t>Especificidades de los Items:</t>
  </si>
  <si>
    <t>2do. TRIMESTRE</t>
  </si>
  <si>
    <t>2022 - 2do Trimestre</t>
  </si>
  <si>
    <t>Ministerio de Gob. J. y D.H.- Secretaria de la Mujer, Generos y Diversidad- Direc. Prov. De Accion Coop. Y Mutuales- Direccion Prov. de Derechos Humanos-Dirección de Justicia- Direcc. Prov. Del Registro Civil- Direcc. Insp. Personas Juridicas- Secretaria de Asuntos Municipales.</t>
  </si>
  <si>
    <r>
      <rPr>
        <u/>
        <sz val="11"/>
        <rFont val="Calibri"/>
        <family val="2"/>
        <scheme val="minor"/>
      </rPr>
      <t>ÍTEM N° 2: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</si>
  <si>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3: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</si>
  <si>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4:</t>
    </r>
    <r>
      <rPr>
        <sz val="11"/>
        <rFont val="Calibri"/>
        <family val="2"/>
        <scheme val="minor"/>
      </rPr>
      <t xml:space="preserve"> </t>
    </r>
  </si>
  <si>
    <t>Dentro de los 30 días de efectuada la recepcion definitiva de los bienes solicitados.-</t>
  </si>
  <si>
    <t>25/2022</t>
  </si>
  <si>
    <t>ADQ. DE ELEMTOS DE LIBRERIA DESTINADOS A LAS DISTINTAS DEPENDENCIAS DEL MINISTERIO DE GOBIERNO JUSTICIA Y DERECHOS HUMANOS, 
PARA EL 2do TRIMESTRE DEL AÑO 2022.</t>
  </si>
  <si>
    <t>2.9.2-261.14</t>
  </si>
  <si>
    <t>2.9.2-261.9</t>
  </si>
  <si>
    <t>2.9.2-261.25</t>
  </si>
  <si>
    <t>2.9.2-261.10</t>
  </si>
  <si>
    <t>2.9.2-291.19</t>
  </si>
  <si>
    <t>2.3.1-928.8</t>
  </si>
  <si>
    <t>2.9.2-1428.31</t>
  </si>
  <si>
    <t>2.9.2-274.3</t>
  </si>
  <si>
    <t>2.9.2-274.60</t>
  </si>
  <si>
    <t>2.9.2-262.40</t>
  </si>
  <si>
    <t>2.9.2-700.28</t>
  </si>
  <si>
    <t>2.9.2-700.2</t>
  </si>
  <si>
    <t>2.9.2-700.29</t>
  </si>
  <si>
    <t>2.9.2-700.22</t>
  </si>
  <si>
    <t>2.9.2-850.206</t>
  </si>
  <si>
    <t>2.9.2-1510.15</t>
  </si>
  <si>
    <t>2.3.4-734.54</t>
  </si>
  <si>
    <t>2.3.4-734.2</t>
  </si>
  <si>
    <t>2.3.4-734.69</t>
  </si>
  <si>
    <t>2.9.2-1153.52</t>
  </si>
  <si>
    <t>2.3.1-6563.882</t>
  </si>
  <si>
    <t>2.9.2-323.3</t>
  </si>
  <si>
    <t>2.9.2-660.20</t>
  </si>
  <si>
    <t>2.9.2-660.1</t>
  </si>
  <si>
    <t>2.3.1-6587.333</t>
  </si>
  <si>
    <t>2.3.1-6587.298</t>
  </si>
  <si>
    <t>2.3.1-6587.291</t>
  </si>
  <si>
    <t>2.3.1-6563.1009</t>
  </si>
  <si>
    <t>2.3.1-6563.968</t>
  </si>
  <si>
    <t>2.9.2-1358.354</t>
  </si>
  <si>
    <t>2.9.2-1358.353</t>
  </si>
  <si>
    <t>2.9.2-866.4</t>
  </si>
  <si>
    <t>2.9.2-758.8</t>
  </si>
  <si>
    <t>2.9.2-1611.22</t>
  </si>
  <si>
    <t>2.9.2-1611.23</t>
  </si>
  <si>
    <t>2.9.2-848.20</t>
  </si>
  <si>
    <t>2.9.2-698.4</t>
  </si>
  <si>
    <t>2.9.2-317.32</t>
  </si>
  <si>
    <t>2.9.2-317.5</t>
  </si>
  <si>
    <t>2.9.2-661.11</t>
  </si>
  <si>
    <t>2.9.2-1616.128</t>
  </si>
  <si>
    <t>2.3.1-6587.139</t>
  </si>
  <si>
    <t>2.9.2-858.7</t>
  </si>
  <si>
    <t>2.3.1-6590.555</t>
  </si>
  <si>
    <t>2.3.1-6590.556</t>
  </si>
  <si>
    <t>2.9.2-262.21</t>
  </si>
  <si>
    <t>2.9.2-674.9</t>
  </si>
  <si>
    <t>2.9.2-853.24</t>
  </si>
  <si>
    <t>2.9.2-791.31</t>
  </si>
  <si>
    <t>2.9.2-859.2</t>
  </si>
  <si>
    <t>2.9.2-790.4</t>
  </si>
  <si>
    <t>2.9.2-6873.7</t>
  </si>
  <si>
    <t>2.9.2-1450.30</t>
  </si>
  <si>
    <t>2.9.2-1450.4</t>
  </si>
  <si>
    <t>2.9.2-1450.6</t>
  </si>
  <si>
    <t>2.9.2-1450.9</t>
  </si>
  <si>
    <t>2.9.2-1577.22</t>
  </si>
  <si>
    <t>2.9.2-9597.5</t>
  </si>
  <si>
    <t>2.9.2-1620.8</t>
  </si>
  <si>
    <t>2.3.1-6590.432</t>
  </si>
  <si>
    <t>2.9.2-1354.21</t>
  </si>
  <si>
    <t>2.9.2-1616.74</t>
  </si>
  <si>
    <t>2.9.2-1616.145</t>
  </si>
  <si>
    <t>LIBRERÍA</t>
  </si>
  <si>
    <t>2.9.2</t>
  </si>
  <si>
    <t>2.3.4</t>
  </si>
  <si>
    <t>2.3.1</t>
  </si>
  <si>
    <t>2.9.2.</t>
  </si>
  <si>
    <r>
      <rPr>
        <b/>
        <sz val="11"/>
        <rFont val="Calibri"/>
        <family val="2"/>
        <scheme val="minor"/>
      </rPr>
      <t>ABROCHADORAS DE PAPEL</t>
    </r>
    <r>
      <rPr>
        <sz val="11"/>
        <rFont val="Calibri"/>
        <family val="2"/>
        <scheme val="minor"/>
      </rPr>
      <t>; TIPO: PINZA, P/BROCHES: 10/50, MATERIAL: METALICA, MEDIDA: 10/50</t>
    </r>
  </si>
  <si>
    <r>
      <rPr>
        <b/>
        <sz val="11"/>
        <rFont val="Calibri"/>
        <family val="2"/>
        <scheme val="minor"/>
      </rPr>
      <t xml:space="preserve">ABROCHADORAS DE PAPEL; </t>
    </r>
    <r>
      <rPr>
        <sz val="11"/>
        <rFont val="Calibri"/>
        <family val="2"/>
        <scheme val="minor"/>
      </rPr>
      <t>P/BROCHES: 21/6 - 21/8, MATERIAL: METALICA, TIPO: DE ESCRITORIO, MEDIDA: 21/6 - 21/8</t>
    </r>
  </si>
  <si>
    <r>
      <rPr>
        <b/>
        <sz val="11"/>
        <color theme="1"/>
        <rFont val="Calibri"/>
        <family val="2"/>
        <scheme val="minor"/>
      </rPr>
      <t>ABROCHADORAS DE PAPEL;</t>
    </r>
    <r>
      <rPr>
        <sz val="10"/>
        <rFont val="Arial"/>
        <charset val="1"/>
      </rPr>
      <t xml:space="preserve"> TIPO: PINZA, P/BROCHES: 24/6 - 24/8, MATERIAL:  
METAL,  MEDIDA: 24/6 - 24/8</t>
    </r>
  </si>
  <si>
    <r>
      <rPr>
        <b/>
        <sz val="11"/>
        <color theme="1"/>
        <rFont val="Calibri"/>
        <family val="2"/>
        <scheme val="minor"/>
      </rPr>
      <t>ABROCHADORAS DE PAPEL;</t>
    </r>
    <r>
      <rPr>
        <sz val="10"/>
        <rFont val="Arial"/>
        <charset val="1"/>
      </rPr>
      <t xml:space="preserve"> TIPO: PINZA, P/BROCHES: 64/65, MATERIAL: METALICA, MEDIDA: 64/65</t>
    </r>
  </si>
  <si>
    <r>
      <rPr>
        <b/>
        <sz val="11"/>
        <color theme="1"/>
        <rFont val="Calibri"/>
        <family val="2"/>
        <scheme val="minor"/>
      </rPr>
      <t>ALMOHADILLAS P/SELLOS</t>
    </r>
    <r>
      <rPr>
        <sz val="10"/>
        <rFont val="Arial"/>
        <charset val="1"/>
      </rPr>
      <t>; MEDIDA: 8 X 15 Cm, MATERIAL: METAL</t>
    </r>
  </si>
  <si>
    <r>
      <rPr>
        <b/>
        <sz val="11"/>
        <color theme="1"/>
        <rFont val="Calibri"/>
        <family val="2"/>
        <scheme val="minor"/>
      </rPr>
      <t>BIBLIORATOS</t>
    </r>
    <r>
      <rPr>
        <sz val="10"/>
        <rFont val="Arial"/>
        <charset val="1"/>
      </rPr>
      <t>; ANCHO: 80 mm, ANILLO: 2, TAMAÑO: A4, MATERIAL: CARTON</t>
    </r>
  </si>
  <si>
    <r>
      <rPr>
        <b/>
        <sz val="11"/>
        <color theme="1"/>
        <rFont val="Calibri"/>
        <family val="2"/>
        <scheme val="minor"/>
      </rPr>
      <t>BROCHES P/ABROCHADORA;</t>
    </r>
    <r>
      <rPr>
        <sz val="10"/>
        <rFont val="Arial"/>
        <charset val="1"/>
      </rPr>
      <t xml:space="preserve"> NUMERO: 10/50, PRESENTACION: CAJA X 1000 
UNIDADES</t>
    </r>
  </si>
  <si>
    <r>
      <rPr>
        <b/>
        <sz val="11"/>
        <color theme="1"/>
        <rFont val="Calibri"/>
        <family val="2"/>
        <scheme val="minor"/>
      </rPr>
      <t>BROCHES P/ABROCHADORA;</t>
    </r>
    <r>
      <rPr>
        <sz val="10"/>
        <rFont val="Arial"/>
        <charset val="1"/>
      </rPr>
      <t xml:space="preserve"> NUMERO: 21/6, PRESENTACION: CAJA X 1000 
UNIDADES</t>
    </r>
  </si>
  <si>
    <r>
      <rPr>
        <b/>
        <sz val="11"/>
        <color theme="1"/>
        <rFont val="Calibri"/>
        <family val="2"/>
        <scheme val="minor"/>
      </rPr>
      <t xml:space="preserve">BROCHES P/ABROCHADORA; </t>
    </r>
    <r>
      <rPr>
        <sz val="10"/>
        <rFont val="Arial"/>
        <charset val="1"/>
      </rPr>
      <t>NUMERO: 24/6, PRESENTACION: CAJA X 1000 
UNIDADES</t>
    </r>
  </si>
  <si>
    <r>
      <rPr>
        <b/>
        <sz val="11"/>
        <rFont val="Calibri"/>
        <family val="2"/>
        <scheme val="minor"/>
      </rPr>
      <t>PAPELES ENCUADERNADOS;</t>
    </r>
    <r>
      <rPr>
        <sz val="11"/>
        <rFont val="Calibri"/>
        <family val="2"/>
        <scheme val="minor"/>
      </rPr>
      <t xml:space="preserve"> CANT. DE </t>
    </r>
    <r>
      <rPr>
        <b/>
        <sz val="11"/>
        <rFont val="Calibri"/>
        <family val="2"/>
        <scheme val="minor"/>
      </rPr>
      <t xml:space="preserve">HOJAS: 84 HOJAS, TAMAÑO: 21 X 29,7 Cm, TIPO: RAYADO ESPIRALADO, </t>
    </r>
    <r>
      <rPr>
        <sz val="11"/>
        <rFont val="Calibri"/>
        <family val="2"/>
        <scheme val="minor"/>
      </rPr>
      <t>CERTIFICADO FORESTAL (GFS): CON, PORC. FIBRAS RECICLADAS: 0 %, CERT. FIBRA ALTERNATIVA (FCA): SIN</t>
    </r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</si>
  <si>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BLANCO, DIMENSION: </t>
    </r>
    <r>
      <rPr>
        <b/>
        <sz val="11"/>
        <rFont val="Calibri"/>
        <family val="2"/>
        <scheme val="minor"/>
      </rPr>
      <t>OFICIO</t>
    </r>
    <r>
      <rPr>
        <sz val="11"/>
        <rFont val="Calibri"/>
        <family val="2"/>
        <scheme val="minor"/>
      </rPr>
      <t xml:space="preserve">, GRAMAJE: 80 GR, PRESENTACION: </t>
    </r>
    <r>
      <rPr>
        <b/>
        <sz val="11"/>
        <rFont val="Calibri"/>
        <family val="2"/>
        <scheme val="minor"/>
      </rPr>
      <t>ENVASE X 500 HOJAS</t>
    </r>
    <r>
      <rPr>
        <sz val="11"/>
        <rFont val="Calibri"/>
        <family val="2"/>
        <scheme val="minor"/>
      </rPr>
      <t>, CERTIFICADO FORESTAL (GFS): SIN, PORC. FIBRAS RECICLADAS: 0 %, CERT. FIBRA ALTERNATIVA (FCA): SIN</t>
    </r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</si>
  <si>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EXTRA BLANCO, DIMENSION:</t>
    </r>
    <r>
      <rPr>
        <b/>
        <sz val="11"/>
        <rFont val="Calibri"/>
        <family val="2"/>
        <scheme val="minor"/>
      </rPr>
      <t xml:space="preserve"> A4</t>
    </r>
    <r>
      <rPr>
        <sz val="11"/>
        <rFont val="Calibri"/>
        <family val="2"/>
        <scheme val="minor"/>
      </rPr>
      <t>, GRAMAJE: 80 GR, PRESENTACION:</t>
    </r>
    <r>
      <rPr>
        <b/>
        <sz val="11"/>
        <rFont val="Calibri"/>
        <family val="2"/>
        <scheme val="minor"/>
      </rPr>
      <t xml:space="preserve"> RESMA X 500 HOJAS</t>
    </r>
    <r>
      <rPr>
        <sz val="11"/>
        <rFont val="Calibri"/>
        <family val="2"/>
        <scheme val="minor"/>
      </rPr>
      <t>, CERTIFICADO FORESTAL (GFS): SIN, PORC. FIBRAS RECICLADAS: 0 %, CERT. FIBRA ALTERNATIVA (FCA): CON</t>
    </r>
  </si>
  <si>
    <r>
      <rPr>
        <b/>
        <sz val="11"/>
        <color theme="1"/>
        <rFont val="Calibri"/>
        <family val="2"/>
        <scheme val="minor"/>
      </rPr>
      <t>CARPETAS</t>
    </r>
    <r>
      <rPr>
        <sz val="10"/>
        <rFont val="Arial"/>
        <charset val="1"/>
      </rPr>
      <t>; MATERIAL PLASTICO - TAMAÑO OFICIO.</t>
    </r>
  </si>
  <si>
    <r>
      <rPr>
        <b/>
        <sz val="11"/>
        <color theme="1"/>
        <rFont val="Calibri"/>
        <family val="2"/>
        <scheme val="minor"/>
      </rPr>
      <t>CARPETAS</t>
    </r>
    <r>
      <rPr>
        <sz val="10"/>
        <rFont val="Arial"/>
        <charset val="1"/>
      </rPr>
      <t>; MATERIAL PLASTICO - TAMAÑO A4.</t>
    </r>
  </si>
  <si>
    <r>
      <rPr>
        <b/>
        <sz val="11"/>
        <rFont val="Calibri"/>
        <family val="2"/>
        <scheme val="minor"/>
      </rPr>
      <t>MAQUINAS SACABROCHE</t>
    </r>
    <r>
      <rPr>
        <sz val="11"/>
        <rFont val="Calibri"/>
        <family val="2"/>
        <scheme val="minor"/>
      </rPr>
      <t>S; EXTRACTOR: ACERO INOXIDABLE, MATERIAL: PLASTICO</t>
    </r>
  </si>
  <si>
    <r>
      <rPr>
        <b/>
        <sz val="11"/>
        <rFont val="Calibri"/>
        <family val="2"/>
        <scheme val="minor"/>
      </rPr>
      <t xml:space="preserve">TIJERAS </t>
    </r>
    <r>
      <rPr>
        <sz val="11"/>
        <rFont val="Calibri"/>
        <family val="2"/>
        <scheme val="minor"/>
      </rPr>
      <t>P/CORTAR PAPELES; CUCHILLA: PUNTIAGUDAS, MATERIAL: ACERO BRUÑIDO, MANGO: PLASTICO, LONG.DE CUERPO: 17 Cm</t>
    </r>
  </si>
  <si>
    <r>
      <rPr>
        <b/>
        <sz val="11"/>
        <color theme="1"/>
        <rFont val="Calibri"/>
        <family val="2"/>
        <scheme val="minor"/>
      </rPr>
      <t xml:space="preserve">FOLIOS TRANSPARENTES; </t>
    </r>
    <r>
      <rPr>
        <sz val="10"/>
        <rFont val="Arial"/>
        <charset val="1"/>
      </rPr>
      <t>TAMAÑO: A4, PERFORACIONES: 11, MATERIAL: 
POLIPROPILENO</t>
    </r>
  </si>
  <si>
    <r>
      <rPr>
        <b/>
        <sz val="11"/>
        <rFont val="Calibri"/>
        <family val="2"/>
        <scheme val="minor"/>
      </rPr>
      <t>LAPIZ</t>
    </r>
    <r>
      <rPr>
        <sz val="11"/>
        <rFont val="Calibri"/>
        <family val="2"/>
        <scheme val="minor"/>
      </rPr>
      <t>; TIPO: 2HB, COLOR: NEGRO</t>
    </r>
  </si>
  <si>
    <r>
      <rPr>
        <b/>
        <sz val="11"/>
        <rFont val="Calibri"/>
        <family val="2"/>
        <scheme val="minor"/>
      </rPr>
      <t xml:space="preserve">ALMOHADILLAS MOJADEDOS; </t>
    </r>
    <r>
      <rPr>
        <sz val="11"/>
        <rFont val="Calibri"/>
        <family val="2"/>
        <scheme val="minor"/>
      </rPr>
      <t>MATERIAL TAPA: PLASTICO, MEDIDA: D.7.5 Cm, FORMA: REDONDA</t>
    </r>
  </si>
  <si>
    <r>
      <rPr>
        <b/>
        <sz val="11"/>
        <rFont val="Calibri"/>
        <family val="2"/>
        <scheme val="minor"/>
      </rPr>
      <t>GOMAS DE BORRAR</t>
    </r>
    <r>
      <rPr>
        <sz val="11"/>
        <rFont val="Calibri"/>
        <family val="2"/>
        <scheme val="minor"/>
      </rPr>
      <t>; USO: LAPIZ Y TINTA, CANT. X CAJA: 36, DIMENSION: 4 X 1 X 1 Cm, MATERIAL: PLASTICO, PRESENTACION: CAJA X 36</t>
    </r>
  </si>
  <si>
    <r>
      <rPr>
        <b/>
        <sz val="11"/>
        <color theme="1"/>
        <rFont val="Calibri"/>
        <family val="2"/>
        <scheme val="minor"/>
      </rPr>
      <t xml:space="preserve">MARCADORES; </t>
    </r>
    <r>
      <rPr>
        <sz val="10"/>
        <rFont val="Arial"/>
        <charset val="1"/>
      </rPr>
      <t>TIPO PARA PIZARRA - TRAZO GRUESO - PUNTA REDONDA - RECARGABLE NO</t>
    </r>
  </si>
  <si>
    <r>
      <rPr>
        <b/>
        <sz val="11"/>
        <rFont val="Calibri"/>
        <family val="2"/>
        <scheme val="minor"/>
      </rPr>
      <t>PERFORADORAS</t>
    </r>
    <r>
      <rPr>
        <sz val="11"/>
        <rFont val="Calibri"/>
        <family val="2"/>
        <scheme val="minor"/>
      </rPr>
      <t>; DIST. ENTRE AGUJ.: FIJO, N° PERFORACIONES: 2, MATERIAL ESTRUCTURA: FUNDICION HIERRO BASE MADERA, GUIA POSICION PAPEL: CON, TAMAÑO: GRANDE, MATERIAL: FUNDICION HIERRO BASE MADERA</t>
    </r>
  </si>
  <si>
    <r>
      <rPr>
        <b/>
        <sz val="11"/>
        <rFont val="Calibri"/>
        <family val="2"/>
        <scheme val="minor"/>
      </rPr>
      <t>SOBRES DE PAPEL</t>
    </r>
    <r>
      <rPr>
        <sz val="11"/>
        <rFont val="Calibri"/>
        <family val="2"/>
        <scheme val="minor"/>
      </rPr>
      <t>; TIPO: MANILA, TAMAÑO: OFICIO, GRAMAJE: 80 GR, PRESENTACION: UNIDAD, CERTIFICADO FORESTAL (GFS): SIN, PORC. FIBRAS RECICLADAS: 0 %, CERT. FIBRA ALTERNATIVA (FCA): SIN</t>
    </r>
  </si>
  <si>
    <r>
      <rPr>
        <b/>
        <sz val="11"/>
        <rFont val="Calibri"/>
        <family val="2"/>
        <scheme val="minor"/>
      </rPr>
      <t>SOBRES DE PAPEL;</t>
    </r>
    <r>
      <rPr>
        <sz val="11"/>
        <rFont val="Calibri"/>
        <family val="2"/>
        <scheme val="minor"/>
      </rPr>
      <t xml:space="preserve"> TIPO: MANILA, TAMAÑO: A4, GRAMAJE: 80 GR, PRESENTACION: UNIDAD, CERTIFICADO FORESTAL (GFS): SIN, PORC. FIBRAS RECICLADAS: 0 %, CERT. FIBRA ALTERNATIVA (FCA): SIN</t>
    </r>
  </si>
  <si>
    <r>
      <rPr>
        <b/>
        <sz val="11"/>
        <color theme="1"/>
        <rFont val="Calibri"/>
        <family val="2"/>
        <scheme val="minor"/>
      </rPr>
      <t>ADHESIVOS P/PAPEL;</t>
    </r>
    <r>
      <rPr>
        <sz val="10"/>
        <rFont val="Arial"/>
        <charset val="1"/>
      </rPr>
      <t xml:space="preserve"> PRESENTACION: 1000 GR, TIPO: COLA VINILICA</t>
    </r>
  </si>
  <si>
    <r>
      <rPr>
        <b/>
        <sz val="11"/>
        <rFont val="Calibri"/>
        <family val="2"/>
        <scheme val="minor"/>
      </rPr>
      <t>REGLAS GRADUADAS</t>
    </r>
    <r>
      <rPr>
        <sz val="11"/>
        <rFont val="Calibri"/>
        <family val="2"/>
        <scheme val="minor"/>
      </rPr>
      <t>; TIPO: PLANA, MATERIAL: PLASTICO, LONG.DE CUERPO: 30 Cm</t>
    </r>
  </si>
  <si>
    <r>
      <rPr>
        <b/>
        <sz val="11"/>
        <color theme="1"/>
        <rFont val="Calibri"/>
        <family val="2"/>
        <scheme val="minor"/>
      </rPr>
      <t>BROCHES P/EXPEDIENTE;</t>
    </r>
    <r>
      <rPr>
        <sz val="10"/>
        <rFont val="Arial"/>
        <charset val="1"/>
      </rPr>
      <t xml:space="preserve"> TIPO: MARIPOSA, LONG.DE CUERPO: 30 mm</t>
    </r>
  </si>
  <si>
    <r>
      <rPr>
        <b/>
        <sz val="11"/>
        <color theme="1"/>
        <rFont val="Calibri"/>
        <family val="2"/>
        <scheme val="minor"/>
      </rPr>
      <t>TALONARIOS NOTAS AUTOADHESIVAS;</t>
    </r>
    <r>
      <rPr>
        <sz val="10"/>
        <rFont val="Arial"/>
        <charset val="1"/>
      </rPr>
      <t xml:space="preserve"> COLOR: SIN VALOR, MEDIDA: 75 X 75 mm</t>
    </r>
  </si>
  <si>
    <r>
      <rPr>
        <b/>
        <sz val="11"/>
        <rFont val="Calibri"/>
        <family val="2"/>
        <scheme val="minor"/>
      </rPr>
      <t>TINTAS P/SELLOS</t>
    </r>
    <r>
      <rPr>
        <sz val="11"/>
        <rFont val="Calibri"/>
        <family val="2"/>
        <scheme val="minor"/>
      </rPr>
      <t xml:space="preserve">; TIPO DE SELLO: DE GOMA, ENVASE: 60 CM3, COLOR: </t>
    </r>
    <r>
      <rPr>
        <b/>
        <sz val="11"/>
        <rFont val="Calibri"/>
        <family val="2"/>
        <scheme val="minor"/>
      </rPr>
      <t>AZUL</t>
    </r>
    <r>
      <rPr>
        <sz val="11"/>
        <rFont val="Calibri"/>
        <family val="2"/>
        <scheme val="minor"/>
      </rPr>
      <t>, PRESENTACION: ENVASE X 60 CM3</t>
    </r>
  </si>
  <si>
    <r>
      <rPr>
        <b/>
        <sz val="11"/>
        <rFont val="Calibri"/>
        <family val="2"/>
        <scheme val="minor"/>
      </rPr>
      <t>TINTAS P/SELLOS</t>
    </r>
    <r>
      <rPr>
        <sz val="11"/>
        <rFont val="Calibri"/>
        <family val="2"/>
        <scheme val="minor"/>
      </rPr>
      <t xml:space="preserve">; TIPO DE SELLO: DE GOMA, COLOR: </t>
    </r>
    <r>
      <rPr>
        <b/>
        <sz val="11"/>
        <rFont val="Calibri"/>
        <family val="2"/>
        <scheme val="minor"/>
      </rPr>
      <t>NEGRO</t>
    </r>
    <r>
      <rPr>
        <sz val="11"/>
        <rFont val="Calibri"/>
        <family val="2"/>
        <scheme val="minor"/>
      </rPr>
      <t>, PRESENTACION: ENVASE X 50 CM3</t>
    </r>
  </si>
  <si>
    <r>
      <rPr>
        <b/>
        <sz val="11"/>
        <color theme="1"/>
        <rFont val="Calibri"/>
        <family val="2"/>
        <scheme val="minor"/>
      </rPr>
      <t>APRIETA PAPELES;</t>
    </r>
    <r>
      <rPr>
        <sz val="10"/>
        <rFont val="Arial"/>
        <charset val="1"/>
      </rPr>
      <t xml:space="preserve"> MATERIAL: METAL, DIMENSION: 100 mm, COLOR: NEGRO, 
RESORTE: SIN</t>
    </r>
  </si>
  <si>
    <r>
      <rPr>
        <b/>
        <sz val="11"/>
        <color theme="1"/>
        <rFont val="Calibri"/>
        <family val="2"/>
        <scheme val="minor"/>
      </rPr>
      <t xml:space="preserve">MEMORIAS USB; </t>
    </r>
    <r>
      <rPr>
        <sz val="10"/>
        <rFont val="Arial"/>
        <charset val="1"/>
      </rPr>
      <t>CAPACIDAD: 32 Gb, TIPO: PEN DRIVE</t>
    </r>
  </si>
  <si>
    <r>
      <rPr>
        <b/>
        <sz val="11"/>
        <color theme="1"/>
        <rFont val="Calibri"/>
        <family val="2"/>
        <scheme val="minor"/>
      </rPr>
      <t>DISCO COMPACTO;</t>
    </r>
    <r>
      <rPr>
        <sz val="10"/>
        <rFont val="Arial"/>
        <charset val="1"/>
      </rPr>
      <t xml:space="preserve"> CAPACIDAD: 740 MB, TIPO: CD ROM HW</t>
    </r>
  </si>
  <si>
    <t>CAJAS</t>
  </si>
  <si>
    <t xml:space="preserve">UNIDAD </t>
  </si>
  <si>
    <t>CAJA</t>
  </si>
  <si>
    <r>
      <rPr>
        <b/>
        <sz val="11"/>
        <color theme="1"/>
        <rFont val="Calibri"/>
        <family val="2"/>
        <scheme val="minor"/>
      </rPr>
      <t>ARANDELAS DE CARTON;</t>
    </r>
    <r>
      <rPr>
        <sz val="10"/>
        <rFont val="Arial"/>
        <charset val="1"/>
      </rPr>
      <t xml:space="preserve"> DIAMETRO: 1 pulg, PRESENTACION: CAJA X 500 
UNIDADES</t>
    </r>
  </si>
  <si>
    <r>
      <rPr>
        <b/>
        <sz val="11"/>
        <color theme="1"/>
        <rFont val="Calibri"/>
        <family val="2"/>
        <scheme val="minor"/>
      </rPr>
      <t>BANDAS ELASTICAS;</t>
    </r>
    <r>
      <rPr>
        <sz val="10"/>
        <rFont val="Arial"/>
        <charset val="1"/>
      </rPr>
      <t xml:space="preserve"> DIAMETRO: 5 Cm, PRESENTACION: CAJA DE 1 Kg, 
ESPESOR: 2 mm</t>
    </r>
  </si>
  <si>
    <r>
      <rPr>
        <b/>
        <sz val="11"/>
        <color theme="1"/>
        <rFont val="Calibri"/>
        <family val="2"/>
        <scheme val="minor"/>
      </rPr>
      <t>BIBLIORATOS;</t>
    </r>
    <r>
      <rPr>
        <sz val="10"/>
        <rFont val="Arial"/>
        <charset val="1"/>
      </rPr>
      <t xml:space="preserve"> ANCHO 80mm - ANILLO 2 Y PALANCA - TAMAÑO OFICIO - MATERIAL CARTON</t>
    </r>
  </si>
  <si>
    <r>
      <rPr>
        <b/>
        <sz val="11"/>
        <color theme="1"/>
        <rFont val="Calibri"/>
        <family val="2"/>
        <scheme val="minor"/>
      </rPr>
      <t>ADHESIVOS P/PAPEL</t>
    </r>
    <r>
      <rPr>
        <sz val="10"/>
        <rFont val="Arial"/>
        <charset val="1"/>
      </rPr>
      <t>; PRESENTACION: 50 mL, TIPO: SINTETICO TRANS-
PARENTE</t>
    </r>
  </si>
  <si>
    <r>
      <rPr>
        <b/>
        <sz val="11"/>
        <color theme="1"/>
        <rFont val="Calibri"/>
        <family val="2"/>
        <scheme val="minor"/>
      </rPr>
      <t>BROCHES P/ABROCHADORA;</t>
    </r>
    <r>
      <rPr>
        <sz val="10"/>
        <rFont val="Arial"/>
        <charset val="1"/>
      </rPr>
      <t xml:space="preserve"> NUMERO: 65, PRESENTACION: CAJA X 1000 
UNIDADES</t>
    </r>
  </si>
  <si>
    <r>
      <rPr>
        <b/>
        <sz val="11"/>
        <color theme="1"/>
        <rFont val="Calibri"/>
        <family val="2"/>
        <scheme val="minor"/>
      </rPr>
      <t xml:space="preserve">CAJAS DE ARCHIVO; </t>
    </r>
    <r>
      <rPr>
        <sz val="10"/>
        <rFont val="Arial"/>
        <charset val="1"/>
      </rPr>
      <t>MATERIAL: PLASTICO CORRUGADO, DIMENSION: 39 X 28 X 12Cm</t>
    </r>
  </si>
  <si>
    <r>
      <rPr>
        <b/>
        <sz val="11"/>
        <color theme="1"/>
        <rFont val="Calibri"/>
        <family val="2"/>
        <scheme val="minor"/>
      </rPr>
      <t xml:space="preserve">CARPETAS COLGANTES; </t>
    </r>
    <r>
      <rPr>
        <sz val="10"/>
        <rFont val="Arial"/>
        <charset val="1"/>
      </rPr>
      <t>TIPO: INTERIOR, MATERIAL: CARTULINA, TAMAÑO: OFICIO, SUJECION: GANCHOS EN 4 PUNTAS, VISOR: TRANSPARENTE, COLOR: MARRON, PRESENTACION: CAJA X 50 UN</t>
    </r>
  </si>
  <si>
    <r>
      <rPr>
        <b/>
        <sz val="11"/>
        <color theme="1"/>
        <rFont val="Calibri"/>
        <family val="2"/>
        <scheme val="minor"/>
      </rPr>
      <t>CINTAS P/EMBALAJE;</t>
    </r>
    <r>
      <rPr>
        <sz val="10"/>
        <rFont val="Arial"/>
        <charset val="1"/>
      </rPr>
      <t xml:space="preserve"> MATERIAL: POLIPROPILENO, USO: GENERAL, ANCHO: 48 Cm, LARGO: 50 M, COLOR: TRANSPARENTE</t>
    </r>
  </si>
  <si>
    <r>
      <rPr>
        <b/>
        <sz val="11"/>
        <color theme="1"/>
        <rFont val="Calibri"/>
        <family val="2"/>
        <scheme val="minor"/>
      </rPr>
      <t xml:space="preserve">CINTAS P/EMBALAJE; </t>
    </r>
    <r>
      <rPr>
        <sz val="10"/>
        <rFont val="Arial"/>
        <charset val="1"/>
      </rPr>
      <t>MATERIAL: PAPEL, LARGO: 50 M, ANCHO: 18 mm, USO: GENERAL, COLOR: BLANCO</t>
    </r>
  </si>
  <si>
    <r>
      <rPr>
        <b/>
        <sz val="11"/>
        <color theme="1"/>
        <rFont val="Calibri"/>
        <family val="2"/>
        <scheme val="minor"/>
      </rPr>
      <t xml:space="preserve">CINTAS P/EMBALAJE; </t>
    </r>
    <r>
      <rPr>
        <sz val="10"/>
        <rFont val="Arial"/>
        <charset val="1"/>
      </rPr>
      <t>MATERIAL: PAPEL, USO: GENERAL, ANCHO: 50 mm, LARGO: 150 M</t>
    </r>
  </si>
  <si>
    <r>
      <rPr>
        <b/>
        <sz val="11"/>
        <color theme="1"/>
        <rFont val="Calibri"/>
        <family val="2"/>
        <scheme val="minor"/>
      </rPr>
      <t xml:space="preserve">CINTAS ADHESIVAS; </t>
    </r>
    <r>
      <rPr>
        <sz val="10"/>
        <rFont val="Arial"/>
        <charset val="1"/>
      </rPr>
      <t>TIPO: TRANSPARENTE, ANCHO: 12 mm, LARGO ROLLO: 25 M, MATERIAL: POLIPROPILENO, ACCESORIO: SIN, LARGO: 25 M</t>
    </r>
  </si>
  <si>
    <r>
      <rPr>
        <b/>
        <sz val="11"/>
        <color theme="1"/>
        <rFont val="Calibri"/>
        <family val="2"/>
        <scheme val="minor"/>
      </rPr>
      <t>PAPELES EN HOJA;</t>
    </r>
    <r>
      <rPr>
        <sz val="10"/>
        <rFont val="Arial"/>
        <charset val="1"/>
      </rPr>
      <t xml:space="preserve"> TIPO DE PAPEL: CARTULINA, DIMENSION: 45 X 63 Cm, GRAMAJE: 115/125 GR/M2, PRESENTACION: UNIDAD, CERTIFICADO FORESTAL (GFS): SIN, PORC. FIBRAS RECICLADAS: SIN, CERT. FIBRA ALTERNATIVA (FCA): SIN</t>
    </r>
  </si>
  <si>
    <r>
      <rPr>
        <b/>
        <sz val="11"/>
        <color theme="1"/>
        <rFont val="Calibri"/>
        <family val="2"/>
        <scheme val="minor"/>
      </rPr>
      <t>CORRECTORES DE ESCRITURA;</t>
    </r>
    <r>
      <rPr>
        <sz val="10"/>
        <rFont val="Arial"/>
        <charset val="1"/>
      </rPr>
      <t xml:space="preserve"> ENVASE: LAPIZ (PUNTA METAL), PRESENTACION: LAPIZ (PUNTA METAL) X 10 mL, CAPACIDAD: 10 mL</t>
    </r>
  </si>
  <si>
    <r>
      <rPr>
        <b/>
        <sz val="11"/>
        <color theme="1"/>
        <rFont val="Calibri"/>
        <family val="2"/>
        <scheme val="minor"/>
      </rPr>
      <t>CLIPS P/PAPEL;</t>
    </r>
    <r>
      <rPr>
        <sz val="10"/>
        <rFont val="Arial"/>
        <charset val="1"/>
      </rPr>
      <t xml:space="preserve"> NUMERO: 6, MATERIAL: METAL, CANT. X CAJA: 100, PRESENTACION: CAJA X 100</t>
    </r>
  </si>
  <si>
    <r>
      <rPr>
        <b/>
        <sz val="11"/>
        <color theme="1"/>
        <rFont val="Calibri"/>
        <family val="2"/>
        <scheme val="minor"/>
      </rPr>
      <t xml:space="preserve">CLIPS P/PAPEL; </t>
    </r>
    <r>
      <rPr>
        <sz val="10"/>
        <rFont val="Arial"/>
        <charset val="1"/>
      </rPr>
      <t>NUMERO: 3, MATERIAL: METAL, CANT. X CAJA: 100, PRESENTACION: CAJA X 100</t>
    </r>
  </si>
  <si>
    <r>
      <rPr>
        <b/>
        <sz val="11"/>
        <color theme="1"/>
        <rFont val="Calibri"/>
        <family val="2"/>
        <scheme val="minor"/>
      </rPr>
      <t xml:space="preserve">PAPELES ENCUADERNADOS; </t>
    </r>
    <r>
      <rPr>
        <sz val="10"/>
        <rFont val="Arial"/>
        <charset val="1"/>
      </rPr>
      <t>CANT. DE HOJAS: 100, TAMAÑO: 21 X 16 Cm, TIPO: CUADERNO, CERTIFICADO FORESTAL (GFS): CON, PORC. FIBRAS RECICLADAS: 0 %,CERT. FIBRA ALTERNATIVA (FCA): SIN</t>
    </r>
  </si>
  <si>
    <r>
      <rPr>
        <b/>
        <sz val="11"/>
        <color theme="1"/>
        <rFont val="Calibri"/>
        <family val="2"/>
        <scheme val="minor"/>
      </rPr>
      <t>PAPELES ENCUADERNADOS;</t>
    </r>
    <r>
      <rPr>
        <sz val="10"/>
        <rFont val="Arial"/>
        <charset val="1"/>
      </rPr>
      <t xml:space="preserve"> CANT. DE HOJAS: 120 HOJAS, TAMAÑO: 16 X 21 Cm, TIPO: RAYADO ESPIRALADO, CERTIFICADO FORESTAL (GFS): SIN, PORC. FIBRAS RECICLADAS: SIN VALOR %, CERT. FIBRA ALTERNATIVA (FCA): SIN</t>
    </r>
  </si>
  <si>
    <r>
      <rPr>
        <b/>
        <sz val="11"/>
        <color theme="1"/>
        <rFont val="Calibri"/>
        <family val="2"/>
        <scheme val="minor"/>
      </rPr>
      <t>FOLIOS TRANSPARENTES;</t>
    </r>
    <r>
      <rPr>
        <sz val="10"/>
        <rFont val="Arial"/>
        <charset val="1"/>
      </rPr>
      <t xml:space="preserve"> TAMAÑO: OFICIO, PERFORACIONES: 11, MATERIAL: POLIPROPILENO</t>
    </r>
  </si>
  <si>
    <r>
      <rPr>
        <b/>
        <sz val="11"/>
        <color theme="1"/>
        <rFont val="Calibri"/>
        <family val="2"/>
        <scheme val="minor"/>
      </rPr>
      <t>PAPELES ENCUADERNADOS;</t>
    </r>
    <r>
      <rPr>
        <sz val="10"/>
        <rFont val="Arial"/>
        <charset val="1"/>
      </rPr>
      <t xml:space="preserve"> CANT. DE HOJAS: 100, TAMAÑO: 23 X 35 Cm, TIPO: LIBRO DE ACTAS</t>
    </r>
  </si>
  <si>
    <r>
      <rPr>
        <b/>
        <sz val="11"/>
        <color theme="1"/>
        <rFont val="Calibri"/>
        <family val="2"/>
        <scheme val="minor"/>
      </rPr>
      <t xml:space="preserve">SELLO FECHADOR; </t>
    </r>
    <r>
      <rPr>
        <sz val="10"/>
        <rFont val="Arial"/>
        <charset val="1"/>
      </rPr>
      <t>DIGITOS MOVILES AÑO: 2, DIGITOS MOVILES DIA: 2, DIGITOS MOVILES MES: 2, DIMENSION: 6 X 4 Cm, DIM. BANDA: 6 X 4 Cm</t>
    </r>
  </si>
  <si>
    <r>
      <rPr>
        <b/>
        <sz val="11"/>
        <color theme="1"/>
        <rFont val="Calibri"/>
        <family val="2"/>
        <scheme val="minor"/>
      </rPr>
      <t>CUTER;</t>
    </r>
    <r>
      <rPr>
        <sz val="10"/>
        <rFont val="Arial"/>
        <charset val="1"/>
      </rPr>
      <t xml:space="preserve"> MATERIAL MANGO: PLASTICO, ANCHO HOJA: 12 mm, TIPO DE HOJA: FIJA, TIPO HOJA: FIJA, ANCHO DE HOJA: 12 mm</t>
    </r>
  </si>
  <si>
    <r>
      <rPr>
        <b/>
        <sz val="11"/>
        <color theme="1"/>
        <rFont val="Calibri"/>
        <family val="2"/>
        <scheme val="minor"/>
      </rPr>
      <t>TINTAS P/SELLOS;</t>
    </r>
    <r>
      <rPr>
        <sz val="10"/>
        <rFont val="Arial"/>
        <charset val="1"/>
      </rPr>
      <t xml:space="preserve"> TIPO DE SELLO: DE GOMA, ENVASE: 70 CM3, COLOR: </t>
    </r>
    <r>
      <rPr>
        <b/>
        <sz val="11"/>
        <color theme="1"/>
        <rFont val="Calibri"/>
        <family val="2"/>
        <scheme val="minor"/>
      </rPr>
      <t>ROJO</t>
    </r>
    <r>
      <rPr>
        <sz val="10"/>
        <rFont val="Arial"/>
        <charset val="1"/>
      </rPr>
      <t>, PRESENTACION: ENVASE X 70 CM3</t>
    </r>
  </si>
  <si>
    <r>
      <rPr>
        <b/>
        <sz val="11"/>
        <color theme="1"/>
        <rFont val="Calibri"/>
        <family val="2"/>
        <scheme val="minor"/>
      </rPr>
      <t>TINTAS P/SELLOS;</t>
    </r>
    <r>
      <rPr>
        <sz val="10"/>
        <rFont val="Arial"/>
        <charset val="1"/>
      </rPr>
      <t xml:space="preserve"> TIPO DE SELLO: DE GOMA, COLOR: </t>
    </r>
    <r>
      <rPr>
        <b/>
        <sz val="11"/>
        <color theme="1"/>
        <rFont val="Calibri"/>
        <family val="2"/>
        <scheme val="minor"/>
      </rPr>
      <t>VIOLETA</t>
    </r>
    <r>
      <rPr>
        <sz val="10"/>
        <rFont val="Arial"/>
        <charset val="1"/>
      </rPr>
      <t>, ENVASE: 10 CM3, PRESENTACION: ENVASE X 10 CM3</t>
    </r>
  </si>
  <si>
    <r>
      <rPr>
        <b/>
        <sz val="11"/>
        <color theme="1"/>
        <rFont val="Calibri"/>
        <family val="2"/>
        <scheme val="minor"/>
      </rPr>
      <t>SOBRES DE PAPEL;</t>
    </r>
    <r>
      <rPr>
        <sz val="10"/>
        <rFont val="Arial"/>
        <charset val="1"/>
      </rPr>
      <t xml:space="preserve"> TIPO: P/DISCO COMPACTO, TAMAÑO: 12,7 X 12,7 Cm, GRAMAJE: 80 GR/M2, PRESENTACION: UNIDAD, CERTIFICADO FORESTAL (GFS): SIN</t>
    </r>
  </si>
  <si>
    <r>
      <rPr>
        <b/>
        <sz val="11"/>
        <color theme="1"/>
        <rFont val="Calibri"/>
        <family val="2"/>
        <scheme val="minor"/>
      </rPr>
      <t>RESALTADORES</t>
    </r>
    <r>
      <rPr>
        <sz val="10"/>
        <rFont val="Arial"/>
        <charset val="1"/>
      </rPr>
      <t>; PUNTA: BISELADA, ACCESORIO: SIN, COLOR: SIN VALOR, TIPO PUNTA: BISELADA</t>
    </r>
  </si>
  <si>
    <r>
      <rPr>
        <b/>
        <sz val="11"/>
        <color theme="1"/>
        <rFont val="Calibri"/>
        <family val="2"/>
        <scheme val="minor"/>
      </rPr>
      <t>MARCADORES; T</t>
    </r>
    <r>
      <rPr>
        <sz val="10"/>
        <rFont val="Arial"/>
        <charset val="1"/>
      </rPr>
      <t>IPO: AL SOLVENTE, TRAZO: GRUESO, PUNTA: REDONDA, COLOR: NEGRO, RECARGABLE: NO</t>
    </r>
  </si>
  <si>
    <r>
      <rPr>
        <b/>
        <sz val="11"/>
        <color theme="1"/>
        <rFont val="Calibri"/>
        <family val="2"/>
        <scheme val="minor"/>
      </rPr>
      <t>MARCADORES;</t>
    </r>
    <r>
      <rPr>
        <sz val="10"/>
        <rFont val="Arial"/>
        <charset val="1"/>
      </rPr>
      <t xml:space="preserve"> TIPO: INDELEBLE, TRAZO: GRUESO, PUNTA: GRUESA, 
RECARGABLE: NO</t>
    </r>
  </si>
  <si>
    <t>Abrochadora 21/6.</t>
  </si>
  <si>
    <t>Abrochadora 24/6.</t>
  </si>
  <si>
    <t>Abrochadora p/broches N° 65.</t>
  </si>
  <si>
    <t>Color: Blanco.</t>
  </si>
  <si>
    <t>Colores: amarilo, naranja, blanca, lila, rosadas y verdes (en identicas cantidades)</t>
  </si>
  <si>
    <r>
      <rPr>
        <u/>
        <sz val="11"/>
        <rFont val="Calibri"/>
        <family val="2"/>
        <scheme val="minor"/>
      </rPr>
      <t>ÍTEM N° 26:</t>
    </r>
    <r>
      <rPr>
        <sz val="11"/>
        <rFont val="Calibri"/>
        <family val="2"/>
        <scheme val="minor"/>
      </rPr>
      <t xml:space="preserve"> </t>
    </r>
  </si>
  <si>
    <t>Tapa dura.</t>
  </si>
  <si>
    <r>
      <rPr>
        <u/>
        <sz val="11"/>
        <rFont val="Calibri"/>
        <family val="2"/>
        <scheme val="minor"/>
      </rPr>
      <t>ÍTEM N° 27:</t>
    </r>
    <r>
      <rPr>
        <sz val="11"/>
        <rFont val="Calibri"/>
        <family val="2"/>
        <scheme val="minor"/>
      </rPr>
      <t xml:space="preserve"> </t>
    </r>
  </si>
  <si>
    <t>Tapa transparente, tamaño oficio..</t>
  </si>
  <si>
    <r>
      <rPr>
        <u/>
        <sz val="11"/>
        <rFont val="Calibri"/>
        <family val="2"/>
        <scheme val="minor"/>
      </rPr>
      <t>ÍTEM N° 31:</t>
    </r>
    <r>
      <rPr>
        <sz val="11"/>
        <rFont val="Calibri"/>
        <family val="2"/>
        <scheme val="minor"/>
      </rPr>
      <t xml:space="preserve"> </t>
    </r>
  </si>
  <si>
    <t>Tapa transparente, tamaño A4.</t>
  </si>
  <si>
    <r>
      <rPr>
        <sz val="10"/>
        <rFont val="Times New Roman"/>
        <family val="1"/>
      </rPr>
      <t>BOLIGRAFOS; TRAZO: 0,8 mm (FINO) Color: Negro</t>
    </r>
    <r>
      <rPr>
        <b/>
        <sz val="10"/>
        <rFont val="Times New Roman"/>
        <family val="1"/>
      </rPr>
      <t xml:space="preserve"> </t>
    </r>
  </si>
  <si>
    <r>
      <rPr>
        <u/>
        <sz val="11"/>
        <rFont val="Calibri"/>
        <family val="2"/>
        <scheme val="minor"/>
      </rPr>
      <t>ÍTEM N° 39:</t>
    </r>
    <r>
      <rPr>
        <sz val="11"/>
        <rFont val="Calibri"/>
        <family val="2"/>
        <scheme val="minor"/>
      </rPr>
      <t xml:space="preserve"> </t>
    </r>
  </si>
  <si>
    <r>
      <rPr>
        <sz val="10"/>
        <rFont val="Times New Roman"/>
        <family val="1"/>
      </rPr>
      <t>BOLIGRAFOS; TRAZO: 0,8 mm (FINO) Color: Azul</t>
    </r>
    <r>
      <rPr>
        <b/>
        <sz val="10"/>
        <rFont val="Times New Roman"/>
        <family val="1"/>
      </rPr>
      <t xml:space="preserve"> </t>
    </r>
  </si>
  <si>
    <r>
      <rPr>
        <u/>
        <sz val="11"/>
        <rFont val="Calibri"/>
        <family val="2"/>
        <scheme val="minor"/>
      </rPr>
      <t>ÍTEM N° 40: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</si>
  <si>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41: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</si>
  <si>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42:</t>
    </r>
    <r>
      <rPr>
        <sz val="11"/>
        <rFont val="Calibri"/>
        <family val="2"/>
        <scheme val="minor"/>
      </rPr>
      <t xml:space="preserve"> </t>
    </r>
  </si>
  <si>
    <r>
      <t>BOLIGRAFOS; TRAZO 1,0mm  (GRUESO)  Color: Negro</t>
    </r>
    <r>
      <rPr>
        <b/>
        <sz val="10"/>
        <rFont val="Times New Roman"/>
        <family val="1"/>
      </rPr>
      <t xml:space="preserve"> </t>
    </r>
  </si>
  <si>
    <r>
      <t>BOLIGRAFOS; TRAZO 1,0mm  (GRUESO)  Color: Azul.</t>
    </r>
    <r>
      <rPr>
        <b/>
        <sz val="10"/>
        <rFont val="Times New Roman"/>
        <family val="1"/>
      </rPr>
      <t xml:space="preserve"> </t>
    </r>
  </si>
  <si>
    <t>GOMAS DE BORRAR; USO: LAPIZ Y TINTA, CANT. X CAJA: 36</t>
  </si>
  <si>
    <r>
      <rPr>
        <u/>
        <sz val="11"/>
        <rFont val="Calibri"/>
        <family val="2"/>
        <scheme val="minor"/>
      </rPr>
      <t>ÍTEM N° 43:</t>
    </r>
    <r>
      <rPr>
        <sz val="11"/>
        <rFont val="Calibri"/>
        <family val="2"/>
        <scheme val="minor"/>
      </rPr>
      <t xml:space="preserve"> </t>
    </r>
  </si>
  <si>
    <r>
      <t xml:space="preserve">MARCADORES; TIPO PARA PIZARRA - TRAZO GRUESO - PUNTA REDONDA - RECARGABLE NO  </t>
    </r>
    <r>
      <rPr>
        <b/>
        <sz val="10"/>
        <rFont val="Times New Roman"/>
        <family val="1"/>
      </rPr>
      <t>COLOR: NEGRO</t>
    </r>
  </si>
  <si>
    <r>
      <t xml:space="preserve">SOBRES DE PAPEL; TIPO: MANILA, TAMAÑO: OFICIO, GRAMAJE: 80 GR, PRESENTACION: UNIDAD, CERTIFICADO FORESTAL (GFS): SIN, PORC. FIBRAS RECICLADAS: 0 %, CERT. FIBRA ALTERNATIVA (FCA): SIN </t>
    </r>
    <r>
      <rPr>
        <b/>
        <sz val="10"/>
        <rFont val="Times New Roman"/>
        <family val="1"/>
      </rPr>
      <t xml:space="preserve">COLOR: MARRON </t>
    </r>
  </si>
  <si>
    <r>
      <rPr>
        <u/>
        <sz val="11"/>
        <rFont val="Calibri"/>
        <family val="2"/>
        <scheme val="minor"/>
      </rPr>
      <t>ÍTEM N° 47:</t>
    </r>
    <r>
      <rPr>
        <sz val="11"/>
        <rFont val="Calibri"/>
        <family val="2"/>
        <scheme val="minor"/>
      </rPr>
      <t xml:space="preserve"> </t>
    </r>
  </si>
  <si>
    <r>
      <t xml:space="preserve">SOBRES DE PAPEL; TIPO: MANILA, TAMAÑO: A4, GRAMAJE: 80 GR, PRESENTACION: UNIDAD, CERTIFICADO FORESTAL (GFS): SIN, PORC. FIBRAS RECICLADAS: 0 %, CERT. FIBRA ALTERNATIVA (FCA): SIN </t>
    </r>
    <r>
      <rPr>
        <b/>
        <sz val="10"/>
        <rFont val="Times New Roman"/>
        <family val="1"/>
      </rPr>
      <t>COLOR: MARRON</t>
    </r>
    <r>
      <rPr>
        <sz val="10"/>
        <rFont val="Times New Roman"/>
        <family val="1"/>
      </rPr>
      <t xml:space="preserve"> </t>
    </r>
  </si>
  <si>
    <r>
      <rPr>
        <u/>
        <sz val="11"/>
        <rFont val="Calibri"/>
        <family val="2"/>
        <scheme val="minor"/>
      </rPr>
      <t>ÍTEM N° 48:</t>
    </r>
    <r>
      <rPr>
        <sz val="11"/>
        <rFont val="Calibri"/>
        <family val="2"/>
        <scheme val="minor"/>
      </rPr>
      <t xml:space="preserve"> </t>
    </r>
  </si>
  <si>
    <r>
      <t xml:space="preserve">ADHESIVOS P/PAPEL; PRESENTACION: 1000 GR, TIPO: COLA VINILICA  </t>
    </r>
    <r>
      <rPr>
        <b/>
        <sz val="10"/>
        <rFont val="Times New Roman"/>
        <family val="1"/>
      </rPr>
      <t>COLOR: BLANCA</t>
    </r>
  </si>
  <si>
    <r>
      <rPr>
        <u/>
        <sz val="11"/>
        <rFont val="Calibri"/>
        <family val="2"/>
        <scheme val="minor"/>
      </rPr>
      <t>ÍTEM N° 64:</t>
    </r>
    <r>
      <rPr>
        <sz val="11"/>
        <rFont val="Calibri"/>
        <family val="2"/>
        <scheme val="minor"/>
      </rPr>
      <t xml:space="preserve"> </t>
    </r>
  </si>
  <si>
    <t>Color: Negro</t>
  </si>
  <si>
    <r>
      <rPr>
        <u/>
        <sz val="11"/>
        <rFont val="Calibri"/>
        <family val="2"/>
        <scheme val="minor"/>
      </rPr>
      <t>ÍTEM N° 65: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</si>
  <si>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66:</t>
    </r>
    <r>
      <rPr>
        <sz val="11"/>
        <rFont val="Calibri"/>
        <family val="2"/>
        <scheme val="minor"/>
      </rPr>
      <t xml:space="preserve"> </t>
    </r>
  </si>
  <si>
    <t>Color: Azul</t>
  </si>
  <si>
    <r>
      <rPr>
        <u/>
        <sz val="11"/>
        <rFont val="Calibri"/>
        <family val="2"/>
        <scheme val="minor"/>
      </rPr>
      <t>ÍTEM N° 67:</t>
    </r>
    <r>
      <rPr>
        <sz val="11"/>
        <rFont val="Calibri"/>
        <family val="2"/>
        <scheme val="minor"/>
      </rPr>
      <t xml:space="preserve"> </t>
    </r>
  </si>
  <si>
    <r>
      <t xml:space="preserve">a) LUGAR DE ENTREGA:  Dirección Prov. de Gestion Administrativa-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</si>
  <si>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Que cumpla con lo solicitado y condiciones de calidad, productos de muy buena calidad.-</t>
  </si>
  <si>
    <t>Papel de Escritorio y Cartón</t>
  </si>
  <si>
    <t>Productos de Papel y Cartón</t>
  </si>
  <si>
    <t>Utiles de Escritorio, Oficina y Enseñanza.</t>
  </si>
  <si>
    <r>
      <rPr>
        <u/>
        <sz val="11"/>
        <rFont val="Calibri"/>
        <family val="2"/>
        <scheme val="minor"/>
      </rPr>
      <t>ÍTEM N° 19: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</si>
  <si>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21: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</si>
  <si>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25: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</si>
  <si>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30: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</si>
  <si>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38: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</si>
  <si>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46: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</si>
  <si>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51: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</si>
  <si>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63:</t>
    </r>
    <r>
      <rPr>
        <sz val="11"/>
        <rFont val="Calibri"/>
        <family val="2"/>
        <scheme val="minor"/>
      </rPr>
      <t xml:space="preserve"> </t>
    </r>
  </si>
  <si>
    <t>Costo total estimado: Pesos Un Millon Seiscientos Ochenta Mil Novecientos Ochenta con 00/100.-</t>
  </si>
  <si>
    <t>TOTAL DE PESOS: Un Millon Seiscientos Ochenta Mil Novecientos Ochenta con 00/100.-</t>
  </si>
  <si>
    <r>
      <rPr>
        <u/>
        <sz val="11"/>
        <rFont val="Calibri"/>
        <family val="2"/>
        <scheme val="minor"/>
      </rPr>
      <t>ÍTEM N° 8:</t>
    </r>
    <r>
      <rPr>
        <sz val="11"/>
        <rFont val="Calibri"/>
        <family val="2"/>
        <scheme val="minor"/>
      </rPr>
      <t xml:space="preserve"> </t>
    </r>
  </si>
  <si>
    <r>
      <rPr>
        <u/>
        <sz val="11"/>
        <rFont val="Calibri"/>
        <family val="2"/>
        <scheme val="minor"/>
      </rPr>
      <t>ÍTEM N° 9:</t>
    </r>
    <r>
      <rPr>
        <sz val="11"/>
        <rFont val="Calibri"/>
        <family val="2"/>
        <scheme val="minor"/>
      </rPr>
      <t xml:space="preserve"> </t>
    </r>
  </si>
  <si>
    <t>Color Gris.</t>
  </si>
  <si>
    <r>
      <rPr>
        <u/>
        <sz val="11"/>
        <rFont val="Calibri"/>
        <family val="2"/>
        <scheme val="minor"/>
      </rPr>
      <t>ÍTEM N° 15:</t>
    </r>
    <r>
      <rPr>
        <sz val="11"/>
        <rFont val="Calibri"/>
        <family val="2"/>
        <scheme val="minor"/>
      </rPr>
      <t xml:space="preserve"> </t>
    </r>
  </si>
  <si>
    <t>Color Azul.</t>
  </si>
  <si>
    <r>
      <rPr>
        <u/>
        <sz val="11"/>
        <rFont val="Calibri"/>
        <family val="2"/>
        <scheme val="minor"/>
      </rPr>
      <t>ÍTEM N° 62:</t>
    </r>
    <r>
      <rPr>
        <sz val="11"/>
        <rFont val="Calibri"/>
        <family val="2"/>
        <scheme val="minor"/>
      </rPr>
      <t xml:space="preserve"> </t>
    </r>
  </si>
  <si>
    <t>Color Blanco.-</t>
  </si>
  <si>
    <t>Tapa blanda, rayado.</t>
  </si>
  <si>
    <r>
      <rPr>
        <u/>
        <sz val="11"/>
        <rFont val="Calibri"/>
        <family val="2"/>
        <scheme val="minor"/>
      </rPr>
      <t>ÍTEM N° 50:</t>
    </r>
    <r>
      <rPr>
        <sz val="11"/>
        <rFont val="Calibri"/>
        <family val="2"/>
        <scheme val="minor"/>
      </rPr>
      <t xml:space="preserve"> </t>
    </r>
  </si>
  <si>
    <t>Cantidad: x 100 unidades.</t>
  </si>
  <si>
    <r>
      <t xml:space="preserve">TALONARIOS NOTAS AUTOADHESIVAS X 100 HOJAS  MEDIDA: 75 X 75 mm  </t>
    </r>
    <r>
      <rPr>
        <b/>
        <sz val="10"/>
        <rFont val="Times New Roman"/>
        <family val="1"/>
      </rPr>
      <t xml:space="preserve">COLOR: AMARILLO </t>
    </r>
  </si>
  <si>
    <t xml:space="preserve">RESALTADORES;  TIPO PUNTA:  BISELADA COLOR: Amarillo Fluor (42 Und.) Verde Fluor (40 Und.) </t>
  </si>
  <si>
    <r>
      <rPr>
        <b/>
        <sz val="11"/>
        <color theme="1"/>
        <rFont val="Calibri"/>
        <family val="2"/>
        <scheme val="minor"/>
      </rPr>
      <t>BROCHES PLASTICOS;</t>
    </r>
    <r>
      <rPr>
        <sz val="10"/>
        <rFont val="Arial"/>
        <charset val="1"/>
      </rPr>
      <t xml:space="preserve"> TIPO: NEPACO, TAMAÑO: Nº 2L, PRESENTACION: CAJAX 50 UNIDADES.</t>
    </r>
  </si>
  <si>
    <r>
      <rPr>
        <b/>
        <sz val="10"/>
        <rFont val="Arial"/>
        <family val="2"/>
      </rPr>
      <t>BOLIGRAFOS</t>
    </r>
    <r>
      <rPr>
        <sz val="10"/>
        <rFont val="Arial"/>
        <charset val="1"/>
      </rPr>
      <t>; TRAZO: 0,8 mm.</t>
    </r>
  </si>
  <si>
    <r>
      <rPr>
        <b/>
        <sz val="10"/>
        <rFont val="Arial"/>
        <family val="2"/>
      </rPr>
      <t>BOLIGRAFOS</t>
    </r>
    <r>
      <rPr>
        <sz val="10"/>
        <rFont val="Arial"/>
        <charset val="1"/>
      </rPr>
      <t>; TRAZO 1,0mm</t>
    </r>
  </si>
  <si>
    <t>MARCADORES; TIPO: AL SOLVENTE, TRAZO: GRUESO, PUNTA: BISELADA, 
COLOR: VERDE, RECARGABLE: NO</t>
  </si>
  <si>
    <t>2.9.2-1616.135</t>
  </si>
  <si>
    <t>MARCADORES; TIPO: AL SOLVENTE, TRAZO: GRUESO, PUNTA: REDONDA, 
COLOR: AZUL, RECARGABLE: SI</t>
  </si>
  <si>
    <t>2.9.2-1616.69</t>
  </si>
  <si>
    <t>Color: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</si>
</sst>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_ &quot;$&quot;\ * #,##0.00_ ;_ &quot;$&quot;\ * \-#,##0.00_ ;_ &quot;$&quot;\ * &quot;-&quot;??_ ;_ @_ "/>
    <numFmt numFmtId="171" formatCode="_(&quot;$&quot;* #,##0.00_);_(&quot;$&quot;* \(#,##0.00\);_(&quot;$&quot;* &quot;-&quot;??_);_(@_)"/>
    <numFmt numFmtId="172" formatCode="&quot;$&quot;\ #,##0.00"/>
  </numFmts>
  <fonts count="4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4"/>
      <name val="Times New Roman"/>
      <family val="1"/>
      <charset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8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12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2" fillId="0" borderId="0"/>
    <xf numFmtId="171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13" fillId="0" borderId="0" xfId="0" applyFont="1"/>
    <xf numFmtId="0" fontId="13" fillId="0" borderId="0" xfId="0" applyFont="1" applyFill="1"/>
    <xf numFmtId="166" fontId="0" fillId="0" borderId="0" xfId="0" applyNumberFormat="1"/>
    <xf numFmtId="0" fontId="0" fillId="3" borderId="2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22" xfId="0" applyFill="1" applyBorder="1"/>
    <xf numFmtId="0" fontId="0" fillId="3" borderId="0" xfId="0" applyFill="1" applyBorder="1"/>
    <xf numFmtId="0" fontId="0" fillId="3" borderId="10" xfId="0" applyFill="1" applyBorder="1"/>
    <xf numFmtId="166" fontId="16" fillId="0" borderId="39" xfId="3" applyNumberFormat="1" applyFont="1" applyBorder="1" applyAlignment="1" applyProtection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6" fontId="16" fillId="0" borderId="40" xfId="3" applyNumberFormat="1" applyFont="1" applyBorder="1" applyAlignment="1" applyProtection="1">
      <alignment horizontal="center" vertical="center"/>
    </xf>
    <xf numFmtId="166" fontId="18" fillId="3" borderId="31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0" fontId="23" fillId="0" borderId="0" xfId="0" applyFont="1"/>
    <xf numFmtId="0" fontId="6" fillId="0" borderId="10" xfId="0" applyFont="1" applyBorder="1" applyAlignment="1">
      <alignment horizontal="right" vertical="center"/>
    </xf>
    <xf numFmtId="0" fontId="26" fillId="0" borderId="8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 indent="1"/>
    </xf>
    <xf numFmtId="0" fontId="26" fillId="3" borderId="0" xfId="0" applyFont="1" applyFill="1" applyBorder="1" applyAlignment="1">
      <alignment horizontal="left" vertical="center" wrapText="1" indent="1"/>
    </xf>
    <xf numFmtId="0" fontId="26" fillId="0" borderId="0" xfId="0" applyFont="1" applyFill="1" applyBorder="1" applyAlignment="1">
      <alignment horizontal="left" vertical="center" wrapText="1"/>
    </xf>
    <xf numFmtId="0" fontId="20" fillId="0" borderId="36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69" fontId="25" fillId="0" borderId="60" xfId="0" applyNumberFormat="1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 wrapText="1"/>
    </xf>
    <xf numFmtId="0" fontId="29" fillId="0" borderId="52" xfId="0" applyFont="1" applyBorder="1" applyAlignment="1">
      <alignment vertical="center" wrapText="1"/>
    </xf>
    <xf numFmtId="0" fontId="27" fillId="0" borderId="8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27" fillId="0" borderId="73" xfId="0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60" xfId="0" applyFont="1" applyFill="1" applyBorder="1" applyAlignment="1">
      <alignment horizontal="center" vertical="center"/>
    </xf>
    <xf numFmtId="0" fontId="27" fillId="0" borderId="61" xfId="0" applyFont="1" applyFill="1" applyBorder="1" applyAlignment="1">
      <alignment horizontal="center" vertical="center"/>
    </xf>
    <xf numFmtId="0" fontId="27" fillId="0" borderId="77" xfId="0" applyFont="1" applyFill="1" applyBorder="1" applyAlignment="1">
      <alignment vertical="center" wrapText="1"/>
    </xf>
    <xf numFmtId="0" fontId="27" fillId="0" borderId="69" xfId="0" applyFont="1" applyFill="1" applyBorder="1" applyAlignment="1">
      <alignment vertical="center" wrapText="1"/>
    </xf>
    <xf numFmtId="0" fontId="27" fillId="0" borderId="77" xfId="0" applyFont="1" applyFill="1" applyBorder="1" applyAlignment="1">
      <alignment horizontal="center" vertical="center"/>
    </xf>
    <xf numFmtId="0" fontId="27" fillId="0" borderId="69" xfId="0" applyFont="1" applyFill="1" applyBorder="1" applyAlignment="1">
      <alignment horizontal="center" vertical="center"/>
    </xf>
    <xf numFmtId="166" fontId="27" fillId="0" borderId="77" xfId="1" applyNumberFormat="1" applyFont="1" applyFill="1" applyBorder="1" applyAlignment="1" applyProtection="1">
      <alignment horizontal="center" vertical="center" wrapText="1"/>
    </xf>
    <xf numFmtId="166" fontId="27" fillId="0" borderId="69" xfId="1" applyNumberFormat="1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27" fillId="0" borderId="0" xfId="0" applyFont="1" applyBorder="1"/>
    <xf numFmtId="0" fontId="27" fillId="0" borderId="6" xfId="0" applyFont="1" applyBorder="1"/>
    <xf numFmtId="0" fontId="32" fillId="0" borderId="69" xfId="0" applyFont="1" applyFill="1" applyBorder="1" applyAlignment="1">
      <alignment horizontal="center" vertical="center"/>
    </xf>
    <xf numFmtId="0" fontId="31" fillId="0" borderId="69" xfId="0" applyFont="1" applyFill="1" applyBorder="1" applyAlignment="1">
      <alignment horizontal="center" vertical="center"/>
    </xf>
    <xf numFmtId="0" fontId="34" fillId="0" borderId="0" xfId="0" applyFont="1" applyBorder="1" applyAlignment="1">
      <alignment vertical="center"/>
    </xf>
    <xf numFmtId="0" fontId="0" fillId="0" borderId="50" xfId="0" applyFont="1" applyBorder="1"/>
    <xf numFmtId="0" fontId="27" fillId="0" borderId="5" xfId="0" applyFont="1" applyBorder="1" applyAlignment="1">
      <alignment horizontal="center"/>
    </xf>
    <xf numFmtId="0" fontId="33" fillId="0" borderId="0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172" fontId="12" fillId="0" borderId="61" xfId="6" applyNumberFormat="1" applyFont="1" applyBorder="1"/>
    <xf numFmtId="172" fontId="12" fillId="0" borderId="61" xfId="5" applyNumberFormat="1" applyFont="1" applyBorder="1" applyAlignment="1"/>
    <xf numFmtId="0" fontId="27" fillId="0" borderId="5" xfId="0" applyFont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horizontal="center" vertical="center"/>
    </xf>
    <xf numFmtId="166" fontId="27" fillId="0" borderId="6" xfId="1" applyNumberFormat="1" applyFont="1" applyFill="1" applyBorder="1" applyAlignment="1" applyProtection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/>
    </xf>
    <xf numFmtId="0" fontId="39" fillId="3" borderId="50" xfId="0" applyFont="1" applyFill="1" applyBorder="1" applyAlignment="1">
      <alignment horizontal="center" vertical="center"/>
    </xf>
    <xf numFmtId="0" fontId="39" fillId="0" borderId="50" xfId="0" applyFont="1" applyBorder="1" applyAlignment="1">
      <alignment horizontal="center" vertical="center" wrapText="1"/>
    </xf>
    <xf numFmtId="0" fontId="39" fillId="0" borderId="50" xfId="0" applyFont="1" applyFill="1" applyBorder="1" applyAlignment="1">
      <alignment horizontal="center" vertical="center"/>
    </xf>
    <xf numFmtId="0" fontId="39" fillId="0" borderId="86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41" fillId="3" borderId="50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/>
    <xf numFmtId="0" fontId="41" fillId="0" borderId="50" xfId="0" applyFont="1" applyFill="1" applyBorder="1" applyAlignment="1">
      <alignment horizontal="center" vertical="center" wrapText="1"/>
    </xf>
    <xf numFmtId="0" fontId="41" fillId="0" borderId="86" xfId="0" applyFont="1" applyBorder="1" applyAlignment="1">
      <alignment horizontal="center" vertical="center" wrapText="1"/>
    </xf>
    <xf numFmtId="0" fontId="27" fillId="0" borderId="50" xfId="0" applyFont="1" applyBorder="1" applyAlignment="1">
      <alignment vertical="center" wrapText="1"/>
    </xf>
    <xf numFmtId="0" fontId="0" fillId="0" borderId="50" xfId="0" applyFont="1" applyBorder="1" applyAlignment="1">
      <alignment wrapText="1"/>
    </xf>
    <xf numFmtId="0" fontId="0" fillId="3" borderId="50" xfId="0" applyFont="1" applyFill="1" applyBorder="1" applyAlignment="1">
      <alignment wrapText="1"/>
    </xf>
    <xf numFmtId="0" fontId="27" fillId="3" borderId="50" xfId="0" applyFont="1" applyFill="1" applyBorder="1" applyAlignment="1">
      <alignment vertical="center" wrapText="1"/>
    </xf>
    <xf numFmtId="0" fontId="27" fillId="0" borderId="50" xfId="0" applyFont="1" applyFill="1" applyBorder="1" applyAlignment="1">
      <alignment vertical="center" wrapText="1"/>
    </xf>
    <xf numFmtId="0" fontId="0" fillId="0" borderId="50" xfId="0" applyFont="1" applyBorder="1" applyAlignment="1">
      <alignment horizontal="left" vertical="center"/>
    </xf>
    <xf numFmtId="0" fontId="0" fillId="0" borderId="86" xfId="0" applyFont="1" applyBorder="1" applyAlignment="1">
      <alignment wrapText="1"/>
    </xf>
    <xf numFmtId="0" fontId="0" fillId="0" borderId="0" xfId="0" applyFont="1" applyAlignment="1">
      <alignment wrapText="1"/>
    </xf>
    <xf numFmtId="0" fontId="25" fillId="3" borderId="50" xfId="0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horizontal="center" vertical="center" wrapText="1"/>
    </xf>
    <xf numFmtId="0" fontId="25" fillId="0" borderId="50" xfId="0" applyFont="1" applyFill="1" applyBorder="1" applyAlignment="1">
      <alignment horizontal="center" vertical="center" wrapText="1"/>
    </xf>
    <xf numFmtId="0" fontId="25" fillId="0" borderId="86" xfId="0" applyFont="1" applyFill="1" applyBorder="1" applyAlignment="1">
      <alignment horizontal="center" vertical="center" wrapText="1"/>
    </xf>
    <xf numFmtId="170" fontId="40" fillId="0" borderId="50" xfId="1" applyNumberFormat="1" applyFont="1" applyBorder="1" applyAlignment="1">
      <alignment horizontal="center" vertical="center"/>
    </xf>
    <xf numFmtId="170" fontId="40" fillId="3" borderId="50" xfId="1" applyNumberFormat="1" applyFont="1" applyFill="1" applyBorder="1" applyAlignment="1">
      <alignment horizontal="center" vertical="center"/>
    </xf>
    <xf numFmtId="170" fontId="40" fillId="3" borderId="50" xfId="0" applyNumberFormat="1" applyFont="1" applyFill="1" applyBorder="1"/>
    <xf numFmtId="170" fontId="40" fillId="0" borderId="50" xfId="1" applyNumberFormat="1" applyFont="1" applyFill="1" applyBorder="1" applyAlignment="1">
      <alignment horizontal="center" vertical="center"/>
    </xf>
    <xf numFmtId="170" fontId="40" fillId="0" borderId="86" xfId="1" applyNumberFormat="1" applyFont="1" applyBorder="1" applyAlignment="1">
      <alignment horizontal="center" vertical="center"/>
    </xf>
    <xf numFmtId="44" fontId="40" fillId="0" borderId="86" xfId="0" applyNumberFormat="1" applyFont="1" applyBorder="1"/>
    <xf numFmtId="0" fontId="39" fillId="0" borderId="50" xfId="0" applyFont="1" applyFill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/>
    </xf>
    <xf numFmtId="0" fontId="40" fillId="3" borderId="50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86" xfId="0" applyFont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169" fontId="25" fillId="0" borderId="50" xfId="0" applyNumberFormat="1" applyFont="1" applyBorder="1" applyAlignment="1">
      <alignment horizontal="center" vertical="center" wrapText="1"/>
    </xf>
    <xf numFmtId="0" fontId="13" fillId="0" borderId="0" xfId="0" applyFont="1" applyBorder="1"/>
    <xf numFmtId="0" fontId="12" fillId="0" borderId="80" xfId="5" applyBorder="1" applyAlignment="1">
      <alignment horizontal="center"/>
    </xf>
    <xf numFmtId="0" fontId="12" fillId="0" borderId="53" xfId="5" applyBorder="1" applyAlignment="1">
      <alignment horizontal="center"/>
    </xf>
    <xf numFmtId="0" fontId="12" fillId="0" borderId="81" xfId="5" applyBorder="1" applyAlignment="1">
      <alignment horizontal="center"/>
    </xf>
    <xf numFmtId="0" fontId="12" fillId="0" borderId="81" xfId="5" applyFont="1" applyBorder="1" applyAlignment="1">
      <alignment horizontal="center"/>
    </xf>
    <xf numFmtId="0" fontId="12" fillId="0" borderId="50" xfId="5" applyBorder="1" applyAlignment="1">
      <alignment horizontal="center"/>
    </xf>
    <xf numFmtId="0" fontId="12" fillId="0" borderId="63" xfId="5" applyBorder="1" applyAlignment="1">
      <alignment horizontal="center"/>
    </xf>
    <xf numFmtId="0" fontId="11" fillId="0" borderId="50" xfId="0" applyFont="1" applyBorder="1" applyAlignment="1">
      <alignment horizontal="center" vertical="center"/>
    </xf>
    <xf numFmtId="0" fontId="11" fillId="0" borderId="50" xfId="0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169" fontId="43" fillId="0" borderId="0" xfId="0" applyNumberFormat="1" applyFont="1"/>
    <xf numFmtId="0" fontId="35" fillId="3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37" fillId="0" borderId="0" xfId="0" applyFont="1" applyFill="1" applyBorder="1" applyAlignment="1">
      <alignment horizontal="left" vertical="center" wrapText="1"/>
    </xf>
    <xf numFmtId="0" fontId="37" fillId="0" borderId="6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30" fillId="0" borderId="4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30" fillId="0" borderId="47" xfId="0" applyFont="1" applyBorder="1" applyAlignment="1">
      <alignment horizontal="left" vertical="center" wrapText="1"/>
    </xf>
    <xf numFmtId="0" fontId="30" fillId="0" borderId="56" xfId="0" applyFont="1" applyBorder="1" applyAlignment="1">
      <alignment horizontal="left" vertical="center" wrapText="1"/>
    </xf>
    <xf numFmtId="0" fontId="21" fillId="0" borderId="74" xfId="0" applyFont="1" applyFill="1" applyBorder="1" applyAlignment="1">
      <alignment horizontal="left" vertical="center"/>
    </xf>
    <xf numFmtId="0" fontId="21" fillId="0" borderId="49" xfId="0" applyFont="1" applyFill="1" applyBorder="1" applyAlignment="1">
      <alignment horizontal="left" vertical="center"/>
    </xf>
    <xf numFmtId="0" fontId="21" fillId="0" borderId="66" xfId="0" applyFont="1" applyFill="1" applyBorder="1" applyAlignment="1">
      <alignment horizontal="left" vertical="center"/>
    </xf>
    <xf numFmtId="0" fontId="21" fillId="0" borderId="58" xfId="0" applyFont="1" applyFill="1" applyBorder="1" applyAlignment="1">
      <alignment horizontal="left" vertical="center"/>
    </xf>
    <xf numFmtId="0" fontId="21" fillId="0" borderId="50" xfId="0" applyFont="1" applyFill="1" applyBorder="1" applyAlignment="1">
      <alignment horizontal="left" vertical="center"/>
    </xf>
    <xf numFmtId="0" fontId="21" fillId="0" borderId="56" xfId="0" applyFont="1" applyFill="1" applyBorder="1" applyAlignment="1">
      <alignment horizontal="left" vertical="center"/>
    </xf>
    <xf numFmtId="0" fontId="21" fillId="0" borderId="59" xfId="0" applyFont="1" applyFill="1" applyBorder="1" applyAlignment="1">
      <alignment horizontal="left" vertical="center"/>
    </xf>
    <xf numFmtId="0" fontId="21" fillId="0" borderId="51" xfId="0" applyFont="1" applyFill="1" applyBorder="1" applyAlignment="1">
      <alignment horizontal="left" vertical="center"/>
    </xf>
    <xf numFmtId="0" fontId="21" fillId="0" borderId="57" xfId="0" applyFont="1" applyFill="1" applyBorder="1" applyAlignment="1">
      <alignment horizontal="left" vertical="center"/>
    </xf>
    <xf numFmtId="0" fontId="30" fillId="0" borderId="48" xfId="0" applyFont="1" applyBorder="1" applyAlignment="1">
      <alignment horizontal="left" vertical="center" wrapText="1"/>
    </xf>
    <xf numFmtId="0" fontId="30" fillId="0" borderId="5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/>
    </xf>
    <xf numFmtId="0" fontId="38" fillId="0" borderId="8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7" fillId="0" borderId="5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7" fillId="0" borderId="6" xfId="0" applyFont="1" applyFill="1" applyBorder="1" applyAlignment="1">
      <alignment horizontal="left" vertical="center" wrapText="1"/>
    </xf>
    <xf numFmtId="0" fontId="27" fillId="0" borderId="47" xfId="0" applyFont="1" applyFill="1" applyBorder="1" applyAlignment="1">
      <alignment horizontal="left" vertical="center" wrapText="1"/>
    </xf>
    <xf numFmtId="0" fontId="27" fillId="0" borderId="50" xfId="0" applyFont="1" applyFill="1" applyBorder="1" applyAlignment="1">
      <alignment horizontal="left" vertical="center" wrapText="1"/>
    </xf>
    <xf numFmtId="0" fontId="27" fillId="0" borderId="56" xfId="0" applyFont="1" applyFill="1" applyBorder="1" applyAlignment="1">
      <alignment horizontal="left" vertical="center" wrapText="1"/>
    </xf>
    <xf numFmtId="0" fontId="29" fillId="0" borderId="70" xfId="0" applyFont="1" applyBorder="1" applyAlignment="1">
      <alignment horizontal="left" vertical="center"/>
    </xf>
    <xf numFmtId="0" fontId="29" fillId="0" borderId="71" xfId="0" applyFont="1" applyBorder="1" applyAlignment="1">
      <alignment horizontal="left" vertical="center"/>
    </xf>
    <xf numFmtId="0" fontId="26" fillId="0" borderId="76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27" fillId="0" borderId="48" xfId="0" applyFont="1" applyFill="1" applyBorder="1" applyAlignment="1">
      <alignment horizontal="left" vertical="center" wrapText="1"/>
    </xf>
    <xf numFmtId="0" fontId="27" fillId="0" borderId="51" xfId="0" applyFont="1" applyFill="1" applyBorder="1" applyAlignment="1">
      <alignment horizontal="left" vertical="center" wrapText="1"/>
    </xf>
    <xf numFmtId="0" fontId="27" fillId="0" borderId="57" xfId="0" applyFont="1" applyFill="1" applyBorder="1" applyAlignment="1">
      <alignment horizontal="left" vertical="center" wrapText="1"/>
    </xf>
    <xf numFmtId="167" fontId="19" fillId="0" borderId="14" xfId="0" applyNumberFormat="1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8" fillId="0" borderId="76" xfId="0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34" fillId="0" borderId="0" xfId="0" applyFont="1" applyBorder="1" applyAlignment="1">
      <alignment horizontal="center" vertical="center"/>
    </xf>
    <xf numFmtId="0" fontId="27" fillId="0" borderId="46" xfId="0" applyFont="1" applyFill="1" applyBorder="1" applyAlignment="1">
      <alignment horizontal="left" vertical="center" wrapText="1"/>
    </xf>
    <xf numFmtId="0" fontId="27" fillId="0" borderId="49" xfId="0" applyFont="1" applyFill="1" applyBorder="1" applyAlignment="1">
      <alignment horizontal="left" vertical="center" wrapText="1"/>
    </xf>
    <xf numFmtId="0" fontId="27" fillId="0" borderId="66" xfId="0" applyFont="1" applyFill="1" applyBorder="1" applyAlignment="1">
      <alignment horizontal="left" vertical="center" wrapText="1"/>
    </xf>
    <xf numFmtId="0" fontId="29" fillId="0" borderId="4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9" fillId="0" borderId="78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16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9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/>
    </xf>
    <xf numFmtId="0" fontId="27" fillId="0" borderId="79" xfId="0" applyFont="1" applyFill="1" applyBorder="1" applyAlignment="1">
      <alignment horizontal="left" vertical="center" wrapText="1"/>
    </xf>
    <xf numFmtId="0" fontId="27" fillId="0" borderId="33" xfId="0" applyFont="1" applyFill="1" applyBorder="1" applyAlignment="1">
      <alignment horizontal="left" vertical="center" wrapText="1"/>
    </xf>
    <xf numFmtId="0" fontId="27" fillId="0" borderId="34" xfId="0" applyFont="1" applyFill="1" applyBorder="1" applyAlignment="1">
      <alignment horizontal="left" vertical="center" wrapText="1"/>
    </xf>
    <xf numFmtId="0" fontId="9" fillId="3" borderId="19" xfId="0" applyFont="1" applyFill="1" applyBorder="1"/>
    <xf numFmtId="0" fontId="9" fillId="3" borderId="20" xfId="0" applyFont="1" applyFill="1" applyBorder="1" applyAlignment="1">
      <alignment horizontal="left" vertical="center" wrapText="1" indent="1"/>
    </xf>
    <xf numFmtId="0" fontId="11" fillId="0" borderId="18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42" fillId="0" borderId="68" xfId="5" applyFont="1" applyBorder="1" applyAlignment="1">
      <alignment horizontal="center" vertical="center" wrapText="1"/>
    </xf>
    <xf numFmtId="0" fontId="42" fillId="0" borderId="69" xfId="5" applyFont="1" applyBorder="1" applyAlignment="1">
      <alignment horizontal="center" vertical="center" wrapText="1"/>
    </xf>
    <xf numFmtId="0" fontId="42" fillId="0" borderId="47" xfId="5" applyFont="1" applyBorder="1" applyAlignment="1">
      <alignment horizontal="center" vertical="center" wrapText="1"/>
    </xf>
    <xf numFmtId="0" fontId="42" fillId="0" borderId="63" xfId="5" applyFont="1" applyBorder="1" applyAlignment="1">
      <alignment horizontal="center" vertical="center" wrapText="1"/>
    </xf>
    <xf numFmtId="0" fontId="9" fillId="0" borderId="23" xfId="0" applyFont="1" applyBorder="1" applyAlignment="1">
      <alignment vertical="center" wrapText="1"/>
    </xf>
    <xf numFmtId="0" fontId="9" fillId="0" borderId="31" xfId="0" applyFont="1" applyFill="1" applyBorder="1" applyAlignment="1">
      <alignment horizontal="left" vertical="center" wrapText="1" indent="1"/>
    </xf>
    <xf numFmtId="0" fontId="9" fillId="0" borderId="20" xfId="0" applyFont="1" applyFill="1" applyBorder="1" applyAlignment="1">
      <alignment horizontal="left" vertical="center" wrapText="1" indent="1"/>
    </xf>
    <xf numFmtId="0" fontId="16" fillId="0" borderId="42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17" fillId="3" borderId="31" xfId="0" applyFont="1" applyFill="1" applyBorder="1" applyAlignment="1">
      <alignment horizontal="left" vertical="center" wrapText="1"/>
    </xf>
    <xf numFmtId="0" fontId="0" fillId="0" borderId="18" xfId="0" applyBorder="1"/>
    <xf numFmtId="0" fontId="12" fillId="0" borderId="50" xfId="0" applyFont="1" applyBorder="1"/>
    <xf numFmtId="0" fontId="0" fillId="0" borderId="50" xfId="0" applyBorder="1" applyAlignment="1">
      <alignment wrapText="1"/>
    </xf>
    <xf numFmtId="0" fontId="12" fillId="0" borderId="50" xfId="0" applyFont="1" applyBorder="1" applyAlignment="1">
      <alignment wrapText="1"/>
    </xf>
    <xf numFmtId="0" fontId="25" fillId="0" borderId="73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0" fillId="0" borderId="50" xfId="0" applyBorder="1" applyAlignment="1">
      <alignment horizontal="center"/>
    </xf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K11" sqref="K11"/>
    </sheetView>
  </sheetViews>
  <sheetFormatPr baseColWidth="10" defaultColWidth="11" defaultRowHeight="12.75" x14ac:dyDescent="0.2"/>
  <cols>
    <col min="1" max="1" width="4.5703125" style="8" customWidth="1"/>
    <col min="2" max="2" width="14" style="8" customWidth="1"/>
    <col min="3" max="3" width="14.7109375" style="8" customWidth="1"/>
    <col min="4" max="4" width="8.42578125" style="8" customWidth="1"/>
    <col min="5" max="5" width="69" style="8" customWidth="1"/>
    <col min="6" max="6" width="11.85546875" style="8" customWidth="1"/>
    <col min="7" max="7" width="9.140625" style="8" bestFit="1" customWidth="1"/>
    <col min="8" max="8" width="13.85546875" style="8" customWidth="1"/>
    <col min="9" max="9" width="14.5703125" style="8" customWidth="1"/>
    <col min="10" max="16384" width="11" style="8"/>
  </cols>
  <sheetData>
    <row r="1" spans="1:9" ht="13.5" thickBot="1" x14ac:dyDescent="0.25"/>
    <row r="2" spans="1:9" ht="24" customHeight="1" thickBot="1" x14ac:dyDescent="0.4">
      <c r="A2" s="145" t="s">
        <v>0</v>
      </c>
      <c r="B2" s="146"/>
      <c r="C2" s="146"/>
      <c r="D2" s="146"/>
      <c r="E2" s="146"/>
      <c r="F2" s="146"/>
      <c r="G2" s="146"/>
      <c r="H2" s="146"/>
      <c r="I2" s="147"/>
    </row>
    <row r="3" spans="1:9" ht="13.5" thickBot="1" x14ac:dyDescent="0.25"/>
    <row r="4" spans="1:9" ht="18" customHeight="1" x14ac:dyDescent="0.2">
      <c r="A4" s="154" t="s">
        <v>1</v>
      </c>
      <c r="B4" s="155"/>
      <c r="C4" s="158" t="s">
        <v>58</v>
      </c>
      <c r="D4" s="159"/>
      <c r="E4" s="159"/>
      <c r="F4" s="159"/>
      <c r="G4" s="159"/>
      <c r="H4" s="159"/>
      <c r="I4" s="160"/>
    </row>
    <row r="5" spans="1:9" ht="18" customHeight="1" x14ac:dyDescent="0.2">
      <c r="A5" s="156" t="s">
        <v>2</v>
      </c>
      <c r="B5" s="157"/>
      <c r="C5" s="161" t="s">
        <v>59</v>
      </c>
      <c r="D5" s="162"/>
      <c r="E5" s="162"/>
      <c r="F5" s="162"/>
      <c r="G5" s="162"/>
      <c r="H5" s="162"/>
      <c r="I5" s="163"/>
    </row>
    <row r="6" spans="1:9" ht="16.5" customHeight="1" x14ac:dyDescent="0.2">
      <c r="A6" s="156" t="s">
        <v>3</v>
      </c>
      <c r="B6" s="157"/>
      <c r="C6" s="161">
        <v>2022</v>
      </c>
      <c r="D6" s="162"/>
      <c r="E6" s="162"/>
      <c r="F6" s="162"/>
      <c r="G6" s="162"/>
      <c r="H6" s="162"/>
      <c r="I6" s="163"/>
    </row>
    <row r="7" spans="1:9" ht="16.5" customHeight="1" thickBot="1" x14ac:dyDescent="0.25">
      <c r="A7" s="167" t="s">
        <v>4</v>
      </c>
      <c r="B7" s="168"/>
      <c r="C7" s="164" t="s">
        <v>64</v>
      </c>
      <c r="D7" s="165"/>
      <c r="E7" s="165"/>
      <c r="F7" s="165"/>
      <c r="G7" s="165"/>
      <c r="H7" s="165"/>
      <c r="I7" s="166"/>
    </row>
    <row r="8" spans="1:9" ht="13.5" thickBot="1" x14ac:dyDescent="0.25">
      <c r="A8" s="31"/>
      <c r="B8" s="29"/>
      <c r="C8" s="30"/>
      <c r="D8" s="29"/>
      <c r="E8" s="29"/>
      <c r="F8" s="29"/>
      <c r="G8" s="30"/>
      <c r="H8" s="29"/>
      <c r="I8" s="31"/>
    </row>
    <row r="9" spans="1:9" ht="39" thickBot="1" x14ac:dyDescent="0.25">
      <c r="A9" s="40" t="s">
        <v>5</v>
      </c>
      <c r="B9" s="39" t="s">
        <v>6</v>
      </c>
      <c r="C9" s="37" t="s">
        <v>7</v>
      </c>
      <c r="D9" s="43" t="s">
        <v>8</v>
      </c>
      <c r="E9" s="40" t="s">
        <v>9</v>
      </c>
      <c r="F9" s="45" t="s">
        <v>10</v>
      </c>
      <c r="G9" s="46" t="s">
        <v>11</v>
      </c>
      <c r="H9" s="38" t="s">
        <v>12</v>
      </c>
      <c r="I9" s="85" t="s">
        <v>13</v>
      </c>
    </row>
    <row r="10" spans="1:9" ht="33" customHeight="1" x14ac:dyDescent="0.2">
      <c r="A10" s="41">
        <v>1</v>
      </c>
      <c r="B10" s="86" t="s">
        <v>73</v>
      </c>
      <c r="C10" s="117" t="s">
        <v>136</v>
      </c>
      <c r="D10" s="91" t="str">
        <f>+LEFT(B10,5)</f>
        <v>2.9.2</v>
      </c>
      <c r="E10" s="98" t="s">
        <v>141</v>
      </c>
      <c r="F10" s="108" t="s">
        <v>57</v>
      </c>
      <c r="G10" s="108">
        <v>28</v>
      </c>
      <c r="H10" s="110">
        <v>2300</v>
      </c>
      <c r="I10" s="44">
        <f>G10*H10</f>
        <v>64400</v>
      </c>
    </row>
    <row r="11" spans="1:9" ht="31.5" customHeight="1" x14ac:dyDescent="0.2">
      <c r="A11" s="42">
        <v>2</v>
      </c>
      <c r="B11" s="86" t="s">
        <v>74</v>
      </c>
      <c r="C11" s="117" t="s">
        <v>136</v>
      </c>
      <c r="D11" s="91" t="str">
        <f>+LEFT(B11,5)</f>
        <v>2.9.2</v>
      </c>
      <c r="E11" s="98" t="s">
        <v>142</v>
      </c>
      <c r="F11" s="108" t="s">
        <v>57</v>
      </c>
      <c r="G11" s="108">
        <v>5</v>
      </c>
      <c r="H11" s="110">
        <v>2600</v>
      </c>
      <c r="I11" s="44">
        <f t="shared" ref="I11:I73" si="0">G11*H11</f>
        <v>13000</v>
      </c>
    </row>
    <row r="12" spans="1:9" ht="28.5" customHeight="1" x14ac:dyDescent="0.2">
      <c r="A12" s="42">
        <v>3</v>
      </c>
      <c r="B12" s="118" t="s">
        <v>75</v>
      </c>
      <c r="C12" s="117" t="s">
        <v>136</v>
      </c>
      <c r="D12" s="91" t="str">
        <f>+LEFT(B12,5)</f>
        <v>2.9.2</v>
      </c>
      <c r="E12" s="99" t="s">
        <v>143</v>
      </c>
      <c r="F12" s="108" t="s">
        <v>57</v>
      </c>
      <c r="G12" s="108">
        <v>1</v>
      </c>
      <c r="H12" s="110">
        <v>3000</v>
      </c>
      <c r="I12" s="44">
        <f t="shared" si="0"/>
        <v>3000</v>
      </c>
    </row>
    <row r="13" spans="1:9" ht="31.5" customHeight="1" x14ac:dyDescent="0.2">
      <c r="A13" s="41">
        <v>4</v>
      </c>
      <c r="B13" s="118" t="s">
        <v>76</v>
      </c>
      <c r="C13" s="117" t="s">
        <v>136</v>
      </c>
      <c r="D13" s="91" t="str">
        <f>+LEFT(B13,5)</f>
        <v>2.9.2</v>
      </c>
      <c r="E13" s="99" t="s">
        <v>144</v>
      </c>
      <c r="F13" s="108" t="s">
        <v>57</v>
      </c>
      <c r="G13" s="108">
        <v>3</v>
      </c>
      <c r="H13" s="110">
        <v>1500</v>
      </c>
      <c r="I13" s="44">
        <f t="shared" si="0"/>
        <v>4500</v>
      </c>
    </row>
    <row r="14" spans="1:9" ht="24.95" customHeight="1" x14ac:dyDescent="0.25">
      <c r="A14" s="41">
        <v>5</v>
      </c>
      <c r="B14" s="118" t="s">
        <v>77</v>
      </c>
      <c r="C14" s="117" t="s">
        <v>136</v>
      </c>
      <c r="D14" s="120" t="s">
        <v>137</v>
      </c>
      <c r="E14" s="72" t="s">
        <v>145</v>
      </c>
      <c r="F14" s="108" t="s">
        <v>57</v>
      </c>
      <c r="G14" s="108">
        <v>17</v>
      </c>
      <c r="H14" s="110">
        <v>800</v>
      </c>
      <c r="I14" s="44">
        <f t="shared" si="0"/>
        <v>13600</v>
      </c>
    </row>
    <row r="15" spans="1:9" ht="31.5" customHeight="1" x14ac:dyDescent="0.2">
      <c r="A15" s="42">
        <v>6</v>
      </c>
      <c r="B15" s="118" t="s">
        <v>78</v>
      </c>
      <c r="C15" s="117" t="s">
        <v>136</v>
      </c>
      <c r="D15" s="120" t="s">
        <v>137</v>
      </c>
      <c r="E15" s="99" t="s">
        <v>177</v>
      </c>
      <c r="F15" s="108" t="s">
        <v>174</v>
      </c>
      <c r="G15" s="108">
        <v>3</v>
      </c>
      <c r="H15" s="110">
        <v>300</v>
      </c>
      <c r="I15" s="44">
        <f t="shared" si="0"/>
        <v>900</v>
      </c>
    </row>
    <row r="16" spans="1:9" ht="31.5" customHeight="1" x14ac:dyDescent="0.2">
      <c r="A16" s="42">
        <v>7</v>
      </c>
      <c r="B16" s="118" t="s">
        <v>79</v>
      </c>
      <c r="C16" s="117" t="s">
        <v>136</v>
      </c>
      <c r="D16" s="120" t="s">
        <v>137</v>
      </c>
      <c r="E16" s="99" t="s">
        <v>178</v>
      </c>
      <c r="F16" s="108" t="s">
        <v>174</v>
      </c>
      <c r="G16" s="108">
        <v>3</v>
      </c>
      <c r="H16" s="110">
        <v>1000</v>
      </c>
      <c r="I16" s="44">
        <f t="shared" si="0"/>
        <v>3000</v>
      </c>
    </row>
    <row r="17" spans="1:9" ht="30.75" customHeight="1" x14ac:dyDescent="0.2">
      <c r="A17" s="41">
        <v>8</v>
      </c>
      <c r="B17" s="118" t="s">
        <v>80</v>
      </c>
      <c r="C17" s="117" t="s">
        <v>136</v>
      </c>
      <c r="D17" s="124" t="s">
        <v>137</v>
      </c>
      <c r="E17" s="99" t="s">
        <v>179</v>
      </c>
      <c r="F17" s="108" t="s">
        <v>57</v>
      </c>
      <c r="G17" s="108">
        <v>180</v>
      </c>
      <c r="H17" s="110">
        <v>400</v>
      </c>
      <c r="I17" s="44">
        <f t="shared" si="0"/>
        <v>72000</v>
      </c>
    </row>
    <row r="18" spans="1:9" ht="21.75" customHeight="1" x14ac:dyDescent="0.25">
      <c r="A18" s="41">
        <v>9</v>
      </c>
      <c r="B18" s="118" t="s">
        <v>81</v>
      </c>
      <c r="C18" s="117" t="s">
        <v>136</v>
      </c>
      <c r="D18" s="120" t="s">
        <v>137</v>
      </c>
      <c r="E18" s="72" t="s">
        <v>146</v>
      </c>
      <c r="F18" s="108" t="s">
        <v>57</v>
      </c>
      <c r="G18" s="108">
        <v>5</v>
      </c>
      <c r="H18" s="110">
        <v>350</v>
      </c>
      <c r="I18" s="44">
        <f t="shared" si="0"/>
        <v>1750</v>
      </c>
    </row>
    <row r="19" spans="1:9" ht="32.25" customHeight="1" x14ac:dyDescent="0.2">
      <c r="A19" s="42">
        <v>10</v>
      </c>
      <c r="B19" s="119" t="s">
        <v>82</v>
      </c>
      <c r="C19" s="117" t="s">
        <v>136</v>
      </c>
      <c r="D19" s="125" t="s">
        <v>137</v>
      </c>
      <c r="E19" s="100" t="s">
        <v>180</v>
      </c>
      <c r="F19" s="106" t="s">
        <v>57</v>
      </c>
      <c r="G19" s="106">
        <v>110</v>
      </c>
      <c r="H19" s="111">
        <v>150</v>
      </c>
      <c r="I19" s="44">
        <f t="shared" si="0"/>
        <v>16500</v>
      </c>
    </row>
    <row r="20" spans="1:9" ht="30" customHeight="1" x14ac:dyDescent="0.2">
      <c r="A20" s="42">
        <v>11</v>
      </c>
      <c r="B20" s="118" t="s">
        <v>83</v>
      </c>
      <c r="C20" s="117" t="s">
        <v>136</v>
      </c>
      <c r="D20" s="120" t="s">
        <v>137</v>
      </c>
      <c r="E20" s="99" t="s">
        <v>147</v>
      </c>
      <c r="F20" s="108" t="s">
        <v>174</v>
      </c>
      <c r="G20" s="108">
        <v>150</v>
      </c>
      <c r="H20" s="110">
        <v>110</v>
      </c>
      <c r="I20" s="44">
        <f t="shared" si="0"/>
        <v>16500</v>
      </c>
    </row>
    <row r="21" spans="1:9" ht="32.25" customHeight="1" x14ac:dyDescent="0.2">
      <c r="A21" s="41">
        <v>12</v>
      </c>
      <c r="B21" s="118" t="s">
        <v>84</v>
      </c>
      <c r="C21" s="117" t="s">
        <v>136</v>
      </c>
      <c r="D21" s="120" t="s">
        <v>137</v>
      </c>
      <c r="E21" s="99" t="s">
        <v>148</v>
      </c>
      <c r="F21" s="108" t="s">
        <v>174</v>
      </c>
      <c r="G21" s="108">
        <v>10</v>
      </c>
      <c r="H21" s="110">
        <v>130</v>
      </c>
      <c r="I21" s="44">
        <f t="shared" si="0"/>
        <v>1300</v>
      </c>
    </row>
    <row r="22" spans="1:9" ht="31.5" customHeight="1" x14ac:dyDescent="0.2">
      <c r="A22" s="41">
        <v>13</v>
      </c>
      <c r="B22" s="118" t="s">
        <v>85</v>
      </c>
      <c r="C22" s="117" t="s">
        <v>136</v>
      </c>
      <c r="D22" s="120" t="s">
        <v>137</v>
      </c>
      <c r="E22" s="99" t="s">
        <v>149</v>
      </c>
      <c r="F22" s="108" t="s">
        <v>174</v>
      </c>
      <c r="G22" s="108">
        <v>2</v>
      </c>
      <c r="H22" s="110">
        <v>150</v>
      </c>
      <c r="I22" s="44">
        <f t="shared" si="0"/>
        <v>300</v>
      </c>
    </row>
    <row r="23" spans="1:9" ht="34.5" customHeight="1" x14ac:dyDescent="0.2">
      <c r="A23" s="42">
        <v>14</v>
      </c>
      <c r="B23" s="118" t="s">
        <v>86</v>
      </c>
      <c r="C23" s="117" t="s">
        <v>136</v>
      </c>
      <c r="D23" s="120" t="s">
        <v>137</v>
      </c>
      <c r="E23" s="99" t="s">
        <v>181</v>
      </c>
      <c r="F23" s="108" t="s">
        <v>174</v>
      </c>
      <c r="G23" s="108">
        <v>2</v>
      </c>
      <c r="H23" s="110">
        <v>130</v>
      </c>
      <c r="I23" s="44">
        <f t="shared" si="0"/>
        <v>260</v>
      </c>
    </row>
    <row r="24" spans="1:9" ht="34.5" customHeight="1" x14ac:dyDescent="0.2">
      <c r="A24" s="42">
        <v>15</v>
      </c>
      <c r="B24" s="118" t="s">
        <v>87</v>
      </c>
      <c r="C24" s="117" t="s">
        <v>136</v>
      </c>
      <c r="D24" s="120" t="s">
        <v>137</v>
      </c>
      <c r="E24" s="99" t="s">
        <v>182</v>
      </c>
      <c r="F24" s="108" t="s">
        <v>175</v>
      </c>
      <c r="G24" s="108">
        <v>50</v>
      </c>
      <c r="H24" s="110">
        <v>400</v>
      </c>
      <c r="I24" s="44">
        <f t="shared" si="0"/>
        <v>20000</v>
      </c>
    </row>
    <row r="25" spans="1:9" ht="42.75" customHeight="1" x14ac:dyDescent="0.2">
      <c r="A25" s="41">
        <v>16</v>
      </c>
      <c r="B25" s="118" t="s">
        <v>88</v>
      </c>
      <c r="C25" s="117" t="s">
        <v>136</v>
      </c>
      <c r="D25" s="120" t="s">
        <v>137</v>
      </c>
      <c r="E25" s="99" t="s">
        <v>183</v>
      </c>
      <c r="F25" s="108" t="s">
        <v>174</v>
      </c>
      <c r="G25" s="108">
        <v>14</v>
      </c>
      <c r="H25" s="110">
        <v>6000</v>
      </c>
      <c r="I25" s="44">
        <f t="shared" si="0"/>
        <v>84000</v>
      </c>
    </row>
    <row r="26" spans="1:9" ht="31.5" customHeight="1" x14ac:dyDescent="0.2">
      <c r="A26" s="41">
        <v>17</v>
      </c>
      <c r="B26" s="119" t="s">
        <v>89</v>
      </c>
      <c r="C26" s="117" t="s">
        <v>136</v>
      </c>
      <c r="D26" s="125" t="s">
        <v>138</v>
      </c>
      <c r="E26" s="100" t="s">
        <v>184</v>
      </c>
      <c r="F26" s="106" t="s">
        <v>175</v>
      </c>
      <c r="G26" s="106">
        <v>60</v>
      </c>
      <c r="H26" s="111">
        <v>250</v>
      </c>
      <c r="I26" s="44">
        <f t="shared" si="0"/>
        <v>15000</v>
      </c>
    </row>
    <row r="27" spans="1:9" ht="30" customHeight="1" x14ac:dyDescent="0.2">
      <c r="A27" s="42">
        <v>18</v>
      </c>
      <c r="B27" s="119" t="s">
        <v>90</v>
      </c>
      <c r="C27" s="117" t="s">
        <v>136</v>
      </c>
      <c r="D27" s="125" t="s">
        <v>138</v>
      </c>
      <c r="E27" s="100" t="s">
        <v>185</v>
      </c>
      <c r="F27" s="106" t="s">
        <v>175</v>
      </c>
      <c r="G27" s="106">
        <v>15</v>
      </c>
      <c r="H27" s="111">
        <v>200</v>
      </c>
      <c r="I27" s="44">
        <f t="shared" si="0"/>
        <v>3000</v>
      </c>
    </row>
    <row r="28" spans="1:9" ht="33" customHeight="1" x14ac:dyDescent="0.2">
      <c r="A28" s="42">
        <v>19</v>
      </c>
      <c r="B28" s="119" t="s">
        <v>91</v>
      </c>
      <c r="C28" s="117" t="s">
        <v>136</v>
      </c>
      <c r="D28" s="125" t="s">
        <v>138</v>
      </c>
      <c r="E28" s="100" t="s">
        <v>186</v>
      </c>
      <c r="F28" s="106" t="s">
        <v>175</v>
      </c>
      <c r="G28" s="106">
        <v>2</v>
      </c>
      <c r="H28" s="111">
        <v>200</v>
      </c>
      <c r="I28" s="44">
        <f t="shared" si="0"/>
        <v>400</v>
      </c>
    </row>
    <row r="29" spans="1:9" ht="32.25" customHeight="1" x14ac:dyDescent="0.25">
      <c r="A29" s="41">
        <v>20</v>
      </c>
      <c r="B29" s="119" t="s">
        <v>92</v>
      </c>
      <c r="C29" s="117" t="s">
        <v>136</v>
      </c>
      <c r="D29" s="125" t="s">
        <v>137</v>
      </c>
      <c r="E29" s="100" t="s">
        <v>187</v>
      </c>
      <c r="F29" s="106" t="s">
        <v>175</v>
      </c>
      <c r="G29" s="106">
        <v>30</v>
      </c>
      <c r="H29" s="112">
        <v>125</v>
      </c>
      <c r="I29" s="44">
        <f t="shared" si="0"/>
        <v>3750</v>
      </c>
    </row>
    <row r="30" spans="1:9" ht="59.25" customHeight="1" x14ac:dyDescent="0.2">
      <c r="A30" s="41">
        <v>21</v>
      </c>
      <c r="B30" s="119" t="s">
        <v>93</v>
      </c>
      <c r="C30" s="117" t="s">
        <v>136</v>
      </c>
      <c r="D30" s="125" t="s">
        <v>139</v>
      </c>
      <c r="E30" s="100" t="s">
        <v>188</v>
      </c>
      <c r="F30" s="106" t="s">
        <v>175</v>
      </c>
      <c r="G30" s="106">
        <v>60</v>
      </c>
      <c r="H30" s="111">
        <v>30</v>
      </c>
      <c r="I30" s="44">
        <f t="shared" si="0"/>
        <v>1800</v>
      </c>
    </row>
    <row r="31" spans="1:9" ht="34.5" customHeight="1" x14ac:dyDescent="0.25">
      <c r="A31" s="42">
        <v>22</v>
      </c>
      <c r="B31" s="119" t="s">
        <v>94</v>
      </c>
      <c r="C31" s="117" t="s">
        <v>136</v>
      </c>
      <c r="D31" s="125" t="s">
        <v>137</v>
      </c>
      <c r="E31" s="100" t="s">
        <v>189</v>
      </c>
      <c r="F31" s="106" t="s">
        <v>175</v>
      </c>
      <c r="G31" s="106">
        <v>140</v>
      </c>
      <c r="H31" s="112">
        <v>80</v>
      </c>
      <c r="I31" s="44">
        <f t="shared" si="0"/>
        <v>11200</v>
      </c>
    </row>
    <row r="32" spans="1:9" ht="28.5" customHeight="1" x14ac:dyDescent="0.25">
      <c r="A32" s="42">
        <v>23</v>
      </c>
      <c r="B32" s="119" t="s">
        <v>95</v>
      </c>
      <c r="C32" s="117" t="s">
        <v>136</v>
      </c>
      <c r="D32" s="125" t="s">
        <v>137</v>
      </c>
      <c r="E32" s="100" t="s">
        <v>190</v>
      </c>
      <c r="F32" s="106" t="s">
        <v>175</v>
      </c>
      <c r="G32" s="106">
        <v>50</v>
      </c>
      <c r="H32" s="112">
        <v>100</v>
      </c>
      <c r="I32" s="44">
        <f t="shared" si="0"/>
        <v>5000</v>
      </c>
    </row>
    <row r="33" spans="1:9" ht="31.5" customHeight="1" x14ac:dyDescent="0.25">
      <c r="A33" s="41">
        <v>24</v>
      </c>
      <c r="B33" s="119" t="s">
        <v>96</v>
      </c>
      <c r="C33" s="117" t="s">
        <v>136</v>
      </c>
      <c r="D33" s="125" t="s">
        <v>137</v>
      </c>
      <c r="E33" s="100" t="s">
        <v>191</v>
      </c>
      <c r="F33" s="106" t="s">
        <v>175</v>
      </c>
      <c r="G33" s="106">
        <v>20</v>
      </c>
      <c r="H33" s="112">
        <v>100</v>
      </c>
      <c r="I33" s="44">
        <f t="shared" si="0"/>
        <v>2000</v>
      </c>
    </row>
    <row r="34" spans="1:9" ht="51.75" customHeight="1" x14ac:dyDescent="0.2">
      <c r="A34" s="41">
        <v>25</v>
      </c>
      <c r="B34" s="87" t="s">
        <v>97</v>
      </c>
      <c r="C34" s="117" t="s">
        <v>136</v>
      </c>
      <c r="D34" s="92" t="str">
        <f>+LEFT(B34,5)</f>
        <v>2.3.1</v>
      </c>
      <c r="E34" s="101" t="s">
        <v>150</v>
      </c>
      <c r="F34" s="106" t="s">
        <v>57</v>
      </c>
      <c r="G34" s="106">
        <v>10</v>
      </c>
      <c r="H34" s="111">
        <v>800</v>
      </c>
      <c r="I34" s="44">
        <f t="shared" si="0"/>
        <v>8000</v>
      </c>
    </row>
    <row r="35" spans="1:9" ht="40.5" customHeight="1" x14ac:dyDescent="0.2">
      <c r="A35" s="42">
        <v>26</v>
      </c>
      <c r="B35" s="119" t="s">
        <v>98</v>
      </c>
      <c r="C35" s="117" t="s">
        <v>136</v>
      </c>
      <c r="D35" s="125" t="s">
        <v>139</v>
      </c>
      <c r="E35" s="100" t="s">
        <v>192</v>
      </c>
      <c r="F35" s="106" t="s">
        <v>57</v>
      </c>
      <c r="G35" s="106">
        <v>21</v>
      </c>
      <c r="H35" s="111">
        <v>600</v>
      </c>
      <c r="I35" s="44">
        <f t="shared" si="0"/>
        <v>12600</v>
      </c>
    </row>
    <row r="36" spans="1:9" ht="54.75" customHeight="1" x14ac:dyDescent="0.2">
      <c r="A36" s="42">
        <v>27</v>
      </c>
      <c r="B36" s="119" t="s">
        <v>99</v>
      </c>
      <c r="C36" s="117" t="s">
        <v>136</v>
      </c>
      <c r="D36" s="125" t="s">
        <v>139</v>
      </c>
      <c r="E36" s="100" t="s">
        <v>193</v>
      </c>
      <c r="F36" s="106" t="s">
        <v>57</v>
      </c>
      <c r="G36" s="106">
        <v>7</v>
      </c>
      <c r="H36" s="111">
        <v>950</v>
      </c>
      <c r="I36" s="44">
        <f t="shared" si="0"/>
        <v>6650</v>
      </c>
    </row>
    <row r="37" spans="1:9" ht="61.5" customHeight="1" x14ac:dyDescent="0.2">
      <c r="A37" s="41">
        <v>28</v>
      </c>
      <c r="B37" s="87" t="s">
        <v>100</v>
      </c>
      <c r="C37" s="117" t="s">
        <v>136</v>
      </c>
      <c r="D37" s="93" t="str">
        <f t="shared" ref="D37:D42" si="1">+LEFT(B37,5)</f>
        <v>2.3.1</v>
      </c>
      <c r="E37" s="101" t="s">
        <v>151</v>
      </c>
      <c r="F37" s="107" t="s">
        <v>57</v>
      </c>
      <c r="G37" s="107">
        <v>366</v>
      </c>
      <c r="H37" s="111">
        <v>1100</v>
      </c>
      <c r="I37" s="44">
        <f t="shared" si="0"/>
        <v>402600</v>
      </c>
    </row>
    <row r="38" spans="1:9" ht="52.5" customHeight="1" x14ac:dyDescent="0.2">
      <c r="A38" s="41">
        <v>29</v>
      </c>
      <c r="B38" s="87" t="s">
        <v>101</v>
      </c>
      <c r="C38" s="117" t="s">
        <v>136</v>
      </c>
      <c r="D38" s="93" t="str">
        <f t="shared" si="1"/>
        <v>2.3.1</v>
      </c>
      <c r="E38" s="101" t="s">
        <v>152</v>
      </c>
      <c r="F38" s="107" t="s">
        <v>57</v>
      </c>
      <c r="G38" s="107">
        <v>466</v>
      </c>
      <c r="H38" s="111">
        <v>900</v>
      </c>
      <c r="I38" s="44">
        <f t="shared" si="0"/>
        <v>419400</v>
      </c>
    </row>
    <row r="39" spans="1:9" ht="24.95" customHeight="1" x14ac:dyDescent="0.25">
      <c r="A39" s="42">
        <v>30</v>
      </c>
      <c r="B39" s="120" t="s">
        <v>102</v>
      </c>
      <c r="C39" s="117" t="s">
        <v>136</v>
      </c>
      <c r="D39" s="91" t="str">
        <f t="shared" si="1"/>
        <v>2.9.2</v>
      </c>
      <c r="E39" s="95" t="s">
        <v>153</v>
      </c>
      <c r="F39" s="107" t="s">
        <v>57</v>
      </c>
      <c r="G39" s="107">
        <v>50</v>
      </c>
      <c r="H39" s="110">
        <v>80</v>
      </c>
      <c r="I39" s="44">
        <f t="shared" si="0"/>
        <v>4000</v>
      </c>
    </row>
    <row r="40" spans="1:9" ht="24.95" customHeight="1" x14ac:dyDescent="0.25">
      <c r="A40" s="42">
        <v>31</v>
      </c>
      <c r="B40" s="121" t="s">
        <v>103</v>
      </c>
      <c r="C40" s="117" t="s">
        <v>136</v>
      </c>
      <c r="D40" s="91" t="str">
        <f t="shared" si="1"/>
        <v>2.9.2</v>
      </c>
      <c r="E40" t="s">
        <v>154</v>
      </c>
      <c r="F40" s="107" t="s">
        <v>57</v>
      </c>
      <c r="G40" s="107">
        <v>10</v>
      </c>
      <c r="H40" s="110">
        <v>70</v>
      </c>
      <c r="I40" s="44">
        <f t="shared" si="0"/>
        <v>700</v>
      </c>
    </row>
    <row r="41" spans="1:9" ht="36" customHeight="1" x14ac:dyDescent="0.2">
      <c r="A41" s="41">
        <v>32</v>
      </c>
      <c r="B41" s="88" t="s">
        <v>104</v>
      </c>
      <c r="C41" s="117" t="s">
        <v>136</v>
      </c>
      <c r="D41" s="91" t="str">
        <f t="shared" si="1"/>
        <v>2.9.2</v>
      </c>
      <c r="E41" s="98" t="s">
        <v>155</v>
      </c>
      <c r="F41" s="88" t="s">
        <v>57</v>
      </c>
      <c r="G41" s="88">
        <v>27</v>
      </c>
      <c r="H41" s="110">
        <v>80</v>
      </c>
      <c r="I41" s="44">
        <f t="shared" si="0"/>
        <v>2160</v>
      </c>
    </row>
    <row r="42" spans="1:9" ht="39" customHeight="1" x14ac:dyDescent="0.2">
      <c r="A42" s="41">
        <v>33</v>
      </c>
      <c r="B42" s="86" t="s">
        <v>105</v>
      </c>
      <c r="C42" s="117" t="s">
        <v>136</v>
      </c>
      <c r="D42" s="94" t="str">
        <f t="shared" si="1"/>
        <v>2.9.2</v>
      </c>
      <c r="E42" s="98" t="s">
        <v>156</v>
      </c>
      <c r="F42" s="116" t="s">
        <v>57</v>
      </c>
      <c r="G42" s="116">
        <v>25</v>
      </c>
      <c r="H42" s="110">
        <v>250</v>
      </c>
      <c r="I42" s="44">
        <f t="shared" si="0"/>
        <v>6250</v>
      </c>
    </row>
    <row r="43" spans="1:9" ht="37.5" customHeight="1" x14ac:dyDescent="0.2">
      <c r="A43" s="42">
        <v>34</v>
      </c>
      <c r="B43" s="118" t="s">
        <v>106</v>
      </c>
      <c r="C43" s="117" t="s">
        <v>136</v>
      </c>
      <c r="D43" s="120" t="s">
        <v>140</v>
      </c>
      <c r="E43" s="99" t="s">
        <v>194</v>
      </c>
      <c r="F43" s="116" t="s">
        <v>57</v>
      </c>
      <c r="G43" s="116">
        <v>800</v>
      </c>
      <c r="H43" s="110">
        <v>15</v>
      </c>
      <c r="I43" s="44">
        <f t="shared" si="0"/>
        <v>12000</v>
      </c>
    </row>
    <row r="44" spans="1:9" ht="37.5" customHeight="1" x14ac:dyDescent="0.2">
      <c r="A44" s="42">
        <v>35</v>
      </c>
      <c r="B44" s="118" t="s">
        <v>107</v>
      </c>
      <c r="C44" s="117" t="s">
        <v>136</v>
      </c>
      <c r="D44" s="120" t="s">
        <v>137</v>
      </c>
      <c r="E44" s="99" t="s">
        <v>157</v>
      </c>
      <c r="F44" s="116" t="s">
        <v>57</v>
      </c>
      <c r="G44" s="116">
        <v>200</v>
      </c>
      <c r="H44" s="110">
        <v>15</v>
      </c>
      <c r="I44" s="44">
        <f t="shared" si="0"/>
        <v>3000</v>
      </c>
    </row>
    <row r="45" spans="1:9" ht="24.95" customHeight="1" x14ac:dyDescent="0.2">
      <c r="A45" s="41">
        <v>36</v>
      </c>
      <c r="B45" s="89" t="s">
        <v>108</v>
      </c>
      <c r="C45" s="117" t="s">
        <v>136</v>
      </c>
      <c r="D45" s="96" t="str">
        <f>+LEFT(B45,5)</f>
        <v>2.9.2</v>
      </c>
      <c r="E45" s="102" t="s">
        <v>158</v>
      </c>
      <c r="F45" s="108" t="s">
        <v>57</v>
      </c>
      <c r="G45" s="108">
        <v>44</v>
      </c>
      <c r="H45" s="113">
        <v>30</v>
      </c>
      <c r="I45" s="44">
        <f t="shared" si="0"/>
        <v>1320</v>
      </c>
    </row>
    <row r="46" spans="1:9" ht="33.75" customHeight="1" x14ac:dyDescent="0.2">
      <c r="A46" s="41">
        <v>37</v>
      </c>
      <c r="B46" s="90" t="s">
        <v>109</v>
      </c>
      <c r="C46" s="117" t="s">
        <v>136</v>
      </c>
      <c r="D46" s="97" t="str">
        <f t="shared" ref="D46:D52" si="2">+LEFT(B46,5)</f>
        <v>2.9.2</v>
      </c>
      <c r="E46" s="98" t="s">
        <v>159</v>
      </c>
      <c r="F46" s="90" t="s">
        <v>57</v>
      </c>
      <c r="G46" s="90">
        <v>10</v>
      </c>
      <c r="H46" s="114">
        <v>150</v>
      </c>
      <c r="I46" s="44">
        <f t="shared" si="0"/>
        <v>1500</v>
      </c>
    </row>
    <row r="47" spans="1:9" ht="24.95" customHeight="1" x14ac:dyDescent="0.2">
      <c r="A47" s="42">
        <v>38</v>
      </c>
      <c r="B47" s="118" t="s">
        <v>110</v>
      </c>
      <c r="C47" s="117" t="s">
        <v>136</v>
      </c>
      <c r="D47" s="91" t="str">
        <f t="shared" si="2"/>
        <v>2.9.2</v>
      </c>
      <c r="E47" s="247" t="s">
        <v>265</v>
      </c>
      <c r="F47" s="90" t="s">
        <v>57</v>
      </c>
      <c r="G47" s="90">
        <v>275</v>
      </c>
      <c r="H47" s="114">
        <v>65</v>
      </c>
      <c r="I47" s="44">
        <f t="shared" si="0"/>
        <v>17875</v>
      </c>
    </row>
    <row r="48" spans="1:9" ht="24.95" customHeight="1" x14ac:dyDescent="0.2">
      <c r="A48" s="42">
        <v>39</v>
      </c>
      <c r="B48" s="118" t="s">
        <v>110</v>
      </c>
      <c r="C48" s="117" t="s">
        <v>136</v>
      </c>
      <c r="D48" s="91" t="str">
        <f t="shared" si="2"/>
        <v>2.9.2</v>
      </c>
      <c r="E48" s="247" t="s">
        <v>265</v>
      </c>
      <c r="F48" s="90" t="s">
        <v>57</v>
      </c>
      <c r="G48" s="90">
        <v>245</v>
      </c>
      <c r="H48" s="114">
        <v>65</v>
      </c>
      <c r="I48" s="44">
        <f t="shared" si="0"/>
        <v>15925</v>
      </c>
    </row>
    <row r="49" spans="1:9" ht="24.95" customHeight="1" x14ac:dyDescent="0.2">
      <c r="A49" s="41">
        <v>40</v>
      </c>
      <c r="B49" s="86" t="s">
        <v>111</v>
      </c>
      <c r="C49" s="117" t="s">
        <v>136</v>
      </c>
      <c r="D49" s="91" t="str">
        <f t="shared" si="2"/>
        <v>2.9.2</v>
      </c>
      <c r="E49" s="247" t="s">
        <v>266</v>
      </c>
      <c r="F49" s="108" t="s">
        <v>57</v>
      </c>
      <c r="G49" s="108">
        <v>525</v>
      </c>
      <c r="H49" s="110">
        <v>65</v>
      </c>
      <c r="I49" s="44">
        <f t="shared" si="0"/>
        <v>34125</v>
      </c>
    </row>
    <row r="50" spans="1:9" ht="24.95" customHeight="1" x14ac:dyDescent="0.2">
      <c r="A50" s="41">
        <v>41</v>
      </c>
      <c r="B50" s="86" t="s">
        <v>111</v>
      </c>
      <c r="C50" s="117" t="s">
        <v>136</v>
      </c>
      <c r="D50" s="91" t="str">
        <f t="shared" si="2"/>
        <v>2.9.2</v>
      </c>
      <c r="E50" s="247" t="s">
        <v>266</v>
      </c>
      <c r="F50" s="108" t="s">
        <v>57</v>
      </c>
      <c r="G50" s="108">
        <v>325</v>
      </c>
      <c r="H50" s="110">
        <v>65</v>
      </c>
      <c r="I50" s="44">
        <f t="shared" si="0"/>
        <v>21125</v>
      </c>
    </row>
    <row r="51" spans="1:9" ht="39" customHeight="1" x14ac:dyDescent="0.2">
      <c r="A51" s="42">
        <v>42</v>
      </c>
      <c r="B51" s="86" t="s">
        <v>112</v>
      </c>
      <c r="C51" s="117" t="s">
        <v>136</v>
      </c>
      <c r="D51" s="91" t="str">
        <f t="shared" si="2"/>
        <v>2.9.2</v>
      </c>
      <c r="E51" s="102" t="s">
        <v>160</v>
      </c>
      <c r="F51" s="108" t="s">
        <v>176</v>
      </c>
      <c r="G51" s="108">
        <v>2</v>
      </c>
      <c r="H51" s="110">
        <v>40</v>
      </c>
      <c r="I51" s="44">
        <f t="shared" si="0"/>
        <v>80</v>
      </c>
    </row>
    <row r="52" spans="1:9" ht="33" customHeight="1" x14ac:dyDescent="0.2">
      <c r="A52" s="42">
        <v>43</v>
      </c>
      <c r="B52" s="118" t="s">
        <v>113</v>
      </c>
      <c r="C52" s="117" t="s">
        <v>136</v>
      </c>
      <c r="D52" s="91" t="str">
        <f t="shared" si="2"/>
        <v>2.9.2</v>
      </c>
      <c r="E52" s="99" t="s">
        <v>161</v>
      </c>
      <c r="F52" s="108" t="s">
        <v>57</v>
      </c>
      <c r="G52" s="108">
        <v>4</v>
      </c>
      <c r="H52" s="110">
        <v>150</v>
      </c>
      <c r="I52" s="44">
        <f t="shared" si="0"/>
        <v>600</v>
      </c>
    </row>
    <row r="53" spans="1:9" ht="32.25" customHeight="1" x14ac:dyDescent="0.2">
      <c r="A53" s="41">
        <v>44</v>
      </c>
      <c r="B53" s="119" t="s">
        <v>114</v>
      </c>
      <c r="C53" s="117" t="s">
        <v>136</v>
      </c>
      <c r="D53" s="125" t="s">
        <v>139</v>
      </c>
      <c r="E53" s="100" t="s">
        <v>195</v>
      </c>
      <c r="F53" s="106" t="s">
        <v>57</v>
      </c>
      <c r="G53" s="106">
        <v>110</v>
      </c>
      <c r="H53" s="111">
        <v>1500</v>
      </c>
      <c r="I53" s="44">
        <f t="shared" si="0"/>
        <v>165000</v>
      </c>
    </row>
    <row r="54" spans="1:9" ht="51.75" customHeight="1" x14ac:dyDescent="0.2">
      <c r="A54" s="41">
        <v>45</v>
      </c>
      <c r="B54" s="87" t="s">
        <v>115</v>
      </c>
      <c r="C54" s="117" t="s">
        <v>136</v>
      </c>
      <c r="D54" s="92" t="str">
        <f>+LEFT(B54,5)</f>
        <v>2.9.2</v>
      </c>
      <c r="E54" s="101" t="s">
        <v>162</v>
      </c>
      <c r="F54" s="106" t="s">
        <v>57</v>
      </c>
      <c r="G54" s="106">
        <v>13</v>
      </c>
      <c r="H54" s="111">
        <v>4000</v>
      </c>
      <c r="I54" s="44">
        <f t="shared" si="0"/>
        <v>52000</v>
      </c>
    </row>
    <row r="55" spans="1:9" ht="52.5" customHeight="1" x14ac:dyDescent="0.2">
      <c r="A55" s="42">
        <v>46</v>
      </c>
      <c r="B55" s="87" t="s">
        <v>116</v>
      </c>
      <c r="C55" s="117" t="s">
        <v>136</v>
      </c>
      <c r="D55" s="92" t="str">
        <f>+LEFT(B55,5)</f>
        <v>2.3.1</v>
      </c>
      <c r="E55" s="101" t="s">
        <v>163</v>
      </c>
      <c r="F55" s="106" t="s">
        <v>57</v>
      </c>
      <c r="G55" s="106">
        <v>450</v>
      </c>
      <c r="H55" s="111">
        <v>10</v>
      </c>
      <c r="I55" s="44">
        <f t="shared" si="0"/>
        <v>4500</v>
      </c>
    </row>
    <row r="56" spans="1:9" ht="43.5" customHeight="1" x14ac:dyDescent="0.2">
      <c r="A56" s="42">
        <v>47</v>
      </c>
      <c r="B56" s="87" t="s">
        <v>117</v>
      </c>
      <c r="C56" s="117" t="s">
        <v>136</v>
      </c>
      <c r="D56" s="92" t="str">
        <f>+LEFT(B56,5)</f>
        <v>2.3.1</v>
      </c>
      <c r="E56" s="101" t="s">
        <v>164</v>
      </c>
      <c r="F56" s="106" t="s">
        <v>57</v>
      </c>
      <c r="G56" s="106">
        <v>50</v>
      </c>
      <c r="H56" s="111">
        <v>8</v>
      </c>
      <c r="I56" s="44">
        <f t="shared" si="0"/>
        <v>400</v>
      </c>
    </row>
    <row r="57" spans="1:9" ht="24.95" customHeight="1" x14ac:dyDescent="0.2">
      <c r="A57" s="41">
        <v>48</v>
      </c>
      <c r="B57" s="118" t="s">
        <v>118</v>
      </c>
      <c r="C57" s="117" t="s">
        <v>136</v>
      </c>
      <c r="D57" s="120" t="s">
        <v>137</v>
      </c>
      <c r="E57" s="103" t="s">
        <v>165</v>
      </c>
      <c r="F57" s="108" t="s">
        <v>57</v>
      </c>
      <c r="G57" s="108">
        <v>1</v>
      </c>
      <c r="H57" s="110">
        <v>500</v>
      </c>
      <c r="I57" s="44">
        <f t="shared" si="0"/>
        <v>500</v>
      </c>
    </row>
    <row r="58" spans="1:9" ht="35.25" customHeight="1" x14ac:dyDescent="0.2">
      <c r="A58" s="41">
        <v>49</v>
      </c>
      <c r="B58" s="89" t="s">
        <v>119</v>
      </c>
      <c r="C58" s="117" t="s">
        <v>136</v>
      </c>
      <c r="D58" s="96" t="str">
        <f>+LEFT(B58,5)</f>
        <v>2.9.2</v>
      </c>
      <c r="E58" s="102" t="s">
        <v>166</v>
      </c>
      <c r="F58" s="108" t="s">
        <v>57</v>
      </c>
      <c r="G58" s="108">
        <v>20</v>
      </c>
      <c r="H58" s="113">
        <v>80</v>
      </c>
      <c r="I58" s="44">
        <f t="shared" si="0"/>
        <v>1600</v>
      </c>
    </row>
    <row r="59" spans="1:9" ht="24.95" customHeight="1" x14ac:dyDescent="0.25">
      <c r="A59" s="42">
        <v>50</v>
      </c>
      <c r="B59" s="118" t="s">
        <v>120</v>
      </c>
      <c r="C59" s="117" t="s">
        <v>136</v>
      </c>
      <c r="D59" s="120" t="s">
        <v>137</v>
      </c>
      <c r="E59" s="72" t="s">
        <v>167</v>
      </c>
      <c r="F59" s="108" t="s">
        <v>174</v>
      </c>
      <c r="G59" s="108">
        <v>3</v>
      </c>
      <c r="H59" s="110">
        <v>250</v>
      </c>
      <c r="I59" s="44">
        <f t="shared" si="0"/>
        <v>750</v>
      </c>
    </row>
    <row r="60" spans="1:9" ht="25.5" customHeight="1" x14ac:dyDescent="0.25">
      <c r="A60" s="42">
        <v>51</v>
      </c>
      <c r="B60" s="118" t="s">
        <v>121</v>
      </c>
      <c r="C60" s="117" t="s">
        <v>136</v>
      </c>
      <c r="D60" s="120" t="s">
        <v>137</v>
      </c>
      <c r="E60" s="72" t="s">
        <v>168</v>
      </c>
      <c r="F60" s="108" t="s">
        <v>57</v>
      </c>
      <c r="G60" s="108">
        <v>45</v>
      </c>
      <c r="H60" s="110">
        <v>80</v>
      </c>
      <c r="I60" s="44">
        <f t="shared" si="0"/>
        <v>3600</v>
      </c>
    </row>
    <row r="61" spans="1:9" ht="35.25" customHeight="1" x14ac:dyDescent="0.2">
      <c r="A61" s="41">
        <v>52</v>
      </c>
      <c r="B61" s="122" t="s">
        <v>122</v>
      </c>
      <c r="C61" s="117" t="s">
        <v>136</v>
      </c>
      <c r="D61" s="126" t="s">
        <v>137</v>
      </c>
      <c r="E61" s="104" t="s">
        <v>196</v>
      </c>
      <c r="F61" s="108" t="s">
        <v>57</v>
      </c>
      <c r="G61" s="108">
        <v>4</v>
      </c>
      <c r="H61" s="110">
        <v>1000</v>
      </c>
      <c r="I61" s="44">
        <f t="shared" si="0"/>
        <v>4000</v>
      </c>
    </row>
    <row r="62" spans="1:9" ht="35.25" customHeight="1" x14ac:dyDescent="0.2">
      <c r="A62" s="41">
        <v>53</v>
      </c>
      <c r="B62" s="123" t="s">
        <v>123</v>
      </c>
      <c r="C62" s="117" t="s">
        <v>136</v>
      </c>
      <c r="D62" s="126" t="s">
        <v>137</v>
      </c>
      <c r="E62" s="104" t="s">
        <v>197</v>
      </c>
      <c r="F62" s="108" t="s">
        <v>57</v>
      </c>
      <c r="G62" s="108">
        <v>4</v>
      </c>
      <c r="H62" s="110">
        <v>350</v>
      </c>
      <c r="I62" s="44">
        <f t="shared" si="0"/>
        <v>1400</v>
      </c>
    </row>
    <row r="63" spans="1:9" ht="30" customHeight="1" x14ac:dyDescent="0.2">
      <c r="A63" s="42">
        <v>54</v>
      </c>
      <c r="B63" s="118" t="s">
        <v>124</v>
      </c>
      <c r="C63" s="117" t="s">
        <v>136</v>
      </c>
      <c r="D63" s="126" t="s">
        <v>137</v>
      </c>
      <c r="E63" s="104" t="s">
        <v>264</v>
      </c>
      <c r="F63" s="108" t="s">
        <v>174</v>
      </c>
      <c r="G63" s="108">
        <v>10</v>
      </c>
      <c r="H63" s="110">
        <v>250</v>
      </c>
      <c r="I63" s="44">
        <f t="shared" si="0"/>
        <v>2500</v>
      </c>
    </row>
    <row r="64" spans="1:9" ht="36.75" customHeight="1" x14ac:dyDescent="0.2">
      <c r="A64" s="42">
        <v>55</v>
      </c>
      <c r="B64" s="89" t="s">
        <v>125</v>
      </c>
      <c r="C64" s="117" t="s">
        <v>136</v>
      </c>
      <c r="D64" s="126" t="s">
        <v>137</v>
      </c>
      <c r="E64" s="102" t="s">
        <v>169</v>
      </c>
      <c r="F64" s="108" t="s">
        <v>175</v>
      </c>
      <c r="G64" s="108">
        <v>2</v>
      </c>
      <c r="H64" s="113">
        <v>300</v>
      </c>
      <c r="I64" s="44">
        <f t="shared" si="0"/>
        <v>600</v>
      </c>
    </row>
    <row r="65" spans="1:9" ht="37.5" customHeight="1" x14ac:dyDescent="0.2">
      <c r="A65" s="41">
        <v>56</v>
      </c>
      <c r="B65" s="89" t="s">
        <v>126</v>
      </c>
      <c r="C65" s="117" t="s">
        <v>136</v>
      </c>
      <c r="D65" s="126" t="s">
        <v>137</v>
      </c>
      <c r="E65" s="102" t="s">
        <v>170</v>
      </c>
      <c r="F65" s="108" t="s">
        <v>57</v>
      </c>
      <c r="G65" s="108">
        <v>22</v>
      </c>
      <c r="H65" s="113">
        <v>300</v>
      </c>
      <c r="I65" s="44">
        <f t="shared" si="0"/>
        <v>6600</v>
      </c>
    </row>
    <row r="66" spans="1:9" ht="35.25" customHeight="1" x14ac:dyDescent="0.25">
      <c r="A66" s="41">
        <v>57</v>
      </c>
      <c r="B66" s="122" t="s">
        <v>127</v>
      </c>
      <c r="C66" s="117" t="s">
        <v>136</v>
      </c>
      <c r="D66" s="120" t="s">
        <v>137</v>
      </c>
      <c r="E66" s="99" t="s">
        <v>198</v>
      </c>
      <c r="F66" s="108" t="s">
        <v>175</v>
      </c>
      <c r="G66" s="108">
        <v>10</v>
      </c>
      <c r="H66" s="110">
        <v>300</v>
      </c>
      <c r="I66" s="44">
        <f t="shared" si="0"/>
        <v>3000</v>
      </c>
    </row>
    <row r="67" spans="1:9" ht="30" customHeight="1" x14ac:dyDescent="0.2">
      <c r="A67" s="42">
        <v>58</v>
      </c>
      <c r="B67" s="118" t="s">
        <v>128</v>
      </c>
      <c r="C67" s="117" t="s">
        <v>136</v>
      </c>
      <c r="D67" s="120" t="s">
        <v>140</v>
      </c>
      <c r="E67" s="99" t="s">
        <v>199</v>
      </c>
      <c r="F67" s="108" t="s">
        <v>57</v>
      </c>
      <c r="G67" s="108">
        <v>40</v>
      </c>
      <c r="H67" s="110">
        <v>300</v>
      </c>
      <c r="I67" s="44">
        <f t="shared" si="0"/>
        <v>12000</v>
      </c>
    </row>
    <row r="68" spans="1:9" ht="38.25" customHeight="1" x14ac:dyDescent="0.2">
      <c r="A68" s="42">
        <v>59</v>
      </c>
      <c r="B68" s="122" t="s">
        <v>129</v>
      </c>
      <c r="C68" s="117" t="s">
        <v>136</v>
      </c>
      <c r="D68" s="126" t="s">
        <v>140</v>
      </c>
      <c r="E68" s="105" t="s">
        <v>171</v>
      </c>
      <c r="F68" s="108" t="s">
        <v>57</v>
      </c>
      <c r="G68" s="108">
        <v>10</v>
      </c>
      <c r="H68" s="110">
        <v>200</v>
      </c>
      <c r="I68" s="44">
        <f t="shared" si="0"/>
        <v>2000</v>
      </c>
    </row>
    <row r="69" spans="1:9" ht="24.95" customHeight="1" x14ac:dyDescent="0.25">
      <c r="A69" s="41">
        <v>60</v>
      </c>
      <c r="B69" s="118" t="s">
        <v>130</v>
      </c>
      <c r="C69" s="117" t="s">
        <v>136</v>
      </c>
      <c r="D69" s="120" t="s">
        <v>137</v>
      </c>
      <c r="E69" s="72" t="s">
        <v>172</v>
      </c>
      <c r="F69" s="108" t="s">
        <v>57</v>
      </c>
      <c r="G69" s="108">
        <v>8</v>
      </c>
      <c r="H69" s="110">
        <v>1000</v>
      </c>
      <c r="I69" s="44">
        <f t="shared" si="0"/>
        <v>8000</v>
      </c>
    </row>
    <row r="70" spans="1:9" ht="24.95" customHeight="1" x14ac:dyDescent="0.25">
      <c r="A70" s="41">
        <v>61</v>
      </c>
      <c r="B70" s="118" t="s">
        <v>131</v>
      </c>
      <c r="C70" s="117" t="s">
        <v>136</v>
      </c>
      <c r="D70" s="120" t="s">
        <v>137</v>
      </c>
      <c r="E70" s="72" t="s">
        <v>173</v>
      </c>
      <c r="F70" s="108" t="s">
        <v>57</v>
      </c>
      <c r="G70" s="108">
        <v>100</v>
      </c>
      <c r="H70" s="110">
        <v>50</v>
      </c>
      <c r="I70" s="44">
        <f t="shared" si="0"/>
        <v>5000</v>
      </c>
    </row>
    <row r="71" spans="1:9" ht="45.75" customHeight="1" x14ac:dyDescent="0.2">
      <c r="A71" s="42">
        <v>62</v>
      </c>
      <c r="B71" s="119" t="s">
        <v>132</v>
      </c>
      <c r="C71" s="117" t="s">
        <v>136</v>
      </c>
      <c r="D71" s="125" t="s">
        <v>139</v>
      </c>
      <c r="E71" s="100" t="s">
        <v>200</v>
      </c>
      <c r="F71" s="106" t="s">
        <v>57</v>
      </c>
      <c r="G71" s="106">
        <v>100</v>
      </c>
      <c r="H71" s="111">
        <v>10</v>
      </c>
      <c r="I71" s="44">
        <f t="shared" si="0"/>
        <v>1000</v>
      </c>
    </row>
    <row r="72" spans="1:9" ht="32.25" customHeight="1" x14ac:dyDescent="0.2">
      <c r="A72" s="42">
        <v>63</v>
      </c>
      <c r="B72" s="118" t="s">
        <v>133</v>
      </c>
      <c r="C72" s="117" t="s">
        <v>136</v>
      </c>
      <c r="D72" s="126" t="s">
        <v>137</v>
      </c>
      <c r="E72" s="99" t="s">
        <v>201</v>
      </c>
      <c r="F72" s="108" t="s">
        <v>57</v>
      </c>
      <c r="G72" s="108">
        <v>82</v>
      </c>
      <c r="H72" s="110">
        <v>80</v>
      </c>
      <c r="I72" s="44">
        <f t="shared" si="0"/>
        <v>6560</v>
      </c>
    </row>
    <row r="73" spans="1:9" ht="33" customHeight="1" x14ac:dyDescent="0.25">
      <c r="A73" s="41">
        <v>64</v>
      </c>
      <c r="B73" s="118" t="s">
        <v>134</v>
      </c>
      <c r="C73" s="117" t="s">
        <v>136</v>
      </c>
      <c r="D73" s="126" t="s">
        <v>137</v>
      </c>
      <c r="E73" s="99" t="s">
        <v>202</v>
      </c>
      <c r="F73" s="109" t="s">
        <v>57</v>
      </c>
      <c r="G73" s="109">
        <v>136</v>
      </c>
      <c r="H73" s="115">
        <v>200</v>
      </c>
      <c r="I73" s="44">
        <f t="shared" si="0"/>
        <v>27200</v>
      </c>
    </row>
    <row r="74" spans="1:9" ht="32.25" customHeight="1" x14ac:dyDescent="0.2">
      <c r="A74" s="250">
        <v>65</v>
      </c>
      <c r="B74" s="120" t="s">
        <v>135</v>
      </c>
      <c r="C74" s="117" t="s">
        <v>136</v>
      </c>
      <c r="D74" s="126" t="s">
        <v>137</v>
      </c>
      <c r="E74" s="248" t="s">
        <v>203</v>
      </c>
      <c r="F74" s="109" t="s">
        <v>57</v>
      </c>
      <c r="G74" s="109">
        <v>106</v>
      </c>
      <c r="H74" s="110">
        <v>250</v>
      </c>
      <c r="I74" s="44">
        <f t="shared" ref="I74:I76" si="3">G74*H74</f>
        <v>26500</v>
      </c>
    </row>
    <row r="75" spans="1:9" ht="33" customHeight="1" x14ac:dyDescent="0.2">
      <c r="A75" s="251">
        <v>66</v>
      </c>
      <c r="B75" s="252" t="s">
        <v>268</v>
      </c>
      <c r="C75" s="117" t="s">
        <v>136</v>
      </c>
      <c r="D75" s="126" t="s">
        <v>137</v>
      </c>
      <c r="E75" s="249" t="s">
        <v>267</v>
      </c>
      <c r="F75" s="109" t="s">
        <v>57</v>
      </c>
      <c r="G75" s="109">
        <v>48</v>
      </c>
      <c r="H75" s="110">
        <v>200</v>
      </c>
      <c r="I75" s="44">
        <f t="shared" si="3"/>
        <v>9600</v>
      </c>
    </row>
    <row r="76" spans="1:9" ht="32.25" customHeight="1" x14ac:dyDescent="0.2">
      <c r="A76" s="251">
        <v>67</v>
      </c>
      <c r="B76" s="252" t="s">
        <v>270</v>
      </c>
      <c r="C76" s="117" t="s">
        <v>136</v>
      </c>
      <c r="D76" s="120" t="s">
        <v>137</v>
      </c>
      <c r="E76" s="249" t="s">
        <v>269</v>
      </c>
      <c r="F76" s="108" t="s">
        <v>57</v>
      </c>
      <c r="G76" s="108">
        <v>48</v>
      </c>
      <c r="H76" s="110">
        <v>200</v>
      </c>
      <c r="I76" s="127">
        <f t="shared" si="3"/>
        <v>9600</v>
      </c>
    </row>
    <row r="78" spans="1:9" ht="13.5" thickBot="1" x14ac:dyDescent="0.25">
      <c r="I78" s="139">
        <f>SUM(I10:I77)</f>
        <v>1680980</v>
      </c>
    </row>
    <row r="79" spans="1:9" ht="15" x14ac:dyDescent="0.25">
      <c r="B79" s="148" t="s">
        <v>63</v>
      </c>
      <c r="C79" s="149"/>
      <c r="D79" s="149"/>
      <c r="E79" s="150"/>
    </row>
    <row r="80" spans="1:9" ht="15" x14ac:dyDescent="0.25">
      <c r="B80" s="73"/>
      <c r="C80" s="74"/>
      <c r="D80" s="75"/>
      <c r="E80" s="76"/>
      <c r="F80" s="128"/>
    </row>
    <row r="81" spans="2:6" ht="15" x14ac:dyDescent="0.25">
      <c r="B81" s="73" t="s">
        <v>67</v>
      </c>
      <c r="C81" s="141" t="s">
        <v>204</v>
      </c>
      <c r="D81" s="141"/>
      <c r="E81" s="142"/>
      <c r="F81" s="128"/>
    </row>
    <row r="82" spans="2:6" ht="15" x14ac:dyDescent="0.25">
      <c r="B82" s="73" t="s">
        <v>68</v>
      </c>
      <c r="C82" s="141" t="s">
        <v>205</v>
      </c>
      <c r="D82" s="141"/>
      <c r="E82" s="142"/>
      <c r="F82" s="128"/>
    </row>
    <row r="83" spans="2:6" ht="15" x14ac:dyDescent="0.25">
      <c r="B83" s="73" t="s">
        <v>69</v>
      </c>
      <c r="C83" s="141" t="s">
        <v>206</v>
      </c>
      <c r="D83" s="141"/>
      <c r="E83" s="142"/>
      <c r="F83" s="128"/>
    </row>
    <row r="84" spans="2:6" ht="15" x14ac:dyDescent="0.25">
      <c r="B84" s="73" t="s">
        <v>252</v>
      </c>
      <c r="C84" s="137" t="s">
        <v>254</v>
      </c>
      <c r="D84" s="137"/>
      <c r="E84" s="138"/>
      <c r="F84" s="128"/>
    </row>
    <row r="85" spans="2:6" ht="15" x14ac:dyDescent="0.25">
      <c r="B85" s="73" t="s">
        <v>253</v>
      </c>
      <c r="C85" s="137" t="s">
        <v>254</v>
      </c>
      <c r="D85" s="137"/>
      <c r="E85" s="138"/>
      <c r="F85" s="128"/>
    </row>
    <row r="86" spans="2:6" ht="15" x14ac:dyDescent="0.25">
      <c r="B86" s="73" t="s">
        <v>255</v>
      </c>
      <c r="C86" s="137" t="s">
        <v>256</v>
      </c>
      <c r="D86" s="137"/>
      <c r="E86" s="138"/>
      <c r="F86" s="128"/>
    </row>
    <row r="87" spans="2:6" ht="15" x14ac:dyDescent="0.25">
      <c r="B87" s="73" t="s">
        <v>242</v>
      </c>
      <c r="C87" s="141" t="s">
        <v>207</v>
      </c>
      <c r="D87" s="141"/>
      <c r="E87" s="142"/>
      <c r="F87" s="128"/>
    </row>
    <row r="88" spans="2:6" ht="15" x14ac:dyDescent="0.25">
      <c r="B88" s="73" t="s">
        <v>243</v>
      </c>
      <c r="C88" s="141" t="s">
        <v>208</v>
      </c>
      <c r="D88" s="141"/>
      <c r="E88" s="142"/>
      <c r="F88" s="128"/>
    </row>
    <row r="89" spans="2:6" ht="15" x14ac:dyDescent="0.25">
      <c r="B89" s="73" t="s">
        <v>244</v>
      </c>
      <c r="C89" s="141" t="s">
        <v>210</v>
      </c>
      <c r="D89" s="141"/>
      <c r="E89" s="142"/>
      <c r="F89" s="128"/>
    </row>
    <row r="90" spans="2:6" ht="15" x14ac:dyDescent="0.25">
      <c r="B90" s="73" t="s">
        <v>209</v>
      </c>
      <c r="C90" s="141" t="s">
        <v>259</v>
      </c>
      <c r="D90" s="141"/>
      <c r="E90" s="142"/>
      <c r="F90" s="128"/>
    </row>
    <row r="91" spans="2:6" ht="15" x14ac:dyDescent="0.25">
      <c r="B91" s="73" t="s">
        <v>211</v>
      </c>
      <c r="C91" s="141" t="s">
        <v>210</v>
      </c>
      <c r="D91" s="141"/>
      <c r="E91" s="142"/>
      <c r="F91" s="128"/>
    </row>
    <row r="92" spans="2:6" ht="15" x14ac:dyDescent="0.25">
      <c r="B92" s="73" t="s">
        <v>245</v>
      </c>
      <c r="C92" s="141" t="s">
        <v>212</v>
      </c>
      <c r="D92" s="141"/>
      <c r="E92" s="142"/>
      <c r="F92" s="128"/>
    </row>
    <row r="93" spans="2:6" ht="15.75" customHeight="1" x14ac:dyDescent="0.25">
      <c r="B93" s="73" t="s">
        <v>213</v>
      </c>
      <c r="C93" s="141" t="s">
        <v>214</v>
      </c>
      <c r="D93" s="141"/>
      <c r="E93" s="142"/>
      <c r="F93" s="128"/>
    </row>
    <row r="94" spans="2:6" ht="15" x14ac:dyDescent="0.25">
      <c r="B94" s="73" t="s">
        <v>246</v>
      </c>
      <c r="C94" s="143" t="s">
        <v>215</v>
      </c>
      <c r="D94" s="143"/>
      <c r="E94" s="144"/>
      <c r="F94" s="128"/>
    </row>
    <row r="95" spans="2:6" ht="15.75" customHeight="1" x14ac:dyDescent="0.25">
      <c r="B95" s="73" t="s">
        <v>216</v>
      </c>
      <c r="C95" s="143" t="s">
        <v>217</v>
      </c>
      <c r="D95" s="143"/>
      <c r="E95" s="144"/>
      <c r="F95" s="128"/>
    </row>
    <row r="96" spans="2:6" ht="15" x14ac:dyDescent="0.25">
      <c r="B96" s="73" t="s">
        <v>218</v>
      </c>
      <c r="C96" s="141" t="s">
        <v>221</v>
      </c>
      <c r="D96" s="141"/>
      <c r="E96" s="142"/>
      <c r="F96" s="128"/>
    </row>
    <row r="97" spans="2:6" ht="15" x14ac:dyDescent="0.25">
      <c r="B97" s="73" t="s">
        <v>219</v>
      </c>
      <c r="C97" s="141" t="s">
        <v>222</v>
      </c>
      <c r="D97" s="141"/>
      <c r="E97" s="142"/>
      <c r="F97" s="128"/>
    </row>
    <row r="98" spans="2:6" ht="15.75" customHeight="1" x14ac:dyDescent="0.25">
      <c r="B98" s="73" t="s">
        <v>220</v>
      </c>
      <c r="C98" s="141" t="s">
        <v>223</v>
      </c>
      <c r="D98" s="141"/>
      <c r="E98" s="142"/>
      <c r="F98" s="128"/>
    </row>
    <row r="99" spans="2:6" ht="24" customHeight="1" x14ac:dyDescent="0.25">
      <c r="B99" s="73" t="s">
        <v>224</v>
      </c>
      <c r="C99" s="141" t="s">
        <v>225</v>
      </c>
      <c r="D99" s="141"/>
      <c r="E99" s="142"/>
      <c r="F99" s="128"/>
    </row>
    <row r="100" spans="2:6" ht="36" customHeight="1" x14ac:dyDescent="0.25">
      <c r="B100" s="73" t="s">
        <v>247</v>
      </c>
      <c r="C100" s="141" t="s">
        <v>226</v>
      </c>
      <c r="D100" s="141"/>
      <c r="E100" s="142"/>
      <c r="F100" s="128"/>
    </row>
    <row r="101" spans="2:6" ht="42" customHeight="1" x14ac:dyDescent="0.25">
      <c r="B101" s="73" t="s">
        <v>227</v>
      </c>
      <c r="C101" s="141" t="s">
        <v>228</v>
      </c>
      <c r="D101" s="141"/>
      <c r="E101" s="142"/>
      <c r="F101" s="128"/>
    </row>
    <row r="102" spans="2:6" ht="15" x14ac:dyDescent="0.25">
      <c r="B102" s="73" t="s">
        <v>229</v>
      </c>
      <c r="C102" s="141" t="s">
        <v>230</v>
      </c>
      <c r="D102" s="141"/>
      <c r="E102" s="142"/>
      <c r="F102" s="128"/>
    </row>
    <row r="103" spans="2:6" ht="12.75" customHeight="1" x14ac:dyDescent="0.25">
      <c r="B103" s="73" t="s">
        <v>260</v>
      </c>
      <c r="C103" s="141" t="s">
        <v>261</v>
      </c>
      <c r="D103" s="141"/>
      <c r="E103" s="142"/>
      <c r="F103" s="128"/>
    </row>
    <row r="104" spans="2:6" ht="15" x14ac:dyDescent="0.25">
      <c r="B104" s="73" t="s">
        <v>248</v>
      </c>
      <c r="C104" s="141" t="s">
        <v>262</v>
      </c>
      <c r="D104" s="141"/>
      <c r="E104" s="142"/>
      <c r="F104" s="128"/>
    </row>
    <row r="105" spans="2:6" ht="15" x14ac:dyDescent="0.25">
      <c r="B105" s="73" t="s">
        <v>257</v>
      </c>
      <c r="C105" s="137" t="s">
        <v>258</v>
      </c>
      <c r="D105" s="137"/>
      <c r="E105" s="138"/>
      <c r="F105" s="128"/>
    </row>
    <row r="106" spans="2:6" ht="21" customHeight="1" x14ac:dyDescent="0.25">
      <c r="B106" s="73" t="s">
        <v>249</v>
      </c>
      <c r="C106" s="141" t="s">
        <v>263</v>
      </c>
      <c r="D106" s="141"/>
      <c r="E106" s="142"/>
      <c r="F106" s="128"/>
    </row>
    <row r="107" spans="2:6" ht="15" x14ac:dyDescent="0.25">
      <c r="B107" s="73" t="s">
        <v>231</v>
      </c>
      <c r="C107" s="141" t="s">
        <v>232</v>
      </c>
      <c r="D107" s="141"/>
      <c r="E107" s="142"/>
      <c r="F107" s="128"/>
    </row>
    <row r="108" spans="2:6" ht="15" x14ac:dyDescent="0.25">
      <c r="B108" s="73" t="s">
        <v>233</v>
      </c>
      <c r="C108" s="141" t="s">
        <v>232</v>
      </c>
      <c r="D108" s="141"/>
      <c r="E108" s="142"/>
      <c r="F108" s="128"/>
    </row>
    <row r="109" spans="2:6" ht="15" x14ac:dyDescent="0.25">
      <c r="B109" s="73" t="s">
        <v>234</v>
      </c>
      <c r="C109" s="141" t="s">
        <v>271</v>
      </c>
      <c r="D109" s="141"/>
      <c r="E109" s="142"/>
      <c r="F109" s="128"/>
    </row>
    <row r="110" spans="2:6" ht="15" x14ac:dyDescent="0.25">
      <c r="B110" s="73" t="s">
        <v>236</v>
      </c>
      <c r="C110" s="141" t="s">
        <v>235</v>
      </c>
      <c r="D110" s="141"/>
      <c r="E110" s="142"/>
      <c r="F110" s="128"/>
    </row>
    <row r="111" spans="2:6" ht="15" x14ac:dyDescent="0.25">
      <c r="B111" s="77"/>
      <c r="C111" s="67"/>
      <c r="D111" s="67"/>
      <c r="E111" s="68"/>
      <c r="F111" s="128"/>
    </row>
    <row r="112" spans="2:6" ht="15" x14ac:dyDescent="0.25">
      <c r="B112" s="172" t="s">
        <v>53</v>
      </c>
      <c r="C112" s="173"/>
      <c r="D112" s="173"/>
      <c r="E112" s="174"/>
    </row>
    <row r="113" spans="2:9" ht="128.25" customHeight="1" x14ac:dyDescent="0.2">
      <c r="B113" s="175" t="s">
        <v>237</v>
      </c>
      <c r="C113" s="176"/>
      <c r="D113" s="176"/>
      <c r="E113" s="177"/>
    </row>
    <row r="114" spans="2:9" ht="16.5" hidden="1" customHeight="1" x14ac:dyDescent="0.2">
      <c r="B114" s="175"/>
      <c r="C114" s="176"/>
      <c r="D114" s="176"/>
      <c r="E114" s="177"/>
    </row>
    <row r="115" spans="2:9" ht="15" x14ac:dyDescent="0.25">
      <c r="B115" s="172" t="s">
        <v>54</v>
      </c>
      <c r="C115" s="173"/>
      <c r="D115" s="173"/>
      <c r="E115" s="174"/>
    </row>
    <row r="116" spans="2:9" ht="15" x14ac:dyDescent="0.25">
      <c r="B116" s="151" t="s">
        <v>238</v>
      </c>
      <c r="C116" s="152"/>
      <c r="D116" s="152"/>
      <c r="E116" s="153"/>
    </row>
    <row r="117" spans="2:9" ht="15" x14ac:dyDescent="0.25">
      <c r="B117" s="172" t="s">
        <v>55</v>
      </c>
      <c r="C117" s="173"/>
      <c r="D117" s="173"/>
      <c r="E117" s="174"/>
    </row>
    <row r="118" spans="2:9" ht="15" x14ac:dyDescent="0.25">
      <c r="B118" s="151" t="s">
        <v>61</v>
      </c>
      <c r="C118" s="152"/>
      <c r="D118" s="152"/>
      <c r="E118" s="153"/>
    </row>
    <row r="119" spans="2:9" ht="31.5" customHeight="1" x14ac:dyDescent="0.25">
      <c r="B119" s="172" t="s">
        <v>62</v>
      </c>
      <c r="C119" s="173"/>
      <c r="D119" s="173"/>
      <c r="E119" s="174"/>
      <c r="F119" s="140"/>
      <c r="G119" s="140"/>
      <c r="H119" s="140"/>
      <c r="I119" s="140"/>
    </row>
    <row r="120" spans="2:9" ht="15.75" thickBot="1" x14ac:dyDescent="0.3">
      <c r="B120" s="169" t="s">
        <v>70</v>
      </c>
      <c r="C120" s="170"/>
      <c r="D120" s="170"/>
      <c r="E120" s="171"/>
      <c r="F120" s="140"/>
      <c r="G120" s="140"/>
      <c r="H120" s="140"/>
      <c r="I120" s="140"/>
    </row>
    <row r="121" spans="2:9" x14ac:dyDescent="0.2">
      <c r="C121" s="9"/>
      <c r="D121" s="9"/>
      <c r="E121" s="9"/>
    </row>
  </sheetData>
  <mergeCells count="45">
    <mergeCell ref="C102:E102"/>
    <mergeCell ref="C104:E104"/>
    <mergeCell ref="C106:E106"/>
    <mergeCell ref="C107:E107"/>
    <mergeCell ref="C108:E108"/>
    <mergeCell ref="C103:E103"/>
    <mergeCell ref="B120:E120"/>
    <mergeCell ref="B112:E112"/>
    <mergeCell ref="B115:E115"/>
    <mergeCell ref="B117:E117"/>
    <mergeCell ref="B119:E119"/>
    <mergeCell ref="B116:E116"/>
    <mergeCell ref="B113:E114"/>
    <mergeCell ref="A2:I2"/>
    <mergeCell ref="B79:E79"/>
    <mergeCell ref="B118:E118"/>
    <mergeCell ref="A4:B4"/>
    <mergeCell ref="A5:B5"/>
    <mergeCell ref="C4:I4"/>
    <mergeCell ref="C5:I5"/>
    <mergeCell ref="C6:I6"/>
    <mergeCell ref="C7:I7"/>
    <mergeCell ref="A6:B6"/>
    <mergeCell ref="A7:B7"/>
    <mergeCell ref="C99:E99"/>
    <mergeCell ref="C100:E100"/>
    <mergeCell ref="C109:E109"/>
    <mergeCell ref="C110:E110"/>
    <mergeCell ref="C101:E101"/>
    <mergeCell ref="F119:I120"/>
    <mergeCell ref="C81:E81"/>
    <mergeCell ref="C82:E82"/>
    <mergeCell ref="C83:E83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2"/>
  <sheetViews>
    <sheetView workbookViewId="0">
      <selection activeCell="F85" sqref="F85"/>
    </sheetView>
  </sheetViews>
  <sheetFormatPr baseColWidth="10" defaultColWidth="9.140625" defaultRowHeight="12.75" x14ac:dyDescent="0.2"/>
  <cols>
    <col min="1" max="1" width="7.28515625" style="2" customWidth="1"/>
    <col min="2" max="2" width="18.28515625" style="2" customWidth="1"/>
    <col min="3" max="3" width="85.85546875" style="2" customWidth="1"/>
    <col min="4" max="4" width="9.140625" style="2" customWidth="1"/>
    <col min="5" max="5" width="11" style="2" customWidth="1"/>
    <col min="6" max="6" width="10.7109375" style="2" customWidth="1"/>
    <col min="7" max="7" width="9.140625" style="2" customWidth="1"/>
    <col min="8" max="8" width="9.28515625" style="2" customWidth="1"/>
    <col min="9" max="9" width="12" style="2" customWidth="1"/>
    <col min="10" max="10" width="14.7109375" style="2" customWidth="1"/>
    <col min="11" max="11" width="13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200" t="s">
        <v>14</v>
      </c>
      <c r="B1" s="200"/>
      <c r="C1" s="200"/>
      <c r="D1" s="200"/>
      <c r="E1" s="200"/>
      <c r="F1" s="200"/>
      <c r="G1" s="200"/>
      <c r="H1" s="71"/>
      <c r="I1" s="71"/>
    </row>
    <row r="2" spans="1:11" ht="18.75" customHeight="1" thickBot="1" x14ac:dyDescent="0.25">
      <c r="A2" s="3"/>
      <c r="B2" s="3"/>
      <c r="C2" s="3"/>
      <c r="D2" s="3"/>
      <c r="E2" s="3"/>
      <c r="F2" s="32" t="s">
        <v>15</v>
      </c>
      <c r="G2" s="28" t="s">
        <v>71</v>
      </c>
      <c r="H2" s="3"/>
      <c r="I2" s="3"/>
      <c r="J2" s="3"/>
      <c r="K2" s="3"/>
    </row>
    <row r="3" spans="1:11" ht="7.5" customHeight="1" thickBot="1" x14ac:dyDescent="0.25">
      <c r="A3" s="3"/>
      <c r="B3" s="3"/>
      <c r="C3" s="3"/>
      <c r="D3" s="3"/>
      <c r="E3" s="3"/>
      <c r="F3" s="48"/>
      <c r="G3" s="49"/>
      <c r="H3" s="3"/>
      <c r="I3" s="3"/>
      <c r="J3" s="3"/>
      <c r="K3" s="3"/>
    </row>
    <row r="4" spans="1:11" ht="18.75" customHeight="1" x14ac:dyDescent="0.2">
      <c r="A4" s="204" t="s">
        <v>48</v>
      </c>
      <c r="B4" s="205"/>
      <c r="C4" s="201" t="str">
        <f>'Necesidades Trimestrales'!C4</f>
        <v>12 -Ministerio de Gobierno, Justicia y Derechos Humanos.</v>
      </c>
      <c r="D4" s="202"/>
      <c r="E4" s="202"/>
      <c r="F4" s="202"/>
      <c r="G4" s="203"/>
      <c r="H4" s="34"/>
      <c r="I4" s="34"/>
      <c r="J4" s="34"/>
    </row>
    <row r="5" spans="1:11" ht="18.75" customHeight="1" x14ac:dyDescent="0.2">
      <c r="A5" s="198" t="s">
        <v>49</v>
      </c>
      <c r="B5" s="199"/>
      <c r="C5" s="178" t="str">
        <f>'Necesidades Trimestrales'!C5</f>
        <v>06 - Secretaria de Gestion Administrativa del Ministerio de Gobierno, Justicia y Derechos Humanos</v>
      </c>
      <c r="D5" s="179"/>
      <c r="E5" s="179"/>
      <c r="F5" s="179"/>
      <c r="G5" s="180"/>
      <c r="H5" s="34"/>
      <c r="I5" s="34"/>
      <c r="J5" s="34"/>
    </row>
    <row r="6" spans="1:11" ht="18.75" customHeight="1" x14ac:dyDescent="0.2">
      <c r="A6" s="198" t="s">
        <v>27</v>
      </c>
      <c r="B6" s="199"/>
      <c r="C6" s="178" t="s">
        <v>60</v>
      </c>
      <c r="D6" s="179"/>
      <c r="E6" s="179"/>
      <c r="F6" s="179"/>
      <c r="G6" s="180"/>
      <c r="H6" s="34"/>
      <c r="I6" s="34"/>
      <c r="J6" s="34"/>
    </row>
    <row r="7" spans="1:11" ht="32.25" customHeight="1" x14ac:dyDescent="0.2">
      <c r="A7" s="198" t="s">
        <v>50</v>
      </c>
      <c r="B7" s="199"/>
      <c r="C7" s="178" t="s">
        <v>66</v>
      </c>
      <c r="D7" s="179"/>
      <c r="E7" s="179"/>
      <c r="F7" s="179"/>
      <c r="G7" s="180"/>
      <c r="H7" s="34"/>
      <c r="I7" s="34"/>
      <c r="J7" s="34"/>
    </row>
    <row r="8" spans="1:11" ht="16.5" customHeight="1" x14ac:dyDescent="0.2">
      <c r="A8" s="198" t="s">
        <v>16</v>
      </c>
      <c r="B8" s="199"/>
      <c r="C8" s="178" t="s">
        <v>65</v>
      </c>
      <c r="D8" s="179"/>
      <c r="E8" s="179"/>
      <c r="F8" s="179"/>
      <c r="G8" s="180"/>
      <c r="H8" s="35"/>
      <c r="I8" s="35"/>
      <c r="J8" s="35"/>
    </row>
    <row r="9" spans="1:11" ht="27.75" customHeight="1" thickBot="1" x14ac:dyDescent="0.25">
      <c r="A9" s="181" t="s">
        <v>17</v>
      </c>
      <c r="B9" s="182"/>
      <c r="C9" s="188" t="s">
        <v>72</v>
      </c>
      <c r="D9" s="189"/>
      <c r="E9" s="189"/>
      <c r="F9" s="189"/>
      <c r="G9" s="190"/>
      <c r="H9" s="36"/>
      <c r="I9" s="36"/>
      <c r="J9" s="36"/>
    </row>
    <row r="10" spans="1:11" ht="16.5" customHeight="1" thickBot="1" x14ac:dyDescent="0.25">
      <c r="A10" s="50"/>
      <c r="B10" s="51"/>
      <c r="C10" s="52"/>
      <c r="D10" s="52"/>
      <c r="E10" s="33"/>
      <c r="F10" s="33"/>
      <c r="G10" s="53"/>
      <c r="H10" s="36"/>
      <c r="I10" s="36"/>
      <c r="J10" s="36"/>
    </row>
    <row r="11" spans="1:11" ht="18.75" customHeight="1" x14ac:dyDescent="0.2">
      <c r="A11" s="192" t="s">
        <v>18</v>
      </c>
      <c r="B11" s="194" t="s">
        <v>19</v>
      </c>
      <c r="C11" s="183" t="s">
        <v>20</v>
      </c>
      <c r="D11" s="196" t="s">
        <v>21</v>
      </c>
      <c r="E11" s="196" t="s">
        <v>22</v>
      </c>
      <c r="F11" s="196" t="s">
        <v>23</v>
      </c>
      <c r="G11" s="196" t="s">
        <v>24</v>
      </c>
    </row>
    <row r="12" spans="1:11" ht="24" customHeight="1" thickBot="1" x14ac:dyDescent="0.25">
      <c r="A12" s="193"/>
      <c r="B12" s="195"/>
      <c r="C12" s="184"/>
      <c r="D12" s="197"/>
      <c r="E12" s="197"/>
      <c r="F12" s="197"/>
      <c r="G12" s="197"/>
    </row>
    <row r="13" spans="1:11" ht="30" x14ac:dyDescent="0.2">
      <c r="A13" s="54">
        <v>1</v>
      </c>
      <c r="B13" s="56" t="str">
        <f>'Necesidades Trimestrales'!B10</f>
        <v>2.9.2-261.14</v>
      </c>
      <c r="C13" s="58" t="str">
        <f>'Necesidades Trimestrales'!E10</f>
        <v>ABROCHADORAS DE PAPEL; TIPO: PINZA, P/BROCHES: 10/50, MATERIAL: METALICA, MEDIDA: 10/50</v>
      </c>
      <c r="D13" s="60" t="s">
        <v>56</v>
      </c>
      <c r="E13" s="60" t="str">
        <f>'Necesidades Trimestrales'!F10</f>
        <v>UNIDAD</v>
      </c>
      <c r="F13" s="62">
        <f>'Necesidades Trimestrales'!H10</f>
        <v>2300</v>
      </c>
      <c r="G13" s="60">
        <f>'Necesidades Trimestrales'!G10</f>
        <v>28</v>
      </c>
    </row>
    <row r="14" spans="1:11" ht="30" x14ac:dyDescent="0.2">
      <c r="A14" s="55">
        <v>2</v>
      </c>
      <c r="B14" s="57" t="str">
        <f>'Necesidades Trimestrales'!B11</f>
        <v>2.9.2-261.9</v>
      </c>
      <c r="C14" s="59" t="str">
        <f>'Necesidades Trimestrales'!E11</f>
        <v>ABROCHADORAS DE PAPEL; P/BROCHES: 21/6 - 21/8, MATERIAL: METALICA, TIPO: DE ESCRITORIO, MEDIDA: 21/6 - 21/8</v>
      </c>
      <c r="D14" s="61" t="s">
        <v>56</v>
      </c>
      <c r="E14" s="61" t="str">
        <f>'Necesidades Trimestrales'!F11</f>
        <v>UNIDAD</v>
      </c>
      <c r="F14" s="63">
        <f>'Necesidades Trimestrales'!H11</f>
        <v>2600</v>
      </c>
      <c r="G14" s="61">
        <f>'Necesidades Trimestrales'!G11</f>
        <v>5</v>
      </c>
    </row>
    <row r="15" spans="1:11" ht="30" x14ac:dyDescent="0.2">
      <c r="A15" s="55">
        <v>3</v>
      </c>
      <c r="B15" s="57" t="str">
        <f>'Necesidades Trimestrales'!B12</f>
        <v>2.9.2-261.25</v>
      </c>
      <c r="C15" s="59" t="str">
        <f>'Necesidades Trimestrales'!E12</f>
        <v>ABROCHADORAS DE PAPEL; TIPO: PINZA, P/BROCHES: 24/6 - 24/8, MATERIAL:  
METAL,  MEDIDA: 24/6 - 24/8</v>
      </c>
      <c r="D15" s="61" t="s">
        <v>56</v>
      </c>
      <c r="E15" s="61" t="str">
        <f>'Necesidades Trimestrales'!F12</f>
        <v>UNIDAD</v>
      </c>
      <c r="F15" s="63">
        <f>'Necesidades Trimestrales'!H12</f>
        <v>3000</v>
      </c>
      <c r="G15" s="61">
        <f>'Necesidades Trimestrales'!G12</f>
        <v>1</v>
      </c>
    </row>
    <row r="16" spans="1:11" ht="30" x14ac:dyDescent="0.2">
      <c r="A16" s="55">
        <v>4</v>
      </c>
      <c r="B16" s="57" t="str">
        <f>'Necesidades Trimestrales'!B13</f>
        <v>2.9.2-261.10</v>
      </c>
      <c r="C16" s="59" t="str">
        <f>'Necesidades Trimestrales'!E13</f>
        <v>ABROCHADORAS DE PAPEL; TIPO: PINZA, P/BROCHES: 64/65, MATERIAL: METALICA, MEDIDA: 64/65</v>
      </c>
      <c r="D16" s="61" t="s">
        <v>56</v>
      </c>
      <c r="E16" s="61" t="str">
        <f>'Necesidades Trimestrales'!F13</f>
        <v>UNIDAD</v>
      </c>
      <c r="F16" s="63">
        <f>'Necesidades Trimestrales'!H13</f>
        <v>1500</v>
      </c>
      <c r="G16" s="61">
        <f>'Necesidades Trimestrales'!G13</f>
        <v>3</v>
      </c>
    </row>
    <row r="17" spans="1:7" ht="15" x14ac:dyDescent="0.2">
      <c r="A17" s="54">
        <v>5</v>
      </c>
      <c r="B17" s="57" t="str">
        <f>'Necesidades Trimestrales'!B14</f>
        <v>2.9.2-291.19</v>
      </c>
      <c r="C17" s="59" t="str">
        <f>'Necesidades Trimestrales'!E14</f>
        <v>ALMOHADILLAS P/SELLOS; MEDIDA: 8 X 15 Cm, MATERIAL: METAL</v>
      </c>
      <c r="D17" s="61" t="s">
        <v>56</v>
      </c>
      <c r="E17" s="70" t="str">
        <f>'Necesidades Trimestrales'!F14</f>
        <v>UNIDAD</v>
      </c>
      <c r="F17" s="63">
        <f>'Necesidades Trimestrales'!H14</f>
        <v>800</v>
      </c>
      <c r="G17" s="61">
        <f>'Necesidades Trimestrales'!G14</f>
        <v>17</v>
      </c>
    </row>
    <row r="18" spans="1:7" ht="30" x14ac:dyDescent="0.2">
      <c r="A18" s="55">
        <v>6</v>
      </c>
      <c r="B18" s="57" t="str">
        <f>'Necesidades Trimestrales'!B15</f>
        <v>2.3.1-928.8</v>
      </c>
      <c r="C18" s="59" t="str">
        <f>'Necesidades Trimestrales'!E15</f>
        <v>ARANDELAS DE CARTON; DIAMETRO: 1 pulg, PRESENTACION: CAJA X 500 
UNIDADES</v>
      </c>
      <c r="D18" s="61" t="s">
        <v>56</v>
      </c>
      <c r="E18" s="70" t="str">
        <f>'Necesidades Trimestrales'!F15</f>
        <v>CAJAS</v>
      </c>
      <c r="F18" s="63">
        <f>'Necesidades Trimestrales'!H15</f>
        <v>300</v>
      </c>
      <c r="G18" s="61">
        <f>'Necesidades Trimestrales'!G15</f>
        <v>3</v>
      </c>
    </row>
    <row r="19" spans="1:7" ht="30" x14ac:dyDescent="0.2">
      <c r="A19" s="55">
        <v>7</v>
      </c>
      <c r="B19" s="57" t="str">
        <f>'Necesidades Trimestrales'!B16</f>
        <v>2.9.2-1428.31</v>
      </c>
      <c r="C19" s="59" t="str">
        <f>'Necesidades Trimestrales'!E16</f>
        <v>BANDAS ELASTICAS; DIAMETRO: 5 Cm, PRESENTACION: CAJA DE 1 Kg, 
ESPESOR: 2 mm</v>
      </c>
      <c r="D19" s="61" t="s">
        <v>56</v>
      </c>
      <c r="E19" s="61" t="str">
        <f>'Necesidades Trimestrales'!F16</f>
        <v>CAJAS</v>
      </c>
      <c r="F19" s="63">
        <f>'Necesidades Trimestrales'!H16</f>
        <v>1000</v>
      </c>
      <c r="G19" s="61">
        <f>'Necesidades Trimestrales'!G16</f>
        <v>3</v>
      </c>
    </row>
    <row r="20" spans="1:7" ht="15" x14ac:dyDescent="0.2">
      <c r="A20" s="55">
        <v>8</v>
      </c>
      <c r="B20" s="57" t="str">
        <f>'Necesidades Trimestrales'!B17</f>
        <v>2.9.2-274.3</v>
      </c>
      <c r="C20" s="59" t="str">
        <f>'Necesidades Trimestrales'!E17</f>
        <v>BIBLIORATOS; ANCHO 80mm - ANILLO 2 Y PALANCA - TAMAÑO OFICIO - MATERIAL CARTON</v>
      </c>
      <c r="D20" s="61" t="s">
        <v>56</v>
      </c>
      <c r="E20" s="61" t="str">
        <f>'Necesidades Trimestrales'!F17</f>
        <v>UNIDAD</v>
      </c>
      <c r="F20" s="63">
        <f>'Necesidades Trimestrales'!H17</f>
        <v>400</v>
      </c>
      <c r="G20" s="61">
        <f>'Necesidades Trimestrales'!G17</f>
        <v>180</v>
      </c>
    </row>
    <row r="21" spans="1:7" ht="15" x14ac:dyDescent="0.2">
      <c r="A21" s="54">
        <v>9</v>
      </c>
      <c r="B21" s="57" t="str">
        <f>'Necesidades Trimestrales'!B18</f>
        <v>2.9.2-274.60</v>
      </c>
      <c r="C21" s="59" t="str">
        <f>'Necesidades Trimestrales'!E18</f>
        <v>BIBLIORATOS; ANCHO: 80 mm, ANILLO: 2, TAMAÑO: A4, MATERIAL: CARTON</v>
      </c>
      <c r="D21" s="61" t="s">
        <v>56</v>
      </c>
      <c r="E21" s="61" t="str">
        <f>'Necesidades Trimestrales'!F18</f>
        <v>UNIDAD</v>
      </c>
      <c r="F21" s="63">
        <f>'Necesidades Trimestrales'!H18</f>
        <v>350</v>
      </c>
      <c r="G21" s="61">
        <f>'Necesidades Trimestrales'!G18</f>
        <v>5</v>
      </c>
    </row>
    <row r="22" spans="1:7" ht="30" x14ac:dyDescent="0.2">
      <c r="A22" s="55">
        <v>10</v>
      </c>
      <c r="B22" s="57" t="str">
        <f>'Necesidades Trimestrales'!B19</f>
        <v>2.9.2-262.40</v>
      </c>
      <c r="C22" s="59" t="str">
        <f>'Necesidades Trimestrales'!E19</f>
        <v>ADHESIVOS P/PAPEL; PRESENTACION: 50 mL, TIPO: SINTETICO TRANS-
PARENTE</v>
      </c>
      <c r="D22" s="61" t="s">
        <v>56</v>
      </c>
      <c r="E22" s="61" t="str">
        <f>'Necesidades Trimestrales'!F19</f>
        <v>UNIDAD</v>
      </c>
      <c r="F22" s="63">
        <f>'Necesidades Trimestrales'!H19</f>
        <v>150</v>
      </c>
      <c r="G22" s="61">
        <f>'Necesidades Trimestrales'!G19</f>
        <v>110</v>
      </c>
    </row>
    <row r="23" spans="1:7" ht="30" x14ac:dyDescent="0.2">
      <c r="A23" s="55">
        <v>11</v>
      </c>
      <c r="B23" s="57" t="str">
        <f>'Necesidades Trimestrales'!B20</f>
        <v>2.9.2-700.28</v>
      </c>
      <c r="C23" s="59" t="str">
        <f>'Necesidades Trimestrales'!E20</f>
        <v>BROCHES P/ABROCHADORA; NUMERO: 10/50, PRESENTACION: CAJA X 1000 
UNIDADES</v>
      </c>
      <c r="D23" s="61" t="s">
        <v>56</v>
      </c>
      <c r="E23" s="61" t="str">
        <f>'Necesidades Trimestrales'!F20</f>
        <v>CAJAS</v>
      </c>
      <c r="F23" s="63">
        <f>'Necesidades Trimestrales'!H20</f>
        <v>110</v>
      </c>
      <c r="G23" s="61">
        <f>'Necesidades Trimestrales'!G20</f>
        <v>150</v>
      </c>
    </row>
    <row r="24" spans="1:7" ht="30" x14ac:dyDescent="0.2">
      <c r="A24" s="55">
        <v>12</v>
      </c>
      <c r="B24" s="57" t="str">
        <f>'Necesidades Trimestrales'!B21</f>
        <v>2.9.2-700.2</v>
      </c>
      <c r="C24" s="59" t="str">
        <f>'Necesidades Trimestrales'!E21</f>
        <v>BROCHES P/ABROCHADORA; NUMERO: 21/6, PRESENTACION: CAJA X 1000 
UNIDADES</v>
      </c>
      <c r="D24" s="61" t="s">
        <v>56</v>
      </c>
      <c r="E24" s="61" t="str">
        <f>'Necesidades Trimestrales'!F21</f>
        <v>CAJAS</v>
      </c>
      <c r="F24" s="63">
        <f>'Necesidades Trimestrales'!H21</f>
        <v>130</v>
      </c>
      <c r="G24" s="61">
        <f>'Necesidades Trimestrales'!G21</f>
        <v>10</v>
      </c>
    </row>
    <row r="25" spans="1:7" ht="30" x14ac:dyDescent="0.2">
      <c r="A25" s="54">
        <v>13</v>
      </c>
      <c r="B25" s="57" t="str">
        <f>'Necesidades Trimestrales'!B22</f>
        <v>2.9.2-700.29</v>
      </c>
      <c r="C25" s="59" t="str">
        <f>'Necesidades Trimestrales'!E22</f>
        <v>BROCHES P/ABROCHADORA; NUMERO: 24/6, PRESENTACION: CAJA X 1000 
UNIDADES</v>
      </c>
      <c r="D25" s="61" t="s">
        <v>56</v>
      </c>
      <c r="E25" s="61" t="str">
        <f>'Necesidades Trimestrales'!F22</f>
        <v>CAJAS</v>
      </c>
      <c r="F25" s="63">
        <f>'Necesidades Trimestrales'!H22</f>
        <v>150</v>
      </c>
      <c r="G25" s="61">
        <f>'Necesidades Trimestrales'!G22</f>
        <v>2</v>
      </c>
    </row>
    <row r="26" spans="1:7" ht="30" x14ac:dyDescent="0.2">
      <c r="A26" s="55">
        <v>14</v>
      </c>
      <c r="B26" s="57" t="str">
        <f>'Necesidades Trimestrales'!B23</f>
        <v>2.9.2-700.22</v>
      </c>
      <c r="C26" s="59" t="str">
        <f>'Necesidades Trimestrales'!E23</f>
        <v>BROCHES P/ABROCHADORA; NUMERO: 65, PRESENTACION: CAJA X 1000 
UNIDADES</v>
      </c>
      <c r="D26" s="61" t="s">
        <v>56</v>
      </c>
      <c r="E26" s="61" t="str">
        <f>'Necesidades Trimestrales'!F23</f>
        <v>CAJAS</v>
      </c>
      <c r="F26" s="63">
        <f>'Necesidades Trimestrales'!H23</f>
        <v>130</v>
      </c>
      <c r="G26" s="61">
        <f>'Necesidades Trimestrales'!G23</f>
        <v>2</v>
      </c>
    </row>
    <row r="27" spans="1:7" ht="15" x14ac:dyDescent="0.2">
      <c r="A27" s="55">
        <v>15</v>
      </c>
      <c r="B27" s="57" t="str">
        <f>'Necesidades Trimestrales'!B24</f>
        <v>2.9.2-850.206</v>
      </c>
      <c r="C27" s="59" t="str">
        <f>'Necesidades Trimestrales'!E24</f>
        <v>CAJAS DE ARCHIVO; MATERIAL: PLASTICO CORRUGADO, DIMENSION: 39 X 28 X 12Cm</v>
      </c>
      <c r="D27" s="61" t="s">
        <v>56</v>
      </c>
      <c r="E27" s="69" t="str">
        <f>'Necesidades Trimestrales'!F24</f>
        <v xml:space="preserve">UNIDAD </v>
      </c>
      <c r="F27" s="63">
        <f>'Necesidades Trimestrales'!H24</f>
        <v>400</v>
      </c>
      <c r="G27" s="61">
        <f>'Necesidades Trimestrales'!G24</f>
        <v>50</v>
      </c>
    </row>
    <row r="28" spans="1:7" ht="45" x14ac:dyDescent="0.2">
      <c r="A28" s="55">
        <v>16</v>
      </c>
      <c r="B28" s="57" t="str">
        <f>'Necesidades Trimestrales'!B25</f>
        <v>2.9.2-1510.15</v>
      </c>
      <c r="C28" s="59" t="str">
        <f>'Necesidades Trimestrales'!E25</f>
        <v>CARPETAS COLGANTES; TIPO: INTERIOR, MATERIAL: CARTULINA, TAMAÑO: OFICIO, SUJECION: GANCHOS EN 4 PUNTAS, VISOR: TRANSPARENTE, COLOR: MARRON, PRESENTACION: CAJA X 50 UN</v>
      </c>
      <c r="D28" s="61" t="s">
        <v>56</v>
      </c>
      <c r="E28" s="61" t="str">
        <f>'Necesidades Trimestrales'!F25</f>
        <v>CAJAS</v>
      </c>
      <c r="F28" s="63">
        <f>'Necesidades Trimestrales'!H25</f>
        <v>6000</v>
      </c>
      <c r="G28" s="61">
        <f>'Necesidades Trimestrales'!G25</f>
        <v>14</v>
      </c>
    </row>
    <row r="29" spans="1:7" ht="30" x14ac:dyDescent="0.2">
      <c r="A29" s="54">
        <v>17</v>
      </c>
      <c r="B29" s="57" t="str">
        <f>'Necesidades Trimestrales'!B26</f>
        <v>2.3.4-734.54</v>
      </c>
      <c r="C29" s="59" t="str">
        <f>'Necesidades Trimestrales'!E26</f>
        <v>CINTAS P/EMBALAJE; MATERIAL: POLIPROPILENO, USO: GENERAL, ANCHO: 48 Cm, LARGO: 50 M, COLOR: TRANSPARENTE</v>
      </c>
      <c r="D29" s="61" t="s">
        <v>56</v>
      </c>
      <c r="E29" s="61" t="str">
        <f>'Necesidades Trimestrales'!F26</f>
        <v xml:space="preserve">UNIDAD </v>
      </c>
      <c r="F29" s="63">
        <f>'Necesidades Trimestrales'!H26</f>
        <v>250</v>
      </c>
      <c r="G29" s="61">
        <f>'Necesidades Trimestrales'!G26</f>
        <v>60</v>
      </c>
    </row>
    <row r="30" spans="1:7" ht="30" x14ac:dyDescent="0.2">
      <c r="A30" s="55">
        <v>18</v>
      </c>
      <c r="B30" s="57" t="str">
        <f>'Necesidades Trimestrales'!B27</f>
        <v>2.3.4-734.2</v>
      </c>
      <c r="C30" s="59" t="str">
        <f>'Necesidades Trimestrales'!E27</f>
        <v>CINTAS P/EMBALAJE; MATERIAL: PAPEL, LARGO: 50 M, ANCHO: 18 mm, USO: GENERAL, COLOR: BLANCO</v>
      </c>
      <c r="D30" s="61" t="s">
        <v>56</v>
      </c>
      <c r="E30" s="61" t="str">
        <f>'Necesidades Trimestrales'!F27</f>
        <v xml:space="preserve">UNIDAD </v>
      </c>
      <c r="F30" s="63">
        <f>'Necesidades Trimestrales'!H27</f>
        <v>200</v>
      </c>
      <c r="G30" s="61">
        <f>'Necesidades Trimestrales'!G27</f>
        <v>15</v>
      </c>
    </row>
    <row r="31" spans="1:7" ht="15" x14ac:dyDescent="0.2">
      <c r="A31" s="55">
        <v>19</v>
      </c>
      <c r="B31" s="57" t="str">
        <f>'Necesidades Trimestrales'!B28</f>
        <v>2.3.4-734.69</v>
      </c>
      <c r="C31" s="59" t="str">
        <f>'Necesidades Trimestrales'!E28</f>
        <v>CINTAS P/EMBALAJE; MATERIAL: PAPEL, USO: GENERAL, ANCHO: 50 mm, LARGO: 150 M</v>
      </c>
      <c r="D31" s="61" t="s">
        <v>56</v>
      </c>
      <c r="E31" s="61" t="str">
        <f>'Necesidades Trimestrales'!F28</f>
        <v xml:space="preserve">UNIDAD </v>
      </c>
      <c r="F31" s="63">
        <f>'Necesidades Trimestrales'!H28</f>
        <v>200</v>
      </c>
      <c r="G31" s="61">
        <f>'Necesidades Trimestrales'!G28</f>
        <v>2</v>
      </c>
    </row>
    <row r="32" spans="1:7" ht="30" x14ac:dyDescent="0.2">
      <c r="A32" s="55">
        <v>20</v>
      </c>
      <c r="B32" s="57" t="str">
        <f>'Necesidades Trimestrales'!B29</f>
        <v>2.9.2-1153.52</v>
      </c>
      <c r="C32" s="59" t="str">
        <f>'Necesidades Trimestrales'!E29</f>
        <v>CINTAS ADHESIVAS; TIPO: TRANSPARENTE, ANCHO: 12 mm, LARGO ROLLO: 25 M, MATERIAL: POLIPROPILENO, ACCESORIO: SIN, LARGO: 25 M</v>
      </c>
      <c r="D32" s="61" t="s">
        <v>56</v>
      </c>
      <c r="E32" s="61" t="str">
        <f>'Necesidades Trimestrales'!F29</f>
        <v xml:space="preserve">UNIDAD </v>
      </c>
      <c r="F32" s="63">
        <f>'Necesidades Trimestrales'!H29</f>
        <v>125</v>
      </c>
      <c r="G32" s="61">
        <f>'Necesidades Trimestrales'!G29</f>
        <v>30</v>
      </c>
    </row>
    <row r="33" spans="1:7" ht="45" x14ac:dyDescent="0.2">
      <c r="A33" s="54">
        <v>21</v>
      </c>
      <c r="B33" s="57" t="str">
        <f>'Necesidades Trimestrales'!B30</f>
        <v>2.3.1-6563.882</v>
      </c>
      <c r="C33" s="59" t="str">
        <f>'Necesidades Trimestrales'!E30</f>
        <v>PAPELES EN HOJA; TIPO DE PAPEL: CARTULINA, DIMENSION: 45 X 63 Cm, GRAMAJE: 115/125 GR/M2, PRESENTACION: UNIDAD, CERTIFICADO FORESTAL (GFS): SIN, PORC. FIBRAS RECICLADAS: SIN, CERT. FIBRA ALTERNATIVA (FCA): SIN</v>
      </c>
      <c r="D33" s="61" t="s">
        <v>56</v>
      </c>
      <c r="E33" s="61" t="str">
        <f>'Necesidades Trimestrales'!F30</f>
        <v xml:space="preserve">UNIDAD </v>
      </c>
      <c r="F33" s="63">
        <f>'Necesidades Trimestrales'!H30</f>
        <v>30</v>
      </c>
      <c r="G33" s="61">
        <f>'Necesidades Trimestrales'!G30</f>
        <v>60</v>
      </c>
    </row>
    <row r="34" spans="1:7" ht="30" x14ac:dyDescent="0.2">
      <c r="A34" s="55">
        <v>22</v>
      </c>
      <c r="B34" s="57" t="str">
        <f>'Necesidades Trimestrales'!B31</f>
        <v>2.9.2-323.3</v>
      </c>
      <c r="C34" s="59" t="str">
        <f>'Necesidades Trimestrales'!E31</f>
        <v>CORRECTORES DE ESCRITURA; ENVASE: LAPIZ (PUNTA METAL), PRESENTACION: LAPIZ (PUNTA METAL) X 10 mL, CAPACIDAD: 10 mL</v>
      </c>
      <c r="D34" s="61" t="s">
        <v>56</v>
      </c>
      <c r="E34" s="61" t="str">
        <f>'Necesidades Trimestrales'!F31</f>
        <v xml:space="preserve">UNIDAD </v>
      </c>
      <c r="F34" s="63">
        <f>'Necesidades Trimestrales'!H31</f>
        <v>80</v>
      </c>
      <c r="G34" s="61">
        <f>'Necesidades Trimestrales'!G31</f>
        <v>140</v>
      </c>
    </row>
    <row r="35" spans="1:7" ht="15" x14ac:dyDescent="0.2">
      <c r="A35" s="55">
        <v>23</v>
      </c>
      <c r="B35" s="57" t="str">
        <f>'Necesidades Trimestrales'!B32</f>
        <v>2.9.2-660.20</v>
      </c>
      <c r="C35" s="59" t="str">
        <f>'Necesidades Trimestrales'!E32</f>
        <v>CLIPS P/PAPEL; NUMERO: 6, MATERIAL: METAL, CANT. X CAJA: 100, PRESENTACION: CAJA X 100</v>
      </c>
      <c r="D35" s="61" t="s">
        <v>56</v>
      </c>
      <c r="E35" s="61" t="str">
        <f>'Necesidades Trimestrales'!F32</f>
        <v xml:space="preserve">UNIDAD </v>
      </c>
      <c r="F35" s="63">
        <f>'Necesidades Trimestrales'!H32</f>
        <v>100</v>
      </c>
      <c r="G35" s="61">
        <f>'Necesidades Trimestrales'!G32</f>
        <v>50</v>
      </c>
    </row>
    <row r="36" spans="1:7" ht="15" x14ac:dyDescent="0.2">
      <c r="A36" s="55">
        <v>24</v>
      </c>
      <c r="B36" s="57" t="str">
        <f>'Necesidades Trimestrales'!B33</f>
        <v>2.9.2-660.1</v>
      </c>
      <c r="C36" s="59" t="str">
        <f>'Necesidades Trimestrales'!E33</f>
        <v>CLIPS P/PAPEL; NUMERO: 3, MATERIAL: METAL, CANT. X CAJA: 100, PRESENTACION: CAJA X 100</v>
      </c>
      <c r="D36" s="61" t="s">
        <v>56</v>
      </c>
      <c r="E36" s="61" t="str">
        <f>'Necesidades Trimestrales'!F33</f>
        <v xml:space="preserve">UNIDAD </v>
      </c>
      <c r="F36" s="63">
        <f>'Necesidades Trimestrales'!H33</f>
        <v>100</v>
      </c>
      <c r="G36" s="61">
        <f>'Necesidades Trimestrales'!G33</f>
        <v>20</v>
      </c>
    </row>
    <row r="37" spans="1:7" ht="45" x14ac:dyDescent="0.2">
      <c r="A37" s="54">
        <v>25</v>
      </c>
      <c r="B37" s="57" t="str">
        <f>'Necesidades Trimestrales'!B34</f>
        <v>2.3.1-6587.333</v>
      </c>
      <c r="C37" s="59" t="str">
        <f>'Necesidades Trimestrales'!E34</f>
        <v>PAPELES ENCUADERNADOS; CANT. DE HOJAS: 84 HOJAS, TAMAÑO: 21 X 29,7 Cm, TIPO: RAYADO ESPIRALADO, CERTIFICADO FORESTAL (GFS): CON, PORC. FIBRAS RECICLADAS: 0 %, CERT. FIBRA ALTERNATIVA (FCA): SIN</v>
      </c>
      <c r="D37" s="61" t="s">
        <v>56</v>
      </c>
      <c r="E37" s="61" t="str">
        <f>'Necesidades Trimestrales'!F34</f>
        <v>UNIDAD</v>
      </c>
      <c r="F37" s="63">
        <f>'Necesidades Trimestrales'!H34</f>
        <v>800</v>
      </c>
      <c r="G37" s="61">
        <f>'Necesidades Trimestrales'!G34</f>
        <v>10</v>
      </c>
    </row>
    <row r="38" spans="1:7" ht="45" x14ac:dyDescent="0.2">
      <c r="A38" s="55">
        <v>26</v>
      </c>
      <c r="B38" s="57" t="str">
        <f>'Necesidades Trimestrales'!B35</f>
        <v>2.3.1-6587.298</v>
      </c>
      <c r="C38" s="59" t="str">
        <f>'Necesidades Trimestrales'!E35</f>
        <v>PAPELES ENCUADERNADOS; CANT. DE HOJAS: 100, TAMAÑO: 21 X 16 Cm, TIPO: CUADERNO, CERTIFICADO FORESTAL (GFS): CON, PORC. FIBRAS RECICLADAS: 0 %,CERT. FIBRA ALTERNATIVA (FCA): SIN</v>
      </c>
      <c r="D38" s="61" t="s">
        <v>56</v>
      </c>
      <c r="E38" s="61" t="str">
        <f>'Necesidades Trimestrales'!F35</f>
        <v>UNIDAD</v>
      </c>
      <c r="F38" s="63">
        <f>'Necesidades Trimestrales'!H35</f>
        <v>600</v>
      </c>
      <c r="G38" s="61">
        <f>'Necesidades Trimestrales'!G35</f>
        <v>21</v>
      </c>
    </row>
    <row r="39" spans="1:7" ht="45" x14ac:dyDescent="0.2">
      <c r="A39" s="55">
        <v>27</v>
      </c>
      <c r="B39" s="57" t="str">
        <f>'Necesidades Trimestrales'!B36</f>
        <v>2.3.1-6587.291</v>
      </c>
      <c r="C39" s="59" t="str">
        <f>'Necesidades Trimestrales'!E36</f>
        <v>PAPELES ENCUADERNADOS; CANT. DE HOJAS: 120 HOJAS, TAMAÑO: 16 X 21 Cm, TIPO: RAYADO ESPIRALADO, CERTIFICADO FORESTAL (GFS): SIN, PORC. FIBRAS RECICLADAS: SIN VALOR %, CERT. FIBRA ALTERNATIVA (FCA): SIN</v>
      </c>
      <c r="D39" s="61" t="s">
        <v>56</v>
      </c>
      <c r="E39" s="61" t="str">
        <f>'Necesidades Trimestrales'!F36</f>
        <v>UNIDAD</v>
      </c>
      <c r="F39" s="63">
        <f>'Necesidades Trimestrales'!H36</f>
        <v>950</v>
      </c>
      <c r="G39" s="61">
        <f>'Necesidades Trimestrales'!G36</f>
        <v>7</v>
      </c>
    </row>
    <row r="40" spans="1:7" ht="45" x14ac:dyDescent="0.2">
      <c r="A40" s="55">
        <v>28</v>
      </c>
      <c r="B40" s="57" t="str">
        <f>'Necesidades Trimestrales'!B37</f>
        <v>2.3.1-6563.1009</v>
      </c>
      <c r="C40" s="59" t="str">
        <f>'Necesidades Trimestrales'!E37</f>
        <v>PAPELES EN HOJA; TIPO DE PAPEL: BLANCO, DIMENSION: OFICIO, GRAMAJE: 80 GR, PRESENTACION: ENVASE X 500 HOJAS, CERTIFICADO FORESTAL (GFS): SIN, PORC. FIBRAS RECICLADAS: 0 %, CERT. FIBRA ALTERNATIVA (FCA): SIN</v>
      </c>
      <c r="D40" s="61" t="s">
        <v>56</v>
      </c>
      <c r="E40" s="61" t="str">
        <f>'Necesidades Trimestrales'!F37</f>
        <v>UNIDAD</v>
      </c>
      <c r="F40" s="63">
        <f>'Necesidades Trimestrales'!H37</f>
        <v>1100</v>
      </c>
      <c r="G40" s="61">
        <f>'Necesidades Trimestrales'!G37</f>
        <v>366</v>
      </c>
    </row>
    <row r="41" spans="1:7" ht="45" x14ac:dyDescent="0.2">
      <c r="A41" s="54">
        <v>29</v>
      </c>
      <c r="B41" s="57" t="str">
        <f>'Necesidades Trimestrales'!B38</f>
        <v>2.3.1-6563.968</v>
      </c>
      <c r="C41" s="59" t="str">
        <f>'Necesidades Trimestrales'!E38</f>
        <v>PAPELES EN HOJA; TIPO DE PAPEL: EXTRA BLANCO, DIMENSION: A4, GRAMAJE: 80 GR, PRESENTACION: RESMA X 500 HOJAS, CERTIFICADO FORESTAL (GFS): SIN, PORC. FIBRAS RECICLADAS: 0 %, CERT. FIBRA ALTERNATIVA (FCA): CON</v>
      </c>
      <c r="D41" s="61" t="s">
        <v>56</v>
      </c>
      <c r="E41" s="61" t="str">
        <f>'Necesidades Trimestrales'!F38</f>
        <v>UNIDAD</v>
      </c>
      <c r="F41" s="63">
        <f>'Necesidades Trimestrales'!H38</f>
        <v>900</v>
      </c>
      <c r="G41" s="61">
        <f>'Necesidades Trimestrales'!G38</f>
        <v>466</v>
      </c>
    </row>
    <row r="42" spans="1:7" ht="15" x14ac:dyDescent="0.2">
      <c r="A42" s="55">
        <v>30</v>
      </c>
      <c r="B42" s="57" t="str">
        <f>'Necesidades Trimestrales'!B39</f>
        <v>2.9.2-1358.354</v>
      </c>
      <c r="C42" s="59" t="str">
        <f>'Necesidades Trimestrales'!E39</f>
        <v>CARPETAS; MATERIAL PLASTICO - TAMAÑO OFICIO.</v>
      </c>
      <c r="D42" s="61" t="s">
        <v>56</v>
      </c>
      <c r="E42" s="61" t="str">
        <f>'Necesidades Trimestrales'!F39</f>
        <v>UNIDAD</v>
      </c>
      <c r="F42" s="63">
        <f>'Necesidades Trimestrales'!H39</f>
        <v>80</v>
      </c>
      <c r="G42" s="61">
        <f>'Necesidades Trimestrales'!G39</f>
        <v>50</v>
      </c>
    </row>
    <row r="43" spans="1:7" ht="15" x14ac:dyDescent="0.2">
      <c r="A43" s="55">
        <v>31</v>
      </c>
      <c r="B43" s="57" t="str">
        <f>'Necesidades Trimestrales'!B40</f>
        <v>2.9.2-1358.353</v>
      </c>
      <c r="C43" s="59" t="str">
        <f>'Necesidades Trimestrales'!E40</f>
        <v>CARPETAS; MATERIAL PLASTICO - TAMAÑO A4.</v>
      </c>
      <c r="D43" s="61" t="s">
        <v>56</v>
      </c>
      <c r="E43" s="61" t="str">
        <f>'Necesidades Trimestrales'!F40</f>
        <v>UNIDAD</v>
      </c>
      <c r="F43" s="63">
        <f>'Necesidades Trimestrales'!H40</f>
        <v>70</v>
      </c>
      <c r="G43" s="61">
        <f>'Necesidades Trimestrales'!G40</f>
        <v>10</v>
      </c>
    </row>
    <row r="44" spans="1:7" ht="15" x14ac:dyDescent="0.2">
      <c r="A44" s="55">
        <v>32</v>
      </c>
      <c r="B44" s="57" t="str">
        <f>'Necesidades Trimestrales'!B41</f>
        <v>2.9.2-866.4</v>
      </c>
      <c r="C44" s="59" t="str">
        <f>'Necesidades Trimestrales'!E41</f>
        <v>MAQUINAS SACABROCHES; EXTRACTOR: ACERO INOXIDABLE, MATERIAL: PLASTICO</v>
      </c>
      <c r="D44" s="61" t="s">
        <v>56</v>
      </c>
      <c r="E44" s="61" t="str">
        <f>'Necesidades Trimestrales'!F41</f>
        <v>UNIDAD</v>
      </c>
      <c r="F44" s="63">
        <f>'Necesidades Trimestrales'!H41</f>
        <v>80</v>
      </c>
      <c r="G44" s="61">
        <f>'Necesidades Trimestrales'!G41</f>
        <v>27</v>
      </c>
    </row>
    <row r="45" spans="1:7" ht="30" x14ac:dyDescent="0.2">
      <c r="A45" s="54">
        <v>33</v>
      </c>
      <c r="B45" s="57" t="str">
        <f>'Necesidades Trimestrales'!B42</f>
        <v>2.9.2-758.8</v>
      </c>
      <c r="C45" s="59" t="str">
        <f>'Necesidades Trimestrales'!E42</f>
        <v>TIJERAS P/CORTAR PAPELES; CUCHILLA: PUNTIAGUDAS, MATERIAL: ACERO BRUÑIDO, MANGO: PLASTICO, LONG.DE CUERPO: 17 Cm</v>
      </c>
      <c r="D45" s="61" t="s">
        <v>56</v>
      </c>
      <c r="E45" s="61" t="str">
        <f>'Necesidades Trimestrales'!F42</f>
        <v>UNIDAD</v>
      </c>
      <c r="F45" s="63">
        <f>'Necesidades Trimestrales'!H42</f>
        <v>250</v>
      </c>
      <c r="G45" s="61">
        <f>'Necesidades Trimestrales'!G42</f>
        <v>25</v>
      </c>
    </row>
    <row r="46" spans="1:7" ht="15" x14ac:dyDescent="0.2">
      <c r="A46" s="55">
        <v>34</v>
      </c>
      <c r="B46" s="57" t="str">
        <f>'Necesidades Trimestrales'!B43</f>
        <v>2.9.2-1611.22</v>
      </c>
      <c r="C46" s="59" t="str">
        <f>'Necesidades Trimestrales'!E43</f>
        <v>FOLIOS TRANSPARENTES; TAMAÑO: OFICIO, PERFORACIONES: 11, MATERIAL: POLIPROPILENO</v>
      </c>
      <c r="D46" s="61" t="s">
        <v>56</v>
      </c>
      <c r="E46" s="61" t="str">
        <f>'Necesidades Trimestrales'!F43</f>
        <v>UNIDAD</v>
      </c>
      <c r="F46" s="63">
        <f>'Necesidades Trimestrales'!H43</f>
        <v>15</v>
      </c>
      <c r="G46" s="61">
        <f>'Necesidades Trimestrales'!G43</f>
        <v>800</v>
      </c>
    </row>
    <row r="47" spans="1:7" ht="30" x14ac:dyDescent="0.2">
      <c r="A47" s="55">
        <v>35</v>
      </c>
      <c r="B47" s="57" t="str">
        <f>'Necesidades Trimestrales'!B44</f>
        <v>2.9.2-1611.23</v>
      </c>
      <c r="C47" s="59" t="str">
        <f>'Necesidades Trimestrales'!E44</f>
        <v>FOLIOS TRANSPARENTES; TAMAÑO: A4, PERFORACIONES: 11, MATERIAL: 
POLIPROPILENO</v>
      </c>
      <c r="D47" s="61" t="s">
        <v>56</v>
      </c>
      <c r="E47" s="61" t="str">
        <f>'Necesidades Trimestrales'!F44</f>
        <v>UNIDAD</v>
      </c>
      <c r="F47" s="63">
        <f>'Necesidades Trimestrales'!H44</f>
        <v>15</v>
      </c>
      <c r="G47" s="61">
        <f>'Necesidades Trimestrales'!G44</f>
        <v>200</v>
      </c>
    </row>
    <row r="48" spans="1:7" ht="15" x14ac:dyDescent="0.2">
      <c r="A48" s="55">
        <v>36</v>
      </c>
      <c r="B48" s="57" t="str">
        <f>'Necesidades Trimestrales'!B45</f>
        <v>2.9.2-848.20</v>
      </c>
      <c r="C48" s="59" t="str">
        <f>'Necesidades Trimestrales'!E45</f>
        <v>LAPIZ; TIPO: 2HB, COLOR: NEGRO</v>
      </c>
      <c r="D48" s="61" t="s">
        <v>56</v>
      </c>
      <c r="E48" s="61" t="str">
        <f>'Necesidades Trimestrales'!F45</f>
        <v>UNIDAD</v>
      </c>
      <c r="F48" s="63">
        <f>'Necesidades Trimestrales'!H45</f>
        <v>30</v>
      </c>
      <c r="G48" s="61">
        <f>'Necesidades Trimestrales'!G45</f>
        <v>44</v>
      </c>
    </row>
    <row r="49" spans="1:7" ht="30" x14ac:dyDescent="0.2">
      <c r="A49" s="54">
        <v>37</v>
      </c>
      <c r="B49" s="57" t="str">
        <f>'Necesidades Trimestrales'!B46</f>
        <v>2.9.2-698.4</v>
      </c>
      <c r="C49" s="59" t="str">
        <f>'Necesidades Trimestrales'!E46</f>
        <v>ALMOHADILLAS MOJADEDOS; MATERIAL TAPA: PLASTICO, MEDIDA: D.7.5 Cm, FORMA: REDONDA</v>
      </c>
      <c r="D49" s="61" t="s">
        <v>56</v>
      </c>
      <c r="E49" s="61" t="str">
        <f>'Necesidades Trimestrales'!F46</f>
        <v>UNIDAD</v>
      </c>
      <c r="F49" s="63">
        <f>'Necesidades Trimestrales'!H46</f>
        <v>150</v>
      </c>
      <c r="G49" s="61">
        <f>'Necesidades Trimestrales'!G46</f>
        <v>10</v>
      </c>
    </row>
    <row r="50" spans="1:7" ht="15" x14ac:dyDescent="0.2">
      <c r="A50" s="55">
        <v>38</v>
      </c>
      <c r="B50" s="57" t="str">
        <f>'Necesidades Trimestrales'!B47</f>
        <v>2.9.2-317.32</v>
      </c>
      <c r="C50" s="59" t="str">
        <f>'Necesidades Trimestrales'!E47</f>
        <v>BOLIGRAFOS; TRAZO: 0,8 mm.</v>
      </c>
      <c r="D50" s="61" t="s">
        <v>56</v>
      </c>
      <c r="E50" s="61" t="str">
        <f>'Necesidades Trimestrales'!F47</f>
        <v>UNIDAD</v>
      </c>
      <c r="F50" s="63">
        <f>'Necesidades Trimestrales'!H47</f>
        <v>65</v>
      </c>
      <c r="G50" s="61">
        <f>'Necesidades Trimestrales'!G47</f>
        <v>275</v>
      </c>
    </row>
    <row r="51" spans="1:7" ht="15" x14ac:dyDescent="0.2">
      <c r="A51" s="55">
        <v>39</v>
      </c>
      <c r="B51" s="57" t="str">
        <f>'Necesidades Trimestrales'!B48</f>
        <v>2.9.2-317.32</v>
      </c>
      <c r="C51" s="59" t="str">
        <f>'Necesidades Trimestrales'!E48</f>
        <v>BOLIGRAFOS; TRAZO: 0,8 mm.</v>
      </c>
      <c r="D51" s="61" t="s">
        <v>56</v>
      </c>
      <c r="E51" s="61" t="str">
        <f>'Necesidades Trimestrales'!F48</f>
        <v>UNIDAD</v>
      </c>
      <c r="F51" s="63">
        <f>'Necesidades Trimestrales'!H48</f>
        <v>65</v>
      </c>
      <c r="G51" s="61">
        <f>'Necesidades Trimestrales'!G48</f>
        <v>245</v>
      </c>
    </row>
    <row r="52" spans="1:7" ht="15" x14ac:dyDescent="0.2">
      <c r="A52" s="55">
        <v>40</v>
      </c>
      <c r="B52" s="57" t="str">
        <f>'Necesidades Trimestrales'!B49</f>
        <v>2.9.2-317.5</v>
      </c>
      <c r="C52" s="59" t="str">
        <f>'Necesidades Trimestrales'!E49</f>
        <v>BOLIGRAFOS; TRAZO 1,0mm</v>
      </c>
      <c r="D52" s="61" t="s">
        <v>56</v>
      </c>
      <c r="E52" s="61" t="str">
        <f>'Necesidades Trimestrales'!F49</f>
        <v>UNIDAD</v>
      </c>
      <c r="F52" s="63">
        <f>'Necesidades Trimestrales'!H49</f>
        <v>65</v>
      </c>
      <c r="G52" s="61">
        <f>'Necesidades Trimestrales'!G49</f>
        <v>525</v>
      </c>
    </row>
    <row r="53" spans="1:7" ht="15" x14ac:dyDescent="0.2">
      <c r="A53" s="54">
        <v>41</v>
      </c>
      <c r="B53" s="57" t="str">
        <f>'Necesidades Trimestrales'!B50</f>
        <v>2.9.2-317.5</v>
      </c>
      <c r="C53" s="59" t="str">
        <f>'Necesidades Trimestrales'!E50</f>
        <v>BOLIGRAFOS; TRAZO 1,0mm</v>
      </c>
      <c r="D53" s="61" t="s">
        <v>56</v>
      </c>
      <c r="E53" s="61" t="str">
        <f>'Necesidades Trimestrales'!F50</f>
        <v>UNIDAD</v>
      </c>
      <c r="F53" s="63">
        <f>'Necesidades Trimestrales'!H50</f>
        <v>65</v>
      </c>
      <c r="G53" s="61">
        <f>'Necesidades Trimestrales'!G50</f>
        <v>325</v>
      </c>
    </row>
    <row r="54" spans="1:7" ht="30" x14ac:dyDescent="0.2">
      <c r="A54" s="55">
        <v>42</v>
      </c>
      <c r="B54" s="57" t="str">
        <f>'Necesidades Trimestrales'!B51</f>
        <v>2.9.2-661.11</v>
      </c>
      <c r="C54" s="59" t="str">
        <f>'Necesidades Trimestrales'!E51</f>
        <v>GOMAS DE BORRAR; USO: LAPIZ Y TINTA, CANT. X CAJA: 36, DIMENSION: 4 X 1 X 1 Cm, MATERIAL: PLASTICO, PRESENTACION: CAJA X 36</v>
      </c>
      <c r="D54" s="61" t="s">
        <v>56</v>
      </c>
      <c r="E54" s="61" t="str">
        <f>'Necesidades Trimestrales'!F51</f>
        <v>CAJA</v>
      </c>
      <c r="F54" s="63">
        <f>'Necesidades Trimestrales'!H51</f>
        <v>40</v>
      </c>
      <c r="G54" s="61">
        <f>'Necesidades Trimestrales'!G51</f>
        <v>2</v>
      </c>
    </row>
    <row r="55" spans="1:7" ht="15" x14ac:dyDescent="0.2">
      <c r="A55" s="55">
        <v>43</v>
      </c>
      <c r="B55" s="57" t="str">
        <f>'Necesidades Trimestrales'!B52</f>
        <v>2.9.2-1616.128</v>
      </c>
      <c r="C55" s="59" t="str">
        <f>'Necesidades Trimestrales'!E52</f>
        <v>MARCADORES; TIPO PARA PIZARRA - TRAZO GRUESO - PUNTA REDONDA - RECARGABLE NO</v>
      </c>
      <c r="D55" s="61" t="s">
        <v>56</v>
      </c>
      <c r="E55" s="61" t="str">
        <f>'Necesidades Trimestrales'!F52</f>
        <v>UNIDAD</v>
      </c>
      <c r="F55" s="63">
        <f>'Necesidades Trimestrales'!H52</f>
        <v>150</v>
      </c>
      <c r="G55" s="61">
        <f>'Necesidades Trimestrales'!G52</f>
        <v>4</v>
      </c>
    </row>
    <row r="56" spans="1:7" ht="15" x14ac:dyDescent="0.2">
      <c r="A56" s="55">
        <v>44</v>
      </c>
      <c r="B56" s="57" t="str">
        <f>'Necesidades Trimestrales'!B53</f>
        <v>2.3.1-6587.139</v>
      </c>
      <c r="C56" s="59" t="str">
        <f>'Necesidades Trimestrales'!E53</f>
        <v>PAPELES ENCUADERNADOS; CANT. DE HOJAS: 100, TAMAÑO: 23 X 35 Cm, TIPO: LIBRO DE ACTAS</v>
      </c>
      <c r="D56" s="61" t="s">
        <v>56</v>
      </c>
      <c r="E56" s="61" t="str">
        <f>'Necesidades Trimestrales'!F53</f>
        <v>UNIDAD</v>
      </c>
      <c r="F56" s="63">
        <f>'Necesidades Trimestrales'!H53</f>
        <v>1500</v>
      </c>
      <c r="G56" s="61">
        <f>'Necesidades Trimestrales'!G53</f>
        <v>110</v>
      </c>
    </row>
    <row r="57" spans="1:7" ht="45" x14ac:dyDescent="0.2">
      <c r="A57" s="54">
        <v>45</v>
      </c>
      <c r="B57" s="57" t="str">
        <f>'Necesidades Trimestrales'!B54</f>
        <v>2.9.2-858.7</v>
      </c>
      <c r="C57" s="59" t="str">
        <f>'Necesidades Trimestrales'!E54</f>
        <v>PERFORADORAS; DIST. ENTRE AGUJ.: FIJO, N° PERFORACIONES: 2, MATERIAL ESTRUCTURA: FUNDICION HIERRO BASE MADERA, GUIA POSICION PAPEL: CON, TAMAÑO: GRANDE, MATERIAL: FUNDICION HIERRO BASE MADERA</v>
      </c>
      <c r="D57" s="61" t="s">
        <v>56</v>
      </c>
      <c r="E57" s="61" t="str">
        <f>'Necesidades Trimestrales'!F54</f>
        <v>UNIDAD</v>
      </c>
      <c r="F57" s="63">
        <f>'Necesidades Trimestrales'!H54</f>
        <v>4000</v>
      </c>
      <c r="G57" s="61">
        <f>'Necesidades Trimestrales'!G54</f>
        <v>13</v>
      </c>
    </row>
    <row r="58" spans="1:7" ht="45" x14ac:dyDescent="0.2">
      <c r="A58" s="55">
        <v>46</v>
      </c>
      <c r="B58" s="57" t="str">
        <f>'Necesidades Trimestrales'!B55</f>
        <v>2.3.1-6590.555</v>
      </c>
      <c r="C58" s="59" t="str">
        <f>'Necesidades Trimestrales'!E55</f>
        <v>SOBRES DE PAPEL; TIPO: MANILA, TAMAÑO: OFICIO, GRAMAJE: 80 GR, PRESENTACION: UNIDAD, CERTIFICADO FORESTAL (GFS): SIN, PORC. FIBRAS RECICLADAS: 0 %, CERT. FIBRA ALTERNATIVA (FCA): SIN</v>
      </c>
      <c r="D58" s="61" t="s">
        <v>56</v>
      </c>
      <c r="E58" s="61" t="str">
        <f>'Necesidades Trimestrales'!F55</f>
        <v>UNIDAD</v>
      </c>
      <c r="F58" s="63">
        <f>'Necesidades Trimestrales'!H55</f>
        <v>10</v>
      </c>
      <c r="G58" s="61">
        <f>'Necesidades Trimestrales'!G55</f>
        <v>450</v>
      </c>
    </row>
    <row r="59" spans="1:7" ht="45" x14ac:dyDescent="0.2">
      <c r="A59" s="55">
        <v>47</v>
      </c>
      <c r="B59" s="57" t="str">
        <f>'Necesidades Trimestrales'!B56</f>
        <v>2.3.1-6590.556</v>
      </c>
      <c r="C59" s="59" t="str">
        <f>'Necesidades Trimestrales'!E56</f>
        <v>SOBRES DE PAPEL; TIPO: MANILA, TAMAÑO: A4, GRAMAJE: 80 GR, PRESENTACION: UNIDAD, CERTIFICADO FORESTAL (GFS): SIN, PORC. FIBRAS RECICLADAS: 0 %, CERT. FIBRA ALTERNATIVA (FCA): SIN</v>
      </c>
      <c r="D59" s="61" t="s">
        <v>56</v>
      </c>
      <c r="E59" s="61" t="str">
        <f>'Necesidades Trimestrales'!F56</f>
        <v>UNIDAD</v>
      </c>
      <c r="F59" s="63">
        <f>'Necesidades Trimestrales'!H56</f>
        <v>8</v>
      </c>
      <c r="G59" s="61">
        <f>'Necesidades Trimestrales'!G56</f>
        <v>50</v>
      </c>
    </row>
    <row r="60" spans="1:7" ht="15" x14ac:dyDescent="0.2">
      <c r="A60" s="55">
        <v>48</v>
      </c>
      <c r="B60" s="57" t="str">
        <f>'Necesidades Trimestrales'!B57</f>
        <v>2.9.2-262.21</v>
      </c>
      <c r="C60" s="59" t="str">
        <f>'Necesidades Trimestrales'!E57</f>
        <v>ADHESIVOS P/PAPEL; PRESENTACION: 1000 GR, TIPO: COLA VINILICA</v>
      </c>
      <c r="D60" s="61" t="s">
        <v>56</v>
      </c>
      <c r="E60" s="61" t="str">
        <f>'Necesidades Trimestrales'!F57</f>
        <v>UNIDAD</v>
      </c>
      <c r="F60" s="63">
        <f>'Necesidades Trimestrales'!H57</f>
        <v>500</v>
      </c>
      <c r="G60" s="61">
        <f>'Necesidades Trimestrales'!G57</f>
        <v>1</v>
      </c>
    </row>
    <row r="61" spans="1:7" ht="15" x14ac:dyDescent="0.2">
      <c r="A61" s="54">
        <v>49</v>
      </c>
      <c r="B61" s="57" t="str">
        <f>'Necesidades Trimestrales'!B58</f>
        <v>2.9.2-674.9</v>
      </c>
      <c r="C61" s="59" t="str">
        <f>'Necesidades Trimestrales'!E58</f>
        <v>REGLAS GRADUADAS; TIPO: PLANA, MATERIAL: PLASTICO, LONG.DE CUERPO: 30 Cm</v>
      </c>
      <c r="D61" s="61" t="s">
        <v>56</v>
      </c>
      <c r="E61" s="61" t="str">
        <f>'Necesidades Trimestrales'!F58</f>
        <v>UNIDAD</v>
      </c>
      <c r="F61" s="63">
        <f>'Necesidades Trimestrales'!H58</f>
        <v>80</v>
      </c>
      <c r="G61" s="61">
        <f>'Necesidades Trimestrales'!G58</f>
        <v>20</v>
      </c>
    </row>
    <row r="62" spans="1:7" ht="15" x14ac:dyDescent="0.2">
      <c r="A62" s="55">
        <v>50</v>
      </c>
      <c r="B62" s="57" t="str">
        <f>'Necesidades Trimestrales'!B59</f>
        <v>2.9.2-853.24</v>
      </c>
      <c r="C62" s="59" t="str">
        <f>'Necesidades Trimestrales'!E59</f>
        <v>BROCHES P/EXPEDIENTE; TIPO: MARIPOSA, LONG.DE CUERPO: 30 mm</v>
      </c>
      <c r="D62" s="61" t="s">
        <v>56</v>
      </c>
      <c r="E62" s="61" t="str">
        <f>'Necesidades Trimestrales'!F59</f>
        <v>CAJAS</v>
      </c>
      <c r="F62" s="63">
        <f>'Necesidades Trimestrales'!H59</f>
        <v>250</v>
      </c>
      <c r="G62" s="61">
        <f>'Necesidades Trimestrales'!G59</f>
        <v>3</v>
      </c>
    </row>
    <row r="63" spans="1:7" ht="15" x14ac:dyDescent="0.2">
      <c r="A63" s="55">
        <v>51</v>
      </c>
      <c r="B63" s="57" t="str">
        <f>'Necesidades Trimestrales'!B60</f>
        <v>2.9.2-791.31</v>
      </c>
      <c r="C63" s="59" t="str">
        <f>'Necesidades Trimestrales'!E60</f>
        <v>TALONARIOS NOTAS AUTOADHESIVAS; COLOR: SIN VALOR, MEDIDA: 75 X 75 mm</v>
      </c>
      <c r="D63" s="61" t="s">
        <v>56</v>
      </c>
      <c r="E63" s="61" t="str">
        <f>'Necesidades Trimestrales'!F60</f>
        <v>UNIDAD</v>
      </c>
      <c r="F63" s="63">
        <f>'Necesidades Trimestrales'!H60</f>
        <v>80</v>
      </c>
      <c r="G63" s="61">
        <f>'Necesidades Trimestrales'!G60</f>
        <v>45</v>
      </c>
    </row>
    <row r="64" spans="1:7" ht="30" x14ac:dyDescent="0.2">
      <c r="A64" s="55">
        <v>52</v>
      </c>
      <c r="B64" s="57" t="str">
        <f>'Necesidades Trimestrales'!B61</f>
        <v>2.9.2-859.2</v>
      </c>
      <c r="C64" s="59" t="str">
        <f>'Necesidades Trimestrales'!E61</f>
        <v>SELLO FECHADOR; DIGITOS MOVILES AÑO: 2, DIGITOS MOVILES DIA: 2, DIGITOS MOVILES MES: 2, DIMENSION: 6 X 4 Cm, DIM. BANDA: 6 X 4 Cm</v>
      </c>
      <c r="D64" s="61" t="s">
        <v>56</v>
      </c>
      <c r="E64" s="61" t="str">
        <f>'Necesidades Trimestrales'!F61</f>
        <v>UNIDAD</v>
      </c>
      <c r="F64" s="63">
        <f>'Necesidades Trimestrales'!H61</f>
        <v>1000</v>
      </c>
      <c r="G64" s="61">
        <f>'Necesidades Trimestrales'!G61</f>
        <v>4</v>
      </c>
    </row>
    <row r="65" spans="1:7" ht="30" x14ac:dyDescent="0.2">
      <c r="A65" s="54">
        <v>53</v>
      </c>
      <c r="B65" s="57" t="str">
        <f>'Necesidades Trimestrales'!B62</f>
        <v>2.9.2-790.4</v>
      </c>
      <c r="C65" s="59" t="str">
        <f>'Necesidades Trimestrales'!E62</f>
        <v>CUTER; MATERIAL MANGO: PLASTICO, ANCHO HOJA: 12 mm, TIPO DE HOJA: FIJA, TIPO HOJA: FIJA, ANCHO DE HOJA: 12 mm</v>
      </c>
      <c r="D65" s="61" t="s">
        <v>56</v>
      </c>
      <c r="E65" s="61" t="str">
        <f>'Necesidades Trimestrales'!F62</f>
        <v>UNIDAD</v>
      </c>
      <c r="F65" s="63">
        <f>'Necesidades Trimestrales'!H62</f>
        <v>350</v>
      </c>
      <c r="G65" s="61">
        <f>'Necesidades Trimestrales'!G62</f>
        <v>4</v>
      </c>
    </row>
    <row r="66" spans="1:7" ht="15" x14ac:dyDescent="0.2">
      <c r="A66" s="55">
        <v>54</v>
      </c>
      <c r="B66" s="57" t="str">
        <f>'Necesidades Trimestrales'!B63</f>
        <v>2.9.2-6873.7</v>
      </c>
      <c r="C66" s="59" t="str">
        <f>'Necesidades Trimestrales'!E63</f>
        <v>BROCHES PLASTICOS; TIPO: NEPACO, TAMAÑO: Nº 2L, PRESENTACION: CAJAX 50 UNIDADES.</v>
      </c>
      <c r="D66" s="61" t="s">
        <v>56</v>
      </c>
      <c r="E66" s="61" t="str">
        <f>'Necesidades Trimestrales'!F63</f>
        <v>CAJAS</v>
      </c>
      <c r="F66" s="63">
        <f>'Necesidades Trimestrales'!H63</f>
        <v>250</v>
      </c>
      <c r="G66" s="61">
        <f>'Necesidades Trimestrales'!G63</f>
        <v>10</v>
      </c>
    </row>
    <row r="67" spans="1:7" ht="30" x14ac:dyDescent="0.2">
      <c r="A67" s="55">
        <v>55</v>
      </c>
      <c r="B67" s="57" t="str">
        <f>'Necesidades Trimestrales'!B64</f>
        <v>2.9.2-1450.30</v>
      </c>
      <c r="C67" s="59" t="str">
        <f>'Necesidades Trimestrales'!E64</f>
        <v>TINTAS P/SELLOS; TIPO DE SELLO: DE GOMA, ENVASE: 60 CM3, COLOR: AZUL, PRESENTACION: ENVASE X 60 CM3</v>
      </c>
      <c r="D67" s="61" t="s">
        <v>56</v>
      </c>
      <c r="E67" s="61" t="str">
        <f>'Necesidades Trimestrales'!F64</f>
        <v xml:space="preserve">UNIDAD </v>
      </c>
      <c r="F67" s="63">
        <f>'Necesidades Trimestrales'!H64</f>
        <v>300</v>
      </c>
      <c r="G67" s="61">
        <f>'Necesidades Trimestrales'!G64</f>
        <v>2</v>
      </c>
    </row>
    <row r="68" spans="1:7" ht="15" x14ac:dyDescent="0.2">
      <c r="A68" s="55">
        <v>56</v>
      </c>
      <c r="B68" s="57" t="str">
        <f>'Necesidades Trimestrales'!B65</f>
        <v>2.9.2-1450.4</v>
      </c>
      <c r="C68" s="59" t="str">
        <f>'Necesidades Trimestrales'!E65</f>
        <v>TINTAS P/SELLOS; TIPO DE SELLO: DE GOMA, COLOR: NEGRO, PRESENTACION: ENVASE X 50 CM3</v>
      </c>
      <c r="D68" s="61" t="s">
        <v>56</v>
      </c>
      <c r="E68" s="61" t="str">
        <f>'Necesidades Trimestrales'!F65</f>
        <v>UNIDAD</v>
      </c>
      <c r="F68" s="63">
        <f>'Necesidades Trimestrales'!H65</f>
        <v>300</v>
      </c>
      <c r="G68" s="61">
        <f>'Necesidades Trimestrales'!G65</f>
        <v>22</v>
      </c>
    </row>
    <row r="69" spans="1:7" ht="30" x14ac:dyDescent="0.2">
      <c r="A69" s="54">
        <v>57</v>
      </c>
      <c r="B69" s="57" t="str">
        <f>'Necesidades Trimestrales'!B66</f>
        <v>2.9.2-1450.6</v>
      </c>
      <c r="C69" s="59" t="str">
        <f>'Necesidades Trimestrales'!E66</f>
        <v>TINTAS P/SELLOS; TIPO DE SELLO: DE GOMA, ENVASE: 70 CM3, COLOR: ROJO, PRESENTACION: ENVASE X 70 CM3</v>
      </c>
      <c r="D69" s="61" t="s">
        <v>56</v>
      </c>
      <c r="E69" s="61" t="str">
        <f>'Necesidades Trimestrales'!F66</f>
        <v xml:space="preserve">UNIDAD </v>
      </c>
      <c r="F69" s="63">
        <f>'Necesidades Trimestrales'!H66</f>
        <v>300</v>
      </c>
      <c r="G69" s="61">
        <f>'Necesidades Trimestrales'!G66</f>
        <v>10</v>
      </c>
    </row>
    <row r="70" spans="1:7" ht="30" x14ac:dyDescent="0.2">
      <c r="A70" s="55">
        <v>58</v>
      </c>
      <c r="B70" s="57" t="str">
        <f>'Necesidades Trimestrales'!B67</f>
        <v>2.9.2-1450.9</v>
      </c>
      <c r="C70" s="59" t="str">
        <f>'Necesidades Trimestrales'!E67</f>
        <v>TINTAS P/SELLOS; TIPO DE SELLO: DE GOMA, COLOR: VIOLETA, ENVASE: 10 CM3, PRESENTACION: ENVASE X 10 CM3</v>
      </c>
      <c r="D70" s="61" t="s">
        <v>56</v>
      </c>
      <c r="E70" s="61" t="str">
        <f>'Necesidades Trimestrales'!F67</f>
        <v>UNIDAD</v>
      </c>
      <c r="F70" s="63">
        <f>'Necesidades Trimestrales'!H67</f>
        <v>300</v>
      </c>
      <c r="G70" s="61">
        <f>'Necesidades Trimestrales'!G67</f>
        <v>40</v>
      </c>
    </row>
    <row r="71" spans="1:7" ht="30" x14ac:dyDescent="0.2">
      <c r="A71" s="55">
        <v>59</v>
      </c>
      <c r="B71" s="57" t="str">
        <f>'Necesidades Trimestrales'!B68</f>
        <v>2.9.2-1577.22</v>
      </c>
      <c r="C71" s="59" t="str">
        <f>'Necesidades Trimestrales'!E68</f>
        <v>APRIETA PAPELES; MATERIAL: METAL, DIMENSION: 100 mm, COLOR: NEGRO, 
RESORTE: SIN</v>
      </c>
      <c r="D71" s="61" t="s">
        <v>56</v>
      </c>
      <c r="E71" s="61" t="str">
        <f>'Necesidades Trimestrales'!F68</f>
        <v>UNIDAD</v>
      </c>
      <c r="F71" s="63">
        <f>'Necesidades Trimestrales'!H68</f>
        <v>200</v>
      </c>
      <c r="G71" s="61">
        <f>'Necesidades Trimestrales'!G68</f>
        <v>10</v>
      </c>
    </row>
    <row r="72" spans="1:7" ht="15" x14ac:dyDescent="0.2">
      <c r="A72" s="55">
        <v>60</v>
      </c>
      <c r="B72" s="57" t="str">
        <f>'Necesidades Trimestrales'!B69</f>
        <v>2.9.2-9597.5</v>
      </c>
      <c r="C72" s="59" t="str">
        <f>'Necesidades Trimestrales'!E69</f>
        <v>MEMORIAS USB; CAPACIDAD: 32 Gb, TIPO: PEN DRIVE</v>
      </c>
      <c r="D72" s="61" t="s">
        <v>56</v>
      </c>
      <c r="E72" s="61" t="str">
        <f>'Necesidades Trimestrales'!F69</f>
        <v>UNIDAD</v>
      </c>
      <c r="F72" s="63">
        <f>'Necesidades Trimestrales'!H69</f>
        <v>1000</v>
      </c>
      <c r="G72" s="61">
        <f>'Necesidades Trimestrales'!G69</f>
        <v>8</v>
      </c>
    </row>
    <row r="73" spans="1:7" ht="15" x14ac:dyDescent="0.2">
      <c r="A73" s="54">
        <v>61</v>
      </c>
      <c r="B73" s="57" t="str">
        <f>'Necesidades Trimestrales'!B70</f>
        <v>2.9.2-1620.8</v>
      </c>
      <c r="C73" s="59" t="str">
        <f>'Necesidades Trimestrales'!E70</f>
        <v>DISCO COMPACTO; CAPACIDAD: 740 MB, TIPO: CD ROM HW</v>
      </c>
      <c r="D73" s="61" t="s">
        <v>56</v>
      </c>
      <c r="E73" s="61" t="str">
        <f>'Necesidades Trimestrales'!F70</f>
        <v>UNIDAD</v>
      </c>
      <c r="F73" s="63">
        <f>'Necesidades Trimestrales'!H70</f>
        <v>50</v>
      </c>
      <c r="G73" s="61">
        <f>'Necesidades Trimestrales'!G70</f>
        <v>100</v>
      </c>
    </row>
    <row r="74" spans="1:7" ht="30" x14ac:dyDescent="0.2">
      <c r="A74" s="55">
        <v>62</v>
      </c>
      <c r="B74" s="57" t="str">
        <f>'Necesidades Trimestrales'!B71</f>
        <v>2.3.1-6590.432</v>
      </c>
      <c r="C74" s="59" t="str">
        <f>'Necesidades Trimestrales'!E71</f>
        <v>SOBRES DE PAPEL; TIPO: P/DISCO COMPACTO, TAMAÑO: 12,7 X 12,7 Cm, GRAMAJE: 80 GR/M2, PRESENTACION: UNIDAD, CERTIFICADO FORESTAL (GFS): SIN</v>
      </c>
      <c r="D74" s="61" t="s">
        <v>56</v>
      </c>
      <c r="E74" s="61" t="str">
        <f>'Necesidades Trimestrales'!F71</f>
        <v>UNIDAD</v>
      </c>
      <c r="F74" s="63">
        <f>'Necesidades Trimestrales'!H71</f>
        <v>10</v>
      </c>
      <c r="G74" s="61">
        <f>'Necesidades Trimestrales'!G71</f>
        <v>100</v>
      </c>
    </row>
    <row r="75" spans="1:7" ht="30" x14ac:dyDescent="0.2">
      <c r="A75" s="55">
        <v>63</v>
      </c>
      <c r="B75" s="57" t="str">
        <f>'Necesidades Trimestrales'!B72</f>
        <v>2.9.2-1354.21</v>
      </c>
      <c r="C75" s="59" t="str">
        <f>'Necesidades Trimestrales'!E72</f>
        <v>RESALTADORES; PUNTA: BISELADA, ACCESORIO: SIN, COLOR: SIN VALOR, TIPO PUNTA: BISELADA</v>
      </c>
      <c r="D75" s="61" t="s">
        <v>56</v>
      </c>
      <c r="E75" s="61" t="str">
        <f>'Necesidades Trimestrales'!F72</f>
        <v>UNIDAD</v>
      </c>
      <c r="F75" s="63">
        <f>'Necesidades Trimestrales'!H72</f>
        <v>80</v>
      </c>
      <c r="G75" s="61">
        <f>'Necesidades Trimestrales'!G72</f>
        <v>82</v>
      </c>
    </row>
    <row r="76" spans="1:7" ht="30" x14ac:dyDescent="0.2">
      <c r="A76" s="55">
        <v>64</v>
      </c>
      <c r="B76" s="57" t="str">
        <f>'Necesidades Trimestrales'!B73</f>
        <v>2.9.2-1616.74</v>
      </c>
      <c r="C76" s="59" t="str">
        <f>'Necesidades Trimestrales'!E73</f>
        <v>MARCADORES; TIPO: AL SOLVENTE, TRAZO: GRUESO, PUNTA: REDONDA, COLOR: NEGRO, RECARGABLE: NO</v>
      </c>
      <c r="D76" s="61" t="s">
        <v>56</v>
      </c>
      <c r="E76" s="61" t="str">
        <f>'Necesidades Trimestrales'!F73</f>
        <v>UNIDAD</v>
      </c>
      <c r="F76" s="63">
        <f>'Necesidades Trimestrales'!H73</f>
        <v>200</v>
      </c>
      <c r="G76" s="61">
        <f>'Necesidades Trimestrales'!G73</f>
        <v>136</v>
      </c>
    </row>
    <row r="77" spans="1:7" ht="30" x14ac:dyDescent="0.2">
      <c r="A77" s="54">
        <v>65</v>
      </c>
      <c r="B77" s="57" t="str">
        <f>'Necesidades Trimestrales'!B74</f>
        <v>2.9.2-1616.145</v>
      </c>
      <c r="C77" s="59" t="str">
        <f>'Necesidades Trimestrales'!E74</f>
        <v>MARCADORES; TIPO: INDELEBLE, TRAZO: GRUESO, PUNTA: GRUESA, 
RECARGABLE: NO</v>
      </c>
      <c r="D77" s="61" t="s">
        <v>56</v>
      </c>
      <c r="E77" s="61" t="str">
        <f>'Necesidades Trimestrales'!F74</f>
        <v>UNIDAD</v>
      </c>
      <c r="F77" s="63">
        <f>'Necesidades Trimestrales'!H74</f>
        <v>250</v>
      </c>
      <c r="G77" s="61">
        <f>'Necesidades Trimestrales'!G74</f>
        <v>106</v>
      </c>
    </row>
    <row r="78" spans="1:7" ht="30" x14ac:dyDescent="0.2">
      <c r="A78" s="55">
        <v>66</v>
      </c>
      <c r="B78" s="57" t="str">
        <f>'Necesidades Trimestrales'!B75</f>
        <v>2.9.2-1616.135</v>
      </c>
      <c r="C78" s="59" t="str">
        <f>'Necesidades Trimestrales'!E75</f>
        <v>MARCADORES; TIPO: AL SOLVENTE, TRAZO: GRUESO, PUNTA: BISELADA, 
COLOR: VERDE, RECARGABLE: NO</v>
      </c>
      <c r="D78" s="61" t="s">
        <v>56</v>
      </c>
      <c r="E78" s="61" t="str">
        <f>'Necesidades Trimestrales'!F75</f>
        <v>UNIDAD</v>
      </c>
      <c r="F78" s="63">
        <f>'Necesidades Trimestrales'!H75</f>
        <v>200</v>
      </c>
      <c r="G78" s="61">
        <f>'Necesidades Trimestrales'!G75</f>
        <v>48</v>
      </c>
    </row>
    <row r="79" spans="1:7" ht="30" x14ac:dyDescent="0.2">
      <c r="A79" s="55">
        <v>67</v>
      </c>
      <c r="B79" s="57" t="str">
        <f>'Necesidades Trimestrales'!B76</f>
        <v>2.9.2-1616.69</v>
      </c>
      <c r="C79" s="59" t="str">
        <f>'Necesidades Trimestrales'!E76</f>
        <v>MARCADORES; TIPO: AL SOLVENTE, TRAZO: GRUESO, PUNTA: REDONDA, 
COLOR: AZUL, RECARGABLE: SI</v>
      </c>
      <c r="D79" s="61" t="s">
        <v>56</v>
      </c>
      <c r="E79" s="61" t="str">
        <f>'Necesidades Trimestrales'!F76</f>
        <v>UNIDAD</v>
      </c>
      <c r="F79" s="63">
        <f>'Necesidades Trimestrales'!H76</f>
        <v>200</v>
      </c>
      <c r="G79" s="61">
        <f>'Necesidades Trimestrales'!G76</f>
        <v>48</v>
      </c>
    </row>
    <row r="80" spans="1:7" ht="15" x14ac:dyDescent="0.2">
      <c r="A80" s="80"/>
      <c r="B80" s="81"/>
      <c r="C80" s="82"/>
      <c r="D80" s="81"/>
      <c r="E80" s="83"/>
      <c r="F80" s="84"/>
      <c r="G80" s="83"/>
    </row>
    <row r="81" spans="1:9" ht="15.75" thickBot="1" x14ac:dyDescent="0.25">
      <c r="A81" s="80"/>
      <c r="B81" s="81"/>
      <c r="C81" s="82"/>
      <c r="D81" s="81"/>
      <c r="E81" s="83"/>
      <c r="F81" s="84"/>
      <c r="G81" s="83"/>
    </row>
    <row r="82" spans="1:9" ht="20.25" customHeight="1" thickBot="1" x14ac:dyDescent="0.25">
      <c r="A82" s="185" t="s">
        <v>250</v>
      </c>
      <c r="B82" s="186"/>
      <c r="C82" s="186"/>
      <c r="D82" s="186"/>
      <c r="E82" s="187"/>
      <c r="F82" s="191">
        <v>1680980</v>
      </c>
      <c r="G82" s="191"/>
      <c r="H82" s="47"/>
      <c r="I82" s="47"/>
    </row>
  </sheetData>
  <mergeCells count="22"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C8:G8"/>
    <mergeCell ref="A9:B9"/>
    <mergeCell ref="C11:C12"/>
    <mergeCell ref="A82:E82"/>
    <mergeCell ref="C9:G9"/>
    <mergeCell ref="F82:G82"/>
    <mergeCell ref="A11:A12"/>
    <mergeCell ref="B11:B12"/>
    <mergeCell ref="D11:D12"/>
    <mergeCell ref="E11:E12"/>
    <mergeCell ref="F11:F12"/>
    <mergeCell ref="G11:G12"/>
    <mergeCell ref="A8:B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="130" zoomScaleNormal="130" workbookViewId="0">
      <selection activeCell="T38" sqref="T38"/>
    </sheetView>
  </sheetViews>
  <sheetFormatPr baseColWidth="10" defaultColWidth="11" defaultRowHeight="12.75" x14ac:dyDescent="0.2"/>
  <cols>
    <col min="1" max="4" width="4.42578125" customWidth="1"/>
    <col min="5" max="5" width="7.5703125" customWidth="1"/>
    <col min="6" max="6" width="5.85546875" bestFit="1" customWidth="1"/>
    <col min="7" max="7" width="4.42578125" style="4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211" t="s">
        <v>3</v>
      </c>
      <c r="B1" s="211"/>
      <c r="C1" s="211"/>
      <c r="D1" s="212">
        <f>'Necesidades Trimestrales'!C6</f>
        <v>2022</v>
      </c>
      <c r="E1" s="212"/>
      <c r="F1" s="5"/>
      <c r="G1" s="5"/>
      <c r="H1" s="6"/>
      <c r="I1" s="6"/>
      <c r="J1" s="6"/>
      <c r="K1" s="6"/>
      <c r="L1" s="6"/>
      <c r="M1" s="6"/>
      <c r="N1" s="6"/>
      <c r="P1" s="213" t="s">
        <v>25</v>
      </c>
      <c r="Q1" s="213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213"/>
      <c r="Q2" s="213"/>
    </row>
    <row r="4" spans="1:17" s="7" customFormat="1" ht="18" customHeight="1" thickBot="1" x14ac:dyDescent="0.25">
      <c r="A4" s="214" t="s">
        <v>26</v>
      </c>
      <c r="B4" s="214"/>
      <c r="C4" s="214"/>
      <c r="D4" s="214"/>
      <c r="E4" s="214"/>
      <c r="F4" s="214"/>
      <c r="G4" s="215" t="str">
        <f>' NotaPedido'!C4</f>
        <v>12 -Ministerio de Gobierno, Justicia y Derechos Humanos.</v>
      </c>
      <c r="H4" s="215"/>
      <c r="I4" s="215"/>
      <c r="J4" s="215"/>
      <c r="K4" s="215"/>
      <c r="L4" s="215"/>
      <c r="M4" s="215"/>
      <c r="N4" s="215"/>
      <c r="O4" s="215"/>
      <c r="P4" s="215"/>
      <c r="Q4" s="215"/>
    </row>
    <row r="5" spans="1:17" s="7" customFormat="1" ht="32.25" customHeight="1" thickBot="1" x14ac:dyDescent="0.25">
      <c r="A5" s="216" t="s">
        <v>49</v>
      </c>
      <c r="B5" s="217"/>
      <c r="C5" s="217"/>
      <c r="D5" s="217"/>
      <c r="E5" s="217"/>
      <c r="F5" s="218"/>
      <c r="G5" s="219" t="str">
        <f>' NotaPedido'!C5</f>
        <v>06 - Secretaria de Gestion Administrativa del Ministerio de Gobierno, Justicia y Derechos Humanos</v>
      </c>
      <c r="H5" s="219"/>
      <c r="I5" s="219"/>
      <c r="J5" s="219"/>
      <c r="K5" s="219"/>
      <c r="L5" s="219"/>
      <c r="M5" s="219"/>
      <c r="N5" s="219"/>
      <c r="O5" s="219"/>
      <c r="P5" s="219"/>
      <c r="Q5" s="219"/>
    </row>
    <row r="6" spans="1:17" s="7" customFormat="1" ht="18" customHeight="1" thickBot="1" x14ac:dyDescent="0.25">
      <c r="A6" s="216" t="s">
        <v>27</v>
      </c>
      <c r="B6" s="217"/>
      <c r="C6" s="217"/>
      <c r="D6" s="217"/>
      <c r="E6" s="217"/>
      <c r="F6" s="218"/>
      <c r="G6" s="215" t="str">
        <f>' NotaPedido'!C6</f>
        <v>Ministerio de Gobierno, Justicia y Derechos Humanos.</v>
      </c>
      <c r="H6" s="215"/>
      <c r="I6" s="215"/>
      <c r="J6" s="215"/>
      <c r="K6" s="215"/>
      <c r="L6" s="215"/>
      <c r="M6" s="215"/>
      <c r="N6" s="215"/>
      <c r="O6" s="215"/>
      <c r="P6" s="215"/>
      <c r="Q6" s="215"/>
    </row>
    <row r="7" spans="1:17" s="7" customFormat="1" ht="44.25" customHeight="1" thickBot="1" x14ac:dyDescent="0.25">
      <c r="A7" s="216" t="s">
        <v>50</v>
      </c>
      <c r="B7" s="217"/>
      <c r="C7" s="217"/>
      <c r="D7" s="217"/>
      <c r="E7" s="217"/>
      <c r="F7" s="218"/>
      <c r="G7" s="221" t="s">
        <v>66</v>
      </c>
      <c r="H7" s="222"/>
      <c r="I7" s="222"/>
      <c r="J7" s="222"/>
      <c r="K7" s="222"/>
      <c r="L7" s="222"/>
      <c r="M7" s="222"/>
      <c r="N7" s="222"/>
      <c r="O7" s="222"/>
      <c r="P7" s="222"/>
      <c r="Q7" s="223"/>
    </row>
    <row r="8" spans="1:17" ht="18" customHeight="1" thickBot="1" x14ac:dyDescent="0.25">
      <c r="A8" s="220" t="s">
        <v>28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1:17" ht="18" customHeight="1" x14ac:dyDescent="0.2">
      <c r="A9" s="224" t="s">
        <v>29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15"/>
      <c r="P9" s="15"/>
      <c r="Q9" s="16"/>
    </row>
    <row r="10" spans="1:17" ht="54.75" customHeight="1" x14ac:dyDescent="0.2">
      <c r="A10" s="225" t="str">
        <f>"Autorizo la realización de los  trámites correspondientes, a fin de proveer a  este Organismo los bienes y/o servicios que se detallan en Nota  de Pedido N° " &amp; ' NotaPedido'!G2&amp;",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25/2022,  afectando la erogación resultante a los créditos presupuestarios aprobados a favor de esta Unidad Ejecutora, conforme al siguiente detalle:</v>
      </c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</row>
    <row r="11" spans="1:17" ht="9" customHeight="1" x14ac:dyDescent="0.2">
      <c r="A11" s="11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4"/>
    </row>
    <row r="12" spans="1:17" ht="15.75" customHeight="1" thickBot="1" x14ac:dyDescent="0.25">
      <c r="A12" s="226" t="s">
        <v>30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</row>
    <row r="13" spans="1:17" ht="15.75" customHeight="1" thickBot="1" x14ac:dyDescent="0.25">
      <c r="A13" s="226" t="s">
        <v>31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7"/>
      <c r="O13" s="228" t="s">
        <v>32</v>
      </c>
      <c r="P13" s="229"/>
      <c r="Q13" s="232" t="s">
        <v>33</v>
      </c>
    </row>
    <row r="14" spans="1:17" ht="15.75" customHeight="1" thickBot="1" x14ac:dyDescent="0.25">
      <c r="A14" s="135" t="s">
        <v>34</v>
      </c>
      <c r="B14" s="135" t="s">
        <v>35</v>
      </c>
      <c r="C14" s="135" t="s">
        <v>36</v>
      </c>
      <c r="D14" s="135" t="s">
        <v>37</v>
      </c>
      <c r="E14" s="135" t="s">
        <v>38</v>
      </c>
      <c r="F14" s="135" t="s">
        <v>39</v>
      </c>
      <c r="G14" s="136" t="s">
        <v>40</v>
      </c>
      <c r="H14" s="135" t="s">
        <v>41</v>
      </c>
      <c r="I14" s="135" t="s">
        <v>42</v>
      </c>
      <c r="J14" s="135" t="s">
        <v>43</v>
      </c>
      <c r="K14" s="135" t="s">
        <v>43</v>
      </c>
      <c r="L14" s="135" t="s">
        <v>44</v>
      </c>
      <c r="M14" s="135" t="s">
        <v>45</v>
      </c>
      <c r="N14" s="135" t="s">
        <v>46</v>
      </c>
      <c r="O14" s="230"/>
      <c r="P14" s="231"/>
      <c r="Q14" s="233"/>
    </row>
    <row r="15" spans="1:17" ht="24.75" customHeight="1" x14ac:dyDescent="0.2">
      <c r="A15" s="129">
        <v>1</v>
      </c>
      <c r="B15" s="130">
        <v>0</v>
      </c>
      <c r="C15" s="130">
        <v>0</v>
      </c>
      <c r="D15" s="130">
        <v>1</v>
      </c>
      <c r="E15" s="130">
        <v>0</v>
      </c>
      <c r="F15" s="130">
        <v>4901</v>
      </c>
      <c r="G15" s="130">
        <v>1</v>
      </c>
      <c r="H15" s="130">
        <v>3</v>
      </c>
      <c r="I15" s="130">
        <v>2</v>
      </c>
      <c r="J15" s="130">
        <v>3</v>
      </c>
      <c r="K15" s="130">
        <v>4</v>
      </c>
      <c r="L15" s="130">
        <v>0</v>
      </c>
      <c r="M15" s="131">
        <v>1</v>
      </c>
      <c r="N15" s="132">
        <v>111</v>
      </c>
      <c r="O15" s="234" t="s">
        <v>240</v>
      </c>
      <c r="P15" s="235"/>
      <c r="Q15" s="78">
        <v>3250</v>
      </c>
    </row>
    <row r="16" spans="1:17" ht="24.75" customHeight="1" x14ac:dyDescent="0.2">
      <c r="A16" s="129">
        <v>1</v>
      </c>
      <c r="B16" s="130">
        <v>0</v>
      </c>
      <c r="C16" s="130">
        <v>0</v>
      </c>
      <c r="D16" s="130">
        <v>1</v>
      </c>
      <c r="E16" s="130">
        <v>0</v>
      </c>
      <c r="F16" s="130">
        <v>4901</v>
      </c>
      <c r="G16" s="130">
        <v>1</v>
      </c>
      <c r="H16" s="130">
        <v>3</v>
      </c>
      <c r="I16" s="133">
        <v>2</v>
      </c>
      <c r="J16" s="133">
        <v>9</v>
      </c>
      <c r="K16" s="133">
        <v>2</v>
      </c>
      <c r="L16" s="130">
        <v>0</v>
      </c>
      <c r="M16" s="134">
        <v>1</v>
      </c>
      <c r="N16" s="134" t="s">
        <v>51</v>
      </c>
      <c r="O16" s="234" t="s">
        <v>241</v>
      </c>
      <c r="P16" s="235"/>
      <c r="Q16" s="78">
        <v>27015</v>
      </c>
    </row>
    <row r="17" spans="1:17" ht="24.75" customHeight="1" x14ac:dyDescent="0.2">
      <c r="A17" s="129">
        <v>5</v>
      </c>
      <c r="B17" s="130">
        <v>0</v>
      </c>
      <c r="C17" s="130">
        <v>0</v>
      </c>
      <c r="D17" s="130">
        <v>1</v>
      </c>
      <c r="E17" s="130">
        <v>0</v>
      </c>
      <c r="F17" s="130">
        <v>4901</v>
      </c>
      <c r="G17" s="130">
        <v>3</v>
      </c>
      <c r="H17" s="130">
        <v>2</v>
      </c>
      <c r="I17" s="130">
        <v>2</v>
      </c>
      <c r="J17" s="130">
        <v>3</v>
      </c>
      <c r="K17" s="130">
        <v>1</v>
      </c>
      <c r="L17" s="130">
        <v>0</v>
      </c>
      <c r="M17" s="134">
        <v>1</v>
      </c>
      <c r="N17" s="134" t="s">
        <v>51</v>
      </c>
      <c r="O17" s="236" t="s">
        <v>239</v>
      </c>
      <c r="P17" s="237"/>
      <c r="Q17" s="79">
        <v>22400</v>
      </c>
    </row>
    <row r="18" spans="1:17" ht="24.75" customHeight="1" x14ac:dyDescent="0.2">
      <c r="A18" s="129">
        <v>5</v>
      </c>
      <c r="B18" s="130">
        <v>0</v>
      </c>
      <c r="C18" s="130">
        <v>0</v>
      </c>
      <c r="D18" s="130">
        <v>1</v>
      </c>
      <c r="E18" s="130">
        <v>0</v>
      </c>
      <c r="F18" s="130">
        <v>4901</v>
      </c>
      <c r="G18" s="130">
        <v>3</v>
      </c>
      <c r="H18" s="130">
        <v>2</v>
      </c>
      <c r="I18" s="130">
        <v>2</v>
      </c>
      <c r="J18" s="130">
        <v>3</v>
      </c>
      <c r="K18" s="130">
        <v>4</v>
      </c>
      <c r="L18" s="130">
        <v>0</v>
      </c>
      <c r="M18" s="134">
        <v>1</v>
      </c>
      <c r="N18" s="134" t="s">
        <v>51</v>
      </c>
      <c r="O18" s="234" t="s">
        <v>240</v>
      </c>
      <c r="P18" s="235"/>
      <c r="Q18" s="79">
        <v>900</v>
      </c>
    </row>
    <row r="19" spans="1:17" ht="24.75" customHeight="1" x14ac:dyDescent="0.2">
      <c r="A19" s="129">
        <v>5</v>
      </c>
      <c r="B19" s="130">
        <v>0</v>
      </c>
      <c r="C19" s="130">
        <v>0</v>
      </c>
      <c r="D19" s="130">
        <v>1</v>
      </c>
      <c r="E19" s="130">
        <v>0</v>
      </c>
      <c r="F19" s="130">
        <v>4901</v>
      </c>
      <c r="G19" s="130">
        <v>3</v>
      </c>
      <c r="H19" s="130">
        <v>2</v>
      </c>
      <c r="I19" s="133">
        <v>2</v>
      </c>
      <c r="J19" s="133">
        <v>9</v>
      </c>
      <c r="K19" s="133">
        <v>2</v>
      </c>
      <c r="L19" s="130">
        <v>0</v>
      </c>
      <c r="M19" s="134">
        <v>1</v>
      </c>
      <c r="N19" s="134" t="s">
        <v>51</v>
      </c>
      <c r="O19" s="234" t="s">
        <v>241</v>
      </c>
      <c r="P19" s="235"/>
      <c r="Q19" s="79">
        <v>24320</v>
      </c>
    </row>
    <row r="20" spans="1:17" ht="24.75" customHeight="1" x14ac:dyDescent="0.2">
      <c r="A20" s="129">
        <v>6</v>
      </c>
      <c r="B20" s="130">
        <v>0</v>
      </c>
      <c r="C20" s="130">
        <v>0</v>
      </c>
      <c r="D20" s="130">
        <v>1</v>
      </c>
      <c r="E20" s="130">
        <v>0</v>
      </c>
      <c r="F20" s="130">
        <v>4901</v>
      </c>
      <c r="G20" s="130">
        <v>3</v>
      </c>
      <c r="H20" s="130">
        <v>2</v>
      </c>
      <c r="I20" s="130">
        <v>2</v>
      </c>
      <c r="J20" s="130">
        <v>3</v>
      </c>
      <c r="K20" s="130">
        <v>1</v>
      </c>
      <c r="L20" s="130">
        <v>0</v>
      </c>
      <c r="M20" s="134">
        <v>1</v>
      </c>
      <c r="N20" s="134" t="s">
        <v>51</v>
      </c>
      <c r="O20" s="236" t="s">
        <v>239</v>
      </c>
      <c r="P20" s="237"/>
      <c r="Q20" s="79">
        <v>20000</v>
      </c>
    </row>
    <row r="21" spans="1:17" ht="24.75" customHeight="1" x14ac:dyDescent="0.2">
      <c r="A21" s="129">
        <v>6</v>
      </c>
      <c r="B21" s="130">
        <v>0</v>
      </c>
      <c r="C21" s="130">
        <v>0</v>
      </c>
      <c r="D21" s="130">
        <v>1</v>
      </c>
      <c r="E21" s="130">
        <v>0</v>
      </c>
      <c r="F21" s="130">
        <v>4901</v>
      </c>
      <c r="G21" s="130">
        <v>3</v>
      </c>
      <c r="H21" s="130">
        <v>2</v>
      </c>
      <c r="I21" s="133">
        <v>2</v>
      </c>
      <c r="J21" s="133">
        <v>9</v>
      </c>
      <c r="K21" s="133">
        <v>2</v>
      </c>
      <c r="L21" s="130">
        <v>0</v>
      </c>
      <c r="M21" s="134">
        <v>1</v>
      </c>
      <c r="N21" s="134" t="s">
        <v>51</v>
      </c>
      <c r="O21" s="234" t="s">
        <v>241</v>
      </c>
      <c r="P21" s="235"/>
      <c r="Q21" s="79">
        <v>13400</v>
      </c>
    </row>
    <row r="22" spans="1:17" ht="24.75" customHeight="1" x14ac:dyDescent="0.2">
      <c r="A22" s="129">
        <v>18</v>
      </c>
      <c r="B22" s="130">
        <v>0</v>
      </c>
      <c r="C22" s="130">
        <v>0</v>
      </c>
      <c r="D22" s="130">
        <v>1</v>
      </c>
      <c r="E22" s="130">
        <v>0</v>
      </c>
      <c r="F22" s="130">
        <v>4901</v>
      </c>
      <c r="G22" s="130">
        <v>3</v>
      </c>
      <c r="H22" s="130">
        <v>2</v>
      </c>
      <c r="I22" s="130">
        <v>2</v>
      </c>
      <c r="J22" s="130">
        <v>3</v>
      </c>
      <c r="K22" s="130">
        <v>1</v>
      </c>
      <c r="L22" s="130">
        <v>0</v>
      </c>
      <c r="M22" s="134">
        <v>1</v>
      </c>
      <c r="N22" s="134" t="s">
        <v>51</v>
      </c>
      <c r="O22" s="236" t="s">
        <v>239</v>
      </c>
      <c r="P22" s="237"/>
      <c r="Q22" s="79">
        <v>48900</v>
      </c>
    </row>
    <row r="23" spans="1:17" ht="24.75" customHeight="1" x14ac:dyDescent="0.2">
      <c r="A23" s="129">
        <v>18</v>
      </c>
      <c r="B23" s="130">
        <v>0</v>
      </c>
      <c r="C23" s="130">
        <v>0</v>
      </c>
      <c r="D23" s="130">
        <v>1</v>
      </c>
      <c r="E23" s="130">
        <v>0</v>
      </c>
      <c r="F23" s="130">
        <v>4901</v>
      </c>
      <c r="G23" s="130">
        <v>3</v>
      </c>
      <c r="H23" s="130">
        <v>2</v>
      </c>
      <c r="I23" s="133">
        <v>2</v>
      </c>
      <c r="J23" s="133">
        <v>9</v>
      </c>
      <c r="K23" s="133">
        <v>2</v>
      </c>
      <c r="L23" s="130">
        <v>0</v>
      </c>
      <c r="M23" s="134">
        <v>1</v>
      </c>
      <c r="N23" s="134" t="s">
        <v>51</v>
      </c>
      <c r="O23" s="234" t="s">
        <v>241</v>
      </c>
      <c r="P23" s="235"/>
      <c r="Q23" s="79">
        <v>93400</v>
      </c>
    </row>
    <row r="24" spans="1:17" ht="24.75" customHeight="1" x14ac:dyDescent="0.2">
      <c r="A24" s="129">
        <v>20</v>
      </c>
      <c r="B24" s="130">
        <v>0</v>
      </c>
      <c r="C24" s="130">
        <v>0</v>
      </c>
      <c r="D24" s="130">
        <v>1</v>
      </c>
      <c r="E24" s="130">
        <v>0</v>
      </c>
      <c r="F24" s="130">
        <v>4901</v>
      </c>
      <c r="G24" s="130">
        <v>3</v>
      </c>
      <c r="H24" s="130">
        <v>6</v>
      </c>
      <c r="I24" s="130">
        <v>2</v>
      </c>
      <c r="J24" s="130">
        <v>3</v>
      </c>
      <c r="K24" s="130">
        <v>1</v>
      </c>
      <c r="L24" s="130">
        <v>0</v>
      </c>
      <c r="M24" s="134">
        <v>1</v>
      </c>
      <c r="N24" s="134" t="s">
        <v>51</v>
      </c>
      <c r="O24" s="236" t="s">
        <v>239</v>
      </c>
      <c r="P24" s="237"/>
      <c r="Q24" s="79">
        <v>26650</v>
      </c>
    </row>
    <row r="25" spans="1:17" ht="24.75" customHeight="1" x14ac:dyDescent="0.2">
      <c r="A25" s="129">
        <v>20</v>
      </c>
      <c r="B25" s="130">
        <v>0</v>
      </c>
      <c r="C25" s="130">
        <v>0</v>
      </c>
      <c r="D25" s="130">
        <v>1</v>
      </c>
      <c r="E25" s="130">
        <v>0</v>
      </c>
      <c r="F25" s="130">
        <v>4901</v>
      </c>
      <c r="G25" s="130">
        <v>3</v>
      </c>
      <c r="H25" s="130">
        <v>6</v>
      </c>
      <c r="I25" s="133">
        <v>2</v>
      </c>
      <c r="J25" s="133">
        <v>9</v>
      </c>
      <c r="K25" s="133">
        <v>2</v>
      </c>
      <c r="L25" s="130">
        <v>0</v>
      </c>
      <c r="M25" s="134">
        <v>1</v>
      </c>
      <c r="N25" s="134" t="s">
        <v>51</v>
      </c>
      <c r="O25" s="234" t="s">
        <v>241</v>
      </c>
      <c r="P25" s="235"/>
      <c r="Q25" s="79">
        <v>6580</v>
      </c>
    </row>
    <row r="26" spans="1:17" ht="24.75" customHeight="1" x14ac:dyDescent="0.2">
      <c r="A26" s="129">
        <v>22</v>
      </c>
      <c r="B26" s="130">
        <v>0</v>
      </c>
      <c r="C26" s="130">
        <v>0</v>
      </c>
      <c r="D26" s="130">
        <v>1</v>
      </c>
      <c r="E26" s="130">
        <v>0</v>
      </c>
      <c r="F26" s="130">
        <v>4901</v>
      </c>
      <c r="G26" s="130">
        <v>1</v>
      </c>
      <c r="H26" s="130">
        <v>9</v>
      </c>
      <c r="I26" s="130">
        <v>2</v>
      </c>
      <c r="J26" s="130">
        <v>3</v>
      </c>
      <c r="K26" s="130">
        <v>1</v>
      </c>
      <c r="L26" s="130">
        <v>0</v>
      </c>
      <c r="M26" s="134">
        <v>1</v>
      </c>
      <c r="N26" s="134" t="s">
        <v>51</v>
      </c>
      <c r="O26" s="236" t="s">
        <v>239</v>
      </c>
      <c r="P26" s="237"/>
      <c r="Q26" s="79">
        <v>721000</v>
      </c>
    </row>
    <row r="27" spans="1:17" ht="24.75" customHeight="1" x14ac:dyDescent="0.2">
      <c r="A27" s="129">
        <v>22</v>
      </c>
      <c r="B27" s="130">
        <v>0</v>
      </c>
      <c r="C27" s="130">
        <v>0</v>
      </c>
      <c r="D27" s="130">
        <v>1</v>
      </c>
      <c r="E27" s="130">
        <v>0</v>
      </c>
      <c r="F27" s="130">
        <v>4901</v>
      </c>
      <c r="G27" s="130">
        <v>1</v>
      </c>
      <c r="H27" s="130">
        <v>9</v>
      </c>
      <c r="I27" s="130">
        <v>2</v>
      </c>
      <c r="J27" s="130">
        <v>3</v>
      </c>
      <c r="K27" s="130">
        <v>4</v>
      </c>
      <c r="L27" s="130">
        <v>0</v>
      </c>
      <c r="M27" s="134">
        <v>1</v>
      </c>
      <c r="N27" s="134" t="s">
        <v>51</v>
      </c>
      <c r="O27" s="234" t="s">
        <v>240</v>
      </c>
      <c r="P27" s="235"/>
      <c r="Q27" s="79">
        <v>6250</v>
      </c>
    </row>
    <row r="28" spans="1:17" ht="24.75" customHeight="1" x14ac:dyDescent="0.2">
      <c r="A28" s="129">
        <v>22</v>
      </c>
      <c r="B28" s="130">
        <v>0</v>
      </c>
      <c r="C28" s="130">
        <v>0</v>
      </c>
      <c r="D28" s="130">
        <v>1</v>
      </c>
      <c r="E28" s="130">
        <v>0</v>
      </c>
      <c r="F28" s="130">
        <v>4901</v>
      </c>
      <c r="G28" s="130">
        <v>1</v>
      </c>
      <c r="H28" s="130">
        <v>9</v>
      </c>
      <c r="I28" s="133">
        <v>2</v>
      </c>
      <c r="J28" s="133">
        <v>9</v>
      </c>
      <c r="K28" s="133">
        <v>2</v>
      </c>
      <c r="L28" s="130">
        <v>0</v>
      </c>
      <c r="M28" s="134">
        <v>1</v>
      </c>
      <c r="N28" s="134" t="s">
        <v>51</v>
      </c>
      <c r="O28" s="234" t="s">
        <v>241</v>
      </c>
      <c r="P28" s="235"/>
      <c r="Q28" s="79">
        <v>330820</v>
      </c>
    </row>
    <row r="29" spans="1:17" ht="24.75" customHeight="1" x14ac:dyDescent="0.2">
      <c r="A29" s="129">
        <v>23</v>
      </c>
      <c r="B29" s="130">
        <v>0</v>
      </c>
      <c r="C29" s="130">
        <v>0</v>
      </c>
      <c r="D29" s="130">
        <v>1</v>
      </c>
      <c r="E29" s="130">
        <v>0</v>
      </c>
      <c r="F29" s="130">
        <v>4901</v>
      </c>
      <c r="G29" s="130">
        <v>1</v>
      </c>
      <c r="H29" s="130">
        <v>9</v>
      </c>
      <c r="I29" s="130">
        <v>2</v>
      </c>
      <c r="J29" s="130">
        <v>3</v>
      </c>
      <c r="K29" s="130">
        <v>1</v>
      </c>
      <c r="L29" s="130">
        <v>0</v>
      </c>
      <c r="M29" s="134">
        <v>1</v>
      </c>
      <c r="N29" s="134" t="s">
        <v>51</v>
      </c>
      <c r="O29" s="236" t="s">
        <v>239</v>
      </c>
      <c r="P29" s="237"/>
      <c r="Q29" s="79">
        <v>164000</v>
      </c>
    </row>
    <row r="30" spans="1:17" ht="24.75" customHeight="1" x14ac:dyDescent="0.2">
      <c r="A30" s="129">
        <v>23</v>
      </c>
      <c r="B30" s="130">
        <v>0</v>
      </c>
      <c r="C30" s="130">
        <v>0</v>
      </c>
      <c r="D30" s="130">
        <v>1</v>
      </c>
      <c r="E30" s="130">
        <v>0</v>
      </c>
      <c r="F30" s="130">
        <v>4901</v>
      </c>
      <c r="G30" s="130">
        <v>1</v>
      </c>
      <c r="H30" s="130">
        <v>9</v>
      </c>
      <c r="I30" s="130">
        <v>2</v>
      </c>
      <c r="J30" s="130">
        <v>3</v>
      </c>
      <c r="K30" s="130">
        <v>4</v>
      </c>
      <c r="L30" s="130">
        <v>0</v>
      </c>
      <c r="M30" s="134">
        <v>1</v>
      </c>
      <c r="N30" s="134" t="s">
        <v>51</v>
      </c>
      <c r="O30" s="234" t="s">
        <v>240</v>
      </c>
      <c r="P30" s="235"/>
      <c r="Q30" s="79">
        <v>8000</v>
      </c>
    </row>
    <row r="31" spans="1:17" ht="24.75" customHeight="1" x14ac:dyDescent="0.2">
      <c r="A31" s="129">
        <v>23</v>
      </c>
      <c r="B31" s="130">
        <v>0</v>
      </c>
      <c r="C31" s="130">
        <v>0</v>
      </c>
      <c r="D31" s="130">
        <v>1</v>
      </c>
      <c r="E31" s="130">
        <v>0</v>
      </c>
      <c r="F31" s="130">
        <v>4901</v>
      </c>
      <c r="G31" s="130">
        <v>1</v>
      </c>
      <c r="H31" s="130">
        <v>9</v>
      </c>
      <c r="I31" s="133">
        <v>2</v>
      </c>
      <c r="J31" s="133">
        <v>9</v>
      </c>
      <c r="K31" s="133">
        <v>2</v>
      </c>
      <c r="L31" s="130">
        <v>0</v>
      </c>
      <c r="M31" s="134">
        <v>1</v>
      </c>
      <c r="N31" s="134" t="s">
        <v>51</v>
      </c>
      <c r="O31" s="234" t="s">
        <v>241</v>
      </c>
      <c r="P31" s="235"/>
      <c r="Q31" s="79">
        <v>117820</v>
      </c>
    </row>
    <row r="32" spans="1:17" ht="24.75" customHeight="1" x14ac:dyDescent="0.2">
      <c r="A32" s="129">
        <v>27</v>
      </c>
      <c r="B32" s="130">
        <v>0</v>
      </c>
      <c r="C32" s="130">
        <v>0</v>
      </c>
      <c r="D32" s="130">
        <v>1</v>
      </c>
      <c r="E32" s="130">
        <v>0</v>
      </c>
      <c r="F32" s="130">
        <v>4901</v>
      </c>
      <c r="G32" s="130">
        <v>1</v>
      </c>
      <c r="H32" s="130">
        <v>5</v>
      </c>
      <c r="I32" s="130">
        <v>2</v>
      </c>
      <c r="J32" s="130">
        <v>3</v>
      </c>
      <c r="K32" s="130">
        <v>1</v>
      </c>
      <c r="L32" s="130">
        <v>0</v>
      </c>
      <c r="M32" s="134">
        <v>1</v>
      </c>
      <c r="N32" s="134" t="s">
        <v>51</v>
      </c>
      <c r="O32" s="236" t="s">
        <v>239</v>
      </c>
      <c r="P32" s="237"/>
      <c r="Q32" s="79">
        <v>20000</v>
      </c>
    </row>
    <row r="33" spans="1:19" ht="24.75" customHeight="1" x14ac:dyDescent="0.2">
      <c r="A33" s="129">
        <v>27</v>
      </c>
      <c r="B33" s="130">
        <v>0</v>
      </c>
      <c r="C33" s="130">
        <v>0</v>
      </c>
      <c r="D33" s="130">
        <v>1</v>
      </c>
      <c r="E33" s="130">
        <v>0</v>
      </c>
      <c r="F33" s="130">
        <v>4901</v>
      </c>
      <c r="G33" s="130">
        <v>1</v>
      </c>
      <c r="H33" s="130">
        <v>5</v>
      </c>
      <c r="I33" s="133">
        <v>2</v>
      </c>
      <c r="J33" s="133">
        <v>9</v>
      </c>
      <c r="K33" s="133">
        <v>2</v>
      </c>
      <c r="L33" s="130">
        <v>0</v>
      </c>
      <c r="M33" s="134">
        <v>1</v>
      </c>
      <c r="N33" s="134" t="s">
        <v>51</v>
      </c>
      <c r="O33" s="234" t="s">
        <v>241</v>
      </c>
      <c r="P33" s="235"/>
      <c r="Q33" s="79">
        <v>26275</v>
      </c>
    </row>
    <row r="34" spans="1:19" ht="17.25" customHeight="1" x14ac:dyDescent="0.2">
      <c r="A34" s="18"/>
      <c r="B34" s="19"/>
      <c r="C34" s="19"/>
      <c r="D34" s="19"/>
      <c r="E34" s="19"/>
      <c r="F34" s="20"/>
      <c r="G34" s="19"/>
      <c r="H34" s="19"/>
      <c r="I34" s="19"/>
      <c r="J34" s="19"/>
      <c r="K34" s="19"/>
      <c r="L34" s="19"/>
      <c r="M34" s="21"/>
      <c r="N34" s="22"/>
      <c r="O34" s="241"/>
      <c r="P34" s="242"/>
      <c r="Q34" s="17"/>
      <c r="R34" s="1"/>
    </row>
    <row r="35" spans="1:19" ht="17.25" customHeight="1" x14ac:dyDescent="0.2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5"/>
      <c r="N35" s="25"/>
      <c r="O35" s="243"/>
      <c r="P35" s="244"/>
      <c r="Q35" s="26"/>
    </row>
    <row r="36" spans="1:19" ht="33.75" customHeight="1" x14ac:dyDescent="0.2">
      <c r="A36" s="245" t="s">
        <v>251</v>
      </c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7">
        <f>SUM(Q15:Q35)</f>
        <v>1680980</v>
      </c>
    </row>
    <row r="37" spans="1:19" ht="18" customHeight="1" thickBot="1" x14ac:dyDescent="0.25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</row>
    <row r="38" spans="1:19" ht="17.25" customHeight="1" thickBot="1" x14ac:dyDescent="0.25">
      <c r="A38" s="206" t="s">
        <v>47</v>
      </c>
      <c r="B38" s="207"/>
      <c r="C38" s="207"/>
      <c r="D38" s="207"/>
      <c r="E38" s="207"/>
      <c r="F38" s="20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</row>
    <row r="39" spans="1:19" ht="18" customHeight="1" thickBot="1" x14ac:dyDescent="0.25">
      <c r="A39" s="239" t="str">
        <f>' NotaPedido'!C9</f>
        <v>ADQ. DE ELEMTOS DE LIBRERIA DESTINADOS A LAS DISTINTAS DEPENDENCIAS DEL MINISTERIO DE GOBIERNO JUSTICIA Y DERECHOS HUMANOS, 
PARA EL 2do TRIMESTRE DEL AÑO 2022.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</row>
    <row r="40" spans="1:19" ht="28.5" customHeight="1" thickBot="1" x14ac:dyDescent="0.25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</row>
    <row r="41" spans="1:19" ht="15.75" thickBot="1" x14ac:dyDescent="0.25">
      <c r="A41" s="206" t="s">
        <v>52</v>
      </c>
      <c r="B41" s="207"/>
      <c r="C41" s="207"/>
      <c r="D41" s="207"/>
      <c r="E41" s="207"/>
      <c r="F41" s="208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10"/>
      <c r="S41" s="10"/>
    </row>
    <row r="42" spans="1:19" ht="13.5" customHeight="1" thickBot="1" x14ac:dyDescent="0.25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6"/>
    </row>
    <row r="43" spans="1:19" ht="13.5" customHeight="1" x14ac:dyDescent="0.2"/>
    <row r="44" spans="1:19" ht="13.5" customHeight="1" x14ac:dyDescent="0.2"/>
  </sheetData>
  <mergeCells count="46">
    <mergeCell ref="O32:P32"/>
    <mergeCell ref="O33:P33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A38:F38"/>
    <mergeCell ref="G38:Q38"/>
    <mergeCell ref="A39:Q40"/>
    <mergeCell ref="O34:P34"/>
    <mergeCell ref="O35:P35"/>
    <mergeCell ref="A36:P36"/>
    <mergeCell ref="A37:Q37"/>
    <mergeCell ref="A12:Q12"/>
    <mergeCell ref="A13:N13"/>
    <mergeCell ref="O13:P14"/>
    <mergeCell ref="Q13:Q14"/>
    <mergeCell ref="O21:P21"/>
    <mergeCell ref="O19:P19"/>
    <mergeCell ref="O20:P20"/>
    <mergeCell ref="O15:P15"/>
    <mergeCell ref="O16:P16"/>
    <mergeCell ref="O17:P17"/>
    <mergeCell ref="O18:P18"/>
    <mergeCell ref="A41:F41"/>
    <mergeCell ref="G41:Q41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</mergeCells>
  <phoneticPr fontId="15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APG</vt:lpstr>
      <vt:lpstr>' NotaPedido'!Área_de_impresión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2020-07-17T22:18:48Z</cp:lastPrinted>
  <dcterms:created xsi:type="dcterms:W3CDTF">2020-07-17T23:44:49Z</dcterms:created>
  <dcterms:modified xsi:type="dcterms:W3CDTF">2022-03-25T14:14:01Z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