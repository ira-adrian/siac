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Trimestrales'!$A$9:$I$30</definedName>
    <definedName name="_xlnm.Print_Area" localSheetId="2">'Autor Gastar'!$A$1:$Q$26</definedName>
    <definedName name="_xlnm.Print_Area" localSheetId="1">NotaPedido!$A$1:$K$33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A25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J33" i="2" l="1"/>
  <c r="G6" i="3" l="1"/>
  <c r="G7" i="3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<sst xmlns="http://schemas.openxmlformats.org/spreadsheetml/2006/main" count="187" uniqueCount="120">
  <si>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</si>
  <si>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</si>
  <si>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</si>
  <si>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</si>
  <si>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</si>
  <si>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</si>
  <si>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</si>
  <si>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</si>
  <si>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</si>
  <si>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</si>
  <si>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</si>
  <si>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</si>
  <si>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</si>
  <si>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</si>
  <si>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</si>
  <si>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</si>
  <si>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</si>
  <si>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</si>
  <si>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</si>
  <si>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</si>
  <si>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</si>
  <si>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</si>
  <si>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</si>
  <si>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</si>
  <si>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</si>
  <si>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</si>
  <si>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</si>
  <si>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</si>
  <si>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</si>
  <si>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</si>
  <si>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</si>
  <si>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</si>
  <si>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</si>
  <si>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</si>
  <si>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</si>
  <si>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</si>
  <si>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</si>
  <si>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</si>
  <si>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</si>
  <si>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</si>
  <si>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</si>
  <si>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</si>
  <si>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</si>
  <si>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</si>
  <si>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</si>
  <si>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</si>
  <si>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</si>
  <si>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</si>
  <si>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</si>
  <si>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</si>
  <si>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</si>
  <si>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</si>
  <si>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</si>
  <si>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</si>
  <si>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</si>
  <si>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</si>
  <si>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>3.1</t>
  </si>
  <si>
    <t>1.1</t>
  </si>
  <si>
    <t>Utiles Menores Med. Quir. y de Lab.</t>
  </si>
  <si>
    <t xml:space="preserve">SEMESTRAL </t>
  </si>
  <si>
    <t>2.9.5-9265.3</t>
  </si>
  <si>
    <t>PROD. MEDICO/FARMACEUTICOS/LAB</t>
  </si>
  <si>
    <t>BOLSAS P/HEMOTERAPIA; TIPO: TRIPLE P/ EXTRACCION DE SANGRE, CAPACIDAD: 450 mL, ACCESORIO: GUIA + AGUJA</t>
  </si>
  <si>
    <t>UNIDAD</t>
  </si>
  <si>
    <t>2.9.5-2694.24</t>
  </si>
  <si>
    <t>BOLSAS P/TRANSFUSIONES SANGRE; CAPACIDAD: 400 mL, SOLUCIONES: SIN, TIPO: TRANSFERENCIA</t>
  </si>
  <si>
    <t>2.9.5-7900.10</t>
  </si>
  <si>
    <t>BOLSAS P/ILEOSTOMIA; MATERIAL: PLASTICO DESCARTABLE, MEDIDA: SIN VALOR</t>
  </si>
  <si>
    <t>2.9.5-8220.15</t>
  </si>
  <si>
    <t>CANASTILLAS DE DORMIA; TIPO: HELICOIDAL, DIMENSION: 2.8 mm, USO: P/EXTRACCION DE CALCULOS</t>
  </si>
  <si>
    <t>2.9.5-2161.586</t>
  </si>
  <si>
    <t>CATETERES/SONDAS; NUMERO: 4,7 FR X 26 CM, TIPO: DOBLE J COOK</t>
  </si>
  <si>
    <t>2.9.5-2161.147</t>
  </si>
  <si>
    <t>CATETERES/SONDAS; NUMERO: 3, TIPO: FOGARTY</t>
  </si>
  <si>
    <t>2.9.5-2161.519</t>
  </si>
  <si>
    <t>CATETERES/SONDAS; NUMERO: 4 , TIPO: FOGARTY</t>
  </si>
  <si>
    <t>2.9.5-2161.148</t>
  </si>
  <si>
    <t>CATETERES/SONDAS; NUMERO: 5, TIPO: FOGARTY</t>
  </si>
  <si>
    <t>2.9.5-2161.358</t>
  </si>
  <si>
    <t>CATETERES/SONDAS; NUMERO: 12 FR X 20 CM , TIPO: DOBLE LUMEN HEMODIALISIS SUBCLAVIA</t>
  </si>
  <si>
    <t>2.9.5-2161.568</t>
  </si>
  <si>
    <t>CATETERES/SONDAS; NUMERO: SEGÚN PLIEGO, TIPO: PERMANENTE PORT-A- CATH</t>
  </si>
  <si>
    <t>2.9.5-5294.5</t>
  </si>
  <si>
    <t>CERAS P/HUESOS; USO: HEMOSTASIA, PRESENTACION: UNIDAD ESTERIL DE 2,5 GR</t>
  </si>
  <si>
    <t>2.9.5-6379.9</t>
  </si>
  <si>
    <t>CLAVIJAS DE CIRUGÍA; TIPO: STEIMANN; DIÁMETRO: 3,5 MM; MATERIAL: ACERO INOXIDABLE; PRESENTACIÓN: UNIDAD</t>
  </si>
  <si>
    <t>2.9.5-6379.7</t>
  </si>
  <si>
    <t>CLAVIJAS DE CIRUGIA; TIPO: STEIMANN, MATERIAL: ACERO INOXIDABLE, DIAMETRO: 4 mm, PRESENTACION: UNIDAD</t>
  </si>
  <si>
    <t>2.9.5-6286.11</t>
  </si>
  <si>
    <t>HEMOSTATICOS ABSORBIBLES; TIPO: TOPICO, MEDIDA: 5 X 7,5 Cm, PRESENTACION: UNIDAD</t>
  </si>
  <si>
    <t>2.9.5-448.45</t>
  </si>
  <si>
    <t>FRASCOS ESTERILES; CAPACIDAD: 2500 mL, PRESENTACION: UNIDAD, GRABADO: SIN, USO: DRENAJE</t>
  </si>
  <si>
    <t>2.9.5-6509.23</t>
  </si>
  <si>
    <t>SET DE TUBULADURA; USO: P/EQUIPO DE HEMODIALISIS, PRESENTACION: UNIDAD, TIPO: ARTERIAL</t>
  </si>
  <si>
    <t>2.9.5-6509.17</t>
  </si>
  <si>
    <t>SET DE TUBULADURA; USO: P/EQUIPO DE HEMODIALISIS, PRESENTACION: UNIDAD, TIPO: VENOSA</t>
  </si>
  <si>
    <t>2.9.5-7517.6</t>
  </si>
  <si>
    <t>MALLAS P/EVENTRACCIÓN; MEDIDA: 30 X 30 CM; TIPO: VICRYL; MATERIAL: POLIGLACTINA; USO: CIRUGÍA</t>
  </si>
  <si>
    <t>2.9.5-2161.564</t>
  </si>
  <si>
    <t>CATÉTERES/SONDAS; NÚMERO: 16 FRENCH; TIPO: SET MALECOT P/NEFROSTOMÍA COOK</t>
  </si>
  <si>
    <t>2.9.5-2161.159</t>
  </si>
  <si>
    <t>CATETERES/SONDAS; NUMERO: K108, TIPO: ALIMENTACION ENTERAL</t>
  </si>
  <si>
    <t>2.9.5-6286.5</t>
  </si>
  <si>
    <t>HEMOSTATICOS ABSORBIBLES; TIPO: SURGIEL, MEDIDA: 5 X 7,5 Cm, PRESENTACION: UNIDAD</t>
  </si>
  <si>
    <t xml:space="preserve">Adquisición de Descartables Complejos 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</si>
  <si>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PRESENTES INSUMOS: UN PLAZO NO MENOR A 12 MESES DE LA FECHA DE RECEPCION</t>
  </si>
  <si>
    <t xml:space="preserve">PLAZO DE MANTENIMIENTO DE LA OFERTA: 45 DIAS HABILES </t>
  </si>
  <si>
    <t>PLAZO DE ENTREGA: 15 DIAS HABILES - SERVICIO DE FARMACIA - ADVA. ILLIA Y MARIANO MORENO - DE LUNES A VIERNES DE 08:00 A 11:00 HORAS DEBIENDO CORRER LOS GASTOS DE FLETES, ACARREO, CARGA, DESCARGA Y SEGURO A CARGO DEL ADJUDICATARIO.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</si>
  <si>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NUM 1 CON CFD-SADMAN ( CITRATO,FOSFATO,DEXTROSA , CLORURO SODICO, ADENINA, DEXTROSA, MANITOL )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</si>
  <si>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 xml:space="preserve">: ITEMS 3  TIPO COLOPLAST COD 5985 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</si>
  <si>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4  TIPO FUJIFILM MEDWORCK 2,8 mm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</si>
  <si>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:ITEMS 5 y 19  tipo COOK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</si>
  <si>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14  TIPO SPONGOSTAN ESTÁNDAR 5 X 7 X 1 CM ETHICON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</si>
  <si>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 xml:space="preserve">: ITEMS 16 GUIA ARTERIAL CON  HEPARINA Y TRANSDUCTOR DE PRESION P 0.8 TIPO NIPRO 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</si>
  <si>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17  GUIA VENOSA Y TRANSDUCTOR DE PRESION P 0.8 TIPO NIPRO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</si>
  <si>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 18  TIPO ETHICON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</si>
  <si>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20 TIPO RIVERO</t>
    </r>
  </si>
  <si>
    <t>TOTAL DE PESOS: SEIS MILLONES NOVECIENTOS CUARENTA Y TRES MIL CUATROCIENTOS TREINTA Y CINCO CON 20/100.---</t>
  </si>
  <si>
    <t>Costo total estimado: SEIS MILLONES NOVECIENTOS CUARENTA Y TRES MIL CUATROCIENTOS TREINTA Y CINCO CON 20/100.-</t>
  </si>
  <si>
    <t>NOTA DE PEDIDO 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</si>
</sst>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&quot;$&quot;* #,##0.00_-;\-&quot;$&quot;* #,##0.00_-;_-&quot;$&quot;* &quot;-&quot;??_-;_-@_-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9"/>
      <color rgb="FF000000"/>
      <name val="Arial"/>
      <family val="2"/>
    </font>
    <font>
      <sz val="9"/>
      <color rgb="FF424242"/>
      <name val="Arial"/>
      <family val="2"/>
    </font>
    <font>
      <sz val="9"/>
      <color theme="1"/>
      <name val="Roboto"/>
    </font>
    <font>
      <sz val="9"/>
      <color theme="1"/>
      <name val="Arial"/>
      <family val="2"/>
    </font>
    <font>
      <sz val="8"/>
      <name val="Arial"/>
      <family val="2"/>
    </font>
    <font>
      <b/>
      <sz val="7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C000"/>
      </patternFill>
    </fill>
  </fills>
  <borders count="5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8" xfId="0" applyFont="1" applyBorder="1" applyAlignment="1">
      <alignment horizontal="right" vertical="center"/>
    </xf>
    <xf numFmtId="0" fontId="5" fillId="0" borderId="1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7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8" xfId="0" applyBorder="1"/>
    <xf numFmtId="0" fontId="0" fillId="0" borderId="23" xfId="0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24" xfId="0" applyBorder="1"/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7" xfId="0" applyFont="1" applyBorder="1" applyAlignment="1">
      <alignment horizontal="left" vertical="center"/>
    </xf>
    <xf numFmtId="0" fontId="13" fillId="0" borderId="28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6" fontId="0" fillId="0" borderId="32" xfId="3" applyNumberFormat="1" applyFont="1" applyBorder="1" applyAlignment="1" applyProtection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166" fontId="13" fillId="0" borderId="42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12" xfId="0" applyFont="1" applyBorder="1" applyAlignment="1">
      <alignment horizontal="center" vertical="center" wrapText="1"/>
    </xf>
    <xf numFmtId="0" fontId="22" fillId="3" borderId="0" xfId="0" applyFont="1" applyFill="1" applyAlignment="1">
      <alignment horizontal="left" wrapText="1" indent="1"/>
    </xf>
    <xf numFmtId="0" fontId="19" fillId="4" borderId="0" xfId="0" applyFont="1" applyFill="1" applyAlignment="1">
      <alignment horizontal="left" wrapText="1"/>
    </xf>
    <xf numFmtId="0" fontId="6" fillId="3" borderId="9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 wrapText="1"/>
    </xf>
    <xf numFmtId="166" fontId="4" fillId="4" borderId="17" xfId="1" applyNumberFormat="1" applyFont="1" applyFill="1" applyBorder="1" applyAlignment="1" applyProtection="1">
      <alignment horizontal="right" vertical="center" wrapText="1"/>
    </xf>
    <xf numFmtId="3" fontId="4" fillId="4" borderId="17" xfId="0" applyNumberFormat="1" applyFont="1" applyFill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166" fontId="0" fillId="0" borderId="0" xfId="0" applyNumberFormat="1"/>
    <xf numFmtId="0" fontId="15" fillId="5" borderId="2" xfId="0" applyFont="1" applyFill="1" applyBorder="1" applyAlignment="1">
      <alignment vertical="center"/>
    </xf>
    <xf numFmtId="0" fontId="15" fillId="5" borderId="3" xfId="0" applyFont="1" applyFill="1" applyBorder="1" applyAlignment="1">
      <alignment vertical="center"/>
    </xf>
    <xf numFmtId="0" fontId="15" fillId="5" borderId="4" xfId="0" applyFont="1" applyFill="1" applyBorder="1" applyAlignment="1">
      <alignment vertical="center"/>
    </xf>
    <xf numFmtId="0" fontId="21" fillId="5" borderId="5" xfId="0" applyFont="1" applyFill="1" applyBorder="1" applyAlignment="1">
      <alignment vertical="center"/>
    </xf>
    <xf numFmtId="0" fontId="15" fillId="5" borderId="0" xfId="0" applyFont="1" applyFill="1" applyBorder="1" applyAlignment="1">
      <alignment vertical="center"/>
    </xf>
    <xf numFmtId="0" fontId="15" fillId="5" borderId="6" xfId="0" applyFont="1" applyFill="1" applyBorder="1" applyAlignment="1">
      <alignment vertical="center"/>
    </xf>
    <xf numFmtId="0" fontId="15" fillId="5" borderId="7" xfId="0" applyFont="1" applyFill="1" applyBorder="1" applyAlignment="1">
      <alignment vertical="center"/>
    </xf>
    <xf numFmtId="0" fontId="23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left" vertical="center"/>
    </xf>
    <xf numFmtId="0" fontId="23" fillId="4" borderId="46" xfId="0" applyFont="1" applyFill="1" applyBorder="1" applyAlignment="1">
      <alignment horizontal="left" vertical="center" wrapText="1"/>
    </xf>
    <xf numFmtId="0" fontId="24" fillId="4" borderId="46" xfId="0" applyFont="1" applyFill="1" applyBorder="1" applyAlignment="1">
      <alignment horizontal="center" vertical="center" wrapText="1"/>
    </xf>
    <xf numFmtId="0" fontId="23" fillId="4" borderId="46" xfId="0" applyFont="1" applyFill="1" applyBorder="1" applyAlignment="1">
      <alignment vertical="center" wrapText="1"/>
    </xf>
    <xf numFmtId="3" fontId="23" fillId="4" borderId="46" xfId="0" applyNumberFormat="1" applyFont="1" applyFill="1" applyBorder="1" applyAlignment="1">
      <alignment horizontal="center" vertical="center"/>
    </xf>
    <xf numFmtId="44" fontId="23" fillId="4" borderId="47" xfId="1" applyNumberFormat="1" applyFont="1" applyFill="1" applyBorder="1" applyAlignment="1">
      <alignment horizontal="center" vertical="center"/>
    </xf>
    <xf numFmtId="169" fontId="23" fillId="3" borderId="46" xfId="1" applyNumberFormat="1" applyFont="1" applyFill="1" applyBorder="1" applyAlignment="1" applyProtection="1">
      <alignment horizontal="right" vertical="center" wrapText="1"/>
    </xf>
    <xf numFmtId="0" fontId="23" fillId="4" borderId="48" xfId="0" applyFont="1" applyFill="1" applyBorder="1" applyAlignment="1">
      <alignment horizontal="left" vertical="center"/>
    </xf>
    <xf numFmtId="0" fontId="23" fillId="4" borderId="48" xfId="0" applyFont="1" applyFill="1" applyBorder="1" applyAlignment="1">
      <alignment horizontal="left" vertical="center" wrapText="1"/>
    </xf>
    <xf numFmtId="0" fontId="24" fillId="4" borderId="48" xfId="0" applyFont="1" applyFill="1" applyBorder="1" applyAlignment="1">
      <alignment horizontal="center" vertical="center" wrapText="1"/>
    </xf>
    <xf numFmtId="0" fontId="23" fillId="4" borderId="48" xfId="0" applyFont="1" applyFill="1" applyBorder="1" applyAlignment="1">
      <alignment vertical="center" wrapText="1"/>
    </xf>
    <xf numFmtId="0" fontId="23" fillId="4" borderId="48" xfId="0" applyFont="1" applyFill="1" applyBorder="1" applyAlignment="1">
      <alignment horizontal="center" vertical="center"/>
    </xf>
    <xf numFmtId="3" fontId="23" fillId="4" borderId="48" xfId="0" applyNumberFormat="1" applyFont="1" applyFill="1" applyBorder="1" applyAlignment="1">
      <alignment horizontal="center" vertical="center"/>
    </xf>
    <xf numFmtId="44" fontId="23" fillId="4" borderId="49" xfId="1" applyNumberFormat="1" applyFont="1" applyFill="1" applyBorder="1" applyAlignment="1">
      <alignment horizontal="center" vertical="center"/>
    </xf>
    <xf numFmtId="0" fontId="23" fillId="4" borderId="48" xfId="0" applyFont="1" applyFill="1" applyBorder="1" applyAlignment="1">
      <alignment vertical="center"/>
    </xf>
    <xf numFmtId="0" fontId="25" fillId="6" borderId="48" xfId="0" applyFont="1" applyFill="1" applyBorder="1" applyAlignment="1">
      <alignment horizontal="left" vertical="center"/>
    </xf>
    <xf numFmtId="0" fontId="26" fillId="6" borderId="48" xfId="0" applyFont="1" applyFill="1" applyBorder="1" applyAlignment="1">
      <alignment vertical="center" wrapText="1"/>
    </xf>
    <xf numFmtId="0" fontId="23" fillId="4" borderId="0" xfId="0" applyFont="1" applyFill="1" applyBorder="1" applyAlignment="1">
      <alignment horizontal="left" vertical="center"/>
    </xf>
    <xf numFmtId="0" fontId="23" fillId="4" borderId="50" xfId="0" applyFont="1" applyFill="1" applyBorder="1" applyAlignment="1">
      <alignment horizontal="left" vertical="center" wrapText="1"/>
    </xf>
    <xf numFmtId="0" fontId="24" fillId="4" borderId="50" xfId="0" applyFont="1" applyFill="1" applyBorder="1" applyAlignment="1">
      <alignment horizontal="center" vertical="center" wrapText="1"/>
    </xf>
    <xf numFmtId="0" fontId="23" fillId="4" borderId="50" xfId="0" applyFont="1" applyFill="1" applyBorder="1" applyAlignment="1">
      <alignment horizontal="center" vertical="center"/>
    </xf>
    <xf numFmtId="3" fontId="23" fillId="4" borderId="50" xfId="0" applyNumberFormat="1" applyFont="1" applyFill="1" applyBorder="1" applyAlignment="1">
      <alignment horizontal="center" vertical="center"/>
    </xf>
    <xf numFmtId="44" fontId="23" fillId="4" borderId="51" xfId="1" applyNumberFormat="1" applyFont="1" applyFill="1" applyBorder="1" applyAlignment="1">
      <alignment horizontal="center" vertical="center"/>
    </xf>
    <xf numFmtId="0" fontId="27" fillId="7" borderId="48" xfId="0" applyFont="1" applyFill="1" applyBorder="1" applyAlignment="1">
      <alignment vertical="center" wrapText="1"/>
    </xf>
    <xf numFmtId="0" fontId="27" fillId="7" borderId="0" xfId="0" applyFont="1" applyFill="1" applyBorder="1" applyAlignment="1">
      <alignment vertical="center" wrapText="1"/>
    </xf>
    <xf numFmtId="0" fontId="23" fillId="4" borderId="50" xfId="0" applyFont="1" applyFill="1" applyBorder="1" applyAlignment="1">
      <alignment horizontal="left" vertical="center"/>
    </xf>
    <xf numFmtId="0" fontId="23" fillId="4" borderId="0" xfId="0" applyFont="1" applyFill="1" applyAlignment="1">
      <alignment vertical="center" wrapText="1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3" borderId="0" xfId="0" applyFont="1" applyFill="1" applyBorder="1" applyAlignment="1">
      <alignment horizontal="left" wrapText="1" indent="1"/>
    </xf>
    <xf numFmtId="0" fontId="20" fillId="5" borderId="18" xfId="0" applyFont="1" applyFill="1" applyBorder="1" applyAlignment="1">
      <alignment horizontal="center" vertical="center" wrapText="1"/>
    </xf>
    <xf numFmtId="0" fontId="20" fillId="5" borderId="52" xfId="0" applyFont="1" applyFill="1" applyBorder="1" applyAlignment="1">
      <alignment horizontal="center" vertical="center" wrapText="1"/>
    </xf>
    <xf numFmtId="0" fontId="20" fillId="5" borderId="19" xfId="0" applyFont="1" applyFill="1" applyBorder="1" applyAlignment="1">
      <alignment horizontal="center" vertical="center" wrapText="1"/>
    </xf>
    <xf numFmtId="0" fontId="15" fillId="5" borderId="18" xfId="0" applyFont="1" applyFill="1" applyBorder="1" applyAlignment="1">
      <alignment horizontal="center" vertical="center"/>
    </xf>
    <xf numFmtId="0" fontId="15" fillId="5" borderId="52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 wrapText="1"/>
    </xf>
    <xf numFmtId="0" fontId="15" fillId="5" borderId="52" xfId="0" applyFont="1" applyFill="1" applyBorder="1" applyAlignment="1">
      <alignment horizontal="center" vertical="center" wrapText="1"/>
    </xf>
    <xf numFmtId="0" fontId="15" fillId="5" borderId="1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6" fillId="4" borderId="12" xfId="0" applyFont="1" applyFill="1" applyBorder="1" applyAlignment="1">
      <alignment horizontal="left" vertical="center" wrapText="1" indent="1"/>
    </xf>
    <xf numFmtId="0" fontId="7" fillId="0" borderId="13" xfId="0" applyFont="1" applyBorder="1" applyAlignment="1">
      <alignment horizontal="left" vertical="center" wrapText="1"/>
    </xf>
    <xf numFmtId="167" fontId="7" fillId="0" borderId="12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center" wrapText="1" indent="1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 indent="1"/>
    </xf>
    <xf numFmtId="0" fontId="0" fillId="0" borderId="18" xfId="0" applyFont="1" applyBorder="1" applyAlignment="1">
      <alignment horizontal="center"/>
    </xf>
    <xf numFmtId="3" fontId="9" fillId="0" borderId="19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 vertical="center" wrapText="1"/>
    </xf>
    <xf numFmtId="0" fontId="2" fillId="0" borderId="9" xfId="0" applyFont="1" applyBorder="1"/>
    <xf numFmtId="0" fontId="11" fillId="0" borderId="9" xfId="0" applyFont="1" applyBorder="1" applyAlignment="1">
      <alignment horizontal="left" indent="1"/>
    </xf>
    <xf numFmtId="0" fontId="4" fillId="0" borderId="11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/>
    </xf>
    <xf numFmtId="0" fontId="28" fillId="0" borderId="30" xfId="0" applyFont="1" applyBorder="1" applyAlignment="1">
      <alignment horizontal="left" vertical="center"/>
    </xf>
    <xf numFmtId="0" fontId="23" fillId="0" borderId="36" xfId="0" applyFont="1" applyBorder="1" applyAlignment="1">
      <alignment horizontal="left" vertical="center"/>
    </xf>
    <xf numFmtId="0" fontId="14" fillId="0" borderId="36" xfId="0" applyFont="1" applyBorder="1" applyAlignment="1">
      <alignment horizontal="left" vertical="center"/>
    </xf>
    <xf numFmtId="0" fontId="0" fillId="0" borderId="36" xfId="0" applyFont="1" applyBorder="1" applyAlignment="1">
      <alignment horizontal="left" vertical="center"/>
    </xf>
    <xf numFmtId="0" fontId="11" fillId="0" borderId="21" xfId="0" applyFont="1" applyBorder="1"/>
    <xf numFmtId="0" fontId="11" fillId="0" borderId="22" xfId="0" applyFont="1" applyBorder="1" applyAlignment="1">
      <alignment horizontal="left" vertical="center" wrapText="1" indent="1"/>
    </xf>
    <xf numFmtId="0" fontId="13" fillId="0" borderId="2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/>
    </xf>
    <xf numFmtId="0" fontId="9" fillId="0" borderId="18" xfId="0" applyFont="1" applyBorder="1" applyAlignment="1">
      <alignment vertical="center" wrapText="1"/>
    </xf>
    <xf numFmtId="0" fontId="9" fillId="0" borderId="43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3" borderId="42" xfId="0" applyFont="1" applyFill="1" applyBorder="1" applyAlignment="1">
      <alignment horizontal="left" vertical="center" wrapText="1" indent="1"/>
    </xf>
    <xf numFmtId="0" fontId="0" fillId="0" borderId="3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29" fillId="0" borderId="42" xfId="0" applyFont="1" applyBorder="1" applyAlignment="1">
      <alignment horizontal="left" vertical="center" wrapText="1"/>
    </xf>
    <xf numFmtId="0" fontId="0" fillId="0" borderId="20" xfId="0" applyBorder="1"/>
    <xf numFmtId="0" fontId="15" fillId="4" borderId="0" xfId="0" applyFont="1" applyFill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7"/>
  <sheetViews>
    <sheetView tabSelected="1" topLeftCell="A31" zoomScale="85" zoomScaleNormal="85" workbookViewId="0">
      <selection activeCell="C5" sqref="C5:E5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93" t="s">
        <v>0</v>
      </c>
      <c r="C2" s="93"/>
      <c r="D2" s="93"/>
      <c r="E2" s="93"/>
      <c r="F2" s="93"/>
      <c r="G2" s="93"/>
      <c r="H2" s="93"/>
    </row>
    <row r="4" spans="1:9" ht="18" customHeight="1" x14ac:dyDescent="0.25">
      <c r="A4" s="94" t="s">
        <v>1</v>
      </c>
      <c r="B4" s="94"/>
      <c r="C4" s="95" t="s">
        <v>51</v>
      </c>
      <c r="D4" s="95"/>
      <c r="E4" s="95"/>
      <c r="F4" s="40"/>
      <c r="G4" s="41"/>
      <c r="H4" s="40"/>
    </row>
    <row r="5" spans="1:9" ht="18" customHeight="1" x14ac:dyDescent="0.25">
      <c r="A5" s="94" t="s">
        <v>2</v>
      </c>
      <c r="B5" s="94"/>
      <c r="C5" s="95" t="s">
        <v>52</v>
      </c>
      <c r="D5" s="95"/>
      <c r="E5" s="95"/>
      <c r="F5" s="40"/>
      <c r="G5" s="41"/>
      <c r="H5" s="40"/>
    </row>
    <row r="6" spans="1:9" ht="16.5" customHeight="1" x14ac:dyDescent="0.25">
      <c r="A6" s="94" t="s">
        <v>3</v>
      </c>
      <c r="B6" s="94"/>
      <c r="C6" s="43">
        <v>2022</v>
      </c>
      <c r="D6" s="44"/>
      <c r="E6" s="44"/>
      <c r="F6" s="40"/>
      <c r="G6" s="41"/>
      <c r="H6" s="40"/>
    </row>
    <row r="7" spans="1:9" ht="16.5" customHeight="1" x14ac:dyDescent="0.25">
      <c r="A7" s="94" t="s">
        <v>4</v>
      </c>
      <c r="B7" s="94"/>
      <c r="C7" s="43">
        <v>3</v>
      </c>
      <c r="D7" s="44"/>
      <c r="E7" s="4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42" t="s">
        <v>5</v>
      </c>
      <c r="B9" s="42" t="s">
        <v>6</v>
      </c>
      <c r="C9" s="42" t="s">
        <v>7</v>
      </c>
      <c r="D9" s="42" t="s">
        <v>8</v>
      </c>
      <c r="E9" s="42" t="s">
        <v>9</v>
      </c>
      <c r="F9" s="42" t="s">
        <v>10</v>
      </c>
      <c r="G9" s="42" t="s">
        <v>11</v>
      </c>
      <c r="H9" s="42" t="s">
        <v>12</v>
      </c>
      <c r="I9" s="42" t="s">
        <v>13</v>
      </c>
    </row>
    <row r="10" spans="1:9" s="145" customFormat="1" ht="31.9" customHeight="1" x14ac:dyDescent="0.2">
      <c r="A10" s="61">
        <v>1</v>
      </c>
      <c r="B10" s="62" t="s">
        <v>60</v>
      </c>
      <c r="C10" s="63" t="s">
        <v>61</v>
      </c>
      <c r="D10" s="64">
        <v>295</v>
      </c>
      <c r="E10" s="65" t="s">
        <v>62</v>
      </c>
      <c r="F10" s="61" t="s">
        <v>63</v>
      </c>
      <c r="G10" s="66">
        <v>600</v>
      </c>
      <c r="H10" s="67">
        <v>1510</v>
      </c>
      <c r="I10" s="68">
        <v>906000</v>
      </c>
    </row>
    <row r="11" spans="1:9" s="145" customFormat="1" ht="31.9" customHeight="1" x14ac:dyDescent="0.2">
      <c r="A11" s="61">
        <v>2</v>
      </c>
      <c r="B11" s="69" t="s">
        <v>64</v>
      </c>
      <c r="C11" s="70" t="s">
        <v>61</v>
      </c>
      <c r="D11" s="71">
        <v>295</v>
      </c>
      <c r="E11" s="72" t="s">
        <v>65</v>
      </c>
      <c r="F11" s="73" t="s">
        <v>63</v>
      </c>
      <c r="G11" s="74">
        <v>400</v>
      </c>
      <c r="H11" s="75">
        <v>465</v>
      </c>
      <c r="I11" s="68">
        <v>186000</v>
      </c>
    </row>
    <row r="12" spans="1:9" s="145" customFormat="1" ht="31.9" customHeight="1" x14ac:dyDescent="0.2">
      <c r="A12" s="61">
        <v>3</v>
      </c>
      <c r="B12" s="69" t="s">
        <v>66</v>
      </c>
      <c r="C12" s="70" t="s">
        <v>61</v>
      </c>
      <c r="D12" s="71">
        <v>295</v>
      </c>
      <c r="E12" s="76" t="s">
        <v>67</v>
      </c>
      <c r="F12" s="73" t="s">
        <v>63</v>
      </c>
      <c r="G12" s="74">
        <v>30</v>
      </c>
      <c r="H12" s="75">
        <v>265</v>
      </c>
      <c r="I12" s="68">
        <v>7950</v>
      </c>
    </row>
    <row r="13" spans="1:9" s="145" customFormat="1" ht="31.9" customHeight="1" x14ac:dyDescent="0.2">
      <c r="A13" s="61">
        <v>4</v>
      </c>
      <c r="B13" s="77" t="s">
        <v>68</v>
      </c>
      <c r="C13" s="70" t="s">
        <v>61</v>
      </c>
      <c r="D13" s="71">
        <v>295</v>
      </c>
      <c r="E13" s="78" t="s">
        <v>69</v>
      </c>
      <c r="F13" s="73" t="s">
        <v>63</v>
      </c>
      <c r="G13" s="74">
        <v>8</v>
      </c>
      <c r="H13" s="75">
        <v>55600</v>
      </c>
      <c r="I13" s="68">
        <v>444800</v>
      </c>
    </row>
    <row r="14" spans="1:9" s="145" customFormat="1" ht="31.9" customHeight="1" x14ac:dyDescent="0.2">
      <c r="A14" s="61">
        <v>5</v>
      </c>
      <c r="B14" s="69" t="s">
        <v>70</v>
      </c>
      <c r="C14" s="70" t="s">
        <v>61</v>
      </c>
      <c r="D14" s="71">
        <v>295</v>
      </c>
      <c r="E14" s="76" t="s">
        <v>71</v>
      </c>
      <c r="F14" s="73" t="s">
        <v>63</v>
      </c>
      <c r="G14" s="74">
        <v>6</v>
      </c>
      <c r="H14" s="75">
        <v>13500</v>
      </c>
      <c r="I14" s="68">
        <v>81000</v>
      </c>
    </row>
    <row r="15" spans="1:9" s="145" customFormat="1" ht="31.9" customHeight="1" x14ac:dyDescent="0.2">
      <c r="A15" s="61">
        <v>6</v>
      </c>
      <c r="B15" s="69" t="s">
        <v>72</v>
      </c>
      <c r="C15" s="70" t="s">
        <v>61</v>
      </c>
      <c r="D15" s="71">
        <v>295</v>
      </c>
      <c r="E15" s="76" t="s">
        <v>73</v>
      </c>
      <c r="F15" s="73" t="s">
        <v>63</v>
      </c>
      <c r="G15" s="74">
        <v>2</v>
      </c>
      <c r="H15" s="75">
        <v>4500</v>
      </c>
      <c r="I15" s="68">
        <v>9000</v>
      </c>
    </row>
    <row r="16" spans="1:9" s="145" customFormat="1" ht="31.9" customHeight="1" x14ac:dyDescent="0.2">
      <c r="A16" s="61">
        <v>7</v>
      </c>
      <c r="B16" s="69" t="s">
        <v>74</v>
      </c>
      <c r="C16" s="70" t="s">
        <v>61</v>
      </c>
      <c r="D16" s="71">
        <v>295</v>
      </c>
      <c r="E16" s="76" t="s">
        <v>75</v>
      </c>
      <c r="F16" s="73" t="s">
        <v>63</v>
      </c>
      <c r="G16" s="74">
        <v>2</v>
      </c>
      <c r="H16" s="75">
        <v>4500</v>
      </c>
      <c r="I16" s="68">
        <v>9000</v>
      </c>
    </row>
    <row r="17" spans="1:9" s="145" customFormat="1" ht="31.9" customHeight="1" x14ac:dyDescent="0.2">
      <c r="A17" s="61">
        <v>8</v>
      </c>
      <c r="B17" s="69" t="s">
        <v>76</v>
      </c>
      <c r="C17" s="70" t="s">
        <v>61</v>
      </c>
      <c r="D17" s="71">
        <v>295</v>
      </c>
      <c r="E17" s="76" t="s">
        <v>77</v>
      </c>
      <c r="F17" s="73" t="s">
        <v>63</v>
      </c>
      <c r="G17" s="74">
        <v>2</v>
      </c>
      <c r="H17" s="75">
        <v>4500</v>
      </c>
      <c r="I17" s="68">
        <v>9000</v>
      </c>
    </row>
    <row r="18" spans="1:9" s="145" customFormat="1" ht="31.9" customHeight="1" x14ac:dyDescent="0.2">
      <c r="A18" s="61">
        <v>9</v>
      </c>
      <c r="B18" s="69" t="s">
        <v>78</v>
      </c>
      <c r="C18" s="70" t="s">
        <v>61</v>
      </c>
      <c r="D18" s="71">
        <v>295</v>
      </c>
      <c r="E18" s="72" t="s">
        <v>79</v>
      </c>
      <c r="F18" s="73" t="s">
        <v>63</v>
      </c>
      <c r="G18" s="74">
        <v>90</v>
      </c>
      <c r="H18" s="75">
        <v>26000</v>
      </c>
      <c r="I18" s="68">
        <v>2340000</v>
      </c>
    </row>
    <row r="19" spans="1:9" s="145" customFormat="1" ht="31.9" customHeight="1" x14ac:dyDescent="0.2">
      <c r="A19" s="61">
        <v>10</v>
      </c>
      <c r="B19" s="79" t="s">
        <v>80</v>
      </c>
      <c r="C19" s="70" t="s">
        <v>61</v>
      </c>
      <c r="D19" s="71">
        <v>295</v>
      </c>
      <c r="E19" s="76" t="s">
        <v>81</v>
      </c>
      <c r="F19" s="73" t="s">
        <v>63</v>
      </c>
      <c r="G19" s="74">
        <v>4</v>
      </c>
      <c r="H19" s="75">
        <v>28000</v>
      </c>
      <c r="I19" s="68">
        <v>112000</v>
      </c>
    </row>
    <row r="20" spans="1:9" s="145" customFormat="1" ht="31.9" customHeight="1" x14ac:dyDescent="0.2">
      <c r="A20" s="61">
        <v>11</v>
      </c>
      <c r="B20" s="69" t="s">
        <v>82</v>
      </c>
      <c r="C20" s="70" t="s">
        <v>61</v>
      </c>
      <c r="D20" s="71">
        <v>252</v>
      </c>
      <c r="E20" s="76" t="s">
        <v>83</v>
      </c>
      <c r="F20" s="73" t="s">
        <v>63</v>
      </c>
      <c r="G20" s="74">
        <v>180</v>
      </c>
      <c r="H20" s="75">
        <v>488</v>
      </c>
      <c r="I20" s="68">
        <v>87840</v>
      </c>
    </row>
    <row r="21" spans="1:9" s="145" customFormat="1" ht="31.9" customHeight="1" x14ac:dyDescent="0.2">
      <c r="A21" s="61">
        <v>12</v>
      </c>
      <c r="B21" s="79" t="s">
        <v>84</v>
      </c>
      <c r="C21" s="80" t="s">
        <v>61</v>
      </c>
      <c r="D21" s="81">
        <v>295</v>
      </c>
      <c r="E21" s="72" t="s">
        <v>85</v>
      </c>
      <c r="F21" s="82" t="s">
        <v>63</v>
      </c>
      <c r="G21" s="83">
        <v>30</v>
      </c>
      <c r="H21" s="84">
        <v>470.6</v>
      </c>
      <c r="I21" s="68">
        <v>14118</v>
      </c>
    </row>
    <row r="22" spans="1:9" s="145" customFormat="1" ht="31.9" customHeight="1" x14ac:dyDescent="0.2">
      <c r="A22" s="61">
        <v>13</v>
      </c>
      <c r="B22" s="69" t="s">
        <v>86</v>
      </c>
      <c r="C22" s="70" t="s">
        <v>61</v>
      </c>
      <c r="D22" s="71">
        <v>295</v>
      </c>
      <c r="E22" s="85" t="s">
        <v>87</v>
      </c>
      <c r="F22" s="73" t="s">
        <v>63</v>
      </c>
      <c r="G22" s="74">
        <v>120</v>
      </c>
      <c r="H22" s="75">
        <v>453.7</v>
      </c>
      <c r="I22" s="68">
        <v>54444</v>
      </c>
    </row>
    <row r="23" spans="1:9" s="145" customFormat="1" ht="31.9" customHeight="1" x14ac:dyDescent="0.2">
      <c r="A23" s="61">
        <v>14</v>
      </c>
      <c r="B23" s="69" t="s">
        <v>88</v>
      </c>
      <c r="C23" s="70" t="s">
        <v>61</v>
      </c>
      <c r="D23" s="71">
        <v>295</v>
      </c>
      <c r="E23" s="72" t="s">
        <v>89</v>
      </c>
      <c r="F23" s="73" t="s">
        <v>63</v>
      </c>
      <c r="G23" s="74">
        <v>48</v>
      </c>
      <c r="H23" s="75">
        <v>768.4</v>
      </c>
      <c r="I23" s="68">
        <v>36883.199999999997</v>
      </c>
    </row>
    <row r="24" spans="1:9" s="145" customFormat="1" ht="31.9" customHeight="1" x14ac:dyDescent="0.2">
      <c r="A24" s="61">
        <v>15</v>
      </c>
      <c r="B24" s="69" t="s">
        <v>90</v>
      </c>
      <c r="C24" s="70" t="s">
        <v>61</v>
      </c>
      <c r="D24" s="71">
        <v>295</v>
      </c>
      <c r="E24" s="85" t="s">
        <v>91</v>
      </c>
      <c r="F24" s="73" t="s">
        <v>63</v>
      </c>
      <c r="G24" s="74">
        <v>30</v>
      </c>
      <c r="H24" s="75">
        <v>1250</v>
      </c>
      <c r="I24" s="68">
        <v>37500</v>
      </c>
    </row>
    <row r="25" spans="1:9" s="145" customFormat="1" ht="31.9" customHeight="1" x14ac:dyDescent="0.2">
      <c r="A25" s="61">
        <v>16</v>
      </c>
      <c r="B25" s="79" t="s">
        <v>92</v>
      </c>
      <c r="C25" s="80" t="s">
        <v>61</v>
      </c>
      <c r="D25" s="81">
        <v>295</v>
      </c>
      <c r="E25" s="86" t="s">
        <v>93</v>
      </c>
      <c r="F25" s="82" t="s">
        <v>63</v>
      </c>
      <c r="G25" s="83">
        <v>1500</v>
      </c>
      <c r="H25" s="84">
        <v>265</v>
      </c>
      <c r="I25" s="68">
        <v>397500</v>
      </c>
    </row>
    <row r="26" spans="1:9" s="145" customFormat="1" ht="31.9" customHeight="1" x14ac:dyDescent="0.2">
      <c r="A26" s="61">
        <v>17</v>
      </c>
      <c r="B26" s="69" t="s">
        <v>94</v>
      </c>
      <c r="C26" s="70" t="s">
        <v>61</v>
      </c>
      <c r="D26" s="71">
        <v>295</v>
      </c>
      <c r="E26" s="85" t="s">
        <v>95</v>
      </c>
      <c r="F26" s="73" t="s">
        <v>63</v>
      </c>
      <c r="G26" s="74">
        <v>1500</v>
      </c>
      <c r="H26" s="75">
        <v>265</v>
      </c>
      <c r="I26" s="68">
        <v>397500</v>
      </c>
    </row>
    <row r="27" spans="1:9" s="145" customFormat="1" ht="31.9" customHeight="1" x14ac:dyDescent="0.2">
      <c r="A27" s="61">
        <v>18</v>
      </c>
      <c r="B27" s="87" t="s">
        <v>96</v>
      </c>
      <c r="C27" s="80" t="s">
        <v>61</v>
      </c>
      <c r="D27" s="81">
        <v>295</v>
      </c>
      <c r="E27" s="88" t="s">
        <v>97</v>
      </c>
      <c r="F27" s="82" t="s">
        <v>63</v>
      </c>
      <c r="G27" s="83">
        <v>3</v>
      </c>
      <c r="H27" s="84">
        <v>41500</v>
      </c>
      <c r="I27" s="68">
        <v>124500</v>
      </c>
    </row>
    <row r="28" spans="1:9" s="145" customFormat="1" ht="31.9" customHeight="1" x14ac:dyDescent="0.2">
      <c r="A28" s="61">
        <v>19</v>
      </c>
      <c r="B28" s="69" t="s">
        <v>98</v>
      </c>
      <c r="C28" s="70" t="s">
        <v>61</v>
      </c>
      <c r="D28" s="71">
        <v>295</v>
      </c>
      <c r="E28" s="76" t="s">
        <v>99</v>
      </c>
      <c r="F28" s="73" t="s">
        <v>63</v>
      </c>
      <c r="G28" s="74">
        <v>6</v>
      </c>
      <c r="H28" s="75">
        <v>28000</v>
      </c>
      <c r="I28" s="68">
        <v>168000</v>
      </c>
    </row>
    <row r="29" spans="1:9" ht="31.9" customHeight="1" x14ac:dyDescent="0.2">
      <c r="A29" s="61">
        <v>20</v>
      </c>
      <c r="B29" s="69" t="s">
        <v>100</v>
      </c>
      <c r="C29" s="70" t="s">
        <v>61</v>
      </c>
      <c r="D29" s="71">
        <v>295</v>
      </c>
      <c r="E29" s="76" t="s">
        <v>101</v>
      </c>
      <c r="F29" s="73" t="s">
        <v>63</v>
      </c>
      <c r="G29" s="74">
        <v>100</v>
      </c>
      <c r="H29" s="75">
        <v>10500</v>
      </c>
      <c r="I29" s="68">
        <v>1050000</v>
      </c>
    </row>
    <row r="30" spans="1:9" ht="31.9" customHeight="1" x14ac:dyDescent="0.2">
      <c r="A30" s="61">
        <v>21</v>
      </c>
      <c r="B30" s="62" t="s">
        <v>102</v>
      </c>
      <c r="C30" s="63" t="s">
        <v>61</v>
      </c>
      <c r="D30" s="64">
        <v>295</v>
      </c>
      <c r="E30" s="72" t="s">
        <v>103</v>
      </c>
      <c r="F30" s="61" t="s">
        <v>63</v>
      </c>
      <c r="G30" s="66">
        <v>96</v>
      </c>
      <c r="H30" s="67">
        <v>4900</v>
      </c>
      <c r="I30" s="68">
        <v>470400</v>
      </c>
    </row>
    <row r="31" spans="1:9" ht="13.5" thickBot="1" x14ac:dyDescent="0.25"/>
    <row r="32" spans="1:9" ht="54.75" customHeight="1" thickBot="1" x14ac:dyDescent="0.25">
      <c r="B32" s="96" t="s">
        <v>105</v>
      </c>
      <c r="C32" s="97"/>
      <c r="D32" s="97"/>
      <c r="E32" s="98"/>
    </row>
    <row r="33" spans="2:5" ht="38.25" customHeight="1" thickBot="1" x14ac:dyDescent="0.25">
      <c r="B33" s="99" t="s">
        <v>106</v>
      </c>
      <c r="C33" s="100"/>
      <c r="D33" s="100"/>
      <c r="E33" s="101"/>
    </row>
    <row r="34" spans="2:5" ht="42.75" customHeight="1" thickBot="1" x14ac:dyDescent="0.25">
      <c r="B34" s="102" t="s">
        <v>107</v>
      </c>
      <c r="C34" s="103"/>
      <c r="D34" s="103"/>
      <c r="E34" s="104"/>
    </row>
    <row r="36" spans="2:5" ht="13.5" thickBot="1" x14ac:dyDescent="0.25"/>
    <row r="37" spans="2:5" x14ac:dyDescent="0.2">
      <c r="B37" s="54" t="s">
        <v>108</v>
      </c>
      <c r="C37" s="55"/>
      <c r="D37" s="55"/>
      <c r="E37" s="56"/>
    </row>
    <row r="38" spans="2:5" ht="13.5" thickBot="1" x14ac:dyDescent="0.25">
      <c r="B38" s="57"/>
      <c r="C38" s="58"/>
      <c r="D38" s="58"/>
      <c r="E38" s="59"/>
    </row>
    <row r="39" spans="2:5" ht="19.5" customHeight="1" thickBot="1" x14ac:dyDescent="0.25">
      <c r="B39" s="54" t="s">
        <v>109</v>
      </c>
      <c r="C39" s="55"/>
      <c r="D39" s="55"/>
      <c r="E39" s="56"/>
    </row>
    <row r="40" spans="2:5" ht="19.5" customHeight="1" thickBot="1" x14ac:dyDescent="0.25">
      <c r="B40" s="54" t="s">
        <v>110</v>
      </c>
      <c r="C40" s="55"/>
      <c r="D40" s="55"/>
      <c r="E40" s="56"/>
    </row>
    <row r="41" spans="2:5" ht="21.75" customHeight="1" thickBot="1" x14ac:dyDescent="0.25">
      <c r="B41" s="54" t="s">
        <v>111</v>
      </c>
      <c r="C41" s="55"/>
      <c r="D41" s="55"/>
      <c r="E41" s="56"/>
    </row>
    <row r="42" spans="2:5" ht="24.75" customHeight="1" thickBot="1" x14ac:dyDescent="0.25">
      <c r="B42" s="54" t="s">
        <v>112</v>
      </c>
      <c r="C42" s="55"/>
      <c r="D42" s="55"/>
      <c r="E42" s="56"/>
    </row>
    <row r="43" spans="2:5" ht="27" customHeight="1" thickBot="1" x14ac:dyDescent="0.25">
      <c r="B43" s="54" t="s">
        <v>113</v>
      </c>
      <c r="C43" s="55"/>
      <c r="D43" s="55"/>
      <c r="E43" s="56"/>
    </row>
    <row r="44" spans="2:5" ht="23.25" customHeight="1" thickBot="1" x14ac:dyDescent="0.25">
      <c r="B44" s="54" t="s">
        <v>114</v>
      </c>
      <c r="C44" s="55"/>
      <c r="D44" s="55"/>
      <c r="E44" s="56"/>
    </row>
    <row r="45" spans="2:5" ht="22.5" customHeight="1" thickBot="1" x14ac:dyDescent="0.25">
      <c r="B45" s="54" t="s">
        <v>115</v>
      </c>
      <c r="C45" s="55"/>
      <c r="D45" s="55"/>
      <c r="E45" s="56"/>
    </row>
    <row r="46" spans="2:5" x14ac:dyDescent="0.2">
      <c r="B46" s="54" t="s">
        <v>116</v>
      </c>
      <c r="C46" s="55"/>
      <c r="D46" s="55"/>
      <c r="E46" s="56"/>
    </row>
    <row r="47" spans="2:5" ht="13.5" thickBot="1" x14ac:dyDescent="0.25">
      <c r="B47" s="60"/>
      <c r="C47" s="60"/>
      <c r="D47" s="60"/>
      <c r="E47" s="60"/>
    </row>
  </sheetData>
  <mergeCells count="10">
    <mergeCell ref="B32:E32"/>
    <mergeCell ref="B33:E33"/>
    <mergeCell ref="B34:E34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3"/>
  <sheetViews>
    <sheetView zoomScale="70" zoomScaleNormal="70" workbookViewId="0">
      <selection activeCell="D6" sqref="D6:K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39.285156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5" t="s">
        <v>119</v>
      </c>
      <c r="B1" s="105"/>
      <c r="C1" s="105"/>
      <c r="D1" s="105"/>
      <c r="E1" s="105"/>
      <c r="F1" s="105"/>
      <c r="G1" s="105"/>
      <c r="H1" s="105"/>
      <c r="I1" s="105"/>
      <c r="J1" s="3" t="s">
        <v>14</v>
      </c>
      <c r="K1" s="45"/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6" t="s">
        <v>47</v>
      </c>
      <c r="B3" s="106"/>
      <c r="C3" s="106"/>
      <c r="D3" s="107" t="str">
        <f>'Necesidades Trimestrales'!C4</f>
        <v>40 - Ministerio de Salud</v>
      </c>
      <c r="E3" s="107"/>
      <c r="F3" s="107"/>
      <c r="G3" s="107"/>
      <c r="H3" s="107"/>
      <c r="I3" s="107"/>
      <c r="J3" s="107"/>
      <c r="K3" s="107"/>
    </row>
    <row r="4" spans="1:11" ht="18.75" customHeight="1" thickBot="1" x14ac:dyDescent="0.25">
      <c r="A4" s="108" t="s">
        <v>48</v>
      </c>
      <c r="B4" s="108"/>
      <c r="C4" s="108"/>
      <c r="D4" s="107" t="str">
        <f>'Necesidades Trimestrales'!C5</f>
        <v>23 - Hospital Interzonal San Juan Bautista</v>
      </c>
      <c r="E4" s="107"/>
      <c r="F4" s="107"/>
      <c r="G4" s="107"/>
      <c r="H4" s="107"/>
      <c r="I4" s="107"/>
      <c r="J4" s="107"/>
      <c r="K4" s="107"/>
    </row>
    <row r="5" spans="1:11" ht="18.75" customHeight="1" thickBot="1" x14ac:dyDescent="0.25">
      <c r="A5" s="108" t="s">
        <v>26</v>
      </c>
      <c r="B5" s="108"/>
      <c r="C5" s="108"/>
      <c r="D5" s="107" t="s">
        <v>53</v>
      </c>
      <c r="E5" s="107"/>
      <c r="F5" s="107"/>
      <c r="G5" s="107"/>
      <c r="H5" s="107"/>
      <c r="I5" s="107"/>
      <c r="J5" s="107"/>
      <c r="K5" s="107"/>
    </row>
    <row r="6" spans="1:11" ht="16.5" customHeight="1" thickBot="1" x14ac:dyDescent="0.25">
      <c r="A6" s="106" t="s">
        <v>49</v>
      </c>
      <c r="B6" s="106"/>
      <c r="C6" s="106"/>
      <c r="D6" s="107" t="s">
        <v>54</v>
      </c>
      <c r="E6" s="107"/>
      <c r="F6" s="107"/>
      <c r="G6" s="107"/>
      <c r="H6" s="107"/>
      <c r="I6" s="107"/>
      <c r="J6" s="107"/>
      <c r="K6" s="107"/>
    </row>
    <row r="7" spans="1:11" ht="16.5" customHeight="1" x14ac:dyDescent="0.2">
      <c r="A7" s="108" t="s">
        <v>15</v>
      </c>
      <c r="B7" s="108"/>
      <c r="C7" s="108"/>
      <c r="D7" s="107" t="s">
        <v>59</v>
      </c>
      <c r="E7" s="107"/>
      <c r="F7" s="107"/>
      <c r="G7" s="107"/>
      <c r="H7" s="107"/>
      <c r="I7" s="107"/>
      <c r="J7" s="107"/>
      <c r="K7" s="107"/>
    </row>
    <row r="8" spans="1:11" ht="16.5" customHeight="1" x14ac:dyDescent="0.2">
      <c r="A8" s="110" t="s">
        <v>16</v>
      </c>
      <c r="B8" s="110"/>
      <c r="C8" s="110"/>
      <c r="D8" s="111" t="s">
        <v>104</v>
      </c>
      <c r="E8" s="111"/>
      <c r="F8" s="111"/>
      <c r="G8" s="111"/>
      <c r="H8" s="111"/>
      <c r="I8" s="111"/>
      <c r="J8" s="111"/>
      <c r="K8" s="111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2" t="s">
        <v>17</v>
      </c>
      <c r="B10" s="113" t="s">
        <v>18</v>
      </c>
      <c r="C10" s="113" t="s">
        <v>19</v>
      </c>
      <c r="D10" s="113"/>
      <c r="E10" s="113"/>
      <c r="F10" s="113"/>
      <c r="G10" s="113"/>
      <c r="H10" s="113" t="s">
        <v>20</v>
      </c>
      <c r="I10" s="113" t="s">
        <v>21</v>
      </c>
      <c r="J10" s="113" t="s">
        <v>22</v>
      </c>
      <c r="K10" s="114" t="s">
        <v>23</v>
      </c>
    </row>
    <row r="11" spans="1:11" ht="24" customHeight="1" thickBot="1" x14ac:dyDescent="0.25">
      <c r="A11" s="112"/>
      <c r="B11" s="113"/>
      <c r="C11" s="113"/>
      <c r="D11" s="113"/>
      <c r="E11" s="113"/>
      <c r="F11" s="113"/>
      <c r="G11" s="113"/>
      <c r="H11" s="113"/>
      <c r="I11" s="113"/>
      <c r="J11" s="113"/>
      <c r="K11" s="114"/>
    </row>
    <row r="12" spans="1:11" ht="30.75" customHeight="1" thickBot="1" x14ac:dyDescent="0.25">
      <c r="A12" s="8">
        <v>1</v>
      </c>
      <c r="B12" s="46" t="str">
        <f>'Necesidades Trimestrales'!B10</f>
        <v>2.9.5-9265.3</v>
      </c>
      <c r="C12" s="115" t="str">
        <f>'Necesidades Trimestrales'!E10</f>
        <v>BOLSAS P/HEMOTERAPIA; TIPO: TRIPLE P/ EXTRACCION DE SANGRE, CAPACIDAD: 450 mL, ACCESORIO: GUIA + AGUJA</v>
      </c>
      <c r="D12" s="115"/>
      <c r="E12" s="115"/>
      <c r="F12" s="115"/>
      <c r="G12" s="115"/>
      <c r="H12" s="47" t="s">
        <v>50</v>
      </c>
      <c r="I12" s="48" t="str">
        <f>'Necesidades Trimestrales'!F10</f>
        <v>UNIDAD</v>
      </c>
      <c r="J12" s="49">
        <f>'Necesidades Trimestrales'!H10</f>
        <v>1510</v>
      </c>
      <c r="K12" s="50">
        <f>'Necesidades Trimestrales'!G10</f>
        <v>600</v>
      </c>
    </row>
    <row r="13" spans="1:11" ht="20.25" customHeight="1" thickBot="1" x14ac:dyDescent="0.25">
      <c r="A13" s="8">
        <v>2</v>
      </c>
      <c r="B13" s="46" t="str">
        <f>'Necesidades Trimestrales'!B11</f>
        <v>2.9.5-2694.24</v>
      </c>
      <c r="C13" s="115" t="str">
        <f>'Necesidades Trimestrales'!E11</f>
        <v>BOLSAS P/TRANSFUSIONES SANGRE; CAPACIDAD: 400 mL, SOLUCIONES: SIN, TIPO: TRANSFERENCIA</v>
      </c>
      <c r="D13" s="115"/>
      <c r="E13" s="115"/>
      <c r="F13" s="115"/>
      <c r="G13" s="115"/>
      <c r="H13" s="47" t="s">
        <v>50</v>
      </c>
      <c r="I13" s="48" t="str">
        <f>'Necesidades Trimestrales'!F11</f>
        <v>UNIDAD</v>
      </c>
      <c r="J13" s="49">
        <f>'Necesidades Trimestrales'!H11</f>
        <v>465</v>
      </c>
      <c r="K13" s="50">
        <f>'Necesidades Trimestrales'!G11</f>
        <v>400</v>
      </c>
    </row>
    <row r="14" spans="1:11" ht="20.25" customHeight="1" thickBot="1" x14ac:dyDescent="0.25">
      <c r="A14" s="8">
        <v>3</v>
      </c>
      <c r="B14" s="46" t="str">
        <f>'Necesidades Trimestrales'!B12</f>
        <v>2.9.5-7900.10</v>
      </c>
      <c r="C14" s="115" t="str">
        <f>'Necesidades Trimestrales'!E12</f>
        <v>BOLSAS P/ILEOSTOMIA; MATERIAL: PLASTICO DESCARTABLE, MEDIDA: SIN VALOR</v>
      </c>
      <c r="D14" s="115"/>
      <c r="E14" s="115"/>
      <c r="F14" s="115"/>
      <c r="G14" s="115"/>
      <c r="H14" s="47" t="s">
        <v>50</v>
      </c>
      <c r="I14" s="48" t="str">
        <f>'Necesidades Trimestrales'!F12</f>
        <v>UNIDAD</v>
      </c>
      <c r="J14" s="49">
        <f>'Necesidades Trimestrales'!H12</f>
        <v>265</v>
      </c>
      <c r="K14" s="50">
        <f>'Necesidades Trimestrales'!G12</f>
        <v>30</v>
      </c>
    </row>
    <row r="15" spans="1:11" ht="20.25" customHeight="1" thickBot="1" x14ac:dyDescent="0.25">
      <c r="A15" s="8">
        <v>4</v>
      </c>
      <c r="B15" s="46" t="str">
        <f>'Necesidades Trimestrales'!B13</f>
        <v>2.9.5-8220.15</v>
      </c>
      <c r="C15" s="115" t="str">
        <f>'Necesidades Trimestrales'!E13</f>
        <v>CANASTILLAS DE DORMIA; TIPO: HELICOIDAL, DIMENSION: 2.8 mm, USO: P/EXTRACCION DE CALCULOS</v>
      </c>
      <c r="D15" s="115"/>
      <c r="E15" s="115"/>
      <c r="F15" s="115"/>
      <c r="G15" s="115"/>
      <c r="H15" s="47" t="s">
        <v>50</v>
      </c>
      <c r="I15" s="48" t="str">
        <f>'Necesidades Trimestrales'!F13</f>
        <v>UNIDAD</v>
      </c>
      <c r="J15" s="49">
        <f>'Necesidades Trimestrales'!H13</f>
        <v>55600</v>
      </c>
      <c r="K15" s="50">
        <f>'Necesidades Trimestrales'!G13</f>
        <v>8</v>
      </c>
    </row>
    <row r="16" spans="1:11" ht="20.25" customHeight="1" thickBot="1" x14ac:dyDescent="0.25">
      <c r="A16" s="8">
        <v>5</v>
      </c>
      <c r="B16" s="46" t="str">
        <f>'Necesidades Trimestrales'!B14</f>
        <v>2.9.5-2161.586</v>
      </c>
      <c r="C16" s="115" t="str">
        <f>'Necesidades Trimestrales'!E14</f>
        <v>CATETERES/SONDAS; NUMERO: 4,7 FR X 26 CM, TIPO: DOBLE J COOK</v>
      </c>
      <c r="D16" s="115"/>
      <c r="E16" s="115"/>
      <c r="F16" s="115"/>
      <c r="G16" s="115"/>
      <c r="H16" s="47" t="s">
        <v>50</v>
      </c>
      <c r="I16" s="48" t="str">
        <f>'Necesidades Trimestrales'!F14</f>
        <v>UNIDAD</v>
      </c>
      <c r="J16" s="49">
        <f>'Necesidades Trimestrales'!H14</f>
        <v>13500</v>
      </c>
      <c r="K16" s="50">
        <f>'Necesidades Trimestrales'!G14</f>
        <v>6</v>
      </c>
    </row>
    <row r="17" spans="1:11" ht="20.25" customHeight="1" thickBot="1" x14ac:dyDescent="0.25">
      <c r="A17" s="8">
        <v>6</v>
      </c>
      <c r="B17" s="46" t="str">
        <f>'Necesidades Trimestrales'!B15</f>
        <v>2.9.5-2161.147</v>
      </c>
      <c r="C17" s="115" t="str">
        <f>'Necesidades Trimestrales'!E15</f>
        <v>CATETERES/SONDAS; NUMERO: 3, TIPO: FOGARTY</v>
      </c>
      <c r="D17" s="115"/>
      <c r="E17" s="115"/>
      <c r="F17" s="115"/>
      <c r="G17" s="115"/>
      <c r="H17" s="47" t="s">
        <v>50</v>
      </c>
      <c r="I17" s="48" t="str">
        <f>'Necesidades Trimestrales'!F15</f>
        <v>UNIDAD</v>
      </c>
      <c r="J17" s="49">
        <f>'Necesidades Trimestrales'!H15</f>
        <v>4500</v>
      </c>
      <c r="K17" s="50">
        <f>'Necesidades Trimestrales'!G15</f>
        <v>2</v>
      </c>
    </row>
    <row r="18" spans="1:11" ht="20.25" customHeight="1" thickBot="1" x14ac:dyDescent="0.25">
      <c r="A18" s="8">
        <v>7</v>
      </c>
      <c r="B18" s="46" t="str">
        <f>'Necesidades Trimestrales'!B16</f>
        <v>2.9.5-2161.519</v>
      </c>
      <c r="C18" s="115" t="str">
        <f>'Necesidades Trimestrales'!E16</f>
        <v>CATETERES/SONDAS; NUMERO: 4 , TIPO: FOGARTY</v>
      </c>
      <c r="D18" s="115"/>
      <c r="E18" s="115"/>
      <c r="F18" s="115"/>
      <c r="G18" s="115"/>
      <c r="H18" s="47" t="s">
        <v>50</v>
      </c>
      <c r="I18" s="48" t="str">
        <f>'Necesidades Trimestrales'!F16</f>
        <v>UNIDAD</v>
      </c>
      <c r="J18" s="49">
        <f>'Necesidades Trimestrales'!H16</f>
        <v>4500</v>
      </c>
      <c r="K18" s="50">
        <f>'Necesidades Trimestrales'!G16</f>
        <v>2</v>
      </c>
    </row>
    <row r="19" spans="1:11" ht="20.25" customHeight="1" thickBot="1" x14ac:dyDescent="0.25">
      <c r="A19" s="8">
        <v>8</v>
      </c>
      <c r="B19" s="46" t="str">
        <f>'Necesidades Trimestrales'!B17</f>
        <v>2.9.5-2161.148</v>
      </c>
      <c r="C19" s="115" t="str">
        <f>'Necesidades Trimestrales'!E17</f>
        <v>CATETERES/SONDAS; NUMERO: 5, TIPO: FOGARTY</v>
      </c>
      <c r="D19" s="115"/>
      <c r="E19" s="115"/>
      <c r="F19" s="115"/>
      <c r="G19" s="115"/>
      <c r="H19" s="47" t="s">
        <v>50</v>
      </c>
      <c r="I19" s="48" t="str">
        <f>'Necesidades Trimestrales'!F17</f>
        <v>UNIDAD</v>
      </c>
      <c r="J19" s="49">
        <f>'Necesidades Trimestrales'!H17</f>
        <v>4500</v>
      </c>
      <c r="K19" s="50">
        <f>'Necesidades Trimestrales'!G17</f>
        <v>2</v>
      </c>
    </row>
    <row r="20" spans="1:11" ht="20.25" customHeight="1" thickBot="1" x14ac:dyDescent="0.25">
      <c r="A20" s="8">
        <v>9</v>
      </c>
      <c r="B20" s="46" t="str">
        <f>'Necesidades Trimestrales'!B18</f>
        <v>2.9.5-2161.358</v>
      </c>
      <c r="C20" s="115" t="str">
        <f>'Necesidades Trimestrales'!E18</f>
        <v>CATETERES/SONDAS; NUMERO: 12 FR X 20 CM , TIPO: DOBLE LUMEN HEMODIALISIS SUBCLAVIA</v>
      </c>
      <c r="D20" s="115"/>
      <c r="E20" s="115"/>
      <c r="F20" s="115"/>
      <c r="G20" s="115"/>
      <c r="H20" s="47" t="s">
        <v>50</v>
      </c>
      <c r="I20" s="48" t="str">
        <f>'Necesidades Trimestrales'!F18</f>
        <v>UNIDAD</v>
      </c>
      <c r="J20" s="49">
        <f>'Necesidades Trimestrales'!H18</f>
        <v>26000</v>
      </c>
      <c r="K20" s="50">
        <f>'Necesidades Trimestrales'!G18</f>
        <v>90</v>
      </c>
    </row>
    <row r="21" spans="1:11" ht="20.25" customHeight="1" thickBot="1" x14ac:dyDescent="0.25">
      <c r="A21" s="8">
        <v>10</v>
      </c>
      <c r="B21" s="46" t="str">
        <f>'Necesidades Trimestrales'!B19</f>
        <v>2.9.5-2161.568</v>
      </c>
      <c r="C21" s="115" t="str">
        <f>'Necesidades Trimestrales'!E19</f>
        <v>CATETERES/SONDAS; NUMERO: SEGÚN PLIEGO, TIPO: PERMANENTE PORT-A- CATH</v>
      </c>
      <c r="D21" s="115"/>
      <c r="E21" s="115"/>
      <c r="F21" s="115"/>
      <c r="G21" s="115"/>
      <c r="H21" s="47" t="s">
        <v>50</v>
      </c>
      <c r="I21" s="48" t="str">
        <f>'Necesidades Trimestrales'!F19</f>
        <v>UNIDAD</v>
      </c>
      <c r="J21" s="49">
        <f>'Necesidades Trimestrales'!H19</f>
        <v>28000</v>
      </c>
      <c r="K21" s="50">
        <f>'Necesidades Trimestrales'!G19</f>
        <v>4</v>
      </c>
    </row>
    <row r="22" spans="1:11" ht="24.75" customHeight="1" thickBot="1" x14ac:dyDescent="0.25">
      <c r="A22" s="8">
        <v>11</v>
      </c>
      <c r="B22" s="46" t="str">
        <f>'Necesidades Trimestrales'!B20</f>
        <v>2.9.5-5294.5</v>
      </c>
      <c r="C22" s="115" t="str">
        <f>'Necesidades Trimestrales'!E20</f>
        <v>CERAS P/HUESOS; USO: HEMOSTASIA, PRESENTACION: UNIDAD ESTERIL DE 2,5 GR</v>
      </c>
      <c r="D22" s="115"/>
      <c r="E22" s="115"/>
      <c r="F22" s="115"/>
      <c r="G22" s="115"/>
      <c r="H22" s="47" t="s">
        <v>50</v>
      </c>
      <c r="I22" s="48" t="str">
        <f>'Necesidades Trimestrales'!F20</f>
        <v>UNIDAD</v>
      </c>
      <c r="J22" s="49">
        <f>'Necesidades Trimestrales'!H20</f>
        <v>488</v>
      </c>
      <c r="K22" s="50">
        <f>'Necesidades Trimestrales'!G20</f>
        <v>180</v>
      </c>
    </row>
    <row r="23" spans="1:11" ht="40.5" customHeight="1" thickBot="1" x14ac:dyDescent="0.25">
      <c r="A23" s="8">
        <v>12</v>
      </c>
      <c r="B23" s="46" t="str">
        <f>'Necesidades Trimestrales'!B21</f>
        <v>2.9.5-6379.9</v>
      </c>
      <c r="C23" s="115" t="str">
        <f>'Necesidades Trimestrales'!E21</f>
        <v>CLAVIJAS DE CIRUGÍA; TIPO: STEIMANN; DIÁMETRO: 3,5 MM; MATERIAL: ACERO INOXIDABLE; PRESENTACIÓN: UNIDAD</v>
      </c>
      <c r="D23" s="115"/>
      <c r="E23" s="115"/>
      <c r="F23" s="115"/>
      <c r="G23" s="115"/>
      <c r="H23" s="47" t="s">
        <v>50</v>
      </c>
      <c r="I23" s="48" t="str">
        <f>'Necesidades Trimestrales'!F21</f>
        <v>UNIDAD</v>
      </c>
      <c r="J23" s="49">
        <f>'Necesidades Trimestrales'!H21</f>
        <v>470.6</v>
      </c>
      <c r="K23" s="50">
        <f>'Necesidades Trimestrales'!G21</f>
        <v>30</v>
      </c>
    </row>
    <row r="24" spans="1:11" ht="37.5" customHeight="1" thickBot="1" x14ac:dyDescent="0.25">
      <c r="A24" s="8">
        <v>13</v>
      </c>
      <c r="B24" s="46" t="str">
        <f>'Necesidades Trimestrales'!B22</f>
        <v>2.9.5-6379.7</v>
      </c>
      <c r="C24" s="115" t="str">
        <f>'Necesidades Trimestrales'!E22</f>
        <v>CLAVIJAS DE CIRUGIA; TIPO: STEIMANN, MATERIAL: ACERO INOXIDABLE, DIAMETRO: 4 mm, PRESENTACION: UNIDAD</v>
      </c>
      <c r="D24" s="115"/>
      <c r="E24" s="115"/>
      <c r="F24" s="115"/>
      <c r="G24" s="115"/>
      <c r="H24" s="47" t="s">
        <v>50</v>
      </c>
      <c r="I24" s="48" t="str">
        <f>'Necesidades Trimestrales'!F22</f>
        <v>UNIDAD</v>
      </c>
      <c r="J24" s="49">
        <f>'Necesidades Trimestrales'!H22</f>
        <v>453.7</v>
      </c>
      <c r="K24" s="50">
        <f>'Necesidades Trimestrales'!G22</f>
        <v>120</v>
      </c>
    </row>
    <row r="25" spans="1:11" ht="20.25" customHeight="1" thickBot="1" x14ac:dyDescent="0.25">
      <c r="A25" s="8">
        <v>14</v>
      </c>
      <c r="B25" s="46" t="str">
        <f>'Necesidades Trimestrales'!B23</f>
        <v>2.9.5-6286.11</v>
      </c>
      <c r="C25" s="115" t="str">
        <f>'Necesidades Trimestrales'!E23</f>
        <v>HEMOSTATICOS ABSORBIBLES; TIPO: TOPICO, MEDIDA: 5 X 7,5 Cm, PRESENTACION: UNIDAD</v>
      </c>
      <c r="D25" s="115"/>
      <c r="E25" s="115"/>
      <c r="F25" s="115"/>
      <c r="G25" s="115"/>
      <c r="H25" s="47" t="s">
        <v>50</v>
      </c>
      <c r="I25" s="48" t="str">
        <f>'Necesidades Trimestrales'!F23</f>
        <v>UNIDAD</v>
      </c>
      <c r="J25" s="49">
        <f>'Necesidades Trimestrales'!H23</f>
        <v>768.4</v>
      </c>
      <c r="K25" s="50">
        <f>'Necesidades Trimestrales'!G23</f>
        <v>48</v>
      </c>
    </row>
    <row r="26" spans="1:11" ht="20.25" customHeight="1" thickBot="1" x14ac:dyDescent="0.25">
      <c r="A26" s="8">
        <v>15</v>
      </c>
      <c r="B26" s="46" t="str">
        <f>'Necesidades Trimestrales'!B24</f>
        <v>2.9.5-448.45</v>
      </c>
      <c r="C26" s="115" t="str">
        <f>'Necesidades Trimestrales'!E24</f>
        <v>FRASCOS ESTERILES; CAPACIDAD: 2500 mL, PRESENTACION: UNIDAD, GRABADO: SIN, USO: DRENAJE</v>
      </c>
      <c r="D26" s="115"/>
      <c r="E26" s="115"/>
      <c r="F26" s="115"/>
      <c r="G26" s="115"/>
      <c r="H26" s="47" t="s">
        <v>50</v>
      </c>
      <c r="I26" s="48" t="str">
        <f>'Necesidades Trimestrales'!F24</f>
        <v>UNIDAD</v>
      </c>
      <c r="J26" s="49">
        <f>'Necesidades Trimestrales'!H24</f>
        <v>1250</v>
      </c>
      <c r="K26" s="50">
        <f>'Necesidades Trimestrales'!G24</f>
        <v>30</v>
      </c>
    </row>
    <row r="27" spans="1:11" ht="20.25" customHeight="1" thickBot="1" x14ac:dyDescent="0.25">
      <c r="A27" s="8">
        <v>16</v>
      </c>
      <c r="B27" s="46" t="str">
        <f>'Necesidades Trimestrales'!B25</f>
        <v>2.9.5-6509.23</v>
      </c>
      <c r="C27" s="115" t="str">
        <f>'Necesidades Trimestrales'!E25</f>
        <v>SET DE TUBULADURA; USO: P/EQUIPO DE HEMODIALISIS, PRESENTACION: UNIDAD, TIPO: ARTERIAL</v>
      </c>
      <c r="D27" s="115"/>
      <c r="E27" s="115"/>
      <c r="F27" s="115"/>
      <c r="G27" s="115"/>
      <c r="H27" s="47" t="s">
        <v>50</v>
      </c>
      <c r="I27" s="48" t="str">
        <f>'Necesidades Trimestrales'!F25</f>
        <v>UNIDAD</v>
      </c>
      <c r="J27" s="49">
        <f>'Necesidades Trimestrales'!H25</f>
        <v>265</v>
      </c>
      <c r="K27" s="50">
        <f>'Necesidades Trimestrales'!G25</f>
        <v>1500</v>
      </c>
    </row>
    <row r="28" spans="1:11" ht="28.5" customHeight="1" thickBot="1" x14ac:dyDescent="0.25">
      <c r="A28" s="8">
        <v>17</v>
      </c>
      <c r="B28" s="46" t="str">
        <f>'Necesidades Trimestrales'!B26</f>
        <v>2.9.5-6509.17</v>
      </c>
      <c r="C28" s="115" t="str">
        <f>'Necesidades Trimestrales'!E26</f>
        <v>SET DE TUBULADURA; USO: P/EQUIPO DE HEMODIALISIS, PRESENTACION: UNIDAD, TIPO: VENOSA</v>
      </c>
      <c r="D28" s="115"/>
      <c r="E28" s="115"/>
      <c r="F28" s="115"/>
      <c r="G28" s="115"/>
      <c r="H28" s="47" t="s">
        <v>50</v>
      </c>
      <c r="I28" s="48" t="str">
        <f>'Necesidades Trimestrales'!F26</f>
        <v>UNIDAD</v>
      </c>
      <c r="J28" s="49">
        <f>'Necesidades Trimestrales'!H26</f>
        <v>265</v>
      </c>
      <c r="K28" s="50">
        <f>'Necesidades Trimestrales'!G26</f>
        <v>1500</v>
      </c>
    </row>
    <row r="29" spans="1:11" ht="28.5" customHeight="1" thickBot="1" x14ac:dyDescent="0.25">
      <c r="A29" s="8">
        <v>18</v>
      </c>
      <c r="B29" s="46" t="str">
        <f>'Necesidades Trimestrales'!B27</f>
        <v>2.9.5-7517.6</v>
      </c>
      <c r="C29" s="115" t="str">
        <f>'Necesidades Trimestrales'!E27</f>
        <v>MALLAS P/EVENTRACCIÓN; MEDIDA: 30 X 30 CM; TIPO: VICRYL; MATERIAL: POLIGLACTINA; USO: CIRUGÍA</v>
      </c>
      <c r="D29" s="115"/>
      <c r="E29" s="115"/>
      <c r="F29" s="115"/>
      <c r="G29" s="115"/>
      <c r="H29" s="47" t="s">
        <v>50</v>
      </c>
      <c r="I29" s="48" t="str">
        <f>'Necesidades Trimestrales'!F27</f>
        <v>UNIDAD</v>
      </c>
      <c r="J29" s="49">
        <f>'Necesidades Trimestrales'!H27</f>
        <v>41500</v>
      </c>
      <c r="K29" s="50">
        <f>'Necesidades Trimestrales'!G27</f>
        <v>3</v>
      </c>
    </row>
    <row r="30" spans="1:11" ht="32.25" customHeight="1" thickBot="1" x14ac:dyDescent="0.25">
      <c r="A30" s="8">
        <v>19</v>
      </c>
      <c r="B30" s="46" t="str">
        <f>'Necesidades Trimestrales'!B28</f>
        <v>2.9.5-2161.564</v>
      </c>
      <c r="C30" s="115" t="str">
        <f>'Necesidades Trimestrales'!E28</f>
        <v>CATÉTERES/SONDAS; NÚMERO: 16 FRENCH; TIPO: SET MALECOT P/NEFROSTOMÍA COOK</v>
      </c>
      <c r="D30" s="115"/>
      <c r="E30" s="115"/>
      <c r="F30" s="115"/>
      <c r="G30" s="115"/>
      <c r="H30" s="47" t="s">
        <v>50</v>
      </c>
      <c r="I30" s="48" t="str">
        <f>'Necesidades Trimestrales'!F28</f>
        <v>UNIDAD</v>
      </c>
      <c r="J30" s="49">
        <f>'Necesidades Trimestrales'!H28</f>
        <v>28000</v>
      </c>
      <c r="K30" s="50">
        <f>'Necesidades Trimestrales'!G28</f>
        <v>6</v>
      </c>
    </row>
    <row r="31" spans="1:11" ht="27" customHeight="1" thickBot="1" x14ac:dyDescent="0.25">
      <c r="A31" s="8">
        <v>20</v>
      </c>
      <c r="B31" s="46" t="str">
        <f>'Necesidades Trimestrales'!B29</f>
        <v>2.9.5-2161.159</v>
      </c>
      <c r="C31" s="115" t="str">
        <f>'Necesidades Trimestrales'!E29</f>
        <v>CATETERES/SONDAS; NUMERO: K108, TIPO: ALIMENTACION ENTERAL</v>
      </c>
      <c r="D31" s="115"/>
      <c r="E31" s="115"/>
      <c r="F31" s="115"/>
      <c r="G31" s="115"/>
      <c r="H31" s="47" t="s">
        <v>50</v>
      </c>
      <c r="I31" s="48" t="str">
        <f>'Necesidades Trimestrales'!F29</f>
        <v>UNIDAD</v>
      </c>
      <c r="J31" s="49">
        <f>'Necesidades Trimestrales'!H29</f>
        <v>10500</v>
      </c>
      <c r="K31" s="50">
        <f>'Necesidades Trimestrales'!G29</f>
        <v>100</v>
      </c>
    </row>
    <row r="32" spans="1:11" ht="32.25" customHeight="1" thickBot="1" x14ac:dyDescent="0.25">
      <c r="A32" s="8">
        <v>21</v>
      </c>
      <c r="B32" s="46" t="str">
        <f>'Necesidades Trimestrales'!B30</f>
        <v>2.9.5-6286.5</v>
      </c>
      <c r="C32" s="115" t="str">
        <f>'Necesidades Trimestrales'!E30</f>
        <v>HEMOSTATICOS ABSORBIBLES; TIPO: SURGIEL, MEDIDA: 5 X 7,5 Cm, PRESENTACION: UNIDAD</v>
      </c>
      <c r="D32" s="115"/>
      <c r="E32" s="115"/>
      <c r="F32" s="115"/>
      <c r="G32" s="115"/>
      <c r="H32" s="47" t="s">
        <v>50</v>
      </c>
      <c r="I32" s="48" t="str">
        <f>'Necesidades Trimestrales'!F30</f>
        <v>UNIDAD</v>
      </c>
      <c r="J32" s="49">
        <f>'Necesidades Trimestrales'!H30</f>
        <v>4900</v>
      </c>
      <c r="K32" s="50">
        <f>'Necesidades Trimestrales'!G30</f>
        <v>96</v>
      </c>
    </row>
    <row r="33" spans="1:1024" ht="20.25" customHeight="1" thickBot="1" x14ac:dyDescent="0.25">
      <c r="A33" s="116" t="s">
        <v>118</v>
      </c>
      <c r="B33" s="116"/>
      <c r="C33" s="116"/>
      <c r="D33" s="116"/>
      <c r="E33" s="116"/>
      <c r="F33" s="116"/>
      <c r="G33" s="116"/>
      <c r="H33" s="116"/>
      <c r="I33" s="116"/>
      <c r="J33" s="109">
        <f>SUMPRODUCT(J12:J32,K12:K32)</f>
        <v>6943435.2000000002</v>
      </c>
      <c r="K33" s="109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</row>
  </sheetData>
  <mergeCells count="43">
    <mergeCell ref="C31:G31"/>
    <mergeCell ref="C32:G32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13:G13"/>
    <mergeCell ref="C14:G14"/>
    <mergeCell ref="C15:G15"/>
    <mergeCell ref="C16:G16"/>
    <mergeCell ref="C30:G30"/>
    <mergeCell ref="J33:K3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A33:I33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opLeftCell="A10" zoomScale="130" zoomScaleNormal="130" workbookViewId="0">
      <selection activeCell="O16" sqref="O16:P16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117" t="s">
        <v>3</v>
      </c>
      <c r="B1" s="117"/>
      <c r="C1" s="117"/>
      <c r="D1" s="118">
        <f>'Necesidades Trimestrales'!C6</f>
        <v>2022</v>
      </c>
      <c r="E1" s="118"/>
      <c r="F1" s="10"/>
      <c r="G1" s="10"/>
      <c r="H1" s="11"/>
      <c r="I1" s="11"/>
      <c r="J1" s="11"/>
      <c r="K1" s="11"/>
      <c r="L1" s="11"/>
      <c r="M1" s="11"/>
      <c r="N1" s="11"/>
      <c r="P1" s="119" t="s">
        <v>24</v>
      </c>
      <c r="Q1" s="119"/>
    </row>
    <row r="2" spans="1:19" ht="15.75" customHeight="1" x14ac:dyDescent="0.2">
      <c r="H2" s="11"/>
      <c r="I2" s="11"/>
      <c r="J2" s="11"/>
      <c r="K2" s="11"/>
      <c r="L2" s="11"/>
      <c r="M2" s="11"/>
      <c r="N2" s="11"/>
      <c r="P2" s="119"/>
      <c r="Q2" s="119"/>
    </row>
    <row r="4" spans="1:19" s="12" customFormat="1" ht="18" customHeight="1" thickBot="1" x14ac:dyDescent="0.25">
      <c r="A4" s="120" t="s">
        <v>25</v>
      </c>
      <c r="B4" s="120"/>
      <c r="C4" s="120"/>
      <c r="D4" s="120"/>
      <c r="E4" s="120"/>
      <c r="F4" s="120"/>
      <c r="G4" s="121" t="str">
        <f>NotaPedido!D3</f>
        <v>40 - Ministerio de Salud</v>
      </c>
      <c r="H4" s="121"/>
      <c r="I4" s="121"/>
      <c r="J4" s="121"/>
      <c r="K4" s="121"/>
      <c r="L4" s="121"/>
      <c r="M4" s="121"/>
      <c r="N4" s="121"/>
      <c r="O4" s="121"/>
      <c r="P4" s="121"/>
      <c r="Q4" s="121"/>
    </row>
    <row r="5" spans="1:19" s="12" customFormat="1" ht="18" customHeight="1" thickBot="1" x14ac:dyDescent="0.25">
      <c r="A5" s="122" t="s">
        <v>48</v>
      </c>
      <c r="B5" s="123"/>
      <c r="C5" s="123"/>
      <c r="D5" s="123"/>
      <c r="E5" s="123"/>
      <c r="F5" s="124"/>
      <c r="G5" s="121" t="str">
        <f>NotaPedido!D4</f>
        <v>23 - Hospital Interzonal San Juan Bautista</v>
      </c>
      <c r="H5" s="121"/>
      <c r="I5" s="121"/>
      <c r="J5" s="121"/>
      <c r="K5" s="121"/>
      <c r="L5" s="121"/>
      <c r="M5" s="121"/>
      <c r="N5" s="121"/>
      <c r="O5" s="121"/>
      <c r="P5" s="121"/>
      <c r="Q5" s="121"/>
    </row>
    <row r="6" spans="1:19" s="12" customFormat="1" ht="18" customHeight="1" thickBot="1" x14ac:dyDescent="0.25">
      <c r="A6" s="122" t="s">
        <v>26</v>
      </c>
      <c r="B6" s="123"/>
      <c r="C6" s="123"/>
      <c r="D6" s="123"/>
      <c r="E6" s="123"/>
      <c r="F6" s="124"/>
      <c r="G6" s="121" t="str">
        <f>NotaPedido!D5</f>
        <v>168 - Direccion Asistencial</v>
      </c>
      <c r="H6" s="121"/>
      <c r="I6" s="121"/>
      <c r="J6" s="121"/>
      <c r="K6" s="121"/>
      <c r="L6" s="121"/>
      <c r="M6" s="121"/>
      <c r="N6" s="121"/>
      <c r="O6" s="121"/>
      <c r="P6" s="121"/>
      <c r="Q6" s="121"/>
    </row>
    <row r="7" spans="1:19" s="12" customFormat="1" ht="18" customHeight="1" thickBot="1" x14ac:dyDescent="0.25">
      <c r="A7" s="122" t="s">
        <v>49</v>
      </c>
      <c r="B7" s="123"/>
      <c r="C7" s="123"/>
      <c r="D7" s="123"/>
      <c r="E7" s="123"/>
      <c r="F7" s="124"/>
      <c r="G7" s="121" t="str">
        <f>NotaPedido!D6</f>
        <v>Servicio de Farmacia</v>
      </c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9" ht="18" customHeight="1" thickBot="1" x14ac:dyDescent="0.25">
      <c r="A8" s="125" t="s">
        <v>27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</row>
    <row r="9" spans="1:19" ht="18" customHeight="1" x14ac:dyDescent="0.2">
      <c r="A9" s="130" t="s">
        <v>28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"/>
      <c r="P9" s="1"/>
      <c r="Q9" s="13"/>
    </row>
    <row r="10" spans="1:19" ht="54.75" customHeight="1" x14ac:dyDescent="0.2">
      <c r="A10" s="131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,  afectando la erogación resultante a los créditos presupuestarios aprobados a favor de esta Unidad Ejecutora, conforme al siguiente detalle: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</row>
    <row r="11" spans="1:19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9" ht="15.75" customHeight="1" x14ac:dyDescent="0.2">
      <c r="A12" s="132" t="s">
        <v>29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</row>
    <row r="13" spans="1:19" ht="15.75" customHeight="1" x14ac:dyDescent="0.2">
      <c r="A13" s="133" t="s">
        <v>30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4" t="s">
        <v>31</v>
      </c>
      <c r="P13" s="134"/>
      <c r="Q13" s="135" t="s">
        <v>32</v>
      </c>
    </row>
    <row r="14" spans="1:19" ht="15.75" customHeight="1" thickBot="1" x14ac:dyDescent="0.25">
      <c r="A14" s="18" t="s">
        <v>33</v>
      </c>
      <c r="B14" s="19" t="s">
        <v>34</v>
      </c>
      <c r="C14" s="19" t="s">
        <v>35</v>
      </c>
      <c r="D14" s="19" t="s">
        <v>36</v>
      </c>
      <c r="E14" s="19" t="s">
        <v>37</v>
      </c>
      <c r="F14" s="19" t="s">
        <v>38</v>
      </c>
      <c r="G14" s="20" t="s">
        <v>39</v>
      </c>
      <c r="H14" s="19" t="s">
        <v>40</v>
      </c>
      <c r="I14" s="19" t="s">
        <v>41</v>
      </c>
      <c r="J14" s="19" t="s">
        <v>42</v>
      </c>
      <c r="K14" s="19" t="s">
        <v>42</v>
      </c>
      <c r="L14" s="19" t="s">
        <v>43</v>
      </c>
      <c r="M14" s="21" t="s">
        <v>44</v>
      </c>
      <c r="N14" s="22" t="s">
        <v>45</v>
      </c>
      <c r="O14" s="134"/>
      <c r="P14" s="134"/>
      <c r="Q14" s="135"/>
    </row>
    <row r="15" spans="1:19" ht="17.25" customHeight="1" x14ac:dyDescent="0.2">
      <c r="A15" s="89">
        <v>33</v>
      </c>
      <c r="B15" s="90"/>
      <c r="C15" s="90"/>
      <c r="D15" s="90">
        <v>2</v>
      </c>
      <c r="E15" s="90"/>
      <c r="F15" s="90">
        <v>4901</v>
      </c>
      <c r="G15" s="90">
        <v>3</v>
      </c>
      <c r="H15" s="91" t="s">
        <v>56</v>
      </c>
      <c r="I15" s="90">
        <v>2</v>
      </c>
      <c r="J15" s="90">
        <v>5</v>
      </c>
      <c r="K15" s="90">
        <v>2</v>
      </c>
      <c r="L15" s="90"/>
      <c r="M15" s="92">
        <v>1</v>
      </c>
      <c r="N15" s="91" t="s">
        <v>57</v>
      </c>
      <c r="O15" s="126" t="s">
        <v>55</v>
      </c>
      <c r="P15" s="126"/>
      <c r="Q15" s="23">
        <v>87840</v>
      </c>
    </row>
    <row r="16" spans="1:19" ht="17.25" customHeight="1" x14ac:dyDescent="0.2">
      <c r="A16" s="24">
        <v>33</v>
      </c>
      <c r="B16" s="25"/>
      <c r="C16" s="25"/>
      <c r="D16" s="25">
        <v>2</v>
      </c>
      <c r="E16" s="25"/>
      <c r="F16" s="27">
        <v>4901</v>
      </c>
      <c r="G16" s="25">
        <v>3</v>
      </c>
      <c r="H16" s="51" t="s">
        <v>56</v>
      </c>
      <c r="I16" s="25">
        <v>2</v>
      </c>
      <c r="J16" s="25">
        <v>9</v>
      </c>
      <c r="K16" s="25">
        <v>5</v>
      </c>
      <c r="L16" s="25"/>
      <c r="M16" s="26">
        <v>1</v>
      </c>
      <c r="N16" s="52" t="s">
        <v>57</v>
      </c>
      <c r="O16" s="127" t="s">
        <v>58</v>
      </c>
      <c r="P16" s="127"/>
      <c r="Q16" s="28">
        <v>6855595.2000000002</v>
      </c>
      <c r="S16" s="53"/>
    </row>
    <row r="17" spans="1:18" ht="17.25" customHeight="1" x14ac:dyDescent="0.2">
      <c r="A17" s="24"/>
      <c r="B17" s="25"/>
      <c r="C17" s="25"/>
      <c r="D17" s="25"/>
      <c r="E17" s="25"/>
      <c r="F17" s="25"/>
      <c r="G17" s="25"/>
      <c r="H17" s="51"/>
      <c r="I17" s="25"/>
      <c r="J17" s="25"/>
      <c r="K17" s="25"/>
      <c r="L17" s="25"/>
      <c r="M17" s="26"/>
      <c r="N17" s="52"/>
      <c r="O17" s="128"/>
      <c r="P17" s="129"/>
      <c r="Q17" s="28"/>
    </row>
    <row r="18" spans="1:18" ht="17.25" customHeight="1" x14ac:dyDescent="0.2">
      <c r="A18" s="24"/>
      <c r="B18" s="25"/>
      <c r="C18" s="25"/>
      <c r="D18" s="25"/>
      <c r="E18" s="25"/>
      <c r="F18" s="27"/>
      <c r="G18" s="25"/>
      <c r="H18" s="25"/>
      <c r="I18" s="25"/>
      <c r="J18" s="25"/>
      <c r="K18" s="25"/>
      <c r="L18" s="25"/>
      <c r="M18" s="26"/>
      <c r="N18" s="27"/>
      <c r="O18" s="129"/>
      <c r="P18" s="129"/>
      <c r="Q18" s="28"/>
    </row>
    <row r="19" spans="1:18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9"/>
      <c r="P19" s="129"/>
      <c r="Q19" s="28"/>
    </row>
    <row r="20" spans="1:18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141"/>
      <c r="P20" s="141"/>
      <c r="Q20" s="28"/>
      <c r="R20" s="1"/>
    </row>
    <row r="21" spans="1:18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142"/>
      <c r="P21" s="142"/>
      <c r="Q21" s="37"/>
    </row>
    <row r="22" spans="1:18" ht="23.25" customHeight="1" x14ac:dyDescent="0.2">
      <c r="A22" s="143" t="s">
        <v>117</v>
      </c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38">
        <f>SUM(Q15:Q21)</f>
        <v>6943435.2000000002</v>
      </c>
    </row>
    <row r="23" spans="1:18" ht="18" customHeight="1" thickBot="1" x14ac:dyDescent="0.25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</row>
    <row r="24" spans="1:18" ht="17.25" customHeight="1" thickBot="1" x14ac:dyDescent="0.25">
      <c r="A24" s="136" t="s">
        <v>46</v>
      </c>
      <c r="B24" s="137"/>
      <c r="C24" s="137"/>
      <c r="D24" s="137"/>
      <c r="E24" s="137"/>
      <c r="F24" s="138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</row>
    <row r="25" spans="1:18" ht="18" customHeight="1" thickBot="1" x14ac:dyDescent="0.25">
      <c r="A25" s="140" t="str">
        <f>"Para la "&amp; NotaPedido!D8 &amp;" para ser destinados al " &amp; NotaPedido!D6 &amp;"  del HISJB del Ministerio de Salud."</f>
        <v>Para la Adquisición de Descartables Complejos  para ser destinados al Servicio de Farmacia  del HISJB del Ministerio de Salud.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</row>
    <row r="26" spans="1:18" ht="15" customHeight="1" x14ac:dyDescent="0.2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</row>
  </sheetData>
  <mergeCells count="30">
    <mergeCell ref="A24:F24"/>
    <mergeCell ref="G24:Q24"/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2022-08-03T12:00:18Z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