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1 TRIMESTRE 2022\M SALUD\DESCARTABLES DE LAB\final\"/>
    </mc:Choice>
  </mc:AlternateContent>
  <xr:revisionPtr revIDLastSave="0" documentId="13_ncr:1_{73AFF9E6-F804-431F-8816-49C24EC20A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F 011" sheetId="1" r:id="rId1"/>
    <sheet name="NP" sheetId="2" r:id="rId2"/>
    <sheet name="APG" sheetId="3" r:id="rId3"/>
  </sheets>
  <definedNames>
    <definedName name="_xlnm._FilterDatabase" localSheetId="0" hidden="1">'SAF 011'!$A$9:$I$9</definedName>
  </definedNames>
  <calcPr calcId="181029"/>
</workbook>
</file>

<file path=xl/calcChain.xml><?xml version="1.0" encoding="utf-8"?>
<calcChain xmlns="http://schemas.openxmlformats.org/spreadsheetml/2006/main"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10" i="1"/>
  <c r="J76" i="2"/>
  <c r="J74" i="2"/>
  <c r="J72" i="2"/>
  <c r="J70" i="2"/>
  <c r="J68" i="2"/>
  <c r="J66" i="2"/>
  <c r="J64" i="2"/>
  <c r="J62" i="2"/>
  <c r="J60" i="2"/>
  <c r="J58" i="2"/>
  <c r="J56" i="2"/>
  <c r="J54" i="2"/>
  <c r="J52" i="2"/>
  <c r="J50" i="2"/>
  <c r="J48" i="2"/>
  <c r="J46" i="2"/>
  <c r="J44" i="2"/>
  <c r="J42" i="2"/>
  <c r="J40" i="2"/>
  <c r="J38" i="2"/>
  <c r="J36" i="2"/>
  <c r="J34" i="2"/>
  <c r="J32" i="2"/>
  <c r="J30" i="2"/>
  <c r="J28" i="2"/>
  <c r="J26" i="2"/>
  <c r="J24" i="2"/>
  <c r="J22" i="2"/>
  <c r="J20" i="2"/>
  <c r="J18" i="2"/>
  <c r="J16" i="2"/>
  <c r="J14" i="2"/>
  <c r="A41" i="3"/>
  <c r="G6" i="3"/>
  <c r="G7" i="3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12" i="2"/>
  <c r="J13" i="2"/>
  <c r="J15" i="2"/>
  <c r="M15" i="2" s="1"/>
  <c r="J17" i="2"/>
  <c r="J19" i="2"/>
  <c r="J21" i="2"/>
  <c r="J23" i="2"/>
  <c r="M23" i="2" s="1"/>
  <c r="J25" i="2"/>
  <c r="J27" i="2"/>
  <c r="J29" i="2"/>
  <c r="J31" i="2"/>
  <c r="M31" i="2" s="1"/>
  <c r="J33" i="2"/>
  <c r="J35" i="2"/>
  <c r="J37" i="2"/>
  <c r="J39" i="2"/>
  <c r="M39" i="2" s="1"/>
  <c r="J41" i="2"/>
  <c r="J43" i="2"/>
  <c r="J45" i="2"/>
  <c r="J47" i="2"/>
  <c r="M47" i="2" s="1"/>
  <c r="J49" i="2"/>
  <c r="J51" i="2"/>
  <c r="J53" i="2"/>
  <c r="J55" i="2"/>
  <c r="M55" i="2" s="1"/>
  <c r="J57" i="2"/>
  <c r="J59" i="2"/>
  <c r="J61" i="2"/>
  <c r="J63" i="2"/>
  <c r="M63" i="2" s="1"/>
  <c r="J65" i="2"/>
  <c r="J67" i="2"/>
  <c r="J69" i="2"/>
  <c r="J71" i="2"/>
  <c r="M71" i="2" s="1"/>
  <c r="J73" i="2"/>
  <c r="J75" i="2"/>
  <c r="J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12" i="2"/>
  <c r="D4" i="2"/>
  <c r="G5" i="3" s="1"/>
  <c r="D3" i="2"/>
  <c r="G4" i="3" s="1"/>
  <c r="M14" i="2" l="1"/>
  <c r="M22" i="2"/>
  <c r="M30" i="2"/>
  <c r="M38" i="2"/>
  <c r="M54" i="2"/>
  <c r="M46" i="2"/>
  <c r="M62" i="2"/>
  <c r="M70" i="2"/>
  <c r="M16" i="2"/>
  <c r="M32" i="2"/>
  <c r="M64" i="2"/>
  <c r="M18" i="2"/>
  <c r="M26" i="2"/>
  <c r="M34" i="2"/>
  <c r="M42" i="2"/>
  <c r="M50" i="2"/>
  <c r="M58" i="2"/>
  <c r="M74" i="2"/>
  <c r="M24" i="2"/>
  <c r="M40" i="2"/>
  <c r="M48" i="2"/>
  <c r="M56" i="2"/>
  <c r="M72" i="2"/>
  <c r="Q16" i="3" s="1"/>
  <c r="M75" i="2"/>
  <c r="M67" i="2"/>
  <c r="M59" i="2"/>
  <c r="M51" i="2"/>
  <c r="M43" i="2"/>
  <c r="M35" i="2"/>
  <c r="M27" i="2"/>
  <c r="M19" i="2"/>
  <c r="M20" i="2"/>
  <c r="M28" i="2"/>
  <c r="M36" i="2"/>
  <c r="M44" i="2"/>
  <c r="M52" i="2"/>
  <c r="M60" i="2"/>
  <c r="M68" i="2"/>
  <c r="M76" i="2"/>
  <c r="M12" i="2"/>
  <c r="M73" i="2"/>
  <c r="M69" i="2"/>
  <c r="M65" i="2"/>
  <c r="M61" i="2"/>
  <c r="M57" i="2"/>
  <c r="M53" i="2"/>
  <c r="M49" i="2"/>
  <c r="M45" i="2"/>
  <c r="M41" i="2"/>
  <c r="M37" i="2"/>
  <c r="M33" i="2"/>
  <c r="M29" i="2"/>
  <c r="M25" i="2"/>
  <c r="M21" i="2"/>
  <c r="M17" i="2"/>
  <c r="M13" i="2"/>
  <c r="M66" i="2"/>
  <c r="M78" i="2" l="1"/>
  <c r="M80" i="2" s="1"/>
  <c r="Q15" i="3" s="1"/>
  <c r="Q38" i="3" s="1"/>
  <c r="I75" i="1"/>
  <c r="J78" i="2" l="1"/>
</calcChain>
</file>

<file path=xl/sharedStrings.xml><?xml version="1.0" encoding="utf-8"?>
<sst xmlns="http://schemas.openxmlformats.org/spreadsheetml/2006/main" count="471" uniqueCount="210">
  <si>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</si>
  <si>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</si>
  <si>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</si>
  <si>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</si>
  <si>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</si>
  <si>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</si>
  <si>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</si>
  <si>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PRIMERO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</si>
  <si>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</si>
  <si>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</si>
  <si>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</si>
  <si>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</si>
  <si>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</si>
  <si>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</si>
  <si>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 TOTAL</t>
  </si>
  <si>
    <t>PRECIO UNITARIO ESTIMADO</t>
  </si>
  <si>
    <t xml:space="preserve">IMPORTE TOTAL ESTIMADO </t>
  </si>
  <si>
    <t>ESPECIFICACION TECNICA</t>
  </si>
  <si>
    <t>UNIDAD</t>
  </si>
  <si>
    <t>2.9.5-470.13</t>
  </si>
  <si>
    <t>PROD. MEDICO/FARMACEUTICOS/LAB</t>
  </si>
  <si>
    <t>2.9.5</t>
  </si>
  <si>
    <t>ALGODONES; TIPO: HIDROFILADO, CAPACIDAD: 500 GR, PRESENTACION: ENVASE X 500 GR</t>
  </si>
  <si>
    <t>2.9.5-287.3</t>
  </si>
  <si>
    <t>AMPOLLAS P/DECANTACION; CAPACIDAD: 1000 mL</t>
  </si>
  <si>
    <t>2.9.5-5703.8</t>
  </si>
  <si>
    <t>ANSA; PRESENTACION: ENVASE X 20 UN, TIPO: CALIBRADA</t>
  </si>
  <si>
    <t>2.9.5-5703.9</t>
  </si>
  <si>
    <t>ANSA; PRESENTACION: ENVASE X 20 UN, TIPO: PUNTA RECTA</t>
  </si>
  <si>
    <t>2.9.5-5703.15</t>
  </si>
  <si>
    <t>ANSA; PRESENTACION: UNIDAD, TIPO: PLASTICA DESCARTABLE</t>
  </si>
  <si>
    <t>2.9.5-2505.16</t>
  </si>
  <si>
    <t>BOLSAS COLECTORAS; TIPO: ESTERIL, USO: MUESTREO, CAPACIDAD: 400 mL</t>
  </si>
  <si>
    <t>2.9.5-5770.9</t>
  </si>
  <si>
    <t>CAPSULAS DE PORCELANA; USO: P/CALCINACION, CAPACIDAD: 100 CM3, MEDIDAS: 136-100 mm, DIMENSION: 136-100 mm</t>
  </si>
  <si>
    <t>2.9.5-5770.10</t>
  </si>
  <si>
    <t>CAPSULAS DE PORCELANA; USO: P/LABORATORIO, CAPACIDAD: 75 mL, MEDIDAS: 50 X 44 mm, DIMENSION: 50 X 44 mm</t>
  </si>
  <si>
    <t>2.9.5-1908.12</t>
  </si>
  <si>
    <t>CEPILLOS P/LABORATORIO; TIPO: LIMPIEZA DE TUBOS, MATERIAL: CERDA, TAMAÑO: 1 Cm</t>
  </si>
  <si>
    <t>2.9.5-1908.3</t>
  </si>
  <si>
    <t>CEPILLOS P/LABORATORIO; TIPO: LIMPIEZA DE TUBOS, MATERIAL: CERDA, TAMAÑO: CHICO</t>
  </si>
  <si>
    <t>2.9.5-1908.2</t>
  </si>
  <si>
    <t>CEPILLOS P/LABORATORIO; TIPO: LIMPIEZA DE TUBOS, MATERIAL: CERDA, TAMAÑO: MEDIANO</t>
  </si>
  <si>
    <t>2.9.5-1908.40</t>
  </si>
  <si>
    <t>CEPILLOS P/LABORATORIO; TIPO: LIMPIEZA ERLENMEYER, MATERIAL: CERDA, TAMAÑO: DIAM. 45 mm</t>
  </si>
  <si>
    <t>2.9.5-1908.17</t>
  </si>
  <si>
    <t>CEPILLOS P/LABORATORIO; TIPO: P/PROBETAS, MATERIAL: CERDA, TAMAÑO: LONG. 23/ DIAM. 2 Cm</t>
  </si>
  <si>
    <t>2.9.5-8735.20</t>
  </si>
  <si>
    <t>DESECADORES; ACCESORIO: DESECADOR, ALTO: 31 Cm, DIAMETRO: 29 Cm, MATERIAL: VIDRIO BOROSILICATO, USO: P/LABORATORIO</t>
  </si>
  <si>
    <t>2.9.5-5846.6</t>
  </si>
  <si>
    <t>EMBUDOS P/LABORATORIOS; MATERIAL: POLIPROPILENO, DIAM. BOCA: 100 mm, DIAM. TUBO: 13 mm, CAPACIDAD: 250 mL, DIAMETRO MENOR: 100 mm, DIAMETRO MAYOR: 13 mm</t>
  </si>
  <si>
    <t>2.9.5-5846.5</t>
  </si>
  <si>
    <t>EMBUDOS P/LABORATORIOS; MATERIAL: POLIPROPILENO, DIAM. BOCA: 75 mm, DIAM. TUBO: 10 mm, CAPACIDAD: 100 mL, DIAMETRO MENOR: 75 mm, DIAMETRO MAYOR: 10 mm</t>
  </si>
  <si>
    <t>2.9.5-5846.23</t>
  </si>
  <si>
    <t>EMBUDOS P/LABORATORIOS; MATERIAL: VIDRIO, DIAMETRO MENOR: 15 mm, DIAMETRO MAYOR: 80 mm, CAPACIDAD: 250 mL</t>
  </si>
  <si>
    <t>2.9.5-5846.18</t>
  </si>
  <si>
    <t>EMBUDOS P/LABORATORIOS; MATERIAL: VIDRIO, DIAMETRO MENOR: 20 mm, DIAMETRO MAYOR: 65 mm, CAPACIDAD: 150 mL</t>
  </si>
  <si>
    <t>2.9.5-5846.16</t>
  </si>
  <si>
    <t>EMBUDOS P/LABORATORIOS; MATERIAL: VIDRIO, DIAMETRO MENOR: 9 mm, DIAMETRO MAYOR: 50 mm, CAPACIDAD: 20 mL</t>
  </si>
  <si>
    <t>2.9.5-2765.31</t>
  </si>
  <si>
    <t>ERLENMEYER; TIPO: BOCA COMUN, CAPACIDAD: 1000 mL, GRADUADO: SI, GRADUACION: SI</t>
  </si>
  <si>
    <t>2.9.5-2765.30</t>
  </si>
  <si>
    <t>ERLENMEYER; TIPO: BOCA COMUN, CAPACIDAD: 125 mL, GRADUADO: SI, GRADUACION: SI</t>
  </si>
  <si>
    <t>2.9.5-2765.24</t>
  </si>
  <si>
    <t>ERLENMEYER; TIPO: BOCA COMUN, CAPACIDAD: 250 mL, GRADUACION: SI, GRADUADO: SI</t>
  </si>
  <si>
    <t>2.9.5-448.76</t>
  </si>
  <si>
    <t>FRASCOS ESTERILES; CAPACIDAD: 1000 mL, PRESENTACION: UNIDAD, GRABADO: SIN, USO: LABORATORIO</t>
  </si>
  <si>
    <t>2.9.5-448.79</t>
  </si>
  <si>
    <t>FRASCOS ESTERILES; CAPACIDAD: 250 mL, PRESENTACION: UNIDAD, GRABADO: SIN, USO: LABORATORIO</t>
  </si>
  <si>
    <t>2.9.5-2600.22</t>
  </si>
  <si>
    <t>FRASCOS P/MUESTRAS; DIMENSION: SIN VALOR, MATERIAL: VIDRIO GRADUADO AUTOCLAVABLE, CAPACIDAD: 250 mL, TAPA: A ROSCA</t>
  </si>
  <si>
    <t>2.9.5-2600.23</t>
  </si>
  <si>
    <t>FRASCOS P/MUESTRAS; DIMENSION: SIN VALOR, MATERIAL: VIDRIO GRADUADO AUTOCLAVABLE, CAPACIDAD: 500 mL, TAPA: A ROSCA</t>
  </si>
  <si>
    <t>2.9.5-2600.117</t>
  </si>
  <si>
    <t>FRASCOS P/MUESTRAS; MATERIAL: VIDRIO GRADUADO AUTOCLAVABLE, DIMENSION: NO APLICA, CAPACIDAD: 100 mL, TAPA: A ROSCA</t>
  </si>
  <si>
    <t>2.9.5-2600.24</t>
  </si>
  <si>
    <t>FRASCOS P/MUESTRAS; MATERIAL: VIDRIO GRADUADO AUTOCLAVABLE, DIMENSION: SIN VALOR, CAPACIDAD: 1000 mL, TAPA: A ROSCA</t>
  </si>
  <si>
    <t>2.9.5-3017.1</t>
  </si>
  <si>
    <t>GRADILLAS P/LABORATORIO; CANTIDAD DE TUBOS: 48, MATERIAL: ALAMBRE PLASTIFICADO, MEDIDA TUBO: 6 X 1,5 Cm, TAMAÑO TUBO: 6 X 1,5 Cm, CANT. DE ELEMENTOS: 48, MEDIDA: 6 X 1,5 Cm</t>
  </si>
  <si>
    <t>2.9.5-3017.3</t>
  </si>
  <si>
    <t>GRADILLAS P/LABORATORIO; TAMAÑO TUBO: 13 mm, CANTIDAD DE TUBOS: 36, MATERIAL: VIDRIO FORRADA, MEDIDA TUBO: 13 mm, CANT. DE ELEMENTOS: 36, MEDIDA: 13 mm</t>
  </si>
  <si>
    <t>2.9.5-3017.4</t>
  </si>
  <si>
    <t>GRADILLAS P/LABORATORIO; TAMAÑO TUBO: 3,4 X 12 Cm, CANTIDAD DE TUBOS: 12, MATERIAL: ALAMBRE PLASTIFICADO, MEDIDA TUBO: 3,4 X 12 Cm, CANT. DE ELEMENTOS: 12, MEDIDA: 3,4 X 12 Cm</t>
  </si>
  <si>
    <t>2.9.5-7591.1</t>
  </si>
  <si>
    <t>MANGOS DE KOLL; LARGO: 25 Cm, MATERIAL: ACERO INOXIDABLE, PRESENTACION: UNIDAD, USO: TOMA DE MUESTRAS</t>
  </si>
  <si>
    <t>2.9.5-4539.37</t>
  </si>
  <si>
    <t>MATRAZ AFORADO; ESTADO: SOLIDO, MATERIAL: POLIPROPILENO, PRESENTACION: UNIDAD, CAPACIDAD: 100 mL</t>
  </si>
  <si>
    <t>2.9.5-4539.40</t>
  </si>
  <si>
    <t>MATRAZ AFORADO; ESTADO: SOLIDO, MATERIAL: POLIPROPILENO, PRESENTACION: UNIDAD, CAPACIDAD: 250 mL</t>
  </si>
  <si>
    <t>2.9.5-4539.8</t>
  </si>
  <si>
    <t>MATRAZ AFORADO; ESTADO: SOLIDO, MATERIAL: VIDRIO BOROSILICATO, PRESENTACION: UNIDAD, CAPACIDAD: 250 mL</t>
  </si>
  <si>
    <t>2.9.5-4539.21</t>
  </si>
  <si>
    <t>MATRAZ AFORADO; ESTADO: SOLIDO, MATERIAL: VIDRIO, PRESENTACION: UNIDAD, CAPACIDAD: 100 Ml</t>
  </si>
  <si>
    <t>2.9.5-4539.22</t>
  </si>
  <si>
    <t>MATRAZ AFORADO; ESTADO: SOLIDO, MATERIAL: VIDRIO, PRESENTACION: UNIDAD, CAPACIDAD: 200 Ml</t>
  </si>
  <si>
    <t>2.9.5-4539.23</t>
  </si>
  <si>
    <t>MATRAZ AFORADO; ESTADO: SOLIDO, MATERIAL: VIDRIO, PRESENTACION: UNIDAD, CAPACIDAD: 25 Ml</t>
  </si>
  <si>
    <t>2.9.5-4539.24</t>
  </si>
  <si>
    <t>MATRAZ AFORADO; ESTADO: SOLIDO, MATERIAL: VIDRIO, PRESENTACION: UNIDAD, CAPACIDAD: 50 mL</t>
  </si>
  <si>
    <t>2.9.5-4539.25</t>
  </si>
  <si>
    <t>MATRAZ AFORADO; ESTADO: SOLIDO, MATERIAL: VIDRIO, PRESENTACION: UNIDAD, CAPACIDAD: 500 Ml</t>
  </si>
  <si>
    <t>2.9.5-3024.49</t>
  </si>
  <si>
    <t>PAPEL FILTRO; FORMA: CIRCULAR, DIMENSION: 110 mm, PORO: WATMAN 40/41, PRESENTACION: ENVASE X 100</t>
  </si>
  <si>
    <t>2.9.5-469.92</t>
  </si>
  <si>
    <t>PIPETAS DE VIDRIO; USO: GENERAL, TIPO: GRADUADA X 1 ML</t>
  </si>
  <si>
    <t>2.9.5-469.36</t>
  </si>
  <si>
    <t>PIPETAS DE VIDRIO; USO: LABORATORIO, TIPO: 1 AFORO DE 50 ML</t>
  </si>
  <si>
    <t>2.9.5-469.62</t>
  </si>
  <si>
    <t>PIPETAS DE VIDRIO; USO: LABORATORIO, TIPO: AFORO SIMPLE 100 ML</t>
  </si>
  <si>
    <t>2.9.5-469.59</t>
  </si>
  <si>
    <t>PIPETAS DE VIDRIO; USO: LABORATORIO, TIPO: DOBLE AFORO 100 mL</t>
  </si>
  <si>
    <t>2.9.5-469.45</t>
  </si>
  <si>
    <t>PIPETAS DE VIDRIO; USO: LABORATORIO, TIPO: DOBLE AFORO 11 Ml</t>
  </si>
  <si>
    <t>2.9.5-469.35</t>
  </si>
  <si>
    <t>PIPETAS DE VIDRIO; USO: LABORATORIO, TIPO: DOBLE AFORO 25 mL</t>
  </si>
  <si>
    <t>2.9.5-469.51</t>
  </si>
  <si>
    <t>PIPETAS DE VIDRIO; USO: LABORATORIO, TIPO: DOBLE AFORO 50 mL</t>
  </si>
  <si>
    <t>2.9.5-469.41</t>
  </si>
  <si>
    <t>PIPETAS DE VIDRIO; USO: LABORATORIO, TIPO: GRADUADA DE 10 ML</t>
  </si>
  <si>
    <t>2.9.5-469.48</t>
  </si>
  <si>
    <t>2.9.5-469.49</t>
  </si>
  <si>
    <t>PIPETAS DE VIDRIO; USO: LABORATORIO, TIPO: GRADUADA DE 5 ML</t>
  </si>
  <si>
    <t>2.9.5-2782.13</t>
  </si>
  <si>
    <t>PISETAS DE LABORATORIO; MATERIAL: POLIETILENO, CAPACIDAD: 500 Ml</t>
  </si>
  <si>
    <t>2.9.5-2591.7</t>
  </si>
  <si>
    <t>2.9.5-2591.5</t>
  </si>
  <si>
    <t>PLACAS DE PETRI; MATERIAL: SOLIDO, DIAMETRO: 100 mm, ALTURA: 15 mm</t>
  </si>
  <si>
    <t>2.9.5-2763.20</t>
  </si>
  <si>
    <t>PROBETAS; MATERIAL: VIDRIO, CAPACIDAD: 100 mL, GRADUACION: 1 mL, TAPA: SIN, BASE: PLASTICA</t>
  </si>
  <si>
    <t>2.9.5-2763.11</t>
  </si>
  <si>
    <t>PROBETAS; MATERIAL: VIDRIO BOROSILICATO, CAPACIDAD: 1000 mL, GRADUACION: EN COLOR, TAPA: SIN VALOR, BASE: PLASTICA</t>
  </si>
  <si>
    <t>2.9.5-2763.9</t>
  </si>
  <si>
    <t>PROBETAS; MATERIAL: VIDRIO BOROSILICATO, CAPACIDAD: 250 mL, GRADUACION: EN COLOR, TAPA: SIN VALOR, BASE: PLASTICA</t>
  </si>
  <si>
    <t>2.9.5-2763.21</t>
  </si>
  <si>
    <t>PROBETAS; MATERIAL: VIDRIO, CAPACIDAD: 50 mL, GRADUACION: 1 mL, TAPA: SIN, BASE: PLASTICA</t>
  </si>
  <si>
    <t>2.9.5-2763.16</t>
  </si>
  <si>
    <t>PROBETAS; MATERIAL: VIDRIO, CAPACIDAD: 50 mL, GRADUACION: 1/10 mL, TAPA: SIN, BASE: PLASTICA</t>
  </si>
  <si>
    <t>2.9.5-2763.27</t>
  </si>
  <si>
    <t>PROBETAS; MATERIAL: VIDRIO, CAPACIDAD: 500 mm, GRADUACION: AL MILÍMETRO, TAPA: SIN, BASE: PLASTICA</t>
  </si>
  <si>
    <t>2.9.6-5967.13</t>
  </si>
  <si>
    <t>2.9.6</t>
  </si>
  <si>
    <t xml:space="preserve">TAPONES; FORMA: CILINDROS CONCENTRICOS, DIAMETRO MENOR: 20 mm, DIAMETRO MAYOR: 30 mm, LARGO: 18 mm, MATERIAL: POLIPROPILENO            </t>
  </si>
  <si>
    <t>2.9.5-2961.1</t>
  </si>
  <si>
    <t>VARILLAS MEZCLADORAS; DIAMETRO: 6 mm, LARGO: 200 mm, MATERIAL: VIDRIO</t>
  </si>
  <si>
    <t>2.9.5-2764.2</t>
  </si>
  <si>
    <t>VASO DE PRECIPITADO; MATERIAL: VIDRIO, CAPACIDAD: 250 mL, GRADUADO: SI, TIPO: GRIFFIN, GRADUACION: SI</t>
  </si>
  <si>
    <t>2.9.5-2764.1</t>
  </si>
  <si>
    <t>VASO DE PRECIPITADO; MATERIAL: VIDRIO, TIPO: GRIFFIN, CAPACIDAD: 100 mL, GRADUACION: SI, GRADUADO: SI</t>
  </si>
  <si>
    <t>2.9.5-2764.7</t>
  </si>
  <si>
    <t>VASO DE PRECIPITADO; MATERIAL: VIDRIO, TIPO: GRIFFIN, CAPACIDAD: 50 mL, GRADUADO: SI, GRADUACION: SI</t>
  </si>
  <si>
    <t>TOTAL RUBRO UTILES PARA LABORATORIO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</si>
  <si>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</si>
  <si>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</si>
  <si>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</si>
  <si>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</si>
  <si>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</si>
  <si>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</si>
  <si>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</si>
  <si>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</si>
  <si>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</si>
  <si>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</si>
  <si>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</si>
  <si>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</si>
  <si>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</si>
  <si>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</si>
  <si>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</si>
  <si>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</si>
  <si>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</si>
  <si>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</si>
  <si>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</si>
  <si>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</si>
  <si>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</si>
  <si>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</si>
  <si>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</si>
  <si>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</si>
  <si>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</si>
  <si>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</si>
  <si>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</si>
  <si>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</si>
  <si>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</si>
  <si>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</si>
  <si>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</si>
  <si>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</si>
  <si>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</si>
  <si>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</si>
  <si>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</si>
  <si>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</si>
  <si>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</si>
  <si>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PIPETAS DE VIDRIO; USO: LABORATORIO, TIPO: GRADUADA DE 25 ML Ml</t>
  </si>
  <si>
    <t>DIRECCION PROVINCIAL DE SALUD Y MEDIO AMBIENTE</t>
  </si>
  <si>
    <t>1° TRIMESTRE 2022</t>
  </si>
  <si>
    <t xml:space="preserve"> 02/2022</t>
  </si>
  <si>
    <t>NO</t>
  </si>
  <si>
    <t>Costo total estimado: SEISCIENTOS TRES MIL DOSCIENTOS TREINTA Y TRES CON 82/100.-</t>
  </si>
  <si>
    <t>Autorizo la realización de los  trámites correspondientes, a fin de proveer a  este Organismo los bienes que se detallan en Nota  de Pedido N° 02/2022 afectando la erogación resultante a los créditos presupuestarios aprobados a favor de esta Unidad Ejecutora, conforme al siguiente detalle:</t>
  </si>
  <si>
    <t>1.1</t>
  </si>
  <si>
    <t>UTILES MENORES MEDICOS, QUIRURGICOS Y DE LABORATORIO</t>
  </si>
  <si>
    <t>REPUESTOS Y ACCESORIOS</t>
  </si>
  <si>
    <t>TOTAL DE PESOS: SEISCIENTOS TRES MIL DOSCIENTOS TREINTA Y TRES CON 82/100.-</t>
  </si>
  <si>
    <t>ADQUISICION DEL RUBRO UTILES DE LABORATORIO</t>
  </si>
  <si>
    <t>DETALLE TECNICO Y ESPECIFICACIONES</t>
  </si>
  <si>
    <t>Plazos de entrega</t>
  </si>
  <si>
    <t>Lugar de Entrega:</t>
  </si>
  <si>
    <t>Avenida Enrique Ocampo N° 257, Capital Catamarca. - en el horario de 8:00hs a 12:00hs de lunes a viernes</t>
  </si>
  <si>
    <t>Calidad Minima esperada</t>
  </si>
  <si>
    <t>Mantenimiento</t>
  </si>
  <si>
    <t>cuarenta y cinco (45) días</t>
  </si>
  <si>
    <t>veinte (20) dias habiles</t>
  </si>
  <si>
    <t>PLACAS DE PETRI; MATERIAL: PLASTICO ESTERIL, DIAMETRO: 5 Cm, ALTURA: SIN VALOR</t>
  </si>
  <si>
    <t>caja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</si>
</sst>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6" formatCode="_-[$$-2C0A]\ * #,##0.00_-;\-[$$-2C0A]\ * #,##0.00_-;_-[$$-2C0A]\ * &quot;-&quot;??_-;_-@_-"/>
    <numFmt numFmtId="167" formatCode="[$$-2C0A]\ #,##0.00"/>
    <numFmt numFmtId="168" formatCode="_-&quot;$&quot;\ * #,##0.00_-;\-&quot;$&quot;\ * #,##0.00_-;_-&quot;$&quot;\ * &quot;-&quot;??_-;_-@"/>
    <numFmt numFmtId="169" formatCode="dd\-mm\-yy;@"/>
    <numFmt numFmtId="170" formatCode="_(\$* #,##0.00_);_(\$* \(#,##0.00\);_(\$* \-??_);_(@_)"/>
    <numFmt numFmtId="171" formatCode="_-* #,##0.00&quot; €&quot;_-;\-* #,##0.00&quot; €&quot;_-;_-* \-??&quot; €&quot;_-;_-@_-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rgb="FFFFFFCC"/>
      </patternFill>
    </fill>
  </fills>
  <borders count="7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3">
    <xf numFmtId="0" fontId="0" fillId="0" borderId="0"/>
    <xf numFmtId="44" fontId="1" fillId="0" borderId="0" applyFont="0" applyFill="0" applyBorder="0" applyAlignment="0" applyProtection="0"/>
    <xf numFmtId="0" fontId="8" fillId="0" borderId="0"/>
    <xf numFmtId="164" fontId="8" fillId="0" borderId="0" applyBorder="0" applyAlignment="0" applyProtection="0"/>
    <xf numFmtId="0" fontId="1" fillId="0" borderId="0"/>
    <xf numFmtId="0" fontId="8" fillId="0" borderId="0"/>
    <xf numFmtId="0" fontId="8" fillId="0" borderId="0"/>
    <xf numFmtId="170" fontId="19" fillId="0" borderId="0" applyBorder="0" applyProtection="0"/>
    <xf numFmtId="0" fontId="23" fillId="0" borderId="61" applyProtection="0"/>
    <xf numFmtId="0" fontId="23" fillId="0" borderId="61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8" fillId="0" borderId="0" applyBorder="0" applyAlignment="0" applyProtection="0"/>
    <xf numFmtId="171" fontId="8" fillId="0" borderId="0" applyBorder="0" applyProtection="0"/>
    <xf numFmtId="171" fontId="8" fillId="0" borderId="0" applyBorder="0" applyProtection="0"/>
    <xf numFmtId="171" fontId="8" fillId="0" borderId="0" applyBorder="0" applyProtection="0"/>
    <xf numFmtId="0" fontId="24" fillId="3" borderId="0" applyBorder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</cellStyleXfs>
  <cellXfs count="194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6" fontId="3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166" fontId="4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66" fontId="7" fillId="0" borderId="1" xfId="0" applyNumberFormat="1" applyFont="1" applyBorder="1" applyAlignment="1">
      <alignment horizontal="center" vertical="center"/>
    </xf>
    <xf numFmtId="3" fontId="7" fillId="0" borderId="1" xfId="2" applyNumberFormat="1" applyFont="1" applyBorder="1" applyAlignment="1">
      <alignment horizontal="center" vertical="center" wrapText="1"/>
    </xf>
    <xf numFmtId="3" fontId="7" fillId="0" borderId="6" xfId="2" applyNumberFormat="1" applyFont="1" applyBorder="1" applyAlignment="1">
      <alignment horizontal="center" vertical="center" wrapText="1"/>
    </xf>
    <xf numFmtId="3" fontId="7" fillId="0" borderId="5" xfId="2" applyNumberFormat="1" applyFont="1" applyBorder="1" applyAlignment="1">
      <alignment horizontal="center" vertical="center" wrapText="1"/>
    </xf>
    <xf numFmtId="166" fontId="9" fillId="2" borderId="9" xfId="2" applyNumberFormat="1" applyFont="1" applyFill="1" applyBorder="1" applyAlignment="1">
      <alignment horizontal="center" vertical="center" wrapText="1"/>
    </xf>
    <xf numFmtId="3" fontId="7" fillId="0" borderId="3" xfId="2" applyNumberFormat="1" applyFont="1" applyBorder="1" applyAlignment="1">
      <alignment horizontal="center" vertical="center" wrapText="1"/>
    </xf>
    <xf numFmtId="166" fontId="7" fillId="2" borderId="3" xfId="2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166" fontId="7" fillId="0" borderId="2" xfId="0" applyNumberFormat="1" applyFont="1" applyBorder="1" applyAlignment="1">
      <alignment horizontal="center" vertical="center"/>
    </xf>
    <xf numFmtId="0" fontId="7" fillId="0" borderId="1" xfId="0" applyFont="1" applyBorder="1"/>
    <xf numFmtId="0" fontId="9" fillId="0" borderId="8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166" fontId="9" fillId="0" borderId="8" xfId="0" applyNumberFormat="1" applyFont="1" applyBorder="1" applyAlignment="1">
      <alignment horizontal="center" vertical="center"/>
    </xf>
    <xf numFmtId="166" fontId="7" fillId="0" borderId="3" xfId="0" applyNumberFormat="1" applyFont="1" applyBorder="1" applyAlignment="1">
      <alignment horizontal="center" vertical="center"/>
    </xf>
    <xf numFmtId="0" fontId="7" fillId="0" borderId="0" xfId="0" applyFont="1"/>
    <xf numFmtId="0" fontId="9" fillId="0" borderId="7" xfId="0" applyFont="1" applyBorder="1" applyAlignment="1">
      <alignment horizontal="center" vertical="center"/>
    </xf>
    <xf numFmtId="0" fontId="9" fillId="0" borderId="4" xfId="0" applyFont="1" applyBorder="1"/>
    <xf numFmtId="0" fontId="9" fillId="0" borderId="0" xfId="0" applyFont="1"/>
    <xf numFmtId="0" fontId="7" fillId="0" borderId="1" xfId="2" applyFont="1" applyBorder="1" applyAlignment="1">
      <alignment horizontal="center" vertical="center" wrapText="1"/>
    </xf>
    <xf numFmtId="166" fontId="7" fillId="0" borderId="1" xfId="1" applyNumberFormat="1" applyFont="1" applyBorder="1" applyAlignment="1">
      <alignment vertical="center" wrapText="1"/>
    </xf>
    <xf numFmtId="168" fontId="7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3" fillId="0" borderId="22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 wrapText="1" indent="1"/>
    </xf>
    <xf numFmtId="3" fontId="17" fillId="0" borderId="33" xfId="0" applyNumberFormat="1" applyFont="1" applyBorder="1" applyAlignment="1"/>
    <xf numFmtId="169" fontId="0" fillId="0" borderId="33" xfId="0" applyNumberFormat="1" applyBorder="1" applyAlignment="1">
      <alignment horizontal="left"/>
    </xf>
    <xf numFmtId="0" fontId="0" fillId="0" borderId="33" xfId="0" applyBorder="1"/>
    <xf numFmtId="0" fontId="0" fillId="0" borderId="22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9" fontId="0" fillId="0" borderId="0" xfId="0" applyNumberFormat="1" applyBorder="1" applyAlignment="1">
      <alignment horizontal="left"/>
    </xf>
    <xf numFmtId="0" fontId="0" fillId="0" borderId="14" xfId="0" applyBorder="1"/>
    <xf numFmtId="0" fontId="0" fillId="0" borderId="15" xfId="0" applyBorder="1"/>
    <xf numFmtId="0" fontId="0" fillId="0" borderId="15" xfId="0" applyBorder="1" applyAlignment="1">
      <alignment horizontal="left"/>
    </xf>
    <xf numFmtId="0" fontId="22" fillId="0" borderId="42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22" fillId="0" borderId="43" xfId="0" applyFont="1" applyBorder="1" applyAlignment="1">
      <alignment horizontal="left" vertical="center"/>
    </xf>
    <xf numFmtId="0" fontId="22" fillId="0" borderId="44" xfId="0" applyFont="1" applyBorder="1" applyAlignment="1">
      <alignment horizontal="center" vertical="center"/>
    </xf>
    <xf numFmtId="0" fontId="22" fillId="0" borderId="45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5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0" fillId="0" borderId="52" xfId="0" applyFont="1" applyBorder="1" applyAlignment="1">
      <alignment horizontal="center" vertical="center"/>
    </xf>
    <xf numFmtId="0" fontId="0" fillId="0" borderId="53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11" fillId="0" borderId="15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166" fontId="11" fillId="0" borderId="12" xfId="0" applyNumberFormat="1" applyFont="1" applyBorder="1" applyAlignment="1">
      <alignment horizontal="right" vertical="center"/>
    </xf>
    <xf numFmtId="166" fontId="11" fillId="0" borderId="0" xfId="0" applyNumberFormat="1" applyFont="1" applyBorder="1" applyAlignment="1">
      <alignment vertical="center"/>
    </xf>
    <xf numFmtId="166" fontId="12" fillId="0" borderId="0" xfId="0" applyNumberFormat="1" applyFont="1" applyBorder="1" applyAlignment="1">
      <alignment horizontal="left" vertical="center" wrapText="1" indent="1"/>
    </xf>
    <xf numFmtId="166" fontId="0" fillId="0" borderId="0" xfId="0" applyNumberFormat="1"/>
    <xf numFmtId="0" fontId="15" fillId="0" borderId="6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166" fontId="15" fillId="0" borderId="2" xfId="0" applyNumberFormat="1" applyFont="1" applyBorder="1" applyAlignment="1">
      <alignment horizontal="center" vertical="center" wrapText="1"/>
    </xf>
    <xf numFmtId="3" fontId="15" fillId="0" borderId="65" xfId="0" applyNumberFormat="1" applyFont="1" applyBorder="1" applyAlignment="1">
      <alignment horizontal="center" vertical="center"/>
    </xf>
    <xf numFmtId="0" fontId="27" fillId="0" borderId="26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166" fontId="27" fillId="0" borderId="10" xfId="0" applyNumberFormat="1" applyFont="1" applyBorder="1" applyAlignment="1">
      <alignment horizontal="center" vertical="center" wrapText="1"/>
    </xf>
    <xf numFmtId="3" fontId="27" fillId="0" borderId="27" xfId="0" applyNumberFormat="1" applyFont="1" applyBorder="1" applyAlignment="1">
      <alignment horizontal="center" vertical="center" wrapText="1"/>
    </xf>
    <xf numFmtId="0" fontId="27" fillId="0" borderId="28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166" fontId="27" fillId="0" borderId="1" xfId="0" applyNumberFormat="1" applyFont="1" applyBorder="1" applyAlignment="1">
      <alignment horizontal="center" vertical="center" wrapText="1"/>
    </xf>
    <xf numFmtId="3" fontId="27" fillId="0" borderId="29" xfId="0" applyNumberFormat="1" applyFont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26" fillId="0" borderId="0" xfId="0" applyFont="1" applyAlignment="1">
      <alignment vertical="center"/>
    </xf>
    <xf numFmtId="0" fontId="0" fillId="0" borderId="0" xfId="0" applyAlignment="1">
      <alignment vertical="center"/>
    </xf>
    <xf numFmtId="166" fontId="25" fillId="0" borderId="0" xfId="0" applyNumberFormat="1" applyFont="1"/>
    <xf numFmtId="166" fontId="25" fillId="0" borderId="0" xfId="0" applyNumberFormat="1" applyFont="1" applyAlignment="1">
      <alignment vertical="center" wrapText="1"/>
    </xf>
    <xf numFmtId="166" fontId="28" fillId="0" borderId="0" xfId="0" applyNumberFormat="1" applyFont="1" applyAlignment="1">
      <alignment vertical="center"/>
    </xf>
    <xf numFmtId="166" fontId="25" fillId="0" borderId="0" xfId="0" applyNumberFormat="1" applyFont="1" applyAlignment="1">
      <alignment vertical="center"/>
    </xf>
    <xf numFmtId="166" fontId="0" fillId="0" borderId="16" xfId="0" applyNumberFormat="1" applyBorder="1"/>
    <xf numFmtId="166" fontId="0" fillId="0" borderId="39" xfId="0" applyNumberFormat="1" applyBorder="1"/>
    <xf numFmtId="166" fontId="0" fillId="0" borderId="49" xfId="7" applyNumberFormat="1" applyFont="1" applyBorder="1" applyAlignment="1" applyProtection="1">
      <alignment horizontal="center" vertical="center"/>
    </xf>
    <xf numFmtId="166" fontId="0" fillId="0" borderId="54" xfId="7" applyNumberFormat="1" applyFont="1" applyBorder="1" applyAlignment="1" applyProtection="1">
      <alignment horizontal="center" vertical="center"/>
    </xf>
    <xf numFmtId="166" fontId="0" fillId="0" borderId="58" xfId="7" applyNumberFormat="1" applyFont="1" applyBorder="1" applyAlignment="1" applyProtection="1">
      <alignment horizontal="center" vertical="center"/>
    </xf>
    <xf numFmtId="166" fontId="22" fillId="0" borderId="60" xfId="0" applyNumberFormat="1" applyFont="1" applyBorder="1" applyAlignment="1">
      <alignment horizontal="center" vertical="center"/>
    </xf>
    <xf numFmtId="0" fontId="29" fillId="0" borderId="11" xfId="5" applyFont="1" applyFill="1" applyBorder="1" applyAlignment="1">
      <alignment horizontal="center" vertical="center" wrapText="1"/>
    </xf>
    <xf numFmtId="0" fontId="29" fillId="0" borderId="22" xfId="5" applyFont="1" applyFill="1" applyBorder="1" applyAlignment="1">
      <alignment horizontal="center" vertical="center" wrapText="1"/>
    </xf>
    <xf numFmtId="0" fontId="3" fillId="0" borderId="0" xfId="5" applyFont="1" applyFill="1" applyBorder="1" applyAlignment="1">
      <alignment horizontal="left" vertical="center" wrapText="1"/>
    </xf>
    <xf numFmtId="0" fontId="3" fillId="0" borderId="16" xfId="5" applyFont="1" applyFill="1" applyBorder="1" applyAlignment="1">
      <alignment horizontal="left" vertical="center" wrapText="1"/>
    </xf>
    <xf numFmtId="0" fontId="29" fillId="0" borderId="22" xfId="5" applyFont="1" applyFill="1" applyBorder="1" applyAlignment="1">
      <alignment horizontal="center" wrapText="1"/>
    </xf>
    <xf numFmtId="0" fontId="29" fillId="0" borderId="22" xfId="5" applyFont="1" applyBorder="1" applyAlignment="1">
      <alignment horizontal="center" wrapText="1"/>
    </xf>
    <xf numFmtId="0" fontId="3" fillId="0" borderId="0" xfId="5" applyFont="1" applyFill="1" applyBorder="1" applyAlignment="1">
      <alignment horizontal="left" vertical="center"/>
    </xf>
    <xf numFmtId="0" fontId="3" fillId="0" borderId="0" xfId="5" applyFont="1" applyFill="1" applyBorder="1" applyAlignment="1">
      <alignment vertical="center"/>
    </xf>
    <xf numFmtId="0" fontId="3" fillId="0" borderId="16" xfId="5" applyFont="1" applyFill="1" applyBorder="1" applyAlignment="1">
      <alignment vertical="center"/>
    </xf>
    <xf numFmtId="0" fontId="3" fillId="0" borderId="16" xfId="5" applyFont="1" applyFill="1" applyBorder="1" applyAlignment="1">
      <alignment horizontal="left"/>
    </xf>
    <xf numFmtId="0" fontId="3" fillId="0" borderId="0" xfId="5" applyFont="1" applyBorder="1" applyAlignment="1">
      <alignment horizontal="left" vertical="center"/>
    </xf>
    <xf numFmtId="0" fontId="3" fillId="0" borderId="16" xfId="5" applyFont="1" applyBorder="1" applyAlignment="1">
      <alignment horizontal="left"/>
    </xf>
    <xf numFmtId="0" fontId="26" fillId="0" borderId="67" xfId="0" applyFont="1" applyBorder="1" applyAlignment="1">
      <alignment horizontal="center" vertical="center"/>
    </xf>
    <xf numFmtId="0" fontId="26" fillId="0" borderId="68" xfId="0" applyFont="1" applyBorder="1" applyAlignment="1">
      <alignment horizontal="center" vertical="center"/>
    </xf>
    <xf numFmtId="0" fontId="26" fillId="0" borderId="69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166" fontId="7" fillId="2" borderId="1" xfId="0" applyNumberFormat="1" applyFont="1" applyFill="1" applyBorder="1" applyAlignment="1">
      <alignment horizontal="center" vertical="center"/>
    </xf>
    <xf numFmtId="3" fontId="7" fillId="2" borderId="1" xfId="2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3" fillId="0" borderId="0" xfId="5" applyFont="1" applyBorder="1" applyAlignment="1">
      <alignment horizontal="left" vertical="center"/>
    </xf>
    <xf numFmtId="0" fontId="3" fillId="0" borderId="16" xfId="5" applyFont="1" applyBorder="1" applyAlignment="1">
      <alignment horizontal="left" vertical="center"/>
    </xf>
    <xf numFmtId="0" fontId="3" fillId="0" borderId="33" xfId="5" applyFont="1" applyFill="1" applyBorder="1" applyAlignment="1">
      <alignment horizontal="left" vertical="center" wrapText="1"/>
    </xf>
    <xf numFmtId="0" fontId="3" fillId="0" borderId="66" xfId="5" applyFont="1" applyFill="1" applyBorder="1" applyAlignment="1">
      <alignment horizontal="left" vertical="center" wrapText="1"/>
    </xf>
    <xf numFmtId="0" fontId="3" fillId="0" borderId="0" xfId="5" applyFont="1" applyFill="1" applyBorder="1" applyAlignment="1">
      <alignment horizontal="left" vertical="center"/>
    </xf>
    <xf numFmtId="0" fontId="3" fillId="0" borderId="16" xfId="5" applyFont="1" applyFill="1" applyBorder="1" applyAlignment="1">
      <alignment horizontal="left" vertical="center"/>
    </xf>
    <xf numFmtId="0" fontId="27" fillId="0" borderId="62" xfId="0" applyFont="1" applyBorder="1" applyAlignment="1">
      <alignment horizontal="left" vertical="center" wrapText="1"/>
    </xf>
    <xf numFmtId="0" fontId="27" fillId="0" borderId="63" xfId="0" applyFont="1" applyBorder="1" applyAlignment="1">
      <alignment horizontal="left" vertical="center" wrapText="1"/>
    </xf>
    <xf numFmtId="0" fontId="27" fillId="0" borderId="4" xfId="0" applyFont="1" applyBorder="1" applyAlignment="1">
      <alignment horizontal="left" vertical="center" wrapText="1"/>
    </xf>
    <xf numFmtId="0" fontId="16" fillId="0" borderId="18" xfId="0" applyFont="1" applyBorder="1" applyAlignment="1">
      <alignment horizontal="left" vertical="center" wrapText="1"/>
    </xf>
    <xf numFmtId="167" fontId="13" fillId="0" borderId="18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left" vertical="center" wrapText="1"/>
    </xf>
    <xf numFmtId="0" fontId="14" fillId="0" borderId="24" xfId="0" applyFont="1" applyBorder="1" applyAlignment="1">
      <alignment horizontal="center" vertical="center" wrapText="1"/>
    </xf>
    <xf numFmtId="166" fontId="14" fillId="0" borderId="24" xfId="0" applyNumberFormat="1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/>
    </xf>
    <xf numFmtId="0" fontId="13" fillId="0" borderId="17" xfId="0" applyFont="1" applyBorder="1" applyAlignment="1">
      <alignment horizontal="left" vertical="center" wrapText="1"/>
    </xf>
    <xf numFmtId="0" fontId="12" fillId="0" borderId="18" xfId="0" applyFont="1" applyBorder="1" applyAlignment="1">
      <alignment horizontal="left" vertical="center" wrapText="1" indent="1"/>
    </xf>
    <xf numFmtId="0" fontId="13" fillId="0" borderId="19" xfId="0" applyFont="1" applyBorder="1" applyAlignment="1">
      <alignment horizontal="left" vertical="center" wrapText="1"/>
    </xf>
    <xf numFmtId="0" fontId="13" fillId="0" borderId="20" xfId="0" applyFont="1" applyBorder="1" applyAlignment="1">
      <alignment horizontal="left" vertical="center"/>
    </xf>
    <xf numFmtId="0" fontId="12" fillId="0" borderId="21" xfId="0" applyFont="1" applyBorder="1" applyAlignment="1">
      <alignment horizontal="left" vertical="center" wrapText="1" indent="1"/>
    </xf>
    <xf numFmtId="0" fontId="10" fillId="0" borderId="11" xfId="0" applyFont="1" applyBorder="1" applyAlignment="1">
      <alignment horizontal="center" vertical="center"/>
    </xf>
    <xf numFmtId="0" fontId="17" fillId="0" borderId="18" xfId="0" applyFont="1" applyBorder="1" applyAlignment="1">
      <alignment vertical="center" wrapText="1"/>
    </xf>
    <xf numFmtId="0" fontId="20" fillId="0" borderId="41" xfId="0" applyFont="1" applyBorder="1" applyAlignment="1">
      <alignment vertical="center" wrapText="1"/>
    </xf>
    <xf numFmtId="0" fontId="20" fillId="0" borderId="30" xfId="0" applyFont="1" applyBorder="1" applyAlignment="1">
      <alignment horizontal="left" vertical="center" wrapText="1" indent="1"/>
    </xf>
    <xf numFmtId="0" fontId="0" fillId="0" borderId="53" xfId="0" applyFont="1" applyBorder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0" fillId="0" borderId="56" xfId="0" applyBorder="1" applyAlignment="1">
      <alignment horizontal="left" vertical="center"/>
    </xf>
    <xf numFmtId="0" fontId="17" fillId="0" borderId="59" xfId="0" applyFont="1" applyBorder="1" applyAlignment="1">
      <alignment horizontal="left" vertical="center" wrapText="1"/>
    </xf>
    <xf numFmtId="0" fontId="0" fillId="0" borderId="37" xfId="0" applyBorder="1"/>
    <xf numFmtId="0" fontId="0" fillId="0" borderId="53" xfId="0" applyFont="1" applyBorder="1" applyAlignment="1">
      <alignment horizontal="center" vertical="center"/>
    </xf>
    <xf numFmtId="0" fontId="20" fillId="0" borderId="38" xfId="0" applyNumberFormat="1" applyFont="1" applyBorder="1" applyAlignment="1">
      <alignment horizontal="justify" vertical="center" wrapText="1"/>
    </xf>
    <xf numFmtId="0" fontId="22" fillId="0" borderId="37" xfId="0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0" fontId="22" fillId="0" borderId="40" xfId="0" applyFont="1" applyBorder="1" applyAlignment="1">
      <alignment horizontal="center" vertical="center" wrapText="1"/>
    </xf>
    <xf numFmtId="166" fontId="22" fillId="0" borderId="41" xfId="0" applyNumberFormat="1" applyFont="1" applyBorder="1" applyAlignment="1">
      <alignment horizontal="center" vertical="center"/>
    </xf>
    <xf numFmtId="0" fontId="0" fillId="0" borderId="47" xfId="0" applyFont="1" applyBorder="1" applyAlignment="1">
      <alignment horizontal="left" vertical="center" wrapText="1"/>
    </xf>
    <xf numFmtId="0" fontId="0" fillId="0" borderId="53" xfId="0" applyBorder="1" applyAlignment="1">
      <alignment horizontal="center"/>
    </xf>
    <xf numFmtId="0" fontId="20" fillId="0" borderId="37" xfId="0" applyFont="1" applyBorder="1" applyAlignment="1">
      <alignment horizontal="left"/>
    </xf>
    <xf numFmtId="0" fontId="0" fillId="0" borderId="31" xfId="0" applyFont="1" applyBorder="1" applyAlignment="1">
      <alignment horizontal="center"/>
    </xf>
    <xf numFmtId="3" fontId="17" fillId="0" borderId="32" xfId="0" applyNumberFormat="1" applyFont="1" applyBorder="1" applyAlignment="1">
      <alignment horizontal="center"/>
    </xf>
    <xf numFmtId="0" fontId="18" fillId="0" borderId="13" xfId="0" applyFont="1" applyBorder="1" applyAlignment="1">
      <alignment horizontal="center" vertical="center" wrapText="1"/>
    </xf>
    <xf numFmtId="0" fontId="19" fillId="0" borderId="34" xfId="0" applyFont="1" applyBorder="1"/>
    <xf numFmtId="0" fontId="20" fillId="0" borderId="35" xfId="0" applyFont="1" applyBorder="1" applyAlignment="1">
      <alignment horizontal="left" indent="1"/>
    </xf>
    <xf numFmtId="0" fontId="15" fillId="0" borderId="34" xfId="0" applyFont="1" applyBorder="1" applyAlignment="1">
      <alignment horizontal="left" vertical="center" wrapText="1"/>
    </xf>
    <xf numFmtId="0" fontId="21" fillId="0" borderId="36" xfId="0" applyFont="1" applyBorder="1" applyAlignment="1">
      <alignment horizontal="left"/>
    </xf>
  </cellXfs>
  <cellStyles count="33">
    <cellStyle name="Encabezado 1" xfId="8" xr:uid="{00000000-0005-0000-0000-000000000000}"/>
    <cellStyle name="Encabezado 1 2" xfId="9" xr:uid="{00000000-0005-0000-0000-000001000000}"/>
    <cellStyle name="Millares 2" xfId="10" xr:uid="{00000000-0005-0000-0000-000002000000}"/>
    <cellStyle name="Millares 2 2" xfId="11" xr:uid="{00000000-0005-0000-0000-000003000000}"/>
    <cellStyle name="Moneda" xfId="1" builtinId="4"/>
    <cellStyle name="Moneda 2" xfId="3" xr:uid="{00000000-0005-0000-0000-000005000000}"/>
    <cellStyle name="Moneda 2 2" xfId="12" xr:uid="{00000000-0005-0000-0000-000006000000}"/>
    <cellStyle name="Moneda 3" xfId="13" xr:uid="{00000000-0005-0000-0000-000007000000}"/>
    <cellStyle name="Moneda 4" xfId="14" xr:uid="{00000000-0005-0000-0000-000008000000}"/>
    <cellStyle name="Moneda 5" xfId="15" xr:uid="{00000000-0005-0000-0000-000009000000}"/>
    <cellStyle name="Moneda_AUTORIZACION Y NOTA DE PEDIDO" xfId="7" xr:uid="{00000000-0005-0000-0000-00000A000000}"/>
    <cellStyle name="Neutral 1" xfId="16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3" xfId="17" xr:uid="{00000000-0005-0000-0000-00000F000000}"/>
    <cellStyle name="Normal 3 2" xfId="18" xr:uid="{00000000-0005-0000-0000-000010000000}"/>
    <cellStyle name="Normal 3 2 2" xfId="19" xr:uid="{00000000-0005-0000-0000-000011000000}"/>
    <cellStyle name="Normal 3 3" xfId="20" xr:uid="{00000000-0005-0000-0000-000012000000}"/>
    <cellStyle name="Normal 3 4" xfId="21" xr:uid="{00000000-0005-0000-0000-000013000000}"/>
    <cellStyle name="Normal 3 4 2" xfId="22" xr:uid="{00000000-0005-0000-0000-000014000000}"/>
    <cellStyle name="Normal 4" xfId="6" xr:uid="{00000000-0005-0000-0000-000015000000}"/>
    <cellStyle name="Normal 4 2" xfId="23" xr:uid="{00000000-0005-0000-0000-000016000000}"/>
    <cellStyle name="Normal 4 3" xfId="24" xr:uid="{00000000-0005-0000-0000-000017000000}"/>
    <cellStyle name="Normal 4 3 2" xfId="25" xr:uid="{00000000-0005-0000-0000-000018000000}"/>
    <cellStyle name="Normal 5" xfId="4" xr:uid="{00000000-0005-0000-0000-000019000000}"/>
    <cellStyle name="Normal 5 2" xfId="26" xr:uid="{00000000-0005-0000-0000-00001A000000}"/>
    <cellStyle name="Normal 6" xfId="27" xr:uid="{00000000-0005-0000-0000-00001B000000}"/>
    <cellStyle name="Normal 7" xfId="28" xr:uid="{00000000-0005-0000-0000-00001C000000}"/>
    <cellStyle name="Normal 8" xfId="29" xr:uid="{00000000-0005-0000-0000-00001D000000}"/>
    <cellStyle name="Normal 8 2" xfId="30" xr:uid="{00000000-0005-0000-0000-00001E000000}"/>
    <cellStyle name="Normal 8 3" xfId="31" xr:uid="{00000000-0005-0000-0000-00001F000000}"/>
    <cellStyle name="Normal 8 4" xfId="32" xr:uid="{00000000-0005-0000-0000-000020000000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86"/>
  <sheetViews>
    <sheetView tabSelected="1" zoomScaleNormal="100" workbookViewId="0">
      <selection activeCell="P20" sqref="P20"/>
    </sheetView>
  </sheetViews>
  <sheetFormatPr baseColWidth="10" defaultRowHeight="15" x14ac:dyDescent="0.25"/>
  <cols>
    <col min="1" max="1" width="4.85546875" style="47" bestFit="1" customWidth="1"/>
    <col min="2" max="2" width="13" style="47" bestFit="1" customWidth="1"/>
    <col min="3" max="3" width="40.42578125" style="47" customWidth="1"/>
    <col min="4" max="4" width="5.5703125" style="47" bestFit="1" customWidth="1"/>
    <col min="5" max="5" width="88.28515625" style="48" bestFit="1" customWidth="1"/>
    <col min="6" max="6" width="10.5703125" style="47" bestFit="1" customWidth="1"/>
    <col min="7" max="7" width="10.42578125" style="49" bestFit="1" customWidth="1"/>
    <col min="8" max="8" width="11.42578125" style="50" bestFit="1" customWidth="1"/>
    <col min="9" max="9" width="16.28515625" style="50" bestFit="1" customWidth="1"/>
    <col min="10" max="10" width="23.7109375" hidden="1" customWidth="1"/>
  </cols>
  <sheetData>
    <row r="1" spans="1:10" x14ac:dyDescent="0.25">
      <c r="A1" s="1">
        <v>2022</v>
      </c>
      <c r="B1" s="2"/>
      <c r="C1" s="3"/>
      <c r="D1" s="3"/>
      <c r="E1" s="4"/>
      <c r="F1" s="3"/>
      <c r="G1" s="5"/>
      <c r="H1" s="7"/>
      <c r="I1" s="6"/>
    </row>
    <row r="2" spans="1:10" x14ac:dyDescent="0.25">
      <c r="A2" s="3"/>
      <c r="B2" s="145" t="s">
        <v>0</v>
      </c>
      <c r="C2" s="145"/>
      <c r="D2" s="145"/>
      <c r="E2" s="145"/>
      <c r="F2" s="145"/>
      <c r="G2" s="145"/>
      <c r="H2" s="145"/>
      <c r="I2" s="6"/>
    </row>
    <row r="3" spans="1:10" x14ac:dyDescent="0.25">
      <c r="A3" s="3"/>
      <c r="B3" s="2"/>
      <c r="C3" s="3"/>
      <c r="D3" s="3"/>
      <c r="E3" s="4"/>
      <c r="F3" s="3"/>
      <c r="G3" s="5"/>
      <c r="H3" s="7"/>
      <c r="I3" s="6"/>
    </row>
    <row r="4" spans="1:10" x14ac:dyDescent="0.25">
      <c r="A4" s="146" t="s">
        <v>1</v>
      </c>
      <c r="B4" s="146"/>
      <c r="C4" s="88" t="s">
        <v>2</v>
      </c>
      <c r="D4" s="88"/>
      <c r="E4" s="88"/>
      <c r="F4" s="8"/>
      <c r="G4" s="9"/>
      <c r="H4" s="7"/>
      <c r="I4" s="6"/>
    </row>
    <row r="5" spans="1:10" ht="15" customHeight="1" x14ac:dyDescent="0.25">
      <c r="A5" s="146" t="s">
        <v>3</v>
      </c>
      <c r="B5" s="146"/>
      <c r="C5" s="88" t="s">
        <v>4</v>
      </c>
      <c r="D5" s="88"/>
      <c r="E5" s="88"/>
      <c r="F5" s="8"/>
      <c r="G5" s="9"/>
      <c r="H5" s="7"/>
      <c r="I5" s="6"/>
    </row>
    <row r="6" spans="1:10" x14ac:dyDescent="0.25">
      <c r="A6" s="146" t="s">
        <v>5</v>
      </c>
      <c r="B6" s="146"/>
      <c r="C6" s="10">
        <v>2022</v>
      </c>
      <c r="D6" s="11"/>
      <c r="E6" s="10"/>
      <c r="F6" s="8"/>
      <c r="G6" s="9"/>
      <c r="H6" s="7"/>
      <c r="I6" s="6"/>
    </row>
    <row r="7" spans="1:10" x14ac:dyDescent="0.25">
      <c r="A7" s="146" t="s">
        <v>6</v>
      </c>
      <c r="B7" s="146"/>
      <c r="C7" s="10" t="s">
        <v>7</v>
      </c>
      <c r="D7" s="11"/>
      <c r="E7" s="10"/>
      <c r="F7" s="8"/>
      <c r="G7" s="9"/>
      <c r="H7" s="7"/>
      <c r="I7" s="6"/>
    </row>
    <row r="8" spans="1:10" x14ac:dyDescent="0.25">
      <c r="A8" s="3"/>
      <c r="B8" s="8"/>
      <c r="C8" s="8"/>
      <c r="D8" s="8"/>
      <c r="E8" s="12"/>
      <c r="F8" s="8"/>
      <c r="G8" s="9"/>
      <c r="H8" s="7"/>
      <c r="I8" s="6"/>
    </row>
    <row r="9" spans="1:10" ht="38.25" x14ac:dyDescent="0.25">
      <c r="A9" s="13" t="s">
        <v>8</v>
      </c>
      <c r="B9" s="13" t="s">
        <v>9</v>
      </c>
      <c r="C9" s="14" t="s">
        <v>10</v>
      </c>
      <c r="D9" s="13" t="s">
        <v>11</v>
      </c>
      <c r="E9" s="15" t="s">
        <v>12</v>
      </c>
      <c r="F9" s="14" t="s">
        <v>13</v>
      </c>
      <c r="G9" s="16" t="s">
        <v>14</v>
      </c>
      <c r="H9" s="18" t="s">
        <v>15</v>
      </c>
      <c r="I9" s="17" t="s">
        <v>16</v>
      </c>
      <c r="J9" s="19" t="s">
        <v>17</v>
      </c>
    </row>
    <row r="10" spans="1:10" s="40" customFormat="1" ht="12.75" x14ac:dyDescent="0.2">
      <c r="A10" s="33">
        <v>1</v>
      </c>
      <c r="B10" s="33" t="s">
        <v>19</v>
      </c>
      <c r="C10" s="33" t="s">
        <v>20</v>
      </c>
      <c r="D10" s="33" t="s">
        <v>21</v>
      </c>
      <c r="E10" s="34" t="s">
        <v>22</v>
      </c>
      <c r="F10" s="33" t="s">
        <v>18</v>
      </c>
      <c r="G10" s="26">
        <v>6</v>
      </c>
      <c r="H10" s="39">
        <v>378.24</v>
      </c>
      <c r="I10" s="27">
        <f>G10*H10</f>
        <v>2269.44</v>
      </c>
      <c r="J10" s="30"/>
    </row>
    <row r="11" spans="1:10" s="40" customFormat="1" ht="12.75" x14ac:dyDescent="0.2">
      <c r="A11" s="35">
        <v>2</v>
      </c>
      <c r="B11" s="35" t="s">
        <v>23</v>
      </c>
      <c r="C11" s="35" t="s">
        <v>20</v>
      </c>
      <c r="D11" s="35" t="s">
        <v>21</v>
      </c>
      <c r="E11" s="36" t="s">
        <v>24</v>
      </c>
      <c r="F11" s="35" t="s">
        <v>18</v>
      </c>
      <c r="G11" s="22">
        <v>1</v>
      </c>
      <c r="H11" s="21">
        <v>8292</v>
      </c>
      <c r="I11" s="27">
        <f>G11*H11</f>
        <v>8292</v>
      </c>
      <c r="J11" s="30"/>
    </row>
    <row r="12" spans="1:10" s="40" customFormat="1" ht="12.75" x14ac:dyDescent="0.2">
      <c r="A12" s="35">
        <v>3</v>
      </c>
      <c r="B12" s="35" t="s">
        <v>25</v>
      </c>
      <c r="C12" s="35" t="s">
        <v>20</v>
      </c>
      <c r="D12" s="35" t="s">
        <v>21</v>
      </c>
      <c r="E12" s="36" t="s">
        <v>26</v>
      </c>
      <c r="F12" s="35" t="s">
        <v>209</v>
      </c>
      <c r="G12" s="22">
        <v>1</v>
      </c>
      <c r="H12" s="21">
        <v>1507.2</v>
      </c>
      <c r="I12" s="27">
        <f>G12*H12</f>
        <v>1507.2</v>
      </c>
      <c r="J12" s="30"/>
    </row>
    <row r="13" spans="1:10" s="40" customFormat="1" ht="12.75" x14ac:dyDescent="0.2">
      <c r="A13" s="35">
        <v>4</v>
      </c>
      <c r="B13" s="35" t="s">
        <v>27</v>
      </c>
      <c r="C13" s="35" t="s">
        <v>20</v>
      </c>
      <c r="D13" s="35" t="s">
        <v>21</v>
      </c>
      <c r="E13" s="36" t="s">
        <v>28</v>
      </c>
      <c r="F13" s="35" t="s">
        <v>209</v>
      </c>
      <c r="G13" s="22">
        <v>1</v>
      </c>
      <c r="H13" s="21">
        <v>1231.18</v>
      </c>
      <c r="I13" s="27">
        <f>G13*H13</f>
        <v>1231.18</v>
      </c>
      <c r="J13" s="30"/>
    </row>
    <row r="14" spans="1:10" s="40" customFormat="1" ht="12.75" x14ac:dyDescent="0.2">
      <c r="A14" s="35">
        <v>5</v>
      </c>
      <c r="B14" s="35" t="s">
        <v>29</v>
      </c>
      <c r="C14" s="35" t="s">
        <v>20</v>
      </c>
      <c r="D14" s="35" t="s">
        <v>21</v>
      </c>
      <c r="E14" s="36" t="s">
        <v>30</v>
      </c>
      <c r="F14" s="35" t="s">
        <v>18</v>
      </c>
      <c r="G14" s="22">
        <v>200</v>
      </c>
      <c r="H14" s="21">
        <v>12</v>
      </c>
      <c r="I14" s="27">
        <f>G14*H14</f>
        <v>2400</v>
      </c>
      <c r="J14" s="30"/>
    </row>
    <row r="15" spans="1:10" s="40" customFormat="1" ht="12.75" x14ac:dyDescent="0.2">
      <c r="A15" s="35">
        <v>6</v>
      </c>
      <c r="B15" s="35" t="s">
        <v>31</v>
      </c>
      <c r="C15" s="35" t="s">
        <v>20</v>
      </c>
      <c r="D15" s="35" t="s">
        <v>21</v>
      </c>
      <c r="E15" s="36" t="s">
        <v>32</v>
      </c>
      <c r="F15" s="35" t="s">
        <v>18</v>
      </c>
      <c r="G15" s="22">
        <v>10</v>
      </c>
      <c r="H15" s="21">
        <v>4440</v>
      </c>
      <c r="I15" s="27">
        <f>G15*H15</f>
        <v>44400</v>
      </c>
      <c r="J15" s="30"/>
    </row>
    <row r="16" spans="1:10" s="40" customFormat="1" ht="25.5" x14ac:dyDescent="0.2">
      <c r="A16" s="35">
        <v>7</v>
      </c>
      <c r="B16" s="35" t="s">
        <v>33</v>
      </c>
      <c r="C16" s="35" t="s">
        <v>20</v>
      </c>
      <c r="D16" s="35" t="s">
        <v>21</v>
      </c>
      <c r="E16" s="36" t="s">
        <v>34</v>
      </c>
      <c r="F16" s="35" t="s">
        <v>18</v>
      </c>
      <c r="G16" s="22">
        <v>10</v>
      </c>
      <c r="H16" s="21">
        <v>762</v>
      </c>
      <c r="I16" s="27">
        <f>G16*H16</f>
        <v>7620</v>
      </c>
      <c r="J16" s="30"/>
    </row>
    <row r="17" spans="1:10" s="40" customFormat="1" ht="25.5" x14ac:dyDescent="0.2">
      <c r="A17" s="35">
        <v>8</v>
      </c>
      <c r="B17" s="35" t="s">
        <v>35</v>
      </c>
      <c r="C17" s="35" t="s">
        <v>20</v>
      </c>
      <c r="D17" s="35" t="s">
        <v>21</v>
      </c>
      <c r="E17" s="36" t="s">
        <v>36</v>
      </c>
      <c r="F17" s="35" t="s">
        <v>18</v>
      </c>
      <c r="G17" s="22">
        <v>10</v>
      </c>
      <c r="H17" s="21">
        <v>694.32</v>
      </c>
      <c r="I17" s="27">
        <f>G17*H17</f>
        <v>6943.2000000000007</v>
      </c>
      <c r="J17" s="30"/>
    </row>
    <row r="18" spans="1:10" s="40" customFormat="1" ht="12.75" x14ac:dyDescent="0.2">
      <c r="A18" s="35">
        <v>9</v>
      </c>
      <c r="B18" s="35" t="s">
        <v>37</v>
      </c>
      <c r="C18" s="35" t="s">
        <v>20</v>
      </c>
      <c r="D18" s="35" t="s">
        <v>21</v>
      </c>
      <c r="E18" s="36" t="s">
        <v>38</v>
      </c>
      <c r="F18" s="35" t="s">
        <v>18</v>
      </c>
      <c r="G18" s="22">
        <v>10</v>
      </c>
      <c r="H18" s="21">
        <v>123.86</v>
      </c>
      <c r="I18" s="27">
        <f>G18*H18</f>
        <v>1238.5999999999999</v>
      </c>
      <c r="J18" s="30"/>
    </row>
    <row r="19" spans="1:10" s="40" customFormat="1" ht="12.75" x14ac:dyDescent="0.2">
      <c r="A19" s="35">
        <v>10</v>
      </c>
      <c r="B19" s="35" t="s">
        <v>39</v>
      </c>
      <c r="C19" s="35" t="s">
        <v>20</v>
      </c>
      <c r="D19" s="35" t="s">
        <v>21</v>
      </c>
      <c r="E19" s="36" t="s">
        <v>40</v>
      </c>
      <c r="F19" s="35" t="s">
        <v>18</v>
      </c>
      <c r="G19" s="22">
        <v>10</v>
      </c>
      <c r="H19" s="21">
        <v>149.22999999999999</v>
      </c>
      <c r="I19" s="27">
        <f>G19*H19</f>
        <v>1492.3</v>
      </c>
      <c r="J19" s="30"/>
    </row>
    <row r="20" spans="1:10" s="40" customFormat="1" ht="12.75" x14ac:dyDescent="0.2">
      <c r="A20" s="35">
        <v>11</v>
      </c>
      <c r="B20" s="35" t="s">
        <v>41</v>
      </c>
      <c r="C20" s="35" t="s">
        <v>20</v>
      </c>
      <c r="D20" s="35" t="s">
        <v>21</v>
      </c>
      <c r="E20" s="36" t="s">
        <v>42</v>
      </c>
      <c r="F20" s="35" t="s">
        <v>18</v>
      </c>
      <c r="G20" s="22">
        <v>10</v>
      </c>
      <c r="H20" s="21">
        <v>282.04000000000002</v>
      </c>
      <c r="I20" s="27">
        <f>G20*H20</f>
        <v>2820.4</v>
      </c>
      <c r="J20" s="30"/>
    </row>
    <row r="21" spans="1:10" s="40" customFormat="1" ht="12.75" x14ac:dyDescent="0.2">
      <c r="A21" s="35">
        <v>12</v>
      </c>
      <c r="B21" s="35" t="s">
        <v>43</v>
      </c>
      <c r="C21" s="35" t="s">
        <v>20</v>
      </c>
      <c r="D21" s="35" t="s">
        <v>21</v>
      </c>
      <c r="E21" s="36" t="s">
        <v>44</v>
      </c>
      <c r="F21" s="35" t="s">
        <v>18</v>
      </c>
      <c r="G21" s="22">
        <v>5</v>
      </c>
      <c r="H21" s="21">
        <v>507.96000000000004</v>
      </c>
      <c r="I21" s="27">
        <f>G21*H21</f>
        <v>2539.8000000000002</v>
      </c>
      <c r="J21" s="30"/>
    </row>
    <row r="22" spans="1:10" s="40" customFormat="1" ht="12.75" x14ac:dyDescent="0.2">
      <c r="A22" s="35">
        <v>13</v>
      </c>
      <c r="B22" s="35" t="s">
        <v>45</v>
      </c>
      <c r="C22" s="35" t="s">
        <v>20</v>
      </c>
      <c r="D22" s="35" t="s">
        <v>21</v>
      </c>
      <c r="E22" s="36" t="s">
        <v>46</v>
      </c>
      <c r="F22" s="35" t="s">
        <v>18</v>
      </c>
      <c r="G22" s="22">
        <v>10</v>
      </c>
      <c r="H22" s="21">
        <v>270.3</v>
      </c>
      <c r="I22" s="27">
        <f>G22*H22</f>
        <v>2703</v>
      </c>
      <c r="J22" s="30"/>
    </row>
    <row r="23" spans="1:10" s="40" customFormat="1" ht="25.5" x14ac:dyDescent="0.2">
      <c r="A23" s="35">
        <v>14</v>
      </c>
      <c r="B23" s="35" t="s">
        <v>47</v>
      </c>
      <c r="C23" s="35" t="s">
        <v>20</v>
      </c>
      <c r="D23" s="35" t="s">
        <v>21</v>
      </c>
      <c r="E23" s="36" t="s">
        <v>48</v>
      </c>
      <c r="F23" s="35" t="s">
        <v>18</v>
      </c>
      <c r="G23" s="22">
        <v>5</v>
      </c>
      <c r="H23" s="45">
        <v>9000</v>
      </c>
      <c r="I23" s="27">
        <f>G23*H23</f>
        <v>45000</v>
      </c>
      <c r="J23" s="30"/>
    </row>
    <row r="24" spans="1:10" s="40" customFormat="1" ht="25.5" x14ac:dyDescent="0.2">
      <c r="A24" s="20">
        <v>15</v>
      </c>
      <c r="B24" s="20" t="s">
        <v>49</v>
      </c>
      <c r="C24" s="20" t="s">
        <v>20</v>
      </c>
      <c r="D24" s="20" t="s">
        <v>21</v>
      </c>
      <c r="E24" s="36" t="s">
        <v>50</v>
      </c>
      <c r="F24" s="44" t="s">
        <v>18</v>
      </c>
      <c r="G24" s="22">
        <v>5</v>
      </c>
      <c r="H24" s="46">
        <v>323.16000000000003</v>
      </c>
      <c r="I24" s="27">
        <f>G24*H24</f>
        <v>1615.8000000000002</v>
      </c>
      <c r="J24" s="30"/>
    </row>
    <row r="25" spans="1:10" s="40" customFormat="1" ht="25.5" x14ac:dyDescent="0.2">
      <c r="A25" s="35">
        <v>16</v>
      </c>
      <c r="B25" s="35" t="s">
        <v>51</v>
      </c>
      <c r="C25" s="35" t="s">
        <v>20</v>
      </c>
      <c r="D25" s="35" t="s">
        <v>21</v>
      </c>
      <c r="E25" s="36" t="s">
        <v>52</v>
      </c>
      <c r="F25" s="35" t="s">
        <v>18</v>
      </c>
      <c r="G25" s="22">
        <v>5</v>
      </c>
      <c r="H25" s="46">
        <v>196.2</v>
      </c>
      <c r="I25" s="27">
        <f>G25*H25</f>
        <v>981</v>
      </c>
      <c r="J25" s="30"/>
    </row>
    <row r="26" spans="1:10" s="40" customFormat="1" ht="25.5" x14ac:dyDescent="0.2">
      <c r="A26" s="35">
        <v>17</v>
      </c>
      <c r="B26" s="35" t="s">
        <v>53</v>
      </c>
      <c r="C26" s="35" t="s">
        <v>20</v>
      </c>
      <c r="D26" s="35" t="s">
        <v>21</v>
      </c>
      <c r="E26" s="36" t="s">
        <v>54</v>
      </c>
      <c r="F26" s="35" t="s">
        <v>18</v>
      </c>
      <c r="G26" s="22">
        <v>5</v>
      </c>
      <c r="H26" s="46">
        <v>2439.11</v>
      </c>
      <c r="I26" s="27">
        <f>G26*H26</f>
        <v>12195.550000000001</v>
      </c>
      <c r="J26" s="30"/>
    </row>
    <row r="27" spans="1:10" s="40" customFormat="1" ht="25.5" x14ac:dyDescent="0.2">
      <c r="A27" s="35">
        <v>18</v>
      </c>
      <c r="B27" s="35" t="s">
        <v>55</v>
      </c>
      <c r="C27" s="35" t="s">
        <v>20</v>
      </c>
      <c r="D27" s="35" t="s">
        <v>21</v>
      </c>
      <c r="E27" s="36" t="s">
        <v>56</v>
      </c>
      <c r="F27" s="35" t="s">
        <v>18</v>
      </c>
      <c r="G27" s="22">
        <v>5</v>
      </c>
      <c r="H27" s="46">
        <v>1883.1599999999999</v>
      </c>
      <c r="I27" s="27">
        <f>G27*H27</f>
        <v>9415.7999999999993</v>
      </c>
      <c r="J27" s="30"/>
    </row>
    <row r="28" spans="1:10" s="40" customFormat="1" ht="25.5" x14ac:dyDescent="0.2">
      <c r="A28" s="35">
        <v>19</v>
      </c>
      <c r="B28" s="35" t="s">
        <v>57</v>
      </c>
      <c r="C28" s="35" t="s">
        <v>20</v>
      </c>
      <c r="D28" s="35" t="s">
        <v>21</v>
      </c>
      <c r="E28" s="36" t="s">
        <v>58</v>
      </c>
      <c r="F28" s="35" t="s">
        <v>18</v>
      </c>
      <c r="G28" s="22">
        <v>5</v>
      </c>
      <c r="H28" s="46">
        <v>1483.74</v>
      </c>
      <c r="I28" s="27">
        <f>G28*H28</f>
        <v>7418.7</v>
      </c>
      <c r="J28" s="30"/>
    </row>
    <row r="29" spans="1:10" s="40" customFormat="1" ht="12.75" x14ac:dyDescent="0.2">
      <c r="A29" s="35">
        <v>20</v>
      </c>
      <c r="B29" s="35" t="s">
        <v>59</v>
      </c>
      <c r="C29" s="35" t="s">
        <v>20</v>
      </c>
      <c r="D29" s="35" t="s">
        <v>21</v>
      </c>
      <c r="E29" s="36" t="s">
        <v>60</v>
      </c>
      <c r="F29" s="35" t="s">
        <v>18</v>
      </c>
      <c r="G29" s="22">
        <v>10</v>
      </c>
      <c r="H29" s="46">
        <v>1438.01</v>
      </c>
      <c r="I29" s="27">
        <f>G29*H29</f>
        <v>14380.1</v>
      </c>
      <c r="J29" s="30"/>
    </row>
    <row r="30" spans="1:10" s="40" customFormat="1" ht="12.75" x14ac:dyDescent="0.2">
      <c r="A30" s="35">
        <v>21</v>
      </c>
      <c r="B30" s="35" t="s">
        <v>61</v>
      </c>
      <c r="C30" s="35" t="s">
        <v>20</v>
      </c>
      <c r="D30" s="35" t="s">
        <v>21</v>
      </c>
      <c r="E30" s="36" t="s">
        <v>62</v>
      </c>
      <c r="F30" s="35" t="s">
        <v>18</v>
      </c>
      <c r="G30" s="22">
        <v>5</v>
      </c>
      <c r="H30" s="46">
        <v>504</v>
      </c>
      <c r="I30" s="27">
        <f>G30*H30</f>
        <v>2520</v>
      </c>
      <c r="J30" s="30"/>
    </row>
    <row r="31" spans="1:10" s="40" customFormat="1" ht="12.75" x14ac:dyDescent="0.2">
      <c r="A31" s="35">
        <v>22</v>
      </c>
      <c r="B31" s="35" t="s">
        <v>63</v>
      </c>
      <c r="C31" s="35" t="s">
        <v>20</v>
      </c>
      <c r="D31" s="35" t="s">
        <v>21</v>
      </c>
      <c r="E31" s="36" t="s">
        <v>64</v>
      </c>
      <c r="F31" s="35" t="s">
        <v>18</v>
      </c>
      <c r="G31" s="22">
        <v>5</v>
      </c>
      <c r="H31" s="46">
        <v>798.71</v>
      </c>
      <c r="I31" s="27">
        <f>G31*H31</f>
        <v>3993.55</v>
      </c>
      <c r="J31" s="30"/>
    </row>
    <row r="32" spans="1:10" s="40" customFormat="1" ht="12.75" x14ac:dyDescent="0.2">
      <c r="A32" s="35">
        <v>23</v>
      </c>
      <c r="B32" s="35" t="s">
        <v>65</v>
      </c>
      <c r="C32" s="35" t="s">
        <v>20</v>
      </c>
      <c r="D32" s="35" t="s">
        <v>21</v>
      </c>
      <c r="E32" s="36" t="s">
        <v>66</v>
      </c>
      <c r="F32" s="35" t="s">
        <v>18</v>
      </c>
      <c r="G32" s="22">
        <v>10</v>
      </c>
      <c r="H32" s="46">
        <v>390.36</v>
      </c>
      <c r="I32" s="27">
        <f>G32*H32</f>
        <v>3903.6000000000004</v>
      </c>
      <c r="J32" s="30"/>
    </row>
    <row r="33" spans="1:10" s="40" customFormat="1" ht="12.75" x14ac:dyDescent="0.2">
      <c r="A33" s="35">
        <v>24</v>
      </c>
      <c r="B33" s="35" t="s">
        <v>67</v>
      </c>
      <c r="C33" s="35" t="s">
        <v>20</v>
      </c>
      <c r="D33" s="35" t="s">
        <v>21</v>
      </c>
      <c r="E33" s="36" t="s">
        <v>68</v>
      </c>
      <c r="F33" s="35" t="s">
        <v>18</v>
      </c>
      <c r="G33" s="22">
        <v>10</v>
      </c>
      <c r="H33" s="46">
        <v>187.92</v>
      </c>
      <c r="I33" s="27">
        <f>G33*H33</f>
        <v>1879.1999999999998</v>
      </c>
      <c r="J33" s="30"/>
    </row>
    <row r="34" spans="1:10" s="40" customFormat="1" ht="25.5" x14ac:dyDescent="0.2">
      <c r="A34" s="35">
        <v>25</v>
      </c>
      <c r="B34" s="35" t="s">
        <v>69</v>
      </c>
      <c r="C34" s="35" t="s">
        <v>20</v>
      </c>
      <c r="D34" s="35" t="s">
        <v>21</v>
      </c>
      <c r="E34" s="36" t="s">
        <v>70</v>
      </c>
      <c r="F34" s="35" t="s">
        <v>18</v>
      </c>
      <c r="G34" s="22">
        <v>10</v>
      </c>
      <c r="H34" s="45">
        <v>711.6</v>
      </c>
      <c r="I34" s="27">
        <f>G34*H34</f>
        <v>7116</v>
      </c>
      <c r="J34" s="30"/>
    </row>
    <row r="35" spans="1:10" s="40" customFormat="1" ht="25.5" x14ac:dyDescent="0.2">
      <c r="A35" s="20">
        <v>26</v>
      </c>
      <c r="B35" s="20" t="s">
        <v>71</v>
      </c>
      <c r="C35" s="20" t="s">
        <v>20</v>
      </c>
      <c r="D35" s="20" t="s">
        <v>21</v>
      </c>
      <c r="E35" s="36" t="s">
        <v>72</v>
      </c>
      <c r="F35" s="44" t="s">
        <v>18</v>
      </c>
      <c r="G35" s="22">
        <v>10</v>
      </c>
      <c r="H35" s="21">
        <v>808.56</v>
      </c>
      <c r="I35" s="27">
        <f>G35*H35</f>
        <v>8085.5999999999995</v>
      </c>
      <c r="J35" s="30"/>
    </row>
    <row r="36" spans="1:10" s="40" customFormat="1" ht="25.5" x14ac:dyDescent="0.2">
      <c r="A36" s="35">
        <v>27</v>
      </c>
      <c r="B36" s="35" t="s">
        <v>73</v>
      </c>
      <c r="C36" s="35" t="s">
        <v>20</v>
      </c>
      <c r="D36" s="35" t="s">
        <v>21</v>
      </c>
      <c r="E36" s="36" t="s">
        <v>74</v>
      </c>
      <c r="F36" s="35" t="s">
        <v>18</v>
      </c>
      <c r="G36" s="22">
        <v>10</v>
      </c>
      <c r="H36" s="21">
        <v>547.20000000000005</v>
      </c>
      <c r="I36" s="27">
        <f>G36*H36</f>
        <v>5472</v>
      </c>
      <c r="J36" s="30"/>
    </row>
    <row r="37" spans="1:10" s="40" customFormat="1" ht="25.5" x14ac:dyDescent="0.2">
      <c r="A37" s="35">
        <v>28</v>
      </c>
      <c r="B37" s="35" t="s">
        <v>75</v>
      </c>
      <c r="C37" s="35" t="s">
        <v>20</v>
      </c>
      <c r="D37" s="35" t="s">
        <v>21</v>
      </c>
      <c r="E37" s="36" t="s">
        <v>76</v>
      </c>
      <c r="F37" s="35" t="s">
        <v>18</v>
      </c>
      <c r="G37" s="22">
        <v>10</v>
      </c>
      <c r="H37" s="21">
        <v>1511.76</v>
      </c>
      <c r="I37" s="27">
        <f>G37*H37</f>
        <v>15117.6</v>
      </c>
      <c r="J37" s="30"/>
    </row>
    <row r="38" spans="1:10" s="40" customFormat="1" ht="25.5" x14ac:dyDescent="0.2">
      <c r="A38" s="35">
        <v>29</v>
      </c>
      <c r="B38" s="35" t="s">
        <v>77</v>
      </c>
      <c r="C38" s="35" t="s">
        <v>20</v>
      </c>
      <c r="D38" s="35" t="s">
        <v>21</v>
      </c>
      <c r="E38" s="36" t="s">
        <v>78</v>
      </c>
      <c r="F38" s="35" t="s">
        <v>18</v>
      </c>
      <c r="G38" s="22">
        <v>5</v>
      </c>
      <c r="H38" s="21">
        <v>4776</v>
      </c>
      <c r="I38" s="27">
        <f>G38*H38</f>
        <v>23880</v>
      </c>
      <c r="J38" s="30"/>
    </row>
    <row r="39" spans="1:10" s="40" customFormat="1" ht="25.5" x14ac:dyDescent="0.2">
      <c r="A39" s="35">
        <v>30</v>
      </c>
      <c r="B39" s="35" t="s">
        <v>79</v>
      </c>
      <c r="C39" s="35" t="s">
        <v>20</v>
      </c>
      <c r="D39" s="35" t="s">
        <v>21</v>
      </c>
      <c r="E39" s="36" t="s">
        <v>80</v>
      </c>
      <c r="F39" s="35" t="s">
        <v>18</v>
      </c>
      <c r="G39" s="22">
        <v>5</v>
      </c>
      <c r="H39" s="21">
        <v>3312</v>
      </c>
      <c r="I39" s="27">
        <f>G39*H39</f>
        <v>16560</v>
      </c>
      <c r="J39" s="30"/>
    </row>
    <row r="40" spans="1:10" s="40" customFormat="1" ht="25.5" x14ac:dyDescent="0.2">
      <c r="A40" s="35">
        <v>31</v>
      </c>
      <c r="B40" s="35" t="s">
        <v>81</v>
      </c>
      <c r="C40" s="35" t="s">
        <v>20</v>
      </c>
      <c r="D40" s="35" t="s">
        <v>21</v>
      </c>
      <c r="E40" s="36" t="s">
        <v>82</v>
      </c>
      <c r="F40" s="35" t="s">
        <v>18</v>
      </c>
      <c r="G40" s="22">
        <v>5</v>
      </c>
      <c r="H40" s="21">
        <v>2583.6</v>
      </c>
      <c r="I40" s="27">
        <f>G40*H40</f>
        <v>12918</v>
      </c>
      <c r="J40" s="30"/>
    </row>
    <row r="41" spans="1:10" s="40" customFormat="1" ht="25.5" x14ac:dyDescent="0.2">
      <c r="A41" s="35">
        <v>32</v>
      </c>
      <c r="B41" s="35" t="s">
        <v>83</v>
      </c>
      <c r="C41" s="35" t="s">
        <v>20</v>
      </c>
      <c r="D41" s="35" t="s">
        <v>21</v>
      </c>
      <c r="E41" s="36" t="s">
        <v>84</v>
      </c>
      <c r="F41" s="35" t="s">
        <v>18</v>
      </c>
      <c r="G41" s="22">
        <v>3</v>
      </c>
      <c r="H41" s="21">
        <v>1788</v>
      </c>
      <c r="I41" s="27">
        <f>G41*H41</f>
        <v>5364</v>
      </c>
      <c r="J41" s="30"/>
    </row>
    <row r="42" spans="1:10" s="40" customFormat="1" ht="22.5" customHeight="1" x14ac:dyDescent="0.2">
      <c r="A42" s="35">
        <v>33</v>
      </c>
      <c r="B42" s="35" t="s">
        <v>85</v>
      </c>
      <c r="C42" s="35" t="s">
        <v>20</v>
      </c>
      <c r="D42" s="35" t="s">
        <v>21</v>
      </c>
      <c r="E42" s="36" t="s">
        <v>86</v>
      </c>
      <c r="F42" s="35" t="s">
        <v>18</v>
      </c>
      <c r="G42" s="22">
        <v>5</v>
      </c>
      <c r="H42" s="21">
        <v>823.44</v>
      </c>
      <c r="I42" s="27">
        <f>G42*H42</f>
        <v>4117.2000000000007</v>
      </c>
      <c r="J42" s="30"/>
    </row>
    <row r="43" spans="1:10" s="40" customFormat="1" ht="21.75" customHeight="1" x14ac:dyDescent="0.2">
      <c r="A43" s="35">
        <v>34</v>
      </c>
      <c r="B43" s="35" t="s">
        <v>87</v>
      </c>
      <c r="C43" s="35" t="s">
        <v>20</v>
      </c>
      <c r="D43" s="35" t="s">
        <v>21</v>
      </c>
      <c r="E43" s="36" t="s">
        <v>88</v>
      </c>
      <c r="F43" s="35" t="s">
        <v>18</v>
      </c>
      <c r="G43" s="22">
        <v>5</v>
      </c>
      <c r="H43" s="21">
        <v>1071.6400000000001</v>
      </c>
      <c r="I43" s="27">
        <f>G43*H43</f>
        <v>5358.2000000000007</v>
      </c>
      <c r="J43" s="30"/>
    </row>
    <row r="44" spans="1:10" s="40" customFormat="1" ht="25.5" x14ac:dyDescent="0.2">
      <c r="A44" s="35">
        <v>35</v>
      </c>
      <c r="B44" s="35" t="s">
        <v>89</v>
      </c>
      <c r="C44" s="35" t="s">
        <v>20</v>
      </c>
      <c r="D44" s="35" t="s">
        <v>21</v>
      </c>
      <c r="E44" s="36" t="s">
        <v>90</v>
      </c>
      <c r="F44" s="35" t="s">
        <v>18</v>
      </c>
      <c r="G44" s="22">
        <v>10</v>
      </c>
      <c r="H44" s="21">
        <v>1124.28</v>
      </c>
      <c r="I44" s="27">
        <f>G44*H44</f>
        <v>11242.8</v>
      </c>
      <c r="J44" s="30"/>
    </row>
    <row r="45" spans="1:10" s="40" customFormat="1" ht="12.75" x14ac:dyDescent="0.2">
      <c r="A45" s="35">
        <v>36</v>
      </c>
      <c r="B45" s="35" t="s">
        <v>91</v>
      </c>
      <c r="C45" s="35" t="s">
        <v>20</v>
      </c>
      <c r="D45" s="35" t="s">
        <v>21</v>
      </c>
      <c r="E45" s="36" t="s">
        <v>92</v>
      </c>
      <c r="F45" s="35" t="s">
        <v>18</v>
      </c>
      <c r="G45" s="22">
        <v>10</v>
      </c>
      <c r="H45" s="21">
        <v>841.07999999999993</v>
      </c>
      <c r="I45" s="27">
        <f>G45*H45</f>
        <v>8410.7999999999993</v>
      </c>
      <c r="J45" s="30"/>
    </row>
    <row r="46" spans="1:10" s="40" customFormat="1" ht="12.75" x14ac:dyDescent="0.2">
      <c r="A46" s="35">
        <v>37</v>
      </c>
      <c r="B46" s="35" t="s">
        <v>93</v>
      </c>
      <c r="C46" s="35" t="s">
        <v>20</v>
      </c>
      <c r="D46" s="35" t="s">
        <v>21</v>
      </c>
      <c r="E46" s="36" t="s">
        <v>94</v>
      </c>
      <c r="F46" s="35" t="s">
        <v>18</v>
      </c>
      <c r="G46" s="22">
        <v>10</v>
      </c>
      <c r="H46" s="21">
        <v>1070.76</v>
      </c>
      <c r="I46" s="27">
        <f>G46*H46</f>
        <v>10707.6</v>
      </c>
      <c r="J46" s="30"/>
    </row>
    <row r="47" spans="1:10" s="40" customFormat="1" ht="12.75" x14ac:dyDescent="0.2">
      <c r="A47" s="35">
        <v>38</v>
      </c>
      <c r="B47" s="35" t="s">
        <v>95</v>
      </c>
      <c r="C47" s="35" t="s">
        <v>20</v>
      </c>
      <c r="D47" s="35" t="s">
        <v>21</v>
      </c>
      <c r="E47" s="36" t="s">
        <v>96</v>
      </c>
      <c r="F47" s="35" t="s">
        <v>18</v>
      </c>
      <c r="G47" s="22">
        <v>10</v>
      </c>
      <c r="H47" s="21">
        <v>756</v>
      </c>
      <c r="I47" s="27">
        <f>G47*H47</f>
        <v>7560</v>
      </c>
      <c r="J47" s="30"/>
    </row>
    <row r="48" spans="1:10" s="40" customFormat="1" ht="12.75" x14ac:dyDescent="0.2">
      <c r="A48" s="35">
        <v>39</v>
      </c>
      <c r="B48" s="35" t="s">
        <v>97</v>
      </c>
      <c r="C48" s="35" t="s">
        <v>20</v>
      </c>
      <c r="D48" s="35" t="s">
        <v>21</v>
      </c>
      <c r="E48" s="36" t="s">
        <v>98</v>
      </c>
      <c r="F48" s="35" t="s">
        <v>18</v>
      </c>
      <c r="G48" s="22">
        <v>10</v>
      </c>
      <c r="H48" s="21">
        <v>816.66</v>
      </c>
      <c r="I48" s="27">
        <f>G48*H48</f>
        <v>8166.5999999999995</v>
      </c>
      <c r="J48" s="30"/>
    </row>
    <row r="49" spans="1:10" s="40" customFormat="1" ht="12.75" x14ac:dyDescent="0.2">
      <c r="A49" s="35">
        <v>40</v>
      </c>
      <c r="B49" s="35" t="s">
        <v>99</v>
      </c>
      <c r="C49" s="35" t="s">
        <v>20</v>
      </c>
      <c r="D49" s="35" t="s">
        <v>21</v>
      </c>
      <c r="E49" s="36" t="s">
        <v>100</v>
      </c>
      <c r="F49" s="35" t="s">
        <v>18</v>
      </c>
      <c r="G49" s="22">
        <v>10</v>
      </c>
      <c r="H49" s="21">
        <v>1483.44</v>
      </c>
      <c r="I49" s="27">
        <f>G49*H49</f>
        <v>14834.400000000001</v>
      </c>
      <c r="J49" s="30"/>
    </row>
    <row r="50" spans="1:10" s="40" customFormat="1" ht="12.75" x14ac:dyDescent="0.2">
      <c r="A50" s="35">
        <v>41</v>
      </c>
      <c r="B50" s="35" t="s">
        <v>101</v>
      </c>
      <c r="C50" s="35" t="s">
        <v>20</v>
      </c>
      <c r="D50" s="35" t="s">
        <v>21</v>
      </c>
      <c r="E50" s="36" t="s">
        <v>102</v>
      </c>
      <c r="F50" s="35" t="s">
        <v>18</v>
      </c>
      <c r="G50" s="22">
        <v>1</v>
      </c>
      <c r="H50" s="21">
        <v>8784</v>
      </c>
      <c r="I50" s="27">
        <f>G50*H50</f>
        <v>8784</v>
      </c>
      <c r="J50" s="30"/>
    </row>
    <row r="51" spans="1:10" s="40" customFormat="1" ht="12.75" x14ac:dyDescent="0.2">
      <c r="A51" s="35">
        <v>42</v>
      </c>
      <c r="B51" s="35" t="s">
        <v>103</v>
      </c>
      <c r="C51" s="35" t="s">
        <v>20</v>
      </c>
      <c r="D51" s="35" t="s">
        <v>21</v>
      </c>
      <c r="E51" s="36" t="s">
        <v>104</v>
      </c>
      <c r="F51" s="35" t="s">
        <v>18</v>
      </c>
      <c r="G51" s="22">
        <v>10</v>
      </c>
      <c r="H51" s="45">
        <v>348.36</v>
      </c>
      <c r="I51" s="27">
        <f>G51*H51</f>
        <v>3483.6000000000004</v>
      </c>
      <c r="J51" s="30"/>
    </row>
    <row r="52" spans="1:10" s="40" customFormat="1" ht="12.75" x14ac:dyDescent="0.2">
      <c r="A52" s="20">
        <v>43</v>
      </c>
      <c r="B52" s="20" t="s">
        <v>105</v>
      </c>
      <c r="C52" s="20" t="s">
        <v>20</v>
      </c>
      <c r="D52" s="20" t="s">
        <v>21</v>
      </c>
      <c r="E52" s="36" t="s">
        <v>106</v>
      </c>
      <c r="F52" s="44" t="s">
        <v>18</v>
      </c>
      <c r="G52" s="22">
        <v>10</v>
      </c>
      <c r="H52" s="21">
        <v>414</v>
      </c>
      <c r="I52" s="27">
        <f>G52*H52</f>
        <v>4140</v>
      </c>
      <c r="J52" s="30"/>
    </row>
    <row r="53" spans="1:10" s="40" customFormat="1" ht="12.75" x14ac:dyDescent="0.2">
      <c r="A53" s="35">
        <v>44</v>
      </c>
      <c r="B53" s="35" t="s">
        <v>107</v>
      </c>
      <c r="C53" s="35" t="s">
        <v>20</v>
      </c>
      <c r="D53" s="35" t="s">
        <v>21</v>
      </c>
      <c r="E53" s="36" t="s">
        <v>108</v>
      </c>
      <c r="F53" s="35" t="s">
        <v>18</v>
      </c>
      <c r="G53" s="22">
        <v>10</v>
      </c>
      <c r="H53" s="21">
        <v>432</v>
      </c>
      <c r="I53" s="27">
        <f>G53*H53</f>
        <v>4320</v>
      </c>
      <c r="J53" s="30"/>
    </row>
    <row r="54" spans="1:10" s="40" customFormat="1" ht="12.75" x14ac:dyDescent="0.2">
      <c r="A54" s="35">
        <v>45</v>
      </c>
      <c r="B54" s="35" t="s">
        <v>109</v>
      </c>
      <c r="C54" s="35" t="s">
        <v>20</v>
      </c>
      <c r="D54" s="35" t="s">
        <v>21</v>
      </c>
      <c r="E54" s="36" t="s">
        <v>110</v>
      </c>
      <c r="F54" s="35" t="s">
        <v>18</v>
      </c>
      <c r="G54" s="22">
        <v>5</v>
      </c>
      <c r="H54" s="21">
        <v>12074.83</v>
      </c>
      <c r="I54" s="27">
        <f>G54*H54</f>
        <v>60374.15</v>
      </c>
      <c r="J54" s="30"/>
    </row>
    <row r="55" spans="1:10" s="40" customFormat="1" ht="12.75" x14ac:dyDescent="0.2">
      <c r="A55" s="35">
        <v>46</v>
      </c>
      <c r="B55" s="35" t="s">
        <v>111</v>
      </c>
      <c r="C55" s="35" t="s">
        <v>20</v>
      </c>
      <c r="D55" s="35" t="s">
        <v>21</v>
      </c>
      <c r="E55" s="141" t="s">
        <v>112</v>
      </c>
      <c r="F55" s="142" t="s">
        <v>18</v>
      </c>
      <c r="G55" s="144">
        <v>10</v>
      </c>
      <c r="H55" s="143">
        <v>2236.9</v>
      </c>
      <c r="I55" s="27">
        <f>G55*H55</f>
        <v>22369</v>
      </c>
      <c r="J55" s="30"/>
    </row>
    <row r="56" spans="1:10" s="40" customFormat="1" ht="12.75" x14ac:dyDescent="0.2">
      <c r="A56" s="35">
        <v>47</v>
      </c>
      <c r="B56" s="35" t="s">
        <v>113</v>
      </c>
      <c r="C56" s="35" t="s">
        <v>20</v>
      </c>
      <c r="D56" s="35" t="s">
        <v>21</v>
      </c>
      <c r="E56" s="36" t="s">
        <v>114</v>
      </c>
      <c r="F56" s="35" t="s">
        <v>18</v>
      </c>
      <c r="G56" s="22">
        <v>5</v>
      </c>
      <c r="H56" s="21">
        <v>3579.8399999999997</v>
      </c>
      <c r="I56" s="27">
        <f>G56*H56</f>
        <v>17899.199999999997</v>
      </c>
      <c r="J56" s="30"/>
    </row>
    <row r="57" spans="1:10" s="40" customFormat="1" ht="12.75" x14ac:dyDescent="0.2">
      <c r="A57" s="35">
        <v>48</v>
      </c>
      <c r="B57" s="35" t="s">
        <v>115</v>
      </c>
      <c r="C57" s="35" t="s">
        <v>20</v>
      </c>
      <c r="D57" s="35" t="s">
        <v>21</v>
      </c>
      <c r="E57" s="36" t="s">
        <v>116</v>
      </c>
      <c r="F57" s="35" t="s">
        <v>18</v>
      </c>
      <c r="G57" s="22">
        <v>5</v>
      </c>
      <c r="H57" s="21">
        <v>7083.9</v>
      </c>
      <c r="I57" s="27">
        <f>G57*H57</f>
        <v>35419.5</v>
      </c>
      <c r="J57" s="30"/>
    </row>
    <row r="58" spans="1:10" s="40" customFormat="1" ht="12.75" x14ac:dyDescent="0.2">
      <c r="A58" s="35">
        <v>49</v>
      </c>
      <c r="B58" s="35" t="s">
        <v>117</v>
      </c>
      <c r="C58" s="35" t="s">
        <v>20</v>
      </c>
      <c r="D58" s="35" t="s">
        <v>21</v>
      </c>
      <c r="E58" s="36" t="s">
        <v>118</v>
      </c>
      <c r="F58" s="35" t="s">
        <v>18</v>
      </c>
      <c r="G58" s="22">
        <v>10</v>
      </c>
      <c r="H58" s="21">
        <v>384.01</v>
      </c>
      <c r="I58" s="27">
        <f>G58*H58</f>
        <v>3840.1</v>
      </c>
      <c r="J58" s="30"/>
    </row>
    <row r="59" spans="1:10" s="40" customFormat="1" ht="12.75" x14ac:dyDescent="0.2">
      <c r="A59" s="35">
        <v>50</v>
      </c>
      <c r="B59" s="35" t="s">
        <v>119</v>
      </c>
      <c r="C59" s="35" t="s">
        <v>20</v>
      </c>
      <c r="D59" s="35" t="s">
        <v>21</v>
      </c>
      <c r="E59" s="36" t="s">
        <v>188</v>
      </c>
      <c r="F59" s="35" t="s">
        <v>18</v>
      </c>
      <c r="G59" s="22">
        <v>10</v>
      </c>
      <c r="H59" s="21">
        <v>396.6</v>
      </c>
      <c r="I59" s="27">
        <f>G59*H59</f>
        <v>3966</v>
      </c>
      <c r="J59" s="30"/>
    </row>
    <row r="60" spans="1:10" s="40" customFormat="1" ht="12.75" x14ac:dyDescent="0.2">
      <c r="A60" s="35">
        <v>51</v>
      </c>
      <c r="B60" s="35" t="s">
        <v>120</v>
      </c>
      <c r="C60" s="35" t="s">
        <v>20</v>
      </c>
      <c r="D60" s="35" t="s">
        <v>21</v>
      </c>
      <c r="E60" s="36" t="s">
        <v>121</v>
      </c>
      <c r="F60" s="35" t="s">
        <v>18</v>
      </c>
      <c r="G60" s="22">
        <v>10</v>
      </c>
      <c r="H60" s="21">
        <v>361.46</v>
      </c>
      <c r="I60" s="27">
        <f>G60*H60</f>
        <v>3614.6</v>
      </c>
      <c r="J60" s="30"/>
    </row>
    <row r="61" spans="1:10" s="40" customFormat="1" ht="12.75" x14ac:dyDescent="0.2">
      <c r="A61" s="35">
        <v>52</v>
      </c>
      <c r="B61" s="35" t="s">
        <v>122</v>
      </c>
      <c r="C61" s="35" t="s">
        <v>20</v>
      </c>
      <c r="D61" s="35" t="s">
        <v>21</v>
      </c>
      <c r="E61" s="36" t="s">
        <v>123</v>
      </c>
      <c r="F61" s="35" t="s">
        <v>18</v>
      </c>
      <c r="G61" s="22">
        <v>5</v>
      </c>
      <c r="H61" s="21">
        <v>429</v>
      </c>
      <c r="I61" s="27">
        <f>G61*H61</f>
        <v>2145</v>
      </c>
      <c r="J61" s="30"/>
    </row>
    <row r="62" spans="1:10" s="40" customFormat="1" ht="12.75" x14ac:dyDescent="0.2">
      <c r="A62" s="35">
        <v>53</v>
      </c>
      <c r="B62" s="35" t="s">
        <v>124</v>
      </c>
      <c r="C62" s="35" t="s">
        <v>20</v>
      </c>
      <c r="D62" s="35" t="s">
        <v>21</v>
      </c>
      <c r="E62" s="36" t="s">
        <v>208</v>
      </c>
      <c r="F62" s="35" t="s">
        <v>18</v>
      </c>
      <c r="G62" s="22">
        <v>100</v>
      </c>
      <c r="H62" s="21">
        <v>30</v>
      </c>
      <c r="I62" s="27">
        <f>G62*H62</f>
        <v>3000</v>
      </c>
      <c r="J62" s="30"/>
    </row>
    <row r="63" spans="1:10" s="40" customFormat="1" ht="12.75" x14ac:dyDescent="0.2">
      <c r="A63" s="35">
        <v>54</v>
      </c>
      <c r="B63" s="35" t="s">
        <v>125</v>
      </c>
      <c r="C63" s="35" t="s">
        <v>20</v>
      </c>
      <c r="D63" s="35" t="s">
        <v>21</v>
      </c>
      <c r="E63" s="36" t="s">
        <v>126</v>
      </c>
      <c r="F63" s="35" t="s">
        <v>18</v>
      </c>
      <c r="G63" s="22">
        <v>200</v>
      </c>
      <c r="H63" s="21">
        <v>32.160000000000004</v>
      </c>
      <c r="I63" s="27">
        <f>G63*H63</f>
        <v>6432.0000000000009</v>
      </c>
      <c r="J63" s="30"/>
    </row>
    <row r="64" spans="1:10" s="40" customFormat="1" ht="12.75" x14ac:dyDescent="0.2">
      <c r="A64" s="35">
        <v>55</v>
      </c>
      <c r="B64" s="35" t="s">
        <v>127</v>
      </c>
      <c r="C64" s="35" t="s">
        <v>20</v>
      </c>
      <c r="D64" s="35" t="s">
        <v>21</v>
      </c>
      <c r="E64" s="36" t="s">
        <v>128</v>
      </c>
      <c r="F64" s="35" t="s">
        <v>18</v>
      </c>
      <c r="G64" s="22">
        <v>15</v>
      </c>
      <c r="H64" s="21">
        <v>1035.5999999999999</v>
      </c>
      <c r="I64" s="27">
        <f>G64*H64</f>
        <v>15533.999999999998</v>
      </c>
      <c r="J64" s="30"/>
    </row>
    <row r="65" spans="1:10" s="40" customFormat="1" ht="25.5" x14ac:dyDescent="0.2">
      <c r="A65" s="35">
        <v>56</v>
      </c>
      <c r="B65" s="35" t="s">
        <v>129</v>
      </c>
      <c r="C65" s="35" t="s">
        <v>20</v>
      </c>
      <c r="D65" s="35" t="s">
        <v>21</v>
      </c>
      <c r="E65" s="36" t="s">
        <v>130</v>
      </c>
      <c r="F65" s="35" t="s">
        <v>18</v>
      </c>
      <c r="G65" s="22">
        <v>5</v>
      </c>
      <c r="H65" s="21">
        <v>2539.8000000000002</v>
      </c>
      <c r="I65" s="27">
        <f>G65*H65</f>
        <v>12699</v>
      </c>
      <c r="J65" s="30"/>
    </row>
    <row r="66" spans="1:10" s="40" customFormat="1" ht="25.5" x14ac:dyDescent="0.2">
      <c r="A66" s="35">
        <v>57</v>
      </c>
      <c r="B66" s="35" t="s">
        <v>131</v>
      </c>
      <c r="C66" s="35" t="s">
        <v>20</v>
      </c>
      <c r="D66" s="35" t="s">
        <v>21</v>
      </c>
      <c r="E66" s="36" t="s">
        <v>132</v>
      </c>
      <c r="F66" s="35" t="s">
        <v>18</v>
      </c>
      <c r="G66" s="22">
        <v>5</v>
      </c>
      <c r="H66" s="21">
        <v>1480.68</v>
      </c>
      <c r="I66" s="27">
        <f>G66*H66</f>
        <v>7403.4000000000005</v>
      </c>
      <c r="J66" s="30"/>
    </row>
    <row r="67" spans="1:10" s="40" customFormat="1" ht="12.75" x14ac:dyDescent="0.2">
      <c r="A67" s="35">
        <v>58</v>
      </c>
      <c r="B67" s="35" t="s">
        <v>133</v>
      </c>
      <c r="C67" s="35" t="s">
        <v>20</v>
      </c>
      <c r="D67" s="35" t="s">
        <v>21</v>
      </c>
      <c r="E67" s="36" t="s">
        <v>134</v>
      </c>
      <c r="F67" s="35" t="s">
        <v>18</v>
      </c>
      <c r="G67" s="22">
        <v>5</v>
      </c>
      <c r="H67" s="21">
        <v>523.97</v>
      </c>
      <c r="I67" s="27">
        <f>G67*H67</f>
        <v>2619.8500000000004</v>
      </c>
      <c r="J67" s="30"/>
    </row>
    <row r="68" spans="1:10" s="40" customFormat="1" ht="12.75" x14ac:dyDescent="0.2">
      <c r="A68" s="35">
        <v>59</v>
      </c>
      <c r="B68" s="35" t="s">
        <v>135</v>
      </c>
      <c r="C68" s="35" t="s">
        <v>20</v>
      </c>
      <c r="D68" s="35" t="s">
        <v>21</v>
      </c>
      <c r="E68" s="36" t="s">
        <v>136</v>
      </c>
      <c r="F68" s="35" t="s">
        <v>18</v>
      </c>
      <c r="G68" s="22">
        <v>5</v>
      </c>
      <c r="H68" s="21">
        <v>675.6</v>
      </c>
      <c r="I68" s="27">
        <f>G68*H68</f>
        <v>3378</v>
      </c>
      <c r="J68" s="30"/>
    </row>
    <row r="69" spans="1:10" s="40" customFormat="1" ht="12.75" x14ac:dyDescent="0.2">
      <c r="A69" s="35">
        <v>60</v>
      </c>
      <c r="B69" s="35" t="s">
        <v>137</v>
      </c>
      <c r="C69" s="35" t="s">
        <v>20</v>
      </c>
      <c r="D69" s="35" t="s">
        <v>21</v>
      </c>
      <c r="E69" s="36" t="s">
        <v>138</v>
      </c>
      <c r="F69" s="35" t="s">
        <v>18</v>
      </c>
      <c r="G69" s="22">
        <v>5</v>
      </c>
      <c r="H69" s="21">
        <v>1755.6</v>
      </c>
      <c r="I69" s="27">
        <f>G69*H69</f>
        <v>8778</v>
      </c>
      <c r="J69" s="30"/>
    </row>
    <row r="70" spans="1:10" s="40" customFormat="1" ht="25.5" x14ac:dyDescent="0.2">
      <c r="A70" s="35">
        <v>61</v>
      </c>
      <c r="B70" s="35" t="s">
        <v>139</v>
      </c>
      <c r="C70" s="35" t="s">
        <v>20</v>
      </c>
      <c r="D70" s="35" t="s">
        <v>140</v>
      </c>
      <c r="E70" s="36" t="s">
        <v>141</v>
      </c>
      <c r="F70" s="35" t="s">
        <v>18</v>
      </c>
      <c r="G70" s="22">
        <v>10</v>
      </c>
      <c r="H70" s="21">
        <v>108</v>
      </c>
      <c r="I70" s="27">
        <f>G70*H70</f>
        <v>1080</v>
      </c>
      <c r="J70" s="30"/>
    </row>
    <row r="71" spans="1:10" s="40" customFormat="1" ht="21.75" customHeight="1" x14ac:dyDescent="0.2">
      <c r="A71" s="35">
        <v>62</v>
      </c>
      <c r="B71" s="35" t="s">
        <v>142</v>
      </c>
      <c r="C71" s="35" t="s">
        <v>20</v>
      </c>
      <c r="D71" s="35" t="s">
        <v>21</v>
      </c>
      <c r="E71" s="36" t="s">
        <v>143</v>
      </c>
      <c r="F71" s="35" t="s">
        <v>18</v>
      </c>
      <c r="G71" s="22">
        <v>10</v>
      </c>
      <c r="H71" s="21">
        <v>175.2</v>
      </c>
      <c r="I71" s="27">
        <f>G71*H71</f>
        <v>1752</v>
      </c>
      <c r="J71" s="30"/>
    </row>
    <row r="72" spans="1:10" s="40" customFormat="1" ht="25.5" x14ac:dyDescent="0.2">
      <c r="A72" s="35">
        <v>63</v>
      </c>
      <c r="B72" s="35" t="s">
        <v>144</v>
      </c>
      <c r="C72" s="35" t="s">
        <v>20</v>
      </c>
      <c r="D72" s="35" t="s">
        <v>21</v>
      </c>
      <c r="E72" s="36" t="s">
        <v>145</v>
      </c>
      <c r="F72" s="35" t="s">
        <v>18</v>
      </c>
      <c r="G72" s="22">
        <v>10</v>
      </c>
      <c r="H72" s="21">
        <v>750.3599999999999</v>
      </c>
      <c r="I72" s="27">
        <f>G72*H72</f>
        <v>7503.5999999999985</v>
      </c>
      <c r="J72" s="30"/>
    </row>
    <row r="73" spans="1:10" s="40" customFormat="1" ht="25.5" x14ac:dyDescent="0.2">
      <c r="A73" s="35">
        <v>64</v>
      </c>
      <c r="B73" s="35" t="s">
        <v>146</v>
      </c>
      <c r="C73" s="35" t="s">
        <v>20</v>
      </c>
      <c r="D73" s="35" t="s">
        <v>21</v>
      </c>
      <c r="E73" s="36" t="s">
        <v>147</v>
      </c>
      <c r="F73" s="35" t="s">
        <v>18</v>
      </c>
      <c r="G73" s="22">
        <v>10</v>
      </c>
      <c r="H73" s="21">
        <v>512.76</v>
      </c>
      <c r="I73" s="27">
        <f>G73*H73</f>
        <v>5127.6000000000004</v>
      </c>
      <c r="J73" s="30"/>
    </row>
    <row r="74" spans="1:10" s="40" customFormat="1" ht="28.5" customHeight="1" thickBot="1" x14ac:dyDescent="0.25">
      <c r="A74" s="35">
        <v>65</v>
      </c>
      <c r="B74" s="28" t="s">
        <v>148</v>
      </c>
      <c r="C74" s="28" t="s">
        <v>20</v>
      </c>
      <c r="D74" s="28" t="s">
        <v>21</v>
      </c>
      <c r="E74" s="37" t="s">
        <v>149</v>
      </c>
      <c r="F74" s="28" t="s">
        <v>18</v>
      </c>
      <c r="G74" s="23">
        <v>10</v>
      </c>
      <c r="H74" s="29">
        <v>390</v>
      </c>
      <c r="I74" s="27">
        <f>G74*H74</f>
        <v>3900</v>
      </c>
      <c r="J74" s="30"/>
    </row>
    <row r="75" spans="1:10" s="43" customFormat="1" ht="13.5" thickBot="1" x14ac:dyDescent="0.25">
      <c r="A75" s="41"/>
      <c r="B75" s="32"/>
      <c r="C75" s="32"/>
      <c r="D75" s="32"/>
      <c r="E75" s="31" t="s">
        <v>150</v>
      </c>
      <c r="F75" s="32"/>
      <c r="G75" s="24"/>
      <c r="H75" s="38"/>
      <c r="I75" s="25">
        <f>+SUM(I10:I74)</f>
        <v>603233.81999999983</v>
      </c>
      <c r="J75" s="42"/>
    </row>
    <row r="76" spans="1:10" ht="15.75" thickBot="1" x14ac:dyDescent="0.3"/>
    <row r="77" spans="1:10" ht="27" customHeight="1" x14ac:dyDescent="0.25">
      <c r="C77" s="126" t="s">
        <v>200</v>
      </c>
      <c r="D77" s="149"/>
      <c r="E77" s="150"/>
    </row>
    <row r="78" spans="1:10" x14ac:dyDescent="0.25">
      <c r="C78" s="127"/>
      <c r="D78" s="128"/>
      <c r="E78" s="129"/>
    </row>
    <row r="79" spans="1:10" x14ac:dyDescent="0.25">
      <c r="C79" s="130" t="s">
        <v>201</v>
      </c>
      <c r="D79" s="151" t="s">
        <v>207</v>
      </c>
      <c r="E79" s="152"/>
    </row>
    <row r="80" spans="1:10" x14ac:dyDescent="0.25">
      <c r="C80" s="130"/>
      <c r="D80" s="132"/>
      <c r="E80" s="135"/>
    </row>
    <row r="81" spans="3:5" x14ac:dyDescent="0.25">
      <c r="C81" s="130" t="s">
        <v>202</v>
      </c>
      <c r="D81" s="151" t="s">
        <v>203</v>
      </c>
      <c r="E81" s="152"/>
    </row>
    <row r="82" spans="3:5" x14ac:dyDescent="0.25">
      <c r="C82" s="130"/>
      <c r="D82" s="133"/>
      <c r="E82" s="134"/>
    </row>
    <row r="83" spans="3:5" x14ac:dyDescent="0.25">
      <c r="C83" s="131" t="s">
        <v>204</v>
      </c>
      <c r="D83" s="136"/>
      <c r="E83" s="137"/>
    </row>
    <row r="84" spans="3:5" x14ac:dyDescent="0.25">
      <c r="C84" s="131"/>
      <c r="D84" s="136"/>
      <c r="E84" s="137"/>
    </row>
    <row r="85" spans="3:5" x14ac:dyDescent="0.25">
      <c r="C85" s="131" t="s">
        <v>205</v>
      </c>
      <c r="D85" s="147" t="s">
        <v>206</v>
      </c>
      <c r="E85" s="148"/>
    </row>
    <row r="86" spans="3:5" ht="15.75" thickBot="1" x14ac:dyDescent="0.3">
      <c r="C86" s="138"/>
      <c r="D86" s="139"/>
      <c r="E86" s="140"/>
    </row>
  </sheetData>
  <mergeCells count="9">
    <mergeCell ref="B2:H2"/>
    <mergeCell ref="A4:B4"/>
    <mergeCell ref="A5:B5"/>
    <mergeCell ref="A6:B6"/>
    <mergeCell ref="D85:E85"/>
    <mergeCell ref="D77:E77"/>
    <mergeCell ref="D79:E79"/>
    <mergeCell ref="D81:E81"/>
    <mergeCell ref="A7:B7"/>
  </mergeCells>
  <conditionalFormatting sqref="B24">
    <cfRule type="duplicateValues" dxfId="17" priority="23"/>
  </conditionalFormatting>
  <conditionalFormatting sqref="E24">
    <cfRule type="duplicateValues" dxfId="16" priority="24"/>
  </conditionalFormatting>
  <conditionalFormatting sqref="E24">
    <cfRule type="duplicateValues" dxfId="15" priority="25"/>
    <cfRule type="duplicateValues" dxfId="14" priority="26"/>
  </conditionalFormatting>
  <conditionalFormatting sqref="B35">
    <cfRule type="duplicateValues" dxfId="13" priority="19"/>
  </conditionalFormatting>
  <conditionalFormatting sqref="E35">
    <cfRule type="duplicateValues" dxfId="12" priority="20"/>
  </conditionalFormatting>
  <conditionalFormatting sqref="E35">
    <cfRule type="duplicateValues" dxfId="11" priority="21"/>
    <cfRule type="duplicateValues" dxfId="10" priority="22"/>
  </conditionalFormatting>
  <conditionalFormatting sqref="B52">
    <cfRule type="duplicateValues" dxfId="9" priority="15"/>
  </conditionalFormatting>
  <conditionalFormatting sqref="E52">
    <cfRule type="duplicateValues" dxfId="8" priority="16"/>
  </conditionalFormatting>
  <conditionalFormatting sqref="E52">
    <cfRule type="duplicateValues" dxfId="7" priority="17"/>
    <cfRule type="duplicateValues" dxfId="6" priority="18"/>
  </conditionalFormatting>
  <conditionalFormatting sqref="B1:B9 E1:E9">
    <cfRule type="duplicateValues" dxfId="5" priority="90"/>
  </conditionalFormatting>
  <conditionalFormatting sqref="E1:E9 B1:B9">
    <cfRule type="duplicateValues" dxfId="4" priority="91"/>
  </conditionalFormatting>
  <conditionalFormatting sqref="B1:B9">
    <cfRule type="duplicateValues" dxfId="3" priority="134"/>
  </conditionalFormatting>
  <conditionalFormatting sqref="E1:E9">
    <cfRule type="duplicateValues" dxfId="2" priority="135"/>
  </conditionalFormatting>
  <conditionalFormatting sqref="E1:E9">
    <cfRule type="duplicateValues" dxfId="1" priority="136"/>
    <cfRule type="duplicateValues" dxfId="0" priority="137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0"/>
  <sheetViews>
    <sheetView topLeftCell="A58" workbookViewId="0">
      <selection activeCell="J78" sqref="J78:K78"/>
    </sheetView>
  </sheetViews>
  <sheetFormatPr baseColWidth="10" defaultRowHeight="15" x14ac:dyDescent="0.25"/>
  <cols>
    <col min="1" max="1" width="5.5703125" customWidth="1"/>
    <col min="2" max="2" width="15.140625" style="91" customWidth="1"/>
    <col min="3" max="3" width="14.140625" customWidth="1"/>
    <col min="4" max="4" width="35.28515625" customWidth="1"/>
    <col min="5" max="5" width="8" customWidth="1"/>
    <col min="6" max="6" width="7.85546875" customWidth="1"/>
    <col min="7" max="7" width="64.5703125" customWidth="1"/>
    <col min="8" max="8" width="9.28515625" style="91" customWidth="1"/>
    <col min="9" max="9" width="15.5703125" style="91" customWidth="1"/>
    <col min="10" max="10" width="14.7109375" style="99" customWidth="1"/>
    <col min="11" max="11" width="15.5703125" style="91" customWidth="1"/>
    <col min="13" max="13" width="13" style="116" bestFit="1" customWidth="1"/>
  </cols>
  <sheetData>
    <row r="1" spans="1:13" ht="30.75" thickBot="1" x14ac:dyDescent="0.3">
      <c r="A1" s="169" t="s">
        <v>151</v>
      </c>
      <c r="B1" s="169"/>
      <c r="C1" s="169"/>
      <c r="D1" s="169"/>
      <c r="E1" s="169"/>
      <c r="F1" s="169"/>
      <c r="G1" s="169"/>
      <c r="H1" s="169"/>
      <c r="I1" s="169"/>
      <c r="J1" s="96" t="s">
        <v>152</v>
      </c>
      <c r="K1" s="51" t="s">
        <v>191</v>
      </c>
    </row>
    <row r="2" spans="1:13" ht="16.5" thickBot="1" x14ac:dyDescent="0.3">
      <c r="A2" s="52"/>
      <c r="B2" s="89"/>
      <c r="C2" s="53"/>
      <c r="D2" s="54"/>
      <c r="E2" s="54"/>
      <c r="F2" s="54"/>
      <c r="G2" s="54"/>
      <c r="H2" s="92"/>
      <c r="I2" s="92"/>
      <c r="J2" s="97"/>
      <c r="K2" s="94"/>
    </row>
    <row r="3" spans="1:13" ht="16.5" thickBot="1" x14ac:dyDescent="0.3">
      <c r="A3" s="164" t="s">
        <v>153</v>
      </c>
      <c r="B3" s="164"/>
      <c r="C3" s="164"/>
      <c r="D3" s="165" t="str">
        <f>'SAF 011'!C4</f>
        <v>040 - MINISTERIO DE SALUD</v>
      </c>
      <c r="E3" s="165"/>
      <c r="F3" s="165"/>
      <c r="G3" s="165"/>
      <c r="H3" s="165"/>
      <c r="I3" s="165"/>
      <c r="J3" s="165"/>
      <c r="K3" s="165"/>
    </row>
    <row r="4" spans="1:13" ht="16.5" thickBot="1" x14ac:dyDescent="0.3">
      <c r="A4" s="166" t="s">
        <v>154</v>
      </c>
      <c r="B4" s="166"/>
      <c r="C4" s="166"/>
      <c r="D4" s="165" t="str">
        <f>'SAF 011'!C5</f>
        <v>011 - DIRECCION PROVINCIAL DE ADMINISTRACION - MINISTERIO DE SALUD</v>
      </c>
      <c r="E4" s="165"/>
      <c r="F4" s="165"/>
      <c r="G4" s="165"/>
      <c r="H4" s="165"/>
      <c r="I4" s="165"/>
      <c r="J4" s="165"/>
      <c r="K4" s="165"/>
    </row>
    <row r="5" spans="1:13" ht="16.5" thickBot="1" x14ac:dyDescent="0.3">
      <c r="A5" s="166" t="s">
        <v>155</v>
      </c>
      <c r="B5" s="166"/>
      <c r="C5" s="166"/>
      <c r="D5" s="165" t="s">
        <v>189</v>
      </c>
      <c r="E5" s="165"/>
      <c r="F5" s="165"/>
      <c r="G5" s="165"/>
      <c r="H5" s="165"/>
      <c r="I5" s="165"/>
      <c r="J5" s="165"/>
      <c r="K5" s="165"/>
    </row>
    <row r="6" spans="1:13" ht="16.5" thickBot="1" x14ac:dyDescent="0.3">
      <c r="A6" s="164" t="s">
        <v>156</v>
      </c>
      <c r="B6" s="164"/>
      <c r="C6" s="164"/>
      <c r="D6" s="165" t="s">
        <v>189</v>
      </c>
      <c r="E6" s="165"/>
      <c r="F6" s="165"/>
      <c r="G6" s="165"/>
      <c r="H6" s="165"/>
      <c r="I6" s="165"/>
      <c r="J6" s="165"/>
      <c r="K6" s="165"/>
    </row>
    <row r="7" spans="1:13" ht="16.5" thickBot="1" x14ac:dyDescent="0.3">
      <c r="A7" s="166" t="s">
        <v>157</v>
      </c>
      <c r="B7" s="166"/>
      <c r="C7" s="166"/>
      <c r="D7" s="165" t="s">
        <v>190</v>
      </c>
      <c r="E7" s="165"/>
      <c r="F7" s="165"/>
      <c r="G7" s="165"/>
      <c r="H7" s="165"/>
      <c r="I7" s="165"/>
      <c r="J7" s="165"/>
      <c r="K7" s="165"/>
    </row>
    <row r="8" spans="1:13" ht="16.5" thickBot="1" x14ac:dyDescent="0.3">
      <c r="A8" s="167" t="s">
        <v>158</v>
      </c>
      <c r="B8" s="167"/>
      <c r="C8" s="167"/>
      <c r="D8" s="168" t="s">
        <v>199</v>
      </c>
      <c r="E8" s="168"/>
      <c r="F8" s="168"/>
      <c r="G8" s="168"/>
      <c r="H8" s="168"/>
      <c r="I8" s="168"/>
      <c r="J8" s="168"/>
      <c r="K8" s="168"/>
    </row>
    <row r="9" spans="1:13" ht="16.5" thickBot="1" x14ac:dyDescent="0.3">
      <c r="A9" s="55"/>
      <c r="B9" s="90"/>
      <c r="C9" s="56"/>
      <c r="D9" s="57"/>
      <c r="E9" s="57"/>
      <c r="F9" s="57"/>
      <c r="G9" s="57"/>
      <c r="H9" s="93"/>
      <c r="I9" s="93"/>
      <c r="J9" s="98"/>
      <c r="K9" s="95"/>
    </row>
    <row r="10" spans="1:13" ht="15.75" thickBot="1" x14ac:dyDescent="0.3">
      <c r="A10" s="163" t="s">
        <v>159</v>
      </c>
      <c r="B10" s="161" t="s">
        <v>160</v>
      </c>
      <c r="C10" s="161" t="s">
        <v>161</v>
      </c>
      <c r="D10" s="161"/>
      <c r="E10" s="161"/>
      <c r="F10" s="161"/>
      <c r="G10" s="161"/>
      <c r="H10" s="161" t="s">
        <v>162</v>
      </c>
      <c r="I10" s="161" t="s">
        <v>163</v>
      </c>
      <c r="J10" s="162" t="s">
        <v>164</v>
      </c>
      <c r="K10" s="159" t="s">
        <v>165</v>
      </c>
    </row>
    <row r="11" spans="1:13" ht="27.75" customHeight="1" thickBot="1" x14ac:dyDescent="0.3">
      <c r="A11" s="163"/>
      <c r="B11" s="161"/>
      <c r="C11" s="161"/>
      <c r="D11" s="161"/>
      <c r="E11" s="161"/>
      <c r="F11" s="161"/>
      <c r="G11" s="161"/>
      <c r="H11" s="161"/>
      <c r="I11" s="161"/>
      <c r="J11" s="162"/>
      <c r="K11" s="159"/>
    </row>
    <row r="12" spans="1:13" s="113" customFormat="1" x14ac:dyDescent="0.25">
      <c r="A12" s="105">
        <v>1</v>
      </c>
      <c r="B12" s="106" t="str">
        <f>'SAF 011'!B10</f>
        <v>2.9.5-470.13</v>
      </c>
      <c r="C12" s="160" t="str">
        <f>'SAF 011'!E10</f>
        <v>ALGODONES; TIPO: HIDROFILADO, CAPACIDAD: 500 GR, PRESENTACION: ENVASE X 500 GR</v>
      </c>
      <c r="D12" s="160"/>
      <c r="E12" s="160"/>
      <c r="F12" s="160"/>
      <c r="G12" s="160"/>
      <c r="H12" s="106" t="s">
        <v>192</v>
      </c>
      <c r="I12" s="106" t="str">
        <f>'SAF 011'!F10</f>
        <v>UNIDAD</v>
      </c>
      <c r="J12" s="107">
        <f>'SAF 011'!H10</f>
        <v>378.24</v>
      </c>
      <c r="K12" s="108" t="e">
        <f>'SAF 011'!#REF!</f>
        <v>#REF!</v>
      </c>
      <c r="M12" s="117" t="e">
        <f>+J12*K12</f>
        <v>#REF!</v>
      </c>
    </row>
    <row r="13" spans="1:13" s="113" customFormat="1" x14ac:dyDescent="0.25">
      <c r="A13" s="109">
        <v>2</v>
      </c>
      <c r="B13" s="110" t="str">
        <f>'SAF 011'!B11</f>
        <v>2.9.5-287.3</v>
      </c>
      <c r="C13" s="153" t="str">
        <f>'SAF 011'!E11</f>
        <v>AMPOLLAS P/DECANTACION; CAPACIDAD: 1000 mL</v>
      </c>
      <c r="D13" s="154"/>
      <c r="E13" s="154"/>
      <c r="F13" s="154"/>
      <c r="G13" s="155"/>
      <c r="H13" s="110" t="s">
        <v>192</v>
      </c>
      <c r="I13" s="110" t="str">
        <f>'SAF 011'!F11</f>
        <v>UNIDAD</v>
      </c>
      <c r="J13" s="111">
        <f>'SAF 011'!H11</f>
        <v>8292</v>
      </c>
      <c r="K13" s="112" t="e">
        <f>'SAF 011'!#REF!</f>
        <v>#REF!</v>
      </c>
      <c r="M13" s="117" t="e">
        <f t="shared" ref="M13:M76" si="0">+J13*K13</f>
        <v>#REF!</v>
      </c>
    </row>
    <row r="14" spans="1:13" s="113" customFormat="1" x14ac:dyDescent="0.25">
      <c r="A14" s="109">
        <v>3</v>
      </c>
      <c r="B14" s="110" t="str">
        <f>'SAF 011'!B12</f>
        <v>2.9.5-5703.8</v>
      </c>
      <c r="C14" s="153" t="str">
        <f>'SAF 011'!E12</f>
        <v>ANSA; PRESENTACION: ENVASE X 20 UN, TIPO: CALIBRADA</v>
      </c>
      <c r="D14" s="154"/>
      <c r="E14" s="154"/>
      <c r="F14" s="154"/>
      <c r="G14" s="155"/>
      <c r="H14" s="110" t="s">
        <v>192</v>
      </c>
      <c r="I14" s="110" t="str">
        <f>'SAF 011'!F12</f>
        <v>caja</v>
      </c>
      <c r="J14" s="111">
        <f>'SAF 011'!H12</f>
        <v>1507.2</v>
      </c>
      <c r="K14" s="112" t="e">
        <f>'SAF 011'!#REF!</f>
        <v>#REF!</v>
      </c>
      <c r="M14" s="117" t="e">
        <f t="shared" si="0"/>
        <v>#REF!</v>
      </c>
    </row>
    <row r="15" spans="1:13" s="113" customFormat="1" x14ac:dyDescent="0.25">
      <c r="A15" s="109">
        <v>4</v>
      </c>
      <c r="B15" s="110" t="str">
        <f>'SAF 011'!B13</f>
        <v>2.9.5-5703.9</v>
      </c>
      <c r="C15" s="153" t="str">
        <f>'SAF 011'!E13</f>
        <v>ANSA; PRESENTACION: ENVASE X 20 UN, TIPO: PUNTA RECTA</v>
      </c>
      <c r="D15" s="154"/>
      <c r="E15" s="154"/>
      <c r="F15" s="154"/>
      <c r="G15" s="155"/>
      <c r="H15" s="110" t="s">
        <v>192</v>
      </c>
      <c r="I15" s="110" t="str">
        <f>'SAF 011'!F13</f>
        <v>caja</v>
      </c>
      <c r="J15" s="111">
        <f>'SAF 011'!H13</f>
        <v>1231.18</v>
      </c>
      <c r="K15" s="112" t="e">
        <f>'SAF 011'!#REF!</f>
        <v>#REF!</v>
      </c>
      <c r="M15" s="117" t="e">
        <f t="shared" si="0"/>
        <v>#REF!</v>
      </c>
    </row>
    <row r="16" spans="1:13" s="113" customFormat="1" x14ac:dyDescent="0.25">
      <c r="A16" s="109">
        <v>5</v>
      </c>
      <c r="B16" s="110" t="str">
        <f>'SAF 011'!B14</f>
        <v>2.9.5-5703.15</v>
      </c>
      <c r="C16" s="153" t="str">
        <f>'SAF 011'!E14</f>
        <v>ANSA; PRESENTACION: UNIDAD, TIPO: PLASTICA DESCARTABLE</v>
      </c>
      <c r="D16" s="154"/>
      <c r="E16" s="154"/>
      <c r="F16" s="154"/>
      <c r="G16" s="155"/>
      <c r="H16" s="110" t="s">
        <v>192</v>
      </c>
      <c r="I16" s="110" t="str">
        <f>'SAF 011'!F14</f>
        <v>UNIDAD</v>
      </c>
      <c r="J16" s="111">
        <f>'SAF 011'!H14</f>
        <v>12</v>
      </c>
      <c r="K16" s="112" t="e">
        <f>'SAF 011'!#REF!</f>
        <v>#REF!</v>
      </c>
      <c r="M16" s="117" t="e">
        <f t="shared" si="0"/>
        <v>#REF!</v>
      </c>
    </row>
    <row r="17" spans="1:13" s="113" customFormat="1" x14ac:dyDescent="0.25">
      <c r="A17" s="109">
        <v>6</v>
      </c>
      <c r="B17" s="110" t="str">
        <f>'SAF 011'!B15</f>
        <v>2.9.5-2505.16</v>
      </c>
      <c r="C17" s="153" t="str">
        <f>'SAF 011'!E15</f>
        <v>BOLSAS COLECTORAS; TIPO: ESTERIL, USO: MUESTREO, CAPACIDAD: 400 mL</v>
      </c>
      <c r="D17" s="154"/>
      <c r="E17" s="154"/>
      <c r="F17" s="154"/>
      <c r="G17" s="155"/>
      <c r="H17" s="110" t="s">
        <v>192</v>
      </c>
      <c r="I17" s="110" t="str">
        <f>'SAF 011'!F15</f>
        <v>UNIDAD</v>
      </c>
      <c r="J17" s="111">
        <f>'SAF 011'!H15</f>
        <v>4440</v>
      </c>
      <c r="K17" s="112" t="e">
        <f>'SAF 011'!#REF!</f>
        <v>#REF!</v>
      </c>
      <c r="M17" s="117" t="e">
        <f t="shared" si="0"/>
        <v>#REF!</v>
      </c>
    </row>
    <row r="18" spans="1:13" s="113" customFormat="1" x14ac:dyDescent="0.25">
      <c r="A18" s="109">
        <v>7</v>
      </c>
      <c r="B18" s="110" t="str">
        <f>'SAF 011'!B16</f>
        <v>2.9.5-5770.9</v>
      </c>
      <c r="C18" s="153" t="str">
        <f>'SAF 011'!E16</f>
        <v>CAPSULAS DE PORCELANA; USO: P/CALCINACION, CAPACIDAD: 100 CM3, MEDIDAS: 136-100 mm, DIMENSION: 136-100 mm</v>
      </c>
      <c r="D18" s="154"/>
      <c r="E18" s="154"/>
      <c r="F18" s="154"/>
      <c r="G18" s="155"/>
      <c r="H18" s="110" t="s">
        <v>192</v>
      </c>
      <c r="I18" s="110" t="str">
        <f>'SAF 011'!F16</f>
        <v>UNIDAD</v>
      </c>
      <c r="J18" s="111">
        <f>'SAF 011'!H16</f>
        <v>762</v>
      </c>
      <c r="K18" s="112" t="e">
        <f>'SAF 011'!#REF!</f>
        <v>#REF!</v>
      </c>
      <c r="M18" s="117" t="e">
        <f t="shared" si="0"/>
        <v>#REF!</v>
      </c>
    </row>
    <row r="19" spans="1:13" s="113" customFormat="1" x14ac:dyDescent="0.25">
      <c r="A19" s="109">
        <v>8</v>
      </c>
      <c r="B19" s="110" t="str">
        <f>'SAF 011'!B17</f>
        <v>2.9.5-5770.10</v>
      </c>
      <c r="C19" s="153" t="str">
        <f>'SAF 011'!E17</f>
        <v>CAPSULAS DE PORCELANA; USO: P/LABORATORIO, CAPACIDAD: 75 mL, MEDIDAS: 50 X 44 mm, DIMENSION: 50 X 44 mm</v>
      </c>
      <c r="D19" s="154"/>
      <c r="E19" s="154"/>
      <c r="F19" s="154"/>
      <c r="G19" s="155"/>
      <c r="H19" s="110" t="s">
        <v>192</v>
      </c>
      <c r="I19" s="110" t="str">
        <f>'SAF 011'!F17</f>
        <v>UNIDAD</v>
      </c>
      <c r="J19" s="111">
        <f>'SAF 011'!H17</f>
        <v>694.32</v>
      </c>
      <c r="K19" s="112" t="e">
        <f>'SAF 011'!#REF!</f>
        <v>#REF!</v>
      </c>
      <c r="M19" s="117" t="e">
        <f t="shared" si="0"/>
        <v>#REF!</v>
      </c>
    </row>
    <row r="20" spans="1:13" s="113" customFormat="1" x14ac:dyDescent="0.25">
      <c r="A20" s="109">
        <v>9</v>
      </c>
      <c r="B20" s="110" t="str">
        <f>'SAF 011'!B18</f>
        <v>2.9.5-1908.12</v>
      </c>
      <c r="C20" s="153" t="str">
        <f>'SAF 011'!E18</f>
        <v>CEPILLOS P/LABORATORIO; TIPO: LIMPIEZA DE TUBOS, MATERIAL: CERDA, TAMAÑO: 1 Cm</v>
      </c>
      <c r="D20" s="154"/>
      <c r="E20" s="154"/>
      <c r="F20" s="154"/>
      <c r="G20" s="155"/>
      <c r="H20" s="110" t="s">
        <v>192</v>
      </c>
      <c r="I20" s="110" t="str">
        <f>'SAF 011'!F18</f>
        <v>UNIDAD</v>
      </c>
      <c r="J20" s="111">
        <f>'SAF 011'!H18</f>
        <v>123.86</v>
      </c>
      <c r="K20" s="112" t="e">
        <f>'SAF 011'!#REF!</f>
        <v>#REF!</v>
      </c>
      <c r="M20" s="117" t="e">
        <f t="shared" si="0"/>
        <v>#REF!</v>
      </c>
    </row>
    <row r="21" spans="1:13" s="113" customFormat="1" x14ac:dyDescent="0.25">
      <c r="A21" s="109">
        <v>10</v>
      </c>
      <c r="B21" s="110" t="str">
        <f>'SAF 011'!B19</f>
        <v>2.9.5-1908.3</v>
      </c>
      <c r="C21" s="153" t="str">
        <f>'SAF 011'!E19</f>
        <v>CEPILLOS P/LABORATORIO; TIPO: LIMPIEZA DE TUBOS, MATERIAL: CERDA, TAMAÑO: CHICO</v>
      </c>
      <c r="D21" s="154"/>
      <c r="E21" s="154"/>
      <c r="F21" s="154"/>
      <c r="G21" s="155"/>
      <c r="H21" s="110" t="s">
        <v>192</v>
      </c>
      <c r="I21" s="110" t="str">
        <f>'SAF 011'!F19</f>
        <v>UNIDAD</v>
      </c>
      <c r="J21" s="111">
        <f>'SAF 011'!H19</f>
        <v>149.22999999999999</v>
      </c>
      <c r="K21" s="112" t="e">
        <f>'SAF 011'!#REF!</f>
        <v>#REF!</v>
      </c>
      <c r="M21" s="117" t="e">
        <f t="shared" si="0"/>
        <v>#REF!</v>
      </c>
    </row>
    <row r="22" spans="1:13" s="113" customFormat="1" x14ac:dyDescent="0.25">
      <c r="A22" s="109">
        <v>11</v>
      </c>
      <c r="B22" s="110" t="str">
        <f>'SAF 011'!B20</f>
        <v>2.9.5-1908.2</v>
      </c>
      <c r="C22" s="153" t="str">
        <f>'SAF 011'!E20</f>
        <v>CEPILLOS P/LABORATORIO; TIPO: LIMPIEZA DE TUBOS, MATERIAL: CERDA, TAMAÑO: MEDIANO</v>
      </c>
      <c r="D22" s="154"/>
      <c r="E22" s="154"/>
      <c r="F22" s="154"/>
      <c r="G22" s="155"/>
      <c r="H22" s="110" t="s">
        <v>192</v>
      </c>
      <c r="I22" s="110" t="str">
        <f>'SAF 011'!F20</f>
        <v>UNIDAD</v>
      </c>
      <c r="J22" s="111">
        <f>'SAF 011'!H20</f>
        <v>282.04000000000002</v>
      </c>
      <c r="K22" s="112" t="e">
        <f>'SAF 011'!#REF!</f>
        <v>#REF!</v>
      </c>
      <c r="M22" s="117" t="e">
        <f t="shared" si="0"/>
        <v>#REF!</v>
      </c>
    </row>
    <row r="23" spans="1:13" s="113" customFormat="1" x14ac:dyDescent="0.25">
      <c r="A23" s="109">
        <v>12</v>
      </c>
      <c r="B23" s="110" t="str">
        <f>'SAF 011'!B21</f>
        <v>2.9.5-1908.40</v>
      </c>
      <c r="C23" s="153" t="str">
        <f>'SAF 011'!E21</f>
        <v>CEPILLOS P/LABORATORIO; TIPO: LIMPIEZA ERLENMEYER, MATERIAL: CERDA, TAMAÑO: DIAM. 45 mm</v>
      </c>
      <c r="D23" s="154"/>
      <c r="E23" s="154"/>
      <c r="F23" s="154"/>
      <c r="G23" s="155"/>
      <c r="H23" s="110" t="s">
        <v>192</v>
      </c>
      <c r="I23" s="110" t="str">
        <f>'SAF 011'!F21</f>
        <v>UNIDAD</v>
      </c>
      <c r="J23" s="111">
        <f>'SAF 011'!H21</f>
        <v>507.96000000000004</v>
      </c>
      <c r="K23" s="112" t="e">
        <f>'SAF 011'!#REF!</f>
        <v>#REF!</v>
      </c>
      <c r="M23" s="117" t="e">
        <f t="shared" si="0"/>
        <v>#REF!</v>
      </c>
    </row>
    <row r="24" spans="1:13" s="113" customFormat="1" x14ac:dyDescent="0.25">
      <c r="A24" s="109">
        <v>13</v>
      </c>
      <c r="B24" s="110" t="str">
        <f>'SAF 011'!B22</f>
        <v>2.9.5-1908.17</v>
      </c>
      <c r="C24" s="153" t="str">
        <f>'SAF 011'!E22</f>
        <v>CEPILLOS P/LABORATORIO; TIPO: P/PROBETAS, MATERIAL: CERDA, TAMAÑO: LONG. 23/ DIAM. 2 Cm</v>
      </c>
      <c r="D24" s="154"/>
      <c r="E24" s="154"/>
      <c r="F24" s="154"/>
      <c r="G24" s="155"/>
      <c r="H24" s="110" t="s">
        <v>192</v>
      </c>
      <c r="I24" s="110" t="str">
        <f>'SAF 011'!F22</f>
        <v>UNIDAD</v>
      </c>
      <c r="J24" s="111">
        <f>'SAF 011'!H22</f>
        <v>270.3</v>
      </c>
      <c r="K24" s="112" t="e">
        <f>'SAF 011'!#REF!</f>
        <v>#REF!</v>
      </c>
      <c r="M24" s="117" t="e">
        <f t="shared" si="0"/>
        <v>#REF!</v>
      </c>
    </row>
    <row r="25" spans="1:13" s="113" customFormat="1" ht="16.5" customHeight="1" x14ac:dyDescent="0.25">
      <c r="A25" s="109">
        <v>14</v>
      </c>
      <c r="B25" s="110" t="str">
        <f>'SAF 011'!B23</f>
        <v>2.9.5-8735.20</v>
      </c>
      <c r="C25" s="153" t="str">
        <f>'SAF 011'!E23</f>
        <v>DESECADORES; ACCESORIO: DESECADOR, ALTO: 31 Cm, DIAMETRO: 29 Cm, MATERIAL: VIDRIO BOROSILICATO, USO: P/LABORATORIO</v>
      </c>
      <c r="D25" s="154"/>
      <c r="E25" s="154"/>
      <c r="F25" s="154"/>
      <c r="G25" s="155"/>
      <c r="H25" s="110" t="s">
        <v>192</v>
      </c>
      <c r="I25" s="110" t="str">
        <f>'SAF 011'!F23</f>
        <v>UNIDAD</v>
      </c>
      <c r="J25" s="111">
        <f>'SAF 011'!H23</f>
        <v>9000</v>
      </c>
      <c r="K25" s="112" t="e">
        <f>'SAF 011'!#REF!</f>
        <v>#REF!</v>
      </c>
      <c r="M25" s="117" t="e">
        <f t="shared" si="0"/>
        <v>#REF!</v>
      </c>
    </row>
    <row r="26" spans="1:13" s="113" customFormat="1" ht="29.25" customHeight="1" x14ac:dyDescent="0.25">
      <c r="A26" s="109">
        <v>15</v>
      </c>
      <c r="B26" s="110" t="str">
        <f>'SAF 011'!B24</f>
        <v>2.9.5-5846.6</v>
      </c>
      <c r="C26" s="153" t="str">
        <f>'SAF 011'!E24</f>
        <v>EMBUDOS P/LABORATORIOS; MATERIAL: POLIPROPILENO, DIAM. BOCA: 100 mm, DIAM. TUBO: 13 mm, CAPACIDAD: 250 mL, DIAMETRO MENOR: 100 mm, DIAMETRO MAYOR: 13 mm</v>
      </c>
      <c r="D26" s="154"/>
      <c r="E26" s="154"/>
      <c r="F26" s="154"/>
      <c r="G26" s="155"/>
      <c r="H26" s="110" t="s">
        <v>192</v>
      </c>
      <c r="I26" s="110" t="str">
        <f>'SAF 011'!F24</f>
        <v>UNIDAD</v>
      </c>
      <c r="J26" s="111">
        <f>'SAF 011'!H24</f>
        <v>323.16000000000003</v>
      </c>
      <c r="K26" s="112" t="e">
        <f>'SAF 011'!#REF!</f>
        <v>#REF!</v>
      </c>
      <c r="M26" s="117" t="e">
        <f t="shared" si="0"/>
        <v>#REF!</v>
      </c>
    </row>
    <row r="27" spans="1:13" s="113" customFormat="1" ht="26.25" customHeight="1" x14ac:dyDescent="0.25">
      <c r="A27" s="109">
        <v>16</v>
      </c>
      <c r="B27" s="110" t="str">
        <f>'SAF 011'!B25</f>
        <v>2.9.5-5846.5</v>
      </c>
      <c r="C27" s="153" t="str">
        <f>'SAF 011'!E25</f>
        <v>EMBUDOS P/LABORATORIOS; MATERIAL: POLIPROPILENO, DIAM. BOCA: 75 mm, DIAM. TUBO: 10 mm, CAPACIDAD: 100 mL, DIAMETRO MENOR: 75 mm, DIAMETRO MAYOR: 10 mm</v>
      </c>
      <c r="D27" s="154"/>
      <c r="E27" s="154"/>
      <c r="F27" s="154"/>
      <c r="G27" s="155"/>
      <c r="H27" s="110" t="s">
        <v>192</v>
      </c>
      <c r="I27" s="110" t="str">
        <f>'SAF 011'!F25</f>
        <v>UNIDAD</v>
      </c>
      <c r="J27" s="111">
        <f>'SAF 011'!H25</f>
        <v>196.2</v>
      </c>
      <c r="K27" s="112" t="e">
        <f>'SAF 011'!#REF!</f>
        <v>#REF!</v>
      </c>
      <c r="M27" s="117" t="e">
        <f t="shared" si="0"/>
        <v>#REF!</v>
      </c>
    </row>
    <row r="28" spans="1:13" s="113" customFormat="1" x14ac:dyDescent="0.25">
      <c r="A28" s="109">
        <v>17</v>
      </c>
      <c r="B28" s="110" t="str">
        <f>'SAF 011'!B26</f>
        <v>2.9.5-5846.23</v>
      </c>
      <c r="C28" s="153" t="str">
        <f>'SAF 011'!E26</f>
        <v>EMBUDOS P/LABORATORIOS; MATERIAL: VIDRIO, DIAMETRO MENOR: 15 mm, DIAMETRO MAYOR: 80 mm, CAPACIDAD: 250 mL</v>
      </c>
      <c r="D28" s="154"/>
      <c r="E28" s="154"/>
      <c r="F28" s="154"/>
      <c r="G28" s="155"/>
      <c r="H28" s="110" t="s">
        <v>192</v>
      </c>
      <c r="I28" s="110" t="str">
        <f>'SAF 011'!F26</f>
        <v>UNIDAD</v>
      </c>
      <c r="J28" s="111">
        <f>'SAF 011'!H26</f>
        <v>2439.11</v>
      </c>
      <c r="K28" s="112" t="e">
        <f>'SAF 011'!#REF!</f>
        <v>#REF!</v>
      </c>
      <c r="M28" s="117" t="e">
        <f t="shared" si="0"/>
        <v>#REF!</v>
      </c>
    </row>
    <row r="29" spans="1:13" s="113" customFormat="1" x14ac:dyDescent="0.25">
      <c r="A29" s="109">
        <v>18</v>
      </c>
      <c r="B29" s="110" t="str">
        <f>'SAF 011'!B27</f>
        <v>2.9.5-5846.18</v>
      </c>
      <c r="C29" s="153" t="str">
        <f>'SAF 011'!E27</f>
        <v>EMBUDOS P/LABORATORIOS; MATERIAL: VIDRIO, DIAMETRO MENOR: 20 mm, DIAMETRO MAYOR: 65 mm, CAPACIDAD: 150 mL</v>
      </c>
      <c r="D29" s="154"/>
      <c r="E29" s="154"/>
      <c r="F29" s="154"/>
      <c r="G29" s="155"/>
      <c r="H29" s="110" t="s">
        <v>192</v>
      </c>
      <c r="I29" s="110" t="str">
        <f>'SAF 011'!F27</f>
        <v>UNIDAD</v>
      </c>
      <c r="J29" s="111">
        <f>'SAF 011'!H27</f>
        <v>1883.1599999999999</v>
      </c>
      <c r="K29" s="112" t="e">
        <f>'SAF 011'!#REF!</f>
        <v>#REF!</v>
      </c>
      <c r="M29" s="117" t="e">
        <f t="shared" si="0"/>
        <v>#REF!</v>
      </c>
    </row>
    <row r="30" spans="1:13" s="113" customFormat="1" x14ac:dyDescent="0.25">
      <c r="A30" s="109">
        <v>19</v>
      </c>
      <c r="B30" s="110" t="str">
        <f>'SAF 011'!B28</f>
        <v>2.9.5-5846.16</v>
      </c>
      <c r="C30" s="153" t="str">
        <f>'SAF 011'!E28</f>
        <v>EMBUDOS P/LABORATORIOS; MATERIAL: VIDRIO, DIAMETRO MENOR: 9 mm, DIAMETRO MAYOR: 50 mm, CAPACIDAD: 20 mL</v>
      </c>
      <c r="D30" s="154"/>
      <c r="E30" s="154"/>
      <c r="F30" s="154"/>
      <c r="G30" s="155"/>
      <c r="H30" s="110" t="s">
        <v>192</v>
      </c>
      <c r="I30" s="110" t="str">
        <f>'SAF 011'!F28</f>
        <v>UNIDAD</v>
      </c>
      <c r="J30" s="111">
        <f>'SAF 011'!H28</f>
        <v>1483.74</v>
      </c>
      <c r="K30" s="112" t="e">
        <f>'SAF 011'!#REF!</f>
        <v>#REF!</v>
      </c>
      <c r="M30" s="117" t="e">
        <f t="shared" si="0"/>
        <v>#REF!</v>
      </c>
    </row>
    <row r="31" spans="1:13" s="113" customFormat="1" x14ac:dyDescent="0.25">
      <c r="A31" s="109">
        <v>20</v>
      </c>
      <c r="B31" s="110" t="str">
        <f>'SAF 011'!B29</f>
        <v>2.9.5-2765.31</v>
      </c>
      <c r="C31" s="153" t="str">
        <f>'SAF 011'!E29</f>
        <v>ERLENMEYER; TIPO: BOCA COMUN, CAPACIDAD: 1000 mL, GRADUADO: SI, GRADUACION: SI</v>
      </c>
      <c r="D31" s="154"/>
      <c r="E31" s="154"/>
      <c r="F31" s="154"/>
      <c r="G31" s="155"/>
      <c r="H31" s="110" t="s">
        <v>192</v>
      </c>
      <c r="I31" s="110" t="str">
        <f>'SAF 011'!F29</f>
        <v>UNIDAD</v>
      </c>
      <c r="J31" s="111">
        <f>'SAF 011'!H29</f>
        <v>1438.01</v>
      </c>
      <c r="K31" s="112" t="e">
        <f>'SAF 011'!#REF!</f>
        <v>#REF!</v>
      </c>
      <c r="M31" s="117" t="e">
        <f t="shared" si="0"/>
        <v>#REF!</v>
      </c>
    </row>
    <row r="32" spans="1:13" s="113" customFormat="1" x14ac:dyDescent="0.25">
      <c r="A32" s="109">
        <v>21</v>
      </c>
      <c r="B32" s="110" t="str">
        <f>'SAF 011'!B30</f>
        <v>2.9.5-2765.30</v>
      </c>
      <c r="C32" s="153" t="str">
        <f>'SAF 011'!E30</f>
        <v>ERLENMEYER; TIPO: BOCA COMUN, CAPACIDAD: 125 mL, GRADUADO: SI, GRADUACION: SI</v>
      </c>
      <c r="D32" s="154"/>
      <c r="E32" s="154"/>
      <c r="F32" s="154"/>
      <c r="G32" s="155"/>
      <c r="H32" s="110" t="s">
        <v>192</v>
      </c>
      <c r="I32" s="110" t="str">
        <f>'SAF 011'!F30</f>
        <v>UNIDAD</v>
      </c>
      <c r="J32" s="111">
        <f>'SAF 011'!H30</f>
        <v>504</v>
      </c>
      <c r="K32" s="112" t="e">
        <f>'SAF 011'!#REF!</f>
        <v>#REF!</v>
      </c>
      <c r="M32" s="117" t="e">
        <f t="shared" si="0"/>
        <v>#REF!</v>
      </c>
    </row>
    <row r="33" spans="1:13" s="113" customFormat="1" x14ac:dyDescent="0.25">
      <c r="A33" s="109">
        <v>22</v>
      </c>
      <c r="B33" s="110" t="str">
        <f>'SAF 011'!B31</f>
        <v>2.9.5-2765.24</v>
      </c>
      <c r="C33" s="153" t="str">
        <f>'SAF 011'!E31</f>
        <v>ERLENMEYER; TIPO: BOCA COMUN, CAPACIDAD: 250 mL, GRADUACION: SI, GRADUADO: SI</v>
      </c>
      <c r="D33" s="154"/>
      <c r="E33" s="154"/>
      <c r="F33" s="154"/>
      <c r="G33" s="155"/>
      <c r="H33" s="110" t="s">
        <v>192</v>
      </c>
      <c r="I33" s="110" t="str">
        <f>'SAF 011'!F31</f>
        <v>UNIDAD</v>
      </c>
      <c r="J33" s="111">
        <f>'SAF 011'!H31</f>
        <v>798.71</v>
      </c>
      <c r="K33" s="112" t="e">
        <f>'SAF 011'!#REF!</f>
        <v>#REF!</v>
      </c>
      <c r="M33" s="117" t="e">
        <f t="shared" si="0"/>
        <v>#REF!</v>
      </c>
    </row>
    <row r="34" spans="1:13" s="113" customFormat="1" x14ac:dyDescent="0.25">
      <c r="A34" s="109">
        <v>23</v>
      </c>
      <c r="B34" s="110" t="str">
        <f>'SAF 011'!B32</f>
        <v>2.9.5-448.76</v>
      </c>
      <c r="C34" s="153" t="str">
        <f>'SAF 011'!E32</f>
        <v>FRASCOS ESTERILES; CAPACIDAD: 1000 mL, PRESENTACION: UNIDAD, GRABADO: SIN, USO: LABORATORIO</v>
      </c>
      <c r="D34" s="154"/>
      <c r="E34" s="154"/>
      <c r="F34" s="154"/>
      <c r="G34" s="155"/>
      <c r="H34" s="110" t="s">
        <v>192</v>
      </c>
      <c r="I34" s="110" t="str">
        <f>'SAF 011'!F32</f>
        <v>UNIDAD</v>
      </c>
      <c r="J34" s="111">
        <f>'SAF 011'!H32</f>
        <v>390.36</v>
      </c>
      <c r="K34" s="112" t="e">
        <f>'SAF 011'!#REF!</f>
        <v>#REF!</v>
      </c>
      <c r="M34" s="117" t="e">
        <f t="shared" si="0"/>
        <v>#REF!</v>
      </c>
    </row>
    <row r="35" spans="1:13" s="113" customFormat="1" x14ac:dyDescent="0.25">
      <c r="A35" s="109">
        <v>24</v>
      </c>
      <c r="B35" s="110" t="str">
        <f>'SAF 011'!B33</f>
        <v>2.9.5-448.79</v>
      </c>
      <c r="C35" s="153" t="str">
        <f>'SAF 011'!E33</f>
        <v>FRASCOS ESTERILES; CAPACIDAD: 250 mL, PRESENTACION: UNIDAD, GRABADO: SIN, USO: LABORATORIO</v>
      </c>
      <c r="D35" s="154"/>
      <c r="E35" s="154"/>
      <c r="F35" s="154"/>
      <c r="G35" s="155"/>
      <c r="H35" s="110" t="s">
        <v>192</v>
      </c>
      <c r="I35" s="110" t="str">
        <f>'SAF 011'!F33</f>
        <v>UNIDAD</v>
      </c>
      <c r="J35" s="111">
        <f>'SAF 011'!H33</f>
        <v>187.92</v>
      </c>
      <c r="K35" s="112" t="e">
        <f>'SAF 011'!#REF!</f>
        <v>#REF!</v>
      </c>
      <c r="M35" s="117" t="e">
        <f t="shared" si="0"/>
        <v>#REF!</v>
      </c>
    </row>
    <row r="36" spans="1:13" s="113" customFormat="1" x14ac:dyDescent="0.25">
      <c r="A36" s="109">
        <v>25</v>
      </c>
      <c r="B36" s="110" t="str">
        <f>'SAF 011'!B34</f>
        <v>2.9.5-2600.22</v>
      </c>
      <c r="C36" s="153" t="str">
        <f>'SAF 011'!E34</f>
        <v>FRASCOS P/MUESTRAS; DIMENSION: SIN VALOR, MATERIAL: VIDRIO GRADUADO AUTOCLAVABLE, CAPACIDAD: 250 mL, TAPA: A ROSCA</v>
      </c>
      <c r="D36" s="154"/>
      <c r="E36" s="154"/>
      <c r="F36" s="154"/>
      <c r="G36" s="155"/>
      <c r="H36" s="110" t="s">
        <v>192</v>
      </c>
      <c r="I36" s="110" t="str">
        <f>'SAF 011'!F34</f>
        <v>UNIDAD</v>
      </c>
      <c r="J36" s="111">
        <f>'SAF 011'!H34</f>
        <v>711.6</v>
      </c>
      <c r="K36" s="112" t="e">
        <f>'SAF 011'!#REF!</f>
        <v>#REF!</v>
      </c>
      <c r="M36" s="117" t="e">
        <f t="shared" si="0"/>
        <v>#REF!</v>
      </c>
    </row>
    <row r="37" spans="1:13" s="113" customFormat="1" x14ac:dyDescent="0.25">
      <c r="A37" s="109">
        <v>26</v>
      </c>
      <c r="B37" s="110" t="str">
        <f>'SAF 011'!B35</f>
        <v>2.9.5-2600.23</v>
      </c>
      <c r="C37" s="153" t="str">
        <f>'SAF 011'!E35</f>
        <v>FRASCOS P/MUESTRAS; DIMENSION: SIN VALOR, MATERIAL: VIDRIO GRADUADO AUTOCLAVABLE, CAPACIDAD: 500 mL, TAPA: A ROSCA</v>
      </c>
      <c r="D37" s="154"/>
      <c r="E37" s="154"/>
      <c r="F37" s="154"/>
      <c r="G37" s="155"/>
      <c r="H37" s="110" t="s">
        <v>192</v>
      </c>
      <c r="I37" s="110" t="str">
        <f>'SAF 011'!F35</f>
        <v>UNIDAD</v>
      </c>
      <c r="J37" s="111">
        <f>'SAF 011'!H35</f>
        <v>808.56</v>
      </c>
      <c r="K37" s="112" t="e">
        <f>'SAF 011'!#REF!</f>
        <v>#REF!</v>
      </c>
      <c r="M37" s="117" t="e">
        <f t="shared" si="0"/>
        <v>#REF!</v>
      </c>
    </row>
    <row r="38" spans="1:13" s="113" customFormat="1" x14ac:dyDescent="0.25">
      <c r="A38" s="109">
        <v>27</v>
      </c>
      <c r="B38" s="110" t="str">
        <f>'SAF 011'!B36</f>
        <v>2.9.5-2600.117</v>
      </c>
      <c r="C38" s="153" t="str">
        <f>'SAF 011'!E36</f>
        <v>FRASCOS P/MUESTRAS; MATERIAL: VIDRIO GRADUADO AUTOCLAVABLE, DIMENSION: NO APLICA, CAPACIDAD: 100 mL, TAPA: A ROSCA</v>
      </c>
      <c r="D38" s="154"/>
      <c r="E38" s="154"/>
      <c r="F38" s="154"/>
      <c r="G38" s="155"/>
      <c r="H38" s="110" t="s">
        <v>192</v>
      </c>
      <c r="I38" s="110" t="str">
        <f>'SAF 011'!F36</f>
        <v>UNIDAD</v>
      </c>
      <c r="J38" s="111">
        <f>'SAF 011'!H36</f>
        <v>547.20000000000005</v>
      </c>
      <c r="K38" s="112" t="e">
        <f>'SAF 011'!#REF!</f>
        <v>#REF!</v>
      </c>
      <c r="M38" s="117" t="e">
        <f t="shared" si="0"/>
        <v>#REF!</v>
      </c>
    </row>
    <row r="39" spans="1:13" s="113" customFormat="1" x14ac:dyDescent="0.25">
      <c r="A39" s="109">
        <v>28</v>
      </c>
      <c r="B39" s="110" t="str">
        <f>'SAF 011'!B37</f>
        <v>2.9.5-2600.24</v>
      </c>
      <c r="C39" s="153" t="str">
        <f>'SAF 011'!E37</f>
        <v>FRASCOS P/MUESTRAS; MATERIAL: VIDRIO GRADUADO AUTOCLAVABLE, DIMENSION: SIN VALOR, CAPACIDAD: 1000 mL, TAPA: A ROSCA</v>
      </c>
      <c r="D39" s="154"/>
      <c r="E39" s="154"/>
      <c r="F39" s="154"/>
      <c r="G39" s="155"/>
      <c r="H39" s="110" t="s">
        <v>192</v>
      </c>
      <c r="I39" s="110" t="str">
        <f>'SAF 011'!F37</f>
        <v>UNIDAD</v>
      </c>
      <c r="J39" s="111">
        <f>'SAF 011'!H37</f>
        <v>1511.76</v>
      </c>
      <c r="K39" s="112" t="e">
        <f>'SAF 011'!#REF!</f>
        <v>#REF!</v>
      </c>
      <c r="M39" s="117" t="e">
        <f t="shared" si="0"/>
        <v>#REF!</v>
      </c>
    </row>
    <row r="40" spans="1:13" s="113" customFormat="1" ht="25.5" customHeight="1" x14ac:dyDescent="0.25">
      <c r="A40" s="109">
        <v>29</v>
      </c>
      <c r="B40" s="110" t="str">
        <f>'SAF 011'!B38</f>
        <v>2.9.5-3017.1</v>
      </c>
      <c r="C40" s="153" t="str">
        <f>'SAF 011'!E38</f>
        <v>GRADILLAS P/LABORATORIO; CANTIDAD DE TUBOS: 48, MATERIAL: ALAMBRE PLASTIFICADO, MEDIDA TUBO: 6 X 1,5 Cm, TAMAÑO TUBO: 6 X 1,5 Cm, CANT. DE ELEMENTOS: 48, MEDIDA: 6 X 1,5 Cm</v>
      </c>
      <c r="D40" s="154"/>
      <c r="E40" s="154"/>
      <c r="F40" s="154"/>
      <c r="G40" s="155"/>
      <c r="H40" s="110" t="s">
        <v>192</v>
      </c>
      <c r="I40" s="110" t="str">
        <f>'SAF 011'!F38</f>
        <v>UNIDAD</v>
      </c>
      <c r="J40" s="111">
        <f>'SAF 011'!H38</f>
        <v>4776</v>
      </c>
      <c r="K40" s="112" t="e">
        <f>'SAF 011'!#REF!</f>
        <v>#REF!</v>
      </c>
      <c r="M40" s="117" t="e">
        <f t="shared" si="0"/>
        <v>#REF!</v>
      </c>
    </row>
    <row r="41" spans="1:13" s="113" customFormat="1" ht="26.25" customHeight="1" x14ac:dyDescent="0.25">
      <c r="A41" s="109">
        <v>30</v>
      </c>
      <c r="B41" s="110" t="str">
        <f>'SAF 011'!B39</f>
        <v>2.9.5-3017.3</v>
      </c>
      <c r="C41" s="153" t="str">
        <f>'SAF 011'!E39</f>
        <v>GRADILLAS P/LABORATORIO; TAMAÑO TUBO: 13 mm, CANTIDAD DE TUBOS: 36, MATERIAL: VIDRIO FORRADA, MEDIDA TUBO: 13 mm, CANT. DE ELEMENTOS: 36, MEDIDA: 13 mm</v>
      </c>
      <c r="D41" s="154"/>
      <c r="E41" s="154"/>
      <c r="F41" s="154"/>
      <c r="G41" s="155"/>
      <c r="H41" s="110" t="s">
        <v>192</v>
      </c>
      <c r="I41" s="110" t="str">
        <f>'SAF 011'!F39</f>
        <v>UNIDAD</v>
      </c>
      <c r="J41" s="111">
        <f>'SAF 011'!H39</f>
        <v>3312</v>
      </c>
      <c r="K41" s="112" t="e">
        <f>'SAF 011'!#REF!</f>
        <v>#REF!</v>
      </c>
      <c r="M41" s="117" t="e">
        <f t="shared" si="0"/>
        <v>#REF!</v>
      </c>
    </row>
    <row r="42" spans="1:13" s="113" customFormat="1" ht="30.75" customHeight="1" x14ac:dyDescent="0.25">
      <c r="A42" s="109">
        <v>31</v>
      </c>
      <c r="B42" s="110" t="str">
        <f>'SAF 011'!B40</f>
        <v>2.9.5-3017.4</v>
      </c>
      <c r="C42" s="153" t="str">
        <f>'SAF 011'!E40</f>
        <v>GRADILLAS P/LABORATORIO; TAMAÑO TUBO: 3,4 X 12 Cm, CANTIDAD DE TUBOS: 12, MATERIAL: ALAMBRE PLASTIFICADO, MEDIDA TUBO: 3,4 X 12 Cm, CANT. DE ELEMENTOS: 12, MEDIDA: 3,4 X 12 Cm</v>
      </c>
      <c r="D42" s="154"/>
      <c r="E42" s="154"/>
      <c r="F42" s="154"/>
      <c r="G42" s="155"/>
      <c r="H42" s="110" t="s">
        <v>192</v>
      </c>
      <c r="I42" s="110" t="str">
        <f>'SAF 011'!F40</f>
        <v>UNIDAD</v>
      </c>
      <c r="J42" s="111">
        <f>'SAF 011'!H40</f>
        <v>2583.6</v>
      </c>
      <c r="K42" s="112" t="e">
        <f>'SAF 011'!#REF!</f>
        <v>#REF!</v>
      </c>
      <c r="M42" s="117" t="e">
        <f t="shared" si="0"/>
        <v>#REF!</v>
      </c>
    </row>
    <row r="43" spans="1:13" s="113" customFormat="1" x14ac:dyDescent="0.25">
      <c r="A43" s="109">
        <v>32</v>
      </c>
      <c r="B43" s="110" t="str">
        <f>'SAF 011'!B41</f>
        <v>2.9.5-7591.1</v>
      </c>
      <c r="C43" s="153" t="str">
        <f>'SAF 011'!E41</f>
        <v>MANGOS DE KOLL; LARGO: 25 Cm, MATERIAL: ACERO INOXIDABLE, PRESENTACION: UNIDAD, USO: TOMA DE MUESTRAS</v>
      </c>
      <c r="D43" s="154"/>
      <c r="E43" s="154"/>
      <c r="F43" s="154"/>
      <c r="G43" s="155"/>
      <c r="H43" s="110" t="s">
        <v>192</v>
      </c>
      <c r="I43" s="110" t="str">
        <f>'SAF 011'!F41</f>
        <v>UNIDAD</v>
      </c>
      <c r="J43" s="111">
        <f>'SAF 011'!H41</f>
        <v>1788</v>
      </c>
      <c r="K43" s="112" t="e">
        <f>'SAF 011'!#REF!</f>
        <v>#REF!</v>
      </c>
      <c r="M43" s="117" t="e">
        <f t="shared" si="0"/>
        <v>#REF!</v>
      </c>
    </row>
    <row r="44" spans="1:13" s="113" customFormat="1" x14ac:dyDescent="0.25">
      <c r="A44" s="109">
        <v>33</v>
      </c>
      <c r="B44" s="110" t="str">
        <f>'SAF 011'!B42</f>
        <v>2.9.5-4539.37</v>
      </c>
      <c r="C44" s="153" t="str">
        <f>'SAF 011'!E42</f>
        <v>MATRAZ AFORADO; ESTADO: SOLIDO, MATERIAL: POLIPROPILENO, PRESENTACION: UNIDAD, CAPACIDAD: 100 mL</v>
      </c>
      <c r="D44" s="154"/>
      <c r="E44" s="154"/>
      <c r="F44" s="154"/>
      <c r="G44" s="155"/>
      <c r="H44" s="110" t="s">
        <v>192</v>
      </c>
      <c r="I44" s="110" t="str">
        <f>'SAF 011'!F42</f>
        <v>UNIDAD</v>
      </c>
      <c r="J44" s="111">
        <f>'SAF 011'!H42</f>
        <v>823.44</v>
      </c>
      <c r="K44" s="112" t="e">
        <f>'SAF 011'!#REF!</f>
        <v>#REF!</v>
      </c>
      <c r="M44" s="117" t="e">
        <f t="shared" si="0"/>
        <v>#REF!</v>
      </c>
    </row>
    <row r="45" spans="1:13" s="113" customFormat="1" x14ac:dyDescent="0.25">
      <c r="A45" s="109">
        <v>34</v>
      </c>
      <c r="B45" s="110" t="str">
        <f>'SAF 011'!B43</f>
        <v>2.9.5-4539.40</v>
      </c>
      <c r="C45" s="153" t="str">
        <f>'SAF 011'!E43</f>
        <v>MATRAZ AFORADO; ESTADO: SOLIDO, MATERIAL: POLIPROPILENO, PRESENTACION: UNIDAD, CAPACIDAD: 250 mL</v>
      </c>
      <c r="D45" s="154"/>
      <c r="E45" s="154"/>
      <c r="F45" s="154"/>
      <c r="G45" s="155"/>
      <c r="H45" s="110" t="s">
        <v>192</v>
      </c>
      <c r="I45" s="110" t="str">
        <f>'SAF 011'!F43</f>
        <v>UNIDAD</v>
      </c>
      <c r="J45" s="111">
        <f>'SAF 011'!H43</f>
        <v>1071.6400000000001</v>
      </c>
      <c r="K45" s="112" t="e">
        <f>'SAF 011'!#REF!</f>
        <v>#REF!</v>
      </c>
      <c r="M45" s="117" t="e">
        <f t="shared" si="0"/>
        <v>#REF!</v>
      </c>
    </row>
    <row r="46" spans="1:13" s="113" customFormat="1" x14ac:dyDescent="0.25">
      <c r="A46" s="109">
        <v>35</v>
      </c>
      <c r="B46" s="110" t="str">
        <f>'SAF 011'!B44</f>
        <v>2.9.5-4539.8</v>
      </c>
      <c r="C46" s="153" t="str">
        <f>'SAF 011'!E44</f>
        <v>MATRAZ AFORADO; ESTADO: SOLIDO, MATERIAL: VIDRIO BOROSILICATO, PRESENTACION: UNIDAD, CAPACIDAD: 250 mL</v>
      </c>
      <c r="D46" s="154"/>
      <c r="E46" s="154"/>
      <c r="F46" s="154"/>
      <c r="G46" s="155"/>
      <c r="H46" s="110" t="s">
        <v>192</v>
      </c>
      <c r="I46" s="110" t="str">
        <f>'SAF 011'!F44</f>
        <v>UNIDAD</v>
      </c>
      <c r="J46" s="111">
        <f>'SAF 011'!H44</f>
        <v>1124.28</v>
      </c>
      <c r="K46" s="112" t="e">
        <f>'SAF 011'!#REF!</f>
        <v>#REF!</v>
      </c>
      <c r="M46" s="117" t="e">
        <f t="shared" si="0"/>
        <v>#REF!</v>
      </c>
    </row>
    <row r="47" spans="1:13" s="113" customFormat="1" x14ac:dyDescent="0.25">
      <c r="A47" s="109">
        <v>36</v>
      </c>
      <c r="B47" s="110" t="str">
        <f>'SAF 011'!B45</f>
        <v>2.9.5-4539.21</v>
      </c>
      <c r="C47" s="153" t="str">
        <f>'SAF 011'!E45</f>
        <v>MATRAZ AFORADO; ESTADO: SOLIDO, MATERIAL: VIDRIO, PRESENTACION: UNIDAD, CAPACIDAD: 100 Ml</v>
      </c>
      <c r="D47" s="154"/>
      <c r="E47" s="154"/>
      <c r="F47" s="154"/>
      <c r="G47" s="155"/>
      <c r="H47" s="110" t="s">
        <v>192</v>
      </c>
      <c r="I47" s="110" t="str">
        <f>'SAF 011'!F45</f>
        <v>UNIDAD</v>
      </c>
      <c r="J47" s="111">
        <f>'SAF 011'!H45</f>
        <v>841.07999999999993</v>
      </c>
      <c r="K47" s="112" t="e">
        <f>'SAF 011'!#REF!</f>
        <v>#REF!</v>
      </c>
      <c r="M47" s="117" t="e">
        <f t="shared" si="0"/>
        <v>#REF!</v>
      </c>
    </row>
    <row r="48" spans="1:13" s="113" customFormat="1" x14ac:dyDescent="0.25">
      <c r="A48" s="109">
        <v>37</v>
      </c>
      <c r="B48" s="110" t="str">
        <f>'SAF 011'!B46</f>
        <v>2.9.5-4539.22</v>
      </c>
      <c r="C48" s="153" t="str">
        <f>'SAF 011'!E46</f>
        <v>MATRAZ AFORADO; ESTADO: SOLIDO, MATERIAL: VIDRIO, PRESENTACION: UNIDAD, CAPACIDAD: 200 Ml</v>
      </c>
      <c r="D48" s="154"/>
      <c r="E48" s="154"/>
      <c r="F48" s="154"/>
      <c r="G48" s="155"/>
      <c r="H48" s="110" t="s">
        <v>192</v>
      </c>
      <c r="I48" s="110" t="str">
        <f>'SAF 011'!F46</f>
        <v>UNIDAD</v>
      </c>
      <c r="J48" s="111">
        <f>'SAF 011'!H46</f>
        <v>1070.76</v>
      </c>
      <c r="K48" s="112" t="e">
        <f>'SAF 011'!#REF!</f>
        <v>#REF!</v>
      </c>
      <c r="M48" s="117" t="e">
        <f t="shared" si="0"/>
        <v>#REF!</v>
      </c>
    </row>
    <row r="49" spans="1:13" s="113" customFormat="1" x14ac:dyDescent="0.25">
      <c r="A49" s="109">
        <v>38</v>
      </c>
      <c r="B49" s="110" t="str">
        <f>'SAF 011'!B47</f>
        <v>2.9.5-4539.23</v>
      </c>
      <c r="C49" s="153" t="str">
        <f>'SAF 011'!E47</f>
        <v>MATRAZ AFORADO; ESTADO: SOLIDO, MATERIAL: VIDRIO, PRESENTACION: UNIDAD, CAPACIDAD: 25 Ml</v>
      </c>
      <c r="D49" s="154"/>
      <c r="E49" s="154"/>
      <c r="F49" s="154"/>
      <c r="G49" s="155"/>
      <c r="H49" s="110" t="s">
        <v>192</v>
      </c>
      <c r="I49" s="110" t="str">
        <f>'SAF 011'!F47</f>
        <v>UNIDAD</v>
      </c>
      <c r="J49" s="111">
        <f>'SAF 011'!H47</f>
        <v>756</v>
      </c>
      <c r="K49" s="112" t="e">
        <f>'SAF 011'!#REF!</f>
        <v>#REF!</v>
      </c>
      <c r="M49" s="117" t="e">
        <f t="shared" si="0"/>
        <v>#REF!</v>
      </c>
    </row>
    <row r="50" spans="1:13" s="113" customFormat="1" x14ac:dyDescent="0.25">
      <c r="A50" s="109">
        <v>39</v>
      </c>
      <c r="B50" s="110" t="str">
        <f>'SAF 011'!B48</f>
        <v>2.9.5-4539.24</v>
      </c>
      <c r="C50" s="153" t="str">
        <f>'SAF 011'!E48</f>
        <v>MATRAZ AFORADO; ESTADO: SOLIDO, MATERIAL: VIDRIO, PRESENTACION: UNIDAD, CAPACIDAD: 50 mL</v>
      </c>
      <c r="D50" s="154"/>
      <c r="E50" s="154"/>
      <c r="F50" s="154"/>
      <c r="G50" s="155"/>
      <c r="H50" s="110" t="s">
        <v>192</v>
      </c>
      <c r="I50" s="110" t="str">
        <f>'SAF 011'!F48</f>
        <v>UNIDAD</v>
      </c>
      <c r="J50" s="111">
        <f>'SAF 011'!H48</f>
        <v>816.66</v>
      </c>
      <c r="K50" s="112" t="e">
        <f>'SAF 011'!#REF!</f>
        <v>#REF!</v>
      </c>
      <c r="M50" s="117" t="e">
        <f t="shared" si="0"/>
        <v>#REF!</v>
      </c>
    </row>
    <row r="51" spans="1:13" s="113" customFormat="1" x14ac:dyDescent="0.25">
      <c r="A51" s="109">
        <v>40</v>
      </c>
      <c r="B51" s="110" t="str">
        <f>'SAF 011'!B49</f>
        <v>2.9.5-4539.25</v>
      </c>
      <c r="C51" s="153" t="str">
        <f>'SAF 011'!E49</f>
        <v>MATRAZ AFORADO; ESTADO: SOLIDO, MATERIAL: VIDRIO, PRESENTACION: UNIDAD, CAPACIDAD: 500 Ml</v>
      </c>
      <c r="D51" s="154"/>
      <c r="E51" s="154"/>
      <c r="F51" s="154"/>
      <c r="G51" s="155"/>
      <c r="H51" s="110" t="s">
        <v>192</v>
      </c>
      <c r="I51" s="110" t="str">
        <f>'SAF 011'!F49</f>
        <v>UNIDAD</v>
      </c>
      <c r="J51" s="111">
        <f>'SAF 011'!H49</f>
        <v>1483.44</v>
      </c>
      <c r="K51" s="112" t="e">
        <f>'SAF 011'!#REF!</f>
        <v>#REF!</v>
      </c>
      <c r="M51" s="117" t="e">
        <f t="shared" si="0"/>
        <v>#REF!</v>
      </c>
    </row>
    <row r="52" spans="1:13" s="113" customFormat="1" x14ac:dyDescent="0.25">
      <c r="A52" s="109">
        <v>41</v>
      </c>
      <c r="B52" s="110" t="str">
        <f>'SAF 011'!B50</f>
        <v>2.9.5-3024.49</v>
      </c>
      <c r="C52" s="153" t="str">
        <f>'SAF 011'!E50</f>
        <v>PAPEL FILTRO; FORMA: CIRCULAR, DIMENSION: 110 mm, PORO: WATMAN 40/41, PRESENTACION: ENVASE X 100</v>
      </c>
      <c r="D52" s="154"/>
      <c r="E52" s="154"/>
      <c r="F52" s="154"/>
      <c r="G52" s="155"/>
      <c r="H52" s="110" t="s">
        <v>192</v>
      </c>
      <c r="I52" s="110" t="str">
        <f>'SAF 011'!F50</f>
        <v>UNIDAD</v>
      </c>
      <c r="J52" s="111">
        <f>'SAF 011'!H50</f>
        <v>8784</v>
      </c>
      <c r="K52" s="112" t="e">
        <f>'SAF 011'!#REF!</f>
        <v>#REF!</v>
      </c>
      <c r="M52" s="117" t="e">
        <f t="shared" si="0"/>
        <v>#REF!</v>
      </c>
    </row>
    <row r="53" spans="1:13" s="113" customFormat="1" x14ac:dyDescent="0.25">
      <c r="A53" s="109">
        <v>42</v>
      </c>
      <c r="B53" s="110" t="str">
        <f>'SAF 011'!B51</f>
        <v>2.9.5-469.92</v>
      </c>
      <c r="C53" s="153" t="str">
        <f>'SAF 011'!E51</f>
        <v>PIPETAS DE VIDRIO; USO: GENERAL, TIPO: GRADUADA X 1 ML</v>
      </c>
      <c r="D53" s="154"/>
      <c r="E53" s="154"/>
      <c r="F53" s="154"/>
      <c r="G53" s="155"/>
      <c r="H53" s="110" t="s">
        <v>192</v>
      </c>
      <c r="I53" s="110" t="str">
        <f>'SAF 011'!F51</f>
        <v>UNIDAD</v>
      </c>
      <c r="J53" s="111">
        <f>'SAF 011'!H51</f>
        <v>348.36</v>
      </c>
      <c r="K53" s="112" t="e">
        <f>'SAF 011'!#REF!</f>
        <v>#REF!</v>
      </c>
      <c r="M53" s="117" t="e">
        <f t="shared" si="0"/>
        <v>#REF!</v>
      </c>
    </row>
    <row r="54" spans="1:13" s="113" customFormat="1" x14ac:dyDescent="0.25">
      <c r="A54" s="109">
        <v>43</v>
      </c>
      <c r="B54" s="110" t="str">
        <f>'SAF 011'!B52</f>
        <v>2.9.5-469.36</v>
      </c>
      <c r="C54" s="153" t="str">
        <f>'SAF 011'!E52</f>
        <v>PIPETAS DE VIDRIO; USO: LABORATORIO, TIPO: 1 AFORO DE 50 ML</v>
      </c>
      <c r="D54" s="154"/>
      <c r="E54" s="154"/>
      <c r="F54" s="154"/>
      <c r="G54" s="155"/>
      <c r="H54" s="110" t="s">
        <v>192</v>
      </c>
      <c r="I54" s="110" t="str">
        <f>'SAF 011'!F52</f>
        <v>UNIDAD</v>
      </c>
      <c r="J54" s="111">
        <f>'SAF 011'!H52</f>
        <v>414</v>
      </c>
      <c r="K54" s="112" t="e">
        <f>'SAF 011'!#REF!</f>
        <v>#REF!</v>
      </c>
      <c r="M54" s="117" t="e">
        <f t="shared" si="0"/>
        <v>#REF!</v>
      </c>
    </row>
    <row r="55" spans="1:13" s="113" customFormat="1" x14ac:dyDescent="0.25">
      <c r="A55" s="109">
        <v>44</v>
      </c>
      <c r="B55" s="110" t="str">
        <f>'SAF 011'!B53</f>
        <v>2.9.5-469.62</v>
      </c>
      <c r="C55" s="153" t="str">
        <f>'SAF 011'!E53</f>
        <v>PIPETAS DE VIDRIO; USO: LABORATORIO, TIPO: AFORO SIMPLE 100 ML</v>
      </c>
      <c r="D55" s="154"/>
      <c r="E55" s="154"/>
      <c r="F55" s="154"/>
      <c r="G55" s="155"/>
      <c r="H55" s="110" t="s">
        <v>192</v>
      </c>
      <c r="I55" s="110" t="str">
        <f>'SAF 011'!F53</f>
        <v>UNIDAD</v>
      </c>
      <c r="J55" s="111">
        <f>'SAF 011'!H53</f>
        <v>432</v>
      </c>
      <c r="K55" s="112" t="e">
        <f>'SAF 011'!#REF!</f>
        <v>#REF!</v>
      </c>
      <c r="M55" s="117" t="e">
        <f t="shared" si="0"/>
        <v>#REF!</v>
      </c>
    </row>
    <row r="56" spans="1:13" s="113" customFormat="1" x14ac:dyDescent="0.25">
      <c r="A56" s="109">
        <v>45</v>
      </c>
      <c r="B56" s="110" t="str">
        <f>'SAF 011'!B54</f>
        <v>2.9.5-469.59</v>
      </c>
      <c r="C56" s="153" t="str">
        <f>'SAF 011'!E54</f>
        <v>PIPETAS DE VIDRIO; USO: LABORATORIO, TIPO: DOBLE AFORO 100 mL</v>
      </c>
      <c r="D56" s="154"/>
      <c r="E56" s="154"/>
      <c r="F56" s="154"/>
      <c r="G56" s="155"/>
      <c r="H56" s="110" t="s">
        <v>192</v>
      </c>
      <c r="I56" s="110" t="str">
        <f>'SAF 011'!F54</f>
        <v>UNIDAD</v>
      </c>
      <c r="J56" s="111">
        <f>'SAF 011'!H54</f>
        <v>12074.83</v>
      </c>
      <c r="K56" s="112" t="e">
        <f>'SAF 011'!#REF!</f>
        <v>#REF!</v>
      </c>
      <c r="M56" s="117" t="e">
        <f t="shared" si="0"/>
        <v>#REF!</v>
      </c>
    </row>
    <row r="57" spans="1:13" s="113" customFormat="1" x14ac:dyDescent="0.25">
      <c r="A57" s="109">
        <v>46</v>
      </c>
      <c r="B57" s="110" t="str">
        <f>'SAF 011'!B55</f>
        <v>2.9.5-469.45</v>
      </c>
      <c r="C57" s="153" t="str">
        <f>'SAF 011'!E55</f>
        <v>PIPETAS DE VIDRIO; USO: LABORATORIO, TIPO: DOBLE AFORO 11 Ml</v>
      </c>
      <c r="D57" s="154"/>
      <c r="E57" s="154"/>
      <c r="F57" s="154"/>
      <c r="G57" s="155"/>
      <c r="H57" s="110" t="s">
        <v>192</v>
      </c>
      <c r="I57" s="110" t="str">
        <f>'SAF 011'!F55</f>
        <v>UNIDAD</v>
      </c>
      <c r="J57" s="111">
        <f>'SAF 011'!H55</f>
        <v>2236.9</v>
      </c>
      <c r="K57" s="112" t="e">
        <f>'SAF 011'!#REF!</f>
        <v>#REF!</v>
      </c>
      <c r="M57" s="117" t="e">
        <f t="shared" si="0"/>
        <v>#REF!</v>
      </c>
    </row>
    <row r="58" spans="1:13" s="113" customFormat="1" x14ac:dyDescent="0.25">
      <c r="A58" s="109">
        <v>47</v>
      </c>
      <c r="B58" s="110" t="str">
        <f>'SAF 011'!B56</f>
        <v>2.9.5-469.35</v>
      </c>
      <c r="C58" s="153" t="str">
        <f>'SAF 011'!E56</f>
        <v>PIPETAS DE VIDRIO; USO: LABORATORIO, TIPO: DOBLE AFORO 25 mL</v>
      </c>
      <c r="D58" s="154"/>
      <c r="E58" s="154"/>
      <c r="F58" s="154"/>
      <c r="G58" s="155"/>
      <c r="H58" s="110" t="s">
        <v>192</v>
      </c>
      <c r="I58" s="110" t="str">
        <f>'SAF 011'!F56</f>
        <v>UNIDAD</v>
      </c>
      <c r="J58" s="111">
        <f>'SAF 011'!H56</f>
        <v>3579.8399999999997</v>
      </c>
      <c r="K58" s="112" t="e">
        <f>'SAF 011'!#REF!</f>
        <v>#REF!</v>
      </c>
      <c r="M58" s="117" t="e">
        <f t="shared" si="0"/>
        <v>#REF!</v>
      </c>
    </row>
    <row r="59" spans="1:13" s="113" customFormat="1" x14ac:dyDescent="0.25">
      <c r="A59" s="109">
        <v>48</v>
      </c>
      <c r="B59" s="110" t="str">
        <f>'SAF 011'!B57</f>
        <v>2.9.5-469.51</v>
      </c>
      <c r="C59" s="153" t="str">
        <f>'SAF 011'!E57</f>
        <v>PIPETAS DE VIDRIO; USO: LABORATORIO, TIPO: DOBLE AFORO 50 mL</v>
      </c>
      <c r="D59" s="154"/>
      <c r="E59" s="154"/>
      <c r="F59" s="154"/>
      <c r="G59" s="155"/>
      <c r="H59" s="110" t="s">
        <v>192</v>
      </c>
      <c r="I59" s="110" t="str">
        <f>'SAF 011'!F57</f>
        <v>UNIDAD</v>
      </c>
      <c r="J59" s="111">
        <f>'SAF 011'!H57</f>
        <v>7083.9</v>
      </c>
      <c r="K59" s="112" t="e">
        <f>'SAF 011'!#REF!</f>
        <v>#REF!</v>
      </c>
      <c r="M59" s="117" t="e">
        <f t="shared" si="0"/>
        <v>#REF!</v>
      </c>
    </row>
    <row r="60" spans="1:13" s="113" customFormat="1" x14ac:dyDescent="0.25">
      <c r="A60" s="109">
        <v>49</v>
      </c>
      <c r="B60" s="110" t="str">
        <f>'SAF 011'!B58</f>
        <v>2.9.5-469.41</v>
      </c>
      <c r="C60" s="153" t="str">
        <f>'SAF 011'!E58</f>
        <v>PIPETAS DE VIDRIO; USO: LABORATORIO, TIPO: GRADUADA DE 10 ML</v>
      </c>
      <c r="D60" s="154"/>
      <c r="E60" s="154"/>
      <c r="F60" s="154"/>
      <c r="G60" s="155"/>
      <c r="H60" s="110" t="s">
        <v>192</v>
      </c>
      <c r="I60" s="110" t="str">
        <f>'SAF 011'!F58</f>
        <v>UNIDAD</v>
      </c>
      <c r="J60" s="111">
        <f>'SAF 011'!H58</f>
        <v>384.01</v>
      </c>
      <c r="K60" s="112" t="e">
        <f>'SAF 011'!#REF!</f>
        <v>#REF!</v>
      </c>
      <c r="M60" s="117" t="e">
        <f t="shared" si="0"/>
        <v>#REF!</v>
      </c>
    </row>
    <row r="61" spans="1:13" s="113" customFormat="1" x14ac:dyDescent="0.25">
      <c r="A61" s="109">
        <v>50</v>
      </c>
      <c r="B61" s="110" t="str">
        <f>'SAF 011'!B59</f>
        <v>2.9.5-469.48</v>
      </c>
      <c r="C61" s="153" t="str">
        <f>'SAF 011'!E59</f>
        <v>PIPETAS DE VIDRIO; USO: LABORATORIO, TIPO: GRADUADA DE 25 ML Ml</v>
      </c>
      <c r="D61" s="154"/>
      <c r="E61" s="154"/>
      <c r="F61" s="154"/>
      <c r="G61" s="155"/>
      <c r="H61" s="110" t="s">
        <v>192</v>
      </c>
      <c r="I61" s="110" t="str">
        <f>'SAF 011'!F59</f>
        <v>UNIDAD</v>
      </c>
      <c r="J61" s="111">
        <f>'SAF 011'!H59</f>
        <v>396.6</v>
      </c>
      <c r="K61" s="112" t="e">
        <f>'SAF 011'!#REF!</f>
        <v>#REF!</v>
      </c>
      <c r="M61" s="117" t="e">
        <f t="shared" si="0"/>
        <v>#REF!</v>
      </c>
    </row>
    <row r="62" spans="1:13" s="113" customFormat="1" x14ac:dyDescent="0.25">
      <c r="A62" s="109">
        <v>51</v>
      </c>
      <c r="B62" s="110" t="str">
        <f>'SAF 011'!B60</f>
        <v>2.9.5-469.49</v>
      </c>
      <c r="C62" s="153" t="str">
        <f>'SAF 011'!E60</f>
        <v>PIPETAS DE VIDRIO; USO: LABORATORIO, TIPO: GRADUADA DE 5 ML</v>
      </c>
      <c r="D62" s="154"/>
      <c r="E62" s="154"/>
      <c r="F62" s="154"/>
      <c r="G62" s="155"/>
      <c r="H62" s="110" t="s">
        <v>192</v>
      </c>
      <c r="I62" s="110" t="str">
        <f>'SAF 011'!F60</f>
        <v>UNIDAD</v>
      </c>
      <c r="J62" s="111">
        <f>'SAF 011'!H60</f>
        <v>361.46</v>
      </c>
      <c r="K62" s="112" t="e">
        <f>'SAF 011'!#REF!</f>
        <v>#REF!</v>
      </c>
      <c r="M62" s="117" t="e">
        <f t="shared" si="0"/>
        <v>#REF!</v>
      </c>
    </row>
    <row r="63" spans="1:13" s="113" customFormat="1" x14ac:dyDescent="0.25">
      <c r="A63" s="109">
        <v>52</v>
      </c>
      <c r="B63" s="110" t="str">
        <f>'SAF 011'!B61</f>
        <v>2.9.5-2782.13</v>
      </c>
      <c r="C63" s="153" t="str">
        <f>'SAF 011'!E61</f>
        <v>PISETAS DE LABORATORIO; MATERIAL: POLIETILENO, CAPACIDAD: 500 Ml</v>
      </c>
      <c r="D63" s="154"/>
      <c r="E63" s="154"/>
      <c r="F63" s="154"/>
      <c r="G63" s="155"/>
      <c r="H63" s="110" t="s">
        <v>192</v>
      </c>
      <c r="I63" s="110" t="str">
        <f>'SAF 011'!F61</f>
        <v>UNIDAD</v>
      </c>
      <c r="J63" s="111">
        <f>'SAF 011'!H61</f>
        <v>429</v>
      </c>
      <c r="K63" s="112" t="e">
        <f>'SAF 011'!#REF!</f>
        <v>#REF!</v>
      </c>
      <c r="M63" s="117" t="e">
        <f t="shared" si="0"/>
        <v>#REF!</v>
      </c>
    </row>
    <row r="64" spans="1:13" s="113" customFormat="1" x14ac:dyDescent="0.25">
      <c r="A64" s="109">
        <v>53</v>
      </c>
      <c r="B64" s="110" t="str">
        <f>'SAF 011'!B62</f>
        <v>2.9.5-2591.7</v>
      </c>
      <c r="C64" s="153" t="str">
        <f>'SAF 011'!E62</f>
        <v>PLACAS DE PETRI; MATERIAL: PLASTICO ESTERIL, DIAMETRO: 5 Cm, ALTURA: SIN VALOR</v>
      </c>
      <c r="D64" s="154"/>
      <c r="E64" s="154"/>
      <c r="F64" s="154"/>
      <c r="G64" s="155"/>
      <c r="H64" s="110" t="s">
        <v>192</v>
      </c>
      <c r="I64" s="110" t="str">
        <f>'SAF 011'!F62</f>
        <v>UNIDAD</v>
      </c>
      <c r="J64" s="111">
        <f>'SAF 011'!H62</f>
        <v>30</v>
      </c>
      <c r="K64" s="112" t="e">
        <f>'SAF 011'!#REF!</f>
        <v>#REF!</v>
      </c>
      <c r="M64" s="117" t="e">
        <f t="shared" si="0"/>
        <v>#REF!</v>
      </c>
    </row>
    <row r="65" spans="1:13" s="113" customFormat="1" x14ac:dyDescent="0.25">
      <c r="A65" s="109">
        <v>54</v>
      </c>
      <c r="B65" s="110" t="str">
        <f>'SAF 011'!B63</f>
        <v>2.9.5-2591.5</v>
      </c>
      <c r="C65" s="153" t="str">
        <f>'SAF 011'!E63</f>
        <v>PLACAS DE PETRI; MATERIAL: SOLIDO, DIAMETRO: 100 mm, ALTURA: 15 mm</v>
      </c>
      <c r="D65" s="154"/>
      <c r="E65" s="154"/>
      <c r="F65" s="154"/>
      <c r="G65" s="155"/>
      <c r="H65" s="110" t="s">
        <v>192</v>
      </c>
      <c r="I65" s="110" t="str">
        <f>'SAF 011'!F63</f>
        <v>UNIDAD</v>
      </c>
      <c r="J65" s="111">
        <f>'SAF 011'!H63</f>
        <v>32.160000000000004</v>
      </c>
      <c r="K65" s="112" t="e">
        <f>'SAF 011'!#REF!</f>
        <v>#REF!</v>
      </c>
      <c r="M65" s="117" t="e">
        <f t="shared" si="0"/>
        <v>#REF!</v>
      </c>
    </row>
    <row r="66" spans="1:13" s="113" customFormat="1" x14ac:dyDescent="0.25">
      <c r="A66" s="109">
        <v>55</v>
      </c>
      <c r="B66" s="110" t="str">
        <f>'SAF 011'!B64</f>
        <v>2.9.5-2763.20</v>
      </c>
      <c r="C66" s="153" t="str">
        <f>'SAF 011'!E64</f>
        <v>PROBETAS; MATERIAL: VIDRIO, CAPACIDAD: 100 mL, GRADUACION: 1 mL, TAPA: SIN, BASE: PLASTICA</v>
      </c>
      <c r="D66" s="154"/>
      <c r="E66" s="154"/>
      <c r="F66" s="154"/>
      <c r="G66" s="155"/>
      <c r="H66" s="110" t="s">
        <v>192</v>
      </c>
      <c r="I66" s="110" t="str">
        <f>'SAF 011'!F64</f>
        <v>UNIDAD</v>
      </c>
      <c r="J66" s="111">
        <f>'SAF 011'!H64</f>
        <v>1035.5999999999999</v>
      </c>
      <c r="K66" s="112" t="e">
        <f>'SAF 011'!#REF!</f>
        <v>#REF!</v>
      </c>
      <c r="M66" s="117" t="e">
        <f t="shared" si="0"/>
        <v>#REF!</v>
      </c>
    </row>
    <row r="67" spans="1:13" s="113" customFormat="1" x14ac:dyDescent="0.25">
      <c r="A67" s="109">
        <v>56</v>
      </c>
      <c r="B67" s="110" t="str">
        <f>'SAF 011'!B65</f>
        <v>2.9.5-2763.11</v>
      </c>
      <c r="C67" s="153" t="str">
        <f>'SAF 011'!E65</f>
        <v>PROBETAS; MATERIAL: VIDRIO BOROSILICATO, CAPACIDAD: 1000 mL, GRADUACION: EN COLOR, TAPA: SIN VALOR, BASE: PLASTICA</v>
      </c>
      <c r="D67" s="154"/>
      <c r="E67" s="154"/>
      <c r="F67" s="154"/>
      <c r="G67" s="155"/>
      <c r="H67" s="110" t="s">
        <v>192</v>
      </c>
      <c r="I67" s="110" t="str">
        <f>'SAF 011'!F65</f>
        <v>UNIDAD</v>
      </c>
      <c r="J67" s="111">
        <f>'SAF 011'!H65</f>
        <v>2539.8000000000002</v>
      </c>
      <c r="K67" s="112" t="e">
        <f>'SAF 011'!#REF!</f>
        <v>#REF!</v>
      </c>
      <c r="M67" s="117" t="e">
        <f t="shared" si="0"/>
        <v>#REF!</v>
      </c>
    </row>
    <row r="68" spans="1:13" s="113" customFormat="1" x14ac:dyDescent="0.25">
      <c r="A68" s="109">
        <v>57</v>
      </c>
      <c r="B68" s="110" t="str">
        <f>'SAF 011'!B66</f>
        <v>2.9.5-2763.9</v>
      </c>
      <c r="C68" s="153" t="str">
        <f>'SAF 011'!E66</f>
        <v>PROBETAS; MATERIAL: VIDRIO BOROSILICATO, CAPACIDAD: 250 mL, GRADUACION: EN COLOR, TAPA: SIN VALOR, BASE: PLASTICA</v>
      </c>
      <c r="D68" s="154"/>
      <c r="E68" s="154"/>
      <c r="F68" s="154"/>
      <c r="G68" s="155"/>
      <c r="H68" s="110" t="s">
        <v>192</v>
      </c>
      <c r="I68" s="110" t="str">
        <f>'SAF 011'!F66</f>
        <v>UNIDAD</v>
      </c>
      <c r="J68" s="111">
        <f>'SAF 011'!H66</f>
        <v>1480.68</v>
      </c>
      <c r="K68" s="112" t="e">
        <f>'SAF 011'!#REF!</f>
        <v>#REF!</v>
      </c>
      <c r="M68" s="117" t="e">
        <f t="shared" si="0"/>
        <v>#REF!</v>
      </c>
    </row>
    <row r="69" spans="1:13" s="113" customFormat="1" x14ac:dyDescent="0.25">
      <c r="A69" s="109">
        <v>58</v>
      </c>
      <c r="B69" s="110" t="str">
        <f>'SAF 011'!B67</f>
        <v>2.9.5-2763.21</v>
      </c>
      <c r="C69" s="153" t="str">
        <f>'SAF 011'!E67</f>
        <v>PROBETAS; MATERIAL: VIDRIO, CAPACIDAD: 50 mL, GRADUACION: 1 mL, TAPA: SIN, BASE: PLASTICA</v>
      </c>
      <c r="D69" s="154"/>
      <c r="E69" s="154"/>
      <c r="F69" s="154"/>
      <c r="G69" s="155"/>
      <c r="H69" s="110" t="s">
        <v>192</v>
      </c>
      <c r="I69" s="110" t="str">
        <f>'SAF 011'!F67</f>
        <v>UNIDAD</v>
      </c>
      <c r="J69" s="111">
        <f>'SAF 011'!H67</f>
        <v>523.97</v>
      </c>
      <c r="K69" s="112" t="e">
        <f>'SAF 011'!#REF!</f>
        <v>#REF!</v>
      </c>
      <c r="M69" s="117" t="e">
        <f t="shared" si="0"/>
        <v>#REF!</v>
      </c>
    </row>
    <row r="70" spans="1:13" s="113" customFormat="1" x14ac:dyDescent="0.25">
      <c r="A70" s="109">
        <v>59</v>
      </c>
      <c r="B70" s="110" t="str">
        <f>'SAF 011'!B68</f>
        <v>2.9.5-2763.16</v>
      </c>
      <c r="C70" s="153" t="str">
        <f>'SAF 011'!E68</f>
        <v>PROBETAS; MATERIAL: VIDRIO, CAPACIDAD: 50 mL, GRADUACION: 1/10 mL, TAPA: SIN, BASE: PLASTICA</v>
      </c>
      <c r="D70" s="154"/>
      <c r="E70" s="154"/>
      <c r="F70" s="154"/>
      <c r="G70" s="155"/>
      <c r="H70" s="110" t="s">
        <v>192</v>
      </c>
      <c r="I70" s="110" t="str">
        <f>'SAF 011'!F68</f>
        <v>UNIDAD</v>
      </c>
      <c r="J70" s="111">
        <f>'SAF 011'!H68</f>
        <v>675.6</v>
      </c>
      <c r="K70" s="112" t="e">
        <f>'SAF 011'!#REF!</f>
        <v>#REF!</v>
      </c>
      <c r="M70" s="117" t="e">
        <f t="shared" si="0"/>
        <v>#REF!</v>
      </c>
    </row>
    <row r="71" spans="1:13" s="113" customFormat="1" x14ac:dyDescent="0.25">
      <c r="A71" s="109">
        <v>60</v>
      </c>
      <c r="B71" s="110" t="str">
        <f>'SAF 011'!B69</f>
        <v>2.9.5-2763.27</v>
      </c>
      <c r="C71" s="153" t="str">
        <f>'SAF 011'!E69</f>
        <v>PROBETAS; MATERIAL: VIDRIO, CAPACIDAD: 500 mm, GRADUACION: AL MILÍMETRO, TAPA: SIN, BASE: PLASTICA</v>
      </c>
      <c r="D71" s="154"/>
      <c r="E71" s="154"/>
      <c r="F71" s="154"/>
      <c r="G71" s="155"/>
      <c r="H71" s="110" t="s">
        <v>192</v>
      </c>
      <c r="I71" s="110" t="str">
        <f>'SAF 011'!F69</f>
        <v>UNIDAD</v>
      </c>
      <c r="J71" s="111">
        <f>'SAF 011'!H69</f>
        <v>1755.6</v>
      </c>
      <c r="K71" s="112" t="e">
        <f>'SAF 011'!#REF!</f>
        <v>#REF!</v>
      </c>
      <c r="M71" s="117" t="e">
        <f t="shared" si="0"/>
        <v>#REF!</v>
      </c>
    </row>
    <row r="72" spans="1:13" s="113" customFormat="1" x14ac:dyDescent="0.25">
      <c r="A72" s="109">
        <v>61</v>
      </c>
      <c r="B72" s="110" t="str">
        <f>'SAF 011'!B70</f>
        <v>2.9.6-5967.13</v>
      </c>
      <c r="C72" s="153" t="str">
        <f>'SAF 011'!E70</f>
        <v xml:space="preserve">TAPONES; FORMA: CILINDROS CONCENTRICOS, DIAMETRO MENOR: 20 mm, DIAMETRO MAYOR: 30 mm, LARGO: 18 mm, MATERIAL: POLIPROPILENO            </v>
      </c>
      <c r="D72" s="154"/>
      <c r="E72" s="154"/>
      <c r="F72" s="154"/>
      <c r="G72" s="155"/>
      <c r="H72" s="110" t="s">
        <v>192</v>
      </c>
      <c r="I72" s="110" t="str">
        <f>'SAF 011'!F70</f>
        <v>UNIDAD</v>
      </c>
      <c r="J72" s="111">
        <f>'SAF 011'!H70</f>
        <v>108</v>
      </c>
      <c r="K72" s="112" t="e">
        <f>'SAF 011'!#REF!</f>
        <v>#REF!</v>
      </c>
      <c r="M72" s="117" t="e">
        <f t="shared" si="0"/>
        <v>#REF!</v>
      </c>
    </row>
    <row r="73" spans="1:13" s="113" customFormat="1" x14ac:dyDescent="0.25">
      <c r="A73" s="109">
        <v>62</v>
      </c>
      <c r="B73" s="110" t="str">
        <f>'SAF 011'!B71</f>
        <v>2.9.5-2961.1</v>
      </c>
      <c r="C73" s="153" t="str">
        <f>'SAF 011'!E71</f>
        <v>VARILLAS MEZCLADORAS; DIAMETRO: 6 mm, LARGO: 200 mm, MATERIAL: VIDRIO</v>
      </c>
      <c r="D73" s="154"/>
      <c r="E73" s="154"/>
      <c r="F73" s="154"/>
      <c r="G73" s="155"/>
      <c r="H73" s="110" t="s">
        <v>192</v>
      </c>
      <c r="I73" s="110" t="str">
        <f>'SAF 011'!F71</f>
        <v>UNIDAD</v>
      </c>
      <c r="J73" s="111">
        <f>'SAF 011'!H71</f>
        <v>175.2</v>
      </c>
      <c r="K73" s="112" t="e">
        <f>'SAF 011'!#REF!</f>
        <v>#REF!</v>
      </c>
      <c r="M73" s="117" t="e">
        <f t="shared" si="0"/>
        <v>#REF!</v>
      </c>
    </row>
    <row r="74" spans="1:13" s="113" customFormat="1" x14ac:dyDescent="0.25">
      <c r="A74" s="109">
        <v>63</v>
      </c>
      <c r="B74" s="110" t="str">
        <f>'SAF 011'!B72</f>
        <v>2.9.5-2764.2</v>
      </c>
      <c r="C74" s="153" t="str">
        <f>'SAF 011'!E72</f>
        <v>VASO DE PRECIPITADO; MATERIAL: VIDRIO, CAPACIDAD: 250 mL, GRADUADO: SI, TIPO: GRIFFIN, GRADUACION: SI</v>
      </c>
      <c r="D74" s="154"/>
      <c r="E74" s="154"/>
      <c r="F74" s="154"/>
      <c r="G74" s="155"/>
      <c r="H74" s="110" t="s">
        <v>192</v>
      </c>
      <c r="I74" s="110" t="str">
        <f>'SAF 011'!F72</f>
        <v>UNIDAD</v>
      </c>
      <c r="J74" s="111">
        <f>'SAF 011'!H72</f>
        <v>750.3599999999999</v>
      </c>
      <c r="K74" s="112" t="e">
        <f>'SAF 011'!#REF!</f>
        <v>#REF!</v>
      </c>
      <c r="M74" s="117" t="e">
        <f t="shared" si="0"/>
        <v>#REF!</v>
      </c>
    </row>
    <row r="75" spans="1:13" s="113" customFormat="1" x14ac:dyDescent="0.25">
      <c r="A75" s="109">
        <v>64</v>
      </c>
      <c r="B75" s="110" t="str">
        <f>'SAF 011'!B73</f>
        <v>2.9.5-2764.1</v>
      </c>
      <c r="C75" s="153" t="str">
        <f>'SAF 011'!E73</f>
        <v>VASO DE PRECIPITADO; MATERIAL: VIDRIO, TIPO: GRIFFIN, CAPACIDAD: 100 mL, GRADUACION: SI, GRADUADO: SI</v>
      </c>
      <c r="D75" s="154"/>
      <c r="E75" s="154"/>
      <c r="F75" s="154"/>
      <c r="G75" s="155"/>
      <c r="H75" s="110" t="s">
        <v>192</v>
      </c>
      <c r="I75" s="110" t="str">
        <f>'SAF 011'!F73</f>
        <v>UNIDAD</v>
      </c>
      <c r="J75" s="111">
        <f>'SAF 011'!H73</f>
        <v>512.76</v>
      </c>
      <c r="K75" s="112" t="e">
        <f>'SAF 011'!#REF!</f>
        <v>#REF!</v>
      </c>
      <c r="M75" s="117" t="e">
        <f t="shared" si="0"/>
        <v>#REF!</v>
      </c>
    </row>
    <row r="76" spans="1:13" s="113" customFormat="1" x14ac:dyDescent="0.25">
      <c r="A76" s="109">
        <v>65</v>
      </c>
      <c r="B76" s="110" t="str">
        <f>'SAF 011'!B74</f>
        <v>2.9.5-2764.7</v>
      </c>
      <c r="C76" s="153" t="str">
        <f>'SAF 011'!E74</f>
        <v>VASO DE PRECIPITADO; MATERIAL: VIDRIO, TIPO: GRIFFIN, CAPACIDAD: 50 mL, GRADUADO: SI, GRADUACION: SI</v>
      </c>
      <c r="D76" s="154"/>
      <c r="E76" s="154"/>
      <c r="F76" s="154"/>
      <c r="G76" s="155"/>
      <c r="H76" s="110" t="s">
        <v>192</v>
      </c>
      <c r="I76" s="110" t="str">
        <f>'SAF 011'!F74</f>
        <v>UNIDAD</v>
      </c>
      <c r="J76" s="111">
        <f>'SAF 011'!H74</f>
        <v>390</v>
      </c>
      <c r="K76" s="112" t="e">
        <f>'SAF 011'!#REF!</f>
        <v>#REF!</v>
      </c>
      <c r="M76" s="117" t="e">
        <f t="shared" si="0"/>
        <v>#REF!</v>
      </c>
    </row>
    <row r="77" spans="1:13" s="114" customFormat="1" ht="13.5" thickBot="1" x14ac:dyDescent="0.3">
      <c r="A77" s="100"/>
      <c r="B77" s="101"/>
      <c r="C77" s="158"/>
      <c r="D77" s="158"/>
      <c r="E77" s="158"/>
      <c r="F77" s="158"/>
      <c r="G77" s="158"/>
      <c r="H77" s="102"/>
      <c r="I77" s="102"/>
      <c r="J77" s="103"/>
      <c r="K77" s="104"/>
      <c r="M77" s="118"/>
    </row>
    <row r="78" spans="1:13" s="115" customFormat="1" ht="19.5" thickBot="1" x14ac:dyDescent="0.3">
      <c r="A78" s="156" t="s">
        <v>193</v>
      </c>
      <c r="B78" s="156"/>
      <c r="C78" s="156"/>
      <c r="D78" s="156"/>
      <c r="E78" s="156"/>
      <c r="F78" s="156"/>
      <c r="G78" s="156"/>
      <c r="H78" s="156"/>
      <c r="I78" s="156"/>
      <c r="J78" s="157" t="e">
        <f>+M78</f>
        <v>#REF!</v>
      </c>
      <c r="K78" s="157"/>
      <c r="M78" s="119" t="e">
        <f>SUM(M12:M77)</f>
        <v>#REF!</v>
      </c>
    </row>
    <row r="80" spans="1:13" x14ac:dyDescent="0.25">
      <c r="M80" s="116" t="e">
        <f>+M78-M72</f>
        <v>#REF!</v>
      </c>
    </row>
  </sheetData>
  <mergeCells count="88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C73:G73"/>
    <mergeCell ref="A10:A11"/>
    <mergeCell ref="B10:B11"/>
    <mergeCell ref="C10:G11"/>
    <mergeCell ref="H10:H1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32:G32"/>
    <mergeCell ref="K10:K11"/>
    <mergeCell ref="C12:G12"/>
    <mergeCell ref="C70:G70"/>
    <mergeCell ref="C71:G71"/>
    <mergeCell ref="C72:G72"/>
    <mergeCell ref="I10:I11"/>
    <mergeCell ref="J10:J11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A78:I78"/>
    <mergeCell ref="J78:K78"/>
    <mergeCell ref="C74:G74"/>
    <mergeCell ref="C75:G75"/>
    <mergeCell ref="C76:G76"/>
    <mergeCell ref="C77:G77"/>
    <mergeCell ref="C33:G33"/>
    <mergeCell ref="C34:G34"/>
    <mergeCell ref="C35:G35"/>
    <mergeCell ref="C36:G36"/>
    <mergeCell ref="C37:G37"/>
    <mergeCell ref="C38:G38"/>
    <mergeCell ref="C39:G39"/>
    <mergeCell ref="C40:G40"/>
    <mergeCell ref="C41:G41"/>
    <mergeCell ref="C42:G42"/>
    <mergeCell ref="C43:G43"/>
    <mergeCell ref="C44:G44"/>
    <mergeCell ref="C45:G45"/>
    <mergeCell ref="C63:G63"/>
    <mergeCell ref="C64:G64"/>
    <mergeCell ref="C46:G46"/>
    <mergeCell ref="C47:G47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  <mergeCell ref="C65:G65"/>
    <mergeCell ref="C66:G66"/>
    <mergeCell ref="C67:G67"/>
    <mergeCell ref="C68:G68"/>
    <mergeCell ref="C69:G69"/>
    <mergeCell ref="C62:G62"/>
    <mergeCell ref="C57:G57"/>
    <mergeCell ref="C58:G58"/>
    <mergeCell ref="C59:G59"/>
    <mergeCell ref="C60:G60"/>
    <mergeCell ref="C61:G6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"/>
  <sheetViews>
    <sheetView topLeftCell="A25" workbookViewId="0">
      <selection activeCell="O18" sqref="O18:P18"/>
    </sheetView>
  </sheetViews>
  <sheetFormatPr baseColWidth="10" defaultRowHeight="15" x14ac:dyDescent="0.25"/>
  <cols>
    <col min="1" max="5" width="4.42578125" customWidth="1"/>
    <col min="6" max="6" width="6.7109375" customWidth="1"/>
    <col min="7" max="14" width="4.42578125" customWidth="1"/>
    <col min="15" max="15" width="22" customWidth="1"/>
    <col min="16" max="16" width="19.28515625" customWidth="1"/>
    <col min="17" max="17" width="14.7109375" style="99" customWidth="1"/>
  </cols>
  <sheetData>
    <row r="1" spans="1:17" ht="15.75" thickBot="1" x14ac:dyDescent="0.3">
      <c r="A1" s="187" t="s">
        <v>5</v>
      </c>
      <c r="B1" s="187"/>
      <c r="C1" s="187"/>
      <c r="D1" s="188">
        <v>2022</v>
      </c>
      <c r="E1" s="188"/>
      <c r="F1" s="58"/>
      <c r="G1" s="58"/>
      <c r="H1" s="59"/>
      <c r="I1" s="59"/>
      <c r="J1" s="59"/>
      <c r="K1" s="59"/>
      <c r="L1" s="59"/>
      <c r="M1" s="59"/>
      <c r="N1" s="59"/>
      <c r="O1" s="60"/>
      <c r="P1" s="189" t="s">
        <v>166</v>
      </c>
      <c r="Q1" s="189"/>
    </row>
    <row r="2" spans="1:17" ht="15.75" thickBot="1" x14ac:dyDescent="0.3">
      <c r="A2" s="61"/>
      <c r="B2" s="62"/>
      <c r="C2" s="62"/>
      <c r="D2" s="62"/>
      <c r="E2" s="62"/>
      <c r="F2" s="62"/>
      <c r="G2" s="63"/>
      <c r="H2" s="64"/>
      <c r="I2" s="64"/>
      <c r="J2" s="64"/>
      <c r="K2" s="64"/>
      <c r="L2" s="64"/>
      <c r="M2" s="64"/>
      <c r="N2" s="64"/>
      <c r="O2" s="62"/>
      <c r="P2" s="189"/>
      <c r="Q2" s="189"/>
    </row>
    <row r="3" spans="1:17" ht="15.75" thickBot="1" x14ac:dyDescent="0.3">
      <c r="A3" s="61"/>
      <c r="B3" s="62"/>
      <c r="C3" s="62"/>
      <c r="D3" s="62"/>
      <c r="E3" s="62"/>
      <c r="F3" s="62"/>
      <c r="G3" s="63"/>
      <c r="H3" s="62"/>
      <c r="I3" s="62"/>
      <c r="J3" s="62"/>
      <c r="K3" s="62"/>
      <c r="L3" s="62"/>
      <c r="M3" s="62"/>
      <c r="N3" s="62"/>
      <c r="O3" s="62"/>
      <c r="P3" s="62"/>
      <c r="Q3" s="120"/>
    </row>
    <row r="4" spans="1:17" ht="15.75" thickBot="1" x14ac:dyDescent="0.3">
      <c r="A4" s="190" t="s">
        <v>167</v>
      </c>
      <c r="B4" s="190"/>
      <c r="C4" s="190"/>
      <c r="D4" s="190"/>
      <c r="E4" s="190"/>
      <c r="F4" s="190"/>
      <c r="G4" s="191" t="str">
        <f>NP!D3</f>
        <v>040 - MINISTERIO DE SALUD</v>
      </c>
      <c r="H4" s="191"/>
      <c r="I4" s="191"/>
      <c r="J4" s="191"/>
      <c r="K4" s="191"/>
      <c r="L4" s="191"/>
      <c r="M4" s="191"/>
      <c r="N4" s="191"/>
      <c r="O4" s="191"/>
      <c r="P4" s="191"/>
      <c r="Q4" s="191"/>
    </row>
    <row r="5" spans="1:17" ht="15.75" thickBot="1" x14ac:dyDescent="0.3">
      <c r="A5" s="192" t="s">
        <v>154</v>
      </c>
      <c r="B5" s="192"/>
      <c r="C5" s="192"/>
      <c r="D5" s="192"/>
      <c r="E5" s="192"/>
      <c r="F5" s="192"/>
      <c r="G5" s="191" t="str">
        <f>NP!D4</f>
        <v>011 - DIRECCION PROVINCIAL DE ADMINISTRACION - MINISTERIO DE SALUD</v>
      </c>
      <c r="H5" s="191"/>
      <c r="I5" s="191"/>
      <c r="J5" s="191"/>
      <c r="K5" s="191"/>
      <c r="L5" s="191"/>
      <c r="M5" s="191"/>
      <c r="N5" s="191"/>
      <c r="O5" s="191"/>
      <c r="P5" s="191"/>
      <c r="Q5" s="191"/>
    </row>
    <row r="6" spans="1:17" ht="15.75" thickBot="1" x14ac:dyDescent="0.3">
      <c r="A6" s="192" t="s">
        <v>155</v>
      </c>
      <c r="B6" s="192"/>
      <c r="C6" s="192"/>
      <c r="D6" s="192"/>
      <c r="E6" s="192"/>
      <c r="F6" s="192"/>
      <c r="G6" s="191" t="str">
        <f>NP!D5</f>
        <v>DIRECCION PROVINCIAL DE SALUD Y MEDIO AMBIENTE</v>
      </c>
      <c r="H6" s="191"/>
      <c r="I6" s="191"/>
      <c r="J6" s="191"/>
      <c r="K6" s="191"/>
      <c r="L6" s="191"/>
      <c r="M6" s="191"/>
      <c r="N6" s="191"/>
      <c r="O6" s="191"/>
      <c r="P6" s="191"/>
      <c r="Q6" s="191"/>
    </row>
    <row r="7" spans="1:17" ht="15.75" thickBot="1" x14ac:dyDescent="0.3">
      <c r="A7" s="192" t="s">
        <v>156</v>
      </c>
      <c r="B7" s="192"/>
      <c r="C7" s="192"/>
      <c r="D7" s="192"/>
      <c r="E7" s="192"/>
      <c r="F7" s="192"/>
      <c r="G7" s="191" t="str">
        <f>NP!D6</f>
        <v>DIRECCION PROVINCIAL DE SALUD Y MEDIO AMBIENTE</v>
      </c>
      <c r="H7" s="191"/>
      <c r="I7" s="191"/>
      <c r="J7" s="191"/>
      <c r="K7" s="191"/>
      <c r="L7" s="191"/>
      <c r="M7" s="191"/>
      <c r="N7" s="191"/>
      <c r="O7" s="191"/>
      <c r="P7" s="191"/>
      <c r="Q7" s="191"/>
    </row>
    <row r="8" spans="1:17" ht="15.75" thickBot="1" x14ac:dyDescent="0.3">
      <c r="A8" s="193" t="s">
        <v>168</v>
      </c>
      <c r="B8" s="193"/>
      <c r="C8" s="193"/>
      <c r="D8" s="193"/>
      <c r="E8" s="193"/>
      <c r="F8" s="193"/>
      <c r="G8" s="193"/>
      <c r="H8" s="193"/>
      <c r="I8" s="193"/>
      <c r="J8" s="193"/>
      <c r="K8" s="193"/>
      <c r="L8" s="193"/>
      <c r="M8" s="193"/>
      <c r="N8" s="193"/>
      <c r="O8" s="193"/>
      <c r="P8" s="193"/>
      <c r="Q8" s="193"/>
    </row>
    <row r="9" spans="1:17" ht="20.25" customHeight="1" x14ac:dyDescent="0.25">
      <c r="A9" s="186" t="s">
        <v>169</v>
      </c>
      <c r="B9" s="186"/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</row>
    <row r="10" spans="1:17" ht="69" customHeight="1" x14ac:dyDescent="0.25">
      <c r="A10" s="179" t="s">
        <v>194</v>
      </c>
      <c r="B10" s="179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</row>
    <row r="11" spans="1:17" ht="15.75" thickBot="1" x14ac:dyDescent="0.3">
      <c r="A11" s="65"/>
      <c r="B11" s="66"/>
      <c r="C11" s="66"/>
      <c r="D11" s="66"/>
      <c r="E11" s="66"/>
      <c r="F11" s="66"/>
      <c r="G11" s="67"/>
      <c r="H11" s="66"/>
      <c r="I11" s="66"/>
      <c r="J11" s="66"/>
      <c r="K11" s="66"/>
      <c r="L11" s="66"/>
      <c r="M11" s="66"/>
      <c r="N11" s="66"/>
      <c r="O11" s="66"/>
      <c r="P11" s="66"/>
      <c r="Q11" s="121"/>
    </row>
    <row r="12" spans="1:17" ht="15.75" thickBot="1" x14ac:dyDescent="0.3">
      <c r="A12" s="180" t="s">
        <v>170</v>
      </c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</row>
    <row r="13" spans="1:17" ht="15.75" thickBot="1" x14ac:dyDescent="0.3">
      <c r="A13" s="181" t="s">
        <v>171</v>
      </c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2" t="s">
        <v>172</v>
      </c>
      <c r="P13" s="182"/>
      <c r="Q13" s="183" t="s">
        <v>173</v>
      </c>
    </row>
    <row r="14" spans="1:17" ht="15.75" thickBot="1" x14ac:dyDescent="0.3">
      <c r="A14" s="68" t="s">
        <v>174</v>
      </c>
      <c r="B14" s="69" t="s">
        <v>175</v>
      </c>
      <c r="C14" s="69" t="s">
        <v>176</v>
      </c>
      <c r="D14" s="69" t="s">
        <v>177</v>
      </c>
      <c r="E14" s="69" t="s">
        <v>178</v>
      </c>
      <c r="F14" s="69" t="s">
        <v>179</v>
      </c>
      <c r="G14" s="70" t="s">
        <v>180</v>
      </c>
      <c r="H14" s="69" t="s">
        <v>181</v>
      </c>
      <c r="I14" s="69" t="s">
        <v>182</v>
      </c>
      <c r="J14" s="69" t="s">
        <v>183</v>
      </c>
      <c r="K14" s="69" t="s">
        <v>183</v>
      </c>
      <c r="L14" s="69" t="s">
        <v>184</v>
      </c>
      <c r="M14" s="71" t="s">
        <v>185</v>
      </c>
      <c r="N14" s="72" t="s">
        <v>186</v>
      </c>
      <c r="O14" s="182"/>
      <c r="P14" s="182"/>
      <c r="Q14" s="183"/>
    </row>
    <row r="15" spans="1:17" ht="34.5" customHeight="1" x14ac:dyDescent="0.25">
      <c r="A15" s="73">
        <v>22</v>
      </c>
      <c r="B15" s="74"/>
      <c r="C15" s="74"/>
      <c r="D15" s="74">
        <v>1</v>
      </c>
      <c r="E15" s="74"/>
      <c r="F15" s="74">
        <v>4901</v>
      </c>
      <c r="G15" s="74">
        <v>2</v>
      </c>
      <c r="H15" s="74">
        <v>2</v>
      </c>
      <c r="I15" s="74">
        <v>2</v>
      </c>
      <c r="J15" s="74">
        <v>9</v>
      </c>
      <c r="K15" s="74">
        <v>5</v>
      </c>
      <c r="L15" s="74"/>
      <c r="M15" s="75">
        <v>1</v>
      </c>
      <c r="N15" s="74" t="s">
        <v>195</v>
      </c>
      <c r="O15" s="184" t="s">
        <v>196</v>
      </c>
      <c r="P15" s="184"/>
      <c r="Q15" s="122" t="e">
        <f>NP!M80</f>
        <v>#REF!</v>
      </c>
    </row>
    <row r="16" spans="1:17" x14ac:dyDescent="0.25">
      <c r="A16" s="76">
        <v>22</v>
      </c>
      <c r="B16" s="77"/>
      <c r="C16" s="77"/>
      <c r="D16" s="77">
        <v>1</v>
      </c>
      <c r="E16" s="77"/>
      <c r="F16" s="77">
        <v>4901</v>
      </c>
      <c r="G16" s="77">
        <v>2</v>
      </c>
      <c r="H16" s="77">
        <v>2</v>
      </c>
      <c r="I16" s="77">
        <v>2</v>
      </c>
      <c r="J16" s="77">
        <v>9</v>
      </c>
      <c r="K16" s="77">
        <v>6</v>
      </c>
      <c r="L16" s="77"/>
      <c r="M16" s="78">
        <v>1</v>
      </c>
      <c r="N16" s="79" t="s">
        <v>195</v>
      </c>
      <c r="O16" s="173" t="s">
        <v>197</v>
      </c>
      <c r="P16" s="173"/>
      <c r="Q16" s="123" t="e">
        <f>NP!M72</f>
        <v>#REF!</v>
      </c>
    </row>
    <row r="17" spans="1:17" x14ac:dyDescent="0.25">
      <c r="A17" s="76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8"/>
      <c r="N17" s="79"/>
      <c r="O17" s="185"/>
      <c r="P17" s="185"/>
      <c r="Q17" s="123"/>
    </row>
    <row r="18" spans="1:17" x14ac:dyDescent="0.25">
      <c r="A18" s="76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8"/>
      <c r="N18" s="79"/>
      <c r="O18" s="178"/>
      <c r="P18" s="178"/>
      <c r="Q18" s="123"/>
    </row>
    <row r="19" spans="1:17" x14ac:dyDescent="0.25">
      <c r="A19" s="76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8"/>
      <c r="N19" s="79"/>
      <c r="O19" s="178"/>
      <c r="P19" s="178"/>
      <c r="Q19" s="123"/>
    </row>
    <row r="20" spans="1:17" x14ac:dyDescent="0.25">
      <c r="A20" s="76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8"/>
      <c r="N20" s="79"/>
      <c r="O20" s="178"/>
      <c r="P20" s="178"/>
      <c r="Q20" s="123"/>
    </row>
    <row r="21" spans="1:17" x14ac:dyDescent="0.25">
      <c r="A21" s="76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8"/>
      <c r="N21" s="79"/>
      <c r="O21" s="178"/>
      <c r="P21" s="178"/>
      <c r="Q21" s="123"/>
    </row>
    <row r="22" spans="1:17" x14ac:dyDescent="0.25">
      <c r="A22" s="76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8"/>
      <c r="N22" s="79"/>
      <c r="O22" s="178"/>
      <c r="P22" s="178"/>
      <c r="Q22" s="123"/>
    </row>
    <row r="23" spans="1:17" x14ac:dyDescent="0.25">
      <c r="A23" s="76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8"/>
      <c r="N23" s="79"/>
      <c r="O23" s="178"/>
      <c r="P23" s="178"/>
      <c r="Q23" s="123"/>
    </row>
    <row r="24" spans="1:17" x14ac:dyDescent="0.25">
      <c r="A24" s="76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8"/>
      <c r="N24" s="79"/>
      <c r="O24" s="178"/>
      <c r="P24" s="178"/>
      <c r="Q24" s="123"/>
    </row>
    <row r="25" spans="1:17" x14ac:dyDescent="0.25">
      <c r="A25" s="76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8"/>
      <c r="N25" s="79"/>
      <c r="O25" s="178"/>
      <c r="P25" s="178"/>
      <c r="Q25" s="123"/>
    </row>
    <row r="26" spans="1:17" x14ac:dyDescent="0.25">
      <c r="A26" s="76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8"/>
      <c r="N26" s="79"/>
      <c r="O26" s="178"/>
      <c r="P26" s="178"/>
      <c r="Q26" s="123"/>
    </row>
    <row r="27" spans="1:17" x14ac:dyDescent="0.25">
      <c r="A27" s="76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8"/>
      <c r="N27" s="79"/>
      <c r="O27" s="178"/>
      <c r="P27" s="178"/>
      <c r="Q27" s="123"/>
    </row>
    <row r="28" spans="1:17" x14ac:dyDescent="0.25">
      <c r="A28" s="76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8"/>
      <c r="N28" s="79"/>
      <c r="O28" s="178"/>
      <c r="P28" s="178"/>
      <c r="Q28" s="123"/>
    </row>
    <row r="29" spans="1:17" x14ac:dyDescent="0.25">
      <c r="A29" s="76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8"/>
      <c r="N29" s="79"/>
      <c r="O29" s="178"/>
      <c r="P29" s="178"/>
      <c r="Q29" s="123"/>
    </row>
    <row r="30" spans="1:17" x14ac:dyDescent="0.25">
      <c r="A30" s="76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8"/>
      <c r="N30" s="79"/>
      <c r="O30" s="178"/>
      <c r="P30" s="178"/>
      <c r="Q30" s="123"/>
    </row>
    <row r="31" spans="1:17" x14ac:dyDescent="0.25">
      <c r="A31" s="76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8"/>
      <c r="N31" s="79"/>
      <c r="O31" s="178"/>
      <c r="P31" s="178"/>
      <c r="Q31" s="123"/>
    </row>
    <row r="32" spans="1:17" x14ac:dyDescent="0.25">
      <c r="A32" s="76"/>
      <c r="B32" s="77"/>
      <c r="C32" s="77"/>
      <c r="D32" s="77"/>
      <c r="E32" s="77"/>
      <c r="F32" s="79"/>
      <c r="G32" s="77"/>
      <c r="H32" s="77"/>
      <c r="I32" s="77"/>
      <c r="J32" s="77"/>
      <c r="K32" s="77"/>
      <c r="L32" s="77"/>
      <c r="M32" s="78"/>
      <c r="N32" s="79"/>
      <c r="O32" s="173"/>
      <c r="P32" s="173"/>
      <c r="Q32" s="123"/>
    </row>
    <row r="33" spans="1:17" x14ac:dyDescent="0.25">
      <c r="A33" s="76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8"/>
      <c r="N33" s="79"/>
      <c r="O33" s="173"/>
      <c r="P33" s="173"/>
      <c r="Q33" s="123"/>
    </row>
    <row r="34" spans="1:17" x14ac:dyDescent="0.25">
      <c r="A34" s="76"/>
      <c r="B34" s="77"/>
      <c r="C34" s="77"/>
      <c r="D34" s="77"/>
      <c r="E34" s="77"/>
      <c r="F34" s="79"/>
      <c r="G34" s="77"/>
      <c r="H34" s="77"/>
      <c r="I34" s="77"/>
      <c r="J34" s="77"/>
      <c r="K34" s="77"/>
      <c r="L34" s="77"/>
      <c r="M34" s="78"/>
      <c r="N34" s="79"/>
      <c r="O34" s="173"/>
      <c r="P34" s="173"/>
      <c r="Q34" s="123"/>
    </row>
    <row r="35" spans="1:17" x14ac:dyDescent="0.25">
      <c r="A35" s="76"/>
      <c r="B35" s="77"/>
      <c r="C35" s="77"/>
      <c r="D35" s="77"/>
      <c r="E35" s="77"/>
      <c r="F35" s="79"/>
      <c r="G35" s="77"/>
      <c r="H35" s="77"/>
      <c r="I35" s="77"/>
      <c r="J35" s="77"/>
      <c r="K35" s="77"/>
      <c r="L35" s="77"/>
      <c r="M35" s="78"/>
      <c r="N35" s="79"/>
      <c r="O35" s="173"/>
      <c r="P35" s="173"/>
      <c r="Q35" s="123"/>
    </row>
    <row r="36" spans="1:17" x14ac:dyDescent="0.25">
      <c r="A36" s="80"/>
      <c r="B36" s="81"/>
      <c r="C36" s="81"/>
      <c r="D36" s="81"/>
      <c r="E36" s="81"/>
      <c r="F36" s="82"/>
      <c r="G36" s="81"/>
      <c r="H36" s="81"/>
      <c r="I36" s="81"/>
      <c r="J36" s="81"/>
      <c r="K36" s="81"/>
      <c r="L36" s="81"/>
      <c r="M36" s="83"/>
      <c r="N36" s="84"/>
      <c r="O36" s="174"/>
      <c r="P36" s="174"/>
      <c r="Q36" s="123"/>
    </row>
    <row r="37" spans="1:17" ht="15.75" thickBot="1" x14ac:dyDescent="0.3">
      <c r="A37" s="85"/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7"/>
      <c r="N37" s="86"/>
      <c r="O37" s="175"/>
      <c r="P37" s="175"/>
      <c r="Q37" s="124"/>
    </row>
    <row r="38" spans="1:17" ht="15.75" thickBot="1" x14ac:dyDescent="0.3">
      <c r="A38" s="176" t="s">
        <v>198</v>
      </c>
      <c r="B38" s="176"/>
      <c r="C38" s="176"/>
      <c r="D38" s="176"/>
      <c r="E38" s="176"/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25" t="e">
        <f>SUM(Q15:Q37)</f>
        <v>#REF!</v>
      </c>
    </row>
    <row r="39" spans="1:17" ht="15.75" thickBot="1" x14ac:dyDescent="0.3">
      <c r="A39" s="177"/>
      <c r="B39" s="177"/>
      <c r="C39" s="177"/>
      <c r="D39" s="177"/>
      <c r="E39" s="177"/>
      <c r="F39" s="177"/>
      <c r="G39" s="177"/>
      <c r="H39" s="177"/>
      <c r="I39" s="177"/>
      <c r="J39" s="177"/>
      <c r="K39" s="177"/>
      <c r="L39" s="177"/>
      <c r="M39" s="177"/>
      <c r="N39" s="177"/>
      <c r="O39" s="177"/>
      <c r="P39" s="177"/>
      <c r="Q39" s="177"/>
    </row>
    <row r="40" spans="1:17" ht="15.75" thickBot="1" x14ac:dyDescent="0.3">
      <c r="A40" s="170" t="s">
        <v>187</v>
      </c>
      <c r="B40" s="170"/>
      <c r="C40" s="170"/>
      <c r="D40" s="170"/>
      <c r="E40" s="170"/>
      <c r="F40" s="170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</row>
    <row r="41" spans="1:17" ht="15.75" thickBot="1" x14ac:dyDescent="0.3">
      <c r="A41" s="172" t="str">
        <f>NP!D8</f>
        <v>ADQUISICION DEL RUBRO UTILES DE LABORATORIO</v>
      </c>
      <c r="B41" s="172"/>
      <c r="C41" s="172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</row>
    <row r="42" spans="1:17" ht="15.75" thickBot="1" x14ac:dyDescent="0.3">
      <c r="A42" s="172"/>
      <c r="B42" s="172"/>
      <c r="C42" s="172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dcterms:created xsi:type="dcterms:W3CDTF">2021-12-21T17:55:07Z</dcterms:created>
  <dcterms:modified xsi:type="dcterms:W3CDTF">2022-02-14T12:55:56Z</dcterms:modified>
</cp:coreProperties>
</file>