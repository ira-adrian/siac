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77718B5-FF87-4FB8-9D45-B92D0A5D765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" sheetId="4" r:id="rId2"/>
    <sheet name="APG" sheetId="5" r:id="rId3"/>
  </sheets>
  <externalReferences>
    <externalReference r:id="rId4"/>
  </externalReferences>
  <definedNames>
    <definedName name="_xlnm._FilterDatabase" localSheetId="0" hidden="1">'Necesidades Trimestrales (2)'!$A$9:$AU$68</definedName>
  </definedNames>
  <calcPr calcId="181029"/>
</workbook>
</file>

<file path=xl/calcChain.xml><?xml version="1.0" encoding="utf-8"?>
<calcChain xmlns="http://schemas.openxmlformats.org/spreadsheetml/2006/main">
  <c r="G4" i="5" l="1"/>
  <c r="G5" i="5"/>
  <c r="A26" i="5" l="1"/>
  <c r="G7" i="5"/>
  <c r="G6" i="5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12" i="4"/>
  <c r="C35" i="4"/>
  <c r="C36" i="4"/>
  <c r="C37" i="4"/>
  <c r="C38" i="4"/>
  <c r="C39" i="4"/>
  <c r="C40" i="4"/>
  <c r="C41" i="4"/>
  <c r="C42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70" i="4"/>
  <c r="C23" i="4"/>
  <c r="C25" i="4"/>
  <c r="C26" i="4"/>
  <c r="C27" i="4"/>
  <c r="C28" i="4"/>
  <c r="C29" i="4"/>
  <c r="C30" i="4"/>
  <c r="C31" i="4"/>
  <c r="C32" i="4"/>
  <c r="C34" i="4"/>
  <c r="C14" i="4"/>
  <c r="C15" i="4"/>
  <c r="C16" i="4"/>
  <c r="C17" i="4"/>
  <c r="C18" i="4"/>
  <c r="C19" i="4"/>
  <c r="C21" i="4"/>
  <c r="C13" i="4"/>
  <c r="C12" i="4"/>
  <c r="AS11" i="3" l="1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10" i="3"/>
  <c r="AS10" i="3"/>
  <c r="E67" i="3"/>
  <c r="C69" i="4" s="1"/>
  <c r="E41" i="3"/>
  <c r="C43" i="4" s="1"/>
  <c r="E31" i="3"/>
  <c r="C33" i="4" s="1"/>
  <c r="E22" i="3"/>
  <c r="C24" i="4" s="1"/>
  <c r="E20" i="3"/>
  <c r="C22" i="4" s="1"/>
  <c r="E18" i="3"/>
  <c r="C20" i="4" s="1"/>
  <c r="AU62" i="3" l="1"/>
  <c r="K64" i="4"/>
  <c r="AU58" i="3"/>
  <c r="K60" i="4"/>
  <c r="AU50" i="3"/>
  <c r="K52" i="4"/>
  <c r="AU46" i="3"/>
  <c r="K48" i="4"/>
  <c r="AU38" i="3"/>
  <c r="K40" i="4"/>
  <c r="AU34" i="3"/>
  <c r="K36" i="4"/>
  <c r="AU30" i="3"/>
  <c r="K32" i="4"/>
  <c r="AU26" i="3"/>
  <c r="K28" i="4"/>
  <c r="AU22" i="3"/>
  <c r="K24" i="4"/>
  <c r="AU14" i="3"/>
  <c r="K16" i="4"/>
  <c r="AU61" i="3"/>
  <c r="K63" i="4"/>
  <c r="AU57" i="3"/>
  <c r="K59" i="4"/>
  <c r="AU53" i="3"/>
  <c r="K55" i="4"/>
  <c r="AU49" i="3"/>
  <c r="K51" i="4"/>
  <c r="AU45" i="3"/>
  <c r="K47" i="4"/>
  <c r="AU41" i="3"/>
  <c r="K43" i="4"/>
  <c r="AU37" i="3"/>
  <c r="K39" i="4"/>
  <c r="AU33" i="3"/>
  <c r="K35" i="4"/>
  <c r="AU29" i="3"/>
  <c r="K31" i="4"/>
  <c r="AU25" i="3"/>
  <c r="K27" i="4"/>
  <c r="AU17" i="3"/>
  <c r="K19" i="4"/>
  <c r="AU13" i="3"/>
  <c r="K15" i="4"/>
  <c r="AU10" i="3"/>
  <c r="K12" i="4"/>
  <c r="AU68" i="3"/>
  <c r="K70" i="4"/>
  <c r="AU64" i="3"/>
  <c r="K66" i="4"/>
  <c r="AU60" i="3"/>
  <c r="K62" i="4"/>
  <c r="AU56" i="3"/>
  <c r="K58" i="4"/>
  <c r="AU52" i="3"/>
  <c r="K54" i="4"/>
  <c r="AU48" i="3"/>
  <c r="K50" i="4"/>
  <c r="AU44" i="3"/>
  <c r="K46" i="4"/>
  <c r="AU40" i="3"/>
  <c r="K42" i="4"/>
  <c r="AU36" i="3"/>
  <c r="K38" i="4"/>
  <c r="AU32" i="3"/>
  <c r="K34" i="4"/>
  <c r="AU28" i="3"/>
  <c r="K30" i="4"/>
  <c r="AU24" i="3"/>
  <c r="K26" i="4"/>
  <c r="AU20" i="3"/>
  <c r="K22" i="4"/>
  <c r="AU16" i="3"/>
  <c r="K18" i="4"/>
  <c r="AU12" i="3"/>
  <c r="K14" i="4"/>
  <c r="AU66" i="3"/>
  <c r="K68" i="4"/>
  <c r="AU54" i="3"/>
  <c r="K56" i="4"/>
  <c r="AU42" i="3"/>
  <c r="K44" i="4"/>
  <c r="AU18" i="3"/>
  <c r="K20" i="4"/>
  <c r="AU65" i="3"/>
  <c r="K67" i="4"/>
  <c r="AU21" i="3"/>
  <c r="K23" i="4"/>
  <c r="AU67" i="3"/>
  <c r="K69" i="4"/>
  <c r="AU63" i="3"/>
  <c r="K65" i="4"/>
  <c r="AU59" i="3"/>
  <c r="K61" i="4"/>
  <c r="AU55" i="3"/>
  <c r="K57" i="4"/>
  <c r="AU51" i="3"/>
  <c r="K53" i="4"/>
  <c r="AU47" i="3"/>
  <c r="K49" i="4"/>
  <c r="AU43" i="3"/>
  <c r="K45" i="4"/>
  <c r="AU39" i="3"/>
  <c r="K41" i="4"/>
  <c r="AU35" i="3"/>
  <c r="K37" i="4"/>
  <c r="AU31" i="3"/>
  <c r="K33" i="4"/>
  <c r="AU27" i="3"/>
  <c r="K29" i="4"/>
  <c r="AU23" i="3"/>
  <c r="K25" i="4"/>
  <c r="AU19" i="3"/>
  <c r="K21" i="4"/>
  <c r="AU15" i="3"/>
  <c r="K17" i="4"/>
  <c r="AU11" i="3"/>
  <c r="K13" i="4"/>
  <c r="L25" i="4" l="1"/>
  <c r="M25" i="4"/>
  <c r="M41" i="4"/>
  <c r="L41" i="4"/>
  <c r="L57" i="4"/>
  <c r="M57" i="4"/>
  <c r="M23" i="4"/>
  <c r="L23" i="4"/>
  <c r="M56" i="4"/>
  <c r="L56" i="4"/>
  <c r="M14" i="4"/>
  <c r="L14" i="4"/>
  <c r="M30" i="4"/>
  <c r="L30" i="4"/>
  <c r="M38" i="4"/>
  <c r="L38" i="4"/>
  <c r="M54" i="4"/>
  <c r="L54" i="4"/>
  <c r="M70" i="4"/>
  <c r="L70" i="4"/>
  <c r="M27" i="4"/>
  <c r="L27" i="4"/>
  <c r="M35" i="4"/>
  <c r="L35" i="4"/>
  <c r="M43" i="4"/>
  <c r="L43" i="4"/>
  <c r="M59" i="4"/>
  <c r="L59" i="4"/>
  <c r="M16" i="4"/>
  <c r="L16" i="4"/>
  <c r="M28" i="4"/>
  <c r="L28" i="4"/>
  <c r="L36" i="4"/>
  <c r="M36" i="4"/>
  <c r="L60" i="4"/>
  <c r="M60" i="4"/>
  <c r="L13" i="4"/>
  <c r="M13" i="4"/>
  <c r="L21" i="4"/>
  <c r="M21" i="4"/>
  <c r="L29" i="4"/>
  <c r="M29" i="4"/>
  <c r="L37" i="4"/>
  <c r="M37" i="4"/>
  <c r="L45" i="4"/>
  <c r="M45" i="4"/>
  <c r="L53" i="4"/>
  <c r="M53" i="4"/>
  <c r="L61" i="4"/>
  <c r="M61" i="4"/>
  <c r="L69" i="4"/>
  <c r="M69" i="4"/>
  <c r="M67" i="4"/>
  <c r="L67" i="4"/>
  <c r="M44" i="4"/>
  <c r="L44" i="4"/>
  <c r="M68" i="4"/>
  <c r="L68" i="4"/>
  <c r="M18" i="4"/>
  <c r="L18" i="4"/>
  <c r="M26" i="4"/>
  <c r="L26" i="4"/>
  <c r="M34" i="4"/>
  <c r="L34" i="4"/>
  <c r="M42" i="4"/>
  <c r="L42" i="4"/>
  <c r="M50" i="4"/>
  <c r="L50" i="4"/>
  <c r="M58" i="4"/>
  <c r="L58" i="4"/>
  <c r="M66" i="4"/>
  <c r="L66" i="4"/>
  <c r="M12" i="4"/>
  <c r="L12" i="4"/>
  <c r="M19" i="4"/>
  <c r="L19" i="4"/>
  <c r="M31" i="4"/>
  <c r="L31" i="4"/>
  <c r="M39" i="4"/>
  <c r="L39" i="4"/>
  <c r="M47" i="4"/>
  <c r="L47" i="4"/>
  <c r="M55" i="4"/>
  <c r="L55" i="4"/>
  <c r="M63" i="4"/>
  <c r="L63" i="4"/>
  <c r="M24" i="4"/>
  <c r="L24" i="4"/>
  <c r="L32" i="4"/>
  <c r="M32" i="4"/>
  <c r="L40" i="4"/>
  <c r="M40" i="4"/>
  <c r="L52" i="4"/>
  <c r="M52" i="4"/>
  <c r="L64" i="4"/>
  <c r="M64" i="4"/>
  <c r="L17" i="4"/>
  <c r="M17" i="4"/>
  <c r="L33" i="4"/>
  <c r="M33" i="4"/>
  <c r="L49" i="4"/>
  <c r="M49" i="4"/>
  <c r="L65" i="4"/>
  <c r="M65" i="4"/>
  <c r="M20" i="4"/>
  <c r="L20" i="4"/>
  <c r="M22" i="4"/>
  <c r="L22" i="4"/>
  <c r="M46" i="4"/>
  <c r="L46" i="4"/>
  <c r="M62" i="4"/>
  <c r="L62" i="4"/>
  <c r="M15" i="4"/>
  <c r="L15" i="4"/>
  <c r="M51" i="4"/>
  <c r="L51" i="4"/>
  <c r="L48" i="4"/>
  <c r="M48" i="4"/>
  <c r="AU69" i="3"/>
  <c r="J72" i="4" l="1"/>
  <c r="M72" i="4"/>
  <c r="Q15" i="5" s="1"/>
  <c r="Q23" i="5" s="1"/>
</calcChain>
</file>

<file path=xl/sharedStrings.xml><?xml version="1.0" encoding="utf-8"?>
<sst xmlns="http://schemas.openxmlformats.org/spreadsheetml/2006/main" count="407" uniqueCount="172">
  <si>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</si>
  <si>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</si>
  <si>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</si>
  <si>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</si>
  <si>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</si>
  <si>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</si>
  <si>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</si>
  <si>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</si>
  <si>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</si>
  <si>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</si>
  <si>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</si>
  <si>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</si>
  <si>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</si>
  <si>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</si>
  <si>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</si>
  <si>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</si>
  <si>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</si>
  <si>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</si>
  <si>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</si>
  <si>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</si>
  <si>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</si>
  <si>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</si>
  <si>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</si>
  <si>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</si>
  <si>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</si>
  <si>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</si>
  <si>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</si>
  <si>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</si>
  <si>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</si>
  <si>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</si>
  <si>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</si>
  <si>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</si>
  <si>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</si>
  <si>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</si>
  <si>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</si>
  <si>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</si>
  <si>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</si>
  <si>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</si>
  <si>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</si>
  <si>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</si>
  <si>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</si>
  <si>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</si>
  <si>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</si>
  <si>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</si>
  <si>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</si>
  <si>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</si>
  <si>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</si>
  <si>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</si>
  <si>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</si>
  <si>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PRODUCTOS  MEDICOS/FARMACEUTICOS/LAB.</t>
  </si>
  <si>
    <t>2.5.2</t>
  </si>
  <si>
    <t>ACETATO DE LEUPODROLIDE FORMA FAMACEUTICA: 1 AMPOLLA, PRESENTACION 7,5 MG</t>
  </si>
  <si>
    <t>AMPOLLA</t>
  </si>
  <si>
    <t>ANASTRAZOL 1 MG * 28 COMPRIMIDOS</t>
  </si>
  <si>
    <t>CAJAS</t>
  </si>
  <si>
    <t>AZACITIDINA 100 MG * 1 AMPOLLA</t>
  </si>
  <si>
    <t>BEVACIZUMAB 100 MG 1 AMPOLLA</t>
  </si>
  <si>
    <t>BEVACIZUMAB 400 MG 1 AMPOLLA, PRESENTACION : VIAL  x 16 ML. PRESENTACION . X 1 FRASC AMPOLLA</t>
  </si>
  <si>
    <t>BLEOMICINA 15 MG* 1 AMPOLLA</t>
  </si>
  <si>
    <t>BORTEZOMID, FORMA FARMACEUTICA: 1 AMPOLLA, PRESENTACION: ENVASE X 3,5 MG X UNIDAD</t>
  </si>
  <si>
    <t>CAPECITABINA, FORMA FARMACEUTICA: 120 COMPRIMIDOS, PRESENTACION POR 500 MG</t>
  </si>
  <si>
    <t>CARBOPLATINO X 1  AMPOLLA, PRESENTACION: 450 mGr,</t>
  </si>
  <si>
    <t xml:space="preserve">CICLOFOSFAMIDA, FORMA FARMACEUTICA: 5 AMPOLLA, PRESENTACION: 200 MG </t>
  </si>
  <si>
    <t>CITARABINA 100MG X 1FRASCP-AMP.</t>
  </si>
  <si>
    <t>CITARABINA, PRESENTACION : 1 GR, FORMA FARAMACEUTICA: 1 AMPOLLA</t>
  </si>
  <si>
    <t>DACARBAZINA 100 MG * 1 AMPOLLA</t>
  </si>
  <si>
    <t>DACARBAZINA 200 MG * 1 AMPOLLA</t>
  </si>
  <si>
    <t>DASATINIB, 100 MG X 30 COMPR.</t>
  </si>
  <si>
    <t>DAUNORRUBICINA 20 MG * 1 AMPOLLA</t>
  </si>
  <si>
    <t>DOXORRUBICINA LIPOSOMAL, VIAL, AMPOLLA X 50 MG</t>
  </si>
  <si>
    <t>EPIRUBICINA 50 MG * 1 AMPOLLA</t>
  </si>
  <si>
    <t>FILGASTRIM , 300 MCG, FRASCO AMPOLLA, PRESENTACION X 1</t>
  </si>
  <si>
    <t>FLUDARABINA 50MG * 1 AMPOLLA</t>
  </si>
  <si>
    <t>FLUOROURACILO 500MG * 5 AMPOLLA</t>
  </si>
  <si>
    <t>FOLINATO DE CALCIO, 50 MG, 1 FRASCO- AMPOLLA</t>
  </si>
  <si>
    <t>FULVESTRANT POR 250 MGR, X 2 AMPOLLAS</t>
  </si>
  <si>
    <t>GEMNCITABINA 1000 MG 1 FRASCO AMPOLLA</t>
  </si>
  <si>
    <t>GOSORELIN, 3.6 MG, AMPOLLA X 1</t>
  </si>
  <si>
    <t>HIDROXUREA, 500 MGR. CAPSULA X 100</t>
  </si>
  <si>
    <t>IDARRUBICINA 10 MG * 1 AMPOLLA</t>
  </si>
  <si>
    <t>IMATINIB, FORMA FARMACEUTICA: COMPRIMIDO POR 400 MG. PRESENTACION ENVASE X 30.</t>
  </si>
  <si>
    <t>IRINOTECAN CLOHIDRATO 100MG *1 AMPOLLA</t>
  </si>
  <si>
    <t>LETROZOL 2,5 MG * 30 COMPRIMIDOS</t>
  </si>
  <si>
    <t>LEUCOVORINA 15 MG* 10 COMPRIMIDO</t>
  </si>
  <si>
    <t>MERCAPTOPURINA 50 MG * 25 COMPRIMIDOS</t>
  </si>
  <si>
    <t>METROTEXATO  500 MGR  X 1 AMPOLLA</t>
  </si>
  <si>
    <t>METROTEXATO 50MG * 1 AMPOLLA</t>
  </si>
  <si>
    <t>MITOXANTRONA 20 MG * 1 AMPOLLA</t>
  </si>
  <si>
    <t>NILOTINIB 150 MGR X 120 CAPSULAS</t>
  </si>
  <si>
    <t>ONCASPAR 3750UL * 1 AMPOLLA</t>
  </si>
  <si>
    <t>ONDANSENTRON 8MG.  X 1 AMPOLLAS</t>
  </si>
  <si>
    <t>AMPOLLAS</t>
  </si>
  <si>
    <t>OXALIPLATINO: FORMA FARMACEUTICA: 1 AMPOLLA, PRESENTACION: 100 MG X 1</t>
  </si>
  <si>
    <t>PALBOCICLIB 125 MG X 21 CAPSULAS</t>
  </si>
  <si>
    <t>PAMIDRONATO DISODICO 90 MG  X 1 AMPOLLA</t>
  </si>
  <si>
    <t>PEMBROLIZUMAB, 100 MG 1 AMPOLLA, PRESENTACION UNIDAD</t>
  </si>
  <si>
    <t>PERTUZUMAB 420 MG. AMPOLLA 14 ML ( VIAL)</t>
  </si>
  <si>
    <t>RITUXIMAB, FORMA FARMACEUTICA. 1 AMPOLLA, PRESENTACION 100 MG</t>
  </si>
  <si>
    <t>RITUXIMAB, FORMA FARMACEUTICA. 1 AMPOLLA, PRESENTACION 500 MG</t>
  </si>
  <si>
    <t>SUNITINIB 50 MG * 28 CAPSULA</t>
  </si>
  <si>
    <t>TAMOXIFENO FORMA FARMACEUTICA, COMPRIMIDO, PRESENTACION: 20 MG  30 COMPRIMIDOS TIPO MONODROGA</t>
  </si>
  <si>
    <t>TEMOZOLOMIDA 100 MG * 5 CAPSULAS</t>
  </si>
  <si>
    <t>TEMOZOLOMIDA 20 MG * 5 CAPSULAS</t>
  </si>
  <si>
    <t>TRASTUZUMAB 440 MG: 1 FRASCO AMPOLLA, PRESENTACION ENVASEX 20 ML</t>
  </si>
  <si>
    <t>VINBLASTINA, FORMA FARMACEUTICA 1 AMPOLLA, PRESENTACION: 10 MG.</t>
  </si>
  <si>
    <t>VINORELBINE, FORMA FARMACEUTICA, AMPOLLA, PRESENTACION 50 MG.</t>
  </si>
  <si>
    <t>SEC PREV</t>
  </si>
  <si>
    <t>TOTAL SEC PREVEN</t>
  </si>
  <si>
    <t>DIR DE ADM</t>
  </si>
  <si>
    <t>TOTAL DIR ADM</t>
  </si>
  <si>
    <t>DETALLE TECNICO Y ESPECIFICACIONES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</si>
  <si>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</si>
  <si>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Plazos de entrega</t>
  </si>
  <si>
    <t>veinte (20) dias corridos</t>
  </si>
  <si>
    <t>Lugar de Entrega:</t>
  </si>
  <si>
    <t>Calidad Minima esperada</t>
  </si>
  <si>
    <t>Mantenimiento</t>
  </si>
  <si>
    <t>cuarenta y cinco (45) días</t>
  </si>
  <si>
    <t>TOTAL MEDICAMENTOS ONCOLOGICOS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</si>
  <si>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</si>
  <si>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</si>
  <si>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</si>
  <si>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</si>
  <si>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</si>
  <si>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</si>
  <si>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</si>
  <si>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</si>
  <si>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</si>
  <si>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</si>
  <si>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</si>
  <si>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</si>
  <si>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</si>
  <si>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</si>
  <si>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</si>
  <si>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</si>
  <si>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</si>
  <si>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</si>
  <si>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</si>
  <si>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</si>
  <si>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</si>
  <si>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</si>
  <si>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</si>
  <si>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</si>
  <si>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</si>
  <si>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</si>
  <si>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</si>
  <si>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</si>
  <si>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</si>
  <si>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</si>
  <si>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</si>
  <si>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</si>
  <si>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</si>
  <si>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</si>
  <si>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</si>
  <si>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</si>
  <si>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</si>
  <si>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</si>
  <si>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</si>
  <si>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</si>
  <si>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</si>
  <si>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</si>
  <si>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159 - DIR. PROVINCIAL DE CANCER</t>
  </si>
  <si>
    <t>DIR. PROV. DE CANCER - CHACABUCO N° 169 - en el horario de 8:00hs a 12:00hs de lunes a viernes</t>
  </si>
  <si>
    <t>Costo total estimado: VEINTITRES MILLONES SEISCIENTOS CATORCE MIL DOSCIENTOS CINCUENTA Y CINCO con 00/100</t>
  </si>
  <si>
    <t>Adquisicion del  RUBRO MEDICAMENTOS ONCOLOGICOS</t>
  </si>
  <si>
    <t>TOTAL DE PESOS:  VEINTITRES MILLONES SEISCIENTOS CATORCE MIL DOSCIENTOS CINCUENTA Y CINCO con 00/100</t>
  </si>
  <si>
    <t>11 - DIRECCION PROVINCIAL DE ADMINISTRACION - MINISTERIO DE SALUD</t>
  </si>
  <si>
    <t>TERCER TRIMESTRE</t>
  </si>
  <si>
    <t>3° TRIMESTRE</t>
  </si>
  <si>
    <t>Autorizo la realización de los  trámites correspondientes, a fin de proveer a  este Organismo los bienes que se detallan en Nota de pedido y Entrega N°09 /2021,  afectando la erogación resultante a los créditos presupuestarios aprobados a favor de esta Unidad Ejecutora, conforme al siguiente detalle:</t>
  </si>
  <si>
    <t>_09/21</t>
  </si>
  <si>
    <t>LASPARAGINASA 10000 U * 1 AMPOLLA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</si>
</sst>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"/>
    <numFmt numFmtId="168" formatCode="&quot;$&quot;\ #,##0.00"/>
    <numFmt numFmtId="169" formatCode="_-&quot;$&quot;\ * #,##0.000_-;\-&quot;$&quot;\ * #,##0.000_-;_-&quot;$&quot;\ * &quot;-&quot;??_-;_-@_-"/>
    <numFmt numFmtId="170" formatCode="dd\-mm\-yy;@"/>
    <numFmt numFmtId="171" formatCode="_(\$* #,##0.00_);_(\$* \(#,##0.00\);_(\$* \-??_);_(@_)"/>
    <numFmt numFmtId="172" formatCode="[$$-2C0A]\ #,##0.00;[$$-2C0A]&quot; -&quot;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7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  <xf numFmtId="171" fontId="25" fillId="0" borderId="0" applyBorder="0" applyProtection="0"/>
  </cellStyleXfs>
  <cellXfs count="261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3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8" fontId="13" fillId="0" borderId="0" xfId="1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5" fillId="0" borderId="0" xfId="0" applyFont="1"/>
    <xf numFmtId="0" fontId="18" fillId="0" borderId="0" xfId="0" applyFont="1"/>
    <xf numFmtId="0" fontId="16" fillId="0" borderId="3" xfId="0" applyFont="1" applyBorder="1" applyAlignment="1">
      <alignment horizontal="left" vertical="center" wrapText="1"/>
    </xf>
    <xf numFmtId="0" fontId="15" fillId="3" borderId="3" xfId="0" applyFont="1" applyFill="1" applyBorder="1" applyAlignment="1">
      <alignment vertical="center" wrapText="1"/>
    </xf>
    <xf numFmtId="3" fontId="15" fillId="3" borderId="3" xfId="0" applyNumberFormat="1" applyFont="1" applyFill="1" applyBorder="1" applyAlignment="1">
      <alignment vertical="center" wrapText="1"/>
    </xf>
    <xf numFmtId="167" fontId="15" fillId="3" borderId="3" xfId="1" applyNumberFormat="1" applyFont="1" applyFill="1" applyBorder="1" applyAlignment="1" applyProtection="1">
      <alignment vertical="center" wrapText="1"/>
    </xf>
    <xf numFmtId="0" fontId="15" fillId="0" borderId="3" xfId="0" applyFont="1" applyBorder="1" applyAlignment="1">
      <alignment vertical="center" wrapText="1"/>
    </xf>
    <xf numFmtId="167" fontId="15" fillId="3" borderId="3" xfId="0" applyNumberFormat="1" applyFont="1" applyFill="1" applyBorder="1" applyAlignment="1">
      <alignment vertical="center" wrapText="1"/>
    </xf>
    <xf numFmtId="3" fontId="15" fillId="0" borderId="3" xfId="0" applyNumberFormat="1" applyFont="1" applyFill="1" applyBorder="1" applyAlignment="1">
      <alignment vertical="center" wrapText="1"/>
    </xf>
    <xf numFmtId="166" fontId="15" fillId="3" borderId="3" xfId="1" applyNumberFormat="1" applyFont="1" applyFill="1" applyBorder="1" applyAlignment="1">
      <alignment horizontal="right" vertical="center"/>
    </xf>
    <xf numFmtId="3" fontId="15" fillId="0" borderId="3" xfId="0" applyNumberFormat="1" applyFont="1" applyBorder="1" applyAlignment="1">
      <alignment vertical="center" wrapText="1"/>
    </xf>
    <xf numFmtId="0" fontId="7" fillId="0" borderId="0" xfId="13" applyFont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vertical="center" wrapText="1"/>
    </xf>
    <xf numFmtId="3" fontId="15" fillId="0" borderId="5" xfId="0" applyNumberFormat="1" applyFont="1" applyBorder="1" applyAlignment="1">
      <alignment horizontal="center" vertical="center"/>
    </xf>
    <xf numFmtId="167" fontId="15" fillId="3" borderId="5" xfId="1" applyNumberFormat="1" applyFont="1" applyFill="1" applyBorder="1" applyAlignment="1" applyProtection="1">
      <alignment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68" fontId="8" fillId="0" borderId="7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3" fontId="8" fillId="4" borderId="7" xfId="0" applyNumberFormat="1" applyFont="1" applyFill="1" applyBorder="1" applyAlignment="1">
      <alignment horizontal="center" vertical="center" wrapText="1"/>
    </xf>
    <xf numFmtId="168" fontId="18" fillId="0" borderId="7" xfId="1" applyNumberFormat="1" applyFont="1" applyBorder="1" applyAlignment="1">
      <alignment vertical="center" wrapText="1"/>
    </xf>
    <xf numFmtId="166" fontId="8" fillId="0" borderId="8" xfId="0" applyNumberFormat="1" applyFont="1" applyBorder="1" applyAlignment="1">
      <alignment vertical="center" wrapText="1"/>
    </xf>
    <xf numFmtId="0" fontId="17" fillId="0" borderId="9" xfId="0" applyFont="1" applyBorder="1" applyAlignment="1">
      <alignment horizontal="center" vertical="center"/>
    </xf>
    <xf numFmtId="166" fontId="15" fillId="0" borderId="10" xfId="0" applyNumberFormat="1" applyFont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166" fontId="15" fillId="0" borderId="12" xfId="0" applyNumberFormat="1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5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68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7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 vertical="center"/>
    </xf>
    <xf numFmtId="168" fontId="19" fillId="0" borderId="0" xfId="1" applyNumberFormat="1" applyFont="1" applyBorder="1" applyAlignment="1">
      <alignment vertical="center"/>
    </xf>
    <xf numFmtId="166" fontId="19" fillId="0" borderId="0" xfId="0" applyNumberFormat="1" applyFont="1" applyBorder="1" applyAlignment="1">
      <alignment vertical="center"/>
    </xf>
    <xf numFmtId="0" fontId="7" fillId="0" borderId="0" xfId="13" applyFont="1" applyFill="1" applyAlignment="1">
      <alignment horizontal="center" vertical="center"/>
    </xf>
    <xf numFmtId="0" fontId="15" fillId="0" borderId="0" xfId="13" applyFont="1" applyFill="1" applyBorder="1" applyAlignment="1">
      <alignment vertical="center" wrapText="1"/>
    </xf>
    <xf numFmtId="0" fontId="15" fillId="0" borderId="16" xfId="13" applyFont="1" applyFill="1" applyBorder="1" applyAlignment="1">
      <alignment vertical="center" wrapText="1"/>
    </xf>
    <xf numFmtId="0" fontId="15" fillId="0" borderId="19" xfId="13" applyFont="1" applyFill="1" applyBorder="1" applyAlignment="1">
      <alignment horizont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 wrapText="1"/>
    </xf>
    <xf numFmtId="0" fontId="7" fillId="0" borderId="2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/>
    </xf>
    <xf numFmtId="0" fontId="15" fillId="0" borderId="19" xfId="13" applyFont="1" applyBorder="1" applyAlignment="1">
      <alignment horizontal="center" wrapText="1"/>
    </xf>
    <xf numFmtId="0" fontId="7" fillId="0" borderId="0" xfId="13" applyFont="1" applyBorder="1" applyAlignment="1">
      <alignment horizontal="center" vertical="center"/>
    </xf>
    <xf numFmtId="0" fontId="7" fillId="0" borderId="0" xfId="13" applyFont="1" applyBorder="1" applyAlignment="1">
      <alignment horizontal="center"/>
    </xf>
    <xf numFmtId="0" fontId="7" fillId="0" borderId="0" xfId="13" applyFont="1" applyBorder="1" applyAlignment="1">
      <alignment horizontal="center" vertical="center" wrapText="1"/>
    </xf>
    <xf numFmtId="0" fontId="7" fillId="0" borderId="20" xfId="13" applyFont="1" applyBorder="1" applyAlignment="1">
      <alignment horizontal="center"/>
    </xf>
    <xf numFmtId="0" fontId="15" fillId="0" borderId="21" xfId="13" applyFont="1" applyBorder="1" applyAlignment="1">
      <alignment horizontal="center" wrapText="1"/>
    </xf>
    <xf numFmtId="0" fontId="7" fillId="0" borderId="22" xfId="13" applyFont="1" applyBorder="1" applyAlignment="1">
      <alignment horizontal="left" vertical="center"/>
    </xf>
    <xf numFmtId="0" fontId="7" fillId="0" borderId="22" xfId="13" applyFont="1" applyBorder="1" applyAlignment="1">
      <alignment horizontal="center"/>
    </xf>
    <xf numFmtId="0" fontId="7" fillId="0" borderId="22" xfId="13" applyFont="1" applyBorder="1" applyAlignment="1">
      <alignment horizontal="center" vertical="center" wrapText="1"/>
    </xf>
    <xf numFmtId="0" fontId="7" fillId="0" borderId="23" xfId="13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1" fontId="15" fillId="0" borderId="14" xfId="0" applyNumberFormat="1" applyFont="1" applyBorder="1" applyAlignment="1">
      <alignment horizontal="center" vertical="center"/>
    </xf>
    <xf numFmtId="168" fontId="15" fillId="0" borderId="14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167" fontId="15" fillId="0" borderId="14" xfId="0" applyNumberFormat="1" applyFont="1" applyBorder="1" applyAlignment="1">
      <alignment horizontal="center" vertical="center"/>
    </xf>
    <xf numFmtId="0" fontId="15" fillId="3" borderId="14" xfId="0" applyFont="1" applyFill="1" applyBorder="1" applyAlignment="1">
      <alignment vertical="center"/>
    </xf>
    <xf numFmtId="166" fontId="15" fillId="0" borderId="15" xfId="0" applyNumberFormat="1" applyFont="1" applyBorder="1" applyAlignment="1">
      <alignment vertical="center"/>
    </xf>
    <xf numFmtId="0" fontId="20" fillId="0" borderId="27" xfId="13" applyFont="1" applyBorder="1" applyAlignment="1">
      <alignment horizontal="right" vertical="center"/>
    </xf>
    <xf numFmtId="17" fontId="21" fillId="5" borderId="28" xfId="13" applyNumberFormat="1" applyFont="1" applyFill="1" applyBorder="1" applyAlignment="1">
      <alignment horizontal="center" vertical="center"/>
    </xf>
    <xf numFmtId="0" fontId="20" fillId="0" borderId="29" xfId="13" applyFont="1" applyBorder="1" applyAlignment="1">
      <alignment vertical="center"/>
    </xf>
    <xf numFmtId="0" fontId="20" fillId="0" borderId="0" xfId="13" applyFont="1" applyBorder="1" applyAlignment="1">
      <alignment vertical="center"/>
    </xf>
    <xf numFmtId="0" fontId="22" fillId="0" borderId="0" xfId="13" applyFont="1" applyBorder="1" applyAlignment="1">
      <alignment horizontal="left" vertical="center"/>
    </xf>
    <xf numFmtId="0" fontId="21" fillId="0" borderId="0" xfId="13" applyFont="1" applyBorder="1" applyAlignment="1">
      <alignment horizontal="left" vertical="center" wrapText="1" indent="1"/>
    </xf>
    <xf numFmtId="0" fontId="25" fillId="0" borderId="0" xfId="13" applyFont="1" applyBorder="1" applyAlignment="1">
      <alignment vertical="center"/>
    </xf>
    <xf numFmtId="0" fontId="24" fillId="3" borderId="35" xfId="13" applyFont="1" applyFill="1" applyBorder="1" applyAlignment="1">
      <alignment horizontal="center" vertical="center"/>
    </xf>
    <xf numFmtId="0" fontId="24" fillId="3" borderId="35" xfId="13" applyFont="1" applyFill="1" applyBorder="1" applyAlignment="1">
      <alignment horizontal="left" vertical="center"/>
    </xf>
    <xf numFmtId="3" fontId="6" fillId="3" borderId="35" xfId="13" applyNumberFormat="1" applyFont="1" applyFill="1" applyBorder="1" applyAlignment="1">
      <alignment horizontal="center" vertical="center"/>
    </xf>
    <xf numFmtId="0" fontId="26" fillId="3" borderId="40" xfId="13" applyFont="1" applyFill="1" applyBorder="1" applyAlignment="1">
      <alignment horizontal="left" vertical="center" wrapText="1"/>
    </xf>
    <xf numFmtId="0" fontId="26" fillId="3" borderId="41" xfId="13" applyFont="1" applyFill="1" applyBorder="1" applyAlignment="1">
      <alignment horizontal="left" vertical="center" wrapText="1"/>
    </xf>
    <xf numFmtId="0" fontId="27" fillId="0" borderId="42" xfId="13" applyFont="1" applyBorder="1" applyAlignment="1">
      <alignment horizontal="left" vertical="center"/>
    </xf>
    <xf numFmtId="0" fontId="27" fillId="0" borderId="43" xfId="13" applyFont="1" applyBorder="1" applyAlignment="1">
      <alignment horizontal="left" vertical="center"/>
    </xf>
    <xf numFmtId="0" fontId="27" fillId="0" borderId="45" xfId="13" applyFont="1" applyBorder="1" applyAlignment="1">
      <alignment horizontal="center" vertical="center"/>
    </xf>
    <xf numFmtId="0" fontId="27" fillId="0" borderId="45" xfId="13" applyFont="1" applyBorder="1" applyAlignment="1">
      <alignment horizontal="left" vertical="center"/>
    </xf>
    <xf numFmtId="3" fontId="30" fillId="0" borderId="0" xfId="13" applyNumberFormat="1" applyFont="1" applyBorder="1" applyAlignment="1"/>
    <xf numFmtId="170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6" fillId="0" borderId="0" xfId="13" applyBorder="1"/>
    <xf numFmtId="0" fontId="6" fillId="0" borderId="27" xfId="13" applyBorder="1"/>
    <xf numFmtId="0" fontId="6" fillId="0" borderId="52" xfId="13" applyBorder="1"/>
    <xf numFmtId="0" fontId="6" fillId="0" borderId="29" xfId="13" applyBorder="1"/>
    <xf numFmtId="0" fontId="6" fillId="0" borderId="29" xfId="13" applyBorder="1" applyAlignment="1">
      <alignment horizontal="left"/>
    </xf>
    <xf numFmtId="0" fontId="6" fillId="0" borderId="53" xfId="13" applyBorder="1"/>
    <xf numFmtId="0" fontId="34" fillId="0" borderId="56" xfId="13" applyFont="1" applyBorder="1" applyAlignment="1">
      <alignment horizontal="center" vertical="center"/>
    </xf>
    <xf numFmtId="0" fontId="34" fillId="0" borderId="57" xfId="13" applyFont="1" applyBorder="1" applyAlignment="1">
      <alignment horizontal="center" vertical="center"/>
    </xf>
    <xf numFmtId="0" fontId="34" fillId="0" borderId="57" xfId="13" applyFont="1" applyBorder="1" applyAlignment="1">
      <alignment horizontal="left" vertical="center"/>
    </xf>
    <xf numFmtId="0" fontId="34" fillId="0" borderId="58" xfId="13" applyFont="1" applyBorder="1" applyAlignment="1">
      <alignment horizontal="center" vertical="center"/>
    </xf>
    <xf numFmtId="0" fontId="34" fillId="0" borderId="59" xfId="13" applyFont="1" applyBorder="1" applyAlignment="1">
      <alignment horizontal="center" vertical="center"/>
    </xf>
    <xf numFmtId="0" fontId="6" fillId="5" borderId="60" xfId="13" applyFont="1" applyFill="1" applyBorder="1" applyAlignment="1">
      <alignment horizontal="center" vertical="center"/>
    </xf>
    <xf numFmtId="0" fontId="6" fillId="5" borderId="61" xfId="13" applyFont="1" applyFill="1" applyBorder="1" applyAlignment="1">
      <alignment horizontal="center" vertical="center"/>
    </xf>
    <xf numFmtId="0" fontId="6" fillId="0" borderId="61" xfId="13" applyFont="1" applyBorder="1" applyAlignment="1">
      <alignment horizontal="center" vertical="center"/>
    </xf>
    <xf numFmtId="0" fontId="6" fillId="5" borderId="62" xfId="13" applyFont="1" applyFill="1" applyBorder="1" applyAlignment="1">
      <alignment horizontal="center" vertical="center"/>
    </xf>
    <xf numFmtId="0" fontId="6" fillId="5" borderId="61" xfId="13" applyFill="1" applyBorder="1" applyAlignment="1">
      <alignment horizontal="center" vertical="center"/>
    </xf>
    <xf numFmtId="172" fontId="0" fillId="0" borderId="63" xfId="25" applyNumberFormat="1" applyFont="1" applyBorder="1" applyAlignment="1" applyProtection="1">
      <alignment horizontal="center" vertical="center"/>
    </xf>
    <xf numFmtId="0" fontId="6" fillId="0" borderId="64" xfId="13" applyFont="1" applyBorder="1" applyAlignment="1">
      <alignment horizontal="center" vertical="center"/>
    </xf>
    <xf numFmtId="0" fontId="6" fillId="0" borderId="65" xfId="13" applyFont="1" applyBorder="1" applyAlignment="1">
      <alignment horizontal="center" vertical="center"/>
    </xf>
    <xf numFmtId="0" fontId="6" fillId="0" borderId="66" xfId="13" applyFont="1" applyBorder="1" applyAlignment="1">
      <alignment horizontal="center" vertical="center"/>
    </xf>
    <xf numFmtId="0" fontId="6" fillId="0" borderId="67" xfId="13" applyFont="1" applyBorder="1" applyAlignment="1">
      <alignment horizontal="center" vertical="center"/>
    </xf>
    <xf numFmtId="172" fontId="0" fillId="0" borderId="68" xfId="25" applyNumberFormat="1" applyFont="1" applyBorder="1" applyAlignment="1" applyProtection="1">
      <alignment horizontal="center" vertical="center"/>
    </xf>
    <xf numFmtId="0" fontId="32" fillId="0" borderId="64" xfId="13" applyFont="1" applyBorder="1" applyAlignment="1">
      <alignment horizontal="center" vertical="center"/>
    </xf>
    <xf numFmtId="0" fontId="32" fillId="0" borderId="65" xfId="13" applyFont="1" applyBorder="1" applyAlignment="1">
      <alignment horizontal="center" vertical="center"/>
    </xf>
    <xf numFmtId="0" fontId="6" fillId="0" borderId="67" xfId="13" applyBorder="1" applyAlignment="1">
      <alignment horizontal="center" vertical="center"/>
    </xf>
    <xf numFmtId="0" fontId="32" fillId="0" borderId="66" xfId="13" applyFont="1" applyBorder="1" applyAlignment="1">
      <alignment horizontal="center" vertical="center"/>
    </xf>
    <xf numFmtId="0" fontId="32" fillId="0" borderId="67" xfId="13" applyFont="1" applyBorder="1" applyAlignment="1">
      <alignment horizontal="center" vertical="center"/>
    </xf>
    <xf numFmtId="0" fontId="6" fillId="0" borderId="69" xfId="13" applyBorder="1" applyAlignment="1">
      <alignment horizontal="center" vertical="center"/>
    </xf>
    <xf numFmtId="0" fontId="6" fillId="0" borderId="70" xfId="13" applyBorder="1" applyAlignment="1">
      <alignment horizontal="center" vertical="center"/>
    </xf>
    <xf numFmtId="0" fontId="6" fillId="0" borderId="71" xfId="13" applyBorder="1" applyAlignment="1">
      <alignment horizontal="center" vertical="center"/>
    </xf>
    <xf numFmtId="172" fontId="0" fillId="0" borderId="72" xfId="25" applyNumberFormat="1" applyFont="1" applyBorder="1" applyAlignment="1" applyProtection="1">
      <alignment horizontal="center" vertical="center"/>
    </xf>
    <xf numFmtId="172" fontId="34" fillId="0" borderId="73" xfId="13" applyNumberFormat="1" applyFont="1" applyBorder="1" applyAlignment="1">
      <alignment horizontal="center" vertical="center"/>
    </xf>
    <xf numFmtId="0" fontId="6" fillId="3" borderId="36" xfId="13" applyFont="1" applyFill="1" applyBorder="1" applyAlignment="1">
      <alignment vertical="center"/>
    </xf>
    <xf numFmtId="0" fontId="6" fillId="3" borderId="37" xfId="13" applyFont="1" applyFill="1" applyBorder="1" applyAlignment="1">
      <alignment vertical="center"/>
    </xf>
    <xf numFmtId="0" fontId="6" fillId="3" borderId="38" xfId="13" applyFont="1" applyFill="1" applyBorder="1" applyAlignment="1">
      <alignment vertical="center"/>
    </xf>
    <xf numFmtId="0" fontId="6" fillId="3" borderId="37" xfId="13" applyFont="1" applyFill="1" applyBorder="1" applyAlignment="1">
      <alignment vertical="center" wrapText="1"/>
    </xf>
    <xf numFmtId="0" fontId="6" fillId="3" borderId="38" xfId="13" applyFont="1" applyFill="1" applyBorder="1" applyAlignment="1">
      <alignment vertical="center" wrapText="1"/>
    </xf>
    <xf numFmtId="0" fontId="26" fillId="3" borderId="37" xfId="13" applyFont="1" applyFill="1" applyBorder="1" applyAlignment="1">
      <alignment vertical="center" wrapText="1"/>
    </xf>
    <xf numFmtId="0" fontId="26" fillId="3" borderId="38" xfId="13" applyFont="1" applyFill="1" applyBorder="1" applyAlignment="1">
      <alignment vertical="center" wrapText="1"/>
    </xf>
    <xf numFmtId="0" fontId="6" fillId="3" borderId="46" xfId="13" applyFont="1" applyFill="1" applyBorder="1" applyAlignment="1">
      <alignment vertical="center"/>
    </xf>
    <xf numFmtId="0" fontId="6" fillId="3" borderId="47" xfId="13" applyFont="1" applyFill="1" applyBorder="1" applyAlignment="1">
      <alignment vertical="center"/>
    </xf>
    <xf numFmtId="0" fontId="6" fillId="3" borderId="48" xfId="13" applyFont="1" applyFill="1" applyBorder="1" applyAlignment="1">
      <alignment vertical="center"/>
    </xf>
    <xf numFmtId="0" fontId="24" fillId="5" borderId="39" xfId="13" applyFont="1" applyFill="1" applyBorder="1" applyAlignment="1">
      <alignment horizontal="center" vertical="center"/>
    </xf>
    <xf numFmtId="0" fontId="24" fillId="5" borderId="36" xfId="13" applyFont="1" applyFill="1" applyBorder="1" applyAlignment="1">
      <alignment horizontal="center" vertical="center"/>
    </xf>
    <xf numFmtId="0" fontId="24" fillId="0" borderId="44" xfId="13" applyFont="1" applyBorder="1" applyAlignment="1">
      <alignment horizontal="center" vertical="center"/>
    </xf>
    <xf numFmtId="0" fontId="6" fillId="0" borderId="35" xfId="13" applyBorder="1" applyAlignment="1">
      <alignment horizontal="center" vertical="center"/>
    </xf>
    <xf numFmtId="0" fontId="6" fillId="0" borderId="42" xfId="13" applyBorder="1" applyAlignment="1">
      <alignment horizontal="center" vertical="center"/>
    </xf>
    <xf numFmtId="0" fontId="24" fillId="0" borderId="45" xfId="13" applyFont="1" applyBorder="1" applyAlignment="1">
      <alignment horizontal="center" vertical="center" wrapText="1"/>
    </xf>
    <xf numFmtId="166" fontId="7" fillId="0" borderId="35" xfId="13" applyNumberFormat="1" applyFont="1" applyBorder="1" applyAlignment="1">
      <alignment horizontal="center" vertical="center"/>
    </xf>
    <xf numFmtId="166" fontId="7" fillId="0" borderId="42" xfId="13" applyNumberFormat="1" applyFont="1" applyBorder="1" applyAlignment="1">
      <alignment horizontal="center" vertical="center"/>
    </xf>
    <xf numFmtId="44" fontId="24" fillId="0" borderId="45" xfId="13" applyNumberFormat="1" applyFont="1" applyBorder="1" applyAlignment="1">
      <alignment horizontal="center" vertical="center" wrapText="1"/>
    </xf>
    <xf numFmtId="3" fontId="24" fillId="0" borderId="45" xfId="13" applyNumberFormat="1" applyFont="1" applyBorder="1" applyAlignment="1">
      <alignment horizontal="center" vertical="center"/>
    </xf>
    <xf numFmtId="166" fontId="35" fillId="0" borderId="0" xfId="0" applyNumberFormat="1" applyFont="1"/>
    <xf numFmtId="166" fontId="18" fillId="0" borderId="4" xfId="0" applyNumberFormat="1" applyFont="1" applyBorder="1" applyAlignment="1">
      <alignment vertical="center"/>
    </xf>
    <xf numFmtId="0" fontId="21" fillId="0" borderId="25" xfId="13" applyFont="1" applyBorder="1" applyAlignment="1">
      <alignment vertical="center" wrapText="1"/>
    </xf>
    <xf numFmtId="0" fontId="21" fillId="0" borderId="26" xfId="13" applyFont="1" applyBorder="1" applyAlignment="1">
      <alignment vertical="center" wrapText="1"/>
    </xf>
    <xf numFmtId="0" fontId="21" fillId="0" borderId="24" xfId="13" applyFont="1" applyBorder="1" applyAlignment="1">
      <alignment vertical="center"/>
    </xf>
    <xf numFmtId="0" fontId="21" fillId="0" borderId="25" xfId="13" applyFont="1" applyBorder="1" applyAlignment="1">
      <alignment vertical="center"/>
    </xf>
    <xf numFmtId="0" fontId="21" fillId="0" borderId="26" xfId="13" applyFont="1" applyBorder="1" applyAlignment="1">
      <alignment vertical="center"/>
    </xf>
    <xf numFmtId="0" fontId="32" fillId="3" borderId="30" xfId="13" applyFont="1" applyFill="1" applyBorder="1" applyAlignment="1">
      <alignment vertical="center"/>
    </xf>
    <xf numFmtId="0" fontId="32" fillId="3" borderId="49" xfId="13" applyFont="1" applyFill="1" applyBorder="1" applyAlignment="1">
      <alignment vertical="center"/>
    </xf>
    <xf numFmtId="0" fontId="32" fillId="3" borderId="50" xfId="13" applyFont="1" applyFill="1" applyBorder="1" applyAlignment="1">
      <alignment vertical="center"/>
    </xf>
    <xf numFmtId="0" fontId="0" fillId="0" borderId="0" xfId="0" applyAlignment="1">
      <alignment vertical="center"/>
    </xf>
    <xf numFmtId="0" fontId="32" fillId="5" borderId="0" xfId="13" applyFont="1" applyFill="1" applyBorder="1" applyAlignment="1">
      <alignment vertical="center" wrapText="1"/>
    </xf>
    <xf numFmtId="0" fontId="32" fillId="5" borderId="27" xfId="13" applyFont="1" applyFill="1" applyBorder="1" applyAlignment="1">
      <alignment vertical="center" wrapText="1"/>
    </xf>
    <xf numFmtId="0" fontId="32" fillId="5" borderId="52" xfId="13" applyFont="1" applyFill="1" applyBorder="1" applyAlignment="1">
      <alignment vertical="center" wrapText="1"/>
    </xf>
    <xf numFmtId="0" fontId="32" fillId="5" borderId="29" xfId="13" applyFont="1" applyFill="1" applyBorder="1" applyAlignment="1">
      <alignment vertical="center" wrapText="1"/>
    </xf>
    <xf numFmtId="0" fontId="32" fillId="5" borderId="53" xfId="13" applyFont="1" applyFill="1" applyBorder="1" applyAlignment="1">
      <alignment vertical="center" wrapText="1"/>
    </xf>
    <xf numFmtId="0" fontId="32" fillId="5" borderId="51" xfId="13" applyFont="1" applyFill="1" applyBorder="1" applyAlignment="1">
      <alignment vertical="center"/>
    </xf>
    <xf numFmtId="0" fontId="35" fillId="0" borderId="0" xfId="0" applyFont="1"/>
    <xf numFmtId="167" fontId="15" fillId="0" borderId="0" xfId="0" applyNumberFormat="1" applyFont="1"/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7" fillId="0" borderId="17" xfId="13" applyFont="1" applyFill="1" applyBorder="1" applyAlignment="1">
      <alignment horizontal="left" vertical="center" wrapText="1"/>
    </xf>
    <xf numFmtId="0" fontId="7" fillId="0" borderId="18" xfId="13" applyFont="1" applyFill="1" applyBorder="1" applyAlignment="1">
      <alignment horizontal="left" vertic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20" xfId="13" applyFont="1" applyFill="1" applyBorder="1" applyAlignment="1">
      <alignment horizontal="left" vertical="center"/>
    </xf>
    <xf numFmtId="0" fontId="36" fillId="0" borderId="24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22" fillId="0" borderId="31" xfId="13" applyFont="1" applyBorder="1" applyAlignment="1">
      <alignment horizontal="left" vertical="center" wrapText="1"/>
    </xf>
    <xf numFmtId="0" fontId="21" fillId="0" borderId="4" xfId="13" applyFont="1" applyBorder="1" applyAlignment="1">
      <alignment horizontal="left" vertical="center" wrapText="1" indent="1"/>
    </xf>
    <xf numFmtId="0" fontId="22" fillId="0" borderId="32" xfId="13" applyFont="1" applyBorder="1" applyAlignment="1">
      <alignment horizontal="left" vertical="center"/>
    </xf>
    <xf numFmtId="0" fontId="21" fillId="0" borderId="33" xfId="13" applyFont="1" applyBorder="1" applyAlignment="1">
      <alignment horizontal="left" vertical="center" wrapText="1" indent="1"/>
    </xf>
    <xf numFmtId="0" fontId="28" fillId="0" borderId="24" xfId="13" applyFont="1" applyBorder="1" applyAlignment="1">
      <alignment horizontal="left" vertical="center"/>
    </xf>
    <xf numFmtId="0" fontId="28" fillId="0" borderId="25" xfId="13" applyFont="1" applyBorder="1" applyAlignment="1">
      <alignment horizontal="left" vertical="center"/>
    </xf>
    <xf numFmtId="0" fontId="28" fillId="0" borderId="26" xfId="13" applyFont="1" applyBorder="1" applyAlignment="1">
      <alignment horizontal="left" vertical="center"/>
    </xf>
    <xf numFmtId="169" fontId="29" fillId="0" borderId="25" xfId="13" applyNumberFormat="1" applyFont="1" applyBorder="1" applyAlignment="1">
      <alignment horizontal="center" vertical="center" wrapText="1"/>
    </xf>
    <xf numFmtId="169" fontId="29" fillId="0" borderId="26" xfId="13" applyNumberFormat="1" applyFont="1" applyBorder="1" applyAlignment="1">
      <alignment horizontal="center" vertical="center" wrapText="1"/>
    </xf>
    <xf numFmtId="0" fontId="23" fillId="0" borderId="4" xfId="13" applyFont="1" applyBorder="1" applyAlignment="1">
      <alignment horizontal="center" vertical="center" wrapText="1"/>
    </xf>
    <xf numFmtId="0" fontId="23" fillId="0" borderId="32" xfId="13" applyFont="1" applyBorder="1" applyAlignment="1">
      <alignment horizontal="center" vertical="center"/>
    </xf>
    <xf numFmtId="0" fontId="23" fillId="0" borderId="34" xfId="13" applyFont="1" applyBorder="1" applyAlignment="1">
      <alignment horizontal="center" vertical="center" wrapText="1"/>
    </xf>
    <xf numFmtId="0" fontId="23" fillId="0" borderId="74" xfId="13" applyFont="1" applyBorder="1" applyAlignment="1">
      <alignment horizontal="center" vertical="center" wrapText="1"/>
    </xf>
    <xf numFmtId="0" fontId="20" fillId="0" borderId="0" xfId="13" applyFont="1" applyBorder="1" applyAlignment="1">
      <alignment horizontal="center" vertical="center"/>
    </xf>
    <xf numFmtId="0" fontId="22" fillId="0" borderId="30" xfId="13" applyFont="1" applyBorder="1" applyAlignment="1">
      <alignment horizontal="left" vertical="center" wrapText="1"/>
    </xf>
    <xf numFmtId="0" fontId="6" fillId="0" borderId="70" xfId="13" applyBorder="1" applyAlignment="1">
      <alignment horizontal="left" vertical="center"/>
    </xf>
    <xf numFmtId="0" fontId="30" fillId="0" borderId="73" xfId="13" applyFont="1" applyBorder="1" applyAlignment="1">
      <alignment horizontal="left" vertical="center" wrapText="1"/>
    </xf>
    <xf numFmtId="0" fontId="6" fillId="0" borderId="54" xfId="13" applyBorder="1"/>
    <xf numFmtId="0" fontId="30" fillId="0" borderId="24" xfId="13" applyFont="1" applyBorder="1" applyAlignment="1">
      <alignment vertical="center" wrapText="1"/>
    </xf>
    <xf numFmtId="0" fontId="30" fillId="0" borderId="74" xfId="13" applyFont="1" applyBorder="1" applyAlignment="1">
      <alignment vertical="center" wrapText="1"/>
    </xf>
    <xf numFmtId="0" fontId="30" fillId="0" borderId="33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6" fillId="0" borderId="67" xfId="13" applyBorder="1" applyAlignment="1">
      <alignment horizontal="left" vertical="center"/>
    </xf>
    <xf numFmtId="0" fontId="32" fillId="3" borderId="51" xfId="13" applyNumberFormat="1" applyFont="1" applyFill="1" applyBorder="1" applyAlignment="1">
      <alignment horizontal="left" vertical="justify" wrapText="1" indent="1"/>
    </xf>
    <xf numFmtId="0" fontId="32" fillId="3" borderId="0" xfId="13" applyNumberFormat="1" applyFont="1" applyFill="1" applyBorder="1" applyAlignment="1">
      <alignment horizontal="left" vertical="justify" wrapText="1" indent="1"/>
    </xf>
    <xf numFmtId="0" fontId="32" fillId="3" borderId="27" xfId="13" applyNumberFormat="1" applyFont="1" applyFill="1" applyBorder="1" applyAlignment="1">
      <alignment horizontal="left" vertical="justify" wrapText="1" indent="1"/>
    </xf>
    <xf numFmtId="0" fontId="34" fillId="0" borderId="54" xfId="13" applyFont="1" applyBorder="1" applyAlignment="1">
      <alignment horizontal="center" vertical="center"/>
    </xf>
    <xf numFmtId="0" fontId="34" fillId="0" borderId="28" xfId="13" applyFont="1" applyBorder="1" applyAlignment="1">
      <alignment horizontal="center" vertical="center"/>
    </xf>
    <xf numFmtId="0" fontId="34" fillId="0" borderId="54" xfId="13" applyFont="1" applyBorder="1" applyAlignment="1">
      <alignment horizontal="center" vertical="center" wrapText="1"/>
    </xf>
    <xf numFmtId="0" fontId="34" fillId="0" borderId="55" xfId="13" applyFont="1" applyBorder="1" applyAlignment="1">
      <alignment horizontal="center" vertical="center"/>
    </xf>
    <xf numFmtId="0" fontId="6" fillId="0" borderId="61" xfId="13" applyBorder="1" applyAlignment="1">
      <alignment horizontal="left" vertical="center" wrapText="1"/>
    </xf>
    <xf numFmtId="0" fontId="6" fillId="0" borderId="61" xfId="13" applyFont="1" applyBorder="1" applyAlignment="1">
      <alignment horizontal="left" vertical="center" wrapText="1"/>
    </xf>
    <xf numFmtId="0" fontId="6" fillId="0" borderId="67" xfId="13" applyFont="1" applyBorder="1" applyAlignment="1">
      <alignment horizontal="left" vertical="center"/>
    </xf>
    <xf numFmtId="0" fontId="24" fillId="0" borderId="30" xfId="13" applyFont="1" applyBorder="1" applyAlignment="1">
      <alignment horizontal="left" vertical="center" wrapText="1"/>
    </xf>
    <xf numFmtId="0" fontId="24" fillId="0" borderId="49" xfId="13" applyFont="1" applyBorder="1" applyAlignment="1">
      <alignment horizontal="left" vertical="center" wrapText="1"/>
    </xf>
    <xf numFmtId="0" fontId="24" fillId="0" borderId="50" xfId="13" applyFont="1" applyBorder="1" applyAlignment="1">
      <alignment horizontal="left" vertical="center" wrapText="1"/>
    </xf>
    <xf numFmtId="0" fontId="33" fillId="0" borderId="28" xfId="13" applyFont="1" applyBorder="1" applyAlignment="1">
      <alignment horizontal="left" vertical="center"/>
    </xf>
    <xf numFmtId="0" fontId="32" fillId="0" borderId="51" xfId="13" applyFont="1" applyBorder="1"/>
    <xf numFmtId="0" fontId="6" fillId="0" borderId="24" xfId="13" applyFont="1" applyBorder="1" applyAlignment="1">
      <alignment horizontal="center"/>
    </xf>
    <xf numFmtId="0" fontId="30" fillId="0" borderId="26" xfId="13" applyNumberFormat="1" applyFont="1" applyBorder="1" applyAlignment="1">
      <alignment horizontal="center"/>
    </xf>
    <xf numFmtId="0" fontId="31" fillId="0" borderId="28" xfId="13" applyFont="1" applyBorder="1" applyAlignment="1">
      <alignment horizontal="center" vertical="center" wrapText="1"/>
    </xf>
    <xf numFmtId="0" fontId="25" fillId="0" borderId="28" xfId="13" applyFont="1" applyBorder="1" applyAlignment="1">
      <alignment vertical="center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rena/Downloads/NOTA%20DE%20PED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r Gastar"/>
      <sheetName val="Nota de PyE"/>
    </sheetNames>
    <sheetDataSet>
      <sheetData sheetId="0" refreshError="1"/>
      <sheetData sheetId="1" refreshError="1">
        <row r="13">
          <cell r="C13" t="str">
            <v xml:space="preserve">CICLOFOSFAMIDA, FORMA FARMACEUTICA: 1 AMPOLLA, PRESENTACION: 1 GR </v>
          </cell>
        </row>
        <row r="17">
          <cell r="C17" t="str">
            <v xml:space="preserve">ETOPOSIDO, FORMA FARMACEUTICA: 1  AMPOLLA , PRESENTACION: 100 mGr </v>
          </cell>
        </row>
        <row r="19">
          <cell r="C19" t="str">
            <v>CISPLATINO 50 MG X 1 FRASCO-AMP.</v>
          </cell>
        </row>
        <row r="21">
          <cell r="C21" t="str">
            <v>VINCRISTINA 1 MG. 1 FRASCO-AMPOLLA</v>
          </cell>
        </row>
        <row r="33">
          <cell r="C33" t="str">
            <v>CARBOPLATINO POR 1  AMPOLLA, PRESENTACION: 150 mGr,</v>
          </cell>
        </row>
        <row r="58">
          <cell r="C58" t="str">
            <v>IFOSFAMIDA 1 GR X 1 AMPOLLA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8"/>
  <sheetViews>
    <sheetView tabSelected="1" zoomScale="80" zoomScaleNormal="80" workbookViewId="0">
      <selection activeCell="AZ16" sqref="AZ16"/>
    </sheetView>
  </sheetViews>
  <sheetFormatPr baseColWidth="10" defaultColWidth="10.85546875" defaultRowHeight="15" x14ac:dyDescent="0.25"/>
  <cols>
    <col min="1" max="1" width="8.5703125" style="16" customWidth="1"/>
    <col min="2" max="2" width="21.85546875" style="15" customWidth="1"/>
    <col min="3" max="3" width="53.140625" style="16" customWidth="1"/>
    <col min="4" max="4" width="8.42578125" style="3" customWidth="1"/>
    <col min="5" max="5" width="44.85546875" style="20" customWidth="1"/>
    <col min="6" max="6" width="14.42578125" style="3" customWidth="1"/>
    <col min="7" max="7" width="11" style="3" hidden="1" customWidth="1"/>
    <col min="8" max="8" width="14.85546875" style="3" hidden="1" customWidth="1"/>
    <col min="9" max="9" width="11" style="3" hidden="1" customWidth="1"/>
    <col min="10" max="11" width="14.85546875" style="3" hidden="1" customWidth="1"/>
    <col min="12" max="12" width="24" style="3" hidden="1" customWidth="1"/>
    <col min="13" max="13" width="12.85546875" style="6" hidden="1" customWidth="1"/>
    <col min="14" max="14" width="18.85546875" style="7" hidden="1" customWidth="1"/>
    <col min="15" max="15" width="18.85546875" style="9" hidden="1" customWidth="1"/>
    <col min="16" max="16" width="28.5703125" style="3" hidden="1" customWidth="1"/>
    <col min="17" max="17" width="18.85546875" style="6" hidden="1" customWidth="1"/>
    <col min="18" max="18" width="18.85546875" style="3" hidden="1" customWidth="1"/>
    <col min="19" max="19" width="18.85546875" style="9" hidden="1" customWidth="1"/>
    <col min="20" max="20" width="18.85546875" style="21" hidden="1" customWidth="1"/>
    <col min="21" max="21" width="18.85546875" style="6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9.85546875" style="9" hidden="1" customWidth="1"/>
    <col min="32" max="32" width="19.85546875" style="3" hidden="1" customWidth="1"/>
    <col min="33" max="33" width="19.85546875" style="9" hidden="1" customWidth="1"/>
    <col min="34" max="34" width="19.85546875" style="3" hidden="1" customWidth="1"/>
    <col min="35" max="35" width="19.85546875" style="9" hidden="1" customWidth="1"/>
    <col min="36" max="36" width="19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8.85546875" style="9" hidden="1" customWidth="1"/>
    <col min="44" max="44" width="18.85546875" style="3" hidden="1" customWidth="1"/>
    <col min="45" max="45" width="16.42578125" style="11" customWidth="1"/>
    <col min="46" max="46" width="16.5703125" style="13" bestFit="1" customWidth="1"/>
    <col min="47" max="47" width="22.5703125" style="14" customWidth="1"/>
    <col min="48" max="48" width="23.5703125" style="1" customWidth="1"/>
    <col min="49" max="16384" width="10.85546875" style="1"/>
  </cols>
  <sheetData>
    <row r="1" spans="1:48" x14ac:dyDescent="0.25">
      <c r="A1" s="4">
        <v>2021</v>
      </c>
    </row>
    <row r="2" spans="1:48" ht="25.5" x14ac:dyDescent="0.35">
      <c r="B2" s="208" t="s">
        <v>13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9"/>
      <c r="AT2" s="210"/>
    </row>
    <row r="4" spans="1:48" ht="18" customHeight="1" x14ac:dyDescent="0.2">
      <c r="A4" s="207" t="s">
        <v>0</v>
      </c>
      <c r="B4" s="207"/>
      <c r="C4" s="211" t="s">
        <v>12</v>
      </c>
      <c r="D4" s="211"/>
      <c r="E4" s="211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27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8" ht="18" customHeight="1" x14ac:dyDescent="0.2">
      <c r="A5" s="207" t="s">
        <v>1</v>
      </c>
      <c r="B5" s="207"/>
      <c r="C5" s="211" t="s">
        <v>166</v>
      </c>
      <c r="D5" s="211"/>
      <c r="E5" s="211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27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8" ht="22.5" customHeight="1" x14ac:dyDescent="0.2">
      <c r="A6" s="207" t="s">
        <v>2</v>
      </c>
      <c r="B6" s="207"/>
      <c r="C6" s="41">
        <v>2021</v>
      </c>
      <c r="D6" s="42"/>
      <c r="E6" s="42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27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8" ht="31.5" customHeight="1" x14ac:dyDescent="0.2">
      <c r="A7" s="207" t="s">
        <v>3</v>
      </c>
      <c r="B7" s="207"/>
      <c r="C7" s="41" t="s">
        <v>167</v>
      </c>
      <c r="D7" s="17"/>
      <c r="E7" s="17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27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8" ht="2.25" customHeight="1" thickBot="1" x14ac:dyDescent="0.3">
      <c r="B8" s="18"/>
      <c r="C8" s="19"/>
      <c r="D8" s="2"/>
      <c r="E8" s="19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27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8" s="30" customFormat="1" ht="43.5" thickBot="1" x14ac:dyDescent="0.25">
      <c r="A9" s="49" t="s">
        <v>4</v>
      </c>
      <c r="B9" s="50" t="s">
        <v>5</v>
      </c>
      <c r="C9" s="51" t="s">
        <v>6</v>
      </c>
      <c r="D9" s="50" t="s">
        <v>7</v>
      </c>
      <c r="E9" s="51" t="s">
        <v>8</v>
      </c>
      <c r="F9" s="51" t="s">
        <v>9</v>
      </c>
      <c r="G9" s="51" t="s">
        <v>108</v>
      </c>
      <c r="H9" s="51" t="s">
        <v>109</v>
      </c>
      <c r="I9" s="51" t="s">
        <v>106</v>
      </c>
      <c r="J9" s="51" t="s">
        <v>107</v>
      </c>
      <c r="K9" s="51" t="s">
        <v>15</v>
      </c>
      <c r="L9" s="51" t="s">
        <v>16</v>
      </c>
      <c r="M9" s="52" t="s">
        <v>17</v>
      </c>
      <c r="N9" s="53" t="s">
        <v>18</v>
      </c>
      <c r="O9" s="54" t="s">
        <v>19</v>
      </c>
      <c r="P9" s="51" t="s">
        <v>20</v>
      </c>
      <c r="Q9" s="52" t="s">
        <v>21</v>
      </c>
      <c r="R9" s="51" t="s">
        <v>22</v>
      </c>
      <c r="S9" s="54" t="s">
        <v>23</v>
      </c>
      <c r="T9" s="55" t="s">
        <v>24</v>
      </c>
      <c r="U9" s="52" t="s">
        <v>25</v>
      </c>
      <c r="V9" s="51" t="s">
        <v>26</v>
      </c>
      <c r="W9" s="54" t="s">
        <v>27</v>
      </c>
      <c r="X9" s="51" t="s">
        <v>28</v>
      </c>
      <c r="Y9" s="54" t="s">
        <v>29</v>
      </c>
      <c r="Z9" s="51" t="s">
        <v>30</v>
      </c>
      <c r="AA9" s="54" t="s">
        <v>31</v>
      </c>
      <c r="AB9" s="51" t="s">
        <v>32</v>
      </c>
      <c r="AC9" s="56" t="s">
        <v>33</v>
      </c>
      <c r="AD9" s="51" t="s">
        <v>34</v>
      </c>
      <c r="AE9" s="54" t="s">
        <v>35</v>
      </c>
      <c r="AF9" s="51" t="s">
        <v>36</v>
      </c>
      <c r="AG9" s="54" t="s">
        <v>37</v>
      </c>
      <c r="AH9" s="51" t="s">
        <v>38</v>
      </c>
      <c r="AI9" s="54" t="s">
        <v>39</v>
      </c>
      <c r="AJ9" s="51" t="s">
        <v>40</v>
      </c>
      <c r="AK9" s="54" t="s">
        <v>41</v>
      </c>
      <c r="AL9" s="51" t="s">
        <v>42</v>
      </c>
      <c r="AM9" s="56" t="s">
        <v>43</v>
      </c>
      <c r="AN9" s="51" t="s">
        <v>44</v>
      </c>
      <c r="AO9" s="54" t="s">
        <v>45</v>
      </c>
      <c r="AP9" s="51" t="s">
        <v>46</v>
      </c>
      <c r="AQ9" s="54" t="s">
        <v>47</v>
      </c>
      <c r="AR9" s="51" t="s">
        <v>48</v>
      </c>
      <c r="AS9" s="54" t="s">
        <v>14</v>
      </c>
      <c r="AT9" s="57" t="s">
        <v>10</v>
      </c>
      <c r="AU9" s="58" t="s">
        <v>11</v>
      </c>
      <c r="AV9" s="28"/>
    </row>
    <row r="10" spans="1:48" s="29" customFormat="1" ht="52.5" customHeight="1" x14ac:dyDescent="0.25">
      <c r="A10" s="59">
        <v>1</v>
      </c>
      <c r="B10" s="64"/>
      <c r="C10" s="43" t="s">
        <v>49</v>
      </c>
      <c r="D10" s="44" t="s">
        <v>50</v>
      </c>
      <c r="E10" s="43" t="s">
        <v>51</v>
      </c>
      <c r="F10" s="45" t="s">
        <v>52</v>
      </c>
      <c r="G10" s="65"/>
      <c r="H10" s="65"/>
      <c r="I10" s="65"/>
      <c r="J10" s="65"/>
      <c r="K10" s="65"/>
      <c r="L10" s="65"/>
      <c r="M10" s="66"/>
      <c r="N10" s="67"/>
      <c r="O10" s="47"/>
      <c r="P10" s="65"/>
      <c r="Q10" s="46">
        <v>5</v>
      </c>
      <c r="R10" s="68">
        <f t="shared" ref="R10:R41" si="0">+Q10*AT10</f>
        <v>27060</v>
      </c>
      <c r="S10" s="47"/>
      <c r="T10" s="68"/>
      <c r="U10" s="66"/>
      <c r="V10" s="65"/>
      <c r="W10" s="47"/>
      <c r="X10" s="65"/>
      <c r="Y10" s="47"/>
      <c r="Z10" s="65"/>
      <c r="AA10" s="47"/>
      <c r="AB10" s="65"/>
      <c r="AC10" s="47"/>
      <c r="AD10" s="65"/>
      <c r="AE10" s="47"/>
      <c r="AF10" s="65"/>
      <c r="AG10" s="47"/>
      <c r="AH10" s="65"/>
      <c r="AI10" s="47"/>
      <c r="AJ10" s="65"/>
      <c r="AK10" s="47"/>
      <c r="AL10" s="65"/>
      <c r="AM10" s="47"/>
      <c r="AN10" s="65"/>
      <c r="AO10" s="47"/>
      <c r="AP10" s="65"/>
      <c r="AQ10" s="47"/>
      <c r="AR10" s="65"/>
      <c r="AS10" s="47">
        <f t="shared" ref="AS10:AS41" si="1">+Q10</f>
        <v>5</v>
      </c>
      <c r="AT10" s="48">
        <v>5412</v>
      </c>
      <c r="AU10" s="60">
        <f t="shared" ref="AU10:AU41" si="2">+AS10*AT10</f>
        <v>27060</v>
      </c>
      <c r="AV10" s="206"/>
    </row>
    <row r="11" spans="1:48" s="29" customFormat="1" ht="26.25" customHeight="1" x14ac:dyDescent="0.25">
      <c r="A11" s="61">
        <v>2</v>
      </c>
      <c r="B11" s="69"/>
      <c r="C11" s="31" t="s">
        <v>49</v>
      </c>
      <c r="D11" s="23" t="s">
        <v>50</v>
      </c>
      <c r="E11" s="32" t="s">
        <v>53</v>
      </c>
      <c r="F11" s="25" t="s">
        <v>54</v>
      </c>
      <c r="G11" s="70"/>
      <c r="H11" s="70"/>
      <c r="I11" s="70"/>
      <c r="J11" s="70"/>
      <c r="K11" s="70"/>
      <c r="L11" s="70"/>
      <c r="M11" s="71"/>
      <c r="N11" s="72"/>
      <c r="O11" s="22"/>
      <c r="P11" s="70"/>
      <c r="Q11" s="33">
        <v>20</v>
      </c>
      <c r="R11" s="73">
        <f t="shared" si="0"/>
        <v>11600</v>
      </c>
      <c r="S11" s="22"/>
      <c r="T11" s="73"/>
      <c r="U11" s="71"/>
      <c r="V11" s="70"/>
      <c r="W11" s="22"/>
      <c r="X11" s="70"/>
      <c r="Y11" s="22"/>
      <c r="Z11" s="70"/>
      <c r="AA11" s="22"/>
      <c r="AB11" s="70"/>
      <c r="AC11" s="22"/>
      <c r="AD11" s="70"/>
      <c r="AE11" s="22"/>
      <c r="AF11" s="70"/>
      <c r="AG11" s="22"/>
      <c r="AH11" s="70"/>
      <c r="AI11" s="22"/>
      <c r="AJ11" s="70"/>
      <c r="AK11" s="22"/>
      <c r="AL11" s="70"/>
      <c r="AM11" s="22"/>
      <c r="AN11" s="70"/>
      <c r="AO11" s="22"/>
      <c r="AP11" s="70"/>
      <c r="AQ11" s="22"/>
      <c r="AR11" s="70"/>
      <c r="AS11" s="22">
        <f t="shared" si="1"/>
        <v>20</v>
      </c>
      <c r="AT11" s="34">
        <v>580</v>
      </c>
      <c r="AU11" s="62">
        <f t="shared" si="2"/>
        <v>11600</v>
      </c>
      <c r="AV11" s="206"/>
    </row>
    <row r="12" spans="1:48" s="29" customFormat="1" ht="26.25" customHeight="1" x14ac:dyDescent="0.25">
      <c r="A12" s="61">
        <v>3</v>
      </c>
      <c r="B12" s="69"/>
      <c r="C12" s="31" t="s">
        <v>49</v>
      </c>
      <c r="D12" s="23" t="s">
        <v>50</v>
      </c>
      <c r="E12" s="35" t="s">
        <v>55</v>
      </c>
      <c r="F12" s="25" t="s">
        <v>52</v>
      </c>
      <c r="G12" s="70"/>
      <c r="H12" s="70"/>
      <c r="I12" s="70"/>
      <c r="J12" s="70"/>
      <c r="K12" s="70"/>
      <c r="L12" s="70"/>
      <c r="M12" s="71"/>
      <c r="N12" s="72"/>
      <c r="O12" s="22"/>
      <c r="P12" s="70"/>
      <c r="Q12" s="33">
        <v>14</v>
      </c>
      <c r="R12" s="73">
        <f t="shared" si="0"/>
        <v>2643858</v>
      </c>
      <c r="S12" s="22"/>
      <c r="T12" s="73"/>
      <c r="U12" s="71"/>
      <c r="V12" s="70"/>
      <c r="W12" s="22"/>
      <c r="X12" s="70"/>
      <c r="Y12" s="22"/>
      <c r="Z12" s="70"/>
      <c r="AA12" s="22"/>
      <c r="AB12" s="70"/>
      <c r="AC12" s="22"/>
      <c r="AD12" s="70"/>
      <c r="AE12" s="22"/>
      <c r="AF12" s="70"/>
      <c r="AG12" s="22"/>
      <c r="AH12" s="70"/>
      <c r="AI12" s="22"/>
      <c r="AJ12" s="70"/>
      <c r="AK12" s="22"/>
      <c r="AL12" s="70"/>
      <c r="AM12" s="22"/>
      <c r="AN12" s="70"/>
      <c r="AO12" s="22"/>
      <c r="AP12" s="70"/>
      <c r="AQ12" s="22"/>
      <c r="AR12" s="70"/>
      <c r="AS12" s="22">
        <f t="shared" si="1"/>
        <v>14</v>
      </c>
      <c r="AT12" s="34">
        <v>188847</v>
      </c>
      <c r="AU12" s="62">
        <f t="shared" si="2"/>
        <v>2643858</v>
      </c>
      <c r="AV12" s="206"/>
    </row>
    <row r="13" spans="1:48" s="29" customFormat="1" ht="26.25" customHeight="1" x14ac:dyDescent="0.25">
      <c r="A13" s="61">
        <v>4</v>
      </c>
      <c r="B13" s="69"/>
      <c r="C13" s="31" t="s">
        <v>49</v>
      </c>
      <c r="D13" s="23" t="s">
        <v>50</v>
      </c>
      <c r="E13" s="69" t="s">
        <v>56</v>
      </c>
      <c r="F13" s="25" t="s">
        <v>52</v>
      </c>
      <c r="G13" s="70"/>
      <c r="H13" s="70"/>
      <c r="I13" s="70"/>
      <c r="J13" s="70"/>
      <c r="K13" s="70"/>
      <c r="L13" s="70"/>
      <c r="M13" s="71"/>
      <c r="N13" s="72"/>
      <c r="O13" s="22"/>
      <c r="P13" s="70"/>
      <c r="Q13" s="33">
        <v>10</v>
      </c>
      <c r="R13" s="73">
        <f t="shared" si="0"/>
        <v>700000</v>
      </c>
      <c r="S13" s="22"/>
      <c r="T13" s="73"/>
      <c r="U13" s="71"/>
      <c r="V13" s="70"/>
      <c r="W13" s="22"/>
      <c r="X13" s="70"/>
      <c r="Y13" s="22"/>
      <c r="Z13" s="70"/>
      <c r="AA13" s="22"/>
      <c r="AB13" s="70"/>
      <c r="AC13" s="22"/>
      <c r="AD13" s="70"/>
      <c r="AE13" s="22"/>
      <c r="AF13" s="70"/>
      <c r="AG13" s="22"/>
      <c r="AH13" s="70"/>
      <c r="AI13" s="22"/>
      <c r="AJ13" s="70"/>
      <c r="AK13" s="22"/>
      <c r="AL13" s="70"/>
      <c r="AM13" s="22"/>
      <c r="AN13" s="70"/>
      <c r="AO13" s="22"/>
      <c r="AP13" s="70"/>
      <c r="AQ13" s="22"/>
      <c r="AR13" s="70"/>
      <c r="AS13" s="22">
        <f t="shared" si="1"/>
        <v>10</v>
      </c>
      <c r="AT13" s="34">
        <v>70000</v>
      </c>
      <c r="AU13" s="62">
        <f t="shared" si="2"/>
        <v>700000</v>
      </c>
      <c r="AV13" s="206"/>
    </row>
    <row r="14" spans="1:48" s="29" customFormat="1" ht="52.5" customHeight="1" x14ac:dyDescent="0.25">
      <c r="A14" s="61">
        <v>5</v>
      </c>
      <c r="B14" s="69"/>
      <c r="C14" s="31" t="s">
        <v>49</v>
      </c>
      <c r="D14" s="23" t="s">
        <v>50</v>
      </c>
      <c r="E14" s="31" t="s">
        <v>57</v>
      </c>
      <c r="F14" s="24" t="s">
        <v>52</v>
      </c>
      <c r="G14" s="70"/>
      <c r="H14" s="70"/>
      <c r="I14" s="70"/>
      <c r="J14" s="70"/>
      <c r="K14" s="70"/>
      <c r="L14" s="70"/>
      <c r="M14" s="71"/>
      <c r="N14" s="72"/>
      <c r="O14" s="22"/>
      <c r="P14" s="70"/>
      <c r="Q14" s="35">
        <v>10</v>
      </c>
      <c r="R14" s="73">
        <f t="shared" si="0"/>
        <v>1447640</v>
      </c>
      <c r="S14" s="22"/>
      <c r="T14" s="73"/>
      <c r="U14" s="71"/>
      <c r="V14" s="70"/>
      <c r="W14" s="22"/>
      <c r="X14" s="70"/>
      <c r="Y14" s="22"/>
      <c r="Z14" s="70"/>
      <c r="AA14" s="22"/>
      <c r="AB14" s="70"/>
      <c r="AC14" s="22"/>
      <c r="AD14" s="70"/>
      <c r="AE14" s="22"/>
      <c r="AF14" s="70"/>
      <c r="AG14" s="22"/>
      <c r="AH14" s="70"/>
      <c r="AI14" s="22"/>
      <c r="AJ14" s="70"/>
      <c r="AK14" s="22"/>
      <c r="AL14" s="70"/>
      <c r="AM14" s="22"/>
      <c r="AN14" s="70"/>
      <c r="AO14" s="22"/>
      <c r="AP14" s="70"/>
      <c r="AQ14" s="22"/>
      <c r="AR14" s="70"/>
      <c r="AS14" s="22">
        <f t="shared" si="1"/>
        <v>10</v>
      </c>
      <c r="AT14" s="36">
        <v>144764</v>
      </c>
      <c r="AU14" s="62">
        <f t="shared" si="2"/>
        <v>1447640</v>
      </c>
      <c r="AV14" s="206"/>
    </row>
    <row r="15" spans="1:48" s="29" customFormat="1" ht="22.5" customHeight="1" x14ac:dyDescent="0.25">
      <c r="A15" s="61">
        <v>6</v>
      </c>
      <c r="B15" s="69"/>
      <c r="C15" s="31" t="s">
        <v>49</v>
      </c>
      <c r="D15" s="23" t="s">
        <v>50</v>
      </c>
      <c r="E15" s="35" t="s">
        <v>58</v>
      </c>
      <c r="F15" s="24" t="s">
        <v>52</v>
      </c>
      <c r="G15" s="70"/>
      <c r="H15" s="70"/>
      <c r="I15" s="70"/>
      <c r="J15" s="70"/>
      <c r="K15" s="70"/>
      <c r="L15" s="70"/>
      <c r="M15" s="71"/>
      <c r="N15" s="72"/>
      <c r="O15" s="22"/>
      <c r="P15" s="70"/>
      <c r="Q15" s="35">
        <v>15</v>
      </c>
      <c r="R15" s="73">
        <f t="shared" si="0"/>
        <v>38700</v>
      </c>
      <c r="S15" s="22"/>
      <c r="T15" s="73"/>
      <c r="U15" s="71"/>
      <c r="V15" s="70"/>
      <c r="W15" s="22"/>
      <c r="X15" s="70"/>
      <c r="Y15" s="22"/>
      <c r="Z15" s="70"/>
      <c r="AA15" s="22"/>
      <c r="AB15" s="70"/>
      <c r="AC15" s="22"/>
      <c r="AD15" s="70"/>
      <c r="AE15" s="22"/>
      <c r="AF15" s="70"/>
      <c r="AG15" s="22"/>
      <c r="AH15" s="70"/>
      <c r="AI15" s="22"/>
      <c r="AJ15" s="70"/>
      <c r="AK15" s="22"/>
      <c r="AL15" s="70"/>
      <c r="AM15" s="22"/>
      <c r="AN15" s="70"/>
      <c r="AO15" s="22"/>
      <c r="AP15" s="70"/>
      <c r="AQ15" s="22"/>
      <c r="AR15" s="70"/>
      <c r="AS15" s="22">
        <f t="shared" si="1"/>
        <v>15</v>
      </c>
      <c r="AT15" s="36">
        <v>2580</v>
      </c>
      <c r="AU15" s="62">
        <f t="shared" si="2"/>
        <v>38700</v>
      </c>
      <c r="AV15" s="206"/>
    </row>
    <row r="16" spans="1:48" s="29" customFormat="1" ht="52.5" customHeight="1" x14ac:dyDescent="0.25">
      <c r="A16" s="61">
        <v>7</v>
      </c>
      <c r="B16" s="69"/>
      <c r="C16" s="31" t="s">
        <v>49</v>
      </c>
      <c r="D16" s="23" t="s">
        <v>50</v>
      </c>
      <c r="E16" s="35" t="s">
        <v>59</v>
      </c>
      <c r="F16" s="25" t="s">
        <v>52</v>
      </c>
      <c r="G16" s="70"/>
      <c r="H16" s="70"/>
      <c r="I16" s="70"/>
      <c r="J16" s="70"/>
      <c r="K16" s="70"/>
      <c r="L16" s="70"/>
      <c r="M16" s="71"/>
      <c r="N16" s="72"/>
      <c r="O16" s="22"/>
      <c r="P16" s="70"/>
      <c r="Q16" s="33">
        <v>4</v>
      </c>
      <c r="R16" s="73">
        <f t="shared" si="0"/>
        <v>21680</v>
      </c>
      <c r="S16" s="22"/>
      <c r="T16" s="73"/>
      <c r="U16" s="71"/>
      <c r="V16" s="70"/>
      <c r="W16" s="22"/>
      <c r="X16" s="70"/>
      <c r="Y16" s="22"/>
      <c r="Z16" s="70"/>
      <c r="AA16" s="22"/>
      <c r="AB16" s="70"/>
      <c r="AC16" s="22"/>
      <c r="AD16" s="70"/>
      <c r="AE16" s="22"/>
      <c r="AF16" s="70"/>
      <c r="AG16" s="22"/>
      <c r="AH16" s="70"/>
      <c r="AI16" s="22"/>
      <c r="AJ16" s="70"/>
      <c r="AK16" s="22"/>
      <c r="AL16" s="70"/>
      <c r="AM16" s="22"/>
      <c r="AN16" s="70"/>
      <c r="AO16" s="22"/>
      <c r="AP16" s="70"/>
      <c r="AQ16" s="22"/>
      <c r="AR16" s="70"/>
      <c r="AS16" s="22">
        <f t="shared" si="1"/>
        <v>4</v>
      </c>
      <c r="AT16" s="34">
        <v>5420</v>
      </c>
      <c r="AU16" s="62">
        <f t="shared" si="2"/>
        <v>21680</v>
      </c>
      <c r="AV16" s="206"/>
    </row>
    <row r="17" spans="1:48" s="29" customFormat="1" ht="52.5" customHeight="1" x14ac:dyDescent="0.25">
      <c r="A17" s="61">
        <v>8</v>
      </c>
      <c r="B17" s="69"/>
      <c r="C17" s="31" t="s">
        <v>49</v>
      </c>
      <c r="D17" s="23" t="s">
        <v>50</v>
      </c>
      <c r="E17" s="31" t="s">
        <v>60</v>
      </c>
      <c r="F17" s="25" t="s">
        <v>54</v>
      </c>
      <c r="G17" s="70"/>
      <c r="H17" s="70"/>
      <c r="I17" s="70"/>
      <c r="J17" s="70"/>
      <c r="K17" s="70"/>
      <c r="L17" s="70"/>
      <c r="M17" s="71"/>
      <c r="N17" s="72"/>
      <c r="O17" s="22"/>
      <c r="P17" s="70"/>
      <c r="Q17" s="33">
        <v>5</v>
      </c>
      <c r="R17" s="73">
        <f t="shared" si="0"/>
        <v>42780</v>
      </c>
      <c r="S17" s="22"/>
      <c r="T17" s="73"/>
      <c r="U17" s="71"/>
      <c r="V17" s="70"/>
      <c r="W17" s="22"/>
      <c r="X17" s="70"/>
      <c r="Y17" s="22"/>
      <c r="Z17" s="70"/>
      <c r="AA17" s="22"/>
      <c r="AB17" s="70"/>
      <c r="AC17" s="22"/>
      <c r="AD17" s="70"/>
      <c r="AE17" s="22"/>
      <c r="AF17" s="70"/>
      <c r="AG17" s="22"/>
      <c r="AH17" s="70"/>
      <c r="AI17" s="22"/>
      <c r="AJ17" s="70"/>
      <c r="AK17" s="22"/>
      <c r="AL17" s="70"/>
      <c r="AM17" s="22"/>
      <c r="AN17" s="70"/>
      <c r="AO17" s="22"/>
      <c r="AP17" s="70"/>
      <c r="AQ17" s="22"/>
      <c r="AR17" s="70"/>
      <c r="AS17" s="22">
        <f t="shared" si="1"/>
        <v>5</v>
      </c>
      <c r="AT17" s="34">
        <v>8556</v>
      </c>
      <c r="AU17" s="62">
        <f t="shared" si="2"/>
        <v>42780</v>
      </c>
      <c r="AV17" s="206"/>
    </row>
    <row r="18" spans="1:48" s="29" customFormat="1" ht="36.75" customHeight="1" x14ac:dyDescent="0.25">
      <c r="A18" s="61">
        <v>9</v>
      </c>
      <c r="B18" s="69"/>
      <c r="C18" s="31" t="s">
        <v>49</v>
      </c>
      <c r="D18" s="23" t="s">
        <v>50</v>
      </c>
      <c r="E18" s="31" t="str">
        <f>'[1]Nota de PyE'!$C$33</f>
        <v>CARBOPLATINO POR 1  AMPOLLA, PRESENTACION: 150 mGr,</v>
      </c>
      <c r="F18" s="24" t="s">
        <v>52</v>
      </c>
      <c r="G18" s="70"/>
      <c r="H18" s="70"/>
      <c r="I18" s="70"/>
      <c r="J18" s="70"/>
      <c r="K18" s="70"/>
      <c r="L18" s="70"/>
      <c r="M18" s="71"/>
      <c r="N18" s="72"/>
      <c r="O18" s="22"/>
      <c r="P18" s="70"/>
      <c r="Q18" s="35">
        <v>20</v>
      </c>
      <c r="R18" s="73">
        <f t="shared" si="0"/>
        <v>21700</v>
      </c>
      <c r="S18" s="22"/>
      <c r="T18" s="73"/>
      <c r="U18" s="71"/>
      <c r="V18" s="70"/>
      <c r="W18" s="22"/>
      <c r="X18" s="70"/>
      <c r="Y18" s="22"/>
      <c r="Z18" s="70"/>
      <c r="AA18" s="22"/>
      <c r="AB18" s="70"/>
      <c r="AC18" s="22"/>
      <c r="AD18" s="70"/>
      <c r="AE18" s="22"/>
      <c r="AF18" s="70"/>
      <c r="AG18" s="22"/>
      <c r="AH18" s="70"/>
      <c r="AI18" s="22"/>
      <c r="AJ18" s="70"/>
      <c r="AK18" s="22"/>
      <c r="AL18" s="70"/>
      <c r="AM18" s="22"/>
      <c r="AN18" s="70"/>
      <c r="AO18" s="22"/>
      <c r="AP18" s="70"/>
      <c r="AQ18" s="22"/>
      <c r="AR18" s="70"/>
      <c r="AS18" s="22">
        <f t="shared" si="1"/>
        <v>20</v>
      </c>
      <c r="AT18" s="36">
        <v>1085</v>
      </c>
      <c r="AU18" s="62">
        <f t="shared" si="2"/>
        <v>21700</v>
      </c>
      <c r="AV18" s="206"/>
    </row>
    <row r="19" spans="1:48" s="29" customFormat="1" ht="37.5" customHeight="1" x14ac:dyDescent="0.25">
      <c r="A19" s="61">
        <v>10</v>
      </c>
      <c r="B19" s="69"/>
      <c r="C19" s="31" t="s">
        <v>49</v>
      </c>
      <c r="D19" s="23" t="s">
        <v>50</v>
      </c>
      <c r="E19" s="31" t="s">
        <v>61</v>
      </c>
      <c r="F19" s="25" t="s">
        <v>52</v>
      </c>
      <c r="G19" s="70"/>
      <c r="H19" s="70"/>
      <c r="I19" s="70"/>
      <c r="J19" s="70"/>
      <c r="K19" s="70"/>
      <c r="L19" s="70"/>
      <c r="M19" s="71"/>
      <c r="N19" s="72"/>
      <c r="O19" s="22"/>
      <c r="P19" s="70"/>
      <c r="Q19" s="33">
        <v>30</v>
      </c>
      <c r="R19" s="73">
        <f t="shared" si="0"/>
        <v>166050</v>
      </c>
      <c r="S19" s="22"/>
      <c r="T19" s="73"/>
      <c r="U19" s="71"/>
      <c r="V19" s="70"/>
      <c r="W19" s="22"/>
      <c r="X19" s="70"/>
      <c r="Y19" s="22"/>
      <c r="Z19" s="70"/>
      <c r="AA19" s="22"/>
      <c r="AB19" s="70"/>
      <c r="AC19" s="22"/>
      <c r="AD19" s="70"/>
      <c r="AE19" s="22"/>
      <c r="AF19" s="70"/>
      <c r="AG19" s="22"/>
      <c r="AH19" s="70"/>
      <c r="AI19" s="22"/>
      <c r="AJ19" s="70"/>
      <c r="AK19" s="22"/>
      <c r="AL19" s="70"/>
      <c r="AM19" s="22"/>
      <c r="AN19" s="70"/>
      <c r="AO19" s="22"/>
      <c r="AP19" s="70"/>
      <c r="AQ19" s="22"/>
      <c r="AR19" s="70"/>
      <c r="AS19" s="22">
        <f t="shared" si="1"/>
        <v>30</v>
      </c>
      <c r="AT19" s="34">
        <v>5535</v>
      </c>
      <c r="AU19" s="62">
        <f t="shared" si="2"/>
        <v>166050</v>
      </c>
      <c r="AV19" s="206"/>
    </row>
    <row r="20" spans="1:48" s="29" customFormat="1" ht="45" x14ac:dyDescent="0.25">
      <c r="A20" s="61">
        <v>11</v>
      </c>
      <c r="B20" s="69"/>
      <c r="C20" s="31" t="s">
        <v>49</v>
      </c>
      <c r="D20" s="23" t="s">
        <v>50</v>
      </c>
      <c r="E20" s="31" t="str">
        <f>'[1]Nota de PyE'!$C$13</f>
        <v xml:space="preserve">CICLOFOSFAMIDA, FORMA FARMACEUTICA: 1 AMPOLLA, PRESENTACION: 1 GR </v>
      </c>
      <c r="F20" s="25" t="s">
        <v>52</v>
      </c>
      <c r="G20" s="70"/>
      <c r="H20" s="70"/>
      <c r="I20" s="70"/>
      <c r="J20" s="70"/>
      <c r="K20" s="70"/>
      <c r="L20" s="70"/>
      <c r="M20" s="71"/>
      <c r="N20" s="72"/>
      <c r="O20" s="22"/>
      <c r="P20" s="70"/>
      <c r="Q20" s="33">
        <v>50</v>
      </c>
      <c r="R20" s="73">
        <f t="shared" si="0"/>
        <v>50000</v>
      </c>
      <c r="S20" s="22"/>
      <c r="T20" s="73"/>
      <c r="U20" s="71"/>
      <c r="V20" s="70"/>
      <c r="W20" s="22"/>
      <c r="X20" s="70"/>
      <c r="Y20" s="22"/>
      <c r="Z20" s="70"/>
      <c r="AA20" s="22"/>
      <c r="AB20" s="70"/>
      <c r="AC20" s="22"/>
      <c r="AD20" s="70"/>
      <c r="AE20" s="22"/>
      <c r="AF20" s="70"/>
      <c r="AG20" s="22"/>
      <c r="AH20" s="70"/>
      <c r="AI20" s="22"/>
      <c r="AJ20" s="70"/>
      <c r="AK20" s="22"/>
      <c r="AL20" s="70"/>
      <c r="AM20" s="22"/>
      <c r="AN20" s="70"/>
      <c r="AO20" s="22"/>
      <c r="AP20" s="70"/>
      <c r="AQ20" s="22"/>
      <c r="AR20" s="70"/>
      <c r="AS20" s="22">
        <f t="shared" si="1"/>
        <v>50</v>
      </c>
      <c r="AT20" s="34">
        <v>1000</v>
      </c>
      <c r="AU20" s="62">
        <f t="shared" si="2"/>
        <v>50000</v>
      </c>
      <c r="AV20" s="206"/>
    </row>
    <row r="21" spans="1:48" s="29" customFormat="1" ht="45" x14ac:dyDescent="0.25">
      <c r="A21" s="61">
        <v>12</v>
      </c>
      <c r="B21" s="69"/>
      <c r="C21" s="31" t="s">
        <v>49</v>
      </c>
      <c r="D21" s="23" t="s">
        <v>50</v>
      </c>
      <c r="E21" s="35" t="s">
        <v>62</v>
      </c>
      <c r="F21" s="26" t="s">
        <v>52</v>
      </c>
      <c r="G21" s="70"/>
      <c r="H21" s="70"/>
      <c r="I21" s="70"/>
      <c r="J21" s="70"/>
      <c r="K21" s="70"/>
      <c r="L21" s="70"/>
      <c r="M21" s="71"/>
      <c r="N21" s="72"/>
      <c r="O21" s="22"/>
      <c r="P21" s="70"/>
      <c r="Q21" s="37">
        <v>50</v>
      </c>
      <c r="R21" s="73">
        <f t="shared" si="0"/>
        <v>300000</v>
      </c>
      <c r="S21" s="22"/>
      <c r="T21" s="73"/>
      <c r="U21" s="71"/>
      <c r="V21" s="70"/>
      <c r="W21" s="22"/>
      <c r="X21" s="70"/>
      <c r="Y21" s="22"/>
      <c r="Z21" s="70"/>
      <c r="AA21" s="22"/>
      <c r="AB21" s="70"/>
      <c r="AC21" s="22"/>
      <c r="AD21" s="70"/>
      <c r="AE21" s="22"/>
      <c r="AF21" s="70"/>
      <c r="AG21" s="22"/>
      <c r="AH21" s="70"/>
      <c r="AI21" s="22"/>
      <c r="AJ21" s="70"/>
      <c r="AK21" s="22"/>
      <c r="AL21" s="70"/>
      <c r="AM21" s="22"/>
      <c r="AN21" s="70"/>
      <c r="AO21" s="22"/>
      <c r="AP21" s="70"/>
      <c r="AQ21" s="22"/>
      <c r="AR21" s="70"/>
      <c r="AS21" s="22">
        <f t="shared" si="1"/>
        <v>50</v>
      </c>
      <c r="AT21" s="34">
        <v>6000</v>
      </c>
      <c r="AU21" s="62">
        <f t="shared" si="2"/>
        <v>300000</v>
      </c>
      <c r="AV21" s="206"/>
    </row>
    <row r="22" spans="1:48" s="29" customFormat="1" ht="22.5" customHeight="1" x14ac:dyDescent="0.25">
      <c r="A22" s="61">
        <v>13</v>
      </c>
      <c r="B22" s="69"/>
      <c r="C22" s="31" t="s">
        <v>49</v>
      </c>
      <c r="D22" s="23" t="s">
        <v>50</v>
      </c>
      <c r="E22" s="32" t="str">
        <f>'[1]Nota de PyE'!$C$19</f>
        <v>CISPLATINO 50 MG X 1 FRASCO-AMP.</v>
      </c>
      <c r="F22" s="25" t="s">
        <v>52</v>
      </c>
      <c r="G22" s="70"/>
      <c r="H22" s="70"/>
      <c r="I22" s="70"/>
      <c r="J22" s="70"/>
      <c r="K22" s="70"/>
      <c r="L22" s="70"/>
      <c r="M22" s="71"/>
      <c r="N22" s="72"/>
      <c r="O22" s="22"/>
      <c r="P22" s="70"/>
      <c r="Q22" s="33">
        <v>30</v>
      </c>
      <c r="R22" s="73">
        <f t="shared" si="0"/>
        <v>35940</v>
      </c>
      <c r="S22" s="22"/>
      <c r="T22" s="73"/>
      <c r="U22" s="71"/>
      <c r="V22" s="70"/>
      <c r="W22" s="22"/>
      <c r="X22" s="70"/>
      <c r="Y22" s="22"/>
      <c r="Z22" s="70"/>
      <c r="AA22" s="22"/>
      <c r="AB22" s="70"/>
      <c r="AC22" s="22"/>
      <c r="AD22" s="70"/>
      <c r="AE22" s="22"/>
      <c r="AF22" s="70"/>
      <c r="AG22" s="22"/>
      <c r="AH22" s="70"/>
      <c r="AI22" s="22"/>
      <c r="AJ22" s="70"/>
      <c r="AK22" s="22"/>
      <c r="AL22" s="70"/>
      <c r="AM22" s="22"/>
      <c r="AN22" s="70"/>
      <c r="AO22" s="22"/>
      <c r="AP22" s="70"/>
      <c r="AQ22" s="22"/>
      <c r="AR22" s="70"/>
      <c r="AS22" s="22">
        <f t="shared" si="1"/>
        <v>30</v>
      </c>
      <c r="AT22" s="34">
        <v>1198</v>
      </c>
      <c r="AU22" s="62">
        <f t="shared" si="2"/>
        <v>35940</v>
      </c>
      <c r="AV22" s="206"/>
    </row>
    <row r="23" spans="1:48" s="29" customFormat="1" ht="22.5" customHeight="1" x14ac:dyDescent="0.25">
      <c r="A23" s="61">
        <v>14</v>
      </c>
      <c r="B23" s="69"/>
      <c r="C23" s="31" t="s">
        <v>49</v>
      </c>
      <c r="D23" s="23" t="s">
        <v>50</v>
      </c>
      <c r="E23" s="32" t="s">
        <v>63</v>
      </c>
      <c r="F23" s="25" t="s">
        <v>52</v>
      </c>
      <c r="G23" s="70"/>
      <c r="H23" s="70"/>
      <c r="I23" s="70"/>
      <c r="J23" s="70"/>
      <c r="K23" s="70"/>
      <c r="L23" s="70"/>
      <c r="M23" s="71"/>
      <c r="N23" s="72"/>
      <c r="O23" s="22"/>
      <c r="P23" s="70"/>
      <c r="Q23" s="33">
        <v>50</v>
      </c>
      <c r="R23" s="73">
        <f t="shared" si="0"/>
        <v>50000</v>
      </c>
      <c r="S23" s="22"/>
      <c r="T23" s="73"/>
      <c r="U23" s="71"/>
      <c r="V23" s="70"/>
      <c r="W23" s="22"/>
      <c r="X23" s="70"/>
      <c r="Y23" s="22"/>
      <c r="Z23" s="70"/>
      <c r="AA23" s="22"/>
      <c r="AB23" s="70"/>
      <c r="AC23" s="22"/>
      <c r="AD23" s="70"/>
      <c r="AE23" s="22"/>
      <c r="AF23" s="70"/>
      <c r="AG23" s="22"/>
      <c r="AH23" s="70"/>
      <c r="AI23" s="22"/>
      <c r="AJ23" s="70"/>
      <c r="AK23" s="22"/>
      <c r="AL23" s="70"/>
      <c r="AM23" s="22"/>
      <c r="AN23" s="70"/>
      <c r="AO23" s="22"/>
      <c r="AP23" s="70"/>
      <c r="AQ23" s="22"/>
      <c r="AR23" s="70"/>
      <c r="AS23" s="22">
        <f t="shared" si="1"/>
        <v>50</v>
      </c>
      <c r="AT23" s="34">
        <v>1000</v>
      </c>
      <c r="AU23" s="62">
        <f t="shared" si="2"/>
        <v>50000</v>
      </c>
      <c r="AV23" s="206"/>
    </row>
    <row r="24" spans="1:48" s="29" customFormat="1" ht="37.5" customHeight="1" x14ac:dyDescent="0.25">
      <c r="A24" s="61">
        <v>15</v>
      </c>
      <c r="B24" s="69"/>
      <c r="C24" s="31" t="s">
        <v>49</v>
      </c>
      <c r="D24" s="23" t="s">
        <v>50</v>
      </c>
      <c r="E24" s="31" t="s">
        <v>64</v>
      </c>
      <c r="F24" s="25" t="s">
        <v>52</v>
      </c>
      <c r="G24" s="70"/>
      <c r="H24" s="70"/>
      <c r="I24" s="70"/>
      <c r="J24" s="70"/>
      <c r="K24" s="70"/>
      <c r="L24" s="70"/>
      <c r="M24" s="71"/>
      <c r="N24" s="72"/>
      <c r="O24" s="22"/>
      <c r="P24" s="70"/>
      <c r="Q24" s="33">
        <v>20</v>
      </c>
      <c r="R24" s="73">
        <f t="shared" si="0"/>
        <v>21000</v>
      </c>
      <c r="S24" s="22"/>
      <c r="T24" s="73"/>
      <c r="U24" s="71"/>
      <c r="V24" s="70"/>
      <c r="W24" s="22"/>
      <c r="X24" s="70"/>
      <c r="Y24" s="22"/>
      <c r="Z24" s="70"/>
      <c r="AA24" s="22"/>
      <c r="AB24" s="70"/>
      <c r="AC24" s="22"/>
      <c r="AD24" s="70"/>
      <c r="AE24" s="22"/>
      <c r="AF24" s="70"/>
      <c r="AG24" s="22"/>
      <c r="AH24" s="70"/>
      <c r="AI24" s="22"/>
      <c r="AJ24" s="70"/>
      <c r="AK24" s="22"/>
      <c r="AL24" s="70"/>
      <c r="AM24" s="22"/>
      <c r="AN24" s="70"/>
      <c r="AO24" s="22"/>
      <c r="AP24" s="70"/>
      <c r="AQ24" s="22"/>
      <c r="AR24" s="70"/>
      <c r="AS24" s="22">
        <f t="shared" si="1"/>
        <v>20</v>
      </c>
      <c r="AT24" s="34">
        <v>1050</v>
      </c>
      <c r="AU24" s="62">
        <f t="shared" si="2"/>
        <v>21000</v>
      </c>
      <c r="AV24" s="206"/>
    </row>
    <row r="25" spans="1:48" s="29" customFormat="1" ht="22.5" customHeight="1" x14ac:dyDescent="0.25">
      <c r="A25" s="61">
        <v>16</v>
      </c>
      <c r="B25" s="69"/>
      <c r="C25" s="31" t="s">
        <v>49</v>
      </c>
      <c r="D25" s="23" t="s">
        <v>50</v>
      </c>
      <c r="E25" s="31" t="s">
        <v>65</v>
      </c>
      <c r="F25" s="25" t="s">
        <v>52</v>
      </c>
      <c r="G25" s="70"/>
      <c r="H25" s="70"/>
      <c r="I25" s="70"/>
      <c r="J25" s="70"/>
      <c r="K25" s="70"/>
      <c r="L25" s="70"/>
      <c r="M25" s="71"/>
      <c r="N25" s="72"/>
      <c r="O25" s="22"/>
      <c r="P25" s="70"/>
      <c r="Q25" s="33">
        <v>30</v>
      </c>
      <c r="R25" s="73">
        <f t="shared" si="0"/>
        <v>37950</v>
      </c>
      <c r="S25" s="22"/>
      <c r="T25" s="73"/>
      <c r="U25" s="71"/>
      <c r="V25" s="70"/>
      <c r="W25" s="22"/>
      <c r="X25" s="70"/>
      <c r="Y25" s="22"/>
      <c r="Z25" s="70"/>
      <c r="AA25" s="22"/>
      <c r="AB25" s="70"/>
      <c r="AC25" s="22"/>
      <c r="AD25" s="70"/>
      <c r="AE25" s="22"/>
      <c r="AF25" s="70"/>
      <c r="AG25" s="22"/>
      <c r="AH25" s="70"/>
      <c r="AI25" s="22"/>
      <c r="AJ25" s="70"/>
      <c r="AK25" s="22"/>
      <c r="AL25" s="70"/>
      <c r="AM25" s="22"/>
      <c r="AN25" s="70"/>
      <c r="AO25" s="22"/>
      <c r="AP25" s="70"/>
      <c r="AQ25" s="22"/>
      <c r="AR25" s="70"/>
      <c r="AS25" s="22">
        <f t="shared" si="1"/>
        <v>30</v>
      </c>
      <c r="AT25" s="38">
        <v>1265</v>
      </c>
      <c r="AU25" s="62">
        <f t="shared" si="2"/>
        <v>37950</v>
      </c>
      <c r="AV25" s="206"/>
    </row>
    <row r="26" spans="1:48" s="29" customFormat="1" ht="22.5" customHeight="1" x14ac:dyDescent="0.25">
      <c r="A26" s="61">
        <v>17</v>
      </c>
      <c r="B26" s="69"/>
      <c r="C26" s="31" t="s">
        <v>49</v>
      </c>
      <c r="D26" s="23" t="s">
        <v>50</v>
      </c>
      <c r="E26" s="35" t="s">
        <v>66</v>
      </c>
      <c r="F26" s="25" t="s">
        <v>52</v>
      </c>
      <c r="G26" s="70"/>
      <c r="H26" s="70"/>
      <c r="I26" s="70"/>
      <c r="J26" s="70"/>
      <c r="K26" s="70"/>
      <c r="L26" s="70"/>
      <c r="M26" s="71"/>
      <c r="N26" s="72"/>
      <c r="O26" s="22"/>
      <c r="P26" s="70"/>
      <c r="Q26" s="33">
        <v>30</v>
      </c>
      <c r="R26" s="73">
        <f t="shared" si="0"/>
        <v>121890</v>
      </c>
      <c r="S26" s="22"/>
      <c r="T26" s="73"/>
      <c r="U26" s="71"/>
      <c r="V26" s="70"/>
      <c r="W26" s="22"/>
      <c r="X26" s="70"/>
      <c r="Y26" s="22"/>
      <c r="Z26" s="70"/>
      <c r="AA26" s="22"/>
      <c r="AB26" s="70"/>
      <c r="AC26" s="22"/>
      <c r="AD26" s="70"/>
      <c r="AE26" s="22"/>
      <c r="AF26" s="70"/>
      <c r="AG26" s="22"/>
      <c r="AH26" s="70"/>
      <c r="AI26" s="22"/>
      <c r="AJ26" s="70"/>
      <c r="AK26" s="22"/>
      <c r="AL26" s="70"/>
      <c r="AM26" s="22"/>
      <c r="AN26" s="70"/>
      <c r="AO26" s="22"/>
      <c r="AP26" s="70"/>
      <c r="AQ26" s="22"/>
      <c r="AR26" s="70"/>
      <c r="AS26" s="22">
        <f t="shared" si="1"/>
        <v>30</v>
      </c>
      <c r="AT26" s="34">
        <v>4063</v>
      </c>
      <c r="AU26" s="62">
        <f t="shared" si="2"/>
        <v>121890</v>
      </c>
      <c r="AV26" s="206"/>
    </row>
    <row r="27" spans="1:48" s="29" customFormat="1" ht="22.5" customHeight="1" x14ac:dyDescent="0.25">
      <c r="A27" s="61">
        <v>18</v>
      </c>
      <c r="B27" s="69"/>
      <c r="C27" s="31" t="s">
        <v>49</v>
      </c>
      <c r="D27" s="23" t="s">
        <v>50</v>
      </c>
      <c r="E27" s="35" t="s">
        <v>67</v>
      </c>
      <c r="F27" s="25" t="s">
        <v>54</v>
      </c>
      <c r="G27" s="70"/>
      <c r="H27" s="70"/>
      <c r="I27" s="70"/>
      <c r="J27" s="70"/>
      <c r="K27" s="70"/>
      <c r="L27" s="70"/>
      <c r="M27" s="71"/>
      <c r="N27" s="72"/>
      <c r="O27" s="22"/>
      <c r="P27" s="70"/>
      <c r="Q27" s="33">
        <v>5</v>
      </c>
      <c r="R27" s="73">
        <f t="shared" si="0"/>
        <v>53995</v>
      </c>
      <c r="S27" s="22"/>
      <c r="T27" s="73"/>
      <c r="U27" s="71"/>
      <c r="V27" s="70"/>
      <c r="W27" s="22"/>
      <c r="X27" s="70"/>
      <c r="Y27" s="22"/>
      <c r="Z27" s="70"/>
      <c r="AA27" s="22"/>
      <c r="AB27" s="70"/>
      <c r="AC27" s="22"/>
      <c r="AD27" s="70"/>
      <c r="AE27" s="22"/>
      <c r="AF27" s="70"/>
      <c r="AG27" s="22"/>
      <c r="AH27" s="70"/>
      <c r="AI27" s="22"/>
      <c r="AJ27" s="70"/>
      <c r="AK27" s="22"/>
      <c r="AL27" s="70"/>
      <c r="AM27" s="22"/>
      <c r="AN27" s="70"/>
      <c r="AO27" s="22"/>
      <c r="AP27" s="70"/>
      <c r="AQ27" s="22"/>
      <c r="AR27" s="70"/>
      <c r="AS27" s="22">
        <f t="shared" si="1"/>
        <v>5</v>
      </c>
      <c r="AT27" s="34">
        <v>10799</v>
      </c>
      <c r="AU27" s="62">
        <f t="shared" si="2"/>
        <v>53995</v>
      </c>
      <c r="AV27" s="206"/>
    </row>
    <row r="28" spans="1:48" s="29" customFormat="1" ht="22.5" customHeight="1" x14ac:dyDescent="0.25">
      <c r="A28" s="61">
        <v>19</v>
      </c>
      <c r="B28" s="69"/>
      <c r="C28" s="31" t="s">
        <v>49</v>
      </c>
      <c r="D28" s="23" t="s">
        <v>50</v>
      </c>
      <c r="E28" s="35" t="s">
        <v>68</v>
      </c>
      <c r="F28" s="24" t="s">
        <v>52</v>
      </c>
      <c r="G28" s="70"/>
      <c r="H28" s="70"/>
      <c r="I28" s="70"/>
      <c r="J28" s="70"/>
      <c r="K28" s="70"/>
      <c r="L28" s="70"/>
      <c r="M28" s="71"/>
      <c r="N28" s="72"/>
      <c r="O28" s="22"/>
      <c r="P28" s="70"/>
      <c r="Q28" s="35">
        <v>50</v>
      </c>
      <c r="R28" s="73">
        <f t="shared" si="0"/>
        <v>225000</v>
      </c>
      <c r="S28" s="22"/>
      <c r="T28" s="73"/>
      <c r="U28" s="71"/>
      <c r="V28" s="70"/>
      <c r="W28" s="22"/>
      <c r="X28" s="70"/>
      <c r="Y28" s="22"/>
      <c r="Z28" s="70"/>
      <c r="AA28" s="22"/>
      <c r="AB28" s="70"/>
      <c r="AC28" s="22"/>
      <c r="AD28" s="70"/>
      <c r="AE28" s="22"/>
      <c r="AF28" s="70"/>
      <c r="AG28" s="22"/>
      <c r="AH28" s="70"/>
      <c r="AI28" s="22"/>
      <c r="AJ28" s="70"/>
      <c r="AK28" s="22"/>
      <c r="AL28" s="70"/>
      <c r="AM28" s="22"/>
      <c r="AN28" s="70"/>
      <c r="AO28" s="22"/>
      <c r="AP28" s="70"/>
      <c r="AQ28" s="22"/>
      <c r="AR28" s="70"/>
      <c r="AS28" s="22">
        <f t="shared" si="1"/>
        <v>50</v>
      </c>
      <c r="AT28" s="36">
        <v>4500</v>
      </c>
      <c r="AU28" s="62">
        <f t="shared" si="2"/>
        <v>225000</v>
      </c>
      <c r="AV28" s="206"/>
    </row>
    <row r="29" spans="1:48" s="29" customFormat="1" ht="37.5" customHeight="1" x14ac:dyDescent="0.25">
      <c r="A29" s="61">
        <v>20</v>
      </c>
      <c r="B29" s="69"/>
      <c r="C29" s="31" t="s">
        <v>49</v>
      </c>
      <c r="D29" s="23" t="s">
        <v>50</v>
      </c>
      <c r="E29" s="32" t="s">
        <v>69</v>
      </c>
      <c r="F29" s="25" t="s">
        <v>52</v>
      </c>
      <c r="G29" s="70"/>
      <c r="H29" s="70"/>
      <c r="I29" s="70"/>
      <c r="J29" s="70"/>
      <c r="K29" s="70"/>
      <c r="L29" s="70"/>
      <c r="M29" s="71"/>
      <c r="N29" s="72"/>
      <c r="O29" s="22"/>
      <c r="P29" s="70"/>
      <c r="Q29" s="33">
        <v>20</v>
      </c>
      <c r="R29" s="73">
        <f t="shared" si="0"/>
        <v>500000</v>
      </c>
      <c r="S29" s="22"/>
      <c r="T29" s="73"/>
      <c r="U29" s="71"/>
      <c r="V29" s="70"/>
      <c r="W29" s="22"/>
      <c r="X29" s="70"/>
      <c r="Y29" s="22"/>
      <c r="Z29" s="70"/>
      <c r="AA29" s="22"/>
      <c r="AB29" s="70"/>
      <c r="AC29" s="22"/>
      <c r="AD29" s="70"/>
      <c r="AE29" s="22"/>
      <c r="AF29" s="70"/>
      <c r="AG29" s="22"/>
      <c r="AH29" s="70"/>
      <c r="AI29" s="22"/>
      <c r="AJ29" s="70"/>
      <c r="AK29" s="22"/>
      <c r="AL29" s="70"/>
      <c r="AM29" s="22"/>
      <c r="AN29" s="70"/>
      <c r="AO29" s="22"/>
      <c r="AP29" s="70"/>
      <c r="AQ29" s="22"/>
      <c r="AR29" s="70"/>
      <c r="AS29" s="22">
        <f t="shared" si="1"/>
        <v>20</v>
      </c>
      <c r="AT29" s="34">
        <v>25000</v>
      </c>
      <c r="AU29" s="62">
        <f t="shared" si="2"/>
        <v>500000</v>
      </c>
      <c r="AV29" s="206"/>
    </row>
    <row r="30" spans="1:48" s="29" customFormat="1" ht="22.5" customHeight="1" x14ac:dyDescent="0.25">
      <c r="A30" s="61">
        <v>21</v>
      </c>
      <c r="B30" s="69"/>
      <c r="C30" s="31" t="s">
        <v>49</v>
      </c>
      <c r="D30" s="23" t="s">
        <v>50</v>
      </c>
      <c r="E30" s="35" t="s">
        <v>70</v>
      </c>
      <c r="F30" s="25" t="s">
        <v>52</v>
      </c>
      <c r="G30" s="70"/>
      <c r="H30" s="70"/>
      <c r="I30" s="70"/>
      <c r="J30" s="70"/>
      <c r="K30" s="70"/>
      <c r="L30" s="70"/>
      <c r="M30" s="71"/>
      <c r="N30" s="72"/>
      <c r="O30" s="22"/>
      <c r="P30" s="70"/>
      <c r="Q30" s="33">
        <v>20</v>
      </c>
      <c r="R30" s="73">
        <f t="shared" si="0"/>
        <v>90000</v>
      </c>
      <c r="S30" s="22"/>
      <c r="T30" s="73"/>
      <c r="U30" s="71"/>
      <c r="V30" s="70"/>
      <c r="W30" s="22"/>
      <c r="X30" s="70"/>
      <c r="Y30" s="22"/>
      <c r="Z30" s="70"/>
      <c r="AA30" s="22"/>
      <c r="AB30" s="70"/>
      <c r="AC30" s="22"/>
      <c r="AD30" s="70"/>
      <c r="AE30" s="22"/>
      <c r="AF30" s="70"/>
      <c r="AG30" s="22"/>
      <c r="AH30" s="70"/>
      <c r="AI30" s="22"/>
      <c r="AJ30" s="70"/>
      <c r="AK30" s="22"/>
      <c r="AL30" s="70"/>
      <c r="AM30" s="22"/>
      <c r="AN30" s="70"/>
      <c r="AO30" s="22"/>
      <c r="AP30" s="70"/>
      <c r="AQ30" s="22"/>
      <c r="AR30" s="70"/>
      <c r="AS30" s="22">
        <f t="shared" si="1"/>
        <v>20</v>
      </c>
      <c r="AT30" s="34">
        <v>4500</v>
      </c>
      <c r="AU30" s="62">
        <f t="shared" si="2"/>
        <v>90000</v>
      </c>
      <c r="AV30" s="206"/>
    </row>
    <row r="31" spans="1:48" s="29" customFormat="1" ht="37.5" customHeight="1" x14ac:dyDescent="0.25">
      <c r="A31" s="61">
        <v>22</v>
      </c>
      <c r="B31" s="69"/>
      <c r="C31" s="31" t="s">
        <v>49</v>
      </c>
      <c r="D31" s="23" t="s">
        <v>50</v>
      </c>
      <c r="E31" s="31" t="str">
        <f>'[1]Nota de PyE'!$C$17</f>
        <v xml:space="preserve">ETOPOSIDO, FORMA FARMACEUTICA: 1  AMPOLLA , PRESENTACION: 100 mGr </v>
      </c>
      <c r="F31" s="25" t="s">
        <v>52</v>
      </c>
      <c r="G31" s="70"/>
      <c r="H31" s="70"/>
      <c r="I31" s="70"/>
      <c r="J31" s="70"/>
      <c r="K31" s="70"/>
      <c r="L31" s="70"/>
      <c r="M31" s="71"/>
      <c r="N31" s="72"/>
      <c r="O31" s="22"/>
      <c r="P31" s="70"/>
      <c r="Q31" s="33">
        <v>20</v>
      </c>
      <c r="R31" s="73">
        <f t="shared" si="0"/>
        <v>8000</v>
      </c>
      <c r="S31" s="22"/>
      <c r="T31" s="73"/>
      <c r="U31" s="71"/>
      <c r="V31" s="70"/>
      <c r="W31" s="22"/>
      <c r="X31" s="70"/>
      <c r="Y31" s="22"/>
      <c r="Z31" s="70"/>
      <c r="AA31" s="22"/>
      <c r="AB31" s="70"/>
      <c r="AC31" s="22"/>
      <c r="AD31" s="70"/>
      <c r="AE31" s="22"/>
      <c r="AF31" s="70"/>
      <c r="AG31" s="22"/>
      <c r="AH31" s="70"/>
      <c r="AI31" s="22"/>
      <c r="AJ31" s="70"/>
      <c r="AK31" s="22"/>
      <c r="AL31" s="70"/>
      <c r="AM31" s="22"/>
      <c r="AN31" s="70"/>
      <c r="AO31" s="22"/>
      <c r="AP31" s="70"/>
      <c r="AQ31" s="22"/>
      <c r="AR31" s="70"/>
      <c r="AS31" s="22">
        <f t="shared" si="1"/>
        <v>20</v>
      </c>
      <c r="AT31" s="34">
        <v>400</v>
      </c>
      <c r="AU31" s="62">
        <f t="shared" si="2"/>
        <v>8000</v>
      </c>
      <c r="AV31" s="206"/>
    </row>
    <row r="32" spans="1:48" s="29" customFormat="1" ht="37.5" customHeight="1" x14ac:dyDescent="0.25">
      <c r="A32" s="61">
        <v>23</v>
      </c>
      <c r="B32" s="69"/>
      <c r="C32" s="31" t="s">
        <v>49</v>
      </c>
      <c r="D32" s="23" t="s">
        <v>50</v>
      </c>
      <c r="E32" s="31" t="s">
        <v>71</v>
      </c>
      <c r="F32" s="24" t="s">
        <v>52</v>
      </c>
      <c r="G32" s="70"/>
      <c r="H32" s="70"/>
      <c r="I32" s="70"/>
      <c r="J32" s="70"/>
      <c r="K32" s="70"/>
      <c r="L32" s="70"/>
      <c r="M32" s="71"/>
      <c r="N32" s="72"/>
      <c r="O32" s="22"/>
      <c r="P32" s="70"/>
      <c r="Q32" s="35">
        <v>300</v>
      </c>
      <c r="R32" s="73">
        <f t="shared" si="0"/>
        <v>209700</v>
      </c>
      <c r="S32" s="22"/>
      <c r="T32" s="73"/>
      <c r="U32" s="71"/>
      <c r="V32" s="70"/>
      <c r="W32" s="22"/>
      <c r="X32" s="70"/>
      <c r="Y32" s="22"/>
      <c r="Z32" s="70"/>
      <c r="AA32" s="22"/>
      <c r="AB32" s="70"/>
      <c r="AC32" s="22"/>
      <c r="AD32" s="70"/>
      <c r="AE32" s="22"/>
      <c r="AF32" s="70"/>
      <c r="AG32" s="22"/>
      <c r="AH32" s="70"/>
      <c r="AI32" s="22"/>
      <c r="AJ32" s="70"/>
      <c r="AK32" s="22"/>
      <c r="AL32" s="70"/>
      <c r="AM32" s="22"/>
      <c r="AN32" s="70"/>
      <c r="AO32" s="22"/>
      <c r="AP32" s="70"/>
      <c r="AQ32" s="22"/>
      <c r="AR32" s="70"/>
      <c r="AS32" s="22">
        <f t="shared" si="1"/>
        <v>300</v>
      </c>
      <c r="AT32" s="36">
        <v>699</v>
      </c>
      <c r="AU32" s="62">
        <f t="shared" si="2"/>
        <v>209700</v>
      </c>
      <c r="AV32" s="206"/>
    </row>
    <row r="33" spans="1:48" s="29" customFormat="1" ht="22.5" customHeight="1" x14ac:dyDescent="0.25">
      <c r="A33" s="61">
        <v>24</v>
      </c>
      <c r="B33" s="69"/>
      <c r="C33" s="31" t="s">
        <v>49</v>
      </c>
      <c r="D33" s="23" t="s">
        <v>50</v>
      </c>
      <c r="E33" s="35" t="s">
        <v>72</v>
      </c>
      <c r="F33" s="24" t="s">
        <v>52</v>
      </c>
      <c r="G33" s="70"/>
      <c r="H33" s="70"/>
      <c r="I33" s="70"/>
      <c r="J33" s="70"/>
      <c r="K33" s="70"/>
      <c r="L33" s="70"/>
      <c r="M33" s="71"/>
      <c r="N33" s="72"/>
      <c r="O33" s="22"/>
      <c r="P33" s="70"/>
      <c r="Q33" s="35">
        <v>20</v>
      </c>
      <c r="R33" s="73">
        <f t="shared" si="0"/>
        <v>110000</v>
      </c>
      <c r="S33" s="22"/>
      <c r="T33" s="73"/>
      <c r="U33" s="71"/>
      <c r="V33" s="70"/>
      <c r="W33" s="22"/>
      <c r="X33" s="70"/>
      <c r="Y33" s="22"/>
      <c r="Z33" s="70"/>
      <c r="AA33" s="22"/>
      <c r="AB33" s="70"/>
      <c r="AC33" s="22"/>
      <c r="AD33" s="70"/>
      <c r="AE33" s="22"/>
      <c r="AF33" s="70"/>
      <c r="AG33" s="22"/>
      <c r="AH33" s="70"/>
      <c r="AI33" s="22"/>
      <c r="AJ33" s="70"/>
      <c r="AK33" s="22"/>
      <c r="AL33" s="70"/>
      <c r="AM33" s="22"/>
      <c r="AN33" s="70"/>
      <c r="AO33" s="22"/>
      <c r="AP33" s="70"/>
      <c r="AQ33" s="22"/>
      <c r="AR33" s="70"/>
      <c r="AS33" s="22">
        <f t="shared" si="1"/>
        <v>20</v>
      </c>
      <c r="AT33" s="36">
        <v>5500</v>
      </c>
      <c r="AU33" s="62">
        <f t="shared" si="2"/>
        <v>110000</v>
      </c>
      <c r="AV33" s="206"/>
    </row>
    <row r="34" spans="1:48" s="29" customFormat="1" ht="22.5" customHeight="1" x14ac:dyDescent="0.25">
      <c r="A34" s="61">
        <v>25</v>
      </c>
      <c r="B34" s="69"/>
      <c r="C34" s="31" t="s">
        <v>49</v>
      </c>
      <c r="D34" s="23" t="s">
        <v>50</v>
      </c>
      <c r="E34" s="35" t="s">
        <v>73</v>
      </c>
      <c r="F34" s="70" t="s">
        <v>52</v>
      </c>
      <c r="G34" s="70"/>
      <c r="H34" s="70"/>
      <c r="I34" s="70"/>
      <c r="J34" s="70"/>
      <c r="K34" s="70"/>
      <c r="L34" s="70"/>
      <c r="M34" s="71"/>
      <c r="N34" s="72"/>
      <c r="O34" s="22"/>
      <c r="P34" s="70"/>
      <c r="Q34" s="74">
        <v>30</v>
      </c>
      <c r="R34" s="73">
        <f t="shared" si="0"/>
        <v>39000</v>
      </c>
      <c r="S34" s="22"/>
      <c r="T34" s="73"/>
      <c r="U34" s="71"/>
      <c r="V34" s="70"/>
      <c r="W34" s="22"/>
      <c r="X34" s="70"/>
      <c r="Y34" s="22"/>
      <c r="Z34" s="70"/>
      <c r="AA34" s="22"/>
      <c r="AB34" s="70"/>
      <c r="AC34" s="22"/>
      <c r="AD34" s="70"/>
      <c r="AE34" s="22"/>
      <c r="AF34" s="70"/>
      <c r="AG34" s="22"/>
      <c r="AH34" s="70"/>
      <c r="AI34" s="22"/>
      <c r="AJ34" s="70"/>
      <c r="AK34" s="22"/>
      <c r="AL34" s="70"/>
      <c r="AM34" s="22"/>
      <c r="AN34" s="70"/>
      <c r="AO34" s="22"/>
      <c r="AP34" s="70"/>
      <c r="AQ34" s="22"/>
      <c r="AR34" s="70"/>
      <c r="AS34" s="22">
        <f t="shared" si="1"/>
        <v>30</v>
      </c>
      <c r="AT34" s="69">
        <v>1300</v>
      </c>
      <c r="AU34" s="62">
        <f t="shared" si="2"/>
        <v>39000</v>
      </c>
      <c r="AV34" s="206"/>
    </row>
    <row r="35" spans="1:48" s="29" customFormat="1" ht="45.75" customHeight="1" x14ac:dyDescent="0.25">
      <c r="A35" s="61">
        <v>26</v>
      </c>
      <c r="B35" s="69"/>
      <c r="C35" s="31" t="s">
        <v>49</v>
      </c>
      <c r="D35" s="23" t="s">
        <v>50</v>
      </c>
      <c r="E35" s="31" t="s">
        <v>74</v>
      </c>
      <c r="F35" s="24" t="s">
        <v>52</v>
      </c>
      <c r="G35" s="70"/>
      <c r="H35" s="70"/>
      <c r="I35" s="70"/>
      <c r="J35" s="70"/>
      <c r="K35" s="70"/>
      <c r="L35" s="70"/>
      <c r="M35" s="71"/>
      <c r="N35" s="72"/>
      <c r="O35" s="22"/>
      <c r="P35" s="70"/>
      <c r="Q35" s="35">
        <v>20</v>
      </c>
      <c r="R35" s="73">
        <f t="shared" si="0"/>
        <v>8520</v>
      </c>
      <c r="S35" s="22"/>
      <c r="T35" s="73"/>
      <c r="U35" s="71"/>
      <c r="V35" s="70"/>
      <c r="W35" s="22"/>
      <c r="X35" s="70"/>
      <c r="Y35" s="22"/>
      <c r="Z35" s="70"/>
      <c r="AA35" s="22"/>
      <c r="AB35" s="70"/>
      <c r="AC35" s="22"/>
      <c r="AD35" s="70"/>
      <c r="AE35" s="22"/>
      <c r="AF35" s="70"/>
      <c r="AG35" s="22"/>
      <c r="AH35" s="70"/>
      <c r="AI35" s="22"/>
      <c r="AJ35" s="70"/>
      <c r="AK35" s="22"/>
      <c r="AL35" s="70"/>
      <c r="AM35" s="22"/>
      <c r="AN35" s="70"/>
      <c r="AO35" s="22"/>
      <c r="AP35" s="70"/>
      <c r="AQ35" s="22"/>
      <c r="AR35" s="70"/>
      <c r="AS35" s="22">
        <f t="shared" si="1"/>
        <v>20</v>
      </c>
      <c r="AT35" s="36">
        <v>426</v>
      </c>
      <c r="AU35" s="62">
        <f t="shared" si="2"/>
        <v>8520</v>
      </c>
      <c r="AV35" s="206"/>
    </row>
    <row r="36" spans="1:48" s="29" customFormat="1" ht="45.75" customHeight="1" x14ac:dyDescent="0.25">
      <c r="A36" s="61">
        <v>27</v>
      </c>
      <c r="B36" s="69"/>
      <c r="C36" s="31" t="s">
        <v>49</v>
      </c>
      <c r="D36" s="23" t="s">
        <v>50</v>
      </c>
      <c r="E36" s="35" t="s">
        <v>75</v>
      </c>
      <c r="F36" s="25" t="s">
        <v>52</v>
      </c>
      <c r="G36" s="70"/>
      <c r="H36" s="70"/>
      <c r="I36" s="70"/>
      <c r="J36" s="70"/>
      <c r="K36" s="70"/>
      <c r="L36" s="70"/>
      <c r="M36" s="71"/>
      <c r="N36" s="72"/>
      <c r="O36" s="22"/>
      <c r="P36" s="70"/>
      <c r="Q36" s="33">
        <v>4</v>
      </c>
      <c r="R36" s="73">
        <f t="shared" si="0"/>
        <v>88000</v>
      </c>
      <c r="S36" s="22"/>
      <c r="T36" s="73"/>
      <c r="U36" s="71"/>
      <c r="V36" s="70"/>
      <c r="W36" s="22"/>
      <c r="X36" s="70"/>
      <c r="Y36" s="22"/>
      <c r="Z36" s="70"/>
      <c r="AA36" s="22"/>
      <c r="AB36" s="70"/>
      <c r="AC36" s="22"/>
      <c r="AD36" s="70"/>
      <c r="AE36" s="22"/>
      <c r="AF36" s="70"/>
      <c r="AG36" s="22"/>
      <c r="AH36" s="70"/>
      <c r="AI36" s="22"/>
      <c r="AJ36" s="70"/>
      <c r="AK36" s="22"/>
      <c r="AL36" s="70"/>
      <c r="AM36" s="22"/>
      <c r="AN36" s="70"/>
      <c r="AO36" s="22"/>
      <c r="AP36" s="70"/>
      <c r="AQ36" s="22"/>
      <c r="AR36" s="70"/>
      <c r="AS36" s="22">
        <f t="shared" si="1"/>
        <v>4</v>
      </c>
      <c r="AT36" s="34">
        <v>22000</v>
      </c>
      <c r="AU36" s="62">
        <f t="shared" si="2"/>
        <v>88000</v>
      </c>
      <c r="AV36" s="206"/>
    </row>
    <row r="37" spans="1:48" s="29" customFormat="1" ht="45" customHeight="1" x14ac:dyDescent="0.25">
      <c r="A37" s="61">
        <v>28</v>
      </c>
      <c r="B37" s="69"/>
      <c r="C37" s="31" t="s">
        <v>49</v>
      </c>
      <c r="D37" s="23" t="s">
        <v>50</v>
      </c>
      <c r="E37" s="32" t="s">
        <v>76</v>
      </c>
      <c r="F37" s="26" t="s">
        <v>52</v>
      </c>
      <c r="G37" s="70"/>
      <c r="H37" s="70"/>
      <c r="I37" s="70"/>
      <c r="J37" s="70"/>
      <c r="K37" s="70"/>
      <c r="L37" s="70"/>
      <c r="M37" s="71"/>
      <c r="N37" s="72"/>
      <c r="O37" s="22"/>
      <c r="P37" s="70"/>
      <c r="Q37" s="37">
        <v>50</v>
      </c>
      <c r="R37" s="73">
        <f t="shared" si="0"/>
        <v>150000</v>
      </c>
      <c r="S37" s="22"/>
      <c r="T37" s="73"/>
      <c r="U37" s="71"/>
      <c r="V37" s="70"/>
      <c r="W37" s="22"/>
      <c r="X37" s="70"/>
      <c r="Y37" s="22"/>
      <c r="Z37" s="70"/>
      <c r="AA37" s="22"/>
      <c r="AB37" s="70"/>
      <c r="AC37" s="22"/>
      <c r="AD37" s="70"/>
      <c r="AE37" s="22"/>
      <c r="AF37" s="70"/>
      <c r="AG37" s="22"/>
      <c r="AH37" s="70"/>
      <c r="AI37" s="22"/>
      <c r="AJ37" s="70"/>
      <c r="AK37" s="22"/>
      <c r="AL37" s="70"/>
      <c r="AM37" s="22"/>
      <c r="AN37" s="70"/>
      <c r="AO37" s="22"/>
      <c r="AP37" s="70"/>
      <c r="AQ37" s="22"/>
      <c r="AR37" s="70"/>
      <c r="AS37" s="22">
        <f t="shared" si="1"/>
        <v>50</v>
      </c>
      <c r="AT37" s="34">
        <v>3000</v>
      </c>
      <c r="AU37" s="62">
        <f t="shared" si="2"/>
        <v>150000</v>
      </c>
      <c r="AV37" s="206"/>
    </row>
    <row r="38" spans="1:48" s="29" customFormat="1" ht="22.5" customHeight="1" x14ac:dyDescent="0.25">
      <c r="A38" s="61">
        <v>29</v>
      </c>
      <c r="B38" s="69"/>
      <c r="C38" s="31" t="s">
        <v>49</v>
      </c>
      <c r="D38" s="23" t="s">
        <v>50</v>
      </c>
      <c r="E38" s="35" t="s">
        <v>77</v>
      </c>
      <c r="F38" s="24" t="s">
        <v>52</v>
      </c>
      <c r="G38" s="70"/>
      <c r="H38" s="70"/>
      <c r="I38" s="70"/>
      <c r="J38" s="70"/>
      <c r="K38" s="70"/>
      <c r="L38" s="70"/>
      <c r="M38" s="71"/>
      <c r="N38" s="72"/>
      <c r="O38" s="22"/>
      <c r="P38" s="70"/>
      <c r="Q38" s="35">
        <v>10</v>
      </c>
      <c r="R38" s="73">
        <f t="shared" si="0"/>
        <v>500000</v>
      </c>
      <c r="S38" s="22"/>
      <c r="T38" s="73"/>
      <c r="U38" s="71"/>
      <c r="V38" s="70"/>
      <c r="W38" s="22"/>
      <c r="X38" s="70"/>
      <c r="Y38" s="22"/>
      <c r="Z38" s="70"/>
      <c r="AA38" s="22"/>
      <c r="AB38" s="70"/>
      <c r="AC38" s="22"/>
      <c r="AD38" s="70"/>
      <c r="AE38" s="22"/>
      <c r="AF38" s="70"/>
      <c r="AG38" s="22"/>
      <c r="AH38" s="70"/>
      <c r="AI38" s="22"/>
      <c r="AJ38" s="70"/>
      <c r="AK38" s="22"/>
      <c r="AL38" s="70"/>
      <c r="AM38" s="22"/>
      <c r="AN38" s="70"/>
      <c r="AO38" s="22"/>
      <c r="AP38" s="70"/>
      <c r="AQ38" s="22"/>
      <c r="AR38" s="70"/>
      <c r="AS38" s="22">
        <f t="shared" si="1"/>
        <v>10</v>
      </c>
      <c r="AT38" s="36">
        <v>50000</v>
      </c>
      <c r="AU38" s="62">
        <f t="shared" si="2"/>
        <v>500000</v>
      </c>
      <c r="AV38" s="206"/>
    </row>
    <row r="39" spans="1:48" s="29" customFormat="1" ht="22.5" customHeight="1" x14ac:dyDescent="0.25">
      <c r="A39" s="61">
        <v>30</v>
      </c>
      <c r="B39" s="69"/>
      <c r="C39" s="31" t="s">
        <v>49</v>
      </c>
      <c r="D39" s="23" t="s">
        <v>50</v>
      </c>
      <c r="E39" s="31" t="s">
        <v>78</v>
      </c>
      <c r="F39" s="25" t="s">
        <v>54</v>
      </c>
      <c r="G39" s="70"/>
      <c r="H39" s="70"/>
      <c r="I39" s="70"/>
      <c r="J39" s="70"/>
      <c r="K39" s="70"/>
      <c r="L39" s="70"/>
      <c r="M39" s="71"/>
      <c r="N39" s="72"/>
      <c r="O39" s="22"/>
      <c r="P39" s="70"/>
      <c r="Q39" s="33">
        <v>10</v>
      </c>
      <c r="R39" s="73">
        <f t="shared" si="0"/>
        <v>29580</v>
      </c>
      <c r="S39" s="22"/>
      <c r="T39" s="73"/>
      <c r="U39" s="71"/>
      <c r="V39" s="70"/>
      <c r="W39" s="22"/>
      <c r="X39" s="70"/>
      <c r="Y39" s="22"/>
      <c r="Z39" s="70"/>
      <c r="AA39" s="22"/>
      <c r="AB39" s="70"/>
      <c r="AC39" s="22"/>
      <c r="AD39" s="70"/>
      <c r="AE39" s="22"/>
      <c r="AF39" s="70"/>
      <c r="AG39" s="22"/>
      <c r="AH39" s="70"/>
      <c r="AI39" s="22"/>
      <c r="AJ39" s="70"/>
      <c r="AK39" s="22"/>
      <c r="AL39" s="70"/>
      <c r="AM39" s="22"/>
      <c r="AN39" s="70"/>
      <c r="AO39" s="22"/>
      <c r="AP39" s="70"/>
      <c r="AQ39" s="22"/>
      <c r="AR39" s="70"/>
      <c r="AS39" s="22">
        <f t="shared" si="1"/>
        <v>10</v>
      </c>
      <c r="AT39" s="34">
        <v>2958</v>
      </c>
      <c r="AU39" s="62">
        <f t="shared" si="2"/>
        <v>29580</v>
      </c>
      <c r="AV39" s="206"/>
    </row>
    <row r="40" spans="1:48" s="29" customFormat="1" ht="22.5" customHeight="1" x14ac:dyDescent="0.25">
      <c r="A40" s="61">
        <v>31</v>
      </c>
      <c r="B40" s="69"/>
      <c r="C40" s="31" t="s">
        <v>49</v>
      </c>
      <c r="D40" s="23" t="s">
        <v>50</v>
      </c>
      <c r="E40" s="35" t="s">
        <v>79</v>
      </c>
      <c r="F40" s="25" t="s">
        <v>52</v>
      </c>
      <c r="G40" s="70"/>
      <c r="H40" s="70"/>
      <c r="I40" s="70"/>
      <c r="J40" s="70"/>
      <c r="K40" s="70"/>
      <c r="L40" s="70"/>
      <c r="M40" s="71"/>
      <c r="N40" s="72"/>
      <c r="O40" s="22"/>
      <c r="P40" s="70"/>
      <c r="Q40" s="32">
        <v>20</v>
      </c>
      <c r="R40" s="73">
        <f t="shared" si="0"/>
        <v>70000</v>
      </c>
      <c r="S40" s="22"/>
      <c r="T40" s="73"/>
      <c r="U40" s="71"/>
      <c r="V40" s="70"/>
      <c r="W40" s="22"/>
      <c r="X40" s="70"/>
      <c r="Y40" s="22"/>
      <c r="Z40" s="70"/>
      <c r="AA40" s="22"/>
      <c r="AB40" s="70"/>
      <c r="AC40" s="22"/>
      <c r="AD40" s="70"/>
      <c r="AE40" s="22"/>
      <c r="AF40" s="70"/>
      <c r="AG40" s="22"/>
      <c r="AH40" s="70"/>
      <c r="AI40" s="22"/>
      <c r="AJ40" s="70"/>
      <c r="AK40" s="22"/>
      <c r="AL40" s="70"/>
      <c r="AM40" s="22"/>
      <c r="AN40" s="70"/>
      <c r="AO40" s="22"/>
      <c r="AP40" s="70"/>
      <c r="AQ40" s="22"/>
      <c r="AR40" s="70"/>
      <c r="AS40" s="22">
        <f t="shared" si="1"/>
        <v>20</v>
      </c>
      <c r="AT40" s="36">
        <v>3500</v>
      </c>
      <c r="AU40" s="62">
        <f t="shared" si="2"/>
        <v>70000</v>
      </c>
      <c r="AV40" s="206"/>
    </row>
    <row r="41" spans="1:48" s="29" customFormat="1" ht="22.5" customHeight="1" x14ac:dyDescent="0.25">
      <c r="A41" s="61">
        <v>32</v>
      </c>
      <c r="B41" s="69"/>
      <c r="C41" s="31" t="s">
        <v>49</v>
      </c>
      <c r="D41" s="23" t="s">
        <v>50</v>
      </c>
      <c r="E41" s="32" t="str">
        <f>'[1]Nota de PyE'!$C$58</f>
        <v>IFOSFAMIDA 1 GR X 1 AMPOLLA</v>
      </c>
      <c r="F41" s="25" t="s">
        <v>52</v>
      </c>
      <c r="G41" s="70"/>
      <c r="H41" s="70"/>
      <c r="I41" s="70"/>
      <c r="J41" s="70"/>
      <c r="K41" s="70"/>
      <c r="L41" s="70"/>
      <c r="M41" s="71"/>
      <c r="N41" s="72"/>
      <c r="O41" s="22"/>
      <c r="P41" s="70"/>
      <c r="Q41" s="32">
        <v>30</v>
      </c>
      <c r="R41" s="73">
        <f t="shared" si="0"/>
        <v>450000</v>
      </c>
      <c r="S41" s="22"/>
      <c r="T41" s="73"/>
      <c r="U41" s="71"/>
      <c r="V41" s="70"/>
      <c r="W41" s="22"/>
      <c r="X41" s="70"/>
      <c r="Y41" s="22"/>
      <c r="Z41" s="70"/>
      <c r="AA41" s="22"/>
      <c r="AB41" s="70"/>
      <c r="AC41" s="22"/>
      <c r="AD41" s="70"/>
      <c r="AE41" s="22"/>
      <c r="AF41" s="70"/>
      <c r="AG41" s="22"/>
      <c r="AH41" s="70"/>
      <c r="AI41" s="22"/>
      <c r="AJ41" s="70"/>
      <c r="AK41" s="22"/>
      <c r="AL41" s="70"/>
      <c r="AM41" s="22"/>
      <c r="AN41" s="70"/>
      <c r="AO41" s="22"/>
      <c r="AP41" s="70"/>
      <c r="AQ41" s="22"/>
      <c r="AR41" s="70"/>
      <c r="AS41" s="22">
        <f t="shared" si="1"/>
        <v>30</v>
      </c>
      <c r="AT41" s="36">
        <v>15000</v>
      </c>
      <c r="AU41" s="62">
        <f t="shared" si="2"/>
        <v>450000</v>
      </c>
      <c r="AV41" s="206"/>
    </row>
    <row r="42" spans="1:48" s="29" customFormat="1" ht="52.5" customHeight="1" x14ac:dyDescent="0.25">
      <c r="A42" s="61">
        <v>33</v>
      </c>
      <c r="B42" s="69"/>
      <c r="C42" s="31" t="s">
        <v>49</v>
      </c>
      <c r="D42" s="23" t="s">
        <v>50</v>
      </c>
      <c r="E42" s="31" t="s">
        <v>80</v>
      </c>
      <c r="F42" s="24" t="s">
        <v>54</v>
      </c>
      <c r="G42" s="70"/>
      <c r="H42" s="70"/>
      <c r="I42" s="70"/>
      <c r="J42" s="70"/>
      <c r="K42" s="70"/>
      <c r="L42" s="70"/>
      <c r="M42" s="71"/>
      <c r="N42" s="72"/>
      <c r="O42" s="22"/>
      <c r="P42" s="70"/>
      <c r="Q42" s="35">
        <v>30</v>
      </c>
      <c r="R42" s="73">
        <f t="shared" ref="R42:R68" si="3">+Q42*AT42</f>
        <v>165690</v>
      </c>
      <c r="S42" s="22"/>
      <c r="T42" s="73"/>
      <c r="U42" s="71"/>
      <c r="V42" s="70"/>
      <c r="W42" s="22"/>
      <c r="X42" s="70"/>
      <c r="Y42" s="22"/>
      <c r="Z42" s="70"/>
      <c r="AA42" s="22"/>
      <c r="AB42" s="70"/>
      <c r="AC42" s="22"/>
      <c r="AD42" s="70"/>
      <c r="AE42" s="22"/>
      <c r="AF42" s="70"/>
      <c r="AG42" s="22"/>
      <c r="AH42" s="70"/>
      <c r="AI42" s="22"/>
      <c r="AJ42" s="70"/>
      <c r="AK42" s="22"/>
      <c r="AL42" s="70"/>
      <c r="AM42" s="22"/>
      <c r="AN42" s="70"/>
      <c r="AO42" s="22"/>
      <c r="AP42" s="70"/>
      <c r="AQ42" s="22"/>
      <c r="AR42" s="70"/>
      <c r="AS42" s="22">
        <f t="shared" ref="AS42:AS68" si="4">+Q42</f>
        <v>30</v>
      </c>
      <c r="AT42" s="36">
        <v>5523</v>
      </c>
      <c r="AU42" s="62">
        <f t="shared" ref="AU42:AU68" si="5">+AS42*AT42</f>
        <v>165690</v>
      </c>
      <c r="AV42" s="206"/>
    </row>
    <row r="43" spans="1:48" s="29" customFormat="1" ht="37.5" customHeight="1" x14ac:dyDescent="0.25">
      <c r="A43" s="61">
        <v>34</v>
      </c>
      <c r="B43" s="69"/>
      <c r="C43" s="31" t="s">
        <v>49</v>
      </c>
      <c r="D43" s="23" t="s">
        <v>50</v>
      </c>
      <c r="E43" s="35" t="s">
        <v>81</v>
      </c>
      <c r="F43" s="24" t="s">
        <v>52</v>
      </c>
      <c r="G43" s="70"/>
      <c r="H43" s="70"/>
      <c r="I43" s="70"/>
      <c r="J43" s="70"/>
      <c r="K43" s="70"/>
      <c r="L43" s="70"/>
      <c r="M43" s="71"/>
      <c r="N43" s="72"/>
      <c r="O43" s="22"/>
      <c r="P43" s="70"/>
      <c r="Q43" s="35">
        <v>20</v>
      </c>
      <c r="R43" s="73">
        <f t="shared" si="3"/>
        <v>40000</v>
      </c>
      <c r="S43" s="22"/>
      <c r="T43" s="73"/>
      <c r="U43" s="71"/>
      <c r="V43" s="70"/>
      <c r="W43" s="22"/>
      <c r="X43" s="70"/>
      <c r="Y43" s="22"/>
      <c r="Z43" s="70"/>
      <c r="AA43" s="22"/>
      <c r="AB43" s="70"/>
      <c r="AC43" s="22"/>
      <c r="AD43" s="70"/>
      <c r="AE43" s="22"/>
      <c r="AF43" s="70"/>
      <c r="AG43" s="22"/>
      <c r="AH43" s="70"/>
      <c r="AI43" s="22"/>
      <c r="AJ43" s="70"/>
      <c r="AK43" s="22"/>
      <c r="AL43" s="70"/>
      <c r="AM43" s="22"/>
      <c r="AN43" s="70"/>
      <c r="AO43" s="22"/>
      <c r="AP43" s="70"/>
      <c r="AQ43" s="22"/>
      <c r="AR43" s="70"/>
      <c r="AS43" s="22">
        <f t="shared" si="4"/>
        <v>20</v>
      </c>
      <c r="AT43" s="36">
        <v>2000</v>
      </c>
      <c r="AU43" s="62">
        <f t="shared" si="5"/>
        <v>40000</v>
      </c>
      <c r="AV43" s="206"/>
    </row>
    <row r="44" spans="1:48" s="29" customFormat="1" ht="22.5" customHeight="1" x14ac:dyDescent="0.25">
      <c r="A44" s="61">
        <v>35</v>
      </c>
      <c r="B44" s="69"/>
      <c r="C44" s="31" t="s">
        <v>49</v>
      </c>
      <c r="D44" s="23" t="s">
        <v>50</v>
      </c>
      <c r="E44" s="35" t="s">
        <v>171</v>
      </c>
      <c r="F44" s="26" t="s">
        <v>52</v>
      </c>
      <c r="G44" s="70"/>
      <c r="H44" s="70"/>
      <c r="I44" s="70"/>
      <c r="J44" s="70"/>
      <c r="K44" s="70"/>
      <c r="L44" s="70"/>
      <c r="M44" s="71"/>
      <c r="N44" s="72"/>
      <c r="O44" s="22"/>
      <c r="P44" s="70"/>
      <c r="Q44" s="37">
        <v>50</v>
      </c>
      <c r="R44" s="73">
        <f t="shared" si="3"/>
        <v>2500000</v>
      </c>
      <c r="S44" s="22"/>
      <c r="T44" s="73"/>
      <c r="U44" s="71"/>
      <c r="V44" s="70"/>
      <c r="W44" s="22"/>
      <c r="X44" s="70"/>
      <c r="Y44" s="22"/>
      <c r="Z44" s="70"/>
      <c r="AA44" s="22"/>
      <c r="AB44" s="70"/>
      <c r="AC44" s="22"/>
      <c r="AD44" s="70"/>
      <c r="AE44" s="22"/>
      <c r="AF44" s="70"/>
      <c r="AG44" s="22"/>
      <c r="AH44" s="70"/>
      <c r="AI44" s="22"/>
      <c r="AJ44" s="70"/>
      <c r="AK44" s="22"/>
      <c r="AL44" s="70"/>
      <c r="AM44" s="22"/>
      <c r="AN44" s="70"/>
      <c r="AO44" s="22"/>
      <c r="AP44" s="70"/>
      <c r="AQ44" s="22"/>
      <c r="AR44" s="70"/>
      <c r="AS44" s="22">
        <f t="shared" si="4"/>
        <v>50</v>
      </c>
      <c r="AT44" s="34">
        <v>50000</v>
      </c>
      <c r="AU44" s="62">
        <f t="shared" si="5"/>
        <v>2500000</v>
      </c>
      <c r="AV44" s="206"/>
    </row>
    <row r="45" spans="1:48" s="29" customFormat="1" ht="22.5" customHeight="1" x14ac:dyDescent="0.25">
      <c r="A45" s="61">
        <v>36</v>
      </c>
      <c r="B45" s="69"/>
      <c r="C45" s="31" t="s">
        <v>49</v>
      </c>
      <c r="D45" s="23" t="s">
        <v>50</v>
      </c>
      <c r="E45" s="35" t="s">
        <v>82</v>
      </c>
      <c r="F45" s="24" t="s">
        <v>54</v>
      </c>
      <c r="G45" s="70"/>
      <c r="H45" s="70"/>
      <c r="I45" s="70"/>
      <c r="J45" s="70"/>
      <c r="K45" s="70"/>
      <c r="L45" s="70"/>
      <c r="M45" s="71"/>
      <c r="N45" s="72"/>
      <c r="O45" s="22"/>
      <c r="P45" s="70"/>
      <c r="Q45" s="35">
        <v>7</v>
      </c>
      <c r="R45" s="73">
        <f t="shared" si="3"/>
        <v>14000</v>
      </c>
      <c r="S45" s="22"/>
      <c r="T45" s="73"/>
      <c r="U45" s="71"/>
      <c r="V45" s="70"/>
      <c r="W45" s="22"/>
      <c r="X45" s="70"/>
      <c r="Y45" s="22"/>
      <c r="Z45" s="70"/>
      <c r="AA45" s="22"/>
      <c r="AB45" s="70"/>
      <c r="AC45" s="22"/>
      <c r="AD45" s="70"/>
      <c r="AE45" s="22"/>
      <c r="AF45" s="70"/>
      <c r="AG45" s="22"/>
      <c r="AH45" s="70"/>
      <c r="AI45" s="22"/>
      <c r="AJ45" s="70"/>
      <c r="AK45" s="22"/>
      <c r="AL45" s="70"/>
      <c r="AM45" s="22"/>
      <c r="AN45" s="70"/>
      <c r="AO45" s="22"/>
      <c r="AP45" s="70"/>
      <c r="AQ45" s="22"/>
      <c r="AR45" s="70"/>
      <c r="AS45" s="22">
        <f t="shared" si="4"/>
        <v>7</v>
      </c>
      <c r="AT45" s="36">
        <v>2000</v>
      </c>
      <c r="AU45" s="62">
        <f t="shared" si="5"/>
        <v>14000</v>
      </c>
      <c r="AV45" s="206"/>
    </row>
    <row r="46" spans="1:48" s="29" customFormat="1" ht="22.5" customHeight="1" x14ac:dyDescent="0.25">
      <c r="A46" s="61">
        <v>37</v>
      </c>
      <c r="B46" s="69"/>
      <c r="C46" s="31" t="s">
        <v>49</v>
      </c>
      <c r="D46" s="23" t="s">
        <v>50</v>
      </c>
      <c r="E46" s="35" t="s">
        <v>83</v>
      </c>
      <c r="F46" s="26" t="s">
        <v>54</v>
      </c>
      <c r="G46" s="70"/>
      <c r="H46" s="70"/>
      <c r="I46" s="70"/>
      <c r="J46" s="70"/>
      <c r="K46" s="70"/>
      <c r="L46" s="70"/>
      <c r="M46" s="71"/>
      <c r="N46" s="72"/>
      <c r="O46" s="22"/>
      <c r="P46" s="70"/>
      <c r="Q46" s="37">
        <v>5</v>
      </c>
      <c r="R46" s="73">
        <f t="shared" si="3"/>
        <v>15000</v>
      </c>
      <c r="S46" s="22"/>
      <c r="T46" s="73"/>
      <c r="U46" s="71"/>
      <c r="V46" s="70"/>
      <c r="W46" s="22"/>
      <c r="X46" s="70"/>
      <c r="Y46" s="22"/>
      <c r="Z46" s="70"/>
      <c r="AA46" s="22"/>
      <c r="AB46" s="70"/>
      <c r="AC46" s="22"/>
      <c r="AD46" s="70"/>
      <c r="AE46" s="22"/>
      <c r="AF46" s="70"/>
      <c r="AG46" s="22"/>
      <c r="AH46" s="70"/>
      <c r="AI46" s="22"/>
      <c r="AJ46" s="70"/>
      <c r="AK46" s="22"/>
      <c r="AL46" s="70"/>
      <c r="AM46" s="22"/>
      <c r="AN46" s="70"/>
      <c r="AO46" s="22"/>
      <c r="AP46" s="70"/>
      <c r="AQ46" s="22"/>
      <c r="AR46" s="70"/>
      <c r="AS46" s="22">
        <f t="shared" si="4"/>
        <v>5</v>
      </c>
      <c r="AT46" s="34">
        <v>3000</v>
      </c>
      <c r="AU46" s="62">
        <f t="shared" si="5"/>
        <v>15000</v>
      </c>
      <c r="AV46" s="206"/>
    </row>
    <row r="47" spans="1:48" s="29" customFormat="1" ht="37.5" customHeight="1" x14ac:dyDescent="0.25">
      <c r="A47" s="61">
        <v>38</v>
      </c>
      <c r="B47" s="69"/>
      <c r="C47" s="31" t="s">
        <v>49</v>
      </c>
      <c r="D47" s="23" t="s">
        <v>50</v>
      </c>
      <c r="E47" s="35" t="s">
        <v>84</v>
      </c>
      <c r="F47" s="24" t="s">
        <v>54</v>
      </c>
      <c r="G47" s="70"/>
      <c r="H47" s="70"/>
      <c r="I47" s="70"/>
      <c r="J47" s="70"/>
      <c r="K47" s="70"/>
      <c r="L47" s="70"/>
      <c r="M47" s="71"/>
      <c r="N47" s="72"/>
      <c r="O47" s="22"/>
      <c r="P47" s="70"/>
      <c r="Q47" s="35">
        <v>30</v>
      </c>
      <c r="R47" s="73">
        <f t="shared" si="3"/>
        <v>75000</v>
      </c>
      <c r="S47" s="22"/>
      <c r="T47" s="73"/>
      <c r="U47" s="71"/>
      <c r="V47" s="70"/>
      <c r="W47" s="22"/>
      <c r="X47" s="70"/>
      <c r="Y47" s="22"/>
      <c r="Z47" s="70"/>
      <c r="AA47" s="22"/>
      <c r="AB47" s="70"/>
      <c r="AC47" s="22"/>
      <c r="AD47" s="70"/>
      <c r="AE47" s="22"/>
      <c r="AF47" s="70"/>
      <c r="AG47" s="22"/>
      <c r="AH47" s="70"/>
      <c r="AI47" s="22"/>
      <c r="AJ47" s="70"/>
      <c r="AK47" s="22"/>
      <c r="AL47" s="70"/>
      <c r="AM47" s="22"/>
      <c r="AN47" s="70"/>
      <c r="AO47" s="22"/>
      <c r="AP47" s="70"/>
      <c r="AQ47" s="22"/>
      <c r="AR47" s="70"/>
      <c r="AS47" s="22">
        <f t="shared" si="4"/>
        <v>30</v>
      </c>
      <c r="AT47" s="36">
        <v>2500</v>
      </c>
      <c r="AU47" s="62">
        <f t="shared" si="5"/>
        <v>75000</v>
      </c>
      <c r="AV47" s="206"/>
    </row>
    <row r="48" spans="1:48" s="29" customFormat="1" ht="22.5" customHeight="1" x14ac:dyDescent="0.25">
      <c r="A48" s="61">
        <v>39</v>
      </c>
      <c r="B48" s="69"/>
      <c r="C48" s="31" t="s">
        <v>49</v>
      </c>
      <c r="D48" s="23" t="s">
        <v>50</v>
      </c>
      <c r="E48" s="31" t="s">
        <v>85</v>
      </c>
      <c r="F48" s="24" t="s">
        <v>52</v>
      </c>
      <c r="G48" s="70"/>
      <c r="H48" s="70"/>
      <c r="I48" s="70"/>
      <c r="J48" s="70"/>
      <c r="K48" s="70"/>
      <c r="L48" s="70"/>
      <c r="M48" s="71"/>
      <c r="N48" s="72"/>
      <c r="O48" s="22"/>
      <c r="P48" s="70"/>
      <c r="Q48" s="35">
        <v>20</v>
      </c>
      <c r="R48" s="73">
        <f t="shared" si="3"/>
        <v>28360</v>
      </c>
      <c r="S48" s="22"/>
      <c r="T48" s="73"/>
      <c r="U48" s="71"/>
      <c r="V48" s="70"/>
      <c r="W48" s="22"/>
      <c r="X48" s="70"/>
      <c r="Y48" s="22"/>
      <c r="Z48" s="70"/>
      <c r="AA48" s="22"/>
      <c r="AB48" s="70"/>
      <c r="AC48" s="22"/>
      <c r="AD48" s="70"/>
      <c r="AE48" s="22"/>
      <c r="AF48" s="70"/>
      <c r="AG48" s="22"/>
      <c r="AH48" s="70"/>
      <c r="AI48" s="22"/>
      <c r="AJ48" s="70"/>
      <c r="AK48" s="22"/>
      <c r="AL48" s="70"/>
      <c r="AM48" s="22"/>
      <c r="AN48" s="70"/>
      <c r="AO48" s="22"/>
      <c r="AP48" s="70"/>
      <c r="AQ48" s="22"/>
      <c r="AR48" s="70"/>
      <c r="AS48" s="22">
        <f t="shared" si="4"/>
        <v>20</v>
      </c>
      <c r="AT48" s="36">
        <v>1418</v>
      </c>
      <c r="AU48" s="62">
        <f t="shared" si="5"/>
        <v>28360</v>
      </c>
      <c r="AV48" s="206"/>
    </row>
    <row r="49" spans="1:48" s="29" customFormat="1" ht="22.5" customHeight="1" x14ac:dyDescent="0.25">
      <c r="A49" s="61">
        <v>40</v>
      </c>
      <c r="B49" s="69"/>
      <c r="C49" s="31" t="s">
        <v>49</v>
      </c>
      <c r="D49" s="23" t="s">
        <v>50</v>
      </c>
      <c r="E49" s="32" t="s">
        <v>86</v>
      </c>
      <c r="F49" s="25" t="s">
        <v>52</v>
      </c>
      <c r="G49" s="70"/>
      <c r="H49" s="70"/>
      <c r="I49" s="70"/>
      <c r="J49" s="70"/>
      <c r="K49" s="70"/>
      <c r="L49" s="70"/>
      <c r="M49" s="71"/>
      <c r="N49" s="72"/>
      <c r="O49" s="22"/>
      <c r="P49" s="70"/>
      <c r="Q49" s="32">
        <v>30</v>
      </c>
      <c r="R49" s="73">
        <f t="shared" si="3"/>
        <v>105000</v>
      </c>
      <c r="S49" s="22"/>
      <c r="T49" s="73"/>
      <c r="U49" s="71"/>
      <c r="V49" s="70"/>
      <c r="W49" s="22"/>
      <c r="X49" s="70"/>
      <c r="Y49" s="22"/>
      <c r="Z49" s="70"/>
      <c r="AA49" s="22"/>
      <c r="AB49" s="70"/>
      <c r="AC49" s="22"/>
      <c r="AD49" s="70"/>
      <c r="AE49" s="22"/>
      <c r="AF49" s="70"/>
      <c r="AG49" s="22"/>
      <c r="AH49" s="70"/>
      <c r="AI49" s="22"/>
      <c r="AJ49" s="70"/>
      <c r="AK49" s="22"/>
      <c r="AL49" s="70"/>
      <c r="AM49" s="22"/>
      <c r="AN49" s="70"/>
      <c r="AO49" s="22"/>
      <c r="AP49" s="70"/>
      <c r="AQ49" s="22"/>
      <c r="AR49" s="70"/>
      <c r="AS49" s="22">
        <f t="shared" si="4"/>
        <v>30</v>
      </c>
      <c r="AT49" s="36">
        <v>3500</v>
      </c>
      <c r="AU49" s="62">
        <f t="shared" si="5"/>
        <v>105000</v>
      </c>
      <c r="AV49" s="206"/>
    </row>
    <row r="50" spans="1:48" s="29" customFormat="1" ht="22.5" customHeight="1" x14ac:dyDescent="0.25">
      <c r="A50" s="61">
        <v>41</v>
      </c>
      <c r="B50" s="69"/>
      <c r="C50" s="31" t="s">
        <v>49</v>
      </c>
      <c r="D50" s="23" t="s">
        <v>50</v>
      </c>
      <c r="E50" s="35" t="s">
        <v>87</v>
      </c>
      <c r="F50" s="24" t="s">
        <v>52</v>
      </c>
      <c r="G50" s="70"/>
      <c r="H50" s="70"/>
      <c r="I50" s="70"/>
      <c r="J50" s="70"/>
      <c r="K50" s="70"/>
      <c r="L50" s="70"/>
      <c r="M50" s="71"/>
      <c r="N50" s="72"/>
      <c r="O50" s="22"/>
      <c r="P50" s="70"/>
      <c r="Q50" s="35">
        <v>10</v>
      </c>
      <c r="R50" s="73">
        <f t="shared" si="3"/>
        <v>25000</v>
      </c>
      <c r="S50" s="22"/>
      <c r="T50" s="73"/>
      <c r="U50" s="71"/>
      <c r="V50" s="70"/>
      <c r="W50" s="22"/>
      <c r="X50" s="70"/>
      <c r="Y50" s="22"/>
      <c r="Z50" s="70"/>
      <c r="AA50" s="22"/>
      <c r="AB50" s="70"/>
      <c r="AC50" s="22"/>
      <c r="AD50" s="70"/>
      <c r="AE50" s="22"/>
      <c r="AF50" s="70"/>
      <c r="AG50" s="22"/>
      <c r="AH50" s="70"/>
      <c r="AI50" s="22"/>
      <c r="AJ50" s="70"/>
      <c r="AK50" s="22"/>
      <c r="AL50" s="70"/>
      <c r="AM50" s="22"/>
      <c r="AN50" s="70"/>
      <c r="AO50" s="22"/>
      <c r="AP50" s="70"/>
      <c r="AQ50" s="22"/>
      <c r="AR50" s="70"/>
      <c r="AS50" s="22">
        <f t="shared" si="4"/>
        <v>10</v>
      </c>
      <c r="AT50" s="36">
        <v>2500</v>
      </c>
      <c r="AU50" s="62">
        <f t="shared" si="5"/>
        <v>25000</v>
      </c>
      <c r="AV50" s="206"/>
    </row>
    <row r="51" spans="1:48" s="29" customFormat="1" ht="22.5" customHeight="1" x14ac:dyDescent="0.25">
      <c r="A51" s="61">
        <v>42</v>
      </c>
      <c r="B51" s="69"/>
      <c r="C51" s="31" t="s">
        <v>49</v>
      </c>
      <c r="D51" s="23" t="s">
        <v>50</v>
      </c>
      <c r="E51" s="31" t="s">
        <v>88</v>
      </c>
      <c r="F51" s="24" t="s">
        <v>54</v>
      </c>
      <c r="G51" s="70"/>
      <c r="H51" s="70"/>
      <c r="I51" s="70"/>
      <c r="J51" s="70"/>
      <c r="K51" s="70"/>
      <c r="L51" s="70"/>
      <c r="M51" s="71"/>
      <c r="N51" s="72"/>
      <c r="O51" s="22"/>
      <c r="P51" s="70"/>
      <c r="Q51" s="35">
        <v>15</v>
      </c>
      <c r="R51" s="73">
        <f t="shared" si="3"/>
        <v>3270000</v>
      </c>
      <c r="S51" s="22"/>
      <c r="T51" s="73"/>
      <c r="U51" s="71"/>
      <c r="V51" s="70"/>
      <c r="W51" s="22"/>
      <c r="X51" s="70"/>
      <c r="Y51" s="22"/>
      <c r="Z51" s="70"/>
      <c r="AA51" s="22"/>
      <c r="AB51" s="70"/>
      <c r="AC51" s="22"/>
      <c r="AD51" s="70"/>
      <c r="AE51" s="22"/>
      <c r="AF51" s="70"/>
      <c r="AG51" s="22"/>
      <c r="AH51" s="70"/>
      <c r="AI51" s="22"/>
      <c r="AJ51" s="70"/>
      <c r="AK51" s="22"/>
      <c r="AL51" s="70"/>
      <c r="AM51" s="22"/>
      <c r="AN51" s="70"/>
      <c r="AO51" s="22"/>
      <c r="AP51" s="70"/>
      <c r="AQ51" s="22"/>
      <c r="AR51" s="70"/>
      <c r="AS51" s="22">
        <f t="shared" si="4"/>
        <v>15</v>
      </c>
      <c r="AT51" s="36">
        <v>218000</v>
      </c>
      <c r="AU51" s="62">
        <f t="shared" si="5"/>
        <v>3270000</v>
      </c>
      <c r="AV51" s="206"/>
    </row>
    <row r="52" spans="1:48" s="29" customFormat="1" ht="22.5" customHeight="1" x14ac:dyDescent="0.25">
      <c r="A52" s="61">
        <v>43</v>
      </c>
      <c r="B52" s="69"/>
      <c r="C52" s="31" t="s">
        <v>49</v>
      </c>
      <c r="D52" s="23" t="s">
        <v>50</v>
      </c>
      <c r="E52" s="32" t="s">
        <v>89</v>
      </c>
      <c r="F52" s="25" t="s">
        <v>52</v>
      </c>
      <c r="G52" s="70"/>
      <c r="H52" s="70"/>
      <c r="I52" s="70"/>
      <c r="J52" s="70"/>
      <c r="K52" s="70"/>
      <c r="L52" s="70"/>
      <c r="M52" s="71"/>
      <c r="N52" s="72"/>
      <c r="O52" s="22"/>
      <c r="P52" s="70"/>
      <c r="Q52" s="35">
        <v>2</v>
      </c>
      <c r="R52" s="73">
        <f t="shared" si="3"/>
        <v>30000</v>
      </c>
      <c r="S52" s="22"/>
      <c r="T52" s="73"/>
      <c r="U52" s="71"/>
      <c r="V52" s="70"/>
      <c r="W52" s="22"/>
      <c r="X52" s="70"/>
      <c r="Y52" s="22"/>
      <c r="Z52" s="70"/>
      <c r="AA52" s="22"/>
      <c r="AB52" s="70"/>
      <c r="AC52" s="22"/>
      <c r="AD52" s="70"/>
      <c r="AE52" s="22"/>
      <c r="AF52" s="70"/>
      <c r="AG52" s="22"/>
      <c r="AH52" s="70"/>
      <c r="AI52" s="22"/>
      <c r="AJ52" s="70"/>
      <c r="AK52" s="22"/>
      <c r="AL52" s="70"/>
      <c r="AM52" s="22"/>
      <c r="AN52" s="70"/>
      <c r="AO52" s="22"/>
      <c r="AP52" s="70"/>
      <c r="AQ52" s="22"/>
      <c r="AR52" s="70"/>
      <c r="AS52" s="22">
        <f t="shared" si="4"/>
        <v>2</v>
      </c>
      <c r="AT52" s="36">
        <v>15000</v>
      </c>
      <c r="AU52" s="62">
        <f t="shared" si="5"/>
        <v>30000</v>
      </c>
      <c r="AV52" s="206"/>
    </row>
    <row r="53" spans="1:48" s="29" customFormat="1" ht="22.5" customHeight="1" x14ac:dyDescent="0.25">
      <c r="A53" s="61">
        <v>44</v>
      </c>
      <c r="B53" s="69"/>
      <c r="C53" s="31" t="s">
        <v>49</v>
      </c>
      <c r="D53" s="23"/>
      <c r="E53" s="32" t="s">
        <v>90</v>
      </c>
      <c r="F53" s="25" t="s">
        <v>91</v>
      </c>
      <c r="G53" s="70"/>
      <c r="H53" s="70"/>
      <c r="I53" s="70"/>
      <c r="J53" s="70"/>
      <c r="K53" s="70"/>
      <c r="L53" s="70"/>
      <c r="M53" s="71"/>
      <c r="N53" s="72"/>
      <c r="O53" s="22"/>
      <c r="P53" s="70"/>
      <c r="Q53" s="35">
        <v>100</v>
      </c>
      <c r="R53" s="73">
        <f t="shared" si="3"/>
        <v>150000</v>
      </c>
      <c r="S53" s="22"/>
      <c r="T53" s="73"/>
      <c r="U53" s="71"/>
      <c r="V53" s="70"/>
      <c r="W53" s="22"/>
      <c r="X53" s="70"/>
      <c r="Y53" s="22"/>
      <c r="Z53" s="70"/>
      <c r="AA53" s="22"/>
      <c r="AB53" s="70"/>
      <c r="AC53" s="22"/>
      <c r="AD53" s="70"/>
      <c r="AE53" s="22"/>
      <c r="AF53" s="70"/>
      <c r="AG53" s="22"/>
      <c r="AH53" s="70"/>
      <c r="AI53" s="22"/>
      <c r="AJ53" s="70"/>
      <c r="AK53" s="22"/>
      <c r="AL53" s="70"/>
      <c r="AM53" s="22"/>
      <c r="AN53" s="70"/>
      <c r="AO53" s="22"/>
      <c r="AP53" s="70"/>
      <c r="AQ53" s="22"/>
      <c r="AR53" s="70"/>
      <c r="AS53" s="22">
        <f t="shared" si="4"/>
        <v>100</v>
      </c>
      <c r="AT53" s="36">
        <v>1500</v>
      </c>
      <c r="AU53" s="62">
        <f t="shared" si="5"/>
        <v>150000</v>
      </c>
      <c r="AV53" s="206"/>
    </row>
    <row r="54" spans="1:48" s="29" customFormat="1" ht="37.5" customHeight="1" x14ac:dyDescent="0.25">
      <c r="A54" s="61">
        <v>45</v>
      </c>
      <c r="B54" s="69"/>
      <c r="C54" s="31" t="s">
        <v>49</v>
      </c>
      <c r="D54" s="23" t="s">
        <v>50</v>
      </c>
      <c r="E54" s="31" t="s">
        <v>92</v>
      </c>
      <c r="F54" s="26" t="s">
        <v>52</v>
      </c>
      <c r="G54" s="70"/>
      <c r="H54" s="70"/>
      <c r="I54" s="70"/>
      <c r="J54" s="70"/>
      <c r="K54" s="70"/>
      <c r="L54" s="70"/>
      <c r="M54" s="71"/>
      <c r="N54" s="72"/>
      <c r="O54" s="22"/>
      <c r="P54" s="70"/>
      <c r="Q54" s="37">
        <v>30</v>
      </c>
      <c r="R54" s="73">
        <f t="shared" si="3"/>
        <v>47130</v>
      </c>
      <c r="S54" s="22"/>
      <c r="T54" s="73"/>
      <c r="U54" s="71"/>
      <c r="V54" s="70"/>
      <c r="W54" s="22"/>
      <c r="X54" s="70"/>
      <c r="Y54" s="22"/>
      <c r="Z54" s="70"/>
      <c r="AA54" s="22"/>
      <c r="AB54" s="70"/>
      <c r="AC54" s="22"/>
      <c r="AD54" s="70"/>
      <c r="AE54" s="22"/>
      <c r="AF54" s="70"/>
      <c r="AG54" s="22"/>
      <c r="AH54" s="70"/>
      <c r="AI54" s="22"/>
      <c r="AJ54" s="70"/>
      <c r="AK54" s="22"/>
      <c r="AL54" s="70"/>
      <c r="AM54" s="22"/>
      <c r="AN54" s="70"/>
      <c r="AO54" s="22"/>
      <c r="AP54" s="70"/>
      <c r="AQ54" s="22"/>
      <c r="AR54" s="70"/>
      <c r="AS54" s="22">
        <f t="shared" si="4"/>
        <v>30</v>
      </c>
      <c r="AT54" s="34">
        <v>1571</v>
      </c>
      <c r="AU54" s="62">
        <f t="shared" si="5"/>
        <v>47130</v>
      </c>
      <c r="AV54" s="206"/>
    </row>
    <row r="55" spans="1:48" s="29" customFormat="1" ht="22.5" customHeight="1" x14ac:dyDescent="0.25">
      <c r="A55" s="61">
        <v>46</v>
      </c>
      <c r="B55" s="69"/>
      <c r="C55" s="31" t="s">
        <v>49</v>
      </c>
      <c r="D55" s="23" t="s">
        <v>50</v>
      </c>
      <c r="E55" s="31" t="s">
        <v>93</v>
      </c>
      <c r="F55" s="24" t="s">
        <v>54</v>
      </c>
      <c r="G55" s="70"/>
      <c r="H55" s="70"/>
      <c r="I55" s="70"/>
      <c r="J55" s="70"/>
      <c r="K55" s="70"/>
      <c r="L55" s="70"/>
      <c r="M55" s="71"/>
      <c r="N55" s="72"/>
      <c r="O55" s="22"/>
      <c r="P55" s="70"/>
      <c r="Q55" s="35">
        <v>8</v>
      </c>
      <c r="R55" s="73">
        <f t="shared" si="3"/>
        <v>1000000</v>
      </c>
      <c r="S55" s="22"/>
      <c r="T55" s="73"/>
      <c r="U55" s="71"/>
      <c r="V55" s="70"/>
      <c r="W55" s="22"/>
      <c r="X55" s="70"/>
      <c r="Y55" s="22"/>
      <c r="Z55" s="70"/>
      <c r="AA55" s="22"/>
      <c r="AB55" s="70"/>
      <c r="AC55" s="22"/>
      <c r="AD55" s="70"/>
      <c r="AE55" s="22"/>
      <c r="AF55" s="70"/>
      <c r="AG55" s="22"/>
      <c r="AH55" s="70"/>
      <c r="AI55" s="22"/>
      <c r="AJ55" s="70"/>
      <c r="AK55" s="22"/>
      <c r="AL55" s="70"/>
      <c r="AM55" s="22"/>
      <c r="AN55" s="70"/>
      <c r="AO55" s="22"/>
      <c r="AP55" s="70"/>
      <c r="AQ55" s="22"/>
      <c r="AR55" s="70"/>
      <c r="AS55" s="22">
        <f t="shared" si="4"/>
        <v>8</v>
      </c>
      <c r="AT55" s="36">
        <v>125000</v>
      </c>
      <c r="AU55" s="62">
        <f t="shared" si="5"/>
        <v>1000000</v>
      </c>
      <c r="AV55" s="206"/>
    </row>
    <row r="56" spans="1:48" s="29" customFormat="1" ht="37.5" customHeight="1" x14ac:dyDescent="0.25">
      <c r="A56" s="61">
        <v>47</v>
      </c>
      <c r="B56" s="69"/>
      <c r="C56" s="31" t="s">
        <v>49</v>
      </c>
      <c r="D56" s="23" t="s">
        <v>50</v>
      </c>
      <c r="E56" s="31" t="s">
        <v>94</v>
      </c>
      <c r="F56" s="24" t="s">
        <v>52</v>
      </c>
      <c r="G56" s="70"/>
      <c r="H56" s="70"/>
      <c r="I56" s="70"/>
      <c r="J56" s="70"/>
      <c r="K56" s="70"/>
      <c r="L56" s="70"/>
      <c r="M56" s="71"/>
      <c r="N56" s="72"/>
      <c r="O56" s="22"/>
      <c r="P56" s="70"/>
      <c r="Q56" s="35">
        <v>10</v>
      </c>
      <c r="R56" s="73">
        <f t="shared" si="3"/>
        <v>18010</v>
      </c>
      <c r="S56" s="22"/>
      <c r="T56" s="73"/>
      <c r="U56" s="71"/>
      <c r="V56" s="70"/>
      <c r="W56" s="22"/>
      <c r="X56" s="70"/>
      <c r="Y56" s="22"/>
      <c r="Z56" s="70"/>
      <c r="AA56" s="22"/>
      <c r="AB56" s="70"/>
      <c r="AC56" s="22"/>
      <c r="AD56" s="70"/>
      <c r="AE56" s="22"/>
      <c r="AF56" s="70"/>
      <c r="AG56" s="22"/>
      <c r="AH56" s="70"/>
      <c r="AI56" s="22"/>
      <c r="AJ56" s="70"/>
      <c r="AK56" s="22"/>
      <c r="AL56" s="70"/>
      <c r="AM56" s="22"/>
      <c r="AN56" s="70"/>
      <c r="AO56" s="22"/>
      <c r="AP56" s="70"/>
      <c r="AQ56" s="22"/>
      <c r="AR56" s="70"/>
      <c r="AS56" s="22">
        <f t="shared" si="4"/>
        <v>10</v>
      </c>
      <c r="AT56" s="36">
        <v>1801</v>
      </c>
      <c r="AU56" s="62">
        <f t="shared" si="5"/>
        <v>18010</v>
      </c>
      <c r="AV56" s="206"/>
    </row>
    <row r="57" spans="1:48" s="29" customFormat="1" ht="37.5" customHeight="1" x14ac:dyDescent="0.25">
      <c r="A57" s="61">
        <v>48</v>
      </c>
      <c r="B57" s="69"/>
      <c r="C57" s="31" t="s">
        <v>49</v>
      </c>
      <c r="D57" s="23" t="s">
        <v>50</v>
      </c>
      <c r="E57" s="31" t="s">
        <v>95</v>
      </c>
      <c r="F57" s="25" t="s">
        <v>52</v>
      </c>
      <c r="G57" s="70"/>
      <c r="H57" s="70"/>
      <c r="I57" s="70"/>
      <c r="J57" s="70"/>
      <c r="K57" s="70"/>
      <c r="L57" s="70"/>
      <c r="M57" s="71"/>
      <c r="N57" s="72"/>
      <c r="O57" s="22"/>
      <c r="P57" s="70"/>
      <c r="Q57" s="33">
        <v>3</v>
      </c>
      <c r="R57" s="73">
        <f t="shared" si="3"/>
        <v>986274</v>
      </c>
      <c r="S57" s="22"/>
      <c r="T57" s="73"/>
      <c r="U57" s="71"/>
      <c r="V57" s="70"/>
      <c r="W57" s="22"/>
      <c r="X57" s="70"/>
      <c r="Y57" s="22"/>
      <c r="Z57" s="70"/>
      <c r="AA57" s="22"/>
      <c r="AB57" s="70"/>
      <c r="AC57" s="22"/>
      <c r="AD57" s="70"/>
      <c r="AE57" s="22"/>
      <c r="AF57" s="70"/>
      <c r="AG57" s="22"/>
      <c r="AH57" s="70"/>
      <c r="AI57" s="22"/>
      <c r="AJ57" s="70"/>
      <c r="AK57" s="22"/>
      <c r="AL57" s="70"/>
      <c r="AM57" s="22"/>
      <c r="AN57" s="70"/>
      <c r="AO57" s="22"/>
      <c r="AP57" s="70"/>
      <c r="AQ57" s="22"/>
      <c r="AR57" s="70"/>
      <c r="AS57" s="22">
        <f t="shared" si="4"/>
        <v>3</v>
      </c>
      <c r="AT57" s="34">
        <v>328758</v>
      </c>
      <c r="AU57" s="62">
        <f t="shared" si="5"/>
        <v>986274</v>
      </c>
      <c r="AV57" s="206"/>
    </row>
    <row r="58" spans="1:48" s="29" customFormat="1" ht="37.5" customHeight="1" x14ac:dyDescent="0.25">
      <c r="A58" s="61">
        <v>49</v>
      </c>
      <c r="B58" s="69"/>
      <c r="C58" s="31" t="s">
        <v>49</v>
      </c>
      <c r="D58" s="23" t="s">
        <v>50</v>
      </c>
      <c r="E58" s="35" t="s">
        <v>96</v>
      </c>
      <c r="F58" s="24" t="s">
        <v>52</v>
      </c>
      <c r="G58" s="70"/>
      <c r="H58" s="70"/>
      <c r="I58" s="70"/>
      <c r="J58" s="70"/>
      <c r="K58" s="70"/>
      <c r="L58" s="70"/>
      <c r="M58" s="71"/>
      <c r="N58" s="72"/>
      <c r="O58" s="22"/>
      <c r="P58" s="70"/>
      <c r="Q58" s="35">
        <v>2</v>
      </c>
      <c r="R58" s="73">
        <f t="shared" si="3"/>
        <v>860000</v>
      </c>
      <c r="S58" s="22"/>
      <c r="T58" s="73"/>
      <c r="U58" s="71"/>
      <c r="V58" s="70"/>
      <c r="W58" s="22"/>
      <c r="X58" s="70"/>
      <c r="Y58" s="22"/>
      <c r="Z58" s="70"/>
      <c r="AA58" s="22"/>
      <c r="AB58" s="70"/>
      <c r="AC58" s="22"/>
      <c r="AD58" s="70"/>
      <c r="AE58" s="22"/>
      <c r="AF58" s="70"/>
      <c r="AG58" s="22"/>
      <c r="AH58" s="70"/>
      <c r="AI58" s="22"/>
      <c r="AJ58" s="70"/>
      <c r="AK58" s="22"/>
      <c r="AL58" s="70"/>
      <c r="AM58" s="22"/>
      <c r="AN58" s="70"/>
      <c r="AO58" s="22"/>
      <c r="AP58" s="70"/>
      <c r="AQ58" s="22"/>
      <c r="AR58" s="70"/>
      <c r="AS58" s="22">
        <f t="shared" si="4"/>
        <v>2</v>
      </c>
      <c r="AT58" s="36">
        <v>430000</v>
      </c>
      <c r="AU58" s="62">
        <f t="shared" si="5"/>
        <v>860000</v>
      </c>
      <c r="AV58" s="206"/>
    </row>
    <row r="59" spans="1:48" s="29" customFormat="1" ht="37.5" customHeight="1" x14ac:dyDescent="0.25">
      <c r="A59" s="61">
        <v>50</v>
      </c>
      <c r="B59" s="69"/>
      <c r="C59" s="31" t="s">
        <v>49</v>
      </c>
      <c r="D59" s="23" t="s">
        <v>50</v>
      </c>
      <c r="E59" s="31" t="s">
        <v>97</v>
      </c>
      <c r="F59" s="24" t="s">
        <v>52</v>
      </c>
      <c r="G59" s="70"/>
      <c r="H59" s="70"/>
      <c r="I59" s="70"/>
      <c r="J59" s="70"/>
      <c r="K59" s="70"/>
      <c r="L59" s="70"/>
      <c r="M59" s="71"/>
      <c r="N59" s="72"/>
      <c r="O59" s="22"/>
      <c r="P59" s="70"/>
      <c r="Q59" s="35">
        <v>4</v>
      </c>
      <c r="R59" s="73">
        <f t="shared" si="3"/>
        <v>191600</v>
      </c>
      <c r="S59" s="22"/>
      <c r="T59" s="73"/>
      <c r="U59" s="71"/>
      <c r="V59" s="70"/>
      <c r="W59" s="22"/>
      <c r="X59" s="70"/>
      <c r="Y59" s="22"/>
      <c r="Z59" s="70"/>
      <c r="AA59" s="22"/>
      <c r="AB59" s="70"/>
      <c r="AC59" s="22"/>
      <c r="AD59" s="70"/>
      <c r="AE59" s="22"/>
      <c r="AF59" s="70"/>
      <c r="AG59" s="22"/>
      <c r="AH59" s="70"/>
      <c r="AI59" s="22"/>
      <c r="AJ59" s="70"/>
      <c r="AK59" s="22"/>
      <c r="AL59" s="70"/>
      <c r="AM59" s="22"/>
      <c r="AN59" s="70"/>
      <c r="AO59" s="22"/>
      <c r="AP59" s="70"/>
      <c r="AQ59" s="22"/>
      <c r="AR59" s="70"/>
      <c r="AS59" s="22">
        <f t="shared" si="4"/>
        <v>4</v>
      </c>
      <c r="AT59" s="36">
        <v>47900</v>
      </c>
      <c r="AU59" s="62">
        <f t="shared" si="5"/>
        <v>191600</v>
      </c>
      <c r="AV59" s="206"/>
    </row>
    <row r="60" spans="1:48" s="29" customFormat="1" ht="37.5" customHeight="1" x14ac:dyDescent="0.25">
      <c r="A60" s="61">
        <v>51</v>
      </c>
      <c r="B60" s="69"/>
      <c r="C60" s="31" t="s">
        <v>49</v>
      </c>
      <c r="D60" s="23" t="s">
        <v>50</v>
      </c>
      <c r="E60" s="31" t="s">
        <v>98</v>
      </c>
      <c r="F60" s="24" t="s">
        <v>52</v>
      </c>
      <c r="G60" s="70"/>
      <c r="H60" s="70"/>
      <c r="I60" s="70"/>
      <c r="J60" s="70"/>
      <c r="K60" s="70"/>
      <c r="L60" s="70"/>
      <c r="M60" s="71"/>
      <c r="N60" s="72"/>
      <c r="O60" s="22"/>
      <c r="P60" s="70"/>
      <c r="Q60" s="35">
        <v>4</v>
      </c>
      <c r="R60" s="73">
        <f t="shared" si="3"/>
        <v>165200</v>
      </c>
      <c r="S60" s="22"/>
      <c r="T60" s="73"/>
      <c r="U60" s="71"/>
      <c r="V60" s="70"/>
      <c r="W60" s="22"/>
      <c r="X60" s="70"/>
      <c r="Y60" s="22"/>
      <c r="Z60" s="70"/>
      <c r="AA60" s="22"/>
      <c r="AB60" s="70"/>
      <c r="AC60" s="22"/>
      <c r="AD60" s="70"/>
      <c r="AE60" s="22"/>
      <c r="AF60" s="70"/>
      <c r="AG60" s="22"/>
      <c r="AH60" s="70"/>
      <c r="AI60" s="22"/>
      <c r="AJ60" s="70"/>
      <c r="AK60" s="22"/>
      <c r="AL60" s="70"/>
      <c r="AM60" s="22"/>
      <c r="AN60" s="70"/>
      <c r="AO60" s="22"/>
      <c r="AP60" s="70"/>
      <c r="AQ60" s="22"/>
      <c r="AR60" s="70"/>
      <c r="AS60" s="22">
        <f t="shared" si="4"/>
        <v>4</v>
      </c>
      <c r="AT60" s="36">
        <v>41300</v>
      </c>
      <c r="AU60" s="62">
        <f t="shared" si="5"/>
        <v>165200</v>
      </c>
      <c r="AV60" s="206"/>
    </row>
    <row r="61" spans="1:48" s="29" customFormat="1" ht="22.5" customHeight="1" x14ac:dyDescent="0.25">
      <c r="A61" s="61">
        <v>52</v>
      </c>
      <c r="B61" s="69"/>
      <c r="C61" s="31" t="s">
        <v>49</v>
      </c>
      <c r="D61" s="23" t="s">
        <v>50</v>
      </c>
      <c r="E61" s="35" t="s">
        <v>99</v>
      </c>
      <c r="F61" s="24" t="s">
        <v>54</v>
      </c>
      <c r="G61" s="70"/>
      <c r="H61" s="70"/>
      <c r="I61" s="70"/>
      <c r="J61" s="70"/>
      <c r="K61" s="70"/>
      <c r="L61" s="70"/>
      <c r="M61" s="71"/>
      <c r="N61" s="72"/>
      <c r="O61" s="22"/>
      <c r="P61" s="70"/>
      <c r="Q61" s="35">
        <v>10</v>
      </c>
      <c r="R61" s="73">
        <f t="shared" si="3"/>
        <v>4520760</v>
      </c>
      <c r="S61" s="22"/>
      <c r="T61" s="73"/>
      <c r="U61" s="71"/>
      <c r="V61" s="70"/>
      <c r="W61" s="22"/>
      <c r="X61" s="70"/>
      <c r="Y61" s="22"/>
      <c r="Z61" s="70"/>
      <c r="AA61" s="22"/>
      <c r="AB61" s="70"/>
      <c r="AC61" s="22"/>
      <c r="AD61" s="70"/>
      <c r="AE61" s="22"/>
      <c r="AF61" s="70"/>
      <c r="AG61" s="22"/>
      <c r="AH61" s="70"/>
      <c r="AI61" s="22"/>
      <c r="AJ61" s="70"/>
      <c r="AK61" s="22"/>
      <c r="AL61" s="70"/>
      <c r="AM61" s="22"/>
      <c r="AN61" s="70"/>
      <c r="AO61" s="22"/>
      <c r="AP61" s="70"/>
      <c r="AQ61" s="22"/>
      <c r="AR61" s="70"/>
      <c r="AS61" s="22">
        <f t="shared" si="4"/>
        <v>10</v>
      </c>
      <c r="AT61" s="36">
        <v>452076</v>
      </c>
      <c r="AU61" s="62">
        <f t="shared" si="5"/>
        <v>4520760</v>
      </c>
      <c r="AV61" s="206"/>
    </row>
    <row r="62" spans="1:48" s="29" customFormat="1" ht="52.5" customHeight="1" x14ac:dyDescent="0.25">
      <c r="A62" s="61">
        <v>53</v>
      </c>
      <c r="B62" s="69"/>
      <c r="C62" s="31" t="s">
        <v>49</v>
      </c>
      <c r="D62" s="23" t="s">
        <v>50</v>
      </c>
      <c r="E62" s="31" t="s">
        <v>100</v>
      </c>
      <c r="F62" s="24" t="s">
        <v>54</v>
      </c>
      <c r="G62" s="70"/>
      <c r="H62" s="70"/>
      <c r="I62" s="70"/>
      <c r="J62" s="70"/>
      <c r="K62" s="70"/>
      <c r="L62" s="70"/>
      <c r="M62" s="71"/>
      <c r="N62" s="72"/>
      <c r="O62" s="22"/>
      <c r="P62" s="70"/>
      <c r="Q62" s="35">
        <v>20</v>
      </c>
      <c r="R62" s="73">
        <f t="shared" si="3"/>
        <v>6760</v>
      </c>
      <c r="S62" s="22"/>
      <c r="T62" s="73"/>
      <c r="U62" s="71"/>
      <c r="V62" s="70"/>
      <c r="W62" s="22"/>
      <c r="X62" s="70"/>
      <c r="Y62" s="22"/>
      <c r="Z62" s="70"/>
      <c r="AA62" s="22"/>
      <c r="AB62" s="70"/>
      <c r="AC62" s="22"/>
      <c r="AD62" s="70"/>
      <c r="AE62" s="22"/>
      <c r="AF62" s="70"/>
      <c r="AG62" s="22"/>
      <c r="AH62" s="70"/>
      <c r="AI62" s="22"/>
      <c r="AJ62" s="70"/>
      <c r="AK62" s="22"/>
      <c r="AL62" s="70"/>
      <c r="AM62" s="22"/>
      <c r="AN62" s="70"/>
      <c r="AO62" s="22"/>
      <c r="AP62" s="70"/>
      <c r="AQ62" s="22"/>
      <c r="AR62" s="70"/>
      <c r="AS62" s="22">
        <f t="shared" si="4"/>
        <v>20</v>
      </c>
      <c r="AT62" s="36">
        <v>338</v>
      </c>
      <c r="AU62" s="62">
        <f t="shared" si="5"/>
        <v>6760</v>
      </c>
      <c r="AV62" s="206"/>
    </row>
    <row r="63" spans="1:48" s="29" customFormat="1" ht="28.5" customHeight="1" x14ac:dyDescent="0.25">
      <c r="A63" s="61">
        <v>54</v>
      </c>
      <c r="B63" s="69"/>
      <c r="C63" s="31" t="s">
        <v>49</v>
      </c>
      <c r="D63" s="23" t="s">
        <v>50</v>
      </c>
      <c r="E63" s="69" t="s">
        <v>101</v>
      </c>
      <c r="F63" s="24" t="s">
        <v>54</v>
      </c>
      <c r="G63" s="70"/>
      <c r="H63" s="70"/>
      <c r="I63" s="70"/>
      <c r="J63" s="70"/>
      <c r="K63" s="70"/>
      <c r="L63" s="70"/>
      <c r="M63" s="71"/>
      <c r="N63" s="72"/>
      <c r="O63" s="22"/>
      <c r="P63" s="70"/>
      <c r="Q63" s="35">
        <v>15</v>
      </c>
      <c r="R63" s="73">
        <f t="shared" si="3"/>
        <v>375000</v>
      </c>
      <c r="S63" s="22"/>
      <c r="T63" s="73"/>
      <c r="U63" s="71"/>
      <c r="V63" s="70"/>
      <c r="W63" s="22"/>
      <c r="X63" s="70"/>
      <c r="Y63" s="22"/>
      <c r="Z63" s="70"/>
      <c r="AA63" s="22"/>
      <c r="AB63" s="70"/>
      <c r="AC63" s="22"/>
      <c r="AD63" s="70"/>
      <c r="AE63" s="22"/>
      <c r="AF63" s="70"/>
      <c r="AG63" s="22"/>
      <c r="AH63" s="70"/>
      <c r="AI63" s="22"/>
      <c r="AJ63" s="70"/>
      <c r="AK63" s="22"/>
      <c r="AL63" s="70"/>
      <c r="AM63" s="22"/>
      <c r="AN63" s="70"/>
      <c r="AO63" s="22"/>
      <c r="AP63" s="70"/>
      <c r="AQ63" s="22"/>
      <c r="AR63" s="70"/>
      <c r="AS63" s="22">
        <f t="shared" si="4"/>
        <v>15</v>
      </c>
      <c r="AT63" s="36">
        <v>25000</v>
      </c>
      <c r="AU63" s="62">
        <f t="shared" si="5"/>
        <v>375000</v>
      </c>
      <c r="AV63" s="206"/>
    </row>
    <row r="64" spans="1:48" s="29" customFormat="1" ht="36" customHeight="1" x14ac:dyDescent="0.25">
      <c r="A64" s="61">
        <v>55</v>
      </c>
      <c r="B64" s="69"/>
      <c r="C64" s="31" t="s">
        <v>49</v>
      </c>
      <c r="D64" s="23" t="s">
        <v>50</v>
      </c>
      <c r="E64" s="35" t="s">
        <v>102</v>
      </c>
      <c r="F64" s="25" t="s">
        <v>54</v>
      </c>
      <c r="G64" s="70"/>
      <c r="H64" s="70"/>
      <c r="I64" s="70"/>
      <c r="J64" s="70"/>
      <c r="K64" s="70"/>
      <c r="L64" s="70"/>
      <c r="M64" s="71"/>
      <c r="N64" s="72"/>
      <c r="O64" s="22"/>
      <c r="P64" s="70"/>
      <c r="Q64" s="32">
        <v>30</v>
      </c>
      <c r="R64" s="73">
        <f t="shared" si="3"/>
        <v>24630</v>
      </c>
      <c r="S64" s="22"/>
      <c r="T64" s="73"/>
      <c r="U64" s="71"/>
      <c r="V64" s="70"/>
      <c r="W64" s="22"/>
      <c r="X64" s="70"/>
      <c r="Y64" s="22"/>
      <c r="Z64" s="70"/>
      <c r="AA64" s="22"/>
      <c r="AB64" s="70"/>
      <c r="AC64" s="22"/>
      <c r="AD64" s="70"/>
      <c r="AE64" s="22"/>
      <c r="AF64" s="70"/>
      <c r="AG64" s="22"/>
      <c r="AH64" s="70"/>
      <c r="AI64" s="22"/>
      <c r="AJ64" s="70"/>
      <c r="AK64" s="22"/>
      <c r="AL64" s="70"/>
      <c r="AM64" s="22"/>
      <c r="AN64" s="70"/>
      <c r="AO64" s="22"/>
      <c r="AP64" s="70"/>
      <c r="AQ64" s="22"/>
      <c r="AR64" s="70"/>
      <c r="AS64" s="22">
        <f t="shared" si="4"/>
        <v>30</v>
      </c>
      <c r="AT64" s="36">
        <v>821</v>
      </c>
      <c r="AU64" s="62">
        <f t="shared" si="5"/>
        <v>24630</v>
      </c>
      <c r="AV64" s="206"/>
    </row>
    <row r="65" spans="1:48" s="29" customFormat="1" ht="58.5" customHeight="1" x14ac:dyDescent="0.25">
      <c r="A65" s="61">
        <v>56</v>
      </c>
      <c r="B65" s="69"/>
      <c r="C65" s="31" t="s">
        <v>49</v>
      </c>
      <c r="D65" s="23" t="s">
        <v>50</v>
      </c>
      <c r="E65" s="31" t="s">
        <v>103</v>
      </c>
      <c r="F65" s="24" t="s">
        <v>52</v>
      </c>
      <c r="G65" s="70"/>
      <c r="H65" s="70"/>
      <c r="I65" s="70"/>
      <c r="J65" s="70"/>
      <c r="K65" s="70"/>
      <c r="L65" s="70"/>
      <c r="M65" s="71"/>
      <c r="N65" s="72"/>
      <c r="O65" s="22"/>
      <c r="P65" s="70"/>
      <c r="Q65" s="35">
        <v>2</v>
      </c>
      <c r="R65" s="73">
        <f t="shared" si="3"/>
        <v>338028</v>
      </c>
      <c r="S65" s="22"/>
      <c r="T65" s="73"/>
      <c r="U65" s="71"/>
      <c r="V65" s="70"/>
      <c r="W65" s="22"/>
      <c r="X65" s="70"/>
      <c r="Y65" s="22"/>
      <c r="Z65" s="70"/>
      <c r="AA65" s="22"/>
      <c r="AB65" s="70"/>
      <c r="AC65" s="22"/>
      <c r="AD65" s="70"/>
      <c r="AE65" s="22"/>
      <c r="AF65" s="70"/>
      <c r="AG65" s="22"/>
      <c r="AH65" s="70"/>
      <c r="AI65" s="22"/>
      <c r="AJ65" s="70"/>
      <c r="AK65" s="22"/>
      <c r="AL65" s="70"/>
      <c r="AM65" s="22"/>
      <c r="AN65" s="70"/>
      <c r="AO65" s="22"/>
      <c r="AP65" s="70"/>
      <c r="AQ65" s="22"/>
      <c r="AR65" s="70"/>
      <c r="AS65" s="22">
        <f t="shared" si="4"/>
        <v>2</v>
      </c>
      <c r="AT65" s="36">
        <v>169014</v>
      </c>
      <c r="AU65" s="62">
        <f t="shared" si="5"/>
        <v>338028</v>
      </c>
      <c r="AV65" s="206"/>
    </row>
    <row r="66" spans="1:48" s="29" customFormat="1" ht="51.75" customHeight="1" x14ac:dyDescent="0.25">
      <c r="A66" s="61">
        <v>57</v>
      </c>
      <c r="B66" s="69"/>
      <c r="C66" s="31" t="s">
        <v>49</v>
      </c>
      <c r="D66" s="23" t="s">
        <v>50</v>
      </c>
      <c r="E66" s="31" t="s">
        <v>104</v>
      </c>
      <c r="F66" s="24" t="s">
        <v>52</v>
      </c>
      <c r="G66" s="70"/>
      <c r="H66" s="70"/>
      <c r="I66" s="70"/>
      <c r="J66" s="70"/>
      <c r="K66" s="70"/>
      <c r="L66" s="70"/>
      <c r="M66" s="71"/>
      <c r="N66" s="72"/>
      <c r="O66" s="22"/>
      <c r="P66" s="70"/>
      <c r="Q66" s="39">
        <v>30</v>
      </c>
      <c r="R66" s="73">
        <f t="shared" si="3"/>
        <v>89970</v>
      </c>
      <c r="S66" s="22"/>
      <c r="T66" s="73"/>
      <c r="U66" s="71"/>
      <c r="V66" s="70"/>
      <c r="W66" s="22"/>
      <c r="X66" s="70"/>
      <c r="Y66" s="22"/>
      <c r="Z66" s="70"/>
      <c r="AA66" s="22"/>
      <c r="AB66" s="70"/>
      <c r="AC66" s="22"/>
      <c r="AD66" s="70"/>
      <c r="AE66" s="22"/>
      <c r="AF66" s="70"/>
      <c r="AG66" s="22"/>
      <c r="AH66" s="70"/>
      <c r="AI66" s="22"/>
      <c r="AJ66" s="70"/>
      <c r="AK66" s="22"/>
      <c r="AL66" s="70"/>
      <c r="AM66" s="22"/>
      <c r="AN66" s="70"/>
      <c r="AO66" s="22"/>
      <c r="AP66" s="70"/>
      <c r="AQ66" s="22"/>
      <c r="AR66" s="70"/>
      <c r="AS66" s="22">
        <f t="shared" si="4"/>
        <v>30</v>
      </c>
      <c r="AT66" s="36">
        <v>2999</v>
      </c>
      <c r="AU66" s="62">
        <f t="shared" si="5"/>
        <v>89970</v>
      </c>
      <c r="AV66" s="206"/>
    </row>
    <row r="67" spans="1:48" s="29" customFormat="1" ht="40.5" customHeight="1" x14ac:dyDescent="0.25">
      <c r="A67" s="61">
        <v>58</v>
      </c>
      <c r="B67" s="69"/>
      <c r="C67" s="31" t="s">
        <v>49</v>
      </c>
      <c r="D67" s="23" t="s">
        <v>50</v>
      </c>
      <c r="E67" s="32" t="str">
        <f>'[1]Nota de PyE'!$C$21</f>
        <v>VINCRISTINA 1 MG. 1 FRASCO-AMPOLLA</v>
      </c>
      <c r="F67" s="70" t="s">
        <v>52</v>
      </c>
      <c r="G67" s="70"/>
      <c r="H67" s="70"/>
      <c r="I67" s="70"/>
      <c r="J67" s="70"/>
      <c r="K67" s="70"/>
      <c r="L67" s="70"/>
      <c r="M67" s="71"/>
      <c r="N67" s="72"/>
      <c r="O67" s="22"/>
      <c r="P67" s="70"/>
      <c r="Q67" s="69">
        <v>100</v>
      </c>
      <c r="R67" s="73">
        <f t="shared" si="3"/>
        <v>123200</v>
      </c>
      <c r="S67" s="22"/>
      <c r="T67" s="73"/>
      <c r="U67" s="71"/>
      <c r="V67" s="70"/>
      <c r="W67" s="22"/>
      <c r="X67" s="70"/>
      <c r="Y67" s="22"/>
      <c r="Z67" s="70"/>
      <c r="AA67" s="22"/>
      <c r="AB67" s="70"/>
      <c r="AC67" s="22"/>
      <c r="AD67" s="70"/>
      <c r="AE67" s="22"/>
      <c r="AF67" s="70"/>
      <c r="AG67" s="22"/>
      <c r="AH67" s="70"/>
      <c r="AI67" s="22"/>
      <c r="AJ67" s="70"/>
      <c r="AK67" s="22"/>
      <c r="AL67" s="70"/>
      <c r="AM67" s="22"/>
      <c r="AN67" s="70"/>
      <c r="AO67" s="22"/>
      <c r="AP67" s="70"/>
      <c r="AQ67" s="22"/>
      <c r="AR67" s="70"/>
      <c r="AS67" s="22">
        <f t="shared" si="4"/>
        <v>100</v>
      </c>
      <c r="AT67" s="69">
        <v>1232</v>
      </c>
      <c r="AU67" s="62">
        <f t="shared" si="5"/>
        <v>123200</v>
      </c>
      <c r="AV67" s="206"/>
    </row>
    <row r="68" spans="1:48" s="29" customFormat="1" ht="41.25" customHeight="1" thickBot="1" x14ac:dyDescent="0.3">
      <c r="A68" s="106">
        <v>59</v>
      </c>
      <c r="B68" s="107"/>
      <c r="C68" s="108" t="s">
        <v>49</v>
      </c>
      <c r="D68" s="109" t="s">
        <v>50</v>
      </c>
      <c r="E68" s="108" t="s">
        <v>105</v>
      </c>
      <c r="F68" s="63" t="s">
        <v>52</v>
      </c>
      <c r="G68" s="63"/>
      <c r="H68" s="63"/>
      <c r="I68" s="63"/>
      <c r="J68" s="63"/>
      <c r="K68" s="63"/>
      <c r="L68" s="63"/>
      <c r="M68" s="110"/>
      <c r="N68" s="111"/>
      <c r="O68" s="112"/>
      <c r="P68" s="63"/>
      <c r="Q68" s="107">
        <v>30</v>
      </c>
      <c r="R68" s="113">
        <f t="shared" si="3"/>
        <v>180000</v>
      </c>
      <c r="S68" s="112"/>
      <c r="T68" s="113"/>
      <c r="U68" s="110"/>
      <c r="V68" s="63"/>
      <c r="W68" s="112"/>
      <c r="X68" s="63"/>
      <c r="Y68" s="112"/>
      <c r="Z68" s="63"/>
      <c r="AA68" s="112"/>
      <c r="AB68" s="63"/>
      <c r="AC68" s="112"/>
      <c r="AD68" s="63"/>
      <c r="AE68" s="112"/>
      <c r="AF68" s="63"/>
      <c r="AG68" s="112"/>
      <c r="AH68" s="63"/>
      <c r="AI68" s="112"/>
      <c r="AJ68" s="63"/>
      <c r="AK68" s="112"/>
      <c r="AL68" s="63"/>
      <c r="AM68" s="112"/>
      <c r="AN68" s="63"/>
      <c r="AO68" s="112"/>
      <c r="AP68" s="63"/>
      <c r="AQ68" s="112"/>
      <c r="AR68" s="63"/>
      <c r="AS68" s="112">
        <f t="shared" si="4"/>
        <v>30</v>
      </c>
      <c r="AT68" s="114">
        <v>6000</v>
      </c>
      <c r="AU68" s="115">
        <f t="shared" si="5"/>
        <v>180000</v>
      </c>
      <c r="AV68" s="206"/>
    </row>
    <row r="69" spans="1:48" s="29" customFormat="1" ht="41.25" customHeight="1" thickBot="1" x14ac:dyDescent="0.3">
      <c r="A69" s="216" t="s">
        <v>118</v>
      </c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T69" s="218"/>
      <c r="AU69" s="189">
        <f>+SUM(AU10:AU68)</f>
        <v>23614255</v>
      </c>
    </row>
    <row r="70" spans="1:48" s="29" customFormat="1" ht="15.75" thickBot="1" x14ac:dyDescent="0.3">
      <c r="A70" s="75"/>
      <c r="B70" s="76"/>
      <c r="C70" s="75"/>
      <c r="D70" s="77"/>
      <c r="E70" s="78"/>
      <c r="F70" s="79"/>
      <c r="G70" s="79"/>
      <c r="H70" s="79"/>
      <c r="I70" s="79"/>
      <c r="J70" s="79"/>
      <c r="K70" s="79"/>
      <c r="L70" s="79"/>
      <c r="M70" s="80"/>
      <c r="N70" s="81"/>
      <c r="O70" s="82"/>
      <c r="P70" s="79"/>
      <c r="Q70" s="80"/>
      <c r="R70" s="79"/>
      <c r="S70" s="82"/>
      <c r="T70" s="83"/>
      <c r="U70" s="80"/>
      <c r="V70" s="79"/>
      <c r="W70" s="82"/>
      <c r="X70" s="79"/>
      <c r="Y70" s="82"/>
      <c r="Z70" s="79"/>
      <c r="AA70" s="82"/>
      <c r="AB70" s="79"/>
      <c r="AC70" s="82"/>
      <c r="AD70" s="79"/>
      <c r="AE70" s="82"/>
      <c r="AF70" s="79"/>
      <c r="AG70" s="82"/>
      <c r="AH70" s="79"/>
      <c r="AI70" s="82"/>
      <c r="AJ70" s="79"/>
      <c r="AK70" s="82"/>
      <c r="AL70" s="79"/>
      <c r="AM70" s="82"/>
      <c r="AN70" s="79"/>
      <c r="AO70" s="82"/>
      <c r="AP70" s="79"/>
      <c r="AQ70" s="82"/>
      <c r="AR70" s="79"/>
      <c r="AS70" s="84"/>
      <c r="AT70" s="85"/>
      <c r="AU70" s="86"/>
    </row>
    <row r="71" spans="1:48" ht="126.75" customHeight="1" x14ac:dyDescent="0.2">
      <c r="A71" s="88"/>
      <c r="B71" s="89" t="s">
        <v>110</v>
      </c>
      <c r="C71" s="212" t="s">
        <v>111</v>
      </c>
      <c r="D71" s="212"/>
      <c r="E71" s="212"/>
      <c r="F71" s="213"/>
    </row>
    <row r="72" spans="1:48" x14ac:dyDescent="0.25">
      <c r="A72" s="87"/>
      <c r="B72" s="90" t="s">
        <v>112</v>
      </c>
      <c r="C72" s="91" t="s">
        <v>113</v>
      </c>
      <c r="D72" s="92"/>
      <c r="E72" s="93"/>
      <c r="F72" s="94"/>
    </row>
    <row r="73" spans="1:48" x14ac:dyDescent="0.25">
      <c r="A73" s="87"/>
      <c r="B73" s="90"/>
      <c r="C73" s="95"/>
      <c r="D73" s="92"/>
      <c r="E73" s="93"/>
      <c r="F73" s="94"/>
    </row>
    <row r="74" spans="1:48" x14ac:dyDescent="0.25">
      <c r="A74" s="87"/>
      <c r="B74" s="90" t="s">
        <v>114</v>
      </c>
      <c r="C74" s="214" t="s">
        <v>162</v>
      </c>
      <c r="D74" s="214"/>
      <c r="E74" s="214"/>
      <c r="F74" s="215"/>
    </row>
    <row r="75" spans="1:48" x14ac:dyDescent="0.25">
      <c r="A75" s="87"/>
      <c r="B75" s="90"/>
      <c r="C75" s="214"/>
      <c r="D75" s="214"/>
      <c r="E75" s="214"/>
      <c r="F75" s="215"/>
    </row>
    <row r="76" spans="1:48" ht="30" x14ac:dyDescent="0.25">
      <c r="A76" s="40"/>
      <c r="B76" s="96" t="s">
        <v>115</v>
      </c>
      <c r="C76" s="97"/>
      <c r="D76" s="98"/>
      <c r="E76" s="99"/>
      <c r="F76" s="100"/>
    </row>
    <row r="77" spans="1:48" x14ac:dyDescent="0.25">
      <c r="A77" s="40"/>
      <c r="B77" s="96"/>
      <c r="C77" s="97"/>
      <c r="D77" s="98"/>
      <c r="E77" s="99"/>
      <c r="F77" s="100"/>
    </row>
    <row r="78" spans="1:48" ht="15.75" thickBot="1" x14ac:dyDescent="0.3">
      <c r="A78" s="40"/>
      <c r="B78" s="101" t="s">
        <v>116</v>
      </c>
      <c r="C78" s="102" t="s">
        <v>117</v>
      </c>
      <c r="D78" s="103"/>
      <c r="E78" s="104"/>
      <c r="F78" s="105"/>
    </row>
  </sheetData>
  <sortState xmlns:xlrd2="http://schemas.microsoft.com/office/spreadsheetml/2017/richdata2" ref="A10:AU69">
    <sortCondition ref="E10"/>
  </sortState>
  <mergeCells count="11">
    <mergeCell ref="C71:F71"/>
    <mergeCell ref="C74:F74"/>
    <mergeCell ref="C75:F75"/>
    <mergeCell ref="A7:B7"/>
    <mergeCell ref="A69:AT69"/>
    <mergeCell ref="A6:B6"/>
    <mergeCell ref="B2:AT2"/>
    <mergeCell ref="A4:B4"/>
    <mergeCell ref="C4:E4"/>
    <mergeCell ref="A5:B5"/>
    <mergeCell ref="C5:E5"/>
  </mergeCells>
  <conditionalFormatting sqref="B79:B1048576 B1:B68 B70">
    <cfRule type="duplicateValues" dxfId="16" priority="13059"/>
  </conditionalFormatting>
  <conditionalFormatting sqref="E79:E1048576 E1:E68 E70">
    <cfRule type="duplicateValues" dxfId="15" priority="13062"/>
  </conditionalFormatting>
  <conditionalFormatting sqref="E79:E1048576 E1:E68 E70">
    <cfRule type="duplicateValues" dxfId="14" priority="13092"/>
    <cfRule type="duplicateValues" dxfId="13" priority="13093"/>
  </conditionalFormatting>
  <conditionalFormatting sqref="E76:E78 E72:E73">
    <cfRule type="duplicateValues" dxfId="12" priority="5"/>
  </conditionalFormatting>
  <conditionalFormatting sqref="E76:E78 B72:B78 A71 E72:E73">
    <cfRule type="duplicateValues" dxfId="11" priority="4"/>
  </conditionalFormatting>
  <conditionalFormatting sqref="E76:E78">
    <cfRule type="duplicateValues" dxfId="10" priority="3"/>
  </conditionalFormatting>
  <conditionalFormatting sqref="E76:E78 E72:E73">
    <cfRule type="duplicateValues" dxfId="9" priority="1"/>
    <cfRule type="duplicateValues" dxfId="8" priority="2"/>
  </conditionalFormatting>
  <conditionalFormatting sqref="B72:B78 A71">
    <cfRule type="duplicateValues" dxfId="7" priority="6"/>
  </conditionalFormatting>
  <conditionalFormatting sqref="E72:E78">
    <cfRule type="duplicateValues" dxfId="6" priority="7"/>
    <cfRule type="duplicateValues" dxfId="5" priority="8"/>
  </conditionalFormatting>
  <conditionalFormatting sqref="E72:E78">
    <cfRule type="duplicateValues" dxfId="4" priority="9"/>
  </conditionalFormatting>
  <conditionalFormatting sqref="E72:E78">
    <cfRule type="duplicateValues" dxfId="3" priority="10"/>
  </conditionalFormatting>
  <conditionalFormatting sqref="B72:B78 A71 E72:E78">
    <cfRule type="duplicateValues" dxfId="2" priority="11"/>
  </conditionalFormatting>
  <conditionalFormatting sqref="B72:B78 A71">
    <cfRule type="duplicateValues" dxfId="1" priority="12"/>
  </conditionalFormatting>
  <conditionalFormatting sqref="B79:B1048576 E1:E68 B1:B68 E79:E1048576 B70 E70">
    <cfRule type="duplicateValues" dxfId="0" priority="13094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"/>
  <sheetViews>
    <sheetView workbookViewId="0">
      <selection activeCell="L3" sqref="L3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0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style="188" bestFit="1" customWidth="1"/>
  </cols>
  <sheetData>
    <row r="1" spans="1:13" ht="30.75" customHeight="1" thickBot="1" x14ac:dyDescent="0.25">
      <c r="A1" s="232" t="s">
        <v>119</v>
      </c>
      <c r="B1" s="232"/>
      <c r="C1" s="232"/>
      <c r="D1" s="232"/>
      <c r="E1" s="232"/>
      <c r="F1" s="232"/>
      <c r="G1" s="232"/>
      <c r="H1" s="232"/>
      <c r="I1" s="232"/>
      <c r="J1" s="116" t="s">
        <v>120</v>
      </c>
      <c r="K1" s="117" t="s">
        <v>170</v>
      </c>
    </row>
    <row r="2" spans="1:13" ht="16.5" thickBot="1" x14ac:dyDescent="0.25">
      <c r="A2" s="118"/>
      <c r="B2" s="118"/>
      <c r="C2" s="118"/>
      <c r="D2" s="119"/>
      <c r="E2" s="119"/>
      <c r="F2" s="119"/>
      <c r="G2" s="119"/>
      <c r="H2" s="119"/>
      <c r="I2" s="119"/>
      <c r="J2" s="119"/>
      <c r="K2" s="119"/>
    </row>
    <row r="3" spans="1:13" ht="16.5" thickBot="1" x14ac:dyDescent="0.25">
      <c r="A3" s="233" t="s">
        <v>121</v>
      </c>
      <c r="B3" s="233"/>
      <c r="C3" s="233"/>
      <c r="D3" s="192" t="s">
        <v>122</v>
      </c>
      <c r="E3" s="193"/>
      <c r="F3" s="193"/>
      <c r="G3" s="193"/>
      <c r="H3" s="193"/>
      <c r="I3" s="193"/>
      <c r="J3" s="193"/>
      <c r="K3" s="194"/>
    </row>
    <row r="4" spans="1:13" ht="16.5" customHeight="1" thickBot="1" x14ac:dyDescent="0.25">
      <c r="A4" s="219" t="s">
        <v>123</v>
      </c>
      <c r="B4" s="219"/>
      <c r="C4" s="219"/>
      <c r="D4" s="192" t="s">
        <v>124</v>
      </c>
      <c r="E4" s="193"/>
      <c r="F4" s="193"/>
      <c r="G4" s="193"/>
      <c r="H4" s="193"/>
      <c r="I4" s="193"/>
      <c r="J4" s="193"/>
      <c r="K4" s="194"/>
    </row>
    <row r="5" spans="1:13" ht="16.5" customHeight="1" thickBot="1" x14ac:dyDescent="0.25">
      <c r="A5" s="219" t="s">
        <v>125</v>
      </c>
      <c r="B5" s="219"/>
      <c r="C5" s="219"/>
      <c r="D5" s="192" t="s">
        <v>161</v>
      </c>
      <c r="E5" s="190"/>
      <c r="F5" s="190"/>
      <c r="G5" s="190"/>
      <c r="H5" s="190"/>
      <c r="I5" s="190"/>
      <c r="J5" s="190"/>
      <c r="K5" s="191"/>
    </row>
    <row r="6" spans="1:13" ht="16.5" customHeight="1" thickBot="1" x14ac:dyDescent="0.25">
      <c r="A6" s="233" t="s">
        <v>126</v>
      </c>
      <c r="B6" s="233"/>
      <c r="C6" s="233"/>
      <c r="D6" s="192" t="s">
        <v>161</v>
      </c>
      <c r="E6" s="190"/>
      <c r="F6" s="190"/>
      <c r="G6" s="190"/>
      <c r="H6" s="190"/>
      <c r="I6" s="190"/>
      <c r="J6" s="190"/>
      <c r="K6" s="191"/>
    </row>
    <row r="7" spans="1:13" ht="16.5" thickBot="1" x14ac:dyDescent="0.25">
      <c r="A7" s="219" t="s">
        <v>127</v>
      </c>
      <c r="B7" s="219"/>
      <c r="C7" s="219"/>
      <c r="D7" s="220" t="s">
        <v>168</v>
      </c>
      <c r="E7" s="220"/>
      <c r="F7" s="220"/>
      <c r="G7" s="220"/>
      <c r="H7" s="220"/>
      <c r="I7" s="220"/>
      <c r="J7" s="220"/>
      <c r="K7" s="220"/>
    </row>
    <row r="8" spans="1:13" ht="16.5" thickBot="1" x14ac:dyDescent="0.25">
      <c r="A8" s="221" t="s">
        <v>128</v>
      </c>
      <c r="B8" s="221"/>
      <c r="C8" s="221"/>
      <c r="D8" s="222" t="s">
        <v>164</v>
      </c>
      <c r="E8" s="222"/>
      <c r="F8" s="222"/>
      <c r="G8" s="222"/>
      <c r="H8" s="222"/>
      <c r="I8" s="222"/>
      <c r="J8" s="222"/>
      <c r="K8" s="222"/>
    </row>
    <row r="9" spans="1:13" ht="16.5" thickBot="1" x14ac:dyDescent="0.25">
      <c r="A9" s="120"/>
      <c r="B9" s="120"/>
      <c r="C9" s="120"/>
      <c r="D9" s="121"/>
      <c r="E9" s="121"/>
      <c r="F9" s="121"/>
      <c r="G9" s="121"/>
      <c r="H9" s="121"/>
      <c r="I9" s="121"/>
      <c r="J9" s="121"/>
      <c r="K9" s="121"/>
    </row>
    <row r="10" spans="1:13" ht="13.5" thickBot="1" x14ac:dyDescent="0.25">
      <c r="A10" s="229" t="s">
        <v>129</v>
      </c>
      <c r="B10" s="230" t="s">
        <v>130</v>
      </c>
      <c r="C10" s="230" t="s">
        <v>131</v>
      </c>
      <c r="D10" s="230"/>
      <c r="E10" s="230"/>
      <c r="F10" s="230"/>
      <c r="G10" s="230"/>
      <c r="H10" s="231" t="s">
        <v>132</v>
      </c>
      <c r="I10" s="228" t="s">
        <v>133</v>
      </c>
      <c r="J10" s="228" t="s">
        <v>134</v>
      </c>
      <c r="K10" s="228" t="s">
        <v>135</v>
      </c>
    </row>
    <row r="11" spans="1:13" ht="13.5" thickBot="1" x14ac:dyDescent="0.25">
      <c r="A11" s="229"/>
      <c r="B11" s="230"/>
      <c r="C11" s="230"/>
      <c r="D11" s="230"/>
      <c r="E11" s="230"/>
      <c r="F11" s="230"/>
      <c r="G11" s="230"/>
      <c r="H11" s="231"/>
      <c r="I11" s="228"/>
      <c r="J11" s="228"/>
      <c r="K11" s="228"/>
    </row>
    <row r="12" spans="1:13" ht="18.75" customHeight="1" x14ac:dyDescent="0.2">
      <c r="A12" s="123">
        <v>1</v>
      </c>
      <c r="B12" s="124"/>
      <c r="C12" s="122" t="str">
        <f>'Necesidades Trimestrales (2)'!E10</f>
        <v>ACETATO DE LEUPODROLIDE FORMA FAMACEUTICA: 1 AMPOLLA, PRESENTACION 7,5 MG</v>
      </c>
      <c r="D12" s="122"/>
      <c r="E12" s="122"/>
      <c r="F12" s="122"/>
      <c r="G12" s="122"/>
      <c r="H12" s="178" t="s">
        <v>136</v>
      </c>
      <c r="I12" s="181" t="str">
        <f>'Necesidades Trimestrales (2)'!F10</f>
        <v>AMPOLLA</v>
      </c>
      <c r="J12" s="184">
        <f>'Necesidades Trimestrales (2)'!AT10</f>
        <v>5412</v>
      </c>
      <c r="K12" s="125">
        <f>'Necesidades Trimestrales (2)'!AS10</f>
        <v>5</v>
      </c>
      <c r="L12" s="205">
        <f>+J12*K12</f>
        <v>27060</v>
      </c>
      <c r="M12" s="188">
        <f>+J12*K12</f>
        <v>27060</v>
      </c>
    </row>
    <row r="13" spans="1:13" ht="18.75" customHeight="1" x14ac:dyDescent="0.2">
      <c r="A13" s="123">
        <v>2</v>
      </c>
      <c r="B13" s="124"/>
      <c r="C13" s="168" t="str">
        <f>'Necesidades Trimestrales (2)'!E11</f>
        <v>ANASTRAZOL 1 MG * 28 COMPRIMIDOS</v>
      </c>
      <c r="D13" s="169"/>
      <c r="E13" s="169"/>
      <c r="F13" s="169"/>
      <c r="G13" s="170"/>
      <c r="H13" s="179" t="s">
        <v>136</v>
      </c>
      <c r="I13" s="182" t="str">
        <f>'Necesidades Trimestrales (2)'!F11</f>
        <v>CAJAS</v>
      </c>
      <c r="J13" s="185">
        <f>'Necesidades Trimestrales (2)'!AT11</f>
        <v>580</v>
      </c>
      <c r="K13" s="125">
        <f>'Necesidades Trimestrales (2)'!AS11</f>
        <v>20</v>
      </c>
      <c r="L13" s="205">
        <f t="shared" ref="L13:L70" si="0">+J13*K13</f>
        <v>11600</v>
      </c>
      <c r="M13" s="188">
        <f t="shared" ref="M13:M70" si="1">+J13*K13</f>
        <v>11600</v>
      </c>
    </row>
    <row r="14" spans="1:13" ht="18.75" customHeight="1" x14ac:dyDescent="0.2">
      <c r="A14" s="123">
        <v>3</v>
      </c>
      <c r="B14" s="124"/>
      <c r="C14" s="168" t="str">
        <f>'Necesidades Trimestrales (2)'!E12</f>
        <v>AZACITIDINA 100 MG * 1 AMPOLLA</v>
      </c>
      <c r="D14" s="169"/>
      <c r="E14" s="169"/>
      <c r="F14" s="169"/>
      <c r="G14" s="170"/>
      <c r="H14" s="179" t="s">
        <v>136</v>
      </c>
      <c r="I14" s="182" t="str">
        <f>'Necesidades Trimestrales (2)'!F12</f>
        <v>AMPOLLA</v>
      </c>
      <c r="J14" s="185">
        <f>'Necesidades Trimestrales (2)'!AT12</f>
        <v>188847</v>
      </c>
      <c r="K14" s="125">
        <f>'Necesidades Trimestrales (2)'!AS12</f>
        <v>14</v>
      </c>
      <c r="L14" s="205">
        <f t="shared" si="0"/>
        <v>2643858</v>
      </c>
      <c r="M14" s="188">
        <f t="shared" si="1"/>
        <v>2643858</v>
      </c>
    </row>
    <row r="15" spans="1:13" ht="18.75" customHeight="1" x14ac:dyDescent="0.2">
      <c r="A15" s="123">
        <v>4</v>
      </c>
      <c r="B15" s="124"/>
      <c r="C15" s="168" t="str">
        <f>'Necesidades Trimestrales (2)'!E13</f>
        <v>BEVACIZUMAB 100 MG 1 AMPOLLA</v>
      </c>
      <c r="D15" s="171"/>
      <c r="E15" s="171"/>
      <c r="F15" s="171"/>
      <c r="G15" s="172"/>
      <c r="H15" s="179" t="s">
        <v>136</v>
      </c>
      <c r="I15" s="182" t="str">
        <f>'Necesidades Trimestrales (2)'!F13</f>
        <v>AMPOLLA</v>
      </c>
      <c r="J15" s="185">
        <f>'Necesidades Trimestrales (2)'!AT13</f>
        <v>70000</v>
      </c>
      <c r="K15" s="125">
        <f>'Necesidades Trimestrales (2)'!AS13</f>
        <v>10</v>
      </c>
      <c r="L15" s="205">
        <f t="shared" si="0"/>
        <v>700000</v>
      </c>
      <c r="M15" s="188">
        <f t="shared" si="1"/>
        <v>700000</v>
      </c>
    </row>
    <row r="16" spans="1:13" ht="18.75" customHeight="1" x14ac:dyDescent="0.2">
      <c r="A16" s="123">
        <v>5</v>
      </c>
      <c r="B16" s="124"/>
      <c r="C16" s="168" t="str">
        <f>'Necesidades Trimestrales (2)'!E14</f>
        <v>BEVACIZUMAB 400 MG 1 AMPOLLA, PRESENTACION : VIAL  x 16 ML. PRESENTACION . X 1 FRASC AMPOLLA</v>
      </c>
      <c r="D16" s="126"/>
      <c r="E16" s="126"/>
      <c r="F16" s="126"/>
      <c r="G16" s="127"/>
      <c r="H16" s="179" t="s">
        <v>136</v>
      </c>
      <c r="I16" s="182" t="str">
        <f>'Necesidades Trimestrales (2)'!F14</f>
        <v>AMPOLLA</v>
      </c>
      <c r="J16" s="185">
        <f>'Necesidades Trimestrales (2)'!AT14</f>
        <v>144764</v>
      </c>
      <c r="K16" s="125">
        <f>'Necesidades Trimestrales (2)'!AS14</f>
        <v>10</v>
      </c>
      <c r="L16" s="205">
        <f t="shared" si="0"/>
        <v>1447640</v>
      </c>
      <c r="M16" s="188">
        <f t="shared" si="1"/>
        <v>1447640</v>
      </c>
    </row>
    <row r="17" spans="1:13" ht="18.75" customHeight="1" x14ac:dyDescent="0.2">
      <c r="A17" s="123">
        <v>6</v>
      </c>
      <c r="B17" s="124"/>
      <c r="C17" s="168" t="str">
        <f>'Necesidades Trimestrales (2)'!E15</f>
        <v>BLEOMICINA 15 MG* 1 AMPOLLA</v>
      </c>
      <c r="D17" s="126"/>
      <c r="E17" s="126"/>
      <c r="F17" s="126"/>
      <c r="G17" s="127"/>
      <c r="H17" s="179" t="s">
        <v>136</v>
      </c>
      <c r="I17" s="182" t="str">
        <f>'Necesidades Trimestrales (2)'!F15</f>
        <v>AMPOLLA</v>
      </c>
      <c r="J17" s="185">
        <f>'Necesidades Trimestrales (2)'!AT15</f>
        <v>2580</v>
      </c>
      <c r="K17" s="125">
        <f>'Necesidades Trimestrales (2)'!AS15</f>
        <v>15</v>
      </c>
      <c r="L17" s="205">
        <f t="shared" si="0"/>
        <v>38700</v>
      </c>
      <c r="M17" s="188">
        <f t="shared" si="1"/>
        <v>38700</v>
      </c>
    </row>
    <row r="18" spans="1:13" ht="18.75" customHeight="1" x14ac:dyDescent="0.2">
      <c r="A18" s="123">
        <v>7</v>
      </c>
      <c r="B18" s="124"/>
      <c r="C18" s="168" t="str">
        <f>'Necesidades Trimestrales (2)'!E16</f>
        <v>BORTEZOMID, FORMA FARMACEUTICA: 1 AMPOLLA, PRESENTACION: ENVASE X 3,5 MG X UNIDAD</v>
      </c>
      <c r="D18" s="126"/>
      <c r="E18" s="126"/>
      <c r="F18" s="126"/>
      <c r="G18" s="127"/>
      <c r="H18" s="179" t="s">
        <v>136</v>
      </c>
      <c r="I18" s="182" t="str">
        <f>'Necesidades Trimestrales (2)'!F16</f>
        <v>AMPOLLA</v>
      </c>
      <c r="J18" s="185">
        <f>'Necesidades Trimestrales (2)'!AT16</f>
        <v>5420</v>
      </c>
      <c r="K18" s="125">
        <f>'Necesidades Trimestrales (2)'!AS16</f>
        <v>4</v>
      </c>
      <c r="L18" s="205">
        <f t="shared" si="0"/>
        <v>21680</v>
      </c>
      <c r="M18" s="188">
        <f t="shared" si="1"/>
        <v>21680</v>
      </c>
    </row>
    <row r="19" spans="1:13" ht="18.75" customHeight="1" x14ac:dyDescent="0.2">
      <c r="A19" s="123">
        <v>8</v>
      </c>
      <c r="B19" s="124"/>
      <c r="C19" s="168" t="str">
        <f>'Necesidades Trimestrales (2)'!E17</f>
        <v>CAPECITABINA, FORMA FARMACEUTICA: 120 COMPRIMIDOS, PRESENTACION POR 500 MG</v>
      </c>
      <c r="D19" s="126"/>
      <c r="E19" s="126"/>
      <c r="F19" s="126"/>
      <c r="G19" s="127"/>
      <c r="H19" s="179" t="s">
        <v>136</v>
      </c>
      <c r="I19" s="182" t="str">
        <f>'Necesidades Trimestrales (2)'!F17</f>
        <v>CAJAS</v>
      </c>
      <c r="J19" s="185">
        <f>'Necesidades Trimestrales (2)'!AT17</f>
        <v>8556</v>
      </c>
      <c r="K19" s="125">
        <f>'Necesidades Trimestrales (2)'!AS17</f>
        <v>5</v>
      </c>
      <c r="L19" s="205">
        <f t="shared" si="0"/>
        <v>42780</v>
      </c>
      <c r="M19" s="188">
        <f t="shared" si="1"/>
        <v>42780</v>
      </c>
    </row>
    <row r="20" spans="1:13" ht="18.75" customHeight="1" x14ac:dyDescent="0.2">
      <c r="A20" s="123">
        <v>9</v>
      </c>
      <c r="B20" s="124"/>
      <c r="C20" s="168" t="str">
        <f>'Necesidades Trimestrales (2)'!E18</f>
        <v>CARBOPLATINO POR 1  AMPOLLA, PRESENTACION: 150 mGr,</v>
      </c>
      <c r="D20" s="126"/>
      <c r="E20" s="126"/>
      <c r="F20" s="126"/>
      <c r="G20" s="127"/>
      <c r="H20" s="179" t="s">
        <v>136</v>
      </c>
      <c r="I20" s="182" t="str">
        <f>'Necesidades Trimestrales (2)'!F18</f>
        <v>AMPOLLA</v>
      </c>
      <c r="J20" s="185">
        <f>'Necesidades Trimestrales (2)'!AT18</f>
        <v>1085</v>
      </c>
      <c r="K20" s="125">
        <f>'Necesidades Trimestrales (2)'!AS18</f>
        <v>20</v>
      </c>
      <c r="L20" s="205">
        <f t="shared" si="0"/>
        <v>21700</v>
      </c>
      <c r="M20" s="188">
        <f t="shared" si="1"/>
        <v>21700</v>
      </c>
    </row>
    <row r="21" spans="1:13" ht="18.75" customHeight="1" x14ac:dyDescent="0.2">
      <c r="A21" s="123">
        <v>10</v>
      </c>
      <c r="B21" s="124"/>
      <c r="C21" s="168" t="str">
        <f>'Necesidades Trimestrales (2)'!E19</f>
        <v>CARBOPLATINO X 1  AMPOLLA, PRESENTACION: 450 mGr,</v>
      </c>
      <c r="D21" s="126"/>
      <c r="E21" s="126"/>
      <c r="F21" s="126"/>
      <c r="G21" s="127"/>
      <c r="H21" s="179" t="s">
        <v>136</v>
      </c>
      <c r="I21" s="182" t="str">
        <f>'Necesidades Trimestrales (2)'!F19</f>
        <v>AMPOLLA</v>
      </c>
      <c r="J21" s="185">
        <f>'Necesidades Trimestrales (2)'!AT19</f>
        <v>5535</v>
      </c>
      <c r="K21" s="125">
        <f>'Necesidades Trimestrales (2)'!AS19</f>
        <v>30</v>
      </c>
      <c r="L21" s="205">
        <f t="shared" si="0"/>
        <v>166050</v>
      </c>
      <c r="M21" s="188">
        <f t="shared" si="1"/>
        <v>166050</v>
      </c>
    </row>
    <row r="22" spans="1:13" ht="18.75" customHeight="1" x14ac:dyDescent="0.2">
      <c r="A22" s="123">
        <v>11</v>
      </c>
      <c r="B22" s="124"/>
      <c r="C22" s="168" t="str">
        <f>'Necesidades Trimestrales (2)'!E20</f>
        <v xml:space="preserve">CICLOFOSFAMIDA, FORMA FARMACEUTICA: 1 AMPOLLA, PRESENTACION: 1 GR </v>
      </c>
      <c r="D22" s="126"/>
      <c r="E22" s="126"/>
      <c r="F22" s="126"/>
      <c r="G22" s="127"/>
      <c r="H22" s="179" t="s">
        <v>136</v>
      </c>
      <c r="I22" s="182" t="str">
        <f>'Necesidades Trimestrales (2)'!F20</f>
        <v>AMPOLLA</v>
      </c>
      <c r="J22" s="185">
        <f>'Necesidades Trimestrales (2)'!AT20</f>
        <v>1000</v>
      </c>
      <c r="K22" s="125">
        <f>'Necesidades Trimestrales (2)'!AS20</f>
        <v>50</v>
      </c>
      <c r="L22" s="205">
        <f t="shared" si="0"/>
        <v>50000</v>
      </c>
      <c r="M22" s="188">
        <f t="shared" si="1"/>
        <v>50000</v>
      </c>
    </row>
    <row r="23" spans="1:13" ht="18.75" customHeight="1" x14ac:dyDescent="0.2">
      <c r="A23" s="123">
        <v>12</v>
      </c>
      <c r="B23" s="124"/>
      <c r="C23" s="168" t="str">
        <f>'Necesidades Trimestrales (2)'!E21</f>
        <v xml:space="preserve">CICLOFOSFAMIDA, FORMA FARMACEUTICA: 5 AMPOLLA, PRESENTACION: 200 MG </v>
      </c>
      <c r="D23" s="126"/>
      <c r="E23" s="126"/>
      <c r="F23" s="126"/>
      <c r="G23" s="127"/>
      <c r="H23" s="179" t="s">
        <v>136</v>
      </c>
      <c r="I23" s="182" t="str">
        <f>'Necesidades Trimestrales (2)'!F21</f>
        <v>AMPOLLA</v>
      </c>
      <c r="J23" s="185">
        <f>'Necesidades Trimestrales (2)'!AT21</f>
        <v>6000</v>
      </c>
      <c r="K23" s="125">
        <f>'Necesidades Trimestrales (2)'!AS21</f>
        <v>50</v>
      </c>
      <c r="L23" s="205">
        <f t="shared" si="0"/>
        <v>300000</v>
      </c>
      <c r="M23" s="188">
        <f t="shared" si="1"/>
        <v>300000</v>
      </c>
    </row>
    <row r="24" spans="1:13" ht="18.75" customHeight="1" x14ac:dyDescent="0.2">
      <c r="A24" s="123">
        <v>13</v>
      </c>
      <c r="B24" s="124"/>
      <c r="C24" s="168" t="str">
        <f>'Necesidades Trimestrales (2)'!E22</f>
        <v>CISPLATINO 50 MG X 1 FRASCO-AMP.</v>
      </c>
      <c r="D24" s="126"/>
      <c r="E24" s="126"/>
      <c r="F24" s="126"/>
      <c r="G24" s="127"/>
      <c r="H24" s="179" t="s">
        <v>136</v>
      </c>
      <c r="I24" s="182" t="str">
        <f>'Necesidades Trimestrales (2)'!F22</f>
        <v>AMPOLLA</v>
      </c>
      <c r="J24" s="185">
        <f>'Necesidades Trimestrales (2)'!AT22</f>
        <v>1198</v>
      </c>
      <c r="K24" s="125">
        <f>'Necesidades Trimestrales (2)'!AS22</f>
        <v>30</v>
      </c>
      <c r="L24" s="205">
        <f t="shared" si="0"/>
        <v>35940</v>
      </c>
      <c r="M24" s="188">
        <f t="shared" si="1"/>
        <v>35940</v>
      </c>
    </row>
    <row r="25" spans="1:13" ht="18.75" customHeight="1" x14ac:dyDescent="0.2">
      <c r="A25" s="123">
        <v>14</v>
      </c>
      <c r="B25" s="124"/>
      <c r="C25" s="168" t="str">
        <f>'Necesidades Trimestrales (2)'!E23</f>
        <v>CITARABINA 100MG X 1FRASCP-AMP.</v>
      </c>
      <c r="D25" s="126"/>
      <c r="E25" s="126"/>
      <c r="F25" s="126"/>
      <c r="G25" s="127"/>
      <c r="H25" s="179" t="s">
        <v>136</v>
      </c>
      <c r="I25" s="182" t="str">
        <f>'Necesidades Trimestrales (2)'!F23</f>
        <v>AMPOLLA</v>
      </c>
      <c r="J25" s="185">
        <f>'Necesidades Trimestrales (2)'!AT23</f>
        <v>1000</v>
      </c>
      <c r="K25" s="125">
        <f>'Necesidades Trimestrales (2)'!AS23</f>
        <v>50</v>
      </c>
      <c r="L25" s="205">
        <f t="shared" si="0"/>
        <v>50000</v>
      </c>
      <c r="M25" s="188">
        <f t="shared" si="1"/>
        <v>50000</v>
      </c>
    </row>
    <row r="26" spans="1:13" ht="18.75" customHeight="1" x14ac:dyDescent="0.2">
      <c r="A26" s="123">
        <v>15</v>
      </c>
      <c r="B26" s="124"/>
      <c r="C26" s="168" t="str">
        <f>'Necesidades Trimestrales (2)'!E24</f>
        <v>CITARABINA, PRESENTACION : 1 GR, FORMA FARAMACEUTICA: 1 AMPOLLA</v>
      </c>
      <c r="D26" s="126"/>
      <c r="E26" s="126"/>
      <c r="F26" s="126"/>
      <c r="G26" s="127"/>
      <c r="H26" s="179" t="s">
        <v>136</v>
      </c>
      <c r="I26" s="182" t="str">
        <f>'Necesidades Trimestrales (2)'!F24</f>
        <v>AMPOLLA</v>
      </c>
      <c r="J26" s="185">
        <f>'Necesidades Trimestrales (2)'!AT24</f>
        <v>1050</v>
      </c>
      <c r="K26" s="125">
        <f>'Necesidades Trimestrales (2)'!AS24</f>
        <v>20</v>
      </c>
      <c r="L26" s="205">
        <f t="shared" si="0"/>
        <v>21000</v>
      </c>
      <c r="M26" s="188">
        <f t="shared" si="1"/>
        <v>21000</v>
      </c>
    </row>
    <row r="27" spans="1:13" ht="18.75" customHeight="1" x14ac:dyDescent="0.2">
      <c r="A27" s="123">
        <v>16</v>
      </c>
      <c r="B27" s="124"/>
      <c r="C27" s="168" t="str">
        <f>'Necesidades Trimestrales (2)'!E25</f>
        <v>DACARBAZINA 100 MG * 1 AMPOLLA</v>
      </c>
      <c r="D27" s="126"/>
      <c r="E27" s="126"/>
      <c r="F27" s="126"/>
      <c r="G27" s="127"/>
      <c r="H27" s="179" t="s">
        <v>136</v>
      </c>
      <c r="I27" s="182" t="str">
        <f>'Necesidades Trimestrales (2)'!F25</f>
        <v>AMPOLLA</v>
      </c>
      <c r="J27" s="185">
        <f>'Necesidades Trimestrales (2)'!AT25</f>
        <v>1265</v>
      </c>
      <c r="K27" s="125">
        <f>'Necesidades Trimestrales (2)'!AS25</f>
        <v>30</v>
      </c>
      <c r="L27" s="205">
        <f t="shared" si="0"/>
        <v>37950</v>
      </c>
      <c r="M27" s="188">
        <f t="shared" si="1"/>
        <v>37950</v>
      </c>
    </row>
    <row r="28" spans="1:13" ht="18.75" customHeight="1" x14ac:dyDescent="0.2">
      <c r="A28" s="123">
        <v>17</v>
      </c>
      <c r="B28" s="124"/>
      <c r="C28" s="168" t="str">
        <f>'Necesidades Trimestrales (2)'!E26</f>
        <v>DACARBAZINA 200 MG * 1 AMPOLLA</v>
      </c>
      <c r="D28" s="126"/>
      <c r="E28" s="126"/>
      <c r="F28" s="126"/>
      <c r="G28" s="127"/>
      <c r="H28" s="179" t="s">
        <v>136</v>
      </c>
      <c r="I28" s="182" t="str">
        <f>'Necesidades Trimestrales (2)'!F26</f>
        <v>AMPOLLA</v>
      </c>
      <c r="J28" s="185">
        <f>'Necesidades Trimestrales (2)'!AT26</f>
        <v>4063</v>
      </c>
      <c r="K28" s="125">
        <f>'Necesidades Trimestrales (2)'!AS26</f>
        <v>30</v>
      </c>
      <c r="L28" s="205">
        <f t="shared" si="0"/>
        <v>121890</v>
      </c>
      <c r="M28" s="188">
        <f t="shared" si="1"/>
        <v>121890</v>
      </c>
    </row>
    <row r="29" spans="1:13" ht="18.75" customHeight="1" x14ac:dyDescent="0.2">
      <c r="A29" s="123">
        <v>18</v>
      </c>
      <c r="B29" s="124"/>
      <c r="C29" s="168" t="str">
        <f>'Necesidades Trimestrales (2)'!E27</f>
        <v>DASATINIB, 100 MG X 30 COMPR.</v>
      </c>
      <c r="D29" s="126"/>
      <c r="E29" s="126"/>
      <c r="F29" s="126"/>
      <c r="G29" s="127"/>
      <c r="H29" s="179" t="s">
        <v>136</v>
      </c>
      <c r="I29" s="182" t="str">
        <f>'Necesidades Trimestrales (2)'!F27</f>
        <v>CAJAS</v>
      </c>
      <c r="J29" s="185">
        <f>'Necesidades Trimestrales (2)'!AT27</f>
        <v>10799</v>
      </c>
      <c r="K29" s="125">
        <f>'Necesidades Trimestrales (2)'!AS27</f>
        <v>5</v>
      </c>
      <c r="L29" s="205">
        <f t="shared" si="0"/>
        <v>53995</v>
      </c>
      <c r="M29" s="188">
        <f t="shared" si="1"/>
        <v>53995</v>
      </c>
    </row>
    <row r="30" spans="1:13" ht="18.75" customHeight="1" x14ac:dyDescent="0.2">
      <c r="A30" s="123">
        <v>19</v>
      </c>
      <c r="B30" s="124"/>
      <c r="C30" s="168" t="str">
        <f>'Necesidades Trimestrales (2)'!E28</f>
        <v>DAUNORRUBICINA 20 MG * 1 AMPOLLA</v>
      </c>
      <c r="D30" s="126"/>
      <c r="E30" s="126"/>
      <c r="F30" s="126"/>
      <c r="G30" s="127"/>
      <c r="H30" s="179" t="s">
        <v>136</v>
      </c>
      <c r="I30" s="182" t="str">
        <f>'Necesidades Trimestrales (2)'!F28</f>
        <v>AMPOLLA</v>
      </c>
      <c r="J30" s="185">
        <f>'Necesidades Trimestrales (2)'!AT28</f>
        <v>4500</v>
      </c>
      <c r="K30" s="125">
        <f>'Necesidades Trimestrales (2)'!AS28</f>
        <v>50</v>
      </c>
      <c r="L30" s="205">
        <f t="shared" si="0"/>
        <v>225000</v>
      </c>
      <c r="M30" s="188">
        <f t="shared" si="1"/>
        <v>225000</v>
      </c>
    </row>
    <row r="31" spans="1:13" ht="18.75" customHeight="1" x14ac:dyDescent="0.2">
      <c r="A31" s="123">
        <v>20</v>
      </c>
      <c r="B31" s="124"/>
      <c r="C31" s="168" t="str">
        <f>'Necesidades Trimestrales (2)'!E29</f>
        <v>DOXORRUBICINA LIPOSOMAL, VIAL, AMPOLLA X 50 MG</v>
      </c>
      <c r="D31" s="126"/>
      <c r="E31" s="126"/>
      <c r="F31" s="126"/>
      <c r="G31" s="127"/>
      <c r="H31" s="179" t="s">
        <v>136</v>
      </c>
      <c r="I31" s="182" t="str">
        <f>'Necesidades Trimestrales (2)'!F29</f>
        <v>AMPOLLA</v>
      </c>
      <c r="J31" s="185">
        <f>'Necesidades Trimestrales (2)'!AT29</f>
        <v>25000</v>
      </c>
      <c r="K31" s="125">
        <f>'Necesidades Trimestrales (2)'!AS29</f>
        <v>20</v>
      </c>
      <c r="L31" s="205">
        <f t="shared" si="0"/>
        <v>500000</v>
      </c>
      <c r="M31" s="188">
        <f t="shared" si="1"/>
        <v>500000</v>
      </c>
    </row>
    <row r="32" spans="1:13" ht="18.75" customHeight="1" x14ac:dyDescent="0.2">
      <c r="A32" s="123">
        <v>21</v>
      </c>
      <c r="B32" s="124"/>
      <c r="C32" s="168" t="str">
        <f>'Necesidades Trimestrales (2)'!E30</f>
        <v>EPIRUBICINA 50 MG * 1 AMPOLLA</v>
      </c>
      <c r="D32" s="126"/>
      <c r="E32" s="126"/>
      <c r="F32" s="126"/>
      <c r="G32" s="127"/>
      <c r="H32" s="179" t="s">
        <v>136</v>
      </c>
      <c r="I32" s="182" t="str">
        <f>'Necesidades Trimestrales (2)'!F30</f>
        <v>AMPOLLA</v>
      </c>
      <c r="J32" s="185">
        <f>'Necesidades Trimestrales (2)'!AT30</f>
        <v>4500</v>
      </c>
      <c r="K32" s="125">
        <f>'Necesidades Trimestrales (2)'!AS30</f>
        <v>20</v>
      </c>
      <c r="L32" s="205">
        <f t="shared" si="0"/>
        <v>90000</v>
      </c>
      <c r="M32" s="188">
        <f t="shared" si="1"/>
        <v>90000</v>
      </c>
    </row>
    <row r="33" spans="1:13" ht="18.75" customHeight="1" x14ac:dyDescent="0.2">
      <c r="A33" s="123">
        <v>22</v>
      </c>
      <c r="B33" s="124"/>
      <c r="C33" s="168" t="str">
        <f>'Necesidades Trimestrales (2)'!E31</f>
        <v xml:space="preserve">ETOPOSIDO, FORMA FARMACEUTICA: 1  AMPOLLA , PRESENTACION: 100 mGr </v>
      </c>
      <c r="D33" s="126"/>
      <c r="E33" s="126"/>
      <c r="F33" s="126"/>
      <c r="G33" s="127"/>
      <c r="H33" s="179" t="s">
        <v>136</v>
      </c>
      <c r="I33" s="182" t="str">
        <f>'Necesidades Trimestrales (2)'!F31</f>
        <v>AMPOLLA</v>
      </c>
      <c r="J33" s="185">
        <f>'Necesidades Trimestrales (2)'!AT31</f>
        <v>400</v>
      </c>
      <c r="K33" s="125">
        <f>'Necesidades Trimestrales (2)'!AS31</f>
        <v>20</v>
      </c>
      <c r="L33" s="205">
        <f t="shared" si="0"/>
        <v>8000</v>
      </c>
      <c r="M33" s="188">
        <f t="shared" si="1"/>
        <v>8000</v>
      </c>
    </row>
    <row r="34" spans="1:13" ht="18.75" customHeight="1" x14ac:dyDescent="0.2">
      <c r="A34" s="123">
        <v>23</v>
      </c>
      <c r="B34" s="128"/>
      <c r="C34" s="168" t="str">
        <f>'Necesidades Trimestrales (2)'!E32</f>
        <v>FILGASTRIM , 300 MCG, FRASCO AMPOLLA, PRESENTACION X 1</v>
      </c>
      <c r="D34" s="173"/>
      <c r="E34" s="173"/>
      <c r="F34" s="173"/>
      <c r="G34" s="174"/>
      <c r="H34" s="179" t="s">
        <v>136</v>
      </c>
      <c r="I34" s="182" t="str">
        <f>'Necesidades Trimestrales (2)'!F32</f>
        <v>AMPOLLA</v>
      </c>
      <c r="J34" s="185">
        <f>'Necesidades Trimestrales (2)'!AT32</f>
        <v>699</v>
      </c>
      <c r="K34" s="125">
        <f>'Necesidades Trimestrales (2)'!AS32</f>
        <v>300</v>
      </c>
      <c r="L34" s="205">
        <f t="shared" si="0"/>
        <v>209700</v>
      </c>
      <c r="M34" s="188">
        <f t="shared" si="1"/>
        <v>209700</v>
      </c>
    </row>
    <row r="35" spans="1:13" ht="18.75" customHeight="1" x14ac:dyDescent="0.2">
      <c r="A35" s="123">
        <v>24</v>
      </c>
      <c r="B35" s="129"/>
      <c r="C35" s="168" t="str">
        <f>'Necesidades Trimestrales (2)'!E33</f>
        <v>FLUDARABINA 50MG * 1 AMPOLLA</v>
      </c>
      <c r="D35" s="173"/>
      <c r="E35" s="173"/>
      <c r="F35" s="173"/>
      <c r="G35" s="174"/>
      <c r="H35" s="179" t="s">
        <v>136</v>
      </c>
      <c r="I35" s="182" t="str">
        <f>'Necesidades Trimestrales (2)'!F33</f>
        <v>AMPOLLA</v>
      </c>
      <c r="J35" s="185">
        <f>'Necesidades Trimestrales (2)'!AT33</f>
        <v>5500</v>
      </c>
      <c r="K35" s="125">
        <f>'Necesidades Trimestrales (2)'!AS33</f>
        <v>20</v>
      </c>
      <c r="L35" s="205">
        <f t="shared" si="0"/>
        <v>110000</v>
      </c>
      <c r="M35" s="188">
        <f t="shared" si="1"/>
        <v>110000</v>
      </c>
    </row>
    <row r="36" spans="1:13" ht="18.75" customHeight="1" x14ac:dyDescent="0.2">
      <c r="A36" s="123">
        <v>25</v>
      </c>
      <c r="B36" s="129"/>
      <c r="C36" s="168" t="str">
        <f>'Necesidades Trimestrales (2)'!E34</f>
        <v>FLUOROURACILO 500MG * 5 AMPOLLA</v>
      </c>
      <c r="D36" s="173"/>
      <c r="E36" s="173"/>
      <c r="F36" s="173"/>
      <c r="G36" s="174"/>
      <c r="H36" s="179" t="s">
        <v>136</v>
      </c>
      <c r="I36" s="182" t="str">
        <f>'Necesidades Trimestrales (2)'!F34</f>
        <v>AMPOLLA</v>
      </c>
      <c r="J36" s="185">
        <f>'Necesidades Trimestrales (2)'!AT34</f>
        <v>1300</v>
      </c>
      <c r="K36" s="125">
        <f>'Necesidades Trimestrales (2)'!AS34</f>
        <v>30</v>
      </c>
      <c r="L36" s="205">
        <f t="shared" si="0"/>
        <v>39000</v>
      </c>
      <c r="M36" s="188">
        <f t="shared" si="1"/>
        <v>39000</v>
      </c>
    </row>
    <row r="37" spans="1:13" ht="18.75" customHeight="1" x14ac:dyDescent="0.2">
      <c r="A37" s="123">
        <v>26</v>
      </c>
      <c r="B37" s="129"/>
      <c r="C37" s="168" t="str">
        <f>'Necesidades Trimestrales (2)'!E35</f>
        <v>FOLINATO DE CALCIO, 50 MG, 1 FRASCO- AMPOLLA</v>
      </c>
      <c r="D37" s="173"/>
      <c r="E37" s="173"/>
      <c r="F37" s="173"/>
      <c r="G37" s="174"/>
      <c r="H37" s="179" t="s">
        <v>136</v>
      </c>
      <c r="I37" s="182" t="str">
        <f>'Necesidades Trimestrales (2)'!F35</f>
        <v>AMPOLLA</v>
      </c>
      <c r="J37" s="185">
        <f>'Necesidades Trimestrales (2)'!AT35</f>
        <v>426</v>
      </c>
      <c r="K37" s="125">
        <f>'Necesidades Trimestrales (2)'!AS35</f>
        <v>20</v>
      </c>
      <c r="L37" s="205">
        <f t="shared" si="0"/>
        <v>8520</v>
      </c>
      <c r="M37" s="188">
        <f t="shared" si="1"/>
        <v>8520</v>
      </c>
    </row>
    <row r="38" spans="1:13" ht="18.75" customHeight="1" x14ac:dyDescent="0.2">
      <c r="A38" s="123">
        <v>27</v>
      </c>
      <c r="B38" s="129"/>
      <c r="C38" s="168" t="str">
        <f>'Necesidades Trimestrales (2)'!E36</f>
        <v>FULVESTRANT POR 250 MGR, X 2 AMPOLLAS</v>
      </c>
      <c r="D38" s="173"/>
      <c r="E38" s="173"/>
      <c r="F38" s="173"/>
      <c r="G38" s="174"/>
      <c r="H38" s="179" t="s">
        <v>136</v>
      </c>
      <c r="I38" s="182" t="str">
        <f>'Necesidades Trimestrales (2)'!F36</f>
        <v>AMPOLLA</v>
      </c>
      <c r="J38" s="185">
        <f>'Necesidades Trimestrales (2)'!AT36</f>
        <v>22000</v>
      </c>
      <c r="K38" s="125">
        <f>'Necesidades Trimestrales (2)'!AS36</f>
        <v>4</v>
      </c>
      <c r="L38" s="205">
        <f t="shared" si="0"/>
        <v>88000</v>
      </c>
      <c r="M38" s="188">
        <f t="shared" si="1"/>
        <v>88000</v>
      </c>
    </row>
    <row r="39" spans="1:13" ht="18.75" customHeight="1" x14ac:dyDescent="0.2">
      <c r="A39" s="123">
        <v>28</v>
      </c>
      <c r="B39" s="129"/>
      <c r="C39" s="168" t="str">
        <f>'Necesidades Trimestrales (2)'!E37</f>
        <v>GEMNCITABINA 1000 MG 1 FRASCO AMPOLLA</v>
      </c>
      <c r="D39" s="173"/>
      <c r="E39" s="173"/>
      <c r="F39" s="173"/>
      <c r="G39" s="174"/>
      <c r="H39" s="179" t="s">
        <v>136</v>
      </c>
      <c r="I39" s="182" t="str">
        <f>'Necesidades Trimestrales (2)'!F37</f>
        <v>AMPOLLA</v>
      </c>
      <c r="J39" s="185">
        <f>'Necesidades Trimestrales (2)'!AT37</f>
        <v>3000</v>
      </c>
      <c r="K39" s="125">
        <f>'Necesidades Trimestrales (2)'!AS37</f>
        <v>50</v>
      </c>
      <c r="L39" s="205">
        <f t="shared" si="0"/>
        <v>150000</v>
      </c>
      <c r="M39" s="188">
        <f t="shared" si="1"/>
        <v>150000</v>
      </c>
    </row>
    <row r="40" spans="1:13" ht="18.75" customHeight="1" x14ac:dyDescent="0.2">
      <c r="A40" s="123">
        <v>29</v>
      </c>
      <c r="B40" s="129"/>
      <c r="C40" s="168" t="str">
        <f>'Necesidades Trimestrales (2)'!E38</f>
        <v>GOSORELIN, 3.6 MG, AMPOLLA X 1</v>
      </c>
      <c r="D40" s="173"/>
      <c r="E40" s="173"/>
      <c r="F40" s="173"/>
      <c r="G40" s="174"/>
      <c r="H40" s="179" t="s">
        <v>136</v>
      </c>
      <c r="I40" s="182" t="str">
        <f>'Necesidades Trimestrales (2)'!F38</f>
        <v>AMPOLLA</v>
      </c>
      <c r="J40" s="185">
        <f>'Necesidades Trimestrales (2)'!AT38</f>
        <v>50000</v>
      </c>
      <c r="K40" s="125">
        <f>'Necesidades Trimestrales (2)'!AS38</f>
        <v>10</v>
      </c>
      <c r="L40" s="205">
        <f t="shared" si="0"/>
        <v>500000</v>
      </c>
      <c r="M40" s="188">
        <f t="shared" si="1"/>
        <v>500000</v>
      </c>
    </row>
    <row r="41" spans="1:13" ht="18.75" customHeight="1" x14ac:dyDescent="0.2">
      <c r="A41" s="123">
        <v>30</v>
      </c>
      <c r="B41" s="129"/>
      <c r="C41" s="168" t="str">
        <f>'Necesidades Trimestrales (2)'!E39</f>
        <v>HIDROXUREA, 500 MGR. CAPSULA X 100</v>
      </c>
      <c r="D41" s="173"/>
      <c r="E41" s="173"/>
      <c r="F41" s="173"/>
      <c r="G41" s="174"/>
      <c r="H41" s="179" t="s">
        <v>136</v>
      </c>
      <c r="I41" s="182" t="str">
        <f>'Necesidades Trimestrales (2)'!F39</f>
        <v>CAJAS</v>
      </c>
      <c r="J41" s="185">
        <f>'Necesidades Trimestrales (2)'!AT39</f>
        <v>2958</v>
      </c>
      <c r="K41" s="125">
        <f>'Necesidades Trimestrales (2)'!AS39</f>
        <v>10</v>
      </c>
      <c r="L41" s="205">
        <f t="shared" si="0"/>
        <v>29580</v>
      </c>
      <c r="M41" s="188">
        <f t="shared" si="1"/>
        <v>29580</v>
      </c>
    </row>
    <row r="42" spans="1:13" ht="18.75" customHeight="1" x14ac:dyDescent="0.2">
      <c r="A42" s="123">
        <v>31</v>
      </c>
      <c r="B42" s="129"/>
      <c r="C42" s="168" t="str">
        <f>'Necesidades Trimestrales (2)'!E40</f>
        <v>IDARRUBICINA 10 MG * 1 AMPOLLA</v>
      </c>
      <c r="D42" s="173"/>
      <c r="E42" s="173"/>
      <c r="F42" s="173"/>
      <c r="G42" s="174"/>
      <c r="H42" s="179" t="s">
        <v>136</v>
      </c>
      <c r="I42" s="182" t="str">
        <f>'Necesidades Trimestrales (2)'!F40</f>
        <v>AMPOLLA</v>
      </c>
      <c r="J42" s="185">
        <f>'Necesidades Trimestrales (2)'!AT40</f>
        <v>3500</v>
      </c>
      <c r="K42" s="125">
        <f>'Necesidades Trimestrales (2)'!AS40</f>
        <v>20</v>
      </c>
      <c r="L42" s="205">
        <f t="shared" si="0"/>
        <v>70000</v>
      </c>
      <c r="M42" s="188">
        <f t="shared" si="1"/>
        <v>70000</v>
      </c>
    </row>
    <row r="43" spans="1:13" ht="18.75" customHeight="1" x14ac:dyDescent="0.2">
      <c r="A43" s="123">
        <v>32</v>
      </c>
      <c r="B43" s="129"/>
      <c r="C43" s="168" t="str">
        <f>'Necesidades Trimestrales (2)'!E41</f>
        <v>IFOSFAMIDA 1 GR X 1 AMPOLLA</v>
      </c>
      <c r="D43" s="173"/>
      <c r="E43" s="173"/>
      <c r="F43" s="173"/>
      <c r="G43" s="174"/>
      <c r="H43" s="179" t="s">
        <v>136</v>
      </c>
      <c r="I43" s="182" t="str">
        <f>'Necesidades Trimestrales (2)'!F41</f>
        <v>AMPOLLA</v>
      </c>
      <c r="J43" s="185">
        <f>'Necesidades Trimestrales (2)'!AT41</f>
        <v>15000</v>
      </c>
      <c r="K43" s="125">
        <f>'Necesidades Trimestrales (2)'!AS41</f>
        <v>30</v>
      </c>
      <c r="L43" s="205">
        <f t="shared" si="0"/>
        <v>450000</v>
      </c>
      <c r="M43" s="188">
        <f t="shared" si="1"/>
        <v>450000</v>
      </c>
    </row>
    <row r="44" spans="1:13" ht="18.75" customHeight="1" x14ac:dyDescent="0.2">
      <c r="A44" s="123">
        <v>33</v>
      </c>
      <c r="B44" s="129"/>
      <c r="C44" s="168" t="str">
        <f>'Necesidades Trimestrales (2)'!E42</f>
        <v>IMATINIB, FORMA FARMACEUTICA: COMPRIMIDO POR 400 MG. PRESENTACION ENVASE X 30.</v>
      </c>
      <c r="D44" s="173"/>
      <c r="E44" s="173"/>
      <c r="F44" s="173"/>
      <c r="G44" s="174"/>
      <c r="H44" s="179" t="s">
        <v>136</v>
      </c>
      <c r="I44" s="182" t="str">
        <f>'Necesidades Trimestrales (2)'!F42</f>
        <v>CAJAS</v>
      </c>
      <c r="J44" s="185">
        <f>'Necesidades Trimestrales (2)'!AT42</f>
        <v>5523</v>
      </c>
      <c r="K44" s="125">
        <f>'Necesidades Trimestrales (2)'!AS42</f>
        <v>30</v>
      </c>
      <c r="L44" s="205">
        <f t="shared" si="0"/>
        <v>165690</v>
      </c>
      <c r="M44" s="188">
        <f t="shared" si="1"/>
        <v>165690</v>
      </c>
    </row>
    <row r="45" spans="1:13" ht="18.75" customHeight="1" x14ac:dyDescent="0.2">
      <c r="A45" s="123">
        <v>34</v>
      </c>
      <c r="B45" s="129"/>
      <c r="C45" s="168" t="str">
        <f>'Necesidades Trimestrales (2)'!E43</f>
        <v>IRINOTECAN CLOHIDRATO 100MG *1 AMPOLLA</v>
      </c>
      <c r="D45" s="173"/>
      <c r="E45" s="173"/>
      <c r="F45" s="173"/>
      <c r="G45" s="174"/>
      <c r="H45" s="179" t="s">
        <v>136</v>
      </c>
      <c r="I45" s="182" t="str">
        <f>'Necesidades Trimestrales (2)'!F43</f>
        <v>AMPOLLA</v>
      </c>
      <c r="J45" s="185">
        <f>'Necesidades Trimestrales (2)'!AT43</f>
        <v>2000</v>
      </c>
      <c r="K45" s="125">
        <f>'Necesidades Trimestrales (2)'!AS43</f>
        <v>20</v>
      </c>
      <c r="L45" s="205">
        <f t="shared" si="0"/>
        <v>40000</v>
      </c>
      <c r="M45" s="188">
        <f t="shared" si="1"/>
        <v>40000</v>
      </c>
    </row>
    <row r="46" spans="1:13" ht="18.75" customHeight="1" x14ac:dyDescent="0.2">
      <c r="A46" s="123">
        <v>35</v>
      </c>
      <c r="B46" s="129"/>
      <c r="C46" s="168" t="str">
        <f>'Necesidades Trimestrales (2)'!E44</f>
        <v>LASPARAGINASA 10000 U * 1 AMPOLLA</v>
      </c>
      <c r="D46" s="173"/>
      <c r="E46" s="173"/>
      <c r="F46" s="173"/>
      <c r="G46" s="174"/>
      <c r="H46" s="179" t="s">
        <v>136</v>
      </c>
      <c r="I46" s="182" t="str">
        <f>'Necesidades Trimestrales (2)'!F44</f>
        <v>AMPOLLA</v>
      </c>
      <c r="J46" s="185">
        <f>'Necesidades Trimestrales (2)'!AT44</f>
        <v>50000</v>
      </c>
      <c r="K46" s="125">
        <f>'Necesidades Trimestrales (2)'!AS44</f>
        <v>50</v>
      </c>
      <c r="L46" s="205">
        <f t="shared" si="0"/>
        <v>2500000</v>
      </c>
      <c r="M46" s="188">
        <f t="shared" si="1"/>
        <v>2500000</v>
      </c>
    </row>
    <row r="47" spans="1:13" ht="18.75" customHeight="1" x14ac:dyDescent="0.2">
      <c r="A47" s="123">
        <v>36</v>
      </c>
      <c r="B47" s="129"/>
      <c r="C47" s="168" t="str">
        <f>'Necesidades Trimestrales (2)'!E45</f>
        <v>LETROZOL 2,5 MG * 30 COMPRIMIDOS</v>
      </c>
      <c r="D47" s="173"/>
      <c r="E47" s="173"/>
      <c r="F47" s="173"/>
      <c r="G47" s="174"/>
      <c r="H47" s="179" t="s">
        <v>136</v>
      </c>
      <c r="I47" s="182" t="str">
        <f>'Necesidades Trimestrales (2)'!F45</f>
        <v>CAJAS</v>
      </c>
      <c r="J47" s="185">
        <f>'Necesidades Trimestrales (2)'!AT45</f>
        <v>2000</v>
      </c>
      <c r="K47" s="125">
        <f>'Necesidades Trimestrales (2)'!AS45</f>
        <v>7</v>
      </c>
      <c r="L47" s="205">
        <f t="shared" si="0"/>
        <v>14000</v>
      </c>
      <c r="M47" s="188">
        <f t="shared" si="1"/>
        <v>14000</v>
      </c>
    </row>
    <row r="48" spans="1:13" ht="18.75" customHeight="1" x14ac:dyDescent="0.2">
      <c r="A48" s="123">
        <v>37</v>
      </c>
      <c r="B48" s="129"/>
      <c r="C48" s="168" t="str">
        <f>'Necesidades Trimestrales (2)'!E46</f>
        <v>LEUCOVORINA 15 MG* 10 COMPRIMIDO</v>
      </c>
      <c r="D48" s="173"/>
      <c r="E48" s="173"/>
      <c r="F48" s="173"/>
      <c r="G48" s="174"/>
      <c r="H48" s="179" t="s">
        <v>136</v>
      </c>
      <c r="I48" s="182" t="str">
        <f>'Necesidades Trimestrales (2)'!F46</f>
        <v>CAJAS</v>
      </c>
      <c r="J48" s="185">
        <f>'Necesidades Trimestrales (2)'!AT46</f>
        <v>3000</v>
      </c>
      <c r="K48" s="125">
        <f>'Necesidades Trimestrales (2)'!AS46</f>
        <v>5</v>
      </c>
      <c r="L48" s="205">
        <f t="shared" si="0"/>
        <v>15000</v>
      </c>
      <c r="M48" s="188">
        <f t="shared" si="1"/>
        <v>15000</v>
      </c>
    </row>
    <row r="49" spans="1:13" ht="18.75" customHeight="1" x14ac:dyDescent="0.2">
      <c r="A49" s="123">
        <v>38</v>
      </c>
      <c r="B49" s="129"/>
      <c r="C49" s="168" t="str">
        <f>'Necesidades Trimestrales (2)'!E47</f>
        <v>MERCAPTOPURINA 50 MG * 25 COMPRIMIDOS</v>
      </c>
      <c r="D49" s="173"/>
      <c r="E49" s="173"/>
      <c r="F49" s="173"/>
      <c r="G49" s="174"/>
      <c r="H49" s="179" t="s">
        <v>136</v>
      </c>
      <c r="I49" s="182" t="str">
        <f>'Necesidades Trimestrales (2)'!F47</f>
        <v>CAJAS</v>
      </c>
      <c r="J49" s="185">
        <f>'Necesidades Trimestrales (2)'!AT47</f>
        <v>2500</v>
      </c>
      <c r="K49" s="125">
        <f>'Necesidades Trimestrales (2)'!AS47</f>
        <v>30</v>
      </c>
      <c r="L49" s="205">
        <f t="shared" si="0"/>
        <v>75000</v>
      </c>
      <c r="M49" s="188">
        <f t="shared" si="1"/>
        <v>75000</v>
      </c>
    </row>
    <row r="50" spans="1:13" ht="18.75" customHeight="1" x14ac:dyDescent="0.2">
      <c r="A50" s="123">
        <v>39</v>
      </c>
      <c r="B50" s="129"/>
      <c r="C50" s="168" t="str">
        <f>'Necesidades Trimestrales (2)'!E48</f>
        <v>METROTEXATO  500 MGR  X 1 AMPOLLA</v>
      </c>
      <c r="D50" s="173"/>
      <c r="E50" s="173"/>
      <c r="F50" s="173"/>
      <c r="G50" s="174"/>
      <c r="H50" s="179" t="s">
        <v>136</v>
      </c>
      <c r="I50" s="182" t="str">
        <f>'Necesidades Trimestrales (2)'!F48</f>
        <v>AMPOLLA</v>
      </c>
      <c r="J50" s="185">
        <f>'Necesidades Trimestrales (2)'!AT48</f>
        <v>1418</v>
      </c>
      <c r="K50" s="125">
        <f>'Necesidades Trimestrales (2)'!AS48</f>
        <v>20</v>
      </c>
      <c r="L50" s="205">
        <f t="shared" si="0"/>
        <v>28360</v>
      </c>
      <c r="M50" s="188">
        <f t="shared" si="1"/>
        <v>28360</v>
      </c>
    </row>
    <row r="51" spans="1:13" ht="18.75" customHeight="1" x14ac:dyDescent="0.2">
      <c r="A51" s="123">
        <v>40</v>
      </c>
      <c r="B51" s="129"/>
      <c r="C51" s="168" t="str">
        <f>'Necesidades Trimestrales (2)'!E49</f>
        <v>METROTEXATO 50MG * 1 AMPOLLA</v>
      </c>
      <c r="D51" s="173"/>
      <c r="E51" s="173"/>
      <c r="F51" s="173"/>
      <c r="G51" s="174"/>
      <c r="H51" s="179" t="s">
        <v>136</v>
      </c>
      <c r="I51" s="182" t="str">
        <f>'Necesidades Trimestrales (2)'!F49</f>
        <v>AMPOLLA</v>
      </c>
      <c r="J51" s="185">
        <f>'Necesidades Trimestrales (2)'!AT49</f>
        <v>3500</v>
      </c>
      <c r="K51" s="125">
        <f>'Necesidades Trimestrales (2)'!AS49</f>
        <v>30</v>
      </c>
      <c r="L51" s="205">
        <f t="shared" si="0"/>
        <v>105000</v>
      </c>
      <c r="M51" s="188">
        <f t="shared" si="1"/>
        <v>105000</v>
      </c>
    </row>
    <row r="52" spans="1:13" ht="18.75" customHeight="1" x14ac:dyDescent="0.2">
      <c r="A52" s="123">
        <v>41</v>
      </c>
      <c r="B52" s="129"/>
      <c r="C52" s="168" t="str">
        <f>'Necesidades Trimestrales (2)'!E50</f>
        <v>MITOXANTRONA 20 MG * 1 AMPOLLA</v>
      </c>
      <c r="D52" s="173"/>
      <c r="E52" s="173"/>
      <c r="F52" s="173"/>
      <c r="G52" s="174"/>
      <c r="H52" s="179" t="s">
        <v>136</v>
      </c>
      <c r="I52" s="182" t="str">
        <f>'Necesidades Trimestrales (2)'!F50</f>
        <v>AMPOLLA</v>
      </c>
      <c r="J52" s="185">
        <f>'Necesidades Trimestrales (2)'!AT50</f>
        <v>2500</v>
      </c>
      <c r="K52" s="125">
        <f>'Necesidades Trimestrales (2)'!AS50</f>
        <v>10</v>
      </c>
      <c r="L52" s="205">
        <f t="shared" si="0"/>
        <v>25000</v>
      </c>
      <c r="M52" s="188">
        <f t="shared" si="1"/>
        <v>25000</v>
      </c>
    </row>
    <row r="53" spans="1:13" ht="18.75" customHeight="1" x14ac:dyDescent="0.2">
      <c r="A53" s="123">
        <v>42</v>
      </c>
      <c r="B53" s="129"/>
      <c r="C53" s="168" t="str">
        <f>'Necesidades Trimestrales (2)'!E51</f>
        <v>NILOTINIB 150 MGR X 120 CAPSULAS</v>
      </c>
      <c r="D53" s="173"/>
      <c r="E53" s="173"/>
      <c r="F53" s="173"/>
      <c r="G53" s="174"/>
      <c r="H53" s="179" t="s">
        <v>136</v>
      </c>
      <c r="I53" s="182" t="str">
        <f>'Necesidades Trimestrales (2)'!F51</f>
        <v>CAJAS</v>
      </c>
      <c r="J53" s="185">
        <f>'Necesidades Trimestrales (2)'!AT51</f>
        <v>218000</v>
      </c>
      <c r="K53" s="125">
        <f>'Necesidades Trimestrales (2)'!AS51</f>
        <v>15</v>
      </c>
      <c r="L53" s="205">
        <f t="shared" si="0"/>
        <v>3270000</v>
      </c>
      <c r="M53" s="188">
        <f t="shared" si="1"/>
        <v>3270000</v>
      </c>
    </row>
    <row r="54" spans="1:13" ht="18.75" customHeight="1" x14ac:dyDescent="0.2">
      <c r="A54" s="123">
        <v>43</v>
      </c>
      <c r="B54" s="129"/>
      <c r="C54" s="168" t="str">
        <f>'Necesidades Trimestrales (2)'!E52</f>
        <v>ONCASPAR 3750UL * 1 AMPOLLA</v>
      </c>
      <c r="D54" s="173"/>
      <c r="E54" s="173"/>
      <c r="F54" s="173"/>
      <c r="G54" s="174"/>
      <c r="H54" s="179" t="s">
        <v>136</v>
      </c>
      <c r="I54" s="182" t="str">
        <f>'Necesidades Trimestrales (2)'!F52</f>
        <v>AMPOLLA</v>
      </c>
      <c r="J54" s="185">
        <f>'Necesidades Trimestrales (2)'!AT52</f>
        <v>15000</v>
      </c>
      <c r="K54" s="125">
        <f>'Necesidades Trimestrales (2)'!AS52</f>
        <v>2</v>
      </c>
      <c r="L54" s="205">
        <f t="shared" si="0"/>
        <v>30000</v>
      </c>
      <c r="M54" s="188">
        <f t="shared" si="1"/>
        <v>30000</v>
      </c>
    </row>
    <row r="55" spans="1:13" ht="18.75" customHeight="1" x14ac:dyDescent="0.2">
      <c r="A55" s="123">
        <v>44</v>
      </c>
      <c r="B55" s="129"/>
      <c r="C55" s="168" t="str">
        <f>'Necesidades Trimestrales (2)'!E53</f>
        <v>ONDANSENTRON 8MG.  X 1 AMPOLLAS</v>
      </c>
      <c r="D55" s="173"/>
      <c r="E55" s="173"/>
      <c r="F55" s="173"/>
      <c r="G55" s="174"/>
      <c r="H55" s="179" t="s">
        <v>136</v>
      </c>
      <c r="I55" s="182" t="str">
        <f>'Necesidades Trimestrales (2)'!F53</f>
        <v>AMPOLLAS</v>
      </c>
      <c r="J55" s="185">
        <f>'Necesidades Trimestrales (2)'!AT53</f>
        <v>1500</v>
      </c>
      <c r="K55" s="125">
        <f>'Necesidades Trimestrales (2)'!AS53</f>
        <v>100</v>
      </c>
      <c r="L55" s="205">
        <f t="shared" si="0"/>
        <v>150000</v>
      </c>
      <c r="M55" s="188">
        <f t="shared" si="1"/>
        <v>150000</v>
      </c>
    </row>
    <row r="56" spans="1:13" ht="18.75" customHeight="1" x14ac:dyDescent="0.2">
      <c r="A56" s="123">
        <v>45</v>
      </c>
      <c r="B56" s="129"/>
      <c r="C56" s="168" t="str">
        <f>'Necesidades Trimestrales (2)'!E54</f>
        <v>OXALIPLATINO: FORMA FARMACEUTICA: 1 AMPOLLA, PRESENTACION: 100 MG X 1</v>
      </c>
      <c r="D56" s="173"/>
      <c r="E56" s="173"/>
      <c r="F56" s="173"/>
      <c r="G56" s="174"/>
      <c r="H56" s="179" t="s">
        <v>136</v>
      </c>
      <c r="I56" s="182" t="str">
        <f>'Necesidades Trimestrales (2)'!F54</f>
        <v>AMPOLLA</v>
      </c>
      <c r="J56" s="185">
        <f>'Necesidades Trimestrales (2)'!AT54</f>
        <v>1571</v>
      </c>
      <c r="K56" s="125">
        <f>'Necesidades Trimestrales (2)'!AS54</f>
        <v>30</v>
      </c>
      <c r="L56" s="205">
        <f t="shared" si="0"/>
        <v>47130</v>
      </c>
      <c r="M56" s="188">
        <f t="shared" si="1"/>
        <v>47130</v>
      </c>
    </row>
    <row r="57" spans="1:13" ht="18.75" customHeight="1" x14ac:dyDescent="0.2">
      <c r="A57" s="123">
        <v>46</v>
      </c>
      <c r="B57" s="129"/>
      <c r="C57" s="168" t="str">
        <f>'Necesidades Trimestrales (2)'!E55</f>
        <v>PALBOCICLIB 125 MG X 21 CAPSULAS</v>
      </c>
      <c r="D57" s="173"/>
      <c r="E57" s="173"/>
      <c r="F57" s="173"/>
      <c r="G57" s="174"/>
      <c r="H57" s="179" t="s">
        <v>136</v>
      </c>
      <c r="I57" s="182" t="str">
        <f>'Necesidades Trimestrales (2)'!F55</f>
        <v>CAJAS</v>
      </c>
      <c r="J57" s="185">
        <f>'Necesidades Trimestrales (2)'!AT55</f>
        <v>125000</v>
      </c>
      <c r="K57" s="125">
        <f>'Necesidades Trimestrales (2)'!AS55</f>
        <v>8</v>
      </c>
      <c r="L57" s="205">
        <f t="shared" si="0"/>
        <v>1000000</v>
      </c>
      <c r="M57" s="188">
        <f t="shared" si="1"/>
        <v>1000000</v>
      </c>
    </row>
    <row r="58" spans="1:13" ht="18.75" customHeight="1" x14ac:dyDescent="0.2">
      <c r="A58" s="123">
        <v>47</v>
      </c>
      <c r="B58" s="129"/>
      <c r="C58" s="168" t="str">
        <f>'Necesidades Trimestrales (2)'!E56</f>
        <v>PAMIDRONATO DISODICO 90 MG  X 1 AMPOLLA</v>
      </c>
      <c r="D58" s="173"/>
      <c r="E58" s="173"/>
      <c r="F58" s="173"/>
      <c r="G58" s="174"/>
      <c r="H58" s="179" t="s">
        <v>136</v>
      </c>
      <c r="I58" s="182" t="str">
        <f>'Necesidades Trimestrales (2)'!F56</f>
        <v>AMPOLLA</v>
      </c>
      <c r="J58" s="185">
        <f>'Necesidades Trimestrales (2)'!AT56</f>
        <v>1801</v>
      </c>
      <c r="K58" s="125">
        <f>'Necesidades Trimestrales (2)'!AS56</f>
        <v>10</v>
      </c>
      <c r="L58" s="205">
        <f t="shared" si="0"/>
        <v>18010</v>
      </c>
      <c r="M58" s="188">
        <f t="shared" si="1"/>
        <v>18010</v>
      </c>
    </row>
    <row r="59" spans="1:13" ht="18.75" customHeight="1" x14ac:dyDescent="0.2">
      <c r="A59" s="123">
        <v>48</v>
      </c>
      <c r="B59" s="129"/>
      <c r="C59" s="168" t="str">
        <f>'Necesidades Trimestrales (2)'!E57</f>
        <v>PEMBROLIZUMAB, 100 MG 1 AMPOLLA, PRESENTACION UNIDAD</v>
      </c>
      <c r="D59" s="173"/>
      <c r="E59" s="173"/>
      <c r="F59" s="173"/>
      <c r="G59" s="174"/>
      <c r="H59" s="179" t="s">
        <v>136</v>
      </c>
      <c r="I59" s="182" t="str">
        <f>'Necesidades Trimestrales (2)'!F57</f>
        <v>AMPOLLA</v>
      </c>
      <c r="J59" s="185">
        <f>'Necesidades Trimestrales (2)'!AT57</f>
        <v>328758</v>
      </c>
      <c r="K59" s="125">
        <f>'Necesidades Trimestrales (2)'!AS57</f>
        <v>3</v>
      </c>
      <c r="L59" s="205">
        <f t="shared" si="0"/>
        <v>986274</v>
      </c>
      <c r="M59" s="188">
        <f t="shared" si="1"/>
        <v>986274</v>
      </c>
    </row>
    <row r="60" spans="1:13" ht="18.75" customHeight="1" x14ac:dyDescent="0.2">
      <c r="A60" s="123">
        <v>49</v>
      </c>
      <c r="B60" s="129"/>
      <c r="C60" s="168" t="str">
        <f>'Necesidades Trimestrales (2)'!E58</f>
        <v>PERTUZUMAB 420 MG. AMPOLLA 14 ML ( VIAL)</v>
      </c>
      <c r="D60" s="173"/>
      <c r="E60" s="173"/>
      <c r="F60" s="173"/>
      <c r="G60" s="174"/>
      <c r="H60" s="179" t="s">
        <v>136</v>
      </c>
      <c r="I60" s="182" t="str">
        <f>'Necesidades Trimestrales (2)'!F58</f>
        <v>AMPOLLA</v>
      </c>
      <c r="J60" s="185">
        <f>'Necesidades Trimestrales (2)'!AT58</f>
        <v>430000</v>
      </c>
      <c r="K60" s="125">
        <f>'Necesidades Trimestrales (2)'!AS58</f>
        <v>2</v>
      </c>
      <c r="L60" s="205">
        <f t="shared" si="0"/>
        <v>860000</v>
      </c>
      <c r="M60" s="188">
        <f t="shared" si="1"/>
        <v>860000</v>
      </c>
    </row>
    <row r="61" spans="1:13" ht="18.75" customHeight="1" x14ac:dyDescent="0.2">
      <c r="A61" s="123">
        <v>50</v>
      </c>
      <c r="B61" s="129"/>
      <c r="C61" s="168" t="str">
        <f>'Necesidades Trimestrales (2)'!E59</f>
        <v>RITUXIMAB, FORMA FARMACEUTICA. 1 AMPOLLA, PRESENTACION 100 MG</v>
      </c>
      <c r="D61" s="173"/>
      <c r="E61" s="173"/>
      <c r="F61" s="173"/>
      <c r="G61" s="174"/>
      <c r="H61" s="179" t="s">
        <v>136</v>
      </c>
      <c r="I61" s="182" t="str">
        <f>'Necesidades Trimestrales (2)'!F59</f>
        <v>AMPOLLA</v>
      </c>
      <c r="J61" s="185">
        <f>'Necesidades Trimestrales (2)'!AT59</f>
        <v>47900</v>
      </c>
      <c r="K61" s="125">
        <f>'Necesidades Trimestrales (2)'!AS59</f>
        <v>4</v>
      </c>
      <c r="L61" s="205">
        <f t="shared" si="0"/>
        <v>191600</v>
      </c>
      <c r="M61" s="188">
        <f t="shared" si="1"/>
        <v>191600</v>
      </c>
    </row>
    <row r="62" spans="1:13" ht="18.75" customHeight="1" x14ac:dyDescent="0.2">
      <c r="A62" s="123">
        <v>51</v>
      </c>
      <c r="B62" s="129"/>
      <c r="C62" s="168" t="str">
        <f>'Necesidades Trimestrales (2)'!E60</f>
        <v>RITUXIMAB, FORMA FARMACEUTICA. 1 AMPOLLA, PRESENTACION 500 MG</v>
      </c>
      <c r="D62" s="173"/>
      <c r="E62" s="173"/>
      <c r="F62" s="173"/>
      <c r="G62" s="174"/>
      <c r="H62" s="179" t="s">
        <v>136</v>
      </c>
      <c r="I62" s="182" t="str">
        <f>'Necesidades Trimestrales (2)'!F60</f>
        <v>AMPOLLA</v>
      </c>
      <c r="J62" s="185">
        <f>'Necesidades Trimestrales (2)'!AT60</f>
        <v>41300</v>
      </c>
      <c r="K62" s="125">
        <f>'Necesidades Trimestrales (2)'!AS60</f>
        <v>4</v>
      </c>
      <c r="L62" s="205">
        <f t="shared" si="0"/>
        <v>165200</v>
      </c>
      <c r="M62" s="188">
        <f t="shared" si="1"/>
        <v>165200</v>
      </c>
    </row>
    <row r="63" spans="1:13" ht="18.75" customHeight="1" x14ac:dyDescent="0.2">
      <c r="A63" s="123">
        <v>52</v>
      </c>
      <c r="B63" s="129"/>
      <c r="C63" s="168" t="str">
        <f>'Necesidades Trimestrales (2)'!E61</f>
        <v>SUNITINIB 50 MG * 28 CAPSULA</v>
      </c>
      <c r="D63" s="173"/>
      <c r="E63" s="173"/>
      <c r="F63" s="173"/>
      <c r="G63" s="174"/>
      <c r="H63" s="179" t="s">
        <v>136</v>
      </c>
      <c r="I63" s="182" t="str">
        <f>'Necesidades Trimestrales (2)'!F61</f>
        <v>CAJAS</v>
      </c>
      <c r="J63" s="185">
        <f>'Necesidades Trimestrales (2)'!AT61</f>
        <v>452076</v>
      </c>
      <c r="K63" s="125">
        <f>'Necesidades Trimestrales (2)'!AS61</f>
        <v>10</v>
      </c>
      <c r="L63" s="205">
        <f t="shared" si="0"/>
        <v>4520760</v>
      </c>
      <c r="M63" s="188">
        <f t="shared" si="1"/>
        <v>4520760</v>
      </c>
    </row>
    <row r="64" spans="1:13" ht="18.75" customHeight="1" x14ac:dyDescent="0.2">
      <c r="A64" s="123">
        <v>53</v>
      </c>
      <c r="B64" s="129"/>
      <c r="C64" s="168" t="str">
        <f>'Necesidades Trimestrales (2)'!E62</f>
        <v>TAMOXIFENO FORMA FARMACEUTICA, COMPRIMIDO, PRESENTACION: 20 MG  30 COMPRIMIDOS TIPO MONODROGA</v>
      </c>
      <c r="D64" s="173"/>
      <c r="E64" s="173"/>
      <c r="F64" s="173"/>
      <c r="G64" s="174"/>
      <c r="H64" s="179" t="s">
        <v>136</v>
      </c>
      <c r="I64" s="182" t="str">
        <f>'Necesidades Trimestrales (2)'!F62</f>
        <v>CAJAS</v>
      </c>
      <c r="J64" s="185">
        <f>'Necesidades Trimestrales (2)'!AT62</f>
        <v>338</v>
      </c>
      <c r="K64" s="125">
        <f>'Necesidades Trimestrales (2)'!AS62</f>
        <v>20</v>
      </c>
      <c r="L64" s="205">
        <f t="shared" si="0"/>
        <v>6760</v>
      </c>
      <c r="M64" s="188">
        <f t="shared" si="1"/>
        <v>6760</v>
      </c>
    </row>
    <row r="65" spans="1:13" ht="18.75" customHeight="1" x14ac:dyDescent="0.2">
      <c r="A65" s="123">
        <v>54</v>
      </c>
      <c r="B65" s="129"/>
      <c r="C65" s="168" t="str">
        <f>'Necesidades Trimestrales (2)'!E63</f>
        <v>TEMOZOLOMIDA 100 MG * 5 CAPSULAS</v>
      </c>
      <c r="D65" s="173"/>
      <c r="E65" s="173"/>
      <c r="F65" s="173"/>
      <c r="G65" s="174"/>
      <c r="H65" s="179" t="s">
        <v>136</v>
      </c>
      <c r="I65" s="182" t="str">
        <f>'Necesidades Trimestrales (2)'!F63</f>
        <v>CAJAS</v>
      </c>
      <c r="J65" s="185">
        <f>'Necesidades Trimestrales (2)'!AT63</f>
        <v>25000</v>
      </c>
      <c r="K65" s="125">
        <f>'Necesidades Trimestrales (2)'!AS63</f>
        <v>15</v>
      </c>
      <c r="L65" s="205">
        <f t="shared" si="0"/>
        <v>375000</v>
      </c>
      <c r="M65" s="188">
        <f t="shared" si="1"/>
        <v>375000</v>
      </c>
    </row>
    <row r="66" spans="1:13" ht="18.75" customHeight="1" x14ac:dyDescent="0.2">
      <c r="A66" s="123">
        <v>55</v>
      </c>
      <c r="B66" s="129"/>
      <c r="C66" s="168" t="str">
        <f>'Necesidades Trimestrales (2)'!E64</f>
        <v>TEMOZOLOMIDA 20 MG * 5 CAPSULAS</v>
      </c>
      <c r="D66" s="173"/>
      <c r="E66" s="173"/>
      <c r="F66" s="173"/>
      <c r="G66" s="174"/>
      <c r="H66" s="179" t="s">
        <v>136</v>
      </c>
      <c r="I66" s="182" t="str">
        <f>'Necesidades Trimestrales (2)'!F64</f>
        <v>CAJAS</v>
      </c>
      <c r="J66" s="185">
        <f>'Necesidades Trimestrales (2)'!AT64</f>
        <v>821</v>
      </c>
      <c r="K66" s="125">
        <f>'Necesidades Trimestrales (2)'!AS64</f>
        <v>30</v>
      </c>
      <c r="L66" s="205">
        <f t="shared" si="0"/>
        <v>24630</v>
      </c>
      <c r="M66" s="188">
        <f t="shared" si="1"/>
        <v>24630</v>
      </c>
    </row>
    <row r="67" spans="1:13" ht="18.75" customHeight="1" x14ac:dyDescent="0.2">
      <c r="A67" s="123">
        <v>56</v>
      </c>
      <c r="B67" s="129"/>
      <c r="C67" s="168" t="str">
        <f>'Necesidades Trimestrales (2)'!E65</f>
        <v>TRASTUZUMAB 440 MG: 1 FRASCO AMPOLLA, PRESENTACION ENVASEX 20 ML</v>
      </c>
      <c r="D67" s="173"/>
      <c r="E67" s="173"/>
      <c r="F67" s="173"/>
      <c r="G67" s="174"/>
      <c r="H67" s="179" t="s">
        <v>136</v>
      </c>
      <c r="I67" s="182" t="str">
        <f>'Necesidades Trimestrales (2)'!F65</f>
        <v>AMPOLLA</v>
      </c>
      <c r="J67" s="185">
        <f>'Necesidades Trimestrales (2)'!AT65</f>
        <v>169014</v>
      </c>
      <c r="K67" s="125">
        <f>'Necesidades Trimestrales (2)'!AS65</f>
        <v>2</v>
      </c>
      <c r="L67" s="205">
        <f t="shared" si="0"/>
        <v>338028</v>
      </c>
      <c r="M67" s="188">
        <f t="shared" si="1"/>
        <v>338028</v>
      </c>
    </row>
    <row r="68" spans="1:13" ht="18.75" customHeight="1" x14ac:dyDescent="0.2">
      <c r="A68" s="123">
        <v>57</v>
      </c>
      <c r="B68" s="129"/>
      <c r="C68" s="168" t="str">
        <f>'Necesidades Trimestrales (2)'!E66</f>
        <v>VINBLASTINA, FORMA FARMACEUTICA 1 AMPOLLA, PRESENTACION: 10 MG.</v>
      </c>
      <c r="D68" s="173"/>
      <c r="E68" s="173"/>
      <c r="F68" s="173"/>
      <c r="G68" s="174"/>
      <c r="H68" s="179" t="s">
        <v>136</v>
      </c>
      <c r="I68" s="182" t="str">
        <f>'Necesidades Trimestrales (2)'!F66</f>
        <v>AMPOLLA</v>
      </c>
      <c r="J68" s="185">
        <f>'Necesidades Trimestrales (2)'!AT66</f>
        <v>2999</v>
      </c>
      <c r="K68" s="125">
        <f>'Necesidades Trimestrales (2)'!AS66</f>
        <v>30</v>
      </c>
      <c r="L68" s="205">
        <f t="shared" si="0"/>
        <v>89970</v>
      </c>
      <c r="M68" s="188">
        <f t="shared" si="1"/>
        <v>89970</v>
      </c>
    </row>
    <row r="69" spans="1:13" ht="18.75" customHeight="1" x14ac:dyDescent="0.2">
      <c r="A69" s="123">
        <v>58</v>
      </c>
      <c r="B69" s="129"/>
      <c r="C69" s="168" t="str">
        <f>'Necesidades Trimestrales (2)'!E67</f>
        <v>VINCRISTINA 1 MG. 1 FRASCO-AMPOLLA</v>
      </c>
      <c r="D69" s="173"/>
      <c r="E69" s="173"/>
      <c r="F69" s="173"/>
      <c r="G69" s="174"/>
      <c r="H69" s="179" t="s">
        <v>136</v>
      </c>
      <c r="I69" s="182" t="str">
        <f>'Necesidades Trimestrales (2)'!F67</f>
        <v>AMPOLLA</v>
      </c>
      <c r="J69" s="185">
        <f>'Necesidades Trimestrales (2)'!AT67</f>
        <v>1232</v>
      </c>
      <c r="K69" s="125">
        <f>'Necesidades Trimestrales (2)'!AS67</f>
        <v>100</v>
      </c>
      <c r="L69" s="205">
        <f t="shared" si="0"/>
        <v>123200</v>
      </c>
      <c r="M69" s="188">
        <f t="shared" si="1"/>
        <v>123200</v>
      </c>
    </row>
    <row r="70" spans="1:13" ht="18.75" customHeight="1" x14ac:dyDescent="0.2">
      <c r="A70" s="123">
        <v>59</v>
      </c>
      <c r="B70" s="129"/>
      <c r="C70" s="168" t="str">
        <f>'Necesidades Trimestrales (2)'!E68</f>
        <v>VINORELBINE, FORMA FARMACEUTICA, AMPOLLA, PRESENTACION 50 MG.</v>
      </c>
      <c r="D70" s="173"/>
      <c r="E70" s="173"/>
      <c r="F70" s="173"/>
      <c r="G70" s="174"/>
      <c r="H70" s="179" t="s">
        <v>136</v>
      </c>
      <c r="I70" s="182" t="str">
        <f>'Necesidades Trimestrales (2)'!F68</f>
        <v>AMPOLLA</v>
      </c>
      <c r="J70" s="185">
        <f>'Necesidades Trimestrales (2)'!AT68</f>
        <v>6000</v>
      </c>
      <c r="K70" s="125">
        <f>'Necesidades Trimestrales (2)'!AS68</f>
        <v>30</v>
      </c>
      <c r="L70" s="205">
        <f t="shared" si="0"/>
        <v>180000</v>
      </c>
      <c r="M70" s="188">
        <f t="shared" si="1"/>
        <v>180000</v>
      </c>
    </row>
    <row r="71" spans="1:13" ht="15.75" thickBot="1" x14ac:dyDescent="0.25">
      <c r="A71" s="130"/>
      <c r="B71" s="131"/>
      <c r="C71" s="175"/>
      <c r="D71" s="176"/>
      <c r="E71" s="176"/>
      <c r="F71" s="176"/>
      <c r="G71" s="177"/>
      <c r="H71" s="180"/>
      <c r="I71" s="183"/>
      <c r="J71" s="186"/>
      <c r="K71" s="187"/>
    </row>
    <row r="72" spans="1:13" ht="13.5" thickBot="1" x14ac:dyDescent="0.25">
      <c r="A72" s="223" t="s">
        <v>163</v>
      </c>
      <c r="B72" s="224"/>
      <c r="C72" s="224"/>
      <c r="D72" s="224"/>
      <c r="E72" s="224"/>
      <c r="F72" s="224"/>
      <c r="G72" s="224"/>
      <c r="H72" s="224"/>
      <c r="I72" s="225"/>
      <c r="J72" s="226">
        <f>SUM(L11:L70)</f>
        <v>23614255</v>
      </c>
      <c r="K72" s="227"/>
      <c r="M72" s="188">
        <f>SUM(M12:M71)</f>
        <v>23614255</v>
      </c>
    </row>
  </sheetData>
  <mergeCells count="18">
    <mergeCell ref="A1:I1"/>
    <mergeCell ref="A3:C3"/>
    <mergeCell ref="A4:C4"/>
    <mergeCell ref="A5:C5"/>
    <mergeCell ref="A6:C6"/>
    <mergeCell ref="A7:C7"/>
    <mergeCell ref="D7:K7"/>
    <mergeCell ref="A8:C8"/>
    <mergeCell ref="D8:K8"/>
    <mergeCell ref="A72:I72"/>
    <mergeCell ref="J72:K72"/>
    <mergeCell ref="K10:K11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>
      <selection activeCell="A10" sqref="A10:Q10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5.75" thickBot="1" x14ac:dyDescent="0.3">
      <c r="A1" s="257" t="s">
        <v>2</v>
      </c>
      <c r="B1" s="257"/>
      <c r="C1" s="257"/>
      <c r="D1" s="258">
        <v>2021</v>
      </c>
      <c r="E1" s="258"/>
      <c r="F1" s="132"/>
      <c r="G1" s="132"/>
      <c r="H1" s="133"/>
      <c r="I1" s="133"/>
      <c r="J1" s="133"/>
      <c r="K1" s="133"/>
      <c r="L1" s="133"/>
      <c r="M1" s="133"/>
      <c r="N1" s="133"/>
      <c r="O1" s="134"/>
      <c r="P1" s="259" t="s">
        <v>137</v>
      </c>
      <c r="Q1" s="259"/>
    </row>
    <row r="2" spans="1:17" ht="13.5" thickBot="1" x14ac:dyDescent="0.25">
      <c r="A2" s="134"/>
      <c r="B2" s="134"/>
      <c r="C2" s="134"/>
      <c r="D2" s="134"/>
      <c r="E2" s="134"/>
      <c r="F2" s="134"/>
      <c r="G2" s="135"/>
      <c r="H2" s="133"/>
      <c r="I2" s="133"/>
      <c r="J2" s="133"/>
      <c r="K2" s="133"/>
      <c r="L2" s="133"/>
      <c r="M2" s="133"/>
      <c r="N2" s="133"/>
      <c r="O2" s="134"/>
      <c r="P2" s="259"/>
      <c r="Q2" s="259"/>
    </row>
    <row r="3" spans="1:17" ht="13.5" thickBot="1" x14ac:dyDescent="0.25">
      <c r="A3" s="134"/>
      <c r="B3" s="134"/>
      <c r="C3" s="134"/>
      <c r="D3" s="134"/>
      <c r="E3" s="134"/>
      <c r="F3" s="134"/>
      <c r="G3" s="135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pans="1:17" s="198" customFormat="1" ht="22.5" customHeight="1" thickBot="1" x14ac:dyDescent="0.25">
      <c r="A4" s="260" t="s">
        <v>138</v>
      </c>
      <c r="B4" s="260"/>
      <c r="C4" s="260"/>
      <c r="D4" s="260"/>
      <c r="E4" s="260"/>
      <c r="F4" s="260"/>
      <c r="G4" s="195" t="str">
        <f>NP!D3</f>
        <v>040 - Ministerio de Salud</v>
      </c>
      <c r="H4" s="196"/>
      <c r="I4" s="196"/>
      <c r="J4" s="196"/>
      <c r="K4" s="196"/>
      <c r="L4" s="196"/>
      <c r="M4" s="196"/>
      <c r="N4" s="196"/>
      <c r="O4" s="196"/>
      <c r="P4" s="196"/>
      <c r="Q4" s="197"/>
    </row>
    <row r="5" spans="1:17" s="198" customFormat="1" ht="22.5" customHeight="1" thickBot="1" x14ac:dyDescent="0.25">
      <c r="A5" s="252" t="s">
        <v>123</v>
      </c>
      <c r="B5" s="253"/>
      <c r="C5" s="253"/>
      <c r="D5" s="253"/>
      <c r="E5" s="253"/>
      <c r="F5" s="254"/>
      <c r="G5" s="195" t="str">
        <f>NP!D4</f>
        <v>011 - Direccion Provincial de Administración - Ministerio de Salud</v>
      </c>
      <c r="H5" s="196"/>
      <c r="I5" s="196"/>
      <c r="J5" s="196"/>
      <c r="K5" s="196"/>
      <c r="L5" s="196"/>
      <c r="M5" s="196"/>
      <c r="N5" s="196"/>
      <c r="O5" s="196"/>
      <c r="P5" s="196"/>
      <c r="Q5" s="197"/>
    </row>
    <row r="6" spans="1:17" s="198" customFormat="1" ht="22.5" customHeight="1" thickBot="1" x14ac:dyDescent="0.25">
      <c r="A6" s="252" t="s">
        <v>125</v>
      </c>
      <c r="B6" s="253"/>
      <c r="C6" s="253"/>
      <c r="D6" s="253"/>
      <c r="E6" s="253"/>
      <c r="F6" s="254"/>
      <c r="G6" s="195" t="str">
        <f>NP!D5</f>
        <v>159 - DIR. PROVINCIAL DE CANCER</v>
      </c>
      <c r="H6" s="196"/>
      <c r="I6" s="196"/>
      <c r="J6" s="196"/>
      <c r="K6" s="196"/>
      <c r="L6" s="196"/>
      <c r="M6" s="196"/>
      <c r="N6" s="196"/>
      <c r="O6" s="196"/>
      <c r="P6" s="196"/>
      <c r="Q6" s="197"/>
    </row>
    <row r="7" spans="1:17" s="198" customFormat="1" ht="22.5" customHeight="1" thickBot="1" x14ac:dyDescent="0.25">
      <c r="A7" s="252" t="s">
        <v>126</v>
      </c>
      <c r="B7" s="253"/>
      <c r="C7" s="253"/>
      <c r="D7" s="253"/>
      <c r="E7" s="253"/>
      <c r="F7" s="254"/>
      <c r="G7" s="195" t="str">
        <f>NP!D6</f>
        <v>159 - DIR. PROVINCIAL DE CANCER</v>
      </c>
      <c r="H7" s="196"/>
      <c r="I7" s="196"/>
      <c r="J7" s="196"/>
      <c r="K7" s="196"/>
      <c r="L7" s="196"/>
      <c r="M7" s="196"/>
      <c r="N7" s="196"/>
      <c r="O7" s="196"/>
      <c r="P7" s="196"/>
      <c r="Q7" s="197"/>
    </row>
    <row r="8" spans="1:17" s="198" customFormat="1" ht="22.5" customHeight="1" thickBot="1" x14ac:dyDescent="0.25">
      <c r="A8" s="255" t="s">
        <v>139</v>
      </c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</row>
    <row r="9" spans="1:17" ht="14.25" x14ac:dyDescent="0.2">
      <c r="A9" s="256" t="s">
        <v>140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136"/>
      <c r="P9" s="136"/>
      <c r="Q9" s="137"/>
    </row>
    <row r="10" spans="1:17" ht="51.75" customHeight="1" x14ac:dyDescent="0.2">
      <c r="A10" s="242" t="s">
        <v>169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4"/>
    </row>
    <row r="11" spans="1:17" ht="18" customHeight="1" thickBot="1" x14ac:dyDescent="0.25">
      <c r="A11" s="138"/>
      <c r="B11" s="139"/>
      <c r="C11" s="139"/>
      <c r="D11" s="139"/>
      <c r="E11" s="139"/>
      <c r="F11" s="139"/>
      <c r="G11" s="140"/>
      <c r="H11" s="139"/>
      <c r="I11" s="139"/>
      <c r="J11" s="139"/>
      <c r="K11" s="139"/>
      <c r="L11" s="139"/>
      <c r="M11" s="139"/>
      <c r="N11" s="139"/>
      <c r="O11" s="139"/>
      <c r="P11" s="139"/>
      <c r="Q11" s="141"/>
    </row>
    <row r="12" spans="1:17" ht="18" customHeight="1" thickBot="1" x14ac:dyDescent="0.25">
      <c r="A12" s="245" t="s">
        <v>141</v>
      </c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</row>
    <row r="13" spans="1:17" ht="18" customHeight="1" thickBot="1" x14ac:dyDescent="0.25">
      <c r="A13" s="246" t="s">
        <v>142</v>
      </c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7" t="s">
        <v>143</v>
      </c>
      <c r="P13" s="247"/>
      <c r="Q13" s="248" t="s">
        <v>144</v>
      </c>
    </row>
    <row r="14" spans="1:17" ht="18" customHeight="1" thickBot="1" x14ac:dyDescent="0.25">
      <c r="A14" s="142" t="s">
        <v>145</v>
      </c>
      <c r="B14" s="143" t="s">
        <v>146</v>
      </c>
      <c r="C14" s="143" t="s">
        <v>147</v>
      </c>
      <c r="D14" s="143" t="s">
        <v>148</v>
      </c>
      <c r="E14" s="143" t="s">
        <v>149</v>
      </c>
      <c r="F14" s="143" t="s">
        <v>150</v>
      </c>
      <c r="G14" s="144" t="s">
        <v>151</v>
      </c>
      <c r="H14" s="143" t="s">
        <v>152</v>
      </c>
      <c r="I14" s="143" t="s">
        <v>153</v>
      </c>
      <c r="J14" s="143" t="s">
        <v>154</v>
      </c>
      <c r="K14" s="143" t="s">
        <v>154</v>
      </c>
      <c r="L14" s="143" t="s">
        <v>155</v>
      </c>
      <c r="M14" s="145" t="s">
        <v>156</v>
      </c>
      <c r="N14" s="146" t="s">
        <v>157</v>
      </c>
      <c r="O14" s="247"/>
      <c r="P14" s="247"/>
      <c r="Q14" s="248"/>
    </row>
    <row r="15" spans="1:17" ht="37.5" customHeight="1" x14ac:dyDescent="0.2">
      <c r="A15" s="147">
        <v>44</v>
      </c>
      <c r="B15" s="148"/>
      <c r="C15" s="148"/>
      <c r="D15" s="148">
        <v>1</v>
      </c>
      <c r="E15" s="148"/>
      <c r="F15" s="148">
        <v>4901</v>
      </c>
      <c r="G15" s="148">
        <v>3</v>
      </c>
      <c r="H15" s="148">
        <v>1</v>
      </c>
      <c r="I15" s="149">
        <v>2</v>
      </c>
      <c r="J15" s="149">
        <v>5</v>
      </c>
      <c r="K15" s="149">
        <v>2</v>
      </c>
      <c r="L15" s="148"/>
      <c r="M15" s="150">
        <v>1</v>
      </c>
      <c r="N15" s="151" t="s">
        <v>158</v>
      </c>
      <c r="O15" s="249" t="s">
        <v>159</v>
      </c>
      <c r="P15" s="250"/>
      <c r="Q15" s="152">
        <f>NP!M72</f>
        <v>23614255</v>
      </c>
    </row>
    <row r="16" spans="1:17" ht="18" customHeight="1" x14ac:dyDescent="0.2">
      <c r="A16" s="153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5"/>
      <c r="N16" s="156"/>
      <c r="O16" s="241"/>
      <c r="P16" s="251"/>
      <c r="Q16" s="157"/>
    </row>
    <row r="17" spans="1:17" ht="18" customHeight="1" x14ac:dyDescent="0.2">
      <c r="A17" s="153"/>
      <c r="B17" s="154"/>
      <c r="C17" s="154"/>
      <c r="D17" s="154"/>
      <c r="E17" s="154"/>
      <c r="F17" s="156"/>
      <c r="G17" s="154"/>
      <c r="H17" s="154"/>
      <c r="I17" s="154"/>
      <c r="J17" s="154"/>
      <c r="K17" s="154"/>
      <c r="L17" s="154"/>
      <c r="M17" s="155"/>
      <c r="N17" s="156"/>
      <c r="O17" s="241"/>
      <c r="P17" s="251"/>
      <c r="Q17" s="157"/>
    </row>
    <row r="18" spans="1:17" ht="18" customHeight="1" x14ac:dyDescent="0.2">
      <c r="A18" s="153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5"/>
      <c r="N18" s="156"/>
      <c r="O18" s="251"/>
      <c r="P18" s="251"/>
      <c r="Q18" s="157"/>
    </row>
    <row r="19" spans="1:17" ht="18" customHeight="1" x14ac:dyDescent="0.2">
      <c r="A19" s="153"/>
      <c r="B19" s="154"/>
      <c r="C19" s="154"/>
      <c r="D19" s="154"/>
      <c r="E19" s="154"/>
      <c r="F19" s="156"/>
      <c r="G19" s="154"/>
      <c r="H19" s="154"/>
      <c r="I19" s="154"/>
      <c r="J19" s="154"/>
      <c r="K19" s="154"/>
      <c r="L19" s="154"/>
      <c r="M19" s="155"/>
      <c r="N19" s="156"/>
      <c r="O19" s="251"/>
      <c r="P19" s="251"/>
      <c r="Q19" s="157"/>
    </row>
    <row r="20" spans="1:17" ht="18" customHeight="1" x14ac:dyDescent="0.2">
      <c r="A20" s="153"/>
      <c r="B20" s="154"/>
      <c r="C20" s="154"/>
      <c r="D20" s="154"/>
      <c r="E20" s="154"/>
      <c r="F20" s="156"/>
      <c r="G20" s="154"/>
      <c r="H20" s="154"/>
      <c r="I20" s="154"/>
      <c r="J20" s="154"/>
      <c r="K20" s="154"/>
      <c r="L20" s="154"/>
      <c r="M20" s="155"/>
      <c r="N20" s="156"/>
      <c r="O20" s="251"/>
      <c r="P20" s="251"/>
      <c r="Q20" s="157"/>
    </row>
    <row r="21" spans="1:17" ht="18" customHeight="1" x14ac:dyDescent="0.2">
      <c r="A21" s="158"/>
      <c r="B21" s="159"/>
      <c r="C21" s="159"/>
      <c r="D21" s="159"/>
      <c r="E21" s="159"/>
      <c r="F21" s="160"/>
      <c r="G21" s="159"/>
      <c r="H21" s="159"/>
      <c r="I21" s="159"/>
      <c r="J21" s="159"/>
      <c r="K21" s="159"/>
      <c r="L21" s="159"/>
      <c r="M21" s="161"/>
      <c r="N21" s="162"/>
      <c r="O21" s="241"/>
      <c r="P21" s="241"/>
      <c r="Q21" s="157"/>
    </row>
    <row r="22" spans="1:17" ht="18" customHeight="1" thickBot="1" x14ac:dyDescent="0.25">
      <c r="A22" s="16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5"/>
      <c r="N22" s="164"/>
      <c r="O22" s="234"/>
      <c r="P22" s="234"/>
      <c r="Q22" s="166"/>
    </row>
    <row r="23" spans="1:17" ht="38.25" customHeight="1" thickBot="1" x14ac:dyDescent="0.25">
      <c r="A23" s="235" t="s">
        <v>165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167">
        <f>SUM(Q15:Q22)</f>
        <v>23614255</v>
      </c>
    </row>
    <row r="24" spans="1:17" ht="18" customHeight="1" thickBot="1" x14ac:dyDescent="0.25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</row>
    <row r="25" spans="1:17" ht="18" customHeight="1" thickBot="1" x14ac:dyDescent="0.25">
      <c r="A25" s="237" t="s">
        <v>160</v>
      </c>
      <c r="B25" s="238"/>
      <c r="C25" s="238"/>
      <c r="D25" s="238"/>
      <c r="E25" s="238"/>
      <c r="F25" s="239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 spans="1:17" ht="30.75" customHeight="1" x14ac:dyDescent="0.2">
      <c r="A26" s="204" t="str">
        <f>NP!D8</f>
        <v>Adquisicion del  RUBRO MEDICAMENTOS ONCOLOGICOS</v>
      </c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200"/>
    </row>
    <row r="27" spans="1:17" ht="36" customHeight="1" thickBot="1" x14ac:dyDescent="0.25">
      <c r="A27" s="201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3"/>
    </row>
  </sheetData>
  <mergeCells count="26">
    <mergeCell ref="A6:F6"/>
    <mergeCell ref="A7:F7"/>
    <mergeCell ref="A8:Q8"/>
    <mergeCell ref="A9:N9"/>
    <mergeCell ref="A1:C1"/>
    <mergeCell ref="D1:E1"/>
    <mergeCell ref="P1:Q2"/>
    <mergeCell ref="A4:F4"/>
    <mergeCell ref="A5:F5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2:P22"/>
    <mergeCell ref="A23:P23"/>
    <mergeCell ref="A24:Q24"/>
    <mergeCell ref="A25:F25"/>
    <mergeCell ref="G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 (2)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2021-02-22T15:06:37Z</cp:lastPrinted>
  <dcterms:created xsi:type="dcterms:W3CDTF">2020-07-17T23:44:49Z</dcterms:created>
  <dcterms:modified xsi:type="dcterms:W3CDTF">2021-08-12T11:51:30Z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