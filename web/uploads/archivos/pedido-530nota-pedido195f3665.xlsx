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4392CD7B-D72E-466B-A3A6-879F6A9FBC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Trimestrales'!$A$9:$I$44</definedName>
  </definedNames>
  <calcPr calcId="181029"/>
</workbook>
</file>

<file path=xl/calcChain.xml><?xml version="1.0" encoding="utf-8"?>
<calcChain xmlns="http://schemas.openxmlformats.org/spreadsheetml/2006/main">
  <c r="I11" i="1" l="1"/>
  <c r="D28" i="1" l="1"/>
  <c r="I28" i="1"/>
  <c r="D15" i="1" l="1"/>
  <c r="D16" i="1"/>
  <c r="I43" i="1" l="1"/>
  <c r="D43" i="1"/>
  <c r="I42" i="1"/>
  <c r="D42" i="1"/>
  <c r="I41" i="1"/>
  <c r="D41" i="1"/>
  <c r="I40" i="1"/>
  <c r="D40" i="1"/>
  <c r="I39" i="1"/>
  <c r="D39" i="1"/>
  <c r="I38" i="1"/>
  <c r="D38" i="1"/>
  <c r="I37" i="1"/>
  <c r="D37" i="1"/>
  <c r="I36" i="1"/>
  <c r="D36" i="1"/>
  <c r="I35" i="1"/>
  <c r="D35" i="1"/>
  <c r="I34" i="1"/>
  <c r="D34" i="1"/>
  <c r="I33" i="1"/>
  <c r="D33" i="1"/>
  <c r="I32" i="1"/>
  <c r="D32" i="1"/>
  <c r="I31" i="1"/>
  <c r="D31" i="1"/>
  <c r="I30" i="1"/>
  <c r="D30" i="1"/>
  <c r="I29" i="1"/>
  <c r="D29" i="1"/>
  <c r="I27" i="1"/>
  <c r="D27" i="1"/>
  <c r="I26" i="1"/>
  <c r="D26" i="1"/>
  <c r="I25" i="1"/>
  <c r="D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D18" i="1"/>
  <c r="I17" i="1"/>
  <c r="D17" i="1"/>
  <c r="I16" i="1"/>
  <c r="I15" i="1"/>
  <c r="I14" i="1"/>
  <c r="I13" i="1"/>
  <c r="D13" i="1"/>
  <c r="I12" i="1"/>
  <c r="D12" i="1"/>
  <c r="D11" i="1"/>
  <c r="I10" i="1"/>
  <c r="I44" i="1" l="1"/>
</calcChain>
</file>

<file path=xl/sharedStrings.xml><?xml version="1.0" encoding="utf-8"?>
<sst xmlns="http://schemas.openxmlformats.org/spreadsheetml/2006/main" count="163" uniqueCount="96">
  <si>
    <t>Pedido de Necesidades Trimestrales</t>
  </si>
  <si>
    <t>JURISDICCION:</t>
  </si>
  <si>
    <t>65- MINISTERIO DE AGUA, ENERGÍA Y MEDIO AMBIENTE</t>
  </si>
  <si>
    <t xml:space="preserve">SAF N°: </t>
  </si>
  <si>
    <t>31-DIRECCIÓN PROVINCIAL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</si>
  <si>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</si>
  <si>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</si>
  <si>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</si>
  <si>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</si>
  <si>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</si>
  <si>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</si>
  <si>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</si>
  <si>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</si>
  <si>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</si>
  <si>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</si>
  <si>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</si>
  <si>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2.5.9-267.64</t>
  </si>
  <si>
    <t>LIBRERIA,PAP. Y UTILES OFICINA</t>
  </si>
  <si>
    <t>ADHESIVOS; TIPO: PVC, SECADO: SIN VALOR, CAPACIDAD: 125 GR, PRESENTACION: ENVASE X 125 GR</t>
  </si>
  <si>
    <t>UNIDAD</t>
  </si>
  <si>
    <t>2.3.1-6563.979</t>
  </si>
  <si>
    <t>PAPELES EN HOJA; TIPO DE PAPEL: OBRA , DIMENSION: OFICIO Cm, GRAMAJE: 80 GR, PRESENTACION: RESMA X 500 HOJAS, CERTIFICADO FORESTAL (GFS): SIN, PORC. FIBRAS RECICLADAS: 0 %, CERT. FIBRA ALTERNATIVA (FCA): SIN</t>
  </si>
  <si>
    <t>2.9.2-1358.354</t>
  </si>
  <si>
    <t>CARPETAS; MATERIAL PLASTICO - TAMAÑO OFICIO.</t>
  </si>
  <si>
    <t>2.9.2-1358.35</t>
  </si>
  <si>
    <t>CARPETAS; MATERIAL PVC - TAMAÑO A4</t>
  </si>
  <si>
    <t>2.3.4-734.60</t>
  </si>
  <si>
    <t>CINTAS P/EMBALAJE; MATERIAL: POLIPROPILENO, USO: GENERAL, COLOR: TRANSPARENTE, ANCHO: 48 Cm, LARGO: 100 M</t>
  </si>
  <si>
    <t>2.9.2-317.17</t>
  </si>
  <si>
    <t>2.9.2-317.1</t>
  </si>
  <si>
    <t>BOLIGRAFOS; COLOR TINTA: AZUL, TRAZO: 0,7 mm</t>
  </si>
  <si>
    <t>2.9.2-758.24</t>
  </si>
  <si>
    <t>TIJERAS P/CORTAR PAPELES; LONG.DE CUERPO: 24 Cm, MATERIAL: ACERO INOXIDABLE, CUCHILLA: PUNTIAGUDAS, MANGO: ERGONOMETRICO DE PLASTICO</t>
  </si>
  <si>
    <t>2.9.2-1616.145</t>
  </si>
  <si>
    <t>MARCADORES; TIPO: INDELEBLE, TRAZO: GRUESO, PUNTA: GRUESA, RECARGABLE: NO</t>
  </si>
  <si>
    <t>2.9.2-858.7</t>
  </si>
  <si>
    <t>PERFORADORAS; DIST. ENTRE AGUJ.: FIJO, N° PERFORACIONES: 2, MATERIAL ESTRUCTURA: FUNDICION HIERRO BASE MADERA, GUIA POSICION PAPEL: CON, TAMAÑO: GRANDE, MATERIAL: FUNDICION HIERRO BASE MADERA</t>
  </si>
  <si>
    <t>2.9.2-660.34</t>
  </si>
  <si>
    <t>CLIPS P/PAPEL; NUMERO: 4, MATERIAL: METAL, CANT. X CAJA: 1000 UN, PRESENTACION: CAJA X 1000 UN</t>
  </si>
  <si>
    <t>2.9.2-660.20</t>
  </si>
  <si>
    <t>CLIPS P/PAPEL; NUMERO: 6, MATERIAL: METAL, CANT. X CAJA: 100, PRESENTACION: CAJA X 100</t>
  </si>
  <si>
    <t>2.9.2-660.31</t>
  </si>
  <si>
    <t>CLIPS P/PAPEL; NUMERO: 8, MATERIAL: METAL, CANT. X CAJA: 100 UN, PRESENTACION: CAJA X 100 UN</t>
  </si>
  <si>
    <t>2.9.2-852.11</t>
  </si>
  <si>
    <t>BROCHES DORADOS; N°: 5, PRESENTACION: CAJA X 100 UNIDADES, N° PATAS: 2, CANTIDAD PATAS: 2, NUMERO: 5</t>
  </si>
  <si>
    <t>2.9.2-852.4</t>
  </si>
  <si>
    <t>BROCHES DORADOS; PRESENTACION: CAJA X 100 UNIDADES, N° PATAS: 2, N°: 8, CANTIDAD PATAS: 2, NUMERO: 8</t>
  </si>
  <si>
    <t>2.9.2-1354.21</t>
  </si>
  <si>
    <t>RESALTADORES; PUNTA: BISELADA, ACCESORIO: SIN, COLOR: SIN VALOR, TIPO PUNTA: BISELADA</t>
  </si>
  <si>
    <t>2.9.2-1450.30</t>
  </si>
  <si>
    <t>TINTAS P/SELLOS; TIPO DE SELLO: DE GOMA, ENVASE: 60 CM3, COLOR: AZUL, PRESENTACION: ENVASE X 60 CM3</t>
  </si>
  <si>
    <t>2.9.2-790.13</t>
  </si>
  <si>
    <t>CUTER; TIPO HOJA: MOVIL SECCIONABLE, MATERIAL MANGO: PLASTICO, ANCHO HOJA: 18 mm, TIPO DE HOJA: MOVIL SECCIONABLE, ANCHO DE HOJA: 18 mm</t>
  </si>
  <si>
    <t>2.3.1-6587.346</t>
  </si>
  <si>
    <t>PAPELES ENCUADERNADOS; CANT. DE HOJAS: 100, TAMAÑO: A4, TIPO: CUADERNO ESPIRALADO TAPA DURA, CERTIFICADO FORESTAL (GFS): SIN, PORC. FIBRAS RECICLADAS: 0 %, CERT. FIBRA ALTERNATIVA (FCA): SIN</t>
  </si>
  <si>
    <t>2.9.2-6873.5</t>
  </si>
  <si>
    <t>BROCHES PLASTICOS; TIPO: NEPACO, TAMAÑO: Nº 1, PRESENTACION: CAJA X 50 UN</t>
  </si>
  <si>
    <t>2.9.2-866.3</t>
  </si>
  <si>
    <t>MAQUINAS SACABROCHES; EXTRACTOR: HIERRO, CUERPO: PLASTICO, MATERIAL: PLASTICO, MATERIAL DEL CUERPO: PLASTICO</t>
  </si>
  <si>
    <t>2.9.2-674.9</t>
  </si>
  <si>
    <t>REGLAS GRADUADAS; TIPO: PLANA, MATERIAL: PLASTICO, LONG.DE CUERPO: 30 Cm</t>
  </si>
  <si>
    <t>2.9.2-2766.11</t>
  </si>
  <si>
    <t>CARPETAS P/ENCUADERNACION; TAMAÑO: OFICIO, ESPESOR: 9 mm, MATERIAL LOMO: PLASTICO TRANPARENTE, PEGAMENTO: SIN, TAPA: TRANSPARENTE</t>
  </si>
  <si>
    <t>2.9.2-2766.3</t>
  </si>
  <si>
    <t>CARPETAS P/ENCUADERNACION; TAMAÑO: A4, ESPESOR: 9 mm, MATERIAL LOMO: ACERO, PEGAMENTO: CON, TAPA: TRANSPARENTE</t>
  </si>
  <si>
    <t>2.9.2-274.31</t>
  </si>
  <si>
    <t>BIBLIORATOS; COLOR: AZUL, ANCHO: 80 mm, ANILLO: 2, TAMAÑO: OFICIO, LOMO: CARTON, MATERIAL: CARTON, TAPAS: CARTON FORRADO PLASTICO</t>
  </si>
  <si>
    <t>2.3.1-6590.530</t>
  </si>
  <si>
    <t>SOBRES DE PAPEL; TIPO: MADERA, TAMAÑO: A4, GRAMAJE: 80 GR/M2, PRESENTACION: ENVASE X 100 UN, CERTIFICADO FORESTAL (GFS): SIN, PORC. FIBRAS RECICLADAS: 0 %, CERT. FIBRA ALTERNATIVA (FCA): SIN</t>
  </si>
  <si>
    <t>2.3.1-6590.226</t>
  </si>
  <si>
    <t>SOBRES DE PAPEL; TIPO: MADERA, TAMAÑO: OFICIO, GRAMAJE: 80 GR/M2, PRESENTACION: CAJA X 100</t>
  </si>
  <si>
    <t>2.9.2-1428.9</t>
  </si>
  <si>
    <t>BANDAS ELASTICAS; DIAMETRO: 7 Cm, PRESENTACION: CAJA DE 250 GR, ESPESOR: 2 (+ - 10%)</t>
  </si>
  <si>
    <t>2.9.2-262.56</t>
  </si>
  <si>
    <t>ADHESIVOS P/PAPEL; PRESENTACION: ENVASE X 250 mL, TIPO: SINTETICO C/DOSIFICADOR</t>
  </si>
  <si>
    <t>2.3.1-928.8</t>
  </si>
  <si>
    <t>ARANDELAS DE CARTON; DIAMETRO: 1 pulg, PRESENTACION: CAJA X 500 UNIDADES</t>
  </si>
  <si>
    <t>2.9.2-1616.24</t>
  </si>
  <si>
    <t>MARCADORES; TIPO P/PIZARRA - TRAZO GRUESO - PUNTA REDONDA - RECARGABLE SI</t>
  </si>
  <si>
    <t>2.9.2-661.1</t>
  </si>
  <si>
    <t>GOMAS DE BORRAR; MATERIAL: CAUCHO, CANT. X CAJA: 30, USO: LAPIZ, DIMENSION: 4 X 1 X 1 Cm, PRESENTACION: CAJA X 30</t>
  </si>
  <si>
    <t>2.3.1-6587.334</t>
  </si>
  <si>
    <t>PAPELES ENCUADERNADOS; CANT. DE HOJAS: 84 HOJAS, TAMAÑO: 16 X 21 Cm, TIPO: RAYADO ESPIRALADO, CERTIFICADO FORESTAL (GFS): CON, PORC. FIBRAS RECICLADAS: 0 %, CERT. FIBRA ALTERNATIVA (FCA): SIN</t>
  </si>
  <si>
    <t>2.9.2-1062.12</t>
  </si>
  <si>
    <t>PAPELES ANOTADOR AUTOADHESIVOS; PRESENTACION: 100 HOJAS, LARGO X ANCHO: 76 X 76 mm</t>
  </si>
  <si>
    <t>Costo total estimado: LIBRERIA,PAP. Y UTILES OFICINA</t>
  </si>
  <si>
    <t>BOLIGRAFOS; TRAZO: GRUESO, COLOR TINTA: NEGRO</t>
  </si>
  <si>
    <t>Plazos y lugares de entrega</t>
  </si>
  <si>
    <t>Calidad Minima esperada</t>
  </si>
  <si>
    <t>Mantenimiento</t>
  </si>
  <si>
    <t>Garantia</t>
  </si>
  <si>
    <r>
      <rPr>
        <b/>
        <sz val="10"/>
        <rFont val="Times New Roman"/>
        <family val="1"/>
      </rPr>
      <t>COLORES</t>
    </r>
    <r>
      <rPr>
        <sz val="10"/>
        <rFont val="Times New Roman"/>
        <family val="1"/>
      </rPr>
      <t xml:space="preserve">
50 unidades en color amarillo
50 unidades en color anaranjado 
</t>
    </r>
  </si>
  <si>
    <t>2.9.2</t>
  </si>
  <si>
    <r>
      <t>Plazos y lugares de entrega:</t>
    </r>
    <r>
      <rPr>
        <sz val="13"/>
        <rFont val="Times New Roman"/>
        <family val="1"/>
      </rPr>
      <t xml:space="preserve"> 10 DÍAS-</t>
    </r>
    <r>
      <rPr>
        <b/>
        <sz val="13"/>
        <rFont val="Times New Roman"/>
        <family val="1"/>
      </rPr>
      <t xml:space="preserve"> </t>
    </r>
    <r>
      <rPr>
        <sz val="13"/>
        <rFont val="Times New Roman"/>
        <family val="1"/>
      </rPr>
      <t>Dirección Provincial de Administración- M.A.E.y M.A- Av. Republica de Venezuela s/N° -Pabellón 2- CAPE</t>
    </r>
  </si>
  <si>
    <t xml:space="preserve">Especificidades Item N° 16: </t>
  </si>
  <si>
    <t>Descripción técnica: RESALTADORES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</si>
</sst>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[$$-2C0A]\ #,##0.00;[$$-2C0A]&quot; -&quot;#,##0.00"/>
    <numFmt numFmtId="166" formatCode="_-[$$-2C0A]\ * #,##0.00_-;\-[$$-2C0A]\ * #,##0.00_-;_-[$$-2C0A]\ * &quot;-&quot;??_-;_-@_-"/>
  </numFmts>
  <fonts count="20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1"/>
      <name val="Arial"/>
      <family val="2"/>
    </font>
    <font>
      <b/>
      <sz val="11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u/>
      <sz val="10"/>
      <name val="Times New Roman"/>
      <family val="1"/>
    </font>
    <font>
      <b/>
      <sz val="10"/>
      <name val="Times New Roman"/>
      <family val="1"/>
    </font>
    <font>
      <sz val="9"/>
      <color theme="1"/>
      <name val="Times New Roman"/>
      <family val="1"/>
    </font>
    <font>
      <b/>
      <u/>
      <sz val="13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rgb="FFFFFFCC"/>
      </patternFill>
    </fill>
  </fills>
  <borders count="17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164" fontId="1" fillId="0" borderId="0" applyBorder="0" applyProtection="0"/>
    <xf numFmtId="0" fontId="12" fillId="0" borderId="8" applyProtection="0"/>
    <xf numFmtId="0" fontId="13" fillId="5" borderId="0" applyBorder="0" applyProtection="0"/>
  </cellStyleXfs>
  <cellXfs count="53">
    <xf numFmtId="0" fontId="0" fillId="0" borderId="0" xfId="0"/>
    <xf numFmtId="0" fontId="2" fillId="0" borderId="0" xfId="0" applyFont="1"/>
    <xf numFmtId="0" fontId="2" fillId="2" borderId="0" xfId="0" applyFont="1" applyFill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6" fillId="2" borderId="0" xfId="0" applyFont="1" applyFill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165" fontId="8" fillId="3" borderId="3" xfId="1" applyNumberFormat="1" applyFont="1" applyFill="1" applyBorder="1" applyAlignment="1" applyProtection="1">
      <alignment horizontal="right" vertical="center" wrapText="1"/>
    </xf>
    <xf numFmtId="165" fontId="8" fillId="3" borderId="4" xfId="1" applyNumberFormat="1" applyFont="1" applyFill="1" applyBorder="1" applyAlignment="1" applyProtection="1">
      <alignment horizontal="right" vertical="center" wrapText="1"/>
    </xf>
    <xf numFmtId="0" fontId="10" fillId="4" borderId="0" xfId="0" applyFont="1" applyFill="1"/>
    <xf numFmtId="0" fontId="10" fillId="4" borderId="5" xfId="0" applyFont="1" applyFill="1" applyBorder="1" applyAlignment="1">
      <alignment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vertical="center" wrapText="1"/>
    </xf>
    <xf numFmtId="166" fontId="11" fillId="2" borderId="7" xfId="1" applyNumberFormat="1" applyFont="1" applyFill="1" applyBorder="1"/>
    <xf numFmtId="0" fontId="0" fillId="0" borderId="0" xfId="0" applyAlignment="1">
      <alignment vertical="center" wrapText="1"/>
    </xf>
    <xf numFmtId="0" fontId="2" fillId="0" borderId="0" xfId="0" applyFont="1" applyBorder="1"/>
    <xf numFmtId="0" fontId="9" fillId="2" borderId="3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165" fontId="16" fillId="3" borderId="3" xfId="1" applyNumberFormat="1" applyFont="1" applyFill="1" applyBorder="1" applyAlignment="1" applyProtection="1">
      <alignment horizontal="right" vertical="center" wrapText="1"/>
    </xf>
    <xf numFmtId="165" fontId="16" fillId="3" borderId="4" xfId="1" applyNumberFormat="1" applyFont="1" applyFill="1" applyBorder="1" applyAlignment="1" applyProtection="1">
      <alignment horizontal="right" vertical="center" wrapText="1"/>
    </xf>
    <xf numFmtId="0" fontId="5" fillId="3" borderId="0" xfId="0" applyFont="1" applyFill="1" applyAlignment="1">
      <alignment horizontal="left" wrapText="1" indent="1"/>
    </xf>
    <xf numFmtId="0" fontId="7" fillId="2" borderId="0" xfId="0" applyFont="1" applyFill="1" applyAlignment="1">
      <alignment horizontal="left" wrapText="1"/>
    </xf>
    <xf numFmtId="0" fontId="14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0" xfId="0" applyFont="1" applyFill="1" applyBorder="1"/>
    <xf numFmtId="0" fontId="2" fillId="2" borderId="13" xfId="0" applyFont="1" applyFill="1" applyBorder="1"/>
    <xf numFmtId="0" fontId="14" fillId="2" borderId="12" xfId="0" applyFont="1" applyFill="1" applyBorder="1" applyAlignment="1">
      <alignment horizontal="left" indent="3"/>
    </xf>
    <xf numFmtId="0" fontId="2" fillId="2" borderId="12" xfId="0" applyFont="1" applyFill="1" applyBorder="1" applyAlignment="1">
      <alignment horizontal="left" indent="3"/>
    </xf>
    <xf numFmtId="0" fontId="2" fillId="2" borderId="0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horizontal="left" indent="3"/>
    </xf>
    <xf numFmtId="0" fontId="2" fillId="2" borderId="15" xfId="0" applyFont="1" applyFill="1" applyBorder="1"/>
    <xf numFmtId="0" fontId="2" fillId="2" borderId="16" xfId="0" applyFont="1" applyFill="1" applyBorder="1"/>
    <xf numFmtId="0" fontId="17" fillId="2" borderId="0" xfId="0" applyFont="1" applyFill="1"/>
    <xf numFmtId="0" fontId="18" fillId="2" borderId="0" xfId="0" applyFont="1" applyFill="1"/>
    <xf numFmtId="0" fontId="8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5" fillId="3" borderId="0" xfId="0" applyFont="1" applyFill="1" applyBorder="1" applyAlignment="1">
      <alignment horizontal="left" wrapText="1" indent="1"/>
    </xf>
    <xf numFmtId="0" fontId="2" fillId="3" borderId="13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left" vertical="top" wrapText="1"/>
    </xf>
    <xf numFmtId="0" fontId="2" fillId="3" borderId="13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center" wrapText="1"/>
    </xf>
    <xf numFmtId="0" fontId="2" fillId="3" borderId="13" xfId="0" applyFont="1" applyFill="1" applyBorder="1" applyAlignment="1">
      <alignment horizontal="center" wrapText="1"/>
    </xf>
    <xf numFmtId="0" fontId="2" fillId="3" borderId="0" xfId="0" applyFont="1" applyFill="1" applyBorder="1" applyAlignment="1">
      <alignment horizontal="left" wrapText="1"/>
    </xf>
    <xf numFmtId="0" fontId="2" fillId="3" borderId="13" xfId="0" applyFont="1" applyFill="1" applyBorder="1" applyAlignment="1">
      <alignment horizontal="left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61"/>
  <sheetViews>
    <sheetView tabSelected="1" zoomScale="115" zoomScaleNormal="115" workbookViewId="0">
      <selection activeCell="K43" sqref="K43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28.85546875" style="1" customWidth="1"/>
    <col min="4" max="4" width="6.7109375" style="1" customWidth="1"/>
    <col min="5" max="5" width="75.85546875" style="1" customWidth="1"/>
    <col min="6" max="6" width="7.7109375" style="1" customWidth="1"/>
    <col min="7" max="7" width="5.5703125" style="1" customWidth="1"/>
    <col min="8" max="8" width="8.140625" style="2" customWidth="1"/>
    <col min="9" max="9" width="17.42578125" style="2" customWidth="1"/>
    <col min="10" max="10" width="8.5703125" style="1" customWidth="1"/>
    <col min="11" max="16384" width="11" style="1"/>
  </cols>
  <sheetData>
    <row r="2" spans="1:13" ht="27" x14ac:dyDescent="0.35">
      <c r="B2" s="44" t="s">
        <v>0</v>
      </c>
      <c r="C2" s="44"/>
      <c r="D2" s="44"/>
      <c r="E2" s="44"/>
      <c r="F2" s="44"/>
      <c r="G2" s="44"/>
      <c r="H2" s="44"/>
    </row>
    <row r="3" spans="1:13" x14ac:dyDescent="0.2">
      <c r="C3" s="2"/>
      <c r="D3" s="2"/>
      <c r="E3" s="2"/>
    </row>
    <row r="4" spans="1:13" ht="18" customHeight="1" x14ac:dyDescent="0.25">
      <c r="A4" s="43" t="s">
        <v>1</v>
      </c>
      <c r="B4" s="43"/>
      <c r="C4" s="45" t="s">
        <v>2</v>
      </c>
      <c r="D4" s="45"/>
      <c r="E4" s="45"/>
      <c r="F4" s="3"/>
      <c r="G4" s="4"/>
      <c r="H4" s="5"/>
    </row>
    <row r="5" spans="1:13" ht="18" customHeight="1" x14ac:dyDescent="0.25">
      <c r="A5" s="43" t="s">
        <v>3</v>
      </c>
      <c r="B5" s="43"/>
      <c r="C5" s="45" t="s">
        <v>4</v>
      </c>
      <c r="D5" s="45"/>
      <c r="E5" s="45"/>
      <c r="F5" s="3"/>
      <c r="G5" s="4"/>
      <c r="H5" s="5"/>
    </row>
    <row r="6" spans="1:13" ht="16.5" customHeight="1" x14ac:dyDescent="0.25">
      <c r="A6" s="43" t="s">
        <v>5</v>
      </c>
      <c r="B6" s="43"/>
      <c r="C6" s="25">
        <v>2021</v>
      </c>
      <c r="D6" s="26"/>
      <c r="E6" s="26"/>
      <c r="F6" s="3"/>
      <c r="G6" s="4"/>
      <c r="H6" s="5"/>
    </row>
    <row r="7" spans="1:13" ht="16.5" customHeight="1" x14ac:dyDescent="0.25">
      <c r="A7" s="43" t="s">
        <v>6</v>
      </c>
      <c r="B7" s="43"/>
      <c r="C7" s="25">
        <v>1</v>
      </c>
      <c r="D7" s="26"/>
      <c r="E7" s="26"/>
      <c r="F7" s="3"/>
      <c r="G7" s="4"/>
      <c r="H7" s="5"/>
    </row>
    <row r="8" spans="1:13" ht="13.5" thickBot="1" x14ac:dyDescent="0.25">
      <c r="B8" s="3"/>
      <c r="C8" s="4"/>
      <c r="D8" s="3"/>
      <c r="E8" s="3"/>
      <c r="F8" s="3"/>
      <c r="G8" s="4"/>
      <c r="H8" s="5"/>
    </row>
    <row r="9" spans="1:13" ht="65.25" thickTop="1" thickBot="1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7" t="s">
        <v>14</v>
      </c>
      <c r="I9" s="7" t="s">
        <v>15</v>
      </c>
    </row>
    <row r="10" spans="1:13" ht="24.75" thickBot="1" x14ac:dyDescent="0.25">
      <c r="A10" s="42">
        <v>1</v>
      </c>
      <c r="B10" s="8" t="s">
        <v>16</v>
      </c>
      <c r="C10" s="9" t="s">
        <v>17</v>
      </c>
      <c r="D10" s="10" t="s">
        <v>92</v>
      </c>
      <c r="E10" s="9" t="s">
        <v>18</v>
      </c>
      <c r="F10" s="8" t="s">
        <v>19</v>
      </c>
      <c r="G10" s="8">
        <v>30</v>
      </c>
      <c r="H10" s="11">
        <v>215.4</v>
      </c>
      <c r="I10" s="12">
        <f>H10*G10</f>
        <v>6462</v>
      </c>
      <c r="L10" s="19"/>
      <c r="M10" s="19"/>
    </row>
    <row r="11" spans="1:13" ht="36.75" thickBot="1" x14ac:dyDescent="0.25">
      <c r="A11" s="42">
        <v>2</v>
      </c>
      <c r="B11" s="8" t="s">
        <v>20</v>
      </c>
      <c r="C11" s="9" t="s">
        <v>17</v>
      </c>
      <c r="D11" s="10" t="str">
        <f t="shared" ref="D11:D43" si="0">LEFT(B11,5)</f>
        <v>2.3.1</v>
      </c>
      <c r="E11" s="9" t="s">
        <v>21</v>
      </c>
      <c r="F11" s="8" t="s">
        <v>19</v>
      </c>
      <c r="G11" s="8">
        <v>734</v>
      </c>
      <c r="H11" s="11">
        <v>989</v>
      </c>
      <c r="I11" s="12">
        <f>H11*G11</f>
        <v>725926</v>
      </c>
      <c r="L11" s="19"/>
      <c r="M11" s="19"/>
    </row>
    <row r="12" spans="1:13" ht="24.75" thickBot="1" x14ac:dyDescent="0.25">
      <c r="A12" s="42">
        <v>3</v>
      </c>
      <c r="B12" s="8" t="s">
        <v>22</v>
      </c>
      <c r="C12" s="9" t="s">
        <v>17</v>
      </c>
      <c r="D12" s="10" t="str">
        <f t="shared" si="0"/>
        <v>2.9.2</v>
      </c>
      <c r="E12" s="9" t="s">
        <v>23</v>
      </c>
      <c r="F12" s="8" t="s">
        <v>19</v>
      </c>
      <c r="G12" s="8">
        <v>30</v>
      </c>
      <c r="H12" s="11">
        <v>61.2</v>
      </c>
      <c r="I12" s="12">
        <f t="shared" ref="I12:I43" si="1">H12*G12</f>
        <v>1836</v>
      </c>
    </row>
    <row r="13" spans="1:13" ht="24.75" thickBot="1" x14ac:dyDescent="0.25">
      <c r="A13" s="42">
        <v>4</v>
      </c>
      <c r="B13" s="8" t="s">
        <v>24</v>
      </c>
      <c r="C13" s="9" t="s">
        <v>17</v>
      </c>
      <c r="D13" s="10" t="str">
        <f t="shared" si="0"/>
        <v>2.9.2</v>
      </c>
      <c r="E13" s="9" t="s">
        <v>25</v>
      </c>
      <c r="F13" s="8" t="s">
        <v>19</v>
      </c>
      <c r="G13" s="8">
        <v>30</v>
      </c>
      <c r="H13" s="11">
        <v>61.2</v>
      </c>
      <c r="I13" s="12">
        <f t="shared" si="1"/>
        <v>1836</v>
      </c>
    </row>
    <row r="14" spans="1:13" ht="24.75" thickBot="1" x14ac:dyDescent="0.25">
      <c r="A14" s="42">
        <v>5</v>
      </c>
      <c r="B14" s="8" t="s">
        <v>26</v>
      </c>
      <c r="C14" s="9" t="s">
        <v>17</v>
      </c>
      <c r="D14" s="10" t="s">
        <v>92</v>
      </c>
      <c r="E14" s="9" t="s">
        <v>27</v>
      </c>
      <c r="F14" s="8" t="s">
        <v>19</v>
      </c>
      <c r="G14" s="8">
        <v>90</v>
      </c>
      <c r="H14" s="11">
        <v>350</v>
      </c>
      <c r="I14" s="12">
        <f t="shared" si="1"/>
        <v>31500</v>
      </c>
    </row>
    <row r="15" spans="1:13" ht="24.75" thickBot="1" x14ac:dyDescent="0.25">
      <c r="A15" s="42">
        <v>6</v>
      </c>
      <c r="B15" s="18" t="s">
        <v>28</v>
      </c>
      <c r="C15" s="9" t="s">
        <v>17</v>
      </c>
      <c r="D15" s="10" t="str">
        <f t="shared" si="0"/>
        <v>2.9.2</v>
      </c>
      <c r="E15" s="9" t="s">
        <v>86</v>
      </c>
      <c r="F15" s="8" t="s">
        <v>19</v>
      </c>
      <c r="G15" s="8">
        <v>250</v>
      </c>
      <c r="H15" s="11">
        <v>32.6</v>
      </c>
      <c r="I15" s="12">
        <f t="shared" si="1"/>
        <v>8150</v>
      </c>
    </row>
    <row r="16" spans="1:13" ht="24.75" thickBot="1" x14ac:dyDescent="0.25">
      <c r="A16" s="42">
        <v>7</v>
      </c>
      <c r="B16" s="8" t="s">
        <v>29</v>
      </c>
      <c r="C16" s="9" t="s">
        <v>17</v>
      </c>
      <c r="D16" s="10" t="str">
        <f t="shared" si="0"/>
        <v>2.9.2</v>
      </c>
      <c r="E16" s="9" t="s">
        <v>30</v>
      </c>
      <c r="F16" s="8" t="s">
        <v>19</v>
      </c>
      <c r="G16" s="8">
        <v>400</v>
      </c>
      <c r="H16" s="11">
        <v>32.6</v>
      </c>
      <c r="I16" s="12">
        <f t="shared" si="1"/>
        <v>13040</v>
      </c>
    </row>
    <row r="17" spans="1:9" ht="26.25" customHeight="1" thickBot="1" x14ac:dyDescent="0.25">
      <c r="A17" s="42">
        <v>8</v>
      </c>
      <c r="B17" s="8" t="s">
        <v>31</v>
      </c>
      <c r="C17" s="9" t="s">
        <v>17</v>
      </c>
      <c r="D17" s="10" t="str">
        <f t="shared" si="0"/>
        <v>2.9.2</v>
      </c>
      <c r="E17" s="9" t="s">
        <v>32</v>
      </c>
      <c r="F17" s="8" t="s">
        <v>19</v>
      </c>
      <c r="G17" s="8">
        <v>50</v>
      </c>
      <c r="H17" s="11">
        <v>213</v>
      </c>
      <c r="I17" s="12">
        <f t="shared" si="1"/>
        <v>10650</v>
      </c>
    </row>
    <row r="18" spans="1:9" ht="21" customHeight="1" thickBot="1" x14ac:dyDescent="0.25">
      <c r="A18" s="42">
        <v>9</v>
      </c>
      <c r="B18" s="8" t="s">
        <v>33</v>
      </c>
      <c r="C18" s="9" t="s">
        <v>17</v>
      </c>
      <c r="D18" s="10" t="str">
        <f t="shared" si="0"/>
        <v>2.9.2</v>
      </c>
      <c r="E18" s="9" t="s">
        <v>34</v>
      </c>
      <c r="F18" s="8" t="s">
        <v>19</v>
      </c>
      <c r="G18" s="8">
        <v>50</v>
      </c>
      <c r="H18" s="11">
        <v>103.35</v>
      </c>
      <c r="I18" s="12">
        <f t="shared" si="1"/>
        <v>5167.5</v>
      </c>
    </row>
    <row r="19" spans="1:9" ht="36" customHeight="1" thickBot="1" x14ac:dyDescent="0.25">
      <c r="A19" s="42">
        <v>10</v>
      </c>
      <c r="B19" s="8" t="s">
        <v>35</v>
      </c>
      <c r="C19" s="9" t="s">
        <v>17</v>
      </c>
      <c r="D19" s="10" t="str">
        <f t="shared" si="0"/>
        <v>2.9.2</v>
      </c>
      <c r="E19" s="9" t="s">
        <v>36</v>
      </c>
      <c r="F19" s="8" t="s">
        <v>19</v>
      </c>
      <c r="G19" s="8">
        <v>30</v>
      </c>
      <c r="H19" s="11">
        <v>2498</v>
      </c>
      <c r="I19" s="12">
        <f t="shared" si="1"/>
        <v>74940</v>
      </c>
    </row>
    <row r="20" spans="1:9" ht="23.25" customHeight="1" thickBot="1" x14ac:dyDescent="0.25">
      <c r="A20" s="42">
        <v>11</v>
      </c>
      <c r="B20" s="8" t="s">
        <v>37</v>
      </c>
      <c r="C20" s="9" t="s">
        <v>17</v>
      </c>
      <c r="D20" s="10" t="str">
        <f t="shared" si="0"/>
        <v>2.9.2</v>
      </c>
      <c r="E20" s="9" t="s">
        <v>38</v>
      </c>
      <c r="F20" s="8" t="s">
        <v>19</v>
      </c>
      <c r="G20" s="8">
        <v>40</v>
      </c>
      <c r="H20" s="11">
        <v>50.48</v>
      </c>
      <c r="I20" s="12">
        <f t="shared" si="1"/>
        <v>2019.1999999999998</v>
      </c>
    </row>
    <row r="21" spans="1:9" ht="24.75" thickBot="1" x14ac:dyDescent="0.25">
      <c r="A21" s="42">
        <v>12</v>
      </c>
      <c r="B21" s="8" t="s">
        <v>39</v>
      </c>
      <c r="C21" s="9" t="s">
        <v>17</v>
      </c>
      <c r="D21" s="10" t="str">
        <f t="shared" si="0"/>
        <v>2.9.2</v>
      </c>
      <c r="E21" s="9" t="s">
        <v>40</v>
      </c>
      <c r="F21" s="8" t="s">
        <v>19</v>
      </c>
      <c r="G21" s="8">
        <v>40</v>
      </c>
      <c r="H21" s="11">
        <v>105</v>
      </c>
      <c r="I21" s="12">
        <f t="shared" si="1"/>
        <v>4200</v>
      </c>
    </row>
    <row r="22" spans="1:9" ht="24.75" thickBot="1" x14ac:dyDescent="0.25">
      <c r="A22" s="42">
        <v>13</v>
      </c>
      <c r="B22" s="8" t="s">
        <v>41</v>
      </c>
      <c r="C22" s="9" t="s">
        <v>17</v>
      </c>
      <c r="D22" s="10" t="str">
        <f t="shared" si="0"/>
        <v>2.9.2</v>
      </c>
      <c r="E22" s="9" t="s">
        <v>42</v>
      </c>
      <c r="F22" s="8" t="s">
        <v>19</v>
      </c>
      <c r="G22" s="8">
        <v>40</v>
      </c>
      <c r="H22" s="11">
        <v>448</v>
      </c>
      <c r="I22" s="12">
        <f t="shared" si="1"/>
        <v>17920</v>
      </c>
    </row>
    <row r="23" spans="1:9" ht="24.75" thickBot="1" x14ac:dyDescent="0.25">
      <c r="A23" s="42">
        <v>14</v>
      </c>
      <c r="B23" s="8" t="s">
        <v>43</v>
      </c>
      <c r="C23" s="9" t="s">
        <v>17</v>
      </c>
      <c r="D23" s="10" t="str">
        <f t="shared" si="0"/>
        <v>2.9.2</v>
      </c>
      <c r="E23" s="9" t="s">
        <v>44</v>
      </c>
      <c r="F23" s="8" t="s">
        <v>19</v>
      </c>
      <c r="G23" s="8">
        <v>40</v>
      </c>
      <c r="H23" s="11">
        <v>133</v>
      </c>
      <c r="I23" s="12">
        <f t="shared" si="1"/>
        <v>5320</v>
      </c>
    </row>
    <row r="24" spans="1:9" ht="39" customHeight="1" thickBot="1" x14ac:dyDescent="0.25">
      <c r="A24" s="42">
        <v>15</v>
      </c>
      <c r="B24" s="8" t="s">
        <v>45</v>
      </c>
      <c r="C24" s="9" t="s">
        <v>17</v>
      </c>
      <c r="D24" s="10" t="str">
        <f t="shared" si="0"/>
        <v>2.9.2</v>
      </c>
      <c r="E24" s="9" t="s">
        <v>46</v>
      </c>
      <c r="F24" s="8" t="s">
        <v>19</v>
      </c>
      <c r="G24" s="8">
        <v>40</v>
      </c>
      <c r="H24" s="11">
        <v>144.30000000000001</v>
      </c>
      <c r="I24" s="12">
        <f t="shared" si="1"/>
        <v>5772</v>
      </c>
    </row>
    <row r="25" spans="1:9" ht="24.75" thickBot="1" x14ac:dyDescent="0.25">
      <c r="A25" s="42">
        <v>16</v>
      </c>
      <c r="B25" s="8" t="s">
        <v>47</v>
      </c>
      <c r="C25" s="9" t="s">
        <v>17</v>
      </c>
      <c r="D25" s="10" t="str">
        <f t="shared" si="0"/>
        <v>2.9.2</v>
      </c>
      <c r="E25" s="20" t="s">
        <v>48</v>
      </c>
      <c r="F25" s="8" t="s">
        <v>19</v>
      </c>
      <c r="G25" s="8">
        <v>100</v>
      </c>
      <c r="H25" s="11">
        <v>95</v>
      </c>
      <c r="I25" s="12">
        <f t="shared" si="1"/>
        <v>9500</v>
      </c>
    </row>
    <row r="26" spans="1:9" ht="24.75" thickBot="1" x14ac:dyDescent="0.25">
      <c r="A26" s="42">
        <v>17</v>
      </c>
      <c r="B26" s="8" t="s">
        <v>49</v>
      </c>
      <c r="C26" s="9" t="s">
        <v>17</v>
      </c>
      <c r="D26" s="10" t="str">
        <f t="shared" si="0"/>
        <v>2.9.2</v>
      </c>
      <c r="E26" s="9" t="s">
        <v>50</v>
      </c>
      <c r="F26" s="8" t="s">
        <v>19</v>
      </c>
      <c r="G26" s="8">
        <v>30</v>
      </c>
      <c r="H26" s="11">
        <v>181.25</v>
      </c>
      <c r="I26" s="12">
        <f t="shared" si="1"/>
        <v>5437.5</v>
      </c>
    </row>
    <row r="27" spans="1:9" ht="24.75" thickBot="1" x14ac:dyDescent="0.25">
      <c r="A27" s="42">
        <v>18</v>
      </c>
      <c r="B27" s="8" t="s">
        <v>51</v>
      </c>
      <c r="C27" s="9" t="s">
        <v>17</v>
      </c>
      <c r="D27" s="10" t="str">
        <f t="shared" si="0"/>
        <v>2.9.2</v>
      </c>
      <c r="E27" s="9" t="s">
        <v>52</v>
      </c>
      <c r="F27" s="8" t="s">
        <v>19</v>
      </c>
      <c r="G27" s="8">
        <v>30</v>
      </c>
      <c r="H27" s="11">
        <v>145</v>
      </c>
      <c r="I27" s="12">
        <f t="shared" si="1"/>
        <v>4350</v>
      </c>
    </row>
    <row r="28" spans="1:9" ht="36.75" thickBot="1" x14ac:dyDescent="0.25">
      <c r="A28" s="42">
        <v>19</v>
      </c>
      <c r="B28" s="8" t="s">
        <v>53</v>
      </c>
      <c r="C28" s="9" t="s">
        <v>17</v>
      </c>
      <c r="D28" s="10" t="str">
        <f t="shared" si="0"/>
        <v>2.3.1</v>
      </c>
      <c r="E28" s="9" t="s">
        <v>54</v>
      </c>
      <c r="F28" s="8" t="s">
        <v>19</v>
      </c>
      <c r="G28" s="8">
        <v>80</v>
      </c>
      <c r="H28" s="11">
        <v>401.3</v>
      </c>
      <c r="I28" s="12">
        <f t="shared" si="1"/>
        <v>32104</v>
      </c>
    </row>
    <row r="29" spans="1:9" ht="24.75" thickBot="1" x14ac:dyDescent="0.25">
      <c r="A29" s="42">
        <v>20</v>
      </c>
      <c r="B29" s="8" t="s">
        <v>55</v>
      </c>
      <c r="C29" s="9" t="s">
        <v>17</v>
      </c>
      <c r="D29" s="10" t="str">
        <f t="shared" si="0"/>
        <v>2.9.2</v>
      </c>
      <c r="E29" s="9" t="s">
        <v>56</v>
      </c>
      <c r="F29" s="8" t="s">
        <v>19</v>
      </c>
      <c r="G29" s="8">
        <v>15</v>
      </c>
      <c r="H29" s="11">
        <v>247.25</v>
      </c>
      <c r="I29" s="12">
        <f t="shared" si="1"/>
        <v>3708.75</v>
      </c>
    </row>
    <row r="30" spans="1:9" ht="24.75" thickBot="1" x14ac:dyDescent="0.25">
      <c r="A30" s="42">
        <v>21</v>
      </c>
      <c r="B30" s="8" t="s">
        <v>57</v>
      </c>
      <c r="C30" s="9" t="s">
        <v>17</v>
      </c>
      <c r="D30" s="10" t="str">
        <f t="shared" si="0"/>
        <v>2.9.2</v>
      </c>
      <c r="E30" s="9" t="s">
        <v>58</v>
      </c>
      <c r="F30" s="8" t="s">
        <v>19</v>
      </c>
      <c r="G30" s="8">
        <v>15</v>
      </c>
      <c r="H30" s="11">
        <v>180</v>
      </c>
      <c r="I30" s="12">
        <f t="shared" si="1"/>
        <v>2700</v>
      </c>
    </row>
    <row r="31" spans="1:9" ht="24.75" thickBot="1" x14ac:dyDescent="0.25">
      <c r="A31" s="42">
        <v>22</v>
      </c>
      <c r="B31" s="8" t="s">
        <v>59</v>
      </c>
      <c r="C31" s="9" t="s">
        <v>17</v>
      </c>
      <c r="D31" s="10" t="str">
        <f t="shared" si="0"/>
        <v>2.9.2</v>
      </c>
      <c r="E31" s="9" t="s">
        <v>60</v>
      </c>
      <c r="F31" s="8" t="s">
        <v>19</v>
      </c>
      <c r="G31" s="8">
        <v>40</v>
      </c>
      <c r="H31" s="11">
        <v>38.19</v>
      </c>
      <c r="I31" s="12">
        <f t="shared" si="1"/>
        <v>1527.6</v>
      </c>
    </row>
    <row r="32" spans="1:9" ht="24.75" thickBot="1" x14ac:dyDescent="0.25">
      <c r="A32" s="42">
        <v>23</v>
      </c>
      <c r="B32" s="8" t="s">
        <v>61</v>
      </c>
      <c r="C32" s="9" t="s">
        <v>17</v>
      </c>
      <c r="D32" s="10" t="str">
        <f t="shared" si="0"/>
        <v>2.9.2</v>
      </c>
      <c r="E32" s="21" t="s">
        <v>62</v>
      </c>
      <c r="F32" s="22" t="s">
        <v>19</v>
      </c>
      <c r="G32" s="22">
        <v>70</v>
      </c>
      <c r="H32" s="23">
        <v>61.2</v>
      </c>
      <c r="I32" s="24">
        <f t="shared" si="1"/>
        <v>4284</v>
      </c>
    </row>
    <row r="33" spans="1:9" ht="24.75" thickBot="1" x14ac:dyDescent="0.25">
      <c r="A33" s="42">
        <v>24</v>
      </c>
      <c r="B33" s="8" t="s">
        <v>63</v>
      </c>
      <c r="C33" s="9" t="s">
        <v>17</v>
      </c>
      <c r="D33" s="10" t="str">
        <f t="shared" si="0"/>
        <v>2.9.2</v>
      </c>
      <c r="E33" s="21" t="s">
        <v>64</v>
      </c>
      <c r="F33" s="22" t="s">
        <v>19</v>
      </c>
      <c r="G33" s="22">
        <v>70</v>
      </c>
      <c r="H33" s="23">
        <v>53.7</v>
      </c>
      <c r="I33" s="24">
        <f t="shared" si="1"/>
        <v>3759</v>
      </c>
    </row>
    <row r="34" spans="1:9" ht="24.75" thickBot="1" x14ac:dyDescent="0.25">
      <c r="A34" s="42">
        <v>25</v>
      </c>
      <c r="B34" s="8" t="s">
        <v>65</v>
      </c>
      <c r="C34" s="9" t="s">
        <v>17</v>
      </c>
      <c r="D34" s="10" t="str">
        <f t="shared" si="0"/>
        <v>2.9.2</v>
      </c>
      <c r="E34" s="9" t="s">
        <v>66</v>
      </c>
      <c r="F34" s="8" t="s">
        <v>19</v>
      </c>
      <c r="G34" s="8">
        <v>50</v>
      </c>
      <c r="H34" s="11">
        <v>467.25</v>
      </c>
      <c r="I34" s="12">
        <f t="shared" si="1"/>
        <v>23362.5</v>
      </c>
    </row>
    <row r="35" spans="1:9" ht="54" customHeight="1" thickBot="1" x14ac:dyDescent="0.25">
      <c r="A35" s="42">
        <v>26</v>
      </c>
      <c r="B35" s="8" t="s">
        <v>67</v>
      </c>
      <c r="C35" s="9" t="s">
        <v>17</v>
      </c>
      <c r="D35" s="10" t="str">
        <f t="shared" si="0"/>
        <v>2.3.1</v>
      </c>
      <c r="E35" s="9" t="s">
        <v>68</v>
      </c>
      <c r="F35" s="8" t="s">
        <v>19</v>
      </c>
      <c r="G35" s="8">
        <v>4</v>
      </c>
      <c r="H35" s="11">
        <v>1010</v>
      </c>
      <c r="I35" s="12">
        <f t="shared" si="1"/>
        <v>4040</v>
      </c>
    </row>
    <row r="36" spans="1:9" ht="24.75" thickBot="1" x14ac:dyDescent="0.25">
      <c r="A36" s="42">
        <v>27</v>
      </c>
      <c r="B36" s="8" t="s">
        <v>69</v>
      </c>
      <c r="C36" s="9" t="s">
        <v>17</v>
      </c>
      <c r="D36" s="10" t="str">
        <f t="shared" si="0"/>
        <v>2.3.1</v>
      </c>
      <c r="E36" s="9" t="s">
        <v>70</v>
      </c>
      <c r="F36" s="8" t="s">
        <v>19</v>
      </c>
      <c r="G36" s="8">
        <v>4</v>
      </c>
      <c r="H36" s="11">
        <v>1165.7</v>
      </c>
      <c r="I36" s="12">
        <f t="shared" si="1"/>
        <v>4662.8</v>
      </c>
    </row>
    <row r="37" spans="1:9" ht="24.75" thickBot="1" x14ac:dyDescent="0.25">
      <c r="A37" s="42">
        <v>28</v>
      </c>
      <c r="B37" s="8" t="s">
        <v>71</v>
      </c>
      <c r="C37" s="9" t="s">
        <v>17</v>
      </c>
      <c r="D37" s="10" t="str">
        <f t="shared" si="0"/>
        <v>2.9.2</v>
      </c>
      <c r="E37" s="9" t="s">
        <v>72</v>
      </c>
      <c r="F37" s="8" t="s">
        <v>19</v>
      </c>
      <c r="G37" s="8">
        <v>6</v>
      </c>
      <c r="H37" s="11">
        <v>365</v>
      </c>
      <c r="I37" s="12">
        <f t="shared" si="1"/>
        <v>2190</v>
      </c>
    </row>
    <row r="38" spans="1:9" ht="24.75" thickBot="1" x14ac:dyDescent="0.25">
      <c r="A38" s="42">
        <v>29</v>
      </c>
      <c r="B38" s="8" t="s">
        <v>73</v>
      </c>
      <c r="C38" s="9" t="s">
        <v>17</v>
      </c>
      <c r="D38" s="10" t="str">
        <f t="shared" si="0"/>
        <v>2.9.2</v>
      </c>
      <c r="E38" s="9" t="s">
        <v>74</v>
      </c>
      <c r="F38" s="8" t="s">
        <v>19</v>
      </c>
      <c r="G38" s="8">
        <v>40</v>
      </c>
      <c r="H38" s="11">
        <v>179</v>
      </c>
      <c r="I38" s="12">
        <f t="shared" si="1"/>
        <v>7160</v>
      </c>
    </row>
    <row r="39" spans="1:9" ht="24.75" thickBot="1" x14ac:dyDescent="0.25">
      <c r="A39" s="42">
        <v>30</v>
      </c>
      <c r="B39" s="8" t="s">
        <v>75</v>
      </c>
      <c r="C39" s="9" t="s">
        <v>17</v>
      </c>
      <c r="D39" s="10" t="str">
        <f t="shared" si="0"/>
        <v>2.3.1</v>
      </c>
      <c r="E39" s="9" t="s">
        <v>76</v>
      </c>
      <c r="F39" s="8" t="s">
        <v>19</v>
      </c>
      <c r="G39" s="8">
        <v>15</v>
      </c>
      <c r="H39" s="11">
        <v>390</v>
      </c>
      <c r="I39" s="12">
        <f t="shared" si="1"/>
        <v>5850</v>
      </c>
    </row>
    <row r="40" spans="1:9" ht="24.75" thickBot="1" x14ac:dyDescent="0.25">
      <c r="A40" s="42">
        <v>31</v>
      </c>
      <c r="B40" s="8" t="s">
        <v>77</v>
      </c>
      <c r="C40" s="9" t="s">
        <v>17</v>
      </c>
      <c r="D40" s="10" t="str">
        <f t="shared" si="0"/>
        <v>2.9.2</v>
      </c>
      <c r="E40" s="9" t="s">
        <v>78</v>
      </c>
      <c r="F40" s="8" t="s">
        <v>19</v>
      </c>
      <c r="G40" s="8">
        <v>30</v>
      </c>
      <c r="H40" s="11">
        <v>113.2</v>
      </c>
      <c r="I40" s="12">
        <f t="shared" si="1"/>
        <v>3396</v>
      </c>
    </row>
    <row r="41" spans="1:9" ht="24.75" thickBot="1" x14ac:dyDescent="0.25">
      <c r="A41" s="42">
        <v>32</v>
      </c>
      <c r="B41" s="8" t="s">
        <v>79</v>
      </c>
      <c r="C41" s="9" t="s">
        <v>17</v>
      </c>
      <c r="D41" s="10" t="str">
        <f t="shared" si="0"/>
        <v>2.9.2</v>
      </c>
      <c r="E41" s="9" t="s">
        <v>80</v>
      </c>
      <c r="F41" s="8" t="s">
        <v>19</v>
      </c>
      <c r="G41" s="8">
        <v>1</v>
      </c>
      <c r="H41" s="11">
        <v>30.5</v>
      </c>
      <c r="I41" s="12">
        <f t="shared" si="1"/>
        <v>30.5</v>
      </c>
    </row>
    <row r="42" spans="1:9" ht="36.75" thickBot="1" x14ac:dyDescent="0.25">
      <c r="A42" s="42">
        <v>33</v>
      </c>
      <c r="B42" s="8" t="s">
        <v>81</v>
      </c>
      <c r="C42" s="9" t="s">
        <v>17</v>
      </c>
      <c r="D42" s="10" t="str">
        <f t="shared" si="0"/>
        <v>2.3.1</v>
      </c>
      <c r="E42" s="9" t="s">
        <v>82</v>
      </c>
      <c r="F42" s="8" t="s">
        <v>19</v>
      </c>
      <c r="G42" s="8">
        <v>35</v>
      </c>
      <c r="H42" s="11">
        <v>170</v>
      </c>
      <c r="I42" s="12">
        <f t="shared" si="1"/>
        <v>5950</v>
      </c>
    </row>
    <row r="43" spans="1:9" ht="24" x14ac:dyDescent="0.2">
      <c r="A43" s="42">
        <v>34</v>
      </c>
      <c r="B43" s="8" t="s">
        <v>83</v>
      </c>
      <c r="C43" s="9" t="s">
        <v>17</v>
      </c>
      <c r="D43" s="10" t="str">
        <f t="shared" si="0"/>
        <v>2.9.2</v>
      </c>
      <c r="E43" s="9" t="s">
        <v>84</v>
      </c>
      <c r="F43" s="8" t="s">
        <v>19</v>
      </c>
      <c r="G43" s="8">
        <v>400</v>
      </c>
      <c r="H43" s="11">
        <v>87.5</v>
      </c>
      <c r="I43" s="12">
        <f t="shared" si="1"/>
        <v>35000</v>
      </c>
    </row>
    <row r="44" spans="1:9" ht="15" x14ac:dyDescent="0.25">
      <c r="A44" s="13"/>
      <c r="B44" s="14"/>
      <c r="C44" s="15"/>
      <c r="D44" s="14"/>
      <c r="E44" s="15" t="s">
        <v>85</v>
      </c>
      <c r="F44" s="14"/>
      <c r="G44" s="14"/>
      <c r="H44" s="16"/>
      <c r="I44" s="17">
        <f>SUM(I10:I43)</f>
        <v>1073751.3500000001</v>
      </c>
    </row>
    <row r="45" spans="1:9" ht="13.5" thickBot="1" x14ac:dyDescent="0.25"/>
    <row r="46" spans="1:9" x14ac:dyDescent="0.2">
      <c r="A46" s="2"/>
      <c r="B46" s="27" t="s">
        <v>94</v>
      </c>
      <c r="C46" s="28"/>
      <c r="D46" s="28"/>
      <c r="E46" s="29"/>
      <c r="F46" s="2"/>
      <c r="G46" s="2"/>
    </row>
    <row r="47" spans="1:9" x14ac:dyDescent="0.2">
      <c r="A47" s="2"/>
      <c r="B47" s="30"/>
      <c r="C47" s="31"/>
      <c r="D47" s="31"/>
      <c r="E47" s="32"/>
      <c r="F47" s="2"/>
      <c r="G47" s="2"/>
    </row>
    <row r="48" spans="1:9" x14ac:dyDescent="0.2">
      <c r="A48" s="2"/>
      <c r="B48" s="33" t="s">
        <v>95</v>
      </c>
      <c r="C48" s="31"/>
      <c r="D48" s="31"/>
      <c r="E48" s="32"/>
      <c r="F48" s="2"/>
      <c r="G48" s="2"/>
    </row>
    <row r="49" spans="1:9" ht="66" customHeight="1" x14ac:dyDescent="0.2">
      <c r="A49" s="2"/>
      <c r="B49" s="33"/>
      <c r="C49" s="47" t="s">
        <v>91</v>
      </c>
      <c r="D49" s="47"/>
      <c r="E49" s="48"/>
      <c r="F49" s="2"/>
      <c r="G49" s="2"/>
    </row>
    <row r="50" spans="1:9" x14ac:dyDescent="0.2">
      <c r="A50" s="2"/>
      <c r="B50" s="33" t="s">
        <v>87</v>
      </c>
      <c r="C50" s="31"/>
      <c r="D50" s="31"/>
      <c r="E50" s="32"/>
      <c r="F50" s="2"/>
      <c r="G50" s="2"/>
    </row>
    <row r="51" spans="1:9" ht="28.5" customHeight="1" x14ac:dyDescent="0.2">
      <c r="A51" s="2"/>
      <c r="B51" s="34"/>
      <c r="C51" s="49"/>
      <c r="D51" s="49"/>
      <c r="E51" s="50"/>
      <c r="F51" s="2"/>
      <c r="G51" s="2"/>
    </row>
    <row r="52" spans="1:9" x14ac:dyDescent="0.2">
      <c r="A52" s="2"/>
      <c r="B52" s="34"/>
      <c r="C52" s="46"/>
      <c r="D52" s="46"/>
      <c r="E52" s="46"/>
      <c r="F52" s="2"/>
      <c r="G52" s="2"/>
    </row>
    <row r="53" spans="1:9" x14ac:dyDescent="0.2">
      <c r="A53" s="2"/>
      <c r="B53" s="33" t="s">
        <v>88</v>
      </c>
      <c r="C53" s="31"/>
      <c r="D53" s="31"/>
      <c r="E53" s="32"/>
      <c r="F53" s="2"/>
      <c r="G53" s="2"/>
    </row>
    <row r="54" spans="1:9" x14ac:dyDescent="0.2">
      <c r="A54" s="2"/>
      <c r="B54" s="34"/>
      <c r="C54" s="51"/>
      <c r="D54" s="51"/>
      <c r="E54" s="52"/>
      <c r="F54" s="2"/>
      <c r="G54" s="2"/>
    </row>
    <row r="55" spans="1:9" x14ac:dyDescent="0.2">
      <c r="A55" s="2"/>
      <c r="B55" s="33" t="s">
        <v>89</v>
      </c>
      <c r="C55" s="35"/>
      <c r="D55" s="35"/>
      <c r="E55" s="36"/>
      <c r="F55" s="2"/>
      <c r="G55" s="2"/>
    </row>
    <row r="56" spans="1:9" x14ac:dyDescent="0.2">
      <c r="A56" s="2"/>
      <c r="B56" s="34"/>
      <c r="C56" s="50"/>
      <c r="D56" s="50"/>
      <c r="E56" s="50"/>
      <c r="F56" s="2"/>
      <c r="G56" s="2"/>
    </row>
    <row r="57" spans="1:9" x14ac:dyDescent="0.2">
      <c r="A57" s="2"/>
      <c r="B57" s="33" t="s">
        <v>90</v>
      </c>
      <c r="C57" s="31"/>
      <c r="D57" s="31"/>
      <c r="E57" s="32"/>
      <c r="F57" s="2"/>
      <c r="G57" s="2"/>
      <c r="I57" s="1"/>
    </row>
    <row r="58" spans="1:9" x14ac:dyDescent="0.2">
      <c r="A58" s="2"/>
      <c r="B58" s="33"/>
      <c r="C58" s="46"/>
      <c r="D58" s="46"/>
      <c r="E58" s="46"/>
      <c r="F58" s="2"/>
      <c r="G58" s="2"/>
      <c r="I58" s="1"/>
    </row>
    <row r="59" spans="1:9" ht="13.5" thickBot="1" x14ac:dyDescent="0.25">
      <c r="A59" s="2"/>
      <c r="B59" s="37"/>
      <c r="C59" s="38"/>
      <c r="D59" s="38"/>
      <c r="E59" s="39"/>
      <c r="F59" s="2"/>
      <c r="G59" s="2"/>
      <c r="I59" s="1"/>
    </row>
    <row r="60" spans="1:9" x14ac:dyDescent="0.2">
      <c r="A60" s="2"/>
      <c r="B60" s="2"/>
      <c r="C60" s="2"/>
      <c r="D60" s="2"/>
      <c r="E60" s="2"/>
      <c r="F60" s="2"/>
      <c r="G60" s="2"/>
    </row>
    <row r="61" spans="1:9" ht="16.5" x14ac:dyDescent="0.25">
      <c r="A61" s="2"/>
      <c r="B61" s="40" t="s">
        <v>93</v>
      </c>
      <c r="C61" s="41"/>
      <c r="D61" s="41"/>
      <c r="E61" s="41"/>
      <c r="F61" s="41"/>
      <c r="G61" s="41"/>
      <c r="I61" s="1"/>
    </row>
  </sheetData>
  <mergeCells count="13">
    <mergeCell ref="C58:E58"/>
    <mergeCell ref="C49:E49"/>
    <mergeCell ref="C51:E51"/>
    <mergeCell ref="C52:E52"/>
    <mergeCell ref="C54:E54"/>
    <mergeCell ref="C56:E56"/>
    <mergeCell ref="A7:B7"/>
    <mergeCell ref="B2:H2"/>
    <mergeCell ref="A4:B4"/>
    <mergeCell ref="C4:E4"/>
    <mergeCell ref="A5:B5"/>
    <mergeCell ref="C5:E5"/>
    <mergeCell ref="A6:B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lastPrinted>2020-10-19T17:42:17Z</cp:lastPrinted>
  <dcterms:created xsi:type="dcterms:W3CDTF">2020-10-08T16:26:20Z</dcterms:created>
  <dcterms:modified xsi:type="dcterms:W3CDTF">2021-08-11T12:27:26Z</dcterms:modified>
</cp:coreProperties>
</file>