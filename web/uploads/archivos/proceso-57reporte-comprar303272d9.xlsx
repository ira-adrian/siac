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C323EF5-6433-40DC-BC70-A5FD43AF50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</calcChain>
</file>

<file path=xl/sharedStrings.xml><?xml version="1.0" encoding="utf-8"?>
<sst xmlns="http://schemas.openxmlformats.org/spreadsheetml/2006/main" count="41" uniqueCount="31">
  <si>
    <t>Número expediente:</t>
  </si>
  <si>
    <t>EX-2022-00795201-   -CAT-DPCBS#MEC</t>
  </si>
  <si>
    <t>Número proceso de compra:</t>
  </si>
  <si>
    <t>100-0083-CDI22</t>
  </si>
  <si>
    <t>Nombre descriptivo proceso de compra:</t>
  </si>
  <si>
    <t>Adquisición de una Mesa de Anestesia destinado a Servicio de Quirófano Central del Hospital San Juan</t>
  </si>
  <si>
    <t>Unidad Operativa de Compras:</t>
  </si>
  <si>
    <t>Secretaria de Compras y Abastecimiento</t>
  </si>
  <si>
    <t>Fecha de Apertura:</t>
  </si>
  <si>
    <t>23/05/2022</t>
  </si>
  <si>
    <t>Renglón</t>
  </si>
  <si>
    <t>DRAGER ARGENTINA SA</t>
  </si>
  <si>
    <t xml:space="preserve">JAEJ S.A. 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</si>
  <si>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</si>
  <si>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</si>
  <si>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</si>
  <si>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</si>
  <si>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</si>
  <si>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</si>
  <si>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</si>
  <si>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</si>
  <si>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</si>
  <si>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</si>
  <si>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4.3.3-7109.6 </t>
  </si>
  <si>
    <t xml:space="preserve">MESAS DE ANESTESIA; MATERIAL: PLASTICO ABS Y ALUMINIO, DIMENSION: 91 
X 144 X 77 CM, ESCALA O2: 0,02 A 10 
L/MIN,  ESCALA AIRE: 0,2 A 12 L/MIN </t>
  </si>
  <si>
    <t xml:space="preserve">UNIDAD </t>
  </si>
  <si>
    <t xml:space="preserve">Mesa de Anestesia (adjuntamos Anmat- Folleto- especificaciones tecnicas) </t>
  </si>
  <si>
    <t xml:space="preserve">Marca: GE HEALTHCARE Modelo: Carestation™ 620 Origen: China Certificado de 
inscripción en ANMAT PM 342-135  Plazo de entrega: 20 
Días hábiles a partir de Perfeccionamiento del documento contractual, según 
pliego. </t>
  </si>
  <si>
    <t xml:space="preserve">2 </t>
  </si>
  <si>
    <t xml:space="preserve">Marca: GE Healthcare (Datex Ohmeda) Modelo: 9100C NXT Origen: China 
Certificado de inscripción en ANMAT PM 342-104  Plazo de 
entrega: 20 Días hábiles a partir de Perfeccionamiento del documento 
contractual, según pliego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</si>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</sst>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68.5703125" customWidth="1"/>
    <col min="5" max="5" width="90.855468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5.140625" customWidth="1"/>
    <col min="11" max="11" width="14.28515625" customWidth="1"/>
    <col min="12" max="12" width="17.28515625" customWidth="1"/>
    <col min="13" max="13" width="16.5703125" customWidth="1"/>
    <col min="14" max="14" width="69.855468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90" x14ac:dyDescent="0.25">
      <c r="A10" t="s">
        <v>22</v>
      </c>
      <c r="B10" t="s">
        <v>22</v>
      </c>
      <c r="C10" t="s">
        <v>23</v>
      </c>
      <c r="D10" s="4" t="s">
        <v>24</v>
      </c>
      <c r="E10">
        <v>1</v>
      </c>
      <c r="F10" t="s">
        <v>25</v>
      </c>
      <c r="G10" s="3">
        <v>2837552.85</v>
      </c>
      <c r="H10" s="3">
        <v>1</v>
      </c>
      <c r="I10" s="5">
        <v>2837552.85</v>
      </c>
      <c r="J10" t="s">
        <v>26</v>
      </c>
      <c r="K10" s="3">
        <v>4705838.71</v>
      </c>
      <c r="L10" s="3">
        <v>1</v>
      </c>
      <c r="M10" s="5">
        <v>4705838.71</v>
      </c>
      <c r="N10" s="4" t="s">
        <v>27</v>
      </c>
    </row>
    <row r="11" spans="1:14" ht="60" x14ac:dyDescent="0.25">
      <c r="A11" t="s">
        <v>22</v>
      </c>
      <c r="B11" t="s">
        <v>28</v>
      </c>
      <c r="C11" t="s">
        <v>23</v>
      </c>
      <c r="D11" s="4" t="s">
        <v>24</v>
      </c>
      <c r="E11">
        <v>1</v>
      </c>
      <c r="F11" t="s">
        <v>25</v>
      </c>
      <c r="G11" s="3"/>
      <c r="H11" s="3"/>
      <c r="I11" s="5"/>
      <c r="K11" s="3">
        <v>3412681.73</v>
      </c>
      <c r="L11" s="3">
        <v>1</v>
      </c>
      <c r="M11" s="5">
        <v>3412681.73</v>
      </c>
      <c r="N11" s="4" t="s">
        <v>29</v>
      </c>
    </row>
    <row r="12" spans="1:14" x14ac:dyDescent="0.25">
      <c r="C12" t="s">
        <v>30</v>
      </c>
      <c r="D12" s="4"/>
      <c r="G12" s="3"/>
      <c r="H12" s="3"/>
      <c r="I12" s="5">
        <f>SUBTOTAL(109,Table2[Total por renglón])</f>
        <v>2837552.85</v>
      </c>
      <c r="K12" s="3"/>
      <c r="L12" s="3"/>
      <c r="M12" s="5">
        <f>SUBTOTAL(109,Table3[Total por renglón])</f>
        <v>8118520.4399999995</v>
      </c>
      <c r="N12" s="4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2022-06-08T14:51:02Z</dcterms:created>
  <dcterms:modified xsi:type="dcterms:W3CDTF">2022-06-08T14:51:41Z</dcterms:modified>
</cp:coreProperties>
</file>