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NotaPedido!$A$1:$K$45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1" i="1"/>
  <c r="I26" i="1"/>
  <c r="I10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0" i="1"/>
  <c r="I19" i="1"/>
  <c r="I18" i="1"/>
  <c r="I17" i="1"/>
  <c r="I16" i="1"/>
  <c r="I15" i="1"/>
  <c r="I14" i="1"/>
  <c r="I13" i="1"/>
  <c r="I12" i="1"/>
  <c r="I11" i="1"/>
  <c r="J45" i="2" l="1"/>
  <c r="G6" i="3" l="1"/>
  <c r="G7" i="3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<sst xmlns="http://schemas.openxmlformats.org/spreadsheetml/2006/main" count="247" uniqueCount="112">
  <si>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</si>
  <si>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</si>
  <si>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</si>
  <si>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</si>
  <si>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</si>
  <si>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</si>
  <si>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</si>
  <si>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</si>
  <si>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</si>
  <si>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</si>
  <si>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</si>
  <si>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</si>
  <si>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</si>
  <si>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</si>
  <si>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</si>
  <si>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</si>
  <si>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</si>
  <si>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</si>
  <si>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</si>
  <si>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</si>
  <si>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</si>
  <si>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</si>
  <si>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</si>
  <si>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</si>
  <si>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</si>
  <si>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</si>
  <si>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</si>
  <si>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</si>
  <si>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</si>
  <si>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</si>
  <si>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</si>
  <si>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</si>
  <si>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</si>
  <si>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</si>
  <si>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</si>
  <si>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</si>
  <si>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</si>
  <si>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</si>
  <si>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</si>
  <si>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</si>
  <si>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</si>
  <si>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</si>
  <si>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</si>
  <si>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</si>
  <si>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</si>
  <si>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</si>
  <si>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</si>
  <si>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</si>
  <si>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</si>
  <si>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</si>
  <si>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</si>
  <si>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</si>
  <si>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</si>
  <si>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</si>
  <si>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</si>
  <si>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</si>
  <si>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</si>
  <si>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</si>
  <si>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</si>
  <si>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</si>
  <si>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</si>
  <si>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 xml:space="preserve">45 dias habiles </t>
  </si>
  <si>
    <t>3.1</t>
  </si>
  <si>
    <t>1.1</t>
  </si>
  <si>
    <t>Utiles Menores Med. Quir. y de Lab.</t>
  </si>
  <si>
    <t xml:space="preserve">Adquisición de Descartables Complejos </t>
  </si>
  <si>
    <t>012 - 2022</t>
  </si>
  <si>
    <t>CANASTILLA DE DORMIA tipo FUJIFILM MEDWORCK 2,8 MM</t>
  </si>
  <si>
    <t>CATETER DOBLE J 4.8 FRENCH X 46 CM TIPO COOK</t>
  </si>
  <si>
    <t>CATETER DOBLE J 7 FRENCH X 46 CM TIPO COOK</t>
  </si>
  <si>
    <t>CATETER FOGARTY Nº 4</t>
  </si>
  <si>
    <t>CATETER FOGARTY Nº 5</t>
  </si>
  <si>
    <t>CATETER P/HEMODIALISIS DOBLE LUMEN SUBCLAVIA P/HEMODIALISIS 12FR.X 20CM</t>
  </si>
  <si>
    <t>CATETER PORT-A-CATH</t>
  </si>
  <si>
    <t>CERA P/HUESOS 2,5 GR. ESTERIL X 1</t>
  </si>
  <si>
    <t>CLAVO DE KISHNER Nº 4 x 25 CM (CLAVIJAS)</t>
  </si>
  <si>
    <t>CLAVO DE KISHNER Nº 5 x 25 CM (CLAVIJAS)</t>
  </si>
  <si>
    <t>DRENAJE DE SILICONA ESTERIL TIPO DRENAJE BLAKE 15 FR ADULTO</t>
  </si>
  <si>
    <t>ESPONJA GELATINOSA ABSORBIBLE TIPO SPONGOSTAN 80 X 50 X 10 MM SOBRE</t>
  </si>
  <si>
    <t>FILTRO PARA HEMODIALISIS 1,9 m2 HF</t>
  </si>
  <si>
    <t>FILTRO PARA HEMODIALISIS 1.7 m2 HF</t>
  </si>
  <si>
    <t>FRASCO PARA DRENAJE TORACICO x 2500 ML</t>
  </si>
  <si>
    <t>FRASCO PARA DRENAJE TORACICO x 750 ML</t>
  </si>
  <si>
    <t>GUIA ARTERIAL CON GUIA HEPARINA Y TRANSDUCTOR DE PRESION P 0.8 TIPO NIPRO</t>
  </si>
  <si>
    <t>GUIA VENOSA Y TRANSDUCTOR DE PRESION P 0.8 TIPO NIPRO</t>
  </si>
  <si>
    <t>HEMOSUCTOR  X 800 ML</t>
  </si>
  <si>
    <t>LIGACLIP LT 300 TIPO ETHICON</t>
  </si>
  <si>
    <t>LIGACLIP LT 400 TIPO ETHICON</t>
  </si>
  <si>
    <t xml:space="preserve">MALLA QUIRURGICA SINTETICA NO ABSORBIBLE 30 X 30 TIPO PROLENE </t>
  </si>
  <si>
    <t>SET DE NEFROSTOMIA 16 FRENCH TIPO COOK</t>
  </si>
  <si>
    <t>SONDA FOLEY TRIPLE VIA HEMATURICA Nº 20</t>
  </si>
  <si>
    <t>SONDA FOLEY TRIPLE VIA HEMATURICA Nº 22</t>
  </si>
  <si>
    <t>SONDA FOLEY TRIPLE VIA HEMATURICA Nº18</t>
  </si>
  <si>
    <t xml:space="preserve">SONDA PARA DRENAJE TORACICO SILICONADO 150/28 TIPO SILMAG </t>
  </si>
  <si>
    <t xml:space="preserve">SONDA PARA DRENAJE TORACICO SILICONADO 150/40 TIPO SILMAG </t>
  </si>
  <si>
    <t>SONDA PARA NUTRICION ENTERAL TIPO K108 DE RIVERO</t>
  </si>
  <si>
    <t>SURGICEL 7 x 5 CM SOBRE</t>
  </si>
  <si>
    <t xml:space="preserve">BOLSA  SIMPLE DE TRANSFERENCIA VACIA X 400 ML </t>
  </si>
  <si>
    <t>FILTRO POLISULFONA TIPO DIASAFE PLUS FRESENIUS PARA MAQUINA MODELO 4008S</t>
  </si>
  <si>
    <t xml:space="preserve">CLAVO KISCHNER N °3,5 X 25 MM </t>
  </si>
  <si>
    <t>2.9.5</t>
  </si>
  <si>
    <t>UNIDAD</t>
  </si>
  <si>
    <t>Especificidades Item N°: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</si>
  <si>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</si>
  <si>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</si>
  <si>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 xml:space="preserve">PLAZO DE ENTREGA: 15 DIAS HABILES - SERVICIO DE FARMACIA - ADVA. ILLIA Y MARIANO MORENO - DE LUNES A VIERNES DE 08:00 A 11:00 HORAS </t>
  </si>
  <si>
    <t xml:space="preserve">15 dias habiles  - Servicio de Farmacia del HISJB - Avda. Illia y Mariano Moreno de lunes a viernes de 08 a 11 horas </t>
  </si>
  <si>
    <t>Costo total estimado: OCHO MILLONES OCHOCIENTOS DOCE MIL SETECIENTOS CUARENTA Y CUATRO CON 79/100.---</t>
  </si>
  <si>
    <t>TOTAL DE PESOS: OCHO MILLONES OCHOCIENTOS DOCE MIL SETECIENTOS CUARENTA Y CUATRO CON 79/100.---</t>
  </si>
  <si>
    <t>2.5.2</t>
  </si>
  <si>
    <t xml:space="preserve">6 meses </t>
  </si>
  <si>
    <t xml:space="preserve">Productos Farm. Y Medicinales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</si>
</sst>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5" fillId="6" borderId="14" xfId="0" applyFont="1" applyFill="1" applyBorder="1" applyAlignment="1">
      <alignment vertical="center"/>
    </xf>
    <xf numFmtId="0" fontId="14" fillId="5" borderId="14" xfId="0" applyFont="1" applyFill="1" applyBorder="1" applyAlignment="1">
      <alignment horizontal="center" vertical="center"/>
    </xf>
    <xf numFmtId="3" fontId="14" fillId="5" borderId="14" xfId="0" applyNumberFormat="1" applyFont="1" applyFill="1" applyBorder="1" applyAlignment="1">
      <alignment horizontal="center" vertical="center"/>
    </xf>
    <xf numFmtId="44" fontId="14" fillId="5" borderId="14" xfId="1" applyNumberFormat="1" applyFont="1" applyFill="1" applyBorder="1" applyAlignment="1">
      <alignment horizontal="center"/>
    </xf>
    <xf numFmtId="0" fontId="25" fillId="6" borderId="14" xfId="0" applyFont="1" applyFill="1" applyBorder="1" applyAlignment="1">
      <alignment horizontal="left" vertical="center" wrapText="1"/>
    </xf>
    <xf numFmtId="0" fontId="25" fillId="6" borderId="14" xfId="0" applyFont="1" applyFill="1" applyBorder="1" applyAlignment="1">
      <alignment horizontal="left" vertical="center"/>
    </xf>
    <xf numFmtId="0" fontId="0" fillId="5" borderId="14" xfId="0" applyFont="1" applyFill="1" applyBorder="1" applyAlignment="1">
      <alignment horizontal="center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0" fontId="26" fillId="5" borderId="14" xfId="0" applyFont="1" applyFill="1" applyBorder="1" applyAlignment="1"/>
    <xf numFmtId="166" fontId="13" fillId="5" borderId="44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21" fillId="7" borderId="20" xfId="0" applyFont="1" applyFill="1" applyBorder="1" applyAlignment="1">
      <alignment horizontal="center" vertical="center" wrapText="1"/>
    </xf>
    <xf numFmtId="0" fontId="21" fillId="7" borderId="48" xfId="0" applyFont="1" applyFill="1" applyBorder="1" applyAlignment="1">
      <alignment horizontal="center" vertical="center" wrapText="1"/>
    </xf>
    <xf numFmtId="0" fontId="21" fillId="7" borderId="21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/>
    </xf>
    <xf numFmtId="0" fontId="15" fillId="7" borderId="48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7" fontId="7" fillId="5" borderId="14" xfId="0" applyNumberFormat="1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5" borderId="44" xfId="0" applyFont="1" applyFill="1" applyBorder="1" applyAlignment="1">
      <alignment horizontal="left" vertical="center" wrapText="1"/>
    </xf>
    <xf numFmtId="0" fontId="0" fillId="0" borderId="22" xfId="0" applyBorder="1"/>
    <xf numFmtId="0" fontId="21" fillId="5" borderId="14" xfId="0" applyFont="1" applyFill="1" applyBorder="1" applyAlignment="1">
      <alignment horizontal="center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1"/>
  <sheetViews>
    <sheetView topLeftCell="A4" zoomScale="85" zoomScaleNormal="85" workbookViewId="0">
      <selection activeCell="E31" sqref="E31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6384" width="11" style="38"/>
  </cols>
  <sheetData>
    <row r="2" spans="1:9" ht="27" x14ac:dyDescent="0.35">
      <c r="B2" s="86" t="s">
        <v>0</v>
      </c>
      <c r="C2" s="86"/>
      <c r="D2" s="86"/>
      <c r="E2" s="86"/>
      <c r="F2" s="86"/>
      <c r="G2" s="86"/>
      <c r="H2" s="86"/>
    </row>
    <row r="4" spans="1:9" ht="18" customHeight="1" x14ac:dyDescent="0.25">
      <c r="A4" s="87" t="s">
        <v>1</v>
      </c>
      <c r="B4" s="87"/>
      <c r="C4" s="88" t="s">
        <v>57</v>
      </c>
      <c r="D4" s="88"/>
      <c r="E4" s="88"/>
      <c r="F4" s="39"/>
      <c r="G4" s="40"/>
      <c r="H4" s="39"/>
    </row>
    <row r="5" spans="1:9" ht="18" customHeight="1" x14ac:dyDescent="0.25">
      <c r="A5" s="87" t="s">
        <v>2</v>
      </c>
      <c r="B5" s="87"/>
      <c r="C5" s="88" t="s">
        <v>58</v>
      </c>
      <c r="D5" s="88"/>
      <c r="E5" s="88"/>
      <c r="F5" s="39"/>
      <c r="G5" s="40"/>
      <c r="H5" s="39"/>
    </row>
    <row r="6" spans="1:9" ht="16.5" customHeight="1" x14ac:dyDescent="0.25">
      <c r="A6" s="87" t="s">
        <v>3</v>
      </c>
      <c r="B6" s="87"/>
      <c r="C6" s="60">
        <v>2022</v>
      </c>
      <c r="D6" s="61"/>
      <c r="E6" s="61"/>
      <c r="F6" s="39"/>
      <c r="G6" s="40"/>
      <c r="H6" s="39"/>
    </row>
    <row r="7" spans="1:9" ht="16.5" customHeight="1" x14ac:dyDescent="0.25">
      <c r="A7" s="87" t="s">
        <v>4</v>
      </c>
      <c r="B7" s="87"/>
      <c r="C7" s="60">
        <v>1</v>
      </c>
      <c r="D7" s="61"/>
      <c r="E7" s="61"/>
      <c r="F7" s="39"/>
      <c r="G7" s="40"/>
      <c r="H7" s="39"/>
    </row>
    <row r="8" spans="1:9" ht="13.5" thickBot="1" x14ac:dyDescent="0.25">
      <c r="B8" s="39"/>
      <c r="C8" s="40"/>
      <c r="D8" s="39"/>
      <c r="E8" s="39"/>
      <c r="F8" s="39"/>
      <c r="G8" s="40"/>
      <c r="H8" s="39"/>
    </row>
    <row r="9" spans="1:9" ht="39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9</v>
      </c>
      <c r="F9" s="54" t="s">
        <v>10</v>
      </c>
      <c r="G9" s="54" t="s">
        <v>11</v>
      </c>
      <c r="H9" s="54" t="s">
        <v>12</v>
      </c>
      <c r="I9" s="54" t="s">
        <v>13</v>
      </c>
    </row>
    <row r="10" spans="1:9" ht="31.9" customHeight="1" thickBot="1" x14ac:dyDescent="0.25">
      <c r="A10" s="55">
        <v>1</v>
      </c>
      <c r="B10" s="58"/>
      <c r="C10" s="56" t="s">
        <v>64</v>
      </c>
      <c r="D10" s="57" t="s">
        <v>100</v>
      </c>
      <c r="E10" s="76" t="s">
        <v>97</v>
      </c>
      <c r="F10" s="58" t="s">
        <v>101</v>
      </c>
      <c r="G10" s="82">
        <v>600</v>
      </c>
      <c r="H10" s="83">
        <v>237.57</v>
      </c>
      <c r="I10" s="59">
        <f t="shared" ref="I10:I42" si="0">G10*H10</f>
        <v>142542</v>
      </c>
    </row>
    <row r="11" spans="1:9" ht="31.9" customHeight="1" thickBot="1" x14ac:dyDescent="0.25">
      <c r="A11" s="55">
        <v>2</v>
      </c>
      <c r="B11" s="58"/>
      <c r="C11" s="56" t="s">
        <v>64</v>
      </c>
      <c r="D11" s="57" t="s">
        <v>100</v>
      </c>
      <c r="E11" s="76" t="s">
        <v>67</v>
      </c>
      <c r="F11" s="77" t="s">
        <v>101</v>
      </c>
      <c r="G11" s="78">
        <v>6</v>
      </c>
      <c r="H11" s="79">
        <v>23709.4</v>
      </c>
      <c r="I11" s="59">
        <f t="shared" si="0"/>
        <v>142256.40000000002</v>
      </c>
    </row>
    <row r="12" spans="1:9" ht="31.9" customHeight="1" thickBot="1" x14ac:dyDescent="0.25">
      <c r="A12" s="55">
        <v>3</v>
      </c>
      <c r="B12" s="58"/>
      <c r="C12" s="56" t="s">
        <v>64</v>
      </c>
      <c r="D12" s="57" t="s">
        <v>100</v>
      </c>
      <c r="E12" s="76" t="s">
        <v>68</v>
      </c>
      <c r="F12" s="77" t="s">
        <v>101</v>
      </c>
      <c r="G12" s="78">
        <v>3</v>
      </c>
      <c r="H12" s="79">
        <v>54800</v>
      </c>
      <c r="I12" s="59">
        <f t="shared" si="0"/>
        <v>164400</v>
      </c>
    </row>
    <row r="13" spans="1:9" ht="31.9" customHeight="1" thickBot="1" x14ac:dyDescent="0.25">
      <c r="A13" s="55">
        <v>4</v>
      </c>
      <c r="B13" s="58"/>
      <c r="C13" s="56" t="s">
        <v>64</v>
      </c>
      <c r="D13" s="57" t="s">
        <v>100</v>
      </c>
      <c r="E13" s="76" t="s">
        <v>69</v>
      </c>
      <c r="F13" s="77" t="s">
        <v>101</v>
      </c>
      <c r="G13" s="78">
        <v>3</v>
      </c>
      <c r="H13" s="79">
        <v>54800</v>
      </c>
      <c r="I13" s="59">
        <f t="shared" si="0"/>
        <v>164400</v>
      </c>
    </row>
    <row r="14" spans="1:9" ht="31.9" customHeight="1" thickBot="1" x14ac:dyDescent="0.25">
      <c r="A14" s="55">
        <v>5</v>
      </c>
      <c r="B14" s="58"/>
      <c r="C14" s="56" t="s">
        <v>64</v>
      </c>
      <c r="D14" s="57" t="s">
        <v>100</v>
      </c>
      <c r="E14" s="76" t="s">
        <v>70</v>
      </c>
      <c r="F14" s="77" t="s">
        <v>101</v>
      </c>
      <c r="G14" s="78">
        <v>2</v>
      </c>
      <c r="H14" s="79">
        <v>4163.8999999999996</v>
      </c>
      <c r="I14" s="59">
        <f t="shared" si="0"/>
        <v>8327.7999999999993</v>
      </c>
    </row>
    <row r="15" spans="1:9" ht="31.9" customHeight="1" thickBot="1" x14ac:dyDescent="0.25">
      <c r="A15" s="55">
        <v>6</v>
      </c>
      <c r="B15" s="58"/>
      <c r="C15" s="56" t="s">
        <v>64</v>
      </c>
      <c r="D15" s="57" t="s">
        <v>100</v>
      </c>
      <c r="E15" s="76" t="s">
        <v>71</v>
      </c>
      <c r="F15" s="77" t="s">
        <v>101</v>
      </c>
      <c r="G15" s="78">
        <v>2</v>
      </c>
      <c r="H15" s="79">
        <v>4163.8999999999996</v>
      </c>
      <c r="I15" s="59">
        <f t="shared" si="0"/>
        <v>8327.7999999999993</v>
      </c>
    </row>
    <row r="16" spans="1:9" ht="31.9" customHeight="1" thickBot="1" x14ac:dyDescent="0.25">
      <c r="A16" s="55">
        <v>7</v>
      </c>
      <c r="B16" s="58"/>
      <c r="C16" s="56" t="s">
        <v>64</v>
      </c>
      <c r="D16" s="57" t="s">
        <v>100</v>
      </c>
      <c r="E16" s="80" t="s">
        <v>72</v>
      </c>
      <c r="F16" s="77" t="s">
        <v>101</v>
      </c>
      <c r="G16" s="78">
        <v>6</v>
      </c>
      <c r="H16" s="79">
        <v>5525</v>
      </c>
      <c r="I16" s="59">
        <f t="shared" si="0"/>
        <v>33150</v>
      </c>
    </row>
    <row r="17" spans="1:9" ht="31.9" customHeight="1" thickBot="1" x14ac:dyDescent="0.25">
      <c r="A17" s="55">
        <v>8</v>
      </c>
      <c r="B17" s="58"/>
      <c r="C17" s="56" t="s">
        <v>64</v>
      </c>
      <c r="D17" s="57" t="s">
        <v>100</v>
      </c>
      <c r="E17" s="76" t="s">
        <v>73</v>
      </c>
      <c r="F17" s="77" t="s">
        <v>101</v>
      </c>
      <c r="G17" s="78">
        <v>4</v>
      </c>
      <c r="H17" s="79">
        <v>15200</v>
      </c>
      <c r="I17" s="59">
        <f t="shared" si="0"/>
        <v>60800</v>
      </c>
    </row>
    <row r="18" spans="1:9" ht="31.9" customHeight="1" thickBot="1" x14ac:dyDescent="0.25">
      <c r="A18" s="55">
        <v>9</v>
      </c>
      <c r="B18" s="58"/>
      <c r="C18" s="56" t="s">
        <v>111</v>
      </c>
      <c r="D18" s="144" t="s">
        <v>109</v>
      </c>
      <c r="E18" s="76" t="s">
        <v>74</v>
      </c>
      <c r="F18" s="77" t="s">
        <v>101</v>
      </c>
      <c r="G18" s="78">
        <v>60</v>
      </c>
      <c r="H18" s="79">
        <v>488</v>
      </c>
      <c r="I18" s="59">
        <f t="shared" si="0"/>
        <v>29280</v>
      </c>
    </row>
    <row r="19" spans="1:9" ht="31.9" customHeight="1" thickBot="1" x14ac:dyDescent="0.25">
      <c r="A19" s="55">
        <v>10</v>
      </c>
      <c r="B19" s="58"/>
      <c r="C19" s="56" t="s">
        <v>64</v>
      </c>
      <c r="D19" s="57" t="s">
        <v>100</v>
      </c>
      <c r="E19" s="76" t="s">
        <v>75</v>
      </c>
      <c r="F19" s="77" t="s">
        <v>101</v>
      </c>
      <c r="G19" s="78">
        <v>60</v>
      </c>
      <c r="H19" s="79">
        <v>453.7</v>
      </c>
      <c r="I19" s="59">
        <f t="shared" si="0"/>
        <v>27222</v>
      </c>
    </row>
    <row r="20" spans="1:9" ht="31.9" customHeight="1" thickBot="1" x14ac:dyDescent="0.25">
      <c r="A20" s="55">
        <v>11</v>
      </c>
      <c r="B20" s="58"/>
      <c r="C20" s="56" t="s">
        <v>64</v>
      </c>
      <c r="D20" s="57" t="s">
        <v>100</v>
      </c>
      <c r="E20" s="76" t="s">
        <v>76</v>
      </c>
      <c r="F20" s="77" t="s">
        <v>101</v>
      </c>
      <c r="G20" s="78">
        <v>60</v>
      </c>
      <c r="H20" s="79">
        <v>470.6</v>
      </c>
      <c r="I20" s="59">
        <f t="shared" si="0"/>
        <v>28236</v>
      </c>
    </row>
    <row r="21" spans="1:9" ht="31.9" customHeight="1" thickBot="1" x14ac:dyDescent="0.25">
      <c r="A21" s="55">
        <v>12</v>
      </c>
      <c r="B21" s="58"/>
      <c r="C21" s="56" t="s">
        <v>64</v>
      </c>
      <c r="D21" s="57" t="s">
        <v>100</v>
      </c>
      <c r="E21" s="84" t="s">
        <v>99</v>
      </c>
      <c r="F21" s="58" t="s">
        <v>101</v>
      </c>
      <c r="G21" s="82">
        <v>65</v>
      </c>
      <c r="H21" s="83">
        <v>470.6</v>
      </c>
      <c r="I21" s="59">
        <f t="shared" si="0"/>
        <v>30589</v>
      </c>
    </row>
    <row r="22" spans="1:9" ht="31.9" customHeight="1" thickBot="1" x14ac:dyDescent="0.25">
      <c r="A22" s="55">
        <v>13</v>
      </c>
      <c r="B22" s="58"/>
      <c r="C22" s="56" t="s">
        <v>64</v>
      </c>
      <c r="D22" s="57" t="s">
        <v>100</v>
      </c>
      <c r="E22" s="76" t="s">
        <v>77</v>
      </c>
      <c r="F22" s="77" t="s">
        <v>101</v>
      </c>
      <c r="G22" s="78">
        <v>70</v>
      </c>
      <c r="H22" s="79">
        <v>244.69499999999999</v>
      </c>
      <c r="I22" s="59">
        <f t="shared" si="0"/>
        <v>17128.649999999998</v>
      </c>
    </row>
    <row r="23" spans="1:9" ht="31.9" customHeight="1" thickBot="1" x14ac:dyDescent="0.25">
      <c r="A23" s="55">
        <v>14</v>
      </c>
      <c r="B23" s="58"/>
      <c r="C23" s="56" t="s">
        <v>64</v>
      </c>
      <c r="D23" s="57" t="s">
        <v>100</v>
      </c>
      <c r="E23" s="76" t="s">
        <v>78</v>
      </c>
      <c r="F23" s="77" t="s">
        <v>101</v>
      </c>
      <c r="G23" s="78">
        <v>60</v>
      </c>
      <c r="H23" s="79">
        <v>768.4</v>
      </c>
      <c r="I23" s="59">
        <f t="shared" si="0"/>
        <v>46104</v>
      </c>
    </row>
    <row r="24" spans="1:9" ht="31.9" customHeight="1" thickBot="1" x14ac:dyDescent="0.25">
      <c r="A24" s="55">
        <v>15</v>
      </c>
      <c r="B24" s="58"/>
      <c r="C24" s="56" t="s">
        <v>64</v>
      </c>
      <c r="D24" s="57" t="s">
        <v>100</v>
      </c>
      <c r="E24" s="76" t="s">
        <v>79</v>
      </c>
      <c r="F24" s="77" t="s">
        <v>101</v>
      </c>
      <c r="G24" s="78">
        <v>900</v>
      </c>
      <c r="H24" s="79">
        <v>2572.5</v>
      </c>
      <c r="I24" s="59">
        <f t="shared" si="0"/>
        <v>2315250</v>
      </c>
    </row>
    <row r="25" spans="1:9" ht="31.9" customHeight="1" thickBot="1" x14ac:dyDescent="0.25">
      <c r="A25" s="55">
        <v>16</v>
      </c>
      <c r="B25" s="58"/>
      <c r="C25" s="56" t="s">
        <v>64</v>
      </c>
      <c r="D25" s="57" t="s">
        <v>100</v>
      </c>
      <c r="E25" s="76" t="s">
        <v>80</v>
      </c>
      <c r="F25" s="77" t="s">
        <v>101</v>
      </c>
      <c r="G25" s="78">
        <v>600</v>
      </c>
      <c r="H25" s="79">
        <v>2572.5</v>
      </c>
      <c r="I25" s="59">
        <f t="shared" si="0"/>
        <v>1543500</v>
      </c>
    </row>
    <row r="26" spans="1:9" ht="31.9" customHeight="1" thickBot="1" x14ac:dyDescent="0.25">
      <c r="A26" s="55">
        <v>17</v>
      </c>
      <c r="B26" s="58"/>
      <c r="C26" s="56" t="s">
        <v>64</v>
      </c>
      <c r="D26" s="57" t="s">
        <v>100</v>
      </c>
      <c r="E26" s="76" t="s">
        <v>98</v>
      </c>
      <c r="F26" s="58" t="s">
        <v>101</v>
      </c>
      <c r="G26" s="82">
        <v>6</v>
      </c>
      <c r="H26" s="83">
        <v>9910</v>
      </c>
      <c r="I26" s="59">
        <f t="shared" si="0"/>
        <v>59460</v>
      </c>
    </row>
    <row r="27" spans="1:9" ht="31.9" customHeight="1" thickBot="1" x14ac:dyDescent="0.25">
      <c r="A27" s="55">
        <v>18</v>
      </c>
      <c r="B27" s="58"/>
      <c r="C27" s="56" t="s">
        <v>64</v>
      </c>
      <c r="D27" s="57" t="s">
        <v>100</v>
      </c>
      <c r="E27" s="76" t="s">
        <v>81</v>
      </c>
      <c r="F27" s="77" t="s">
        <v>101</v>
      </c>
      <c r="G27" s="78">
        <v>60</v>
      </c>
      <c r="H27" s="79">
        <v>950</v>
      </c>
      <c r="I27" s="59">
        <f t="shared" si="0"/>
        <v>57000</v>
      </c>
    </row>
    <row r="28" spans="1:9" ht="31.9" customHeight="1" thickBot="1" x14ac:dyDescent="0.25">
      <c r="A28" s="55">
        <v>19</v>
      </c>
      <c r="B28" s="58"/>
      <c r="C28" s="56" t="s">
        <v>64</v>
      </c>
      <c r="D28" s="57" t="s">
        <v>100</v>
      </c>
      <c r="E28" s="76" t="s">
        <v>82</v>
      </c>
      <c r="F28" s="77" t="s">
        <v>101</v>
      </c>
      <c r="G28" s="78">
        <v>60</v>
      </c>
      <c r="H28" s="79">
        <v>330</v>
      </c>
      <c r="I28" s="59">
        <f t="shared" si="0"/>
        <v>19800</v>
      </c>
    </row>
    <row r="29" spans="1:9" ht="31.9" customHeight="1" thickBot="1" x14ac:dyDescent="0.25">
      <c r="A29" s="55">
        <v>20</v>
      </c>
      <c r="B29" s="58"/>
      <c r="C29" s="56" t="s">
        <v>64</v>
      </c>
      <c r="D29" s="57" t="s">
        <v>100</v>
      </c>
      <c r="E29" s="76" t="s">
        <v>83</v>
      </c>
      <c r="F29" s="77" t="s">
        <v>101</v>
      </c>
      <c r="G29" s="78">
        <v>3000</v>
      </c>
      <c r="H29" s="79">
        <v>243</v>
      </c>
      <c r="I29" s="59">
        <f t="shared" si="0"/>
        <v>729000</v>
      </c>
    </row>
    <row r="30" spans="1:9" ht="31.9" customHeight="1" thickBot="1" x14ac:dyDescent="0.25">
      <c r="A30" s="55">
        <v>21</v>
      </c>
      <c r="B30" s="58"/>
      <c r="C30" s="56" t="s">
        <v>64</v>
      </c>
      <c r="D30" s="57" t="s">
        <v>100</v>
      </c>
      <c r="E30" s="76" t="s">
        <v>84</v>
      </c>
      <c r="F30" s="77" t="s">
        <v>101</v>
      </c>
      <c r="G30" s="78">
        <v>3000</v>
      </c>
      <c r="H30" s="79">
        <v>243</v>
      </c>
      <c r="I30" s="59">
        <f t="shared" si="0"/>
        <v>729000</v>
      </c>
    </row>
    <row r="31" spans="1:9" ht="31.9" customHeight="1" thickBot="1" x14ac:dyDescent="0.25">
      <c r="A31" s="55">
        <v>22</v>
      </c>
      <c r="B31" s="58"/>
      <c r="C31" s="56" t="s">
        <v>64</v>
      </c>
      <c r="D31" s="57" t="s">
        <v>100</v>
      </c>
      <c r="E31" s="81" t="s">
        <v>85</v>
      </c>
      <c r="F31" s="77" t="s">
        <v>101</v>
      </c>
      <c r="G31" s="78">
        <v>30</v>
      </c>
      <c r="H31" s="79">
        <v>1387.5</v>
      </c>
      <c r="I31" s="59">
        <f t="shared" si="0"/>
        <v>41625</v>
      </c>
    </row>
    <row r="32" spans="1:9" ht="31.9" customHeight="1" thickBot="1" x14ac:dyDescent="0.25">
      <c r="A32" s="55">
        <v>23</v>
      </c>
      <c r="B32" s="58"/>
      <c r="C32" s="56" t="s">
        <v>64</v>
      </c>
      <c r="D32" s="57" t="s">
        <v>100</v>
      </c>
      <c r="E32" s="76" t="s">
        <v>86</v>
      </c>
      <c r="F32" s="77" t="s">
        <v>101</v>
      </c>
      <c r="G32" s="78">
        <v>300</v>
      </c>
      <c r="H32" s="79">
        <v>971.1</v>
      </c>
      <c r="I32" s="59">
        <f t="shared" si="0"/>
        <v>291330</v>
      </c>
    </row>
    <row r="33" spans="1:9" ht="31.9" customHeight="1" thickBot="1" x14ac:dyDescent="0.25">
      <c r="A33" s="55">
        <v>24</v>
      </c>
      <c r="B33" s="58"/>
      <c r="C33" s="56" t="s">
        <v>64</v>
      </c>
      <c r="D33" s="57" t="s">
        <v>100</v>
      </c>
      <c r="E33" s="76" t="s">
        <v>87</v>
      </c>
      <c r="F33" s="77" t="s">
        <v>101</v>
      </c>
      <c r="G33" s="78">
        <v>300</v>
      </c>
      <c r="H33" s="79">
        <v>971.1</v>
      </c>
      <c r="I33" s="59">
        <f t="shared" si="0"/>
        <v>291330</v>
      </c>
    </row>
    <row r="34" spans="1:9" ht="31.9" customHeight="1" thickBot="1" x14ac:dyDescent="0.25">
      <c r="A34" s="55">
        <v>25</v>
      </c>
      <c r="B34" s="58"/>
      <c r="C34" s="56" t="s">
        <v>64</v>
      </c>
      <c r="D34" s="57" t="s">
        <v>100</v>
      </c>
      <c r="E34" s="76" t="s">
        <v>88</v>
      </c>
      <c r="F34" s="77" t="s">
        <v>101</v>
      </c>
      <c r="G34" s="78">
        <v>6</v>
      </c>
      <c r="H34" s="79">
        <v>9909.2999999999993</v>
      </c>
      <c r="I34" s="59">
        <f t="shared" si="0"/>
        <v>59455.799999999996</v>
      </c>
    </row>
    <row r="35" spans="1:9" ht="31.9" customHeight="1" thickBot="1" x14ac:dyDescent="0.25">
      <c r="A35" s="55">
        <v>26</v>
      </c>
      <c r="B35" s="58"/>
      <c r="C35" s="56" t="s">
        <v>64</v>
      </c>
      <c r="D35" s="57" t="s">
        <v>100</v>
      </c>
      <c r="E35" s="76" t="s">
        <v>89</v>
      </c>
      <c r="F35" s="77" t="s">
        <v>101</v>
      </c>
      <c r="G35" s="78">
        <v>4</v>
      </c>
      <c r="H35" s="79">
        <v>23624.71</v>
      </c>
      <c r="I35" s="59">
        <f t="shared" si="0"/>
        <v>94498.84</v>
      </c>
    </row>
    <row r="36" spans="1:9" ht="31.9" customHeight="1" thickBot="1" x14ac:dyDescent="0.25">
      <c r="A36" s="55">
        <v>27</v>
      </c>
      <c r="B36" s="58"/>
      <c r="C36" s="56" t="s">
        <v>64</v>
      </c>
      <c r="D36" s="57" t="s">
        <v>100</v>
      </c>
      <c r="E36" s="76" t="s">
        <v>90</v>
      </c>
      <c r="F36" s="77" t="s">
        <v>101</v>
      </c>
      <c r="G36" s="78">
        <v>20</v>
      </c>
      <c r="H36" s="79">
        <v>2151.5</v>
      </c>
      <c r="I36" s="59">
        <f t="shared" si="0"/>
        <v>43030</v>
      </c>
    </row>
    <row r="37" spans="1:9" ht="31.9" customHeight="1" thickBot="1" x14ac:dyDescent="0.25">
      <c r="A37" s="55">
        <v>28</v>
      </c>
      <c r="B37" s="58"/>
      <c r="C37" s="56" t="s">
        <v>64</v>
      </c>
      <c r="D37" s="57" t="s">
        <v>100</v>
      </c>
      <c r="E37" s="76" t="s">
        <v>91</v>
      </c>
      <c r="F37" s="77" t="s">
        <v>101</v>
      </c>
      <c r="G37" s="78">
        <v>20</v>
      </c>
      <c r="H37" s="79">
        <v>2151.5</v>
      </c>
      <c r="I37" s="59">
        <f t="shared" si="0"/>
        <v>43030</v>
      </c>
    </row>
    <row r="38" spans="1:9" ht="31.9" customHeight="1" thickBot="1" x14ac:dyDescent="0.25">
      <c r="A38" s="55">
        <v>29</v>
      </c>
      <c r="B38" s="58"/>
      <c r="C38" s="56" t="s">
        <v>64</v>
      </c>
      <c r="D38" s="57" t="s">
        <v>100</v>
      </c>
      <c r="E38" s="81" t="s">
        <v>92</v>
      </c>
      <c r="F38" s="77" t="s">
        <v>101</v>
      </c>
      <c r="G38" s="78">
        <v>5</v>
      </c>
      <c r="H38" s="79">
        <v>2151.5</v>
      </c>
      <c r="I38" s="59">
        <f t="shared" si="0"/>
        <v>10757.5</v>
      </c>
    </row>
    <row r="39" spans="1:9" ht="31.9" customHeight="1" thickBot="1" x14ac:dyDescent="0.25">
      <c r="A39" s="55">
        <v>30</v>
      </c>
      <c r="B39" s="58"/>
      <c r="C39" s="56" t="s">
        <v>64</v>
      </c>
      <c r="D39" s="57" t="s">
        <v>100</v>
      </c>
      <c r="E39" s="76" t="s">
        <v>93</v>
      </c>
      <c r="F39" s="77" t="s">
        <v>101</v>
      </c>
      <c r="G39" s="78">
        <v>150</v>
      </c>
      <c r="H39" s="79">
        <v>3720.6</v>
      </c>
      <c r="I39" s="59">
        <f t="shared" si="0"/>
        <v>558090</v>
      </c>
    </row>
    <row r="40" spans="1:9" ht="31.9" customHeight="1" thickBot="1" x14ac:dyDescent="0.25">
      <c r="A40" s="55">
        <v>31</v>
      </c>
      <c r="B40" s="58"/>
      <c r="C40" s="56" t="s">
        <v>64</v>
      </c>
      <c r="D40" s="57" t="s">
        <v>100</v>
      </c>
      <c r="E40" s="76" t="s">
        <v>94</v>
      </c>
      <c r="F40" s="77" t="s">
        <v>101</v>
      </c>
      <c r="G40" s="78">
        <v>120</v>
      </c>
      <c r="H40" s="79">
        <v>5374.2</v>
      </c>
      <c r="I40" s="59">
        <f t="shared" si="0"/>
        <v>644904</v>
      </c>
    </row>
    <row r="41" spans="1:9" ht="31.9" customHeight="1" thickBot="1" x14ac:dyDescent="0.25">
      <c r="A41" s="55">
        <v>32</v>
      </c>
      <c r="B41" s="58"/>
      <c r="C41" s="56" t="s">
        <v>64</v>
      </c>
      <c r="D41" s="57" t="s">
        <v>100</v>
      </c>
      <c r="E41" s="76" t="s">
        <v>95</v>
      </c>
      <c r="F41" s="77" t="s">
        <v>101</v>
      </c>
      <c r="G41" s="78">
        <v>50</v>
      </c>
      <c r="H41" s="79">
        <v>5800</v>
      </c>
      <c r="I41" s="59">
        <f t="shared" si="0"/>
        <v>290000</v>
      </c>
    </row>
    <row r="42" spans="1:9" ht="31.9" customHeight="1" thickBot="1" x14ac:dyDescent="0.25">
      <c r="A42" s="55">
        <v>33</v>
      </c>
      <c r="B42" s="58"/>
      <c r="C42" s="56" t="s">
        <v>64</v>
      </c>
      <c r="D42" s="57" t="s">
        <v>100</v>
      </c>
      <c r="E42" s="76" t="s">
        <v>96</v>
      </c>
      <c r="F42" s="77" t="s">
        <v>101</v>
      </c>
      <c r="G42" s="78">
        <v>90</v>
      </c>
      <c r="H42" s="79">
        <v>988</v>
      </c>
      <c r="I42" s="59">
        <f t="shared" si="0"/>
        <v>88920</v>
      </c>
    </row>
    <row r="43" spans="1:9" ht="13.5" thickBot="1" x14ac:dyDescent="0.25"/>
    <row r="44" spans="1:9" ht="61.5" customHeight="1" thickBot="1" x14ac:dyDescent="0.25">
      <c r="C44" s="96" t="s">
        <v>103</v>
      </c>
      <c r="D44" s="97"/>
      <c r="E44" s="98"/>
    </row>
    <row r="45" spans="1:9" ht="42.75" customHeight="1" thickBot="1" x14ac:dyDescent="0.25">
      <c r="C45" s="99" t="s">
        <v>104</v>
      </c>
      <c r="D45" s="100"/>
      <c r="E45" s="101"/>
    </row>
    <row r="46" spans="1:9" ht="54.75" customHeight="1" thickBot="1" x14ac:dyDescent="0.25">
      <c r="C46" s="102" t="s">
        <v>105</v>
      </c>
      <c r="D46" s="103"/>
      <c r="E46" s="104"/>
    </row>
    <row r="47" spans="1:9" ht="13.5" thickBot="1" x14ac:dyDescent="0.25"/>
    <row r="48" spans="1:9" x14ac:dyDescent="0.2">
      <c r="B48" s="41" t="s">
        <v>102</v>
      </c>
      <c r="C48" s="42"/>
      <c r="D48" s="42"/>
      <c r="E48" s="43"/>
    </row>
    <row r="49" spans="2:5" ht="5.25" customHeight="1" x14ac:dyDescent="0.2">
      <c r="B49" s="44"/>
      <c r="C49" s="45"/>
      <c r="D49" s="45"/>
      <c r="E49" s="46"/>
    </row>
    <row r="50" spans="2:5" x14ac:dyDescent="0.2">
      <c r="B50" s="47" t="s">
        <v>14</v>
      </c>
      <c r="C50" s="45"/>
      <c r="D50" s="45"/>
      <c r="E50" s="46"/>
    </row>
    <row r="51" spans="2:5" ht="41.25" customHeight="1" x14ac:dyDescent="0.2">
      <c r="B51" s="47"/>
      <c r="C51" s="89"/>
      <c r="D51" s="89"/>
      <c r="E51" s="89"/>
    </row>
    <row r="52" spans="2:5" x14ac:dyDescent="0.2">
      <c r="B52" s="47" t="s">
        <v>15</v>
      </c>
      <c r="C52" s="45"/>
      <c r="D52" s="45"/>
      <c r="E52" s="46"/>
    </row>
    <row r="53" spans="2:5" ht="23.25" customHeight="1" x14ac:dyDescent="0.2">
      <c r="B53" s="48"/>
      <c r="C53" s="93" t="s">
        <v>106</v>
      </c>
      <c r="D53" s="93"/>
      <c r="E53" s="94"/>
    </row>
    <row r="54" spans="2:5" x14ac:dyDescent="0.2">
      <c r="B54" s="48"/>
      <c r="C54" s="95"/>
      <c r="D54" s="95"/>
      <c r="E54" s="95"/>
    </row>
    <row r="55" spans="2:5" x14ac:dyDescent="0.2">
      <c r="B55" s="47" t="s">
        <v>16</v>
      </c>
      <c r="C55" s="45"/>
      <c r="D55" s="45"/>
      <c r="E55" s="46"/>
    </row>
    <row r="56" spans="2:5" ht="26.25" customHeight="1" x14ac:dyDescent="0.2">
      <c r="B56" s="48"/>
      <c r="C56" s="89"/>
      <c r="D56" s="89"/>
      <c r="E56" s="89"/>
    </row>
    <row r="57" spans="2:5" x14ac:dyDescent="0.2">
      <c r="B57" s="47" t="s">
        <v>17</v>
      </c>
      <c r="C57" s="49"/>
      <c r="D57" s="49"/>
      <c r="E57" s="50"/>
    </row>
    <row r="58" spans="2:5" ht="26.25" customHeight="1" x14ac:dyDescent="0.2">
      <c r="B58" s="48"/>
      <c r="C58" s="90" t="s">
        <v>61</v>
      </c>
      <c r="D58" s="90"/>
      <c r="E58" s="91"/>
    </row>
    <row r="59" spans="2:5" x14ac:dyDescent="0.2">
      <c r="B59" s="47" t="s">
        <v>18</v>
      </c>
      <c r="C59" s="45"/>
      <c r="D59" s="45"/>
      <c r="E59" s="46"/>
    </row>
    <row r="60" spans="2:5" ht="23.25" customHeight="1" x14ac:dyDescent="0.2">
      <c r="B60" s="47"/>
      <c r="C60" s="92"/>
      <c r="D60" s="92"/>
      <c r="E60" s="92"/>
    </row>
    <row r="61" spans="2:5" x14ac:dyDescent="0.2">
      <c r="B61" s="51"/>
      <c r="C61" s="52"/>
      <c r="D61" s="52"/>
      <c r="E61" s="53"/>
    </row>
  </sheetData>
  <sortState ref="B10:I42">
    <sortCondition ref="E10:E42"/>
  </sortState>
  <mergeCells count="16">
    <mergeCell ref="C56:E56"/>
    <mergeCell ref="C58:E58"/>
    <mergeCell ref="C60:E60"/>
    <mergeCell ref="A6:B6"/>
    <mergeCell ref="A7:B7"/>
    <mergeCell ref="C51:E51"/>
    <mergeCell ref="C53:E53"/>
    <mergeCell ref="C54:E54"/>
    <mergeCell ref="C44:E44"/>
    <mergeCell ref="C45:E45"/>
    <mergeCell ref="C46:E46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5"/>
  <sheetViews>
    <sheetView tabSelected="1" topLeftCell="A25" zoomScale="70" zoomScaleNormal="70" workbookViewId="0">
      <selection activeCell="S12" sqref="S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5" t="s">
        <v>19</v>
      </c>
      <c r="B1" s="105"/>
      <c r="C1" s="105"/>
      <c r="D1" s="105"/>
      <c r="E1" s="105"/>
      <c r="F1" s="105"/>
      <c r="G1" s="105"/>
      <c r="H1" s="105"/>
      <c r="I1" s="105"/>
      <c r="J1" s="3" t="s">
        <v>20</v>
      </c>
      <c r="K1" s="62" t="s">
        <v>66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6" t="s">
        <v>53</v>
      </c>
      <c r="B3" s="106"/>
      <c r="C3" s="106"/>
      <c r="D3" s="107" t="str">
        <f>'Necesidades Trimestrales'!C4</f>
        <v>40 - Ministerio de Salud</v>
      </c>
      <c r="E3" s="107"/>
      <c r="F3" s="107"/>
      <c r="G3" s="107"/>
      <c r="H3" s="107"/>
      <c r="I3" s="107"/>
      <c r="J3" s="107"/>
      <c r="K3" s="107"/>
    </row>
    <row r="4" spans="1:11" ht="18.75" customHeight="1" thickBot="1" x14ac:dyDescent="0.25">
      <c r="A4" s="108" t="s">
        <v>54</v>
      </c>
      <c r="B4" s="108"/>
      <c r="C4" s="108"/>
      <c r="D4" s="107" t="str">
        <f>'Necesidades Trimestrales'!C5</f>
        <v>23 - Hospital Interzonal San Juan Bautista</v>
      </c>
      <c r="E4" s="107"/>
      <c r="F4" s="107"/>
      <c r="G4" s="107"/>
      <c r="H4" s="107"/>
      <c r="I4" s="107"/>
      <c r="J4" s="107"/>
      <c r="K4" s="107"/>
    </row>
    <row r="5" spans="1:11" ht="18.75" customHeight="1" thickBot="1" x14ac:dyDescent="0.25">
      <c r="A5" s="108" t="s">
        <v>32</v>
      </c>
      <c r="B5" s="108"/>
      <c r="C5" s="108"/>
      <c r="D5" s="107" t="s">
        <v>59</v>
      </c>
      <c r="E5" s="107"/>
      <c r="F5" s="107"/>
      <c r="G5" s="107"/>
      <c r="H5" s="107"/>
      <c r="I5" s="107"/>
      <c r="J5" s="107"/>
      <c r="K5" s="107"/>
    </row>
    <row r="6" spans="1:11" ht="16.5" customHeight="1" thickBot="1" x14ac:dyDescent="0.25">
      <c r="A6" s="106" t="s">
        <v>55</v>
      </c>
      <c r="B6" s="106"/>
      <c r="C6" s="106"/>
      <c r="D6" s="107" t="s">
        <v>60</v>
      </c>
      <c r="E6" s="107"/>
      <c r="F6" s="107"/>
      <c r="G6" s="107"/>
      <c r="H6" s="107"/>
      <c r="I6" s="107"/>
      <c r="J6" s="107"/>
      <c r="K6" s="107"/>
    </row>
    <row r="7" spans="1:11" ht="16.5" customHeight="1" x14ac:dyDescent="0.2">
      <c r="A7" s="108" t="s">
        <v>21</v>
      </c>
      <c r="B7" s="108"/>
      <c r="C7" s="108"/>
      <c r="D7" s="107" t="s">
        <v>110</v>
      </c>
      <c r="E7" s="107"/>
      <c r="F7" s="107"/>
      <c r="G7" s="107"/>
      <c r="H7" s="107"/>
      <c r="I7" s="107"/>
      <c r="J7" s="107"/>
      <c r="K7" s="107"/>
    </row>
    <row r="8" spans="1:11" ht="16.5" customHeight="1" x14ac:dyDescent="0.2">
      <c r="A8" s="109" t="s">
        <v>22</v>
      </c>
      <c r="B8" s="109"/>
      <c r="C8" s="109"/>
      <c r="D8" s="110" t="s">
        <v>65</v>
      </c>
      <c r="E8" s="110"/>
      <c r="F8" s="110"/>
      <c r="G8" s="110"/>
      <c r="H8" s="110"/>
      <c r="I8" s="110"/>
      <c r="J8" s="110"/>
      <c r="K8" s="11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1" t="s">
        <v>23</v>
      </c>
      <c r="B10" s="112" t="s">
        <v>24</v>
      </c>
      <c r="C10" s="112" t="s">
        <v>25</v>
      </c>
      <c r="D10" s="112"/>
      <c r="E10" s="112"/>
      <c r="F10" s="112"/>
      <c r="G10" s="112"/>
      <c r="H10" s="112" t="s">
        <v>26</v>
      </c>
      <c r="I10" s="112" t="s">
        <v>27</v>
      </c>
      <c r="J10" s="112" t="s">
        <v>28</v>
      </c>
      <c r="K10" s="113" t="s">
        <v>29</v>
      </c>
    </row>
    <row r="11" spans="1:11" ht="24" customHeight="1" thickBot="1" x14ac:dyDescent="0.25">
      <c r="A11" s="111"/>
      <c r="B11" s="112"/>
      <c r="C11" s="112"/>
      <c r="D11" s="112"/>
      <c r="E11" s="112"/>
      <c r="F11" s="112"/>
      <c r="G11" s="112"/>
      <c r="H11" s="112"/>
      <c r="I11" s="112"/>
      <c r="J11" s="112"/>
      <c r="K11" s="113"/>
    </row>
    <row r="12" spans="1:11" ht="20.25" customHeight="1" thickBot="1" x14ac:dyDescent="0.25">
      <c r="A12" s="8">
        <v>1</v>
      </c>
      <c r="B12" s="63">
        <f>'Necesidades Trimestrales'!B10</f>
        <v>0</v>
      </c>
      <c r="C12" s="115" t="str">
        <f>'Necesidades Trimestrales'!E10</f>
        <v xml:space="preserve">BOLSA  SIMPLE DE TRANSFERENCIA VACIA X 400 ML </v>
      </c>
      <c r="D12" s="115"/>
      <c r="E12" s="115"/>
      <c r="F12" s="115"/>
      <c r="G12" s="115"/>
      <c r="H12" s="64" t="s">
        <v>56</v>
      </c>
      <c r="I12" s="65" t="str">
        <f>'Necesidades Trimestrales'!F10</f>
        <v>UNIDAD</v>
      </c>
      <c r="J12" s="66">
        <f>'Necesidades Trimestrales'!H10</f>
        <v>237.57</v>
      </c>
      <c r="K12" s="67">
        <f>'Necesidades Trimestrales'!G10</f>
        <v>600</v>
      </c>
    </row>
    <row r="13" spans="1:11" ht="20.25" customHeight="1" thickBot="1" x14ac:dyDescent="0.25">
      <c r="A13" s="8">
        <v>2</v>
      </c>
      <c r="B13" s="63">
        <f>'Necesidades Trimestrales'!B11</f>
        <v>0</v>
      </c>
      <c r="C13" s="115" t="str">
        <f>'Necesidades Trimestrales'!E11</f>
        <v>CANASTILLA DE DORMIA tipo FUJIFILM MEDWORCK 2,8 MM</v>
      </c>
      <c r="D13" s="115"/>
      <c r="E13" s="115"/>
      <c r="F13" s="115"/>
      <c r="G13" s="115"/>
      <c r="H13" s="64" t="s">
        <v>56</v>
      </c>
      <c r="I13" s="65" t="str">
        <f>'Necesidades Trimestrales'!F11</f>
        <v>UNIDAD</v>
      </c>
      <c r="J13" s="66">
        <f>'Necesidades Trimestrales'!H11</f>
        <v>23709.4</v>
      </c>
      <c r="K13" s="67">
        <f>'Necesidades Trimestrales'!G11</f>
        <v>6</v>
      </c>
    </row>
    <row r="14" spans="1:11" ht="20.25" customHeight="1" thickBot="1" x14ac:dyDescent="0.25">
      <c r="A14" s="8">
        <v>3</v>
      </c>
      <c r="B14" s="63">
        <f>'Necesidades Trimestrales'!B12</f>
        <v>0</v>
      </c>
      <c r="C14" s="115" t="str">
        <f>'Necesidades Trimestrales'!E12</f>
        <v>CATETER DOBLE J 4.8 FRENCH X 46 CM TIPO COOK</v>
      </c>
      <c r="D14" s="115"/>
      <c r="E14" s="115"/>
      <c r="F14" s="115"/>
      <c r="G14" s="115"/>
      <c r="H14" s="64" t="s">
        <v>56</v>
      </c>
      <c r="I14" s="65" t="str">
        <f>'Necesidades Trimestrales'!F12</f>
        <v>UNIDAD</v>
      </c>
      <c r="J14" s="66">
        <f>'Necesidades Trimestrales'!H12</f>
        <v>54800</v>
      </c>
      <c r="K14" s="67">
        <f>'Necesidades Trimestrales'!G12</f>
        <v>3</v>
      </c>
    </row>
    <row r="15" spans="1:11" ht="20.25" customHeight="1" thickBot="1" x14ac:dyDescent="0.25">
      <c r="A15" s="8">
        <v>4</v>
      </c>
      <c r="B15" s="63">
        <f>'Necesidades Trimestrales'!B13</f>
        <v>0</v>
      </c>
      <c r="C15" s="115" t="str">
        <f>'Necesidades Trimestrales'!E13</f>
        <v>CATETER DOBLE J 7 FRENCH X 46 CM TIPO COOK</v>
      </c>
      <c r="D15" s="115"/>
      <c r="E15" s="115"/>
      <c r="F15" s="115"/>
      <c r="G15" s="115"/>
      <c r="H15" s="64" t="s">
        <v>56</v>
      </c>
      <c r="I15" s="65" t="str">
        <f>'Necesidades Trimestrales'!F13</f>
        <v>UNIDAD</v>
      </c>
      <c r="J15" s="66">
        <f>'Necesidades Trimestrales'!H13</f>
        <v>54800</v>
      </c>
      <c r="K15" s="67">
        <f>'Necesidades Trimestrales'!G13</f>
        <v>3</v>
      </c>
    </row>
    <row r="16" spans="1:11" ht="20.25" customHeight="1" thickBot="1" x14ac:dyDescent="0.25">
      <c r="A16" s="8">
        <v>5</v>
      </c>
      <c r="B16" s="63">
        <f>'Necesidades Trimestrales'!B14</f>
        <v>0</v>
      </c>
      <c r="C16" s="115" t="str">
        <f>'Necesidades Trimestrales'!E14</f>
        <v>CATETER FOGARTY Nº 4</v>
      </c>
      <c r="D16" s="115"/>
      <c r="E16" s="115"/>
      <c r="F16" s="115"/>
      <c r="G16" s="115"/>
      <c r="H16" s="64" t="s">
        <v>56</v>
      </c>
      <c r="I16" s="65" t="str">
        <f>'Necesidades Trimestrales'!F14</f>
        <v>UNIDAD</v>
      </c>
      <c r="J16" s="66">
        <f>'Necesidades Trimestrales'!H14</f>
        <v>4163.8999999999996</v>
      </c>
      <c r="K16" s="67">
        <f>'Necesidades Trimestrales'!G14</f>
        <v>2</v>
      </c>
    </row>
    <row r="17" spans="1:11" ht="20.25" customHeight="1" thickBot="1" x14ac:dyDescent="0.25">
      <c r="A17" s="8">
        <v>6</v>
      </c>
      <c r="B17" s="63">
        <f>'Necesidades Trimestrales'!B15</f>
        <v>0</v>
      </c>
      <c r="C17" s="115" t="str">
        <f>'Necesidades Trimestrales'!E15</f>
        <v>CATETER FOGARTY Nº 5</v>
      </c>
      <c r="D17" s="115"/>
      <c r="E17" s="115"/>
      <c r="F17" s="115"/>
      <c r="G17" s="115"/>
      <c r="H17" s="64" t="s">
        <v>56</v>
      </c>
      <c r="I17" s="65" t="str">
        <f>'Necesidades Trimestrales'!F15</f>
        <v>UNIDAD</v>
      </c>
      <c r="J17" s="66">
        <f>'Necesidades Trimestrales'!H15</f>
        <v>4163.8999999999996</v>
      </c>
      <c r="K17" s="67">
        <f>'Necesidades Trimestrales'!G15</f>
        <v>2</v>
      </c>
    </row>
    <row r="18" spans="1:11" ht="20.25" customHeight="1" thickBot="1" x14ac:dyDescent="0.25">
      <c r="A18" s="8">
        <v>7</v>
      </c>
      <c r="B18" s="63">
        <f>'Necesidades Trimestrales'!B16</f>
        <v>0</v>
      </c>
      <c r="C18" s="115" t="str">
        <f>'Necesidades Trimestrales'!E16</f>
        <v>CATETER P/HEMODIALISIS DOBLE LUMEN SUBCLAVIA P/HEMODIALISIS 12FR.X 20CM</v>
      </c>
      <c r="D18" s="115"/>
      <c r="E18" s="115"/>
      <c r="F18" s="115"/>
      <c r="G18" s="115"/>
      <c r="H18" s="64" t="s">
        <v>56</v>
      </c>
      <c r="I18" s="65" t="str">
        <f>'Necesidades Trimestrales'!F16</f>
        <v>UNIDAD</v>
      </c>
      <c r="J18" s="66">
        <f>'Necesidades Trimestrales'!H16</f>
        <v>5525</v>
      </c>
      <c r="K18" s="67">
        <f>'Necesidades Trimestrales'!G16</f>
        <v>6</v>
      </c>
    </row>
    <row r="19" spans="1:11" ht="20.25" customHeight="1" thickBot="1" x14ac:dyDescent="0.25">
      <c r="A19" s="8">
        <v>8</v>
      </c>
      <c r="B19" s="63">
        <f>'Necesidades Trimestrales'!B17</f>
        <v>0</v>
      </c>
      <c r="C19" s="115" t="str">
        <f>'Necesidades Trimestrales'!E17</f>
        <v>CATETER PORT-A-CATH</v>
      </c>
      <c r="D19" s="115"/>
      <c r="E19" s="115"/>
      <c r="F19" s="115"/>
      <c r="G19" s="115"/>
      <c r="H19" s="64" t="s">
        <v>56</v>
      </c>
      <c r="I19" s="65" t="str">
        <f>'Necesidades Trimestrales'!F17</f>
        <v>UNIDAD</v>
      </c>
      <c r="J19" s="66">
        <f>'Necesidades Trimestrales'!H17</f>
        <v>15200</v>
      </c>
      <c r="K19" s="67">
        <f>'Necesidades Trimestrales'!G17</f>
        <v>4</v>
      </c>
    </row>
    <row r="20" spans="1:11" ht="20.25" customHeight="1" thickBot="1" x14ac:dyDescent="0.25">
      <c r="A20" s="8">
        <v>9</v>
      </c>
      <c r="B20" s="63">
        <f>'Necesidades Trimestrales'!B18</f>
        <v>0</v>
      </c>
      <c r="C20" s="115" t="str">
        <f>'Necesidades Trimestrales'!E18</f>
        <v>CERA P/HUESOS 2,5 GR. ESTERIL X 1</v>
      </c>
      <c r="D20" s="115"/>
      <c r="E20" s="115"/>
      <c r="F20" s="115"/>
      <c r="G20" s="115"/>
      <c r="H20" s="64" t="s">
        <v>56</v>
      </c>
      <c r="I20" s="65" t="str">
        <f>'Necesidades Trimestrales'!F18</f>
        <v>UNIDAD</v>
      </c>
      <c r="J20" s="66">
        <f>'Necesidades Trimestrales'!H18</f>
        <v>488</v>
      </c>
      <c r="K20" s="67">
        <f>'Necesidades Trimestrales'!G18</f>
        <v>60</v>
      </c>
    </row>
    <row r="21" spans="1:11" ht="20.25" customHeight="1" thickBot="1" x14ac:dyDescent="0.25">
      <c r="A21" s="8">
        <v>10</v>
      </c>
      <c r="B21" s="63">
        <f>'Necesidades Trimestrales'!B19</f>
        <v>0</v>
      </c>
      <c r="C21" s="115" t="str">
        <f>'Necesidades Trimestrales'!E19</f>
        <v>CLAVO DE KISHNER Nº 4 x 25 CM (CLAVIJAS)</v>
      </c>
      <c r="D21" s="115"/>
      <c r="E21" s="115"/>
      <c r="F21" s="115"/>
      <c r="G21" s="115"/>
      <c r="H21" s="64" t="s">
        <v>56</v>
      </c>
      <c r="I21" s="65" t="str">
        <f>'Necesidades Trimestrales'!F19</f>
        <v>UNIDAD</v>
      </c>
      <c r="J21" s="66">
        <f>'Necesidades Trimestrales'!H19</f>
        <v>453.7</v>
      </c>
      <c r="K21" s="67">
        <f>'Necesidades Trimestrales'!G19</f>
        <v>60</v>
      </c>
    </row>
    <row r="22" spans="1:11" ht="20.25" customHeight="1" thickBot="1" x14ac:dyDescent="0.25">
      <c r="A22" s="8">
        <v>11</v>
      </c>
      <c r="B22" s="63">
        <f>'Necesidades Trimestrales'!B20</f>
        <v>0</v>
      </c>
      <c r="C22" s="115" t="str">
        <f>'Necesidades Trimestrales'!E20</f>
        <v>CLAVO DE KISHNER Nº 5 x 25 CM (CLAVIJAS)</v>
      </c>
      <c r="D22" s="115"/>
      <c r="E22" s="115"/>
      <c r="F22" s="115"/>
      <c r="G22" s="115"/>
      <c r="H22" s="64" t="s">
        <v>56</v>
      </c>
      <c r="I22" s="65" t="str">
        <f>'Necesidades Trimestrales'!F20</f>
        <v>UNIDAD</v>
      </c>
      <c r="J22" s="66">
        <f>'Necesidades Trimestrales'!H20</f>
        <v>470.6</v>
      </c>
      <c r="K22" s="67">
        <f>'Necesidades Trimestrales'!G20</f>
        <v>60</v>
      </c>
    </row>
    <row r="23" spans="1:11" ht="20.25" customHeight="1" thickBot="1" x14ac:dyDescent="0.25">
      <c r="A23" s="8">
        <v>12</v>
      </c>
      <c r="B23" s="63">
        <f>'Necesidades Trimestrales'!B21</f>
        <v>0</v>
      </c>
      <c r="C23" s="115" t="str">
        <f>'Necesidades Trimestrales'!E21</f>
        <v xml:space="preserve">CLAVO KISCHNER N °3,5 X 25 MM </v>
      </c>
      <c r="D23" s="115"/>
      <c r="E23" s="115"/>
      <c r="F23" s="115"/>
      <c r="G23" s="115"/>
      <c r="H23" s="64" t="s">
        <v>56</v>
      </c>
      <c r="I23" s="65" t="str">
        <f>'Necesidades Trimestrales'!F21</f>
        <v>UNIDAD</v>
      </c>
      <c r="J23" s="66">
        <f>'Necesidades Trimestrales'!H21</f>
        <v>470.6</v>
      </c>
      <c r="K23" s="67">
        <f>'Necesidades Trimestrales'!G21</f>
        <v>65</v>
      </c>
    </row>
    <row r="24" spans="1:11" ht="20.25" customHeight="1" thickBot="1" x14ac:dyDescent="0.25">
      <c r="A24" s="8">
        <v>13</v>
      </c>
      <c r="B24" s="63">
        <f>'Necesidades Trimestrales'!B22</f>
        <v>0</v>
      </c>
      <c r="C24" s="115" t="str">
        <f>'Necesidades Trimestrales'!E22</f>
        <v>DRENAJE DE SILICONA ESTERIL TIPO DRENAJE BLAKE 15 FR ADULTO</v>
      </c>
      <c r="D24" s="115"/>
      <c r="E24" s="115"/>
      <c r="F24" s="115"/>
      <c r="G24" s="115"/>
      <c r="H24" s="64" t="s">
        <v>56</v>
      </c>
      <c r="I24" s="65" t="str">
        <f>'Necesidades Trimestrales'!F22</f>
        <v>UNIDAD</v>
      </c>
      <c r="J24" s="66">
        <f>'Necesidades Trimestrales'!H22</f>
        <v>244.69499999999999</v>
      </c>
      <c r="K24" s="67">
        <f>'Necesidades Trimestrales'!G22</f>
        <v>70</v>
      </c>
    </row>
    <row r="25" spans="1:11" ht="20.25" customHeight="1" thickBot="1" x14ac:dyDescent="0.25">
      <c r="A25" s="8">
        <v>14</v>
      </c>
      <c r="B25" s="63">
        <f>'Necesidades Trimestrales'!B23</f>
        <v>0</v>
      </c>
      <c r="C25" s="115" t="str">
        <f>'Necesidades Trimestrales'!E23</f>
        <v>ESPONJA GELATINOSA ABSORBIBLE TIPO SPONGOSTAN 80 X 50 X 10 MM SOBRE</v>
      </c>
      <c r="D25" s="115"/>
      <c r="E25" s="115"/>
      <c r="F25" s="115"/>
      <c r="G25" s="115"/>
      <c r="H25" s="64" t="s">
        <v>56</v>
      </c>
      <c r="I25" s="65" t="str">
        <f>'Necesidades Trimestrales'!F23</f>
        <v>UNIDAD</v>
      </c>
      <c r="J25" s="66">
        <f>'Necesidades Trimestrales'!H23</f>
        <v>768.4</v>
      </c>
      <c r="K25" s="67">
        <f>'Necesidades Trimestrales'!G23</f>
        <v>60</v>
      </c>
    </row>
    <row r="26" spans="1:11" ht="20.25" customHeight="1" thickBot="1" x14ac:dyDescent="0.25">
      <c r="A26" s="8">
        <v>15</v>
      </c>
      <c r="B26" s="63">
        <f>'Necesidades Trimestrales'!B24</f>
        <v>0</v>
      </c>
      <c r="C26" s="115" t="str">
        <f>'Necesidades Trimestrales'!E24</f>
        <v>FILTRO PARA HEMODIALISIS 1,9 m2 HF</v>
      </c>
      <c r="D26" s="115"/>
      <c r="E26" s="115"/>
      <c r="F26" s="115"/>
      <c r="G26" s="115"/>
      <c r="H26" s="64" t="s">
        <v>56</v>
      </c>
      <c r="I26" s="65" t="str">
        <f>'Necesidades Trimestrales'!F24</f>
        <v>UNIDAD</v>
      </c>
      <c r="J26" s="66">
        <f>'Necesidades Trimestrales'!H24</f>
        <v>2572.5</v>
      </c>
      <c r="K26" s="67">
        <f>'Necesidades Trimestrales'!G24</f>
        <v>900</v>
      </c>
    </row>
    <row r="27" spans="1:11" ht="20.25" customHeight="1" thickBot="1" x14ac:dyDescent="0.25">
      <c r="A27" s="8">
        <v>16</v>
      </c>
      <c r="B27" s="63">
        <f>'Necesidades Trimestrales'!B25</f>
        <v>0</v>
      </c>
      <c r="C27" s="115" t="str">
        <f>'Necesidades Trimestrales'!E25</f>
        <v>FILTRO PARA HEMODIALISIS 1.7 m2 HF</v>
      </c>
      <c r="D27" s="115"/>
      <c r="E27" s="115"/>
      <c r="F27" s="115"/>
      <c r="G27" s="115"/>
      <c r="H27" s="64" t="s">
        <v>56</v>
      </c>
      <c r="I27" s="65" t="str">
        <f>'Necesidades Trimestrales'!F25</f>
        <v>UNIDAD</v>
      </c>
      <c r="J27" s="66">
        <f>'Necesidades Trimestrales'!H25</f>
        <v>2572.5</v>
      </c>
      <c r="K27" s="67">
        <f>'Necesidades Trimestrales'!G25</f>
        <v>600</v>
      </c>
    </row>
    <row r="28" spans="1:11" ht="20.25" customHeight="1" thickBot="1" x14ac:dyDescent="0.25">
      <c r="A28" s="8">
        <v>17</v>
      </c>
      <c r="B28" s="63">
        <f>'Necesidades Trimestrales'!B26</f>
        <v>0</v>
      </c>
      <c r="C28" s="115" t="str">
        <f>'Necesidades Trimestrales'!E26</f>
        <v>FILTRO POLISULFONA TIPO DIASAFE PLUS FRESENIUS PARA MAQUINA MODELO 4008S</v>
      </c>
      <c r="D28" s="115"/>
      <c r="E28" s="115"/>
      <c r="F28" s="115"/>
      <c r="G28" s="115"/>
      <c r="H28" s="64" t="s">
        <v>56</v>
      </c>
      <c r="I28" s="65" t="str">
        <f>'Necesidades Trimestrales'!F26</f>
        <v>UNIDAD</v>
      </c>
      <c r="J28" s="66">
        <f>'Necesidades Trimestrales'!H26</f>
        <v>9910</v>
      </c>
      <c r="K28" s="67">
        <f>'Necesidades Trimestrales'!G26</f>
        <v>6</v>
      </c>
    </row>
    <row r="29" spans="1:11" ht="20.25" customHeight="1" thickBot="1" x14ac:dyDescent="0.25">
      <c r="A29" s="8">
        <v>18</v>
      </c>
      <c r="B29" s="63">
        <f>'Necesidades Trimestrales'!B27</f>
        <v>0</v>
      </c>
      <c r="C29" s="115" t="str">
        <f>'Necesidades Trimestrales'!E27</f>
        <v>FRASCO PARA DRENAJE TORACICO x 2500 ML</v>
      </c>
      <c r="D29" s="115"/>
      <c r="E29" s="115"/>
      <c r="F29" s="115"/>
      <c r="G29" s="115"/>
      <c r="H29" s="64" t="s">
        <v>56</v>
      </c>
      <c r="I29" s="65" t="str">
        <f>'Necesidades Trimestrales'!F27</f>
        <v>UNIDAD</v>
      </c>
      <c r="J29" s="66">
        <f>'Necesidades Trimestrales'!H27</f>
        <v>950</v>
      </c>
      <c r="K29" s="67">
        <f>'Necesidades Trimestrales'!G27</f>
        <v>60</v>
      </c>
    </row>
    <row r="30" spans="1:11" ht="20.25" customHeight="1" thickBot="1" x14ac:dyDescent="0.25">
      <c r="A30" s="8">
        <v>19</v>
      </c>
      <c r="B30" s="63">
        <f>'Necesidades Trimestrales'!B28</f>
        <v>0</v>
      </c>
      <c r="C30" s="115" t="str">
        <f>'Necesidades Trimestrales'!E28</f>
        <v>FRASCO PARA DRENAJE TORACICO x 750 ML</v>
      </c>
      <c r="D30" s="115"/>
      <c r="E30" s="115"/>
      <c r="F30" s="115"/>
      <c r="G30" s="115"/>
      <c r="H30" s="64" t="s">
        <v>56</v>
      </c>
      <c r="I30" s="65" t="str">
        <f>'Necesidades Trimestrales'!F28</f>
        <v>UNIDAD</v>
      </c>
      <c r="J30" s="66">
        <f>'Necesidades Trimestrales'!H28</f>
        <v>330</v>
      </c>
      <c r="K30" s="67">
        <f>'Necesidades Trimestrales'!G28</f>
        <v>60</v>
      </c>
    </row>
    <row r="31" spans="1:11" ht="20.25" customHeight="1" thickBot="1" x14ac:dyDescent="0.25">
      <c r="A31" s="8">
        <v>20</v>
      </c>
      <c r="B31" s="63">
        <f>'Necesidades Trimestrales'!B29</f>
        <v>0</v>
      </c>
      <c r="C31" s="115" t="str">
        <f>'Necesidades Trimestrales'!E29</f>
        <v>GUIA ARTERIAL CON GUIA HEPARINA Y TRANSDUCTOR DE PRESION P 0.8 TIPO NIPRO</v>
      </c>
      <c r="D31" s="115"/>
      <c r="E31" s="115"/>
      <c r="F31" s="115"/>
      <c r="G31" s="115"/>
      <c r="H31" s="64" t="s">
        <v>56</v>
      </c>
      <c r="I31" s="65" t="str">
        <f>'Necesidades Trimestrales'!F29</f>
        <v>UNIDAD</v>
      </c>
      <c r="J31" s="66">
        <f>'Necesidades Trimestrales'!H29</f>
        <v>243</v>
      </c>
      <c r="K31" s="67">
        <f>'Necesidades Trimestrales'!G29</f>
        <v>3000</v>
      </c>
    </row>
    <row r="32" spans="1:11" ht="20.25" customHeight="1" thickBot="1" x14ac:dyDescent="0.25">
      <c r="A32" s="8">
        <v>21</v>
      </c>
      <c r="B32" s="63">
        <f>'Necesidades Trimestrales'!B30</f>
        <v>0</v>
      </c>
      <c r="C32" s="115" t="str">
        <f>'Necesidades Trimestrales'!E30</f>
        <v>GUIA VENOSA Y TRANSDUCTOR DE PRESION P 0.8 TIPO NIPRO</v>
      </c>
      <c r="D32" s="115"/>
      <c r="E32" s="115"/>
      <c r="F32" s="115"/>
      <c r="G32" s="115"/>
      <c r="H32" s="64" t="s">
        <v>56</v>
      </c>
      <c r="I32" s="65" t="str">
        <f>'Necesidades Trimestrales'!F30</f>
        <v>UNIDAD</v>
      </c>
      <c r="J32" s="66">
        <f>'Necesidades Trimestrales'!H30</f>
        <v>243</v>
      </c>
      <c r="K32" s="67">
        <f>'Necesidades Trimestrales'!G30</f>
        <v>3000</v>
      </c>
    </row>
    <row r="33" spans="1:1024" ht="20.25" customHeight="1" thickBot="1" x14ac:dyDescent="0.25">
      <c r="A33" s="8">
        <v>22</v>
      </c>
      <c r="B33" s="63">
        <f>'Necesidades Trimestrales'!B31</f>
        <v>0</v>
      </c>
      <c r="C33" s="115" t="str">
        <f>'Necesidades Trimestrales'!E31</f>
        <v>HEMOSUCTOR  X 800 ML</v>
      </c>
      <c r="D33" s="115"/>
      <c r="E33" s="115"/>
      <c r="F33" s="115"/>
      <c r="G33" s="115"/>
      <c r="H33" s="64" t="s">
        <v>56</v>
      </c>
      <c r="I33" s="65" t="str">
        <f>'Necesidades Trimestrales'!F31</f>
        <v>UNIDAD</v>
      </c>
      <c r="J33" s="66">
        <f>'Necesidades Trimestrales'!H31</f>
        <v>1387.5</v>
      </c>
      <c r="K33" s="67">
        <f>'Necesidades Trimestrales'!G31</f>
        <v>30</v>
      </c>
    </row>
    <row r="34" spans="1:1024" ht="20.25" customHeight="1" thickBot="1" x14ac:dyDescent="0.25">
      <c r="A34" s="8">
        <v>23</v>
      </c>
      <c r="B34" s="63">
        <f>'Necesidades Trimestrales'!B32</f>
        <v>0</v>
      </c>
      <c r="C34" s="115" t="str">
        <f>'Necesidades Trimestrales'!E32</f>
        <v>LIGACLIP LT 300 TIPO ETHICON</v>
      </c>
      <c r="D34" s="115"/>
      <c r="E34" s="115"/>
      <c r="F34" s="115"/>
      <c r="G34" s="115"/>
      <c r="H34" s="64" t="s">
        <v>56</v>
      </c>
      <c r="I34" s="65" t="str">
        <f>'Necesidades Trimestrales'!F32</f>
        <v>UNIDAD</v>
      </c>
      <c r="J34" s="66">
        <f>'Necesidades Trimestrales'!H32</f>
        <v>971.1</v>
      </c>
      <c r="K34" s="67">
        <f>'Necesidades Trimestrales'!G32</f>
        <v>300</v>
      </c>
    </row>
    <row r="35" spans="1:1024" ht="20.25" customHeight="1" thickBot="1" x14ac:dyDescent="0.25">
      <c r="A35" s="8">
        <v>24</v>
      </c>
      <c r="B35" s="63">
        <f>'Necesidades Trimestrales'!B33</f>
        <v>0</v>
      </c>
      <c r="C35" s="115" t="str">
        <f>'Necesidades Trimestrales'!E33</f>
        <v>LIGACLIP LT 400 TIPO ETHICON</v>
      </c>
      <c r="D35" s="115"/>
      <c r="E35" s="115"/>
      <c r="F35" s="115"/>
      <c r="G35" s="115"/>
      <c r="H35" s="64" t="s">
        <v>56</v>
      </c>
      <c r="I35" s="65" t="str">
        <f>'Necesidades Trimestrales'!F33</f>
        <v>UNIDAD</v>
      </c>
      <c r="J35" s="66">
        <f>'Necesidades Trimestrales'!H33</f>
        <v>971.1</v>
      </c>
      <c r="K35" s="67">
        <f>'Necesidades Trimestrales'!G33</f>
        <v>300</v>
      </c>
    </row>
    <row r="36" spans="1:1024" ht="20.25" customHeight="1" thickBot="1" x14ac:dyDescent="0.25">
      <c r="A36" s="8">
        <v>25</v>
      </c>
      <c r="B36" s="63">
        <f>'Necesidades Trimestrales'!B34</f>
        <v>0</v>
      </c>
      <c r="C36" s="115" t="str">
        <f>'Necesidades Trimestrales'!E34</f>
        <v xml:space="preserve">MALLA QUIRURGICA SINTETICA NO ABSORBIBLE 30 X 30 TIPO PROLENE </v>
      </c>
      <c r="D36" s="115"/>
      <c r="E36" s="115"/>
      <c r="F36" s="115"/>
      <c r="G36" s="115"/>
      <c r="H36" s="64" t="s">
        <v>56</v>
      </c>
      <c r="I36" s="65" t="str">
        <f>'Necesidades Trimestrales'!F34</f>
        <v>UNIDAD</v>
      </c>
      <c r="J36" s="66">
        <f>'Necesidades Trimestrales'!H34</f>
        <v>9909.2999999999993</v>
      </c>
      <c r="K36" s="67">
        <f>'Necesidades Trimestrales'!G34</f>
        <v>6</v>
      </c>
    </row>
    <row r="37" spans="1:1024" ht="20.25" customHeight="1" thickBot="1" x14ac:dyDescent="0.25">
      <c r="A37" s="8">
        <v>26</v>
      </c>
      <c r="B37" s="63">
        <f>'Necesidades Trimestrales'!B35</f>
        <v>0</v>
      </c>
      <c r="C37" s="115" t="str">
        <f>'Necesidades Trimestrales'!E35</f>
        <v>SET DE NEFROSTOMIA 16 FRENCH TIPO COOK</v>
      </c>
      <c r="D37" s="115"/>
      <c r="E37" s="115"/>
      <c r="F37" s="115"/>
      <c r="G37" s="115"/>
      <c r="H37" s="64" t="s">
        <v>56</v>
      </c>
      <c r="I37" s="65" t="str">
        <f>'Necesidades Trimestrales'!F35</f>
        <v>UNIDAD</v>
      </c>
      <c r="J37" s="66">
        <f>'Necesidades Trimestrales'!H35</f>
        <v>23624.71</v>
      </c>
      <c r="K37" s="67">
        <f>'Necesidades Trimestrales'!G35</f>
        <v>4</v>
      </c>
    </row>
    <row r="38" spans="1:1024" ht="20.25" customHeight="1" thickBot="1" x14ac:dyDescent="0.25">
      <c r="A38" s="8">
        <v>27</v>
      </c>
      <c r="B38" s="63">
        <f>'Necesidades Trimestrales'!B36</f>
        <v>0</v>
      </c>
      <c r="C38" s="115" t="str">
        <f>'Necesidades Trimestrales'!E36</f>
        <v>SONDA FOLEY TRIPLE VIA HEMATURICA Nº 20</v>
      </c>
      <c r="D38" s="115"/>
      <c r="E38" s="115"/>
      <c r="F38" s="115"/>
      <c r="G38" s="115"/>
      <c r="H38" s="64" t="s">
        <v>56</v>
      </c>
      <c r="I38" s="65" t="str">
        <f>'Necesidades Trimestrales'!F36</f>
        <v>UNIDAD</v>
      </c>
      <c r="J38" s="66">
        <f>'Necesidades Trimestrales'!H36</f>
        <v>2151.5</v>
      </c>
      <c r="K38" s="67">
        <f>'Necesidades Trimestrales'!G36</f>
        <v>20</v>
      </c>
    </row>
    <row r="39" spans="1:1024" ht="20.25" customHeight="1" thickBot="1" x14ac:dyDescent="0.25">
      <c r="A39" s="8">
        <v>28</v>
      </c>
      <c r="B39" s="63">
        <f>'Necesidades Trimestrales'!B37</f>
        <v>0</v>
      </c>
      <c r="C39" s="115" t="str">
        <f>'Necesidades Trimestrales'!E37</f>
        <v>SONDA FOLEY TRIPLE VIA HEMATURICA Nº 22</v>
      </c>
      <c r="D39" s="115"/>
      <c r="E39" s="115"/>
      <c r="F39" s="115"/>
      <c r="G39" s="115"/>
      <c r="H39" s="64" t="s">
        <v>56</v>
      </c>
      <c r="I39" s="65" t="str">
        <f>'Necesidades Trimestrales'!F37</f>
        <v>UNIDAD</v>
      </c>
      <c r="J39" s="66">
        <f>'Necesidades Trimestrales'!H37</f>
        <v>2151.5</v>
      </c>
      <c r="K39" s="67">
        <f>'Necesidades Trimestrales'!G37</f>
        <v>20</v>
      </c>
    </row>
    <row r="40" spans="1:1024" ht="20.25" customHeight="1" thickBot="1" x14ac:dyDescent="0.25">
      <c r="A40" s="8">
        <v>29</v>
      </c>
      <c r="B40" s="63">
        <f>'Necesidades Trimestrales'!B38</f>
        <v>0</v>
      </c>
      <c r="C40" s="115" t="str">
        <f>'Necesidades Trimestrales'!E38</f>
        <v>SONDA FOLEY TRIPLE VIA HEMATURICA Nº18</v>
      </c>
      <c r="D40" s="115"/>
      <c r="E40" s="115"/>
      <c r="F40" s="115"/>
      <c r="G40" s="115"/>
      <c r="H40" s="64" t="s">
        <v>56</v>
      </c>
      <c r="I40" s="65" t="str">
        <f>'Necesidades Trimestrales'!F38</f>
        <v>UNIDAD</v>
      </c>
      <c r="J40" s="66">
        <f>'Necesidades Trimestrales'!H38</f>
        <v>2151.5</v>
      </c>
      <c r="K40" s="67">
        <f>'Necesidades Trimestrales'!G38</f>
        <v>5</v>
      </c>
    </row>
    <row r="41" spans="1:1024" ht="20.25" customHeight="1" thickBot="1" x14ac:dyDescent="0.25">
      <c r="A41" s="8">
        <v>30</v>
      </c>
      <c r="B41" s="63">
        <f>'Necesidades Trimestrales'!B39</f>
        <v>0</v>
      </c>
      <c r="C41" s="115" t="str">
        <f>'Necesidades Trimestrales'!E39</f>
        <v xml:space="preserve">SONDA PARA DRENAJE TORACICO SILICONADO 150/28 TIPO SILMAG </v>
      </c>
      <c r="D41" s="115"/>
      <c r="E41" s="115"/>
      <c r="F41" s="115"/>
      <c r="G41" s="115"/>
      <c r="H41" s="64" t="s">
        <v>56</v>
      </c>
      <c r="I41" s="65" t="str">
        <f>'Necesidades Trimestrales'!F39</f>
        <v>UNIDAD</v>
      </c>
      <c r="J41" s="66">
        <f>'Necesidades Trimestrales'!H39</f>
        <v>3720.6</v>
      </c>
      <c r="K41" s="67">
        <f>'Necesidades Trimestrales'!G39</f>
        <v>150</v>
      </c>
    </row>
    <row r="42" spans="1:1024" ht="20.25" customHeight="1" thickBot="1" x14ac:dyDescent="0.25">
      <c r="A42" s="8">
        <v>31</v>
      </c>
      <c r="B42" s="63">
        <f>'Necesidades Trimestrales'!B40</f>
        <v>0</v>
      </c>
      <c r="C42" s="115" t="str">
        <f>'Necesidades Trimestrales'!E40</f>
        <v xml:space="preserve">SONDA PARA DRENAJE TORACICO SILICONADO 150/40 TIPO SILMAG </v>
      </c>
      <c r="D42" s="115"/>
      <c r="E42" s="115"/>
      <c r="F42" s="115"/>
      <c r="G42" s="115"/>
      <c r="H42" s="64" t="s">
        <v>56</v>
      </c>
      <c r="I42" s="65" t="str">
        <f>'Necesidades Trimestrales'!F40</f>
        <v>UNIDAD</v>
      </c>
      <c r="J42" s="66">
        <f>'Necesidades Trimestrales'!H40</f>
        <v>5374.2</v>
      </c>
      <c r="K42" s="67">
        <f>'Necesidades Trimestrales'!G40</f>
        <v>120</v>
      </c>
    </row>
    <row r="43" spans="1:1024" ht="20.25" customHeight="1" thickBot="1" x14ac:dyDescent="0.25">
      <c r="A43" s="8">
        <v>32</v>
      </c>
      <c r="B43" s="63">
        <f>'Necesidades Trimestrales'!B41</f>
        <v>0</v>
      </c>
      <c r="C43" s="115" t="str">
        <f>'Necesidades Trimestrales'!E41</f>
        <v>SONDA PARA NUTRICION ENTERAL TIPO K108 DE RIVERO</v>
      </c>
      <c r="D43" s="115"/>
      <c r="E43" s="115"/>
      <c r="F43" s="115"/>
      <c r="G43" s="115"/>
      <c r="H43" s="64" t="s">
        <v>56</v>
      </c>
      <c r="I43" s="65" t="str">
        <f>'Necesidades Trimestrales'!F41</f>
        <v>UNIDAD</v>
      </c>
      <c r="J43" s="66">
        <f>'Necesidades Trimestrales'!H41</f>
        <v>5800</v>
      </c>
      <c r="K43" s="67">
        <f>'Necesidades Trimestrales'!G41</f>
        <v>50</v>
      </c>
    </row>
    <row r="44" spans="1:1024" ht="20.25" customHeight="1" thickBot="1" x14ac:dyDescent="0.25">
      <c r="A44" s="8">
        <v>33</v>
      </c>
      <c r="B44" s="63">
        <f>'Necesidades Trimestrales'!B42</f>
        <v>0</v>
      </c>
      <c r="C44" s="115" t="str">
        <f>'Necesidades Trimestrales'!E42</f>
        <v>SURGICEL 7 x 5 CM SOBRE</v>
      </c>
      <c r="D44" s="115"/>
      <c r="E44" s="115"/>
      <c r="F44" s="115"/>
      <c r="G44" s="115"/>
      <c r="H44" s="64" t="s">
        <v>56</v>
      </c>
      <c r="I44" s="65" t="str">
        <f>'Necesidades Trimestrales'!F42</f>
        <v>UNIDAD</v>
      </c>
      <c r="J44" s="66">
        <f>'Necesidades Trimestrales'!H42</f>
        <v>988</v>
      </c>
      <c r="K44" s="67">
        <f>'Necesidades Trimestrales'!G42</f>
        <v>90</v>
      </c>
    </row>
    <row r="45" spans="1:1024" ht="20.25" customHeight="1" thickBot="1" x14ac:dyDescent="0.25">
      <c r="A45" s="107" t="s">
        <v>107</v>
      </c>
      <c r="B45" s="107"/>
      <c r="C45" s="107"/>
      <c r="D45" s="107"/>
      <c r="E45" s="107"/>
      <c r="F45" s="107"/>
      <c r="G45" s="107"/>
      <c r="H45" s="107"/>
      <c r="I45" s="107"/>
      <c r="J45" s="114">
        <f>SUMPRODUCT(J12:J44,K12:K44)</f>
        <v>8812744.7899999991</v>
      </c>
      <c r="K45" s="114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</sheetData>
  <mergeCells count="55">
    <mergeCell ref="C41:G41"/>
    <mergeCell ref="C42:G42"/>
    <mergeCell ref="C43:G43"/>
    <mergeCell ref="C44:G44"/>
    <mergeCell ref="C36:G36"/>
    <mergeCell ref="C37:G37"/>
    <mergeCell ref="C38:G38"/>
    <mergeCell ref="C39:G39"/>
    <mergeCell ref="C40:G40"/>
    <mergeCell ref="C31:G31"/>
    <mergeCell ref="C32:G32"/>
    <mergeCell ref="C33:G33"/>
    <mergeCell ref="C34:G34"/>
    <mergeCell ref="C35:G35"/>
    <mergeCell ref="C26:G26"/>
    <mergeCell ref="C27:G27"/>
    <mergeCell ref="C28:G28"/>
    <mergeCell ref="C29:G29"/>
    <mergeCell ref="C30:G30"/>
    <mergeCell ref="A45:I45"/>
    <mergeCell ref="J45:K45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4" zoomScale="130" zoomScaleNormal="130" workbookViewId="0">
      <selection activeCell="S20" sqref="S2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6" t="s">
        <v>3</v>
      </c>
      <c r="B1" s="116"/>
      <c r="C1" s="116"/>
      <c r="D1" s="117">
        <f>'Necesidades Trimestrales'!C6</f>
        <v>2022</v>
      </c>
      <c r="E1" s="117"/>
      <c r="F1" s="10"/>
      <c r="G1" s="10"/>
      <c r="H1" s="11"/>
      <c r="I1" s="11"/>
      <c r="J1" s="11"/>
      <c r="K1" s="11"/>
      <c r="L1" s="11"/>
      <c r="M1" s="11"/>
      <c r="N1" s="11"/>
      <c r="P1" s="118" t="s">
        <v>30</v>
      </c>
      <c r="Q1" s="118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8"/>
      <c r="Q2" s="118"/>
    </row>
    <row r="4" spans="1:17" s="12" customFormat="1" ht="18" customHeight="1" thickBot="1" x14ac:dyDescent="0.25">
      <c r="A4" s="119" t="s">
        <v>31</v>
      </c>
      <c r="B4" s="119"/>
      <c r="C4" s="119"/>
      <c r="D4" s="119"/>
      <c r="E4" s="119"/>
      <c r="F4" s="119"/>
      <c r="G4" s="120" t="str">
        <f>NotaPedido!D3</f>
        <v>40 - Ministerio de Salud</v>
      </c>
      <c r="H4" s="120"/>
      <c r="I4" s="120"/>
      <c r="J4" s="120"/>
      <c r="K4" s="120"/>
      <c r="L4" s="120"/>
      <c r="M4" s="120"/>
      <c r="N4" s="120"/>
      <c r="O4" s="120"/>
      <c r="P4" s="120"/>
      <c r="Q4" s="120"/>
    </row>
    <row r="5" spans="1:17" s="12" customFormat="1" ht="18" customHeight="1" thickBot="1" x14ac:dyDescent="0.25">
      <c r="A5" s="121" t="s">
        <v>54</v>
      </c>
      <c r="B5" s="122"/>
      <c r="C5" s="122"/>
      <c r="D5" s="122"/>
      <c r="E5" s="122"/>
      <c r="F5" s="123"/>
      <c r="G5" s="120" t="str">
        <f>NotaPedido!D4</f>
        <v>23 - Hospital Interzonal San Juan Bautista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</row>
    <row r="6" spans="1:17" s="12" customFormat="1" ht="18" customHeight="1" thickBot="1" x14ac:dyDescent="0.25">
      <c r="A6" s="121" t="s">
        <v>32</v>
      </c>
      <c r="B6" s="122"/>
      <c r="C6" s="122"/>
      <c r="D6" s="122"/>
      <c r="E6" s="122"/>
      <c r="F6" s="123"/>
      <c r="G6" s="120" t="str">
        <f>NotaPedido!D5</f>
        <v>168 - Direccion Asistencial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</row>
    <row r="7" spans="1:17" s="12" customFormat="1" ht="18" customHeight="1" thickBot="1" x14ac:dyDescent="0.25">
      <c r="A7" s="121" t="s">
        <v>55</v>
      </c>
      <c r="B7" s="122"/>
      <c r="C7" s="122"/>
      <c r="D7" s="122"/>
      <c r="E7" s="122"/>
      <c r="F7" s="123"/>
      <c r="G7" s="120" t="str">
        <f>NotaPedido!D6</f>
        <v>Servicio de Farmacia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8" spans="1:17" ht="18" customHeight="1" thickBot="1" x14ac:dyDescent="0.25">
      <c r="A8" s="124" t="s">
        <v>33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</row>
    <row r="9" spans="1:17" ht="18" customHeight="1" x14ac:dyDescent="0.2">
      <c r="A9" s="125" t="s">
        <v>34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"/>
      <c r="P9" s="1"/>
      <c r="Q9" s="13"/>
    </row>
    <row r="10" spans="1:17" ht="54.75" customHeight="1" x14ac:dyDescent="0.2">
      <c r="A10" s="126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012 - 2022,  afectando la erogación resultante a los créditos presupuestarios aprobados a favor de esta Unidad Ejecutora, conforme al siguiente detalle: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7" t="s">
        <v>35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7" ht="15.75" customHeight="1" x14ac:dyDescent="0.2">
      <c r="A13" s="128" t="s">
        <v>36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9" t="s">
        <v>37</v>
      </c>
      <c r="P13" s="129"/>
      <c r="Q13" s="130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29"/>
      <c r="P14" s="129"/>
      <c r="Q14" s="130"/>
    </row>
    <row r="15" spans="1:17" ht="17.25" customHeight="1" x14ac:dyDescent="0.2">
      <c r="A15" s="70">
        <v>33</v>
      </c>
      <c r="B15" s="71"/>
      <c r="C15" s="71"/>
      <c r="D15" s="71">
        <v>2</v>
      </c>
      <c r="E15" s="71"/>
      <c r="F15" s="71">
        <v>4901</v>
      </c>
      <c r="G15" s="71">
        <v>3</v>
      </c>
      <c r="H15" s="72" t="s">
        <v>62</v>
      </c>
      <c r="I15" s="73">
        <v>2</v>
      </c>
      <c r="J15" s="73">
        <v>5</v>
      </c>
      <c r="K15" s="73">
        <v>2</v>
      </c>
      <c r="L15" s="71"/>
      <c r="M15" s="74">
        <v>1</v>
      </c>
      <c r="N15" s="72" t="s">
        <v>63</v>
      </c>
      <c r="O15" s="131" t="s">
        <v>111</v>
      </c>
      <c r="P15" s="131"/>
      <c r="Q15" s="23">
        <v>29280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68" t="s">
        <v>62</v>
      </c>
      <c r="I16" s="25">
        <v>2</v>
      </c>
      <c r="J16" s="25">
        <v>9</v>
      </c>
      <c r="K16" s="25">
        <v>5</v>
      </c>
      <c r="L16" s="25"/>
      <c r="M16" s="26">
        <v>1</v>
      </c>
      <c r="N16" s="69" t="s">
        <v>63</v>
      </c>
      <c r="O16" s="132" t="s">
        <v>64</v>
      </c>
      <c r="P16" s="132"/>
      <c r="Q16" s="28">
        <v>8783464.7899999991</v>
      </c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8"/>
      <c r="I17" s="25"/>
      <c r="J17" s="25"/>
      <c r="K17" s="25"/>
      <c r="L17" s="25"/>
      <c r="M17" s="26"/>
      <c r="N17" s="69"/>
      <c r="O17" s="132"/>
      <c r="P17" s="132"/>
      <c r="Q17" s="28"/>
      <c r="S17" s="75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8"/>
      <c r="I18" s="25"/>
      <c r="J18" s="25"/>
      <c r="K18" s="25"/>
      <c r="L18" s="25"/>
      <c r="M18" s="26"/>
      <c r="N18" s="69"/>
      <c r="O18" s="133"/>
      <c r="P18" s="134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4"/>
      <c r="P19" s="134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34"/>
      <c r="P20" s="134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40"/>
      <c r="P21" s="140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41"/>
      <c r="P22" s="141"/>
      <c r="Q22" s="37"/>
    </row>
    <row r="23" spans="1:19" ht="20.25" customHeight="1" x14ac:dyDescent="0.2">
      <c r="A23" s="142" t="s">
        <v>108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85">
        <f>SUM(Q15:Q22)</f>
        <v>8812744.7899999991</v>
      </c>
    </row>
    <row r="24" spans="1:19" ht="18" customHeight="1" thickBot="1" x14ac:dyDescent="0.25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</row>
    <row r="25" spans="1:19" ht="17.25" customHeight="1" thickBot="1" x14ac:dyDescent="0.25">
      <c r="A25" s="135" t="s">
        <v>52</v>
      </c>
      <c r="B25" s="136"/>
      <c r="C25" s="136"/>
      <c r="D25" s="136"/>
      <c r="E25" s="136"/>
      <c r="F25" s="137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</row>
    <row r="26" spans="1:19" ht="18" customHeight="1" thickBot="1" x14ac:dyDescent="0.25">
      <c r="A26" s="139" t="str">
        <f>"Para la "&amp; NotaPedido!D8 &amp;" para ser destinados al " &amp; NotaPedido!D6 &amp;"  del HISJB del Ministerio de Salud."</f>
        <v>Para la Adquisición de Descartables Complejos  para ser destinados al Servicio de Farmacia  del HISJB del Ministerio de Salud.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</row>
    <row r="27" spans="1:19" ht="15" customHeight="1" x14ac:dyDescent="0.2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2022-01-27T15:50:13Z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