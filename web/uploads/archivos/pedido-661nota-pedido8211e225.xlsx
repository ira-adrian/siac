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B8EBC34-14F1-4984-BAB1-0C1D0F50564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NotaPedido'!$A$1:$K$21</definedName>
    <definedName name="_xlnm.Print_Area" localSheetId="2">'Autor Gastar'!$A$1:$Q$29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3" l="1"/>
  <c r="A10" i="3" l="1"/>
  <c r="I11" i="1" l="1"/>
  <c r="I12" i="1"/>
  <c r="I10" i="1"/>
  <c r="D7" i="2" l="1"/>
  <c r="Q25" i="3" l="1"/>
  <c r="D3" i="2" l="1"/>
  <c r="G4" i="3" s="1"/>
  <c r="D4" i="2"/>
  <c r="G5" i="3" s="1"/>
  <c r="D1" i="3" l="1"/>
  <c r="J21" i="2"/>
</calcChain>
</file>

<file path=xl/sharedStrings.xml><?xml version="1.0" encoding="utf-8"?>
<sst xmlns="http://schemas.openxmlformats.org/spreadsheetml/2006/main" count="132" uniqueCount="94">
  <si>
    <t>JURISDICCION:</t>
  </si>
  <si>
    <t xml:space="preserve">SAF N°: </t>
  </si>
  <si>
    <t>EJERCICIO: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</si>
  <si>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</si>
  <si>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</si>
  <si>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</si>
  <si>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</si>
  <si>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</si>
  <si>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</si>
  <si>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</si>
  <si>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</si>
  <si>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</si>
  <si>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</si>
  <si>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</si>
  <si>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</si>
  <si>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</si>
  <si>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</si>
  <si>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</si>
  <si>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</si>
  <si>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</si>
  <si>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</si>
  <si>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</si>
  <si>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</si>
  <si>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</si>
  <si>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</si>
  <si>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</si>
  <si>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</si>
  <si>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</si>
  <si>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</si>
  <si>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</si>
  <si>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</si>
  <si>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</si>
  <si>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</si>
  <si>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</si>
  <si>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</si>
  <si>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</si>
  <si>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</si>
  <si>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</si>
  <si>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</si>
  <si>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</si>
  <si>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</si>
  <si>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</si>
  <si>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</si>
  <si>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</si>
  <si>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</si>
  <si>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</si>
  <si>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</si>
  <si>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</si>
  <si>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</si>
  <si>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</si>
  <si>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</si>
  <si>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</si>
  <si>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</si>
  <si>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</si>
  <si>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</si>
  <si>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</si>
  <si>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Media</t>
  </si>
  <si>
    <r>
      <rPr>
        <u/>
        <sz val="10"/>
        <rFont val="Times New Roman"/>
        <family val="1"/>
      </rPr>
      <t>Boca de Expendio:</t>
    </r>
    <r>
      <rPr>
        <sz val="10"/>
        <rFont val="Times New Roman"/>
        <family val="1"/>
      </rPr>
      <t xml:space="preserve"> San Fernando del Valle de Catamaraca (CP 4700)</t>
    </r>
  </si>
  <si>
    <t xml:space="preserve">44- Promocion Deportiva y Recreacion </t>
  </si>
  <si>
    <t>Plazo de Mantenimiento 30 dias</t>
  </si>
  <si>
    <t>01-Actividad Central</t>
  </si>
  <si>
    <t>44-Promocion Deportiva y Recreacion - MDSD</t>
  </si>
  <si>
    <t>01 -Actividad Central</t>
  </si>
  <si>
    <t>TRIMESTRE</t>
  </si>
  <si>
    <t>2.9.1-6951.184</t>
  </si>
  <si>
    <t>ELEMENTOS DE LIMPIEZA</t>
  </si>
  <si>
    <t>2.5.9-8633.4</t>
  </si>
  <si>
    <t>QUIMICOS</t>
  </si>
  <si>
    <t>ADITIVOS P/AGUA; TIPO: REGULADOR DE PH, PRESENTACION: ENVASE X 5 L, CAPACIDAD: SIN VALOR</t>
  </si>
  <si>
    <t>2.5.4-5076.2</t>
  </si>
  <si>
    <t>ALGUICIDAS; ESTADO: LIQUIDO, PRESENTACION: BIDON X 1 L, CONCENTRACION/PUREZA: SIN VALOR</t>
  </si>
  <si>
    <t>Adquisicion de Cloro en presentacion de 1kg. decantador y alguicida necesario para el mantenimiento de los natatorios afectados a las colonias de verano.</t>
  </si>
  <si>
    <t xml:space="preserve">PEDIDO DE NECESIDADES TRIMESTRALES </t>
  </si>
  <si>
    <t>25- Dirección Provincial de Gestión Administrativa y RRHH</t>
  </si>
  <si>
    <t>Especificidades Item N° 2:</t>
  </si>
  <si>
    <t>Especificidades Item N° 3:</t>
  </si>
  <si>
    <t>LIMPIADORES; TIPO: CLORO, PRESENTACION: 1 Kg</t>
  </si>
  <si>
    <t>Kilogramo</t>
  </si>
  <si>
    <t>2.5.4</t>
  </si>
  <si>
    <t>Litro</t>
  </si>
  <si>
    <t>2.5.9</t>
  </si>
  <si>
    <t>SI</t>
  </si>
  <si>
    <t>Costo total estimado: PESOS SEIS MILLONES NOVECIENTOS SETENTA Y OCHO MIL NOVECIENTOS SESENTA CON 00/100</t>
  </si>
  <si>
    <t>TOTAL DE PESOS:SEIS MILLONES NOVECIENTOS SETENTA Y OCHO MIL NOVECIENTOS SESENTA CON 00/100</t>
  </si>
  <si>
    <t>Otros No Especificados Precedentemente (N.E.P.)</t>
  </si>
  <si>
    <t>Insecticidas, Fumigantes y Otros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</si>
  <si>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las oficinas de la Secretria de Deportes y Recreacion, ubicadas en la calle Ramon Luna S/N - San Fernando del Valle de Catamarca (CP 4700) dependientes del Ministerio de Desarrollo Social y Deporte. 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</si>
  <si>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las oficinas de la Secretria de Deportes y Recreacion, ubicadas en la calle Ramon Luna S/N - San Fernando del Valle de Catamarca (CP 4700) dependientes del Ministerio de Desarrollo Social y Deporte.</t>
    </r>
  </si>
  <si>
    <t xml:space="preserve">Alguicidas para tratamientos de aguas de piscinas de amplio espectro indicado para aguas blandas, presentacion en envase de 1 Litro. </t>
  </si>
  <si>
    <t>Cloro granulado para piscinas pintdas disolucion rapida 60% de cloro activo en presentacion de 1kg.</t>
  </si>
  <si>
    <t>1163/2021</t>
  </si>
  <si>
    <t xml:space="preserve">Aditivo para agua, tipo decantador en presentacion en envase de 5 litro. 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</si>
  <si>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05 (cinco) dias habiles de Notificada la Orden de Compra</t>
    </r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</si>
  <si>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05 (cinco) habiles dias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</si>
</sst>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3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Times New Roman"/>
      <family val="1"/>
      <charset val="1"/>
    </font>
    <font>
      <sz val="10"/>
      <color theme="1"/>
      <name val="Arial"/>
      <family val="2"/>
    </font>
    <font>
      <sz val="10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5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6" xfId="0" applyBorder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66" fontId="14" fillId="0" borderId="31" xfId="0" applyNumberFormat="1" applyFont="1" applyBorder="1" applyAlignment="1">
      <alignment horizontal="center" vertical="center"/>
    </xf>
    <xf numFmtId="0" fontId="16" fillId="0" borderId="0" xfId="0" applyFont="1"/>
    <xf numFmtId="0" fontId="0" fillId="3" borderId="2" xfId="0" applyFont="1" applyFill="1" applyBorder="1" applyAlignment="1">
      <alignment horizontal="center" vertical="center"/>
    </xf>
    <xf numFmtId="166" fontId="0" fillId="0" borderId="2" xfId="3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11" xfId="0" applyFont="1" applyFill="1" applyBorder="1" applyAlignment="1">
      <alignment horizontal="right" vertical="center"/>
    </xf>
    <xf numFmtId="0" fontId="5" fillId="4" borderId="13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16" fillId="4" borderId="0" xfId="0" applyFont="1" applyFill="1"/>
    <xf numFmtId="0" fontId="19" fillId="4" borderId="0" xfId="0" applyFont="1" applyFill="1" applyAlignment="1">
      <alignment horizontal="left" wrapText="1"/>
    </xf>
    <xf numFmtId="0" fontId="19" fillId="4" borderId="0" xfId="0" applyFont="1" applyFill="1" applyAlignment="1">
      <alignment horizontal="center" wrapText="1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20" fillId="4" borderId="38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22" fillId="4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wrapText="1"/>
    </xf>
    <xf numFmtId="166" fontId="21" fillId="3" borderId="2" xfId="1" applyNumberFormat="1" applyFont="1" applyFill="1" applyBorder="1" applyAlignment="1" applyProtection="1">
      <alignment horizontal="right" vertical="center" wrapText="1"/>
    </xf>
    <xf numFmtId="0" fontId="16" fillId="4" borderId="4" xfId="0" applyFont="1" applyFill="1" applyBorder="1"/>
    <xf numFmtId="0" fontId="16" fillId="4" borderId="5" xfId="0" applyFont="1" applyFill="1" applyBorder="1"/>
    <xf numFmtId="0" fontId="16" fillId="4" borderId="6" xfId="0" applyFont="1" applyFill="1" applyBorder="1"/>
    <xf numFmtId="0" fontId="16" fillId="4" borderId="0" xfId="0" applyFont="1" applyFill="1" applyBorder="1"/>
    <xf numFmtId="0" fontId="16" fillId="4" borderId="7" xfId="0" applyFont="1" applyFill="1" applyBorder="1"/>
    <xf numFmtId="0" fontId="23" fillId="4" borderId="6" xfId="0" applyFont="1" applyFill="1" applyBorder="1" applyAlignment="1">
      <alignment horizontal="left" indent="3"/>
    </xf>
    <xf numFmtId="0" fontId="16" fillId="4" borderId="6" xfId="0" applyFont="1" applyFill="1" applyBorder="1" applyAlignment="1">
      <alignment horizontal="left" indent="3"/>
    </xf>
    <xf numFmtId="0" fontId="16" fillId="3" borderId="0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4" borderId="0" xfId="0" applyFont="1" applyFill="1" applyBorder="1" applyAlignment="1">
      <alignment horizontal="center" wrapText="1"/>
    </xf>
    <xf numFmtId="0" fontId="16" fillId="4" borderId="7" xfId="0" applyFont="1" applyFill="1" applyBorder="1" applyAlignment="1">
      <alignment horizontal="center" wrapText="1"/>
    </xf>
    <xf numFmtId="0" fontId="16" fillId="4" borderId="8" xfId="0" applyFont="1" applyFill="1" applyBorder="1" applyAlignment="1">
      <alignment horizontal="left" indent="3"/>
    </xf>
    <xf numFmtId="0" fontId="16" fillId="4" borderId="9" xfId="0" applyFont="1" applyFill="1" applyBorder="1"/>
    <xf numFmtId="0" fontId="16" fillId="4" borderId="10" xfId="0" applyFont="1" applyFill="1" applyBorder="1"/>
    <xf numFmtId="0" fontId="20" fillId="4" borderId="4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28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66" fontId="4" fillId="4" borderId="2" xfId="1" applyNumberFormat="1" applyFont="1" applyFill="1" applyBorder="1" applyAlignment="1" applyProtection="1">
      <alignment horizontal="right" vertical="center" wrapText="1"/>
    </xf>
    <xf numFmtId="3" fontId="4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9" fontId="15" fillId="0" borderId="0" xfId="1" applyNumberFormat="1"/>
    <xf numFmtId="0" fontId="15" fillId="4" borderId="2" xfId="0" applyFont="1" applyFill="1" applyBorder="1"/>
    <xf numFmtId="0" fontId="22" fillId="3" borderId="2" xfId="0" applyFont="1" applyFill="1" applyBorder="1" applyAlignment="1">
      <alignment horizontal="center" vertical="center" wrapText="1"/>
    </xf>
    <xf numFmtId="0" fontId="23" fillId="4" borderId="3" xfId="0" applyFont="1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29" fillId="3" borderId="2" xfId="0" applyFont="1" applyFill="1" applyBorder="1" applyAlignment="1">
      <alignment horizontal="center" vertical="center"/>
    </xf>
    <xf numFmtId="166" fontId="0" fillId="4" borderId="2" xfId="3" applyNumberFormat="1" applyFont="1" applyFill="1" applyBorder="1" applyAlignment="1" applyProtection="1">
      <alignment horizontal="center" vertical="center"/>
    </xf>
    <xf numFmtId="0" fontId="0" fillId="4" borderId="0" xfId="0" applyFill="1"/>
    <xf numFmtId="0" fontId="30" fillId="4" borderId="2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166" fontId="0" fillId="0" borderId="2" xfId="3" applyNumberFormat="1" applyFont="1" applyFill="1" applyBorder="1" applyAlignment="1" applyProtection="1">
      <alignment horizontal="center" vertical="center"/>
    </xf>
    <xf numFmtId="0" fontId="15" fillId="0" borderId="0" xfId="0" applyFont="1" applyFill="1"/>
    <xf numFmtId="0" fontId="0" fillId="0" borderId="0" xfId="0" applyFill="1"/>
    <xf numFmtId="0" fontId="16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left" vertical="top" wrapText="1"/>
    </xf>
    <xf numFmtId="0" fontId="16" fillId="3" borderId="0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18" fillId="4" borderId="0" xfId="0" applyFont="1" applyFill="1" applyBorder="1" applyAlignment="1">
      <alignment horizontal="left" vertical="center" wrapText="1"/>
    </xf>
    <xf numFmtId="0" fontId="17" fillId="4" borderId="0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4" borderId="41" xfId="0" applyFont="1" applyFill="1" applyBorder="1" applyAlignment="1">
      <alignment horizontal="left" vertical="center" wrapText="1" indent="1"/>
    </xf>
    <xf numFmtId="167" fontId="25" fillId="4" borderId="4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 wrapText="1" indent="1"/>
    </xf>
    <xf numFmtId="0" fontId="8" fillId="4" borderId="17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 indent="1"/>
    </xf>
    <xf numFmtId="0" fontId="7" fillId="4" borderId="16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3" borderId="31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7" fillId="0" borderId="31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0" fillId="0" borderId="22" xfId="0" applyBorder="1"/>
    <xf numFmtId="0" fontId="30" fillId="0" borderId="2" xfId="0" applyFont="1" applyFill="1" applyBorder="1" applyAlignment="1">
      <alignment horizontal="left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12" fillId="0" borderId="23" xfId="0" applyFont="1" applyBorder="1"/>
    <xf numFmtId="0" fontId="12" fillId="0" borderId="24" xfId="0" applyFont="1" applyBorder="1" applyAlignment="1">
      <alignment horizontal="left" vertical="center" wrapText="1" indent="1"/>
    </xf>
    <xf numFmtId="0" fontId="14" fillId="0" borderId="2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26" fillId="4" borderId="2" xfId="0" applyFon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indent="1"/>
    </xf>
    <xf numFmtId="0" fontId="13" fillId="0" borderId="12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10" fillId="0" borderId="21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66"/>
  <sheetViews>
    <sheetView tabSelected="1" zoomScaleNormal="100" workbookViewId="0">
      <selection activeCell="C31" sqref="C31:E31"/>
    </sheetView>
  </sheetViews>
  <sheetFormatPr baseColWidth="10" defaultColWidth="11" defaultRowHeight="12.75" x14ac:dyDescent="0.2"/>
  <cols>
    <col min="1" max="1" width="8" style="18" customWidth="1"/>
    <col min="2" max="2" width="21.7109375" style="18" customWidth="1"/>
    <col min="3" max="3" width="32.42578125" style="18" customWidth="1"/>
    <col min="4" max="4" width="20.42578125" style="18" customWidth="1"/>
    <col min="5" max="5" width="126.42578125" style="18" bestFit="1" customWidth="1"/>
    <col min="6" max="6" width="11" style="18"/>
    <col min="7" max="7" width="12" style="18" customWidth="1"/>
    <col min="8" max="8" width="12.5703125" style="18" customWidth="1"/>
    <col min="9" max="9" width="17" style="18" customWidth="1"/>
    <col min="10" max="11" width="11" style="18"/>
    <col min="12" max="12" width="11.140625" style="18" bestFit="1" customWidth="1"/>
    <col min="13" max="13" width="14.42578125" style="18" bestFit="1" customWidth="1"/>
    <col min="14" max="16384" width="11" style="18"/>
  </cols>
  <sheetData>
    <row r="2" spans="1:13" ht="27" x14ac:dyDescent="0.35">
      <c r="A2" s="29"/>
      <c r="B2" s="96" t="s">
        <v>72</v>
      </c>
      <c r="C2" s="96"/>
      <c r="D2" s="96"/>
      <c r="E2" s="96"/>
      <c r="F2" s="96"/>
      <c r="G2" s="96"/>
      <c r="H2" s="96"/>
      <c r="I2" s="29"/>
    </row>
    <row r="3" spans="1:13" x14ac:dyDescent="0.2">
      <c r="A3" s="29"/>
      <c r="B3" s="29"/>
      <c r="C3" s="29"/>
      <c r="D3" s="29"/>
      <c r="E3" s="29"/>
      <c r="F3" s="29"/>
      <c r="G3" s="29"/>
      <c r="H3" s="29"/>
      <c r="I3" s="29"/>
    </row>
    <row r="4" spans="1:13" ht="18" customHeight="1" x14ac:dyDescent="0.25">
      <c r="A4" s="95" t="s">
        <v>0</v>
      </c>
      <c r="B4" s="95"/>
      <c r="C4" s="97" t="s">
        <v>55</v>
      </c>
      <c r="D4" s="97"/>
      <c r="E4" s="97"/>
      <c r="F4" s="30"/>
      <c r="G4" s="31"/>
      <c r="H4" s="30"/>
      <c r="I4" s="29"/>
    </row>
    <row r="5" spans="1:13" ht="18" customHeight="1" x14ac:dyDescent="0.25">
      <c r="A5" s="95" t="s">
        <v>1</v>
      </c>
      <c r="B5" s="95"/>
      <c r="C5" s="97" t="s">
        <v>73</v>
      </c>
      <c r="D5" s="97"/>
      <c r="E5" s="97"/>
      <c r="F5" s="30"/>
      <c r="G5" s="31"/>
      <c r="H5" s="30"/>
      <c r="I5" s="29"/>
    </row>
    <row r="6" spans="1:13" ht="16.5" customHeight="1" x14ac:dyDescent="0.25">
      <c r="A6" s="95" t="s">
        <v>2</v>
      </c>
      <c r="B6" s="95"/>
      <c r="C6" s="32">
        <v>2021</v>
      </c>
      <c r="D6" s="33"/>
      <c r="E6" s="33"/>
      <c r="F6" s="30"/>
      <c r="G6" s="31"/>
      <c r="H6" s="30"/>
      <c r="I6" s="29"/>
    </row>
    <row r="7" spans="1:13" ht="16.5" customHeight="1" x14ac:dyDescent="0.25">
      <c r="A7" s="95" t="s">
        <v>63</v>
      </c>
      <c r="B7" s="95"/>
      <c r="C7" s="32">
        <v>4</v>
      </c>
      <c r="D7" s="33"/>
      <c r="E7" s="33"/>
      <c r="F7" s="30"/>
      <c r="G7" s="31"/>
      <c r="H7" s="30"/>
      <c r="I7" s="29"/>
    </row>
    <row r="8" spans="1:13" ht="13.5" thickBot="1" x14ac:dyDescent="0.25">
      <c r="A8" s="29"/>
      <c r="B8" s="30"/>
      <c r="C8" s="31"/>
      <c r="D8" s="30"/>
      <c r="E8" s="30"/>
      <c r="F8" s="30"/>
      <c r="G8" s="31"/>
      <c r="H8" s="30"/>
      <c r="I8" s="29"/>
    </row>
    <row r="9" spans="1:13" ht="49.5" customHeight="1" x14ac:dyDescent="0.2">
      <c r="A9" s="34" t="s">
        <v>3</v>
      </c>
      <c r="B9" s="57" t="s">
        <v>4</v>
      </c>
      <c r="C9" s="57" t="s">
        <v>5</v>
      </c>
      <c r="D9" s="35" t="s">
        <v>6</v>
      </c>
      <c r="E9" s="57" t="s">
        <v>7</v>
      </c>
      <c r="F9" s="36" t="s">
        <v>8</v>
      </c>
      <c r="G9" s="37" t="s">
        <v>9</v>
      </c>
      <c r="H9" s="37" t="s">
        <v>10</v>
      </c>
      <c r="I9" s="38" t="s">
        <v>11</v>
      </c>
    </row>
    <row r="10" spans="1:13" x14ac:dyDescent="0.2">
      <c r="A10" s="61">
        <v>1</v>
      </c>
      <c r="B10" s="69" t="s">
        <v>69</v>
      </c>
      <c r="C10" s="39" t="s">
        <v>67</v>
      </c>
      <c r="D10" s="72" t="s">
        <v>78</v>
      </c>
      <c r="E10" s="39" t="s">
        <v>70</v>
      </c>
      <c r="F10" s="40" t="s">
        <v>79</v>
      </c>
      <c r="G10" s="41">
        <v>820</v>
      </c>
      <c r="H10" s="42">
        <v>830</v>
      </c>
      <c r="I10" s="42">
        <f>+G10*H10</f>
        <v>680600</v>
      </c>
    </row>
    <row r="11" spans="1:13" x14ac:dyDescent="0.2">
      <c r="A11" s="61">
        <v>2</v>
      </c>
      <c r="B11" s="69" t="s">
        <v>66</v>
      </c>
      <c r="C11" s="39" t="s">
        <v>67</v>
      </c>
      <c r="D11" s="72" t="s">
        <v>80</v>
      </c>
      <c r="E11" s="39" t="s">
        <v>68</v>
      </c>
      <c r="F11" s="40" t="s">
        <v>79</v>
      </c>
      <c r="G11" s="41">
        <v>820</v>
      </c>
      <c r="H11" s="42">
        <v>798</v>
      </c>
      <c r="I11" s="42">
        <f t="shared" ref="I11:I12" si="0">+G11*H11</f>
        <v>654360</v>
      </c>
    </row>
    <row r="12" spans="1:13" x14ac:dyDescent="0.2">
      <c r="A12" s="61">
        <v>3</v>
      </c>
      <c r="B12" s="69" t="s">
        <v>64</v>
      </c>
      <c r="C12" s="39" t="s">
        <v>65</v>
      </c>
      <c r="D12" s="82" t="s">
        <v>80</v>
      </c>
      <c r="E12" s="39" t="s">
        <v>76</v>
      </c>
      <c r="F12" s="70" t="s">
        <v>77</v>
      </c>
      <c r="G12" s="70">
        <v>3400</v>
      </c>
      <c r="H12" s="42">
        <v>1660</v>
      </c>
      <c r="I12" s="42">
        <f t="shared" si="0"/>
        <v>5644000</v>
      </c>
    </row>
    <row r="13" spans="1:13" x14ac:dyDescent="0.2">
      <c r="A13" s="61"/>
      <c r="B13" s="39"/>
      <c r="C13" s="39"/>
      <c r="D13" s="81"/>
      <c r="E13" s="39"/>
      <c r="F13" s="40"/>
      <c r="G13" s="41"/>
      <c r="H13" s="42"/>
      <c r="I13" s="42"/>
      <c r="L13" s="68"/>
      <c r="M13" s="68"/>
    </row>
    <row r="14" spans="1:13" x14ac:dyDescent="0.2">
      <c r="A14" s="61"/>
      <c r="B14" s="69"/>
      <c r="C14" s="39"/>
      <c r="D14" s="39"/>
      <c r="E14" s="39"/>
      <c r="F14" s="40"/>
      <c r="G14" s="41"/>
      <c r="H14" s="42"/>
      <c r="I14" s="42"/>
    </row>
    <row r="15" spans="1:13" x14ac:dyDescent="0.2">
      <c r="A15" s="61"/>
      <c r="B15" s="69"/>
      <c r="C15" s="39"/>
      <c r="D15" s="39"/>
      <c r="E15" s="39"/>
      <c r="F15" s="40"/>
      <c r="G15" s="41"/>
      <c r="H15" s="42"/>
      <c r="I15" s="42"/>
    </row>
    <row r="16" spans="1:13" x14ac:dyDescent="0.2">
      <c r="A16" s="61"/>
      <c r="B16" s="69"/>
      <c r="C16" s="39"/>
      <c r="D16" s="39"/>
      <c r="E16" s="39"/>
      <c r="F16" s="70"/>
      <c r="G16" s="70"/>
      <c r="H16" s="42"/>
      <c r="I16" s="42"/>
    </row>
    <row r="17" spans="1:9" ht="13.5" thickBot="1" x14ac:dyDescent="0.25">
      <c r="A17" s="29"/>
      <c r="B17" s="29"/>
      <c r="C17" s="29"/>
      <c r="D17" s="29"/>
      <c r="E17" s="29"/>
      <c r="F17" s="29"/>
      <c r="G17" s="29"/>
      <c r="H17" s="29"/>
      <c r="I17" s="29"/>
    </row>
    <row r="18" spans="1:9" x14ac:dyDescent="0.2">
      <c r="A18" s="29"/>
      <c r="B18" s="71" t="s">
        <v>12</v>
      </c>
      <c r="C18" s="43"/>
      <c r="D18" s="43"/>
      <c r="E18" s="44"/>
      <c r="F18" s="29"/>
      <c r="G18" s="29"/>
      <c r="H18" s="29"/>
      <c r="I18" s="29"/>
    </row>
    <row r="19" spans="1:9" ht="5.25" customHeight="1" x14ac:dyDescent="0.2">
      <c r="A19" s="29"/>
      <c r="B19" s="45"/>
      <c r="C19" s="46"/>
      <c r="D19" s="46"/>
      <c r="E19" s="47"/>
      <c r="F19" s="29"/>
      <c r="G19" s="29"/>
      <c r="H19" s="29"/>
      <c r="I19" s="29"/>
    </row>
    <row r="20" spans="1:9" x14ac:dyDescent="0.2">
      <c r="A20" s="29"/>
      <c r="B20" s="48" t="s">
        <v>13</v>
      </c>
      <c r="C20" s="46"/>
      <c r="D20" s="46"/>
      <c r="E20" s="47"/>
      <c r="F20" s="29"/>
      <c r="G20" s="29"/>
      <c r="H20" s="29"/>
      <c r="I20" s="29"/>
    </row>
    <row r="21" spans="1:9" ht="46.5" customHeight="1" x14ac:dyDescent="0.2">
      <c r="A21" s="29"/>
      <c r="B21" s="48"/>
      <c r="C21" s="90" t="s">
        <v>88</v>
      </c>
      <c r="D21" s="90"/>
      <c r="E21" s="90"/>
      <c r="F21" s="29"/>
      <c r="G21" s="29"/>
      <c r="H21" s="29"/>
      <c r="I21" s="29"/>
    </row>
    <row r="22" spans="1:9" x14ac:dyDescent="0.2">
      <c r="A22" s="29"/>
      <c r="B22" s="48" t="s">
        <v>14</v>
      </c>
      <c r="C22" s="46"/>
      <c r="D22" s="46"/>
      <c r="E22" s="47"/>
      <c r="F22" s="29"/>
      <c r="G22" s="29"/>
      <c r="H22" s="29"/>
      <c r="I22" s="29"/>
    </row>
    <row r="23" spans="1:9" x14ac:dyDescent="0.2">
      <c r="A23" s="29"/>
      <c r="B23" s="49"/>
      <c r="C23" s="91" t="s">
        <v>92</v>
      </c>
      <c r="D23" s="91"/>
      <c r="E23" s="92"/>
      <c r="F23" s="29"/>
      <c r="G23" s="29"/>
      <c r="H23" s="29"/>
      <c r="I23" s="29"/>
    </row>
    <row r="24" spans="1:9" ht="50.25" customHeight="1" x14ac:dyDescent="0.2">
      <c r="A24" s="29"/>
      <c r="B24" s="49"/>
      <c r="C24" s="93" t="s">
        <v>86</v>
      </c>
      <c r="D24" s="93"/>
      <c r="E24" s="94"/>
      <c r="F24" s="29"/>
      <c r="G24" s="29"/>
      <c r="H24" s="29"/>
      <c r="I24" s="29"/>
    </row>
    <row r="25" spans="1:9" x14ac:dyDescent="0.2">
      <c r="A25" s="29"/>
      <c r="B25" s="49"/>
      <c r="C25" s="50" t="s">
        <v>57</v>
      </c>
      <c r="D25" s="50"/>
      <c r="E25" s="51"/>
      <c r="F25" s="29"/>
      <c r="G25" s="29"/>
      <c r="H25" s="29"/>
      <c r="I25" s="29"/>
    </row>
    <row r="26" spans="1:9" x14ac:dyDescent="0.2">
      <c r="A26" s="29"/>
      <c r="B26" s="48" t="s">
        <v>15</v>
      </c>
      <c r="C26" s="46"/>
      <c r="D26" s="46"/>
      <c r="E26" s="47"/>
      <c r="F26" s="29"/>
      <c r="G26" s="29"/>
      <c r="H26" s="29"/>
      <c r="I26" s="29"/>
    </row>
    <row r="27" spans="1:9" ht="26.25" customHeight="1" x14ac:dyDescent="0.2">
      <c r="A27" s="29"/>
      <c r="B27" s="49"/>
      <c r="C27" s="88" t="s">
        <v>56</v>
      </c>
      <c r="D27" s="88"/>
      <c r="E27" s="88"/>
      <c r="F27" s="29"/>
      <c r="G27" s="29"/>
      <c r="H27" s="29"/>
      <c r="I27" s="29"/>
    </row>
    <row r="28" spans="1:9" x14ac:dyDescent="0.2">
      <c r="A28" s="29"/>
      <c r="B28" s="48" t="s">
        <v>16</v>
      </c>
      <c r="C28" s="52"/>
      <c r="D28" s="52"/>
      <c r="E28" s="53"/>
      <c r="F28" s="29"/>
      <c r="G28" s="29"/>
      <c r="H28" s="29"/>
      <c r="I28" s="29"/>
    </row>
    <row r="29" spans="1:9" ht="26.25" customHeight="1" x14ac:dyDescent="0.2">
      <c r="A29" s="29"/>
      <c r="B29" s="49"/>
      <c r="C29" s="88" t="s">
        <v>59</v>
      </c>
      <c r="D29" s="88"/>
      <c r="E29" s="88"/>
      <c r="F29" s="29"/>
      <c r="G29" s="29"/>
      <c r="H29" s="29"/>
      <c r="I29" s="29"/>
    </row>
    <row r="30" spans="1:9" x14ac:dyDescent="0.2">
      <c r="A30" s="29"/>
      <c r="B30" s="48" t="s">
        <v>17</v>
      </c>
      <c r="C30" s="46"/>
      <c r="D30" s="46"/>
      <c r="E30" s="47"/>
      <c r="F30" s="29"/>
      <c r="G30" s="29"/>
      <c r="H30" s="29"/>
      <c r="I30" s="29"/>
    </row>
    <row r="31" spans="1:9" ht="23.25" customHeight="1" x14ac:dyDescent="0.2">
      <c r="A31" s="29"/>
      <c r="B31" s="48"/>
      <c r="C31" s="89"/>
      <c r="D31" s="89"/>
      <c r="E31" s="89"/>
      <c r="F31" s="29"/>
      <c r="G31" s="29"/>
      <c r="H31" s="29"/>
      <c r="I31" s="29"/>
    </row>
    <row r="32" spans="1:9" ht="13.5" thickBot="1" x14ac:dyDescent="0.25">
      <c r="A32" s="29"/>
      <c r="B32" s="54"/>
      <c r="C32" s="55"/>
      <c r="D32" s="55"/>
      <c r="E32" s="56"/>
      <c r="F32" s="29"/>
      <c r="G32" s="29"/>
      <c r="H32" s="29"/>
      <c r="I32" s="29"/>
    </row>
    <row r="34" spans="2:5" ht="13.5" thickBot="1" x14ac:dyDescent="0.25"/>
    <row r="35" spans="2:5" x14ac:dyDescent="0.2">
      <c r="B35" s="71" t="s">
        <v>74</v>
      </c>
      <c r="C35" s="43"/>
      <c r="D35" s="43"/>
      <c r="E35" s="44"/>
    </row>
    <row r="36" spans="2:5" x14ac:dyDescent="0.2">
      <c r="B36" s="45"/>
      <c r="C36" s="46"/>
      <c r="D36" s="46"/>
      <c r="E36" s="47"/>
    </row>
    <row r="37" spans="2:5" x14ac:dyDescent="0.2">
      <c r="B37" s="48" t="s">
        <v>13</v>
      </c>
      <c r="C37" s="46"/>
      <c r="D37" s="46"/>
      <c r="E37" s="47"/>
    </row>
    <row r="38" spans="2:5" ht="51" customHeight="1" x14ac:dyDescent="0.2">
      <c r="B38" s="48"/>
      <c r="C38" s="90" t="s">
        <v>91</v>
      </c>
      <c r="D38" s="90"/>
      <c r="E38" s="90"/>
    </row>
    <row r="39" spans="2:5" x14ac:dyDescent="0.2">
      <c r="B39" s="48" t="s">
        <v>14</v>
      </c>
      <c r="C39" s="46"/>
      <c r="D39" s="46"/>
      <c r="E39" s="47"/>
    </row>
    <row r="40" spans="2:5" x14ac:dyDescent="0.2">
      <c r="B40" s="49"/>
      <c r="C40" s="91" t="s">
        <v>93</v>
      </c>
      <c r="D40" s="91"/>
      <c r="E40" s="92"/>
    </row>
    <row r="41" spans="2:5" ht="42.75" customHeight="1" x14ac:dyDescent="0.2">
      <c r="B41" s="49"/>
      <c r="C41" s="93" t="s">
        <v>87</v>
      </c>
      <c r="D41" s="93"/>
      <c r="E41" s="94"/>
    </row>
    <row r="42" spans="2:5" x14ac:dyDescent="0.2">
      <c r="B42" s="49"/>
      <c r="C42" s="58" t="s">
        <v>57</v>
      </c>
      <c r="D42" s="58"/>
      <c r="E42" s="59"/>
    </row>
    <row r="43" spans="2:5" x14ac:dyDescent="0.2">
      <c r="B43" s="48" t="s">
        <v>15</v>
      </c>
      <c r="C43" s="46"/>
      <c r="D43" s="46"/>
      <c r="E43" s="47"/>
    </row>
    <row r="44" spans="2:5" x14ac:dyDescent="0.2">
      <c r="B44" s="49"/>
      <c r="C44" s="88" t="s">
        <v>56</v>
      </c>
      <c r="D44" s="88"/>
      <c r="E44" s="88"/>
    </row>
    <row r="45" spans="2:5" x14ac:dyDescent="0.2">
      <c r="B45" s="48" t="s">
        <v>16</v>
      </c>
      <c r="C45" s="52"/>
      <c r="D45" s="52"/>
      <c r="E45" s="53"/>
    </row>
    <row r="46" spans="2:5" x14ac:dyDescent="0.2">
      <c r="B46" s="49"/>
      <c r="C46" s="88" t="s">
        <v>59</v>
      </c>
      <c r="D46" s="88"/>
      <c r="E46" s="88"/>
    </row>
    <row r="47" spans="2:5" x14ac:dyDescent="0.2">
      <c r="B47" s="48" t="s">
        <v>17</v>
      </c>
      <c r="C47" s="46"/>
      <c r="D47" s="46"/>
      <c r="E47" s="47"/>
    </row>
    <row r="48" spans="2:5" x14ac:dyDescent="0.2">
      <c r="B48" s="48"/>
      <c r="C48" s="89"/>
      <c r="D48" s="89"/>
      <c r="E48" s="89"/>
    </row>
    <row r="49" spans="2:5" ht="13.5" thickBot="1" x14ac:dyDescent="0.25">
      <c r="B49" s="54"/>
      <c r="C49" s="55"/>
      <c r="D49" s="55"/>
      <c r="E49" s="56"/>
    </row>
    <row r="51" spans="2:5" ht="13.5" thickBot="1" x14ac:dyDescent="0.25"/>
    <row r="52" spans="2:5" x14ac:dyDescent="0.2">
      <c r="B52" s="71" t="s">
        <v>75</v>
      </c>
      <c r="C52" s="43"/>
      <c r="D52" s="43"/>
      <c r="E52" s="44"/>
    </row>
    <row r="53" spans="2:5" x14ac:dyDescent="0.2">
      <c r="B53" s="45"/>
      <c r="C53" s="46"/>
      <c r="D53" s="46"/>
      <c r="E53" s="47"/>
    </row>
    <row r="54" spans="2:5" x14ac:dyDescent="0.2">
      <c r="B54" s="48" t="s">
        <v>13</v>
      </c>
      <c r="C54" s="46"/>
      <c r="D54" s="46"/>
      <c r="E54" s="47"/>
    </row>
    <row r="55" spans="2:5" ht="42" customHeight="1" x14ac:dyDescent="0.2">
      <c r="B55" s="48"/>
      <c r="C55" s="90" t="s">
        <v>89</v>
      </c>
      <c r="D55" s="90"/>
      <c r="E55" s="90"/>
    </row>
    <row r="56" spans="2:5" x14ac:dyDescent="0.2">
      <c r="B56" s="48" t="s">
        <v>14</v>
      </c>
      <c r="C56" s="46"/>
      <c r="D56" s="46"/>
      <c r="E56" s="47"/>
    </row>
    <row r="57" spans="2:5" x14ac:dyDescent="0.2">
      <c r="B57" s="49"/>
      <c r="C57" s="91" t="s">
        <v>92</v>
      </c>
      <c r="D57" s="91"/>
      <c r="E57" s="92"/>
    </row>
    <row r="58" spans="2:5" ht="60" customHeight="1" x14ac:dyDescent="0.2">
      <c r="B58" s="49"/>
      <c r="C58" s="93" t="s">
        <v>87</v>
      </c>
      <c r="D58" s="93"/>
      <c r="E58" s="94"/>
    </row>
    <row r="59" spans="2:5" x14ac:dyDescent="0.2">
      <c r="B59" s="49"/>
      <c r="C59" s="58" t="s">
        <v>57</v>
      </c>
      <c r="D59" s="58"/>
      <c r="E59" s="59"/>
    </row>
    <row r="60" spans="2:5" x14ac:dyDescent="0.2">
      <c r="B60" s="48" t="s">
        <v>15</v>
      </c>
      <c r="C60" s="46"/>
      <c r="D60" s="46"/>
      <c r="E60" s="47"/>
    </row>
    <row r="61" spans="2:5" x14ac:dyDescent="0.2">
      <c r="B61" s="49"/>
      <c r="C61" s="88" t="s">
        <v>56</v>
      </c>
      <c r="D61" s="88"/>
      <c r="E61" s="88"/>
    </row>
    <row r="62" spans="2:5" x14ac:dyDescent="0.2">
      <c r="B62" s="48" t="s">
        <v>16</v>
      </c>
      <c r="C62" s="52"/>
      <c r="D62" s="52"/>
      <c r="E62" s="53"/>
    </row>
    <row r="63" spans="2:5" x14ac:dyDescent="0.2">
      <c r="B63" s="49"/>
      <c r="C63" s="88" t="s">
        <v>59</v>
      </c>
      <c r="D63" s="88"/>
      <c r="E63" s="88"/>
    </row>
    <row r="64" spans="2:5" x14ac:dyDescent="0.2">
      <c r="B64" s="48" t="s">
        <v>17</v>
      </c>
      <c r="C64" s="46"/>
      <c r="D64" s="46"/>
      <c r="E64" s="47"/>
    </row>
    <row r="65" spans="2:5" x14ac:dyDescent="0.2">
      <c r="B65" s="48"/>
      <c r="C65" s="89"/>
      <c r="D65" s="89"/>
      <c r="E65" s="89"/>
    </row>
    <row r="66" spans="2:5" ht="13.5" thickBot="1" x14ac:dyDescent="0.25">
      <c r="B66" s="54"/>
      <c r="C66" s="55"/>
      <c r="D66" s="55"/>
      <c r="E66" s="56"/>
    </row>
  </sheetData>
  <mergeCells count="25">
    <mergeCell ref="B2:H2"/>
    <mergeCell ref="A4:B4"/>
    <mergeCell ref="C4:E4"/>
    <mergeCell ref="A5:B5"/>
    <mergeCell ref="C5:E5"/>
    <mergeCell ref="C27:E27"/>
    <mergeCell ref="C29:E29"/>
    <mergeCell ref="C31:E31"/>
    <mergeCell ref="A6:B6"/>
    <mergeCell ref="A7:B7"/>
    <mergeCell ref="C21:E21"/>
    <mergeCell ref="C23:E23"/>
    <mergeCell ref="C24:E24"/>
    <mergeCell ref="C38:E38"/>
    <mergeCell ref="C40:E40"/>
    <mergeCell ref="C41:E41"/>
    <mergeCell ref="C44:E44"/>
    <mergeCell ref="C46:E46"/>
    <mergeCell ref="C63:E63"/>
    <mergeCell ref="C65:E65"/>
    <mergeCell ref="C48:E48"/>
    <mergeCell ref="C55:E55"/>
    <mergeCell ref="C57:E57"/>
    <mergeCell ref="C58:E58"/>
    <mergeCell ref="C61:E61"/>
  </mergeCells>
  <pageMargins left="0" right="0" top="0.74803149606299213" bottom="0" header="0.51181102362204722" footer="0.51181102362204722"/>
  <pageSetup paperSize="5" scale="68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21"/>
  <sheetViews>
    <sheetView zoomScaleNormal="100" workbookViewId="0">
      <selection activeCell="K13" sqref="K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2" width="5.85546875" style="2" customWidth="1"/>
    <col min="13" max="13" width="10" style="2" customWidth="1"/>
    <col min="14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24" t="s">
        <v>19</v>
      </c>
      <c r="K1" s="80" t="s">
        <v>90</v>
      </c>
    </row>
    <row r="2" spans="1:11" ht="18.75" customHeight="1" thickBot="1" x14ac:dyDescent="0.25">
      <c r="A2" s="25"/>
      <c r="B2" s="25"/>
      <c r="C2" s="25"/>
      <c r="D2" s="26"/>
      <c r="E2" s="26"/>
      <c r="F2" s="26"/>
      <c r="G2" s="26"/>
      <c r="H2" s="26"/>
      <c r="I2" s="26"/>
      <c r="J2" s="26"/>
      <c r="K2" s="26"/>
    </row>
    <row r="3" spans="1:11" ht="18.75" customHeight="1" thickBot="1" x14ac:dyDescent="0.25">
      <c r="A3" s="114" t="s">
        <v>52</v>
      </c>
      <c r="B3" s="114"/>
      <c r="C3" s="114"/>
      <c r="D3" s="115" t="str">
        <f>'Necesidades Trimestrales'!C4</f>
        <v>45- Ministerio de Desarrollo Social y Deporte</v>
      </c>
      <c r="E3" s="115"/>
      <c r="F3" s="115"/>
      <c r="G3" s="115"/>
      <c r="H3" s="115"/>
      <c r="I3" s="115"/>
      <c r="J3" s="115"/>
      <c r="K3" s="115"/>
    </row>
    <row r="4" spans="1:11" ht="18.75" customHeight="1" thickBot="1" x14ac:dyDescent="0.25">
      <c r="A4" s="116" t="s">
        <v>53</v>
      </c>
      <c r="B4" s="116"/>
      <c r="C4" s="116"/>
      <c r="D4" s="115" t="str">
        <f>'Necesidades Trimestrales'!C5</f>
        <v>25- Dirección Provincial de Gestión Administrativa y RRHH</v>
      </c>
      <c r="E4" s="115"/>
      <c r="F4" s="115"/>
      <c r="G4" s="115"/>
      <c r="H4" s="115"/>
      <c r="I4" s="115"/>
      <c r="J4" s="115"/>
      <c r="K4" s="115"/>
    </row>
    <row r="5" spans="1:11" ht="18.75" customHeight="1" thickBot="1" x14ac:dyDescent="0.25">
      <c r="A5" s="116" t="s">
        <v>31</v>
      </c>
      <c r="B5" s="116"/>
      <c r="C5" s="116"/>
      <c r="D5" s="115" t="s">
        <v>61</v>
      </c>
      <c r="E5" s="115"/>
      <c r="F5" s="115"/>
      <c r="G5" s="115"/>
      <c r="H5" s="115"/>
      <c r="I5" s="115"/>
      <c r="J5" s="115"/>
      <c r="K5" s="115"/>
    </row>
    <row r="6" spans="1:11" ht="16.5" customHeight="1" thickBot="1" x14ac:dyDescent="0.25">
      <c r="A6" s="114" t="s">
        <v>54</v>
      </c>
      <c r="B6" s="114"/>
      <c r="C6" s="114"/>
      <c r="D6" s="115" t="s">
        <v>60</v>
      </c>
      <c r="E6" s="115"/>
      <c r="F6" s="115"/>
      <c r="G6" s="115"/>
      <c r="H6" s="115"/>
      <c r="I6" s="115"/>
      <c r="J6" s="115"/>
      <c r="K6" s="115"/>
    </row>
    <row r="7" spans="1:11" ht="16.5" customHeight="1" x14ac:dyDescent="0.2">
      <c r="A7" s="116" t="s">
        <v>20</v>
      </c>
      <c r="B7" s="116"/>
      <c r="C7" s="116"/>
      <c r="D7" s="115" t="str">
        <f>'Necesidades Trimestrales'!C7 &amp; "  - Año " &amp; 'Necesidades Trimestrales'!C6</f>
        <v>4  - Año 2021</v>
      </c>
      <c r="E7" s="115"/>
      <c r="F7" s="115"/>
      <c r="G7" s="115"/>
      <c r="H7" s="115"/>
      <c r="I7" s="115"/>
      <c r="J7" s="115"/>
      <c r="K7" s="115"/>
    </row>
    <row r="8" spans="1:11" ht="35.25" customHeight="1" x14ac:dyDescent="0.2">
      <c r="A8" s="105" t="s">
        <v>21</v>
      </c>
      <c r="B8" s="105"/>
      <c r="C8" s="105"/>
      <c r="D8" s="106" t="s">
        <v>71</v>
      </c>
      <c r="E8" s="106"/>
      <c r="F8" s="106"/>
      <c r="G8" s="106"/>
      <c r="H8" s="106"/>
      <c r="I8" s="106"/>
      <c r="J8" s="106"/>
      <c r="K8" s="106"/>
    </row>
    <row r="9" spans="1:11" ht="15.75" x14ac:dyDescent="0.2">
      <c r="A9" s="27"/>
      <c r="B9" s="27"/>
      <c r="C9" s="27"/>
      <c r="D9" s="28"/>
      <c r="E9" s="28"/>
      <c r="F9" s="28"/>
      <c r="G9" s="28"/>
      <c r="H9" s="28"/>
      <c r="I9" s="28"/>
      <c r="J9" s="28"/>
      <c r="K9" s="28"/>
    </row>
    <row r="10" spans="1:11" ht="18.75" customHeight="1" thickBot="1" x14ac:dyDescent="0.25">
      <c r="A10" s="107" t="s">
        <v>22</v>
      </c>
      <c r="B10" s="109" t="s">
        <v>23</v>
      </c>
      <c r="C10" s="109" t="s">
        <v>24</v>
      </c>
      <c r="D10" s="109"/>
      <c r="E10" s="109"/>
      <c r="F10" s="109"/>
      <c r="G10" s="109"/>
      <c r="H10" s="109" t="s">
        <v>25</v>
      </c>
      <c r="I10" s="109" t="s">
        <v>26</v>
      </c>
      <c r="J10" s="109" t="s">
        <v>27</v>
      </c>
      <c r="K10" s="111" t="s">
        <v>28</v>
      </c>
    </row>
    <row r="11" spans="1:11" ht="24" customHeight="1" x14ac:dyDescent="0.2">
      <c r="A11" s="108"/>
      <c r="B11" s="110"/>
      <c r="C11" s="110"/>
      <c r="D11" s="110"/>
      <c r="E11" s="110"/>
      <c r="F11" s="110"/>
      <c r="G11" s="110"/>
      <c r="H11" s="110"/>
      <c r="I11" s="110"/>
      <c r="J11" s="110"/>
      <c r="K11" s="112"/>
    </row>
    <row r="12" spans="1:11" ht="31.5" customHeight="1" x14ac:dyDescent="0.2">
      <c r="A12" s="66">
        <v>1</v>
      </c>
      <c r="B12" s="73" t="s">
        <v>69</v>
      </c>
      <c r="C12" s="100" t="s">
        <v>70</v>
      </c>
      <c r="D12" s="100"/>
      <c r="E12" s="100"/>
      <c r="F12" s="100"/>
      <c r="G12" s="100"/>
      <c r="H12" s="78" t="s">
        <v>81</v>
      </c>
      <c r="I12" s="40" t="s">
        <v>79</v>
      </c>
      <c r="J12" s="42">
        <v>830</v>
      </c>
      <c r="K12" s="79">
        <v>820</v>
      </c>
    </row>
    <row r="13" spans="1:11" ht="36" customHeight="1" x14ac:dyDescent="0.2">
      <c r="A13" s="66">
        <v>2</v>
      </c>
      <c r="B13" s="73" t="s">
        <v>66</v>
      </c>
      <c r="C13" s="100" t="s">
        <v>68</v>
      </c>
      <c r="D13" s="100"/>
      <c r="E13" s="100"/>
      <c r="F13" s="100"/>
      <c r="G13" s="100"/>
      <c r="H13" s="78" t="s">
        <v>81</v>
      </c>
      <c r="I13" s="40" t="s">
        <v>79</v>
      </c>
      <c r="J13" s="42">
        <v>798</v>
      </c>
      <c r="K13" s="79">
        <v>820</v>
      </c>
    </row>
    <row r="14" spans="1:11" ht="33.75" customHeight="1" x14ac:dyDescent="0.2">
      <c r="A14" s="66">
        <v>3</v>
      </c>
      <c r="B14" s="73" t="s">
        <v>64</v>
      </c>
      <c r="C14" s="100" t="s">
        <v>76</v>
      </c>
      <c r="D14" s="100"/>
      <c r="E14" s="100"/>
      <c r="F14" s="100"/>
      <c r="G14" s="100"/>
      <c r="H14" s="78" t="s">
        <v>81</v>
      </c>
      <c r="I14" s="70" t="s">
        <v>77</v>
      </c>
      <c r="J14" s="42">
        <v>1660</v>
      </c>
      <c r="K14" s="70">
        <v>3400</v>
      </c>
    </row>
    <row r="15" spans="1:11" ht="33.75" customHeight="1" x14ac:dyDescent="0.2">
      <c r="A15" s="66"/>
      <c r="B15" s="67"/>
      <c r="C15" s="102"/>
      <c r="D15" s="103"/>
      <c r="E15" s="103"/>
      <c r="F15" s="103"/>
      <c r="G15" s="104"/>
      <c r="H15" s="62"/>
      <c r="I15" s="63"/>
      <c r="J15" s="64"/>
      <c r="K15" s="65"/>
    </row>
    <row r="16" spans="1:11" ht="33.75" customHeight="1" x14ac:dyDescent="0.2">
      <c r="A16" s="66"/>
      <c r="B16" s="73"/>
      <c r="C16" s="100"/>
      <c r="D16" s="100"/>
      <c r="E16" s="100"/>
      <c r="F16" s="100"/>
      <c r="G16" s="100"/>
      <c r="H16" s="74"/>
      <c r="I16" s="40"/>
      <c r="J16" s="64"/>
      <c r="K16" s="65"/>
    </row>
    <row r="17" spans="1:11" ht="33.75" customHeight="1" x14ac:dyDescent="0.2">
      <c r="A17" s="66"/>
      <c r="B17" s="73"/>
      <c r="C17" s="100"/>
      <c r="D17" s="100"/>
      <c r="E17" s="100"/>
      <c r="F17" s="100"/>
      <c r="G17" s="100"/>
      <c r="H17" s="74"/>
      <c r="I17" s="40"/>
      <c r="J17" s="64"/>
      <c r="K17" s="65"/>
    </row>
    <row r="18" spans="1:11" ht="33.75" customHeight="1" x14ac:dyDescent="0.2">
      <c r="A18" s="66"/>
      <c r="B18" s="73"/>
      <c r="C18" s="100"/>
      <c r="D18" s="100"/>
      <c r="E18" s="100"/>
      <c r="F18" s="100"/>
      <c r="G18" s="100"/>
      <c r="H18" s="74"/>
      <c r="I18" s="70"/>
      <c r="J18" s="64"/>
      <c r="K18" s="65"/>
    </row>
    <row r="19" spans="1:11" ht="26.25" customHeight="1" x14ac:dyDescent="0.2">
      <c r="A19" s="66"/>
      <c r="B19" s="67"/>
      <c r="C19" s="101"/>
      <c r="D19" s="101"/>
      <c r="E19" s="101"/>
      <c r="F19" s="101"/>
      <c r="G19" s="101"/>
      <c r="H19" s="62"/>
      <c r="I19" s="63"/>
      <c r="J19" s="64"/>
      <c r="K19" s="65"/>
    </row>
    <row r="20" spans="1:11" ht="27.75" customHeight="1" x14ac:dyDescent="0.2">
      <c r="A20" s="66"/>
      <c r="B20" s="67"/>
      <c r="C20" s="101"/>
      <c r="D20" s="101"/>
      <c r="E20" s="101"/>
      <c r="F20" s="101"/>
      <c r="G20" s="101"/>
      <c r="H20" s="62"/>
      <c r="I20" s="63"/>
      <c r="J20" s="64"/>
      <c r="K20" s="65"/>
    </row>
    <row r="21" spans="1:11" ht="32.25" customHeight="1" thickBot="1" x14ac:dyDescent="0.25">
      <c r="A21" s="98" t="s">
        <v>82</v>
      </c>
      <c r="B21" s="98"/>
      <c r="C21" s="98"/>
      <c r="D21" s="98"/>
      <c r="E21" s="98"/>
      <c r="F21" s="98"/>
      <c r="G21" s="98"/>
      <c r="H21" s="98"/>
      <c r="I21" s="98"/>
      <c r="J21" s="99">
        <f>+J12*K12+J13*K13+J14*K14</f>
        <v>6978960</v>
      </c>
      <c r="K21" s="99"/>
    </row>
  </sheetData>
  <mergeCells count="31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1:I21"/>
    <mergeCell ref="J21:K21"/>
    <mergeCell ref="C12:G12"/>
    <mergeCell ref="C13:G13"/>
    <mergeCell ref="C14:G14"/>
    <mergeCell ref="C19:G19"/>
    <mergeCell ref="C20:G20"/>
    <mergeCell ref="C18:G18"/>
    <mergeCell ref="C16:G16"/>
    <mergeCell ref="C17:G17"/>
    <mergeCell ref="C15:G15"/>
  </mergeCells>
  <printOptions horizontalCentered="1"/>
  <pageMargins left="0.19685039370078741" right="0.19685039370078741" top="0.98425196850393704" bottom="0.98425196850393704" header="0.51181102362204722" footer="0.51181102362204722"/>
  <pageSetup paperSize="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9"/>
  <sheetViews>
    <sheetView zoomScale="130" zoomScaleNormal="130" workbookViewId="0">
      <selection activeCell="A28" sqref="A28:Q29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28515625" bestFit="1" customWidth="1"/>
  </cols>
  <sheetData>
    <row r="1" spans="1:17" ht="15.75" customHeight="1" thickBot="1" x14ac:dyDescent="0.3">
      <c r="A1" s="144" t="s">
        <v>2</v>
      </c>
      <c r="B1" s="144"/>
      <c r="C1" s="144"/>
      <c r="D1" s="145">
        <f>'Necesidades Trimestrales'!C6</f>
        <v>2021</v>
      </c>
      <c r="E1" s="145"/>
      <c r="F1" s="4"/>
      <c r="G1" s="4"/>
      <c r="H1" s="5"/>
      <c r="I1" s="5"/>
      <c r="J1" s="5"/>
      <c r="K1" s="5"/>
      <c r="L1" s="5"/>
      <c r="M1" s="5"/>
      <c r="N1" s="5"/>
      <c r="P1" s="146" t="s">
        <v>29</v>
      </c>
      <c r="Q1" s="146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46"/>
      <c r="Q2" s="146"/>
    </row>
    <row r="4" spans="1:17" s="6" customFormat="1" ht="18" customHeight="1" thickBot="1" x14ac:dyDescent="0.25">
      <c r="A4" s="147" t="s">
        <v>30</v>
      </c>
      <c r="B4" s="147"/>
      <c r="C4" s="147"/>
      <c r="D4" s="147"/>
      <c r="E4" s="147"/>
      <c r="F4" s="147"/>
      <c r="G4" s="142" t="str">
        <f>' NotaPedido'!D3</f>
        <v>45- Ministerio de Desarrollo Social y Deporte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6" customFormat="1" ht="18" customHeight="1" thickBot="1" x14ac:dyDescent="0.25">
      <c r="A5" s="139" t="s">
        <v>53</v>
      </c>
      <c r="B5" s="140"/>
      <c r="C5" s="140"/>
      <c r="D5" s="140"/>
      <c r="E5" s="140"/>
      <c r="F5" s="141"/>
      <c r="G5" s="142" t="str">
        <f>' NotaPedido'!D4</f>
        <v>25- Dirección Provincial de Gestión Administrativa y RRHH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6" customFormat="1" ht="18" customHeight="1" thickBot="1" x14ac:dyDescent="0.25">
      <c r="A6" s="139" t="s">
        <v>31</v>
      </c>
      <c r="B6" s="140"/>
      <c r="C6" s="140"/>
      <c r="D6" s="140"/>
      <c r="E6" s="140"/>
      <c r="F6" s="141"/>
      <c r="G6" s="142" t="s">
        <v>58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6" customFormat="1" ht="18" customHeight="1" thickBot="1" x14ac:dyDescent="0.25">
      <c r="A7" s="139" t="s">
        <v>54</v>
      </c>
      <c r="B7" s="140"/>
      <c r="C7" s="140"/>
      <c r="D7" s="140"/>
      <c r="E7" s="140"/>
      <c r="F7" s="141"/>
      <c r="G7" s="142" t="s">
        <v>62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32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30" t="s">
        <v>33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7"/>
    </row>
    <row r="10" spans="1:17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1163/2021,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32" t="s">
        <v>34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thickBot="1" x14ac:dyDescent="0.25">
      <c r="A13" s="133" t="s">
        <v>35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36</v>
      </c>
      <c r="P13" s="134"/>
      <c r="Q13" s="135" t="s">
        <v>37</v>
      </c>
    </row>
    <row r="14" spans="1:17" ht="15.75" customHeight="1" x14ac:dyDescent="0.2">
      <c r="A14" s="12" t="s">
        <v>38</v>
      </c>
      <c r="B14" s="13" t="s">
        <v>39</v>
      </c>
      <c r="C14" s="13" t="s">
        <v>40</v>
      </c>
      <c r="D14" s="13" t="s">
        <v>41</v>
      </c>
      <c r="E14" s="13" t="s">
        <v>42</v>
      </c>
      <c r="F14" s="13" t="s">
        <v>43</v>
      </c>
      <c r="G14" s="14" t="s">
        <v>44</v>
      </c>
      <c r="H14" s="13" t="s">
        <v>45</v>
      </c>
      <c r="I14" s="13" t="s">
        <v>46</v>
      </c>
      <c r="J14" s="13" t="s">
        <v>47</v>
      </c>
      <c r="K14" s="13" t="s">
        <v>47</v>
      </c>
      <c r="L14" s="13" t="s">
        <v>48</v>
      </c>
      <c r="M14" s="15" t="s">
        <v>49</v>
      </c>
      <c r="N14" s="16" t="s">
        <v>50</v>
      </c>
      <c r="O14" s="134"/>
      <c r="P14" s="134"/>
      <c r="Q14" s="135"/>
    </row>
    <row r="15" spans="1:17" s="76" customFormat="1" ht="17.25" customHeight="1" x14ac:dyDescent="0.2">
      <c r="A15" s="19">
        <v>44</v>
      </c>
      <c r="B15" s="19"/>
      <c r="C15" s="19"/>
      <c r="D15" s="19">
        <v>1</v>
      </c>
      <c r="E15" s="19"/>
      <c r="F15" s="19">
        <v>4901</v>
      </c>
      <c r="G15" s="19">
        <v>3</v>
      </c>
      <c r="H15" s="19">
        <v>4</v>
      </c>
      <c r="I15" s="77">
        <v>2</v>
      </c>
      <c r="J15" s="77">
        <v>5</v>
      </c>
      <c r="K15" s="77">
        <v>4</v>
      </c>
      <c r="L15" s="19"/>
      <c r="M15" s="19">
        <v>1</v>
      </c>
      <c r="N15" s="19">
        <v>1.1000000000000001</v>
      </c>
      <c r="O15" s="127" t="s">
        <v>85</v>
      </c>
      <c r="P15" s="127"/>
      <c r="Q15" s="75">
        <v>680600</v>
      </c>
    </row>
    <row r="16" spans="1:17" s="76" customFormat="1" ht="22.5" customHeight="1" x14ac:dyDescent="0.2">
      <c r="A16" s="19">
        <v>44</v>
      </c>
      <c r="B16" s="19"/>
      <c r="C16" s="19"/>
      <c r="D16" s="19">
        <v>1</v>
      </c>
      <c r="E16" s="19"/>
      <c r="F16" s="19">
        <v>4901</v>
      </c>
      <c r="G16" s="19">
        <v>3</v>
      </c>
      <c r="H16" s="19">
        <v>4</v>
      </c>
      <c r="I16" s="77">
        <v>2</v>
      </c>
      <c r="J16" s="77">
        <v>5</v>
      </c>
      <c r="K16" s="77">
        <v>9</v>
      </c>
      <c r="L16" s="19"/>
      <c r="M16" s="19">
        <v>1</v>
      </c>
      <c r="N16" s="19">
        <v>1.1000000000000001</v>
      </c>
      <c r="O16" s="127" t="s">
        <v>84</v>
      </c>
      <c r="P16" s="127"/>
      <c r="Q16" s="75">
        <f>654360+5644000</f>
        <v>6298360</v>
      </c>
    </row>
    <row r="17" spans="1:18" s="87" customFormat="1" ht="17.25" customHeight="1" x14ac:dyDescent="0.2">
      <c r="A17" s="83"/>
      <c r="B17" s="83"/>
      <c r="C17" s="83"/>
      <c r="D17" s="83"/>
      <c r="E17" s="83"/>
      <c r="F17" s="83"/>
      <c r="G17" s="83"/>
      <c r="H17" s="83"/>
      <c r="I17" s="84"/>
      <c r="J17" s="84"/>
      <c r="K17" s="84"/>
      <c r="L17" s="83"/>
      <c r="M17" s="83"/>
      <c r="N17" s="83"/>
      <c r="O17" s="128"/>
      <c r="P17" s="129"/>
      <c r="Q17" s="85"/>
      <c r="R17" s="86"/>
    </row>
    <row r="18" spans="1:18" ht="17.25" customHeight="1" x14ac:dyDescent="0.2">
      <c r="A18" s="19"/>
      <c r="B18" s="19"/>
      <c r="C18" s="19"/>
      <c r="D18" s="19"/>
      <c r="E18" s="19"/>
      <c r="F18" s="19"/>
      <c r="G18" s="19"/>
      <c r="H18" s="19"/>
      <c r="I18" s="60"/>
      <c r="J18" s="60"/>
      <c r="K18" s="60"/>
      <c r="L18" s="19"/>
      <c r="M18" s="19"/>
      <c r="N18" s="19"/>
      <c r="O18" s="138"/>
      <c r="P18" s="137"/>
      <c r="Q18" s="75"/>
    </row>
    <row r="19" spans="1:18" ht="17.25" customHeight="1" x14ac:dyDescent="0.2">
      <c r="A19" s="19"/>
      <c r="B19" s="19"/>
      <c r="C19" s="19"/>
      <c r="D19" s="19"/>
      <c r="E19" s="19"/>
      <c r="F19" s="19"/>
      <c r="G19" s="19"/>
      <c r="H19" s="19"/>
      <c r="I19" s="60"/>
      <c r="J19" s="60"/>
      <c r="K19" s="60"/>
      <c r="L19" s="19"/>
      <c r="M19" s="19"/>
      <c r="N19" s="19"/>
      <c r="O19" s="138"/>
      <c r="P19" s="137"/>
      <c r="Q19" s="75"/>
    </row>
    <row r="20" spans="1:18" ht="17.25" customHeight="1" x14ac:dyDescent="0.2">
      <c r="A20" s="19"/>
      <c r="B20" s="19"/>
      <c r="C20" s="19"/>
      <c r="D20" s="19"/>
      <c r="E20" s="19"/>
      <c r="F20" s="19"/>
      <c r="G20" s="19"/>
      <c r="H20" s="19"/>
      <c r="I20" s="60"/>
      <c r="J20" s="60"/>
      <c r="K20" s="60"/>
      <c r="L20" s="19"/>
      <c r="M20" s="19"/>
      <c r="N20" s="19"/>
      <c r="O20" s="136"/>
      <c r="P20" s="137"/>
      <c r="Q20" s="75"/>
    </row>
    <row r="21" spans="1:18" ht="17.25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22"/>
      <c r="P21" s="122"/>
      <c r="Q21" s="20"/>
    </row>
    <row r="22" spans="1:18" ht="17.25" customHeight="1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22"/>
      <c r="P22" s="122"/>
      <c r="Q22" s="20"/>
    </row>
    <row r="23" spans="1:18" ht="17.25" customHeight="1" x14ac:dyDescent="0.2">
      <c r="A23" s="22"/>
      <c r="B23" s="22"/>
      <c r="C23" s="22"/>
      <c r="D23" s="22"/>
      <c r="E23" s="22"/>
      <c r="F23" s="23"/>
      <c r="G23" s="22"/>
      <c r="H23" s="22"/>
      <c r="I23" s="22"/>
      <c r="J23" s="22"/>
      <c r="K23" s="22"/>
      <c r="L23" s="22"/>
      <c r="M23" s="22"/>
      <c r="N23" s="22"/>
      <c r="O23" s="123"/>
      <c r="P23" s="123"/>
      <c r="Q23" s="20"/>
    </row>
    <row r="24" spans="1:18" ht="17.25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123"/>
      <c r="P24" s="123"/>
      <c r="Q24" s="20"/>
    </row>
    <row r="25" spans="1:18" ht="27" customHeight="1" thickBot="1" x14ac:dyDescent="0.25">
      <c r="A25" s="124" t="s">
        <v>83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7">
        <f>SUM(Q15:Q24)</f>
        <v>6978960</v>
      </c>
    </row>
    <row r="26" spans="1:18" ht="18" customHeight="1" thickBot="1" x14ac:dyDescent="0.25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8" ht="17.25" customHeight="1" thickBot="1" x14ac:dyDescent="0.25">
      <c r="A27" s="117" t="s">
        <v>51</v>
      </c>
      <c r="B27" s="118"/>
      <c r="C27" s="118"/>
      <c r="D27" s="118"/>
      <c r="E27" s="118"/>
      <c r="F27" s="119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</row>
    <row r="28" spans="1:18" ht="18" customHeight="1" thickBot="1" x14ac:dyDescent="0.25">
      <c r="A28" s="121" t="s">
        <v>71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</row>
    <row r="29" spans="1:18" ht="15" customHeight="1" thickBot="1" x14ac:dyDescent="0.25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</row>
  </sheetData>
  <mergeCells count="33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21:P21"/>
    <mergeCell ref="A9:N9"/>
    <mergeCell ref="A10:Q10"/>
    <mergeCell ref="A12:Q12"/>
    <mergeCell ref="A13:N13"/>
    <mergeCell ref="O13:P14"/>
    <mergeCell ref="Q13:Q14"/>
    <mergeCell ref="O20:P20"/>
    <mergeCell ref="O19:P19"/>
    <mergeCell ref="O18:P18"/>
    <mergeCell ref="A27:F27"/>
    <mergeCell ref="G27:Q27"/>
    <mergeCell ref="A28:Q29"/>
    <mergeCell ref="O22:P22"/>
    <mergeCell ref="O23:P23"/>
    <mergeCell ref="O24:P24"/>
    <mergeCell ref="A25:P25"/>
    <mergeCell ref="A26:Q26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3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2021-11-30T13:16:42Z</cp:lastPrinted>
  <dcterms:created xsi:type="dcterms:W3CDTF">2020-07-17T23:44:49Z</dcterms:created>
  <dcterms:modified xsi:type="dcterms:W3CDTF">2021-12-21T12:22:30Z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