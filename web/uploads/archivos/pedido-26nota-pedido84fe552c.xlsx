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01"/>
  <workbookPr defaultThemeVersion="124226"/>
  <mc:AlternateContent xmlns:mc="http://schemas.openxmlformats.org/markup-compatibility/2006">
    <mc:Choice Requires="x15">
      <x15ac:absPath xmlns:x15ac="http://schemas.microsoft.com/office/spreadsheetml/2010/11/ac" url="G:\Mi unidad\COMPARTIDA\DIRECCION DE PLANIFICACION\DOCUMENTACION\Mario\Carga SIAC\NO-2021-00679423-CAT-DPPR#MHP\"/>
    </mc:Choice>
  </mc:AlternateContent>
  <xr:revisionPtr revIDLastSave="0" documentId="8_{D04CD94A-94DB-4560-8C57-1B3BE7D2F655}" xr6:coauthVersionLast="46" xr6:coauthVersionMax="46" xr10:uidLastSave="{00000000-0000-0000-0000-000000000000}"/>
  <bookViews>
    <workbookView xWindow="-120" yWindow="-120" windowWidth="29040" windowHeight="15840" tabRatio="500" activeTab="2" xr2:uid="{00000000-000D-0000-FFFF-FFFF00000000}"/>
  </bookViews>
  <sheets>
    <sheet name="Necesidades Trimestrales" sheetId="4" r:id="rId1"/>
    <sheet name=" NotaPedido" sheetId="2" r:id="rId2"/>
    <sheet name="Autor Gastar" sheetId="3" r:id="rId3"/>
  </sheets>
  <definedNames>
    <definedName name="_xlnm.Print_Area" localSheetId="1">' NotaPedido'!$A$1:$K$16</definedName>
    <definedName name="_xlnm.Print_Area" localSheetId="2">'Autor Gastar'!$A$1:$Q$26</definedName>
  </definedNames>
  <calcPr calcId="181029"/>
</workbook>
</file>

<file path=xl/calcChain.xml><?xml version="1.0" encoding="utf-8"?>
<calcChain xmlns="http://schemas.openxmlformats.org/spreadsheetml/2006/main">
  <c r="D1" i="3" l="1"/>
  <c r="G6" i="3"/>
  <c r="I12" i="2"/>
  <c r="I13" i="2"/>
  <c r="I14" i="2"/>
  <c r="I15" i="2"/>
  <c r="I7" i="4"/>
  <c r="I8" i="4"/>
  <c r="I9" i="4"/>
  <c r="K10" i="4" s="1"/>
  <c r="I10" i="4"/>
  <c r="J12" i="2"/>
  <c r="J13" i="2"/>
  <c r="J14" i="2"/>
  <c r="J15" i="2"/>
  <c r="C12" i="2"/>
  <c r="C13" i="2"/>
  <c r="C14" i="2"/>
  <c r="C15" i="2"/>
  <c r="B12" i="2"/>
  <c r="B13" i="2"/>
  <c r="B14" i="2"/>
  <c r="B15" i="2"/>
  <c r="K12" i="2"/>
  <c r="K13" i="2"/>
  <c r="K14" i="2"/>
  <c r="K15" i="2"/>
  <c r="D10" i="4"/>
  <c r="D9" i="4"/>
  <c r="D8" i="4"/>
  <c r="D7" i="4"/>
  <c r="K8" i="4" l="1"/>
  <c r="J16" i="2"/>
  <c r="I11" i="4"/>
  <c r="A10" i="3" l="1"/>
  <c r="G7" i="3"/>
  <c r="G4" i="3" l="1"/>
  <c r="G5" i="3" l="1"/>
  <c r="Q21" i="3" l="1"/>
</calcChain>
</file>

<file path=xl/sharedStrings.xml><?xml version="1.0" encoding="utf-8"?>
<sst xmlns="http://schemas.openxmlformats.org/spreadsheetml/2006/main" count="127" uniqueCount="89">
  <si>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</si>
  <si>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</si>
  <si>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</si>
  <si>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</si>
  <si>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</si>
  <si>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</si>
  <si>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</si>
  <si>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</si>
  <si>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</si>
  <si>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</si>
  <si>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</si>
  <si>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</si>
  <si>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</si>
  <si>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</si>
  <si>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Descripción técnica</t>
  </si>
  <si>
    <t>Plazos y lugares de entrega</t>
  </si>
  <si>
    <t>Garantia</t>
  </si>
  <si>
    <t>NOTA DE PEDIDO</t>
  </si>
  <si>
    <t>N°</t>
  </si>
  <si>
    <t>PERIODO UTILIZACIÓN:</t>
  </si>
  <si>
    <t>OBJETO:</t>
  </si>
  <si>
    <t>Ítem</t>
  </si>
  <si>
    <t>Codigo Item</t>
  </si>
  <si>
    <t>DESCRIPCIÓN</t>
  </si>
  <si>
    <t>Adjunta Detalle Técnico</t>
  </si>
  <si>
    <t>Unidad Medida</t>
  </si>
  <si>
    <t>Precio Unitario Estimado</t>
  </si>
  <si>
    <t>Cantidad Solicitada</t>
  </si>
  <si>
    <t>SI</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</si>
  <si>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</si>
  <si>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</si>
  <si>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</si>
  <si>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</si>
  <si>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</si>
  <si>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</si>
  <si>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</si>
  <si>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</si>
  <si>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</si>
  <si>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</si>
  <si>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</si>
  <si>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</si>
  <si>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</si>
  <si>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</si>
  <si>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</si>
  <si>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</si>
  <si>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</si>
  <si>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</si>
  <si>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</si>
  <si>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</si>
  <si>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</si>
  <si>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</si>
  <si>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</si>
  <si>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</si>
  <si>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</si>
  <si>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</si>
  <si>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70 - MINISTERIO DE CIENCIA E INNOVACION TECNOLOGICA</t>
  </si>
  <si>
    <t>20 - MINISTERIO DE CIENCIA E INNOVACION TECNOLOGICA</t>
  </si>
  <si>
    <t>DIRECCION PROVINCIAL DE GESTION ADMINISTRATIVA Y RECURSOS HUMANOS</t>
  </si>
  <si>
    <t>Especificidades Item N° 1</t>
  </si>
  <si>
    <r>
      <t>Calidad Minima esperada:</t>
    </r>
    <r>
      <rPr>
        <sz val="10"/>
        <rFont val="Times New Roman"/>
        <family val="1"/>
      </rPr>
      <t xml:space="preserve">  primera calidad</t>
    </r>
  </si>
  <si>
    <t>mínima de Un (1) año.</t>
  </si>
  <si>
    <t>3º TRIMESTRE 2021</t>
  </si>
  <si>
    <t>4.3.6-9604.3</t>
  </si>
  <si>
    <t>INFORMATICA</t>
  </si>
  <si>
    <t>TABLETA PC; RESOLUCION: 1280 X 800 PXL, PANTALLA: 9,4 pulg, MEMORIA: 32 Gb, MEMORIA RAM: 32 Gb</t>
  </si>
  <si>
    <t>4.3.6-6160.221</t>
  </si>
  <si>
    <t>COMPUTADORAS; TIPO: DE ESCRITORIO, CODIGO ETAP: PC-002-00, VERSION ETAP: 23.0</t>
  </si>
  <si>
    <t>2.9.6-1583.1</t>
  </si>
  <si>
    <t>TECLADOS; TECLAS: 104, EXPANDIDO: EXPANDIDO, CONEXIÓN: SIN VALOR, JOYSTICK: SIN VALOR, ERGONOMICO: SIN VALOR, TIPO DE CONEXION: SIN VALOR, TIPO: SIN VALOR</t>
  </si>
  <si>
    <t>2.9.6-1576.30</t>
  </si>
  <si>
    <t>MOUSE; TIPO: OPTICO, CANTIDAD DE BOTONES: 3, TIPO DE CONEXION: USB</t>
  </si>
  <si>
    <t>1.1</t>
  </si>
  <si>
    <t>SECRETARIA DE INNOVACION TECNOLOGICA</t>
  </si>
  <si>
    <t>Repuestos y Accesorios</t>
  </si>
  <si>
    <t>Equipos para Computación</t>
  </si>
  <si>
    <t>El plazo de entrega  dentro de los diez (10) dias  hábiles de recibida la orden de compra a partir de la fecha de recepción de la respectiva Orden de Compra en el domicilio especial electrónico constituido, en virtud del método de contratación. La entrega de dichos bienes se realizará en  el Ministerio de Ciencia e Innovación Tecnologica, sito en Avenida Republica de Venezuela S/N° - CAPE- Pabellón N° 26 San Fernando del Valle de Catamarca. En la  misma se presentará Remito que deberá cumplimentar lo dispuesto por la R.G. AFIP  1415/03, sin excepción.</t>
  </si>
  <si>
    <t>Especificidades Item N° 2</t>
  </si>
  <si>
    <t>Especificidades Item N° 3</t>
  </si>
  <si>
    <t>Tablet: Sistema operativo: Android.  Con procesador de 2GHz.   Resolución de pantalla de 1280px x 800px.  Con lector microSD.  32 gb de almacenamiento. Memoria expandible. Sistema de altavoces.</t>
  </si>
  <si>
    <t>COMPUTADORA ESTÁNDAR - ALTO RENDIMIENTO - CPU: INTEL COFFELAKE CORE I3 9100 3.6GHZ s1151. Motherboard: MSI H310M PRO-VHD PLUS. Memoria RAM: DDR4 8GB 2666MHZ OEM CHIP MICRON (Cant: 2). Video: Intel HD 630 (Integrado). Disco Solido (SSD): SSD 240G. Fuente: 500W (c/Gabinete). TECLADO+MOUSE+PARLANTES.  Placa WiFi USB DUAL Frecuencias 2,4 y 5 Ghz. Monitor LED 21.5" Resolución de 1366px-768px.</t>
  </si>
  <si>
    <t>Teclado Ezsee Low Visión Teclas amarillas con letras grandes Ergoguys. Conectividad cabledimensiones: 0,20x0,03x0,46 m</t>
  </si>
  <si>
    <t>Mouse adaptado,  Plug and play, conexion USB, Teclas especiales para doble click y arrastrar, Señales luminosas y sonoras, Velocidad y sonido configurables, Relieve especialmente diseñado para evitar pulsaciones involuntarias</t>
  </si>
  <si>
    <t>ADQUISICIÓN DE EQUIPOS INFORMATICOS PARA LA  SALA DE INCLISION TECNOLOGICA.</t>
  </si>
  <si>
    <r>
      <t xml:space="preserve">Mantenimiento: </t>
    </r>
    <r>
      <rPr>
        <sz val="10"/>
        <rFont val="Times New Roman"/>
        <family val="1"/>
      </rPr>
      <t>Treinta (30) Días Hábiles.-</t>
    </r>
  </si>
  <si>
    <t>Especificidades Item N°4</t>
  </si>
  <si>
    <t>023/2021</t>
  </si>
  <si>
    <t>Costo total estimado:  PESOS SEISCIENTOS TREINTA Y SIETE MIL DOSCIENTOS CINCUENTA Y CINCO CON 96/100.</t>
  </si>
  <si>
    <t>PESOS: SEISCIENTOS TREINTA Y SIETE MIL DOSCIENTOS CINCUENTA Y CINCO CON 96/100.</t>
  </si>
  <si>
    <t>ADQUISICIÓN DE EQUIPOS INFORMATICOS PARA LA  SALA DE INCLUSION TECNOLOGICA.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</si>
</sst>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 #,##0.00_-;\-&quot;$&quot;\ * #,##0.00_-;_-&quot;$&quot;\ * &quot;-&quot;??_-;_-@_-"/>
    <numFmt numFmtId="43" formatCode="_-* #,##0.00_-;\-* #,##0.00_-;_-* &quot;-&quot;??_-;_-@_-"/>
    <numFmt numFmtId="164" formatCode="_(\$* #,##0.00_);_(\$* \(#,##0.00\);_(\$* \-??_);_(@_)"/>
    <numFmt numFmtId="165" formatCode="[$$-2C0A]\ #,##0.00;[$$-2C0A]&quot; -&quot;#,##0.00"/>
    <numFmt numFmtId="166" formatCode="[$$-2C0A]\ #,##0.00"/>
    <numFmt numFmtId="167" formatCode="dd\-mm\-yy;@"/>
    <numFmt numFmtId="168" formatCode="_-&quot;$&quot;* #,##0.00_-;\-&quot;$&quot;* #,##0.00_-;_-&quot;$&quot;* &quot;-&quot;??_-;_-@_-"/>
  </numFmts>
  <fonts count="24"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u/>
      <sz val="10"/>
      <name val="Times New Roman"/>
      <family val="1"/>
    </font>
    <font>
      <b/>
      <sz val="12"/>
      <color rgb="FF000000"/>
      <name val="Times New Roman"/>
      <family val="1"/>
    </font>
    <font>
      <sz val="10"/>
      <name val="Arial"/>
      <family val="2"/>
    </font>
    <font>
      <sz val="11"/>
      <name val="Times New Roman"/>
      <family val="1"/>
    </font>
  </fonts>
  <fills count="5">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s>
  <borders count="40">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thick">
        <color auto="1"/>
      </left>
      <right style="thick">
        <color auto="1"/>
      </right>
      <top style="thick">
        <color auto="1"/>
      </top>
      <bottom/>
      <diagonal/>
    </border>
  </borders>
  <cellStyleXfs count="7">
    <xf numFmtId="0" fontId="0" fillId="0" borderId="0"/>
    <xf numFmtId="0" fontId="1" fillId="0" borderId="1" applyProtection="0"/>
    <xf numFmtId="164" fontId="2" fillId="0" borderId="0" applyBorder="0" applyProtection="0"/>
    <xf numFmtId="0" fontId="3" fillId="2" borderId="0" applyBorder="0" applyProtection="0"/>
    <xf numFmtId="0" fontId="14" fillId="0" borderId="0"/>
    <xf numFmtId="168" fontId="14" fillId="0" borderId="0" applyFont="0" applyFill="0" applyBorder="0" applyAlignment="0" applyProtection="0"/>
    <xf numFmtId="43" fontId="22" fillId="0" borderId="0" applyFont="0" applyFill="0" applyBorder="0" applyAlignment="0" applyProtection="0"/>
  </cellStyleXfs>
  <cellXfs count="113">
    <xf numFmtId="0" fontId="0" fillId="0" borderId="0" xfId="0"/>
    <xf numFmtId="0" fontId="0" fillId="0" borderId="0" xfId="0" applyBorder="1"/>
    <xf numFmtId="0" fontId="2" fillId="0" borderId="0" xfId="0" applyFont="1" applyBorder="1" applyAlignment="1">
      <alignment vertical="center"/>
    </xf>
    <xf numFmtId="0" fontId="5" fillId="0" borderId="10" xfId="0" applyFont="1" applyBorder="1" applyAlignment="1">
      <alignment horizontal="right" vertical="center"/>
    </xf>
    <xf numFmtId="0" fontId="5" fillId="0" borderId="12" xfId="0" applyFont="1" applyBorder="1" applyAlignment="1">
      <alignment vertical="center"/>
    </xf>
    <xf numFmtId="0" fontId="5" fillId="0" borderId="0" xfId="0" applyFont="1" applyBorder="1" applyAlignment="1">
      <alignmen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0" fillId="0" borderId="0" xfId="0" applyAlignment="1">
      <alignment horizontal="left"/>
    </xf>
    <xf numFmtId="3" fontId="9" fillId="0" borderId="0" xfId="0" applyNumberFormat="1" applyFont="1" applyBorder="1" applyAlignment="1"/>
    <xf numFmtId="167" fontId="0" fillId="0" borderId="0" xfId="0" applyNumberFormat="1" applyAlignment="1">
      <alignment horizontal="left"/>
    </xf>
    <xf numFmtId="0" fontId="2" fillId="0" borderId="0" xfId="0" applyFont="1"/>
    <xf numFmtId="0" fontId="0" fillId="0" borderId="10" xfId="0" applyBorder="1"/>
    <xf numFmtId="0" fontId="0" fillId="0" borderId="25" xfId="0" applyBorder="1"/>
    <xf numFmtId="0" fontId="0" fillId="0" borderId="12" xfId="0" applyBorder="1"/>
    <xf numFmtId="0" fontId="0" fillId="0" borderId="12" xfId="0" applyBorder="1" applyAlignment="1">
      <alignment horizontal="left"/>
    </xf>
    <xf numFmtId="0" fontId="0" fillId="0" borderId="26" xfId="0" applyBorder="1"/>
    <xf numFmtId="0" fontId="13" fillId="0" borderId="28" xfId="0" applyFont="1" applyBorder="1" applyAlignment="1">
      <alignment horizontal="center" vertical="center"/>
    </xf>
    <xf numFmtId="0" fontId="13" fillId="0" borderId="29" xfId="0" applyFont="1" applyBorder="1" applyAlignment="1">
      <alignment horizontal="center" vertical="center"/>
    </xf>
    <xf numFmtId="0" fontId="13" fillId="0" borderId="29" xfId="0" applyFont="1" applyBorder="1" applyAlignment="1">
      <alignment horizontal="left" vertical="center"/>
    </xf>
    <xf numFmtId="0" fontId="13" fillId="0" borderId="30" xfId="0" applyFont="1" applyBorder="1" applyAlignment="1">
      <alignment horizontal="center" vertical="center"/>
    </xf>
    <xf numFmtId="0" fontId="13" fillId="0" borderId="24" xfId="0" applyFont="1"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165" fontId="0" fillId="0" borderId="34" xfId="2" applyNumberFormat="1" applyFont="1" applyBorder="1" applyAlignment="1" applyProtection="1">
      <alignment horizontal="center" vertical="center"/>
    </xf>
    <xf numFmtId="165" fontId="13" fillId="0" borderId="35" xfId="0" applyNumberFormat="1" applyFont="1" applyBorder="1" applyAlignment="1">
      <alignment horizontal="center" vertical="center"/>
    </xf>
    <xf numFmtId="0" fontId="14" fillId="0" borderId="0" xfId="0" applyFont="1"/>
    <xf numFmtId="0" fontId="0" fillId="0" borderId="0" xfId="0" applyAlignment="1">
      <alignment horizontal="left" vertical="top"/>
    </xf>
    <xf numFmtId="166" fontId="2" fillId="0" borderId="0" xfId="0" applyNumberFormat="1" applyFont="1" applyBorder="1" applyAlignment="1">
      <alignment vertical="center"/>
    </xf>
    <xf numFmtId="0" fontId="15" fillId="0" borderId="0" xfId="4" applyFont="1"/>
    <xf numFmtId="0" fontId="20" fillId="0" borderId="2" xfId="4" applyFont="1" applyBorder="1"/>
    <xf numFmtId="0" fontId="15" fillId="0" borderId="3" xfId="4" applyFont="1" applyBorder="1"/>
    <xf numFmtId="0" fontId="15" fillId="0" borderId="4" xfId="4" applyFont="1" applyBorder="1"/>
    <xf numFmtId="0" fontId="15" fillId="0" borderId="5" xfId="4" applyFont="1" applyBorder="1"/>
    <xf numFmtId="0" fontId="15" fillId="0" borderId="6" xfId="4" applyFont="1" applyBorder="1"/>
    <xf numFmtId="0" fontId="20" fillId="0" borderId="5" xfId="4" applyFont="1" applyBorder="1" applyAlignment="1">
      <alignment horizontal="left" indent="3"/>
    </xf>
    <xf numFmtId="0" fontId="15" fillId="4" borderId="0" xfId="4" applyFont="1" applyFill="1" applyAlignment="1">
      <alignment horizontal="left" vertical="center"/>
    </xf>
    <xf numFmtId="0" fontId="15" fillId="0" borderId="5" xfId="4" applyFont="1" applyBorder="1" applyAlignment="1">
      <alignment horizontal="left" indent="3"/>
    </xf>
    <xf numFmtId="0" fontId="15" fillId="0" borderId="0" xfId="4" applyFont="1" applyAlignment="1">
      <alignment horizontal="center" wrapText="1"/>
    </xf>
    <xf numFmtId="0" fontId="15" fillId="0" borderId="6" xfId="4" applyFont="1" applyBorder="1" applyAlignment="1">
      <alignment horizontal="center" wrapText="1"/>
    </xf>
    <xf numFmtId="0" fontId="15" fillId="0" borderId="7" xfId="4" applyFont="1" applyBorder="1" applyAlignment="1">
      <alignment horizontal="left" indent="3"/>
    </xf>
    <xf numFmtId="0" fontId="15" fillId="0" borderId="8" xfId="4" applyFont="1" applyBorder="1"/>
    <xf numFmtId="0" fontId="15" fillId="0" borderId="9" xfId="4" applyFont="1" applyBorder="1"/>
    <xf numFmtId="0" fontId="15" fillId="4" borderId="0" xfId="4" applyFont="1" applyFill="1" applyAlignment="1">
      <alignment horizontal="left" vertical="center" wrapText="1"/>
    </xf>
    <xf numFmtId="0" fontId="15" fillId="4" borderId="6" xfId="4" applyFont="1" applyFill="1" applyBorder="1" applyAlignment="1">
      <alignment horizontal="left" vertical="center" wrapText="1"/>
    </xf>
    <xf numFmtId="0" fontId="6" fillId="0" borderId="11" xfId="0" applyFont="1" applyFill="1" applyBorder="1" applyAlignment="1">
      <alignment horizontal="center" vertical="center"/>
    </xf>
    <xf numFmtId="43" fontId="2" fillId="0" borderId="0" xfId="6" applyFont="1" applyBorder="1" applyAlignment="1">
      <alignment vertical="center"/>
    </xf>
    <xf numFmtId="0" fontId="17" fillId="0" borderId="0" xfId="0" applyFont="1" applyAlignment="1">
      <alignment horizontal="left" wrapText="1"/>
    </xf>
    <xf numFmtId="0" fontId="17" fillId="0" borderId="0" xfId="0" applyFont="1" applyAlignment="1">
      <alignment horizontal="center" wrapText="1"/>
    </xf>
    <xf numFmtId="0" fontId="15" fillId="0" borderId="0" xfId="0" applyFont="1"/>
    <xf numFmtId="0" fontId="21" fillId="4" borderId="0" xfId="0" applyFont="1" applyFill="1" applyAlignment="1">
      <alignment horizontal="left" wrapText="1" indent="1"/>
    </xf>
    <xf numFmtId="0" fontId="18" fillId="3" borderId="0" xfId="0" applyFont="1" applyFill="1" applyAlignment="1">
      <alignment horizontal="left" wrapText="1"/>
    </xf>
    <xf numFmtId="0" fontId="16" fillId="0" borderId="0" xfId="0" applyFont="1" applyBorder="1" applyAlignment="1">
      <alignment horizontal="left" vertical="center" wrapText="1"/>
    </xf>
    <xf numFmtId="0" fontId="18" fillId="0" borderId="39" xfId="0" applyFont="1" applyBorder="1" applyAlignment="1">
      <alignment horizontal="center" vertical="center" wrapText="1"/>
    </xf>
    <xf numFmtId="0" fontId="19" fillId="3" borderId="20" xfId="0" applyFont="1" applyFill="1" applyBorder="1" applyAlignment="1">
      <alignment horizontal="center" vertical="center"/>
    </xf>
    <xf numFmtId="0" fontId="15" fillId="3" borderId="14" xfId="0" applyFont="1" applyFill="1" applyBorder="1" applyAlignment="1">
      <alignment horizontal="left" vertical="center" wrapText="1"/>
    </xf>
    <xf numFmtId="0" fontId="15" fillId="3" borderId="14" xfId="0" applyFont="1" applyFill="1" applyBorder="1" applyAlignment="1">
      <alignment horizontal="center" vertical="center" wrapText="1"/>
    </xf>
    <xf numFmtId="168" fontId="15" fillId="3" borderId="14" xfId="5" applyFont="1" applyFill="1" applyBorder="1" applyAlignment="1">
      <alignment horizontal="left" vertical="center" wrapText="1"/>
    </xf>
    <xf numFmtId="168" fontId="15" fillId="0" borderId="0" xfId="4" applyNumberFormat="1" applyFont="1"/>
    <xf numFmtId="0" fontId="23" fillId="0" borderId="18" xfId="0" applyFont="1" applyBorder="1" applyAlignment="1">
      <alignment horizontal="center" vertical="center" wrapText="1"/>
    </xf>
    <xf numFmtId="0" fontId="23" fillId="0" borderId="16" xfId="0" applyFont="1" applyBorder="1" applyAlignment="1">
      <alignment horizontal="center" vertical="center"/>
    </xf>
    <xf numFmtId="0" fontId="15" fillId="4" borderId="19" xfId="0" applyFont="1" applyFill="1" applyBorder="1" applyAlignment="1">
      <alignment horizontal="center" vertical="center"/>
    </xf>
    <xf numFmtId="0" fontId="23" fillId="0" borderId="17" xfId="0" applyFont="1" applyBorder="1" applyAlignment="1">
      <alignment horizontal="center" vertical="center" wrapText="1"/>
    </xf>
    <xf numFmtId="44" fontId="15" fillId="0" borderId="0" xfId="4" applyNumberFormat="1" applyFont="1"/>
    <xf numFmtId="0" fontId="15" fillId="3" borderId="0" xfId="4" applyFont="1" applyFill="1" applyAlignment="1">
      <alignment horizontal="left" vertical="center" wrapText="1"/>
    </xf>
    <xf numFmtId="0" fontId="15" fillId="3" borderId="6" xfId="4" applyFont="1" applyFill="1" applyBorder="1" applyAlignment="1">
      <alignment horizontal="left" vertical="center" wrapText="1"/>
    </xf>
    <xf numFmtId="0" fontId="15" fillId="3" borderId="0" xfId="4" applyFont="1" applyFill="1" applyAlignment="1">
      <alignment vertical="center" wrapText="1"/>
    </xf>
    <xf numFmtId="0" fontId="15" fillId="3" borderId="6" xfId="4" applyFont="1" applyFill="1" applyBorder="1" applyAlignment="1">
      <alignment vertical="center" wrapText="1"/>
    </xf>
    <xf numFmtId="0" fontId="15" fillId="4" borderId="0" xfId="4" applyFont="1" applyFill="1" applyAlignment="1">
      <alignment horizontal="left" vertical="center" wrapText="1"/>
    </xf>
    <xf numFmtId="0" fontId="15" fillId="4" borderId="6" xfId="4" applyFont="1" applyFill="1" applyBorder="1" applyAlignment="1">
      <alignment horizontal="left" vertical="center" wrapText="1"/>
    </xf>
    <xf numFmtId="0" fontId="15" fillId="4" borderId="0" xfId="4" applyFont="1" applyFill="1" applyAlignment="1">
      <alignment horizontal="left" wrapText="1"/>
    </xf>
    <xf numFmtId="0" fontId="15" fillId="4" borderId="6" xfId="4" applyFont="1" applyFill="1" applyBorder="1" applyAlignment="1">
      <alignment horizontal="left" wrapText="1"/>
    </xf>
    <xf numFmtId="0" fontId="16" fillId="0" borderId="0" xfId="0" applyFont="1" applyBorder="1" applyAlignment="1">
      <alignment horizontal="left" vertical="center" wrapText="1"/>
    </xf>
    <xf numFmtId="0" fontId="21" fillId="4" borderId="0" xfId="0" applyFont="1" applyFill="1" applyBorder="1" applyAlignment="1">
      <alignment horizontal="left" wrapText="1" indent="1"/>
    </xf>
    <xf numFmtId="166" fontId="7" fillId="0" borderId="14" xfId="0" applyNumberFormat="1" applyFont="1" applyBorder="1" applyAlignment="1">
      <alignment horizontal="center" vertical="center"/>
    </xf>
    <xf numFmtId="0" fontId="15" fillId="0" borderId="17" xfId="0" applyFont="1" applyFill="1" applyBorder="1" applyAlignment="1">
      <alignment horizontal="left" vertical="center" wrapText="1" indent="1"/>
    </xf>
    <xf numFmtId="0" fontId="8" fillId="0" borderId="16" xfId="0" applyFont="1" applyBorder="1" applyAlignment="1">
      <alignment horizontal="center" vertical="center"/>
    </xf>
    <xf numFmtId="0" fontId="8" fillId="0" borderId="18" xfId="0" applyFont="1" applyBorder="1" applyAlignment="1">
      <alignment horizontal="center" vertical="center" wrapText="1"/>
    </xf>
    <xf numFmtId="0" fontId="8" fillId="0" borderId="17" xfId="0" applyFont="1" applyBorder="1" applyAlignment="1">
      <alignment horizontal="center" vertical="center" wrapText="1"/>
    </xf>
    <xf numFmtId="0" fontId="7" fillId="0" borderId="16" xfId="0" applyFont="1" applyBorder="1" applyAlignment="1">
      <alignment horizontal="left" vertical="center"/>
    </xf>
    <xf numFmtId="0" fontId="23" fillId="0" borderId="18" xfId="0" applyFont="1" applyBorder="1" applyAlignment="1">
      <alignment horizontal="left" vertical="center" wrapText="1"/>
    </xf>
    <xf numFmtId="0" fontId="8" fillId="0" borderId="14" xfId="0" applyFont="1" applyBorder="1" applyAlignment="1">
      <alignment horizontal="left" vertical="center" wrapText="1" indent="1"/>
    </xf>
    <xf numFmtId="0" fontId="5" fillId="0" borderId="0" xfId="0" applyFont="1" applyBorder="1" applyAlignment="1">
      <alignment horizontal="center" vertical="center"/>
    </xf>
    <xf numFmtId="0" fontId="7" fillId="0" borderId="13" xfId="0" applyFont="1" applyBorder="1" applyAlignment="1">
      <alignment horizontal="left" vertical="center" wrapText="1"/>
    </xf>
    <xf numFmtId="0" fontId="6" fillId="0" borderId="14" xfId="0" applyFont="1" applyFill="1" applyBorder="1" applyAlignment="1">
      <alignment horizontal="left" vertical="center" wrapText="1" indent="1"/>
    </xf>
    <xf numFmtId="0" fontId="7" fillId="0" borderId="15" xfId="0" applyFont="1" applyBorder="1" applyAlignment="1">
      <alignment horizontal="left" vertical="center" wrapText="1"/>
    </xf>
    <xf numFmtId="0" fontId="6" fillId="3" borderId="14" xfId="0" applyFont="1" applyFill="1" applyBorder="1" applyAlignment="1">
      <alignment horizontal="left" vertical="center" wrapText="1" indent="1"/>
    </xf>
    <xf numFmtId="0" fontId="2" fillId="0" borderId="35" xfId="0" applyFont="1" applyFill="1" applyBorder="1" applyAlignment="1">
      <alignment horizontal="left" vertical="center" wrapText="1" indent="1"/>
    </xf>
    <xf numFmtId="0" fontId="0" fillId="0" borderId="32" xfId="0" applyBorder="1" applyAlignment="1">
      <alignment horizontal="left" vertical="center"/>
    </xf>
    <xf numFmtId="0" fontId="13" fillId="0" borderId="35" xfId="0" applyFont="1" applyBorder="1" applyAlignment="1">
      <alignment horizontal="left" vertical="center" wrapText="1"/>
    </xf>
    <xf numFmtId="0" fontId="0" fillId="0" borderId="22" xfId="0" applyBorder="1"/>
    <xf numFmtId="0" fontId="9" fillId="0" borderId="20" xfId="0" applyFont="1" applyBorder="1" applyAlignment="1">
      <alignment vertical="center" wrapText="1"/>
    </xf>
    <xf numFmtId="0" fontId="9" fillId="0" borderId="36" xfId="0" applyFont="1" applyBorder="1" applyAlignment="1">
      <alignment vertical="center" wrapText="1"/>
    </xf>
    <xf numFmtId="0" fontId="9" fillId="0" borderId="17" xfId="0" applyFont="1" applyBorder="1" applyAlignment="1">
      <alignment vertical="center" wrapText="1"/>
    </xf>
    <xf numFmtId="0" fontId="11" fillId="0" borderId="27" xfId="0" applyFont="1" applyBorder="1" applyAlignment="1">
      <alignment vertical="center" wrapText="1"/>
    </xf>
    <xf numFmtId="0" fontId="11" fillId="0" borderId="23" xfId="0" applyFont="1" applyBorder="1"/>
    <xf numFmtId="0" fontId="11" fillId="0" borderId="24" xfId="0" applyFont="1" applyFill="1" applyBorder="1" applyAlignment="1">
      <alignment horizontal="left" vertical="center" wrapText="1" indent="1"/>
    </xf>
    <xf numFmtId="0" fontId="13" fillId="0" borderId="22" xfId="0" applyFont="1" applyBorder="1" applyAlignment="1">
      <alignment horizontal="center" vertical="center"/>
    </xf>
    <xf numFmtId="0" fontId="13" fillId="0" borderId="11" xfId="0" applyFont="1" applyBorder="1" applyAlignment="1">
      <alignment horizontal="center" vertical="center"/>
    </xf>
    <xf numFmtId="0" fontId="13" fillId="0" borderId="22" xfId="0" applyFont="1" applyBorder="1" applyAlignment="1">
      <alignment horizontal="center" vertical="center" wrapText="1"/>
    </xf>
    <xf numFmtId="0" fontId="13" fillId="0" borderId="27" xfId="0" applyFont="1" applyBorder="1" applyAlignment="1">
      <alignment horizontal="center" vertical="center"/>
    </xf>
    <xf numFmtId="0" fontId="4" fillId="0" borderId="13" xfId="0" applyFont="1" applyBorder="1" applyAlignment="1">
      <alignment horizontal="left" vertical="center" wrapText="1"/>
    </xf>
    <xf numFmtId="0" fontId="4" fillId="0" borderId="37" xfId="0" applyFont="1" applyBorder="1" applyAlignment="1">
      <alignment horizontal="left" vertical="center" wrapText="1"/>
    </xf>
    <xf numFmtId="0" fontId="4" fillId="0" borderId="38" xfId="0" applyFont="1" applyBorder="1" applyAlignment="1">
      <alignment horizontal="left" vertical="center" wrapText="1"/>
    </xf>
    <xf numFmtId="0" fontId="11" fillId="0" borderId="11" xfId="0" applyFont="1" applyBorder="1" applyAlignment="1">
      <alignment horizontal="left" indent="1"/>
    </xf>
    <xf numFmtId="0" fontId="12" fillId="0" borderId="11" xfId="0" applyFont="1" applyBorder="1" applyAlignment="1">
      <alignment horizontal="left"/>
    </xf>
    <xf numFmtId="0" fontId="11" fillId="0" borderId="11" xfId="0" applyFont="1" applyFill="1" applyBorder="1" applyAlignment="1">
      <alignment horizontal="left" indent="1"/>
    </xf>
    <xf numFmtId="0" fontId="2" fillId="0" borderId="11" xfId="0" applyFont="1" applyFill="1" applyBorder="1" applyAlignment="1">
      <alignment horizontal="left" indent="1"/>
    </xf>
    <xf numFmtId="0" fontId="0" fillId="0" borderId="20" xfId="0" applyFont="1" applyBorder="1" applyAlignment="1">
      <alignment horizontal="center"/>
    </xf>
    <xf numFmtId="3" fontId="9" fillId="0" borderId="21" xfId="0" applyNumberFormat="1" applyFont="1" applyBorder="1" applyAlignment="1">
      <alignment horizontal="center"/>
    </xf>
    <xf numFmtId="0" fontId="10" fillId="0" borderId="11" xfId="0" applyFont="1" applyBorder="1" applyAlignment="1">
      <alignment horizontal="center" vertical="center" wrapText="1"/>
    </xf>
    <xf numFmtId="0" fontId="2" fillId="0" borderId="11" xfId="0" applyFont="1" applyBorder="1"/>
  </cellXfs>
  <cellStyles count="7">
    <cellStyle name="Encabezado 1" xfId="1" xr:uid="{00000000-0005-0000-0000-000000000000}"/>
    <cellStyle name="Millares" xfId="6" builtinId="3"/>
    <cellStyle name="Moneda 2" xfId="5" xr:uid="{00000000-0005-0000-0000-000002000000}"/>
    <cellStyle name="Moneda_AUTORIZACION Y NOTA DE PEDIDO" xfId="2" xr:uid="{00000000-0005-0000-0000-000003000000}"/>
    <cellStyle name="Neutral 1" xfId="3" xr:uid="{00000000-0005-0000-0000-000004000000}"/>
    <cellStyle name="Normal" xfId="0" builtinId="0"/>
    <cellStyle name="Normal 2" xfId="4"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12"/>
  <sheetViews>
    <sheetView topLeftCell="A7" workbookViewId="0">
      <selection activeCell="K8" sqref="K8"/>
    </sheetView>
  </sheetViews>
  <sheetFormatPr baseColWidth="10" defaultColWidth="11" defaultRowHeight="12.75" x14ac:dyDescent="0.2"/>
  <cols>
    <col min="1" max="1" width="4.5703125" style="30" customWidth="1"/>
    <col min="2" max="2" width="13.42578125" style="30" customWidth="1"/>
    <col min="3" max="3" width="26.140625" style="30" customWidth="1"/>
    <col min="4" max="4" width="10.5703125" style="30" customWidth="1"/>
    <col min="5" max="5" width="58.42578125" style="30" customWidth="1"/>
    <col min="6" max="6" width="11" style="30"/>
    <col min="7" max="7" width="11.140625" style="30" customWidth="1"/>
    <col min="8" max="8" width="13.85546875" style="30" customWidth="1"/>
    <col min="9" max="9" width="13" style="30" customWidth="1"/>
    <col min="10" max="12" width="11" style="30"/>
    <col min="13" max="13" width="11.85546875" style="30" customWidth="1"/>
    <col min="14" max="16384" width="11" style="30"/>
  </cols>
  <sheetData>
    <row r="1" spans="1:13" ht="15.75" customHeight="1" x14ac:dyDescent="0.25">
      <c r="A1" s="73" t="s">
        <v>0</v>
      </c>
      <c r="B1" s="73"/>
      <c r="C1" s="74" t="s">
        <v>55</v>
      </c>
      <c r="D1" s="74"/>
      <c r="E1" s="74"/>
      <c r="F1" s="48"/>
      <c r="G1" s="49"/>
      <c r="H1" s="48"/>
      <c r="I1" s="50"/>
    </row>
    <row r="2" spans="1:13" ht="15.75" x14ac:dyDescent="0.25">
      <c r="A2" s="73" t="s">
        <v>1</v>
      </c>
      <c r="B2" s="73"/>
      <c r="C2" s="74" t="s">
        <v>56</v>
      </c>
      <c r="D2" s="74"/>
      <c r="E2" s="74"/>
      <c r="F2" s="48"/>
      <c r="G2" s="49"/>
      <c r="H2" s="48"/>
      <c r="I2" s="50"/>
    </row>
    <row r="3" spans="1:13" ht="15.75" customHeight="1" x14ac:dyDescent="0.25">
      <c r="A3" s="73" t="s">
        <v>2</v>
      </c>
      <c r="B3" s="73"/>
      <c r="C3" s="51">
        <v>2021</v>
      </c>
      <c r="D3" s="52"/>
      <c r="E3" s="52"/>
      <c r="F3" s="48"/>
      <c r="G3" s="49"/>
      <c r="H3" s="48"/>
      <c r="I3" s="50"/>
    </row>
    <row r="4" spans="1:13" ht="18" customHeight="1" x14ac:dyDescent="0.25">
      <c r="A4" s="73" t="s">
        <v>3</v>
      </c>
      <c r="B4" s="73"/>
      <c r="C4" s="51">
        <v>3</v>
      </c>
      <c r="D4" s="52"/>
      <c r="E4" s="52"/>
      <c r="F4" s="48"/>
      <c r="G4" s="49"/>
      <c r="H4" s="48"/>
      <c r="I4" s="50"/>
    </row>
    <row r="5" spans="1:13" ht="16.5" customHeight="1" thickBot="1" x14ac:dyDescent="0.3">
      <c r="A5" s="53"/>
      <c r="B5" s="53"/>
      <c r="C5" s="51"/>
      <c r="D5" s="52"/>
      <c r="E5" s="52"/>
      <c r="F5" s="48"/>
      <c r="G5" s="49"/>
      <c r="H5" s="48"/>
      <c r="I5" s="50"/>
    </row>
    <row r="6" spans="1:13" ht="45" customHeight="1" thickTop="1" thickBot="1" x14ac:dyDescent="0.25">
      <c r="A6" s="54" t="s">
        <v>4</v>
      </c>
      <c r="B6" s="54" t="s">
        <v>5</v>
      </c>
      <c r="C6" s="54" t="s">
        <v>6</v>
      </c>
      <c r="D6" s="54" t="s">
        <v>7</v>
      </c>
      <c r="E6" s="54" t="s">
        <v>8</v>
      </c>
      <c r="F6" s="54" t="s">
        <v>9</v>
      </c>
      <c r="G6" s="54" t="s">
        <v>10</v>
      </c>
      <c r="H6" s="54" t="s">
        <v>11</v>
      </c>
      <c r="I6" s="54" t="s">
        <v>12</v>
      </c>
    </row>
    <row r="7" spans="1:13" ht="41.25" customHeight="1" thickBot="1" x14ac:dyDescent="0.25">
      <c r="A7" s="55">
        <v>1</v>
      </c>
      <c r="B7" s="56" t="s">
        <v>62</v>
      </c>
      <c r="C7" s="56" t="s">
        <v>63</v>
      </c>
      <c r="D7" s="57" t="str">
        <f>LEFT(B7,5)</f>
        <v>4.3.6</v>
      </c>
      <c r="E7" s="56" t="s">
        <v>64</v>
      </c>
      <c r="F7" s="57" t="s">
        <v>13</v>
      </c>
      <c r="G7" s="57">
        <v>5</v>
      </c>
      <c r="H7" s="58">
        <v>20300</v>
      </c>
      <c r="I7" s="58">
        <f t="shared" ref="I7:I10" si="0">H7*G7</f>
        <v>101500</v>
      </c>
      <c r="M7" s="64"/>
    </row>
    <row r="8" spans="1:13" ht="49.5" customHeight="1" thickBot="1" x14ac:dyDescent="0.25">
      <c r="A8" s="55">
        <v>2</v>
      </c>
      <c r="B8" s="56" t="s">
        <v>65</v>
      </c>
      <c r="C8" s="56" t="s">
        <v>63</v>
      </c>
      <c r="D8" s="57" t="str">
        <f t="shared" ref="D8:D10" si="1">LEFT(B8,5)</f>
        <v>4.3.6</v>
      </c>
      <c r="E8" s="56" t="s">
        <v>66</v>
      </c>
      <c r="F8" s="57" t="s">
        <v>13</v>
      </c>
      <c r="G8" s="57">
        <v>4</v>
      </c>
      <c r="H8" s="58">
        <v>81938.990000000005</v>
      </c>
      <c r="I8" s="58">
        <f t="shared" si="0"/>
        <v>327755.96000000002</v>
      </c>
      <c r="K8" s="59">
        <f>I7+I8</f>
        <v>429255.96</v>
      </c>
      <c r="M8" s="64"/>
    </row>
    <row r="9" spans="1:13" ht="51" customHeight="1" thickBot="1" x14ac:dyDescent="0.25">
      <c r="A9" s="55">
        <v>3</v>
      </c>
      <c r="B9" s="56" t="s">
        <v>67</v>
      </c>
      <c r="C9" s="56" t="s">
        <v>63</v>
      </c>
      <c r="D9" s="57" t="str">
        <f t="shared" si="1"/>
        <v>2.9.6</v>
      </c>
      <c r="E9" s="56" t="s">
        <v>68</v>
      </c>
      <c r="F9" s="57" t="s">
        <v>13</v>
      </c>
      <c r="G9" s="57">
        <v>4</v>
      </c>
      <c r="H9" s="58">
        <v>17000</v>
      </c>
      <c r="I9" s="58">
        <f t="shared" si="0"/>
        <v>68000</v>
      </c>
      <c r="M9" s="59"/>
    </row>
    <row r="10" spans="1:13" ht="51.75" customHeight="1" thickBot="1" x14ac:dyDescent="0.25">
      <c r="A10" s="55">
        <v>4</v>
      </c>
      <c r="B10" s="56" t="s">
        <v>69</v>
      </c>
      <c r="C10" s="56" t="s">
        <v>63</v>
      </c>
      <c r="D10" s="57" t="str">
        <f t="shared" si="1"/>
        <v>2.9.6</v>
      </c>
      <c r="E10" s="56" t="s">
        <v>70</v>
      </c>
      <c r="F10" s="57" t="s">
        <v>13</v>
      </c>
      <c r="G10" s="57">
        <v>4</v>
      </c>
      <c r="H10" s="58">
        <v>35000</v>
      </c>
      <c r="I10" s="58">
        <f t="shared" si="0"/>
        <v>140000</v>
      </c>
      <c r="K10" s="59">
        <f>I9+I10</f>
        <v>208000</v>
      </c>
    </row>
    <row r="11" spans="1:13" x14ac:dyDescent="0.2">
      <c r="I11" s="59">
        <f>SUM(I7:I10)</f>
        <v>637255.96</v>
      </c>
    </row>
    <row r="14" spans="1:13" ht="13.5" thickBot="1" x14ac:dyDescent="0.25"/>
    <row r="15" spans="1:13" x14ac:dyDescent="0.2">
      <c r="B15" s="31" t="s">
        <v>58</v>
      </c>
      <c r="C15" s="32"/>
      <c r="D15" s="32"/>
      <c r="E15" s="33"/>
    </row>
    <row r="16" spans="1:13" ht="8.25" customHeight="1" x14ac:dyDescent="0.2">
      <c r="B16" s="34"/>
      <c r="E16" s="35"/>
    </row>
    <row r="17" spans="2:5" ht="15.75" customHeight="1" x14ac:dyDescent="0.2">
      <c r="B17" s="36" t="s">
        <v>14</v>
      </c>
      <c r="E17" s="35"/>
    </row>
    <row r="18" spans="2:5" ht="54.75" customHeight="1" x14ac:dyDescent="0.2">
      <c r="B18" s="36"/>
      <c r="C18" s="65" t="s">
        <v>78</v>
      </c>
      <c r="D18" s="65"/>
      <c r="E18" s="66"/>
    </row>
    <row r="19" spans="2:5" hidden="1" x14ac:dyDescent="0.2">
      <c r="B19" s="36"/>
      <c r="C19" s="37"/>
      <c r="D19" s="44"/>
      <c r="E19" s="45"/>
    </row>
    <row r="20" spans="2:5" ht="18" customHeight="1" x14ac:dyDescent="0.2">
      <c r="B20" s="36" t="s">
        <v>15</v>
      </c>
      <c r="E20" s="35"/>
    </row>
    <row r="21" spans="2:5" ht="87.75" customHeight="1" x14ac:dyDescent="0.2">
      <c r="B21" s="38"/>
      <c r="C21" s="69" t="s">
        <v>75</v>
      </c>
      <c r="D21" s="69"/>
      <c r="E21" s="70"/>
    </row>
    <row r="22" spans="2:5" x14ac:dyDescent="0.2">
      <c r="B22" s="38"/>
      <c r="C22" s="69"/>
      <c r="D22" s="69"/>
      <c r="E22" s="70"/>
    </row>
    <row r="23" spans="2:5" x14ac:dyDescent="0.2">
      <c r="B23" s="36" t="s">
        <v>59</v>
      </c>
      <c r="E23" s="35"/>
    </row>
    <row r="24" spans="2:5" x14ac:dyDescent="0.2">
      <c r="B24" s="38"/>
      <c r="C24" s="71"/>
      <c r="D24" s="71"/>
      <c r="E24" s="72"/>
    </row>
    <row r="25" spans="2:5" x14ac:dyDescent="0.2">
      <c r="B25" s="36" t="s">
        <v>83</v>
      </c>
      <c r="C25" s="39"/>
      <c r="D25" s="39"/>
      <c r="E25" s="40"/>
    </row>
    <row r="26" spans="2:5" x14ac:dyDescent="0.2">
      <c r="B26" s="38"/>
      <c r="C26" s="71"/>
      <c r="D26" s="71"/>
      <c r="E26" s="72"/>
    </row>
    <row r="27" spans="2:5" x14ac:dyDescent="0.2">
      <c r="B27" s="36" t="s">
        <v>16</v>
      </c>
      <c r="C27" s="30" t="s">
        <v>60</v>
      </c>
      <c r="E27" s="35"/>
    </row>
    <row r="28" spans="2:5" x14ac:dyDescent="0.2">
      <c r="B28" s="36"/>
      <c r="C28" s="71"/>
      <c r="D28" s="71"/>
      <c r="E28" s="72"/>
    </row>
    <row r="29" spans="2:5" ht="13.5" thickBot="1" x14ac:dyDescent="0.25">
      <c r="B29" s="41"/>
      <c r="C29" s="42"/>
      <c r="D29" s="42"/>
      <c r="E29" s="43"/>
    </row>
    <row r="31" spans="2:5" ht="13.5" thickBot="1" x14ac:dyDescent="0.25"/>
    <row r="32" spans="2:5" x14ac:dyDescent="0.2">
      <c r="B32" s="31" t="s">
        <v>76</v>
      </c>
      <c r="C32" s="32"/>
      <c r="D32" s="32"/>
      <c r="E32" s="33"/>
    </row>
    <row r="33" spans="2:5" ht="4.5" customHeight="1" x14ac:dyDescent="0.2">
      <c r="B33" s="34"/>
      <c r="E33" s="35"/>
    </row>
    <row r="34" spans="2:5" ht="14.25" customHeight="1" x14ac:dyDescent="0.2">
      <c r="B34" s="36" t="s">
        <v>14</v>
      </c>
      <c r="E34" s="35"/>
    </row>
    <row r="35" spans="2:5" ht="69.75" customHeight="1" x14ac:dyDescent="0.2">
      <c r="B35" s="36"/>
      <c r="C35" s="65" t="s">
        <v>79</v>
      </c>
      <c r="D35" s="65"/>
      <c r="E35" s="66"/>
    </row>
    <row r="36" spans="2:5" x14ac:dyDescent="0.2">
      <c r="B36" s="36"/>
      <c r="C36" s="37"/>
      <c r="D36" s="44"/>
      <c r="E36" s="45"/>
    </row>
    <row r="37" spans="2:5" ht="20.25" customHeight="1" x14ac:dyDescent="0.2">
      <c r="B37" s="36" t="s">
        <v>15</v>
      </c>
      <c r="E37" s="35"/>
    </row>
    <row r="38" spans="2:5" ht="54.75" customHeight="1" x14ac:dyDescent="0.2">
      <c r="B38" s="38"/>
      <c r="C38" s="69" t="s">
        <v>75</v>
      </c>
      <c r="D38" s="69"/>
      <c r="E38" s="70"/>
    </row>
    <row r="39" spans="2:5" ht="25.5" customHeight="1" x14ac:dyDescent="0.2">
      <c r="B39" s="38"/>
      <c r="C39" s="69"/>
      <c r="D39" s="69"/>
      <c r="E39" s="70"/>
    </row>
    <row r="40" spans="2:5" x14ac:dyDescent="0.2">
      <c r="B40" s="36" t="s">
        <v>59</v>
      </c>
      <c r="E40" s="35"/>
    </row>
    <row r="41" spans="2:5" x14ac:dyDescent="0.2">
      <c r="B41" s="38"/>
      <c r="C41" s="71"/>
      <c r="D41" s="71"/>
      <c r="E41" s="72"/>
    </row>
    <row r="42" spans="2:5" x14ac:dyDescent="0.2">
      <c r="B42" s="36" t="s">
        <v>83</v>
      </c>
      <c r="C42" s="39"/>
      <c r="D42" s="39"/>
      <c r="E42" s="40"/>
    </row>
    <row r="43" spans="2:5" x14ac:dyDescent="0.2">
      <c r="B43" s="38"/>
      <c r="C43" s="71"/>
      <c r="D43" s="71"/>
      <c r="E43" s="72"/>
    </row>
    <row r="44" spans="2:5" x14ac:dyDescent="0.2">
      <c r="B44" s="36" t="s">
        <v>16</v>
      </c>
      <c r="C44" s="30" t="s">
        <v>60</v>
      </c>
      <c r="E44" s="35"/>
    </row>
    <row r="45" spans="2:5" x14ac:dyDescent="0.2">
      <c r="B45" s="36"/>
      <c r="C45" s="71"/>
      <c r="D45" s="71"/>
      <c r="E45" s="72"/>
    </row>
    <row r="46" spans="2:5" ht="13.5" thickBot="1" x14ac:dyDescent="0.25">
      <c r="B46" s="41"/>
      <c r="C46" s="42"/>
      <c r="D46" s="42"/>
      <c r="E46" s="43"/>
    </row>
    <row r="48" spans="2:5" ht="13.5" thickBot="1" x14ac:dyDescent="0.25"/>
    <row r="49" spans="2:5" x14ac:dyDescent="0.2">
      <c r="B49" s="31" t="s">
        <v>77</v>
      </c>
      <c r="C49" s="32"/>
      <c r="D49" s="32"/>
      <c r="E49" s="33"/>
    </row>
    <row r="50" spans="2:5" x14ac:dyDescent="0.2">
      <c r="B50" s="34"/>
      <c r="E50" s="35"/>
    </row>
    <row r="51" spans="2:5" ht="12" customHeight="1" x14ac:dyDescent="0.2">
      <c r="B51" s="36" t="s">
        <v>14</v>
      </c>
      <c r="E51" s="35"/>
    </row>
    <row r="52" spans="2:5" ht="63.75" customHeight="1" x14ac:dyDescent="0.2">
      <c r="B52" s="36"/>
      <c r="C52" s="67" t="s">
        <v>80</v>
      </c>
      <c r="D52" s="67"/>
      <c r="E52" s="68"/>
    </row>
    <row r="53" spans="2:5" x14ac:dyDescent="0.2">
      <c r="B53" s="36"/>
      <c r="C53" s="37"/>
      <c r="D53" s="44"/>
      <c r="E53" s="45"/>
    </row>
    <row r="54" spans="2:5" ht="12.75" customHeight="1" x14ac:dyDescent="0.2">
      <c r="B54" s="36" t="s">
        <v>15</v>
      </c>
      <c r="E54" s="35"/>
    </row>
    <row r="55" spans="2:5" ht="72" customHeight="1" x14ac:dyDescent="0.2">
      <c r="B55" s="38"/>
      <c r="C55" s="69" t="s">
        <v>75</v>
      </c>
      <c r="D55" s="69"/>
      <c r="E55" s="70"/>
    </row>
    <row r="56" spans="2:5" x14ac:dyDescent="0.2">
      <c r="B56" s="38"/>
      <c r="C56" s="69"/>
      <c r="D56" s="69"/>
      <c r="E56" s="70"/>
    </row>
    <row r="57" spans="2:5" x14ac:dyDescent="0.2">
      <c r="B57" s="36" t="s">
        <v>59</v>
      </c>
      <c r="E57" s="35"/>
    </row>
    <row r="58" spans="2:5" x14ac:dyDescent="0.2">
      <c r="B58" s="38"/>
      <c r="C58" s="71"/>
      <c r="D58" s="71"/>
      <c r="E58" s="72"/>
    </row>
    <row r="59" spans="2:5" x14ac:dyDescent="0.2">
      <c r="B59" s="36" t="s">
        <v>83</v>
      </c>
      <c r="C59" s="39"/>
      <c r="D59" s="39"/>
      <c r="E59" s="40"/>
    </row>
    <row r="60" spans="2:5" x14ac:dyDescent="0.2">
      <c r="B60" s="38"/>
      <c r="C60" s="71"/>
      <c r="D60" s="71"/>
      <c r="E60" s="72"/>
    </row>
    <row r="61" spans="2:5" x14ac:dyDescent="0.2">
      <c r="B61" s="36" t="s">
        <v>16</v>
      </c>
      <c r="C61" s="30" t="s">
        <v>60</v>
      </c>
      <c r="E61" s="35"/>
    </row>
    <row r="62" spans="2:5" x14ac:dyDescent="0.2">
      <c r="B62" s="36"/>
      <c r="C62" s="71"/>
      <c r="D62" s="71"/>
      <c r="E62" s="72"/>
    </row>
    <row r="63" spans="2:5" ht="13.5" thickBot="1" x14ac:dyDescent="0.25">
      <c r="B63" s="41"/>
      <c r="C63" s="42"/>
      <c r="D63" s="42"/>
      <c r="E63" s="43"/>
    </row>
    <row r="65" spans="2:5" ht="13.5" thickBot="1" x14ac:dyDescent="0.25"/>
    <row r="66" spans="2:5" x14ac:dyDescent="0.2">
      <c r="B66" s="31" t="s">
        <v>84</v>
      </c>
      <c r="C66" s="32"/>
      <c r="D66" s="32"/>
      <c r="E66" s="33"/>
    </row>
    <row r="67" spans="2:5" ht="1.5" customHeight="1" x14ac:dyDescent="0.2">
      <c r="B67" s="34"/>
      <c r="E67" s="35"/>
    </row>
    <row r="68" spans="2:5" ht="12.75" customHeight="1" x14ac:dyDescent="0.2">
      <c r="B68" s="36" t="s">
        <v>14</v>
      </c>
      <c r="E68" s="35"/>
    </row>
    <row r="69" spans="2:5" ht="61.5" customHeight="1" x14ac:dyDescent="0.2">
      <c r="B69" s="36"/>
      <c r="C69" s="67" t="s">
        <v>81</v>
      </c>
      <c r="D69" s="67"/>
      <c r="E69" s="68"/>
    </row>
    <row r="70" spans="2:5" ht="2.25" customHeight="1" x14ac:dyDescent="0.2">
      <c r="B70" s="36"/>
      <c r="C70" s="37"/>
      <c r="D70" s="44"/>
      <c r="E70" s="45"/>
    </row>
    <row r="71" spans="2:5" ht="12.75" customHeight="1" x14ac:dyDescent="0.2">
      <c r="B71" s="36" t="s">
        <v>15</v>
      </c>
      <c r="E71" s="35"/>
    </row>
    <row r="72" spans="2:5" ht="82.5" customHeight="1" x14ac:dyDescent="0.2">
      <c r="B72" s="38"/>
      <c r="C72" s="69" t="s">
        <v>75</v>
      </c>
      <c r="D72" s="69"/>
      <c r="E72" s="70"/>
    </row>
    <row r="73" spans="2:5" x14ac:dyDescent="0.2">
      <c r="B73" s="38"/>
      <c r="C73" s="69"/>
      <c r="D73" s="69"/>
      <c r="E73" s="70"/>
    </row>
    <row r="74" spans="2:5" x14ac:dyDescent="0.2">
      <c r="B74" s="36" t="s">
        <v>59</v>
      </c>
      <c r="E74" s="35"/>
    </row>
    <row r="75" spans="2:5" x14ac:dyDescent="0.2">
      <c r="B75" s="38"/>
      <c r="C75" s="71"/>
      <c r="D75" s="71"/>
      <c r="E75" s="72"/>
    </row>
    <row r="76" spans="2:5" x14ac:dyDescent="0.2">
      <c r="B76" s="36" t="s">
        <v>83</v>
      </c>
      <c r="C76" s="39"/>
      <c r="D76" s="39"/>
      <c r="E76" s="40"/>
    </row>
    <row r="77" spans="2:5" x14ac:dyDescent="0.2">
      <c r="B77" s="38"/>
      <c r="C77" s="71"/>
      <c r="D77" s="71"/>
      <c r="E77" s="72"/>
    </row>
    <row r="78" spans="2:5" x14ac:dyDescent="0.2">
      <c r="B78" s="36" t="s">
        <v>16</v>
      </c>
      <c r="C78" s="30" t="s">
        <v>60</v>
      </c>
      <c r="E78" s="35"/>
    </row>
    <row r="79" spans="2:5" x14ac:dyDescent="0.2">
      <c r="B79" s="36"/>
      <c r="C79" s="71"/>
      <c r="D79" s="71"/>
      <c r="E79" s="72"/>
    </row>
    <row r="80" spans="2:5" ht="13.5" thickBot="1" x14ac:dyDescent="0.25">
      <c r="B80" s="41"/>
      <c r="C80" s="42"/>
      <c r="D80" s="42"/>
      <c r="E80" s="43"/>
    </row>
    <row r="85" ht="70.5" customHeight="1" x14ac:dyDescent="0.2"/>
    <row r="86" ht="12.75" customHeight="1" x14ac:dyDescent="0.2"/>
    <row r="88" ht="12.75" customHeight="1" x14ac:dyDescent="0.2"/>
    <row r="89" ht="66" customHeight="1" x14ac:dyDescent="0.2"/>
    <row r="102" ht="38.25" customHeight="1" x14ac:dyDescent="0.2"/>
    <row r="103" ht="12.75" customHeight="1" x14ac:dyDescent="0.2"/>
    <row r="105" ht="12.75" customHeight="1" x14ac:dyDescent="0.2"/>
    <row r="106" ht="69.75" customHeight="1" x14ac:dyDescent="0.2"/>
    <row r="119" ht="44.25" customHeight="1" x14ac:dyDescent="0.2"/>
    <row r="120" ht="12.75" customHeight="1" x14ac:dyDescent="0.2"/>
    <row r="122" ht="12.75" customHeight="1" x14ac:dyDescent="0.2"/>
    <row r="123" ht="63.75" customHeight="1" x14ac:dyDescent="0.2"/>
    <row r="136" ht="54" customHeight="1" x14ac:dyDescent="0.2"/>
    <row r="137" ht="12.75" customHeight="1" x14ac:dyDescent="0.2"/>
    <row r="139" ht="12.75" customHeight="1" x14ac:dyDescent="0.2"/>
    <row r="140" ht="58.5" customHeight="1" x14ac:dyDescent="0.2"/>
    <row r="153" ht="46.5" customHeight="1" x14ac:dyDescent="0.2"/>
    <row r="155" ht="12.75" customHeight="1" x14ac:dyDescent="0.2"/>
    <row r="156" ht="12.75" customHeight="1" x14ac:dyDescent="0.2"/>
    <row r="157" ht="60.75" customHeight="1" x14ac:dyDescent="0.2"/>
    <row r="158" ht="12.75" customHeight="1" x14ac:dyDescent="0.2"/>
    <row r="170" ht="63.75" customHeight="1" x14ac:dyDescent="0.2"/>
    <row r="172" ht="12.75" customHeight="1" x14ac:dyDescent="0.2"/>
    <row r="173" ht="12.75" customHeight="1" x14ac:dyDescent="0.2"/>
    <row r="174" ht="56.25" customHeight="1" x14ac:dyDescent="0.2"/>
    <row r="175" ht="12.75" customHeight="1" x14ac:dyDescent="0.2"/>
    <row r="187" ht="72.75" customHeight="1" x14ac:dyDescent="0.2"/>
    <row r="190" ht="12.75" customHeight="1" x14ac:dyDescent="0.2"/>
    <row r="191" ht="60.75" customHeight="1" x14ac:dyDescent="0.2"/>
    <row r="193" ht="12.75" customHeight="1" x14ac:dyDescent="0.2"/>
    <row r="205" ht="44.25" customHeight="1" x14ac:dyDescent="0.2"/>
    <row r="207" ht="12.75" customHeight="1" x14ac:dyDescent="0.2"/>
    <row r="208" ht="12.75" customHeight="1" x14ac:dyDescent="0.2"/>
    <row r="209" ht="66.75" customHeight="1" x14ac:dyDescent="0.2"/>
    <row r="210" ht="12.75" customHeight="1" x14ac:dyDescent="0.2"/>
    <row r="222" ht="71.25" customHeight="1" x14ac:dyDescent="0.2"/>
    <row r="224" ht="12.75" customHeight="1" x14ac:dyDescent="0.2"/>
    <row r="225" ht="12.75" customHeight="1" x14ac:dyDescent="0.2"/>
    <row r="226" ht="69" customHeight="1" x14ac:dyDescent="0.2"/>
    <row r="227" ht="12.75" customHeight="1" x14ac:dyDescent="0.2"/>
    <row r="240" ht="46.5" customHeight="1" x14ac:dyDescent="0.2"/>
    <row r="241" ht="12.75" customHeight="1" x14ac:dyDescent="0.2"/>
    <row r="243" ht="12.75" customHeight="1" x14ac:dyDescent="0.2"/>
    <row r="244" ht="67.5" customHeight="1" x14ac:dyDescent="0.2"/>
    <row r="257" ht="90.75" customHeight="1" x14ac:dyDescent="0.2"/>
    <row r="258" ht="12.75" customHeight="1" x14ac:dyDescent="0.2"/>
    <row r="260" ht="12.75" customHeight="1" x14ac:dyDescent="0.2"/>
    <row r="261" ht="70.5" customHeight="1" x14ac:dyDescent="0.2"/>
    <row r="274" ht="108" customHeight="1" x14ac:dyDescent="0.2"/>
    <row r="277" ht="12.75" customHeight="1" x14ac:dyDescent="0.2"/>
    <row r="278" ht="63" customHeight="1" x14ac:dyDescent="0.2"/>
    <row r="291" ht="70.5" customHeight="1" x14ac:dyDescent="0.2"/>
    <row r="294" ht="12.75" customHeight="1" x14ac:dyDescent="0.2"/>
    <row r="295" ht="68.25" customHeight="1" x14ac:dyDescent="0.2"/>
    <row r="308" ht="57.75" customHeight="1" x14ac:dyDescent="0.2"/>
    <row r="311" ht="12.75" customHeight="1" x14ac:dyDescent="0.2"/>
    <row r="312" ht="55.5" customHeight="1" x14ac:dyDescent="0.2"/>
  </sheetData>
  <mergeCells count="26">
    <mergeCell ref="A3:B3"/>
    <mergeCell ref="A4:B4"/>
    <mergeCell ref="A1:B1"/>
    <mergeCell ref="C1:E1"/>
    <mergeCell ref="A2:B2"/>
    <mergeCell ref="C2:E2"/>
    <mergeCell ref="C79:E79"/>
    <mergeCell ref="C60:E60"/>
    <mergeCell ref="C62:E62"/>
    <mergeCell ref="C55:E56"/>
    <mergeCell ref="C58:E58"/>
    <mergeCell ref="C69:E69"/>
    <mergeCell ref="C72:E73"/>
    <mergeCell ref="C75:E75"/>
    <mergeCell ref="C77:E77"/>
    <mergeCell ref="C18:E18"/>
    <mergeCell ref="C35:E35"/>
    <mergeCell ref="C52:E52"/>
    <mergeCell ref="C38:E39"/>
    <mergeCell ref="C41:E41"/>
    <mergeCell ref="C43:E43"/>
    <mergeCell ref="C45:E45"/>
    <mergeCell ref="C24:E24"/>
    <mergeCell ref="C26:E26"/>
    <mergeCell ref="C28:E28"/>
    <mergeCell ref="C21:E22"/>
  </mergeCells>
  <pageMargins left="0.7" right="0.7" top="0.75" bottom="0.75" header="0.3" footer="0.3"/>
  <pageSetup paperSize="190"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J22"/>
  <sheetViews>
    <sheetView topLeftCell="A10" zoomScaleNormal="100" workbookViewId="0">
      <selection activeCell="A16" sqref="A16:I16"/>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23.28515625" style="2" customWidth="1"/>
    <col min="8" max="8" width="9.28515625" style="2" customWidth="1"/>
    <col min="9" max="9" width="15.5703125" style="2" customWidth="1"/>
    <col min="10" max="10" width="14.7109375" style="2" customWidth="1"/>
    <col min="11" max="11" width="15.5703125" style="2" customWidth="1"/>
    <col min="12" max="12" width="17.5703125" style="2" customWidth="1"/>
    <col min="13" max="14" width="5.85546875" style="2" customWidth="1"/>
    <col min="15" max="15" width="12.5703125" style="2" customWidth="1"/>
    <col min="16" max="1024" width="9.140625" style="2"/>
  </cols>
  <sheetData>
    <row r="1" spans="1:12" ht="18" customHeight="1" x14ac:dyDescent="0.2">
      <c r="A1" s="83" t="s">
        <v>17</v>
      </c>
      <c r="B1" s="83"/>
      <c r="C1" s="83"/>
      <c r="D1" s="83"/>
      <c r="E1" s="83"/>
      <c r="F1" s="83"/>
      <c r="G1" s="83"/>
      <c r="H1" s="83"/>
      <c r="I1" s="83"/>
      <c r="J1" s="3" t="s">
        <v>18</v>
      </c>
      <c r="K1" s="46" t="s">
        <v>85</v>
      </c>
    </row>
    <row r="2" spans="1:12" ht="18.75" customHeight="1" thickBot="1" x14ac:dyDescent="0.25">
      <c r="A2" s="4"/>
      <c r="B2" s="4"/>
      <c r="C2" s="4"/>
      <c r="D2" s="5"/>
      <c r="E2" s="5"/>
      <c r="F2" s="5"/>
      <c r="G2" s="5"/>
      <c r="H2" s="5"/>
      <c r="I2" s="5"/>
      <c r="J2" s="5"/>
      <c r="K2" s="5"/>
    </row>
    <row r="3" spans="1:12" ht="18.75" customHeight="1" thickBot="1" x14ac:dyDescent="0.25">
      <c r="A3" s="84" t="s">
        <v>52</v>
      </c>
      <c r="B3" s="84"/>
      <c r="C3" s="84"/>
      <c r="D3" s="87" t="s">
        <v>55</v>
      </c>
      <c r="E3" s="87"/>
      <c r="F3" s="87"/>
      <c r="G3" s="87"/>
      <c r="H3" s="87"/>
      <c r="I3" s="87"/>
      <c r="J3" s="87"/>
      <c r="K3" s="87"/>
    </row>
    <row r="4" spans="1:12" ht="18.75" customHeight="1" thickBot="1" x14ac:dyDescent="0.25">
      <c r="A4" s="86" t="s">
        <v>53</v>
      </c>
      <c r="B4" s="86"/>
      <c r="C4" s="86"/>
      <c r="D4" s="87" t="s">
        <v>56</v>
      </c>
      <c r="E4" s="87"/>
      <c r="F4" s="87"/>
      <c r="G4" s="87"/>
      <c r="H4" s="87"/>
      <c r="I4" s="87"/>
      <c r="J4" s="87"/>
      <c r="K4" s="87"/>
    </row>
    <row r="5" spans="1:12" ht="18.75" customHeight="1" thickBot="1" x14ac:dyDescent="0.25">
      <c r="A5" s="86" t="s">
        <v>31</v>
      </c>
      <c r="B5" s="86"/>
      <c r="C5" s="86"/>
      <c r="D5" s="85" t="s">
        <v>72</v>
      </c>
      <c r="E5" s="85"/>
      <c r="F5" s="85"/>
      <c r="G5" s="85"/>
      <c r="H5" s="85"/>
      <c r="I5" s="85"/>
      <c r="J5" s="85"/>
      <c r="K5" s="85"/>
    </row>
    <row r="6" spans="1:12" ht="16.5" customHeight="1" thickBot="1" x14ac:dyDescent="0.25">
      <c r="A6" s="84" t="s">
        <v>54</v>
      </c>
      <c r="B6" s="84"/>
      <c r="C6" s="84"/>
      <c r="D6" s="85" t="s">
        <v>57</v>
      </c>
      <c r="E6" s="85"/>
      <c r="F6" s="85"/>
      <c r="G6" s="85"/>
      <c r="H6" s="85"/>
      <c r="I6" s="85"/>
      <c r="J6" s="85"/>
      <c r="K6" s="85"/>
    </row>
    <row r="7" spans="1:12" ht="16.5" customHeight="1" x14ac:dyDescent="0.2">
      <c r="A7" s="86" t="s">
        <v>19</v>
      </c>
      <c r="B7" s="86"/>
      <c r="C7" s="86"/>
      <c r="D7" s="87" t="s">
        <v>61</v>
      </c>
      <c r="E7" s="87"/>
      <c r="F7" s="87"/>
      <c r="G7" s="87"/>
      <c r="H7" s="87"/>
      <c r="I7" s="87"/>
      <c r="J7" s="87"/>
      <c r="K7" s="87"/>
    </row>
    <row r="8" spans="1:12" ht="42.75" customHeight="1" x14ac:dyDescent="0.2">
      <c r="A8" s="80" t="s">
        <v>20</v>
      </c>
      <c r="B8" s="80"/>
      <c r="C8" s="80"/>
      <c r="D8" s="76" t="s">
        <v>82</v>
      </c>
      <c r="E8" s="76"/>
      <c r="F8" s="76"/>
      <c r="G8" s="76"/>
      <c r="H8" s="76"/>
      <c r="I8" s="76"/>
      <c r="J8" s="76"/>
      <c r="K8" s="76"/>
    </row>
    <row r="9" spans="1:12" ht="15.75" x14ac:dyDescent="0.2">
      <c r="A9" s="6"/>
      <c r="B9" s="6"/>
      <c r="C9" s="6"/>
      <c r="D9" s="7"/>
      <c r="E9" s="7"/>
      <c r="F9" s="7"/>
      <c r="G9" s="7"/>
      <c r="H9" s="7"/>
      <c r="I9" s="7"/>
      <c r="J9" s="7"/>
      <c r="K9" s="7"/>
    </row>
    <row r="10" spans="1:12" ht="18.75" customHeight="1" x14ac:dyDescent="0.2">
      <c r="A10" s="77" t="s">
        <v>21</v>
      </c>
      <c r="B10" s="78" t="s">
        <v>22</v>
      </c>
      <c r="C10" s="78" t="s">
        <v>23</v>
      </c>
      <c r="D10" s="78"/>
      <c r="E10" s="78"/>
      <c r="F10" s="78"/>
      <c r="G10" s="78"/>
      <c r="H10" s="78" t="s">
        <v>24</v>
      </c>
      <c r="I10" s="78" t="s">
        <v>25</v>
      </c>
      <c r="J10" s="78" t="s">
        <v>26</v>
      </c>
      <c r="K10" s="79" t="s">
        <v>27</v>
      </c>
    </row>
    <row r="11" spans="1:12" ht="24" customHeight="1" thickBot="1" x14ac:dyDescent="0.25">
      <c r="A11" s="77"/>
      <c r="B11" s="78"/>
      <c r="C11" s="78"/>
      <c r="D11" s="78"/>
      <c r="E11" s="78"/>
      <c r="F11" s="78"/>
      <c r="G11" s="78"/>
      <c r="H11" s="78"/>
      <c r="I11" s="78"/>
      <c r="J11" s="78"/>
      <c r="K11" s="79"/>
    </row>
    <row r="12" spans="1:12" ht="42.75" customHeight="1" thickBot="1" x14ac:dyDescent="0.25">
      <c r="A12" s="61">
        <v>1</v>
      </c>
      <c r="B12" s="60" t="str">
        <f>'Necesidades Trimestrales'!B7</f>
        <v>4.3.6-9604.3</v>
      </c>
      <c r="C12" s="81" t="str">
        <f>'Necesidades Trimestrales'!E7</f>
        <v>TABLETA PC; RESOLUCION: 1280 X 800 PXL, PANTALLA: 9,4 pulg, MEMORIA: 32 Gb, MEMORIA RAM: 32 Gb</v>
      </c>
      <c r="D12" s="81"/>
      <c r="E12" s="81"/>
      <c r="F12" s="81"/>
      <c r="G12" s="81"/>
      <c r="H12" s="62" t="s">
        <v>28</v>
      </c>
      <c r="I12" s="60" t="str">
        <f>'Necesidades Trimestrales'!F7</f>
        <v>UNIDAD</v>
      </c>
      <c r="J12" s="60">
        <f>'Necesidades Trimestrales'!H7</f>
        <v>20300</v>
      </c>
      <c r="K12" s="63">
        <f>'Necesidades Trimestrales'!G7</f>
        <v>5</v>
      </c>
    </row>
    <row r="13" spans="1:12" ht="41.25" customHeight="1" thickBot="1" x14ac:dyDescent="0.25">
      <c r="A13" s="61">
        <v>2</v>
      </c>
      <c r="B13" s="60" t="str">
        <f>'Necesidades Trimestrales'!B8</f>
        <v>4.3.6-6160.221</v>
      </c>
      <c r="C13" s="81" t="str">
        <f>'Necesidades Trimestrales'!E8</f>
        <v>COMPUTADORAS; TIPO: DE ESCRITORIO, CODIGO ETAP: PC-002-00, VERSION ETAP: 23.0</v>
      </c>
      <c r="D13" s="81"/>
      <c r="E13" s="81"/>
      <c r="F13" s="81"/>
      <c r="G13" s="81"/>
      <c r="H13" s="62" t="s">
        <v>28</v>
      </c>
      <c r="I13" s="60" t="str">
        <f>'Necesidades Trimestrales'!F8</f>
        <v>UNIDAD</v>
      </c>
      <c r="J13" s="60">
        <f>'Necesidades Trimestrales'!H8</f>
        <v>81938.990000000005</v>
      </c>
      <c r="K13" s="63">
        <f>'Necesidades Trimestrales'!G8</f>
        <v>4</v>
      </c>
    </row>
    <row r="14" spans="1:12" ht="59.25" customHeight="1" thickBot="1" x14ac:dyDescent="0.25">
      <c r="A14" s="61">
        <v>3</v>
      </c>
      <c r="B14" s="60" t="str">
        <f>'Necesidades Trimestrales'!B9</f>
        <v>2.9.6-1583.1</v>
      </c>
      <c r="C14" s="81" t="str">
        <f>'Necesidades Trimestrales'!E9</f>
        <v>TECLADOS; TECLAS: 104, EXPANDIDO: EXPANDIDO, CONEXIÓN: SIN VALOR, JOYSTICK: SIN VALOR, ERGONOMICO: SIN VALOR, TIPO DE CONEXION: SIN VALOR, TIPO: SIN VALOR</v>
      </c>
      <c r="D14" s="81"/>
      <c r="E14" s="81"/>
      <c r="F14" s="81"/>
      <c r="G14" s="81"/>
      <c r="H14" s="62" t="s">
        <v>28</v>
      </c>
      <c r="I14" s="60" t="str">
        <f>'Necesidades Trimestrales'!F9</f>
        <v>UNIDAD</v>
      </c>
      <c r="J14" s="60">
        <f>'Necesidades Trimestrales'!H9</f>
        <v>17000</v>
      </c>
      <c r="K14" s="63">
        <f>'Necesidades Trimestrales'!G9</f>
        <v>4</v>
      </c>
    </row>
    <row r="15" spans="1:12" ht="24" customHeight="1" thickBot="1" x14ac:dyDescent="0.25">
      <c r="A15" s="61">
        <v>4</v>
      </c>
      <c r="B15" s="60" t="str">
        <f>'Necesidades Trimestrales'!B10</f>
        <v>2.9.6-1576.30</v>
      </c>
      <c r="C15" s="81" t="str">
        <f>'Necesidades Trimestrales'!E10</f>
        <v>MOUSE; TIPO: OPTICO, CANTIDAD DE BOTONES: 3, TIPO DE CONEXION: USB</v>
      </c>
      <c r="D15" s="81"/>
      <c r="E15" s="81"/>
      <c r="F15" s="81"/>
      <c r="G15" s="81"/>
      <c r="H15" s="62" t="s">
        <v>28</v>
      </c>
      <c r="I15" s="60" t="str">
        <f>'Necesidades Trimestrales'!F10</f>
        <v>UNIDAD</v>
      </c>
      <c r="J15" s="60">
        <f>'Necesidades Trimestrales'!H10</f>
        <v>35000</v>
      </c>
      <c r="K15" s="63">
        <f>'Necesidades Trimestrales'!G10</f>
        <v>4</v>
      </c>
    </row>
    <row r="16" spans="1:12" ht="31.5" customHeight="1" thickBot="1" x14ac:dyDescent="0.25">
      <c r="A16" s="82" t="s">
        <v>86</v>
      </c>
      <c r="B16" s="82"/>
      <c r="C16" s="82"/>
      <c r="D16" s="82"/>
      <c r="E16" s="82"/>
      <c r="F16" s="82"/>
      <c r="G16" s="82"/>
      <c r="H16" s="82"/>
      <c r="I16" s="82"/>
      <c r="J16" s="75">
        <f>SUMPRODUCT(J12:J15,K12:K15)</f>
        <v>637255.96</v>
      </c>
      <c r="K16" s="75"/>
      <c r="L16" s="29"/>
    </row>
    <row r="20" spans="10:12" x14ac:dyDescent="0.2">
      <c r="L20" s="47"/>
    </row>
    <row r="22" spans="10:12" x14ac:dyDescent="0.2">
      <c r="J22" s="47"/>
    </row>
  </sheetData>
  <mergeCells count="26">
    <mergeCell ref="A1:I1"/>
    <mergeCell ref="A6:C6"/>
    <mergeCell ref="D6:K6"/>
    <mergeCell ref="A7:C7"/>
    <mergeCell ref="D7:K7"/>
    <mergeCell ref="A3:C3"/>
    <mergeCell ref="D3:K3"/>
    <mergeCell ref="A4:C4"/>
    <mergeCell ref="D4:K4"/>
    <mergeCell ref="A5:C5"/>
    <mergeCell ref="D5:K5"/>
    <mergeCell ref="J16:K16"/>
    <mergeCell ref="D8:K8"/>
    <mergeCell ref="A10:A11"/>
    <mergeCell ref="B10:B11"/>
    <mergeCell ref="C10:G11"/>
    <mergeCell ref="H10:H11"/>
    <mergeCell ref="I10:I11"/>
    <mergeCell ref="J10:J11"/>
    <mergeCell ref="K10:K11"/>
    <mergeCell ref="A8:C8"/>
    <mergeCell ref="C12:G12"/>
    <mergeCell ref="C13:G13"/>
    <mergeCell ref="C14:G14"/>
    <mergeCell ref="C15:G15"/>
    <mergeCell ref="A16:I16"/>
  </mergeCells>
  <printOptions horizontalCentered="1"/>
  <pageMargins left="0.196527777777778" right="0.196527777777778" top="0.98402777777777795" bottom="0.98402777777777795" header="0.51180555555555496" footer="0.51180555555555496"/>
  <pageSetup paperSize="5" firstPageNumber="0" fitToHeight="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8"/>
  <sheetViews>
    <sheetView tabSelected="1" topLeftCell="A13" zoomScale="110" zoomScaleNormal="110" workbookViewId="0">
      <selection activeCell="A21" sqref="A21:P21"/>
    </sheetView>
  </sheetViews>
  <sheetFormatPr baseColWidth="10" defaultColWidth="11" defaultRowHeight="12.75" x14ac:dyDescent="0.2"/>
  <cols>
    <col min="1" max="4" width="4.42578125" customWidth="1"/>
    <col min="5" max="5" width="4.140625" customWidth="1"/>
    <col min="6" max="6" width="5.42578125" customWidth="1"/>
    <col min="7" max="7" width="4.42578125" style="8" customWidth="1"/>
    <col min="8" max="11" width="4.42578125" customWidth="1"/>
    <col min="12" max="12" width="5.42578125" customWidth="1"/>
    <col min="13" max="14" width="4.42578125" customWidth="1"/>
    <col min="15" max="15" width="14.85546875" customWidth="1"/>
    <col min="16" max="16" width="14" customWidth="1"/>
    <col min="17" max="17" width="14.7109375" customWidth="1"/>
  </cols>
  <sheetData>
    <row r="1" spans="1:17" ht="15.75" customHeight="1" x14ac:dyDescent="0.25">
      <c r="A1" s="109" t="s">
        <v>2</v>
      </c>
      <c r="B1" s="109"/>
      <c r="C1" s="109"/>
      <c r="D1" s="110">
        <f>'Necesidades Trimestrales'!C3</f>
        <v>2021</v>
      </c>
      <c r="E1" s="110"/>
      <c r="F1" s="9"/>
      <c r="G1" s="9"/>
      <c r="H1" s="10"/>
      <c r="I1" s="10"/>
      <c r="J1" s="10"/>
      <c r="K1" s="10"/>
      <c r="L1" s="10"/>
      <c r="M1" s="10"/>
      <c r="N1" s="10"/>
      <c r="P1" s="111" t="s">
        <v>29</v>
      </c>
      <c r="Q1" s="111"/>
    </row>
    <row r="2" spans="1:17" ht="15.75" customHeight="1" x14ac:dyDescent="0.2">
      <c r="H2" s="10"/>
      <c r="I2" s="10"/>
      <c r="J2" s="10"/>
      <c r="K2" s="10"/>
      <c r="L2" s="10"/>
      <c r="M2" s="10"/>
      <c r="N2" s="10"/>
      <c r="P2" s="111"/>
      <c r="Q2" s="111"/>
    </row>
    <row r="4" spans="1:17" s="11" customFormat="1" ht="18" customHeight="1" thickBot="1" x14ac:dyDescent="0.25">
      <c r="A4" s="112" t="s">
        <v>30</v>
      </c>
      <c r="B4" s="112"/>
      <c r="C4" s="112"/>
      <c r="D4" s="112"/>
      <c r="E4" s="112"/>
      <c r="F4" s="112"/>
      <c r="G4" s="105" t="str">
        <f>' NotaPedido'!D3</f>
        <v>70 - MINISTERIO DE CIENCIA E INNOVACION TECNOLOGICA</v>
      </c>
      <c r="H4" s="105"/>
      <c r="I4" s="105"/>
      <c r="J4" s="105"/>
      <c r="K4" s="105"/>
      <c r="L4" s="105"/>
      <c r="M4" s="105"/>
      <c r="N4" s="105"/>
      <c r="O4" s="105"/>
      <c r="P4" s="105"/>
      <c r="Q4" s="105"/>
    </row>
    <row r="5" spans="1:17" s="11" customFormat="1" ht="18" customHeight="1" thickBot="1" x14ac:dyDescent="0.25">
      <c r="A5" s="102" t="s">
        <v>53</v>
      </c>
      <c r="B5" s="103"/>
      <c r="C5" s="103"/>
      <c r="D5" s="103"/>
      <c r="E5" s="103"/>
      <c r="F5" s="104"/>
      <c r="G5" s="105" t="str">
        <f>' NotaPedido'!D4</f>
        <v>20 - MINISTERIO DE CIENCIA E INNOVACION TECNOLOGICA</v>
      </c>
      <c r="H5" s="105"/>
      <c r="I5" s="105"/>
      <c r="J5" s="105"/>
      <c r="K5" s="105"/>
      <c r="L5" s="105"/>
      <c r="M5" s="105"/>
      <c r="N5" s="105"/>
      <c r="O5" s="105"/>
      <c r="P5" s="105"/>
      <c r="Q5" s="105"/>
    </row>
    <row r="6" spans="1:17" s="11" customFormat="1" ht="18" customHeight="1" thickBot="1" x14ac:dyDescent="0.25">
      <c r="A6" s="102" t="s">
        <v>31</v>
      </c>
      <c r="B6" s="103"/>
      <c r="C6" s="103"/>
      <c r="D6" s="103"/>
      <c r="E6" s="103"/>
      <c r="F6" s="104"/>
      <c r="G6" s="107" t="str">
        <f>' NotaPedido'!D5</f>
        <v>SECRETARIA DE INNOVACION TECNOLOGICA</v>
      </c>
      <c r="H6" s="107"/>
      <c r="I6" s="107"/>
      <c r="J6" s="107"/>
      <c r="K6" s="107"/>
      <c r="L6" s="107"/>
      <c r="M6" s="107"/>
      <c r="N6" s="107"/>
      <c r="O6" s="107"/>
      <c r="P6" s="107"/>
      <c r="Q6" s="107"/>
    </row>
    <row r="7" spans="1:17" s="11" customFormat="1" ht="25.5" customHeight="1" thickBot="1" x14ac:dyDescent="0.25">
      <c r="A7" s="102" t="s">
        <v>54</v>
      </c>
      <c r="B7" s="103"/>
      <c r="C7" s="103"/>
      <c r="D7" s="103"/>
      <c r="E7" s="103"/>
      <c r="F7" s="104"/>
      <c r="G7" s="108" t="str">
        <f>' NotaPedido'!D6</f>
        <v>DIRECCION PROVINCIAL DE GESTION ADMINISTRATIVA Y RECURSOS HUMANOS</v>
      </c>
      <c r="H7" s="108"/>
      <c r="I7" s="108"/>
      <c r="J7" s="108"/>
      <c r="K7" s="108"/>
      <c r="L7" s="108"/>
      <c r="M7" s="108"/>
      <c r="N7" s="108"/>
      <c r="O7" s="108"/>
      <c r="P7" s="108"/>
      <c r="Q7" s="108"/>
    </row>
    <row r="8" spans="1:17" ht="18" customHeight="1" thickBot="1" x14ac:dyDescent="0.25">
      <c r="A8" s="106" t="s">
        <v>32</v>
      </c>
      <c r="B8" s="106"/>
      <c r="C8" s="106"/>
      <c r="D8" s="106"/>
      <c r="E8" s="106"/>
      <c r="F8" s="106"/>
      <c r="G8" s="106"/>
      <c r="H8" s="106"/>
      <c r="I8" s="106"/>
      <c r="J8" s="106"/>
      <c r="K8" s="106"/>
      <c r="L8" s="106"/>
      <c r="M8" s="106"/>
      <c r="N8" s="106"/>
      <c r="O8" s="106"/>
      <c r="P8" s="106"/>
      <c r="Q8" s="106"/>
    </row>
    <row r="9" spans="1:17" ht="18" customHeight="1" x14ac:dyDescent="0.2">
      <c r="A9" s="96" t="s">
        <v>33</v>
      </c>
      <c r="B9" s="96"/>
      <c r="C9" s="96"/>
      <c r="D9" s="96"/>
      <c r="E9" s="96"/>
      <c r="F9" s="96"/>
      <c r="G9" s="96"/>
      <c r="H9" s="96"/>
      <c r="I9" s="96"/>
      <c r="J9" s="96"/>
      <c r="K9" s="96"/>
      <c r="L9" s="96"/>
      <c r="M9" s="96"/>
      <c r="N9" s="96"/>
      <c r="O9" s="1"/>
      <c r="P9" s="1"/>
      <c r="Q9" s="12"/>
    </row>
    <row r="10" spans="1:17" ht="54.75" customHeight="1" x14ac:dyDescent="0.2">
      <c r="A10" s="97"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023/2021,  afectando la erogación resultante a los créditos presupuestarios aprobados a favor de esta Unidad Ejecutora, conforme al siguiente detalle:</v>
      </c>
      <c r="B10" s="97"/>
      <c r="C10" s="97"/>
      <c r="D10" s="97"/>
      <c r="E10" s="97"/>
      <c r="F10" s="97"/>
      <c r="G10" s="97"/>
      <c r="H10" s="97"/>
      <c r="I10" s="97"/>
      <c r="J10" s="97"/>
      <c r="K10" s="97"/>
      <c r="L10" s="97"/>
      <c r="M10" s="97"/>
      <c r="N10" s="97"/>
      <c r="O10" s="97"/>
      <c r="P10" s="97"/>
      <c r="Q10" s="97"/>
    </row>
    <row r="11" spans="1:17" ht="9" customHeight="1" x14ac:dyDescent="0.2">
      <c r="A11" s="13"/>
      <c r="B11" s="14"/>
      <c r="C11" s="14"/>
      <c r="D11" s="14"/>
      <c r="E11" s="14"/>
      <c r="F11" s="14"/>
      <c r="G11" s="15"/>
      <c r="H11" s="14"/>
      <c r="I11" s="14"/>
      <c r="J11" s="14"/>
      <c r="K11" s="14"/>
      <c r="L11" s="14"/>
      <c r="M11" s="14"/>
      <c r="N11" s="14"/>
      <c r="O11" s="14"/>
      <c r="P11" s="14"/>
      <c r="Q11" s="16"/>
    </row>
    <row r="12" spans="1:17" ht="15.75" customHeight="1" x14ac:dyDescent="0.2">
      <c r="A12" s="98" t="s">
        <v>34</v>
      </c>
      <c r="B12" s="98"/>
      <c r="C12" s="98"/>
      <c r="D12" s="98"/>
      <c r="E12" s="98"/>
      <c r="F12" s="98"/>
      <c r="G12" s="98"/>
      <c r="H12" s="98"/>
      <c r="I12" s="98"/>
      <c r="J12" s="98"/>
      <c r="K12" s="98"/>
      <c r="L12" s="98"/>
      <c r="M12" s="98"/>
      <c r="N12" s="98"/>
      <c r="O12" s="98"/>
      <c r="P12" s="98"/>
      <c r="Q12" s="98"/>
    </row>
    <row r="13" spans="1:17" ht="15.75" customHeight="1" x14ac:dyDescent="0.2">
      <c r="A13" s="99" t="s">
        <v>35</v>
      </c>
      <c r="B13" s="99"/>
      <c r="C13" s="99"/>
      <c r="D13" s="99"/>
      <c r="E13" s="99"/>
      <c r="F13" s="99"/>
      <c r="G13" s="99"/>
      <c r="H13" s="99"/>
      <c r="I13" s="99"/>
      <c r="J13" s="99"/>
      <c r="K13" s="99"/>
      <c r="L13" s="99"/>
      <c r="M13" s="99"/>
      <c r="N13" s="99"/>
      <c r="O13" s="100" t="s">
        <v>36</v>
      </c>
      <c r="P13" s="100"/>
      <c r="Q13" s="101" t="s">
        <v>37</v>
      </c>
    </row>
    <row r="14" spans="1:17" ht="15.75" customHeight="1" x14ac:dyDescent="0.2">
      <c r="A14" s="17" t="s">
        <v>38</v>
      </c>
      <c r="B14" s="18" t="s">
        <v>39</v>
      </c>
      <c r="C14" s="18" t="s">
        <v>40</v>
      </c>
      <c r="D14" s="18" t="s">
        <v>41</v>
      </c>
      <c r="E14" s="18" t="s">
        <v>42</v>
      </c>
      <c r="F14" s="18" t="s">
        <v>43</v>
      </c>
      <c r="G14" s="19" t="s">
        <v>44</v>
      </c>
      <c r="H14" s="18" t="s">
        <v>45</v>
      </c>
      <c r="I14" s="18" t="s">
        <v>46</v>
      </c>
      <c r="J14" s="18" t="s">
        <v>47</v>
      </c>
      <c r="K14" s="18" t="s">
        <v>47</v>
      </c>
      <c r="L14" s="18" t="s">
        <v>48</v>
      </c>
      <c r="M14" s="20" t="s">
        <v>49</v>
      </c>
      <c r="N14" s="21" t="s">
        <v>50</v>
      </c>
      <c r="O14" s="100"/>
      <c r="P14" s="100"/>
      <c r="Q14" s="101"/>
    </row>
    <row r="15" spans="1:17" ht="28.5" customHeight="1" thickBot="1" x14ac:dyDescent="0.25">
      <c r="A15" s="22">
        <v>3</v>
      </c>
      <c r="B15" s="23">
        <v>0</v>
      </c>
      <c r="C15" s="23">
        <v>0</v>
      </c>
      <c r="D15" s="23">
        <v>1</v>
      </c>
      <c r="E15" s="23">
        <v>0</v>
      </c>
      <c r="F15" s="23">
        <v>4901</v>
      </c>
      <c r="G15" s="23">
        <v>3</v>
      </c>
      <c r="H15" s="23">
        <v>5</v>
      </c>
      <c r="I15" s="23">
        <v>2</v>
      </c>
      <c r="J15" s="23">
        <v>9</v>
      </c>
      <c r="K15" s="23">
        <v>6</v>
      </c>
      <c r="L15" s="23">
        <v>0</v>
      </c>
      <c r="M15" s="24">
        <v>1</v>
      </c>
      <c r="N15" s="23" t="s">
        <v>71</v>
      </c>
      <c r="O15" s="89" t="s">
        <v>73</v>
      </c>
      <c r="P15" s="89"/>
      <c r="Q15" s="25">
        <v>208000</v>
      </c>
    </row>
    <row r="16" spans="1:17" ht="29.25" customHeight="1" thickBot="1" x14ac:dyDescent="0.25">
      <c r="A16" s="22">
        <v>3</v>
      </c>
      <c r="B16" s="23">
        <v>0</v>
      </c>
      <c r="C16" s="23">
        <v>0</v>
      </c>
      <c r="D16" s="23">
        <v>1</v>
      </c>
      <c r="E16" s="23">
        <v>0</v>
      </c>
      <c r="F16" s="23">
        <v>4901</v>
      </c>
      <c r="G16" s="23">
        <v>3</v>
      </c>
      <c r="H16" s="23">
        <v>5</v>
      </c>
      <c r="I16" s="23">
        <v>4</v>
      </c>
      <c r="J16" s="23">
        <v>3</v>
      </c>
      <c r="K16" s="23">
        <v>6</v>
      </c>
      <c r="L16" s="23">
        <v>0</v>
      </c>
      <c r="M16" s="24">
        <v>1</v>
      </c>
      <c r="N16" s="23" t="s">
        <v>71</v>
      </c>
      <c r="O16" s="89" t="s">
        <v>74</v>
      </c>
      <c r="P16" s="89"/>
      <c r="Q16" s="25">
        <v>429255.96</v>
      </c>
    </row>
    <row r="17" spans="1:19" ht="21.75" customHeight="1" thickBot="1" x14ac:dyDescent="0.25">
      <c r="A17" s="22"/>
      <c r="B17" s="23"/>
      <c r="C17" s="23"/>
      <c r="D17" s="23"/>
      <c r="E17" s="23"/>
      <c r="F17" s="23"/>
      <c r="G17" s="23"/>
      <c r="H17" s="23"/>
      <c r="I17" s="23"/>
      <c r="J17" s="23"/>
      <c r="K17" s="23"/>
      <c r="L17" s="23"/>
      <c r="M17" s="24"/>
      <c r="N17" s="23"/>
      <c r="O17" s="89"/>
      <c r="P17" s="89"/>
      <c r="Q17" s="25"/>
    </row>
    <row r="18" spans="1:19" ht="20.25" customHeight="1" thickBot="1" x14ac:dyDescent="0.25">
      <c r="A18" s="22"/>
      <c r="B18" s="23"/>
      <c r="C18" s="23"/>
      <c r="D18" s="23"/>
      <c r="E18" s="23"/>
      <c r="F18" s="23"/>
      <c r="G18" s="23"/>
      <c r="H18" s="23"/>
      <c r="I18" s="23"/>
      <c r="J18" s="23"/>
      <c r="K18" s="23"/>
      <c r="L18" s="23"/>
      <c r="M18" s="24"/>
      <c r="N18" s="23"/>
      <c r="O18" s="89"/>
      <c r="P18" s="89"/>
      <c r="Q18" s="25"/>
    </row>
    <row r="19" spans="1:19" ht="19.5" customHeight="1" thickBot="1" x14ac:dyDescent="0.25">
      <c r="A19" s="22"/>
      <c r="B19" s="23"/>
      <c r="C19" s="23"/>
      <c r="D19" s="23"/>
      <c r="E19" s="23"/>
      <c r="F19" s="23"/>
      <c r="G19" s="23"/>
      <c r="H19" s="23"/>
      <c r="I19" s="23"/>
      <c r="J19" s="23"/>
      <c r="K19" s="23"/>
      <c r="L19" s="23"/>
      <c r="M19" s="24"/>
      <c r="N19" s="23"/>
      <c r="O19" s="89"/>
      <c r="P19" s="89"/>
      <c r="Q19" s="25"/>
    </row>
    <row r="20" spans="1:19" ht="20.25" customHeight="1" thickBot="1" x14ac:dyDescent="0.25">
      <c r="A20" s="22"/>
      <c r="B20" s="23"/>
      <c r="C20" s="23"/>
      <c r="D20" s="23"/>
      <c r="E20" s="23"/>
      <c r="F20" s="23"/>
      <c r="G20" s="23"/>
      <c r="H20" s="23"/>
      <c r="I20" s="23"/>
      <c r="J20" s="23"/>
      <c r="K20" s="23"/>
      <c r="L20" s="23"/>
      <c r="M20" s="24"/>
      <c r="N20" s="23"/>
      <c r="O20" s="89"/>
      <c r="P20" s="89"/>
      <c r="Q20" s="25"/>
      <c r="S20" s="28"/>
    </row>
    <row r="21" spans="1:19" ht="29.25" customHeight="1" thickBot="1" x14ac:dyDescent="0.25">
      <c r="A21" s="90" t="s">
        <v>87</v>
      </c>
      <c r="B21" s="90"/>
      <c r="C21" s="90"/>
      <c r="D21" s="90"/>
      <c r="E21" s="90"/>
      <c r="F21" s="90"/>
      <c r="G21" s="90"/>
      <c r="H21" s="90"/>
      <c r="I21" s="90"/>
      <c r="J21" s="90"/>
      <c r="K21" s="90"/>
      <c r="L21" s="90"/>
      <c r="M21" s="90"/>
      <c r="N21" s="90"/>
      <c r="O21" s="90"/>
      <c r="P21" s="90"/>
      <c r="Q21" s="26">
        <f>SUM(Q15:Q20)</f>
        <v>637255.96</v>
      </c>
    </row>
    <row r="22" spans="1:19" ht="18" customHeight="1" thickBot="1" x14ac:dyDescent="0.25">
      <c r="A22" s="91"/>
      <c r="B22" s="91"/>
      <c r="C22" s="91"/>
      <c r="D22" s="91"/>
      <c r="E22" s="91"/>
      <c r="F22" s="91"/>
      <c r="G22" s="91"/>
      <c r="H22" s="91"/>
      <c r="I22" s="91"/>
      <c r="J22" s="91"/>
      <c r="K22" s="91"/>
      <c r="L22" s="91"/>
      <c r="M22" s="91"/>
      <c r="N22" s="91"/>
      <c r="O22" s="91"/>
      <c r="P22" s="91"/>
      <c r="Q22" s="91"/>
    </row>
    <row r="23" spans="1:19" ht="17.25" customHeight="1" thickBot="1" x14ac:dyDescent="0.25">
      <c r="A23" s="92" t="s">
        <v>51</v>
      </c>
      <c r="B23" s="93"/>
      <c r="C23" s="93"/>
      <c r="D23" s="93"/>
      <c r="E23" s="93"/>
      <c r="F23" s="94"/>
      <c r="G23" s="95"/>
      <c r="H23" s="95"/>
      <c r="I23" s="95"/>
      <c r="J23" s="95"/>
      <c r="K23" s="95"/>
      <c r="L23" s="95"/>
      <c r="M23" s="95"/>
      <c r="N23" s="95"/>
      <c r="O23" s="95"/>
      <c r="P23" s="95"/>
      <c r="Q23" s="95"/>
    </row>
    <row r="24" spans="1:19" ht="18" customHeight="1" thickBot="1" x14ac:dyDescent="0.25">
      <c r="A24" s="88" t="s">
        <v>88</v>
      </c>
      <c r="B24" s="88"/>
      <c r="C24" s="88"/>
      <c r="D24" s="88"/>
      <c r="E24" s="88"/>
      <c r="F24" s="88"/>
      <c r="G24" s="88"/>
      <c r="H24" s="88"/>
      <c r="I24" s="88"/>
      <c r="J24" s="88"/>
      <c r="K24" s="88"/>
      <c r="L24" s="88"/>
      <c r="M24" s="88"/>
      <c r="N24" s="88"/>
      <c r="O24" s="88"/>
      <c r="P24" s="88"/>
      <c r="Q24" s="88"/>
    </row>
    <row r="25" spans="1:19" ht="32.25" customHeight="1" x14ac:dyDescent="0.2">
      <c r="A25" s="88"/>
      <c r="B25" s="88"/>
      <c r="C25" s="88"/>
      <c r="D25" s="88"/>
      <c r="E25" s="88"/>
      <c r="F25" s="88"/>
      <c r="G25" s="88"/>
      <c r="H25" s="88"/>
      <c r="I25" s="88"/>
      <c r="J25" s="88"/>
      <c r="K25" s="88"/>
      <c r="L25" s="88"/>
      <c r="M25" s="88"/>
      <c r="N25" s="88"/>
      <c r="O25" s="88"/>
      <c r="P25" s="88"/>
      <c r="Q25" s="88"/>
    </row>
    <row r="28" spans="1:19" x14ac:dyDescent="0.2">
      <c r="A28" s="27"/>
    </row>
  </sheetData>
  <mergeCells count="29">
    <mergeCell ref="A1:C1"/>
    <mergeCell ref="D1:E1"/>
    <mergeCell ref="P1:Q2"/>
    <mergeCell ref="A4:F4"/>
    <mergeCell ref="G4:Q4"/>
    <mergeCell ref="A5:F5"/>
    <mergeCell ref="G5:Q5"/>
    <mergeCell ref="A8:Q8"/>
    <mergeCell ref="A6:F6"/>
    <mergeCell ref="G6:Q6"/>
    <mergeCell ref="A7:F7"/>
    <mergeCell ref="G7:Q7"/>
    <mergeCell ref="A9:N9"/>
    <mergeCell ref="A10:Q10"/>
    <mergeCell ref="A12:Q12"/>
    <mergeCell ref="A13:N13"/>
    <mergeCell ref="O13:P14"/>
    <mergeCell ref="Q13:Q14"/>
    <mergeCell ref="A24:Q25"/>
    <mergeCell ref="O20:P20"/>
    <mergeCell ref="A21:P21"/>
    <mergeCell ref="A22:Q22"/>
    <mergeCell ref="O15:P15"/>
    <mergeCell ref="O16:P16"/>
    <mergeCell ref="O17:P17"/>
    <mergeCell ref="O18:P18"/>
    <mergeCell ref="O19:P19"/>
    <mergeCell ref="A23:F23"/>
    <mergeCell ref="G23:Q23"/>
  </mergeCells>
  <printOptions horizontalCentered="1"/>
  <pageMargins left="0.39374999999999999" right="0.39374999999999999" top="0.98402777777777795" bottom="0.98402777777777795" header="0.51180555555555496" footer="0.51180555555555496"/>
  <pageSetup paperSize="5" scale="90" firstPageNumber="0" orientation="portrait"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 NotaPedido</vt:lpstr>
      <vt:lpstr>Autor Gastar</vt:lpstr>
      <vt:lpstr>' NotaPedido'!Área_de_impresión</vt:lpstr>
      <vt:lpstr>'Autor Gastar'!Área_de_impresión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COMPRAS</cp:lastModifiedBy>
  <cp:revision>2</cp:revision>
  <cp:lastPrinted>2021-06-24T15:30:22Z</cp:lastPrinted>
  <dcterms:created xsi:type="dcterms:W3CDTF">2020-07-17T23:44:49Z</dcterms:created>
  <dcterms:modified xsi:type="dcterms:W3CDTF">2021-08-04T14:33:54Z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