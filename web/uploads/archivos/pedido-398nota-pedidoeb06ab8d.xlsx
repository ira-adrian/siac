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VADEMECUM\CODIFICACION RUBEN\"/>
    </mc:Choice>
  </mc:AlternateContent>
  <xr:revisionPtr revIDLastSave="0" documentId="13_ncr:1_{4882A69C-2D2D-4C85-BEA7-4ACEA1AF8D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Trimestrales'!$A$9:$J$74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" i="1" l="1"/>
  <c r="I24" i="1" l="1"/>
  <c r="I35" i="1" l="1"/>
  <c r="I23" i="1"/>
  <c r="I12" i="1"/>
  <c r="I13" i="1"/>
  <c r="I11" i="1"/>
  <c r="I10" i="1"/>
  <c r="H40" i="1" l="1"/>
  <c r="I47" i="1" l="1"/>
  <c r="I46" i="1"/>
  <c r="I45" i="1"/>
  <c r="I36" i="1"/>
  <c r="I39" i="1"/>
  <c r="I37" i="1"/>
  <c r="I38" i="1"/>
  <c r="I48" i="1"/>
  <c r="I44" i="1"/>
  <c r="I16" i="1" l="1"/>
  <c r="I19" i="1"/>
  <c r="I28" i="1"/>
  <c r="I43" i="1"/>
  <c r="I15" i="1"/>
  <c r="I34" i="1"/>
  <c r="I30" i="1"/>
  <c r="I33" i="1"/>
  <c r="I27" i="1"/>
  <c r="I26" i="1"/>
  <c r="I29" i="1"/>
  <c r="I31" i="1" l="1"/>
  <c r="I17" i="1"/>
  <c r="I21" i="1"/>
  <c r="I18" i="1"/>
  <c r="I14" i="1"/>
  <c r="I22" i="1"/>
  <c r="I41" i="1"/>
  <c r="I42" i="1"/>
  <c r="I40" i="1"/>
  <c r="I32" i="1"/>
  <c r="I25" i="1"/>
  <c r="K75" i="2"/>
  <c r="K76" i="2"/>
  <c r="J75" i="2"/>
  <c r="J76" i="2"/>
  <c r="I75" i="2"/>
  <c r="I76" i="2"/>
  <c r="C75" i="2"/>
  <c r="C76" i="2"/>
  <c r="B75" i="2"/>
  <c r="B76" i="2"/>
  <c r="C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3" i="2"/>
  <c r="B14" i="2"/>
  <c r="B15" i="2"/>
  <c r="B16" i="2"/>
  <c r="B12" i="2"/>
  <c r="J146" i="2" l="1"/>
  <c r="Q23" i="3" l="1"/>
  <c r="A10" i="3"/>
  <c r="G7" i="3"/>
  <c r="G6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<sst xmlns="http://schemas.openxmlformats.org/spreadsheetml/2006/main" count="372" uniqueCount="157">
  <si>
    <t>Pedido de Necesidades Trimestrales</t>
  </si>
  <si>
    <t>JURISDICCION:</t>
  </si>
  <si>
    <t>040 - Ministerio de Salud</t>
  </si>
  <si>
    <t xml:space="preserve">SAF N°: </t>
  </si>
  <si>
    <t>11/ 23/ 24  o  28- "…......."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</si>
  <si>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</si>
  <si>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</si>
  <si>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</si>
  <si>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</si>
  <si>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</si>
  <si>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</si>
  <si>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</si>
  <si>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</si>
  <si>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</si>
  <si>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</si>
  <si>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</si>
  <si>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</si>
  <si>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</si>
  <si>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FRASCO</t>
  </si>
  <si>
    <t>ENVASE</t>
  </si>
  <si>
    <t>UNIDAD</t>
  </si>
  <si>
    <t>GOTERO</t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</si>
  <si>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</si>
  <si>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</si>
  <si>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</si>
  <si>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</si>
  <si>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r>
      <rPr>
        <u/>
        <sz val="10"/>
        <rFont val="Times New Roman"/>
        <family val="1"/>
      </rPr>
      <t>Mantenimiento</t>
    </r>
    <r>
      <rPr>
        <u/>
        <sz val="10"/>
        <rFont val="Times New Roman"/>
        <family val="1"/>
      </rPr>
      <t xml:space="preserve">: 45 dias habiles </t>
    </r>
  </si>
  <si>
    <t>NOTA DE PEDIDO</t>
  </si>
  <si>
    <t>N°</t>
  </si>
  <si>
    <t>xxx/2022</t>
  </si>
  <si>
    <t xml:space="preserve">JURISDICCIÓN: </t>
  </si>
  <si>
    <t>SAF:</t>
  </si>
  <si>
    <t>UNIDAD EJECUTORA:</t>
  </si>
  <si>
    <t>XXXX</t>
  </si>
  <si>
    <t xml:space="preserve">DEPENDENCIA SOLICITANTE: </t>
  </si>
  <si>
    <t>PERIODO UTILIZACIÓN:</t>
  </si>
  <si>
    <t>Semestral</t>
  </si>
  <si>
    <t>OBJETO:</t>
  </si>
  <si>
    <t>Adquisición de TERAPIA ANTIINFECCIOSA SISTEMICA/SUEROS INMUNES E INMUNOGLOBULINAS  Y MEDIOS DE CONTRASTES /ANALGESICOS ANTINFLAMATORIOS /MIORRELAJANTES/ANESTESICOS/ANALGESICOS OPIACIOS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</si>
  <si>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</si>
  <si>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</si>
  <si>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</si>
  <si>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</si>
  <si>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</si>
  <si>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</si>
  <si>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</si>
  <si>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</si>
  <si>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xxxxxxxxxxxxxxxxxxxx con 00/100.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</si>
  <si>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</si>
  <si>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</si>
  <si>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</si>
  <si>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</si>
  <si>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</si>
  <si>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</si>
  <si>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</si>
  <si>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</si>
  <si>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</si>
  <si>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</si>
  <si>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</si>
  <si>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</si>
  <si>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</si>
  <si>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</si>
  <si>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</si>
  <si>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</si>
  <si>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</si>
  <si>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</si>
  <si>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</si>
  <si>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</si>
  <si>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</si>
  <si>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</si>
  <si>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xxxxxxxxxxxxxxx con 00/100.</t>
  </si>
  <si>
    <t>JUSTIFICACIÓN:</t>
  </si>
  <si>
    <t>Para la adquisición de .... … destinados al servico de …... del Hospital …...............</t>
  </si>
  <si>
    <t>PROD. MEDICO/FARMACEUTICOS/LAB</t>
  </si>
  <si>
    <t>2.5.2-1864.6</t>
  </si>
  <si>
    <t>2.5.2-1821.5</t>
  </si>
  <si>
    <t>2.5.2-1821.458</t>
  </si>
  <si>
    <t>2.5.2-1725.68</t>
  </si>
  <si>
    <t>2.5.2-1724.29</t>
  </si>
  <si>
    <t>2.5.2-1821.219</t>
  </si>
  <si>
    <t>2.5.2-1724.154</t>
  </si>
  <si>
    <t>HIPOURICEMIANTES; TIPO: MONODROGA, DROGA GENERICA: ALOPURINOL 300 mGr, FORMA FARMACEUTICA: COMPRIMIDO, PRESENTACION: UNIDAD</t>
  </si>
  <si>
    <t>ANTIBIOTICOS P/PERSONAS; TIPO: MONODROGA, DROGA GENERICA: AMPICILINA, FORMA FARMACEUTICA: COMPRIMIDOS, PRESENTACION: 500 mGr</t>
  </si>
  <si>
    <t>ANALGESICOS ; TIPO: MONODROGA, DROGA GENERICA: TRAMADOL 50 mGr, FORMA FARMACEUTICA: AMPOLLA, PRESENTACION: UNIDAD</t>
  </si>
  <si>
    <t>ANTIBIOTICOS P/PERSONAS; TIPO: MONODROGA, DROGA GENERICA: DOXICICLINA 100 mGr, FORMA FARMACEUTICA: COMPRIMIDO, PRESENTACION: UNIDAD</t>
  </si>
  <si>
    <t>ANTIINFLAMATORIOS NO ESTEROIDE; TIPO: MONODROGA, DROGA GENERICA: IBUPROFENO, FORMA FARMACEUTICA: COMPRIMIDO, PRESENTACION: 400 mGr</t>
  </si>
  <si>
    <t>ANALGESICOS ; TIPO: MONODROGA, DROGA GENERICA: PARACETAMOL, FORMA FARMACEUTICA: GOTAS, PRESENTACION: 20 mL</t>
  </si>
  <si>
    <t>ANTIBIOTICOS P/PERSONAS; TIPO: MONODROGA, DROGA GENERICA: RIFAMPICINA, FORMA FARMACEUTICA: FRASCO AMPOLLA, PRESENTACION: 600 mGr</t>
  </si>
  <si>
    <t>ANTIINFLAMATORIOS NO ESTEROIDE; TIPO: MONODROGA, DROGA GENERICA: DICLOFENAC POTASICO 500MG/100ML, FORMA FARMACEUTICA: JARABE, PRESENTACION: 120 ML</t>
  </si>
  <si>
    <t>2.5.2-1725.153</t>
  </si>
  <si>
    <t>EVACUANTES INTESTINALES; TIPO: ASOCIACION, DROGA GENERICA: POLIETILENGLICOL 3350, FORMA FARMACEÚTICA: SOBRES, PRESENTACION: SOBRES X 30</t>
  </si>
  <si>
    <t>2.5.2-3603.18</t>
  </si>
  <si>
    <t>PEDICULICIDAS; DROGA GENERICA: PERMETRINA, FORMA FARMACEUTICA: EMULSION, PRESENTACION: 100 mL</t>
  </si>
  <si>
    <t>2.5.2-3097.9</t>
  </si>
  <si>
    <t>SI</t>
  </si>
  <si>
    <t>Productos Farmacéuticos y Medicinales</t>
  </si>
  <si>
    <t>ANALGESICOS ; TIPO: MONODROGA, DROGA GENERICA: IBUPROFENO 400, FORMA FARMACEUTICA: AMPOLLA, PRESENTACION: 3 mL</t>
  </si>
  <si>
    <t>2.5.2-1724.107</t>
  </si>
  <si>
    <t>LINIMENTOS; NOMBRE DEL PRODUCTO: OLEO CALCAREO, CALIDAD: MEDICINAL, PRESENTACION: ENVASE X 250 CM3</t>
  </si>
  <si>
    <t>2.5.2-9051.3</t>
  </si>
  <si>
    <t>QUIMICOS</t>
  </si>
  <si>
    <t>GESTAGENO; TIPO: MONODROGA, DROGA GENERICA: MEDROXIPROGESTERONA, FORMA FARMACEUTICA: AMPOLLA, PRESENTACION: 150 mGr</t>
  </si>
  <si>
    <t>2.5.2-1850.6</t>
  </si>
  <si>
    <t>2.5.2-1851.29</t>
  </si>
  <si>
    <t>GENITOURINARIO; TIPO: MONODROGA, DROGA GENÉRICA: NISTATINA, FORMA FARMACEÚTICA: COMPRIMIDO VAGINAL, PRESENTACIÓN: 100000 UI</t>
  </si>
  <si>
    <t>2.5.2-1855.23</t>
  </si>
  <si>
    <t>CORTICOESTEROIDES; TIPO: MONODROGA, DROGA GENERICA: BETAMETASONA, FORMA FARMACEUTICA: CREMA, PRESENTACION: 15 GR</t>
  </si>
  <si>
    <t>2.5.2-2200.6</t>
  </si>
  <si>
    <t>CORTICOIDES; DROGA GENERICA: HIDROCORTISONA X 1 GR, FORMA FARMACEUTICA: CREMA, PRESENTACION: 15 GR, TIPO: MONODROGA</t>
  </si>
  <si>
    <t>2.5.2-1895.8</t>
  </si>
  <si>
    <t>HORMONAS MEDICINALES; TIPO: MONODROGA, DROGA GENERICA: GONADOTROFINA CORIONICA, FORMA FARMACEUTICA: AMPOLLA, PRESENTACION: 5000 UI, USO: SEXUAL</t>
  </si>
  <si>
    <t>2.9.5-6509.16</t>
  </si>
  <si>
    <t>SET DE TUBULADURA; USO: ANESTESIA, PRESENTACION: UNIDAD, TIPO: EXTENSIBLE ADULTO, DESCARTABLE: SI</t>
  </si>
  <si>
    <t xml:space="preserve"> UNIDAD</t>
  </si>
  <si>
    <t>2.9.5-2569.157</t>
  </si>
  <si>
    <t>TUBOS TRAQUEALES; TIPO: SISTEMA CERRADO, TAMANO: 7 FR , USO: ASPIRACION TRAQUEAL CONTINUA</t>
  </si>
  <si>
    <t>2.9.5-467.103</t>
  </si>
  <si>
    <t>MASCARAS; TIPO: HALO CEFALICO MEDIANO (200 MM X 180 MM), MATERIAL: ACRILICO, USO: CONCENTRACION DE OXIGENO PEDIATRICO</t>
  </si>
  <si>
    <t>2.9.5-467.104</t>
  </si>
  <si>
    <t>MASCARAS; TIPO: HALO CEFALICO GRANDE (230 MM X 200 MM), MATERIAL: ACRILICO, USO: CONCENTRACION DE OXIGENO PEDIATRICO</t>
  </si>
  <si>
    <t>2.9.5-467.108</t>
  </si>
  <si>
    <t>MASCARAS; TIPO: ORONASAL- TAMAÑO M , MATERIAL: SILICONA, USO: P/VNI ADULTO CON VALVULA ANTIAFIXIA</t>
  </si>
  <si>
    <t>2.9.5-467.112</t>
  </si>
  <si>
    <t>MASCARAS ;TIPO TOTAL FACE -TAMANO X GRANDE , MATERIAL : SILICONA, USO : P/VNI ADULTO</t>
  </si>
  <si>
    <t>2.9.5-6509.36</t>
  </si>
  <si>
    <t>SET DE TUBULADURA; USO: RESPIRADOR, PRESENTACION: UNIDAD, TIPO: C-PAP BURBUJAS P/INFANTE</t>
  </si>
  <si>
    <t>PASTAS P/ELECTROENCEFALOGRAMA; PRESENTACION: 226 GR</t>
  </si>
  <si>
    <t>PASTAS P/ELECTROENCEFALOGRAMA; PRESENTACION: 400 GR</t>
  </si>
  <si>
    <t>2.5.2-7267.5</t>
  </si>
  <si>
    <t>2.5.2-7267.6</t>
  </si>
  <si>
    <t>2.9.5-10013.2</t>
  </si>
  <si>
    <t>PAPEL P/EQUIPO MEDICO; USO: IMPRESIÓN ECG ; PRESENTACION: RESMA; MEDIDA: 210 X 300 MM</t>
  </si>
  <si>
    <t>RESMA</t>
  </si>
  <si>
    <t>2.9.5-441.473</t>
  </si>
  <si>
    <t>AGUJAS QUIRURGICAS; TIPO: P/BIOPSIA MEDULA OSEA, ESPECIFICACION: 11G X 10 mm, PRESENTACION: UNIDAD</t>
  </si>
  <si>
    <t>2.9.5-441.474</t>
  </si>
  <si>
    <t>AGUJAS QUIRURGICAS; TIPO: P/BIOPSIA MEDULA OSEA, ESPECIFICACION: 8G X 15 mm, PRESENTACION: UNIDAD</t>
  </si>
  <si>
    <t>2.9.5-441.475</t>
  </si>
  <si>
    <t>AGUJAS QUIRURGICAS; TIPO: PUNCION Y ASP. DE MEDULA OSEA, ESPECIFICACION: 18G, PRESENTACION: POR UNIDAD</t>
  </si>
  <si>
    <t>2.9.5-441.476</t>
  </si>
  <si>
    <t>AGUJAS QUIRURGICAS; TIPO: PUNCION Y ASP. DE MEDULA OSEA, ESPECIFICACION: 16G, PRESENTACION: POR UNIDAD</t>
  </si>
  <si>
    <t>2.9.5-3020.18</t>
  </si>
  <si>
    <t>BOLSAS P/COLOSTOMIA; TIPO: NEONATAL, DIAMETRO: REGULABLE</t>
  </si>
  <si>
    <t>2.9.5-7517.6</t>
  </si>
  <si>
    <t>MALLAS P/EVENTRACCIÓN; MEDIDA: 30 X 30 CM; TIPO: VICRYL; MATERIAL: POLIGLACTINA; USO: CIRUGÍA</t>
  </si>
  <si>
    <t>2.9.5-2366.2</t>
  </si>
  <si>
    <t>HISOPOS; MATERIAL DE EXTREMOS: ALGODON, PRESENTACION: CAJA X 100</t>
  </si>
  <si>
    <t>2.9.5-2161.545</t>
  </si>
  <si>
    <t>CATETERES/SONDAS; NUMERO: SIN, TIPO: TUBO DE LUKEN PARA TOMA DE MUESTRAS</t>
  </si>
  <si>
    <t>2.9.5-2161.176</t>
  </si>
  <si>
    <t>CATETERES/SONDAS; NUMERO: 20, TIPO: RECTAL</t>
  </si>
  <si>
    <t>2.5.2-1865.2</t>
  </si>
  <si>
    <r>
      <rPr>
        <sz val="10"/>
        <rFont val="Arial"/>
        <family val="2"/>
      </rPr>
      <t>ANTIEPILEPTICOS;</t>
    </r>
    <r>
      <rPr>
        <sz val="10"/>
        <color rgb="FF000000"/>
        <rFont val="Arial"/>
        <family val="2"/>
      </rPr>
      <t xml:space="preserve"> TIPO: MONODROGA, FORMA FARMACEUTICA: AMPOLLA, PRESENTACION: 200 mGr, DROGA GENERICA: FENOBARBITAL</t>
    </r>
  </si>
  <si>
    <t>Especificidades: ITEMS 36:SISTEMA CPAP BURBUJAS -PARA LACTANTES, INCLUYE  CIRCUITO RESPIRATORIO INSPIRATORIO CALENTADO CON CAMARA DE AUTOLLENADO, TUBULADURA DE PRESION &amp; GENERADOR DE CPAP DE BURBUJAS( SE CONECTA A LA INTERFAZ DE LA BARRA EN T) PTE. DE 1000 A 1500 G.. TIPO FISHER &amp; PAYKEL BC 153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</si>
  <si>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37 : SISTEMA CPAP BURBUJAS -PARA LACTANTES, INCLUYE  CIRCUITO RESPIRATORIO INSPIRATORIO CALENTADO CON CAMARA DE AUTOLLENADO, TUBULADURA DE PRESION &amp; GENERADOR DE CPAP DE BURBUJAS( SE CONECTA A LA INTERFAZ DE LA BARRA EN T) PTE. DE 1500 A 2000 G.. TIPO FISHER &amp; PAYKEL BC 161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</si>
  <si>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38 : SISTEMA CPAP BURBUJAS -PARA LACTANTES, INCLUYE CIRCUITO RESPIRATORIO INSPIRATORIO CALENTADO CON CAMARA DE AUTOLLENADO, TUBULADURA DE PRESION &amp; GENERADOR DE CPAP DE BURBUJAS( SE CONECTA A LA INTERFAZ DE LA BARRA EN T) PTE. DE 2000 A 3000 G.. TIPO FISHER &amp; PAYKEL BC 163</t>
    </r>
  </si>
  <si>
    <t>El desierto es RIFAMPICINA X 2 GR suspension cada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</si>
</sst>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[$$-2C0A]\ #,##0.00;[$$-2C0A]&quot; -&quot;#,##0.00"/>
    <numFmt numFmtId="168" formatCode="[$$-2C0A]\ #,##0.00"/>
    <numFmt numFmtId="169" formatCode="dd\-mm\-yy"/>
    <numFmt numFmtId="170" formatCode="_-&quot;$&quot;* #,##0.00_-;\-&quot;$&quot;* #,##0.00_-;_-&quot;$&quot;* &quot;-&quot;??_-;_-@_-"/>
  </numFmts>
  <fonts count="3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b/>
      <sz val="12"/>
      <name val="Times New Roman"/>
      <family val="1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</font>
    <font>
      <sz val="10"/>
      <color rgb="FF424242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6"/>
    <xf numFmtId="164" fontId="31" fillId="0" borderId="0" applyFont="0" applyFill="0" applyBorder="0" applyAlignment="0" applyProtection="0"/>
    <xf numFmtId="0" fontId="5" fillId="0" borderId="6"/>
    <xf numFmtId="0" fontId="1" fillId="0" borderId="6"/>
    <xf numFmtId="0" fontId="27" fillId="0" borderId="6"/>
  </cellStyleXfs>
  <cellXfs count="232">
    <xf numFmtId="0" fontId="0" fillId="0" borderId="0" xfId="0"/>
    <xf numFmtId="0" fontId="3" fillId="0" borderId="1" xfId="0" applyFont="1" applyBorder="1"/>
    <xf numFmtId="165" fontId="3" fillId="0" borderId="1" xfId="0" applyNumberFormat="1" applyFont="1" applyBorder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5" fillId="0" borderId="7" xfId="0" applyFont="1" applyBorder="1" applyAlignment="1">
      <alignment horizontal="right"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3" fontId="21" fillId="0" borderId="0" xfId="0" applyNumberFormat="1" applyFont="1"/>
    <xf numFmtId="16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27" xfId="0" applyFont="1" applyBorder="1"/>
    <xf numFmtId="0" fontId="11" fillId="0" borderId="23" xfId="0" applyFont="1" applyBorder="1"/>
    <xf numFmtId="0" fontId="11" fillId="0" borderId="30" xfId="0" applyFont="1" applyBorder="1"/>
    <xf numFmtId="0" fontId="11" fillId="0" borderId="30" xfId="0" applyFont="1" applyBorder="1" applyAlignment="1">
      <alignment horizontal="left"/>
    </xf>
    <xf numFmtId="0" fontId="11" fillId="0" borderId="24" xfId="0" applyFont="1" applyBorder="1"/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left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167" fontId="11" fillId="0" borderId="41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167" fontId="11" fillId="0" borderId="48" xfId="0" applyNumberFormat="1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167" fontId="11" fillId="0" borderId="53" xfId="0" applyNumberFormat="1" applyFont="1" applyBorder="1" applyAlignment="1">
      <alignment horizontal="center" vertical="center"/>
    </xf>
    <xf numFmtId="167" fontId="25" fillId="2" borderId="57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9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center" wrapText="1"/>
    </xf>
    <xf numFmtId="0" fontId="10" fillId="0" borderId="60" xfId="0" applyFont="1" applyBorder="1" applyAlignment="1">
      <alignment horizontal="center" vertical="center" wrapText="1"/>
    </xf>
    <xf numFmtId="165" fontId="10" fillId="0" borderId="6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27" fillId="3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3" fillId="0" borderId="64" xfId="0" applyFont="1" applyBorder="1" applyAlignment="1">
      <alignment horizontal="left" vertical="center" wrapText="1"/>
    </xf>
    <xf numFmtId="0" fontId="3" fillId="0" borderId="65" xfId="0" applyFont="1" applyBorder="1" applyAlignment="1">
      <alignment horizontal="left" wrapText="1"/>
    </xf>
    <xf numFmtId="0" fontId="12" fillId="0" borderId="64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wrapText="1"/>
    </xf>
    <xf numFmtId="0" fontId="13" fillId="0" borderId="66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3" fillId="0" borderId="67" xfId="0" applyFont="1" applyBorder="1"/>
    <xf numFmtId="0" fontId="3" fillId="0" borderId="68" xfId="0" applyFont="1" applyBorder="1"/>
    <xf numFmtId="0" fontId="3" fillId="0" borderId="69" xfId="0" applyFont="1" applyBorder="1" applyAlignment="1">
      <alignment horizontal="center" vertical="center"/>
    </xf>
    <xf numFmtId="0" fontId="3" fillId="0" borderId="69" xfId="0" applyFont="1" applyBorder="1" applyAlignment="1">
      <alignment horizontal="left" vertical="center"/>
    </xf>
    <xf numFmtId="0" fontId="3" fillId="0" borderId="69" xfId="0" applyFont="1" applyBorder="1" applyAlignment="1">
      <alignment horizontal="center" vertical="center" wrapText="1"/>
    </xf>
    <xf numFmtId="167" fontId="3" fillId="0" borderId="69" xfId="0" applyNumberFormat="1" applyFont="1" applyBorder="1" applyAlignment="1">
      <alignment horizontal="right" vertical="center" wrapText="1"/>
    </xf>
    <xf numFmtId="3" fontId="3" fillId="0" borderId="6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3" fontId="11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 wrapText="1"/>
    </xf>
    <xf numFmtId="44" fontId="5" fillId="3" borderId="70" xfId="2" applyNumberFormat="1" applyFont="1" applyFill="1" applyBorder="1" applyAlignment="1">
      <alignment horizontal="center" vertical="center"/>
    </xf>
    <xf numFmtId="0" fontId="0" fillId="0" borderId="70" xfId="0" applyBorder="1" applyAlignment="1">
      <alignment vertical="center" wrapText="1"/>
    </xf>
    <xf numFmtId="0" fontId="27" fillId="0" borderId="70" xfId="0" applyFont="1" applyBorder="1" applyAlignment="1">
      <alignment horizontal="center" vertical="center" wrapText="1"/>
    </xf>
    <xf numFmtId="0" fontId="5" fillId="3" borderId="70" xfId="0" applyFont="1" applyFill="1" applyBorder="1" applyAlignment="1">
      <alignment horizontal="center" vertical="center"/>
    </xf>
    <xf numFmtId="0" fontId="27" fillId="3" borderId="70" xfId="0" applyFont="1" applyFill="1" applyBorder="1" applyAlignment="1">
      <alignment horizontal="center" vertical="center" wrapText="1"/>
    </xf>
    <xf numFmtId="3" fontId="5" fillId="3" borderId="70" xfId="0" applyNumberFormat="1" applyFont="1" applyFill="1" applyBorder="1" applyAlignment="1">
      <alignment horizontal="center" vertical="center"/>
    </xf>
    <xf numFmtId="44" fontId="29" fillId="3" borderId="70" xfId="4" applyNumberFormat="1" applyFont="1" applyFill="1" applyBorder="1" applyAlignment="1">
      <alignment horizontal="left" vertical="center"/>
    </xf>
    <xf numFmtId="3" fontId="11" fillId="0" borderId="70" xfId="0" applyNumberFormat="1" applyFont="1" applyBorder="1" applyAlignment="1">
      <alignment horizontal="center" vertical="center"/>
    </xf>
    <xf numFmtId="166" fontId="11" fillId="0" borderId="70" xfId="0" applyNumberFormat="1" applyFont="1" applyBorder="1" applyAlignment="1">
      <alignment horizontal="center" vertical="center"/>
    </xf>
    <xf numFmtId="165" fontId="11" fillId="0" borderId="70" xfId="0" applyNumberFormat="1" applyFont="1" applyBorder="1" applyAlignment="1">
      <alignment horizontal="right" vertical="center" wrapText="1"/>
    </xf>
    <xf numFmtId="0" fontId="0" fillId="3" borderId="70" xfId="0" applyFill="1" applyBorder="1" applyAlignment="1">
      <alignment horizontal="center" vertical="center" wrapText="1"/>
    </xf>
    <xf numFmtId="3" fontId="11" fillId="3" borderId="70" xfId="0" applyNumberFormat="1" applyFont="1" applyFill="1" applyBorder="1" applyAlignment="1">
      <alignment horizontal="center" vertical="center"/>
    </xf>
    <xf numFmtId="166" fontId="11" fillId="3" borderId="70" xfId="0" applyNumberFormat="1" applyFont="1" applyFill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/>
    </xf>
    <xf numFmtId="0" fontId="11" fillId="3" borderId="70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left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3" fontId="5" fillId="0" borderId="70" xfId="0" applyNumberFormat="1" applyFont="1" applyBorder="1" applyAlignment="1">
      <alignment horizontal="center" vertical="center" wrapText="1"/>
    </xf>
    <xf numFmtId="44" fontId="5" fillId="0" borderId="70" xfId="2" applyNumberFormat="1" applyFont="1" applyFill="1" applyBorder="1" applyAlignment="1">
      <alignment horizontal="center" vertical="center" wrapText="1"/>
    </xf>
    <xf numFmtId="170" fontId="5" fillId="0" borderId="70" xfId="2" applyNumberFormat="1" applyFont="1" applyFill="1" applyBorder="1" applyAlignment="1" applyProtection="1">
      <alignment horizontal="center" vertical="center" wrapText="1"/>
    </xf>
    <xf numFmtId="0" fontId="29" fillId="0" borderId="70" xfId="0" applyFont="1" applyBorder="1" applyAlignment="1">
      <alignment horizontal="left" vertical="center" wrapText="1"/>
    </xf>
    <xf numFmtId="0" fontId="5" fillId="3" borderId="70" xfId="0" applyFont="1" applyFill="1" applyBorder="1" applyAlignment="1">
      <alignment vertical="center" wrapText="1"/>
    </xf>
    <xf numFmtId="0" fontId="0" fillId="3" borderId="70" xfId="0" applyFill="1" applyBorder="1" applyAlignment="1">
      <alignment vertical="center" wrapText="1"/>
    </xf>
    <xf numFmtId="3" fontId="5" fillId="3" borderId="70" xfId="3" applyNumberFormat="1" applyFill="1" applyBorder="1" applyAlignment="1">
      <alignment horizontal="center" vertical="center"/>
    </xf>
    <xf numFmtId="44" fontId="5" fillId="3" borderId="70" xfId="2" applyNumberFormat="1" applyFont="1" applyFill="1" applyBorder="1" applyAlignment="1">
      <alignment horizontal="right" vertical="center"/>
    </xf>
    <xf numFmtId="0" fontId="5" fillId="3" borderId="70" xfId="0" applyFont="1" applyFill="1" applyBorder="1" applyAlignment="1">
      <alignment horizontal="left" vertical="center"/>
    </xf>
    <xf numFmtId="0" fontId="5" fillId="3" borderId="70" xfId="0" applyFont="1" applyFill="1" applyBorder="1" applyAlignment="1">
      <alignment horizontal="center" vertical="center" wrapText="1"/>
    </xf>
    <xf numFmtId="166" fontId="5" fillId="3" borderId="70" xfId="0" applyNumberFormat="1" applyFont="1" applyFill="1" applyBorder="1" applyAlignment="1">
      <alignment horizontal="center" vertical="center"/>
    </xf>
    <xf numFmtId="165" fontId="11" fillId="3" borderId="70" xfId="0" applyNumberFormat="1" applyFont="1" applyFill="1" applyBorder="1" applyAlignment="1">
      <alignment horizontal="right" vertical="center" wrapText="1"/>
    </xf>
    <xf numFmtId="0" fontId="27" fillId="3" borderId="70" xfId="0" applyFont="1" applyFill="1" applyBorder="1" applyAlignment="1">
      <alignment horizontal="left" vertical="center"/>
    </xf>
    <xf numFmtId="0" fontId="11" fillId="3" borderId="70" xfId="0" applyFont="1" applyFill="1" applyBorder="1" applyAlignment="1">
      <alignment horizontal="left" vertical="center"/>
    </xf>
    <xf numFmtId="0" fontId="0" fillId="3" borderId="70" xfId="0" applyFill="1" applyBorder="1" applyAlignment="1">
      <alignment horizontal="left" vertical="center" wrapText="1"/>
    </xf>
    <xf numFmtId="166" fontId="11" fillId="3" borderId="70" xfId="0" applyNumberFormat="1" applyFont="1" applyFill="1" applyBorder="1" applyAlignment="1">
      <alignment horizontal="right" vertical="center"/>
    </xf>
    <xf numFmtId="0" fontId="5" fillId="3" borderId="70" xfId="0" applyFont="1" applyFill="1" applyBorder="1" applyAlignment="1">
      <alignment horizontal="left" vertical="center" wrapText="1"/>
    </xf>
    <xf numFmtId="166" fontId="5" fillId="3" borderId="70" xfId="0" applyNumberFormat="1" applyFont="1" applyFill="1" applyBorder="1" applyAlignment="1">
      <alignment horizontal="right" vertical="center"/>
    </xf>
    <xf numFmtId="0" fontId="27" fillId="3" borderId="70" xfId="0" applyFont="1" applyFill="1" applyBorder="1" applyAlignment="1">
      <alignment vertical="center" wrapText="1"/>
    </xf>
    <xf numFmtId="0" fontId="0" fillId="3" borderId="70" xfId="0" applyFill="1" applyBorder="1" applyAlignment="1">
      <alignment vertical="center"/>
    </xf>
    <xf numFmtId="0" fontId="29" fillId="3" borderId="70" xfId="0" applyFont="1" applyFill="1" applyBorder="1" applyAlignment="1">
      <alignment horizontal="left" vertical="center" wrapText="1"/>
    </xf>
    <xf numFmtId="3" fontId="5" fillId="3" borderId="70" xfId="0" applyNumberFormat="1" applyFont="1" applyFill="1" applyBorder="1" applyAlignment="1">
      <alignment horizontal="center" vertical="center" wrapText="1"/>
    </xf>
    <xf numFmtId="44" fontId="5" fillId="3" borderId="70" xfId="2" applyNumberFormat="1" applyFont="1" applyFill="1" applyBorder="1" applyAlignment="1">
      <alignment horizontal="center" vertical="center" wrapText="1"/>
    </xf>
    <xf numFmtId="170" fontId="5" fillId="3" borderId="70" xfId="2" applyNumberFormat="1" applyFont="1" applyFill="1" applyBorder="1" applyAlignment="1" applyProtection="1">
      <alignment horizontal="center" vertical="center" wrapText="1"/>
    </xf>
    <xf numFmtId="0" fontId="0" fillId="0" borderId="70" xfId="0" applyBorder="1" applyAlignment="1">
      <alignment horizontal="left" vertical="center"/>
    </xf>
    <xf numFmtId="0" fontId="0" fillId="0" borderId="70" xfId="0" applyBorder="1" applyAlignment="1">
      <alignment horizontal="left" vertical="center" wrapText="1"/>
    </xf>
    <xf numFmtId="170" fontId="5" fillId="6" borderId="70" xfId="2" applyNumberFormat="1" applyFont="1" applyFill="1" applyBorder="1" applyAlignment="1" applyProtection="1">
      <alignment horizontal="center" vertical="center" wrapText="1"/>
    </xf>
    <xf numFmtId="0" fontId="32" fillId="3" borderId="70" xfId="0" applyFont="1" applyFill="1" applyBorder="1" applyAlignment="1">
      <alignment horizontal="center" vertical="center"/>
    </xf>
    <xf numFmtId="0" fontId="29" fillId="4" borderId="70" xfId="5" applyFont="1" applyFill="1" applyBorder="1" applyAlignment="1">
      <alignment horizontal="left" vertical="center" wrapText="1"/>
    </xf>
    <xf numFmtId="3" fontId="5" fillId="3" borderId="70" xfId="0" applyNumberFormat="1" applyFont="1" applyFill="1" applyBorder="1" applyAlignment="1">
      <alignment horizontal="center"/>
    </xf>
    <xf numFmtId="0" fontId="27" fillId="5" borderId="70" xfId="0" applyFont="1" applyFill="1" applyBorder="1" applyAlignment="1">
      <alignment horizontal="left" vertical="center" wrapText="1"/>
    </xf>
    <xf numFmtId="0" fontId="33" fillId="5" borderId="70" xfId="0" applyFont="1" applyFill="1" applyBorder="1" applyAlignment="1">
      <alignment vertical="center" wrapText="1"/>
    </xf>
    <xf numFmtId="170" fontId="5" fillId="6" borderId="70" xfId="2" applyNumberFormat="1" applyFont="1" applyFill="1" applyBorder="1" applyAlignment="1" applyProtection="1">
      <alignment horizontal="right" vertical="center" wrapText="1"/>
    </xf>
    <xf numFmtId="0" fontId="5" fillId="3" borderId="70" xfId="0" applyFont="1" applyFill="1" applyBorder="1" applyAlignment="1">
      <alignment vertical="center"/>
    </xf>
    <xf numFmtId="0" fontId="29" fillId="7" borderId="70" xfId="0" applyFont="1" applyFill="1" applyBorder="1" applyAlignment="1">
      <alignment horizontal="center" vertical="center"/>
    </xf>
    <xf numFmtId="0" fontId="27" fillId="0" borderId="70" xfId="0" applyFont="1" applyBorder="1" applyAlignment="1">
      <alignment vertical="center" wrapText="1"/>
    </xf>
    <xf numFmtId="0" fontId="0" fillId="0" borderId="70" xfId="0" applyBorder="1" applyAlignment="1">
      <alignment horizontal="left" wrapText="1"/>
    </xf>
    <xf numFmtId="0" fontId="29" fillId="4" borderId="70" xfId="0" applyFont="1" applyFill="1" applyBorder="1" applyAlignment="1">
      <alignment horizontal="center" vertical="center"/>
    </xf>
    <xf numFmtId="0" fontId="27" fillId="8" borderId="70" xfId="0" applyFont="1" applyFill="1" applyBorder="1" applyAlignment="1">
      <alignment wrapText="1"/>
    </xf>
    <xf numFmtId="0" fontId="0" fillId="8" borderId="70" xfId="0" applyFill="1" applyBorder="1" applyAlignment="1">
      <alignment horizontal="left" vertical="center" wrapText="1"/>
    </xf>
    <xf numFmtId="0" fontId="27" fillId="8" borderId="70" xfId="0" applyFont="1" applyFill="1" applyBorder="1" applyAlignment="1">
      <alignment horizontal="left" vertical="center" wrapText="1"/>
    </xf>
    <xf numFmtId="0" fontId="27" fillId="8" borderId="70" xfId="0" applyFont="1" applyFill="1" applyBorder="1" applyAlignment="1">
      <alignment vertical="center" wrapText="1"/>
    </xf>
    <xf numFmtId="0" fontId="5" fillId="8" borderId="70" xfId="0" applyFont="1" applyFill="1" applyBorder="1" applyAlignment="1">
      <alignment wrapText="1"/>
    </xf>
    <xf numFmtId="0" fontId="27" fillId="9" borderId="70" xfId="0" applyFont="1" applyFill="1" applyBorder="1" applyAlignment="1">
      <alignment horizontal="left" vertical="center" wrapText="1"/>
    </xf>
    <xf numFmtId="0" fontId="27" fillId="0" borderId="61" xfId="0" applyFont="1" applyBorder="1" applyAlignment="1">
      <alignment vertical="top" wrapText="1"/>
    </xf>
    <xf numFmtId="0" fontId="0" fillId="0" borderId="62" xfId="0" applyBorder="1" applyAlignment="1">
      <alignment vertical="top" wrapText="1"/>
    </xf>
    <xf numFmtId="0" fontId="0" fillId="0" borderId="63" xfId="0" applyBorder="1" applyAlignment="1">
      <alignment vertical="top" wrapText="1"/>
    </xf>
    <xf numFmtId="0" fontId="3" fillId="0" borderId="61" xfId="0" applyFont="1" applyBorder="1" applyAlignment="1">
      <alignment vertical="center" wrapText="1"/>
    </xf>
    <xf numFmtId="0" fontId="0" fillId="0" borderId="62" xfId="0" applyBorder="1" applyAlignment="1">
      <alignment wrapText="1"/>
    </xf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5" xfId="0" applyBorder="1" applyAlignment="1">
      <alignment wrapText="1"/>
    </xf>
    <xf numFmtId="0" fontId="3" fillId="0" borderId="64" xfId="0" applyFont="1" applyBorder="1" applyAlignment="1">
      <alignment horizontal="left" wrapText="1"/>
    </xf>
    <xf numFmtId="0" fontId="5" fillId="0" borderId="6" xfId="0" applyFont="1" applyBorder="1"/>
    <xf numFmtId="0" fontId="5" fillId="0" borderId="65" xfId="0" applyFont="1" applyBorder="1"/>
    <xf numFmtId="0" fontId="5" fillId="0" borderId="64" xfId="0" applyFont="1" applyBorder="1"/>
    <xf numFmtId="0" fontId="6" fillId="0" borderId="2" xfId="0" applyFont="1" applyBorder="1" applyAlignment="1">
      <alignment horizontal="left" vertical="center" wrapText="1"/>
    </xf>
    <xf numFmtId="0" fontId="5" fillId="0" borderId="4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7" fillId="0" borderId="2" xfId="0" applyFont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3" fillId="0" borderId="69" xfId="0" applyFont="1" applyBorder="1" applyAlignment="1">
      <alignment horizontal="left" vertical="center" wrapText="1"/>
    </xf>
    <xf numFmtId="0" fontId="5" fillId="0" borderId="69" xfId="0" applyFont="1" applyBorder="1"/>
    <xf numFmtId="0" fontId="16" fillId="0" borderId="69" xfId="0" applyFont="1" applyBorder="1" applyAlignment="1">
      <alignment horizontal="left" vertical="center" wrapText="1"/>
    </xf>
    <xf numFmtId="168" fontId="19" fillId="0" borderId="69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5" fillId="0" borderId="11" xfId="0" applyFont="1" applyBorder="1"/>
    <xf numFmtId="0" fontId="5" fillId="0" borderId="12" xfId="0" applyFont="1" applyBorder="1"/>
    <xf numFmtId="0" fontId="16" fillId="0" borderId="13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5" xfId="0" applyFont="1" applyBorder="1"/>
    <xf numFmtId="0" fontId="19" fillId="2" borderId="16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0" borderId="18" xfId="0" applyFont="1" applyBorder="1"/>
    <xf numFmtId="0" fontId="16" fillId="2" borderId="13" xfId="0" applyFont="1" applyFill="1" applyBorder="1" applyAlignment="1">
      <alignment horizontal="left" vertical="center" wrapText="1"/>
    </xf>
    <xf numFmtId="0" fontId="19" fillId="2" borderId="13" xfId="0" applyFont="1" applyFill="1" applyBorder="1" applyAlignment="1">
      <alignment horizontal="left" vertical="center"/>
    </xf>
    <xf numFmtId="0" fontId="5" fillId="0" borderId="19" xfId="0" applyFont="1" applyBorder="1"/>
    <xf numFmtId="0" fontId="19" fillId="2" borderId="10" xfId="0" applyFont="1" applyFill="1" applyBorder="1" applyAlignment="1">
      <alignment horizontal="left" vertical="center" wrapText="1"/>
    </xf>
    <xf numFmtId="0" fontId="20" fillId="0" borderId="69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5" fillId="0" borderId="31" xfId="0" applyFont="1" applyBorder="1"/>
    <xf numFmtId="0" fontId="5" fillId="0" borderId="22" xfId="0" applyFont="1" applyBorder="1"/>
    <xf numFmtId="0" fontId="25" fillId="0" borderId="10" xfId="0" applyFont="1" applyBorder="1" applyAlignment="1">
      <alignment horizontal="center" vertical="center"/>
    </xf>
    <xf numFmtId="0" fontId="5" fillId="0" borderId="25" xfId="0" applyFont="1" applyBorder="1"/>
    <xf numFmtId="0" fontId="23" fillId="0" borderId="31" xfId="0" applyFont="1" applyBorder="1" applyAlignment="1">
      <alignment vertical="center" wrapText="1"/>
    </xf>
    <xf numFmtId="0" fontId="25" fillId="0" borderId="21" xfId="0" applyFont="1" applyBorder="1" applyAlignment="1">
      <alignment horizontal="center" vertical="center" wrapText="1"/>
    </xf>
    <xf numFmtId="0" fontId="5" fillId="0" borderId="26" xfId="0" applyFont="1" applyBorder="1"/>
    <xf numFmtId="0" fontId="5" fillId="0" borderId="27" xfId="0" applyFont="1" applyBorder="1"/>
    <xf numFmtId="0" fontId="25" fillId="0" borderId="22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left" vertical="center"/>
    </xf>
    <xf numFmtId="0" fontId="5" fillId="0" borderId="47" xfId="0" applyFont="1" applyBorder="1"/>
    <xf numFmtId="0" fontId="24" fillId="0" borderId="10" xfId="0" applyFont="1" applyBorder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23" fillId="2" borderId="10" xfId="0" applyFont="1" applyFill="1" applyBorder="1" applyAlignment="1">
      <alignment horizontal="left"/>
    </xf>
    <xf numFmtId="0" fontId="23" fillId="0" borderId="26" xfId="0" applyFont="1" applyBorder="1"/>
    <xf numFmtId="0" fontId="0" fillId="0" borderId="0" xfId="0"/>
    <xf numFmtId="0" fontId="23" fillId="2" borderId="28" xfId="0" applyFont="1" applyFill="1" applyBorder="1" applyAlignment="1">
      <alignment horizontal="left" vertical="center" wrapText="1"/>
    </xf>
    <xf numFmtId="0" fontId="5" fillId="0" borderId="29" xfId="0" applyFont="1" applyBorder="1"/>
    <xf numFmtId="0" fontId="22" fillId="0" borderId="21" xfId="0" applyFont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11" fillId="0" borderId="10" xfId="0" applyFont="1" applyBorder="1"/>
    <xf numFmtId="0" fontId="23" fillId="0" borderId="10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0" fontId="23" fillId="2" borderId="58" xfId="0" applyFont="1" applyFill="1" applyBorder="1" applyAlignment="1">
      <alignment horizontal="left" vertical="center" wrapText="1"/>
    </xf>
    <xf numFmtId="0" fontId="5" fillId="0" borderId="5" xfId="0" applyFont="1" applyBorder="1"/>
    <xf numFmtId="0" fontId="5" fillId="0" borderId="59" xfId="0" applyFont="1" applyBorder="1"/>
    <xf numFmtId="0" fontId="5" fillId="0" borderId="30" xfId="0" applyFont="1" applyBorder="1"/>
    <xf numFmtId="0" fontId="21" fillId="2" borderId="54" xfId="0" applyFont="1" applyFill="1" applyBorder="1" applyAlignment="1">
      <alignment horizontal="left" vertical="center" wrapText="1"/>
    </xf>
    <xf numFmtId="0" fontId="5" fillId="0" borderId="55" xfId="0" applyFont="1" applyBorder="1"/>
    <xf numFmtId="0" fontId="5" fillId="0" borderId="56" xfId="0" applyFont="1" applyBorder="1"/>
    <xf numFmtId="0" fontId="11" fillId="0" borderId="21" xfId="0" applyFont="1" applyBorder="1"/>
    <xf numFmtId="0" fontId="11" fillId="0" borderId="51" xfId="0" applyFont="1" applyBorder="1" applyAlignment="1">
      <alignment horizontal="left" vertical="center"/>
    </xf>
    <xf numFmtId="0" fontId="5" fillId="0" borderId="52" xfId="0" applyFont="1" applyBorder="1"/>
    <xf numFmtId="0" fontId="21" fillId="0" borderId="13" xfId="0" applyFont="1" applyBorder="1" applyAlignment="1">
      <alignment vertical="center" wrapText="1"/>
    </xf>
  </cellXfs>
  <cellStyles count="6">
    <cellStyle name="Moneda" xfId="2" builtinId="4"/>
    <cellStyle name="Normal" xfId="0" builtinId="0"/>
    <cellStyle name="Normal 2" xfId="1" xr:uid="{00000000-0005-0000-0000-000002000000}"/>
    <cellStyle name="Normal 2 3" xfId="3" xr:uid="{00000000-0005-0000-0000-000003000000}"/>
    <cellStyle name="Normal 3" xfId="5" xr:uid="{00000000-0005-0000-0000-000004000000}"/>
    <cellStyle name="Normal 5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C31" zoomScale="115" zoomScaleNormal="115" workbookViewId="0">
      <selection activeCell="E33" sqref="E33"/>
    </sheetView>
  </sheetViews>
  <sheetFormatPr baseColWidth="10" defaultColWidth="12.5703125" defaultRowHeight="15" customHeight="1" x14ac:dyDescent="0.2"/>
  <cols>
    <col min="1" max="1" width="4.5703125" customWidth="1"/>
    <col min="2" max="2" width="14" style="52" customWidth="1"/>
    <col min="3" max="3" width="29.42578125" style="52" customWidth="1"/>
    <col min="4" max="4" width="13.42578125" customWidth="1"/>
    <col min="5" max="5" width="90.7109375" customWidth="1"/>
    <col min="6" max="6" width="15.85546875" customWidth="1"/>
    <col min="7" max="7" width="10.85546875" customWidth="1"/>
    <col min="8" max="8" width="14.42578125" style="52" customWidth="1"/>
    <col min="9" max="9" width="15.5703125" customWidth="1"/>
    <col min="10" max="10" width="38.85546875" customWidth="1"/>
    <col min="11" max="11" width="52.140625" bestFit="1" customWidth="1"/>
    <col min="12" max="12" width="38.28515625" bestFit="1" customWidth="1"/>
  </cols>
  <sheetData>
    <row r="1" spans="1:10" ht="12.75" customHeight="1" x14ac:dyDescent="0.2">
      <c r="A1" s="1"/>
      <c r="B1" s="53"/>
      <c r="C1" s="53"/>
      <c r="D1" s="1"/>
      <c r="E1" s="45"/>
      <c r="F1" s="1"/>
      <c r="G1" s="1"/>
      <c r="H1" s="53"/>
      <c r="I1" s="2"/>
      <c r="J1" s="1"/>
    </row>
    <row r="2" spans="1:10" ht="26.25" customHeight="1" x14ac:dyDescent="0.35">
      <c r="A2" s="1"/>
      <c r="B2" s="168" t="s">
        <v>0</v>
      </c>
      <c r="C2" s="169"/>
      <c r="D2" s="169"/>
      <c r="E2" s="162"/>
      <c r="F2" s="169"/>
      <c r="G2" s="169"/>
      <c r="H2" s="166"/>
      <c r="I2" s="2"/>
      <c r="J2" s="1"/>
    </row>
    <row r="3" spans="1:10" ht="12.75" customHeight="1" x14ac:dyDescent="0.2">
      <c r="A3" s="1"/>
      <c r="B3" s="53"/>
      <c r="C3" s="53"/>
      <c r="D3" s="1"/>
      <c r="E3" s="45"/>
      <c r="F3" s="1"/>
      <c r="G3" s="1"/>
      <c r="H3" s="53"/>
      <c r="I3" s="2"/>
      <c r="J3" s="1"/>
    </row>
    <row r="4" spans="1:10" ht="12.75" customHeight="1" x14ac:dyDescent="0.25">
      <c r="A4" s="165" t="s">
        <v>1</v>
      </c>
      <c r="B4" s="166"/>
      <c r="C4" s="170" t="s">
        <v>2</v>
      </c>
      <c r="D4" s="169"/>
      <c r="E4" s="162"/>
      <c r="F4" s="3"/>
      <c r="G4" s="4"/>
      <c r="H4" s="58"/>
      <c r="I4" s="2"/>
      <c r="J4" s="1"/>
    </row>
    <row r="5" spans="1:10" ht="12.75" customHeight="1" x14ac:dyDescent="0.25">
      <c r="A5" s="167" t="s">
        <v>3</v>
      </c>
      <c r="B5" s="166"/>
      <c r="C5" s="171" t="s">
        <v>4</v>
      </c>
      <c r="D5" s="169"/>
      <c r="E5" s="162"/>
      <c r="F5" s="3"/>
      <c r="G5" s="4"/>
      <c r="H5" s="58"/>
      <c r="I5" s="2"/>
      <c r="J5" s="1"/>
    </row>
    <row r="6" spans="1:10" ht="12.75" customHeight="1" x14ac:dyDescent="0.2">
      <c r="A6" s="165" t="s">
        <v>5</v>
      </c>
      <c r="B6" s="166"/>
      <c r="C6" s="55">
        <v>2022</v>
      </c>
      <c r="D6" s="5"/>
      <c r="E6" s="46"/>
      <c r="F6" s="3"/>
      <c r="G6" s="4"/>
      <c r="H6" s="58"/>
      <c r="I6" s="2"/>
      <c r="J6" s="1"/>
    </row>
    <row r="7" spans="1:10" ht="12.75" customHeight="1" x14ac:dyDescent="0.2">
      <c r="A7" s="167" t="s">
        <v>6</v>
      </c>
      <c r="B7" s="166"/>
      <c r="C7" s="56">
        <v>2</v>
      </c>
      <c r="D7" s="5"/>
      <c r="E7" s="46"/>
      <c r="F7" s="3"/>
      <c r="G7" s="4"/>
      <c r="H7" s="58"/>
      <c r="I7" s="2"/>
      <c r="J7" s="1"/>
    </row>
    <row r="8" spans="1:10" ht="12.75" customHeight="1" x14ac:dyDescent="0.2">
      <c r="A8" s="1"/>
      <c r="B8" s="58"/>
      <c r="C8" s="57"/>
      <c r="D8" s="3"/>
      <c r="E8" s="47"/>
      <c r="F8" s="3"/>
      <c r="G8" s="4"/>
      <c r="H8" s="58"/>
      <c r="I8" s="2"/>
      <c r="J8" s="1"/>
    </row>
    <row r="9" spans="1:10" s="59" customFormat="1" ht="39" thickBot="1" x14ac:dyDescent="0.25">
      <c r="A9" s="50" t="s">
        <v>7</v>
      </c>
      <c r="B9" s="50" t="s">
        <v>8</v>
      </c>
      <c r="C9" s="50" t="s">
        <v>9</v>
      </c>
      <c r="D9" s="50" t="s">
        <v>10</v>
      </c>
      <c r="E9" s="50" t="s">
        <v>11</v>
      </c>
      <c r="F9" s="50" t="s">
        <v>12</v>
      </c>
      <c r="G9" s="50" t="s">
        <v>13</v>
      </c>
      <c r="H9" s="50" t="s">
        <v>14</v>
      </c>
      <c r="I9" s="51" t="s">
        <v>15</v>
      </c>
      <c r="J9" s="64"/>
    </row>
    <row r="10" spans="1:10" ht="32.25" customHeight="1" thickBot="1" x14ac:dyDescent="0.25">
      <c r="A10" s="93">
        <v>1</v>
      </c>
      <c r="B10" s="138" t="s">
        <v>133</v>
      </c>
      <c r="C10" s="122" t="s">
        <v>73</v>
      </c>
      <c r="D10" s="94">
        <v>295</v>
      </c>
      <c r="E10" s="139" t="s">
        <v>134</v>
      </c>
      <c r="F10" s="93" t="s">
        <v>20</v>
      </c>
      <c r="G10" s="95"/>
      <c r="H10" s="90">
        <v>3286</v>
      </c>
      <c r="I10" s="140">
        <f t="shared" ref="I10:I48" si="0">+G10*H10</f>
        <v>0</v>
      </c>
      <c r="J10" s="52"/>
    </row>
    <row r="11" spans="1:10" ht="30.75" thickBot="1" x14ac:dyDescent="0.25">
      <c r="A11" s="93">
        <v>2</v>
      </c>
      <c r="B11" s="138" t="s">
        <v>135</v>
      </c>
      <c r="C11" s="122" t="s">
        <v>73</v>
      </c>
      <c r="D11" s="94">
        <v>295</v>
      </c>
      <c r="E11" s="139" t="s">
        <v>136</v>
      </c>
      <c r="F11" s="93" t="s">
        <v>20</v>
      </c>
      <c r="G11" s="95"/>
      <c r="H11" s="90">
        <v>3286</v>
      </c>
      <c r="I11" s="140">
        <f t="shared" si="0"/>
        <v>0</v>
      </c>
      <c r="J11" s="52"/>
    </row>
    <row r="12" spans="1:10" ht="30.75" thickBot="1" x14ac:dyDescent="0.25">
      <c r="A12" s="93">
        <v>3</v>
      </c>
      <c r="B12" s="138" t="s">
        <v>139</v>
      </c>
      <c r="C12" s="122" t="s">
        <v>73</v>
      </c>
      <c r="D12" s="94">
        <v>295</v>
      </c>
      <c r="E12" s="139" t="s">
        <v>140</v>
      </c>
      <c r="F12" s="93" t="s">
        <v>20</v>
      </c>
      <c r="G12" s="95"/>
      <c r="H12" s="90">
        <v>3286</v>
      </c>
      <c r="I12" s="140">
        <f t="shared" si="0"/>
        <v>0</v>
      </c>
      <c r="J12" s="52"/>
    </row>
    <row r="13" spans="1:10" ht="30.75" thickBot="1" x14ac:dyDescent="0.25">
      <c r="A13" s="93">
        <v>4</v>
      </c>
      <c r="B13" s="138" t="s">
        <v>137</v>
      </c>
      <c r="C13" s="122" t="s">
        <v>73</v>
      </c>
      <c r="D13" s="94">
        <v>295</v>
      </c>
      <c r="E13" s="139" t="s">
        <v>138</v>
      </c>
      <c r="F13" s="93" t="s">
        <v>20</v>
      </c>
      <c r="G13" s="95"/>
      <c r="H13" s="90">
        <v>3286</v>
      </c>
      <c r="I13" s="140">
        <f t="shared" si="0"/>
        <v>0</v>
      </c>
      <c r="J13" s="53"/>
    </row>
    <row r="14" spans="1:10" ht="32.25" customHeight="1" thickBot="1" x14ac:dyDescent="0.25">
      <c r="A14" s="93">
        <v>5</v>
      </c>
      <c r="B14" s="127" t="s">
        <v>97</v>
      </c>
      <c r="C14" s="126" t="s">
        <v>73</v>
      </c>
      <c r="D14" s="100">
        <v>252</v>
      </c>
      <c r="E14" s="148" t="s">
        <v>96</v>
      </c>
      <c r="F14" s="104" t="s">
        <v>17</v>
      </c>
      <c r="G14" s="101"/>
      <c r="H14" s="102">
        <v>47.7</v>
      </c>
      <c r="I14" s="119">
        <f t="shared" si="0"/>
        <v>0</v>
      </c>
      <c r="J14" s="52"/>
    </row>
    <row r="15" spans="1:10" ht="26.25" thickBot="1" x14ac:dyDescent="0.25">
      <c r="A15" s="93">
        <v>6</v>
      </c>
      <c r="B15" s="120" t="s">
        <v>78</v>
      </c>
      <c r="C15" s="126" t="s">
        <v>73</v>
      </c>
      <c r="D15" s="100">
        <v>252</v>
      </c>
      <c r="E15" s="148" t="s">
        <v>86</v>
      </c>
      <c r="F15" s="104" t="s">
        <v>21</v>
      </c>
      <c r="G15" s="101"/>
      <c r="H15" s="102">
        <v>243.8</v>
      </c>
      <c r="I15" s="119">
        <f t="shared" si="0"/>
        <v>0</v>
      </c>
      <c r="J15" s="52"/>
    </row>
    <row r="16" spans="1:10" ht="31.5" customHeight="1" thickBot="1" x14ac:dyDescent="0.25">
      <c r="A16" s="93">
        <v>7</v>
      </c>
      <c r="B16" s="120" t="s">
        <v>80</v>
      </c>
      <c r="C16" s="126" t="s">
        <v>73</v>
      </c>
      <c r="D16" s="100">
        <v>252</v>
      </c>
      <c r="E16" s="149" t="s">
        <v>83</v>
      </c>
      <c r="F16" s="104" t="s">
        <v>17</v>
      </c>
      <c r="G16" s="101"/>
      <c r="H16" s="123">
        <v>68.900000000000006</v>
      </c>
      <c r="I16" s="119">
        <f t="shared" si="0"/>
        <v>0</v>
      </c>
      <c r="J16" s="52"/>
    </row>
    <row r="17" spans="1:11" ht="26.25" thickBot="1" x14ac:dyDescent="0.25">
      <c r="A17" s="93">
        <v>8</v>
      </c>
      <c r="B17" s="120" t="s">
        <v>75</v>
      </c>
      <c r="C17" s="126" t="s">
        <v>73</v>
      </c>
      <c r="D17" s="100">
        <v>252</v>
      </c>
      <c r="E17" s="148" t="s">
        <v>82</v>
      </c>
      <c r="F17" s="104" t="s">
        <v>16</v>
      </c>
      <c r="G17" s="101"/>
      <c r="H17" s="102">
        <v>18.100000000000001</v>
      </c>
      <c r="I17" s="119">
        <f t="shared" si="0"/>
        <v>0</v>
      </c>
      <c r="J17" s="52"/>
    </row>
    <row r="18" spans="1:11" ht="26.25" thickBot="1" x14ac:dyDescent="0.25">
      <c r="A18" s="93">
        <v>9</v>
      </c>
      <c r="B18" s="120" t="s">
        <v>76</v>
      </c>
      <c r="C18" s="126" t="s">
        <v>73</v>
      </c>
      <c r="D18" s="100">
        <v>252</v>
      </c>
      <c r="E18" s="148" t="s">
        <v>84</v>
      </c>
      <c r="F18" s="104" t="s">
        <v>16</v>
      </c>
      <c r="G18" s="101"/>
      <c r="H18" s="102">
        <v>19.079999999999998</v>
      </c>
      <c r="I18" s="119">
        <f t="shared" si="0"/>
        <v>0</v>
      </c>
      <c r="J18" s="53"/>
    </row>
    <row r="19" spans="1:11" ht="26.25" thickBot="1" x14ac:dyDescent="0.25">
      <c r="A19" s="93">
        <v>10</v>
      </c>
      <c r="B19" s="120" t="s">
        <v>79</v>
      </c>
      <c r="C19" s="126" t="s">
        <v>73</v>
      </c>
      <c r="D19" s="100">
        <v>252</v>
      </c>
      <c r="E19" s="151" t="s">
        <v>87</v>
      </c>
      <c r="F19" s="104" t="s">
        <v>17</v>
      </c>
      <c r="G19" s="101"/>
      <c r="H19" s="123">
        <v>1600.6</v>
      </c>
      <c r="I19" s="119">
        <f t="shared" si="0"/>
        <v>0</v>
      </c>
      <c r="J19" s="54" t="s">
        <v>156</v>
      </c>
    </row>
    <row r="20" spans="1:11" ht="26.25" thickBot="1" x14ac:dyDescent="0.25">
      <c r="A20" s="93">
        <v>11</v>
      </c>
      <c r="B20" s="120" t="s">
        <v>151</v>
      </c>
      <c r="C20" s="116" t="s">
        <v>73</v>
      </c>
      <c r="D20" s="94">
        <v>252</v>
      </c>
      <c r="E20" s="148" t="s">
        <v>152</v>
      </c>
      <c r="F20" s="93" t="s">
        <v>17</v>
      </c>
      <c r="G20" s="95"/>
      <c r="H20" s="90">
        <v>413.4</v>
      </c>
      <c r="I20" s="134">
        <f t="shared" si="0"/>
        <v>0</v>
      </c>
      <c r="J20" s="52"/>
    </row>
    <row r="21" spans="1:11" ht="26.25" thickBot="1" x14ac:dyDescent="0.25">
      <c r="A21" s="93">
        <v>12</v>
      </c>
      <c r="B21" s="121" t="s">
        <v>89</v>
      </c>
      <c r="C21" s="126" t="s">
        <v>73</v>
      </c>
      <c r="D21" s="100">
        <v>252</v>
      </c>
      <c r="E21" s="147" t="s">
        <v>88</v>
      </c>
      <c r="F21" s="104" t="s">
        <v>18</v>
      </c>
      <c r="G21" s="101"/>
      <c r="H21" s="123">
        <v>167.48</v>
      </c>
      <c r="I21" s="119">
        <f t="shared" si="0"/>
        <v>0</v>
      </c>
      <c r="J21" s="52"/>
    </row>
    <row r="22" spans="1:11" ht="31.5" customHeight="1" thickBot="1" x14ac:dyDescent="0.25">
      <c r="A22" s="93">
        <v>13</v>
      </c>
      <c r="B22" s="120" t="s">
        <v>77</v>
      </c>
      <c r="C22" s="126" t="s">
        <v>73</v>
      </c>
      <c r="D22" s="100">
        <v>252</v>
      </c>
      <c r="E22" s="146" t="s">
        <v>85</v>
      </c>
      <c r="F22" s="104" t="s">
        <v>16</v>
      </c>
      <c r="G22" s="101"/>
      <c r="H22" s="102">
        <v>5.08</v>
      </c>
      <c r="I22" s="119">
        <f t="shared" si="0"/>
        <v>0</v>
      </c>
      <c r="J22" s="53"/>
    </row>
    <row r="23" spans="1:11" ht="26.25" thickBot="1" x14ac:dyDescent="0.25">
      <c r="A23" s="93">
        <v>14</v>
      </c>
      <c r="B23" s="116" t="s">
        <v>141</v>
      </c>
      <c r="C23" s="122" t="s">
        <v>73</v>
      </c>
      <c r="D23" s="94">
        <v>295</v>
      </c>
      <c r="E23" s="141" t="s">
        <v>142</v>
      </c>
      <c r="F23" s="93" t="s">
        <v>20</v>
      </c>
      <c r="G23" s="95"/>
      <c r="H23" s="90">
        <v>434.6</v>
      </c>
      <c r="I23" s="140">
        <f t="shared" si="0"/>
        <v>0</v>
      </c>
      <c r="J23" s="53"/>
    </row>
    <row r="24" spans="1:11" ht="26.25" thickBot="1" x14ac:dyDescent="0.25">
      <c r="A24" s="93">
        <v>15</v>
      </c>
      <c r="B24" s="132" t="s">
        <v>149</v>
      </c>
      <c r="C24" s="133" t="s">
        <v>73</v>
      </c>
      <c r="D24" s="94">
        <v>295</v>
      </c>
      <c r="E24" s="132" t="s">
        <v>150</v>
      </c>
      <c r="F24" s="93" t="s">
        <v>20</v>
      </c>
      <c r="G24" s="95"/>
      <c r="H24" s="90">
        <v>95</v>
      </c>
      <c r="I24" s="134">
        <f t="shared" si="0"/>
        <v>0</v>
      </c>
      <c r="J24" s="53"/>
    </row>
    <row r="25" spans="1:11" ht="26.25" thickBot="1" x14ac:dyDescent="0.25">
      <c r="A25" s="93">
        <v>16</v>
      </c>
      <c r="B25" s="93" t="s">
        <v>147</v>
      </c>
      <c r="C25" s="144" t="s">
        <v>73</v>
      </c>
      <c r="D25" s="145">
        <v>295</v>
      </c>
      <c r="E25" s="91" t="s">
        <v>148</v>
      </c>
      <c r="F25" s="93" t="s">
        <v>20</v>
      </c>
      <c r="G25" s="97"/>
      <c r="H25" s="98">
        <v>1250</v>
      </c>
      <c r="I25" s="99">
        <f t="shared" si="0"/>
        <v>0</v>
      </c>
      <c r="J25" s="52"/>
    </row>
    <row r="26" spans="1:11" ht="27.75" customHeight="1" thickBot="1" x14ac:dyDescent="0.25">
      <c r="A26" s="93">
        <v>17</v>
      </c>
      <c r="B26" s="93" t="s">
        <v>105</v>
      </c>
      <c r="C26" s="126" t="s">
        <v>73</v>
      </c>
      <c r="D26" s="94">
        <v>252</v>
      </c>
      <c r="E26" s="148" t="s">
        <v>106</v>
      </c>
      <c r="F26" s="93" t="s">
        <v>19</v>
      </c>
      <c r="G26" s="95"/>
      <c r="H26" s="90">
        <v>249.1</v>
      </c>
      <c r="I26" s="96">
        <f t="shared" si="0"/>
        <v>0</v>
      </c>
      <c r="J26" s="52"/>
    </row>
    <row r="27" spans="1:11" ht="26.25" thickBot="1" x14ac:dyDescent="0.25">
      <c r="A27" s="93">
        <v>18</v>
      </c>
      <c r="B27" s="93" t="s">
        <v>107</v>
      </c>
      <c r="C27" s="126" t="s">
        <v>73</v>
      </c>
      <c r="D27" s="94">
        <v>252</v>
      </c>
      <c r="E27" s="148" t="s">
        <v>108</v>
      </c>
      <c r="F27" s="93" t="s">
        <v>19</v>
      </c>
      <c r="G27" s="95"/>
      <c r="H27" s="90">
        <v>261.52</v>
      </c>
      <c r="I27" s="96">
        <f t="shared" si="0"/>
        <v>0</v>
      </c>
      <c r="J27" s="105"/>
    </row>
    <row r="28" spans="1:11" ht="27" customHeight="1" thickBot="1" x14ac:dyDescent="0.25">
      <c r="A28" s="93">
        <v>19</v>
      </c>
      <c r="B28" s="124" t="s">
        <v>91</v>
      </c>
      <c r="C28" s="126" t="s">
        <v>73</v>
      </c>
      <c r="D28" s="100">
        <v>252</v>
      </c>
      <c r="E28" s="147" t="s">
        <v>90</v>
      </c>
      <c r="F28" s="104" t="s">
        <v>22</v>
      </c>
      <c r="G28" s="101"/>
      <c r="H28" s="125">
        <v>6830.74</v>
      </c>
      <c r="I28" s="119">
        <f t="shared" si="0"/>
        <v>0</v>
      </c>
      <c r="J28" s="105"/>
    </row>
    <row r="29" spans="1:11" ht="26.25" thickBot="1" x14ac:dyDescent="0.25">
      <c r="A29" s="93">
        <v>20</v>
      </c>
      <c r="B29" s="93" t="s">
        <v>103</v>
      </c>
      <c r="C29" s="126" t="s">
        <v>73</v>
      </c>
      <c r="D29" s="94">
        <v>252</v>
      </c>
      <c r="E29" s="148" t="s">
        <v>104</v>
      </c>
      <c r="F29" s="93" t="s">
        <v>16</v>
      </c>
      <c r="G29" s="114"/>
      <c r="H29" s="115">
        <v>22.7</v>
      </c>
      <c r="I29" s="96">
        <f t="shared" si="0"/>
        <v>0</v>
      </c>
      <c r="J29" s="105"/>
    </row>
    <row r="30" spans="1:11" ht="26.25" thickBot="1" x14ac:dyDescent="0.25">
      <c r="A30" s="93">
        <v>21</v>
      </c>
      <c r="B30" s="93" t="s">
        <v>102</v>
      </c>
      <c r="C30" s="126" t="s">
        <v>73</v>
      </c>
      <c r="D30" s="94">
        <v>252</v>
      </c>
      <c r="E30" s="148" t="s">
        <v>101</v>
      </c>
      <c r="F30" s="93" t="s">
        <v>17</v>
      </c>
      <c r="G30" s="95"/>
      <c r="H30" s="90">
        <v>605</v>
      </c>
      <c r="I30" s="96">
        <f t="shared" si="0"/>
        <v>0</v>
      </c>
      <c r="J30" s="106"/>
      <c r="K30" s="59"/>
    </row>
    <row r="31" spans="1:11" ht="26.25" thickBot="1" x14ac:dyDescent="0.25">
      <c r="A31" s="93">
        <v>22</v>
      </c>
      <c r="B31" s="116" t="s">
        <v>74</v>
      </c>
      <c r="C31" s="126" t="s">
        <v>73</v>
      </c>
      <c r="D31" s="117">
        <v>252</v>
      </c>
      <c r="E31" s="150" t="s">
        <v>81</v>
      </c>
      <c r="F31" s="93" t="s">
        <v>16</v>
      </c>
      <c r="G31" s="95"/>
      <c r="H31" s="118">
        <v>12.15</v>
      </c>
      <c r="I31" s="119">
        <f t="shared" si="0"/>
        <v>0</v>
      </c>
      <c r="J31" s="68"/>
    </row>
    <row r="32" spans="1:11" ht="26.25" thickBot="1" x14ac:dyDescent="0.25">
      <c r="A32" s="93">
        <v>23</v>
      </c>
      <c r="B32" s="93" t="s">
        <v>145</v>
      </c>
      <c r="C32" s="133" t="s">
        <v>73</v>
      </c>
      <c r="D32" s="142">
        <v>295</v>
      </c>
      <c r="E32" s="143" t="s">
        <v>146</v>
      </c>
      <c r="F32" s="93" t="s">
        <v>22</v>
      </c>
      <c r="G32" s="97"/>
      <c r="H32" s="98">
        <v>650</v>
      </c>
      <c r="I32" s="99">
        <f t="shared" si="0"/>
        <v>0</v>
      </c>
      <c r="J32" s="68"/>
    </row>
    <row r="33" spans="1:11" ht="32.25" customHeight="1" thickBot="1" x14ac:dyDescent="0.25">
      <c r="A33" s="93">
        <v>24</v>
      </c>
      <c r="B33" s="93" t="s">
        <v>109</v>
      </c>
      <c r="C33" s="126" t="s">
        <v>73</v>
      </c>
      <c r="D33" s="94">
        <v>252</v>
      </c>
      <c r="E33" s="148" t="s">
        <v>110</v>
      </c>
      <c r="F33" s="93" t="s">
        <v>20</v>
      </c>
      <c r="G33" s="95"/>
      <c r="H33" s="90">
        <v>6450</v>
      </c>
      <c r="I33" s="96">
        <f t="shared" si="0"/>
        <v>0</v>
      </c>
      <c r="J33" s="68"/>
    </row>
    <row r="34" spans="1:11" ht="33.75" customHeight="1" thickBot="1" x14ac:dyDescent="0.25">
      <c r="A34" s="93">
        <v>25</v>
      </c>
      <c r="B34" s="93" t="s">
        <v>99</v>
      </c>
      <c r="C34" s="112" t="s">
        <v>100</v>
      </c>
      <c r="D34" s="94">
        <v>252</v>
      </c>
      <c r="E34" s="148" t="s">
        <v>98</v>
      </c>
      <c r="F34" s="93" t="s">
        <v>20</v>
      </c>
      <c r="G34" s="95"/>
      <c r="H34" s="90">
        <v>364</v>
      </c>
      <c r="I34" s="96">
        <f t="shared" si="0"/>
        <v>0</v>
      </c>
      <c r="J34" s="68"/>
    </row>
    <row r="35" spans="1:11" ht="30.75" customHeight="1" thickBot="1" x14ac:dyDescent="0.25">
      <c r="A35" s="93">
        <v>26</v>
      </c>
      <c r="B35" s="116" t="s">
        <v>143</v>
      </c>
      <c r="C35" s="122" t="s">
        <v>73</v>
      </c>
      <c r="D35" s="94">
        <v>295</v>
      </c>
      <c r="E35" s="113" t="s">
        <v>144</v>
      </c>
      <c r="F35" s="93" t="s">
        <v>20</v>
      </c>
      <c r="G35" s="95"/>
      <c r="H35" s="90">
        <v>41500</v>
      </c>
      <c r="I35" s="140">
        <f t="shared" si="0"/>
        <v>0</v>
      </c>
      <c r="J35" s="54"/>
    </row>
    <row r="36" spans="1:11" ht="26.25" thickBot="1" x14ac:dyDescent="0.25">
      <c r="A36" s="93">
        <v>27</v>
      </c>
      <c r="B36" s="103" t="s">
        <v>122</v>
      </c>
      <c r="C36" s="103" t="s">
        <v>73</v>
      </c>
      <c r="D36" s="92">
        <v>295</v>
      </c>
      <c r="E36" s="111" t="s">
        <v>123</v>
      </c>
      <c r="F36" s="107" t="s">
        <v>20</v>
      </c>
      <c r="G36" s="108"/>
      <c r="H36" s="109">
        <v>38000</v>
      </c>
      <c r="I36" s="110">
        <f t="shared" si="0"/>
        <v>0</v>
      </c>
      <c r="J36" s="68"/>
    </row>
    <row r="37" spans="1:11" ht="26.25" thickBot="1" x14ac:dyDescent="0.25">
      <c r="A37" s="93">
        <v>28</v>
      </c>
      <c r="B37" s="103" t="s">
        <v>118</v>
      </c>
      <c r="C37" s="103" t="s">
        <v>73</v>
      </c>
      <c r="D37" s="92">
        <v>295</v>
      </c>
      <c r="E37" s="111" t="s">
        <v>119</v>
      </c>
      <c r="F37" s="107" t="s">
        <v>20</v>
      </c>
      <c r="G37" s="108"/>
      <c r="H37" s="109">
        <v>20345</v>
      </c>
      <c r="I37" s="110">
        <f t="shared" si="0"/>
        <v>0</v>
      </c>
      <c r="J37" s="52"/>
    </row>
    <row r="38" spans="1:11" ht="26.25" thickBot="1" x14ac:dyDescent="0.25">
      <c r="A38" s="93">
        <v>29</v>
      </c>
      <c r="B38" s="103" t="s">
        <v>116</v>
      </c>
      <c r="C38" s="103" t="s">
        <v>73</v>
      </c>
      <c r="D38" s="92">
        <v>295</v>
      </c>
      <c r="E38" s="111" t="s">
        <v>117</v>
      </c>
      <c r="F38" s="107" t="s">
        <v>20</v>
      </c>
      <c r="G38" s="108"/>
      <c r="H38" s="109">
        <v>17680</v>
      </c>
      <c r="I38" s="110">
        <f t="shared" si="0"/>
        <v>0</v>
      </c>
      <c r="J38" s="53"/>
    </row>
    <row r="39" spans="1:11" ht="26.25" thickBot="1" x14ac:dyDescent="0.25">
      <c r="A39" s="93">
        <v>30</v>
      </c>
      <c r="B39" s="103" t="s">
        <v>120</v>
      </c>
      <c r="C39" s="103" t="s">
        <v>73</v>
      </c>
      <c r="D39" s="92">
        <v>295</v>
      </c>
      <c r="E39" s="103" t="s">
        <v>121</v>
      </c>
      <c r="F39" s="107" t="s">
        <v>20</v>
      </c>
      <c r="G39" s="108"/>
      <c r="H39" s="109">
        <v>32000</v>
      </c>
      <c r="I39" s="110">
        <f t="shared" si="0"/>
        <v>0</v>
      </c>
      <c r="J39" s="53"/>
    </row>
    <row r="40" spans="1:11" ht="26.25" thickBot="1" x14ac:dyDescent="0.25">
      <c r="A40" s="93">
        <v>31</v>
      </c>
      <c r="B40" s="93" t="s">
        <v>130</v>
      </c>
      <c r="C40" s="113" t="s">
        <v>73</v>
      </c>
      <c r="D40" s="94">
        <v>234</v>
      </c>
      <c r="E40" s="136" t="s">
        <v>131</v>
      </c>
      <c r="F40" s="93" t="s">
        <v>132</v>
      </c>
      <c r="G40" s="137"/>
      <c r="H40" s="90">
        <f>1087.5*1.21</f>
        <v>1315.875</v>
      </c>
      <c r="I40" s="99">
        <f t="shared" si="0"/>
        <v>0</v>
      </c>
      <c r="J40" s="53"/>
    </row>
    <row r="41" spans="1:11" ht="26.25" thickBot="1" x14ac:dyDescent="0.25">
      <c r="A41" s="93">
        <v>32</v>
      </c>
      <c r="B41" s="135" t="s">
        <v>128</v>
      </c>
      <c r="C41" s="113" t="s">
        <v>73</v>
      </c>
      <c r="D41" s="94">
        <v>252</v>
      </c>
      <c r="E41" s="127" t="s">
        <v>126</v>
      </c>
      <c r="F41" s="93" t="s">
        <v>20</v>
      </c>
      <c r="G41" s="95"/>
      <c r="H41" s="90">
        <v>6050</v>
      </c>
      <c r="I41" s="99">
        <f t="shared" si="0"/>
        <v>0</v>
      </c>
      <c r="J41" s="53"/>
    </row>
    <row r="42" spans="1:11" ht="26.25" thickBot="1" x14ac:dyDescent="0.25">
      <c r="A42" s="93">
        <v>33</v>
      </c>
      <c r="B42" s="135" t="s">
        <v>129</v>
      </c>
      <c r="C42" s="113" t="s">
        <v>73</v>
      </c>
      <c r="D42" s="94">
        <v>252</v>
      </c>
      <c r="E42" s="127" t="s">
        <v>127</v>
      </c>
      <c r="F42" s="93" t="s">
        <v>20</v>
      </c>
      <c r="G42" s="95"/>
      <c r="H42" s="90">
        <v>9500</v>
      </c>
      <c r="I42" s="99">
        <f t="shared" si="0"/>
        <v>0</v>
      </c>
      <c r="J42" s="53"/>
    </row>
    <row r="43" spans="1:11" ht="26.25" thickBot="1" x14ac:dyDescent="0.25">
      <c r="A43" s="93">
        <v>34</v>
      </c>
      <c r="B43" s="121" t="s">
        <v>93</v>
      </c>
      <c r="C43" s="126" t="s">
        <v>73</v>
      </c>
      <c r="D43" s="100">
        <v>252</v>
      </c>
      <c r="E43" s="147" t="s">
        <v>92</v>
      </c>
      <c r="F43" s="104" t="s">
        <v>19</v>
      </c>
      <c r="G43" s="101"/>
      <c r="H43" s="123">
        <v>958</v>
      </c>
      <c r="I43" s="119">
        <f t="shared" si="0"/>
        <v>0</v>
      </c>
      <c r="J43" s="65"/>
    </row>
    <row r="44" spans="1:11" ht="26.25" thickBot="1" x14ac:dyDescent="0.25">
      <c r="A44" s="93">
        <v>35</v>
      </c>
      <c r="B44" s="103" t="s">
        <v>111</v>
      </c>
      <c r="C44" s="103" t="s">
        <v>73</v>
      </c>
      <c r="D44" s="92">
        <v>295</v>
      </c>
      <c r="E44" s="103" t="s">
        <v>112</v>
      </c>
      <c r="F44" s="107" t="s">
        <v>113</v>
      </c>
      <c r="G44" s="108"/>
      <c r="H44" s="109">
        <v>980</v>
      </c>
      <c r="I44" s="110">
        <f t="shared" si="0"/>
        <v>0</v>
      </c>
      <c r="J44" s="53"/>
    </row>
    <row r="45" spans="1:11" ht="26.25" thickBot="1" x14ac:dyDescent="0.25">
      <c r="A45" s="93">
        <v>36</v>
      </c>
      <c r="B45" s="124" t="s">
        <v>124</v>
      </c>
      <c r="C45" s="124" t="s">
        <v>73</v>
      </c>
      <c r="D45" s="94">
        <v>295</v>
      </c>
      <c r="E45" s="128" t="s">
        <v>125</v>
      </c>
      <c r="F45" s="117" t="s">
        <v>20</v>
      </c>
      <c r="G45" s="129"/>
      <c r="H45" s="130">
        <v>14300</v>
      </c>
      <c r="I45" s="131">
        <f t="shared" si="0"/>
        <v>0</v>
      </c>
      <c r="J45" s="53"/>
    </row>
    <row r="46" spans="1:11" ht="31.5" customHeight="1" thickBot="1" x14ac:dyDescent="0.25">
      <c r="A46" s="93">
        <v>37</v>
      </c>
      <c r="B46" s="124" t="s">
        <v>124</v>
      </c>
      <c r="C46" s="124" t="s">
        <v>73</v>
      </c>
      <c r="D46" s="94">
        <v>295</v>
      </c>
      <c r="E46" s="128" t="s">
        <v>125</v>
      </c>
      <c r="F46" s="117" t="s">
        <v>20</v>
      </c>
      <c r="G46" s="129"/>
      <c r="H46" s="130">
        <v>14300</v>
      </c>
      <c r="I46" s="131">
        <f t="shared" si="0"/>
        <v>0</v>
      </c>
      <c r="J46" s="52"/>
    </row>
    <row r="47" spans="1:11" ht="35.25" customHeight="1" thickBot="1" x14ac:dyDescent="0.25">
      <c r="A47" s="93">
        <v>38</v>
      </c>
      <c r="B47" s="124" t="s">
        <v>124</v>
      </c>
      <c r="C47" s="124" t="s">
        <v>73</v>
      </c>
      <c r="D47" s="94">
        <v>295</v>
      </c>
      <c r="E47" s="128" t="s">
        <v>125</v>
      </c>
      <c r="F47" s="117" t="s">
        <v>20</v>
      </c>
      <c r="G47" s="129"/>
      <c r="H47" s="130">
        <v>14300</v>
      </c>
      <c r="I47" s="131">
        <f t="shared" si="0"/>
        <v>0</v>
      </c>
      <c r="J47" s="52"/>
      <c r="K47" s="61"/>
    </row>
    <row r="48" spans="1:11" ht="36.75" customHeight="1" thickBot="1" x14ac:dyDescent="0.25">
      <c r="A48" s="93">
        <v>39</v>
      </c>
      <c r="B48" s="103" t="s">
        <v>114</v>
      </c>
      <c r="C48" s="103" t="s">
        <v>73</v>
      </c>
      <c r="D48" s="92">
        <v>295</v>
      </c>
      <c r="E48" s="103" t="s">
        <v>115</v>
      </c>
      <c r="F48" s="107" t="s">
        <v>20</v>
      </c>
      <c r="G48" s="108"/>
      <c r="H48" s="109">
        <v>1950</v>
      </c>
      <c r="I48" s="110">
        <f t="shared" si="0"/>
        <v>0</v>
      </c>
      <c r="J48" s="53"/>
    </row>
    <row r="49" spans="1:10" ht="12.75" x14ac:dyDescent="0.2">
      <c r="A49" s="82"/>
      <c r="B49" s="83"/>
      <c r="C49" s="84"/>
      <c r="D49" s="85"/>
      <c r="E49" s="86"/>
      <c r="F49" s="82"/>
      <c r="G49" s="87"/>
      <c r="H49" s="88"/>
      <c r="I49" s="89"/>
      <c r="J49" s="52"/>
    </row>
    <row r="50" spans="1:10" ht="13.5" thickBot="1" x14ac:dyDescent="0.25">
      <c r="J50" s="53"/>
    </row>
    <row r="51" spans="1:10" ht="48.75" customHeight="1" x14ac:dyDescent="0.2">
      <c r="B51" s="152" t="s">
        <v>153</v>
      </c>
      <c r="C51" s="153"/>
      <c r="D51" s="153"/>
      <c r="E51" s="154"/>
      <c r="J51" s="52"/>
    </row>
    <row r="52" spans="1:10" ht="12.75" x14ac:dyDescent="0.2">
      <c r="B52" s="161" t="s">
        <v>23</v>
      </c>
      <c r="C52" s="162"/>
      <c r="D52" s="162"/>
      <c r="E52" s="163"/>
      <c r="J52" s="52"/>
    </row>
    <row r="53" spans="1:10" ht="12.75" x14ac:dyDescent="0.2">
      <c r="B53" s="164"/>
      <c r="C53" s="162"/>
      <c r="D53" s="162"/>
      <c r="E53" s="163"/>
      <c r="J53" s="52"/>
    </row>
    <row r="54" spans="1:10" ht="12.75" x14ac:dyDescent="0.2">
      <c r="B54" s="161" t="s">
        <v>24</v>
      </c>
      <c r="C54" s="162"/>
      <c r="D54" s="162"/>
      <c r="E54" s="163"/>
      <c r="J54" s="52"/>
    </row>
    <row r="55" spans="1:10" ht="12.75" x14ac:dyDescent="0.2">
      <c r="B55" s="69"/>
      <c r="C55" s="66"/>
      <c r="D55" s="48"/>
      <c r="E55" s="70"/>
      <c r="J55" s="52"/>
    </row>
    <row r="56" spans="1:10" ht="45" x14ac:dyDescent="0.2">
      <c r="B56" s="71" t="s">
        <v>25</v>
      </c>
      <c r="C56" s="67"/>
      <c r="D56" s="49"/>
      <c r="E56" s="72"/>
      <c r="J56" s="52"/>
    </row>
    <row r="57" spans="1:10" ht="13.5" thickBot="1" x14ac:dyDescent="0.25">
      <c r="B57" s="73" t="s">
        <v>26</v>
      </c>
      <c r="C57" s="74"/>
      <c r="D57" s="75"/>
      <c r="E57" s="76"/>
      <c r="J57" s="52"/>
    </row>
    <row r="58" spans="1:10" ht="13.5" thickBot="1" x14ac:dyDescent="0.25">
      <c r="J58" s="52"/>
    </row>
    <row r="59" spans="1:10" ht="56.25" customHeight="1" x14ac:dyDescent="0.2">
      <c r="B59" s="155" t="s">
        <v>154</v>
      </c>
      <c r="C59" s="156"/>
      <c r="D59" s="156"/>
      <c r="E59" s="157"/>
      <c r="J59" s="52"/>
    </row>
    <row r="60" spans="1:10" ht="12.75" x14ac:dyDescent="0.2">
      <c r="B60" s="161" t="s">
        <v>23</v>
      </c>
      <c r="C60" s="162"/>
      <c r="D60" s="162"/>
      <c r="E60" s="163"/>
      <c r="J60" s="52"/>
    </row>
    <row r="61" spans="1:10" ht="12.75" x14ac:dyDescent="0.2">
      <c r="B61" s="164"/>
      <c r="C61" s="162"/>
      <c r="D61" s="162"/>
      <c r="E61" s="163"/>
      <c r="J61" s="52"/>
    </row>
    <row r="62" spans="1:10" ht="12.75" x14ac:dyDescent="0.2">
      <c r="B62" s="161" t="s">
        <v>24</v>
      </c>
      <c r="C62" s="162"/>
      <c r="D62" s="162"/>
      <c r="E62" s="163"/>
      <c r="J62" s="52"/>
    </row>
    <row r="63" spans="1:10" ht="12.75" x14ac:dyDescent="0.2">
      <c r="B63" s="69"/>
      <c r="C63" s="66"/>
      <c r="D63" s="48"/>
      <c r="E63" s="70"/>
      <c r="J63" s="52"/>
    </row>
    <row r="64" spans="1:10" ht="45" x14ac:dyDescent="0.2">
      <c r="B64" s="71" t="s">
        <v>25</v>
      </c>
      <c r="C64" s="67"/>
      <c r="D64" s="49"/>
      <c r="E64" s="72"/>
      <c r="J64" s="52"/>
    </row>
    <row r="65" spans="2:11" ht="13.5" thickBot="1" x14ac:dyDescent="0.25">
      <c r="B65" s="73" t="s">
        <v>26</v>
      </c>
      <c r="C65" s="74"/>
      <c r="D65" s="75"/>
      <c r="E65" s="76"/>
      <c r="J65" s="52"/>
    </row>
    <row r="66" spans="2:11" ht="13.5" thickBot="1" x14ac:dyDescent="0.25">
      <c r="J66" s="52"/>
    </row>
    <row r="67" spans="2:11" ht="12.75" x14ac:dyDescent="0.2">
      <c r="B67" s="155" t="s">
        <v>155</v>
      </c>
      <c r="C67" s="156"/>
      <c r="D67" s="156"/>
      <c r="E67" s="157"/>
      <c r="J67" s="52"/>
      <c r="K67" s="63"/>
    </row>
    <row r="68" spans="2:11" ht="12.75" x14ac:dyDescent="0.2">
      <c r="B68" s="158"/>
      <c r="C68" s="159"/>
      <c r="D68" s="159"/>
      <c r="E68" s="160"/>
      <c r="J68" s="52"/>
      <c r="K68" s="62"/>
    </row>
    <row r="69" spans="2:11" ht="12.75" x14ac:dyDescent="0.2">
      <c r="B69" s="158"/>
      <c r="C69" s="159"/>
      <c r="D69" s="159"/>
      <c r="E69" s="160"/>
      <c r="J69" s="52"/>
    </row>
    <row r="70" spans="2:11" ht="12.75" x14ac:dyDescent="0.2">
      <c r="B70" s="158"/>
      <c r="C70" s="159"/>
      <c r="D70" s="159"/>
      <c r="E70" s="160"/>
      <c r="J70" s="52"/>
    </row>
    <row r="71" spans="2:11" ht="12.75" x14ac:dyDescent="0.2">
      <c r="B71" s="69"/>
      <c r="C71" s="66"/>
      <c r="D71" s="48"/>
      <c r="E71" s="70"/>
      <c r="J71" s="52"/>
    </row>
    <row r="72" spans="2:11" ht="45" x14ac:dyDescent="0.2">
      <c r="B72" s="71" t="s">
        <v>25</v>
      </c>
      <c r="C72" s="67"/>
      <c r="D72" s="49"/>
      <c r="E72" s="72"/>
      <c r="J72" s="52"/>
      <c r="K72" s="60"/>
    </row>
    <row r="73" spans="2:11" ht="13.5" thickBot="1" x14ac:dyDescent="0.25">
      <c r="B73" s="73" t="s">
        <v>26</v>
      </c>
      <c r="C73" s="74"/>
      <c r="D73" s="75"/>
      <c r="E73" s="76"/>
      <c r="J73" s="52"/>
    </row>
    <row r="74" spans="2:11" ht="12.75" x14ac:dyDescent="0.2">
      <c r="J74" s="52"/>
    </row>
  </sheetData>
  <autoFilter ref="A9:J74" xr:uid="{00000000-0009-0000-0000-000000000000}"/>
  <sortState xmlns:xlrd2="http://schemas.microsoft.com/office/spreadsheetml/2017/richdata2" ref="A10:I48">
    <sortCondition ref="E10:E48"/>
  </sortState>
  <mergeCells count="14">
    <mergeCell ref="A6:B6"/>
    <mergeCell ref="A7:B7"/>
    <mergeCell ref="B2:H2"/>
    <mergeCell ref="A4:B4"/>
    <mergeCell ref="C4:E4"/>
    <mergeCell ref="A5:B5"/>
    <mergeCell ref="C5:E5"/>
    <mergeCell ref="B51:E51"/>
    <mergeCell ref="B59:E59"/>
    <mergeCell ref="B67:E70"/>
    <mergeCell ref="B52:E53"/>
    <mergeCell ref="B54:E54"/>
    <mergeCell ref="B60:E61"/>
    <mergeCell ref="B62:E62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6"/>
  <sheetViews>
    <sheetView topLeftCell="A45" workbookViewId="0">
      <selection activeCell="H68" sqref="B68:H68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2.75" customHeight="1" x14ac:dyDescent="0.2">
      <c r="A1" s="191" t="s">
        <v>27</v>
      </c>
      <c r="B1" s="169"/>
      <c r="C1" s="169"/>
      <c r="D1" s="169"/>
      <c r="E1" s="169"/>
      <c r="F1" s="169"/>
      <c r="G1" s="169"/>
      <c r="H1" s="169"/>
      <c r="I1" s="166"/>
      <c r="J1" s="6" t="s">
        <v>28</v>
      </c>
      <c r="K1" s="7" t="s">
        <v>29</v>
      </c>
    </row>
    <row r="2" spans="1:11" ht="12.75" customHeight="1" x14ac:dyDescent="0.2">
      <c r="A2" s="8"/>
      <c r="B2" s="8"/>
      <c r="C2" s="8"/>
      <c r="D2" s="9"/>
      <c r="E2" s="9"/>
      <c r="F2" s="9"/>
      <c r="G2" s="9"/>
      <c r="H2" s="9"/>
      <c r="I2" s="9"/>
      <c r="J2" s="9"/>
      <c r="K2" s="9"/>
    </row>
    <row r="3" spans="1:11" ht="12.75" customHeight="1" x14ac:dyDescent="0.2">
      <c r="A3" s="176" t="s">
        <v>30</v>
      </c>
      <c r="B3" s="177"/>
      <c r="C3" s="178"/>
      <c r="D3" s="179" t="str">
        <f>'Necesidades Trimestrales'!C4</f>
        <v>040 - Ministerio de Salud</v>
      </c>
      <c r="E3" s="180"/>
      <c r="F3" s="180"/>
      <c r="G3" s="180"/>
      <c r="H3" s="180"/>
      <c r="I3" s="180"/>
      <c r="J3" s="180"/>
      <c r="K3" s="181"/>
    </row>
    <row r="4" spans="1:11" ht="12.75" customHeight="1" x14ac:dyDescent="0.2">
      <c r="A4" s="182" t="s">
        <v>31</v>
      </c>
      <c r="B4" s="183"/>
      <c r="C4" s="184"/>
      <c r="D4" s="185" t="str">
        <f>'Necesidades Trimestrales'!C5</f>
        <v>11/ 23/ 24  o  28- "…......."</v>
      </c>
      <c r="E4" s="180"/>
      <c r="F4" s="180"/>
      <c r="G4" s="180"/>
      <c r="H4" s="180"/>
      <c r="I4" s="180"/>
      <c r="J4" s="180"/>
      <c r="K4" s="181"/>
    </row>
    <row r="5" spans="1:11" ht="12.75" customHeight="1" x14ac:dyDescent="0.2">
      <c r="A5" s="182" t="s">
        <v>32</v>
      </c>
      <c r="B5" s="183"/>
      <c r="C5" s="184"/>
      <c r="D5" s="185" t="s">
        <v>33</v>
      </c>
      <c r="E5" s="180"/>
      <c r="F5" s="180"/>
      <c r="G5" s="180"/>
      <c r="H5" s="180"/>
      <c r="I5" s="180"/>
      <c r="J5" s="180"/>
      <c r="K5" s="181"/>
    </row>
    <row r="6" spans="1:11" ht="12.75" customHeight="1" x14ac:dyDescent="0.2">
      <c r="A6" s="188" t="s">
        <v>34</v>
      </c>
      <c r="B6" s="177"/>
      <c r="C6" s="178"/>
      <c r="D6" s="185" t="s">
        <v>33</v>
      </c>
      <c r="E6" s="180"/>
      <c r="F6" s="180"/>
      <c r="G6" s="180"/>
      <c r="H6" s="180"/>
      <c r="I6" s="180"/>
      <c r="J6" s="180"/>
      <c r="K6" s="181"/>
    </row>
    <row r="7" spans="1:11" ht="12.75" customHeight="1" x14ac:dyDescent="0.2">
      <c r="A7" s="182" t="s">
        <v>35</v>
      </c>
      <c r="B7" s="183"/>
      <c r="C7" s="184"/>
      <c r="D7" s="185" t="s">
        <v>36</v>
      </c>
      <c r="E7" s="180"/>
      <c r="F7" s="180"/>
      <c r="G7" s="180"/>
      <c r="H7" s="180"/>
      <c r="I7" s="180"/>
      <c r="J7" s="180"/>
      <c r="K7" s="181"/>
    </row>
    <row r="8" spans="1:11" ht="36" customHeight="1" x14ac:dyDescent="0.2">
      <c r="A8" s="186" t="s">
        <v>37</v>
      </c>
      <c r="B8" s="180"/>
      <c r="C8" s="187"/>
      <c r="D8" s="192" t="s">
        <v>38</v>
      </c>
      <c r="E8" s="180"/>
      <c r="F8" s="180"/>
      <c r="G8" s="180"/>
      <c r="H8" s="180"/>
      <c r="I8" s="180"/>
      <c r="J8" s="180"/>
      <c r="K8" s="181"/>
    </row>
    <row r="9" spans="1:11" ht="12.75" customHeight="1" thickBot="1" x14ac:dyDescent="0.25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</row>
    <row r="10" spans="1:11" ht="12.75" customHeight="1" thickBot="1" x14ac:dyDescent="0.25">
      <c r="A10" s="189" t="s">
        <v>39</v>
      </c>
      <c r="B10" s="190" t="s">
        <v>40</v>
      </c>
      <c r="C10" s="190" t="s">
        <v>41</v>
      </c>
      <c r="D10" s="173"/>
      <c r="E10" s="173"/>
      <c r="F10" s="173"/>
      <c r="G10" s="173"/>
      <c r="H10" s="190" t="s">
        <v>42</v>
      </c>
      <c r="I10" s="190" t="s">
        <v>43</v>
      </c>
      <c r="J10" s="190" t="s">
        <v>44</v>
      </c>
      <c r="K10" s="190" t="s">
        <v>45</v>
      </c>
    </row>
    <row r="11" spans="1:11" ht="32.25" customHeight="1" thickBot="1" x14ac:dyDescent="0.25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</row>
    <row r="12" spans="1:11" ht="32.25" customHeight="1" thickBot="1" x14ac:dyDescent="0.25">
      <c r="A12" s="77">
        <v>1</v>
      </c>
      <c r="B12" s="78" t="str">
        <f>+'Necesidades Trimestrales'!B10</f>
        <v>2.9.5-441.473</v>
      </c>
      <c r="C12" s="172" t="str">
        <f>+'Necesidades Trimestrales'!E10</f>
        <v>AGUJAS QUIRURGICAS; TIPO: P/BIOPSIA MEDULA OSEA, ESPECIFICACION: 11G X 10 mm, PRESENTACION: UNIDAD</v>
      </c>
      <c r="D12" s="173"/>
      <c r="E12" s="173"/>
      <c r="F12" s="173"/>
      <c r="G12" s="173"/>
      <c r="H12" s="77" t="s">
        <v>46</v>
      </c>
      <c r="I12" s="79" t="str">
        <f>+'Necesidades Trimestrales'!F10</f>
        <v>UNIDAD</v>
      </c>
      <c r="J12" s="80">
        <f>+'Necesidades Trimestrales'!H10</f>
        <v>3286</v>
      </c>
      <c r="K12" s="81">
        <f>+'Necesidades Trimestrales'!G10</f>
        <v>0</v>
      </c>
    </row>
    <row r="13" spans="1:11" ht="32.25" customHeight="1" thickBot="1" x14ac:dyDescent="0.25">
      <c r="A13" s="77">
        <v>2</v>
      </c>
      <c r="B13" s="78" t="str">
        <f>+'Necesidades Trimestrales'!B11</f>
        <v>2.9.5-441.474</v>
      </c>
      <c r="C13" s="172" t="str">
        <f>+'Necesidades Trimestrales'!E11</f>
        <v>AGUJAS QUIRURGICAS; TIPO: P/BIOPSIA MEDULA OSEA, ESPECIFICACION: 8G X 15 mm, PRESENTACION: UNIDAD</v>
      </c>
      <c r="D13" s="173"/>
      <c r="E13" s="173"/>
      <c r="F13" s="173"/>
      <c r="G13" s="173"/>
      <c r="H13" s="77" t="s">
        <v>46</v>
      </c>
      <c r="I13" s="79" t="str">
        <f>+'Necesidades Trimestrales'!F11</f>
        <v>UNIDAD</v>
      </c>
      <c r="J13" s="80">
        <f>+'Necesidades Trimestrales'!H11</f>
        <v>3286</v>
      </c>
      <c r="K13" s="81">
        <f>+'Necesidades Trimestrales'!G11</f>
        <v>0</v>
      </c>
    </row>
    <row r="14" spans="1:11" ht="32.25" customHeight="1" thickBot="1" x14ac:dyDescent="0.25">
      <c r="A14" s="77">
        <v>3</v>
      </c>
      <c r="B14" s="78" t="str">
        <f>+'Necesidades Trimestrales'!B12</f>
        <v>2.9.5-441.476</v>
      </c>
      <c r="C14" s="172" t="str">
        <f>+'Necesidades Trimestrales'!E12</f>
        <v>AGUJAS QUIRURGICAS; TIPO: PUNCION Y ASP. DE MEDULA OSEA, ESPECIFICACION: 16G, PRESENTACION: POR UNIDAD</v>
      </c>
      <c r="D14" s="173"/>
      <c r="E14" s="173"/>
      <c r="F14" s="173"/>
      <c r="G14" s="173"/>
      <c r="H14" s="77" t="s">
        <v>46</v>
      </c>
      <c r="I14" s="79" t="str">
        <f>+'Necesidades Trimestrales'!F12</f>
        <v>UNIDAD</v>
      </c>
      <c r="J14" s="80">
        <f>+'Necesidades Trimestrales'!H12</f>
        <v>3286</v>
      </c>
      <c r="K14" s="81">
        <f>+'Necesidades Trimestrales'!G12</f>
        <v>0</v>
      </c>
    </row>
    <row r="15" spans="1:11" ht="32.25" customHeight="1" thickBot="1" x14ac:dyDescent="0.25">
      <c r="A15" s="77">
        <v>4</v>
      </c>
      <c r="B15" s="78" t="str">
        <f>+'Necesidades Trimestrales'!B13</f>
        <v>2.9.5-441.475</v>
      </c>
      <c r="C15" s="172" t="str">
        <f>+'Necesidades Trimestrales'!E13</f>
        <v>AGUJAS QUIRURGICAS; TIPO: PUNCION Y ASP. DE MEDULA OSEA, ESPECIFICACION: 18G, PRESENTACION: POR UNIDAD</v>
      </c>
      <c r="D15" s="173"/>
      <c r="E15" s="173"/>
      <c r="F15" s="173"/>
      <c r="G15" s="173"/>
      <c r="H15" s="77" t="s">
        <v>46</v>
      </c>
      <c r="I15" s="79" t="str">
        <f>+'Necesidades Trimestrales'!F13</f>
        <v>UNIDAD</v>
      </c>
      <c r="J15" s="80">
        <f>+'Necesidades Trimestrales'!H13</f>
        <v>3286</v>
      </c>
      <c r="K15" s="81">
        <f>+'Necesidades Trimestrales'!G13</f>
        <v>0</v>
      </c>
    </row>
    <row r="16" spans="1:11" ht="32.25" customHeight="1" thickBot="1" x14ac:dyDescent="0.25">
      <c r="A16" s="77">
        <v>5</v>
      </c>
      <c r="B16" s="78" t="str">
        <f>+'Necesidades Trimestrales'!B14</f>
        <v>2.5.2-1724.107</v>
      </c>
      <c r="C16" s="172" t="str">
        <f>+'Necesidades Trimestrales'!E14</f>
        <v>ANALGESICOS ; TIPO: MONODROGA, DROGA GENERICA: IBUPROFENO 400, FORMA FARMACEUTICA: AMPOLLA, PRESENTACION: 3 mL</v>
      </c>
      <c r="D16" s="173"/>
      <c r="E16" s="173"/>
      <c r="F16" s="173"/>
      <c r="G16" s="173"/>
      <c r="H16" s="77" t="s">
        <v>46</v>
      </c>
      <c r="I16" s="79" t="str">
        <f>+'Necesidades Trimestrales'!F14</f>
        <v>AMPOLLA</v>
      </c>
      <c r="J16" s="80">
        <f>+'Necesidades Trimestrales'!H14</f>
        <v>47.7</v>
      </c>
      <c r="K16" s="81">
        <f>+'Necesidades Trimestrales'!G14</f>
        <v>0</v>
      </c>
    </row>
    <row r="17" spans="1:11" ht="32.25" customHeight="1" thickBot="1" x14ac:dyDescent="0.25">
      <c r="A17" s="77">
        <v>6</v>
      </c>
      <c r="B17" s="78" t="str">
        <f>+'Necesidades Trimestrales'!B15</f>
        <v>2.5.2-1724.29</v>
      </c>
      <c r="C17" s="172" t="str">
        <f>+'Necesidades Trimestrales'!E15</f>
        <v>ANALGESICOS ; TIPO: MONODROGA, DROGA GENERICA: PARACETAMOL, FORMA FARMACEUTICA: GOTAS, PRESENTACION: 20 mL</v>
      </c>
      <c r="D17" s="173"/>
      <c r="E17" s="173"/>
      <c r="F17" s="173"/>
      <c r="G17" s="173"/>
      <c r="H17" s="77" t="s">
        <v>46</v>
      </c>
      <c r="I17" s="79" t="str">
        <f>+'Necesidades Trimestrales'!F15</f>
        <v>GOTERO</v>
      </c>
      <c r="J17" s="80">
        <f>+'Necesidades Trimestrales'!H15</f>
        <v>243.8</v>
      </c>
      <c r="K17" s="81">
        <f>+'Necesidades Trimestrales'!G15</f>
        <v>0</v>
      </c>
    </row>
    <row r="18" spans="1:11" ht="32.25" customHeight="1" thickBot="1" x14ac:dyDescent="0.25">
      <c r="A18" s="77">
        <v>7</v>
      </c>
      <c r="B18" s="78" t="str">
        <f>+'Necesidades Trimestrales'!B16</f>
        <v>2.5.2-1724.154</v>
      </c>
      <c r="C18" s="172" t="str">
        <f>+'Necesidades Trimestrales'!E16</f>
        <v>ANALGESICOS ; TIPO: MONODROGA, DROGA GENERICA: TRAMADOL 50 mGr, FORMA FARMACEUTICA: AMPOLLA, PRESENTACION: UNIDAD</v>
      </c>
      <c r="D18" s="173"/>
      <c r="E18" s="173"/>
      <c r="F18" s="173"/>
      <c r="G18" s="173"/>
      <c r="H18" s="77" t="s">
        <v>46</v>
      </c>
      <c r="I18" s="79" t="str">
        <f>+'Necesidades Trimestrales'!F16</f>
        <v>AMPOLLA</v>
      </c>
      <c r="J18" s="80">
        <f>+'Necesidades Trimestrales'!H16</f>
        <v>68.900000000000006</v>
      </c>
      <c r="K18" s="81">
        <f>+'Necesidades Trimestrales'!G16</f>
        <v>0</v>
      </c>
    </row>
    <row r="19" spans="1:11" ht="32.25" customHeight="1" thickBot="1" x14ac:dyDescent="0.25">
      <c r="A19" s="77">
        <v>8</v>
      </c>
      <c r="B19" s="78" t="e">
        <f>+'Necesidades Trimestrales'!#REF!</f>
        <v>#REF!</v>
      </c>
      <c r="C19" s="172" t="e">
        <f>+'Necesidades Trimestrales'!#REF!</f>
        <v>#REF!</v>
      </c>
      <c r="D19" s="173"/>
      <c r="E19" s="173"/>
      <c r="F19" s="173"/>
      <c r="G19" s="173"/>
      <c r="H19" s="77" t="s">
        <v>46</v>
      </c>
      <c r="I19" s="79" t="e">
        <f>+'Necesidades Trimestrales'!#REF!</f>
        <v>#REF!</v>
      </c>
      <c r="J19" s="80" t="e">
        <f>+'Necesidades Trimestrales'!#REF!</f>
        <v>#REF!</v>
      </c>
      <c r="K19" s="81" t="e">
        <f>+'Necesidades Trimestrales'!#REF!</f>
        <v>#REF!</v>
      </c>
    </row>
    <row r="20" spans="1:11" ht="32.25" customHeight="1" thickBot="1" x14ac:dyDescent="0.25">
      <c r="A20" s="77">
        <v>9</v>
      </c>
      <c r="B20" s="78" t="e">
        <f>+'Necesidades Trimestrales'!#REF!</f>
        <v>#REF!</v>
      </c>
      <c r="C20" s="172" t="e">
        <f>+'Necesidades Trimestrales'!#REF!</f>
        <v>#REF!</v>
      </c>
      <c r="D20" s="173"/>
      <c r="E20" s="173"/>
      <c r="F20" s="173"/>
      <c r="G20" s="173"/>
      <c r="H20" s="77" t="s">
        <v>46</v>
      </c>
      <c r="I20" s="79" t="e">
        <f>+'Necesidades Trimestrales'!#REF!</f>
        <v>#REF!</v>
      </c>
      <c r="J20" s="80" t="e">
        <f>+'Necesidades Trimestrales'!#REF!</f>
        <v>#REF!</v>
      </c>
      <c r="K20" s="81" t="e">
        <f>+'Necesidades Trimestrales'!#REF!</f>
        <v>#REF!</v>
      </c>
    </row>
    <row r="21" spans="1:11" ht="32.25" customHeight="1" thickBot="1" x14ac:dyDescent="0.25">
      <c r="A21" s="77">
        <v>10</v>
      </c>
      <c r="B21" s="78" t="e">
        <f>+'Necesidades Trimestrales'!#REF!</f>
        <v>#REF!</v>
      </c>
      <c r="C21" s="172" t="e">
        <f>+'Necesidades Trimestrales'!#REF!</f>
        <v>#REF!</v>
      </c>
      <c r="D21" s="173"/>
      <c r="E21" s="173"/>
      <c r="F21" s="173"/>
      <c r="G21" s="173"/>
      <c r="H21" s="77" t="s">
        <v>46</v>
      </c>
      <c r="I21" s="79" t="e">
        <f>+'Necesidades Trimestrales'!#REF!</f>
        <v>#REF!</v>
      </c>
      <c r="J21" s="80" t="e">
        <f>+'Necesidades Trimestrales'!#REF!</f>
        <v>#REF!</v>
      </c>
      <c r="K21" s="81" t="e">
        <f>+'Necesidades Trimestrales'!#REF!</f>
        <v>#REF!</v>
      </c>
    </row>
    <row r="22" spans="1:11" ht="32.25" customHeight="1" thickBot="1" x14ac:dyDescent="0.25">
      <c r="A22" s="77">
        <v>11</v>
      </c>
      <c r="B22" s="78" t="e">
        <f>+'Necesidades Trimestrales'!#REF!</f>
        <v>#REF!</v>
      </c>
      <c r="C22" s="172" t="e">
        <f>+'Necesidades Trimestrales'!#REF!</f>
        <v>#REF!</v>
      </c>
      <c r="D22" s="173"/>
      <c r="E22" s="173"/>
      <c r="F22" s="173"/>
      <c r="G22" s="173"/>
      <c r="H22" s="77" t="s">
        <v>46</v>
      </c>
      <c r="I22" s="79" t="e">
        <f>+'Necesidades Trimestrales'!#REF!</f>
        <v>#REF!</v>
      </c>
      <c r="J22" s="80" t="e">
        <f>+'Necesidades Trimestrales'!#REF!</f>
        <v>#REF!</v>
      </c>
      <c r="K22" s="81" t="e">
        <f>+'Necesidades Trimestrales'!#REF!</f>
        <v>#REF!</v>
      </c>
    </row>
    <row r="23" spans="1:11" ht="32.25" customHeight="1" thickBot="1" x14ac:dyDescent="0.25">
      <c r="A23" s="77">
        <v>12</v>
      </c>
      <c r="B23" s="78" t="e">
        <f>+'Necesidades Trimestrales'!#REF!</f>
        <v>#REF!</v>
      </c>
      <c r="C23" s="172" t="e">
        <f>+'Necesidades Trimestrales'!#REF!</f>
        <v>#REF!</v>
      </c>
      <c r="D23" s="173"/>
      <c r="E23" s="173"/>
      <c r="F23" s="173"/>
      <c r="G23" s="173"/>
      <c r="H23" s="77" t="s">
        <v>46</v>
      </c>
      <c r="I23" s="79" t="e">
        <f>+'Necesidades Trimestrales'!#REF!</f>
        <v>#REF!</v>
      </c>
      <c r="J23" s="80" t="e">
        <f>+'Necesidades Trimestrales'!#REF!</f>
        <v>#REF!</v>
      </c>
      <c r="K23" s="81" t="e">
        <f>+'Necesidades Trimestrales'!#REF!</f>
        <v>#REF!</v>
      </c>
    </row>
    <row r="24" spans="1:11" ht="32.25" customHeight="1" thickBot="1" x14ac:dyDescent="0.25">
      <c r="A24" s="77">
        <v>13</v>
      </c>
      <c r="B24" s="78" t="e">
        <f>+'Necesidades Trimestrales'!#REF!</f>
        <v>#REF!</v>
      </c>
      <c r="C24" s="172" t="e">
        <f>+'Necesidades Trimestrales'!#REF!</f>
        <v>#REF!</v>
      </c>
      <c r="D24" s="173"/>
      <c r="E24" s="173"/>
      <c r="F24" s="173"/>
      <c r="G24" s="173"/>
      <c r="H24" s="77" t="s">
        <v>46</v>
      </c>
      <c r="I24" s="79" t="e">
        <f>+'Necesidades Trimestrales'!#REF!</f>
        <v>#REF!</v>
      </c>
      <c r="J24" s="80" t="e">
        <f>+'Necesidades Trimestrales'!#REF!</f>
        <v>#REF!</v>
      </c>
      <c r="K24" s="81" t="e">
        <f>+'Necesidades Trimestrales'!#REF!</f>
        <v>#REF!</v>
      </c>
    </row>
    <row r="25" spans="1:11" ht="32.25" customHeight="1" thickBot="1" x14ac:dyDescent="0.25">
      <c r="A25" s="77">
        <v>14</v>
      </c>
      <c r="B25" s="78" t="e">
        <f>+'Necesidades Trimestrales'!#REF!</f>
        <v>#REF!</v>
      </c>
      <c r="C25" s="172" t="e">
        <f>+'Necesidades Trimestrales'!#REF!</f>
        <v>#REF!</v>
      </c>
      <c r="D25" s="173"/>
      <c r="E25" s="173"/>
      <c r="F25" s="173"/>
      <c r="G25" s="173"/>
      <c r="H25" s="77" t="s">
        <v>46</v>
      </c>
      <c r="I25" s="79" t="e">
        <f>+'Necesidades Trimestrales'!#REF!</f>
        <v>#REF!</v>
      </c>
      <c r="J25" s="80" t="e">
        <f>+'Necesidades Trimestrales'!#REF!</f>
        <v>#REF!</v>
      </c>
      <c r="K25" s="81" t="e">
        <f>+'Necesidades Trimestrales'!#REF!</f>
        <v>#REF!</v>
      </c>
    </row>
    <row r="26" spans="1:11" ht="32.25" customHeight="1" thickBot="1" x14ac:dyDescent="0.25">
      <c r="A26" s="77">
        <v>15</v>
      </c>
      <c r="B26" s="78" t="str">
        <f>+'Necesidades Trimestrales'!B17</f>
        <v>2.5.2-1821.5</v>
      </c>
      <c r="C26" s="172" t="str">
        <f>+'Necesidades Trimestrales'!E17</f>
        <v>ANTIBIOTICOS P/PERSONAS; TIPO: MONODROGA, DROGA GENERICA: AMPICILINA, FORMA FARMACEUTICA: COMPRIMIDOS, PRESENTACION: 500 mGr</v>
      </c>
      <c r="D26" s="173"/>
      <c r="E26" s="173"/>
      <c r="F26" s="173"/>
      <c r="G26" s="173"/>
      <c r="H26" s="77" t="s">
        <v>46</v>
      </c>
      <c r="I26" s="79" t="str">
        <f>+'Necesidades Trimestrales'!F17</f>
        <v>COMPRIMIDO</v>
      </c>
      <c r="J26" s="80">
        <f>+'Necesidades Trimestrales'!H17</f>
        <v>18.100000000000001</v>
      </c>
      <c r="K26" s="81">
        <f>+'Necesidades Trimestrales'!G17</f>
        <v>0</v>
      </c>
    </row>
    <row r="27" spans="1:11" ht="32.25" customHeight="1" thickBot="1" x14ac:dyDescent="0.25">
      <c r="A27" s="77">
        <v>16</v>
      </c>
      <c r="B27" s="78" t="e">
        <f>+'Necesidades Trimestrales'!#REF!</f>
        <v>#REF!</v>
      </c>
      <c r="C27" s="172" t="e">
        <f>+'Necesidades Trimestrales'!#REF!</f>
        <v>#REF!</v>
      </c>
      <c r="D27" s="173"/>
      <c r="E27" s="173"/>
      <c r="F27" s="173"/>
      <c r="G27" s="173"/>
      <c r="H27" s="77" t="s">
        <v>46</v>
      </c>
      <c r="I27" s="79" t="e">
        <f>+'Necesidades Trimestrales'!#REF!</f>
        <v>#REF!</v>
      </c>
      <c r="J27" s="80" t="e">
        <f>+'Necesidades Trimestrales'!#REF!</f>
        <v>#REF!</v>
      </c>
      <c r="K27" s="81" t="e">
        <f>+'Necesidades Trimestrales'!#REF!</f>
        <v>#REF!</v>
      </c>
    </row>
    <row r="28" spans="1:11" ht="32.25" customHeight="1" thickBot="1" x14ac:dyDescent="0.25">
      <c r="A28" s="77">
        <v>17</v>
      </c>
      <c r="B28" s="78" t="e">
        <f>+'Necesidades Trimestrales'!#REF!</f>
        <v>#REF!</v>
      </c>
      <c r="C28" s="172" t="e">
        <f>+'Necesidades Trimestrales'!#REF!</f>
        <v>#REF!</v>
      </c>
      <c r="D28" s="173"/>
      <c r="E28" s="173"/>
      <c r="F28" s="173"/>
      <c r="G28" s="173"/>
      <c r="H28" s="77" t="s">
        <v>46</v>
      </c>
      <c r="I28" s="79" t="e">
        <f>+'Necesidades Trimestrales'!#REF!</f>
        <v>#REF!</v>
      </c>
      <c r="J28" s="80" t="e">
        <f>+'Necesidades Trimestrales'!#REF!</f>
        <v>#REF!</v>
      </c>
      <c r="K28" s="81" t="e">
        <f>+'Necesidades Trimestrales'!#REF!</f>
        <v>#REF!</v>
      </c>
    </row>
    <row r="29" spans="1:11" ht="32.25" customHeight="1" thickBot="1" x14ac:dyDescent="0.25">
      <c r="A29" s="77">
        <v>18</v>
      </c>
      <c r="B29" s="78" t="e">
        <f>+'Necesidades Trimestrales'!#REF!</f>
        <v>#REF!</v>
      </c>
      <c r="C29" s="172" t="e">
        <f>+'Necesidades Trimestrales'!#REF!</f>
        <v>#REF!</v>
      </c>
      <c r="D29" s="173"/>
      <c r="E29" s="173"/>
      <c r="F29" s="173"/>
      <c r="G29" s="173"/>
      <c r="H29" s="77" t="s">
        <v>46</v>
      </c>
      <c r="I29" s="79" t="e">
        <f>+'Necesidades Trimestrales'!#REF!</f>
        <v>#REF!</v>
      </c>
      <c r="J29" s="80" t="e">
        <f>+'Necesidades Trimestrales'!#REF!</f>
        <v>#REF!</v>
      </c>
      <c r="K29" s="81" t="e">
        <f>+'Necesidades Trimestrales'!#REF!</f>
        <v>#REF!</v>
      </c>
    </row>
    <row r="30" spans="1:11" ht="32.25" customHeight="1" thickBot="1" x14ac:dyDescent="0.25">
      <c r="A30" s="77">
        <v>19</v>
      </c>
      <c r="B30" s="78" t="e">
        <f>+'Necesidades Trimestrales'!#REF!</f>
        <v>#REF!</v>
      </c>
      <c r="C30" s="172" t="e">
        <f>+'Necesidades Trimestrales'!#REF!</f>
        <v>#REF!</v>
      </c>
      <c r="D30" s="173"/>
      <c r="E30" s="173"/>
      <c r="F30" s="173"/>
      <c r="G30" s="173"/>
      <c r="H30" s="77" t="s">
        <v>46</v>
      </c>
      <c r="I30" s="79" t="e">
        <f>+'Necesidades Trimestrales'!#REF!</f>
        <v>#REF!</v>
      </c>
      <c r="J30" s="80" t="e">
        <f>+'Necesidades Trimestrales'!#REF!</f>
        <v>#REF!</v>
      </c>
      <c r="K30" s="81" t="e">
        <f>+'Necesidades Trimestrales'!#REF!</f>
        <v>#REF!</v>
      </c>
    </row>
    <row r="31" spans="1:11" ht="32.25" customHeight="1" thickBot="1" x14ac:dyDescent="0.25">
      <c r="A31" s="77">
        <v>20</v>
      </c>
      <c r="B31" s="78" t="e">
        <f>+'Necesidades Trimestrales'!#REF!</f>
        <v>#REF!</v>
      </c>
      <c r="C31" s="172" t="e">
        <f>+'Necesidades Trimestrales'!#REF!</f>
        <v>#REF!</v>
      </c>
      <c r="D31" s="173"/>
      <c r="E31" s="173"/>
      <c r="F31" s="173"/>
      <c r="G31" s="173"/>
      <c r="H31" s="77" t="s">
        <v>46</v>
      </c>
      <c r="I31" s="79" t="e">
        <f>+'Necesidades Trimestrales'!#REF!</f>
        <v>#REF!</v>
      </c>
      <c r="J31" s="80" t="e">
        <f>+'Necesidades Trimestrales'!#REF!</f>
        <v>#REF!</v>
      </c>
      <c r="K31" s="81" t="e">
        <f>+'Necesidades Trimestrales'!#REF!</f>
        <v>#REF!</v>
      </c>
    </row>
    <row r="32" spans="1:11" ht="32.25" customHeight="1" thickBot="1" x14ac:dyDescent="0.25">
      <c r="A32" s="77">
        <v>21</v>
      </c>
      <c r="B32" s="78" t="e">
        <f>+'Necesidades Trimestrales'!#REF!</f>
        <v>#REF!</v>
      </c>
      <c r="C32" s="172" t="e">
        <f>+'Necesidades Trimestrales'!#REF!</f>
        <v>#REF!</v>
      </c>
      <c r="D32" s="173"/>
      <c r="E32" s="173"/>
      <c r="F32" s="173"/>
      <c r="G32" s="173"/>
      <c r="H32" s="77" t="s">
        <v>46</v>
      </c>
      <c r="I32" s="79" t="e">
        <f>+'Necesidades Trimestrales'!#REF!</f>
        <v>#REF!</v>
      </c>
      <c r="J32" s="80" t="e">
        <f>+'Necesidades Trimestrales'!#REF!</f>
        <v>#REF!</v>
      </c>
      <c r="K32" s="81" t="e">
        <f>+'Necesidades Trimestrales'!#REF!</f>
        <v>#REF!</v>
      </c>
    </row>
    <row r="33" spans="1:11" ht="32.25" customHeight="1" thickBot="1" x14ac:dyDescent="0.25">
      <c r="A33" s="77">
        <v>22</v>
      </c>
      <c r="B33" s="78" t="e">
        <f>+'Necesidades Trimestrales'!#REF!</f>
        <v>#REF!</v>
      </c>
      <c r="C33" s="172" t="e">
        <f>+'Necesidades Trimestrales'!#REF!</f>
        <v>#REF!</v>
      </c>
      <c r="D33" s="173"/>
      <c r="E33" s="173"/>
      <c r="F33" s="173"/>
      <c r="G33" s="173"/>
      <c r="H33" s="77" t="s">
        <v>94</v>
      </c>
      <c r="I33" s="79" t="e">
        <f>+'Necesidades Trimestrales'!#REF!</f>
        <v>#REF!</v>
      </c>
      <c r="J33" s="80" t="e">
        <f>+'Necesidades Trimestrales'!#REF!</f>
        <v>#REF!</v>
      </c>
      <c r="K33" s="81" t="e">
        <f>+'Necesidades Trimestrales'!#REF!</f>
        <v>#REF!</v>
      </c>
    </row>
    <row r="34" spans="1:11" ht="32.25" customHeight="1" thickBot="1" x14ac:dyDescent="0.25">
      <c r="A34" s="77">
        <v>23</v>
      </c>
      <c r="B34" s="78" t="e">
        <f>+'Necesidades Trimestrales'!#REF!</f>
        <v>#REF!</v>
      </c>
      <c r="C34" s="172" t="e">
        <f>+'Necesidades Trimestrales'!#REF!</f>
        <v>#REF!</v>
      </c>
      <c r="D34" s="173"/>
      <c r="E34" s="173"/>
      <c r="F34" s="173"/>
      <c r="G34" s="173"/>
      <c r="H34" s="77" t="s">
        <v>94</v>
      </c>
      <c r="I34" s="79" t="e">
        <f>+'Necesidades Trimestrales'!#REF!</f>
        <v>#REF!</v>
      </c>
      <c r="J34" s="80" t="e">
        <f>+'Necesidades Trimestrales'!#REF!</f>
        <v>#REF!</v>
      </c>
      <c r="K34" s="81" t="e">
        <f>+'Necesidades Trimestrales'!#REF!</f>
        <v>#REF!</v>
      </c>
    </row>
    <row r="35" spans="1:11" ht="32.25" customHeight="1" thickBot="1" x14ac:dyDescent="0.25">
      <c r="A35" s="77">
        <v>24</v>
      </c>
      <c r="B35" s="78" t="e">
        <f>+'Necesidades Trimestrales'!#REF!</f>
        <v>#REF!</v>
      </c>
      <c r="C35" s="172" t="e">
        <f>+'Necesidades Trimestrales'!#REF!</f>
        <v>#REF!</v>
      </c>
      <c r="D35" s="173"/>
      <c r="E35" s="173"/>
      <c r="F35" s="173"/>
      <c r="G35" s="173"/>
      <c r="H35" s="77" t="s">
        <v>94</v>
      </c>
      <c r="I35" s="79" t="e">
        <f>+'Necesidades Trimestrales'!#REF!</f>
        <v>#REF!</v>
      </c>
      <c r="J35" s="80" t="e">
        <f>+'Necesidades Trimestrales'!#REF!</f>
        <v>#REF!</v>
      </c>
      <c r="K35" s="81" t="e">
        <f>+'Necesidades Trimestrales'!#REF!</f>
        <v>#REF!</v>
      </c>
    </row>
    <row r="36" spans="1:11" ht="32.25" customHeight="1" thickBot="1" x14ac:dyDescent="0.25">
      <c r="A36" s="77">
        <v>25</v>
      </c>
      <c r="B36" s="78" t="e">
        <f>+'Necesidades Trimestrales'!#REF!</f>
        <v>#REF!</v>
      </c>
      <c r="C36" s="172" t="e">
        <f>+'Necesidades Trimestrales'!#REF!</f>
        <v>#REF!</v>
      </c>
      <c r="D36" s="173"/>
      <c r="E36" s="173"/>
      <c r="F36" s="173"/>
      <c r="G36" s="173"/>
      <c r="H36" s="77" t="s">
        <v>46</v>
      </c>
      <c r="I36" s="79" t="e">
        <f>+'Necesidades Trimestrales'!#REF!</f>
        <v>#REF!</v>
      </c>
      <c r="J36" s="80" t="e">
        <f>+'Necesidades Trimestrales'!#REF!</f>
        <v>#REF!</v>
      </c>
      <c r="K36" s="81" t="e">
        <f>+'Necesidades Trimestrales'!#REF!</f>
        <v>#REF!</v>
      </c>
    </row>
    <row r="37" spans="1:11" ht="32.25" customHeight="1" thickBot="1" x14ac:dyDescent="0.25">
      <c r="A37" s="77">
        <v>26</v>
      </c>
      <c r="B37" s="78" t="e">
        <f>+'Necesidades Trimestrales'!#REF!</f>
        <v>#REF!</v>
      </c>
      <c r="C37" s="172" t="e">
        <f>+'Necesidades Trimestrales'!#REF!</f>
        <v>#REF!</v>
      </c>
      <c r="D37" s="173"/>
      <c r="E37" s="173"/>
      <c r="F37" s="173"/>
      <c r="G37" s="173"/>
      <c r="H37" s="77" t="s">
        <v>94</v>
      </c>
      <c r="I37" s="79" t="e">
        <f>+'Necesidades Trimestrales'!#REF!</f>
        <v>#REF!</v>
      </c>
      <c r="J37" s="80" t="e">
        <f>+'Necesidades Trimestrales'!#REF!</f>
        <v>#REF!</v>
      </c>
      <c r="K37" s="81" t="e">
        <f>+'Necesidades Trimestrales'!#REF!</f>
        <v>#REF!</v>
      </c>
    </row>
    <row r="38" spans="1:11" ht="32.25" customHeight="1" thickBot="1" x14ac:dyDescent="0.25">
      <c r="A38" s="77">
        <v>27</v>
      </c>
      <c r="B38" s="78" t="e">
        <f>+'Necesidades Trimestrales'!#REF!</f>
        <v>#REF!</v>
      </c>
      <c r="C38" s="172" t="e">
        <f>+'Necesidades Trimestrales'!#REF!</f>
        <v>#REF!</v>
      </c>
      <c r="D38" s="173"/>
      <c r="E38" s="173"/>
      <c r="F38" s="173"/>
      <c r="G38" s="173"/>
      <c r="H38" s="77" t="s">
        <v>46</v>
      </c>
      <c r="I38" s="79" t="e">
        <f>+'Necesidades Trimestrales'!#REF!</f>
        <v>#REF!</v>
      </c>
      <c r="J38" s="80" t="e">
        <f>+'Necesidades Trimestrales'!#REF!</f>
        <v>#REF!</v>
      </c>
      <c r="K38" s="81" t="e">
        <f>+'Necesidades Trimestrales'!#REF!</f>
        <v>#REF!</v>
      </c>
    </row>
    <row r="39" spans="1:11" ht="32.25" customHeight="1" thickBot="1" x14ac:dyDescent="0.25">
      <c r="A39" s="77">
        <v>28</v>
      </c>
      <c r="B39" s="78" t="e">
        <f>+'Necesidades Trimestrales'!#REF!</f>
        <v>#REF!</v>
      </c>
      <c r="C39" s="172" t="e">
        <f>+'Necesidades Trimestrales'!#REF!</f>
        <v>#REF!</v>
      </c>
      <c r="D39" s="173"/>
      <c r="E39" s="173"/>
      <c r="F39" s="173"/>
      <c r="G39" s="173"/>
      <c r="H39" s="77" t="s">
        <v>46</v>
      </c>
      <c r="I39" s="79" t="e">
        <f>+'Necesidades Trimestrales'!#REF!</f>
        <v>#REF!</v>
      </c>
      <c r="J39" s="80" t="e">
        <f>+'Necesidades Trimestrales'!#REF!</f>
        <v>#REF!</v>
      </c>
      <c r="K39" s="81" t="e">
        <f>+'Necesidades Trimestrales'!#REF!</f>
        <v>#REF!</v>
      </c>
    </row>
    <row r="40" spans="1:11" ht="32.25" customHeight="1" thickBot="1" x14ac:dyDescent="0.25">
      <c r="A40" s="77">
        <v>29</v>
      </c>
      <c r="B40" s="78" t="e">
        <f>+'Necesidades Trimestrales'!#REF!</f>
        <v>#REF!</v>
      </c>
      <c r="C40" s="172" t="e">
        <f>+'Necesidades Trimestrales'!#REF!</f>
        <v>#REF!</v>
      </c>
      <c r="D40" s="173"/>
      <c r="E40" s="173"/>
      <c r="F40" s="173"/>
      <c r="G40" s="173"/>
      <c r="H40" s="77" t="s">
        <v>46</v>
      </c>
      <c r="I40" s="79" t="e">
        <f>+'Necesidades Trimestrales'!#REF!</f>
        <v>#REF!</v>
      </c>
      <c r="J40" s="80" t="e">
        <f>+'Necesidades Trimestrales'!#REF!</f>
        <v>#REF!</v>
      </c>
      <c r="K40" s="81" t="e">
        <f>+'Necesidades Trimestrales'!#REF!</f>
        <v>#REF!</v>
      </c>
    </row>
    <row r="41" spans="1:11" ht="32.25" customHeight="1" thickBot="1" x14ac:dyDescent="0.25">
      <c r="A41" s="77">
        <v>30</v>
      </c>
      <c r="B41" s="78" t="e">
        <f>+'Necesidades Trimestrales'!#REF!</f>
        <v>#REF!</v>
      </c>
      <c r="C41" s="172" t="e">
        <f>+'Necesidades Trimestrales'!#REF!</f>
        <v>#REF!</v>
      </c>
      <c r="D41" s="173"/>
      <c r="E41" s="173"/>
      <c r="F41" s="173"/>
      <c r="G41" s="173"/>
      <c r="H41" s="77" t="s">
        <v>46</v>
      </c>
      <c r="I41" s="79" t="e">
        <f>+'Necesidades Trimestrales'!#REF!</f>
        <v>#REF!</v>
      </c>
      <c r="J41" s="80" t="e">
        <f>+'Necesidades Trimestrales'!#REF!</f>
        <v>#REF!</v>
      </c>
      <c r="K41" s="81" t="e">
        <f>+'Necesidades Trimestrales'!#REF!</f>
        <v>#REF!</v>
      </c>
    </row>
    <row r="42" spans="1:11" ht="32.25" customHeight="1" thickBot="1" x14ac:dyDescent="0.25">
      <c r="A42" s="77">
        <v>31</v>
      </c>
      <c r="B42" s="78" t="e">
        <f>+'Necesidades Trimestrales'!#REF!</f>
        <v>#REF!</v>
      </c>
      <c r="C42" s="172" t="e">
        <f>+'Necesidades Trimestrales'!#REF!</f>
        <v>#REF!</v>
      </c>
      <c r="D42" s="173"/>
      <c r="E42" s="173"/>
      <c r="F42" s="173"/>
      <c r="G42" s="173"/>
      <c r="H42" s="77" t="s">
        <v>46</v>
      </c>
      <c r="I42" s="79" t="e">
        <f>+'Necesidades Trimestrales'!#REF!</f>
        <v>#REF!</v>
      </c>
      <c r="J42" s="80" t="e">
        <f>+'Necesidades Trimestrales'!#REF!</f>
        <v>#REF!</v>
      </c>
      <c r="K42" s="81" t="e">
        <f>+'Necesidades Trimestrales'!#REF!</f>
        <v>#REF!</v>
      </c>
    </row>
    <row r="43" spans="1:11" ht="32.25" customHeight="1" thickBot="1" x14ac:dyDescent="0.25">
      <c r="A43" s="77">
        <v>32</v>
      </c>
      <c r="B43" s="78" t="e">
        <f>+'Necesidades Trimestrales'!#REF!</f>
        <v>#REF!</v>
      </c>
      <c r="C43" s="172" t="e">
        <f>+'Necesidades Trimestrales'!#REF!</f>
        <v>#REF!</v>
      </c>
      <c r="D43" s="173"/>
      <c r="E43" s="173"/>
      <c r="F43" s="173"/>
      <c r="G43" s="173"/>
      <c r="H43" s="77" t="s">
        <v>46</v>
      </c>
      <c r="I43" s="79" t="e">
        <f>+'Necesidades Trimestrales'!#REF!</f>
        <v>#REF!</v>
      </c>
      <c r="J43" s="80" t="e">
        <f>+'Necesidades Trimestrales'!#REF!</f>
        <v>#REF!</v>
      </c>
      <c r="K43" s="81" t="e">
        <f>+'Necesidades Trimestrales'!#REF!</f>
        <v>#REF!</v>
      </c>
    </row>
    <row r="44" spans="1:11" ht="32.25" customHeight="1" thickBot="1" x14ac:dyDescent="0.25">
      <c r="A44" s="77">
        <v>33</v>
      </c>
      <c r="B44" s="78" t="e">
        <f>+'Necesidades Trimestrales'!#REF!</f>
        <v>#REF!</v>
      </c>
      <c r="C44" s="172" t="e">
        <f>+'Necesidades Trimestrales'!#REF!</f>
        <v>#REF!</v>
      </c>
      <c r="D44" s="173"/>
      <c r="E44" s="173"/>
      <c r="F44" s="173"/>
      <c r="G44" s="173"/>
      <c r="H44" s="77" t="s">
        <v>46</v>
      </c>
      <c r="I44" s="79" t="e">
        <f>+'Necesidades Trimestrales'!#REF!</f>
        <v>#REF!</v>
      </c>
      <c r="J44" s="80" t="e">
        <f>+'Necesidades Trimestrales'!#REF!</f>
        <v>#REF!</v>
      </c>
      <c r="K44" s="81" t="e">
        <f>+'Necesidades Trimestrales'!#REF!</f>
        <v>#REF!</v>
      </c>
    </row>
    <row r="45" spans="1:11" ht="32.25" customHeight="1" thickBot="1" x14ac:dyDescent="0.25">
      <c r="A45" s="77">
        <v>34</v>
      </c>
      <c r="B45" s="78" t="e">
        <f>+'Necesidades Trimestrales'!#REF!</f>
        <v>#REF!</v>
      </c>
      <c r="C45" s="172" t="e">
        <f>+'Necesidades Trimestrales'!#REF!</f>
        <v>#REF!</v>
      </c>
      <c r="D45" s="173"/>
      <c r="E45" s="173"/>
      <c r="F45" s="173"/>
      <c r="G45" s="173"/>
      <c r="H45" s="77" t="s">
        <v>46</v>
      </c>
      <c r="I45" s="79" t="e">
        <f>+'Necesidades Trimestrales'!#REF!</f>
        <v>#REF!</v>
      </c>
      <c r="J45" s="80" t="e">
        <f>+'Necesidades Trimestrales'!#REF!</f>
        <v>#REF!</v>
      </c>
      <c r="K45" s="81" t="e">
        <f>+'Necesidades Trimestrales'!#REF!</f>
        <v>#REF!</v>
      </c>
    </row>
    <row r="46" spans="1:11" ht="32.25" customHeight="1" thickBot="1" x14ac:dyDescent="0.25">
      <c r="A46" s="77">
        <v>35</v>
      </c>
      <c r="B46" s="78" t="e">
        <f>+'Necesidades Trimestrales'!#REF!</f>
        <v>#REF!</v>
      </c>
      <c r="C46" s="172" t="e">
        <f>+'Necesidades Trimestrales'!#REF!</f>
        <v>#REF!</v>
      </c>
      <c r="D46" s="173"/>
      <c r="E46" s="173"/>
      <c r="F46" s="173"/>
      <c r="G46" s="173"/>
      <c r="H46" s="77" t="s">
        <v>46</v>
      </c>
      <c r="I46" s="79" t="e">
        <f>+'Necesidades Trimestrales'!#REF!</f>
        <v>#REF!</v>
      </c>
      <c r="J46" s="80" t="e">
        <f>+'Necesidades Trimestrales'!#REF!</f>
        <v>#REF!</v>
      </c>
      <c r="K46" s="81" t="e">
        <f>+'Necesidades Trimestrales'!#REF!</f>
        <v>#REF!</v>
      </c>
    </row>
    <row r="47" spans="1:11" ht="32.25" customHeight="1" thickBot="1" x14ac:dyDescent="0.25">
      <c r="A47" s="77">
        <v>36</v>
      </c>
      <c r="B47" s="78" t="e">
        <f>+'Necesidades Trimestrales'!#REF!</f>
        <v>#REF!</v>
      </c>
      <c r="C47" s="172" t="e">
        <f>+'Necesidades Trimestrales'!#REF!</f>
        <v>#REF!</v>
      </c>
      <c r="D47" s="173"/>
      <c r="E47" s="173"/>
      <c r="F47" s="173"/>
      <c r="G47" s="173"/>
      <c r="H47" s="77" t="s">
        <v>46</v>
      </c>
      <c r="I47" s="79" t="e">
        <f>+'Necesidades Trimestrales'!#REF!</f>
        <v>#REF!</v>
      </c>
      <c r="J47" s="80" t="e">
        <f>+'Necesidades Trimestrales'!#REF!</f>
        <v>#REF!</v>
      </c>
      <c r="K47" s="81" t="e">
        <f>+'Necesidades Trimestrales'!#REF!</f>
        <v>#REF!</v>
      </c>
    </row>
    <row r="48" spans="1:11" ht="32.25" customHeight="1" thickBot="1" x14ac:dyDescent="0.25">
      <c r="A48" s="77">
        <v>37</v>
      </c>
      <c r="B48" s="78" t="e">
        <f>+'Necesidades Trimestrales'!#REF!</f>
        <v>#REF!</v>
      </c>
      <c r="C48" s="172" t="e">
        <f>+'Necesidades Trimestrales'!#REF!</f>
        <v>#REF!</v>
      </c>
      <c r="D48" s="173"/>
      <c r="E48" s="173"/>
      <c r="F48" s="173"/>
      <c r="G48" s="173"/>
      <c r="H48" s="77" t="s">
        <v>46</v>
      </c>
      <c r="I48" s="79" t="e">
        <f>+'Necesidades Trimestrales'!#REF!</f>
        <v>#REF!</v>
      </c>
      <c r="J48" s="80" t="e">
        <f>+'Necesidades Trimestrales'!#REF!</f>
        <v>#REF!</v>
      </c>
      <c r="K48" s="81" t="e">
        <f>+'Necesidades Trimestrales'!#REF!</f>
        <v>#REF!</v>
      </c>
    </row>
    <row r="49" spans="1:11" ht="32.25" customHeight="1" thickBot="1" x14ac:dyDescent="0.25">
      <c r="A49" s="77">
        <v>38</v>
      </c>
      <c r="B49" s="78" t="e">
        <f>+'Necesidades Trimestrales'!#REF!</f>
        <v>#REF!</v>
      </c>
      <c r="C49" s="172" t="e">
        <f>+'Necesidades Trimestrales'!#REF!</f>
        <v>#REF!</v>
      </c>
      <c r="D49" s="173"/>
      <c r="E49" s="173"/>
      <c r="F49" s="173"/>
      <c r="G49" s="173"/>
      <c r="H49" s="77" t="s">
        <v>46</v>
      </c>
      <c r="I49" s="79" t="e">
        <f>+'Necesidades Trimestrales'!#REF!</f>
        <v>#REF!</v>
      </c>
      <c r="J49" s="80" t="e">
        <f>+'Necesidades Trimestrales'!#REF!</f>
        <v>#REF!</v>
      </c>
      <c r="K49" s="81" t="e">
        <f>+'Necesidades Trimestrales'!#REF!</f>
        <v>#REF!</v>
      </c>
    </row>
    <row r="50" spans="1:11" ht="32.25" customHeight="1" thickBot="1" x14ac:dyDescent="0.25">
      <c r="A50" s="77">
        <v>39</v>
      </c>
      <c r="B50" s="78" t="e">
        <f>+'Necesidades Trimestrales'!#REF!</f>
        <v>#REF!</v>
      </c>
      <c r="C50" s="172" t="e">
        <f>+'Necesidades Trimestrales'!#REF!</f>
        <v>#REF!</v>
      </c>
      <c r="D50" s="173"/>
      <c r="E50" s="173"/>
      <c r="F50" s="173"/>
      <c r="G50" s="173"/>
      <c r="H50" s="77" t="s">
        <v>46</v>
      </c>
      <c r="I50" s="79" t="e">
        <f>+'Necesidades Trimestrales'!#REF!</f>
        <v>#REF!</v>
      </c>
      <c r="J50" s="80" t="e">
        <f>+'Necesidades Trimestrales'!#REF!</f>
        <v>#REF!</v>
      </c>
      <c r="K50" s="81" t="e">
        <f>+'Necesidades Trimestrales'!#REF!</f>
        <v>#REF!</v>
      </c>
    </row>
    <row r="51" spans="1:11" ht="32.25" customHeight="1" thickBot="1" x14ac:dyDescent="0.25">
      <c r="A51" s="77">
        <v>40</v>
      </c>
      <c r="B51" s="78" t="e">
        <f>+'Necesidades Trimestrales'!#REF!</f>
        <v>#REF!</v>
      </c>
      <c r="C51" s="172" t="e">
        <f>+'Necesidades Trimestrales'!#REF!</f>
        <v>#REF!</v>
      </c>
      <c r="D51" s="173"/>
      <c r="E51" s="173"/>
      <c r="F51" s="173"/>
      <c r="G51" s="173"/>
      <c r="H51" s="77" t="s">
        <v>46</v>
      </c>
      <c r="I51" s="79" t="e">
        <f>+'Necesidades Trimestrales'!#REF!</f>
        <v>#REF!</v>
      </c>
      <c r="J51" s="80" t="e">
        <f>+'Necesidades Trimestrales'!#REF!</f>
        <v>#REF!</v>
      </c>
      <c r="K51" s="81" t="e">
        <f>+'Necesidades Trimestrales'!#REF!</f>
        <v>#REF!</v>
      </c>
    </row>
    <row r="52" spans="1:11" ht="32.25" customHeight="1" thickBot="1" x14ac:dyDescent="0.25">
      <c r="A52" s="77">
        <v>41</v>
      </c>
      <c r="B52" s="78" t="e">
        <f>+'Necesidades Trimestrales'!#REF!</f>
        <v>#REF!</v>
      </c>
      <c r="C52" s="172" t="e">
        <f>+'Necesidades Trimestrales'!#REF!</f>
        <v>#REF!</v>
      </c>
      <c r="D52" s="173"/>
      <c r="E52" s="173"/>
      <c r="F52" s="173"/>
      <c r="G52" s="173"/>
      <c r="H52" s="77" t="s">
        <v>46</v>
      </c>
      <c r="I52" s="79" t="e">
        <f>+'Necesidades Trimestrales'!#REF!</f>
        <v>#REF!</v>
      </c>
      <c r="J52" s="80" t="e">
        <f>+'Necesidades Trimestrales'!#REF!</f>
        <v>#REF!</v>
      </c>
      <c r="K52" s="81" t="e">
        <f>+'Necesidades Trimestrales'!#REF!</f>
        <v>#REF!</v>
      </c>
    </row>
    <row r="53" spans="1:11" ht="32.25" customHeight="1" thickBot="1" x14ac:dyDescent="0.25">
      <c r="A53" s="77">
        <v>42</v>
      </c>
      <c r="B53" s="78" t="e">
        <f>+'Necesidades Trimestrales'!#REF!</f>
        <v>#REF!</v>
      </c>
      <c r="C53" s="172" t="e">
        <f>+'Necesidades Trimestrales'!#REF!</f>
        <v>#REF!</v>
      </c>
      <c r="D53" s="173"/>
      <c r="E53" s="173"/>
      <c r="F53" s="173"/>
      <c r="G53" s="173"/>
      <c r="H53" s="77" t="s">
        <v>46</v>
      </c>
      <c r="I53" s="79" t="e">
        <f>+'Necesidades Trimestrales'!#REF!</f>
        <v>#REF!</v>
      </c>
      <c r="J53" s="80" t="e">
        <f>+'Necesidades Trimestrales'!#REF!</f>
        <v>#REF!</v>
      </c>
      <c r="K53" s="81" t="e">
        <f>+'Necesidades Trimestrales'!#REF!</f>
        <v>#REF!</v>
      </c>
    </row>
    <row r="54" spans="1:11" ht="32.25" customHeight="1" thickBot="1" x14ac:dyDescent="0.25">
      <c r="A54" s="77">
        <v>43</v>
      </c>
      <c r="B54" s="78" t="e">
        <f>+'Necesidades Trimestrales'!#REF!</f>
        <v>#REF!</v>
      </c>
      <c r="C54" s="172" t="e">
        <f>+'Necesidades Trimestrales'!#REF!</f>
        <v>#REF!</v>
      </c>
      <c r="D54" s="173"/>
      <c r="E54" s="173"/>
      <c r="F54" s="173"/>
      <c r="G54" s="173"/>
      <c r="H54" s="77" t="s">
        <v>94</v>
      </c>
      <c r="I54" s="79" t="e">
        <f>+'Necesidades Trimestrales'!#REF!</f>
        <v>#REF!</v>
      </c>
      <c r="J54" s="80" t="e">
        <f>+'Necesidades Trimestrales'!#REF!</f>
        <v>#REF!</v>
      </c>
      <c r="K54" s="81" t="e">
        <f>+'Necesidades Trimestrales'!#REF!</f>
        <v>#REF!</v>
      </c>
    </row>
    <row r="55" spans="1:11" ht="32.25" customHeight="1" thickBot="1" x14ac:dyDescent="0.25">
      <c r="A55" s="77">
        <v>44</v>
      </c>
      <c r="B55" s="78" t="e">
        <f>+'Necesidades Trimestrales'!#REF!</f>
        <v>#REF!</v>
      </c>
      <c r="C55" s="172" t="e">
        <f>+'Necesidades Trimestrales'!#REF!</f>
        <v>#REF!</v>
      </c>
      <c r="D55" s="173"/>
      <c r="E55" s="173"/>
      <c r="F55" s="173"/>
      <c r="G55" s="173"/>
      <c r="H55" s="77" t="s">
        <v>46</v>
      </c>
      <c r="I55" s="79" t="e">
        <f>+'Necesidades Trimestrales'!#REF!</f>
        <v>#REF!</v>
      </c>
      <c r="J55" s="80" t="e">
        <f>+'Necesidades Trimestrales'!#REF!</f>
        <v>#REF!</v>
      </c>
      <c r="K55" s="81" t="e">
        <f>+'Necesidades Trimestrales'!#REF!</f>
        <v>#REF!</v>
      </c>
    </row>
    <row r="56" spans="1:11" ht="32.25" customHeight="1" thickBot="1" x14ac:dyDescent="0.25">
      <c r="A56" s="77">
        <v>45</v>
      </c>
      <c r="B56" s="78" t="e">
        <f>+'Necesidades Trimestrales'!#REF!</f>
        <v>#REF!</v>
      </c>
      <c r="C56" s="172" t="e">
        <f>+'Necesidades Trimestrales'!#REF!</f>
        <v>#REF!</v>
      </c>
      <c r="D56" s="173"/>
      <c r="E56" s="173"/>
      <c r="F56" s="173"/>
      <c r="G56" s="173"/>
      <c r="H56" s="77" t="s">
        <v>46</v>
      </c>
      <c r="I56" s="79" t="e">
        <f>+'Necesidades Trimestrales'!#REF!</f>
        <v>#REF!</v>
      </c>
      <c r="J56" s="80" t="e">
        <f>+'Necesidades Trimestrales'!#REF!</f>
        <v>#REF!</v>
      </c>
      <c r="K56" s="81" t="e">
        <f>+'Necesidades Trimestrales'!#REF!</f>
        <v>#REF!</v>
      </c>
    </row>
    <row r="57" spans="1:11" ht="32.25" customHeight="1" thickBot="1" x14ac:dyDescent="0.25">
      <c r="A57" s="77">
        <v>46</v>
      </c>
      <c r="B57" s="78" t="e">
        <f>+'Necesidades Trimestrales'!#REF!</f>
        <v>#REF!</v>
      </c>
      <c r="C57" s="172" t="e">
        <f>+'Necesidades Trimestrales'!#REF!</f>
        <v>#REF!</v>
      </c>
      <c r="D57" s="173"/>
      <c r="E57" s="173"/>
      <c r="F57" s="173"/>
      <c r="G57" s="173"/>
      <c r="H57" s="77" t="s">
        <v>46</v>
      </c>
      <c r="I57" s="79" t="e">
        <f>+'Necesidades Trimestrales'!#REF!</f>
        <v>#REF!</v>
      </c>
      <c r="J57" s="80" t="e">
        <f>+'Necesidades Trimestrales'!#REF!</f>
        <v>#REF!</v>
      </c>
      <c r="K57" s="81" t="e">
        <f>+'Necesidades Trimestrales'!#REF!</f>
        <v>#REF!</v>
      </c>
    </row>
    <row r="58" spans="1:11" ht="32.25" customHeight="1" thickBot="1" x14ac:dyDescent="0.25">
      <c r="A58" s="77">
        <v>47</v>
      </c>
      <c r="B58" s="78" t="e">
        <f>+'Necesidades Trimestrales'!#REF!</f>
        <v>#REF!</v>
      </c>
      <c r="C58" s="172" t="e">
        <f>+'Necesidades Trimestrales'!#REF!</f>
        <v>#REF!</v>
      </c>
      <c r="D58" s="173"/>
      <c r="E58" s="173"/>
      <c r="F58" s="173"/>
      <c r="G58" s="173"/>
      <c r="H58" s="77" t="s">
        <v>46</v>
      </c>
      <c r="I58" s="79" t="e">
        <f>+'Necesidades Trimestrales'!#REF!</f>
        <v>#REF!</v>
      </c>
      <c r="J58" s="80" t="e">
        <f>+'Necesidades Trimestrales'!#REF!</f>
        <v>#REF!</v>
      </c>
      <c r="K58" s="81" t="e">
        <f>+'Necesidades Trimestrales'!#REF!</f>
        <v>#REF!</v>
      </c>
    </row>
    <row r="59" spans="1:11" ht="32.25" customHeight="1" thickBot="1" x14ac:dyDescent="0.25">
      <c r="A59" s="77">
        <v>48</v>
      </c>
      <c r="B59" s="78" t="e">
        <f>+'Necesidades Trimestrales'!#REF!</f>
        <v>#REF!</v>
      </c>
      <c r="C59" s="172" t="e">
        <f>+'Necesidades Trimestrales'!#REF!</f>
        <v>#REF!</v>
      </c>
      <c r="D59" s="173"/>
      <c r="E59" s="173"/>
      <c r="F59" s="173"/>
      <c r="G59" s="173"/>
      <c r="H59" s="77" t="s">
        <v>46</v>
      </c>
      <c r="I59" s="79" t="e">
        <f>+'Necesidades Trimestrales'!#REF!</f>
        <v>#REF!</v>
      </c>
      <c r="J59" s="80" t="e">
        <f>+'Necesidades Trimestrales'!#REF!</f>
        <v>#REF!</v>
      </c>
      <c r="K59" s="81" t="e">
        <f>+'Necesidades Trimestrales'!#REF!</f>
        <v>#REF!</v>
      </c>
    </row>
    <row r="60" spans="1:11" ht="32.25" customHeight="1" thickBot="1" x14ac:dyDescent="0.25">
      <c r="A60" s="77">
        <v>49</v>
      </c>
      <c r="B60" s="78" t="e">
        <f>+'Necesidades Trimestrales'!#REF!</f>
        <v>#REF!</v>
      </c>
      <c r="C60" s="172" t="e">
        <f>+'Necesidades Trimestrales'!#REF!</f>
        <v>#REF!</v>
      </c>
      <c r="D60" s="173"/>
      <c r="E60" s="173"/>
      <c r="F60" s="173"/>
      <c r="G60" s="173"/>
      <c r="H60" s="77" t="s">
        <v>94</v>
      </c>
      <c r="I60" s="79" t="e">
        <f>+'Necesidades Trimestrales'!#REF!</f>
        <v>#REF!</v>
      </c>
      <c r="J60" s="80" t="e">
        <f>+'Necesidades Trimestrales'!#REF!</f>
        <v>#REF!</v>
      </c>
      <c r="K60" s="81" t="e">
        <f>+'Necesidades Trimestrales'!#REF!</f>
        <v>#REF!</v>
      </c>
    </row>
    <row r="61" spans="1:11" ht="32.25" customHeight="1" thickBot="1" x14ac:dyDescent="0.25">
      <c r="A61" s="77">
        <v>50</v>
      </c>
      <c r="B61" s="78" t="e">
        <f>+'Necesidades Trimestrales'!#REF!</f>
        <v>#REF!</v>
      </c>
      <c r="C61" s="172" t="e">
        <f>+'Necesidades Trimestrales'!#REF!</f>
        <v>#REF!</v>
      </c>
      <c r="D61" s="173"/>
      <c r="E61" s="173"/>
      <c r="F61" s="173"/>
      <c r="G61" s="173"/>
      <c r="H61" s="77" t="s">
        <v>94</v>
      </c>
      <c r="I61" s="79" t="e">
        <f>+'Necesidades Trimestrales'!#REF!</f>
        <v>#REF!</v>
      </c>
      <c r="J61" s="80" t="e">
        <f>+'Necesidades Trimestrales'!#REF!</f>
        <v>#REF!</v>
      </c>
      <c r="K61" s="81" t="e">
        <f>+'Necesidades Trimestrales'!#REF!</f>
        <v>#REF!</v>
      </c>
    </row>
    <row r="62" spans="1:11" ht="32.25" customHeight="1" thickBot="1" x14ac:dyDescent="0.25">
      <c r="A62" s="77">
        <v>51</v>
      </c>
      <c r="B62" s="78" t="e">
        <f>+'Necesidades Trimestrales'!#REF!</f>
        <v>#REF!</v>
      </c>
      <c r="C62" s="172" t="e">
        <f>+'Necesidades Trimestrales'!#REF!</f>
        <v>#REF!</v>
      </c>
      <c r="D62" s="173"/>
      <c r="E62" s="173"/>
      <c r="F62" s="173"/>
      <c r="G62" s="173"/>
      <c r="H62" s="77" t="s">
        <v>46</v>
      </c>
      <c r="I62" s="79" t="e">
        <f>+'Necesidades Trimestrales'!#REF!</f>
        <v>#REF!</v>
      </c>
      <c r="J62" s="80" t="e">
        <f>+'Necesidades Trimestrales'!#REF!</f>
        <v>#REF!</v>
      </c>
      <c r="K62" s="81" t="e">
        <f>+'Necesidades Trimestrales'!#REF!</f>
        <v>#REF!</v>
      </c>
    </row>
    <row r="63" spans="1:11" ht="32.25" customHeight="1" thickBot="1" x14ac:dyDescent="0.25">
      <c r="A63" s="77">
        <v>52</v>
      </c>
      <c r="B63" s="78" t="e">
        <f>+'Necesidades Trimestrales'!#REF!</f>
        <v>#REF!</v>
      </c>
      <c r="C63" s="172" t="e">
        <f>+'Necesidades Trimestrales'!#REF!</f>
        <v>#REF!</v>
      </c>
      <c r="D63" s="173"/>
      <c r="E63" s="173"/>
      <c r="F63" s="173"/>
      <c r="G63" s="173"/>
      <c r="H63" s="77" t="s">
        <v>46</v>
      </c>
      <c r="I63" s="79" t="e">
        <f>+'Necesidades Trimestrales'!#REF!</f>
        <v>#REF!</v>
      </c>
      <c r="J63" s="80" t="e">
        <f>+'Necesidades Trimestrales'!#REF!</f>
        <v>#REF!</v>
      </c>
      <c r="K63" s="81" t="e">
        <f>+'Necesidades Trimestrales'!#REF!</f>
        <v>#REF!</v>
      </c>
    </row>
    <row r="64" spans="1:11" ht="32.25" customHeight="1" thickBot="1" x14ac:dyDescent="0.25">
      <c r="A64" s="77">
        <v>53</v>
      </c>
      <c r="B64" s="78" t="str">
        <f>+'Necesidades Trimestrales'!B18</f>
        <v>2.5.2-1821.458</v>
      </c>
      <c r="C64" s="172" t="str">
        <f>+'Necesidades Trimestrales'!E18</f>
        <v>ANTIBIOTICOS P/PERSONAS; TIPO: MONODROGA, DROGA GENERICA: DOXICICLINA 100 mGr, FORMA FARMACEUTICA: COMPRIMIDO, PRESENTACION: UNIDAD</v>
      </c>
      <c r="D64" s="173"/>
      <c r="E64" s="173"/>
      <c r="F64" s="173"/>
      <c r="G64" s="173"/>
      <c r="H64" s="77" t="s">
        <v>46</v>
      </c>
      <c r="I64" s="79" t="str">
        <f>+'Necesidades Trimestrales'!F18</f>
        <v>COMPRIMIDO</v>
      </c>
      <c r="J64" s="80">
        <f>+'Necesidades Trimestrales'!H18</f>
        <v>19.079999999999998</v>
      </c>
      <c r="K64" s="81">
        <f>+'Necesidades Trimestrales'!G18</f>
        <v>0</v>
      </c>
    </row>
    <row r="65" spans="1:11" ht="32.25" customHeight="1" thickBot="1" x14ac:dyDescent="0.25">
      <c r="A65" s="77">
        <v>54</v>
      </c>
      <c r="B65" s="78" t="e">
        <f>+'Necesidades Trimestrales'!#REF!</f>
        <v>#REF!</v>
      </c>
      <c r="C65" s="172" t="e">
        <f>+'Necesidades Trimestrales'!#REF!</f>
        <v>#REF!</v>
      </c>
      <c r="D65" s="173"/>
      <c r="E65" s="173"/>
      <c r="F65" s="173"/>
      <c r="G65" s="173"/>
      <c r="H65" s="77" t="s">
        <v>46</v>
      </c>
      <c r="I65" s="79" t="e">
        <f>+'Necesidades Trimestrales'!#REF!</f>
        <v>#REF!</v>
      </c>
      <c r="J65" s="80" t="e">
        <f>+'Necesidades Trimestrales'!#REF!</f>
        <v>#REF!</v>
      </c>
      <c r="K65" s="81" t="e">
        <f>+'Necesidades Trimestrales'!#REF!</f>
        <v>#REF!</v>
      </c>
    </row>
    <row r="66" spans="1:11" ht="32.25" customHeight="1" thickBot="1" x14ac:dyDescent="0.25">
      <c r="A66" s="77">
        <v>55</v>
      </c>
      <c r="B66" s="78" t="e">
        <f>+'Necesidades Trimestrales'!#REF!</f>
        <v>#REF!</v>
      </c>
      <c r="C66" s="172" t="e">
        <f>+'Necesidades Trimestrales'!#REF!</f>
        <v>#REF!</v>
      </c>
      <c r="D66" s="173"/>
      <c r="E66" s="173"/>
      <c r="F66" s="173"/>
      <c r="G66" s="173"/>
      <c r="H66" s="77" t="s">
        <v>46</v>
      </c>
      <c r="I66" s="79" t="e">
        <f>+'Necesidades Trimestrales'!#REF!</f>
        <v>#REF!</v>
      </c>
      <c r="J66" s="80" t="e">
        <f>+'Necesidades Trimestrales'!#REF!</f>
        <v>#REF!</v>
      </c>
      <c r="K66" s="81" t="e">
        <f>+'Necesidades Trimestrales'!#REF!</f>
        <v>#REF!</v>
      </c>
    </row>
    <row r="67" spans="1:11" ht="32.25" customHeight="1" thickBot="1" x14ac:dyDescent="0.25">
      <c r="A67" s="77">
        <v>56</v>
      </c>
      <c r="B67" s="78" t="str">
        <f>+'Necesidades Trimestrales'!B19</f>
        <v>2.5.2-1821.219</v>
      </c>
      <c r="C67" s="172" t="str">
        <f>+'Necesidades Trimestrales'!E19</f>
        <v>ANTIBIOTICOS P/PERSONAS; TIPO: MONODROGA, DROGA GENERICA: RIFAMPICINA, FORMA FARMACEUTICA: FRASCO AMPOLLA, PRESENTACION: 600 mGr</v>
      </c>
      <c r="D67" s="173"/>
      <c r="E67" s="173"/>
      <c r="F67" s="173"/>
      <c r="G67" s="173"/>
      <c r="H67" s="77" t="s">
        <v>46</v>
      </c>
      <c r="I67" s="79" t="str">
        <f>+'Necesidades Trimestrales'!F19</f>
        <v>AMPOLLA</v>
      </c>
      <c r="J67" s="80">
        <f>+'Necesidades Trimestrales'!H19</f>
        <v>1600.6</v>
      </c>
      <c r="K67" s="81">
        <f>+'Necesidades Trimestrales'!G19</f>
        <v>0</v>
      </c>
    </row>
    <row r="68" spans="1:11" ht="32.25" customHeight="1" thickBot="1" x14ac:dyDescent="0.25">
      <c r="A68" s="77">
        <v>57</v>
      </c>
      <c r="B68" s="78" t="str">
        <f>+'Necesidades Trimestrales'!B20</f>
        <v>2.5.2-1865.2</v>
      </c>
      <c r="C68" s="172" t="str">
        <f>+'Necesidades Trimestrales'!E20</f>
        <v>ANTIEPILEPTICOS; TIPO: MONODROGA, FORMA FARMACEUTICA: AMPOLLA, PRESENTACION: 200 mGr, DROGA GENERICA: FENOBARBITAL</v>
      </c>
      <c r="D68" s="173"/>
      <c r="E68" s="173"/>
      <c r="F68" s="173"/>
      <c r="G68" s="173"/>
      <c r="H68" s="77" t="s">
        <v>94</v>
      </c>
      <c r="I68" s="79" t="str">
        <f>+'Necesidades Trimestrales'!F20</f>
        <v>AMPOLLA</v>
      </c>
      <c r="J68" s="80">
        <f>+'Necesidades Trimestrales'!H20</f>
        <v>413.4</v>
      </c>
      <c r="K68" s="81">
        <f>+'Necesidades Trimestrales'!G20</f>
        <v>0</v>
      </c>
    </row>
    <row r="69" spans="1:11" ht="32.25" customHeight="1" thickBot="1" x14ac:dyDescent="0.25">
      <c r="A69" s="77">
        <v>58</v>
      </c>
      <c r="B69" s="78" t="e">
        <f>+'Necesidades Trimestrales'!#REF!</f>
        <v>#REF!</v>
      </c>
      <c r="C69" s="172" t="e">
        <f>+'Necesidades Trimestrales'!#REF!</f>
        <v>#REF!</v>
      </c>
      <c r="D69" s="173"/>
      <c r="E69" s="173"/>
      <c r="F69" s="173"/>
      <c r="G69" s="173"/>
      <c r="H69" s="77" t="s">
        <v>46</v>
      </c>
      <c r="I69" s="79" t="e">
        <f>+'Necesidades Trimestrales'!#REF!</f>
        <v>#REF!</v>
      </c>
      <c r="J69" s="80" t="e">
        <f>+'Necesidades Trimestrales'!#REF!</f>
        <v>#REF!</v>
      </c>
      <c r="K69" s="81" t="e">
        <f>+'Necesidades Trimestrales'!#REF!</f>
        <v>#REF!</v>
      </c>
    </row>
    <row r="70" spans="1:11" ht="32.25" customHeight="1" thickBot="1" x14ac:dyDescent="0.25">
      <c r="A70" s="77">
        <v>59</v>
      </c>
      <c r="B70" s="78" t="str">
        <f>+'Necesidades Trimestrales'!B21</f>
        <v>2.5.2-1725.153</v>
      </c>
      <c r="C70" s="172" t="str">
        <f>+'Necesidades Trimestrales'!E21</f>
        <v>ANTIINFLAMATORIOS NO ESTEROIDE; TIPO: MONODROGA, DROGA GENERICA: DICLOFENAC POTASICO 500MG/100ML, FORMA FARMACEUTICA: JARABE, PRESENTACION: 120 ML</v>
      </c>
      <c r="D70" s="173"/>
      <c r="E70" s="173"/>
      <c r="F70" s="173"/>
      <c r="G70" s="173"/>
      <c r="H70" s="77" t="s">
        <v>46</v>
      </c>
      <c r="I70" s="79" t="str">
        <f>+'Necesidades Trimestrales'!F21</f>
        <v>FRASCO</v>
      </c>
      <c r="J70" s="80">
        <f>+'Necesidades Trimestrales'!H21</f>
        <v>167.48</v>
      </c>
      <c r="K70" s="81">
        <f>+'Necesidades Trimestrales'!G21</f>
        <v>0</v>
      </c>
    </row>
    <row r="71" spans="1:11" ht="32.25" customHeight="1" thickBot="1" x14ac:dyDescent="0.25">
      <c r="A71" s="77">
        <v>60</v>
      </c>
      <c r="B71" s="78" t="str">
        <f>+'Necesidades Trimestrales'!B22</f>
        <v>2.5.2-1725.68</v>
      </c>
      <c r="C71" s="172" t="str">
        <f>+'Necesidades Trimestrales'!E22</f>
        <v>ANTIINFLAMATORIOS NO ESTEROIDE; TIPO: MONODROGA, DROGA GENERICA: IBUPROFENO, FORMA FARMACEUTICA: COMPRIMIDO, PRESENTACION: 400 mGr</v>
      </c>
      <c r="D71" s="173"/>
      <c r="E71" s="173"/>
      <c r="F71" s="173"/>
      <c r="G71" s="173"/>
      <c r="H71" s="77" t="s">
        <v>46</v>
      </c>
      <c r="I71" s="79" t="str">
        <f>+'Necesidades Trimestrales'!F22</f>
        <v>COMPRIMIDO</v>
      </c>
      <c r="J71" s="80">
        <f>+'Necesidades Trimestrales'!H22</f>
        <v>5.08</v>
      </c>
      <c r="K71" s="81">
        <f>+'Necesidades Trimestrales'!G22</f>
        <v>0</v>
      </c>
    </row>
    <row r="72" spans="1:11" ht="32.25" customHeight="1" thickBot="1" x14ac:dyDescent="0.25">
      <c r="A72" s="77">
        <v>61</v>
      </c>
      <c r="B72" s="78" t="str">
        <f>+'Necesidades Trimestrales'!B23</f>
        <v>2.9.5-3020.18</v>
      </c>
      <c r="C72" s="172" t="str">
        <f>+'Necesidades Trimestrales'!E23</f>
        <v>BOLSAS P/COLOSTOMIA; TIPO: NEONATAL, DIAMETRO: REGULABLE</v>
      </c>
      <c r="D72" s="173"/>
      <c r="E72" s="173"/>
      <c r="F72" s="173"/>
      <c r="G72" s="173"/>
      <c r="H72" s="77" t="s">
        <v>46</v>
      </c>
      <c r="I72" s="79" t="str">
        <f>+'Necesidades Trimestrales'!F23</f>
        <v>UNIDAD</v>
      </c>
      <c r="J72" s="80">
        <f>+'Necesidades Trimestrales'!H23</f>
        <v>434.6</v>
      </c>
      <c r="K72" s="81">
        <f>+'Necesidades Trimestrales'!G23</f>
        <v>0</v>
      </c>
    </row>
    <row r="73" spans="1:11" ht="32.25" customHeight="1" thickBot="1" x14ac:dyDescent="0.25">
      <c r="A73" s="77">
        <v>62</v>
      </c>
      <c r="B73" s="78" t="str">
        <f>+'Necesidades Trimestrales'!B24</f>
        <v>2.9.5-2161.176</v>
      </c>
      <c r="C73" s="172" t="str">
        <f>+'Necesidades Trimestrales'!E24</f>
        <v>CATETERES/SONDAS; NUMERO: 20, TIPO: RECTAL</v>
      </c>
      <c r="D73" s="173"/>
      <c r="E73" s="173"/>
      <c r="F73" s="173"/>
      <c r="G73" s="173"/>
      <c r="H73" s="77" t="s">
        <v>46</v>
      </c>
      <c r="I73" s="79" t="str">
        <f>+'Necesidades Trimestrales'!F24</f>
        <v>UNIDAD</v>
      </c>
      <c r="J73" s="80">
        <f>+'Necesidades Trimestrales'!H24</f>
        <v>95</v>
      </c>
      <c r="K73" s="81">
        <f>+'Necesidades Trimestrales'!G24</f>
        <v>0</v>
      </c>
    </row>
    <row r="74" spans="1:11" ht="32.25" customHeight="1" thickBot="1" x14ac:dyDescent="0.25">
      <c r="A74" s="77">
        <v>63</v>
      </c>
      <c r="B74" s="78" t="e">
        <f>+'Necesidades Trimestrales'!#REF!</f>
        <v>#REF!</v>
      </c>
      <c r="C74" s="172" t="e">
        <f>+'Necesidades Trimestrales'!#REF!</f>
        <v>#REF!</v>
      </c>
      <c r="D74" s="173"/>
      <c r="E74" s="173"/>
      <c r="F74" s="173"/>
      <c r="G74" s="173"/>
      <c r="H74" s="77" t="s">
        <v>46</v>
      </c>
      <c r="I74" s="79" t="e">
        <f>+'Necesidades Trimestrales'!#REF!</f>
        <v>#REF!</v>
      </c>
      <c r="J74" s="80" t="e">
        <f>+'Necesidades Trimestrales'!#REF!</f>
        <v>#REF!</v>
      </c>
      <c r="K74" s="81" t="e">
        <f>+'Necesidades Trimestrales'!#REF!</f>
        <v>#REF!</v>
      </c>
    </row>
    <row r="75" spans="1:11" ht="32.25" customHeight="1" thickBot="1" x14ac:dyDescent="0.25">
      <c r="A75" s="77">
        <v>64</v>
      </c>
      <c r="B75" s="78" t="e">
        <f>+'Necesidades Trimestrales'!#REF!</f>
        <v>#REF!</v>
      </c>
      <c r="C75" s="172" t="e">
        <f>+'Necesidades Trimestrales'!#REF!</f>
        <v>#REF!</v>
      </c>
      <c r="D75" s="173"/>
      <c r="E75" s="173"/>
      <c r="F75" s="173"/>
      <c r="G75" s="173"/>
      <c r="H75" s="77" t="s">
        <v>46</v>
      </c>
      <c r="I75" s="79" t="e">
        <f>+'Necesidades Trimestrales'!#REF!</f>
        <v>#REF!</v>
      </c>
      <c r="J75" s="80" t="e">
        <f>+'Necesidades Trimestrales'!#REF!</f>
        <v>#REF!</v>
      </c>
      <c r="K75" s="81" t="e">
        <f>+'Necesidades Trimestrales'!#REF!</f>
        <v>#REF!</v>
      </c>
    </row>
    <row r="76" spans="1:11" ht="32.25" customHeight="1" thickBot="1" x14ac:dyDescent="0.25">
      <c r="A76" s="77">
        <v>65</v>
      </c>
      <c r="B76" s="78" t="e">
        <f>+'Necesidades Trimestrales'!#REF!</f>
        <v>#REF!</v>
      </c>
      <c r="C76" s="172" t="e">
        <f>+'Necesidades Trimestrales'!#REF!</f>
        <v>#REF!</v>
      </c>
      <c r="D76" s="173"/>
      <c r="E76" s="173"/>
      <c r="F76" s="173"/>
      <c r="G76" s="173"/>
      <c r="H76" s="77" t="s">
        <v>46</v>
      </c>
      <c r="I76" s="79" t="e">
        <f>+'Necesidades Trimestrales'!#REF!</f>
        <v>#REF!</v>
      </c>
      <c r="J76" s="80" t="e">
        <f>+'Necesidades Trimestrales'!#REF!</f>
        <v>#REF!</v>
      </c>
      <c r="K76" s="81" t="e">
        <f>+'Necesidades Trimestrales'!#REF!</f>
        <v>#REF!</v>
      </c>
    </row>
    <row r="77" spans="1:11" ht="32.25" customHeight="1" thickBot="1" x14ac:dyDescent="0.25">
      <c r="A77" s="77">
        <v>66</v>
      </c>
      <c r="B77" s="78" t="e">
        <f>+'Necesidades Trimestrales'!#REF!</f>
        <v>#REF!</v>
      </c>
      <c r="C77" s="172" t="e">
        <f>+'Necesidades Trimestrales'!#REF!</f>
        <v>#REF!</v>
      </c>
      <c r="D77" s="173"/>
      <c r="E77" s="173"/>
      <c r="F77" s="173"/>
      <c r="G77" s="173"/>
      <c r="H77" s="77" t="s">
        <v>94</v>
      </c>
      <c r="I77" s="79" t="e">
        <f>+'Necesidades Trimestrales'!#REF!</f>
        <v>#REF!</v>
      </c>
      <c r="J77" s="80" t="e">
        <f>+'Necesidades Trimestrales'!#REF!</f>
        <v>#REF!</v>
      </c>
      <c r="K77" s="81" t="e">
        <f>+'Necesidades Trimestrales'!#REF!</f>
        <v>#REF!</v>
      </c>
    </row>
    <row r="78" spans="1:11" ht="32.25" customHeight="1" thickBot="1" x14ac:dyDescent="0.25">
      <c r="A78" s="77">
        <v>67</v>
      </c>
      <c r="B78" s="78" t="e">
        <f>+'Necesidades Trimestrales'!#REF!</f>
        <v>#REF!</v>
      </c>
      <c r="C78" s="172" t="e">
        <f>+'Necesidades Trimestrales'!#REF!</f>
        <v>#REF!</v>
      </c>
      <c r="D78" s="173"/>
      <c r="E78" s="173"/>
      <c r="F78" s="173"/>
      <c r="G78" s="173"/>
      <c r="H78" s="77" t="s">
        <v>46</v>
      </c>
      <c r="I78" s="79" t="e">
        <f>+'Necesidades Trimestrales'!#REF!</f>
        <v>#REF!</v>
      </c>
      <c r="J78" s="80" t="e">
        <f>+'Necesidades Trimestrales'!#REF!</f>
        <v>#REF!</v>
      </c>
      <c r="K78" s="81" t="e">
        <f>+'Necesidades Trimestrales'!#REF!</f>
        <v>#REF!</v>
      </c>
    </row>
    <row r="79" spans="1:11" ht="32.25" customHeight="1" thickBot="1" x14ac:dyDescent="0.25">
      <c r="A79" s="77">
        <v>68</v>
      </c>
      <c r="B79" s="78" t="e">
        <f>+'Necesidades Trimestrales'!#REF!</f>
        <v>#REF!</v>
      </c>
      <c r="C79" s="172" t="e">
        <f>+'Necesidades Trimestrales'!#REF!</f>
        <v>#REF!</v>
      </c>
      <c r="D79" s="173"/>
      <c r="E79" s="173"/>
      <c r="F79" s="173"/>
      <c r="G79" s="173"/>
      <c r="H79" s="77" t="s">
        <v>46</v>
      </c>
      <c r="I79" s="79" t="e">
        <f>+'Necesidades Trimestrales'!#REF!</f>
        <v>#REF!</v>
      </c>
      <c r="J79" s="80" t="e">
        <f>+'Necesidades Trimestrales'!#REF!</f>
        <v>#REF!</v>
      </c>
      <c r="K79" s="81" t="e">
        <f>+'Necesidades Trimestrales'!#REF!</f>
        <v>#REF!</v>
      </c>
    </row>
    <row r="80" spans="1:11" ht="32.25" customHeight="1" thickBot="1" x14ac:dyDescent="0.25">
      <c r="A80" s="77">
        <v>69</v>
      </c>
      <c r="B80" s="78" t="e">
        <f>+'Necesidades Trimestrales'!#REF!</f>
        <v>#REF!</v>
      </c>
      <c r="C80" s="172" t="e">
        <f>+'Necesidades Trimestrales'!#REF!</f>
        <v>#REF!</v>
      </c>
      <c r="D80" s="173"/>
      <c r="E80" s="173"/>
      <c r="F80" s="173"/>
      <c r="G80" s="173"/>
      <c r="H80" s="77" t="s">
        <v>46</v>
      </c>
      <c r="I80" s="79" t="e">
        <f>+'Necesidades Trimestrales'!#REF!</f>
        <v>#REF!</v>
      </c>
      <c r="J80" s="80" t="e">
        <f>+'Necesidades Trimestrales'!#REF!</f>
        <v>#REF!</v>
      </c>
      <c r="K80" s="81" t="e">
        <f>+'Necesidades Trimestrales'!#REF!</f>
        <v>#REF!</v>
      </c>
    </row>
    <row r="81" spans="1:11" ht="32.25" customHeight="1" thickBot="1" x14ac:dyDescent="0.25">
      <c r="A81" s="77">
        <v>70</v>
      </c>
      <c r="B81" s="78" t="e">
        <f>+'Necesidades Trimestrales'!#REF!</f>
        <v>#REF!</v>
      </c>
      <c r="C81" s="172" t="e">
        <f>+'Necesidades Trimestrales'!#REF!</f>
        <v>#REF!</v>
      </c>
      <c r="D81" s="173"/>
      <c r="E81" s="173"/>
      <c r="F81" s="173"/>
      <c r="G81" s="173"/>
      <c r="H81" s="77" t="s">
        <v>46</v>
      </c>
      <c r="I81" s="79" t="e">
        <f>+'Necesidades Trimestrales'!#REF!</f>
        <v>#REF!</v>
      </c>
      <c r="J81" s="80" t="e">
        <f>+'Necesidades Trimestrales'!#REF!</f>
        <v>#REF!</v>
      </c>
      <c r="K81" s="81" t="e">
        <f>+'Necesidades Trimestrales'!#REF!</f>
        <v>#REF!</v>
      </c>
    </row>
    <row r="82" spans="1:11" ht="32.25" customHeight="1" thickBot="1" x14ac:dyDescent="0.25">
      <c r="A82" s="77">
        <v>71</v>
      </c>
      <c r="B82" s="78" t="str">
        <f>+'Necesidades Trimestrales'!B25</f>
        <v>2.9.5-2161.545</v>
      </c>
      <c r="C82" s="172" t="str">
        <f>+'Necesidades Trimestrales'!E25</f>
        <v>CATETERES/SONDAS; NUMERO: SIN, TIPO: TUBO DE LUKEN PARA TOMA DE MUESTRAS</v>
      </c>
      <c r="D82" s="173"/>
      <c r="E82" s="173"/>
      <c r="F82" s="173"/>
      <c r="G82" s="173"/>
      <c r="H82" s="77" t="s">
        <v>46</v>
      </c>
      <c r="I82" s="79" t="str">
        <f>+'Necesidades Trimestrales'!F25</f>
        <v>UNIDAD</v>
      </c>
      <c r="J82" s="80">
        <f>+'Necesidades Trimestrales'!H25</f>
        <v>1250</v>
      </c>
      <c r="K82" s="81">
        <f>+'Necesidades Trimestrales'!G25</f>
        <v>0</v>
      </c>
    </row>
    <row r="83" spans="1:11" ht="32.25" customHeight="1" thickBot="1" x14ac:dyDescent="0.25">
      <c r="A83" s="77">
        <v>72</v>
      </c>
      <c r="B83" s="78" t="str">
        <f>+'Necesidades Trimestrales'!B26</f>
        <v>2.5.2-1855.23</v>
      </c>
      <c r="C83" s="172" t="str">
        <f>+'Necesidades Trimestrales'!E26</f>
        <v>CORTICOESTEROIDES; TIPO: MONODROGA, DROGA GENERICA: BETAMETASONA, FORMA FARMACEUTICA: CREMA, PRESENTACION: 15 GR</v>
      </c>
      <c r="D83" s="173"/>
      <c r="E83" s="173"/>
      <c r="F83" s="173"/>
      <c r="G83" s="173"/>
      <c r="H83" s="77" t="s">
        <v>46</v>
      </c>
      <c r="I83" s="79" t="str">
        <f>+'Necesidades Trimestrales'!F26</f>
        <v>ENVASE</v>
      </c>
      <c r="J83" s="80">
        <f>+'Necesidades Trimestrales'!H26</f>
        <v>249.1</v>
      </c>
      <c r="K83" s="81">
        <f>+'Necesidades Trimestrales'!G26</f>
        <v>0</v>
      </c>
    </row>
    <row r="84" spans="1:11" ht="32.25" customHeight="1" thickBot="1" x14ac:dyDescent="0.25">
      <c r="A84" s="77">
        <v>73</v>
      </c>
      <c r="B84" s="78" t="str">
        <f>+'Necesidades Trimestrales'!B27</f>
        <v>2.5.2-2200.6</v>
      </c>
      <c r="C84" s="172" t="str">
        <f>+'Necesidades Trimestrales'!E27</f>
        <v>CORTICOIDES; DROGA GENERICA: HIDROCORTISONA X 1 GR, FORMA FARMACEUTICA: CREMA, PRESENTACION: 15 GR, TIPO: MONODROGA</v>
      </c>
      <c r="D84" s="173"/>
      <c r="E84" s="173"/>
      <c r="F84" s="173"/>
      <c r="G84" s="173"/>
      <c r="H84" s="77" t="s">
        <v>46</v>
      </c>
      <c r="I84" s="79" t="str">
        <f>+'Necesidades Trimestrales'!F27</f>
        <v>ENVASE</v>
      </c>
      <c r="J84" s="80">
        <f>+'Necesidades Trimestrales'!H27</f>
        <v>261.52</v>
      </c>
      <c r="K84" s="81">
        <f>+'Necesidades Trimestrales'!G27</f>
        <v>0</v>
      </c>
    </row>
    <row r="85" spans="1:11" ht="32.25" customHeight="1" thickBot="1" x14ac:dyDescent="0.25">
      <c r="A85" s="77">
        <v>74</v>
      </c>
      <c r="B85" s="78" t="str">
        <f>+'Necesidades Trimestrales'!B29</f>
        <v>2.5.2-1851.29</v>
      </c>
      <c r="C85" s="172" t="str">
        <f>+'Necesidades Trimestrales'!E29</f>
        <v>GENITOURINARIO; TIPO: MONODROGA, DROGA GENÉRICA: NISTATINA, FORMA FARMACEÚTICA: COMPRIMIDO VAGINAL, PRESENTACIÓN: 100000 UI</v>
      </c>
      <c r="D85" s="173"/>
      <c r="E85" s="173"/>
      <c r="F85" s="173"/>
      <c r="G85" s="173"/>
      <c r="H85" s="77" t="s">
        <v>46</v>
      </c>
      <c r="I85" s="79" t="str">
        <f>+'Necesidades Trimestrales'!F29</f>
        <v>COMPRIMIDO</v>
      </c>
      <c r="J85" s="80">
        <f>+'Necesidades Trimestrales'!H29</f>
        <v>22.7</v>
      </c>
      <c r="K85" s="81">
        <f>+'Necesidades Trimestrales'!G29</f>
        <v>0</v>
      </c>
    </row>
    <row r="86" spans="1:11" ht="32.25" customHeight="1" thickBot="1" x14ac:dyDescent="0.25">
      <c r="A86" s="77">
        <v>75</v>
      </c>
      <c r="B86" s="78" t="str">
        <f>+'Necesidades Trimestrales'!B30</f>
        <v>2.5.2-1850.6</v>
      </c>
      <c r="C86" s="172" t="str">
        <f>+'Necesidades Trimestrales'!E30</f>
        <v>GESTAGENO; TIPO: MONODROGA, DROGA GENERICA: MEDROXIPROGESTERONA, FORMA FARMACEUTICA: AMPOLLA, PRESENTACION: 150 mGr</v>
      </c>
      <c r="D86" s="173"/>
      <c r="E86" s="173"/>
      <c r="F86" s="173"/>
      <c r="G86" s="173"/>
      <c r="H86" s="77" t="s">
        <v>46</v>
      </c>
      <c r="I86" s="79" t="str">
        <f>+'Necesidades Trimestrales'!F30</f>
        <v>AMPOLLA</v>
      </c>
      <c r="J86" s="80">
        <f>+'Necesidades Trimestrales'!H30</f>
        <v>605</v>
      </c>
      <c r="K86" s="81">
        <f>+'Necesidades Trimestrales'!G30</f>
        <v>0</v>
      </c>
    </row>
    <row r="87" spans="1:11" ht="32.25" customHeight="1" thickBot="1" x14ac:dyDescent="0.25">
      <c r="A87" s="77">
        <v>76</v>
      </c>
      <c r="B87" s="78" t="str">
        <f>+'Necesidades Trimestrales'!B31</f>
        <v>2.5.2-1864.6</v>
      </c>
      <c r="C87" s="172" t="str">
        <f>+'Necesidades Trimestrales'!E31</f>
        <v>HIPOURICEMIANTES; TIPO: MONODROGA, DROGA GENERICA: ALOPURINOL 300 mGr, FORMA FARMACEUTICA: COMPRIMIDO, PRESENTACION: UNIDAD</v>
      </c>
      <c r="D87" s="173"/>
      <c r="E87" s="173"/>
      <c r="F87" s="173"/>
      <c r="G87" s="173"/>
      <c r="H87" s="77" t="s">
        <v>46</v>
      </c>
      <c r="I87" s="79" t="str">
        <f>+'Necesidades Trimestrales'!F31</f>
        <v>COMPRIMIDO</v>
      </c>
      <c r="J87" s="80">
        <f>+'Necesidades Trimestrales'!H31</f>
        <v>12.15</v>
      </c>
      <c r="K87" s="81">
        <f>+'Necesidades Trimestrales'!G31</f>
        <v>0</v>
      </c>
    </row>
    <row r="88" spans="1:11" ht="32.25" customHeight="1" thickBot="1" x14ac:dyDescent="0.25">
      <c r="A88" s="77">
        <v>77</v>
      </c>
      <c r="B88" s="78" t="str">
        <f>+'Necesidades Trimestrales'!B32</f>
        <v>2.9.5-2366.2</v>
      </c>
      <c r="C88" s="172" t="str">
        <f>+'Necesidades Trimestrales'!E32</f>
        <v>HISOPOS; MATERIAL DE EXTREMOS: ALGODON, PRESENTACION: CAJA X 100</v>
      </c>
      <c r="D88" s="173"/>
      <c r="E88" s="173"/>
      <c r="F88" s="173"/>
      <c r="G88" s="173"/>
      <c r="H88" s="77" t="s">
        <v>46</v>
      </c>
      <c r="I88" s="79" t="str">
        <f>+'Necesidades Trimestrales'!F32</f>
        <v>CAJA</v>
      </c>
      <c r="J88" s="80">
        <f>+'Necesidades Trimestrales'!H32</f>
        <v>650</v>
      </c>
      <c r="K88" s="81">
        <f>+'Necesidades Trimestrales'!G32</f>
        <v>0</v>
      </c>
    </row>
    <row r="89" spans="1:11" ht="32.25" customHeight="1" thickBot="1" x14ac:dyDescent="0.25">
      <c r="A89" s="77">
        <v>78</v>
      </c>
      <c r="B89" s="78" t="str">
        <f>+'Necesidades Trimestrales'!B33</f>
        <v>2.5.2-1895.8</v>
      </c>
      <c r="C89" s="172" t="str">
        <f>+'Necesidades Trimestrales'!E33</f>
        <v>HORMONAS MEDICINALES; TIPO: MONODROGA, DROGA GENERICA: GONADOTROFINA CORIONICA, FORMA FARMACEUTICA: AMPOLLA, PRESENTACION: 5000 UI, USO: SEXUAL</v>
      </c>
      <c r="D89" s="173"/>
      <c r="E89" s="173"/>
      <c r="F89" s="173"/>
      <c r="G89" s="173"/>
      <c r="H89" s="77" t="s">
        <v>46</v>
      </c>
      <c r="I89" s="79" t="str">
        <f>+'Necesidades Trimestrales'!F33</f>
        <v>UNIDAD</v>
      </c>
      <c r="J89" s="80">
        <f>+'Necesidades Trimestrales'!H33</f>
        <v>6450</v>
      </c>
      <c r="K89" s="81">
        <f>+'Necesidades Trimestrales'!G33</f>
        <v>0</v>
      </c>
    </row>
    <row r="90" spans="1:11" ht="32.25" customHeight="1" thickBot="1" x14ac:dyDescent="0.25">
      <c r="A90" s="77">
        <v>79</v>
      </c>
      <c r="B90" s="78" t="str">
        <f>+'Necesidades Trimestrales'!B34</f>
        <v>2.5.2-9051.3</v>
      </c>
      <c r="C90" s="172" t="str">
        <f>+'Necesidades Trimestrales'!E34</f>
        <v>LINIMENTOS; NOMBRE DEL PRODUCTO: OLEO CALCAREO, CALIDAD: MEDICINAL, PRESENTACION: ENVASE X 250 CM3</v>
      </c>
      <c r="D90" s="173"/>
      <c r="E90" s="173"/>
      <c r="F90" s="173"/>
      <c r="G90" s="173"/>
      <c r="H90" s="77" t="s">
        <v>46</v>
      </c>
      <c r="I90" s="79" t="str">
        <f>+'Necesidades Trimestrales'!F34</f>
        <v>UNIDAD</v>
      </c>
      <c r="J90" s="80">
        <f>+'Necesidades Trimestrales'!H34</f>
        <v>364</v>
      </c>
      <c r="K90" s="81">
        <f>+'Necesidades Trimestrales'!G34</f>
        <v>0</v>
      </c>
    </row>
    <row r="91" spans="1:11" ht="32.25" customHeight="1" thickBot="1" x14ac:dyDescent="0.25">
      <c r="A91" s="77">
        <v>80</v>
      </c>
      <c r="B91" s="78" t="str">
        <f>+'Necesidades Trimestrales'!B35</f>
        <v>2.9.5-7517.6</v>
      </c>
      <c r="C91" s="172" t="str">
        <f>+'Necesidades Trimestrales'!E35</f>
        <v>MALLAS P/EVENTRACCIÓN; MEDIDA: 30 X 30 CM; TIPO: VICRYL; MATERIAL: POLIGLACTINA; USO: CIRUGÍA</v>
      </c>
      <c r="D91" s="173"/>
      <c r="E91" s="173"/>
      <c r="F91" s="173"/>
      <c r="G91" s="173"/>
      <c r="H91" s="77" t="s">
        <v>46</v>
      </c>
      <c r="I91" s="79" t="str">
        <f>+'Necesidades Trimestrales'!F35</f>
        <v>UNIDAD</v>
      </c>
      <c r="J91" s="80">
        <f>+'Necesidades Trimestrales'!H35</f>
        <v>41500</v>
      </c>
      <c r="K91" s="81">
        <f>+'Necesidades Trimestrales'!G35</f>
        <v>0</v>
      </c>
    </row>
    <row r="92" spans="1:11" ht="32.25" customHeight="1" thickBot="1" x14ac:dyDescent="0.25">
      <c r="A92" s="77">
        <v>81</v>
      </c>
      <c r="B92" s="78" t="str">
        <f>+'Necesidades Trimestrales'!B36</f>
        <v>2.9.5-467.112</v>
      </c>
      <c r="C92" s="172" t="str">
        <f>+'Necesidades Trimestrales'!E36</f>
        <v>MASCARAS ;TIPO TOTAL FACE -TAMANO X GRANDE , MATERIAL : SILICONA, USO : P/VNI ADULTO</v>
      </c>
      <c r="D92" s="173"/>
      <c r="E92" s="173"/>
      <c r="F92" s="173"/>
      <c r="G92" s="173"/>
      <c r="H92" s="77" t="s">
        <v>46</v>
      </c>
      <c r="I92" s="79" t="str">
        <f>+'Necesidades Trimestrales'!F36</f>
        <v>UNIDAD</v>
      </c>
      <c r="J92" s="80">
        <f>+'Necesidades Trimestrales'!H36</f>
        <v>38000</v>
      </c>
      <c r="K92" s="81">
        <f>+'Necesidades Trimestrales'!G36</f>
        <v>0</v>
      </c>
    </row>
    <row r="93" spans="1:11" ht="32.25" customHeight="1" thickBot="1" x14ac:dyDescent="0.25">
      <c r="A93" s="77">
        <v>82</v>
      </c>
      <c r="B93" s="78" t="str">
        <f>+'Necesidades Trimestrales'!B37</f>
        <v>2.9.5-467.104</v>
      </c>
      <c r="C93" s="172" t="str">
        <f>+'Necesidades Trimestrales'!E37</f>
        <v>MASCARAS; TIPO: HALO CEFALICO GRANDE (230 MM X 200 MM), MATERIAL: ACRILICO, USO: CONCENTRACION DE OXIGENO PEDIATRICO</v>
      </c>
      <c r="D93" s="173"/>
      <c r="E93" s="173"/>
      <c r="F93" s="173"/>
      <c r="G93" s="173"/>
      <c r="H93" s="77" t="s">
        <v>46</v>
      </c>
      <c r="I93" s="79" t="str">
        <f>+'Necesidades Trimestrales'!F37</f>
        <v>UNIDAD</v>
      </c>
      <c r="J93" s="80">
        <f>+'Necesidades Trimestrales'!H37</f>
        <v>20345</v>
      </c>
      <c r="K93" s="81">
        <f>+'Necesidades Trimestrales'!G37</f>
        <v>0</v>
      </c>
    </row>
    <row r="94" spans="1:11" ht="32.25" customHeight="1" thickBot="1" x14ac:dyDescent="0.25">
      <c r="A94" s="77">
        <v>83</v>
      </c>
      <c r="B94" s="78" t="str">
        <f>+'Necesidades Trimestrales'!B38</f>
        <v>2.9.5-467.103</v>
      </c>
      <c r="C94" s="172" t="str">
        <f>+'Necesidades Trimestrales'!E38</f>
        <v>MASCARAS; TIPO: HALO CEFALICO MEDIANO (200 MM X 180 MM), MATERIAL: ACRILICO, USO: CONCENTRACION DE OXIGENO PEDIATRICO</v>
      </c>
      <c r="D94" s="173"/>
      <c r="E94" s="173"/>
      <c r="F94" s="173"/>
      <c r="G94" s="173"/>
      <c r="H94" s="77" t="s">
        <v>46</v>
      </c>
      <c r="I94" s="79" t="str">
        <f>+'Necesidades Trimestrales'!F38</f>
        <v>UNIDAD</v>
      </c>
      <c r="J94" s="80">
        <f>+'Necesidades Trimestrales'!H38</f>
        <v>17680</v>
      </c>
      <c r="K94" s="81">
        <f>+'Necesidades Trimestrales'!G38</f>
        <v>0</v>
      </c>
    </row>
    <row r="95" spans="1:11" ht="32.25" customHeight="1" thickBot="1" x14ac:dyDescent="0.25">
      <c r="A95" s="77">
        <v>84</v>
      </c>
      <c r="B95" s="78" t="str">
        <f>+'Necesidades Trimestrales'!B39</f>
        <v>2.9.5-467.108</v>
      </c>
      <c r="C95" s="172" t="str">
        <f>+'Necesidades Trimestrales'!E39</f>
        <v>MASCARAS; TIPO: ORONASAL- TAMAÑO M , MATERIAL: SILICONA, USO: P/VNI ADULTO CON VALVULA ANTIAFIXIA</v>
      </c>
      <c r="D95" s="173"/>
      <c r="E95" s="173"/>
      <c r="F95" s="173"/>
      <c r="G95" s="173"/>
      <c r="H95" s="77" t="s">
        <v>46</v>
      </c>
      <c r="I95" s="79" t="str">
        <f>+'Necesidades Trimestrales'!F39</f>
        <v>UNIDAD</v>
      </c>
      <c r="J95" s="80">
        <f>+'Necesidades Trimestrales'!H39</f>
        <v>32000</v>
      </c>
      <c r="K95" s="81">
        <f>+'Necesidades Trimestrales'!G39</f>
        <v>0</v>
      </c>
    </row>
    <row r="96" spans="1:11" ht="32.25" customHeight="1" thickBot="1" x14ac:dyDescent="0.25">
      <c r="A96" s="77">
        <v>85</v>
      </c>
      <c r="B96" s="78" t="str">
        <f>+'Necesidades Trimestrales'!B40</f>
        <v>2.9.5-10013.2</v>
      </c>
      <c r="C96" s="172" t="str">
        <f>+'Necesidades Trimestrales'!E40</f>
        <v>PAPEL P/EQUIPO MEDICO; USO: IMPRESIÓN ECG ; PRESENTACION: RESMA; MEDIDA: 210 X 300 MM</v>
      </c>
      <c r="D96" s="173"/>
      <c r="E96" s="173"/>
      <c r="F96" s="173"/>
      <c r="G96" s="173"/>
      <c r="H96" s="77" t="s">
        <v>46</v>
      </c>
      <c r="I96" s="79" t="str">
        <f>+'Necesidades Trimestrales'!F40</f>
        <v>RESMA</v>
      </c>
      <c r="J96" s="80">
        <f>+'Necesidades Trimestrales'!H40</f>
        <v>1315.875</v>
      </c>
      <c r="K96" s="81">
        <f>+'Necesidades Trimestrales'!G40</f>
        <v>0</v>
      </c>
    </row>
    <row r="97" spans="1:11" ht="32.25" customHeight="1" thickBot="1" x14ac:dyDescent="0.25">
      <c r="A97" s="77">
        <v>86</v>
      </c>
      <c r="B97" s="78" t="str">
        <f>+'Necesidades Trimestrales'!B41</f>
        <v>2.5.2-7267.5</v>
      </c>
      <c r="C97" s="172" t="str">
        <f>+'Necesidades Trimestrales'!E41</f>
        <v>PASTAS P/ELECTROENCEFALOGRAMA; PRESENTACION: 226 GR</v>
      </c>
      <c r="D97" s="173"/>
      <c r="E97" s="173"/>
      <c r="F97" s="173"/>
      <c r="G97" s="173"/>
      <c r="H97" s="77" t="s">
        <v>46</v>
      </c>
      <c r="I97" s="79" t="str">
        <f>+'Necesidades Trimestrales'!F41</f>
        <v>UNIDAD</v>
      </c>
      <c r="J97" s="80">
        <f>+'Necesidades Trimestrales'!H41</f>
        <v>6050</v>
      </c>
      <c r="K97" s="81">
        <f>+'Necesidades Trimestrales'!G41</f>
        <v>0</v>
      </c>
    </row>
    <row r="98" spans="1:11" ht="32.25" customHeight="1" thickBot="1" x14ac:dyDescent="0.25">
      <c r="A98" s="77">
        <v>87</v>
      </c>
      <c r="B98" s="78" t="str">
        <f>+'Necesidades Trimestrales'!B42</f>
        <v>2.5.2-7267.6</v>
      </c>
      <c r="C98" s="172" t="str">
        <f>+'Necesidades Trimestrales'!E42</f>
        <v>PASTAS P/ELECTROENCEFALOGRAMA; PRESENTACION: 400 GR</v>
      </c>
      <c r="D98" s="173"/>
      <c r="E98" s="173"/>
      <c r="F98" s="173"/>
      <c r="G98" s="173"/>
      <c r="H98" s="77" t="s">
        <v>46</v>
      </c>
      <c r="I98" s="79" t="str">
        <f>+'Necesidades Trimestrales'!F42</f>
        <v>UNIDAD</v>
      </c>
      <c r="J98" s="80">
        <f>+'Necesidades Trimestrales'!H42</f>
        <v>9500</v>
      </c>
      <c r="K98" s="81">
        <f>+'Necesidades Trimestrales'!G42</f>
        <v>0</v>
      </c>
    </row>
    <row r="99" spans="1:11" ht="32.25" customHeight="1" thickBot="1" x14ac:dyDescent="0.25">
      <c r="A99" s="77">
        <v>88</v>
      </c>
      <c r="B99" s="78" t="str">
        <f>+'Necesidades Trimestrales'!B43</f>
        <v>2.5.2-3097.9</v>
      </c>
      <c r="C99" s="172" t="str">
        <f>+'Necesidades Trimestrales'!E43</f>
        <v>PEDICULICIDAS; DROGA GENERICA: PERMETRINA, FORMA FARMACEUTICA: EMULSION, PRESENTACION: 100 mL</v>
      </c>
      <c r="D99" s="173"/>
      <c r="E99" s="173"/>
      <c r="F99" s="173"/>
      <c r="G99" s="173"/>
      <c r="H99" s="77" t="s">
        <v>46</v>
      </c>
      <c r="I99" s="79" t="str">
        <f>+'Necesidades Trimestrales'!F43</f>
        <v>ENVASE</v>
      </c>
      <c r="J99" s="80">
        <f>+'Necesidades Trimestrales'!H43</f>
        <v>958</v>
      </c>
      <c r="K99" s="81">
        <f>+'Necesidades Trimestrales'!G43</f>
        <v>0</v>
      </c>
    </row>
    <row r="100" spans="1:11" ht="32.25" customHeight="1" thickBot="1" x14ac:dyDescent="0.25">
      <c r="A100" s="77">
        <v>89</v>
      </c>
      <c r="B100" s="78" t="str">
        <f>+'Necesidades Trimestrales'!B44</f>
        <v>2.9.5-6509.16</v>
      </c>
      <c r="C100" s="172" t="str">
        <f>+'Necesidades Trimestrales'!E44</f>
        <v>SET DE TUBULADURA; USO: ANESTESIA, PRESENTACION: UNIDAD, TIPO: EXTENSIBLE ADULTO, DESCARTABLE: SI</v>
      </c>
      <c r="D100" s="173"/>
      <c r="E100" s="173"/>
      <c r="F100" s="173"/>
      <c r="G100" s="173"/>
      <c r="H100" s="77" t="s">
        <v>46</v>
      </c>
      <c r="I100" s="79" t="str">
        <f>+'Necesidades Trimestrales'!F44</f>
        <v xml:space="preserve"> UNIDAD</v>
      </c>
      <c r="J100" s="80">
        <f>+'Necesidades Trimestrales'!H44</f>
        <v>980</v>
      </c>
      <c r="K100" s="81">
        <f>+'Necesidades Trimestrales'!G44</f>
        <v>0</v>
      </c>
    </row>
    <row r="101" spans="1:11" ht="32.25" customHeight="1" thickBot="1" x14ac:dyDescent="0.25">
      <c r="A101" s="77">
        <v>90</v>
      </c>
      <c r="B101" s="78" t="str">
        <f>+'Necesidades Trimestrales'!B45</f>
        <v>2.9.5-6509.36</v>
      </c>
      <c r="C101" s="172" t="str">
        <f>+'Necesidades Trimestrales'!E45</f>
        <v>SET DE TUBULADURA; USO: RESPIRADOR, PRESENTACION: UNIDAD, TIPO: C-PAP BURBUJAS P/INFANTE</v>
      </c>
      <c r="D101" s="173"/>
      <c r="E101" s="173"/>
      <c r="F101" s="173"/>
      <c r="G101" s="173"/>
      <c r="H101" s="77" t="s">
        <v>46</v>
      </c>
      <c r="I101" s="79" t="str">
        <f>+'Necesidades Trimestrales'!F45</f>
        <v>UNIDAD</v>
      </c>
      <c r="J101" s="80">
        <f>+'Necesidades Trimestrales'!H45</f>
        <v>14300</v>
      </c>
      <c r="K101" s="81">
        <f>+'Necesidades Trimestrales'!G45</f>
        <v>0</v>
      </c>
    </row>
    <row r="102" spans="1:11" ht="32.25" customHeight="1" thickBot="1" x14ac:dyDescent="0.25">
      <c r="A102" s="77">
        <v>91</v>
      </c>
      <c r="B102" s="78" t="str">
        <f>+'Necesidades Trimestrales'!B46</f>
        <v>2.9.5-6509.36</v>
      </c>
      <c r="C102" s="172" t="str">
        <f>+'Necesidades Trimestrales'!E46</f>
        <v>SET DE TUBULADURA; USO: RESPIRADOR, PRESENTACION: UNIDAD, TIPO: C-PAP BURBUJAS P/INFANTE</v>
      </c>
      <c r="D102" s="173"/>
      <c r="E102" s="173"/>
      <c r="F102" s="173"/>
      <c r="G102" s="173"/>
      <c r="H102" s="77" t="s">
        <v>46</v>
      </c>
      <c r="I102" s="79" t="str">
        <f>+'Necesidades Trimestrales'!F46</f>
        <v>UNIDAD</v>
      </c>
      <c r="J102" s="80">
        <f>+'Necesidades Trimestrales'!H46</f>
        <v>14300</v>
      </c>
      <c r="K102" s="81">
        <f>+'Necesidades Trimestrales'!G46</f>
        <v>0</v>
      </c>
    </row>
    <row r="103" spans="1:11" ht="32.25" customHeight="1" thickBot="1" x14ac:dyDescent="0.25">
      <c r="A103" s="77">
        <v>92</v>
      </c>
      <c r="B103" s="78" t="str">
        <f>+'Necesidades Trimestrales'!B47</f>
        <v>2.9.5-6509.36</v>
      </c>
      <c r="C103" s="172" t="str">
        <f>+'Necesidades Trimestrales'!E47</f>
        <v>SET DE TUBULADURA; USO: RESPIRADOR, PRESENTACION: UNIDAD, TIPO: C-PAP BURBUJAS P/INFANTE</v>
      </c>
      <c r="D103" s="173"/>
      <c r="E103" s="173"/>
      <c r="F103" s="173"/>
      <c r="G103" s="173"/>
      <c r="H103" s="77" t="s">
        <v>46</v>
      </c>
      <c r="I103" s="79" t="str">
        <f>+'Necesidades Trimestrales'!F47</f>
        <v>UNIDAD</v>
      </c>
      <c r="J103" s="80">
        <f>+'Necesidades Trimestrales'!H47</f>
        <v>14300</v>
      </c>
      <c r="K103" s="81">
        <f>+'Necesidades Trimestrales'!G47</f>
        <v>0</v>
      </c>
    </row>
    <row r="104" spans="1:11" ht="32.25" customHeight="1" thickBot="1" x14ac:dyDescent="0.25">
      <c r="A104" s="77">
        <v>93</v>
      </c>
      <c r="B104" s="78" t="str">
        <f>+'Necesidades Trimestrales'!B48</f>
        <v>2.9.5-2569.157</v>
      </c>
      <c r="C104" s="172" t="str">
        <f>+'Necesidades Trimestrales'!E48</f>
        <v>TUBOS TRAQUEALES; TIPO: SISTEMA CERRADO, TAMANO: 7 FR , USO: ASPIRACION TRAQUEAL CONTINUA</v>
      </c>
      <c r="D104" s="173"/>
      <c r="E104" s="173"/>
      <c r="F104" s="173"/>
      <c r="G104" s="173"/>
      <c r="H104" s="77" t="s">
        <v>46</v>
      </c>
      <c r="I104" s="79" t="str">
        <f>+'Necesidades Trimestrales'!F48</f>
        <v>UNIDAD</v>
      </c>
      <c r="J104" s="80">
        <f>+'Necesidades Trimestrales'!H48</f>
        <v>1950</v>
      </c>
      <c r="K104" s="81">
        <f>+'Necesidades Trimestrales'!G48</f>
        <v>0</v>
      </c>
    </row>
    <row r="105" spans="1:11" ht="32.25" customHeight="1" thickBot="1" x14ac:dyDescent="0.25">
      <c r="A105" s="77">
        <v>94</v>
      </c>
      <c r="B105" s="78" t="e">
        <f>+'Necesidades Trimestrales'!#REF!</f>
        <v>#REF!</v>
      </c>
      <c r="C105" s="172" t="e">
        <f>+'Necesidades Trimestrales'!#REF!</f>
        <v>#REF!</v>
      </c>
      <c r="D105" s="173"/>
      <c r="E105" s="173"/>
      <c r="F105" s="173"/>
      <c r="G105" s="173"/>
      <c r="H105" s="77" t="s">
        <v>46</v>
      </c>
      <c r="I105" s="79" t="e">
        <f>+'Necesidades Trimestrales'!#REF!</f>
        <v>#REF!</v>
      </c>
      <c r="J105" s="80" t="e">
        <f>+'Necesidades Trimestrales'!#REF!</f>
        <v>#REF!</v>
      </c>
      <c r="K105" s="81" t="e">
        <f>+'Necesidades Trimestrales'!#REF!</f>
        <v>#REF!</v>
      </c>
    </row>
    <row r="106" spans="1:11" ht="32.25" customHeight="1" thickBot="1" x14ac:dyDescent="0.25">
      <c r="A106" s="77">
        <v>95</v>
      </c>
      <c r="B106" s="78" t="e">
        <f>+'Necesidades Trimestrales'!#REF!</f>
        <v>#REF!</v>
      </c>
      <c r="C106" s="172" t="e">
        <f>+'Necesidades Trimestrales'!#REF!</f>
        <v>#REF!</v>
      </c>
      <c r="D106" s="173"/>
      <c r="E106" s="173"/>
      <c r="F106" s="173"/>
      <c r="G106" s="173"/>
      <c r="H106" s="77" t="s">
        <v>46</v>
      </c>
      <c r="I106" s="79" t="e">
        <f>+'Necesidades Trimestrales'!#REF!</f>
        <v>#REF!</v>
      </c>
      <c r="J106" s="80" t="e">
        <f>+'Necesidades Trimestrales'!#REF!</f>
        <v>#REF!</v>
      </c>
      <c r="K106" s="81" t="e">
        <f>+'Necesidades Trimestrales'!#REF!</f>
        <v>#REF!</v>
      </c>
    </row>
    <row r="107" spans="1:11" ht="32.25" customHeight="1" thickBot="1" x14ac:dyDescent="0.25">
      <c r="A107" s="77">
        <v>96</v>
      </c>
      <c r="B107" s="78" t="e">
        <f>+'Necesidades Trimestrales'!#REF!</f>
        <v>#REF!</v>
      </c>
      <c r="C107" s="172" t="e">
        <f>+'Necesidades Trimestrales'!#REF!</f>
        <v>#REF!</v>
      </c>
      <c r="D107" s="173"/>
      <c r="E107" s="173"/>
      <c r="F107" s="173"/>
      <c r="G107" s="173"/>
      <c r="H107" s="77" t="s">
        <v>46</v>
      </c>
      <c r="I107" s="79" t="e">
        <f>+'Necesidades Trimestrales'!#REF!</f>
        <v>#REF!</v>
      </c>
      <c r="J107" s="80" t="e">
        <f>+'Necesidades Trimestrales'!#REF!</f>
        <v>#REF!</v>
      </c>
      <c r="K107" s="81" t="e">
        <f>+'Necesidades Trimestrales'!#REF!</f>
        <v>#REF!</v>
      </c>
    </row>
    <row r="108" spans="1:11" ht="32.25" customHeight="1" thickBot="1" x14ac:dyDescent="0.25">
      <c r="A108" s="77">
        <v>97</v>
      </c>
      <c r="B108" s="78" t="e">
        <f>+'Necesidades Trimestrales'!#REF!</f>
        <v>#REF!</v>
      </c>
      <c r="C108" s="172" t="e">
        <f>+'Necesidades Trimestrales'!#REF!</f>
        <v>#REF!</v>
      </c>
      <c r="D108" s="173"/>
      <c r="E108" s="173"/>
      <c r="F108" s="173"/>
      <c r="G108" s="173"/>
      <c r="H108" s="77" t="s">
        <v>46</v>
      </c>
      <c r="I108" s="79" t="e">
        <f>+'Necesidades Trimestrales'!#REF!</f>
        <v>#REF!</v>
      </c>
      <c r="J108" s="80" t="e">
        <f>+'Necesidades Trimestrales'!#REF!</f>
        <v>#REF!</v>
      </c>
      <c r="K108" s="81" t="e">
        <f>+'Necesidades Trimestrales'!#REF!</f>
        <v>#REF!</v>
      </c>
    </row>
    <row r="109" spans="1:11" ht="32.25" customHeight="1" thickBot="1" x14ac:dyDescent="0.25">
      <c r="A109" s="77">
        <v>98</v>
      </c>
      <c r="B109" s="78" t="e">
        <f>+'Necesidades Trimestrales'!#REF!</f>
        <v>#REF!</v>
      </c>
      <c r="C109" s="172" t="e">
        <f>+'Necesidades Trimestrales'!#REF!</f>
        <v>#REF!</v>
      </c>
      <c r="D109" s="173"/>
      <c r="E109" s="173"/>
      <c r="F109" s="173"/>
      <c r="G109" s="173"/>
      <c r="H109" s="77" t="s">
        <v>46</v>
      </c>
      <c r="I109" s="79" t="e">
        <f>+'Necesidades Trimestrales'!#REF!</f>
        <v>#REF!</v>
      </c>
      <c r="J109" s="80" t="e">
        <f>+'Necesidades Trimestrales'!#REF!</f>
        <v>#REF!</v>
      </c>
      <c r="K109" s="81" t="e">
        <f>+'Necesidades Trimestrales'!#REF!</f>
        <v>#REF!</v>
      </c>
    </row>
    <row r="110" spans="1:11" ht="32.25" customHeight="1" thickBot="1" x14ac:dyDescent="0.25">
      <c r="A110" s="77">
        <v>99</v>
      </c>
      <c r="B110" s="78" t="e">
        <f>+'Necesidades Trimestrales'!#REF!</f>
        <v>#REF!</v>
      </c>
      <c r="C110" s="172" t="e">
        <f>+'Necesidades Trimestrales'!#REF!</f>
        <v>#REF!</v>
      </c>
      <c r="D110" s="173"/>
      <c r="E110" s="173"/>
      <c r="F110" s="173"/>
      <c r="G110" s="173"/>
      <c r="H110" s="77" t="s">
        <v>46</v>
      </c>
      <c r="I110" s="79" t="e">
        <f>+'Necesidades Trimestrales'!#REF!</f>
        <v>#REF!</v>
      </c>
      <c r="J110" s="80" t="e">
        <f>+'Necesidades Trimestrales'!#REF!</f>
        <v>#REF!</v>
      </c>
      <c r="K110" s="81" t="e">
        <f>+'Necesidades Trimestrales'!#REF!</f>
        <v>#REF!</v>
      </c>
    </row>
    <row r="111" spans="1:11" ht="32.25" customHeight="1" thickBot="1" x14ac:dyDescent="0.25">
      <c r="A111" s="77">
        <v>100</v>
      </c>
      <c r="B111" s="78" t="e">
        <f>+'Necesidades Trimestrales'!#REF!</f>
        <v>#REF!</v>
      </c>
      <c r="C111" s="172" t="e">
        <f>+'Necesidades Trimestrales'!#REF!</f>
        <v>#REF!</v>
      </c>
      <c r="D111" s="173"/>
      <c r="E111" s="173"/>
      <c r="F111" s="173"/>
      <c r="G111" s="173"/>
      <c r="H111" s="77" t="s">
        <v>46</v>
      </c>
      <c r="I111" s="79" t="e">
        <f>+'Necesidades Trimestrales'!#REF!</f>
        <v>#REF!</v>
      </c>
      <c r="J111" s="80" t="e">
        <f>+'Necesidades Trimestrales'!#REF!</f>
        <v>#REF!</v>
      </c>
      <c r="K111" s="81" t="e">
        <f>+'Necesidades Trimestrales'!#REF!</f>
        <v>#REF!</v>
      </c>
    </row>
    <row r="112" spans="1:11" ht="32.25" customHeight="1" thickBot="1" x14ac:dyDescent="0.25">
      <c r="A112" s="77">
        <v>101</v>
      </c>
      <c r="B112" s="78" t="e">
        <f>+'Necesidades Trimestrales'!#REF!</f>
        <v>#REF!</v>
      </c>
      <c r="C112" s="172" t="e">
        <f>+'Necesidades Trimestrales'!#REF!</f>
        <v>#REF!</v>
      </c>
      <c r="D112" s="173"/>
      <c r="E112" s="173"/>
      <c r="F112" s="173"/>
      <c r="G112" s="173"/>
      <c r="H112" s="77" t="s">
        <v>46</v>
      </c>
      <c r="I112" s="79" t="e">
        <f>+'Necesidades Trimestrales'!#REF!</f>
        <v>#REF!</v>
      </c>
      <c r="J112" s="80" t="e">
        <f>+'Necesidades Trimestrales'!#REF!</f>
        <v>#REF!</v>
      </c>
      <c r="K112" s="81" t="e">
        <f>+'Necesidades Trimestrales'!#REF!</f>
        <v>#REF!</v>
      </c>
    </row>
    <row r="113" spans="1:11" ht="32.25" customHeight="1" thickBot="1" x14ac:dyDescent="0.25">
      <c r="A113" s="77">
        <v>102</v>
      </c>
      <c r="B113" s="78" t="e">
        <f>+'Necesidades Trimestrales'!#REF!</f>
        <v>#REF!</v>
      </c>
      <c r="C113" s="172" t="e">
        <f>+'Necesidades Trimestrales'!#REF!</f>
        <v>#REF!</v>
      </c>
      <c r="D113" s="173"/>
      <c r="E113" s="173"/>
      <c r="F113" s="173"/>
      <c r="G113" s="173"/>
      <c r="H113" s="77" t="s">
        <v>46</v>
      </c>
      <c r="I113" s="79" t="e">
        <f>+'Necesidades Trimestrales'!#REF!</f>
        <v>#REF!</v>
      </c>
      <c r="J113" s="80" t="e">
        <f>+'Necesidades Trimestrales'!#REF!</f>
        <v>#REF!</v>
      </c>
      <c r="K113" s="81" t="e">
        <f>+'Necesidades Trimestrales'!#REF!</f>
        <v>#REF!</v>
      </c>
    </row>
    <row r="114" spans="1:11" ht="32.25" customHeight="1" thickBot="1" x14ac:dyDescent="0.25">
      <c r="A114" s="77">
        <v>103</v>
      </c>
      <c r="B114" s="78" t="e">
        <f>+'Necesidades Trimestrales'!#REF!</f>
        <v>#REF!</v>
      </c>
      <c r="C114" s="172" t="e">
        <f>+'Necesidades Trimestrales'!#REF!</f>
        <v>#REF!</v>
      </c>
      <c r="D114" s="173"/>
      <c r="E114" s="173"/>
      <c r="F114" s="173"/>
      <c r="G114" s="173"/>
      <c r="H114" s="77" t="s">
        <v>46</v>
      </c>
      <c r="I114" s="79" t="e">
        <f>+'Necesidades Trimestrales'!#REF!</f>
        <v>#REF!</v>
      </c>
      <c r="J114" s="80" t="e">
        <f>+'Necesidades Trimestrales'!#REF!</f>
        <v>#REF!</v>
      </c>
      <c r="K114" s="81" t="e">
        <f>+'Necesidades Trimestrales'!#REF!</f>
        <v>#REF!</v>
      </c>
    </row>
    <row r="115" spans="1:11" ht="32.25" customHeight="1" thickBot="1" x14ac:dyDescent="0.25">
      <c r="A115" s="77">
        <v>104</v>
      </c>
      <c r="B115" s="78" t="e">
        <f>+'Necesidades Trimestrales'!#REF!</f>
        <v>#REF!</v>
      </c>
      <c r="C115" s="172" t="e">
        <f>+'Necesidades Trimestrales'!#REF!</f>
        <v>#REF!</v>
      </c>
      <c r="D115" s="173"/>
      <c r="E115" s="173"/>
      <c r="F115" s="173"/>
      <c r="G115" s="173"/>
      <c r="H115" s="77" t="s">
        <v>46</v>
      </c>
      <c r="I115" s="79" t="e">
        <f>+'Necesidades Trimestrales'!#REF!</f>
        <v>#REF!</v>
      </c>
      <c r="J115" s="80" t="e">
        <f>+'Necesidades Trimestrales'!#REF!</f>
        <v>#REF!</v>
      </c>
      <c r="K115" s="81" t="e">
        <f>+'Necesidades Trimestrales'!#REF!</f>
        <v>#REF!</v>
      </c>
    </row>
    <row r="116" spans="1:11" ht="32.25" customHeight="1" thickBot="1" x14ac:dyDescent="0.25">
      <c r="A116" s="77">
        <v>105</v>
      </c>
      <c r="B116" s="78" t="e">
        <f>+'Necesidades Trimestrales'!#REF!</f>
        <v>#REF!</v>
      </c>
      <c r="C116" s="172" t="e">
        <f>+'Necesidades Trimestrales'!#REF!</f>
        <v>#REF!</v>
      </c>
      <c r="D116" s="173"/>
      <c r="E116" s="173"/>
      <c r="F116" s="173"/>
      <c r="G116" s="173"/>
      <c r="H116" s="77" t="s">
        <v>46</v>
      </c>
      <c r="I116" s="79" t="e">
        <f>+'Necesidades Trimestrales'!#REF!</f>
        <v>#REF!</v>
      </c>
      <c r="J116" s="80" t="e">
        <f>+'Necesidades Trimestrales'!#REF!</f>
        <v>#REF!</v>
      </c>
      <c r="K116" s="81" t="e">
        <f>+'Necesidades Trimestrales'!#REF!</f>
        <v>#REF!</v>
      </c>
    </row>
    <row r="117" spans="1:11" ht="32.25" customHeight="1" thickBot="1" x14ac:dyDescent="0.25">
      <c r="A117" s="77">
        <v>106</v>
      </c>
      <c r="B117" s="78" t="e">
        <f>+'Necesidades Trimestrales'!#REF!</f>
        <v>#REF!</v>
      </c>
      <c r="C117" s="172" t="e">
        <f>+'Necesidades Trimestrales'!#REF!</f>
        <v>#REF!</v>
      </c>
      <c r="D117" s="173"/>
      <c r="E117" s="173"/>
      <c r="F117" s="173"/>
      <c r="G117" s="173"/>
      <c r="H117" s="77" t="s">
        <v>46</v>
      </c>
      <c r="I117" s="79" t="e">
        <f>+'Necesidades Trimestrales'!#REF!</f>
        <v>#REF!</v>
      </c>
      <c r="J117" s="80" t="e">
        <f>+'Necesidades Trimestrales'!#REF!</f>
        <v>#REF!</v>
      </c>
      <c r="K117" s="81" t="e">
        <f>+'Necesidades Trimestrales'!#REF!</f>
        <v>#REF!</v>
      </c>
    </row>
    <row r="118" spans="1:11" ht="32.25" customHeight="1" thickBot="1" x14ac:dyDescent="0.25">
      <c r="A118" s="77">
        <v>107</v>
      </c>
      <c r="B118" s="78" t="e">
        <f>+'Necesidades Trimestrales'!#REF!</f>
        <v>#REF!</v>
      </c>
      <c r="C118" s="172" t="e">
        <f>+'Necesidades Trimestrales'!#REF!</f>
        <v>#REF!</v>
      </c>
      <c r="D118" s="173"/>
      <c r="E118" s="173"/>
      <c r="F118" s="173"/>
      <c r="G118" s="173"/>
      <c r="H118" s="77" t="s">
        <v>46</v>
      </c>
      <c r="I118" s="79" t="e">
        <f>+'Necesidades Trimestrales'!#REF!</f>
        <v>#REF!</v>
      </c>
      <c r="J118" s="80" t="e">
        <f>+'Necesidades Trimestrales'!#REF!</f>
        <v>#REF!</v>
      </c>
      <c r="K118" s="81" t="e">
        <f>+'Necesidades Trimestrales'!#REF!</f>
        <v>#REF!</v>
      </c>
    </row>
    <row r="119" spans="1:11" ht="32.25" customHeight="1" thickBot="1" x14ac:dyDescent="0.25">
      <c r="A119" s="77">
        <v>108</v>
      </c>
      <c r="B119" s="78" t="e">
        <f>+'Necesidades Trimestrales'!#REF!</f>
        <v>#REF!</v>
      </c>
      <c r="C119" s="172" t="e">
        <f>+'Necesidades Trimestrales'!#REF!</f>
        <v>#REF!</v>
      </c>
      <c r="D119" s="173"/>
      <c r="E119" s="173"/>
      <c r="F119" s="173"/>
      <c r="G119" s="173"/>
      <c r="H119" s="77" t="s">
        <v>46</v>
      </c>
      <c r="I119" s="79" t="e">
        <f>+'Necesidades Trimestrales'!#REF!</f>
        <v>#REF!</v>
      </c>
      <c r="J119" s="80" t="e">
        <f>+'Necesidades Trimestrales'!#REF!</f>
        <v>#REF!</v>
      </c>
      <c r="K119" s="81" t="e">
        <f>+'Necesidades Trimestrales'!#REF!</f>
        <v>#REF!</v>
      </c>
    </row>
    <row r="120" spans="1:11" ht="32.25" customHeight="1" thickBot="1" x14ac:dyDescent="0.25">
      <c r="A120" s="77">
        <v>109</v>
      </c>
      <c r="B120" s="78" t="e">
        <f>+'Necesidades Trimestrales'!#REF!</f>
        <v>#REF!</v>
      </c>
      <c r="C120" s="172" t="e">
        <f>+'Necesidades Trimestrales'!#REF!</f>
        <v>#REF!</v>
      </c>
      <c r="D120" s="173"/>
      <c r="E120" s="173"/>
      <c r="F120" s="173"/>
      <c r="G120" s="173"/>
      <c r="H120" s="77" t="s">
        <v>46</v>
      </c>
      <c r="I120" s="79" t="e">
        <f>+'Necesidades Trimestrales'!#REF!</f>
        <v>#REF!</v>
      </c>
      <c r="J120" s="80" t="e">
        <f>+'Necesidades Trimestrales'!#REF!</f>
        <v>#REF!</v>
      </c>
      <c r="K120" s="81" t="e">
        <f>+'Necesidades Trimestrales'!#REF!</f>
        <v>#REF!</v>
      </c>
    </row>
    <row r="121" spans="1:11" ht="32.25" customHeight="1" thickBot="1" x14ac:dyDescent="0.25">
      <c r="A121" s="77">
        <v>110</v>
      </c>
      <c r="B121" s="78" t="e">
        <f>+'Necesidades Trimestrales'!#REF!</f>
        <v>#REF!</v>
      </c>
      <c r="C121" s="172" t="e">
        <f>+'Necesidades Trimestrales'!#REF!</f>
        <v>#REF!</v>
      </c>
      <c r="D121" s="173"/>
      <c r="E121" s="173"/>
      <c r="F121" s="173"/>
      <c r="G121" s="173"/>
      <c r="H121" s="77" t="s">
        <v>46</v>
      </c>
      <c r="I121" s="79" t="e">
        <f>+'Necesidades Trimestrales'!#REF!</f>
        <v>#REF!</v>
      </c>
      <c r="J121" s="80" t="e">
        <f>+'Necesidades Trimestrales'!#REF!</f>
        <v>#REF!</v>
      </c>
      <c r="K121" s="81" t="e">
        <f>+'Necesidades Trimestrales'!#REF!</f>
        <v>#REF!</v>
      </c>
    </row>
    <row r="122" spans="1:11" ht="32.25" customHeight="1" thickBot="1" x14ac:dyDescent="0.25">
      <c r="A122" s="77">
        <v>111</v>
      </c>
      <c r="B122" s="78" t="e">
        <f>+'Necesidades Trimestrales'!#REF!</f>
        <v>#REF!</v>
      </c>
      <c r="C122" s="172" t="e">
        <f>+'Necesidades Trimestrales'!#REF!</f>
        <v>#REF!</v>
      </c>
      <c r="D122" s="173"/>
      <c r="E122" s="173"/>
      <c r="F122" s="173"/>
      <c r="G122" s="173"/>
      <c r="H122" s="77" t="s">
        <v>46</v>
      </c>
      <c r="I122" s="79" t="e">
        <f>+'Necesidades Trimestrales'!#REF!</f>
        <v>#REF!</v>
      </c>
      <c r="J122" s="80" t="e">
        <f>+'Necesidades Trimestrales'!#REF!</f>
        <v>#REF!</v>
      </c>
      <c r="K122" s="81" t="e">
        <f>+'Necesidades Trimestrales'!#REF!</f>
        <v>#REF!</v>
      </c>
    </row>
    <row r="123" spans="1:11" ht="32.25" customHeight="1" thickBot="1" x14ac:dyDescent="0.25">
      <c r="A123" s="77">
        <v>112</v>
      </c>
      <c r="B123" s="78" t="e">
        <f>+'Necesidades Trimestrales'!#REF!</f>
        <v>#REF!</v>
      </c>
      <c r="C123" s="172" t="e">
        <f>+'Necesidades Trimestrales'!#REF!</f>
        <v>#REF!</v>
      </c>
      <c r="D123" s="173"/>
      <c r="E123" s="173"/>
      <c r="F123" s="173"/>
      <c r="G123" s="173"/>
      <c r="H123" s="77" t="s">
        <v>46</v>
      </c>
      <c r="I123" s="79" t="e">
        <f>+'Necesidades Trimestrales'!#REF!</f>
        <v>#REF!</v>
      </c>
      <c r="J123" s="80" t="e">
        <f>+'Necesidades Trimestrales'!#REF!</f>
        <v>#REF!</v>
      </c>
      <c r="K123" s="81" t="e">
        <f>+'Necesidades Trimestrales'!#REF!</f>
        <v>#REF!</v>
      </c>
    </row>
    <row r="124" spans="1:11" ht="32.25" customHeight="1" thickBot="1" x14ac:dyDescent="0.25">
      <c r="A124" s="77">
        <v>113</v>
      </c>
      <c r="B124" s="78" t="e">
        <f>+'Necesidades Trimestrales'!#REF!</f>
        <v>#REF!</v>
      </c>
      <c r="C124" s="172" t="e">
        <f>+'Necesidades Trimestrales'!#REF!</f>
        <v>#REF!</v>
      </c>
      <c r="D124" s="173"/>
      <c r="E124" s="173"/>
      <c r="F124" s="173"/>
      <c r="G124" s="173"/>
      <c r="H124" s="77" t="s">
        <v>46</v>
      </c>
      <c r="I124" s="79" t="e">
        <f>+'Necesidades Trimestrales'!#REF!</f>
        <v>#REF!</v>
      </c>
      <c r="J124" s="80" t="e">
        <f>+'Necesidades Trimestrales'!#REF!</f>
        <v>#REF!</v>
      </c>
      <c r="K124" s="81" t="e">
        <f>+'Necesidades Trimestrales'!#REF!</f>
        <v>#REF!</v>
      </c>
    </row>
    <row r="125" spans="1:11" ht="32.25" customHeight="1" thickBot="1" x14ac:dyDescent="0.25">
      <c r="A125" s="77">
        <v>114</v>
      </c>
      <c r="B125" s="78" t="e">
        <f>+'Necesidades Trimestrales'!#REF!</f>
        <v>#REF!</v>
      </c>
      <c r="C125" s="172" t="e">
        <f>+'Necesidades Trimestrales'!#REF!</f>
        <v>#REF!</v>
      </c>
      <c r="D125" s="173"/>
      <c r="E125" s="173"/>
      <c r="F125" s="173"/>
      <c r="G125" s="173"/>
      <c r="H125" s="77" t="s">
        <v>46</v>
      </c>
      <c r="I125" s="79" t="e">
        <f>+'Necesidades Trimestrales'!#REF!</f>
        <v>#REF!</v>
      </c>
      <c r="J125" s="80" t="e">
        <f>+'Necesidades Trimestrales'!#REF!</f>
        <v>#REF!</v>
      </c>
      <c r="K125" s="81" t="e">
        <f>+'Necesidades Trimestrales'!#REF!</f>
        <v>#REF!</v>
      </c>
    </row>
    <row r="126" spans="1:11" ht="32.25" customHeight="1" thickBot="1" x14ac:dyDescent="0.25">
      <c r="A126" s="77">
        <v>115</v>
      </c>
      <c r="B126" s="78" t="e">
        <f>+'Necesidades Trimestrales'!#REF!</f>
        <v>#REF!</v>
      </c>
      <c r="C126" s="172" t="e">
        <f>+'Necesidades Trimestrales'!#REF!</f>
        <v>#REF!</v>
      </c>
      <c r="D126" s="173"/>
      <c r="E126" s="173"/>
      <c r="F126" s="173"/>
      <c r="G126" s="173"/>
      <c r="H126" s="77" t="s">
        <v>46</v>
      </c>
      <c r="I126" s="79" t="e">
        <f>+'Necesidades Trimestrales'!#REF!</f>
        <v>#REF!</v>
      </c>
      <c r="J126" s="80" t="e">
        <f>+'Necesidades Trimestrales'!#REF!</f>
        <v>#REF!</v>
      </c>
      <c r="K126" s="81" t="e">
        <f>+'Necesidades Trimestrales'!#REF!</f>
        <v>#REF!</v>
      </c>
    </row>
    <row r="127" spans="1:11" ht="32.25" customHeight="1" thickBot="1" x14ac:dyDescent="0.25">
      <c r="A127" s="77">
        <v>116</v>
      </c>
      <c r="B127" s="78" t="e">
        <f>+'Necesidades Trimestrales'!#REF!</f>
        <v>#REF!</v>
      </c>
      <c r="C127" s="172" t="e">
        <f>+'Necesidades Trimestrales'!#REF!</f>
        <v>#REF!</v>
      </c>
      <c r="D127" s="173"/>
      <c r="E127" s="173"/>
      <c r="F127" s="173"/>
      <c r="G127" s="173"/>
      <c r="H127" s="77" t="s">
        <v>46</v>
      </c>
      <c r="I127" s="79" t="e">
        <f>+'Necesidades Trimestrales'!#REF!</f>
        <v>#REF!</v>
      </c>
      <c r="J127" s="80" t="e">
        <f>+'Necesidades Trimestrales'!#REF!</f>
        <v>#REF!</v>
      </c>
      <c r="K127" s="81" t="e">
        <f>+'Necesidades Trimestrales'!#REF!</f>
        <v>#REF!</v>
      </c>
    </row>
    <row r="128" spans="1:11" ht="32.25" customHeight="1" thickBot="1" x14ac:dyDescent="0.25">
      <c r="A128" s="77">
        <v>117</v>
      </c>
      <c r="B128" s="78" t="e">
        <f>+'Necesidades Trimestrales'!#REF!</f>
        <v>#REF!</v>
      </c>
      <c r="C128" s="172" t="e">
        <f>+'Necesidades Trimestrales'!#REF!</f>
        <v>#REF!</v>
      </c>
      <c r="D128" s="173"/>
      <c r="E128" s="173"/>
      <c r="F128" s="173"/>
      <c r="G128" s="173"/>
      <c r="H128" s="77" t="s">
        <v>46</v>
      </c>
      <c r="I128" s="79" t="e">
        <f>+'Necesidades Trimestrales'!#REF!</f>
        <v>#REF!</v>
      </c>
      <c r="J128" s="80" t="e">
        <f>+'Necesidades Trimestrales'!#REF!</f>
        <v>#REF!</v>
      </c>
      <c r="K128" s="81" t="e">
        <f>+'Necesidades Trimestrales'!#REF!</f>
        <v>#REF!</v>
      </c>
    </row>
    <row r="129" spans="1:11" ht="32.25" customHeight="1" thickBot="1" x14ac:dyDescent="0.25">
      <c r="A129" s="77">
        <v>118</v>
      </c>
      <c r="B129" s="78" t="e">
        <f>+'Necesidades Trimestrales'!#REF!</f>
        <v>#REF!</v>
      </c>
      <c r="C129" s="172" t="e">
        <f>+'Necesidades Trimestrales'!#REF!</f>
        <v>#REF!</v>
      </c>
      <c r="D129" s="173"/>
      <c r="E129" s="173"/>
      <c r="F129" s="173"/>
      <c r="G129" s="173"/>
      <c r="H129" s="77" t="s">
        <v>94</v>
      </c>
      <c r="I129" s="79" t="e">
        <f>+'Necesidades Trimestrales'!#REF!</f>
        <v>#REF!</v>
      </c>
      <c r="J129" s="80" t="e">
        <f>+'Necesidades Trimestrales'!#REF!</f>
        <v>#REF!</v>
      </c>
      <c r="K129" s="81" t="e">
        <f>+'Necesidades Trimestrales'!#REF!</f>
        <v>#REF!</v>
      </c>
    </row>
    <row r="130" spans="1:11" ht="32.25" customHeight="1" thickBot="1" x14ac:dyDescent="0.25">
      <c r="A130" s="77">
        <v>119</v>
      </c>
      <c r="B130" s="78" t="e">
        <f>+'Necesidades Trimestrales'!#REF!</f>
        <v>#REF!</v>
      </c>
      <c r="C130" s="172" t="e">
        <f>+'Necesidades Trimestrales'!#REF!</f>
        <v>#REF!</v>
      </c>
      <c r="D130" s="173"/>
      <c r="E130" s="173"/>
      <c r="F130" s="173"/>
      <c r="G130" s="173"/>
      <c r="H130" s="77" t="s">
        <v>46</v>
      </c>
      <c r="I130" s="79" t="e">
        <f>+'Necesidades Trimestrales'!#REF!</f>
        <v>#REF!</v>
      </c>
      <c r="J130" s="80" t="e">
        <f>+'Necesidades Trimestrales'!#REF!</f>
        <v>#REF!</v>
      </c>
      <c r="K130" s="81" t="e">
        <f>+'Necesidades Trimestrales'!#REF!</f>
        <v>#REF!</v>
      </c>
    </row>
    <row r="131" spans="1:11" ht="32.25" customHeight="1" thickBot="1" x14ac:dyDescent="0.25">
      <c r="A131" s="77">
        <v>120</v>
      </c>
      <c r="B131" s="78" t="e">
        <f>+'Necesidades Trimestrales'!#REF!</f>
        <v>#REF!</v>
      </c>
      <c r="C131" s="172" t="e">
        <f>+'Necesidades Trimestrales'!#REF!</f>
        <v>#REF!</v>
      </c>
      <c r="D131" s="173"/>
      <c r="E131" s="173"/>
      <c r="F131" s="173"/>
      <c r="G131" s="173"/>
      <c r="H131" s="77" t="s">
        <v>46</v>
      </c>
      <c r="I131" s="79" t="e">
        <f>+'Necesidades Trimestrales'!#REF!</f>
        <v>#REF!</v>
      </c>
      <c r="J131" s="80" t="e">
        <f>+'Necesidades Trimestrales'!#REF!</f>
        <v>#REF!</v>
      </c>
      <c r="K131" s="81" t="e">
        <f>+'Necesidades Trimestrales'!#REF!</f>
        <v>#REF!</v>
      </c>
    </row>
    <row r="132" spans="1:11" ht="32.25" customHeight="1" thickBot="1" x14ac:dyDescent="0.25">
      <c r="A132" s="77">
        <v>121</v>
      </c>
      <c r="B132" s="78" t="e">
        <f>+'Necesidades Trimestrales'!#REF!</f>
        <v>#REF!</v>
      </c>
      <c r="C132" s="172" t="e">
        <f>+'Necesidades Trimestrales'!#REF!</f>
        <v>#REF!</v>
      </c>
      <c r="D132" s="173"/>
      <c r="E132" s="173"/>
      <c r="F132" s="173"/>
      <c r="G132" s="173"/>
      <c r="H132" s="77" t="s">
        <v>46</v>
      </c>
      <c r="I132" s="79" t="e">
        <f>+'Necesidades Trimestrales'!#REF!</f>
        <v>#REF!</v>
      </c>
      <c r="J132" s="80" t="e">
        <f>+'Necesidades Trimestrales'!#REF!</f>
        <v>#REF!</v>
      </c>
      <c r="K132" s="81" t="e">
        <f>+'Necesidades Trimestrales'!#REF!</f>
        <v>#REF!</v>
      </c>
    </row>
    <row r="133" spans="1:11" ht="32.25" customHeight="1" thickBot="1" x14ac:dyDescent="0.25">
      <c r="A133" s="77">
        <v>122</v>
      </c>
      <c r="B133" s="78" t="e">
        <f>+'Necesidades Trimestrales'!#REF!</f>
        <v>#REF!</v>
      </c>
      <c r="C133" s="172" t="e">
        <f>+'Necesidades Trimestrales'!#REF!</f>
        <v>#REF!</v>
      </c>
      <c r="D133" s="173"/>
      <c r="E133" s="173"/>
      <c r="F133" s="173"/>
      <c r="G133" s="173"/>
      <c r="H133" s="77" t="s">
        <v>46</v>
      </c>
      <c r="I133" s="79" t="e">
        <f>+'Necesidades Trimestrales'!#REF!</f>
        <v>#REF!</v>
      </c>
      <c r="J133" s="80" t="e">
        <f>+'Necesidades Trimestrales'!#REF!</f>
        <v>#REF!</v>
      </c>
      <c r="K133" s="81" t="e">
        <f>+'Necesidades Trimestrales'!#REF!</f>
        <v>#REF!</v>
      </c>
    </row>
    <row r="134" spans="1:11" ht="32.25" customHeight="1" thickBot="1" x14ac:dyDescent="0.25">
      <c r="A134" s="77">
        <v>123</v>
      </c>
      <c r="B134" s="78" t="e">
        <f>+'Necesidades Trimestrales'!#REF!</f>
        <v>#REF!</v>
      </c>
      <c r="C134" s="172" t="e">
        <f>+'Necesidades Trimestrales'!#REF!</f>
        <v>#REF!</v>
      </c>
      <c r="D134" s="173"/>
      <c r="E134" s="173"/>
      <c r="F134" s="173"/>
      <c r="G134" s="173"/>
      <c r="H134" s="77" t="s">
        <v>46</v>
      </c>
      <c r="I134" s="79" t="e">
        <f>+'Necesidades Trimestrales'!#REF!</f>
        <v>#REF!</v>
      </c>
      <c r="J134" s="80" t="e">
        <f>+'Necesidades Trimestrales'!#REF!</f>
        <v>#REF!</v>
      </c>
      <c r="K134" s="81" t="e">
        <f>+'Necesidades Trimestrales'!#REF!</f>
        <v>#REF!</v>
      </c>
    </row>
    <row r="135" spans="1:11" ht="32.25" customHeight="1" thickBot="1" x14ac:dyDescent="0.25">
      <c r="A135" s="77">
        <v>124</v>
      </c>
      <c r="B135" s="78" t="e">
        <f>+'Necesidades Trimestrales'!#REF!</f>
        <v>#REF!</v>
      </c>
      <c r="C135" s="172" t="e">
        <f>+'Necesidades Trimestrales'!#REF!</f>
        <v>#REF!</v>
      </c>
      <c r="D135" s="173"/>
      <c r="E135" s="173"/>
      <c r="F135" s="173"/>
      <c r="G135" s="173"/>
      <c r="H135" s="77" t="s">
        <v>46</v>
      </c>
      <c r="I135" s="79" t="e">
        <f>+'Necesidades Trimestrales'!#REF!</f>
        <v>#REF!</v>
      </c>
      <c r="J135" s="80" t="e">
        <f>+'Necesidades Trimestrales'!#REF!</f>
        <v>#REF!</v>
      </c>
      <c r="K135" s="81" t="e">
        <f>+'Necesidades Trimestrales'!#REF!</f>
        <v>#REF!</v>
      </c>
    </row>
    <row r="136" spans="1:11" ht="32.25" customHeight="1" thickBot="1" x14ac:dyDescent="0.25">
      <c r="A136" s="77">
        <v>125</v>
      </c>
      <c r="B136" s="78" t="e">
        <f>+'Necesidades Trimestrales'!#REF!</f>
        <v>#REF!</v>
      </c>
      <c r="C136" s="172" t="e">
        <f>+'Necesidades Trimestrales'!#REF!</f>
        <v>#REF!</v>
      </c>
      <c r="D136" s="173"/>
      <c r="E136" s="173"/>
      <c r="F136" s="173"/>
      <c r="G136" s="173"/>
      <c r="H136" s="77" t="s">
        <v>46</v>
      </c>
      <c r="I136" s="79" t="e">
        <f>+'Necesidades Trimestrales'!#REF!</f>
        <v>#REF!</v>
      </c>
      <c r="J136" s="80" t="e">
        <f>+'Necesidades Trimestrales'!#REF!</f>
        <v>#REF!</v>
      </c>
      <c r="K136" s="81" t="e">
        <f>+'Necesidades Trimestrales'!#REF!</f>
        <v>#REF!</v>
      </c>
    </row>
    <row r="137" spans="1:11" ht="32.25" customHeight="1" thickBot="1" x14ac:dyDescent="0.25">
      <c r="A137" s="77">
        <v>126</v>
      </c>
      <c r="B137" s="78" t="e">
        <f>+'Necesidades Trimestrales'!#REF!</f>
        <v>#REF!</v>
      </c>
      <c r="C137" s="172" t="e">
        <f>+'Necesidades Trimestrales'!#REF!</f>
        <v>#REF!</v>
      </c>
      <c r="D137" s="173"/>
      <c r="E137" s="173"/>
      <c r="F137" s="173"/>
      <c r="G137" s="173"/>
      <c r="H137" s="77" t="s">
        <v>46</v>
      </c>
      <c r="I137" s="79" t="e">
        <f>+'Necesidades Trimestrales'!#REF!</f>
        <v>#REF!</v>
      </c>
      <c r="J137" s="80" t="e">
        <f>+'Necesidades Trimestrales'!#REF!</f>
        <v>#REF!</v>
      </c>
      <c r="K137" s="81" t="e">
        <f>+'Necesidades Trimestrales'!#REF!</f>
        <v>#REF!</v>
      </c>
    </row>
    <row r="138" spans="1:11" ht="32.25" customHeight="1" thickBot="1" x14ac:dyDescent="0.25">
      <c r="A138" s="77">
        <v>127</v>
      </c>
      <c r="B138" s="78" t="e">
        <f>+'Necesidades Trimestrales'!#REF!</f>
        <v>#REF!</v>
      </c>
      <c r="C138" s="172" t="e">
        <f>+'Necesidades Trimestrales'!#REF!</f>
        <v>#REF!</v>
      </c>
      <c r="D138" s="173"/>
      <c r="E138" s="173"/>
      <c r="F138" s="173"/>
      <c r="G138" s="173"/>
      <c r="H138" s="77" t="s">
        <v>46</v>
      </c>
      <c r="I138" s="79" t="e">
        <f>+'Necesidades Trimestrales'!#REF!</f>
        <v>#REF!</v>
      </c>
      <c r="J138" s="80" t="e">
        <f>+'Necesidades Trimestrales'!#REF!</f>
        <v>#REF!</v>
      </c>
      <c r="K138" s="81" t="e">
        <f>+'Necesidades Trimestrales'!#REF!</f>
        <v>#REF!</v>
      </c>
    </row>
    <row r="139" spans="1:11" ht="32.25" customHeight="1" thickBot="1" x14ac:dyDescent="0.25">
      <c r="A139" s="77">
        <v>128</v>
      </c>
      <c r="B139" s="78" t="e">
        <f>+'Necesidades Trimestrales'!#REF!</f>
        <v>#REF!</v>
      </c>
      <c r="C139" s="172" t="e">
        <f>+'Necesidades Trimestrales'!#REF!</f>
        <v>#REF!</v>
      </c>
      <c r="D139" s="173"/>
      <c r="E139" s="173"/>
      <c r="F139" s="173"/>
      <c r="G139" s="173"/>
      <c r="H139" s="77" t="s">
        <v>46</v>
      </c>
      <c r="I139" s="79" t="e">
        <f>+'Necesidades Trimestrales'!#REF!</f>
        <v>#REF!</v>
      </c>
      <c r="J139" s="80" t="e">
        <f>+'Necesidades Trimestrales'!#REF!</f>
        <v>#REF!</v>
      </c>
      <c r="K139" s="81" t="e">
        <f>+'Necesidades Trimestrales'!#REF!</f>
        <v>#REF!</v>
      </c>
    </row>
    <row r="140" spans="1:11" ht="32.25" customHeight="1" thickBot="1" x14ac:dyDescent="0.25">
      <c r="A140" s="77">
        <v>129</v>
      </c>
      <c r="B140" s="78" t="e">
        <f>+'Necesidades Trimestrales'!#REF!</f>
        <v>#REF!</v>
      </c>
      <c r="C140" s="172" t="e">
        <f>+'Necesidades Trimestrales'!#REF!</f>
        <v>#REF!</v>
      </c>
      <c r="D140" s="173"/>
      <c r="E140" s="173"/>
      <c r="F140" s="173"/>
      <c r="G140" s="173"/>
      <c r="H140" s="77" t="s">
        <v>46</v>
      </c>
      <c r="I140" s="79" t="e">
        <f>+'Necesidades Trimestrales'!#REF!</f>
        <v>#REF!</v>
      </c>
      <c r="J140" s="80" t="e">
        <f>+'Necesidades Trimestrales'!#REF!</f>
        <v>#REF!</v>
      </c>
      <c r="K140" s="81" t="e">
        <f>+'Necesidades Trimestrales'!#REF!</f>
        <v>#REF!</v>
      </c>
    </row>
    <row r="141" spans="1:11" ht="32.25" customHeight="1" thickBot="1" x14ac:dyDescent="0.25">
      <c r="A141" s="77">
        <v>130</v>
      </c>
      <c r="B141" s="78" t="e">
        <f>+'Necesidades Trimestrales'!#REF!</f>
        <v>#REF!</v>
      </c>
      <c r="C141" s="172" t="e">
        <f>+'Necesidades Trimestrales'!#REF!</f>
        <v>#REF!</v>
      </c>
      <c r="D141" s="173"/>
      <c r="E141" s="173"/>
      <c r="F141" s="173"/>
      <c r="G141" s="173"/>
      <c r="H141" s="77" t="s">
        <v>46</v>
      </c>
      <c r="I141" s="79" t="e">
        <f>+'Necesidades Trimestrales'!#REF!</f>
        <v>#REF!</v>
      </c>
      <c r="J141" s="80" t="e">
        <f>+'Necesidades Trimestrales'!#REF!</f>
        <v>#REF!</v>
      </c>
      <c r="K141" s="81" t="e">
        <f>+'Necesidades Trimestrales'!#REF!</f>
        <v>#REF!</v>
      </c>
    </row>
    <row r="142" spans="1:11" ht="32.25" customHeight="1" thickBot="1" x14ac:dyDescent="0.25">
      <c r="A142" s="77">
        <v>131</v>
      </c>
      <c r="B142" s="78" t="e">
        <f>+'Necesidades Trimestrales'!#REF!</f>
        <v>#REF!</v>
      </c>
      <c r="C142" s="172" t="e">
        <f>+'Necesidades Trimestrales'!#REF!</f>
        <v>#REF!</v>
      </c>
      <c r="D142" s="173"/>
      <c r="E142" s="173"/>
      <c r="F142" s="173"/>
      <c r="G142" s="173"/>
      <c r="H142" s="77" t="s">
        <v>46</v>
      </c>
      <c r="I142" s="79" t="e">
        <f>+'Necesidades Trimestrales'!#REF!</f>
        <v>#REF!</v>
      </c>
      <c r="J142" s="80" t="e">
        <f>+'Necesidades Trimestrales'!#REF!</f>
        <v>#REF!</v>
      </c>
      <c r="K142" s="81" t="e">
        <f>+'Necesidades Trimestrales'!#REF!</f>
        <v>#REF!</v>
      </c>
    </row>
    <row r="143" spans="1:11" ht="32.25" customHeight="1" thickBot="1" x14ac:dyDescent="0.25">
      <c r="A143" s="77">
        <v>132</v>
      </c>
      <c r="B143" s="78" t="e">
        <f>+'Necesidades Trimestrales'!#REF!</f>
        <v>#REF!</v>
      </c>
      <c r="C143" s="172" t="e">
        <f>+'Necesidades Trimestrales'!#REF!</f>
        <v>#REF!</v>
      </c>
      <c r="D143" s="173"/>
      <c r="E143" s="173"/>
      <c r="F143" s="173"/>
      <c r="G143" s="173"/>
      <c r="H143" s="77" t="s">
        <v>46</v>
      </c>
      <c r="I143" s="79" t="e">
        <f>+'Necesidades Trimestrales'!#REF!</f>
        <v>#REF!</v>
      </c>
      <c r="J143" s="80" t="e">
        <f>+'Necesidades Trimestrales'!#REF!</f>
        <v>#REF!</v>
      </c>
      <c r="K143" s="81" t="e">
        <f>+'Necesidades Trimestrales'!#REF!</f>
        <v>#REF!</v>
      </c>
    </row>
    <row r="144" spans="1:11" ht="32.25" customHeight="1" thickBot="1" x14ac:dyDescent="0.25">
      <c r="A144" s="77">
        <v>133</v>
      </c>
      <c r="B144" s="78" t="e">
        <f>+'Necesidades Trimestrales'!#REF!</f>
        <v>#REF!</v>
      </c>
      <c r="C144" s="172" t="e">
        <f>+'Necesidades Trimestrales'!#REF!</f>
        <v>#REF!</v>
      </c>
      <c r="D144" s="173"/>
      <c r="E144" s="173"/>
      <c r="F144" s="173"/>
      <c r="G144" s="173"/>
      <c r="H144" s="77" t="s">
        <v>46</v>
      </c>
      <c r="I144" s="79" t="e">
        <f>+'Necesidades Trimestrales'!#REF!</f>
        <v>#REF!</v>
      </c>
      <c r="J144" s="80" t="e">
        <f>+'Necesidades Trimestrales'!#REF!</f>
        <v>#REF!</v>
      </c>
      <c r="K144" s="81" t="e">
        <f>+'Necesidades Trimestrales'!#REF!</f>
        <v>#REF!</v>
      </c>
    </row>
    <row r="145" spans="1:11" ht="32.25" customHeight="1" thickBot="1" x14ac:dyDescent="0.25">
      <c r="A145" s="77">
        <v>134</v>
      </c>
      <c r="B145" s="78" t="e">
        <f>+'Necesidades Trimestrales'!#REF!</f>
        <v>#REF!</v>
      </c>
      <c r="C145" s="172" t="e">
        <f>+'Necesidades Trimestrales'!#REF!</f>
        <v>#REF!</v>
      </c>
      <c r="D145" s="173"/>
      <c r="E145" s="173"/>
      <c r="F145" s="173"/>
      <c r="G145" s="173"/>
      <c r="H145" s="77" t="s">
        <v>46</v>
      </c>
      <c r="I145" s="79" t="e">
        <f>+'Necesidades Trimestrales'!#REF!</f>
        <v>#REF!</v>
      </c>
      <c r="J145" s="80" t="e">
        <f>+'Necesidades Trimestrales'!#REF!</f>
        <v>#REF!</v>
      </c>
      <c r="K145" s="81" t="e">
        <f>+'Necesidades Trimestrales'!#REF!</f>
        <v>#REF!</v>
      </c>
    </row>
    <row r="146" spans="1:11" ht="12.75" customHeight="1" thickBot="1" x14ac:dyDescent="0.25">
      <c r="A146" s="174" t="s">
        <v>47</v>
      </c>
      <c r="B146" s="173"/>
      <c r="C146" s="173"/>
      <c r="D146" s="173"/>
      <c r="E146" s="173"/>
      <c r="F146" s="173"/>
      <c r="G146" s="173"/>
      <c r="H146" s="173"/>
      <c r="I146" s="173"/>
      <c r="J146" s="175" t="e">
        <f>SUMPRODUCT(J12:J145,K12:K145)</f>
        <v>#REF!</v>
      </c>
      <c r="K146" s="173"/>
    </row>
  </sheetData>
  <mergeCells count="156">
    <mergeCell ref="C13:G13"/>
    <mergeCell ref="C14:G14"/>
    <mergeCell ref="C15:G15"/>
    <mergeCell ref="C16:G16"/>
    <mergeCell ref="C54:G54"/>
    <mergeCell ref="C55:G55"/>
    <mergeCell ref="C70:G70"/>
    <mergeCell ref="C61:G61"/>
    <mergeCell ref="C62:G62"/>
    <mergeCell ref="C63:G63"/>
    <mergeCell ref="C64:G64"/>
    <mergeCell ref="C65:G65"/>
    <mergeCell ref="C53:G53"/>
    <mergeCell ref="C34:G34"/>
    <mergeCell ref="C35:G35"/>
    <mergeCell ref="C51:G51"/>
    <mergeCell ref="C52:G52"/>
    <mergeCell ref="C42:G42"/>
    <mergeCell ref="C43:G43"/>
    <mergeCell ref="C24:G24"/>
    <mergeCell ref="C25:G25"/>
    <mergeCell ref="C37:G37"/>
    <mergeCell ref="C38:G38"/>
    <mergeCell ref="C39:G39"/>
    <mergeCell ref="C40:G40"/>
    <mergeCell ref="C41:G41"/>
    <mergeCell ref="C79:G79"/>
    <mergeCell ref="C60:G60"/>
    <mergeCell ref="C45:G45"/>
    <mergeCell ref="C36:G36"/>
    <mergeCell ref="C46:G46"/>
    <mergeCell ref="C47:G47"/>
    <mergeCell ref="C48:G48"/>
    <mergeCell ref="C49:G49"/>
    <mergeCell ref="C50:G50"/>
    <mergeCell ref="C56:G56"/>
    <mergeCell ref="C57:G57"/>
    <mergeCell ref="C71:G71"/>
    <mergeCell ref="C72:G72"/>
    <mergeCell ref="C66:G66"/>
    <mergeCell ref="C67:G67"/>
    <mergeCell ref="C68:G68"/>
    <mergeCell ref="C69:G69"/>
    <mergeCell ref="C75:G75"/>
    <mergeCell ref="C76:G76"/>
    <mergeCell ref="A1:I1"/>
    <mergeCell ref="D6:K6"/>
    <mergeCell ref="D7:K7"/>
    <mergeCell ref="D8:K8"/>
    <mergeCell ref="K10:K11"/>
    <mergeCell ref="C59:G59"/>
    <mergeCell ref="C58:G58"/>
    <mergeCell ref="C12:G12"/>
    <mergeCell ref="C23:G23"/>
    <mergeCell ref="C18:G18"/>
    <mergeCell ref="C19:G19"/>
    <mergeCell ref="C20:G20"/>
    <mergeCell ref="C21:G21"/>
    <mergeCell ref="C22:G22"/>
    <mergeCell ref="C17:G17"/>
    <mergeCell ref="C26:G26"/>
    <mergeCell ref="C27:G27"/>
    <mergeCell ref="C28:G28"/>
    <mergeCell ref="C29:G29"/>
    <mergeCell ref="C30:G30"/>
    <mergeCell ref="C31:G31"/>
    <mergeCell ref="C32:G32"/>
    <mergeCell ref="C33:G33"/>
    <mergeCell ref="C44:G44"/>
    <mergeCell ref="C84:G84"/>
    <mergeCell ref="C80:G80"/>
    <mergeCell ref="C81:G81"/>
    <mergeCell ref="C82:G82"/>
    <mergeCell ref="C83:G83"/>
    <mergeCell ref="C73:G73"/>
    <mergeCell ref="C74:G74"/>
    <mergeCell ref="C77:G77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J10:J11"/>
    <mergeCell ref="C78:G78"/>
    <mergeCell ref="C94:G94"/>
    <mergeCell ref="C88:G88"/>
    <mergeCell ref="C89:G89"/>
    <mergeCell ref="C90:G90"/>
    <mergeCell ref="C91:G91"/>
    <mergeCell ref="C92:G92"/>
    <mergeCell ref="C93:G93"/>
    <mergeCell ref="C85:G85"/>
    <mergeCell ref="C86:G86"/>
    <mergeCell ref="C87:G87"/>
    <mergeCell ref="C104:G104"/>
    <mergeCell ref="C98:G98"/>
    <mergeCell ref="C99:G99"/>
    <mergeCell ref="C100:G100"/>
    <mergeCell ref="C101:G101"/>
    <mergeCell ref="C102:G102"/>
    <mergeCell ref="C103:G103"/>
    <mergeCell ref="C95:G95"/>
    <mergeCell ref="C96:G96"/>
    <mergeCell ref="C97:G97"/>
    <mergeCell ref="C108:G108"/>
    <mergeCell ref="C109:G109"/>
    <mergeCell ref="C110:G110"/>
    <mergeCell ref="C111:G111"/>
    <mergeCell ref="C112:G112"/>
    <mergeCell ref="C105:G105"/>
    <mergeCell ref="C106:G106"/>
    <mergeCell ref="C107:G107"/>
    <mergeCell ref="C114:G114"/>
    <mergeCell ref="C115:G115"/>
    <mergeCell ref="C116:G116"/>
    <mergeCell ref="C113:G113"/>
    <mergeCell ref="C144:G144"/>
    <mergeCell ref="A146:I146"/>
    <mergeCell ref="J146:K146"/>
    <mergeCell ref="C139:G139"/>
    <mergeCell ref="C140:G140"/>
    <mergeCell ref="C141:G141"/>
    <mergeCell ref="C142:G142"/>
    <mergeCell ref="C143:G143"/>
    <mergeCell ref="C134:G134"/>
    <mergeCell ref="C133:G133"/>
    <mergeCell ref="C124:G124"/>
    <mergeCell ref="C125:G125"/>
    <mergeCell ref="C126:G126"/>
    <mergeCell ref="C123:G123"/>
    <mergeCell ref="C117:G117"/>
    <mergeCell ref="C118:G118"/>
    <mergeCell ref="C119:G119"/>
    <mergeCell ref="C120:G120"/>
    <mergeCell ref="C121:G121"/>
    <mergeCell ref="C122:G122"/>
    <mergeCell ref="C145:G145"/>
    <mergeCell ref="C135:G135"/>
    <mergeCell ref="C136:G136"/>
    <mergeCell ref="C137:G137"/>
    <mergeCell ref="C138:G138"/>
    <mergeCell ref="C127:G127"/>
    <mergeCell ref="C128:G128"/>
    <mergeCell ref="C129:G129"/>
    <mergeCell ref="C130:G130"/>
    <mergeCell ref="C131:G131"/>
    <mergeCell ref="C132:G132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activeCell="O15" sqref="O15:P15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219" t="s">
        <v>5</v>
      </c>
      <c r="B1" s="180"/>
      <c r="C1" s="180"/>
      <c r="D1" s="220">
        <f>'Necesidades Trimestrales'!C6</f>
        <v>2022</v>
      </c>
      <c r="E1" s="181"/>
      <c r="F1" s="12"/>
      <c r="G1" s="12"/>
      <c r="H1" s="13"/>
      <c r="I1" s="13"/>
      <c r="J1" s="13"/>
      <c r="K1" s="13"/>
      <c r="L1" s="13"/>
      <c r="M1" s="13"/>
      <c r="N1" s="13"/>
      <c r="P1" s="214" t="s">
        <v>48</v>
      </c>
      <c r="Q1" s="195"/>
    </row>
    <row r="2" spans="1:18" ht="15.75" customHeight="1" x14ac:dyDescent="0.2">
      <c r="G2" s="14"/>
      <c r="H2" s="13"/>
      <c r="I2" s="13"/>
      <c r="J2" s="13"/>
      <c r="K2" s="13"/>
      <c r="L2" s="13"/>
      <c r="M2" s="13"/>
      <c r="N2" s="13"/>
      <c r="P2" s="215"/>
      <c r="Q2" s="216"/>
    </row>
    <row r="3" spans="1:18" ht="12.75" customHeight="1" x14ac:dyDescent="0.2">
      <c r="G3" s="14"/>
    </row>
    <row r="4" spans="1:18" ht="18" customHeight="1" x14ac:dyDescent="0.2">
      <c r="A4" s="217" t="s">
        <v>49</v>
      </c>
      <c r="B4" s="177"/>
      <c r="C4" s="177"/>
      <c r="D4" s="177"/>
      <c r="E4" s="177"/>
      <c r="F4" s="197"/>
      <c r="G4" s="218" t="str">
        <f>' NotaPedido'!D3</f>
        <v>040 - Ministerio de Salud</v>
      </c>
      <c r="H4" s="177"/>
      <c r="I4" s="177"/>
      <c r="J4" s="177"/>
      <c r="K4" s="177"/>
      <c r="L4" s="177"/>
      <c r="M4" s="177"/>
      <c r="N4" s="177"/>
      <c r="O4" s="177"/>
      <c r="P4" s="177"/>
      <c r="Q4" s="197"/>
      <c r="R4" s="15"/>
    </row>
    <row r="5" spans="1:18" ht="18" customHeight="1" x14ac:dyDescent="0.2">
      <c r="A5" s="208" t="s">
        <v>31</v>
      </c>
      <c r="B5" s="177"/>
      <c r="C5" s="177"/>
      <c r="D5" s="177"/>
      <c r="E5" s="177"/>
      <c r="F5" s="197"/>
      <c r="G5" s="209" t="str">
        <f>' NotaPedido'!D4</f>
        <v>11/ 23/ 24  o  28- "…......."</v>
      </c>
      <c r="H5" s="177"/>
      <c r="I5" s="177"/>
      <c r="J5" s="177"/>
      <c r="K5" s="177"/>
      <c r="L5" s="177"/>
      <c r="M5" s="177"/>
      <c r="N5" s="177"/>
      <c r="O5" s="177"/>
      <c r="P5" s="177"/>
      <c r="Q5" s="197"/>
      <c r="R5" s="15"/>
    </row>
    <row r="6" spans="1:18" ht="18" customHeight="1" x14ac:dyDescent="0.2">
      <c r="A6" s="208" t="s">
        <v>32</v>
      </c>
      <c r="B6" s="177"/>
      <c r="C6" s="177"/>
      <c r="D6" s="177"/>
      <c r="E6" s="177"/>
      <c r="F6" s="197"/>
      <c r="G6" s="209" t="str">
        <f>' NotaPedido'!D5</f>
        <v>XXXX</v>
      </c>
      <c r="H6" s="177"/>
      <c r="I6" s="177"/>
      <c r="J6" s="177"/>
      <c r="K6" s="177"/>
      <c r="L6" s="177"/>
      <c r="M6" s="177"/>
      <c r="N6" s="177"/>
      <c r="O6" s="177"/>
      <c r="P6" s="177"/>
      <c r="Q6" s="197"/>
      <c r="R6" s="15"/>
    </row>
    <row r="7" spans="1:18" ht="18" customHeight="1" x14ac:dyDescent="0.2">
      <c r="A7" s="208" t="s">
        <v>34</v>
      </c>
      <c r="B7" s="177"/>
      <c r="C7" s="177"/>
      <c r="D7" s="177"/>
      <c r="E7" s="177"/>
      <c r="F7" s="197"/>
      <c r="G7" s="209" t="str">
        <f>' NotaPedido'!D6</f>
        <v>XXXX</v>
      </c>
      <c r="H7" s="177"/>
      <c r="I7" s="177"/>
      <c r="J7" s="177"/>
      <c r="K7" s="177"/>
      <c r="L7" s="177"/>
      <c r="M7" s="177"/>
      <c r="N7" s="177"/>
      <c r="O7" s="177"/>
      <c r="P7" s="177"/>
      <c r="Q7" s="197"/>
      <c r="R7" s="15"/>
    </row>
    <row r="8" spans="1:18" ht="18" customHeight="1" x14ac:dyDescent="0.2">
      <c r="A8" s="207" t="s">
        <v>50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97"/>
    </row>
    <row r="9" spans="1:18" ht="18" customHeight="1" x14ac:dyDescent="0.2">
      <c r="A9" s="210" t="s">
        <v>51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15"/>
      <c r="P9" s="15"/>
      <c r="Q9" s="16"/>
    </row>
    <row r="10" spans="1:18" ht="54.75" customHeight="1" x14ac:dyDescent="0.2">
      <c r="A10" s="212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213"/>
    </row>
    <row r="11" spans="1:18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8" ht="15.75" customHeight="1" x14ac:dyDescent="0.2">
      <c r="A12" s="193" t="s">
        <v>52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5"/>
    </row>
    <row r="13" spans="1:18" ht="15.75" customHeight="1" x14ac:dyDescent="0.2">
      <c r="A13" s="196" t="s">
        <v>53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97"/>
      <c r="O13" s="199" t="s">
        <v>54</v>
      </c>
      <c r="P13" s="195"/>
      <c r="Q13" s="202" t="s">
        <v>55</v>
      </c>
    </row>
    <row r="14" spans="1:18" ht="15.75" customHeight="1" thickBot="1" x14ac:dyDescent="0.25">
      <c r="A14" s="21" t="s">
        <v>56</v>
      </c>
      <c r="B14" s="22" t="s">
        <v>57</v>
      </c>
      <c r="C14" s="22" t="s">
        <v>58</v>
      </c>
      <c r="D14" s="22" t="s">
        <v>59</v>
      </c>
      <c r="E14" s="22" t="s">
        <v>60</v>
      </c>
      <c r="F14" s="22" t="s">
        <v>61</v>
      </c>
      <c r="G14" s="23" t="s">
        <v>62</v>
      </c>
      <c r="H14" s="22" t="s">
        <v>63</v>
      </c>
      <c r="I14" s="22" t="s">
        <v>64</v>
      </c>
      <c r="J14" s="22" t="s">
        <v>65</v>
      </c>
      <c r="K14" s="22" t="s">
        <v>65</v>
      </c>
      <c r="L14" s="22" t="s">
        <v>66</v>
      </c>
      <c r="M14" s="24" t="s">
        <v>67</v>
      </c>
      <c r="N14" s="25" t="s">
        <v>68</v>
      </c>
      <c r="O14" s="200"/>
      <c r="P14" s="201"/>
      <c r="Q14" s="201"/>
    </row>
    <row r="15" spans="1:18" ht="26.25" customHeight="1" x14ac:dyDescent="0.2">
      <c r="A15" s="26"/>
      <c r="B15" s="27"/>
      <c r="C15" s="27"/>
      <c r="D15" s="28"/>
      <c r="E15" s="27"/>
      <c r="F15" s="27">
        <v>4901</v>
      </c>
      <c r="G15" s="27">
        <v>3</v>
      </c>
      <c r="H15" s="27">
        <v>310</v>
      </c>
      <c r="I15" s="28">
        <v>2</v>
      </c>
      <c r="J15" s="28">
        <v>5</v>
      </c>
      <c r="K15" s="28">
        <v>2</v>
      </c>
      <c r="L15" s="27"/>
      <c r="M15" s="29">
        <v>1</v>
      </c>
      <c r="N15" s="27" t="s">
        <v>69</v>
      </c>
      <c r="O15" s="203" t="s">
        <v>95</v>
      </c>
      <c r="P15" s="204"/>
      <c r="Q15" s="30"/>
    </row>
    <row r="16" spans="1:18" ht="17.25" customHeight="1" x14ac:dyDescent="0.2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  <c r="O16" s="205"/>
      <c r="P16" s="206"/>
      <c r="Q16" s="35"/>
    </row>
    <row r="17" spans="1:18" ht="17.25" customHeight="1" x14ac:dyDescent="0.2">
      <c r="A17" s="31"/>
      <c r="B17" s="32"/>
      <c r="C17" s="32"/>
      <c r="D17" s="32"/>
      <c r="E17" s="32"/>
      <c r="F17" s="34"/>
      <c r="G17" s="32"/>
      <c r="H17" s="32"/>
      <c r="I17" s="32"/>
      <c r="J17" s="32"/>
      <c r="K17" s="32"/>
      <c r="L17" s="32"/>
      <c r="M17" s="33"/>
      <c r="N17" s="34"/>
      <c r="O17" s="205"/>
      <c r="P17" s="206"/>
      <c r="Q17" s="35"/>
    </row>
    <row r="18" spans="1:18" ht="17.25" customHeight="1" x14ac:dyDescent="0.2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205"/>
      <c r="P18" s="206"/>
      <c r="Q18" s="35"/>
    </row>
    <row r="19" spans="1:18" ht="17.25" customHeight="1" x14ac:dyDescent="0.2">
      <c r="A19" s="31"/>
      <c r="B19" s="32"/>
      <c r="C19" s="32"/>
      <c r="D19" s="32"/>
      <c r="E19" s="32"/>
      <c r="F19" s="34"/>
      <c r="G19" s="32"/>
      <c r="H19" s="32"/>
      <c r="I19" s="32"/>
      <c r="J19" s="32"/>
      <c r="K19" s="32"/>
      <c r="L19" s="32"/>
      <c r="M19" s="33"/>
      <c r="N19" s="34"/>
      <c r="O19" s="205"/>
      <c r="P19" s="206"/>
      <c r="Q19" s="35"/>
    </row>
    <row r="20" spans="1:18" ht="17.25" customHeight="1" x14ac:dyDescent="0.2">
      <c r="A20" s="31"/>
      <c r="B20" s="32"/>
      <c r="C20" s="32"/>
      <c r="D20" s="32"/>
      <c r="E20" s="32"/>
      <c r="F20" s="34"/>
      <c r="G20" s="32"/>
      <c r="H20" s="32"/>
      <c r="I20" s="32"/>
      <c r="J20" s="32"/>
      <c r="K20" s="32"/>
      <c r="L20" s="32"/>
      <c r="M20" s="33"/>
      <c r="N20" s="34"/>
      <c r="O20" s="205"/>
      <c r="P20" s="206"/>
      <c r="Q20" s="35"/>
    </row>
    <row r="21" spans="1:18" ht="17.25" customHeight="1" x14ac:dyDescent="0.2">
      <c r="A21" s="36"/>
      <c r="B21" s="37"/>
      <c r="C21" s="37"/>
      <c r="D21" s="37"/>
      <c r="E21" s="37"/>
      <c r="F21" s="34"/>
      <c r="G21" s="37"/>
      <c r="H21" s="37"/>
      <c r="I21" s="37"/>
      <c r="J21" s="37"/>
      <c r="K21" s="37"/>
      <c r="L21" s="37"/>
      <c r="M21" s="38"/>
      <c r="N21" s="39"/>
      <c r="O21" s="205"/>
      <c r="P21" s="206"/>
      <c r="Q21" s="35"/>
      <c r="R21" s="15"/>
    </row>
    <row r="22" spans="1:18" ht="17.25" customHeight="1" x14ac:dyDescent="0.2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2"/>
      <c r="N22" s="41"/>
      <c r="O22" s="229"/>
      <c r="P22" s="230"/>
      <c r="Q22" s="43"/>
    </row>
    <row r="23" spans="1:18" ht="29.25" customHeight="1" x14ac:dyDescent="0.2">
      <c r="A23" s="225" t="s">
        <v>70</v>
      </c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7"/>
      <c r="Q23" s="44">
        <f>SUM(Q15:Q22)</f>
        <v>0</v>
      </c>
    </row>
    <row r="24" spans="1:18" ht="18" customHeight="1" x14ac:dyDescent="0.2">
      <c r="A24" s="228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5"/>
    </row>
    <row r="25" spans="1:18" ht="17.25" customHeight="1" x14ac:dyDescent="0.2">
      <c r="A25" s="231" t="s">
        <v>71</v>
      </c>
      <c r="B25" s="180"/>
      <c r="C25" s="180"/>
      <c r="D25" s="180"/>
      <c r="E25" s="180"/>
      <c r="F25" s="181"/>
      <c r="G25" s="198"/>
      <c r="H25" s="194"/>
      <c r="I25" s="194"/>
      <c r="J25" s="194"/>
      <c r="K25" s="194"/>
      <c r="L25" s="194"/>
      <c r="M25" s="194"/>
      <c r="N25" s="194"/>
      <c r="O25" s="194"/>
      <c r="P25" s="194"/>
      <c r="Q25" s="195"/>
    </row>
    <row r="26" spans="1:18" ht="18" customHeight="1" x14ac:dyDescent="0.2">
      <c r="A26" s="221" t="s">
        <v>72</v>
      </c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3"/>
    </row>
    <row r="27" spans="1:18" ht="15" customHeight="1" x14ac:dyDescent="0.2">
      <c r="A27" s="215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16"/>
    </row>
    <row r="28" spans="1:18" ht="12.75" customHeight="1" x14ac:dyDescent="0.2">
      <c r="G28" s="14"/>
    </row>
    <row r="29" spans="1:18" ht="12.75" customHeight="1" x14ac:dyDescent="0.2">
      <c r="G29" s="14"/>
    </row>
    <row r="30" spans="1:18" ht="12.75" customHeight="1" x14ac:dyDescent="0.2">
      <c r="G30" s="14"/>
    </row>
    <row r="31" spans="1:18" ht="12.75" customHeight="1" x14ac:dyDescent="0.2">
      <c r="G31" s="14"/>
    </row>
    <row r="32" spans="1:18" ht="12.75" customHeight="1" x14ac:dyDescent="0.2">
      <c r="G32" s="14"/>
    </row>
    <row r="33" spans="7:7" ht="12.75" customHeight="1" x14ac:dyDescent="0.2">
      <c r="G33" s="14"/>
    </row>
    <row r="34" spans="7:7" ht="12.75" customHeight="1" x14ac:dyDescent="0.2">
      <c r="G34" s="14"/>
    </row>
    <row r="35" spans="7:7" ht="12.75" customHeight="1" x14ac:dyDescent="0.2">
      <c r="G35" s="14"/>
    </row>
    <row r="36" spans="7:7" ht="12.75" customHeight="1" x14ac:dyDescent="0.2">
      <c r="G36" s="14"/>
    </row>
    <row r="37" spans="7:7" ht="12.75" customHeight="1" x14ac:dyDescent="0.2">
      <c r="G37" s="14"/>
    </row>
    <row r="38" spans="7:7" ht="12.75" customHeight="1" x14ac:dyDescent="0.2">
      <c r="G38" s="14"/>
    </row>
    <row r="39" spans="7:7" ht="12.75" customHeight="1" x14ac:dyDescent="0.2">
      <c r="G39" s="14"/>
    </row>
    <row r="40" spans="7:7" ht="12.75" customHeight="1" x14ac:dyDescent="0.2">
      <c r="G40" s="14"/>
    </row>
    <row r="41" spans="7:7" ht="12.75" customHeight="1" x14ac:dyDescent="0.2">
      <c r="G41" s="14"/>
    </row>
    <row r="42" spans="7:7" ht="12.75" customHeight="1" x14ac:dyDescent="0.2">
      <c r="G42" s="14"/>
    </row>
    <row r="43" spans="7:7" ht="12.75" customHeight="1" x14ac:dyDescent="0.2">
      <c r="G43" s="14"/>
    </row>
    <row r="44" spans="7:7" ht="12.75" customHeight="1" x14ac:dyDescent="0.2">
      <c r="G44" s="14"/>
    </row>
    <row r="45" spans="7:7" ht="12.75" customHeight="1" x14ac:dyDescent="0.2">
      <c r="G45" s="14"/>
    </row>
    <row r="46" spans="7:7" ht="12.75" customHeight="1" x14ac:dyDescent="0.2">
      <c r="G46" s="14"/>
    </row>
    <row r="47" spans="7:7" ht="12.75" customHeight="1" x14ac:dyDescent="0.2">
      <c r="G47" s="14"/>
    </row>
    <row r="48" spans="7:7" ht="12.75" customHeight="1" x14ac:dyDescent="0.2">
      <c r="G48" s="14"/>
    </row>
    <row r="49" spans="7:7" ht="12.75" customHeight="1" x14ac:dyDescent="0.2">
      <c r="G49" s="14"/>
    </row>
    <row r="50" spans="7:7" ht="12.75" customHeight="1" x14ac:dyDescent="0.2">
      <c r="G50" s="14"/>
    </row>
    <row r="51" spans="7:7" ht="12.75" customHeight="1" x14ac:dyDescent="0.2">
      <c r="G51" s="14"/>
    </row>
    <row r="52" spans="7:7" ht="12.75" customHeight="1" x14ac:dyDescent="0.2">
      <c r="G52" s="14"/>
    </row>
    <row r="53" spans="7:7" ht="12.75" customHeight="1" x14ac:dyDescent="0.2">
      <c r="G53" s="14"/>
    </row>
    <row r="54" spans="7:7" ht="12.75" customHeight="1" x14ac:dyDescent="0.2">
      <c r="G54" s="14"/>
    </row>
    <row r="55" spans="7:7" ht="12.75" customHeight="1" x14ac:dyDescent="0.2">
      <c r="G55" s="14"/>
    </row>
    <row r="56" spans="7:7" ht="12.75" customHeight="1" x14ac:dyDescent="0.2">
      <c r="G56" s="14"/>
    </row>
    <row r="57" spans="7:7" ht="12.75" customHeight="1" x14ac:dyDescent="0.2">
      <c r="G57" s="14"/>
    </row>
    <row r="58" spans="7:7" ht="12.75" customHeight="1" x14ac:dyDescent="0.2">
      <c r="G58" s="14"/>
    </row>
    <row r="59" spans="7:7" ht="12.75" customHeight="1" x14ac:dyDescent="0.2">
      <c r="G59" s="14"/>
    </row>
    <row r="60" spans="7:7" ht="12.75" customHeight="1" x14ac:dyDescent="0.2">
      <c r="G60" s="14"/>
    </row>
    <row r="61" spans="7:7" ht="12.75" customHeight="1" x14ac:dyDescent="0.2">
      <c r="G61" s="14"/>
    </row>
    <row r="62" spans="7:7" ht="12.75" customHeight="1" x14ac:dyDescent="0.2">
      <c r="G62" s="14"/>
    </row>
    <row r="63" spans="7:7" ht="12.75" customHeight="1" x14ac:dyDescent="0.2">
      <c r="G63" s="14"/>
    </row>
    <row r="64" spans="7:7" ht="12.75" customHeight="1" x14ac:dyDescent="0.2">
      <c r="G64" s="14"/>
    </row>
    <row r="65" spans="7:7" ht="12.75" customHeight="1" x14ac:dyDescent="0.2">
      <c r="G65" s="14"/>
    </row>
    <row r="66" spans="7:7" ht="12.75" customHeight="1" x14ac:dyDescent="0.2">
      <c r="G66" s="14"/>
    </row>
    <row r="67" spans="7:7" ht="12.75" customHeight="1" x14ac:dyDescent="0.2">
      <c r="G67" s="14"/>
    </row>
    <row r="68" spans="7:7" ht="12.75" customHeight="1" x14ac:dyDescent="0.2">
      <c r="G68" s="14"/>
    </row>
    <row r="69" spans="7:7" ht="12.75" customHeight="1" x14ac:dyDescent="0.2">
      <c r="G69" s="14"/>
    </row>
    <row r="70" spans="7:7" ht="12.75" customHeight="1" x14ac:dyDescent="0.2">
      <c r="G70" s="14"/>
    </row>
    <row r="71" spans="7:7" ht="12.75" customHeight="1" x14ac:dyDescent="0.2">
      <c r="G71" s="14"/>
    </row>
    <row r="72" spans="7:7" ht="12.75" customHeight="1" x14ac:dyDescent="0.2">
      <c r="G72" s="14"/>
    </row>
    <row r="73" spans="7:7" ht="12.75" customHeight="1" x14ac:dyDescent="0.2">
      <c r="G73" s="14"/>
    </row>
    <row r="74" spans="7:7" ht="12.75" customHeight="1" x14ac:dyDescent="0.2">
      <c r="G74" s="14"/>
    </row>
    <row r="75" spans="7:7" ht="12.75" customHeight="1" x14ac:dyDescent="0.2">
      <c r="G75" s="14"/>
    </row>
    <row r="76" spans="7:7" ht="12.75" customHeight="1" x14ac:dyDescent="0.2">
      <c r="G76" s="14"/>
    </row>
    <row r="77" spans="7:7" ht="12.75" customHeight="1" x14ac:dyDescent="0.2">
      <c r="G77" s="14"/>
    </row>
    <row r="78" spans="7:7" ht="12.75" customHeight="1" x14ac:dyDescent="0.2">
      <c r="G78" s="14"/>
    </row>
    <row r="79" spans="7:7" ht="12.75" customHeight="1" x14ac:dyDescent="0.2">
      <c r="G79" s="14"/>
    </row>
    <row r="80" spans="7:7" ht="12.75" customHeight="1" x14ac:dyDescent="0.2">
      <c r="G80" s="14"/>
    </row>
    <row r="81" spans="7:7" ht="12.75" customHeight="1" x14ac:dyDescent="0.2">
      <c r="G81" s="14"/>
    </row>
    <row r="82" spans="7:7" ht="12.75" customHeight="1" x14ac:dyDescent="0.2">
      <c r="G82" s="14"/>
    </row>
    <row r="83" spans="7:7" ht="12.75" customHeight="1" x14ac:dyDescent="0.2">
      <c r="G83" s="14"/>
    </row>
    <row r="84" spans="7:7" ht="12.75" customHeight="1" x14ac:dyDescent="0.2">
      <c r="G84" s="14"/>
    </row>
    <row r="85" spans="7:7" ht="12.75" customHeight="1" x14ac:dyDescent="0.2">
      <c r="G85" s="14"/>
    </row>
    <row r="86" spans="7:7" ht="12.75" customHeight="1" x14ac:dyDescent="0.2">
      <c r="G86" s="14"/>
    </row>
    <row r="87" spans="7:7" ht="12.75" customHeight="1" x14ac:dyDescent="0.2">
      <c r="G87" s="14"/>
    </row>
    <row r="88" spans="7:7" ht="12.75" customHeight="1" x14ac:dyDescent="0.2">
      <c r="G88" s="14"/>
    </row>
    <row r="89" spans="7:7" ht="12.75" customHeight="1" x14ac:dyDescent="0.2">
      <c r="G89" s="14"/>
    </row>
    <row r="90" spans="7:7" ht="12.75" customHeight="1" x14ac:dyDescent="0.2">
      <c r="G90" s="14"/>
    </row>
    <row r="91" spans="7:7" ht="12.75" customHeight="1" x14ac:dyDescent="0.2">
      <c r="G91" s="14"/>
    </row>
    <row r="92" spans="7:7" ht="12.75" customHeight="1" x14ac:dyDescent="0.2">
      <c r="G92" s="14"/>
    </row>
    <row r="93" spans="7:7" ht="12.75" customHeight="1" x14ac:dyDescent="0.2">
      <c r="G93" s="14"/>
    </row>
    <row r="94" spans="7:7" ht="12.75" customHeight="1" x14ac:dyDescent="0.2">
      <c r="G94" s="14"/>
    </row>
    <row r="95" spans="7:7" ht="12.75" customHeight="1" x14ac:dyDescent="0.2">
      <c r="G95" s="14"/>
    </row>
    <row r="96" spans="7:7" ht="12.75" customHeight="1" x14ac:dyDescent="0.2">
      <c r="G96" s="14"/>
    </row>
    <row r="97" spans="7:7" ht="12.75" customHeight="1" x14ac:dyDescent="0.2">
      <c r="G97" s="14"/>
    </row>
    <row r="98" spans="7:7" ht="12.75" customHeight="1" x14ac:dyDescent="0.2">
      <c r="G98" s="14"/>
    </row>
    <row r="99" spans="7:7" ht="12.75" customHeight="1" x14ac:dyDescent="0.2">
      <c r="G99" s="14"/>
    </row>
    <row r="100" spans="7:7" ht="12.75" customHeight="1" x14ac:dyDescent="0.2">
      <c r="G100" s="14"/>
    </row>
  </sheetData>
  <mergeCells count="31">
    <mergeCell ref="A26:Q27"/>
    <mergeCell ref="A23:P23"/>
    <mergeCell ref="A24:Q24"/>
    <mergeCell ref="O20:P20"/>
    <mergeCell ref="O21:P21"/>
    <mergeCell ref="O22:P22"/>
    <mergeCell ref="A25:F25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8:Q8"/>
    <mergeCell ref="A7:F7"/>
    <mergeCell ref="G7:Q7"/>
    <mergeCell ref="A9:N9"/>
    <mergeCell ref="A10:Q10"/>
    <mergeCell ref="A12:Q12"/>
    <mergeCell ref="A13:N13"/>
    <mergeCell ref="G25:Q25"/>
    <mergeCell ref="O13:P14"/>
    <mergeCell ref="Q13:Q14"/>
    <mergeCell ref="O15:P15"/>
    <mergeCell ref="O16:P16"/>
    <mergeCell ref="O17:P17"/>
    <mergeCell ref="O18:P18"/>
    <mergeCell ref="O19:P19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cp:revision>2</cp:revision>
  <cp:lastPrinted>2020-07-23T13:47:13Z</cp:lastPrinted>
  <dcterms:created xsi:type="dcterms:W3CDTF">2020-07-17T23:44:49Z</dcterms:created>
  <dcterms:modified xsi:type="dcterms:W3CDTF">2022-07-26T16:09:08Z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