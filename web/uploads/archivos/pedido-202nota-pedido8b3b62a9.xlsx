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P 25 Mayo\frazadas\final\"/>
    </mc:Choice>
  </mc:AlternateContent>
  <xr:revisionPtr revIDLastSave="0" documentId="8_{E0CDEFE6-FE05-4930-A2B5-EC029F01AAB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NotaPedido'!$A$1:$K$16</definedName>
    <definedName name="_xlnm.Print_Area" localSheetId="2">'Autor Gastar'!$A$1:$Q$20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0" i="1"/>
  <c r="D1" i="3"/>
  <c r="Q16" i="3" l="1"/>
  <c r="C13" i="2"/>
  <c r="D11" i="1" l="1"/>
  <c r="K12" i="2" l="1"/>
  <c r="K13" i="2"/>
  <c r="K14" i="2"/>
  <c r="K15" i="2"/>
  <c r="J12" i="2"/>
  <c r="J13" i="2"/>
  <c r="J14" i="2"/>
  <c r="J15" i="2"/>
  <c r="I12" i="2"/>
  <c r="I13" i="2"/>
  <c r="I14" i="2"/>
  <c r="I15" i="2"/>
  <c r="C12" i="2"/>
  <c r="C14" i="2"/>
  <c r="C15" i="2"/>
  <c r="B12" i="2"/>
  <c r="B13" i="2"/>
  <c r="B14" i="2"/>
  <c r="B15" i="2"/>
  <c r="D12" i="1"/>
  <c r="D13" i="1"/>
  <c r="D10" i="1"/>
  <c r="J16" i="2" l="1"/>
  <c r="G6" i="3"/>
  <c r="G7" i="3"/>
  <c r="D3" i="2"/>
  <c r="G4" i="3" s="1"/>
  <c r="D4" i="2"/>
  <c r="G5" i="3" s="1"/>
</calcChain>
</file>

<file path=xl/sharedStrings.xml><?xml version="1.0" encoding="utf-8"?>
<sst xmlns="http://schemas.openxmlformats.org/spreadsheetml/2006/main" count="137" uniqueCount="101">
  <si>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</si>
  <si>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</si>
  <si>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</si>
  <si>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</si>
  <si>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</si>
  <si>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</si>
  <si>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</si>
  <si>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</si>
  <si>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</si>
  <si>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</si>
  <si>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</si>
  <si>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</si>
  <si>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</si>
  <si>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</si>
  <si>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</si>
  <si>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</si>
  <si>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</si>
  <si>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</si>
  <si>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</si>
  <si>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</si>
  <si>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</si>
  <si>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</si>
  <si>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</si>
  <si>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</si>
  <si>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</si>
  <si>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</si>
  <si>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</si>
  <si>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</si>
  <si>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</si>
  <si>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</si>
  <si>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</si>
  <si>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</si>
  <si>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</si>
  <si>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</si>
  <si>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</si>
  <si>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</si>
  <si>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</si>
  <si>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</si>
  <si>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</si>
  <si>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</si>
  <si>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</si>
  <si>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</si>
  <si>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</si>
  <si>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</si>
  <si>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</si>
  <si>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</si>
  <si>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</si>
  <si>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</si>
  <si>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</si>
  <si>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</si>
  <si>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</si>
  <si>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</si>
  <si>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</si>
  <si>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</si>
  <si>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</si>
  <si>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</si>
  <si>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</si>
  <si>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1.1</t>
  </si>
  <si>
    <t>División de Enfermería</t>
  </si>
  <si>
    <t>UNIDAD</t>
  </si>
  <si>
    <t>INDUMENT TEXTIL Y CONFECCIONES</t>
  </si>
  <si>
    <t>40- Ministerio de Salud</t>
  </si>
  <si>
    <t>Especificidades Item N° 4:</t>
  </si>
  <si>
    <t>Para la adquisición de indumentaria textil, las mismas seran destinadas a la atencion de pacientes que ingresan a nuestra institucion</t>
  </si>
  <si>
    <t>MANTAS; MATERIAL: POLAR, TAMAÑO: 1 PLAZA</t>
  </si>
  <si>
    <t>2.2.3-918.29</t>
  </si>
  <si>
    <t>2.2.3-920.5</t>
  </si>
  <si>
    <t>Especificidades Item N° 3:</t>
  </si>
  <si>
    <t>2.2.3-923.7</t>
  </si>
  <si>
    <t>2do trimestre 2022</t>
  </si>
  <si>
    <t xml:space="preserve">FRAZADAS; TAMAÑO: 1 PLAZA, MOTIVO: LISA, MATERIAL: LANA C/POLIESTER,  HILADO: LANA  C/POLIESTER    </t>
  </si>
  <si>
    <t>SABANAS; TELA: ALGODON C/POLIESTER, CONJUNTO: SUPERIOR,INFERIOR Y FUNDA,  TAMAÑO: 1 1/2  PLAZA</t>
  </si>
  <si>
    <t>SI</t>
  </si>
  <si>
    <t xml:space="preserve">169-Direccion Asistencial </t>
  </si>
  <si>
    <t>Adquisición de indumentaria textil.</t>
  </si>
  <si>
    <t>Plazo de Entrega:</t>
  </si>
  <si>
    <t>Lugar de Entrega:</t>
  </si>
  <si>
    <t>30(Treinta) dias habiles.</t>
  </si>
  <si>
    <r>
      <t>Especificidades Item N° 2:</t>
    </r>
    <r>
      <rPr>
        <b/>
        <sz val="11"/>
        <color rgb="FF000000"/>
        <rFont val="Calibri"/>
        <family val="2"/>
      </rPr>
      <t xml:space="preserve"> </t>
    </r>
  </si>
  <si>
    <t>DIVISION DE ENFERMERIA- MATERNIDAD PROVINCIAL 25 DE MAYO</t>
  </si>
  <si>
    <t>Mantenimiento:</t>
  </si>
  <si>
    <t>30(treinta) dias habiles</t>
  </si>
  <si>
    <t>Garantia:</t>
  </si>
  <si>
    <t xml:space="preserve">Descripción técnica        </t>
  </si>
  <si>
    <t>100% algodón de 450 gramos</t>
  </si>
  <si>
    <t>Calidad Minima Esperada:</t>
  </si>
  <si>
    <t>30(Treinta) dias habiles</t>
  </si>
  <si>
    <t>41/2022</t>
  </si>
  <si>
    <t>"Autorizo la realización de los  trámites correspondientes, a fin de proveer a  este Organismo los bienes y/o servicios que se detallan en Nota  de Pedido N° 41/2022,  afectando la erogación resultante a los créditos presupuestarios aprobados a favor de esta Unidad Ejecutora, conforme al siguiente detalle:"</t>
  </si>
  <si>
    <t>CONFECCIONES TEXTILES</t>
  </si>
  <si>
    <t>Costo total estimado: UN MILLON NOVECIENTOS CUATRO MIL  CON 00/100 CENTAVOS</t>
  </si>
  <si>
    <t>TOTAL DE PESOS: UN MILLON NOVECIENTOS CUATRO MIL CON 00/100</t>
  </si>
  <si>
    <t xml:space="preserve"> Diez ( 10) dias habiles</t>
  </si>
  <si>
    <t>Manta de FLANNEL, suave, 300 grs. minimo X m2, 100% poliester, Tamaño Minimo 150 cm x 210 cm</t>
  </si>
  <si>
    <t>Frazada simil lana,Tamaño: de 150 cm x 210 cm. como minimo, con costura reforzada- Composicion 60% acrilico, 25% algodón y 15% poliester</t>
  </si>
  <si>
    <t>Tela: Algodon peinado-80% poliester,20% 180 hilos,Tamaño: 1 1/2, Medidas: sabana superior 1,70 x 2,50 cm aproximadamente, Sabana Inferior ajustable: 90 cm x 200 cm y 30 cm de altura aproximadamente,Funda: 50 x 80 cm aproximadamente-  tejido Antialergico, resistente al lavado industrial con cloro</t>
  </si>
  <si>
    <t>2.2.3-942.98</t>
  </si>
  <si>
    <t>TOALLAS DE TELA: MEDIDAS 0,80 x 1,50M</t>
  </si>
  <si>
    <t>Preferentemente color  gris, azul o blanca</t>
  </si>
  <si>
    <t xml:space="preserve">                                                                      Preferentemente color  celeste ,azul o gris.</t>
  </si>
  <si>
    <t>Preferentemente color blancas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</si>
</sst>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u/>
      <sz val="11"/>
      <color rgb="FF000000"/>
      <name val="Calibri"/>
      <family val="2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166" fontId="13" fillId="0" borderId="3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1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8" xfId="0" applyFont="1" applyFill="1" applyBorder="1"/>
    <xf numFmtId="0" fontId="15" fillId="0" borderId="0" xfId="0" applyFont="1" applyFill="1" applyBorder="1" applyAlignment="1">
      <alignment horizontal="center" wrapText="1"/>
    </xf>
    <xf numFmtId="0" fontId="4" fillId="0" borderId="21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166" fontId="4" fillId="0" borderId="21" xfId="1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>
      <alignment horizontal="center" vertical="center"/>
    </xf>
    <xf numFmtId="49" fontId="6" fillId="0" borderId="13" xfId="0" applyNumberFormat="1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wrapText="1"/>
    </xf>
    <xf numFmtId="0" fontId="15" fillId="3" borderId="3" xfId="0" applyFont="1" applyFill="1" applyBorder="1" applyAlignment="1">
      <alignment horizontal="left" wrapText="1"/>
    </xf>
    <xf numFmtId="6" fontId="18" fillId="0" borderId="3" xfId="0" applyNumberFormat="1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wrapText="1"/>
    </xf>
    <xf numFmtId="0" fontId="21" fillId="0" borderId="0" xfId="0" applyFont="1" applyBorder="1"/>
    <xf numFmtId="0" fontId="15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3"/>
    </xf>
    <xf numFmtId="0" fontId="15" fillId="3" borderId="0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3" borderId="41" xfId="0" applyFont="1" applyFill="1" applyBorder="1" applyAlignment="1">
      <alignment horizontal="left" wrapText="1"/>
    </xf>
    <xf numFmtId="0" fontId="19" fillId="0" borderId="42" xfId="0" applyFont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6" fontId="18" fillId="0" borderId="41" xfId="0" applyNumberFormat="1" applyFont="1" applyBorder="1" applyAlignment="1">
      <alignment horizontal="center" vertical="center" wrapText="1"/>
    </xf>
    <xf numFmtId="6" fontId="18" fillId="0" borderId="43" xfId="0" applyNumberFormat="1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0" fillId="3" borderId="44" xfId="0" applyFill="1" applyBorder="1" applyAlignment="1">
      <alignment vertical="center"/>
    </xf>
    <xf numFmtId="6" fontId="15" fillId="0" borderId="0" xfId="0" applyNumberFormat="1" applyFont="1"/>
    <xf numFmtId="0" fontId="15" fillId="0" borderId="0" xfId="0" applyFont="1" applyBorder="1" applyAlignment="1">
      <alignment horizontal="left"/>
    </xf>
    <xf numFmtId="0" fontId="23" fillId="0" borderId="7" xfId="0" applyFont="1" applyBorder="1"/>
    <xf numFmtId="0" fontId="22" fillId="0" borderId="0" xfId="0" applyFont="1" applyFill="1" applyBorder="1" applyAlignment="1"/>
    <xf numFmtId="0" fontId="14" fillId="3" borderId="3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24" fillId="0" borderId="4" xfId="0" applyFont="1" applyBorder="1"/>
    <xf numFmtId="0" fontId="25" fillId="0" borderId="5" xfId="0" applyFont="1" applyBorder="1"/>
    <xf numFmtId="0" fontId="25" fillId="0" borderId="7" xfId="0" applyFont="1" applyBorder="1"/>
    <xf numFmtId="0" fontId="25" fillId="0" borderId="0" xfId="0" applyFont="1" applyBorder="1"/>
    <xf numFmtId="0" fontId="15" fillId="0" borderId="8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left" wrapText="1"/>
    </xf>
    <xf numFmtId="0" fontId="25" fillId="0" borderId="8" xfId="0" applyFont="1" applyBorder="1"/>
    <xf numFmtId="0" fontId="26" fillId="0" borderId="4" xfId="0" applyFont="1" applyBorder="1"/>
    <xf numFmtId="0" fontId="28" fillId="0" borderId="8" xfId="0" applyFont="1" applyBorder="1"/>
    <xf numFmtId="0" fontId="15" fillId="0" borderId="7" xfId="0" applyFont="1" applyBorder="1" applyAlignment="1"/>
    <xf numFmtId="0" fontId="21" fillId="0" borderId="0" xfId="0" applyFont="1" applyBorder="1" applyAlignment="1">
      <alignment horizontal="left"/>
    </xf>
    <xf numFmtId="0" fontId="21" fillId="0" borderId="7" xfId="0" applyFont="1" applyBorder="1" applyAlignment="1"/>
    <xf numFmtId="0" fontId="21" fillId="0" borderId="9" xfId="0" applyFont="1" applyBorder="1" applyAlignment="1">
      <alignment horizontal="left" indent="3"/>
    </xf>
    <xf numFmtId="0" fontId="21" fillId="0" borderId="10" xfId="0" applyFont="1" applyBorder="1"/>
    <xf numFmtId="0" fontId="25" fillId="0" borderId="8" xfId="0" applyFont="1" applyBorder="1" applyAlignment="1">
      <alignment horizontal="center" wrapText="1"/>
    </xf>
    <xf numFmtId="0" fontId="25" fillId="0" borderId="8" xfId="0" applyFont="1" applyFill="1" applyBorder="1"/>
    <xf numFmtId="0" fontId="25" fillId="0" borderId="8" xfId="0" applyFont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7" fillId="0" borderId="0" xfId="0" applyFont="1" applyBorder="1" applyAlignment="1">
      <alignment horizontal="left" vertical="center" wrapText="1"/>
    </xf>
    <xf numFmtId="0" fontId="25" fillId="0" borderId="8" xfId="0" applyFont="1" applyFill="1" applyBorder="1" applyAlignment="1">
      <alignment horizontal="left" wrapText="1"/>
    </xf>
    <xf numFmtId="0" fontId="15" fillId="0" borderId="8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left" wrapText="1"/>
    </xf>
    <xf numFmtId="0" fontId="6" fillId="0" borderId="16" xfId="0" applyFont="1" applyBorder="1" applyAlignment="1">
      <alignment horizontal="left" vertical="center" wrapText="1" indent="1"/>
    </xf>
    <xf numFmtId="167" fontId="7" fillId="0" borderId="16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11" fillId="0" borderId="25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left" vertical="top" wrapText="1" indent="1"/>
    </xf>
    <xf numFmtId="0" fontId="11" fillId="0" borderId="12" xfId="0" applyFont="1" applyFill="1" applyBorder="1" applyAlignment="1">
      <alignment horizontal="left" vertical="top" wrapText="1" indent="1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7" xfId="0" applyFont="1" applyFill="1" applyBorder="1" applyAlignment="1">
      <alignment horizontal="left" vertical="center" wrapText="1" indent="1"/>
    </xf>
    <xf numFmtId="0" fontId="9" fillId="0" borderId="37" xfId="0" applyFont="1" applyBorder="1" applyAlignment="1">
      <alignment horizontal="left" vertical="center" wrapText="1"/>
    </xf>
    <xf numFmtId="0" fontId="0" fillId="0" borderId="24" xfId="0" applyBorder="1"/>
    <xf numFmtId="0" fontId="11" fillId="0" borderId="25" xfId="0" applyFont="1" applyBorder="1"/>
    <xf numFmtId="0" fontId="11" fillId="0" borderId="26" xfId="0" applyFont="1" applyFill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81</xdr:row>
      <xdr:rowOff>9525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191875" y="1294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9"/>
  <sheetViews>
    <sheetView tabSelected="1" zoomScale="75" zoomScaleNormal="75" workbookViewId="0">
      <selection activeCell="H60" sqref="H60"/>
    </sheetView>
  </sheetViews>
  <sheetFormatPr baseColWidth="10" defaultColWidth="11" defaultRowHeight="12.75" x14ac:dyDescent="0.2"/>
  <cols>
    <col min="1" max="1" width="4.5703125" style="24" customWidth="1"/>
    <col min="2" max="2" width="12.85546875" style="24" customWidth="1"/>
    <col min="3" max="3" width="32.42578125" style="24" customWidth="1"/>
    <col min="4" max="4" width="8.42578125" style="24" customWidth="1"/>
    <col min="5" max="5" width="104.85546875" style="24" customWidth="1"/>
    <col min="6" max="6" width="11" style="24"/>
    <col min="7" max="7" width="12.7109375" style="24" customWidth="1"/>
    <col min="8" max="8" width="13.85546875" style="24" customWidth="1"/>
    <col min="9" max="9" width="18.5703125" style="24" customWidth="1"/>
    <col min="10" max="16384" width="11" style="24"/>
  </cols>
  <sheetData>
    <row r="2" spans="1:11" ht="27" x14ac:dyDescent="0.35">
      <c r="B2" s="100" t="s">
        <v>0</v>
      </c>
      <c r="C2" s="100"/>
      <c r="D2" s="100"/>
      <c r="E2" s="100"/>
      <c r="F2" s="100"/>
      <c r="G2" s="100"/>
      <c r="H2" s="100"/>
    </row>
    <row r="3" spans="1:11" ht="16.5" customHeight="1" x14ac:dyDescent="0.2"/>
    <row r="4" spans="1:11" ht="18" customHeight="1" x14ac:dyDescent="0.25">
      <c r="A4" s="81" t="s">
        <v>1</v>
      </c>
      <c r="B4" s="81"/>
      <c r="C4" s="101" t="s">
        <v>61</v>
      </c>
      <c r="D4" s="101"/>
      <c r="E4" s="101"/>
      <c r="F4" s="25"/>
      <c r="G4" s="26"/>
      <c r="H4" s="25"/>
    </row>
    <row r="5" spans="1:11" ht="18" customHeight="1" x14ac:dyDescent="0.25">
      <c r="A5" s="102" t="s">
        <v>2</v>
      </c>
      <c r="B5" s="102"/>
      <c r="C5" s="78" t="s">
        <v>56</v>
      </c>
      <c r="D5" s="78"/>
      <c r="E5" s="78"/>
      <c r="F5" s="25"/>
      <c r="G5" s="26"/>
      <c r="H5" s="25"/>
    </row>
    <row r="6" spans="1:11" ht="16.5" customHeight="1" x14ac:dyDescent="0.25">
      <c r="A6" s="102" t="s">
        <v>3</v>
      </c>
      <c r="B6" s="102"/>
      <c r="C6" s="38">
        <v>2022</v>
      </c>
      <c r="D6" s="39"/>
      <c r="E6" s="39"/>
      <c r="F6" s="25"/>
      <c r="G6" s="26"/>
      <c r="H6" s="25"/>
    </row>
    <row r="7" spans="1:11" ht="16.5" customHeight="1" x14ac:dyDescent="0.25">
      <c r="A7" s="102" t="s">
        <v>4</v>
      </c>
      <c r="B7" s="102"/>
      <c r="C7" s="38">
        <v>2</v>
      </c>
      <c r="D7" s="39"/>
      <c r="E7" s="39"/>
      <c r="F7" s="25"/>
      <c r="G7" s="26"/>
      <c r="H7" s="25"/>
    </row>
    <row r="8" spans="1:11" ht="13.5" thickBot="1" x14ac:dyDescent="0.25">
      <c r="B8" s="25"/>
      <c r="C8" s="26"/>
      <c r="D8" s="25"/>
      <c r="E8" s="25"/>
      <c r="F8" s="25"/>
      <c r="G8" s="26"/>
      <c r="H8" s="25"/>
    </row>
    <row r="9" spans="1:11" ht="51" customHeight="1" thickTop="1" thickBot="1" x14ac:dyDescent="0.25">
      <c r="A9" s="27" t="s">
        <v>5</v>
      </c>
      <c r="B9" s="65" t="s">
        <v>6</v>
      </c>
      <c r="C9" s="65" t="s">
        <v>7</v>
      </c>
      <c r="D9" s="65" t="s">
        <v>8</v>
      </c>
      <c r="E9" s="65" t="s">
        <v>9</v>
      </c>
      <c r="F9" s="65" t="s">
        <v>10</v>
      </c>
      <c r="G9" s="65" t="s">
        <v>11</v>
      </c>
      <c r="H9" s="65" t="s">
        <v>12</v>
      </c>
      <c r="I9" s="65" t="s">
        <v>13</v>
      </c>
    </row>
    <row r="10" spans="1:11" ht="37.5" customHeight="1" x14ac:dyDescent="0.2">
      <c r="A10" s="54">
        <v>1</v>
      </c>
      <c r="B10" t="s">
        <v>65</v>
      </c>
      <c r="C10" s="64" t="s">
        <v>60</v>
      </c>
      <c r="D10" s="66" t="str">
        <f t="shared" ref="D10:D13" si="0">LEFT(B10,5)</f>
        <v>2.2.3</v>
      </c>
      <c r="E10" s="74" t="s">
        <v>64</v>
      </c>
      <c r="F10" s="67" t="s">
        <v>59</v>
      </c>
      <c r="G10" s="67">
        <v>80</v>
      </c>
      <c r="H10" s="68">
        <v>4500</v>
      </c>
      <c r="I10" s="69">
        <f>+H10*G10</f>
        <v>360000</v>
      </c>
      <c r="K10" s="75"/>
    </row>
    <row r="11" spans="1:11" ht="47.25" customHeight="1" x14ac:dyDescent="0.2">
      <c r="A11" s="54">
        <v>2</v>
      </c>
      <c r="B11" t="s">
        <v>66</v>
      </c>
      <c r="C11" s="56" t="s">
        <v>60</v>
      </c>
      <c r="D11" s="53" t="str">
        <f t="shared" si="0"/>
        <v>2.2.3</v>
      </c>
      <c r="E11" s="72" t="s">
        <v>70</v>
      </c>
      <c r="F11" s="54" t="s">
        <v>59</v>
      </c>
      <c r="G11" s="54">
        <v>50</v>
      </c>
      <c r="H11" s="57">
        <v>2500</v>
      </c>
      <c r="I11" s="69">
        <f t="shared" ref="I11:I13" si="1">+H11*G11</f>
        <v>125000</v>
      </c>
      <c r="K11" s="75"/>
    </row>
    <row r="12" spans="1:11" ht="44.25" customHeight="1" x14ac:dyDescent="0.2">
      <c r="A12" s="54">
        <v>3</v>
      </c>
      <c r="B12" s="55" t="s">
        <v>96</v>
      </c>
      <c r="C12" s="56" t="s">
        <v>60</v>
      </c>
      <c r="D12" s="53" t="str">
        <f t="shared" si="0"/>
        <v>2.2.3</v>
      </c>
      <c r="E12" s="73" t="s">
        <v>97</v>
      </c>
      <c r="F12" s="54" t="s">
        <v>59</v>
      </c>
      <c r="G12" s="54">
        <v>30</v>
      </c>
      <c r="H12" s="57">
        <v>2300</v>
      </c>
      <c r="I12" s="69">
        <f t="shared" si="1"/>
        <v>69000</v>
      </c>
      <c r="K12" s="75"/>
    </row>
    <row r="13" spans="1:11" ht="52.5" customHeight="1" x14ac:dyDescent="0.2">
      <c r="A13" s="54">
        <v>4</v>
      </c>
      <c r="B13" t="s">
        <v>68</v>
      </c>
      <c r="C13" s="56" t="s">
        <v>60</v>
      </c>
      <c r="D13" s="53" t="str">
        <f t="shared" si="0"/>
        <v>2.2.3</v>
      </c>
      <c r="E13" s="79" t="s">
        <v>71</v>
      </c>
      <c r="F13" s="54" t="s">
        <v>59</v>
      </c>
      <c r="G13" s="54">
        <v>200</v>
      </c>
      <c r="H13" s="57">
        <v>6750</v>
      </c>
      <c r="I13" s="69">
        <f t="shared" si="1"/>
        <v>1350000</v>
      </c>
      <c r="K13" s="75"/>
    </row>
    <row r="14" spans="1:11" x14ac:dyDescent="0.2">
      <c r="I14" s="75"/>
    </row>
    <row r="15" spans="1:11" ht="3.75" customHeight="1" thickBot="1" x14ac:dyDescent="0.25">
      <c r="B15" s="31"/>
      <c r="C15" s="31"/>
      <c r="D15" s="31"/>
      <c r="E15" s="31"/>
    </row>
    <row r="16" spans="1:11" ht="13.5" hidden="1" thickBot="1" x14ac:dyDescent="0.25">
      <c r="B16" s="59"/>
      <c r="C16" s="31"/>
      <c r="D16" s="31"/>
      <c r="E16" s="31"/>
    </row>
    <row r="17" spans="1:6" ht="5.25" hidden="1" customHeight="1" thickBot="1" x14ac:dyDescent="0.25">
      <c r="A17" s="31"/>
      <c r="B17" s="31"/>
      <c r="C17" s="31"/>
      <c r="D17" s="31"/>
      <c r="E17" s="31"/>
      <c r="F17" s="31"/>
    </row>
    <row r="18" spans="1:6" ht="13.5" hidden="1" thickBot="1" x14ac:dyDescent="0.25">
      <c r="B18" s="61"/>
      <c r="C18" s="31"/>
      <c r="D18" s="31"/>
      <c r="E18" s="31"/>
      <c r="F18" s="31"/>
    </row>
    <row r="19" spans="1:6" ht="4.5" hidden="1" customHeight="1" thickBot="1" x14ac:dyDescent="0.25">
      <c r="B19" s="61"/>
      <c r="C19" s="104"/>
      <c r="D19" s="104"/>
      <c r="E19" s="105"/>
      <c r="F19" s="31"/>
    </row>
    <row r="20" spans="1:6" ht="13.5" hidden="1" thickBot="1" x14ac:dyDescent="0.25">
      <c r="B20" s="61"/>
      <c r="C20" s="40"/>
      <c r="D20" s="40"/>
      <c r="E20" s="40"/>
      <c r="F20" s="31"/>
    </row>
    <row r="21" spans="1:6" ht="13.5" hidden="1" thickBot="1" x14ac:dyDescent="0.25">
      <c r="B21" s="60"/>
      <c r="C21" s="106"/>
      <c r="D21" s="106"/>
      <c r="E21" s="107"/>
      <c r="F21" s="31"/>
    </row>
    <row r="22" spans="1:6" ht="13.5" hidden="1" thickBot="1" x14ac:dyDescent="0.25">
      <c r="B22" s="60"/>
      <c r="C22" s="106"/>
      <c r="D22" s="106"/>
      <c r="E22" s="107"/>
      <c r="F22" s="31"/>
    </row>
    <row r="23" spans="1:6" ht="13.5" hidden="1" thickBot="1" x14ac:dyDescent="0.25">
      <c r="B23" s="61"/>
      <c r="C23" s="40"/>
      <c r="D23" s="40"/>
      <c r="E23" s="40"/>
      <c r="F23" s="31"/>
    </row>
    <row r="24" spans="1:6" ht="26.25" hidden="1" customHeight="1" thickBot="1" x14ac:dyDescent="0.25">
      <c r="B24" s="60"/>
      <c r="C24" s="104"/>
      <c r="D24" s="104"/>
      <c r="E24" s="105"/>
      <c r="F24" s="31"/>
    </row>
    <row r="25" spans="1:6" ht="13.5" hidden="1" thickBot="1" x14ac:dyDescent="0.25">
      <c r="B25" s="61"/>
      <c r="C25" s="42"/>
      <c r="D25" s="42"/>
      <c r="E25" s="58"/>
      <c r="F25" s="31"/>
    </row>
    <row r="26" spans="1:6" ht="26.25" hidden="1" customHeight="1" thickBot="1" x14ac:dyDescent="0.25">
      <c r="B26" s="60"/>
      <c r="C26" s="104"/>
      <c r="D26" s="104"/>
      <c r="E26" s="105"/>
      <c r="F26" s="31"/>
    </row>
    <row r="27" spans="1:6" ht="13.5" hidden="1" thickBot="1" x14ac:dyDescent="0.25">
      <c r="B27" s="61"/>
      <c r="C27" s="40"/>
      <c r="D27" s="62"/>
      <c r="E27" s="40"/>
      <c r="F27" s="31"/>
    </row>
    <row r="28" spans="1:6" ht="23.25" hidden="1" customHeight="1" thickBot="1" x14ac:dyDescent="0.25">
      <c r="B28" s="61"/>
      <c r="C28" s="106"/>
      <c r="D28" s="106"/>
      <c r="E28" s="107"/>
      <c r="F28" s="31"/>
    </row>
    <row r="29" spans="1:6" ht="13.5" hidden="1" thickBot="1" x14ac:dyDescent="0.25">
      <c r="B29" s="60"/>
      <c r="C29" s="31"/>
      <c r="D29" s="31"/>
      <c r="E29" s="31"/>
    </row>
    <row r="30" spans="1:6" ht="13.5" hidden="1" thickBot="1" x14ac:dyDescent="0.25"/>
    <row r="31" spans="1:6" x14ac:dyDescent="0.2">
      <c r="B31" s="82" t="s">
        <v>14</v>
      </c>
      <c r="C31" s="83"/>
      <c r="D31" s="28"/>
      <c r="E31" s="29"/>
    </row>
    <row r="32" spans="1:6" ht="7.5" customHeight="1" x14ac:dyDescent="0.2">
      <c r="B32" s="84"/>
      <c r="C32" s="85"/>
      <c r="D32" s="31"/>
      <c r="E32" s="32"/>
    </row>
    <row r="33" spans="2:5" x14ac:dyDescent="0.2">
      <c r="B33" s="33" t="s">
        <v>15</v>
      </c>
      <c r="C33" s="31"/>
      <c r="D33" s="31"/>
      <c r="E33" s="89" t="s">
        <v>93</v>
      </c>
    </row>
    <row r="34" spans="2:5" x14ac:dyDescent="0.2">
      <c r="B34" s="33"/>
      <c r="C34" s="40"/>
      <c r="D34" s="40"/>
      <c r="E34" s="98" t="s">
        <v>98</v>
      </c>
    </row>
    <row r="35" spans="2:5" x14ac:dyDescent="0.2">
      <c r="B35" s="33"/>
      <c r="C35" s="40"/>
      <c r="D35" s="40"/>
      <c r="E35" s="41"/>
    </row>
    <row r="36" spans="2:5" x14ac:dyDescent="0.2">
      <c r="B36" s="33" t="s">
        <v>75</v>
      </c>
      <c r="C36" s="40"/>
      <c r="D36" s="40"/>
      <c r="E36" s="41" t="s">
        <v>92</v>
      </c>
    </row>
    <row r="37" spans="2:5" x14ac:dyDescent="0.2">
      <c r="B37" s="34"/>
      <c r="C37" s="106"/>
      <c r="D37" s="106"/>
      <c r="E37" s="106"/>
    </row>
    <row r="38" spans="2:5" x14ac:dyDescent="0.2">
      <c r="B38" s="33" t="s">
        <v>76</v>
      </c>
      <c r="C38" s="87"/>
      <c r="D38" s="80"/>
      <c r="E38" s="86" t="s">
        <v>79</v>
      </c>
    </row>
    <row r="39" spans="2:5" x14ac:dyDescent="0.2">
      <c r="B39" s="33"/>
      <c r="C39" s="87"/>
      <c r="D39" s="80"/>
      <c r="E39" s="86"/>
    </row>
    <row r="40" spans="2:5" x14ac:dyDescent="0.2">
      <c r="B40" s="33" t="s">
        <v>16</v>
      </c>
      <c r="C40" s="40"/>
      <c r="D40" s="40"/>
      <c r="E40" s="41"/>
    </row>
    <row r="41" spans="2:5" x14ac:dyDescent="0.2">
      <c r="B41" s="34"/>
      <c r="C41" s="104"/>
      <c r="D41" s="104"/>
      <c r="E41" s="104"/>
    </row>
    <row r="42" spans="2:5" x14ac:dyDescent="0.2">
      <c r="B42" s="33" t="s">
        <v>17</v>
      </c>
      <c r="C42" s="42"/>
      <c r="D42" s="42"/>
      <c r="E42" s="88" t="s">
        <v>77</v>
      </c>
    </row>
    <row r="43" spans="2:5" x14ac:dyDescent="0.2">
      <c r="B43" s="34"/>
      <c r="C43" s="104"/>
      <c r="D43" s="104"/>
      <c r="E43" s="104"/>
    </row>
    <row r="44" spans="2:5" x14ac:dyDescent="0.2">
      <c r="B44" s="33" t="s">
        <v>18</v>
      </c>
      <c r="C44" s="40"/>
      <c r="D44" s="40"/>
      <c r="E44" s="41"/>
    </row>
    <row r="45" spans="2:5" x14ac:dyDescent="0.2">
      <c r="B45" s="33"/>
      <c r="C45" s="106"/>
      <c r="D45" s="106"/>
      <c r="E45" s="106"/>
    </row>
    <row r="46" spans="2:5" ht="13.5" thickBot="1" x14ac:dyDescent="0.25">
      <c r="B46" s="35"/>
      <c r="C46" s="36"/>
      <c r="D46" s="36"/>
      <c r="E46" s="37"/>
    </row>
    <row r="47" spans="2:5" ht="12" customHeight="1" x14ac:dyDescent="0.2">
      <c r="B47" s="60"/>
      <c r="C47" s="31"/>
      <c r="D47" s="31"/>
      <c r="E47" s="31"/>
    </row>
    <row r="48" spans="2:5" ht="12" customHeight="1" x14ac:dyDescent="0.2">
      <c r="B48" s="60"/>
      <c r="C48" s="31"/>
      <c r="D48" s="31"/>
      <c r="E48" s="31"/>
    </row>
    <row r="49" spans="2:5" ht="13.5" thickBot="1" x14ac:dyDescent="0.25">
      <c r="B49" s="60"/>
      <c r="C49" s="31"/>
      <c r="D49" s="31"/>
      <c r="E49" s="31"/>
    </row>
    <row r="50" spans="2:5" ht="21" customHeight="1" x14ac:dyDescent="0.25">
      <c r="B50" s="90" t="s">
        <v>78</v>
      </c>
      <c r="C50" s="83"/>
      <c r="D50" s="28"/>
      <c r="E50" s="29"/>
    </row>
    <row r="51" spans="2:5" ht="42.75" customHeight="1" x14ac:dyDescent="0.25">
      <c r="B51" s="77" t="s">
        <v>83</v>
      </c>
      <c r="C51" s="59"/>
      <c r="D51" s="31"/>
      <c r="E51" s="99" t="s">
        <v>94</v>
      </c>
    </row>
    <row r="52" spans="2:5" ht="15" x14ac:dyDescent="0.25">
      <c r="B52" s="77"/>
      <c r="C52" s="93"/>
      <c r="D52" s="76"/>
      <c r="E52" s="98" t="s">
        <v>98</v>
      </c>
    </row>
    <row r="53" spans="2:5" ht="18" customHeight="1" x14ac:dyDescent="0.25">
      <c r="B53" s="77" t="s">
        <v>75</v>
      </c>
      <c r="C53" s="59"/>
      <c r="D53" s="31"/>
      <c r="E53" s="41" t="s">
        <v>92</v>
      </c>
    </row>
    <row r="54" spans="2:5" ht="15" x14ac:dyDescent="0.25">
      <c r="B54" s="77"/>
      <c r="C54" s="59"/>
      <c r="D54" s="31"/>
      <c r="E54" s="32"/>
    </row>
    <row r="55" spans="2:5" ht="15" x14ac:dyDescent="0.25">
      <c r="B55" s="77" t="s">
        <v>76</v>
      </c>
      <c r="C55" s="59"/>
      <c r="D55" s="31"/>
      <c r="E55" s="86" t="s">
        <v>79</v>
      </c>
    </row>
    <row r="56" spans="2:5" ht="15" x14ac:dyDescent="0.25">
      <c r="B56" s="77"/>
      <c r="C56" s="59"/>
      <c r="D56" s="31"/>
      <c r="E56" s="32"/>
    </row>
    <row r="57" spans="2:5" ht="15" x14ac:dyDescent="0.25">
      <c r="B57" s="77" t="s">
        <v>85</v>
      </c>
      <c r="C57" s="59"/>
      <c r="D57" s="31"/>
      <c r="E57" s="32"/>
    </row>
    <row r="58" spans="2:5" x14ac:dyDescent="0.2">
      <c r="B58" s="33"/>
      <c r="C58" s="59"/>
      <c r="D58" s="31"/>
      <c r="E58" s="32"/>
    </row>
    <row r="59" spans="2:5" x14ac:dyDescent="0.2">
      <c r="B59" s="94" t="s">
        <v>80</v>
      </c>
      <c r="C59" s="59"/>
      <c r="D59" s="31"/>
      <c r="E59" s="32" t="s">
        <v>81</v>
      </c>
    </row>
    <row r="60" spans="2:5" x14ac:dyDescent="0.2">
      <c r="B60" s="94"/>
      <c r="C60" s="59"/>
      <c r="D60" s="31"/>
      <c r="E60" s="32"/>
    </row>
    <row r="61" spans="2:5" x14ac:dyDescent="0.2">
      <c r="B61" s="94" t="s">
        <v>82</v>
      </c>
      <c r="C61" s="59"/>
      <c r="D61" s="31"/>
      <c r="E61" s="32"/>
    </row>
    <row r="62" spans="2:5" ht="26.25" customHeight="1" thickBot="1" x14ac:dyDescent="0.25">
      <c r="B62" s="95"/>
      <c r="C62" s="96"/>
      <c r="D62" s="36"/>
      <c r="E62" s="37"/>
    </row>
    <row r="63" spans="2:5" x14ac:dyDescent="0.2">
      <c r="B63" s="60"/>
      <c r="C63" s="31"/>
      <c r="D63" s="31"/>
      <c r="E63" s="31"/>
    </row>
    <row r="64" spans="2:5" ht="26.25" customHeight="1" x14ac:dyDescent="0.2">
      <c r="B64" s="60"/>
      <c r="C64" s="31"/>
      <c r="D64" s="31"/>
      <c r="E64" s="31"/>
    </row>
    <row r="65" spans="2:5" ht="13.5" thickBot="1" x14ac:dyDescent="0.25"/>
    <row r="66" spans="2:5" ht="23.25" customHeight="1" x14ac:dyDescent="0.2">
      <c r="B66" s="82" t="s">
        <v>67</v>
      </c>
      <c r="C66" s="83"/>
      <c r="D66" s="28"/>
      <c r="E66" s="29"/>
    </row>
    <row r="67" spans="2:5" x14ac:dyDescent="0.2">
      <c r="B67" s="30"/>
      <c r="C67" s="31"/>
      <c r="D67" s="31"/>
      <c r="E67" s="32"/>
    </row>
    <row r="68" spans="2:5" ht="14.25" x14ac:dyDescent="0.2">
      <c r="B68" s="94" t="s">
        <v>15</v>
      </c>
      <c r="C68" s="31"/>
      <c r="D68" s="31"/>
      <c r="E68" s="91" t="s">
        <v>84</v>
      </c>
    </row>
    <row r="69" spans="2:5" x14ac:dyDescent="0.2">
      <c r="B69" s="94"/>
      <c r="C69" s="103" t="s">
        <v>99</v>
      </c>
      <c r="D69" s="103"/>
      <c r="E69" s="103"/>
    </row>
    <row r="70" spans="2:5" ht="25.5" customHeight="1" x14ac:dyDescent="0.2">
      <c r="B70" s="94" t="s">
        <v>75</v>
      </c>
      <c r="C70" s="40"/>
      <c r="D70" s="40"/>
      <c r="E70" s="41" t="s">
        <v>92</v>
      </c>
    </row>
    <row r="71" spans="2:5" ht="25.5" customHeight="1" x14ac:dyDescent="0.2">
      <c r="B71" s="94"/>
      <c r="C71" s="40"/>
      <c r="D71" s="40"/>
      <c r="E71" s="41"/>
    </row>
    <row r="72" spans="2:5" ht="25.5" customHeight="1" x14ac:dyDescent="0.2">
      <c r="B72" s="94" t="s">
        <v>76</v>
      </c>
      <c r="C72" s="40"/>
      <c r="D72" s="40"/>
      <c r="E72" s="86" t="s">
        <v>79</v>
      </c>
    </row>
    <row r="73" spans="2:5" ht="25.5" customHeight="1" x14ac:dyDescent="0.2">
      <c r="B73" s="94"/>
      <c r="C73" s="40"/>
      <c r="D73" s="40"/>
      <c r="E73" s="86"/>
    </row>
    <row r="74" spans="2:5" x14ac:dyDescent="0.2">
      <c r="B74" s="94" t="s">
        <v>16</v>
      </c>
      <c r="C74" s="40"/>
      <c r="D74" s="40"/>
      <c r="E74" s="41"/>
    </row>
    <row r="75" spans="2:5" x14ac:dyDescent="0.2">
      <c r="B75" s="92"/>
      <c r="C75" s="104"/>
      <c r="D75" s="104"/>
      <c r="E75" s="104"/>
    </row>
    <row r="76" spans="2:5" x14ac:dyDescent="0.2">
      <c r="B76" s="94" t="s">
        <v>17</v>
      </c>
      <c r="C76" s="42"/>
      <c r="D76" s="42"/>
      <c r="E76" s="88" t="s">
        <v>86</v>
      </c>
    </row>
    <row r="77" spans="2:5" x14ac:dyDescent="0.2">
      <c r="B77" s="92"/>
      <c r="C77" s="104"/>
      <c r="D77" s="104"/>
      <c r="E77" s="104"/>
    </row>
    <row r="78" spans="2:5" x14ac:dyDescent="0.2">
      <c r="B78" s="94" t="s">
        <v>18</v>
      </c>
      <c r="C78" s="40"/>
      <c r="D78" s="40"/>
      <c r="E78" s="41"/>
    </row>
    <row r="79" spans="2:5" x14ac:dyDescent="0.2">
      <c r="B79" s="33"/>
      <c r="C79" s="106"/>
      <c r="D79" s="106"/>
      <c r="E79" s="106"/>
    </row>
    <row r="80" spans="2:5" ht="13.5" thickBot="1" x14ac:dyDescent="0.25">
      <c r="B80" s="35"/>
      <c r="C80" s="36"/>
      <c r="D80" s="36"/>
      <c r="E80" s="37"/>
    </row>
    <row r="81" spans="2:7" ht="13.5" thickBot="1" x14ac:dyDescent="0.25"/>
    <row r="82" spans="2:7" x14ac:dyDescent="0.2">
      <c r="B82" s="82" t="s">
        <v>62</v>
      </c>
      <c r="C82" s="83"/>
      <c r="D82" s="28"/>
      <c r="E82" s="29"/>
    </row>
    <row r="83" spans="2:7" x14ac:dyDescent="0.2">
      <c r="B83" s="30"/>
      <c r="C83" s="31"/>
      <c r="D83" s="31"/>
      <c r="E83" s="32"/>
    </row>
    <row r="84" spans="2:7" ht="98.25" customHeight="1" x14ac:dyDescent="0.2">
      <c r="B84" s="94" t="s">
        <v>15</v>
      </c>
      <c r="C84" s="31"/>
      <c r="D84" s="31"/>
      <c r="E84" s="97" t="s">
        <v>95</v>
      </c>
    </row>
    <row r="85" spans="2:7" x14ac:dyDescent="0.2">
      <c r="B85" s="94"/>
      <c r="C85" s="40"/>
      <c r="D85" s="40"/>
      <c r="E85" s="98" t="s">
        <v>100</v>
      </c>
      <c r="F85" s="31"/>
      <c r="G85" s="31"/>
    </row>
    <row r="86" spans="2:7" x14ac:dyDescent="0.2">
      <c r="B86" s="94"/>
      <c r="C86" s="40"/>
      <c r="D86" s="40"/>
      <c r="E86" s="41"/>
      <c r="F86" s="31"/>
      <c r="G86" s="31"/>
    </row>
    <row r="87" spans="2:7" x14ac:dyDescent="0.2">
      <c r="B87" s="94" t="s">
        <v>75</v>
      </c>
      <c r="C87" s="40"/>
      <c r="D87" s="40"/>
      <c r="E87" s="41" t="s">
        <v>92</v>
      </c>
      <c r="F87" s="31"/>
      <c r="G87" s="31"/>
    </row>
    <row r="88" spans="2:7" x14ac:dyDescent="0.2">
      <c r="B88" s="94"/>
      <c r="C88" s="40"/>
      <c r="D88" s="40"/>
      <c r="E88" s="41"/>
      <c r="F88" s="31"/>
      <c r="G88" s="31"/>
    </row>
    <row r="89" spans="2:7" x14ac:dyDescent="0.2">
      <c r="B89" s="94" t="s">
        <v>76</v>
      </c>
      <c r="C89" s="40"/>
      <c r="D89" s="40"/>
      <c r="E89" s="86" t="s">
        <v>79</v>
      </c>
      <c r="F89" s="31"/>
      <c r="G89" s="31"/>
    </row>
    <row r="90" spans="2:7" ht="30" customHeight="1" x14ac:dyDescent="0.2">
      <c r="B90" s="94" t="s">
        <v>16</v>
      </c>
      <c r="C90" s="40"/>
      <c r="D90" s="40"/>
      <c r="E90" s="41"/>
      <c r="F90" s="70"/>
      <c r="G90" s="31"/>
    </row>
    <row r="91" spans="2:7" x14ac:dyDescent="0.2">
      <c r="B91" s="92"/>
      <c r="C91" s="104"/>
      <c r="D91" s="104"/>
      <c r="E91" s="104"/>
      <c r="F91" s="40"/>
      <c r="G91" s="31"/>
    </row>
    <row r="92" spans="2:7" x14ac:dyDescent="0.2">
      <c r="B92" s="94" t="s">
        <v>17</v>
      </c>
      <c r="C92" s="42"/>
      <c r="D92" s="42"/>
      <c r="E92" s="108" t="s">
        <v>81</v>
      </c>
      <c r="F92" s="108"/>
      <c r="G92" s="108"/>
    </row>
    <row r="93" spans="2:7" x14ac:dyDescent="0.2">
      <c r="B93" s="92"/>
      <c r="C93" s="104"/>
      <c r="D93" s="104"/>
      <c r="E93" s="104"/>
      <c r="F93" s="71"/>
      <c r="G93" s="31"/>
    </row>
    <row r="94" spans="2:7" x14ac:dyDescent="0.2">
      <c r="B94" s="94" t="s">
        <v>18</v>
      </c>
      <c r="C94" s="40"/>
      <c r="D94" s="40"/>
      <c r="E94" s="41"/>
      <c r="F94" s="40"/>
      <c r="G94" s="31"/>
    </row>
    <row r="95" spans="2:7" x14ac:dyDescent="0.2">
      <c r="B95" s="94"/>
      <c r="C95" s="106"/>
      <c r="D95" s="106"/>
      <c r="E95" s="106"/>
      <c r="F95" s="70"/>
      <c r="G95" s="31"/>
    </row>
    <row r="96" spans="2:7" ht="13.5" thickBot="1" x14ac:dyDescent="0.25">
      <c r="B96" s="35"/>
      <c r="C96" s="36"/>
      <c r="D96" s="36"/>
      <c r="E96" s="37"/>
      <c r="F96" s="58"/>
      <c r="G96" s="31"/>
    </row>
    <row r="97" spans="2:7" x14ac:dyDescent="0.2">
      <c r="F97" s="70"/>
      <c r="G97" s="31"/>
    </row>
    <row r="98" spans="2:7" x14ac:dyDescent="0.2">
      <c r="C98" s="31"/>
      <c r="D98" s="31"/>
      <c r="E98" s="31"/>
      <c r="F98" s="40"/>
      <c r="G98" s="31"/>
    </row>
    <row r="99" spans="2:7" x14ac:dyDescent="0.2">
      <c r="B99" s="31"/>
      <c r="C99" s="31"/>
      <c r="D99" s="31"/>
      <c r="E99" s="31"/>
      <c r="F99" s="31"/>
    </row>
    <row r="100" spans="2:7" x14ac:dyDescent="0.2">
      <c r="B100" s="31"/>
      <c r="C100" s="61"/>
      <c r="D100" s="31"/>
      <c r="E100" s="31"/>
      <c r="F100" s="31"/>
    </row>
    <row r="101" spans="2:7" x14ac:dyDescent="0.2">
      <c r="B101" s="31"/>
      <c r="C101" s="61"/>
      <c r="D101" s="70"/>
      <c r="E101" s="70"/>
    </row>
    <row r="102" spans="2:7" x14ac:dyDescent="0.2">
      <c r="B102" s="31"/>
      <c r="C102" s="61"/>
      <c r="D102" s="40"/>
      <c r="E102" s="40"/>
    </row>
    <row r="103" spans="2:7" x14ac:dyDescent="0.2">
      <c r="B103" s="31"/>
      <c r="C103" s="60"/>
      <c r="D103" s="71"/>
      <c r="E103" s="71"/>
      <c r="F103" s="31"/>
    </row>
    <row r="104" spans="2:7" x14ac:dyDescent="0.2">
      <c r="B104" s="31"/>
      <c r="C104" s="60"/>
      <c r="D104" s="71"/>
      <c r="E104" s="71"/>
      <c r="F104" s="31"/>
    </row>
    <row r="105" spans="2:7" x14ac:dyDescent="0.2">
      <c r="B105" s="31"/>
      <c r="C105" s="61"/>
      <c r="D105" s="40"/>
      <c r="E105" s="40"/>
      <c r="F105" s="31"/>
    </row>
    <row r="106" spans="2:7" x14ac:dyDescent="0.2">
      <c r="B106" s="31"/>
      <c r="C106" s="60"/>
      <c r="D106" s="70"/>
      <c r="E106" s="70"/>
      <c r="F106" s="70"/>
    </row>
    <row r="107" spans="2:7" x14ac:dyDescent="0.2">
      <c r="B107" s="31"/>
      <c r="C107" s="61"/>
      <c r="D107" s="58"/>
      <c r="E107" s="58"/>
      <c r="F107" s="40"/>
    </row>
    <row r="108" spans="2:7" x14ac:dyDescent="0.2">
      <c r="B108" s="31"/>
      <c r="C108" s="60"/>
      <c r="D108" s="70"/>
      <c r="E108" s="70"/>
      <c r="F108" s="71"/>
    </row>
    <row r="109" spans="2:7" x14ac:dyDescent="0.2">
      <c r="B109" s="31"/>
      <c r="C109" s="61"/>
      <c r="D109" s="40"/>
      <c r="E109" s="62"/>
      <c r="F109" s="71"/>
    </row>
    <row r="110" spans="2:7" x14ac:dyDescent="0.2">
      <c r="B110" s="31"/>
      <c r="C110" s="61"/>
      <c r="D110" s="71"/>
      <c r="E110" s="71"/>
      <c r="F110" s="40"/>
    </row>
    <row r="111" spans="2:7" x14ac:dyDescent="0.2">
      <c r="B111" s="31"/>
      <c r="C111" s="60"/>
      <c r="D111" s="31"/>
      <c r="E111" s="31"/>
      <c r="F111" s="70"/>
    </row>
    <row r="112" spans="2:7" x14ac:dyDescent="0.2">
      <c r="C112" s="31"/>
      <c r="D112" s="31"/>
      <c r="E112" s="31"/>
      <c r="F112" s="63"/>
    </row>
    <row r="113" spans="2:6" x14ac:dyDescent="0.2">
      <c r="E113" s="31"/>
      <c r="F113" s="70"/>
    </row>
    <row r="114" spans="2:6" x14ac:dyDescent="0.2">
      <c r="D114" s="31"/>
      <c r="E114" s="59"/>
      <c r="F114" s="40"/>
    </row>
    <row r="115" spans="2:6" x14ac:dyDescent="0.2">
      <c r="B115" s="31"/>
      <c r="C115" s="31"/>
      <c r="D115" s="31"/>
      <c r="E115" s="31"/>
      <c r="F115" s="71"/>
    </row>
    <row r="116" spans="2:6" x14ac:dyDescent="0.2">
      <c r="B116" s="31"/>
      <c r="C116" s="31"/>
      <c r="D116" s="31"/>
      <c r="E116" s="31"/>
      <c r="F116" s="31"/>
    </row>
    <row r="117" spans="2:6" x14ac:dyDescent="0.2">
      <c r="B117" s="31"/>
      <c r="C117" s="61"/>
      <c r="D117" s="31"/>
      <c r="E117" s="31"/>
      <c r="F117" s="31"/>
    </row>
    <row r="118" spans="2:6" x14ac:dyDescent="0.2">
      <c r="B118" s="31"/>
      <c r="C118" s="61"/>
      <c r="D118" s="70"/>
      <c r="E118" s="70"/>
    </row>
    <row r="119" spans="2:6" x14ac:dyDescent="0.2">
      <c r="B119" s="31"/>
      <c r="C119" s="61"/>
      <c r="D119" s="40"/>
      <c r="E119" s="40"/>
    </row>
    <row r="120" spans="2:6" x14ac:dyDescent="0.2">
      <c r="B120" s="31"/>
      <c r="C120" s="60"/>
      <c r="D120" s="71"/>
      <c r="E120" s="71"/>
    </row>
    <row r="121" spans="2:6" x14ac:dyDescent="0.2">
      <c r="B121" s="31"/>
      <c r="C121" s="60"/>
      <c r="D121" s="71"/>
      <c r="E121" s="71"/>
    </row>
    <row r="122" spans="2:6" x14ac:dyDescent="0.2">
      <c r="B122" s="31"/>
      <c r="C122" s="61"/>
      <c r="D122" s="40"/>
      <c r="E122" s="40"/>
    </row>
    <row r="123" spans="2:6" x14ac:dyDescent="0.2">
      <c r="B123" s="31"/>
      <c r="C123" s="60"/>
      <c r="D123" s="70"/>
      <c r="E123" s="70"/>
    </row>
    <row r="124" spans="2:6" x14ac:dyDescent="0.2">
      <c r="B124" s="31"/>
      <c r="C124" s="61"/>
      <c r="D124" s="63"/>
      <c r="E124" s="63"/>
    </row>
    <row r="125" spans="2:6" x14ac:dyDescent="0.2">
      <c r="B125" s="31"/>
      <c r="C125" s="60"/>
      <c r="D125" s="70"/>
      <c r="E125" s="70"/>
    </row>
    <row r="126" spans="2:6" x14ac:dyDescent="0.2">
      <c r="B126" s="31"/>
      <c r="C126" s="61"/>
      <c r="D126" s="40"/>
      <c r="E126" s="62"/>
    </row>
    <row r="127" spans="2:6" x14ac:dyDescent="0.2">
      <c r="B127" s="31"/>
      <c r="C127" s="61"/>
      <c r="D127" s="71"/>
      <c r="E127" s="71"/>
    </row>
    <row r="128" spans="2:6" x14ac:dyDescent="0.2">
      <c r="B128" s="31"/>
      <c r="C128" s="60"/>
      <c r="D128" s="31"/>
      <c r="E128" s="31"/>
    </row>
    <row r="129" spans="2:5" x14ac:dyDescent="0.2">
      <c r="B129" s="31"/>
      <c r="C129" s="31"/>
      <c r="D129" s="31"/>
      <c r="E129" s="31"/>
    </row>
  </sheetData>
  <mergeCells count="23">
    <mergeCell ref="C95:E95"/>
    <mergeCell ref="C79:E79"/>
    <mergeCell ref="C91:E91"/>
    <mergeCell ref="E92:G92"/>
    <mergeCell ref="C75:E75"/>
    <mergeCell ref="C77:E77"/>
    <mergeCell ref="C93:E93"/>
    <mergeCell ref="B2:H2"/>
    <mergeCell ref="C4:E4"/>
    <mergeCell ref="A5:B5"/>
    <mergeCell ref="A6:B6"/>
    <mergeCell ref="C69:E69"/>
    <mergeCell ref="A7:B7"/>
    <mergeCell ref="C19:E19"/>
    <mergeCell ref="C21:E21"/>
    <mergeCell ref="C22:E22"/>
    <mergeCell ref="C41:E41"/>
    <mergeCell ref="C43:E43"/>
    <mergeCell ref="C45:E45"/>
    <mergeCell ref="C24:E24"/>
    <mergeCell ref="C26:E26"/>
    <mergeCell ref="C28:E28"/>
    <mergeCell ref="C37:E37"/>
  </mergeCells>
  <pageMargins left="0.23622047244094491" right="0" top="0.74803149606299213" bottom="0.74803149606299213" header="0.31496062992125984" footer="0.31496062992125984"/>
  <pageSetup paperSize="5" scale="90" firstPageNumber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topLeftCell="A4" zoomScale="75" zoomScaleNormal="75" workbookViewId="0">
      <selection activeCell="B10" sqref="B10:B1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20" ht="18" customHeight="1" x14ac:dyDescent="0.2">
      <c r="A1" s="117" t="s">
        <v>19</v>
      </c>
      <c r="B1" s="117"/>
      <c r="C1" s="117"/>
      <c r="D1" s="117"/>
      <c r="E1" s="117"/>
      <c r="F1" s="117"/>
      <c r="G1" s="117"/>
      <c r="H1" s="117"/>
      <c r="I1" s="117"/>
      <c r="J1" s="3" t="s">
        <v>20</v>
      </c>
      <c r="K1" s="48" t="s">
        <v>87</v>
      </c>
    </row>
    <row r="2" spans="1:20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20" ht="18.75" customHeight="1" thickBot="1" x14ac:dyDescent="0.25">
      <c r="A3" s="118" t="s">
        <v>53</v>
      </c>
      <c r="B3" s="118"/>
      <c r="C3" s="118"/>
      <c r="D3" s="119" t="str">
        <f>'Necesidades Trimestrales'!C4</f>
        <v>40- Ministerio de Salud</v>
      </c>
      <c r="E3" s="119"/>
      <c r="F3" s="119"/>
      <c r="G3" s="119"/>
      <c r="H3" s="119"/>
      <c r="I3" s="119"/>
      <c r="J3" s="119"/>
      <c r="K3" s="119"/>
    </row>
    <row r="4" spans="1:20" ht="18.75" customHeight="1" thickBot="1" x14ac:dyDescent="0.25">
      <c r="A4" s="120" t="s">
        <v>54</v>
      </c>
      <c r="B4" s="120"/>
      <c r="C4" s="120"/>
      <c r="D4" s="119" t="str">
        <f>'Necesidades Trimestrales'!C5</f>
        <v>28- Maternidad Provincial 25 de Mayo</v>
      </c>
      <c r="E4" s="119"/>
      <c r="F4" s="119"/>
      <c r="G4" s="119"/>
      <c r="H4" s="119"/>
      <c r="I4" s="119"/>
      <c r="J4" s="119"/>
      <c r="K4" s="119"/>
    </row>
    <row r="5" spans="1:20" ht="18.75" customHeight="1" thickBot="1" x14ac:dyDescent="0.25">
      <c r="A5" s="120" t="s">
        <v>32</v>
      </c>
      <c r="B5" s="120"/>
      <c r="C5" s="120"/>
      <c r="D5" s="119" t="s">
        <v>73</v>
      </c>
      <c r="E5" s="119"/>
      <c r="F5" s="119"/>
      <c r="G5" s="119"/>
      <c r="H5" s="119"/>
      <c r="I5" s="119"/>
      <c r="J5" s="119"/>
      <c r="K5" s="119"/>
    </row>
    <row r="6" spans="1:20" ht="16.5" customHeight="1" thickBot="1" x14ac:dyDescent="0.25">
      <c r="A6" s="118" t="s">
        <v>55</v>
      </c>
      <c r="B6" s="118"/>
      <c r="C6" s="118"/>
      <c r="D6" s="119" t="s">
        <v>58</v>
      </c>
      <c r="E6" s="119"/>
      <c r="F6" s="119"/>
      <c r="G6" s="119"/>
      <c r="H6" s="119"/>
      <c r="I6" s="119"/>
      <c r="J6" s="119"/>
      <c r="K6" s="119"/>
    </row>
    <row r="7" spans="1:20" ht="16.5" customHeight="1" thickBot="1" x14ac:dyDescent="0.25">
      <c r="A7" s="120" t="s">
        <v>21</v>
      </c>
      <c r="B7" s="120"/>
      <c r="C7" s="120"/>
      <c r="D7" s="119" t="s">
        <v>69</v>
      </c>
      <c r="E7" s="119"/>
      <c r="F7" s="119"/>
      <c r="G7" s="119"/>
      <c r="H7" s="119"/>
      <c r="I7" s="119"/>
      <c r="J7" s="119"/>
      <c r="K7" s="119"/>
    </row>
    <row r="8" spans="1:20" ht="16.5" customHeight="1" thickBot="1" x14ac:dyDescent="0.25">
      <c r="A8" s="121" t="s">
        <v>22</v>
      </c>
      <c r="B8" s="121"/>
      <c r="C8" s="121"/>
      <c r="D8" s="123" t="s">
        <v>74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5"/>
    </row>
    <row r="9" spans="1:20" ht="16.5" thickBot="1" x14ac:dyDescent="0.25">
      <c r="A9" s="6"/>
      <c r="B9" s="6"/>
      <c r="C9" s="6"/>
      <c r="D9" s="123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5"/>
    </row>
    <row r="10" spans="1:20" ht="18.75" customHeight="1" thickBot="1" x14ac:dyDescent="0.25">
      <c r="A10" s="122" t="s">
        <v>23</v>
      </c>
      <c r="B10" s="111" t="s">
        <v>24</v>
      </c>
      <c r="C10" s="111" t="s">
        <v>25</v>
      </c>
      <c r="D10" s="111"/>
      <c r="E10" s="111"/>
      <c r="F10" s="111"/>
      <c r="G10" s="111"/>
      <c r="H10" s="111" t="s">
        <v>26</v>
      </c>
      <c r="I10" s="111" t="s">
        <v>27</v>
      </c>
      <c r="J10" s="111" t="s">
        <v>28</v>
      </c>
      <c r="K10" s="112" t="s">
        <v>29</v>
      </c>
    </row>
    <row r="11" spans="1:20" ht="24" customHeight="1" thickBot="1" x14ac:dyDescent="0.25">
      <c r="A11" s="122"/>
      <c r="B11" s="111"/>
      <c r="C11" s="111"/>
      <c r="D11" s="111"/>
      <c r="E11" s="111"/>
      <c r="F11" s="111"/>
      <c r="G11" s="111"/>
      <c r="H11" s="111"/>
      <c r="I11" s="111"/>
      <c r="J11" s="111"/>
      <c r="K11" s="112"/>
    </row>
    <row r="12" spans="1:20" ht="24" customHeight="1" x14ac:dyDescent="0.2">
      <c r="A12" s="7">
        <v>1</v>
      </c>
      <c r="B12" s="43" t="str">
        <f>'Necesidades Trimestrales'!B10</f>
        <v>2.2.3-918.29</v>
      </c>
      <c r="C12" s="116" t="str">
        <f>'Necesidades Trimestrales'!E10</f>
        <v>MANTAS; MATERIAL: POLAR, TAMAÑO: 1 PLAZA</v>
      </c>
      <c r="D12" s="116"/>
      <c r="E12" s="116"/>
      <c r="F12" s="116"/>
      <c r="G12" s="116"/>
      <c r="H12" s="44" t="s">
        <v>72</v>
      </c>
      <c r="I12" s="45" t="str">
        <f>'Necesidades Trimestrales'!F10</f>
        <v>UNIDAD</v>
      </c>
      <c r="J12" s="46">
        <f>'Necesidades Trimestrales'!H10</f>
        <v>4500</v>
      </c>
      <c r="K12" s="47">
        <f>'Necesidades Trimestrales'!G10</f>
        <v>80</v>
      </c>
    </row>
    <row r="13" spans="1:20" ht="32.25" customHeight="1" x14ac:dyDescent="0.2">
      <c r="A13" s="7">
        <v>2</v>
      </c>
      <c r="B13" s="43" t="str">
        <f>'Necesidades Trimestrales'!B11</f>
        <v>2.2.3-920.5</v>
      </c>
      <c r="C13" s="113" t="str">
        <f>'Necesidades Trimestrales'!E11</f>
        <v xml:space="preserve">FRAZADAS; TAMAÑO: 1 PLAZA, MOTIVO: LISA, MATERIAL: LANA C/POLIESTER,  HILADO: LANA  C/POLIESTER    </v>
      </c>
      <c r="D13" s="114"/>
      <c r="E13" s="114"/>
      <c r="F13" s="114"/>
      <c r="G13" s="115"/>
      <c r="H13" s="44" t="s">
        <v>72</v>
      </c>
      <c r="I13" s="45" t="str">
        <f>'Necesidades Trimestrales'!F11</f>
        <v>UNIDAD</v>
      </c>
      <c r="J13" s="46">
        <f>'Necesidades Trimestrales'!H11</f>
        <v>2500</v>
      </c>
      <c r="K13" s="47">
        <f>'Necesidades Trimestrales'!G11</f>
        <v>50</v>
      </c>
    </row>
    <row r="14" spans="1:20" ht="33" customHeight="1" x14ac:dyDescent="0.2">
      <c r="A14" s="7">
        <v>3</v>
      </c>
      <c r="B14" s="43" t="str">
        <f>'Necesidades Trimestrales'!B12</f>
        <v>2.2.3-942.98</v>
      </c>
      <c r="C14" s="116" t="str">
        <f>'Necesidades Trimestrales'!E12</f>
        <v>TOALLAS DE TELA: MEDIDAS 0,80 x 1,50M</v>
      </c>
      <c r="D14" s="116"/>
      <c r="E14" s="116"/>
      <c r="F14" s="116"/>
      <c r="G14" s="116"/>
      <c r="H14" s="44" t="s">
        <v>72</v>
      </c>
      <c r="I14" s="45" t="str">
        <f>'Necesidades Trimestrales'!F12</f>
        <v>UNIDAD</v>
      </c>
      <c r="J14" s="46">
        <f>'Necesidades Trimestrales'!H12</f>
        <v>2300</v>
      </c>
      <c r="K14" s="47">
        <f>'Necesidades Trimestrales'!G12</f>
        <v>30</v>
      </c>
    </row>
    <row r="15" spans="1:20" ht="30.75" customHeight="1" thickBot="1" x14ac:dyDescent="0.25">
      <c r="A15" s="7">
        <v>4</v>
      </c>
      <c r="B15" s="43" t="str">
        <f>'Necesidades Trimestrales'!B13</f>
        <v>2.2.3-923.7</v>
      </c>
      <c r="C15" s="116" t="str">
        <f>'Necesidades Trimestrales'!E13</f>
        <v>SABANAS; TELA: ALGODON C/POLIESTER, CONJUNTO: SUPERIOR,INFERIOR Y FUNDA,  TAMAÑO: 1 1/2  PLAZA</v>
      </c>
      <c r="D15" s="116"/>
      <c r="E15" s="116"/>
      <c r="F15" s="116"/>
      <c r="G15" s="116"/>
      <c r="H15" s="44" t="s">
        <v>72</v>
      </c>
      <c r="I15" s="45" t="str">
        <f>'Necesidades Trimestrales'!F13</f>
        <v>UNIDAD</v>
      </c>
      <c r="J15" s="46">
        <f>'Necesidades Trimestrales'!H13</f>
        <v>6750</v>
      </c>
      <c r="K15" s="47">
        <f>'Necesidades Trimestrales'!G13</f>
        <v>200</v>
      </c>
    </row>
    <row r="16" spans="1:20" ht="26.25" customHeight="1" thickBot="1" x14ac:dyDescent="0.25">
      <c r="A16" s="109" t="s">
        <v>90</v>
      </c>
      <c r="B16" s="109"/>
      <c r="C16" s="109"/>
      <c r="D16" s="109"/>
      <c r="E16" s="109"/>
      <c r="F16" s="109"/>
      <c r="G16" s="109"/>
      <c r="H16" s="109"/>
      <c r="I16" s="109"/>
      <c r="J16" s="110">
        <f>SUMPRODUCT(J12:J15,K12:K15)</f>
        <v>1904000</v>
      </c>
      <c r="K16" s="110"/>
    </row>
  </sheetData>
  <mergeCells count="26">
    <mergeCell ref="A8:C8"/>
    <mergeCell ref="A10:A11"/>
    <mergeCell ref="B10:B11"/>
    <mergeCell ref="C12:G12"/>
    <mergeCell ref="D8:T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6:I16"/>
    <mergeCell ref="J16:K16"/>
    <mergeCell ref="C10:G11"/>
    <mergeCell ref="H10:H11"/>
    <mergeCell ref="I10:I11"/>
    <mergeCell ref="J10:J11"/>
    <mergeCell ref="K10:K11"/>
    <mergeCell ref="C13:G13"/>
    <mergeCell ref="C14:G14"/>
    <mergeCell ref="C15:G1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16" zoomScale="130" zoomScaleNormal="130" workbookViewId="0">
      <selection activeCell="S15" sqref="S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18" max="18" width="11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2022</v>
      </c>
      <c r="E1" s="147"/>
      <c r="F1" s="9"/>
      <c r="G1" s="9"/>
      <c r="H1" s="10"/>
      <c r="I1" s="10"/>
      <c r="J1" s="10"/>
      <c r="K1" s="10"/>
      <c r="L1" s="10"/>
      <c r="M1" s="10"/>
      <c r="N1" s="10"/>
      <c r="P1" s="148" t="s">
        <v>30</v>
      </c>
      <c r="Q1" s="148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48"/>
      <c r="Q2" s="148"/>
    </row>
    <row r="4" spans="1:17" s="11" customFormat="1" ht="18" customHeight="1" thickBot="1" x14ac:dyDescent="0.25">
      <c r="A4" s="149" t="s">
        <v>31</v>
      </c>
      <c r="B4" s="149"/>
      <c r="C4" s="149"/>
      <c r="D4" s="149"/>
      <c r="E4" s="149"/>
      <c r="F4" s="149"/>
      <c r="G4" s="144" t="str">
        <f>' NotaPedido'!D3</f>
        <v>40-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11" customFormat="1" ht="18" customHeight="1" thickBot="1" x14ac:dyDescent="0.25">
      <c r="A5" s="141" t="s">
        <v>54</v>
      </c>
      <c r="B5" s="142"/>
      <c r="C5" s="142"/>
      <c r="D5" s="142"/>
      <c r="E5" s="142"/>
      <c r="F5" s="143"/>
      <c r="G5" s="144" t="str">
        <f>' NotaPedido'!D4</f>
        <v>28- Maternidad Provincial 25 de Mayo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11" customFormat="1" ht="18" customHeight="1" thickBot="1" x14ac:dyDescent="0.25">
      <c r="A6" s="141" t="s">
        <v>32</v>
      </c>
      <c r="B6" s="142"/>
      <c r="C6" s="142"/>
      <c r="D6" s="142"/>
      <c r="E6" s="142"/>
      <c r="F6" s="143"/>
      <c r="G6" s="144" t="str">
        <f>' NotaPedido'!D5</f>
        <v xml:space="preserve">169-Direccion Asistencial 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11" customFormat="1" ht="18" customHeight="1" thickBot="1" x14ac:dyDescent="0.25">
      <c r="A7" s="141" t="s">
        <v>55</v>
      </c>
      <c r="B7" s="142"/>
      <c r="C7" s="142"/>
      <c r="D7" s="142"/>
      <c r="E7" s="142"/>
      <c r="F7" s="143"/>
      <c r="G7" s="144" t="str">
        <f>' NotaPedido'!D6</f>
        <v>División de Enfermería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33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34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12"/>
    </row>
    <row r="10" spans="1:17" ht="54.75" customHeight="1" x14ac:dyDescent="0.2">
      <c r="A10" s="136" t="s">
        <v>88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thickBot="1" x14ac:dyDescent="0.25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thickBot="1" x14ac:dyDescent="0.25">
      <c r="A12" s="137" t="s">
        <v>35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36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37</v>
      </c>
      <c r="P13" s="139"/>
      <c r="Q13" s="140" t="s">
        <v>38</v>
      </c>
    </row>
    <row r="14" spans="1:17" ht="15.75" customHeight="1" thickBot="1" x14ac:dyDescent="0.25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39"/>
      <c r="P14" s="139"/>
      <c r="Q14" s="140"/>
    </row>
    <row r="15" spans="1:17" ht="35.25" customHeight="1" x14ac:dyDescent="0.2">
      <c r="A15" s="49">
        <v>42</v>
      </c>
      <c r="B15" s="50"/>
      <c r="C15" s="50"/>
      <c r="D15" s="50">
        <v>2</v>
      </c>
      <c r="E15" s="50"/>
      <c r="F15" s="50">
        <v>4901</v>
      </c>
      <c r="G15" s="50">
        <v>3</v>
      </c>
      <c r="H15" s="50">
        <v>1</v>
      </c>
      <c r="I15" s="50">
        <v>2</v>
      </c>
      <c r="J15" s="50">
        <v>2</v>
      </c>
      <c r="K15" s="50">
        <v>3</v>
      </c>
      <c r="L15" s="50"/>
      <c r="M15" s="51">
        <v>1</v>
      </c>
      <c r="N15" s="52" t="s">
        <v>57</v>
      </c>
      <c r="O15" s="126" t="s">
        <v>89</v>
      </c>
      <c r="P15" s="127"/>
      <c r="Q15" s="22">
        <v>1904000</v>
      </c>
    </row>
    <row r="16" spans="1:17" ht="20.25" customHeight="1" thickBot="1" x14ac:dyDescent="0.25">
      <c r="A16" s="133" t="s">
        <v>91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23">
        <f>SUM(Q15:Q15)</f>
        <v>1904000</v>
      </c>
    </row>
    <row r="17" spans="1:17" ht="18" customHeight="1" thickBot="1" x14ac:dyDescent="0.25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</row>
    <row r="18" spans="1:17" ht="17.25" customHeight="1" thickBot="1" x14ac:dyDescent="0.25">
      <c r="A18" s="128" t="s">
        <v>52</v>
      </c>
      <c r="B18" s="129"/>
      <c r="C18" s="129"/>
      <c r="D18" s="129"/>
      <c r="E18" s="129"/>
      <c r="F18" s="130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</row>
    <row r="19" spans="1:17" ht="18" customHeight="1" thickBot="1" x14ac:dyDescent="0.25">
      <c r="A19" s="132" t="s">
        <v>63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</row>
    <row r="20" spans="1:17" ht="15" customHeight="1" x14ac:dyDescent="0.2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25" right="0.25" top="0.75" bottom="0.75" header="0.3" footer="0.3"/>
  <pageSetup paperSize="9" scale="90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2021-04-28T12:49:07Z</cp:lastPrinted>
  <dcterms:created xsi:type="dcterms:W3CDTF">2020-07-17T23:44:49Z</dcterms:created>
  <dcterms:modified xsi:type="dcterms:W3CDTF">2022-04-22T15:53:08Z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