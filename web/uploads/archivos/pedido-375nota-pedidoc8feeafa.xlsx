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2022\Oncologico\3er trim\"/>
    </mc:Choice>
  </mc:AlternateContent>
  <xr:revisionPtr revIDLastSave="0" documentId="13_ncr:1_{817BF5B7-936C-4AB5-9C30-DFD993E957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1" i="3" l="1"/>
  <c r="G6" i="3"/>
  <c r="G7" i="3"/>
  <c r="I13" i="2"/>
  <c r="I14" i="2"/>
  <c r="I15" i="2"/>
  <c r="I16" i="2"/>
  <c r="I17" i="2"/>
  <c r="I18" i="2"/>
  <c r="I19" i="2"/>
  <c r="I20" i="2"/>
  <c r="I12" i="2"/>
  <c r="J22" i="2"/>
  <c r="C13" i="2"/>
  <c r="C14" i="2"/>
  <c r="C15" i="2"/>
  <c r="C16" i="2"/>
  <c r="C17" i="2"/>
  <c r="C18" i="2"/>
  <c r="C19" i="2"/>
  <c r="C20" i="2"/>
  <c r="C12" i="2"/>
  <c r="B13" i="2"/>
  <c r="B14" i="2"/>
  <c r="B15" i="2"/>
  <c r="B16" i="2"/>
  <c r="B17" i="2"/>
  <c r="B18" i="2"/>
  <c r="B19" i="2"/>
  <c r="B20" i="2"/>
  <c r="B12" i="2"/>
  <c r="D4" i="2"/>
  <c r="G5" i="3" s="1"/>
  <c r="D3" i="2"/>
  <c r="G4" i="3" s="1"/>
  <c r="Q38" i="3" l="1"/>
  <c r="I11" i="1" l="1"/>
  <c r="I12" i="1"/>
  <c r="I15" i="1"/>
  <c r="I10" i="1"/>
  <c r="I13" i="1"/>
  <c r="I16" i="1"/>
  <c r="I14" i="1"/>
  <c r="I17" i="1"/>
  <c r="I18" i="1" l="1"/>
  <c r="I19" i="1" s="1"/>
</calcChain>
</file>

<file path=xl/sharedStrings.xml><?xml version="1.0" encoding="utf-8"?>
<sst xmlns="http://schemas.openxmlformats.org/spreadsheetml/2006/main" count="136" uniqueCount="98">
  <si>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</si>
  <si>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</si>
  <si>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</si>
  <si>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</si>
  <si>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</si>
  <si>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</si>
  <si>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</si>
  <si>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</si>
  <si>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</si>
  <si>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</si>
  <si>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</si>
  <si>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</si>
  <si>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</si>
  <si>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</si>
  <si>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</si>
  <si>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</si>
  <si>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</si>
  <si>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TERCERO</t>
  </si>
  <si>
    <t>AMPOLLA</t>
  </si>
  <si>
    <t>2.5.2-1913.9</t>
  </si>
  <si>
    <t>PRODUCTOS FARMACEUTICOS Y MEDICINALES</t>
  </si>
  <si>
    <t>2.5.2</t>
  </si>
  <si>
    <t>SULFONAMIDA-QUIMIOTERAPICO; TIPO: MONODROGA, DROGA GENERICA: DACTINOMICINA, FORMA FARMACEUTICA: AMPOLLA, PRESENTACION: 0,5 mGr</t>
  </si>
  <si>
    <t>ANTINEOPLASICOS; TIPO: MONODROGA, DROGA GENERICA: BRENTUXIMAB, FORMA FARMACEUTICA: AMPOLLA, PRESENTACION: UNIDAD</t>
  </si>
  <si>
    <t>2.5.2-1894.102</t>
  </si>
  <si>
    <t>CITOSTATICOS; TIPO: MONODROGA, DROGA GENERICA: BEVACIZUMAB 400 MG, FORMA FARMACEUTICA: VIAL X 16 mL, PRESENTACION: UNIDAD</t>
  </si>
  <si>
    <t>ANTINEOPLASICOS; TIPO: MONODROGA, DROGA GENERICA: ASPARAGINASA PEGILADA, FORMA FARMACEUTICA: FRASCO AMPOLLA, PRESENTACION: ENVASE X 3750 UI</t>
  </si>
  <si>
    <t>ANTINEOPLASICOS; TIPO: MONODROGA, DROGA GENERICA: PEMBROLIZUMAB, FORMA FARMACEUTICA: AMPOLLA, PRESENTACION: UNIDAD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</si>
  <si>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</si>
  <si>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</si>
  <si>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</si>
  <si>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</si>
  <si>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</si>
  <si>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</si>
  <si>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</si>
  <si>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</si>
  <si>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</si>
  <si>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</si>
  <si>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</si>
  <si>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</si>
  <si>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</si>
  <si>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</si>
  <si>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</si>
  <si>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</si>
  <si>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</si>
  <si>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</si>
  <si>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</si>
  <si>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</si>
  <si>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</si>
  <si>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</si>
  <si>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</si>
  <si>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</si>
  <si>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</si>
  <si>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</si>
  <si>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</si>
  <si>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</si>
  <si>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</si>
  <si>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</si>
  <si>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</si>
  <si>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</si>
  <si>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</si>
  <si>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</si>
  <si>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</si>
  <si>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</si>
  <si>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</si>
  <si>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</si>
  <si>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2.5.2-3956.30</t>
  </si>
  <si>
    <t>ANTINEOPLASICOS; TIPO: MONODROGA, DROGA GENERICA: BORTEZOMIB, FORMA FARMACEUTICA: AMPOLLA, PRESENTACION: ENVASE X 3,5 MGR</t>
  </si>
  <si>
    <t>2.5.2-3956.65</t>
  </si>
  <si>
    <t>2.5.2-3956.66</t>
  </si>
  <si>
    <t>2.5.2-3956.63</t>
  </si>
  <si>
    <t>2.5.2-1894.125</t>
  </si>
  <si>
    <t>CITOSTATICOS; TIPO: MONODROGA, DROGA GENERICA: PERTUZUMAB 420 MG, FORMA FARMACEUTICA: AMPOLLA, PRESENTACION: ENVASE X 14 ML</t>
  </si>
  <si>
    <t>2.5.2-3956.22</t>
  </si>
  <si>
    <t>2.5.2-1894.126</t>
  </si>
  <si>
    <t>CITOSTATICOS; TIPO: MONODROGA, DROGA GENERICA: TRASTUZUMAB 600 MG, FORMA FARMACEUTICA: AMPOLLA, PRESENTACION: ENVASE X 5 ML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</si>
  <si>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</si>
  <si>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</si>
  <si>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</si>
  <si>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</si>
  <si>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</si>
  <si>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</si>
  <si>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</si>
  <si>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>DIR. PROV. DE CANCER - CHACABUCO N° 169 - en el horario de 8:00hs a 12:00hs de lunes a viernes</t>
  </si>
  <si>
    <t>diez (10) dias habiles</t>
  </si>
  <si>
    <t>ADQ. DEL RUBRO MEDICAMENTOS ONCOLOGICOS</t>
  </si>
  <si>
    <t>NO</t>
  </si>
  <si>
    <t>Costo total estimado: PESOS ONCE MILLONES CIENTO SETENTA Y NUEVE MIL CINCUENTA Y CUATRO CON 20/100.-</t>
  </si>
  <si>
    <t>1.1</t>
  </si>
  <si>
    <t>TOTAL DE PESOS: ONCE MILLONES CIENTO SETENTA Y NUEVE MIL CINCUENTA Y CUATRO CON 00/100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</si>
  <si>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</si>
  <si>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</si>
  <si>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159 - DIRECCION PROVINCIAL DE CANCER</t>
  </si>
  <si>
    <t>TRES (3) MESES</t>
  </si>
  <si>
    <t>ANTINEOPLASICOS; TIPO: MONODROGA, DROGA GENERICA: TRASTUZUMAB, FORMA FARMACEUTICA: AMPOLLA, PRESENTACION: ENVASE X 440 MGR</t>
  </si>
  <si>
    <t>Subcutaneo</t>
  </si>
  <si>
    <t>Especificidades: ITEMS NUM 8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</si>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</sst>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7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7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69" fontId="16" fillId="0" borderId="0" applyBorder="0" applyProtection="0"/>
  </cellStyleXfs>
  <cellXfs count="177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67" fontId="9" fillId="0" borderId="2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3" fontId="10" fillId="0" borderId="4" xfId="2" applyNumberFormat="1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0" xfId="0" applyFont="1"/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9" fillId="0" borderId="0" xfId="0" applyFont="1"/>
    <xf numFmtId="0" fontId="22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16" xfId="0" applyFont="1" applyBorder="1" applyAlignment="1">
      <alignment vertical="center"/>
    </xf>
    <xf numFmtId="0" fontId="23" fillId="0" borderId="2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 indent="1"/>
    </xf>
    <xf numFmtId="0" fontId="22" fillId="0" borderId="16" xfId="0" applyFont="1" applyBorder="1" applyAlignment="1">
      <alignment horizontal="left" vertical="center" wrapText="1" indent="1"/>
    </xf>
    <xf numFmtId="0" fontId="25" fillId="0" borderId="25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3" fontId="28" fillId="0" borderId="32" xfId="0" applyNumberFormat="1" applyFont="1" applyBorder="1"/>
    <xf numFmtId="170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8" xfId="0" applyBorder="1"/>
    <xf numFmtId="0" fontId="32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42" xfId="0" applyFont="1" applyBorder="1" applyAlignment="1">
      <alignment horizontal="left" vertical="center"/>
    </xf>
    <xf numFmtId="0" fontId="32" fillId="0" borderId="43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1" fontId="0" fillId="0" borderId="48" xfId="33" applyNumberFormat="1" applyFont="1" applyBorder="1" applyAlignment="1" applyProtection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1" fontId="0" fillId="0" borderId="53" xfId="33" applyNumberFormat="1" applyFont="1" applyBorder="1" applyAlignment="1" applyProtection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33" applyNumberFormat="1" applyFont="1" applyBorder="1" applyAlignment="1" applyProtection="1">
      <alignment horizontal="center" vertical="center"/>
    </xf>
    <xf numFmtId="171" fontId="32" fillId="0" borderId="5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33" fillId="0" borderId="11" xfId="5" applyFont="1" applyBorder="1" applyAlignment="1">
      <alignment horizontal="center" vertical="center" wrapText="1"/>
    </xf>
    <xf numFmtId="0" fontId="33" fillId="0" borderId="21" xfId="5" applyFont="1" applyBorder="1" applyAlignment="1">
      <alignment horizontal="center" vertical="center" wrapText="1"/>
    </xf>
    <xf numFmtId="0" fontId="3" fillId="0" borderId="0" xfId="5" applyFont="1" applyAlignment="1">
      <alignment horizontal="left" vertical="center" wrapText="1"/>
    </xf>
    <xf numFmtId="0" fontId="33" fillId="0" borderId="21" xfId="5" applyFont="1" applyBorder="1" applyAlignment="1">
      <alignment horizontal="center" wrapText="1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left" vertical="center" wrapText="1"/>
    </xf>
    <xf numFmtId="0" fontId="22" fillId="0" borderId="30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6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67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3" fontId="26" fillId="0" borderId="68" xfId="0" applyNumberFormat="1" applyFont="1" applyBorder="1" applyAlignment="1">
      <alignment horizontal="center" vertical="center"/>
    </xf>
    <xf numFmtId="167" fontId="21" fillId="0" borderId="12" xfId="0" applyNumberFormat="1" applyFont="1" applyBorder="1" applyAlignment="1">
      <alignment horizontal="right" vertical="center"/>
    </xf>
    <xf numFmtId="167" fontId="21" fillId="0" borderId="0" xfId="0" applyNumberFormat="1" applyFont="1" applyAlignment="1">
      <alignment vertical="center"/>
    </xf>
    <xf numFmtId="167" fontId="22" fillId="0" borderId="62" xfId="0" applyNumberFormat="1" applyFont="1" applyBorder="1" applyAlignment="1">
      <alignment vertical="center"/>
    </xf>
    <xf numFmtId="167" fontId="22" fillId="0" borderId="0" xfId="0" applyNumberFormat="1" applyFont="1" applyAlignment="1">
      <alignment horizontal="left" vertical="center" wrapText="1" indent="1"/>
    </xf>
    <xf numFmtId="167" fontId="26" fillId="0" borderId="3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5" fillId="0" borderId="9" xfId="0" applyFont="1" applyBorder="1" applyAlignment="1">
      <alignment horizontal="center" vertical="center" wrapText="1"/>
    </xf>
    <xf numFmtId="167" fontId="25" fillId="0" borderId="9" xfId="0" applyNumberFormat="1" applyFont="1" applyBorder="1" applyAlignment="1">
      <alignment horizontal="center" vertical="center" wrapText="1"/>
    </xf>
    <xf numFmtId="3" fontId="25" fillId="0" borderId="26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167" fontId="25" fillId="0" borderId="10" xfId="0" applyNumberFormat="1" applyFont="1" applyBorder="1" applyAlignment="1">
      <alignment horizontal="center" vertical="center" wrapText="1"/>
    </xf>
    <xf numFmtId="3" fontId="25" fillId="0" borderId="2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64" xfId="0" applyFont="1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32" xfId="5" applyFont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5" fillId="0" borderId="69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167" fontId="24" fillId="0" borderId="23" xfId="0" applyNumberFormat="1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 indent="1"/>
    </xf>
    <xf numFmtId="166" fontId="34" fillId="0" borderId="30" xfId="0" applyNumberFormat="1" applyFont="1" applyBorder="1" applyAlignment="1">
      <alignment horizontal="center" vertical="center"/>
    </xf>
    <xf numFmtId="166" fontId="34" fillId="0" borderId="31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left"/>
    </xf>
    <xf numFmtId="0" fontId="0" fillId="0" borderId="30" xfId="0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0" fontId="29" fillId="0" borderId="13" xfId="0" applyFont="1" applyBorder="1" applyAlignment="1">
      <alignment horizontal="center" vertical="center" wrapText="1"/>
    </xf>
    <xf numFmtId="0" fontId="16" fillId="0" borderId="33" xfId="0" applyFont="1" applyBorder="1"/>
    <xf numFmtId="0" fontId="30" fillId="0" borderId="34" xfId="0" applyFont="1" applyBorder="1" applyAlignment="1">
      <alignment horizontal="left" indent="1"/>
    </xf>
    <xf numFmtId="0" fontId="26" fillId="0" borderId="33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/>
    </xf>
    <xf numFmtId="0" fontId="0" fillId="0" borderId="52" xfId="0" applyBorder="1" applyAlignment="1">
      <alignment horizontal="center" vertical="center"/>
    </xf>
    <xf numFmtId="49" fontId="30" fillId="0" borderId="37" xfId="0" applyNumberFormat="1" applyFont="1" applyBorder="1" applyAlignment="1">
      <alignment horizontal="justify" vertical="center" wrapText="1"/>
    </xf>
    <xf numFmtId="0" fontId="32" fillId="0" borderId="36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/>
    </xf>
    <xf numFmtId="0" fontId="0" fillId="0" borderId="46" xfId="0" applyBorder="1" applyAlignment="1">
      <alignment horizontal="left" vertical="center" wrapText="1"/>
    </xf>
    <xf numFmtId="0" fontId="0" fillId="0" borderId="52" xfId="0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28" fillId="0" borderId="18" xfId="0" applyFont="1" applyBorder="1" applyAlignment="1">
      <alignment vertical="center" wrapText="1"/>
    </xf>
    <xf numFmtId="0" fontId="30" fillId="0" borderId="40" xfId="0" applyFont="1" applyBorder="1" applyAlignment="1">
      <alignment vertical="center" wrapText="1"/>
    </xf>
    <xf numFmtId="0" fontId="30" fillId="0" borderId="29" xfId="0" applyFont="1" applyBorder="1" applyAlignment="1">
      <alignment horizontal="left" vertical="center" wrapText="1" indent="1"/>
    </xf>
    <xf numFmtId="0" fontId="0" fillId="0" borderId="55" xfId="0" applyBorder="1" applyAlignment="1">
      <alignment horizontal="left" vertical="center"/>
    </xf>
    <xf numFmtId="0" fontId="28" fillId="0" borderId="58" xfId="0" applyFont="1" applyBorder="1" applyAlignment="1">
      <alignment horizontal="left" vertical="center" wrapText="1"/>
    </xf>
    <xf numFmtId="0" fontId="0" fillId="0" borderId="36" xfId="0" applyBorder="1"/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"/>
  <sheetViews>
    <sheetView tabSelected="1" topLeftCell="D1" zoomScale="110" zoomScaleNormal="110" workbookViewId="0">
      <selection activeCell="J10" sqref="J10"/>
    </sheetView>
  </sheetViews>
  <sheetFormatPr baseColWidth="10" defaultRowHeight="15" x14ac:dyDescent="0.25"/>
  <cols>
    <col min="1" max="1" width="5.42578125" style="21" bestFit="1" customWidth="1"/>
    <col min="2" max="2" width="13.85546875" style="21" bestFit="1" customWidth="1"/>
    <col min="3" max="3" width="39" style="21" bestFit="1" customWidth="1"/>
    <col min="4" max="4" width="5.5703125" style="21" customWidth="1"/>
    <col min="5" max="5" width="89.85546875" style="22" bestFit="1" customWidth="1"/>
    <col min="6" max="6" width="15.5703125" style="21" bestFit="1" customWidth="1"/>
    <col min="7" max="7" width="11.28515625" style="23" bestFit="1" customWidth="1"/>
    <col min="8" max="8" width="13.85546875" style="24" customWidth="1"/>
    <col min="9" max="9" width="16.28515625" style="24" bestFit="1" customWidth="1"/>
    <col min="10" max="10" width="62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0" s="38" customFormat="1" ht="18.75" x14ac:dyDescent="0.3">
      <c r="A2" s="36"/>
      <c r="B2" s="125" t="s">
        <v>0</v>
      </c>
      <c r="C2" s="125"/>
      <c r="D2" s="125"/>
      <c r="E2" s="125"/>
      <c r="F2" s="125"/>
      <c r="G2" s="125"/>
      <c r="H2" s="125"/>
      <c r="I2" s="37"/>
    </row>
    <row r="3" spans="1:10" x14ac:dyDescent="0.25">
      <c r="A3" s="3"/>
      <c r="B3" s="2"/>
      <c r="C3" s="3"/>
      <c r="D3" s="3"/>
      <c r="E3" s="4"/>
      <c r="F3" s="3"/>
      <c r="G3" s="5"/>
      <c r="H3" s="6"/>
      <c r="I3" s="7"/>
    </row>
    <row r="4" spans="1:10" x14ac:dyDescent="0.25">
      <c r="A4" s="126" t="s">
        <v>1</v>
      </c>
      <c r="B4" s="126"/>
      <c r="C4" s="100" t="s">
        <v>2</v>
      </c>
      <c r="D4" s="100"/>
      <c r="E4" s="100"/>
      <c r="F4" s="8"/>
      <c r="G4" s="9"/>
      <c r="H4" s="6"/>
      <c r="I4" s="7"/>
    </row>
    <row r="5" spans="1:10" ht="15" customHeight="1" x14ac:dyDescent="0.25">
      <c r="A5" s="126" t="s">
        <v>3</v>
      </c>
      <c r="B5" s="126"/>
      <c r="C5" s="100" t="s">
        <v>4</v>
      </c>
      <c r="D5" s="100"/>
      <c r="E5" s="100"/>
      <c r="F5" s="8"/>
      <c r="G5" s="9"/>
      <c r="H5" s="6"/>
      <c r="I5" s="7"/>
    </row>
    <row r="6" spans="1:10" x14ac:dyDescent="0.25">
      <c r="A6" s="126" t="s">
        <v>5</v>
      </c>
      <c r="B6" s="126"/>
      <c r="C6" s="101">
        <v>2022</v>
      </c>
      <c r="D6" s="102"/>
      <c r="E6" s="101"/>
      <c r="F6" s="8"/>
      <c r="G6" s="9"/>
      <c r="H6" s="6"/>
      <c r="I6" s="7"/>
    </row>
    <row r="7" spans="1:10" x14ac:dyDescent="0.25">
      <c r="A7" s="126" t="s">
        <v>6</v>
      </c>
      <c r="B7" s="126"/>
      <c r="C7" s="101" t="s">
        <v>17</v>
      </c>
      <c r="D7" s="102"/>
      <c r="E7" s="101"/>
      <c r="F7" s="8"/>
      <c r="G7" s="9"/>
      <c r="H7" s="6"/>
      <c r="I7" s="7"/>
    </row>
    <row r="8" spans="1:10" x14ac:dyDescent="0.25">
      <c r="A8" s="3"/>
      <c r="B8" s="8"/>
      <c r="C8" s="8"/>
      <c r="D8" s="8"/>
      <c r="E8" s="10"/>
      <c r="F8" s="8"/>
      <c r="G8" s="9"/>
      <c r="H8" s="6"/>
      <c r="I8" s="7"/>
    </row>
    <row r="9" spans="1:10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</row>
    <row r="10" spans="1:10" s="20" customFormat="1" ht="25.5" x14ac:dyDescent="0.2">
      <c r="A10" s="28">
        <v>1</v>
      </c>
      <c r="B10" s="28" t="s">
        <v>69</v>
      </c>
      <c r="C10" s="28" t="s">
        <v>20</v>
      </c>
      <c r="D10" s="28" t="s">
        <v>21</v>
      </c>
      <c r="E10" s="29" t="s">
        <v>26</v>
      </c>
      <c r="F10" s="28" t="s">
        <v>18</v>
      </c>
      <c r="G10" s="18">
        <v>2</v>
      </c>
      <c r="H10" s="30">
        <v>616730</v>
      </c>
      <c r="I10" s="30">
        <f t="shared" ref="I10:I18" si="0">+G10*H10</f>
        <v>1233460</v>
      </c>
      <c r="J10" s="19"/>
    </row>
    <row r="11" spans="1:10" s="20" customFormat="1" ht="25.5" x14ac:dyDescent="0.2">
      <c r="A11" s="28">
        <v>2</v>
      </c>
      <c r="B11" s="28" t="s">
        <v>66</v>
      </c>
      <c r="C11" s="28" t="s">
        <v>20</v>
      </c>
      <c r="D11" s="28" t="s">
        <v>21</v>
      </c>
      <c r="E11" s="29" t="s">
        <v>67</v>
      </c>
      <c r="F11" s="28" t="s">
        <v>18</v>
      </c>
      <c r="G11" s="18">
        <v>2</v>
      </c>
      <c r="H11" s="30">
        <v>4680</v>
      </c>
      <c r="I11" s="30">
        <f t="shared" si="0"/>
        <v>9360</v>
      </c>
      <c r="J11" s="19"/>
    </row>
    <row r="12" spans="1:10" s="20" customFormat="1" ht="25.5" x14ac:dyDescent="0.2">
      <c r="A12" s="28">
        <v>3</v>
      </c>
      <c r="B12" s="28" t="s">
        <v>68</v>
      </c>
      <c r="C12" s="28" t="s">
        <v>20</v>
      </c>
      <c r="D12" s="28" t="s">
        <v>21</v>
      </c>
      <c r="E12" s="29" t="s">
        <v>23</v>
      </c>
      <c r="F12" s="28" t="s">
        <v>18</v>
      </c>
      <c r="G12" s="18">
        <v>1</v>
      </c>
      <c r="H12" s="30">
        <v>828100</v>
      </c>
      <c r="I12" s="30">
        <f t="shared" si="0"/>
        <v>828100</v>
      </c>
      <c r="J12" s="19"/>
    </row>
    <row r="13" spans="1:10" s="20" customFormat="1" ht="25.5" x14ac:dyDescent="0.2">
      <c r="A13" s="28">
        <v>4</v>
      </c>
      <c r="B13" s="28" t="s">
        <v>70</v>
      </c>
      <c r="C13" s="28" t="s">
        <v>20</v>
      </c>
      <c r="D13" s="28" t="s">
        <v>21</v>
      </c>
      <c r="E13" s="29" t="s">
        <v>27</v>
      </c>
      <c r="F13" s="28" t="s">
        <v>18</v>
      </c>
      <c r="G13" s="18">
        <v>6</v>
      </c>
      <c r="H13" s="30">
        <v>399906.1</v>
      </c>
      <c r="I13" s="30">
        <f t="shared" si="0"/>
        <v>2399436.5999999996</v>
      </c>
      <c r="J13" s="19"/>
    </row>
    <row r="14" spans="1:10" s="20" customFormat="1" ht="25.5" x14ac:dyDescent="0.2">
      <c r="A14" s="28">
        <v>5</v>
      </c>
      <c r="B14" s="28" t="s">
        <v>73</v>
      </c>
      <c r="C14" s="28" t="s">
        <v>20</v>
      </c>
      <c r="D14" s="28" t="s">
        <v>21</v>
      </c>
      <c r="E14" s="29" t="s">
        <v>94</v>
      </c>
      <c r="F14" s="28" t="s">
        <v>18</v>
      </c>
      <c r="G14" s="18">
        <v>8</v>
      </c>
      <c r="H14" s="30">
        <v>197243.75</v>
      </c>
      <c r="I14" s="30">
        <f t="shared" si="0"/>
        <v>1577950</v>
      </c>
      <c r="J14" s="19"/>
    </row>
    <row r="15" spans="1:10" s="20" customFormat="1" ht="25.5" x14ac:dyDescent="0.2">
      <c r="A15" s="28">
        <v>6</v>
      </c>
      <c r="B15" s="28" t="s">
        <v>24</v>
      </c>
      <c r="C15" s="28" t="s">
        <v>20</v>
      </c>
      <c r="D15" s="28" t="s">
        <v>21</v>
      </c>
      <c r="E15" s="29" t="s">
        <v>25</v>
      </c>
      <c r="F15" s="28" t="s">
        <v>18</v>
      </c>
      <c r="G15" s="18">
        <v>5</v>
      </c>
      <c r="H15" s="30">
        <v>7740</v>
      </c>
      <c r="I15" s="30">
        <f t="shared" si="0"/>
        <v>38700</v>
      </c>
      <c r="J15" s="19"/>
    </row>
    <row r="16" spans="1:10" s="20" customFormat="1" ht="25.5" x14ac:dyDescent="0.2">
      <c r="A16" s="28">
        <v>7</v>
      </c>
      <c r="B16" s="28" t="s">
        <v>71</v>
      </c>
      <c r="C16" s="28" t="s">
        <v>20</v>
      </c>
      <c r="D16" s="28" t="s">
        <v>21</v>
      </c>
      <c r="E16" s="29" t="s">
        <v>72</v>
      </c>
      <c r="F16" s="28" t="s">
        <v>18</v>
      </c>
      <c r="G16" s="18">
        <v>8</v>
      </c>
      <c r="H16" s="30">
        <v>527797.19999999995</v>
      </c>
      <c r="I16" s="30">
        <f t="shared" si="0"/>
        <v>4222377.5999999996</v>
      </c>
      <c r="J16" s="19"/>
    </row>
    <row r="17" spans="1:10" s="20" customFormat="1" ht="25.5" x14ac:dyDescent="0.2">
      <c r="A17" s="28">
        <v>8</v>
      </c>
      <c r="B17" s="25" t="s">
        <v>74</v>
      </c>
      <c r="C17" s="25" t="s">
        <v>20</v>
      </c>
      <c r="D17" s="25" t="s">
        <v>21</v>
      </c>
      <c r="E17" s="26" t="s">
        <v>75</v>
      </c>
      <c r="F17" s="25" t="s">
        <v>18</v>
      </c>
      <c r="G17" s="18">
        <v>2</v>
      </c>
      <c r="H17" s="27">
        <v>297000</v>
      </c>
      <c r="I17" s="30">
        <f t="shared" si="0"/>
        <v>594000</v>
      </c>
      <c r="J17" s="19"/>
    </row>
    <row r="18" spans="1:10" s="20" customFormat="1" ht="26.25" thickBot="1" x14ac:dyDescent="0.25">
      <c r="A18" s="28">
        <v>9</v>
      </c>
      <c r="B18" s="25" t="s">
        <v>19</v>
      </c>
      <c r="C18" s="25" t="s">
        <v>20</v>
      </c>
      <c r="D18" s="25" t="s">
        <v>21</v>
      </c>
      <c r="E18" s="84" t="s">
        <v>22</v>
      </c>
      <c r="F18" s="25" t="s">
        <v>18</v>
      </c>
      <c r="G18" s="18">
        <v>3</v>
      </c>
      <c r="H18" s="27">
        <v>91890</v>
      </c>
      <c r="I18" s="30">
        <f t="shared" si="0"/>
        <v>275670</v>
      </c>
      <c r="J18" s="19"/>
    </row>
    <row r="19" spans="1:10" s="35" customFormat="1" ht="15.75" customHeight="1" thickBot="1" x14ac:dyDescent="0.25">
      <c r="A19" s="133" t="s">
        <v>28</v>
      </c>
      <c r="B19" s="134"/>
      <c r="C19" s="134"/>
      <c r="D19" s="134"/>
      <c r="E19" s="134"/>
      <c r="F19" s="135"/>
      <c r="G19" s="33"/>
      <c r="H19" s="31"/>
      <c r="I19" s="32">
        <f>SUM(I10:I18)</f>
        <v>11179054.199999999</v>
      </c>
      <c r="J19" s="34"/>
    </row>
    <row r="21" spans="1:10" ht="15.75" thickBot="1" x14ac:dyDescent="0.3"/>
    <row r="22" spans="1:10" ht="138.75" customHeight="1" x14ac:dyDescent="0.25">
      <c r="C22" s="85" t="s">
        <v>76</v>
      </c>
      <c r="D22" s="136" t="s">
        <v>77</v>
      </c>
      <c r="E22" s="137"/>
    </row>
    <row r="23" spans="1:10" x14ac:dyDescent="0.25">
      <c r="C23" s="86"/>
      <c r="D23" s="87"/>
      <c r="E23" s="92"/>
    </row>
    <row r="24" spans="1:10" x14ac:dyDescent="0.25">
      <c r="C24" s="88" t="s">
        <v>78</v>
      </c>
      <c r="D24" s="89" t="s">
        <v>84</v>
      </c>
      <c r="E24" s="92"/>
    </row>
    <row r="25" spans="1:10" x14ac:dyDescent="0.25">
      <c r="C25" s="88"/>
      <c r="D25" s="90"/>
      <c r="E25" s="92"/>
    </row>
    <row r="26" spans="1:10" x14ac:dyDescent="0.25">
      <c r="C26" s="88" t="s">
        <v>79</v>
      </c>
      <c r="D26" s="91" t="s">
        <v>83</v>
      </c>
      <c r="E26" s="92"/>
    </row>
    <row r="27" spans="1:10" x14ac:dyDescent="0.25">
      <c r="C27" s="88"/>
      <c r="D27" s="91"/>
      <c r="E27" s="92"/>
    </row>
    <row r="28" spans="1:10" x14ac:dyDescent="0.25">
      <c r="C28" s="88" t="s">
        <v>80</v>
      </c>
      <c r="D28" s="90"/>
      <c r="E28" s="92"/>
    </row>
    <row r="29" spans="1:10" x14ac:dyDescent="0.25">
      <c r="C29" s="88"/>
      <c r="D29" s="90"/>
      <c r="E29" s="92"/>
    </row>
    <row r="30" spans="1:10" x14ac:dyDescent="0.25">
      <c r="C30" s="88" t="s">
        <v>81</v>
      </c>
      <c r="D30" s="89" t="s">
        <v>82</v>
      </c>
      <c r="E30" s="92"/>
    </row>
    <row r="31" spans="1:10" ht="15.75" thickBot="1" x14ac:dyDescent="0.3">
      <c r="C31" s="93"/>
      <c r="D31" s="94"/>
      <c r="E31" s="95"/>
    </row>
    <row r="32" spans="1:10" ht="15.75" thickBot="1" x14ac:dyDescent="0.3"/>
    <row r="33" spans="3:5" x14ac:dyDescent="0.25">
      <c r="C33" s="127" t="s">
        <v>96</v>
      </c>
      <c r="D33" s="128"/>
      <c r="E33" s="129"/>
    </row>
    <row r="34" spans="3:5" ht="15.75" thickBot="1" x14ac:dyDescent="0.3">
      <c r="C34" s="130" t="s">
        <v>95</v>
      </c>
      <c r="D34" s="131"/>
      <c r="E34" s="132"/>
    </row>
  </sheetData>
  <sortState xmlns:xlrd2="http://schemas.microsoft.com/office/spreadsheetml/2017/richdata2" ref="A10:J20">
    <sortCondition ref="E10"/>
  </sortState>
  <mergeCells count="9">
    <mergeCell ref="C34:E34"/>
    <mergeCell ref="A19:F19"/>
    <mergeCell ref="D22:E22"/>
    <mergeCell ref="A7:B7"/>
    <mergeCell ref="B2:H2"/>
    <mergeCell ref="A4:B4"/>
    <mergeCell ref="A5:B5"/>
    <mergeCell ref="A6:B6"/>
    <mergeCell ref="C33:E33"/>
  </mergeCells>
  <conditionalFormatting sqref="B1:B9 E1:E9">
    <cfRule type="duplicateValues" dxfId="9" priority="241"/>
  </conditionalFormatting>
  <conditionalFormatting sqref="E1:E9 B1:B9">
    <cfRule type="duplicateValues" dxfId="8" priority="242"/>
  </conditionalFormatting>
  <conditionalFormatting sqref="B1:B9">
    <cfRule type="duplicateValues" dxfId="7" priority="579"/>
  </conditionalFormatting>
  <conditionalFormatting sqref="E1:E9">
    <cfRule type="duplicateValues" dxfId="6" priority="580"/>
  </conditionalFormatting>
  <conditionalFormatting sqref="E1:E9">
    <cfRule type="duplicateValues" dxfId="5" priority="581"/>
    <cfRule type="duplicateValues" dxfId="4" priority="582"/>
  </conditionalFormatting>
  <conditionalFormatting sqref="C24:C30">
    <cfRule type="duplicateValues" dxfId="3" priority="1"/>
  </conditionalFormatting>
  <conditionalFormatting sqref="C24:C30">
    <cfRule type="duplicateValues" dxfId="2" priority="2"/>
  </conditionalFormatting>
  <conditionalFormatting sqref="C24:C30">
    <cfRule type="duplicateValues" dxfId="1" priority="3"/>
  </conditionalFormatting>
  <conditionalFormatting sqref="C24:C30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4" zoomScale="120" zoomScaleNormal="120" workbookViewId="0">
      <selection activeCell="J12" sqref="J12:K20"/>
    </sheetView>
  </sheetViews>
  <sheetFormatPr baseColWidth="10" defaultRowHeight="15" x14ac:dyDescent="0.25"/>
  <cols>
    <col min="1" max="1" width="5.5703125" customWidth="1"/>
    <col min="2" max="2" width="15.140625" style="107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7.28515625" customWidth="1"/>
    <col min="8" max="8" width="9.28515625" customWidth="1"/>
    <col min="9" max="9" width="16.7109375" customWidth="1"/>
    <col min="10" max="10" width="14.7109375" style="118" customWidth="1"/>
    <col min="11" max="11" width="15.5703125" customWidth="1"/>
  </cols>
  <sheetData>
    <row r="1" spans="1:11" ht="30.75" thickBot="1" x14ac:dyDescent="0.3">
      <c r="A1" s="139" t="s">
        <v>29</v>
      </c>
      <c r="B1" s="139"/>
      <c r="C1" s="139"/>
      <c r="D1" s="139"/>
      <c r="E1" s="139"/>
      <c r="F1" s="139"/>
      <c r="G1" s="139"/>
      <c r="H1" s="139"/>
      <c r="I1" s="139"/>
      <c r="J1" s="113" t="s">
        <v>30</v>
      </c>
      <c r="K1" s="39" t="s">
        <v>90</v>
      </c>
    </row>
    <row r="2" spans="1:11" ht="16.5" thickBot="1" x14ac:dyDescent="0.3">
      <c r="A2" s="40"/>
      <c r="B2" s="103"/>
      <c r="C2" s="41"/>
      <c r="D2" s="42"/>
      <c r="E2" s="42"/>
      <c r="F2" s="42"/>
      <c r="G2" s="42"/>
      <c r="H2" s="42"/>
      <c r="I2" s="42"/>
      <c r="J2" s="114"/>
      <c r="K2" s="43"/>
    </row>
    <row r="3" spans="1:11" ht="16.5" thickBot="1" x14ac:dyDescent="0.3">
      <c r="A3" s="140" t="s">
        <v>31</v>
      </c>
      <c r="B3" s="140"/>
      <c r="C3" s="140"/>
      <c r="D3" s="96" t="str">
        <f>'SAF 011'!C4</f>
        <v>040 - MINISTERIO DE SALUD</v>
      </c>
      <c r="E3" s="97"/>
      <c r="F3" s="97"/>
      <c r="G3" s="97"/>
      <c r="H3" s="97"/>
      <c r="I3" s="97"/>
      <c r="J3" s="115"/>
      <c r="K3" s="98"/>
    </row>
    <row r="4" spans="1:11" ht="16.5" thickBot="1" x14ac:dyDescent="0.3">
      <c r="A4" s="138" t="s">
        <v>32</v>
      </c>
      <c r="B4" s="138"/>
      <c r="C4" s="138"/>
      <c r="D4" s="96" t="str">
        <f>'SAF 011'!C5</f>
        <v>011 - DIRECCION PROVINCIAL DE ADMINISTRACION - MINISTERIO DE SALUD</v>
      </c>
      <c r="E4" s="97"/>
      <c r="F4" s="97"/>
      <c r="G4" s="97"/>
      <c r="H4" s="97"/>
      <c r="I4" s="97"/>
      <c r="J4" s="115"/>
      <c r="K4" s="98"/>
    </row>
    <row r="5" spans="1:11" ht="16.5" thickBot="1" x14ac:dyDescent="0.3">
      <c r="A5" s="138" t="s">
        <v>33</v>
      </c>
      <c r="B5" s="138"/>
      <c r="C5" s="138"/>
      <c r="D5" s="96" t="s">
        <v>92</v>
      </c>
      <c r="E5" s="97"/>
      <c r="F5" s="97"/>
      <c r="G5" s="97"/>
      <c r="H5" s="97"/>
      <c r="I5" s="97"/>
      <c r="J5" s="115"/>
      <c r="K5" s="98"/>
    </row>
    <row r="6" spans="1:11" ht="16.5" thickBot="1" x14ac:dyDescent="0.3">
      <c r="A6" s="140" t="s">
        <v>34</v>
      </c>
      <c r="B6" s="140"/>
      <c r="C6" s="140"/>
      <c r="D6" s="96" t="s">
        <v>92</v>
      </c>
      <c r="E6" s="97"/>
      <c r="F6" s="97"/>
      <c r="G6" s="97"/>
      <c r="H6" s="97"/>
      <c r="I6" s="97"/>
      <c r="J6" s="115"/>
      <c r="K6" s="98"/>
    </row>
    <row r="7" spans="1:11" ht="16.5" thickBot="1" x14ac:dyDescent="0.3">
      <c r="A7" s="138" t="s">
        <v>35</v>
      </c>
      <c r="B7" s="138"/>
      <c r="C7" s="138"/>
      <c r="D7" s="96" t="s">
        <v>93</v>
      </c>
      <c r="E7" s="97"/>
      <c r="F7" s="97"/>
      <c r="G7" s="97"/>
      <c r="H7" s="97"/>
      <c r="I7" s="97"/>
      <c r="J7" s="115"/>
      <c r="K7" s="98"/>
    </row>
    <row r="8" spans="1:11" ht="16.5" thickBot="1" x14ac:dyDescent="0.3">
      <c r="A8" s="141" t="s">
        <v>36</v>
      </c>
      <c r="B8" s="141"/>
      <c r="C8" s="141"/>
      <c r="D8" s="99" t="s">
        <v>85</v>
      </c>
      <c r="E8" s="97"/>
      <c r="F8" s="97"/>
      <c r="G8" s="97"/>
      <c r="H8" s="97"/>
      <c r="I8" s="97"/>
      <c r="J8" s="115"/>
      <c r="K8" s="98"/>
    </row>
    <row r="9" spans="1:11" ht="16.5" thickBot="1" x14ac:dyDescent="0.3">
      <c r="A9" s="44"/>
      <c r="B9" s="104"/>
      <c r="C9" s="45"/>
      <c r="D9" s="46"/>
      <c r="E9" s="46"/>
      <c r="F9" s="46"/>
      <c r="G9" s="46"/>
      <c r="H9" s="46"/>
      <c r="I9" s="46"/>
      <c r="J9" s="116"/>
      <c r="K9" s="47"/>
    </row>
    <row r="10" spans="1:11" ht="15.75" thickBot="1" x14ac:dyDescent="0.3">
      <c r="A10" s="145" t="s">
        <v>37</v>
      </c>
      <c r="B10" s="146" t="s">
        <v>38</v>
      </c>
      <c r="C10" s="146" t="s">
        <v>39</v>
      </c>
      <c r="D10" s="146"/>
      <c r="E10" s="146"/>
      <c r="F10" s="146"/>
      <c r="G10" s="146"/>
      <c r="H10" s="146" t="s">
        <v>40</v>
      </c>
      <c r="I10" s="146" t="s">
        <v>41</v>
      </c>
      <c r="J10" s="149" t="s">
        <v>42</v>
      </c>
      <c r="K10" s="147" t="s">
        <v>43</v>
      </c>
    </row>
    <row r="11" spans="1:11" ht="33.75" customHeight="1" thickBot="1" x14ac:dyDescent="0.3">
      <c r="A11" s="145"/>
      <c r="B11" s="146"/>
      <c r="C11" s="146"/>
      <c r="D11" s="146"/>
      <c r="E11" s="146"/>
      <c r="F11" s="146"/>
      <c r="G11" s="146"/>
      <c r="H11" s="146"/>
      <c r="I11" s="146"/>
      <c r="J11" s="149"/>
      <c r="K11" s="147"/>
    </row>
    <row r="12" spans="1:11" ht="30" customHeight="1" x14ac:dyDescent="0.25">
      <c r="A12" s="48">
        <v>1</v>
      </c>
      <c r="B12" s="105" t="str">
        <f>'SAF 011'!B10</f>
        <v>2.5.2-3956.66</v>
      </c>
      <c r="C12" s="148" t="str">
        <f>'SAF 011'!E10</f>
        <v>ANTINEOPLASICOS; TIPO: MONODROGA, DROGA GENERICA: ASPARAGINASA PEGILADA, FORMA FARMACEUTICA: FRASCO AMPOLLA, PRESENTACION: ENVASE X 3750 UI</v>
      </c>
      <c r="D12" s="148"/>
      <c r="E12" s="148"/>
      <c r="F12" s="148"/>
      <c r="G12" s="148"/>
      <c r="H12" s="105" t="s">
        <v>86</v>
      </c>
      <c r="I12" s="119" t="str">
        <f>'SAF 011'!F10</f>
        <v>AMPOLLA</v>
      </c>
      <c r="J12" s="120">
        <v>616730</v>
      </c>
      <c r="K12" s="121">
        <v>2</v>
      </c>
    </row>
    <row r="13" spans="1:11" ht="30" customHeight="1" x14ac:dyDescent="0.25">
      <c r="A13" s="49">
        <v>2</v>
      </c>
      <c r="B13" s="106" t="str">
        <f>'SAF 011'!B11</f>
        <v>2.5.2-3956.30</v>
      </c>
      <c r="C13" s="142" t="str">
        <f>'SAF 011'!E11</f>
        <v>ANTINEOPLASICOS; TIPO: MONODROGA, DROGA GENERICA: BORTEZOMIB, FORMA FARMACEUTICA: AMPOLLA, PRESENTACION: ENVASE X 3,5 MGR</v>
      </c>
      <c r="D13" s="143"/>
      <c r="E13" s="143"/>
      <c r="F13" s="143"/>
      <c r="G13" s="144"/>
      <c r="H13" s="106" t="s">
        <v>86</v>
      </c>
      <c r="I13" s="122" t="str">
        <f>'SAF 011'!F11</f>
        <v>AMPOLLA</v>
      </c>
      <c r="J13" s="123">
        <v>4680</v>
      </c>
      <c r="K13" s="124">
        <v>2</v>
      </c>
    </row>
    <row r="14" spans="1:11" ht="30" customHeight="1" x14ac:dyDescent="0.25">
      <c r="A14" s="49">
        <v>3</v>
      </c>
      <c r="B14" s="106" t="str">
        <f>'SAF 011'!B12</f>
        <v>2.5.2-3956.65</v>
      </c>
      <c r="C14" s="142" t="str">
        <f>'SAF 011'!E12</f>
        <v>ANTINEOPLASICOS; TIPO: MONODROGA, DROGA GENERICA: BRENTUXIMAB, FORMA FARMACEUTICA: AMPOLLA, PRESENTACION: UNIDAD</v>
      </c>
      <c r="D14" s="143"/>
      <c r="E14" s="143"/>
      <c r="F14" s="143"/>
      <c r="G14" s="144"/>
      <c r="H14" s="106" t="s">
        <v>86</v>
      </c>
      <c r="I14" s="122" t="str">
        <f>'SAF 011'!F12</f>
        <v>AMPOLLA</v>
      </c>
      <c r="J14" s="123">
        <v>828100</v>
      </c>
      <c r="K14" s="124">
        <v>1</v>
      </c>
    </row>
    <row r="15" spans="1:11" ht="30" customHeight="1" x14ac:dyDescent="0.25">
      <c r="A15" s="49">
        <v>4</v>
      </c>
      <c r="B15" s="106" t="str">
        <f>'SAF 011'!B13</f>
        <v>2.5.2-3956.63</v>
      </c>
      <c r="C15" s="142" t="str">
        <f>'SAF 011'!E13</f>
        <v>ANTINEOPLASICOS; TIPO: MONODROGA, DROGA GENERICA: PEMBROLIZUMAB, FORMA FARMACEUTICA: AMPOLLA, PRESENTACION: UNIDAD</v>
      </c>
      <c r="D15" s="143"/>
      <c r="E15" s="143"/>
      <c r="F15" s="143"/>
      <c r="G15" s="144"/>
      <c r="H15" s="106" t="s">
        <v>86</v>
      </c>
      <c r="I15" s="122" t="str">
        <f>'SAF 011'!F13</f>
        <v>AMPOLLA</v>
      </c>
      <c r="J15" s="123">
        <v>399906.1</v>
      </c>
      <c r="K15" s="124">
        <v>6</v>
      </c>
    </row>
    <row r="16" spans="1:11" ht="30" customHeight="1" x14ac:dyDescent="0.25">
      <c r="A16" s="49">
        <v>5</v>
      </c>
      <c r="B16" s="106" t="str">
        <f>'SAF 011'!B14</f>
        <v>2.5.2-3956.22</v>
      </c>
      <c r="C16" s="142" t="str">
        <f>'SAF 011'!E14</f>
        <v>ANTINEOPLASICOS; TIPO: MONODROGA, DROGA GENERICA: TRASTUZUMAB, FORMA FARMACEUTICA: AMPOLLA, PRESENTACION: ENVASE X 440 MGR</v>
      </c>
      <c r="D16" s="143"/>
      <c r="E16" s="143"/>
      <c r="F16" s="143"/>
      <c r="G16" s="144"/>
      <c r="H16" s="106" t="s">
        <v>86</v>
      </c>
      <c r="I16" s="122" t="str">
        <f>'SAF 011'!F14</f>
        <v>AMPOLLA</v>
      </c>
      <c r="J16" s="123">
        <v>197243.75</v>
      </c>
      <c r="K16" s="124">
        <v>8</v>
      </c>
    </row>
    <row r="17" spans="1:11" ht="30" customHeight="1" x14ac:dyDescent="0.25">
      <c r="A17" s="49">
        <v>6</v>
      </c>
      <c r="B17" s="106" t="str">
        <f>'SAF 011'!B15</f>
        <v>2.5.2-1894.102</v>
      </c>
      <c r="C17" s="142" t="str">
        <f>'SAF 011'!E15</f>
        <v>CITOSTATICOS; TIPO: MONODROGA, DROGA GENERICA: BEVACIZUMAB 400 MG, FORMA FARMACEUTICA: VIAL X 16 mL, PRESENTACION: UNIDAD</v>
      </c>
      <c r="D17" s="143"/>
      <c r="E17" s="143"/>
      <c r="F17" s="143"/>
      <c r="G17" s="144"/>
      <c r="H17" s="106" t="s">
        <v>86</v>
      </c>
      <c r="I17" s="122" t="str">
        <f>'SAF 011'!F15</f>
        <v>AMPOLLA</v>
      </c>
      <c r="J17" s="123">
        <v>7740</v>
      </c>
      <c r="K17" s="124">
        <v>5</v>
      </c>
    </row>
    <row r="18" spans="1:11" ht="30" customHeight="1" x14ac:dyDescent="0.25">
      <c r="A18" s="49">
        <v>7</v>
      </c>
      <c r="B18" s="106" t="str">
        <f>'SAF 011'!B16</f>
        <v>2.5.2-1894.125</v>
      </c>
      <c r="C18" s="142" t="str">
        <f>'SAF 011'!E16</f>
        <v>CITOSTATICOS; TIPO: MONODROGA, DROGA GENERICA: PERTUZUMAB 420 MG, FORMA FARMACEUTICA: AMPOLLA, PRESENTACION: ENVASE X 14 ML</v>
      </c>
      <c r="D18" s="143"/>
      <c r="E18" s="143"/>
      <c r="F18" s="143"/>
      <c r="G18" s="144"/>
      <c r="H18" s="106" t="s">
        <v>86</v>
      </c>
      <c r="I18" s="122" t="str">
        <f>'SAF 011'!F16</f>
        <v>AMPOLLA</v>
      </c>
      <c r="J18" s="123">
        <v>527797.19999999995</v>
      </c>
      <c r="K18" s="124">
        <v>8</v>
      </c>
    </row>
    <row r="19" spans="1:11" ht="30" customHeight="1" x14ac:dyDescent="0.25">
      <c r="A19" s="49">
        <v>8</v>
      </c>
      <c r="B19" s="106" t="str">
        <f>'SAF 011'!B17</f>
        <v>2.5.2-1894.126</v>
      </c>
      <c r="C19" s="142" t="str">
        <f>'SAF 011'!E17</f>
        <v>CITOSTATICOS; TIPO: MONODROGA, DROGA GENERICA: TRASTUZUMAB 600 MG, FORMA FARMACEUTICA: AMPOLLA, PRESENTACION: ENVASE X 5 ML</v>
      </c>
      <c r="D19" s="143"/>
      <c r="E19" s="143"/>
      <c r="F19" s="143"/>
      <c r="G19" s="144"/>
      <c r="H19" s="106" t="s">
        <v>97</v>
      </c>
      <c r="I19" s="122" t="str">
        <f>'SAF 011'!F17</f>
        <v>AMPOLLA</v>
      </c>
      <c r="J19" s="123">
        <v>297000</v>
      </c>
      <c r="K19" s="124">
        <v>2</v>
      </c>
    </row>
    <row r="20" spans="1:11" ht="30" customHeight="1" x14ac:dyDescent="0.25">
      <c r="A20" s="49">
        <v>9</v>
      </c>
      <c r="B20" s="106" t="str">
        <f>'SAF 011'!B18</f>
        <v>2.5.2-1913.9</v>
      </c>
      <c r="C20" s="142" t="str">
        <f>'SAF 011'!E18</f>
        <v>SULFONAMIDA-QUIMIOTERAPICO; TIPO: MONODROGA, DROGA GENERICA: DACTINOMICINA, FORMA FARMACEUTICA: AMPOLLA, PRESENTACION: 0,5 mGr</v>
      </c>
      <c r="D20" s="143"/>
      <c r="E20" s="143"/>
      <c r="F20" s="143"/>
      <c r="G20" s="144"/>
      <c r="H20" s="106" t="s">
        <v>86</v>
      </c>
      <c r="I20" s="122" t="str">
        <f>'SAF 011'!F18</f>
        <v>AMPOLLA</v>
      </c>
      <c r="J20" s="123">
        <v>91890</v>
      </c>
      <c r="K20" s="124">
        <v>3</v>
      </c>
    </row>
    <row r="21" spans="1:11" ht="16.5" thickBot="1" x14ac:dyDescent="0.3">
      <c r="A21" s="108"/>
      <c r="B21" s="109"/>
      <c r="C21" s="153"/>
      <c r="D21" s="153"/>
      <c r="E21" s="153"/>
      <c r="F21" s="153"/>
      <c r="G21" s="153"/>
      <c r="H21" s="110"/>
      <c r="I21" s="111"/>
      <c r="J21" s="117"/>
      <c r="K21" s="112"/>
    </row>
    <row r="22" spans="1:11" ht="19.5" thickBot="1" x14ac:dyDescent="0.3">
      <c r="A22" s="150" t="s">
        <v>87</v>
      </c>
      <c r="B22" s="150"/>
      <c r="C22" s="150"/>
      <c r="D22" s="150"/>
      <c r="E22" s="150"/>
      <c r="F22" s="150"/>
      <c r="G22" s="150"/>
      <c r="H22" s="150"/>
      <c r="I22" s="150"/>
      <c r="J22" s="151">
        <f>SUMPRODUCT(J12:J20,K12:K20)</f>
        <v>11179054.199999999</v>
      </c>
      <c r="K22" s="152"/>
    </row>
  </sheetData>
  <mergeCells count="26">
    <mergeCell ref="A22:I22"/>
    <mergeCell ref="J22:K22"/>
    <mergeCell ref="C17:G17"/>
    <mergeCell ref="C18:G18"/>
    <mergeCell ref="C19:G19"/>
    <mergeCell ref="C20:G20"/>
    <mergeCell ref="C21:G21"/>
    <mergeCell ref="H10:H11"/>
    <mergeCell ref="K10:K11"/>
    <mergeCell ref="C12:G12"/>
    <mergeCell ref="C13:G13"/>
    <mergeCell ref="C14:G14"/>
    <mergeCell ref="I10:I11"/>
    <mergeCell ref="J10:J11"/>
    <mergeCell ref="A7:C7"/>
    <mergeCell ref="A8:C8"/>
    <mergeCell ref="C16:G16"/>
    <mergeCell ref="A10:A11"/>
    <mergeCell ref="B10:B11"/>
    <mergeCell ref="C10:G11"/>
    <mergeCell ref="C15:G15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Q21" sqref="Q21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55" t="s">
        <v>5</v>
      </c>
      <c r="B1" s="155"/>
      <c r="C1" s="155"/>
      <c r="D1" s="156">
        <v>2022</v>
      </c>
      <c r="E1" s="156"/>
      <c r="F1" s="50"/>
      <c r="G1" s="50"/>
      <c r="H1" s="51"/>
      <c r="I1" s="51"/>
      <c r="J1" s="51"/>
      <c r="K1" s="51"/>
      <c r="L1" s="51"/>
      <c r="M1" s="51"/>
      <c r="N1" s="51"/>
      <c r="O1" s="52"/>
      <c r="P1" s="157" t="s">
        <v>44</v>
      </c>
      <c r="Q1" s="157"/>
    </row>
    <row r="2" spans="1:17" ht="15.75" thickBot="1" x14ac:dyDescent="0.3">
      <c r="A2" s="53"/>
      <c r="G2" s="54"/>
      <c r="H2" s="55"/>
      <c r="I2" s="55"/>
      <c r="J2" s="55"/>
      <c r="K2" s="55"/>
      <c r="L2" s="55"/>
      <c r="M2" s="55"/>
      <c r="N2" s="55"/>
      <c r="P2" s="157"/>
      <c r="Q2" s="157"/>
    </row>
    <row r="3" spans="1:17" ht="15.75" thickBot="1" x14ac:dyDescent="0.3">
      <c r="A3" s="53"/>
      <c r="G3" s="54"/>
      <c r="Q3" s="56"/>
    </row>
    <row r="4" spans="1:17" ht="15.75" thickBot="1" x14ac:dyDescent="0.3">
      <c r="A4" s="158" t="s">
        <v>45</v>
      </c>
      <c r="B4" s="158"/>
      <c r="C4" s="158"/>
      <c r="D4" s="158"/>
      <c r="E4" s="158"/>
      <c r="F4" s="158"/>
      <c r="G4" s="159" t="str">
        <f>NP!D3</f>
        <v>040 - MINISTERIO DE SALUD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ht="15.75" thickBot="1" x14ac:dyDescent="0.3">
      <c r="A5" s="160" t="s">
        <v>32</v>
      </c>
      <c r="B5" s="160"/>
      <c r="C5" s="160"/>
      <c r="D5" s="160"/>
      <c r="E5" s="160"/>
      <c r="F5" s="160"/>
      <c r="G5" s="159" t="str">
        <f>NP!D4</f>
        <v>011 - DIRECCION PROVINCIAL DE ADMINISTRACION - MINISTERIO DE SALUD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ht="15.75" thickBot="1" x14ac:dyDescent="0.3">
      <c r="A6" s="160" t="s">
        <v>33</v>
      </c>
      <c r="B6" s="160"/>
      <c r="C6" s="160"/>
      <c r="D6" s="160"/>
      <c r="E6" s="160"/>
      <c r="F6" s="160"/>
      <c r="G6" s="159" t="str">
        <f>NP!D5</f>
        <v>159 - DIRECCION PROVINCIAL DE CANCER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ht="15.75" thickBot="1" x14ac:dyDescent="0.3">
      <c r="A7" s="160" t="s">
        <v>34</v>
      </c>
      <c r="B7" s="160"/>
      <c r="C7" s="160"/>
      <c r="D7" s="160"/>
      <c r="E7" s="160"/>
      <c r="F7" s="160"/>
      <c r="G7" s="159" t="str">
        <f>NP!D6</f>
        <v>159 - DIRECCION PROVINCIAL DE CANCER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ht="15.75" thickBot="1" x14ac:dyDescent="0.3">
      <c r="A8" s="161" t="s">
        <v>46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27.75" customHeight="1" x14ac:dyDescent="0.25">
      <c r="A9" s="154" t="s">
        <v>47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</row>
    <row r="10" spans="1:17" ht="57" customHeight="1" x14ac:dyDescent="0.25">
      <c r="A10" s="163" t="s">
        <v>91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</row>
    <row r="11" spans="1:17" ht="15.75" thickBot="1" x14ac:dyDescent="0.3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60"/>
    </row>
    <row r="12" spans="1:17" ht="15.75" thickBot="1" x14ac:dyDescent="0.3">
      <c r="A12" s="164" t="s">
        <v>48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</row>
    <row r="13" spans="1:17" ht="15.75" thickBot="1" x14ac:dyDescent="0.3">
      <c r="A13" s="165" t="s">
        <v>49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6" t="s">
        <v>50</v>
      </c>
      <c r="P13" s="166"/>
      <c r="Q13" s="167" t="s">
        <v>51</v>
      </c>
    </row>
    <row r="14" spans="1:17" ht="15.75" thickBot="1" x14ac:dyDescent="0.3">
      <c r="A14" s="61" t="s">
        <v>52</v>
      </c>
      <c r="B14" s="62" t="s">
        <v>53</v>
      </c>
      <c r="C14" s="62" t="s">
        <v>54</v>
      </c>
      <c r="D14" s="62" t="s">
        <v>55</v>
      </c>
      <c r="E14" s="62" t="s">
        <v>56</v>
      </c>
      <c r="F14" s="62" t="s">
        <v>57</v>
      </c>
      <c r="G14" s="63" t="s">
        <v>58</v>
      </c>
      <c r="H14" s="62" t="s">
        <v>59</v>
      </c>
      <c r="I14" s="62" t="s">
        <v>60</v>
      </c>
      <c r="J14" s="62" t="s">
        <v>61</v>
      </c>
      <c r="K14" s="62" t="s">
        <v>61</v>
      </c>
      <c r="L14" s="62" t="s">
        <v>62</v>
      </c>
      <c r="M14" s="64" t="s">
        <v>63</v>
      </c>
      <c r="N14" s="65" t="s">
        <v>64</v>
      </c>
      <c r="O14" s="166"/>
      <c r="P14" s="166"/>
      <c r="Q14" s="167"/>
    </row>
    <row r="15" spans="1:17" ht="38.25" customHeight="1" x14ac:dyDescent="0.25">
      <c r="A15" s="66">
        <v>44</v>
      </c>
      <c r="B15" s="67"/>
      <c r="C15" s="67"/>
      <c r="D15" s="67">
        <v>1</v>
      </c>
      <c r="E15" s="67"/>
      <c r="F15" s="67">
        <v>4901</v>
      </c>
      <c r="G15" s="67">
        <v>3</v>
      </c>
      <c r="H15" s="67">
        <v>1</v>
      </c>
      <c r="I15" s="67">
        <v>2</v>
      </c>
      <c r="J15" s="67">
        <v>5</v>
      </c>
      <c r="K15" s="67">
        <v>2</v>
      </c>
      <c r="L15" s="67"/>
      <c r="M15" s="68">
        <v>1</v>
      </c>
      <c r="N15" s="67" t="s">
        <v>88</v>
      </c>
      <c r="O15" s="168" t="s">
        <v>20</v>
      </c>
      <c r="P15" s="168"/>
      <c r="Q15" s="69">
        <v>11179054.199999999</v>
      </c>
    </row>
    <row r="16" spans="1:17" x14ac:dyDescent="0.25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2"/>
      <c r="N16" s="73"/>
      <c r="O16" s="169"/>
      <c r="P16" s="169"/>
      <c r="Q16" s="74"/>
    </row>
    <row r="17" spans="1:17" x14ac:dyDescent="0.25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/>
      <c r="N17" s="73"/>
      <c r="O17" s="170"/>
      <c r="P17" s="170"/>
      <c r="Q17" s="74"/>
    </row>
    <row r="18" spans="1:17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2"/>
      <c r="N18" s="73"/>
      <c r="O18" s="162"/>
      <c r="P18" s="162"/>
      <c r="Q18" s="74"/>
    </row>
    <row r="19" spans="1:17" x14ac:dyDescent="0.25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2"/>
      <c r="N19" s="73"/>
      <c r="O19" s="162"/>
      <c r="P19" s="162"/>
      <c r="Q19" s="74"/>
    </row>
    <row r="20" spans="1:17" x14ac:dyDescent="0.25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2"/>
      <c r="N20" s="73"/>
      <c r="O20" s="162"/>
      <c r="P20" s="162"/>
      <c r="Q20" s="74"/>
    </row>
    <row r="21" spans="1:17" x14ac:dyDescent="0.25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2"/>
      <c r="N21" s="73"/>
      <c r="O21" s="162"/>
      <c r="P21" s="162"/>
      <c r="Q21" s="74"/>
    </row>
    <row r="22" spans="1:17" x14ac:dyDescent="0.25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2"/>
      <c r="N22" s="73"/>
      <c r="O22" s="162"/>
      <c r="P22" s="162"/>
      <c r="Q22" s="74"/>
    </row>
    <row r="23" spans="1:17" x14ac:dyDescent="0.25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2"/>
      <c r="N23" s="73"/>
      <c r="O23" s="162"/>
      <c r="P23" s="162"/>
      <c r="Q23" s="74"/>
    </row>
    <row r="24" spans="1:17" x14ac:dyDescent="0.25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2"/>
      <c r="N24" s="73"/>
      <c r="O24" s="162"/>
      <c r="P24" s="162"/>
      <c r="Q24" s="74"/>
    </row>
    <row r="25" spans="1:17" x14ac:dyDescent="0.25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2"/>
      <c r="N25" s="73"/>
      <c r="O25" s="162"/>
      <c r="P25" s="162"/>
      <c r="Q25" s="74"/>
    </row>
    <row r="26" spans="1:17" x14ac:dyDescent="0.25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2"/>
      <c r="N26" s="73"/>
      <c r="O26" s="162"/>
      <c r="P26" s="162"/>
      <c r="Q26" s="74"/>
    </row>
    <row r="27" spans="1:17" x14ac:dyDescent="0.25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2"/>
      <c r="N27" s="73"/>
      <c r="O27" s="162"/>
      <c r="P27" s="162"/>
      <c r="Q27" s="74"/>
    </row>
    <row r="28" spans="1:17" x14ac:dyDescent="0.25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2"/>
      <c r="N28" s="73"/>
      <c r="O28" s="162"/>
      <c r="P28" s="162"/>
      <c r="Q28" s="74"/>
    </row>
    <row r="29" spans="1:17" x14ac:dyDescent="0.25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  <c r="N29" s="73"/>
      <c r="O29" s="162"/>
      <c r="P29" s="162"/>
      <c r="Q29" s="74"/>
    </row>
    <row r="30" spans="1:17" x14ac:dyDescent="0.25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2"/>
      <c r="N30" s="73"/>
      <c r="O30" s="162"/>
      <c r="P30" s="162"/>
      <c r="Q30" s="74"/>
    </row>
    <row r="31" spans="1:17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2"/>
      <c r="N31" s="73"/>
      <c r="O31" s="162"/>
      <c r="P31" s="162"/>
      <c r="Q31" s="74"/>
    </row>
    <row r="32" spans="1:17" x14ac:dyDescent="0.25">
      <c r="A32" s="70"/>
      <c r="B32" s="71"/>
      <c r="C32" s="71"/>
      <c r="D32" s="71"/>
      <c r="E32" s="71"/>
      <c r="F32" s="73"/>
      <c r="G32" s="71"/>
      <c r="H32" s="71"/>
      <c r="I32" s="71"/>
      <c r="J32" s="71"/>
      <c r="K32" s="71"/>
      <c r="L32" s="71"/>
      <c r="M32" s="72"/>
      <c r="N32" s="73"/>
      <c r="O32" s="169"/>
      <c r="P32" s="169"/>
      <c r="Q32" s="74"/>
    </row>
    <row r="33" spans="1:17" x14ac:dyDescent="0.25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2"/>
      <c r="N33" s="73"/>
      <c r="O33" s="169"/>
      <c r="P33" s="169"/>
      <c r="Q33" s="74"/>
    </row>
    <row r="34" spans="1:17" x14ac:dyDescent="0.25">
      <c r="A34" s="70"/>
      <c r="B34" s="71"/>
      <c r="C34" s="71"/>
      <c r="D34" s="71"/>
      <c r="E34" s="71"/>
      <c r="F34" s="73"/>
      <c r="G34" s="71"/>
      <c r="H34" s="71"/>
      <c r="I34" s="71"/>
      <c r="J34" s="71"/>
      <c r="K34" s="71"/>
      <c r="L34" s="71"/>
      <c r="M34" s="72"/>
      <c r="N34" s="73"/>
      <c r="O34" s="169"/>
      <c r="P34" s="169"/>
      <c r="Q34" s="74"/>
    </row>
    <row r="35" spans="1:17" x14ac:dyDescent="0.25">
      <c r="A35" s="70"/>
      <c r="B35" s="71"/>
      <c r="C35" s="71"/>
      <c r="D35" s="71"/>
      <c r="E35" s="71"/>
      <c r="F35" s="73"/>
      <c r="G35" s="71"/>
      <c r="H35" s="71"/>
      <c r="I35" s="71"/>
      <c r="J35" s="71"/>
      <c r="K35" s="71"/>
      <c r="L35" s="71"/>
      <c r="M35" s="72"/>
      <c r="N35" s="73"/>
      <c r="O35" s="169"/>
      <c r="P35" s="169"/>
      <c r="Q35" s="74"/>
    </row>
    <row r="36" spans="1:17" x14ac:dyDescent="0.25">
      <c r="A36" s="75"/>
      <c r="B36" s="76"/>
      <c r="C36" s="76"/>
      <c r="D36" s="76"/>
      <c r="E36" s="76"/>
      <c r="F36" s="73"/>
      <c r="G36" s="76"/>
      <c r="H36" s="76"/>
      <c r="I36" s="76"/>
      <c r="J36" s="76"/>
      <c r="K36" s="76"/>
      <c r="L36" s="76"/>
      <c r="M36" s="77"/>
      <c r="N36" s="78"/>
      <c r="O36" s="169"/>
      <c r="P36" s="169"/>
      <c r="Q36" s="74"/>
    </row>
    <row r="37" spans="1:17" ht="15.75" thickBot="1" x14ac:dyDescent="0.3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1"/>
      <c r="N37" s="80"/>
      <c r="O37" s="174"/>
      <c r="P37" s="174"/>
      <c r="Q37" s="82"/>
    </row>
    <row r="38" spans="1:17" ht="35.25" customHeight="1" thickBot="1" x14ac:dyDescent="0.3">
      <c r="A38" s="175" t="s">
        <v>89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83">
        <f>SUM(Q15:Q37)</f>
        <v>11179054.199999999</v>
      </c>
    </row>
    <row r="39" spans="1:17" ht="15.75" thickBot="1" x14ac:dyDescent="0.3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</row>
    <row r="40" spans="1:17" ht="15.75" thickBot="1" x14ac:dyDescent="0.3">
      <c r="A40" s="171" t="s">
        <v>65</v>
      </c>
      <c r="B40" s="171"/>
      <c r="C40" s="171"/>
      <c r="D40" s="171"/>
      <c r="E40" s="171"/>
      <c r="F40" s="171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</row>
    <row r="41" spans="1:17" ht="15.75" thickBot="1" x14ac:dyDescent="0.3">
      <c r="A41" s="173" t="str">
        <f>NP!D8</f>
        <v>ADQ. DEL RUBRO MEDICAMENTOS ONCOLOGICOS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</row>
    <row r="42" spans="1:17" ht="15.75" thickBot="1" x14ac:dyDescent="0.3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2022-08-23T12:51:11Z</dcterms:modified>
</cp:coreProperties>
</file>