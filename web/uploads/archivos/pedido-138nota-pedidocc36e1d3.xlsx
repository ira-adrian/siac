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31" i="2" l="1"/>
  <c r="G6" i="3" l="1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<sst xmlns="http://schemas.openxmlformats.org/spreadsheetml/2006/main" count="194" uniqueCount="123">
  <si>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</si>
  <si>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</si>
  <si>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</si>
  <si>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</si>
  <si>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</si>
  <si>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</si>
  <si>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</si>
  <si>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</si>
  <si>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</si>
  <si>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</si>
  <si>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</si>
  <si>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</si>
  <si>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</si>
  <si>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</si>
  <si>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</si>
  <si>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</si>
  <si>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</si>
  <si>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</si>
  <si>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</si>
  <si>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</si>
  <si>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</si>
  <si>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</si>
  <si>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</si>
  <si>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</si>
  <si>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</si>
  <si>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</si>
  <si>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</si>
  <si>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</si>
  <si>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</si>
  <si>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</si>
  <si>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</si>
  <si>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</si>
  <si>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</si>
  <si>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</si>
  <si>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</si>
  <si>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</si>
  <si>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</si>
  <si>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</si>
  <si>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</si>
  <si>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</si>
  <si>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</si>
  <si>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</si>
  <si>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</si>
  <si>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</si>
  <si>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</si>
  <si>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</si>
  <si>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</si>
  <si>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</si>
  <si>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</si>
  <si>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</si>
  <si>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</si>
  <si>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</si>
  <si>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</si>
  <si>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</si>
  <si>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</si>
  <si>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</si>
  <si>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</si>
  <si>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</si>
  <si>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</si>
  <si>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</si>
  <si>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</si>
  <si>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</si>
  <si>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</si>
  <si>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</si>
  <si>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</si>
  <si>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AMPOLLA</t>
  </si>
  <si>
    <t>UNIDAD</t>
  </si>
  <si>
    <t>COMPRIMIDO</t>
  </si>
  <si>
    <t>FRASCO</t>
  </si>
  <si>
    <t>FRASCO AMPOLLA</t>
  </si>
  <si>
    <t>CAPSULA</t>
  </si>
  <si>
    <t>009 - 2022</t>
  </si>
  <si>
    <t>2.5.2</t>
  </si>
  <si>
    <t>Costo total estimado: CUATRO MILLONES SEISCIENTOS CUARENTA Y TRES MIL CUATROCIENTOS SESENTA Y CINCO CON 00/100.--</t>
  </si>
  <si>
    <t>TOTAL DE PESOS: CUATRO MILLONES SEISCIENTOS CUARENTA Y TRES MIL CUATROCIENTOS SESENTA Y CINCO CON 00/1010.--</t>
  </si>
  <si>
    <t xml:space="preserve">PLAZO DE MANTENIMIENTO DE OFERTA: 45 DIAS HABILES </t>
  </si>
  <si>
    <t xml:space="preserve">PLAZO DE ENTREGA: 15 DIAS HABILES EN EL SERVICIO DE FARMACIA - AVDA. ILLIA Y MARIANO MORENO DE LUNES A VIERNES EN EL HORARIO DE 08:00 A 12:00 HORAS </t>
  </si>
  <si>
    <t xml:space="preserve">15 dias habiles  - Servicio de Farmacia del HISJB Avda. Illia y mariano Moreno en el horario de 08:00 a 12:00 horas de Lunes a Viernes </t>
  </si>
  <si>
    <t xml:space="preserve">Adquisición de MEDICAMENTOS PARA  TRACTO ALIMENTARIO Y METABOLISMO / VITAMINAS Y OTROS /ANTIDIABETICOS E INSULINAS </t>
  </si>
  <si>
    <t>2.5.2-1843.51</t>
  </si>
  <si>
    <t>ANTIESPASMODICOS; TIPO: MONODROGA, DROGA GENERICA: HIOSCINA N-BUTILBROMURO 20 MG, FORMA FARMACEUTICA: AMPOLLA, PRESENTACION: 1 ML</t>
  </si>
  <si>
    <t>2.5.2-1724.57</t>
  </si>
  <si>
    <t>ANALGESICOS ; TIPO: ASOCIACION, DROGA GENERICA: DIPIRONA+ HIOSCINA, FORMA FARMACEUTICA: AMPOLLA, PRESENTACION: AMPOLLA X 5 mL</t>
  </si>
  <si>
    <t>EXCIPIENTES; TIPO: MONODROGA, PRESENTACION: ENVASE X 1 Kg, COMPUESTO: CARBON ACTIVADO, CONCENTRACION/PUREZA: 100 %</t>
  </si>
  <si>
    <t>2.5.2-8078.68</t>
  </si>
  <si>
    <t>Quimicos</t>
  </si>
  <si>
    <t>2.5.2-1903.89</t>
  </si>
  <si>
    <t>RECONSTITUYENTE GENERAL; TIPO: MONODROGA, DROGA GENERICA: CALCIO CARBONATO, FORMA FARMACEUTICA: COMPRIMIDO, PRESENTACION: 500 mGr</t>
  </si>
  <si>
    <t>2.5.2-1901.7</t>
  </si>
  <si>
    <t>VITAMINAS; FORMA FARMACEUTICA: AMPOLLA, PRESENTACION: 2 mL, TIPO: MONODROGA, DROGA GENERICA: VITAMINA B</t>
  </si>
  <si>
    <t>ANTIANEMICOS; TIPO: MONODROGA, DROGA GENERICA: COMPLEJO VITAMINICO B, FORMA FARMACEUTICA: COMPRIMIDO, PRESENTACION: UNIDAD</t>
  </si>
  <si>
    <t>2.5.2-1872.65</t>
  </si>
  <si>
    <t>ANTIDIARREICOS; TIPO: MONODROGA, DROGA GENERICA: BISMUTO, FORMA FARMACEUTICA: CREMA, PRESENTACION: 90 mL</t>
  </si>
  <si>
    <t>2.5.2-1816.19</t>
  </si>
  <si>
    <t>EVACUANTES INTESTINALES; TIPO: ASOCIACION, DROGA GENERICA: FOSFATO MONOSODICO-BISODICO, FORMA FARMACEUTICA: SOLUCION, PRESENTACION: ENVASE X 45 mL</t>
  </si>
  <si>
    <t>2.5.2-3603.13</t>
  </si>
  <si>
    <t>HIPOGLUCEMIANTES INYECTABLES; TIPO: MONODROGA, DROGA GENERICA: INSULINA CTE, FORMA FARMACEUTICA: AMPOLLA, PRESENTACION: ENVASE X 10 mL</t>
  </si>
  <si>
    <t>2.5.2-1861.33</t>
  </si>
  <si>
    <t>HIPOGLUCEMIANTES INYECTABLES; TIPO: MONODROGA, DROGA GENERICA: INSULINA HUMANA NHP 100 UI, FORMA FARMACEUTICA: AMPOLLA, PRESENTACION: 10 mL</t>
  </si>
  <si>
    <t>2.5.2-1861.10</t>
  </si>
  <si>
    <t>REGULADORES INTESTINALES; TIPO: MONODROGA, DROGA GENERICA: LACTULOSA, FORMA FARMACEUTICA: JARABE, PRESENTACION: 120 mL</t>
  </si>
  <si>
    <t>2.5.2-2804.1</t>
  </si>
  <si>
    <t>ANTIDIARREICOS; TIPO: MONODROGA, DROGA GENERICA: LOPERAMIDA, FORMA FARMACEUTICA: CAPSULA, PRESENTACION: 2 mGr</t>
  </si>
  <si>
    <t>2.5.2-1816.34</t>
  </si>
  <si>
    <t>HIPOGLUCEMIANTES ORALES; TIPO: MONODROGA, DROGA GENERICA: METFORMINA, FORMA FARMACEUTICA: COMPRIMIDO, PRESENTACION: 850 mGr</t>
  </si>
  <si>
    <t>2.5.2-1862.16</t>
  </si>
  <si>
    <t>ANTIEMETICOS; TIPO: MONODROGA, DROGA GENERICA: METOCLOPRAMIDA, FORMA FARMACEUTICA: AMPOLLA, PRESENTACION: 2 mL</t>
  </si>
  <si>
    <t>2.5.2-6910.6</t>
  </si>
  <si>
    <t>ANTIMICOTICOS; TIPO: MONODROGA, DROGA GENERICA: NISTATINA 100000 UI/ML, FORMA FARMACEUTICA: SUSPENSION, PRESENTACION: ENVASE X 60 mL</t>
  </si>
  <si>
    <t>2.5.2-1823.46</t>
  </si>
  <si>
    <t>ANTIULCEROSOS; TIPO: MONODROGA, DROGA GENERICA: OMEPRAZOL, FORMA FARMACEUTICA: CAPSULA, PRESENTACION: 20 mGr</t>
  </si>
  <si>
    <t>2.5.2-1849.3</t>
  </si>
  <si>
    <t>ANTIEMETICOS; TIPO: MONODROGA, DROGA GENERICA: ONDANSETRON X 8 mGr, FORMA FARMACEUTICA: AMPOLLA, PRESENTACION: ENVASE X 1 UN</t>
  </si>
  <si>
    <t>2.5.2-6910.13</t>
  </si>
  <si>
    <t>ANTIACIDOS; TIPO: MONODROGA, DROGA GENERICA: RANITIDINA, FORMA FARMACEUTICA: AMPOLLA, PRESENTACION: UNIDAD</t>
  </si>
  <si>
    <t>2.5.2-1841.17</t>
  </si>
  <si>
    <t>VASELINA; TIPO: LIQUIDA, PRESENTACION: ENVASE X 1000 mL</t>
  </si>
  <si>
    <t>2.5.2-5520.5</t>
  </si>
  <si>
    <t>Un semestre</t>
  </si>
  <si>
    <t>SI</t>
  </si>
  <si>
    <t>Especificidades Item N° 09 :</t>
  </si>
  <si>
    <t xml:space="preserve"> INSULINA CORRIENTE HUMANA 100 UI FCO AMP 10 ML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</si>
  <si>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12 MESES DE LA FECHA DE RECEPCION.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</si>
</sst>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  <charset val="1"/>
    </font>
    <font>
      <sz val="2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4" fillId="5" borderId="14" xfId="0" applyFont="1" applyFill="1" applyBorder="1" applyAlignment="1">
      <alignment horizontal="center" vertical="center" wrapText="1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  <xf numFmtId="0" fontId="14" fillId="5" borderId="14" xfId="0" applyFont="1" applyFill="1" applyBorder="1" applyAlignment="1">
      <alignment wrapText="1"/>
    </xf>
    <xf numFmtId="3" fontId="14" fillId="5" borderId="14" xfId="5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right" vertical="center" indent="2"/>
    </xf>
    <xf numFmtId="0" fontId="14" fillId="5" borderId="14" xfId="0" applyFont="1" applyFill="1" applyBorder="1" applyAlignment="1">
      <alignment vertical="center" wrapText="1"/>
    </xf>
    <xf numFmtId="0" fontId="25" fillId="5" borderId="14" xfId="0" applyFont="1" applyFill="1" applyBorder="1" applyAlignment="1">
      <alignment horizontal="left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45" xfId="0" applyFont="1" applyFill="1" applyBorder="1" applyAlignment="1">
      <alignment horizontal="left" vertical="center" wrapText="1" indent="1"/>
    </xf>
    <xf numFmtId="0" fontId="6" fillId="4" borderId="48" xfId="0" applyFont="1" applyFill="1" applyBorder="1" applyAlignment="1">
      <alignment horizontal="left" vertical="center" wrapText="1" indent="1"/>
    </xf>
    <xf numFmtId="0" fontId="6" fillId="4" borderId="21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2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26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topLeftCell="A16" zoomScale="85" zoomScaleNormal="85" workbookViewId="0">
      <selection activeCell="H37" sqref="H3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6.42578125" style="39" customWidth="1"/>
    <col min="6" max="6" width="12.285156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92" t="s">
        <v>1</v>
      </c>
      <c r="B4" s="92"/>
      <c r="C4" s="105" t="s">
        <v>57</v>
      </c>
      <c r="D4" s="105"/>
      <c r="E4" s="105"/>
      <c r="F4" s="40"/>
      <c r="G4" s="41"/>
      <c r="H4" s="40"/>
    </row>
    <row r="5" spans="1:9" ht="18" customHeight="1" x14ac:dyDescent="0.25">
      <c r="A5" s="92" t="s">
        <v>2</v>
      </c>
      <c r="B5" s="92"/>
      <c r="C5" s="105" t="s">
        <v>58</v>
      </c>
      <c r="D5" s="105"/>
      <c r="E5" s="105"/>
      <c r="F5" s="40"/>
      <c r="G5" s="41"/>
      <c r="H5" s="40"/>
    </row>
    <row r="6" spans="1:9" ht="16.5" customHeight="1" x14ac:dyDescent="0.25">
      <c r="A6" s="92" t="s">
        <v>3</v>
      </c>
      <c r="B6" s="92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92" t="s">
        <v>4</v>
      </c>
      <c r="B7" s="92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2" customHeight="1" thickBot="1" x14ac:dyDescent="0.25">
      <c r="A10" s="56">
        <v>1</v>
      </c>
      <c r="B10" s="59" t="s">
        <v>79</v>
      </c>
      <c r="C10" s="57" t="s">
        <v>61</v>
      </c>
      <c r="D10" s="58" t="s">
        <v>72</v>
      </c>
      <c r="E10" s="83" t="s">
        <v>80</v>
      </c>
      <c r="F10" s="77" t="s">
        <v>65</v>
      </c>
      <c r="G10" s="78">
        <v>14000</v>
      </c>
      <c r="H10" s="79">
        <v>65</v>
      </c>
      <c r="I10" s="60">
        <f t="shared" ref="I10:I28" si="0">G10*H10</f>
        <v>910000</v>
      </c>
    </row>
    <row r="11" spans="1:9" ht="38.25" customHeight="1" thickBot="1" x14ac:dyDescent="0.25">
      <c r="A11" s="56">
        <v>2</v>
      </c>
      <c r="B11" s="59" t="s">
        <v>81</v>
      </c>
      <c r="C11" s="57" t="s">
        <v>61</v>
      </c>
      <c r="D11" s="58" t="s">
        <v>72</v>
      </c>
      <c r="E11" s="80" t="s">
        <v>82</v>
      </c>
      <c r="F11" s="77" t="s">
        <v>65</v>
      </c>
      <c r="G11" s="78">
        <v>3000</v>
      </c>
      <c r="H11" s="79">
        <v>88</v>
      </c>
      <c r="I11" s="60">
        <f t="shared" si="0"/>
        <v>264000</v>
      </c>
    </row>
    <row r="12" spans="1:9" ht="39.75" customHeight="1" thickBot="1" x14ac:dyDescent="0.25">
      <c r="A12" s="56">
        <v>3</v>
      </c>
      <c r="B12" s="59" t="s">
        <v>84</v>
      </c>
      <c r="C12" s="57" t="s">
        <v>85</v>
      </c>
      <c r="D12" s="58" t="s">
        <v>72</v>
      </c>
      <c r="E12" s="84" t="s">
        <v>83</v>
      </c>
      <c r="F12" s="77" t="s">
        <v>66</v>
      </c>
      <c r="G12" s="78">
        <v>2</v>
      </c>
      <c r="H12" s="79">
        <v>1500</v>
      </c>
      <c r="I12" s="60">
        <f t="shared" si="0"/>
        <v>3000</v>
      </c>
    </row>
    <row r="13" spans="1:9" ht="41.25" customHeight="1" thickBot="1" x14ac:dyDescent="0.25">
      <c r="A13" s="56">
        <v>4</v>
      </c>
      <c r="B13" s="59" t="s">
        <v>86</v>
      </c>
      <c r="C13" s="57" t="s">
        <v>61</v>
      </c>
      <c r="D13" s="58" t="s">
        <v>72</v>
      </c>
      <c r="E13" s="84" t="s">
        <v>87</v>
      </c>
      <c r="F13" s="77" t="s">
        <v>67</v>
      </c>
      <c r="G13" s="78">
        <v>9000</v>
      </c>
      <c r="H13" s="79">
        <v>6.17</v>
      </c>
      <c r="I13" s="60">
        <f t="shared" si="0"/>
        <v>55530</v>
      </c>
    </row>
    <row r="14" spans="1:9" ht="41.25" customHeight="1" thickBot="1" x14ac:dyDescent="0.25">
      <c r="A14" s="56">
        <v>5</v>
      </c>
      <c r="B14" s="59" t="s">
        <v>88</v>
      </c>
      <c r="C14" s="57" t="s">
        <v>61</v>
      </c>
      <c r="D14" s="58" t="s">
        <v>72</v>
      </c>
      <c r="E14" s="85" t="s">
        <v>89</v>
      </c>
      <c r="F14" s="77" t="s">
        <v>65</v>
      </c>
      <c r="G14" s="78">
        <v>3000</v>
      </c>
      <c r="H14" s="79">
        <v>85</v>
      </c>
      <c r="I14" s="60">
        <f t="shared" si="0"/>
        <v>255000</v>
      </c>
    </row>
    <row r="15" spans="1:9" ht="41.25" customHeight="1" thickBot="1" x14ac:dyDescent="0.25">
      <c r="A15" s="56">
        <v>6</v>
      </c>
      <c r="B15" s="59" t="s">
        <v>91</v>
      </c>
      <c r="C15" s="57" t="s">
        <v>61</v>
      </c>
      <c r="D15" s="58" t="s">
        <v>72</v>
      </c>
      <c r="E15" s="85" t="s">
        <v>90</v>
      </c>
      <c r="F15" s="77" t="s">
        <v>67</v>
      </c>
      <c r="G15" s="78">
        <v>400</v>
      </c>
      <c r="H15" s="79">
        <v>17.8</v>
      </c>
      <c r="I15" s="60">
        <f t="shared" si="0"/>
        <v>7120</v>
      </c>
    </row>
    <row r="16" spans="1:9" ht="39.75" customHeight="1" thickBot="1" x14ac:dyDescent="0.25">
      <c r="A16" s="56">
        <v>7</v>
      </c>
      <c r="B16" s="59" t="s">
        <v>93</v>
      </c>
      <c r="C16" s="57" t="s">
        <v>61</v>
      </c>
      <c r="D16" s="58" t="s">
        <v>72</v>
      </c>
      <c r="E16" s="86" t="s">
        <v>92</v>
      </c>
      <c r="F16" s="77" t="s">
        <v>68</v>
      </c>
      <c r="G16" s="78">
        <v>300</v>
      </c>
      <c r="H16" s="79">
        <v>445</v>
      </c>
      <c r="I16" s="60">
        <f t="shared" si="0"/>
        <v>133500</v>
      </c>
    </row>
    <row r="17" spans="1:9" ht="57" customHeight="1" thickBot="1" x14ac:dyDescent="0.25">
      <c r="A17" s="56">
        <v>8</v>
      </c>
      <c r="B17" s="59" t="s">
        <v>95</v>
      </c>
      <c r="C17" s="57" t="s">
        <v>61</v>
      </c>
      <c r="D17" s="58" t="s">
        <v>72</v>
      </c>
      <c r="E17" s="86" t="s">
        <v>94</v>
      </c>
      <c r="F17" s="77" t="s">
        <v>68</v>
      </c>
      <c r="G17" s="78">
        <v>150</v>
      </c>
      <c r="H17" s="79">
        <v>1280</v>
      </c>
      <c r="I17" s="60">
        <f t="shared" si="0"/>
        <v>192000</v>
      </c>
    </row>
    <row r="18" spans="1:9" ht="51.75" customHeight="1" thickBot="1" x14ac:dyDescent="0.25">
      <c r="A18" s="56">
        <v>9</v>
      </c>
      <c r="B18" s="59" t="s">
        <v>97</v>
      </c>
      <c r="C18" s="57" t="s">
        <v>61</v>
      </c>
      <c r="D18" s="58" t="s">
        <v>72</v>
      </c>
      <c r="E18" s="85" t="s">
        <v>96</v>
      </c>
      <c r="F18" s="77" t="s">
        <v>69</v>
      </c>
      <c r="G18" s="78">
        <v>60</v>
      </c>
      <c r="H18" s="79">
        <v>1675</v>
      </c>
      <c r="I18" s="60">
        <f t="shared" si="0"/>
        <v>100500</v>
      </c>
    </row>
    <row r="19" spans="1:9" ht="46.5" customHeight="1" thickBot="1" x14ac:dyDescent="0.25">
      <c r="A19" s="56">
        <v>10</v>
      </c>
      <c r="B19" s="59" t="s">
        <v>99</v>
      </c>
      <c r="C19" s="57" t="s">
        <v>61</v>
      </c>
      <c r="D19" s="58" t="s">
        <v>72</v>
      </c>
      <c r="E19" s="85" t="s">
        <v>98</v>
      </c>
      <c r="F19" s="77" t="s">
        <v>69</v>
      </c>
      <c r="G19" s="78">
        <v>20</v>
      </c>
      <c r="H19" s="79">
        <v>1675</v>
      </c>
      <c r="I19" s="60">
        <f t="shared" si="0"/>
        <v>33500</v>
      </c>
    </row>
    <row r="20" spans="1:9" ht="45.75" customHeight="1" thickBot="1" x14ac:dyDescent="0.25">
      <c r="A20" s="56">
        <v>11</v>
      </c>
      <c r="B20" s="59" t="s">
        <v>101</v>
      </c>
      <c r="C20" s="57" t="s">
        <v>61</v>
      </c>
      <c r="D20" s="58" t="s">
        <v>72</v>
      </c>
      <c r="E20" s="85" t="s">
        <v>100</v>
      </c>
      <c r="F20" s="77" t="s">
        <v>68</v>
      </c>
      <c r="G20" s="78">
        <v>500</v>
      </c>
      <c r="H20" s="79">
        <v>318</v>
      </c>
      <c r="I20" s="60">
        <f t="shared" si="0"/>
        <v>159000</v>
      </c>
    </row>
    <row r="21" spans="1:9" ht="43.5" customHeight="1" thickBot="1" x14ac:dyDescent="0.25">
      <c r="A21" s="56">
        <v>12</v>
      </c>
      <c r="B21" s="59" t="s">
        <v>103</v>
      </c>
      <c r="C21" s="57" t="s">
        <v>61</v>
      </c>
      <c r="D21" s="58" t="s">
        <v>72</v>
      </c>
      <c r="E21" s="84" t="s">
        <v>102</v>
      </c>
      <c r="F21" s="77" t="s">
        <v>67</v>
      </c>
      <c r="G21" s="78">
        <v>400</v>
      </c>
      <c r="H21" s="79">
        <v>2.5</v>
      </c>
      <c r="I21" s="60">
        <f t="shared" si="0"/>
        <v>1000</v>
      </c>
    </row>
    <row r="22" spans="1:9" ht="43.5" customHeight="1" thickBot="1" x14ac:dyDescent="0.25">
      <c r="A22" s="56">
        <v>13</v>
      </c>
      <c r="B22" s="59" t="s">
        <v>105</v>
      </c>
      <c r="C22" s="57" t="s">
        <v>61</v>
      </c>
      <c r="D22" s="58" t="s">
        <v>72</v>
      </c>
      <c r="E22" s="84" t="s">
        <v>104</v>
      </c>
      <c r="F22" s="77" t="s">
        <v>67</v>
      </c>
      <c r="G22" s="78">
        <v>150</v>
      </c>
      <c r="H22" s="79">
        <v>6.9</v>
      </c>
      <c r="I22" s="60">
        <f t="shared" si="0"/>
        <v>1035</v>
      </c>
    </row>
    <row r="23" spans="1:9" ht="41.25" customHeight="1" thickBot="1" x14ac:dyDescent="0.25">
      <c r="A23" s="56">
        <v>14</v>
      </c>
      <c r="B23" s="59" t="s">
        <v>107</v>
      </c>
      <c r="C23" s="57" t="s">
        <v>61</v>
      </c>
      <c r="D23" s="58" t="s">
        <v>72</v>
      </c>
      <c r="E23" s="83" t="s">
        <v>106</v>
      </c>
      <c r="F23" s="77" t="s">
        <v>65</v>
      </c>
      <c r="G23" s="78">
        <v>12000</v>
      </c>
      <c r="H23" s="79">
        <v>55</v>
      </c>
      <c r="I23" s="60">
        <f t="shared" si="0"/>
        <v>660000</v>
      </c>
    </row>
    <row r="24" spans="1:9" ht="46.5" customHeight="1" thickBot="1" x14ac:dyDescent="0.25">
      <c r="A24" s="56">
        <v>15</v>
      </c>
      <c r="B24" s="59" t="s">
        <v>109</v>
      </c>
      <c r="C24" s="57" t="s">
        <v>61</v>
      </c>
      <c r="D24" s="58" t="s">
        <v>72</v>
      </c>
      <c r="E24" s="84" t="s">
        <v>108</v>
      </c>
      <c r="F24" s="77" t="s">
        <v>68</v>
      </c>
      <c r="G24" s="78">
        <v>200</v>
      </c>
      <c r="H24" s="79">
        <v>348</v>
      </c>
      <c r="I24" s="60">
        <f t="shared" si="0"/>
        <v>69600</v>
      </c>
    </row>
    <row r="25" spans="1:9" ht="43.5" customHeight="1" thickBot="1" x14ac:dyDescent="0.25">
      <c r="A25" s="56">
        <v>16</v>
      </c>
      <c r="B25" s="59" t="s">
        <v>111</v>
      </c>
      <c r="C25" s="57" t="s">
        <v>61</v>
      </c>
      <c r="D25" s="58" t="s">
        <v>72</v>
      </c>
      <c r="E25" s="85" t="s">
        <v>110</v>
      </c>
      <c r="F25" s="77" t="s">
        <v>70</v>
      </c>
      <c r="G25" s="78">
        <v>6000</v>
      </c>
      <c r="H25" s="79">
        <v>3.1</v>
      </c>
      <c r="I25" s="60">
        <f t="shared" si="0"/>
        <v>18600</v>
      </c>
    </row>
    <row r="26" spans="1:9" ht="45" customHeight="1" thickBot="1" x14ac:dyDescent="0.25">
      <c r="A26" s="56">
        <v>17</v>
      </c>
      <c r="B26" s="59" t="s">
        <v>113</v>
      </c>
      <c r="C26" s="57" t="s">
        <v>61</v>
      </c>
      <c r="D26" s="58" t="s">
        <v>72</v>
      </c>
      <c r="E26" s="85" t="s">
        <v>112</v>
      </c>
      <c r="F26" s="77" t="s">
        <v>65</v>
      </c>
      <c r="G26" s="78">
        <v>300</v>
      </c>
      <c r="H26" s="79">
        <v>120</v>
      </c>
      <c r="I26" s="60">
        <f t="shared" si="0"/>
        <v>36000</v>
      </c>
    </row>
    <row r="27" spans="1:9" ht="42" customHeight="1" thickBot="1" x14ac:dyDescent="0.25">
      <c r="A27" s="56">
        <v>18</v>
      </c>
      <c r="B27" s="59" t="s">
        <v>115</v>
      </c>
      <c r="C27" s="57" t="s">
        <v>61</v>
      </c>
      <c r="D27" s="58" t="s">
        <v>72</v>
      </c>
      <c r="E27" s="84" t="s">
        <v>114</v>
      </c>
      <c r="F27" s="77" t="s">
        <v>65</v>
      </c>
      <c r="G27" s="81">
        <v>30000</v>
      </c>
      <c r="H27" s="82">
        <v>58</v>
      </c>
      <c r="I27" s="60">
        <f t="shared" si="0"/>
        <v>1740000</v>
      </c>
    </row>
    <row r="28" spans="1:9" ht="42" customHeight="1" thickBot="1" x14ac:dyDescent="0.25">
      <c r="A28" s="56">
        <v>19</v>
      </c>
      <c r="B28" s="59" t="s">
        <v>117</v>
      </c>
      <c r="C28" s="57" t="s">
        <v>61</v>
      </c>
      <c r="D28" s="58" t="s">
        <v>72</v>
      </c>
      <c r="E28" s="87" t="s">
        <v>116</v>
      </c>
      <c r="F28" s="77" t="s">
        <v>68</v>
      </c>
      <c r="G28" s="81">
        <v>6</v>
      </c>
      <c r="H28" s="82">
        <v>680</v>
      </c>
      <c r="I28" s="60">
        <f t="shared" si="0"/>
        <v>4080</v>
      </c>
    </row>
    <row r="29" spans="1:9" ht="13.5" thickBot="1" x14ac:dyDescent="0.25"/>
    <row r="30" spans="1:9" ht="68.25" customHeight="1" thickBot="1" x14ac:dyDescent="0.25">
      <c r="C30" s="96" t="s">
        <v>122</v>
      </c>
      <c r="D30" s="97"/>
      <c r="E30" s="97"/>
    </row>
    <row r="31" spans="1:9" ht="42" customHeight="1" thickBot="1" x14ac:dyDescent="0.25">
      <c r="C31" s="98" t="s">
        <v>75</v>
      </c>
      <c r="D31" s="99"/>
      <c r="E31" s="100"/>
    </row>
    <row r="32" spans="1:9" ht="53.25" customHeight="1" thickBot="1" x14ac:dyDescent="0.25">
      <c r="C32" s="101" t="s">
        <v>76</v>
      </c>
      <c r="D32" s="102"/>
      <c r="E32" s="103"/>
    </row>
    <row r="33" spans="2:5" ht="13.5" thickBot="1" x14ac:dyDescent="0.25"/>
    <row r="34" spans="2:5" x14ac:dyDescent="0.2">
      <c r="B34" s="42" t="s">
        <v>120</v>
      </c>
      <c r="C34" s="43"/>
      <c r="D34" s="43"/>
      <c r="E34" s="44"/>
    </row>
    <row r="35" spans="2:5" ht="5.25" customHeight="1" x14ac:dyDescent="0.2">
      <c r="B35" s="45"/>
      <c r="C35" s="46"/>
      <c r="D35" s="46"/>
      <c r="E35" s="47"/>
    </row>
    <row r="36" spans="2:5" x14ac:dyDescent="0.2">
      <c r="B36" s="48" t="s">
        <v>14</v>
      </c>
      <c r="C36" s="46"/>
      <c r="D36" s="46"/>
      <c r="E36" s="47"/>
    </row>
    <row r="37" spans="2:5" ht="41.25" customHeight="1" x14ac:dyDescent="0.2">
      <c r="B37" s="48"/>
      <c r="C37" s="89" t="s">
        <v>121</v>
      </c>
      <c r="D37" s="89"/>
      <c r="E37" s="90"/>
    </row>
    <row r="38" spans="2:5" x14ac:dyDescent="0.2">
      <c r="B38" s="48" t="s">
        <v>15</v>
      </c>
      <c r="C38" s="46"/>
      <c r="D38" s="46"/>
      <c r="E38" s="47"/>
    </row>
    <row r="39" spans="2:5" ht="27" customHeight="1" x14ac:dyDescent="0.2">
      <c r="B39" s="49"/>
      <c r="C39" s="93" t="s">
        <v>77</v>
      </c>
      <c r="D39" s="93"/>
      <c r="E39" s="94"/>
    </row>
    <row r="40" spans="2:5" x14ac:dyDescent="0.2">
      <c r="B40" s="49"/>
      <c r="C40" s="95"/>
      <c r="D40" s="95"/>
      <c r="E40" s="95"/>
    </row>
    <row r="41" spans="2:5" x14ac:dyDescent="0.2">
      <c r="B41" s="48" t="s">
        <v>16</v>
      </c>
      <c r="C41" s="46"/>
      <c r="D41" s="46"/>
      <c r="E41" s="47"/>
    </row>
    <row r="42" spans="2:5" ht="26.25" customHeight="1" x14ac:dyDescent="0.2">
      <c r="B42" s="49"/>
      <c r="C42" s="88"/>
      <c r="D42" s="88"/>
      <c r="E42" s="88"/>
    </row>
    <row r="43" spans="2:5" x14ac:dyDescent="0.2">
      <c r="B43" s="48" t="s">
        <v>17</v>
      </c>
      <c r="C43" s="50"/>
      <c r="D43" s="50"/>
      <c r="E43" s="51"/>
    </row>
    <row r="44" spans="2:5" ht="26.25" customHeight="1" x14ac:dyDescent="0.2">
      <c r="B44" s="49"/>
      <c r="C44" s="89" t="s">
        <v>62</v>
      </c>
      <c r="D44" s="89"/>
      <c r="E44" s="90"/>
    </row>
    <row r="45" spans="2:5" x14ac:dyDescent="0.2">
      <c r="B45" s="48" t="s">
        <v>18</v>
      </c>
      <c r="C45" s="46"/>
      <c r="D45" s="46"/>
      <c r="E45" s="47"/>
    </row>
    <row r="46" spans="2:5" ht="23.25" customHeight="1" x14ac:dyDescent="0.2">
      <c r="B46" s="48"/>
      <c r="C46" s="91"/>
      <c r="D46" s="91"/>
      <c r="E46" s="91"/>
    </row>
    <row r="47" spans="2:5" x14ac:dyDescent="0.2">
      <c r="B47" s="52"/>
      <c r="C47" s="53"/>
      <c r="D47" s="53"/>
      <c r="E47" s="54"/>
    </row>
  </sheetData>
  <mergeCells count="16">
    <mergeCell ref="B2:H2"/>
    <mergeCell ref="A4:B4"/>
    <mergeCell ref="C4:E4"/>
    <mergeCell ref="A5:B5"/>
    <mergeCell ref="C5:E5"/>
    <mergeCell ref="C42:E42"/>
    <mergeCell ref="C44:E44"/>
    <mergeCell ref="C46:E46"/>
    <mergeCell ref="A6:B6"/>
    <mergeCell ref="A7:B7"/>
    <mergeCell ref="C37:E37"/>
    <mergeCell ref="C39:E39"/>
    <mergeCell ref="C40:E40"/>
    <mergeCell ref="C30:E30"/>
    <mergeCell ref="C31:E31"/>
    <mergeCell ref="C32:E3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1"/>
  <sheetViews>
    <sheetView tabSelected="1" topLeftCell="A7" zoomScale="70" zoomScaleNormal="70" workbookViewId="0">
      <selection activeCell="Q12" sqref="Q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6" t="s">
        <v>19</v>
      </c>
      <c r="B1" s="116"/>
      <c r="C1" s="116"/>
      <c r="D1" s="116"/>
      <c r="E1" s="116"/>
      <c r="F1" s="116"/>
      <c r="G1" s="116"/>
      <c r="H1" s="116"/>
      <c r="I1" s="116"/>
      <c r="J1" s="3" t="s">
        <v>20</v>
      </c>
      <c r="K1" s="63" t="s">
        <v>71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7" t="s">
        <v>53</v>
      </c>
      <c r="B3" s="117"/>
      <c r="C3" s="117"/>
      <c r="D3" s="118" t="str">
        <f>'Necesidades Trimestrales'!C4</f>
        <v>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19" t="s">
        <v>54</v>
      </c>
      <c r="B4" s="119"/>
      <c r="C4" s="119"/>
      <c r="D4" s="118" t="str">
        <f>'Necesidades Trimestrales'!C5</f>
        <v>23 - Hospital Interzonal San Juan Bautista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19" t="s">
        <v>32</v>
      </c>
      <c r="B5" s="119"/>
      <c r="C5" s="119"/>
      <c r="D5" s="118" t="s">
        <v>59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17" t="s">
        <v>55</v>
      </c>
      <c r="B6" s="117"/>
      <c r="C6" s="117"/>
      <c r="D6" s="118" t="s">
        <v>60</v>
      </c>
      <c r="E6" s="118"/>
      <c r="F6" s="118"/>
      <c r="G6" s="118"/>
      <c r="H6" s="118"/>
      <c r="I6" s="118"/>
      <c r="J6" s="118"/>
      <c r="K6" s="118"/>
    </row>
    <row r="7" spans="1:11" ht="16.5" customHeight="1" thickBot="1" x14ac:dyDescent="0.25">
      <c r="A7" s="119" t="s">
        <v>21</v>
      </c>
      <c r="B7" s="119"/>
      <c r="C7" s="119"/>
      <c r="D7" s="118" t="s">
        <v>118</v>
      </c>
      <c r="E7" s="118"/>
      <c r="F7" s="118"/>
      <c r="G7" s="118"/>
      <c r="H7" s="118"/>
      <c r="I7" s="118"/>
      <c r="J7" s="118"/>
      <c r="K7" s="118"/>
    </row>
    <row r="8" spans="1:11" ht="37.5" customHeight="1" thickBot="1" x14ac:dyDescent="0.25">
      <c r="A8" s="108" t="s">
        <v>22</v>
      </c>
      <c r="B8" s="108"/>
      <c r="C8" s="108"/>
      <c r="D8" s="109" t="s">
        <v>78</v>
      </c>
      <c r="E8" s="110"/>
      <c r="F8" s="110"/>
      <c r="G8" s="110"/>
      <c r="H8" s="110"/>
      <c r="I8" s="110"/>
      <c r="J8" s="110"/>
      <c r="K8" s="111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2" t="s">
        <v>23</v>
      </c>
      <c r="B10" s="113" t="s">
        <v>24</v>
      </c>
      <c r="C10" s="113" t="s">
        <v>25</v>
      </c>
      <c r="D10" s="113"/>
      <c r="E10" s="113"/>
      <c r="F10" s="113"/>
      <c r="G10" s="113"/>
      <c r="H10" s="113" t="s">
        <v>26</v>
      </c>
      <c r="I10" s="113" t="s">
        <v>27</v>
      </c>
      <c r="J10" s="113" t="s">
        <v>28</v>
      </c>
      <c r="K10" s="114" t="s">
        <v>29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57" customHeight="1" thickBot="1" x14ac:dyDescent="0.25">
      <c r="A12" s="8">
        <v>1</v>
      </c>
      <c r="B12" s="64" t="str">
        <f>'Necesidades Trimestrales'!B10</f>
        <v>2.5.2-1843.51</v>
      </c>
      <c r="C12" s="106" t="str">
        <f>'Necesidades Trimestrales'!E10</f>
        <v>ANTIESPASMODICOS; TIPO: MONODROGA, DROGA GENERICA: HIOSCINA N-BUTILBROMURO 20 MG, FORMA FARMACEUTICA: AMPOLLA, PRESENTACION: 1 ML</v>
      </c>
      <c r="D12" s="106"/>
      <c r="E12" s="106"/>
      <c r="F12" s="106"/>
      <c r="G12" s="106"/>
      <c r="H12" s="65" t="s">
        <v>56</v>
      </c>
      <c r="I12" s="66" t="str">
        <f>'Necesidades Trimestrales'!F10</f>
        <v>AMPOLLA</v>
      </c>
      <c r="J12" s="67">
        <f>'Necesidades Trimestrales'!H10</f>
        <v>65</v>
      </c>
      <c r="K12" s="68">
        <f>'Necesidades Trimestrales'!G10</f>
        <v>14000</v>
      </c>
    </row>
    <row r="13" spans="1:11" ht="43.5" customHeight="1" thickBot="1" x14ac:dyDescent="0.25">
      <c r="A13" s="8">
        <v>2</v>
      </c>
      <c r="B13" s="64" t="str">
        <f>'Necesidades Trimestrales'!B11</f>
        <v>2.5.2-1724.57</v>
      </c>
      <c r="C13" s="106" t="str">
        <f>'Necesidades Trimestrales'!E11</f>
        <v>ANALGESICOS ; TIPO: ASOCIACION, DROGA GENERICA: DIPIRONA+ HIOSCINA, FORMA FARMACEUTICA: AMPOLLA, PRESENTACION: AMPOLLA X 5 mL</v>
      </c>
      <c r="D13" s="106"/>
      <c r="E13" s="106"/>
      <c r="F13" s="106"/>
      <c r="G13" s="106"/>
      <c r="H13" s="65" t="s">
        <v>56</v>
      </c>
      <c r="I13" s="66" t="str">
        <f>'Necesidades Trimestrales'!F11</f>
        <v>AMPOLLA</v>
      </c>
      <c r="J13" s="67">
        <f>'Necesidades Trimestrales'!H11</f>
        <v>88</v>
      </c>
      <c r="K13" s="68">
        <f>'Necesidades Trimestrales'!G11</f>
        <v>3000</v>
      </c>
    </row>
    <row r="14" spans="1:11" ht="42" customHeight="1" thickBot="1" x14ac:dyDescent="0.25">
      <c r="A14" s="8">
        <v>3</v>
      </c>
      <c r="B14" s="64" t="str">
        <f>'Necesidades Trimestrales'!B12</f>
        <v>2.5.2-8078.68</v>
      </c>
      <c r="C14" s="106" t="str">
        <f>'Necesidades Trimestrales'!E12</f>
        <v>EXCIPIENTES; TIPO: MONODROGA, PRESENTACION: ENVASE X 1 Kg, COMPUESTO: CARBON ACTIVADO, CONCENTRACION/PUREZA: 100 %</v>
      </c>
      <c r="D14" s="106"/>
      <c r="E14" s="106"/>
      <c r="F14" s="106"/>
      <c r="G14" s="106"/>
      <c r="H14" s="65" t="s">
        <v>56</v>
      </c>
      <c r="I14" s="66" t="str">
        <f>'Necesidades Trimestrales'!F12</f>
        <v>UNIDAD</v>
      </c>
      <c r="J14" s="67">
        <f>'Necesidades Trimestrales'!H12</f>
        <v>1500</v>
      </c>
      <c r="K14" s="68">
        <f>'Necesidades Trimestrales'!G12</f>
        <v>2</v>
      </c>
    </row>
    <row r="15" spans="1:11" ht="49.5" customHeight="1" thickBot="1" x14ac:dyDescent="0.25">
      <c r="A15" s="8">
        <v>4</v>
      </c>
      <c r="B15" s="64" t="str">
        <f>'Necesidades Trimestrales'!B13</f>
        <v>2.5.2-1903.89</v>
      </c>
      <c r="C15" s="106" t="str">
        <f>'Necesidades Trimestrales'!E13</f>
        <v>RECONSTITUYENTE GENERAL; TIPO: MONODROGA, DROGA GENERICA: CALCIO CARBONATO, FORMA FARMACEUTICA: COMPRIMIDO, PRESENTACION: 500 mGr</v>
      </c>
      <c r="D15" s="106"/>
      <c r="E15" s="106"/>
      <c r="F15" s="106"/>
      <c r="G15" s="106"/>
      <c r="H15" s="65" t="s">
        <v>56</v>
      </c>
      <c r="I15" s="66" t="str">
        <f>'Necesidades Trimestrales'!F13</f>
        <v>COMPRIMIDO</v>
      </c>
      <c r="J15" s="67">
        <f>'Necesidades Trimestrales'!H13</f>
        <v>6.17</v>
      </c>
      <c r="K15" s="68">
        <f>'Necesidades Trimestrales'!G13</f>
        <v>9000</v>
      </c>
    </row>
    <row r="16" spans="1:11" ht="45.75" customHeight="1" thickBot="1" x14ac:dyDescent="0.25">
      <c r="A16" s="8">
        <v>5</v>
      </c>
      <c r="B16" s="64" t="str">
        <f>'Necesidades Trimestrales'!B14</f>
        <v>2.5.2-1901.7</v>
      </c>
      <c r="C16" s="106" t="str">
        <f>'Necesidades Trimestrales'!E14</f>
        <v>VITAMINAS; FORMA FARMACEUTICA: AMPOLLA, PRESENTACION: 2 mL, TIPO: MONODROGA, DROGA GENERICA: VITAMINA B</v>
      </c>
      <c r="D16" s="106"/>
      <c r="E16" s="106"/>
      <c r="F16" s="106"/>
      <c r="G16" s="106"/>
      <c r="H16" s="65" t="s">
        <v>56</v>
      </c>
      <c r="I16" s="66" t="str">
        <f>'Necesidades Trimestrales'!F14</f>
        <v>AMPOLLA</v>
      </c>
      <c r="J16" s="67">
        <f>'Necesidades Trimestrales'!H14</f>
        <v>85</v>
      </c>
      <c r="K16" s="68">
        <f>'Necesidades Trimestrales'!G14</f>
        <v>3000</v>
      </c>
    </row>
    <row r="17" spans="1:1024" ht="45.75" customHeight="1" thickBot="1" x14ac:dyDescent="0.25">
      <c r="A17" s="8">
        <v>6</v>
      </c>
      <c r="B17" s="64" t="str">
        <f>'Necesidades Trimestrales'!B15</f>
        <v>2.5.2-1872.65</v>
      </c>
      <c r="C17" s="106" t="str">
        <f>'Necesidades Trimestrales'!E15</f>
        <v>ANTIANEMICOS; TIPO: MONODROGA, DROGA GENERICA: COMPLEJO VITAMINICO B, FORMA FARMACEUTICA: COMPRIMIDO, PRESENTACION: UNIDAD</v>
      </c>
      <c r="D17" s="106"/>
      <c r="E17" s="106"/>
      <c r="F17" s="106"/>
      <c r="G17" s="106"/>
      <c r="H17" s="65" t="s">
        <v>56</v>
      </c>
      <c r="I17" s="66" t="str">
        <f>'Necesidades Trimestrales'!F15</f>
        <v>COMPRIMIDO</v>
      </c>
      <c r="J17" s="67">
        <f>'Necesidades Trimestrales'!H15</f>
        <v>17.8</v>
      </c>
      <c r="K17" s="68">
        <f>'Necesidades Trimestrales'!G15</f>
        <v>400</v>
      </c>
    </row>
    <row r="18" spans="1:1024" ht="38.25" customHeight="1" thickBot="1" x14ac:dyDescent="0.25">
      <c r="A18" s="8">
        <v>7</v>
      </c>
      <c r="B18" s="64" t="str">
        <f>'Necesidades Trimestrales'!B16</f>
        <v>2.5.2-1816.19</v>
      </c>
      <c r="C18" s="106" t="str">
        <f>'Necesidades Trimestrales'!E16</f>
        <v>ANTIDIARREICOS; TIPO: MONODROGA, DROGA GENERICA: BISMUTO, FORMA FARMACEUTICA: CREMA, PRESENTACION: 90 mL</v>
      </c>
      <c r="D18" s="106"/>
      <c r="E18" s="106"/>
      <c r="F18" s="106"/>
      <c r="G18" s="106"/>
      <c r="H18" s="65" t="s">
        <v>56</v>
      </c>
      <c r="I18" s="66" t="str">
        <f>'Necesidades Trimestrales'!F16</f>
        <v>FRASCO</v>
      </c>
      <c r="J18" s="67">
        <f>'Necesidades Trimestrales'!H16</f>
        <v>445</v>
      </c>
      <c r="K18" s="68">
        <f>'Necesidades Trimestrales'!G16</f>
        <v>300</v>
      </c>
    </row>
    <row r="19" spans="1:1024" ht="47.25" customHeight="1" thickBot="1" x14ac:dyDescent="0.25">
      <c r="A19" s="8">
        <v>8</v>
      </c>
      <c r="B19" s="64" t="str">
        <f>'Necesidades Trimestrales'!B17</f>
        <v>2.5.2-3603.13</v>
      </c>
      <c r="C19" s="106" t="str">
        <f>'Necesidades Trimestrales'!E17</f>
        <v>EVACUANTES INTESTINALES; TIPO: ASOCIACION, DROGA GENERICA: FOSFATO MONOSODICO-BISODICO, FORMA FARMACEUTICA: SOLUCION, PRESENTACION: ENVASE X 45 mL</v>
      </c>
      <c r="D19" s="106"/>
      <c r="E19" s="106"/>
      <c r="F19" s="106"/>
      <c r="G19" s="106"/>
      <c r="H19" s="65" t="s">
        <v>56</v>
      </c>
      <c r="I19" s="66" t="str">
        <f>'Necesidades Trimestrales'!F17</f>
        <v>FRASCO</v>
      </c>
      <c r="J19" s="67">
        <f>'Necesidades Trimestrales'!H17</f>
        <v>1280</v>
      </c>
      <c r="K19" s="68">
        <f>'Necesidades Trimestrales'!G17</f>
        <v>150</v>
      </c>
    </row>
    <row r="20" spans="1:1024" ht="40.5" customHeight="1" thickBot="1" x14ac:dyDescent="0.25">
      <c r="A20" s="8">
        <v>9</v>
      </c>
      <c r="B20" s="64" t="str">
        <f>'Necesidades Trimestrales'!B18</f>
        <v>2.5.2-1861.33</v>
      </c>
      <c r="C20" s="106" t="str">
        <f>'Necesidades Trimestrales'!E18</f>
        <v>HIPOGLUCEMIANTES INYECTABLES; TIPO: MONODROGA, DROGA GENERICA: INSULINA CTE, FORMA FARMACEUTICA: AMPOLLA, PRESENTACION: ENVASE X 10 mL</v>
      </c>
      <c r="D20" s="106"/>
      <c r="E20" s="106"/>
      <c r="F20" s="106"/>
      <c r="G20" s="106"/>
      <c r="H20" s="65" t="s">
        <v>119</v>
      </c>
      <c r="I20" s="66" t="str">
        <f>'Necesidades Trimestrales'!F18</f>
        <v>FRASCO AMPOLLA</v>
      </c>
      <c r="J20" s="67">
        <f>'Necesidades Trimestrales'!H18</f>
        <v>1675</v>
      </c>
      <c r="K20" s="68">
        <f>'Necesidades Trimestrales'!G18</f>
        <v>60</v>
      </c>
    </row>
    <row r="21" spans="1:1024" ht="39.75" customHeight="1" thickBot="1" x14ac:dyDescent="0.25">
      <c r="A21" s="8">
        <v>10</v>
      </c>
      <c r="B21" s="64" t="str">
        <f>'Necesidades Trimestrales'!B19</f>
        <v>2.5.2-1861.10</v>
      </c>
      <c r="C21" s="106" t="str">
        <f>'Necesidades Trimestrales'!E19</f>
        <v>HIPOGLUCEMIANTES INYECTABLES; TIPO: MONODROGA, DROGA GENERICA: INSULINA HUMANA NHP 100 UI, FORMA FARMACEUTICA: AMPOLLA, PRESENTACION: 10 mL</v>
      </c>
      <c r="D21" s="106"/>
      <c r="E21" s="106"/>
      <c r="F21" s="106"/>
      <c r="G21" s="106"/>
      <c r="H21" s="65" t="s">
        <v>56</v>
      </c>
      <c r="I21" s="66" t="str">
        <f>'Necesidades Trimestrales'!F19</f>
        <v>FRASCO AMPOLLA</v>
      </c>
      <c r="J21" s="67">
        <f>'Necesidades Trimestrales'!H19</f>
        <v>1675</v>
      </c>
      <c r="K21" s="68">
        <f>'Necesidades Trimestrales'!G19</f>
        <v>20</v>
      </c>
    </row>
    <row r="22" spans="1:1024" ht="50.25" customHeight="1" thickBot="1" x14ac:dyDescent="0.25">
      <c r="A22" s="8">
        <v>11</v>
      </c>
      <c r="B22" s="64" t="str">
        <f>'Necesidades Trimestrales'!B20</f>
        <v>2.5.2-2804.1</v>
      </c>
      <c r="C22" s="106" t="str">
        <f>'Necesidades Trimestrales'!E20</f>
        <v>REGULADORES INTESTINALES; TIPO: MONODROGA, DROGA GENERICA: LACTULOSA, FORMA FARMACEUTICA: JARABE, PRESENTACION: 120 mL</v>
      </c>
      <c r="D22" s="106"/>
      <c r="E22" s="106"/>
      <c r="F22" s="106"/>
      <c r="G22" s="106"/>
      <c r="H22" s="65" t="s">
        <v>56</v>
      </c>
      <c r="I22" s="66" t="str">
        <f>'Necesidades Trimestrales'!F20</f>
        <v>FRASCO</v>
      </c>
      <c r="J22" s="67">
        <f>'Necesidades Trimestrales'!H20</f>
        <v>318</v>
      </c>
      <c r="K22" s="68">
        <f>'Necesidades Trimestrales'!G20</f>
        <v>500</v>
      </c>
    </row>
    <row r="23" spans="1:1024" ht="47.25" customHeight="1" thickBot="1" x14ac:dyDescent="0.25">
      <c r="A23" s="8">
        <v>12</v>
      </c>
      <c r="B23" s="64" t="str">
        <f>'Necesidades Trimestrales'!B21</f>
        <v>2.5.2-1816.34</v>
      </c>
      <c r="C23" s="106" t="str">
        <f>'Necesidades Trimestrales'!E21</f>
        <v>ANTIDIARREICOS; TIPO: MONODROGA, DROGA GENERICA: LOPERAMIDA, FORMA FARMACEUTICA: CAPSULA, PRESENTACION: 2 mGr</v>
      </c>
      <c r="D23" s="106"/>
      <c r="E23" s="106"/>
      <c r="F23" s="106"/>
      <c r="G23" s="106"/>
      <c r="H23" s="65" t="s">
        <v>56</v>
      </c>
      <c r="I23" s="66" t="str">
        <f>'Necesidades Trimestrales'!F21</f>
        <v>COMPRIMIDO</v>
      </c>
      <c r="J23" s="67">
        <f>'Necesidades Trimestrales'!H21</f>
        <v>2.5</v>
      </c>
      <c r="K23" s="68">
        <f>'Necesidades Trimestrales'!G21</f>
        <v>400</v>
      </c>
    </row>
    <row r="24" spans="1:1024" ht="43.5" customHeight="1" thickBot="1" x14ac:dyDescent="0.25">
      <c r="A24" s="8">
        <v>13</v>
      </c>
      <c r="B24" s="64" t="str">
        <f>'Necesidades Trimestrales'!B22</f>
        <v>2.5.2-1862.16</v>
      </c>
      <c r="C24" s="106" t="str">
        <f>'Necesidades Trimestrales'!E22</f>
        <v>HIPOGLUCEMIANTES ORALES; TIPO: MONODROGA, DROGA GENERICA: METFORMINA, FORMA FARMACEUTICA: COMPRIMIDO, PRESENTACION: 850 mGr</v>
      </c>
      <c r="D24" s="106"/>
      <c r="E24" s="106"/>
      <c r="F24" s="106"/>
      <c r="G24" s="106"/>
      <c r="H24" s="65" t="s">
        <v>56</v>
      </c>
      <c r="I24" s="66" t="str">
        <f>'Necesidades Trimestrales'!F22</f>
        <v>COMPRIMIDO</v>
      </c>
      <c r="J24" s="67">
        <f>'Necesidades Trimestrales'!H22</f>
        <v>6.9</v>
      </c>
      <c r="K24" s="68">
        <f>'Necesidades Trimestrales'!G22</f>
        <v>150</v>
      </c>
    </row>
    <row r="25" spans="1:1024" ht="45" customHeight="1" thickBot="1" x14ac:dyDescent="0.25">
      <c r="A25" s="8">
        <v>14</v>
      </c>
      <c r="B25" s="64" t="str">
        <f>'Necesidades Trimestrales'!B23</f>
        <v>2.5.2-6910.6</v>
      </c>
      <c r="C25" s="106" t="str">
        <f>'Necesidades Trimestrales'!E23</f>
        <v>ANTIEMETICOS; TIPO: MONODROGA, DROGA GENERICA: METOCLOPRAMIDA, FORMA FARMACEUTICA: AMPOLLA, PRESENTACION: 2 mL</v>
      </c>
      <c r="D25" s="106"/>
      <c r="E25" s="106"/>
      <c r="F25" s="106"/>
      <c r="G25" s="106"/>
      <c r="H25" s="65" t="s">
        <v>56</v>
      </c>
      <c r="I25" s="66" t="str">
        <f>'Necesidades Trimestrales'!F23</f>
        <v>AMPOLLA</v>
      </c>
      <c r="J25" s="67">
        <f>'Necesidades Trimestrales'!H23</f>
        <v>55</v>
      </c>
      <c r="K25" s="68">
        <f>'Necesidades Trimestrales'!G23</f>
        <v>12000</v>
      </c>
    </row>
    <row r="26" spans="1:1024" ht="52.5" customHeight="1" thickBot="1" x14ac:dyDescent="0.25">
      <c r="A26" s="8">
        <v>15</v>
      </c>
      <c r="B26" s="64" t="str">
        <f>'Necesidades Trimestrales'!B24</f>
        <v>2.5.2-1823.46</v>
      </c>
      <c r="C26" s="106" t="str">
        <f>'Necesidades Trimestrales'!E24</f>
        <v>ANTIMICOTICOS; TIPO: MONODROGA, DROGA GENERICA: NISTATINA 100000 UI/ML, FORMA FARMACEUTICA: SUSPENSION, PRESENTACION: ENVASE X 60 mL</v>
      </c>
      <c r="D26" s="106"/>
      <c r="E26" s="106"/>
      <c r="F26" s="106"/>
      <c r="G26" s="106"/>
      <c r="H26" s="65" t="s">
        <v>56</v>
      </c>
      <c r="I26" s="66" t="str">
        <f>'Necesidades Trimestrales'!F24</f>
        <v>FRASCO</v>
      </c>
      <c r="J26" s="67">
        <f>'Necesidades Trimestrales'!H24</f>
        <v>348</v>
      </c>
      <c r="K26" s="68">
        <f>'Necesidades Trimestrales'!G24</f>
        <v>200</v>
      </c>
    </row>
    <row r="27" spans="1:1024" ht="50.25" customHeight="1" thickBot="1" x14ac:dyDescent="0.25">
      <c r="A27" s="8">
        <v>16</v>
      </c>
      <c r="B27" s="64" t="str">
        <f>'Necesidades Trimestrales'!B25</f>
        <v>2.5.2-1849.3</v>
      </c>
      <c r="C27" s="106" t="str">
        <f>'Necesidades Trimestrales'!E25</f>
        <v>ANTIULCEROSOS; TIPO: MONODROGA, DROGA GENERICA: OMEPRAZOL, FORMA FARMACEUTICA: CAPSULA, PRESENTACION: 20 mGr</v>
      </c>
      <c r="D27" s="106"/>
      <c r="E27" s="106"/>
      <c r="F27" s="106"/>
      <c r="G27" s="106"/>
      <c r="H27" s="65" t="s">
        <v>56</v>
      </c>
      <c r="I27" s="66" t="str">
        <f>'Necesidades Trimestrales'!F25</f>
        <v>CAPSULA</v>
      </c>
      <c r="J27" s="67">
        <f>'Necesidades Trimestrales'!H25</f>
        <v>3.1</v>
      </c>
      <c r="K27" s="68">
        <f>'Necesidades Trimestrales'!G25</f>
        <v>6000</v>
      </c>
    </row>
    <row r="28" spans="1:1024" ht="42.75" customHeight="1" thickBot="1" x14ac:dyDescent="0.25">
      <c r="A28" s="8">
        <v>17</v>
      </c>
      <c r="B28" s="64" t="str">
        <f>'Necesidades Trimestrales'!B26</f>
        <v>2.5.2-6910.13</v>
      </c>
      <c r="C28" s="106" t="str">
        <f>'Necesidades Trimestrales'!E26</f>
        <v>ANTIEMETICOS; TIPO: MONODROGA, DROGA GENERICA: ONDANSETRON X 8 mGr, FORMA FARMACEUTICA: AMPOLLA, PRESENTACION: ENVASE X 1 UN</v>
      </c>
      <c r="D28" s="106"/>
      <c r="E28" s="106"/>
      <c r="F28" s="106"/>
      <c r="G28" s="106"/>
      <c r="H28" s="65" t="s">
        <v>56</v>
      </c>
      <c r="I28" s="66" t="str">
        <f>'Necesidades Trimestrales'!F26</f>
        <v>AMPOLLA</v>
      </c>
      <c r="J28" s="67">
        <f>'Necesidades Trimestrales'!H26</f>
        <v>120</v>
      </c>
      <c r="K28" s="68">
        <f>'Necesidades Trimestrales'!G26</f>
        <v>300</v>
      </c>
    </row>
    <row r="29" spans="1:1024" ht="51" customHeight="1" thickBot="1" x14ac:dyDescent="0.25">
      <c r="A29" s="8">
        <v>18</v>
      </c>
      <c r="B29" s="64" t="str">
        <f>'Necesidades Trimestrales'!B27</f>
        <v>2.5.2-1841.17</v>
      </c>
      <c r="C29" s="106" t="str">
        <f>'Necesidades Trimestrales'!E27</f>
        <v>ANTIACIDOS; TIPO: MONODROGA, DROGA GENERICA: RANITIDINA, FORMA FARMACEUTICA: AMPOLLA, PRESENTACION: UNIDAD</v>
      </c>
      <c r="D29" s="106"/>
      <c r="E29" s="106"/>
      <c r="F29" s="106"/>
      <c r="G29" s="106"/>
      <c r="H29" s="65" t="s">
        <v>56</v>
      </c>
      <c r="I29" s="66" t="str">
        <f>'Necesidades Trimestrales'!F27</f>
        <v>AMPOLLA</v>
      </c>
      <c r="J29" s="67">
        <f>'Necesidades Trimestrales'!H27</f>
        <v>58</v>
      </c>
      <c r="K29" s="68">
        <f>'Necesidades Trimestrales'!G27</f>
        <v>30000</v>
      </c>
    </row>
    <row r="30" spans="1:1024" ht="30" customHeight="1" thickBot="1" x14ac:dyDescent="0.25">
      <c r="A30" s="8">
        <v>19</v>
      </c>
      <c r="B30" s="64" t="str">
        <f>'Necesidades Trimestrales'!B28</f>
        <v>2.5.2-5520.5</v>
      </c>
      <c r="C30" s="106" t="str">
        <f>'Necesidades Trimestrales'!E28</f>
        <v>VASELINA; TIPO: LIQUIDA, PRESENTACION: ENVASE X 1000 mL</v>
      </c>
      <c r="D30" s="106"/>
      <c r="E30" s="106"/>
      <c r="F30" s="106"/>
      <c r="G30" s="106"/>
      <c r="H30" s="65" t="s">
        <v>56</v>
      </c>
      <c r="I30" s="66" t="str">
        <f>'Necesidades Trimestrales'!F28</f>
        <v>FRASCO</v>
      </c>
      <c r="J30" s="67">
        <f>'Necesidades Trimestrales'!H28</f>
        <v>680</v>
      </c>
      <c r="K30" s="68">
        <f>'Necesidades Trimestrales'!G28</f>
        <v>6</v>
      </c>
    </row>
    <row r="31" spans="1:1024" ht="34.5" customHeight="1" thickBot="1" x14ac:dyDescent="0.25">
      <c r="A31" s="115" t="s">
        <v>73</v>
      </c>
      <c r="B31" s="115"/>
      <c r="C31" s="115"/>
      <c r="D31" s="115"/>
      <c r="E31" s="115"/>
      <c r="F31" s="115"/>
      <c r="G31" s="115"/>
      <c r="H31" s="115"/>
      <c r="I31" s="115"/>
      <c r="J31" s="107">
        <f>SUMPRODUCT(J12:J30,K12:K30)</f>
        <v>4643465</v>
      </c>
      <c r="K31" s="107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1:K31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1:I31"/>
    <mergeCell ref="C12:G12"/>
    <mergeCell ref="C13:G13"/>
    <mergeCell ref="C14:G14"/>
    <mergeCell ref="C15:G15"/>
    <mergeCell ref="C16:G16"/>
    <mergeCell ref="C30:G3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23" sqref="S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2022</v>
      </c>
      <c r="E1" s="145"/>
      <c r="F1" s="10"/>
      <c r="G1" s="10"/>
      <c r="H1" s="11"/>
      <c r="I1" s="11"/>
      <c r="J1" s="11"/>
      <c r="K1" s="11"/>
      <c r="L1" s="11"/>
      <c r="M1" s="11"/>
      <c r="N1" s="11"/>
      <c r="P1" s="146" t="s">
        <v>30</v>
      </c>
      <c r="Q1" s="14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6"/>
      <c r="Q2" s="146"/>
    </row>
    <row r="4" spans="1:17" s="12" customFormat="1" ht="18" customHeight="1" thickBot="1" x14ac:dyDescent="0.25">
      <c r="A4" s="147" t="s">
        <v>31</v>
      </c>
      <c r="B4" s="147"/>
      <c r="C4" s="147"/>
      <c r="D4" s="147"/>
      <c r="E4" s="147"/>
      <c r="F4" s="147"/>
      <c r="G4" s="142" t="str">
        <f>NotaPedido!D3</f>
        <v>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12" customFormat="1" ht="18" customHeight="1" thickBot="1" x14ac:dyDescent="0.25">
      <c r="A5" s="139" t="s">
        <v>54</v>
      </c>
      <c r="B5" s="140"/>
      <c r="C5" s="140"/>
      <c r="D5" s="140"/>
      <c r="E5" s="140"/>
      <c r="F5" s="141"/>
      <c r="G5" s="142" t="str">
        <f>NotaPedido!D4</f>
        <v>23 - Hospital Interzonal San Juan Bautista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12" customFormat="1" ht="18" customHeight="1" thickBot="1" x14ac:dyDescent="0.25">
      <c r="A6" s="139" t="s">
        <v>32</v>
      </c>
      <c r="B6" s="140"/>
      <c r="C6" s="140"/>
      <c r="D6" s="140"/>
      <c r="E6" s="140"/>
      <c r="F6" s="141"/>
      <c r="G6" s="142" t="str">
        <f>NotaPedido!D5</f>
        <v>168 - Direccion Asistencial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12" customFormat="1" ht="18" customHeight="1" thickBot="1" x14ac:dyDescent="0.25">
      <c r="A7" s="139" t="s">
        <v>55</v>
      </c>
      <c r="B7" s="140"/>
      <c r="C7" s="140"/>
      <c r="D7" s="140"/>
      <c r="E7" s="140"/>
      <c r="F7" s="141"/>
      <c r="G7" s="142" t="str">
        <f>NotaPedido!D6</f>
        <v>Servicio de Farmacia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34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13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009 - 2022,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5" t="s">
        <v>35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36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37</v>
      </c>
      <c r="P13" s="137"/>
      <c r="Q13" s="138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7"/>
      <c r="P14" s="137"/>
      <c r="Q14" s="138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63</v>
      </c>
      <c r="I15" s="74">
        <v>2</v>
      </c>
      <c r="J15" s="74">
        <v>5</v>
      </c>
      <c r="K15" s="74">
        <v>2</v>
      </c>
      <c r="L15" s="72"/>
      <c r="M15" s="75">
        <v>1</v>
      </c>
      <c r="N15" s="73" t="s">
        <v>64</v>
      </c>
      <c r="O15" s="130" t="s">
        <v>61</v>
      </c>
      <c r="P15" s="130"/>
      <c r="Q15" s="23">
        <v>4643465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31"/>
      <c r="P16" s="13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31"/>
      <c r="P17" s="131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32"/>
      <c r="P18" s="12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5"/>
      <c r="P19" s="12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5"/>
      <c r="P20" s="12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6"/>
      <c r="P21" s="12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7"/>
      <c r="P22" s="127"/>
      <c r="Q22" s="37"/>
    </row>
    <row r="23" spans="1:19" ht="30" customHeight="1" x14ac:dyDescent="0.2">
      <c r="A23" s="128" t="s">
        <v>74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8">
        <f>SUM(Q15:Q22)</f>
        <v>4643465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0" t="s">
        <v>52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 x14ac:dyDescent="0.25">
      <c r="A26" s="124" t="str">
        <f>"Para la "&amp; NotaPedido!D8 &amp;" para ser destinados al " &amp; NotaPedido!D6 &amp;"  del HISJB del Ministerio de Salud."</f>
        <v>Para la Adquisición de MEDICAMENTOS PARA  TRACTO ALIMENTARIO Y METABOLISMO / VITAMINAS Y OTROS /ANTIDIABETICOS E INSULINAS  para ser destinados al Servicio de Farmacia  del HISJB del Ministerio de Salud.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9" ht="26.2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2022-02-16T11:28:54Z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