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MATERNIDAD PROV 25 DE MAYO\antisepticos\"/>
    </mc:Choice>
  </mc:AlternateContent>
  <xr:revisionPtr revIDLastSave="0" documentId="13_ncr:1_{5696E223-FE0D-4B1B-8A19-1608B3545F3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Trimestrales'!$A$9:$I$17</definedName>
    <definedName name="_xlnm.Print_Area" localSheetId="1">' NotaPedido'!$A$1:$K$20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12" i="2"/>
  <c r="J13" i="2"/>
  <c r="J14" i="2"/>
  <c r="J15" i="2"/>
  <c r="J16" i="2"/>
  <c r="J17" i="2"/>
  <c r="J18" i="2"/>
  <c r="J19" i="2"/>
  <c r="J12" i="2"/>
  <c r="I13" i="2"/>
  <c r="I14" i="2"/>
  <c r="I15" i="2"/>
  <c r="I16" i="2"/>
  <c r="I17" i="2"/>
  <c r="I18" i="2"/>
  <c r="I19" i="2"/>
  <c r="I12" i="2"/>
  <c r="C13" i="2"/>
  <c r="C14" i="2"/>
  <c r="C15" i="2"/>
  <c r="C16" i="2"/>
  <c r="C17" i="2"/>
  <c r="C18" i="2"/>
  <c r="C19" i="2"/>
  <c r="C12" i="2"/>
  <c r="B13" i="2"/>
  <c r="B14" i="2"/>
  <c r="B15" i="2"/>
  <c r="B16" i="2"/>
  <c r="B17" i="2"/>
  <c r="B18" i="2"/>
  <c r="B19" i="2"/>
  <c r="B12" i="2"/>
  <c r="A13" i="2"/>
  <c r="A14" i="2"/>
  <c r="A15" i="2"/>
  <c r="A16" i="2"/>
  <c r="A17" i="2"/>
  <c r="A18" i="2"/>
  <c r="A19" i="2"/>
  <c r="A12" i="2"/>
  <c r="I11" i="1"/>
  <c r="I12" i="1"/>
  <c r="I13" i="1"/>
  <c r="I14" i="1"/>
  <c r="I15" i="1"/>
  <c r="I16" i="1"/>
  <c r="I17" i="1"/>
  <c r="I10" i="1"/>
  <c r="G7" i="3" l="1"/>
  <c r="Q21" i="3" l="1"/>
  <c r="J20" i="2" l="1"/>
  <c r="G6" i="3" l="1"/>
  <c r="G4" i="3"/>
  <c r="G5" i="3"/>
</calcChain>
</file>

<file path=xl/sharedStrings.xml><?xml version="1.0" encoding="utf-8"?>
<sst xmlns="http://schemas.openxmlformats.org/spreadsheetml/2006/main" count="127" uniqueCount="105">
  <si>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</si>
  <si>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</si>
  <si>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</si>
  <si>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</si>
  <si>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</si>
  <si>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</si>
  <si>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</si>
  <si>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</si>
  <si>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</si>
  <si>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</si>
  <si>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</si>
  <si>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</si>
  <si>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</si>
  <si>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</si>
  <si>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</si>
  <si>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</si>
  <si>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</si>
  <si>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</si>
  <si>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</si>
  <si>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</si>
  <si>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</si>
  <si>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</si>
  <si>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</si>
  <si>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</si>
  <si>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</si>
  <si>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</si>
  <si>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</si>
  <si>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</si>
  <si>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</si>
  <si>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</si>
  <si>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</si>
  <si>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</si>
  <si>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</si>
  <si>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</si>
  <si>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</si>
  <si>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</si>
  <si>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</si>
  <si>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</si>
  <si>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</si>
  <si>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</si>
  <si>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</si>
  <si>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</si>
  <si>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</si>
  <si>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</si>
  <si>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</si>
  <si>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</si>
  <si>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</si>
  <si>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</si>
  <si>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</si>
  <si>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</si>
  <si>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</si>
  <si>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</si>
  <si>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</si>
  <si>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</si>
  <si>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</si>
  <si>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</si>
  <si>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</si>
  <si>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</si>
  <si>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</si>
  <si>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</si>
  <si>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</si>
  <si>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</si>
  <si>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</si>
  <si>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</si>
  <si>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Servicio de Farmacia</t>
  </si>
  <si>
    <t>SEMESTRAL</t>
  </si>
  <si>
    <t>BOTELLA</t>
  </si>
  <si>
    <t>BIDON</t>
  </si>
  <si>
    <t>FRASCO</t>
  </si>
  <si>
    <t>SOBRE</t>
  </si>
  <si>
    <t>Para la adquisición de Adquisición de Productos Medicos ANTISEPTICOS Y DESINFECTANTE, para ser destinados Servicio de Farmacia, de  la Maternidad Provincial 25 de Mayo.-</t>
  </si>
  <si>
    <t xml:space="preserve">Compuestos quimicos </t>
  </si>
  <si>
    <t>PROD. MEDICO/FARMACEUTICOS/LAB</t>
  </si>
  <si>
    <t>QUIMICOS</t>
  </si>
  <si>
    <t>2.5.2-1723.172</t>
  </si>
  <si>
    <t>ANTISEPTICOS LOCALES P/PERSONA; TIPO: MONODROGA, DROGA GENERICA: CLORHEXIDINA AL 2%, FORMA FARMACEUTICA: SOLUCION ACUOSA, PRESENTACION: ENVASE X 250 ML</t>
  </si>
  <si>
    <t>2.5.2-1723.166</t>
  </si>
  <si>
    <t>ANTISEPTICOS LOCALES P/PERSONA; TIPO: MONODROGA, DROGA GENERICA: CLORHEXIDINA AL 4%, FORMA FARMACEUTICA: JABON MEDICINAL, PRESENTACION: ENVASE X 500 mL</t>
  </si>
  <si>
    <t>2.5.1-9065.16</t>
  </si>
  <si>
    <t>DESINFECTANTES Y DETERGENTES; PRINCIPIO ACTIVO: AMILASA, PROTEASA, LIPASA, CALIDAD: COMERCIAL, CONCENTRACION/PUREZA: 100 %, PRESENTACION: ENVASE X 5 L</t>
  </si>
  <si>
    <t>2.5.2-1726.492</t>
  </si>
  <si>
    <t>SOLUCIONES P/MEDICINA; TIPO: FORMOL AL 40 %, PRESENTACION: ENVASE X 1 L</t>
  </si>
  <si>
    <t>2.5.1-9065.53</t>
  </si>
  <si>
    <t>DESINFECTANTES Y DETERGENTES; PRINCIPIO ACTIVO: GLUTARALDEHIDO CON SULFACTANTE, CALIDAD: BIOLOGIA MOLECULAR, CONCENTRACION/PUREZA: 2 %, PRESENTACION: ENVASE X 4 L</t>
  </si>
  <si>
    <t>2.5.4-505.99</t>
  </si>
  <si>
    <t>ELEMENTOS DE LIMPIEZA</t>
  </si>
  <si>
    <t>DESINFECTANTES; PRINCIPIO ACTIVO: MONOPERSUFATO DE POTASIO, CONTROL: BACTERIAS, HONGOS, VIRUS, PRESENTACION: ENVASE X 20 G</t>
  </si>
  <si>
    <t>ANTISEPTICOS LOCALES P/PERSONA; TIPO: MONODROGA, DROGA
GENERICA: IODOPOVIDONA, FORMA FARMACEUTICA: SOLUCION,
PRESENTACION: BIDON X 5 L</t>
  </si>
  <si>
    <t>ANTISEPTICOS LOCALES P/PERSONA; TIPO: MONODROGA, DROGA GENERICA:
CLOROXILENOL, FORMA FARMACEUTICA: SOLUCION, PRESENTACION: ENVASE
X 5 L</t>
  </si>
  <si>
    <t>3°</t>
  </si>
  <si>
    <t xml:space="preserve"> Adquisición de Productos Medicos ANTISEPTICOS Y DESINFECTANTES</t>
  </si>
  <si>
    <t xml:space="preserve"> /2022</t>
  </si>
  <si>
    <t>2.5.2-1723.30</t>
  </si>
  <si>
    <t>2.5.2-1723.69</t>
  </si>
  <si>
    <t>30( treinta) dias habiles</t>
  </si>
  <si>
    <t>10(diez) dias  habiles desde la firma del instrumento contractual</t>
  </si>
  <si>
    <t>SI</t>
  </si>
  <si>
    <t>"Autorizo la realización de los  trámites correspondientes, a fin de proveer a  este Organismo los bienes y/o servicios que se detallan en Nota  de Pedido N° /2022 ,  afectando la erogación resultante a los créditos presupuestarios aprobados a favor de esta Unidad Ejecutora, conforme al siguiente detalle:"</t>
  </si>
  <si>
    <t>Cloroxilenol solución jabonosa al 5% x 5 lts. - Tipo IQB</t>
  </si>
  <si>
    <t>Especificidades Item N° : 8</t>
  </si>
  <si>
    <t>Costo total estimado: SETECIENTOS SESENTA Y TRES MIL CIENTO OCHENTA Y DOS  CON 50/100</t>
  </si>
  <si>
    <t>TOTAL DE PESOS: SETECIENTOS SESENTA Y TRES MIL CIENTO OCHENTA Y DOS CON  50/100</t>
  </si>
  <si>
    <t>2.5.1-9065.54</t>
  </si>
  <si>
    <t>no colocaron las especificaciones</t>
  </si>
  <si>
    <t>ellos agregaron especificacion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</si>
</sst>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b/>
      <sz val="10"/>
      <name val="Times New Roman"/>
      <family val="1"/>
    </font>
    <font>
      <sz val="11"/>
      <name val="Arial"/>
      <family val="2"/>
    </font>
    <font>
      <b/>
      <u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2">
    <xf numFmtId="0" fontId="0" fillId="0" borderId="0"/>
    <xf numFmtId="0" fontId="11" fillId="0" borderId="1" applyProtection="0"/>
    <xf numFmtId="164" fontId="12" fillId="0" borderId="0" applyBorder="0" applyProtection="0"/>
    <xf numFmtId="0" fontId="13" fillId="2" borderId="0" applyBorder="0" applyProtection="0"/>
    <xf numFmtId="165" fontId="20" fillId="0" borderId="0" applyBorder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10" fillId="6" borderId="0" applyNumberFormat="0" applyBorder="0" applyAlignment="0" applyProtection="0"/>
    <xf numFmtId="0" fontId="8" fillId="7" borderId="0" applyNumberFormat="0" applyBorder="0" applyAlignment="0" applyProtection="0"/>
    <xf numFmtId="0" fontId="20" fillId="0" borderId="0"/>
    <xf numFmtId="0" fontId="20" fillId="0" borderId="0"/>
    <xf numFmtId="0" fontId="2" fillId="0" borderId="0"/>
  </cellStyleXfs>
  <cellXfs count="198">
    <xf numFmtId="0" fontId="0" fillId="0" borderId="0" xfId="0"/>
    <xf numFmtId="0" fontId="1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5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2" fillId="0" borderId="0" xfId="0" applyFont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65" fontId="19" fillId="0" borderId="25" xfId="0" applyNumberFormat="1" applyFont="1" applyBorder="1" applyAlignment="1">
      <alignment horizontal="center" vertical="center"/>
    </xf>
    <xf numFmtId="0" fontId="21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5" fontId="20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4" fillId="3" borderId="0" xfId="0" applyFont="1" applyFill="1"/>
    <xf numFmtId="0" fontId="24" fillId="3" borderId="0" xfId="0" applyFont="1" applyFill="1" applyAlignment="1">
      <alignment horizontal="left" wrapText="1"/>
    </xf>
    <xf numFmtId="0" fontId="9" fillId="3" borderId="3" xfId="7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left" wrapText="1"/>
    </xf>
    <xf numFmtId="0" fontId="27" fillId="3" borderId="0" xfId="0" applyFont="1" applyFill="1" applyAlignment="1"/>
    <xf numFmtId="0" fontId="21" fillId="0" borderId="0" xfId="0" applyFont="1" applyAlignment="1">
      <alignment vertical="center"/>
    </xf>
    <xf numFmtId="0" fontId="32" fillId="0" borderId="34" xfId="0" applyFont="1" applyBorder="1" applyAlignment="1">
      <alignment horizontal="center" vertical="center"/>
    </xf>
    <xf numFmtId="0" fontId="34" fillId="3" borderId="5" xfId="0" applyFont="1" applyFill="1" applyBorder="1" applyAlignment="1">
      <alignment horizontal="right" vertical="center"/>
    </xf>
    <xf numFmtId="0" fontId="34" fillId="3" borderId="7" xfId="0" applyFont="1" applyFill="1" applyBorder="1" applyAlignment="1">
      <alignment vertical="center"/>
    </xf>
    <xf numFmtId="0" fontId="34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horizontal="left" vertical="center"/>
    </xf>
    <xf numFmtId="0" fontId="35" fillId="3" borderId="0" xfId="0" applyFont="1" applyFill="1" applyBorder="1" applyAlignment="1">
      <alignment horizontal="left" vertical="center" wrapText="1" indent="1"/>
    </xf>
    <xf numFmtId="0" fontId="33" fillId="3" borderId="2" xfId="5" applyFont="1" applyFill="1" applyBorder="1" applyAlignment="1">
      <alignment horizontal="center" vertical="center"/>
    </xf>
    <xf numFmtId="0" fontId="33" fillId="3" borderId="3" xfId="5" applyFont="1" applyFill="1" applyBorder="1" applyAlignment="1">
      <alignment horizontal="center" vertical="center"/>
    </xf>
    <xf numFmtId="0" fontId="33" fillId="3" borderId="3" xfId="5" applyFont="1" applyFill="1" applyBorder="1" applyAlignment="1">
      <alignment horizontal="center" wrapText="1"/>
    </xf>
    <xf numFmtId="0" fontId="33" fillId="3" borderId="33" xfId="5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0" fontId="40" fillId="3" borderId="0" xfId="0" applyFont="1" applyFill="1" applyBorder="1" applyAlignment="1">
      <alignment vertical="center"/>
    </xf>
    <xf numFmtId="166" fontId="33" fillId="3" borderId="3" xfId="6" applyNumberFormat="1" applyFont="1" applyFill="1" applyBorder="1" applyAlignment="1" applyProtection="1">
      <alignment horizontal="center" vertical="center" wrapText="1"/>
    </xf>
    <xf numFmtId="1" fontId="34" fillId="3" borderId="0" xfId="0" applyNumberFormat="1" applyFont="1" applyFill="1" applyBorder="1" applyAlignment="1">
      <alignment vertical="center"/>
    </xf>
    <xf numFmtId="1" fontId="35" fillId="3" borderId="0" xfId="0" applyNumberFormat="1" applyFont="1" applyFill="1" applyBorder="1" applyAlignment="1">
      <alignment horizontal="left" vertical="center" wrapText="1" indent="1"/>
    </xf>
    <xf numFmtId="1" fontId="33" fillId="3" borderId="4" xfId="5" applyNumberFormat="1" applyFont="1" applyFill="1" applyBorder="1" applyAlignment="1">
      <alignment horizontal="center" vertical="center"/>
    </xf>
    <xf numFmtId="1" fontId="12" fillId="3" borderId="0" xfId="0" applyNumberFormat="1" applyFont="1" applyFill="1" applyBorder="1" applyAlignment="1">
      <alignment vertical="center"/>
    </xf>
    <xf numFmtId="170" fontId="0" fillId="0" borderId="0" xfId="0" applyNumberFormat="1" applyBorder="1" applyAlignment="1">
      <alignment horizontal="center" vertical="center"/>
    </xf>
    <xf numFmtId="170" fontId="31" fillId="0" borderId="45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7" fillId="3" borderId="0" xfId="0" applyFont="1" applyFill="1" applyAlignment="1">
      <alignment vertical="center"/>
    </xf>
    <xf numFmtId="0" fontId="29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vertical="center"/>
    </xf>
    <xf numFmtId="169" fontId="27" fillId="3" borderId="0" xfId="0" applyNumberFormat="1" applyFont="1" applyFill="1" applyAlignment="1">
      <alignment horizontal="center"/>
    </xf>
    <xf numFmtId="169" fontId="24" fillId="3" borderId="0" xfId="0" applyNumberFormat="1" applyFont="1" applyFill="1" applyAlignment="1">
      <alignment horizontal="center"/>
    </xf>
    <xf numFmtId="169" fontId="21" fillId="0" borderId="0" xfId="0" applyNumberFormat="1" applyFont="1" applyAlignment="1">
      <alignment horizontal="center"/>
    </xf>
    <xf numFmtId="0" fontId="24" fillId="3" borderId="0" xfId="0" applyFont="1" applyFill="1" applyAlignment="1">
      <alignment wrapText="1"/>
    </xf>
    <xf numFmtId="0" fontId="21" fillId="0" borderId="0" xfId="0" applyFont="1" applyBorder="1" applyAlignment="1">
      <alignment vertical="center" wrapText="1"/>
    </xf>
    <xf numFmtId="0" fontId="21" fillId="0" borderId="0" xfId="0" applyFont="1" applyBorder="1"/>
    <xf numFmtId="0" fontId="27" fillId="0" borderId="0" xfId="0" applyFont="1" applyFill="1" applyAlignment="1"/>
    <xf numFmtId="0" fontId="25" fillId="0" borderId="0" xfId="0" applyFont="1" applyFill="1" applyAlignment="1">
      <alignment horizontal="left" wrapText="1" indent="1"/>
    </xf>
    <xf numFmtId="0" fontId="24" fillId="0" borderId="0" xfId="0" applyFont="1" applyFill="1" applyAlignment="1">
      <alignment horizontal="center" wrapText="1"/>
    </xf>
    <xf numFmtId="0" fontId="21" fillId="0" borderId="0" xfId="0" applyFont="1" applyFill="1" applyBorder="1" applyAlignment="1">
      <alignment vertical="center"/>
    </xf>
    <xf numFmtId="0" fontId="24" fillId="0" borderId="0" xfId="0" applyFont="1" applyFill="1" applyAlignment="1">
      <alignment horizontal="center"/>
    </xf>
    <xf numFmtId="1" fontId="33" fillId="3" borderId="3" xfId="5" applyNumberFormat="1" applyFont="1" applyFill="1" applyBorder="1" applyAlignment="1">
      <alignment horizontal="center" vertical="center" wrapText="1"/>
    </xf>
    <xf numFmtId="169" fontId="9" fillId="3" borderId="3" xfId="7" applyNumberFormat="1" applyFont="1" applyFill="1" applyBorder="1" applyAlignment="1">
      <alignment horizontal="center" vertical="center" wrapText="1"/>
    </xf>
    <xf numFmtId="168" fontId="21" fillId="0" borderId="0" xfId="0" applyNumberFormat="1" applyFont="1"/>
    <xf numFmtId="166" fontId="12" fillId="0" borderId="0" xfId="0" applyNumberFormat="1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wrapText="1"/>
    </xf>
    <xf numFmtId="0" fontId="21" fillId="0" borderId="0" xfId="0" applyFont="1" applyBorder="1" applyAlignment="1"/>
    <xf numFmtId="0" fontId="21" fillId="0" borderId="47" xfId="0" applyFont="1" applyBorder="1"/>
    <xf numFmtId="0" fontId="21" fillId="0" borderId="48" xfId="0" applyFont="1" applyFill="1" applyBorder="1" applyAlignment="1">
      <alignment vertical="center"/>
    </xf>
    <xf numFmtId="0" fontId="21" fillId="0" borderId="34" xfId="0" applyFont="1" applyBorder="1" applyAlignment="1">
      <alignment horizontal="center" vertical="center"/>
    </xf>
    <xf numFmtId="0" fontId="21" fillId="0" borderId="49" xfId="0" applyFont="1" applyFill="1" applyBorder="1" applyAlignment="1">
      <alignment vertical="center"/>
    </xf>
    <xf numFmtId="0" fontId="21" fillId="0" borderId="49" xfId="0" applyFont="1" applyFill="1" applyBorder="1" applyAlignment="1"/>
    <xf numFmtId="0" fontId="21" fillId="0" borderId="49" xfId="0" applyFont="1" applyFill="1" applyBorder="1" applyAlignment="1">
      <alignment wrapText="1"/>
    </xf>
    <xf numFmtId="0" fontId="21" fillId="0" borderId="51" xfId="0" applyFont="1" applyBorder="1" applyAlignment="1">
      <alignment wrapText="1"/>
    </xf>
    <xf numFmtId="0" fontId="21" fillId="0" borderId="51" xfId="0" applyFont="1" applyBorder="1" applyAlignment="1"/>
    <xf numFmtId="0" fontId="21" fillId="0" borderId="52" xfId="0" applyFont="1" applyFill="1" applyBorder="1" applyAlignment="1"/>
    <xf numFmtId="166" fontId="45" fillId="3" borderId="3" xfId="0" applyNumberFormat="1" applyFont="1" applyFill="1" applyBorder="1" applyAlignment="1">
      <alignment vertical="center"/>
    </xf>
    <xf numFmtId="166" fontId="45" fillId="3" borderId="0" xfId="0" applyNumberFormat="1" applyFont="1" applyFill="1" applyBorder="1" applyAlignment="1">
      <alignment vertical="center"/>
    </xf>
    <xf numFmtId="0" fontId="0" fillId="0" borderId="0" xfId="0" applyFill="1" applyBorder="1"/>
    <xf numFmtId="0" fontId="0" fillId="0" borderId="5" xfId="0" applyFill="1" applyBorder="1"/>
    <xf numFmtId="0" fontId="4" fillId="3" borderId="3" xfId="7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35" fillId="0" borderId="44" xfId="0" applyFont="1" applyFill="1" applyBorder="1" applyAlignment="1">
      <alignment horizontal="right" vertical="center"/>
    </xf>
    <xf numFmtId="8" fontId="0" fillId="0" borderId="0" xfId="0" applyNumberFormat="1"/>
    <xf numFmtId="0" fontId="21" fillId="0" borderId="0" xfId="0" applyFont="1" applyBorder="1" applyAlignment="1">
      <alignment horizontal="center" vertical="center" wrapText="1"/>
    </xf>
    <xf numFmtId="0" fontId="46" fillId="0" borderId="0" xfId="0" applyFont="1"/>
    <xf numFmtId="0" fontId="46" fillId="0" borderId="0" xfId="0" applyFont="1" applyAlignment="1">
      <alignment wrapText="1"/>
    </xf>
    <xf numFmtId="0" fontId="21" fillId="0" borderId="0" xfId="0" applyFont="1" applyAlignment="1">
      <alignment horizontal="center" vertical="center"/>
    </xf>
    <xf numFmtId="0" fontId="29" fillId="3" borderId="54" xfId="0" applyFont="1" applyFill="1" applyBorder="1" applyAlignment="1">
      <alignment horizontal="center" vertical="center" wrapText="1"/>
    </xf>
    <xf numFmtId="0" fontId="29" fillId="3" borderId="55" xfId="0" applyFont="1" applyFill="1" applyBorder="1" applyAlignment="1">
      <alignment horizontal="center" vertical="center" wrapText="1"/>
    </xf>
    <xf numFmtId="0" fontId="29" fillId="0" borderId="55" xfId="0" applyFont="1" applyFill="1" applyBorder="1" applyAlignment="1">
      <alignment horizontal="center" vertical="center" wrapText="1"/>
    </xf>
    <xf numFmtId="0" fontId="29" fillId="3" borderId="56" xfId="0" applyFont="1" applyFill="1" applyBorder="1" applyAlignment="1">
      <alignment horizontal="center" vertical="center" wrapText="1"/>
    </xf>
    <xf numFmtId="169" fontId="29" fillId="3" borderId="57" xfId="0" applyNumberFormat="1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/>
    </xf>
    <xf numFmtId="0" fontId="7" fillId="3" borderId="3" xfId="6" applyFont="1" applyFill="1" applyBorder="1" applyAlignment="1">
      <alignment horizontal="center" vertical="center" wrapText="1"/>
    </xf>
    <xf numFmtId="165" fontId="21" fillId="0" borderId="0" xfId="0" applyNumberFormat="1" applyFont="1"/>
    <xf numFmtId="0" fontId="42" fillId="3" borderId="0" xfId="8" applyFont="1" applyFill="1" applyAlignment="1">
      <alignment horizontal="center" vertical="center"/>
    </xf>
    <xf numFmtId="0" fontId="47" fillId="0" borderId="46" xfId="0" applyFont="1" applyBorder="1" applyAlignment="1">
      <alignment horizontal="left" vertical="center"/>
    </xf>
    <xf numFmtId="0" fontId="45" fillId="0" borderId="47" xfId="0" applyFont="1" applyBorder="1" applyAlignment="1">
      <alignment horizontal="left" vertical="center" wrapText="1"/>
    </xf>
    <xf numFmtId="0" fontId="47" fillId="0" borderId="34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vertical="center" wrapText="1"/>
    </xf>
    <xf numFmtId="0" fontId="47" fillId="0" borderId="50" xfId="0" applyFon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2" fillId="3" borderId="3" xfId="7" applyFont="1" applyFill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wrapText="1"/>
    </xf>
    <xf numFmtId="0" fontId="21" fillId="0" borderId="49" xfId="0" applyFont="1" applyBorder="1" applyAlignment="1">
      <alignment horizontal="left" wrapText="1"/>
    </xf>
    <xf numFmtId="0" fontId="21" fillId="0" borderId="0" xfId="0" applyFont="1" applyFill="1" applyBorder="1" applyAlignment="1">
      <alignment horizontal="center" vertical="top" wrapText="1"/>
    </xf>
    <xf numFmtId="0" fontId="21" fillId="0" borderId="49" xfId="0" applyFont="1" applyFill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8" fillId="3" borderId="0" xfId="0" applyFont="1" applyFill="1" applyBorder="1" applyAlignment="1">
      <alignment horizontal="left" vertical="center" wrapText="1"/>
    </xf>
    <xf numFmtId="0" fontId="25" fillId="3" borderId="0" xfId="0" applyFont="1" applyFill="1" applyAlignment="1">
      <alignment horizontal="left" wrapText="1" indent="1"/>
    </xf>
    <xf numFmtId="0" fontId="36" fillId="3" borderId="11" xfId="0" applyFont="1" applyFill="1" applyBorder="1" applyAlignment="1">
      <alignment horizontal="left" vertical="center"/>
    </xf>
    <xf numFmtId="0" fontId="35" fillId="3" borderId="12" xfId="0" applyFont="1" applyFill="1" applyBorder="1" applyAlignment="1">
      <alignment horizontal="left" vertical="center" wrapText="1" indent="1"/>
    </xf>
    <xf numFmtId="0" fontId="33" fillId="3" borderId="3" xfId="5" applyFont="1" applyFill="1" applyBorder="1" applyAlignment="1">
      <alignment horizontal="center" vertical="center" wrapText="1"/>
    </xf>
    <xf numFmtId="0" fontId="37" fillId="3" borderId="13" xfId="0" applyFont="1" applyFill="1" applyBorder="1" applyAlignment="1">
      <alignment horizontal="center" vertical="center" wrapText="1"/>
    </xf>
    <xf numFmtId="0" fontId="37" fillId="3" borderId="30" xfId="0" applyFont="1" applyFill="1" applyBorder="1" applyAlignment="1">
      <alignment horizontal="center" vertical="center" wrapText="1"/>
    </xf>
    <xf numFmtId="1" fontId="37" fillId="3" borderId="12" xfId="0" applyNumberFormat="1" applyFont="1" applyFill="1" applyBorder="1" applyAlignment="1">
      <alignment horizontal="center" vertical="center" wrapText="1"/>
    </xf>
    <xf numFmtId="1" fontId="37" fillId="3" borderId="31" xfId="0" applyNumberFormat="1" applyFont="1" applyFill="1" applyBorder="1" applyAlignment="1">
      <alignment horizontal="center" vertical="center" wrapText="1"/>
    </xf>
    <xf numFmtId="0" fontId="37" fillId="3" borderId="11" xfId="0" applyFont="1" applyFill="1" applyBorder="1" applyAlignment="1">
      <alignment horizontal="center" vertical="center"/>
    </xf>
    <xf numFmtId="0" fontId="37" fillId="3" borderId="29" xfId="0" applyFont="1" applyFill="1" applyBorder="1" applyAlignment="1">
      <alignment horizontal="center" vertical="center"/>
    </xf>
    <xf numFmtId="0" fontId="34" fillId="3" borderId="0" xfId="0" applyFont="1" applyFill="1" applyBorder="1" applyAlignment="1">
      <alignment horizontal="center" vertical="center"/>
    </xf>
    <xf numFmtId="0" fontId="36" fillId="3" borderId="8" xfId="0" applyFont="1" applyFill="1" applyBorder="1" applyAlignment="1">
      <alignment horizontal="left" vertical="center" wrapText="1"/>
    </xf>
    <xf numFmtId="0" fontId="35" fillId="3" borderId="9" xfId="0" applyFont="1" applyFill="1" applyBorder="1" applyAlignment="1">
      <alignment horizontal="left" vertical="center" wrapText="1" indent="1"/>
    </xf>
    <xf numFmtId="0" fontId="36" fillId="3" borderId="10" xfId="0" applyFont="1" applyFill="1" applyBorder="1" applyAlignment="1">
      <alignment horizontal="left" vertical="center" wrapText="1"/>
    </xf>
    <xf numFmtId="165" fontId="12" fillId="3" borderId="0" xfId="0" applyNumberFormat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35" fillId="3" borderId="32" xfId="0" applyFont="1" applyFill="1" applyBorder="1" applyAlignment="1">
      <alignment horizontal="left" vertical="center" wrapText="1" indent="1"/>
    </xf>
    <xf numFmtId="0" fontId="35" fillId="3" borderId="43" xfId="0" applyFont="1" applyFill="1" applyBorder="1" applyAlignment="1">
      <alignment horizontal="left" vertical="center" wrapText="1" indent="1"/>
    </xf>
    <xf numFmtId="166" fontId="38" fillId="3" borderId="3" xfId="0" applyNumberFormat="1" applyFont="1" applyFill="1" applyBorder="1" applyAlignment="1">
      <alignment horizontal="center" vertical="center"/>
    </xf>
    <xf numFmtId="0" fontId="17" fillId="0" borderId="17" xfId="0" applyFont="1" applyFill="1" applyBorder="1" applyAlignment="1"/>
    <xf numFmtId="0" fontId="17" fillId="0" borderId="18" xfId="0" applyFont="1" applyFill="1" applyBorder="1" applyAlignment="1">
      <alignment horizontal="left" vertical="center" wrapText="1" indent="1"/>
    </xf>
    <xf numFmtId="0" fontId="19" fillId="0" borderId="16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indent="1"/>
    </xf>
    <xf numFmtId="0" fontId="18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5" fillId="0" borderId="15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12" fillId="0" borderId="6" xfId="0" applyFont="1" applyBorder="1" applyAlignment="1"/>
    <xf numFmtId="0" fontId="19" fillId="0" borderId="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20" fillId="0" borderId="16" xfId="0" applyFont="1" applyBorder="1" applyAlignment="1"/>
    <xf numFmtId="0" fontId="0" fillId="0" borderId="16" xfId="0" applyBorder="1" applyAlignment="1"/>
    <xf numFmtId="0" fontId="20" fillId="0" borderId="37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 wrapText="1"/>
    </xf>
    <xf numFmtId="0" fontId="15" fillId="0" borderId="14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30" fillId="8" borderId="3" xfId="0" applyFont="1" applyFill="1" applyBorder="1" applyAlignment="1">
      <alignment horizontal="center" vertical="center"/>
    </xf>
    <xf numFmtId="0" fontId="9" fillId="8" borderId="3" xfId="7" applyFont="1" applyFill="1" applyBorder="1" applyAlignment="1">
      <alignment horizontal="center" vertical="center" wrapText="1"/>
    </xf>
    <xf numFmtId="0" fontId="3" fillId="8" borderId="3" xfId="7" applyFont="1" applyFill="1" applyBorder="1" applyAlignment="1">
      <alignment horizontal="center" vertical="center" wrapText="1"/>
    </xf>
    <xf numFmtId="0" fontId="7" fillId="8" borderId="3" xfId="6" applyFont="1" applyFill="1" applyBorder="1" applyAlignment="1">
      <alignment horizontal="center" vertical="center" wrapText="1"/>
    </xf>
    <xf numFmtId="0" fontId="5" fillId="8" borderId="3" xfId="7" applyFont="1" applyFill="1" applyBorder="1" applyAlignment="1">
      <alignment horizontal="center" vertical="center" wrapText="1"/>
    </xf>
    <xf numFmtId="1" fontId="33" fillId="8" borderId="3" xfId="5" applyNumberFormat="1" applyFont="1" applyFill="1" applyBorder="1" applyAlignment="1">
      <alignment horizontal="center" vertical="center" wrapText="1"/>
    </xf>
    <xf numFmtId="168" fontId="0" fillId="8" borderId="3" xfId="0" applyNumberFormat="1" applyFill="1" applyBorder="1" applyAlignment="1">
      <alignment horizontal="center" vertical="center"/>
    </xf>
    <xf numFmtId="169" fontId="9" fillId="8" borderId="3" xfId="7" applyNumberFormat="1" applyFont="1" applyFill="1" applyBorder="1" applyAlignment="1">
      <alignment horizontal="center" vertical="center" wrapText="1"/>
    </xf>
    <xf numFmtId="0" fontId="6" fillId="8" borderId="3" xfId="6" applyFont="1" applyFill="1" applyBorder="1" applyAlignment="1">
      <alignment horizontal="center" vertical="center" wrapText="1"/>
    </xf>
    <xf numFmtId="0" fontId="2" fillId="8" borderId="3" xfId="7" applyFont="1" applyFill="1" applyBorder="1" applyAlignment="1">
      <alignment horizontal="center" vertical="center" wrapText="1"/>
    </xf>
    <xf numFmtId="0" fontId="4" fillId="8" borderId="3" xfId="7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/>
    </xf>
    <xf numFmtId="0" fontId="46" fillId="8" borderId="3" xfId="0" applyFont="1" applyFill="1" applyBorder="1" applyAlignment="1">
      <alignment horizontal="center" vertical="center"/>
    </xf>
    <xf numFmtId="0" fontId="46" fillId="8" borderId="3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/>
    </xf>
    <xf numFmtId="170" fontId="0" fillId="8" borderId="3" xfId="0" applyNumberFormat="1" applyFill="1" applyBorder="1" applyAlignment="1">
      <alignment horizontal="center" vertical="center"/>
    </xf>
    <xf numFmtId="0" fontId="1" fillId="3" borderId="3" xfId="7" applyFont="1" applyFill="1" applyBorder="1" applyAlignment="1">
      <alignment horizontal="center" vertical="center" wrapText="1"/>
    </xf>
    <xf numFmtId="165" fontId="20" fillId="0" borderId="3" xfId="4" applyBorder="1" applyAlignment="1">
      <alignment wrapText="1"/>
    </xf>
  </cellXfs>
  <cellStyles count="12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  <cellStyle name="Normal 2 2" xfId="10" xr:uid="{00000000-0005-0000-0000-000009000000}"/>
    <cellStyle name="Normal 2 3" xfId="9" xr:uid="{00000000-0005-0000-0000-00000A000000}"/>
    <cellStyle name="Normal 3" xfId="11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7"/>
  <sheetViews>
    <sheetView tabSelected="1" topLeftCell="A13" zoomScale="84" zoomScaleNormal="84" workbookViewId="0">
      <selection activeCell="L32" sqref="L32"/>
    </sheetView>
  </sheetViews>
  <sheetFormatPr baseColWidth="10" defaultColWidth="11" defaultRowHeight="12.75" x14ac:dyDescent="0.2"/>
  <cols>
    <col min="1" max="1" width="9.42578125" style="59" customWidth="1"/>
    <col min="2" max="2" width="18.85546875" style="29" customWidth="1"/>
    <col min="3" max="3" width="24.7109375" style="63" customWidth="1"/>
    <col min="4" max="4" width="12.140625" style="29" customWidth="1"/>
    <col min="5" max="5" width="79" style="70" customWidth="1"/>
    <col min="6" max="6" width="14.5703125" style="29" customWidth="1"/>
    <col min="7" max="7" width="12.7109375" style="59" customWidth="1"/>
    <col min="8" max="8" width="13.85546875" style="53" customWidth="1"/>
    <col min="9" max="9" width="27" style="61" customWidth="1"/>
    <col min="10" max="10" width="22.28515625" style="16" customWidth="1"/>
    <col min="11" max="11" width="0" style="16" hidden="1" customWidth="1"/>
    <col min="12" max="12" width="11.140625" style="16" customWidth="1"/>
    <col min="13" max="13" width="15.85546875" style="16" customWidth="1"/>
    <col min="14" max="14" width="31.5703125" style="16" customWidth="1"/>
    <col min="15" max="16384" width="11" style="16"/>
  </cols>
  <sheetData>
    <row r="2" spans="1:17" ht="27" x14ac:dyDescent="0.35">
      <c r="E2" s="66" t="s">
        <v>0</v>
      </c>
      <c r="F2" s="33"/>
      <c r="G2" s="56"/>
      <c r="I2" s="60"/>
    </row>
    <row r="4" spans="1:17" ht="18" customHeight="1" x14ac:dyDescent="0.25">
      <c r="A4" s="128" t="s">
        <v>1</v>
      </c>
      <c r="B4" s="128"/>
      <c r="C4" s="128"/>
      <c r="D4" s="128"/>
      <c r="E4" s="129" t="s">
        <v>59</v>
      </c>
      <c r="F4" s="129"/>
      <c r="G4" s="129"/>
    </row>
    <row r="5" spans="1:17" ht="18" customHeight="1" x14ac:dyDescent="0.25">
      <c r="A5" s="128" t="s">
        <v>2</v>
      </c>
      <c r="B5" s="128"/>
      <c r="C5" s="128"/>
      <c r="D5" s="128"/>
      <c r="E5" s="129" t="s">
        <v>54</v>
      </c>
      <c r="F5" s="129"/>
      <c r="G5" s="129"/>
    </row>
    <row r="6" spans="1:17" ht="16.5" customHeight="1" x14ac:dyDescent="0.25">
      <c r="A6" s="128" t="s">
        <v>3</v>
      </c>
      <c r="B6" s="128"/>
      <c r="C6" s="128"/>
      <c r="D6" s="128"/>
      <c r="E6" s="67">
        <v>2022</v>
      </c>
      <c r="F6" s="32"/>
      <c r="G6" s="57"/>
    </row>
    <row r="7" spans="1:17" ht="16.5" customHeight="1" x14ac:dyDescent="0.25">
      <c r="A7" s="128" t="s">
        <v>4</v>
      </c>
      <c r="B7" s="128"/>
      <c r="C7" s="128"/>
      <c r="D7" s="128"/>
      <c r="E7" s="67" t="s">
        <v>89</v>
      </c>
      <c r="F7" s="32"/>
      <c r="G7" s="57"/>
    </row>
    <row r="8" spans="1:17" ht="13.5" thickBot="1" x14ac:dyDescent="0.25">
      <c r="E8" s="68"/>
      <c r="F8" s="30"/>
      <c r="G8" s="58"/>
    </row>
    <row r="9" spans="1:17" ht="38.25" x14ac:dyDescent="0.2">
      <c r="A9" s="99" t="s">
        <v>5</v>
      </c>
      <c r="B9" s="100" t="s">
        <v>6</v>
      </c>
      <c r="C9" s="100" t="s">
        <v>52</v>
      </c>
      <c r="D9" s="100" t="s">
        <v>53</v>
      </c>
      <c r="E9" s="101" t="s">
        <v>7</v>
      </c>
      <c r="F9" s="100" t="s">
        <v>8</v>
      </c>
      <c r="G9" s="102" t="s">
        <v>9</v>
      </c>
      <c r="H9" s="54" t="s">
        <v>10</v>
      </c>
      <c r="I9" s="103" t="s">
        <v>11</v>
      </c>
    </row>
    <row r="10" spans="1:17" s="24" customFormat="1" ht="54" customHeight="1" x14ac:dyDescent="0.2">
      <c r="A10" s="180">
        <v>1</v>
      </c>
      <c r="B10" s="181" t="s">
        <v>74</v>
      </c>
      <c r="C10" s="182" t="s">
        <v>72</v>
      </c>
      <c r="D10" s="183">
        <v>252</v>
      </c>
      <c r="E10" s="181" t="s">
        <v>75</v>
      </c>
      <c r="F10" s="184" t="s">
        <v>68</v>
      </c>
      <c r="G10" s="185">
        <v>150</v>
      </c>
      <c r="H10" s="186">
        <v>430</v>
      </c>
      <c r="I10" s="187">
        <f>+H10*G10</f>
        <v>64500</v>
      </c>
      <c r="M10" s="94"/>
      <c r="N10" s="16"/>
      <c r="O10" s="16"/>
      <c r="P10" s="16"/>
      <c r="Q10" s="73"/>
    </row>
    <row r="11" spans="1:17" s="24" customFormat="1" ht="53.25" customHeight="1" x14ac:dyDescent="0.2">
      <c r="A11" s="180">
        <v>2</v>
      </c>
      <c r="B11" s="181" t="s">
        <v>76</v>
      </c>
      <c r="C11" s="182" t="s">
        <v>72</v>
      </c>
      <c r="D11" s="188">
        <v>252</v>
      </c>
      <c r="E11" s="189" t="s">
        <v>77</v>
      </c>
      <c r="F11" s="190" t="s">
        <v>68</v>
      </c>
      <c r="G11" s="185">
        <v>350</v>
      </c>
      <c r="H11" s="186">
        <v>646</v>
      </c>
      <c r="I11" s="187">
        <f t="shared" ref="I11:I17" si="0">+H11*G11</f>
        <v>226100</v>
      </c>
      <c r="M11" s="94"/>
      <c r="N11" s="16"/>
      <c r="O11" s="16"/>
      <c r="P11" s="16"/>
      <c r="Q11" s="73"/>
    </row>
    <row r="12" spans="1:17" s="24" customFormat="1" ht="51.75" customHeight="1" x14ac:dyDescent="0.2">
      <c r="A12" s="180">
        <v>3</v>
      </c>
      <c r="B12" s="181" t="s">
        <v>78</v>
      </c>
      <c r="C12" s="182" t="s">
        <v>73</v>
      </c>
      <c r="D12" s="183">
        <v>251</v>
      </c>
      <c r="E12" s="189" t="s">
        <v>79</v>
      </c>
      <c r="F12" s="190" t="s">
        <v>67</v>
      </c>
      <c r="G12" s="185">
        <v>20</v>
      </c>
      <c r="H12" s="186">
        <v>6243</v>
      </c>
      <c r="I12" s="187">
        <f t="shared" si="0"/>
        <v>124860</v>
      </c>
      <c r="J12" s="197" t="s">
        <v>103</v>
      </c>
      <c r="M12" s="94"/>
      <c r="N12" s="16"/>
      <c r="O12" s="16"/>
      <c r="P12" s="16"/>
      <c r="Q12" s="73"/>
    </row>
    <row r="13" spans="1:17" s="24" customFormat="1" ht="62.25" customHeight="1" x14ac:dyDescent="0.2">
      <c r="A13" s="180">
        <v>4</v>
      </c>
      <c r="B13" s="181" t="s">
        <v>80</v>
      </c>
      <c r="C13" s="182" t="s">
        <v>72</v>
      </c>
      <c r="D13" s="183">
        <v>251</v>
      </c>
      <c r="E13" s="189" t="s">
        <v>81</v>
      </c>
      <c r="F13" s="190" t="s">
        <v>66</v>
      </c>
      <c r="G13" s="185">
        <v>60</v>
      </c>
      <c r="H13" s="186">
        <v>979</v>
      </c>
      <c r="I13" s="187">
        <f t="shared" si="0"/>
        <v>58740</v>
      </c>
      <c r="M13" s="94"/>
      <c r="N13" s="16"/>
      <c r="O13" s="16"/>
      <c r="P13" s="16"/>
      <c r="Q13" s="73"/>
    </row>
    <row r="14" spans="1:17" s="24" customFormat="1" ht="57" customHeight="1" x14ac:dyDescent="0.2">
      <c r="A14" s="180">
        <v>5</v>
      </c>
      <c r="B14" s="181" t="s">
        <v>82</v>
      </c>
      <c r="C14" s="182" t="s">
        <v>73</v>
      </c>
      <c r="D14" s="183">
        <v>251</v>
      </c>
      <c r="E14" s="189" t="s">
        <v>83</v>
      </c>
      <c r="F14" s="190" t="s">
        <v>67</v>
      </c>
      <c r="G14" s="185">
        <v>20</v>
      </c>
      <c r="H14" s="186">
        <v>1680</v>
      </c>
      <c r="I14" s="187">
        <f t="shared" si="0"/>
        <v>33600</v>
      </c>
      <c r="M14" s="94"/>
      <c r="N14" s="16"/>
      <c r="O14" s="16"/>
      <c r="P14" s="16"/>
      <c r="Q14" s="73"/>
    </row>
    <row r="15" spans="1:17" s="24" customFormat="1" ht="50.25" customHeight="1" x14ac:dyDescent="0.2">
      <c r="A15" s="104">
        <v>6</v>
      </c>
      <c r="B15" s="31" t="s">
        <v>84</v>
      </c>
      <c r="C15" s="92" t="s">
        <v>85</v>
      </c>
      <c r="D15" s="105">
        <v>251</v>
      </c>
      <c r="E15" s="116" t="s">
        <v>86</v>
      </c>
      <c r="F15" s="91" t="s">
        <v>69</v>
      </c>
      <c r="G15" s="71">
        <v>50</v>
      </c>
      <c r="H15" s="115">
        <v>199.65</v>
      </c>
      <c r="I15" s="72">
        <f t="shared" si="0"/>
        <v>9982.5</v>
      </c>
      <c r="J15" s="196" t="s">
        <v>102</v>
      </c>
      <c r="M15" s="94"/>
      <c r="N15" s="16"/>
      <c r="O15" s="16"/>
      <c r="P15" s="16"/>
      <c r="Q15" s="73"/>
    </row>
    <row r="16" spans="1:17" ht="48" customHeight="1" x14ac:dyDescent="0.2">
      <c r="A16" s="191">
        <v>7</v>
      </c>
      <c r="B16" s="192" t="s">
        <v>92</v>
      </c>
      <c r="C16" s="182" t="s">
        <v>72</v>
      </c>
      <c r="D16" s="191">
        <v>252</v>
      </c>
      <c r="E16" s="193" t="s">
        <v>87</v>
      </c>
      <c r="F16" s="191" t="s">
        <v>67</v>
      </c>
      <c r="G16" s="194">
        <v>30</v>
      </c>
      <c r="H16" s="195">
        <v>3200</v>
      </c>
      <c r="I16" s="187">
        <f t="shared" si="0"/>
        <v>96000</v>
      </c>
      <c r="J16" s="24"/>
      <c r="L16" s="24"/>
    </row>
    <row r="17" spans="1:12" ht="71.25" x14ac:dyDescent="0.2">
      <c r="A17" s="191">
        <v>8</v>
      </c>
      <c r="B17" s="192" t="s">
        <v>93</v>
      </c>
      <c r="C17" s="182" t="s">
        <v>72</v>
      </c>
      <c r="D17" s="191">
        <v>252</v>
      </c>
      <c r="E17" s="193" t="s">
        <v>88</v>
      </c>
      <c r="F17" s="191" t="s">
        <v>67</v>
      </c>
      <c r="G17" s="194">
        <v>30</v>
      </c>
      <c r="H17" s="195">
        <v>4980</v>
      </c>
      <c r="I17" s="187">
        <f t="shared" si="0"/>
        <v>149400</v>
      </c>
      <c r="J17" s="197" t="s">
        <v>104</v>
      </c>
      <c r="L17" s="24"/>
    </row>
    <row r="18" spans="1:12" ht="14.25" x14ac:dyDescent="0.2">
      <c r="A18" s="34"/>
      <c r="B18" s="96"/>
      <c r="D18" s="16"/>
      <c r="E18" s="97"/>
      <c r="F18" s="98"/>
      <c r="I18" s="62"/>
    </row>
    <row r="19" spans="1:12" ht="14.25" x14ac:dyDescent="0.2">
      <c r="A19" s="34"/>
      <c r="B19" s="96"/>
      <c r="D19" s="16"/>
      <c r="E19" s="97"/>
      <c r="F19" s="98"/>
      <c r="I19" s="62"/>
      <c r="J19" s="106"/>
    </row>
    <row r="20" spans="1:12" ht="12.75" customHeight="1" x14ac:dyDescent="0.2">
      <c r="A20" s="75"/>
      <c r="B20" s="55"/>
      <c r="C20" s="64"/>
      <c r="D20" s="65"/>
      <c r="E20" s="69"/>
      <c r="F20" s="16"/>
      <c r="G20" s="107"/>
      <c r="H20" s="16"/>
      <c r="I20" s="16"/>
    </row>
    <row r="21" spans="1:12" ht="15" customHeight="1" x14ac:dyDescent="0.2">
      <c r="B21" s="112"/>
      <c r="C21" s="113"/>
      <c r="D21" s="65"/>
      <c r="E21" s="69"/>
      <c r="I21" s="62"/>
    </row>
    <row r="22" spans="1:12" x14ac:dyDescent="0.2">
      <c r="B22" s="35"/>
      <c r="C22" s="76"/>
      <c r="D22" s="77"/>
      <c r="E22" s="82"/>
      <c r="I22" s="62"/>
    </row>
    <row r="23" spans="1:12" x14ac:dyDescent="0.2">
      <c r="B23" s="35"/>
      <c r="C23" s="76"/>
      <c r="D23" s="77"/>
      <c r="E23" s="82"/>
      <c r="I23" s="62"/>
    </row>
    <row r="24" spans="1:12" x14ac:dyDescent="0.2">
      <c r="B24" s="108" t="s">
        <v>99</v>
      </c>
      <c r="C24" s="109"/>
      <c r="D24" s="78"/>
      <c r="E24" s="79"/>
      <c r="I24" s="62"/>
    </row>
    <row r="25" spans="1:12" x14ac:dyDescent="0.2">
      <c r="B25" s="80"/>
      <c r="C25" s="64"/>
      <c r="D25" s="65"/>
      <c r="E25" s="81"/>
      <c r="I25" s="62"/>
    </row>
    <row r="26" spans="1:12" ht="12.75" customHeight="1" x14ac:dyDescent="0.2">
      <c r="B26" s="110" t="s">
        <v>55</v>
      </c>
      <c r="C26" s="117" t="s">
        <v>98</v>
      </c>
      <c r="D26" s="117"/>
      <c r="E26" s="118"/>
      <c r="I26" s="62"/>
    </row>
    <row r="27" spans="1:12" x14ac:dyDescent="0.2">
      <c r="B27" s="35"/>
      <c r="C27" s="121"/>
      <c r="D27" s="121"/>
      <c r="E27" s="122"/>
      <c r="I27" s="62"/>
    </row>
    <row r="28" spans="1:12" ht="12.75" customHeight="1" x14ac:dyDescent="0.2">
      <c r="B28" s="110" t="s">
        <v>61</v>
      </c>
      <c r="C28" s="123" t="s">
        <v>95</v>
      </c>
      <c r="D28" s="123"/>
      <c r="E28" s="124"/>
      <c r="I28" s="62"/>
    </row>
    <row r="29" spans="1:12" x14ac:dyDescent="0.2">
      <c r="B29" s="125"/>
      <c r="C29" s="126"/>
      <c r="D29" s="126"/>
      <c r="E29" s="127"/>
      <c r="I29" s="62"/>
    </row>
    <row r="30" spans="1:12" ht="12.75" customHeight="1" x14ac:dyDescent="0.2">
      <c r="B30" s="110" t="s">
        <v>62</v>
      </c>
      <c r="C30" s="123" t="s">
        <v>63</v>
      </c>
      <c r="D30" s="123"/>
      <c r="E30" s="124"/>
      <c r="I30" s="62"/>
    </row>
    <row r="31" spans="1:12" x14ac:dyDescent="0.2">
      <c r="B31" s="80"/>
      <c r="C31" s="76"/>
      <c r="D31" s="77"/>
      <c r="E31" s="82"/>
      <c r="I31" s="62"/>
    </row>
    <row r="32" spans="1:12" ht="25.5" x14ac:dyDescent="0.2">
      <c r="B32" s="111" t="s">
        <v>56</v>
      </c>
      <c r="C32" s="123"/>
      <c r="D32" s="123"/>
      <c r="E32" s="124"/>
      <c r="I32" s="62"/>
    </row>
    <row r="33" spans="2:9" x14ac:dyDescent="0.2">
      <c r="B33" s="80"/>
      <c r="C33" s="76"/>
      <c r="D33" s="76"/>
      <c r="E33" s="83"/>
      <c r="I33" s="62"/>
    </row>
    <row r="34" spans="2:9" x14ac:dyDescent="0.2">
      <c r="B34" s="110" t="s">
        <v>57</v>
      </c>
      <c r="C34" s="95"/>
      <c r="D34" s="119" t="s">
        <v>94</v>
      </c>
      <c r="E34" s="120"/>
      <c r="I34" s="62"/>
    </row>
    <row r="35" spans="2:9" x14ac:dyDescent="0.2">
      <c r="B35" s="80"/>
      <c r="C35" s="76"/>
      <c r="D35" s="76"/>
      <c r="E35" s="83"/>
      <c r="I35" s="62"/>
    </row>
    <row r="36" spans="2:9" x14ac:dyDescent="0.2">
      <c r="B36" s="110" t="s">
        <v>58</v>
      </c>
      <c r="C36" s="64"/>
      <c r="D36" s="65"/>
      <c r="E36" s="81"/>
      <c r="I36" s="62"/>
    </row>
    <row r="37" spans="2:9" x14ac:dyDescent="0.2">
      <c r="B37" s="114"/>
      <c r="C37" s="84"/>
      <c r="D37" s="85"/>
      <c r="E37" s="86"/>
      <c r="I37" s="62"/>
    </row>
    <row r="38" spans="2:9" x14ac:dyDescent="0.2">
      <c r="I38" s="62"/>
    </row>
    <row r="39" spans="2:9" x14ac:dyDescent="0.2">
      <c r="I39" s="62"/>
    </row>
    <row r="40" spans="2:9" x14ac:dyDescent="0.2">
      <c r="I40" s="62"/>
    </row>
    <row r="41" spans="2:9" x14ac:dyDescent="0.2">
      <c r="I41" s="62"/>
    </row>
    <row r="42" spans="2:9" x14ac:dyDescent="0.2">
      <c r="I42" s="62"/>
    </row>
    <row r="43" spans="2:9" x14ac:dyDescent="0.2">
      <c r="I43" s="62"/>
    </row>
    <row r="44" spans="2:9" x14ac:dyDescent="0.2">
      <c r="I44" s="62"/>
    </row>
    <row r="45" spans="2:9" x14ac:dyDescent="0.2">
      <c r="I45" s="62"/>
    </row>
    <row r="46" spans="2:9" x14ac:dyDescent="0.2">
      <c r="I46" s="62"/>
    </row>
    <row r="47" spans="2:9" x14ac:dyDescent="0.2">
      <c r="I47" s="62"/>
    </row>
    <row r="48" spans="2:9" x14ac:dyDescent="0.2">
      <c r="I48" s="62"/>
    </row>
    <row r="49" spans="9:9" x14ac:dyDescent="0.2">
      <c r="I49" s="62"/>
    </row>
    <row r="50" spans="9:9" x14ac:dyDescent="0.2">
      <c r="I50" s="62"/>
    </row>
    <row r="51" spans="9:9" x14ac:dyDescent="0.2">
      <c r="I51" s="62"/>
    </row>
    <row r="52" spans="9:9" x14ac:dyDescent="0.2">
      <c r="I52" s="62"/>
    </row>
    <row r="53" spans="9:9" x14ac:dyDescent="0.2">
      <c r="I53" s="62"/>
    </row>
    <row r="54" spans="9:9" x14ac:dyDescent="0.2">
      <c r="I54" s="62"/>
    </row>
    <row r="55" spans="9:9" x14ac:dyDescent="0.2">
      <c r="I55" s="62"/>
    </row>
    <row r="56" spans="9:9" x14ac:dyDescent="0.2">
      <c r="I56" s="62"/>
    </row>
    <row r="57" spans="9:9" x14ac:dyDescent="0.2">
      <c r="I57" s="62"/>
    </row>
    <row r="58" spans="9:9" x14ac:dyDescent="0.2">
      <c r="I58" s="62"/>
    </row>
    <row r="59" spans="9:9" x14ac:dyDescent="0.2">
      <c r="I59" s="62"/>
    </row>
    <row r="60" spans="9:9" x14ac:dyDescent="0.2">
      <c r="I60" s="62"/>
    </row>
    <row r="61" spans="9:9" x14ac:dyDescent="0.2">
      <c r="I61" s="62"/>
    </row>
    <row r="62" spans="9:9" x14ac:dyDescent="0.2">
      <c r="I62" s="62"/>
    </row>
    <row r="63" spans="9:9" x14ac:dyDescent="0.2">
      <c r="I63" s="62"/>
    </row>
    <row r="64" spans="9:9" x14ac:dyDescent="0.2">
      <c r="I64" s="62"/>
    </row>
    <row r="65" spans="9:9" x14ac:dyDescent="0.2">
      <c r="I65" s="62"/>
    </row>
    <row r="66" spans="9:9" x14ac:dyDescent="0.2">
      <c r="I66" s="62"/>
    </row>
    <row r="67" spans="9:9" x14ac:dyDescent="0.2">
      <c r="I67" s="62"/>
    </row>
  </sheetData>
  <autoFilter ref="A9:I17" xr:uid="{00000000-0001-0000-0000-000000000000}"/>
  <mergeCells count="13">
    <mergeCell ref="A4:D4"/>
    <mergeCell ref="A5:D5"/>
    <mergeCell ref="A6:D6"/>
    <mergeCell ref="A7:D7"/>
    <mergeCell ref="E4:G4"/>
    <mergeCell ref="E5:G5"/>
    <mergeCell ref="C26:E26"/>
    <mergeCell ref="D34:E34"/>
    <mergeCell ref="C27:E27"/>
    <mergeCell ref="C28:E28"/>
    <mergeCell ref="B29:E29"/>
    <mergeCell ref="C30:E30"/>
    <mergeCell ref="C32:E32"/>
  </mergeCells>
  <phoneticPr fontId="26" type="noConversion"/>
  <pageMargins left="0.7" right="0.7" top="0.75" bottom="0.75" header="0.51180555555555496" footer="0.51180555555555496"/>
  <pageSetup paperSize="9" scale="64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27"/>
  <sheetViews>
    <sheetView zoomScale="68" zoomScaleNormal="68" workbookViewId="0">
      <selection activeCell="O11" sqref="O11"/>
    </sheetView>
  </sheetViews>
  <sheetFormatPr baseColWidth="10" defaultColWidth="9.140625" defaultRowHeight="12.75" x14ac:dyDescent="0.2"/>
  <cols>
    <col min="1" max="1" width="13.140625" style="45" customWidth="1"/>
    <col min="2" max="2" width="19.5703125" style="45" customWidth="1"/>
    <col min="3" max="3" width="14.140625" style="45" customWidth="1"/>
    <col min="4" max="4" width="26" style="45" customWidth="1"/>
    <col min="5" max="5" width="8" style="45" customWidth="1"/>
    <col min="6" max="6" width="7.85546875" style="45" customWidth="1"/>
    <col min="7" max="7" width="42" style="45" customWidth="1"/>
    <col min="8" max="8" width="9.28515625" style="45" customWidth="1"/>
    <col min="9" max="9" width="15.5703125" style="45" customWidth="1"/>
    <col min="10" max="10" width="20.42578125" style="45" customWidth="1"/>
    <col min="11" max="11" width="30.42578125" style="52" customWidth="1"/>
    <col min="12" max="12" width="9.140625" style="1"/>
    <col min="13" max="13" width="0" style="1" hidden="1" customWidth="1"/>
    <col min="14" max="14" width="14" style="1" customWidth="1"/>
    <col min="15" max="15" width="11.7109375" style="1" bestFit="1" customWidth="1"/>
    <col min="16" max="1013" width="9.140625" style="1"/>
  </cols>
  <sheetData>
    <row r="1" spans="1:1013" ht="18" customHeight="1" x14ac:dyDescent="0.2">
      <c r="A1" s="139" t="s">
        <v>12</v>
      </c>
      <c r="B1" s="139"/>
      <c r="C1" s="139"/>
      <c r="D1" s="139"/>
      <c r="E1" s="139"/>
      <c r="F1" s="139"/>
      <c r="G1" s="139"/>
      <c r="H1" s="139"/>
      <c r="I1" s="139"/>
      <c r="J1" s="36"/>
      <c r="K1" s="93" t="s">
        <v>91</v>
      </c>
    </row>
    <row r="2" spans="1:1013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49"/>
    </row>
    <row r="3" spans="1:1013" ht="18.75" customHeight="1" thickBot="1" x14ac:dyDescent="0.25">
      <c r="A3" s="140" t="s">
        <v>13</v>
      </c>
      <c r="B3" s="140"/>
      <c r="C3" s="140"/>
      <c r="D3" s="141" t="s">
        <v>60</v>
      </c>
      <c r="E3" s="141"/>
      <c r="F3" s="141"/>
      <c r="G3" s="141"/>
      <c r="H3" s="141"/>
      <c r="I3" s="141"/>
      <c r="J3" s="141"/>
      <c r="K3" s="141"/>
    </row>
    <row r="4" spans="1:1013" ht="18.75" customHeight="1" thickBot="1" x14ac:dyDescent="0.25">
      <c r="A4" s="142" t="s">
        <v>14</v>
      </c>
      <c r="B4" s="142"/>
      <c r="C4" s="142"/>
      <c r="D4" s="141" t="s">
        <v>54</v>
      </c>
      <c r="E4" s="141"/>
      <c r="F4" s="141"/>
      <c r="G4" s="141"/>
      <c r="H4" s="141"/>
      <c r="I4" s="141"/>
      <c r="J4" s="141"/>
      <c r="K4" s="141"/>
    </row>
    <row r="5" spans="1:1013" ht="18.75" customHeight="1" thickBot="1" x14ac:dyDescent="0.25">
      <c r="A5" s="142" t="s">
        <v>15</v>
      </c>
      <c r="B5" s="142"/>
      <c r="C5" s="142"/>
      <c r="D5" s="141" t="s">
        <v>50</v>
      </c>
      <c r="E5" s="141"/>
      <c r="F5" s="141"/>
      <c r="G5" s="141"/>
      <c r="H5" s="141"/>
      <c r="I5" s="141"/>
      <c r="J5" s="141"/>
      <c r="K5" s="141"/>
    </row>
    <row r="6" spans="1:1013" ht="16.5" customHeight="1" thickBot="1" x14ac:dyDescent="0.25">
      <c r="A6" s="140" t="s">
        <v>16</v>
      </c>
      <c r="B6" s="140"/>
      <c r="C6" s="140"/>
      <c r="D6" s="141" t="s">
        <v>64</v>
      </c>
      <c r="E6" s="141"/>
      <c r="F6" s="141"/>
      <c r="G6" s="141"/>
      <c r="H6" s="141"/>
      <c r="I6" s="141"/>
      <c r="J6" s="141"/>
      <c r="K6" s="141"/>
    </row>
    <row r="7" spans="1:1013" ht="16.5" customHeight="1" thickBot="1" x14ac:dyDescent="0.25">
      <c r="A7" s="142" t="s">
        <v>17</v>
      </c>
      <c r="B7" s="142"/>
      <c r="C7" s="142"/>
      <c r="D7" s="141" t="s">
        <v>65</v>
      </c>
      <c r="E7" s="141"/>
      <c r="F7" s="141"/>
      <c r="G7" s="141"/>
      <c r="H7" s="141"/>
      <c r="I7" s="141"/>
      <c r="J7" s="141"/>
      <c r="K7" s="141"/>
    </row>
    <row r="8" spans="1:1013" ht="44.25" customHeight="1" thickBot="1" x14ac:dyDescent="0.25">
      <c r="A8" s="130" t="s">
        <v>18</v>
      </c>
      <c r="B8" s="130"/>
      <c r="C8" s="130"/>
      <c r="D8" s="131" t="s">
        <v>90</v>
      </c>
      <c r="E8" s="131"/>
      <c r="F8" s="131"/>
      <c r="G8" s="131"/>
      <c r="H8" s="131"/>
      <c r="I8" s="131"/>
      <c r="J8" s="131"/>
      <c r="K8" s="131"/>
    </row>
    <row r="9" spans="1:1013" ht="16.5" thickBot="1" x14ac:dyDescent="0.25">
      <c r="A9" s="39"/>
      <c r="B9" s="39"/>
      <c r="C9" s="39"/>
      <c r="D9" s="40"/>
      <c r="E9" s="40"/>
      <c r="F9" s="40"/>
      <c r="G9" s="40"/>
      <c r="H9" s="40"/>
      <c r="I9" s="40"/>
      <c r="J9" s="40"/>
      <c r="K9" s="50"/>
    </row>
    <row r="10" spans="1:1013" ht="18.75" customHeight="1" thickBot="1" x14ac:dyDescent="0.25">
      <c r="A10" s="137" t="s">
        <v>19</v>
      </c>
      <c r="B10" s="133" t="s">
        <v>20</v>
      </c>
      <c r="C10" s="133" t="s">
        <v>21</v>
      </c>
      <c r="D10" s="133"/>
      <c r="E10" s="133"/>
      <c r="F10" s="133"/>
      <c r="G10" s="133"/>
      <c r="H10" s="133" t="s">
        <v>22</v>
      </c>
      <c r="I10" s="133" t="s">
        <v>23</v>
      </c>
      <c r="J10" s="133" t="s">
        <v>24</v>
      </c>
      <c r="K10" s="135" t="s">
        <v>25</v>
      </c>
    </row>
    <row r="11" spans="1:1013" ht="24" customHeight="1" thickBot="1" x14ac:dyDescent="0.25">
      <c r="A11" s="138"/>
      <c r="B11" s="134"/>
      <c r="C11" s="134"/>
      <c r="D11" s="134"/>
      <c r="E11" s="134"/>
      <c r="F11" s="134"/>
      <c r="G11" s="134"/>
      <c r="H11" s="134"/>
      <c r="I11" s="134"/>
      <c r="J11" s="134"/>
      <c r="K11" s="136"/>
      <c r="ALW11"/>
      <c r="ALX11"/>
      <c r="ALY11"/>
    </row>
    <row r="12" spans="1:1013" ht="50.1" customHeight="1" thickBot="1" x14ac:dyDescent="0.3">
      <c r="A12" s="41">
        <f>+'Necesidades Trimestrales'!A10</f>
        <v>1</v>
      </c>
      <c r="B12" s="44" t="str">
        <f>+'Necesidades Trimestrales'!B10</f>
        <v>2.5.2-1723.172</v>
      </c>
      <c r="C12" s="132" t="str">
        <f>+'Necesidades Trimestrales'!E10</f>
        <v>ANTISEPTICOS LOCALES P/PERSONA; TIPO: MONODROGA, DROGA GENERICA: CLORHEXIDINA AL 2%, FORMA FARMACEUTICA: SOLUCION ACUOSA, PRESENTACION: ENVASE X 250 ML</v>
      </c>
      <c r="D12" s="132"/>
      <c r="E12" s="132"/>
      <c r="F12" s="132"/>
      <c r="G12" s="132"/>
      <c r="H12" s="42" t="s">
        <v>26</v>
      </c>
      <c r="I12" s="43" t="str">
        <f>+'Necesidades Trimestrales'!F10</f>
        <v>FRASCO</v>
      </c>
      <c r="J12" s="48">
        <f>+'Necesidades Trimestrales'!H10</f>
        <v>430</v>
      </c>
      <c r="K12" s="51">
        <f>+'Necesidades Trimestrales'!G10</f>
        <v>150</v>
      </c>
      <c r="N12" s="74"/>
    </row>
    <row r="13" spans="1:1013" ht="50.1" customHeight="1" thickBot="1" x14ac:dyDescent="0.3">
      <c r="A13" s="41">
        <f>+'Necesidades Trimestrales'!A11</f>
        <v>2</v>
      </c>
      <c r="B13" s="44" t="str">
        <f>+'Necesidades Trimestrales'!B11</f>
        <v>2.5.2-1723.166</v>
      </c>
      <c r="C13" s="132" t="str">
        <f>+'Necesidades Trimestrales'!E11</f>
        <v>ANTISEPTICOS LOCALES P/PERSONA; TIPO: MONODROGA, DROGA GENERICA: CLORHEXIDINA AL 4%, FORMA FARMACEUTICA: JABON MEDICINAL, PRESENTACION: ENVASE X 500 mL</v>
      </c>
      <c r="D13" s="132"/>
      <c r="E13" s="132"/>
      <c r="F13" s="132"/>
      <c r="G13" s="132"/>
      <c r="H13" s="42" t="s">
        <v>26</v>
      </c>
      <c r="I13" s="43" t="str">
        <f>+'Necesidades Trimestrales'!F11</f>
        <v>FRASCO</v>
      </c>
      <c r="J13" s="48">
        <f>+'Necesidades Trimestrales'!H11</f>
        <v>646</v>
      </c>
      <c r="K13" s="51">
        <f>+'Necesidades Trimestrales'!G11</f>
        <v>350</v>
      </c>
      <c r="N13" s="74"/>
    </row>
    <row r="14" spans="1:1013" ht="50.1" customHeight="1" thickBot="1" x14ac:dyDescent="0.3">
      <c r="A14" s="41">
        <f>+'Necesidades Trimestrales'!A12</f>
        <v>3</v>
      </c>
      <c r="B14" s="44" t="str">
        <f>+'Necesidades Trimestrales'!B12</f>
        <v>2.5.1-9065.16</v>
      </c>
      <c r="C14" s="132" t="str">
        <f>+'Necesidades Trimestrales'!E12</f>
        <v>DESINFECTANTES Y DETERGENTES; PRINCIPIO ACTIVO: AMILASA, PROTEASA, LIPASA, CALIDAD: COMERCIAL, CONCENTRACION/PUREZA: 100 %, PRESENTACION: ENVASE X 5 L</v>
      </c>
      <c r="D14" s="132"/>
      <c r="E14" s="132"/>
      <c r="F14" s="132"/>
      <c r="G14" s="132"/>
      <c r="H14" s="42" t="s">
        <v>26</v>
      </c>
      <c r="I14" s="43" t="str">
        <f>+'Necesidades Trimestrales'!F12</f>
        <v>BIDON</v>
      </c>
      <c r="J14" s="48">
        <f>+'Necesidades Trimestrales'!H12</f>
        <v>6243</v>
      </c>
      <c r="K14" s="51">
        <f>+'Necesidades Trimestrales'!G12</f>
        <v>20</v>
      </c>
      <c r="N14" s="74"/>
    </row>
    <row r="15" spans="1:1013" ht="50.1" customHeight="1" thickBot="1" x14ac:dyDescent="0.3">
      <c r="A15" s="41">
        <f>+'Necesidades Trimestrales'!A13</f>
        <v>4</v>
      </c>
      <c r="B15" s="44" t="str">
        <f>+'Necesidades Trimestrales'!B13</f>
        <v>2.5.2-1726.492</v>
      </c>
      <c r="C15" s="132" t="str">
        <f>+'Necesidades Trimestrales'!E13</f>
        <v>SOLUCIONES P/MEDICINA; TIPO: FORMOL AL 40 %, PRESENTACION: ENVASE X 1 L</v>
      </c>
      <c r="D15" s="132"/>
      <c r="E15" s="132"/>
      <c r="F15" s="132"/>
      <c r="G15" s="132"/>
      <c r="H15" s="42" t="s">
        <v>26</v>
      </c>
      <c r="I15" s="43" t="str">
        <f>+'Necesidades Trimestrales'!F13</f>
        <v>BOTELLA</v>
      </c>
      <c r="J15" s="48">
        <f>+'Necesidades Trimestrales'!H13</f>
        <v>979</v>
      </c>
      <c r="K15" s="51">
        <f>+'Necesidades Trimestrales'!G13</f>
        <v>60</v>
      </c>
      <c r="N15" s="74"/>
    </row>
    <row r="16" spans="1:1013" ht="58.5" customHeight="1" thickBot="1" x14ac:dyDescent="0.3">
      <c r="A16" s="41">
        <f>+'Necesidades Trimestrales'!A14</f>
        <v>5</v>
      </c>
      <c r="B16" s="44" t="str">
        <f>+'Necesidades Trimestrales'!B14</f>
        <v>2.5.1-9065.53</v>
      </c>
      <c r="C16" s="132" t="str">
        <f>+'Necesidades Trimestrales'!E14</f>
        <v>DESINFECTANTES Y DETERGENTES; PRINCIPIO ACTIVO: GLUTARALDEHIDO CON SULFACTANTE, CALIDAD: BIOLOGIA MOLECULAR, CONCENTRACION/PUREZA: 2 %, PRESENTACION: ENVASE X 4 L</v>
      </c>
      <c r="D16" s="132"/>
      <c r="E16" s="132"/>
      <c r="F16" s="132"/>
      <c r="G16" s="132"/>
      <c r="H16" s="42" t="s">
        <v>26</v>
      </c>
      <c r="I16" s="43" t="str">
        <f>+'Necesidades Trimestrales'!F14</f>
        <v>BIDON</v>
      </c>
      <c r="J16" s="48">
        <f>+'Necesidades Trimestrales'!H14</f>
        <v>1680</v>
      </c>
      <c r="K16" s="51">
        <f>+'Necesidades Trimestrales'!G14</f>
        <v>20</v>
      </c>
      <c r="N16" s="74"/>
    </row>
    <row r="17" spans="1:14" ht="50.1" customHeight="1" thickBot="1" x14ac:dyDescent="0.3">
      <c r="A17" s="41">
        <f>+'Necesidades Trimestrales'!A15</f>
        <v>6</v>
      </c>
      <c r="B17" s="44" t="str">
        <f>+'Necesidades Trimestrales'!B15</f>
        <v>2.5.4-505.99</v>
      </c>
      <c r="C17" s="132" t="str">
        <f>+'Necesidades Trimestrales'!E15</f>
        <v>DESINFECTANTES; PRINCIPIO ACTIVO: MONOPERSUFATO DE POTASIO, CONTROL: BACTERIAS, HONGOS, VIRUS, PRESENTACION: ENVASE X 20 G</v>
      </c>
      <c r="D17" s="132"/>
      <c r="E17" s="132"/>
      <c r="F17" s="132"/>
      <c r="G17" s="132"/>
      <c r="H17" s="42" t="s">
        <v>26</v>
      </c>
      <c r="I17" s="43" t="str">
        <f>+'Necesidades Trimestrales'!F15</f>
        <v>SOBRE</v>
      </c>
      <c r="J17" s="48">
        <f>+'Necesidades Trimestrales'!H15</f>
        <v>199.65</v>
      </c>
      <c r="K17" s="51">
        <f>+'Necesidades Trimestrales'!G15</f>
        <v>50</v>
      </c>
      <c r="N17" s="74"/>
    </row>
    <row r="18" spans="1:14" ht="57" customHeight="1" thickBot="1" x14ac:dyDescent="0.3">
      <c r="A18" s="41">
        <f>+'Necesidades Trimestrales'!A16</f>
        <v>7</v>
      </c>
      <c r="B18" s="44" t="str">
        <f>+'Necesidades Trimestrales'!B16</f>
        <v>2.5.2-1723.30</v>
      </c>
      <c r="C18" s="132" t="str">
        <f>+'Necesidades Trimestrales'!E16</f>
        <v>ANTISEPTICOS LOCALES P/PERSONA; TIPO: MONODROGA, DROGA
GENERICA: IODOPOVIDONA, FORMA FARMACEUTICA: SOLUCION,
PRESENTACION: BIDON X 5 L</v>
      </c>
      <c r="D18" s="132"/>
      <c r="E18" s="132"/>
      <c r="F18" s="132"/>
      <c r="G18" s="132"/>
      <c r="H18" s="42" t="s">
        <v>26</v>
      </c>
      <c r="I18" s="43" t="str">
        <f>+'Necesidades Trimestrales'!F16</f>
        <v>BIDON</v>
      </c>
      <c r="J18" s="48">
        <f>+'Necesidades Trimestrales'!H16</f>
        <v>3200</v>
      </c>
      <c r="K18" s="51">
        <f>+'Necesidades Trimestrales'!G16</f>
        <v>30</v>
      </c>
      <c r="N18" s="74"/>
    </row>
    <row r="19" spans="1:14" ht="56.25" customHeight="1" x14ac:dyDescent="0.25">
      <c r="A19" s="41">
        <f>+'Necesidades Trimestrales'!A17</f>
        <v>8</v>
      </c>
      <c r="B19" s="44" t="str">
        <f>+'Necesidades Trimestrales'!B17</f>
        <v>2.5.2-1723.69</v>
      </c>
      <c r="C19" s="132" t="str">
        <f>+'Necesidades Trimestrales'!E17</f>
        <v>ANTISEPTICOS LOCALES P/PERSONA; TIPO: MONODROGA, DROGA GENERICA:
CLOROXILENOL, FORMA FARMACEUTICA: SOLUCION, PRESENTACION: ENVASE
X 5 L</v>
      </c>
      <c r="D19" s="132"/>
      <c r="E19" s="132"/>
      <c r="F19" s="132"/>
      <c r="G19" s="132"/>
      <c r="H19" s="42" t="s">
        <v>96</v>
      </c>
      <c r="I19" s="43" t="str">
        <f>+'Necesidades Trimestrales'!F17</f>
        <v>BIDON</v>
      </c>
      <c r="J19" s="48">
        <f>+'Necesidades Trimestrales'!H17</f>
        <v>4980</v>
      </c>
      <c r="K19" s="51">
        <f>+'Necesidades Trimestrales'!G17</f>
        <v>30</v>
      </c>
      <c r="N19" s="74"/>
    </row>
    <row r="20" spans="1:14" ht="41.25" customHeight="1" thickBot="1" x14ac:dyDescent="0.25">
      <c r="A20" s="145" t="s">
        <v>100</v>
      </c>
      <c r="B20" s="145"/>
      <c r="C20" s="145"/>
      <c r="D20" s="145"/>
      <c r="E20" s="145"/>
      <c r="F20" s="145"/>
      <c r="G20" s="145"/>
      <c r="H20" s="145"/>
      <c r="I20" s="146"/>
      <c r="J20" s="147">
        <f>SUMPRODUCT(J12:J19,K12:K19)</f>
        <v>763182.5</v>
      </c>
      <c r="K20" s="147"/>
      <c r="N20" s="74"/>
    </row>
    <row r="23" spans="1:14" x14ac:dyDescent="0.2">
      <c r="J23" s="143"/>
      <c r="K23" s="144"/>
    </row>
    <row r="24" spans="1:14" ht="15" x14ac:dyDescent="0.2">
      <c r="D24" s="46"/>
      <c r="E24" s="46"/>
      <c r="F24" s="46"/>
      <c r="G24" s="46"/>
      <c r="H24" s="46"/>
      <c r="I24" s="46"/>
    </row>
    <row r="25" spans="1:14" ht="15" x14ac:dyDescent="0.2">
      <c r="D25" s="46"/>
      <c r="E25" s="46"/>
      <c r="F25" s="46"/>
      <c r="G25" s="46"/>
      <c r="H25" s="46"/>
      <c r="I25" s="46"/>
    </row>
    <row r="26" spans="1:14" ht="15" x14ac:dyDescent="0.2">
      <c r="D26" s="46"/>
      <c r="E26" s="46"/>
      <c r="F26" s="46"/>
      <c r="G26" s="46"/>
      <c r="H26" s="46"/>
      <c r="I26" s="46"/>
    </row>
    <row r="27" spans="1:14" ht="15.75" x14ac:dyDescent="0.2">
      <c r="D27" s="47"/>
      <c r="E27" s="46"/>
      <c r="F27" s="46"/>
      <c r="G27" s="46"/>
      <c r="H27" s="46"/>
      <c r="I27" s="46"/>
    </row>
  </sheetData>
  <mergeCells count="31">
    <mergeCell ref="C16:G16"/>
    <mergeCell ref="C17:G17"/>
    <mergeCell ref="J23:K23"/>
    <mergeCell ref="A20:I20"/>
    <mergeCell ref="J20:K20"/>
    <mergeCell ref="C18:G18"/>
    <mergeCell ref="C19:G1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C14:G14"/>
    <mergeCell ref="C15:G15"/>
    <mergeCell ref="C13:G13"/>
    <mergeCell ref="B10:B11"/>
    <mergeCell ref="C10:G11"/>
    <mergeCell ref="H10:H11"/>
    <mergeCell ref="I10:I11"/>
    <mergeCell ref="C12:G12"/>
    <mergeCell ref="J10:J11"/>
    <mergeCell ref="K10:K11"/>
    <mergeCell ref="A10:A11"/>
  </mergeCells>
  <phoneticPr fontId="41" type="noConversion"/>
  <printOptions horizontalCentered="1"/>
  <pageMargins left="0.196527777777778" right="0.196527777777778" top="0.98402777777777795" bottom="0.98402777777777795" header="0.51180555555555496" footer="0.51180555555555496"/>
  <pageSetup paperSize="9" scale="71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13" workbookViewId="0">
      <selection activeCell="T24" sqref="T2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8" ht="15.75" customHeight="1" thickBot="1" x14ac:dyDescent="0.3">
      <c r="A1" s="156" t="s">
        <v>3</v>
      </c>
      <c r="B1" s="156"/>
      <c r="C1" s="156"/>
      <c r="D1" s="157">
        <v>2022</v>
      </c>
      <c r="E1" s="157"/>
      <c r="F1" s="3"/>
      <c r="G1" s="3"/>
      <c r="H1" s="4"/>
      <c r="I1" s="4"/>
      <c r="J1" s="4"/>
      <c r="K1" s="4"/>
      <c r="L1" s="4"/>
      <c r="M1" s="4"/>
      <c r="N1" s="4"/>
      <c r="P1" s="158" t="s">
        <v>27</v>
      </c>
      <c r="Q1" s="158"/>
    </row>
    <row r="2" spans="1:18" ht="15.75" customHeight="1" thickBot="1" x14ac:dyDescent="0.25">
      <c r="H2" s="4"/>
      <c r="I2" s="4"/>
      <c r="J2" s="4"/>
      <c r="K2" s="4"/>
      <c r="L2" s="4"/>
      <c r="M2" s="4"/>
      <c r="N2" s="4"/>
      <c r="P2" s="158"/>
      <c r="Q2" s="158"/>
    </row>
    <row r="4" spans="1:18" s="5" customFormat="1" ht="18" customHeight="1" thickBot="1" x14ac:dyDescent="0.25">
      <c r="A4" s="159" t="s">
        <v>28</v>
      </c>
      <c r="B4" s="159"/>
      <c r="C4" s="159"/>
      <c r="D4" s="159"/>
      <c r="E4" s="159"/>
      <c r="F4" s="159"/>
      <c r="G4" s="154" t="str">
        <f>' NotaPedido'!D3</f>
        <v>40- Ministerio de Salud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</row>
    <row r="5" spans="1:18" s="5" customFormat="1" ht="18" customHeight="1" thickBot="1" x14ac:dyDescent="0.25">
      <c r="A5" s="151" t="s">
        <v>14</v>
      </c>
      <c r="B5" s="152"/>
      <c r="C5" s="152"/>
      <c r="D5" s="152"/>
      <c r="E5" s="152"/>
      <c r="F5" s="153"/>
      <c r="G5" s="154" t="str">
        <f>' NotaPedido'!D4</f>
        <v>28- Maternidad Provincial 25 de Mayo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spans="1:18" s="5" customFormat="1" ht="18" customHeight="1" thickBot="1" x14ac:dyDescent="0.25">
      <c r="A6" s="151" t="s">
        <v>15</v>
      </c>
      <c r="B6" s="152"/>
      <c r="C6" s="152"/>
      <c r="D6" s="152"/>
      <c r="E6" s="152"/>
      <c r="F6" s="153"/>
      <c r="G6" s="154" t="str">
        <f>' NotaPedido'!D5</f>
        <v xml:space="preserve">169- Direccion Asistencial 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</row>
    <row r="7" spans="1:18" s="5" customFormat="1" ht="18" customHeight="1" thickBot="1" x14ac:dyDescent="0.25">
      <c r="A7" s="151" t="s">
        <v>16</v>
      </c>
      <c r="B7" s="152"/>
      <c r="C7" s="152"/>
      <c r="D7" s="152"/>
      <c r="E7" s="152"/>
      <c r="F7" s="153"/>
      <c r="G7" s="154" t="str">
        <f>' NotaPedido'!D6</f>
        <v>Servicio de Farmacia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 spans="1:18" ht="18" customHeight="1" thickBot="1" x14ac:dyDescent="0.25">
      <c r="A8" s="155" t="s">
        <v>29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</row>
    <row r="9" spans="1:18" ht="18" customHeight="1" x14ac:dyDescent="0.2">
      <c r="A9" s="148" t="s">
        <v>30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89"/>
      <c r="P9" s="89"/>
      <c r="Q9" s="90"/>
    </row>
    <row r="10" spans="1:18" ht="54.75" customHeight="1" x14ac:dyDescent="0.2">
      <c r="A10" s="149" t="s">
        <v>97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8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8" ht="15.75" customHeight="1" thickBot="1" x14ac:dyDescent="0.25">
      <c r="A12" s="150" t="s">
        <v>31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8" ht="15.75" customHeight="1" thickBot="1" x14ac:dyDescent="0.25">
      <c r="A13" s="160" t="s">
        <v>32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33</v>
      </c>
      <c r="P13" s="162"/>
      <c r="Q13" s="163" t="s">
        <v>34</v>
      </c>
    </row>
    <row r="14" spans="1:18" ht="15.75" customHeight="1" thickBot="1" x14ac:dyDescent="0.25">
      <c r="A14" s="10" t="s">
        <v>35</v>
      </c>
      <c r="B14" s="11" t="s">
        <v>36</v>
      </c>
      <c r="C14" s="11" t="s">
        <v>37</v>
      </c>
      <c r="D14" s="11" t="s">
        <v>38</v>
      </c>
      <c r="E14" s="11" t="s">
        <v>39</v>
      </c>
      <c r="F14" s="11" t="s">
        <v>40</v>
      </c>
      <c r="G14" s="12" t="s">
        <v>41</v>
      </c>
      <c r="H14" s="11" t="s">
        <v>42</v>
      </c>
      <c r="I14" s="11" t="s">
        <v>43</v>
      </c>
      <c r="J14" s="11" t="s">
        <v>44</v>
      </c>
      <c r="K14" s="11" t="s">
        <v>44</v>
      </c>
      <c r="L14" s="11" t="s">
        <v>45</v>
      </c>
      <c r="M14" s="13" t="s">
        <v>46</v>
      </c>
      <c r="N14" s="14" t="s">
        <v>47</v>
      </c>
      <c r="O14" s="161"/>
      <c r="P14" s="162"/>
      <c r="Q14" s="163"/>
    </row>
    <row r="15" spans="1:18" ht="27" customHeight="1" thickBot="1" x14ac:dyDescent="0.25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5</v>
      </c>
      <c r="K15" s="22">
        <v>1</v>
      </c>
      <c r="L15" s="22"/>
      <c r="M15" s="23">
        <v>1</v>
      </c>
      <c r="N15" s="22" t="s">
        <v>48</v>
      </c>
      <c r="O15" s="170" t="s">
        <v>71</v>
      </c>
      <c r="P15" s="171"/>
      <c r="Q15" s="87">
        <v>227182.5</v>
      </c>
      <c r="R15" s="88"/>
    </row>
    <row r="16" spans="1:18" ht="27" customHeight="1" thickBot="1" x14ac:dyDescent="0.25">
      <c r="A16" s="21">
        <v>42</v>
      </c>
      <c r="B16" s="22"/>
      <c r="C16" s="22"/>
      <c r="D16" s="22">
        <v>2</v>
      </c>
      <c r="E16" s="22"/>
      <c r="F16" s="22">
        <v>4901</v>
      </c>
      <c r="G16" s="22">
        <v>3</v>
      </c>
      <c r="H16" s="22">
        <v>1</v>
      </c>
      <c r="I16" s="22">
        <v>2</v>
      </c>
      <c r="J16" s="22">
        <v>5</v>
      </c>
      <c r="K16" s="22">
        <v>2</v>
      </c>
      <c r="L16" s="22"/>
      <c r="M16" s="23">
        <v>1</v>
      </c>
      <c r="N16" s="22" t="s">
        <v>48</v>
      </c>
      <c r="O16" s="170" t="s">
        <v>51</v>
      </c>
      <c r="P16" s="171"/>
      <c r="Q16" s="87">
        <v>536000</v>
      </c>
    </row>
    <row r="17" spans="1:17" ht="27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2"/>
      <c r="O17" s="170"/>
      <c r="P17" s="171"/>
      <c r="Q17" s="87"/>
    </row>
    <row r="18" spans="1:17" ht="28.5" customHeight="1" x14ac:dyDescent="0.2">
      <c r="A18" s="19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2"/>
      <c r="P18" s="173"/>
      <c r="Q18" s="28"/>
    </row>
    <row r="19" spans="1:17" ht="28.5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174"/>
      <c r="P19" s="175"/>
      <c r="Q19" s="28"/>
    </row>
    <row r="20" spans="1:17" ht="28.5" customHeight="1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0"/>
      <c r="O20" s="164"/>
      <c r="P20" s="165"/>
      <c r="Q20" s="28"/>
    </row>
    <row r="21" spans="1:17" ht="31.5" customHeight="1" thickBot="1" x14ac:dyDescent="0.25">
      <c r="A21" s="167" t="s">
        <v>101</v>
      </c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5">
        <f>SUM(Q15:Q19)</f>
        <v>763182.5</v>
      </c>
    </row>
    <row r="22" spans="1:17" ht="18" customHeight="1" thickBot="1" x14ac:dyDescent="0.25">
      <c r="A22" s="168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</row>
    <row r="23" spans="1:17" ht="17.25" customHeight="1" thickBot="1" x14ac:dyDescent="0.25">
      <c r="A23" s="176" t="s">
        <v>49</v>
      </c>
      <c r="B23" s="177"/>
      <c r="C23" s="177"/>
      <c r="D23" s="177"/>
      <c r="E23" s="177"/>
      <c r="F23" s="178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</row>
    <row r="24" spans="1:17" ht="18" customHeight="1" thickBot="1" x14ac:dyDescent="0.25">
      <c r="A24" s="166" t="s">
        <v>70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</row>
    <row r="25" spans="1:17" ht="39" customHeight="1" thickBot="1" x14ac:dyDescent="0.25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2021-10-12T11:07:03Z</cp:lastPrinted>
  <dcterms:created xsi:type="dcterms:W3CDTF">2020-07-17T23:44:49Z</dcterms:created>
  <dcterms:modified xsi:type="dcterms:W3CDTF">2022-06-29T12:41:48Z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