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1 TRIMESTRE 2022\M SALUD\LECHE\"/>
    </mc:Choice>
  </mc:AlternateContent>
  <xr:revisionPtr revIDLastSave="0" documentId="8_{E0F18856-74ED-45E8-B267-EB81F29DCDB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011'!$A$9:$AY$11</definedName>
  </definedNames>
  <calcPr calcId="181029"/>
</workbook>
</file>

<file path=xl/calcChain.xml><?xml version="1.0" encoding="utf-8"?>
<calcChain xmlns="http://schemas.openxmlformats.org/spreadsheetml/2006/main">
  <c r="A41" i="3" l="1"/>
  <c r="G6" i="3"/>
  <c r="G7" i="3"/>
  <c r="J12" i="2"/>
  <c r="I12" i="2"/>
  <c r="C12" i="2"/>
  <c r="B12" i="2"/>
  <c r="D4" i="2"/>
  <c r="G5" i="3" s="1"/>
  <c r="D3" i="2"/>
  <c r="G4" i="3" s="1"/>
  <c r="AW10" i="1" l="1"/>
  <c r="K12" i="2" s="1"/>
  <c r="M12" i="2" s="1"/>
  <c r="Q15" i="3" l="1"/>
  <c r="Q38" i="3" s="1"/>
  <c r="J14" i="2"/>
  <c r="X10" i="1"/>
  <c r="AY10" i="1" l="1"/>
  <c r="AB10" i="1"/>
  <c r="N11" i="1" l="1"/>
  <c r="L11" i="1"/>
  <c r="AY11" i="1" l="1"/>
</calcChain>
</file>

<file path=xl/sharedStrings.xml><?xml version="1.0" encoding="utf-8"?>
<sst xmlns="http://schemas.openxmlformats.org/spreadsheetml/2006/main" count="129" uniqueCount="123">
  <si>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</si>
  <si>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</si>
  <si>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</si>
  <si>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</si>
  <si>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</si>
  <si>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</si>
  <si>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</si>
  <si>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</si>
  <si>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</si>
  <si>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</si>
  <si>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</si>
  <si>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</si>
  <si>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</si>
  <si>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</si>
  <si>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</si>
  <si>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</si>
  <si>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</si>
  <si>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</si>
  <si>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</si>
  <si>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</si>
  <si>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</si>
  <si>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</si>
  <si>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</si>
  <si>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</si>
  <si>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</si>
  <si>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</si>
  <si>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</si>
  <si>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</si>
  <si>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</si>
  <si>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</si>
  <si>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HPTAL MALBRAN</t>
  </si>
  <si>
    <t>TOTAL HPTAL MALBRAN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</si>
  <si>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</si>
  <si>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</si>
  <si>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</si>
  <si>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</si>
  <si>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</si>
  <si>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</si>
  <si>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</si>
  <si>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</si>
  <si>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CUR</t>
  </si>
  <si>
    <t>TOTAL CUR</t>
  </si>
  <si>
    <t>SPyGS</t>
  </si>
  <si>
    <t>TOTAL SPyGS</t>
  </si>
  <si>
    <t>SALUD MENTAL</t>
  </si>
  <si>
    <t>TOTAL SALUD MENTAL</t>
  </si>
  <si>
    <t>AREAS Y DPAS</t>
  </si>
  <si>
    <t>TOTAL DPAS</t>
  </si>
  <si>
    <t>CANTIDAD TOTAL</t>
  </si>
  <si>
    <t>PRECIO UNITARIO ESTIMADO</t>
  </si>
  <si>
    <t xml:space="preserve">IMPORTE TOTAL ESTIMADO </t>
  </si>
  <si>
    <t>ESPECIFICACION TECNICA</t>
  </si>
  <si>
    <t>UNIDAD</t>
  </si>
  <si>
    <t>ALIMENTOS</t>
  </si>
  <si>
    <t>2.1.1</t>
  </si>
  <si>
    <t>PRIMERO</t>
  </si>
  <si>
    <t>TOTAL RUBRO ALIMENTOS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</si>
  <si>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</si>
  <si>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</si>
  <si>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SAME</t>
  </si>
  <si>
    <t>CRONICAS</t>
  </si>
  <si>
    <t>TOTAL CRONICAS</t>
  </si>
  <si>
    <t>EPIDEMIOLOGIA</t>
  </si>
  <si>
    <t>TOTAL EPIDEMIOLOGIA</t>
  </si>
  <si>
    <t>AREA 1</t>
  </si>
  <si>
    <t>TOTAL AREA 1</t>
  </si>
  <si>
    <t>Se hará constar con caracteres bien visibles.
- Leche apta para niños a partir de un año hasta los seis años.                                                                                                                         -Composición química porcentual.
- Solubilidad.
- Forma de reconstitución para obtener la leche fluida correspondiente.
- Mantenerse en lugar fresco, seco, oscuro y recipiente cerrado, en envase trilaminado de aluminio y envasado al vacío.
- Mes y año de elaboración.
- Fecha de vencimiento: No inferior a 12 (doce) meses a partir de la fecha de recepción.
- Identificación de partida y/o número de lote.                                                      - ROTULACION: para determinar la procedencia del producto, gratuidad, prohibición de su venta o canje, los envases deberán contener la siguiente leyenda:
"DIRECCION PROVINCIAL MATERNO INFANTIL - SECRETARÍA DE MEDICINA PREVENTIVA Y PROMOCION EN SALUD - MINISTERIO DE SALUD DE CATAMARCA - PROHIBIDA SU VENTA"
(Impresión con letras mayúsculas, Arial, visibles no menores a fuente 16 y en negritas), la que tendrá que ir de forma impresa en el estuche, deberá estar en forma expresa en el envase, libre de todo gasto para el Ministerio de Salud.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</si>
  <si>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</si>
  <si>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</si>
  <si>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</si>
  <si>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</si>
  <si>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</si>
  <si>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</si>
  <si>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</si>
  <si>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</si>
  <si>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</si>
  <si>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</si>
  <si>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</si>
  <si>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</si>
  <si>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</si>
  <si>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</si>
  <si>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</si>
  <si>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</si>
  <si>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</si>
  <si>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</si>
  <si>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</si>
  <si>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</si>
  <si>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</si>
  <si>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</si>
  <si>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</si>
  <si>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</si>
  <si>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</si>
  <si>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</si>
  <si>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</si>
  <si>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</si>
  <si>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</si>
  <si>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</si>
  <si>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</si>
  <si>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</si>
  <si>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</si>
  <si>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</si>
  <si>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</si>
  <si>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</si>
  <si>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</si>
  <si>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Plazos de entrega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</si>
  <si>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</si>
  <si>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</si>
  <si>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</si>
  <si>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</si>
  <si>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</si>
  <si>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ITEM 1                                        DETALLE TECNICO Y ESPECIFICACIONES</t>
  </si>
  <si>
    <t>VER ANEXO I</t>
  </si>
  <si>
    <t xml:space="preserve"> 01/2022</t>
  </si>
  <si>
    <t>DIRECCION PROVINCIAL MATERNIDAD, INFANCIA Y ADOLESCENCIA</t>
  </si>
  <si>
    <t>1° TRIMESTRE 2022</t>
  </si>
  <si>
    <t>ADQUISICION DEL RUBRO ALIMENTOS PARA PERSONAS (LECHE FORTIFICADA)</t>
  </si>
  <si>
    <t>SI</t>
  </si>
  <si>
    <t>Costo total estimado: CUATRO MILLONES CON 00/100.-</t>
  </si>
  <si>
    <t>1.1</t>
  </si>
  <si>
    <t>ALIMENTOS PARA PERSONAS</t>
  </si>
  <si>
    <t>TOTAL DE PESOS: CUATRO MILLONES CON 00/100.-</t>
  </si>
  <si>
    <t>Autorizo la realización de los  trámites correspondientes, a fin de proveer a  este Organismo los bienes que se detallan en Nota  de Pedido N° 01/2022 afectando la erogación resultante a los créditos presupuestarios aprobados a favor de esta Unidad Ejecutora, conforme al siguiente detalle:</t>
  </si>
  <si>
    <t>diez (10)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</si>
</sst>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1"/>
      <name val="Calibri"/>
      <family val="2"/>
      <scheme val="minor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rgb="FFFFFFCC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3">
    <xf numFmtId="0" fontId="0" fillId="0" borderId="0"/>
    <xf numFmtId="44" fontId="1" fillId="0" borderId="0" applyFont="0" applyFill="0" applyBorder="0" applyAlignment="0" applyProtection="0"/>
    <xf numFmtId="0" fontId="8" fillId="0" borderId="0"/>
    <xf numFmtId="164" fontId="8" fillId="0" borderId="0" applyBorder="0" applyAlignment="0" applyProtection="0"/>
    <xf numFmtId="0" fontId="1" fillId="0" borderId="0"/>
    <xf numFmtId="0" fontId="8" fillId="0" borderId="0"/>
    <xf numFmtId="0" fontId="8" fillId="0" borderId="0"/>
    <xf numFmtId="0" fontId="8" fillId="0" borderId="0"/>
    <xf numFmtId="0" fontId="11" fillId="0" borderId="0"/>
    <xf numFmtId="168" fontId="8" fillId="0" borderId="0" applyBorder="0" applyProtection="0"/>
    <xf numFmtId="0" fontId="12" fillId="0" borderId="9" applyProtection="0"/>
    <xf numFmtId="0" fontId="13" fillId="4" borderId="0" applyBorder="0" applyProtection="0"/>
    <xf numFmtId="0" fontId="8" fillId="0" borderId="0"/>
    <xf numFmtId="0" fontId="8" fillId="0" borderId="0"/>
    <xf numFmtId="168" fontId="8" fillId="0" borderId="0" applyBorder="0" applyProtection="0"/>
    <xf numFmtId="0" fontId="12" fillId="0" borderId="9" applyProtection="0"/>
    <xf numFmtId="164" fontId="8" fillId="0" borderId="0" applyBorder="0" applyAlignment="0" applyProtection="0"/>
    <xf numFmtId="0" fontId="8" fillId="0" borderId="0"/>
    <xf numFmtId="0" fontId="8" fillId="0" borderId="0"/>
    <xf numFmtId="0" fontId="8" fillId="0" borderId="0"/>
    <xf numFmtId="43" fontId="1" fillId="0" borderId="0" applyFont="0" applyFill="0" applyBorder="0" applyAlignment="0" applyProtection="0"/>
    <xf numFmtId="168" fontId="8" fillId="0" borderId="0" applyBorder="0" applyProtection="0"/>
    <xf numFmtId="0" fontId="1" fillId="0" borderId="0"/>
    <xf numFmtId="0" fontId="1" fillId="0" borderId="0"/>
    <xf numFmtId="0" fontId="8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8" fillId="0" borderId="0"/>
    <xf numFmtId="0" fontId="17" fillId="0" borderId="0"/>
    <xf numFmtId="0" fontId="18" fillId="0" borderId="0"/>
    <xf numFmtId="170" fontId="29" fillId="0" borderId="0" applyBorder="0" applyProtection="0"/>
  </cellStyleXfs>
  <cellXfs count="203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1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3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3" fontId="5" fillId="3" borderId="1" xfId="0" applyNumberFormat="1" applyFont="1" applyFill="1" applyBorder="1" applyAlignment="1">
      <alignment horizontal="center" vertical="center" wrapText="1"/>
    </xf>
    <xf numFmtId="167" fontId="4" fillId="0" borderId="1" xfId="1" applyNumberFormat="1" applyFont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165" fontId="7" fillId="0" borderId="1" xfId="0" applyNumberFormat="1" applyFont="1" applyFill="1" applyBorder="1" applyAlignment="1">
      <alignment horizontal="center" vertical="center" wrapText="1"/>
    </xf>
    <xf numFmtId="3" fontId="7" fillId="0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Fill="1" applyBorder="1" applyAlignment="1">
      <alignment horizontal="center" vertical="center" wrapText="1"/>
    </xf>
    <xf numFmtId="166" fontId="7" fillId="0" borderId="1" xfId="0" applyNumberFormat="1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left" vertical="center" wrapText="1"/>
    </xf>
    <xf numFmtId="1" fontId="9" fillId="0" borderId="1" xfId="0" applyNumberFormat="1" applyFont="1" applyFill="1" applyBorder="1" applyAlignment="1">
      <alignment horizontal="center" vertical="center"/>
    </xf>
    <xf numFmtId="167" fontId="9" fillId="0" borderId="1" xfId="1" applyNumberFormat="1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/>
    <xf numFmtId="167" fontId="7" fillId="2" borderId="3" xfId="2" applyNumberFormat="1" applyFont="1" applyFill="1" applyBorder="1" applyAlignment="1">
      <alignment horizontal="center" vertical="center" wrapText="1"/>
    </xf>
    <xf numFmtId="0" fontId="14" fillId="0" borderId="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15" fillId="0" borderId="5" xfId="0" applyFont="1" applyFill="1" applyBorder="1" applyAlignment="1">
      <alignment horizontal="center" vertical="center" wrapText="1"/>
    </xf>
    <xf numFmtId="0" fontId="16" fillId="0" borderId="5" xfId="0" applyFont="1" applyFill="1" applyBorder="1" applyAlignment="1">
      <alignment horizontal="center" vertical="center" wrapText="1"/>
    </xf>
    <xf numFmtId="166" fontId="14" fillId="0" borderId="5" xfId="0" applyNumberFormat="1" applyFont="1" applyFill="1" applyBorder="1" applyAlignment="1">
      <alignment horizontal="center" vertical="center"/>
    </xf>
    <xf numFmtId="1" fontId="14" fillId="0" borderId="5" xfId="0" applyNumberFormat="1" applyFont="1" applyFill="1" applyBorder="1" applyAlignment="1">
      <alignment horizontal="center" vertical="center"/>
    </xf>
    <xf numFmtId="165" fontId="14" fillId="0" borderId="5" xfId="0" applyNumberFormat="1" applyFont="1" applyFill="1" applyBorder="1" applyAlignment="1">
      <alignment horizontal="center" vertical="center"/>
    </xf>
    <xf numFmtId="3" fontId="14" fillId="0" borderId="5" xfId="0" applyNumberFormat="1" applyFont="1" applyFill="1" applyBorder="1" applyAlignment="1">
      <alignment horizontal="center" vertical="center"/>
    </xf>
    <xf numFmtId="167" fontId="14" fillId="0" borderId="5" xfId="3" applyNumberFormat="1" applyFont="1" applyFill="1" applyBorder="1" applyAlignment="1" applyProtection="1">
      <alignment horizontal="center" vertical="center" wrapText="1"/>
    </xf>
    <xf numFmtId="0" fontId="15" fillId="0" borderId="6" xfId="0" applyFont="1" applyFill="1" applyBorder="1"/>
    <xf numFmtId="0" fontId="6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3" fontId="7" fillId="0" borderId="10" xfId="2" applyNumberFormat="1" applyFont="1" applyBorder="1" applyAlignment="1">
      <alignment horizontal="center" vertical="center" wrapText="1"/>
    </xf>
    <xf numFmtId="3" fontId="7" fillId="0" borderId="8" xfId="2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5" xfId="0" applyNumberFormat="1" applyFont="1" applyFill="1" applyBorder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6" fontId="14" fillId="0" borderId="8" xfId="0" applyNumberFormat="1" applyFont="1" applyFill="1" applyBorder="1" applyAlignment="1">
      <alignment horizontal="center" vertical="center"/>
    </xf>
    <xf numFmtId="0" fontId="14" fillId="0" borderId="8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15" fillId="0" borderId="0" xfId="0" applyFont="1" applyFill="1"/>
    <xf numFmtId="167" fontId="14" fillId="0" borderId="5" xfId="0" applyNumberFormat="1" applyFont="1" applyFill="1" applyBorder="1" applyAlignment="1">
      <alignment horizontal="center" vertical="center"/>
    </xf>
    <xf numFmtId="167" fontId="7" fillId="0" borderId="1" xfId="0" applyNumberFormat="1" applyFont="1" applyFill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7" fontId="10" fillId="2" borderId="7" xfId="2" applyNumberFormat="1" applyFont="1" applyFill="1" applyBorder="1" applyAlignment="1">
      <alignment horizontal="center" vertical="center" wrapText="1"/>
    </xf>
    <xf numFmtId="0" fontId="7" fillId="2" borderId="1" xfId="5" applyNumberFormat="1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/>
    </xf>
    <xf numFmtId="0" fontId="20" fillId="0" borderId="16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0" xfId="0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0" fontId="22" fillId="0" borderId="24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left" vertical="center" wrapText="1" indent="1"/>
    </xf>
    <xf numFmtId="0" fontId="21" fillId="0" borderId="18" xfId="0" applyFont="1" applyBorder="1" applyAlignment="1">
      <alignment horizontal="left" vertical="center" wrapText="1" indent="1"/>
    </xf>
    <xf numFmtId="0" fontId="24" fillId="0" borderId="30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3" fontId="25" fillId="0" borderId="31" xfId="0" applyNumberFormat="1" applyFont="1" applyBorder="1" applyAlignment="1">
      <alignment horizontal="center" vertical="center"/>
    </xf>
    <xf numFmtId="3" fontId="27" fillId="0" borderId="35" xfId="0" applyNumberFormat="1" applyFont="1" applyBorder="1" applyAlignment="1"/>
    <xf numFmtId="169" fontId="0" fillId="0" borderId="35" xfId="0" applyNumberFormat="1" applyBorder="1" applyAlignment="1">
      <alignment horizontal="left"/>
    </xf>
    <xf numFmtId="0" fontId="0" fillId="0" borderId="3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8" xfId="0" applyBorder="1"/>
    <xf numFmtId="0" fontId="0" fillId="0" borderId="16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41" xfId="0" applyBorder="1"/>
    <xf numFmtId="0" fontId="32" fillId="0" borderId="44" xfId="0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/>
    </xf>
    <xf numFmtId="0" fontId="32" fillId="0" borderId="45" xfId="0" applyFont="1" applyBorder="1" applyAlignment="1">
      <alignment horizontal="left" vertical="center"/>
    </xf>
    <xf numFmtId="0" fontId="32" fillId="0" borderId="46" xfId="0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0" fontId="0" fillId="0" borderId="49" xfId="0" applyFont="1" applyBorder="1" applyAlignment="1">
      <alignment horizontal="center" vertical="center"/>
    </xf>
    <xf numFmtId="0" fontId="0" fillId="0" borderId="50" xfId="0" applyFont="1" applyBorder="1" applyAlignment="1">
      <alignment horizontal="center" vertical="center"/>
    </xf>
    <xf numFmtId="171" fontId="0" fillId="0" borderId="51" xfId="32" applyNumberFormat="1" applyFont="1" applyBorder="1" applyAlignment="1" applyProtection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0" fillId="0" borderId="53" xfId="0" applyFont="1" applyBorder="1" applyAlignment="1">
      <alignment horizontal="center" vertical="center"/>
    </xf>
    <xf numFmtId="0" fontId="0" fillId="0" borderId="54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171" fontId="0" fillId="0" borderId="56" xfId="32" applyNumberFormat="1" applyFont="1" applyBorder="1" applyAlignment="1" applyProtection="1">
      <alignment horizontal="center" vertical="center"/>
    </xf>
    <xf numFmtId="0" fontId="30" fillId="0" borderId="52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30" fillId="0" borderId="54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71" fontId="0" fillId="0" borderId="60" xfId="32" applyNumberFormat="1" applyFont="1" applyBorder="1" applyAlignment="1" applyProtection="1">
      <alignment horizontal="center" vertical="center"/>
    </xf>
    <xf numFmtId="171" fontId="32" fillId="0" borderId="62" xfId="0" applyNumberFormat="1" applyFont="1" applyBorder="1" applyAlignment="1">
      <alignment horizontal="center" vertical="center"/>
    </xf>
    <xf numFmtId="0" fontId="34" fillId="0" borderId="13" xfId="5" applyFont="1" applyFill="1" applyBorder="1" applyAlignment="1">
      <alignment horizontal="center" vertical="center" wrapText="1"/>
    </xf>
    <xf numFmtId="0" fontId="34" fillId="0" borderId="24" xfId="5" applyFont="1" applyFill="1" applyBorder="1" applyAlignment="1">
      <alignment horizontal="center" vertical="center" wrapText="1"/>
    </xf>
    <xf numFmtId="0" fontId="34" fillId="0" borderId="24" xfId="5" applyFont="1" applyBorder="1" applyAlignment="1">
      <alignment horizontal="center" vertical="center" wrapText="1"/>
    </xf>
    <xf numFmtId="0" fontId="34" fillId="0" borderId="64" xfId="0" applyFont="1" applyBorder="1" applyAlignment="1">
      <alignment horizontal="center" vertical="center" wrapText="1"/>
    </xf>
    <xf numFmtId="0" fontId="3" fillId="0" borderId="0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vertical="center"/>
    </xf>
    <xf numFmtId="0" fontId="3" fillId="0" borderId="0" xfId="5" applyFont="1" applyBorder="1" applyAlignment="1">
      <alignment horizontal="center" vertical="center"/>
    </xf>
    <xf numFmtId="0" fontId="3" fillId="0" borderId="0" xfId="5" applyFont="1" applyBorder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3" fillId="0" borderId="66" xfId="0" applyFont="1" applyBorder="1" applyAlignment="1">
      <alignment horizontal="center" vertical="center"/>
    </xf>
    <xf numFmtId="0" fontId="0" fillId="0" borderId="65" xfId="0" applyBorder="1" applyAlignment="1">
      <alignment horizontal="left" vertical="center" wrapTex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167" fontId="0" fillId="0" borderId="0" xfId="0" applyNumberFormat="1"/>
    <xf numFmtId="167" fontId="20" fillId="0" borderId="14" xfId="0" applyNumberFormat="1" applyFont="1" applyBorder="1" applyAlignment="1">
      <alignment horizontal="right" vertical="center"/>
    </xf>
    <xf numFmtId="167" fontId="20" fillId="0" borderId="0" xfId="0" applyNumberFormat="1" applyFont="1" applyBorder="1" applyAlignment="1">
      <alignment vertical="center"/>
    </xf>
    <xf numFmtId="167" fontId="21" fillId="0" borderId="0" xfId="0" applyNumberFormat="1" applyFont="1" applyBorder="1" applyAlignment="1">
      <alignment horizontal="left" vertical="center" wrapText="1" indent="1"/>
    </xf>
    <xf numFmtId="167" fontId="25" fillId="0" borderId="1" xfId="0" applyNumberFormat="1" applyFont="1" applyBorder="1" applyAlignment="1">
      <alignment horizontal="center" vertical="center" wrapText="1"/>
    </xf>
    <xf numFmtId="0" fontId="0" fillId="0" borderId="0" xfId="0" applyFont="1"/>
    <xf numFmtId="0" fontId="35" fillId="0" borderId="28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/>
    </xf>
    <xf numFmtId="0" fontId="35" fillId="0" borderId="11" xfId="0" applyFont="1" applyBorder="1" applyAlignment="1">
      <alignment horizontal="center" vertical="center" wrapText="1"/>
    </xf>
    <xf numFmtId="167" fontId="35" fillId="0" borderId="11" xfId="0" applyNumberFormat="1" applyFont="1" applyBorder="1" applyAlignment="1">
      <alignment horizontal="center" vertical="center" wrapText="1"/>
    </xf>
    <xf numFmtId="3" fontId="35" fillId="0" borderId="29" xfId="0" applyNumberFormat="1" applyFont="1" applyBorder="1" applyAlignment="1">
      <alignment horizontal="center" vertical="center"/>
    </xf>
    <xf numFmtId="167" fontId="33" fillId="0" borderId="0" xfId="0" applyNumberFormat="1" applyFont="1"/>
    <xf numFmtId="0" fontId="36" fillId="0" borderId="0" xfId="0" applyFont="1" applyAlignment="1">
      <alignment horizontal="center" vertical="center"/>
    </xf>
    <xf numFmtId="167" fontId="36" fillId="0" borderId="0" xfId="0" applyNumberFormat="1" applyFont="1" applyAlignment="1">
      <alignment horizontal="center" vertical="center"/>
    </xf>
    <xf numFmtId="0" fontId="38" fillId="0" borderId="0" xfId="0" applyFont="1"/>
    <xf numFmtId="0" fontId="3" fillId="0" borderId="35" xfId="5" applyFont="1" applyFill="1" applyBorder="1" applyAlignment="1">
      <alignment horizontal="left" vertical="center" wrapText="1"/>
    </xf>
    <xf numFmtId="0" fontId="3" fillId="0" borderId="63" xfId="5" applyFont="1" applyFill="1" applyBorder="1" applyAlignment="1">
      <alignment horizontal="left" vertical="center" wrapText="1"/>
    </xf>
    <xf numFmtId="0" fontId="3" fillId="0" borderId="0" xfId="5" applyFont="1" applyFill="1" applyBorder="1" applyAlignment="1">
      <alignment horizontal="left" vertical="center"/>
    </xf>
    <xf numFmtId="0" fontId="3" fillId="0" borderId="18" xfId="5" applyFont="1" applyFill="1" applyBorder="1" applyAlignment="1">
      <alignment horizontal="left" vertical="center"/>
    </xf>
    <xf numFmtId="0" fontId="3" fillId="0" borderId="0" xfId="5" applyFont="1" applyFill="1" applyBorder="1" applyAlignment="1">
      <alignment horizontal="left" vertical="center" wrapText="1"/>
    </xf>
    <xf numFmtId="0" fontId="3" fillId="0" borderId="18" xfId="5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7" fillId="0" borderId="0" xfId="0" applyFont="1" applyBorder="1" applyAlignment="1">
      <alignment horizontal="center" vertical="center"/>
    </xf>
    <xf numFmtId="0" fontId="22" fillId="0" borderId="21" xfId="0" applyFont="1" applyBorder="1" applyAlignment="1">
      <alignment horizontal="left" vertical="center" wrapText="1"/>
    </xf>
    <xf numFmtId="0" fontId="21" fillId="0" borderId="20" xfId="0" applyFont="1" applyBorder="1" applyAlignment="1">
      <alignment horizontal="left" vertical="center" wrapText="1" indent="1"/>
    </xf>
    <xf numFmtId="0" fontId="19" fillId="0" borderId="13" xfId="0" applyFont="1" applyBorder="1" applyAlignment="1">
      <alignment horizontal="center" vertical="center"/>
    </xf>
    <xf numFmtId="0" fontId="22" fillId="0" borderId="19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/>
    </xf>
    <xf numFmtId="0" fontId="21" fillId="0" borderId="23" xfId="0" applyFont="1" applyBorder="1" applyAlignment="1">
      <alignment horizontal="left" vertical="center" wrapText="1" indent="1"/>
    </xf>
    <xf numFmtId="0" fontId="35" fillId="0" borderId="67" xfId="0" applyFont="1" applyBorder="1" applyAlignment="1">
      <alignment horizontal="left" vertical="center" wrapText="1"/>
    </xf>
    <xf numFmtId="0" fontId="35" fillId="0" borderId="68" xfId="0" applyFont="1" applyBorder="1" applyAlignment="1">
      <alignment horizontal="left" vertical="center" wrapText="1"/>
    </xf>
    <xf numFmtId="0" fontId="35" fillId="0" borderId="12" xfId="0" applyFont="1" applyBorder="1" applyAlignment="1">
      <alignment horizontal="left" vertical="center" wrapText="1"/>
    </xf>
    <xf numFmtId="0" fontId="23" fillId="0" borderId="26" xfId="0" applyFont="1" applyBorder="1" applyAlignment="1">
      <alignment horizontal="center" vertical="center" wrapText="1"/>
    </xf>
    <xf numFmtId="167" fontId="23" fillId="0" borderId="26" xfId="0" applyNumberFormat="1" applyFont="1" applyBorder="1" applyAlignment="1">
      <alignment horizontal="center" vertical="center" wrapText="1"/>
    </xf>
    <xf numFmtId="0" fontId="26" fillId="0" borderId="32" xfId="0" applyFont="1" applyBorder="1" applyAlignment="1">
      <alignment horizontal="left" vertical="center" wrapText="1" indent="1"/>
    </xf>
    <xf numFmtId="166" fontId="22" fillId="0" borderId="32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 wrapText="1"/>
    </xf>
    <xf numFmtId="0" fontId="30" fillId="0" borderId="39" xfId="0" applyFont="1" applyBorder="1" applyAlignment="1">
      <alignment horizontal="left"/>
    </xf>
    <xf numFmtId="0" fontId="0" fillId="0" borderId="33" xfId="0" applyFont="1" applyBorder="1" applyAlignment="1">
      <alignment horizontal="center"/>
    </xf>
    <xf numFmtId="3" fontId="27" fillId="0" borderId="34" xfId="0" applyNumberFormat="1" applyFont="1" applyBorder="1" applyAlignment="1">
      <alignment horizontal="center"/>
    </xf>
    <xf numFmtId="0" fontId="28" fillId="0" borderId="15" xfId="0" applyFont="1" applyBorder="1" applyAlignment="1">
      <alignment horizontal="center" vertical="center" wrapText="1"/>
    </xf>
    <xf numFmtId="0" fontId="29" fillId="0" borderId="36" xfId="0" applyFont="1" applyBorder="1"/>
    <xf numFmtId="0" fontId="30" fillId="0" borderId="37" xfId="0" applyFont="1" applyBorder="1" applyAlignment="1">
      <alignment horizontal="left" indent="1"/>
    </xf>
    <xf numFmtId="0" fontId="25" fillId="0" borderId="36" xfId="0" applyFont="1" applyBorder="1" applyAlignment="1">
      <alignment horizontal="left" vertical="center" wrapText="1"/>
    </xf>
    <xf numFmtId="0" fontId="31" fillId="0" borderId="38" xfId="0" applyFont="1" applyBorder="1" applyAlignment="1">
      <alignment horizontal="left"/>
    </xf>
    <xf numFmtId="0" fontId="0" fillId="0" borderId="55" xfId="0" applyFont="1" applyBorder="1" applyAlignment="1">
      <alignment horizontal="center" vertical="center"/>
    </xf>
    <xf numFmtId="49" fontId="30" fillId="0" borderId="40" xfId="0" applyNumberFormat="1" applyFont="1" applyBorder="1" applyAlignment="1">
      <alignment horizontal="justify" vertical="center" wrapText="1"/>
    </xf>
    <xf numFmtId="0" fontId="32" fillId="0" borderId="39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0" fontId="32" fillId="0" borderId="42" xfId="0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/>
    </xf>
    <xf numFmtId="0" fontId="0" fillId="0" borderId="49" xfId="0" applyFont="1" applyBorder="1" applyAlignment="1">
      <alignment horizontal="left" vertical="center" wrapText="1"/>
    </xf>
    <xf numFmtId="0" fontId="0" fillId="0" borderId="55" xfId="0" applyFont="1" applyBorder="1" applyAlignment="1">
      <alignment horizontal="left" vertical="center"/>
    </xf>
    <xf numFmtId="0" fontId="0" fillId="0" borderId="55" xfId="0" applyBorder="1" applyAlignment="1">
      <alignment horizontal="center"/>
    </xf>
    <xf numFmtId="0" fontId="27" fillId="0" borderId="20" xfId="0" applyFont="1" applyBorder="1" applyAlignment="1">
      <alignment vertical="center" wrapText="1"/>
    </xf>
    <xf numFmtId="0" fontId="30" fillId="0" borderId="43" xfId="0" applyFont="1" applyBorder="1" applyAlignment="1">
      <alignment vertical="center" wrapText="1"/>
    </xf>
    <xf numFmtId="0" fontId="30" fillId="0" borderId="32" xfId="0" applyFont="1" applyBorder="1" applyAlignment="1">
      <alignment horizontal="left" vertical="center" wrapText="1" indent="1"/>
    </xf>
    <xf numFmtId="0" fontId="0" fillId="0" borderId="55" xfId="0" applyBorder="1" applyAlignment="1">
      <alignment horizontal="left" vertical="center"/>
    </xf>
    <xf numFmtId="0" fontId="0" fillId="0" borderId="58" xfId="0" applyBorder="1" applyAlignment="1">
      <alignment horizontal="left" vertical="center"/>
    </xf>
    <xf numFmtId="0" fontId="27" fillId="0" borderId="61" xfId="0" applyFont="1" applyBorder="1" applyAlignment="1">
      <alignment horizontal="left" vertical="center" wrapText="1"/>
    </xf>
    <xf numFmtId="0" fontId="0" fillId="0" borderId="39" xfId="0" applyBorder="1"/>
  </cellXfs>
  <cellStyles count="33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2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3" xfId="7" xr:uid="{00000000-0005-0000-0000-00000F000000}"/>
    <cellStyle name="Normal 3 2" xfId="12" xr:uid="{00000000-0005-0000-0000-000010000000}"/>
    <cellStyle name="Normal 3 2 2" xfId="18" xr:uid="{00000000-0005-0000-0000-000011000000}"/>
    <cellStyle name="Normal 3 3" xfId="17" xr:uid="{00000000-0005-0000-0000-000012000000}"/>
    <cellStyle name="Normal 3 4" xfId="22" xr:uid="{00000000-0005-0000-0000-000013000000}"/>
    <cellStyle name="Normal 3 4 2" xfId="27" xr:uid="{00000000-0005-0000-0000-000014000000}"/>
    <cellStyle name="Normal 4" xfId="6" xr:uid="{00000000-0005-0000-0000-000015000000}"/>
    <cellStyle name="Normal 4 2" xfId="19" xr:uid="{00000000-0005-0000-0000-000016000000}"/>
    <cellStyle name="Normal 4 3" xfId="23" xr:uid="{00000000-0005-0000-0000-000017000000}"/>
    <cellStyle name="Normal 4 3 2" xfId="28" xr:uid="{00000000-0005-0000-0000-000018000000}"/>
    <cellStyle name="Normal 5" xfId="4" xr:uid="{00000000-0005-0000-0000-000019000000}"/>
    <cellStyle name="Normal 5 2" xfId="25" xr:uid="{00000000-0005-0000-0000-00001A000000}"/>
    <cellStyle name="Normal 6" xfId="13" xr:uid="{00000000-0005-0000-0000-00001B000000}"/>
    <cellStyle name="Normal 7" xfId="24" xr:uid="{00000000-0005-0000-0000-00001C000000}"/>
    <cellStyle name="Normal 8" xfId="8" xr:uid="{00000000-0005-0000-0000-00001D000000}"/>
    <cellStyle name="Normal 8 2" xfId="29" xr:uid="{00000000-0005-0000-0000-00001E000000}"/>
    <cellStyle name="Normal 8 3" xfId="30" xr:uid="{00000000-0005-0000-0000-00001F000000}"/>
    <cellStyle name="Normal 8 4" xfId="31" xr:uid="{00000000-0005-0000-0000-000020000000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2"/>
  <sheetViews>
    <sheetView tabSelected="1" zoomScaleNormal="100" workbookViewId="0">
      <selection activeCell="D17" sqref="D17:E17"/>
    </sheetView>
  </sheetViews>
  <sheetFormatPr baseColWidth="10" defaultRowHeight="15" x14ac:dyDescent="0.25"/>
  <cols>
    <col min="1" max="1" width="5.42578125" style="34" bestFit="1" customWidth="1"/>
    <col min="2" max="2" width="14.42578125" style="34" bestFit="1" customWidth="1"/>
    <col min="3" max="3" width="37" style="34" bestFit="1" customWidth="1"/>
    <col min="4" max="4" width="5.85546875" style="34" bestFit="1" customWidth="1"/>
    <col min="5" max="5" width="80.5703125" style="35" customWidth="1"/>
    <col min="6" max="6" width="17.28515625" style="34" customWidth="1"/>
    <col min="7" max="7" width="19.85546875" style="34" hidden="1" customWidth="1"/>
    <col min="8" max="8" width="11.5703125" style="34" hidden="1" customWidth="1"/>
    <col min="9" max="9" width="12.42578125" style="34" hidden="1" customWidth="1"/>
    <col min="10" max="10" width="15.5703125" style="34" hidden="1" customWidth="1"/>
    <col min="11" max="11" width="12.42578125" style="34" hidden="1" customWidth="1"/>
    <col min="12" max="12" width="14.7109375" style="34" hidden="1" customWidth="1"/>
    <col min="13" max="13" width="8.85546875" style="34" hidden="1" customWidth="1"/>
    <col min="14" max="14" width="15" style="34" hidden="1" customWidth="1"/>
    <col min="15" max="15" width="14.42578125" style="34" hidden="1" customWidth="1"/>
    <col min="16" max="16" width="13.85546875" style="34" hidden="1" customWidth="1"/>
    <col min="17" max="17" width="15.85546875" style="34" hidden="1" customWidth="1"/>
    <col min="18" max="18" width="14.42578125" style="34" hidden="1" customWidth="1"/>
    <col min="19" max="19" width="11.140625" style="36" hidden="1" customWidth="1"/>
    <col min="20" max="20" width="17.140625" style="68" hidden="1" customWidth="1"/>
    <col min="21" max="21" width="16" style="34" hidden="1" customWidth="1"/>
    <col min="22" max="22" width="14.140625" style="34" hidden="1" customWidth="1"/>
    <col min="23" max="23" width="10.85546875" style="34" hidden="1" customWidth="1"/>
    <col min="24" max="24" width="13.85546875" style="34" hidden="1" customWidth="1"/>
    <col min="25" max="25" width="10.42578125" style="34" hidden="1" customWidth="1"/>
    <col min="26" max="26" width="15.42578125" style="34" hidden="1" customWidth="1"/>
    <col min="27" max="28" width="15.5703125" style="34" hidden="1" customWidth="1"/>
    <col min="29" max="29" width="6" style="34" hidden="1" customWidth="1"/>
    <col min="30" max="30" width="14.85546875" style="34" hidden="1" customWidth="1"/>
    <col min="31" max="31" width="11" style="34" hidden="1" customWidth="1"/>
    <col min="32" max="32" width="14.42578125" style="34" hidden="1" customWidth="1"/>
    <col min="33" max="33" width="13.140625" style="34" hidden="1" customWidth="1"/>
    <col min="34" max="34" width="14.140625" style="34" hidden="1" customWidth="1"/>
    <col min="35" max="35" width="11.28515625" style="34" hidden="1" customWidth="1"/>
    <col min="36" max="36" width="14.85546875" style="34" hidden="1" customWidth="1"/>
    <col min="37" max="37" width="9.28515625" style="34" hidden="1" customWidth="1"/>
    <col min="38" max="38" width="14.85546875" style="34" hidden="1" customWidth="1"/>
    <col min="39" max="39" width="7.140625" style="34" hidden="1" customWidth="1"/>
    <col min="40" max="40" width="15.85546875" style="68" hidden="1" customWidth="1"/>
    <col min="41" max="41" width="15.85546875" style="34" hidden="1" customWidth="1"/>
    <col min="42" max="42" width="14.42578125" style="34" hidden="1" customWidth="1"/>
    <col min="43" max="43" width="14.5703125" style="34" hidden="1" customWidth="1"/>
    <col min="44" max="44" width="13.85546875" style="68" hidden="1" customWidth="1"/>
    <col min="45" max="45" width="16.5703125" style="51" hidden="1" customWidth="1"/>
    <col min="46" max="46" width="17.42578125" style="56" hidden="1" customWidth="1"/>
    <col min="47" max="47" width="17.42578125" style="51" hidden="1" customWidth="1"/>
    <col min="48" max="48" width="17.42578125" style="60" hidden="1" customWidth="1"/>
    <col min="49" max="49" width="15.5703125" style="36" customWidth="1"/>
    <col min="50" max="50" width="13.85546875" style="37" customWidth="1"/>
    <col min="51" max="51" width="17.42578125" style="37" customWidth="1"/>
    <col min="52" max="52" width="59" customWidth="1"/>
  </cols>
  <sheetData>
    <row r="1" spans="1:53" x14ac:dyDescent="0.25">
      <c r="A1" s="1">
        <v>2022</v>
      </c>
      <c r="B1" s="2"/>
      <c r="C1" s="3"/>
      <c r="D1" s="3"/>
      <c r="E1" s="4"/>
      <c r="F1" s="3"/>
      <c r="G1" s="3"/>
      <c r="H1" s="3"/>
      <c r="I1" s="3"/>
      <c r="J1" s="3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3"/>
      <c r="Y1" s="7"/>
      <c r="Z1" s="3"/>
      <c r="AA1" s="7"/>
      <c r="AB1" s="3"/>
      <c r="AC1" s="7"/>
      <c r="AD1" s="3"/>
      <c r="AE1" s="7"/>
      <c r="AF1" s="3"/>
      <c r="AG1" s="7"/>
      <c r="AH1" s="3"/>
      <c r="AI1" s="7"/>
      <c r="AJ1" s="3"/>
      <c r="AK1" s="7"/>
      <c r="AL1" s="3"/>
      <c r="AM1" s="7"/>
      <c r="AN1" s="9"/>
      <c r="AO1" s="7"/>
      <c r="AP1" s="3"/>
      <c r="AQ1" s="7"/>
      <c r="AR1" s="9"/>
      <c r="AS1" s="55"/>
      <c r="AT1" s="3"/>
      <c r="AU1" s="55"/>
      <c r="AV1" s="3"/>
      <c r="AW1" s="7"/>
      <c r="AX1" s="8"/>
      <c r="AY1" s="9"/>
    </row>
    <row r="2" spans="1:53" s="154" customFormat="1" ht="18.75" x14ac:dyDescent="0.3">
      <c r="A2" s="152"/>
      <c r="B2" s="162" t="s">
        <v>0</v>
      </c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2"/>
      <c r="R2" s="162"/>
      <c r="S2" s="162"/>
      <c r="T2" s="162"/>
      <c r="U2" s="162"/>
      <c r="V2" s="162"/>
      <c r="W2" s="162"/>
      <c r="X2" s="162"/>
      <c r="Y2" s="162"/>
      <c r="Z2" s="162"/>
      <c r="AA2" s="162"/>
      <c r="AB2" s="162"/>
      <c r="AC2" s="162"/>
      <c r="AD2" s="162"/>
      <c r="AE2" s="162"/>
      <c r="AF2" s="162"/>
      <c r="AG2" s="162"/>
      <c r="AH2" s="162"/>
      <c r="AI2" s="162"/>
      <c r="AJ2" s="162"/>
      <c r="AK2" s="162"/>
      <c r="AL2" s="162"/>
      <c r="AM2" s="162"/>
      <c r="AN2" s="162"/>
      <c r="AO2" s="162"/>
      <c r="AP2" s="162"/>
      <c r="AQ2" s="162"/>
      <c r="AR2" s="162"/>
      <c r="AS2" s="162"/>
      <c r="AT2" s="162"/>
      <c r="AU2" s="162"/>
      <c r="AV2" s="162"/>
      <c r="AW2" s="162"/>
      <c r="AX2" s="162"/>
      <c r="AY2" s="153"/>
    </row>
    <row r="3" spans="1:53" x14ac:dyDescent="0.25">
      <c r="A3" s="3"/>
      <c r="B3" s="2"/>
      <c r="C3" s="3"/>
      <c r="D3" s="3"/>
      <c r="E3" s="4"/>
      <c r="F3" s="3"/>
      <c r="G3" s="3"/>
      <c r="H3" s="3"/>
      <c r="I3" s="3"/>
      <c r="J3" s="3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3"/>
      <c r="Y3" s="7"/>
      <c r="Z3" s="3"/>
      <c r="AA3" s="7"/>
      <c r="AB3" s="3"/>
      <c r="AC3" s="7"/>
      <c r="AD3" s="3"/>
      <c r="AE3" s="7"/>
      <c r="AF3" s="3"/>
      <c r="AG3" s="7"/>
      <c r="AH3" s="3"/>
      <c r="AI3" s="7"/>
      <c r="AJ3" s="3"/>
      <c r="AK3" s="7"/>
      <c r="AL3" s="3"/>
      <c r="AM3" s="7"/>
      <c r="AN3" s="9"/>
      <c r="AO3" s="7"/>
      <c r="AP3" s="3"/>
      <c r="AQ3" s="7"/>
      <c r="AR3" s="9"/>
      <c r="AS3" s="55"/>
      <c r="AT3" s="3"/>
      <c r="AU3" s="55"/>
      <c r="AV3" s="3"/>
      <c r="AW3" s="7"/>
      <c r="AX3" s="8"/>
      <c r="AY3" s="9"/>
    </row>
    <row r="4" spans="1:53" x14ac:dyDescent="0.25">
      <c r="A4" s="161" t="s">
        <v>1</v>
      </c>
      <c r="B4" s="161"/>
      <c r="C4" s="137" t="s">
        <v>2</v>
      </c>
      <c r="D4" s="137"/>
      <c r="E4" s="137"/>
      <c r="F4" s="10"/>
      <c r="G4" s="10"/>
      <c r="H4" s="10"/>
      <c r="I4" s="10"/>
      <c r="J4" s="10"/>
      <c r="K4" s="10"/>
      <c r="L4" s="10"/>
      <c r="M4" s="11"/>
      <c r="N4" s="12"/>
      <c r="O4" s="13"/>
      <c r="P4" s="10"/>
      <c r="Q4" s="11"/>
      <c r="R4" s="10"/>
      <c r="S4" s="13"/>
      <c r="T4" s="67"/>
      <c r="U4" s="11"/>
      <c r="V4" s="10"/>
      <c r="W4" s="13"/>
      <c r="X4" s="10"/>
      <c r="Y4" s="13"/>
      <c r="Z4" s="10"/>
      <c r="AA4" s="13"/>
      <c r="AB4" s="10"/>
      <c r="AC4" s="13"/>
      <c r="AD4" s="10"/>
      <c r="AE4" s="13"/>
      <c r="AF4" s="10"/>
      <c r="AG4" s="13"/>
      <c r="AH4" s="10"/>
      <c r="AI4" s="13"/>
      <c r="AJ4" s="10"/>
      <c r="AK4" s="13"/>
      <c r="AL4" s="10"/>
      <c r="AM4" s="13"/>
      <c r="AN4" s="67"/>
      <c r="AO4" s="13"/>
      <c r="AP4" s="10"/>
      <c r="AQ4" s="13"/>
      <c r="AR4" s="67"/>
      <c r="AS4" s="50"/>
      <c r="AT4" s="10"/>
      <c r="AU4" s="50"/>
      <c r="AV4" s="10"/>
      <c r="AW4" s="13"/>
      <c r="AX4" s="8"/>
      <c r="AY4" s="9"/>
    </row>
    <row r="5" spans="1:53" ht="15" customHeight="1" x14ac:dyDescent="0.25">
      <c r="A5" s="161" t="s">
        <v>3</v>
      </c>
      <c r="B5" s="161"/>
      <c r="C5" s="137" t="s">
        <v>4</v>
      </c>
      <c r="D5" s="137"/>
      <c r="E5" s="137"/>
      <c r="F5" s="10"/>
      <c r="G5" s="10"/>
      <c r="H5" s="10"/>
      <c r="I5" s="10"/>
      <c r="J5" s="10"/>
      <c r="K5" s="10"/>
      <c r="L5" s="10"/>
      <c r="M5" s="11"/>
      <c r="N5" s="12"/>
      <c r="O5" s="13"/>
      <c r="P5" s="10"/>
      <c r="Q5" s="11"/>
      <c r="R5" s="10"/>
      <c r="S5" s="13"/>
      <c r="T5" s="67"/>
      <c r="U5" s="11"/>
      <c r="V5" s="10"/>
      <c r="W5" s="13"/>
      <c r="X5" s="10"/>
      <c r="Y5" s="13"/>
      <c r="Z5" s="10"/>
      <c r="AA5" s="13"/>
      <c r="AB5" s="10"/>
      <c r="AC5" s="13"/>
      <c r="AD5" s="10"/>
      <c r="AE5" s="13"/>
      <c r="AF5" s="10"/>
      <c r="AG5" s="13"/>
      <c r="AH5" s="10"/>
      <c r="AI5" s="13"/>
      <c r="AJ5" s="10"/>
      <c r="AK5" s="13"/>
      <c r="AL5" s="10"/>
      <c r="AM5" s="13"/>
      <c r="AN5" s="67"/>
      <c r="AO5" s="13"/>
      <c r="AP5" s="10"/>
      <c r="AQ5" s="13"/>
      <c r="AR5" s="67"/>
      <c r="AS5" s="50"/>
      <c r="AT5" s="10"/>
      <c r="AU5" s="50"/>
      <c r="AV5" s="10"/>
      <c r="AW5" s="13"/>
      <c r="AX5" s="8"/>
      <c r="AY5" s="9"/>
    </row>
    <row r="6" spans="1:53" x14ac:dyDescent="0.25">
      <c r="A6" s="161" t="s">
        <v>5</v>
      </c>
      <c r="B6" s="161"/>
      <c r="C6" s="138">
        <v>2022</v>
      </c>
      <c r="D6" s="139"/>
      <c r="E6" s="138"/>
      <c r="F6" s="10"/>
      <c r="G6" s="10"/>
      <c r="H6" s="10"/>
      <c r="I6" s="10"/>
      <c r="J6" s="10"/>
      <c r="K6" s="10"/>
      <c r="L6" s="10"/>
      <c r="M6" s="11"/>
      <c r="N6" s="12"/>
      <c r="O6" s="13"/>
      <c r="P6" s="10"/>
      <c r="Q6" s="11"/>
      <c r="R6" s="10"/>
      <c r="S6" s="13"/>
      <c r="T6" s="67"/>
      <c r="U6" s="11"/>
      <c r="V6" s="10"/>
      <c r="W6" s="13"/>
      <c r="X6" s="10"/>
      <c r="Y6" s="13"/>
      <c r="Z6" s="10"/>
      <c r="AA6" s="13"/>
      <c r="AB6" s="10"/>
      <c r="AC6" s="13"/>
      <c r="AD6" s="10"/>
      <c r="AE6" s="13"/>
      <c r="AF6" s="10"/>
      <c r="AG6" s="13"/>
      <c r="AH6" s="10"/>
      <c r="AI6" s="13"/>
      <c r="AJ6" s="10"/>
      <c r="AK6" s="13"/>
      <c r="AL6" s="10"/>
      <c r="AM6" s="13"/>
      <c r="AN6" s="67"/>
      <c r="AO6" s="13"/>
      <c r="AP6" s="10"/>
      <c r="AQ6" s="13"/>
      <c r="AR6" s="67"/>
      <c r="AS6" s="50"/>
      <c r="AT6" s="10"/>
      <c r="AU6" s="50"/>
      <c r="AV6" s="10"/>
      <c r="AW6" s="13"/>
      <c r="AX6" s="8"/>
      <c r="AY6" s="9"/>
    </row>
    <row r="7" spans="1:53" x14ac:dyDescent="0.25">
      <c r="A7" s="161" t="s">
        <v>6</v>
      </c>
      <c r="B7" s="161"/>
      <c r="C7" s="138" t="s">
        <v>55</v>
      </c>
      <c r="D7" s="139"/>
      <c r="E7" s="138"/>
      <c r="F7" s="10"/>
      <c r="G7" s="10"/>
      <c r="H7" s="10"/>
      <c r="I7" s="10"/>
      <c r="J7" s="10"/>
      <c r="K7" s="10"/>
      <c r="L7" s="10"/>
      <c r="M7" s="11"/>
      <c r="N7" s="12"/>
      <c r="O7" s="13"/>
      <c r="P7" s="10"/>
      <c r="Q7" s="11"/>
      <c r="R7" s="10"/>
      <c r="S7" s="13"/>
      <c r="T7" s="67"/>
      <c r="U7" s="11"/>
      <c r="V7" s="10"/>
      <c r="W7" s="13"/>
      <c r="X7" s="10"/>
      <c r="Y7" s="13"/>
      <c r="Z7" s="10"/>
      <c r="AA7" s="13"/>
      <c r="AB7" s="10"/>
      <c r="AC7" s="13"/>
      <c r="AD7" s="10"/>
      <c r="AE7" s="13"/>
      <c r="AF7" s="10"/>
      <c r="AG7" s="13"/>
      <c r="AH7" s="10"/>
      <c r="AI7" s="13"/>
      <c r="AJ7" s="10"/>
      <c r="AK7" s="13"/>
      <c r="AL7" s="10"/>
      <c r="AM7" s="13"/>
      <c r="AN7" s="67"/>
      <c r="AO7" s="13"/>
      <c r="AP7" s="10"/>
      <c r="AQ7" s="13"/>
      <c r="AR7" s="67"/>
      <c r="AS7" s="50"/>
      <c r="AT7" s="10"/>
      <c r="AU7" s="50"/>
      <c r="AV7" s="10"/>
      <c r="AW7" s="13"/>
      <c r="AX7" s="8"/>
      <c r="AY7" s="9"/>
    </row>
    <row r="8" spans="1:53" x14ac:dyDescent="0.25">
      <c r="A8" s="3"/>
      <c r="B8" s="10"/>
      <c r="C8" s="10"/>
      <c r="D8" s="10"/>
      <c r="E8" s="14"/>
      <c r="F8" s="10"/>
      <c r="G8" s="10"/>
      <c r="H8" s="10"/>
      <c r="I8" s="10"/>
      <c r="J8" s="10"/>
      <c r="K8" s="10"/>
      <c r="L8" s="10"/>
      <c r="M8" s="11"/>
      <c r="N8" s="12"/>
      <c r="O8" s="13"/>
      <c r="P8" s="10"/>
      <c r="Q8" s="11"/>
      <c r="R8" s="10"/>
      <c r="S8" s="13"/>
      <c r="T8" s="67"/>
      <c r="U8" s="11"/>
      <c r="V8" s="10"/>
      <c r="W8" s="13"/>
      <c r="X8" s="10"/>
      <c r="Y8" s="13"/>
      <c r="Z8" s="10"/>
      <c r="AA8" s="13"/>
      <c r="AB8" s="10"/>
      <c r="AC8" s="13"/>
      <c r="AD8" s="10"/>
      <c r="AE8" s="13"/>
      <c r="AF8" s="10"/>
      <c r="AG8" s="13"/>
      <c r="AH8" s="10"/>
      <c r="AI8" s="13"/>
      <c r="AJ8" s="10"/>
      <c r="AK8" s="13"/>
      <c r="AL8" s="10"/>
      <c r="AM8" s="13"/>
      <c r="AN8" s="67"/>
      <c r="AO8" s="13"/>
      <c r="AP8" s="10"/>
      <c r="AQ8" s="13"/>
      <c r="AR8" s="67"/>
      <c r="AS8" s="50"/>
      <c r="AT8" s="10"/>
      <c r="AU8" s="50"/>
      <c r="AV8" s="10"/>
      <c r="AW8" s="13"/>
      <c r="AX8" s="8"/>
      <c r="AY8" s="9"/>
    </row>
    <row r="9" spans="1:53" ht="38.25" x14ac:dyDescent="0.25">
      <c r="A9" s="15" t="s">
        <v>7</v>
      </c>
      <c r="B9" s="15" t="s">
        <v>8</v>
      </c>
      <c r="C9" s="16" t="s">
        <v>9</v>
      </c>
      <c r="D9" s="15" t="s">
        <v>10</v>
      </c>
      <c r="E9" s="17" t="s">
        <v>11</v>
      </c>
      <c r="F9" s="16" t="s">
        <v>12</v>
      </c>
      <c r="G9" s="16" t="s">
        <v>13</v>
      </c>
      <c r="H9" s="16" t="s">
        <v>14</v>
      </c>
      <c r="I9" s="59" t="s">
        <v>15</v>
      </c>
      <c r="J9" s="16" t="s">
        <v>16</v>
      </c>
      <c r="K9" s="16" t="s">
        <v>17</v>
      </c>
      <c r="L9" s="16" t="s">
        <v>18</v>
      </c>
      <c r="M9" s="18" t="s">
        <v>19</v>
      </c>
      <c r="N9" s="19" t="s">
        <v>20</v>
      </c>
      <c r="O9" s="20" t="s">
        <v>21</v>
      </c>
      <c r="P9" s="16" t="s">
        <v>22</v>
      </c>
      <c r="Q9" s="18" t="s">
        <v>23</v>
      </c>
      <c r="R9" s="16" t="s">
        <v>24</v>
      </c>
      <c r="S9" s="20" t="s">
        <v>25</v>
      </c>
      <c r="T9" s="23" t="s">
        <v>26</v>
      </c>
      <c r="U9" s="18" t="s">
        <v>27</v>
      </c>
      <c r="V9" s="16" t="s">
        <v>28</v>
      </c>
      <c r="W9" s="20" t="s">
        <v>29</v>
      </c>
      <c r="X9" s="16" t="s">
        <v>59</v>
      </c>
      <c r="Y9" s="20" t="s">
        <v>30</v>
      </c>
      <c r="Z9" s="16" t="s">
        <v>31</v>
      </c>
      <c r="AA9" s="20" t="s">
        <v>32</v>
      </c>
      <c r="AB9" s="16" t="s">
        <v>33</v>
      </c>
      <c r="AC9" s="21" t="s">
        <v>34</v>
      </c>
      <c r="AD9" s="16" t="s">
        <v>35</v>
      </c>
      <c r="AE9" s="20" t="s">
        <v>36</v>
      </c>
      <c r="AF9" s="16" t="s">
        <v>37</v>
      </c>
      <c r="AG9" s="20" t="s">
        <v>38</v>
      </c>
      <c r="AH9" s="16" t="s">
        <v>39</v>
      </c>
      <c r="AI9" s="20" t="s">
        <v>60</v>
      </c>
      <c r="AJ9" s="16" t="s">
        <v>61</v>
      </c>
      <c r="AK9" s="20" t="s">
        <v>40</v>
      </c>
      <c r="AL9" s="16" t="s">
        <v>41</v>
      </c>
      <c r="AM9" s="21" t="s">
        <v>42</v>
      </c>
      <c r="AN9" s="23" t="s">
        <v>43</v>
      </c>
      <c r="AO9" s="21" t="s">
        <v>44</v>
      </c>
      <c r="AP9" s="16" t="s">
        <v>45</v>
      </c>
      <c r="AQ9" s="20" t="s">
        <v>46</v>
      </c>
      <c r="AR9" s="23" t="s">
        <v>47</v>
      </c>
      <c r="AS9" s="54" t="s">
        <v>62</v>
      </c>
      <c r="AT9" s="16" t="s">
        <v>63</v>
      </c>
      <c r="AU9" s="54" t="s">
        <v>64</v>
      </c>
      <c r="AV9" s="16" t="s">
        <v>65</v>
      </c>
      <c r="AW9" s="20" t="s">
        <v>48</v>
      </c>
      <c r="AX9" s="22" t="s">
        <v>49</v>
      </c>
      <c r="AY9" s="23" t="s">
        <v>50</v>
      </c>
      <c r="AZ9" s="24" t="s">
        <v>51</v>
      </c>
      <c r="BA9" s="38"/>
    </row>
    <row r="10" spans="1:53" s="63" customFormat="1" ht="268.5" thickBot="1" x14ac:dyDescent="0.25">
      <c r="A10" s="71">
        <v>1</v>
      </c>
      <c r="B10" s="69" t="s">
        <v>57</v>
      </c>
      <c r="C10" s="72" t="s">
        <v>53</v>
      </c>
      <c r="D10" s="69" t="s">
        <v>54</v>
      </c>
      <c r="E10" s="70" t="s">
        <v>58</v>
      </c>
      <c r="F10" s="69" t="s">
        <v>52</v>
      </c>
      <c r="G10" s="25"/>
      <c r="H10" s="25"/>
      <c r="I10" s="25"/>
      <c r="J10" s="25"/>
      <c r="K10" s="25"/>
      <c r="L10" s="29"/>
      <c r="M10" s="31"/>
      <c r="N10" s="26"/>
      <c r="O10" s="27"/>
      <c r="P10" s="26"/>
      <c r="Q10" s="28"/>
      <c r="R10" s="26"/>
      <c r="S10" s="27"/>
      <c r="T10" s="66"/>
      <c r="U10" s="28"/>
      <c r="V10" s="26"/>
      <c r="W10" s="27"/>
      <c r="X10" s="26">
        <f>+W10*AX10</f>
        <v>0</v>
      </c>
      <c r="Y10" s="27"/>
      <c r="Z10" s="26"/>
      <c r="AA10" s="27">
        <v>5000</v>
      </c>
      <c r="AB10" s="26">
        <f>+AA10*AX10</f>
        <v>4000000</v>
      </c>
      <c r="AC10" s="27"/>
      <c r="AD10" s="33"/>
      <c r="AE10" s="27"/>
      <c r="AF10" s="33"/>
      <c r="AG10" s="27"/>
      <c r="AH10" s="26"/>
      <c r="AI10" s="27"/>
      <c r="AJ10" s="26"/>
      <c r="AK10" s="27"/>
      <c r="AL10" s="26"/>
      <c r="AM10" s="27"/>
      <c r="AN10" s="66"/>
      <c r="AO10" s="27"/>
      <c r="AP10" s="26"/>
      <c r="AQ10" s="27"/>
      <c r="AR10" s="66"/>
      <c r="AS10" s="58"/>
      <c r="AT10" s="26"/>
      <c r="AU10" s="58"/>
      <c r="AV10" s="26"/>
      <c r="AW10" s="52">
        <f t="shared" ref="AW10" si="0">+AQ10+AO10+AM10+AK10+AI10+AG10+AE10+AC10+AA10+Y10+W10+U10+S10+Q10+O10+M10+K10+I10+AS10+G10+AU10</f>
        <v>5000</v>
      </c>
      <c r="AX10" s="32">
        <v>800</v>
      </c>
      <c r="AY10" s="39">
        <f t="shared" ref="AY10" si="1">+AW10*AX10</f>
        <v>4000000</v>
      </c>
      <c r="AZ10" s="74" t="s">
        <v>66</v>
      </c>
    </row>
    <row r="11" spans="1:53" s="64" customFormat="1" ht="13.5" thickBot="1" x14ac:dyDescent="0.25">
      <c r="A11" s="40"/>
      <c r="B11" s="41"/>
      <c r="C11" s="42"/>
      <c r="D11" s="43"/>
      <c r="E11" s="30" t="s">
        <v>56</v>
      </c>
      <c r="F11" s="41"/>
      <c r="G11" s="41"/>
      <c r="H11" s="41"/>
      <c r="I11" s="41"/>
      <c r="J11" s="41"/>
      <c r="K11" s="43"/>
      <c r="L11" s="44">
        <f>+K11*AX11</f>
        <v>0</v>
      </c>
      <c r="M11" s="45"/>
      <c r="N11" s="46">
        <f>+M11*AX11</f>
        <v>0</v>
      </c>
      <c r="O11" s="47"/>
      <c r="P11" s="44"/>
      <c r="Q11" s="45"/>
      <c r="R11" s="44"/>
      <c r="S11" s="47"/>
      <c r="T11" s="65"/>
      <c r="U11" s="45"/>
      <c r="V11" s="44"/>
      <c r="W11" s="47"/>
      <c r="X11" s="44"/>
      <c r="Y11" s="47"/>
      <c r="Z11" s="44"/>
      <c r="AA11" s="47"/>
      <c r="AB11" s="44"/>
      <c r="AC11" s="47"/>
      <c r="AD11" s="44"/>
      <c r="AE11" s="47"/>
      <c r="AF11" s="44"/>
      <c r="AG11" s="47"/>
      <c r="AH11" s="44"/>
      <c r="AI11" s="47"/>
      <c r="AJ11" s="44"/>
      <c r="AK11" s="47"/>
      <c r="AL11" s="44"/>
      <c r="AM11" s="47"/>
      <c r="AN11" s="65"/>
      <c r="AO11" s="47"/>
      <c r="AP11" s="44"/>
      <c r="AQ11" s="47"/>
      <c r="AR11" s="65"/>
      <c r="AS11" s="57"/>
      <c r="AT11" s="44"/>
      <c r="AU11" s="62"/>
      <c r="AV11" s="61"/>
      <c r="AW11" s="53"/>
      <c r="AX11" s="48"/>
      <c r="AY11" s="73">
        <f>+SUM(AY10:AY10)</f>
        <v>4000000</v>
      </c>
      <c r="AZ11" s="49"/>
    </row>
    <row r="12" spans="1:53" ht="15.75" thickBot="1" x14ac:dyDescent="0.3"/>
    <row r="13" spans="1:53" ht="57" customHeight="1" x14ac:dyDescent="0.25">
      <c r="C13" s="125" t="s">
        <v>110</v>
      </c>
      <c r="D13" s="155" t="s">
        <v>111</v>
      </c>
      <c r="E13" s="156"/>
    </row>
    <row r="14" spans="1:53" x14ac:dyDescent="0.25">
      <c r="C14" s="126"/>
      <c r="D14" s="129"/>
      <c r="E14" s="134"/>
    </row>
    <row r="15" spans="1:53" x14ac:dyDescent="0.25">
      <c r="C15" s="126" t="s">
        <v>104</v>
      </c>
      <c r="D15" s="157" t="s">
        <v>122</v>
      </c>
      <c r="E15" s="158"/>
    </row>
    <row r="16" spans="1:53" x14ac:dyDescent="0.25">
      <c r="C16" s="126"/>
      <c r="D16" s="130"/>
      <c r="E16" s="134"/>
    </row>
    <row r="17" spans="3:5" ht="60" customHeight="1" x14ac:dyDescent="0.25">
      <c r="C17" s="126" t="s">
        <v>105</v>
      </c>
      <c r="D17" s="159" t="s">
        <v>106</v>
      </c>
      <c r="E17" s="160"/>
    </row>
    <row r="18" spans="3:5" x14ac:dyDescent="0.25">
      <c r="C18" s="126"/>
      <c r="D18" s="131"/>
      <c r="E18" s="134"/>
    </row>
    <row r="19" spans="3:5" x14ac:dyDescent="0.25">
      <c r="C19" s="127" t="s">
        <v>107</v>
      </c>
      <c r="D19" s="132"/>
      <c r="E19" s="134"/>
    </row>
    <row r="20" spans="3:5" x14ac:dyDescent="0.25">
      <c r="C20" s="127"/>
      <c r="D20" s="132"/>
      <c r="E20" s="134"/>
    </row>
    <row r="21" spans="3:5" x14ac:dyDescent="0.25">
      <c r="C21" s="127" t="s">
        <v>108</v>
      </c>
      <c r="D21" s="133" t="s">
        <v>109</v>
      </c>
      <c r="E21" s="134"/>
    </row>
    <row r="22" spans="3:5" ht="15.75" thickBot="1" x14ac:dyDescent="0.3">
      <c r="C22" s="128"/>
      <c r="D22" s="135"/>
      <c r="E22" s="136"/>
    </row>
  </sheetData>
  <mergeCells count="8">
    <mergeCell ref="D13:E13"/>
    <mergeCell ref="D15:E15"/>
    <mergeCell ref="D17:E17"/>
    <mergeCell ref="A7:B7"/>
    <mergeCell ref="B2:AX2"/>
    <mergeCell ref="A4:B4"/>
    <mergeCell ref="A5:B5"/>
    <mergeCell ref="A6:B6"/>
  </mergeCells>
  <conditionalFormatting sqref="B1:B9 E1:E9">
    <cfRule type="duplicateValues" dxfId="19" priority="232"/>
  </conditionalFormatting>
  <conditionalFormatting sqref="E1:E9 B1:B9">
    <cfRule type="duplicateValues" dxfId="18" priority="233"/>
  </conditionalFormatting>
  <conditionalFormatting sqref="E11 B11">
    <cfRule type="duplicateValues" dxfId="17" priority="266"/>
  </conditionalFormatting>
  <conditionalFormatting sqref="B11">
    <cfRule type="duplicateValues" dxfId="16" priority="268"/>
  </conditionalFormatting>
  <conditionalFormatting sqref="B11">
    <cfRule type="duplicateValues" dxfId="15" priority="339"/>
  </conditionalFormatting>
  <conditionalFormatting sqref="E11">
    <cfRule type="duplicateValues" dxfId="14" priority="341"/>
  </conditionalFormatting>
  <conditionalFormatting sqref="E11">
    <cfRule type="duplicateValues" dxfId="13" priority="343"/>
    <cfRule type="duplicateValues" dxfId="12" priority="344"/>
  </conditionalFormatting>
  <conditionalFormatting sqref="B1:B9">
    <cfRule type="duplicateValues" dxfId="11" priority="419"/>
  </conditionalFormatting>
  <conditionalFormatting sqref="E1:E9">
    <cfRule type="duplicateValues" dxfId="10" priority="420"/>
  </conditionalFormatting>
  <conditionalFormatting sqref="E1:E9">
    <cfRule type="duplicateValues" dxfId="9" priority="421"/>
    <cfRule type="duplicateValues" dxfId="8" priority="422"/>
  </conditionalFormatting>
  <conditionalFormatting sqref="C22">
    <cfRule type="duplicateValues" dxfId="7" priority="5"/>
  </conditionalFormatting>
  <conditionalFormatting sqref="C22">
    <cfRule type="duplicateValues" dxfId="6" priority="6"/>
  </conditionalFormatting>
  <conditionalFormatting sqref="C22">
    <cfRule type="duplicateValues" dxfId="5" priority="7"/>
  </conditionalFormatting>
  <conditionalFormatting sqref="C22">
    <cfRule type="duplicateValues" dxfId="4" priority="8"/>
  </conditionalFormatting>
  <conditionalFormatting sqref="C15:C21">
    <cfRule type="duplicateValues" dxfId="3" priority="1"/>
  </conditionalFormatting>
  <conditionalFormatting sqref="C15:C21">
    <cfRule type="duplicateValues" dxfId="2" priority="2"/>
  </conditionalFormatting>
  <conditionalFormatting sqref="C15:C21">
    <cfRule type="duplicateValues" dxfId="1" priority="3"/>
  </conditionalFormatting>
  <conditionalFormatting sqref="C15:C21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"/>
  <sheetViews>
    <sheetView workbookViewId="0">
      <selection activeCell="K18" sqref="K18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2.7109375" customWidth="1"/>
    <col min="8" max="8" width="9.28515625" customWidth="1"/>
    <col min="9" max="9" width="15.5703125" customWidth="1"/>
    <col min="10" max="10" width="14.7109375" style="140" customWidth="1"/>
    <col min="11" max="11" width="15.5703125" customWidth="1"/>
    <col min="13" max="13" width="14.5703125" style="151" bestFit="1" customWidth="1"/>
  </cols>
  <sheetData>
    <row r="1" spans="1:13" ht="30.75" thickBot="1" x14ac:dyDescent="0.3">
      <c r="A1" s="165" t="s">
        <v>67</v>
      </c>
      <c r="B1" s="165"/>
      <c r="C1" s="165"/>
      <c r="D1" s="165"/>
      <c r="E1" s="165"/>
      <c r="F1" s="165"/>
      <c r="G1" s="165"/>
      <c r="H1" s="165"/>
      <c r="I1" s="165"/>
      <c r="J1" s="141" t="s">
        <v>68</v>
      </c>
      <c r="K1" s="75" t="s">
        <v>112</v>
      </c>
    </row>
    <row r="2" spans="1:13" ht="16.5" thickBot="1" x14ac:dyDescent="0.3">
      <c r="A2" s="76"/>
      <c r="B2" s="77"/>
      <c r="C2" s="77"/>
      <c r="D2" s="78"/>
      <c r="E2" s="78"/>
      <c r="F2" s="78"/>
      <c r="G2" s="78"/>
      <c r="H2" s="78"/>
      <c r="I2" s="78"/>
      <c r="J2" s="142"/>
      <c r="K2" s="79"/>
    </row>
    <row r="3" spans="1:13" ht="16.5" thickBot="1" x14ac:dyDescent="0.3">
      <c r="A3" s="166" t="s">
        <v>69</v>
      </c>
      <c r="B3" s="166"/>
      <c r="C3" s="166"/>
      <c r="D3" s="164" t="str">
        <f>'SAF 011'!C4</f>
        <v>040 - MINISTERIO DE SALUD</v>
      </c>
      <c r="E3" s="164"/>
      <c r="F3" s="164"/>
      <c r="G3" s="164"/>
      <c r="H3" s="164"/>
      <c r="I3" s="164"/>
      <c r="J3" s="164"/>
      <c r="K3" s="164"/>
    </row>
    <row r="4" spans="1:13" ht="16.5" thickBot="1" x14ac:dyDescent="0.3">
      <c r="A4" s="163" t="s">
        <v>70</v>
      </c>
      <c r="B4" s="163"/>
      <c r="C4" s="163"/>
      <c r="D4" s="164" t="str">
        <f>'SAF 011'!C5</f>
        <v>011 - DIRECCION PROVINCIAL DE ADMINISTRACION - MINISTERIO DE SALUD</v>
      </c>
      <c r="E4" s="164"/>
      <c r="F4" s="164"/>
      <c r="G4" s="164"/>
      <c r="H4" s="164"/>
      <c r="I4" s="164"/>
      <c r="J4" s="164"/>
      <c r="K4" s="164"/>
    </row>
    <row r="5" spans="1:13" ht="16.5" thickBot="1" x14ac:dyDescent="0.3">
      <c r="A5" s="163" t="s">
        <v>71</v>
      </c>
      <c r="B5" s="163"/>
      <c r="C5" s="163"/>
      <c r="D5" s="164" t="s">
        <v>113</v>
      </c>
      <c r="E5" s="164"/>
      <c r="F5" s="164"/>
      <c r="G5" s="164"/>
      <c r="H5" s="164"/>
      <c r="I5" s="164"/>
      <c r="J5" s="164"/>
      <c r="K5" s="164"/>
    </row>
    <row r="6" spans="1:13" ht="16.5" thickBot="1" x14ac:dyDescent="0.3">
      <c r="A6" s="166" t="s">
        <v>72</v>
      </c>
      <c r="B6" s="166"/>
      <c r="C6" s="166"/>
      <c r="D6" s="164" t="s">
        <v>113</v>
      </c>
      <c r="E6" s="164"/>
      <c r="F6" s="164"/>
      <c r="G6" s="164"/>
      <c r="H6" s="164"/>
      <c r="I6" s="164"/>
      <c r="J6" s="164"/>
      <c r="K6" s="164"/>
    </row>
    <row r="7" spans="1:13" ht="16.5" thickBot="1" x14ac:dyDescent="0.3">
      <c r="A7" s="163" t="s">
        <v>73</v>
      </c>
      <c r="B7" s="163"/>
      <c r="C7" s="163"/>
      <c r="D7" s="164" t="s">
        <v>114</v>
      </c>
      <c r="E7" s="164"/>
      <c r="F7" s="164"/>
      <c r="G7" s="164"/>
      <c r="H7" s="164"/>
      <c r="I7" s="164"/>
      <c r="J7" s="164"/>
      <c r="K7" s="164"/>
    </row>
    <row r="8" spans="1:13" ht="16.5" thickBot="1" x14ac:dyDescent="0.3">
      <c r="A8" s="167" t="s">
        <v>74</v>
      </c>
      <c r="B8" s="167"/>
      <c r="C8" s="167"/>
      <c r="D8" s="168" t="s">
        <v>115</v>
      </c>
      <c r="E8" s="168"/>
      <c r="F8" s="168"/>
      <c r="G8" s="168"/>
      <c r="H8" s="168"/>
      <c r="I8" s="168"/>
      <c r="J8" s="168"/>
      <c r="K8" s="168"/>
    </row>
    <row r="9" spans="1:13" ht="16.5" thickBot="1" x14ac:dyDescent="0.3">
      <c r="A9" s="80"/>
      <c r="B9" s="81"/>
      <c r="C9" s="81"/>
      <c r="D9" s="82"/>
      <c r="E9" s="82"/>
      <c r="F9" s="82"/>
      <c r="G9" s="82"/>
      <c r="H9" s="82"/>
      <c r="I9" s="82"/>
      <c r="J9" s="143"/>
      <c r="K9" s="83"/>
    </row>
    <row r="10" spans="1:13" ht="15.75" thickBot="1" x14ac:dyDescent="0.3">
      <c r="A10" s="177" t="s">
        <v>75</v>
      </c>
      <c r="B10" s="172" t="s">
        <v>76</v>
      </c>
      <c r="C10" s="172" t="s">
        <v>77</v>
      </c>
      <c r="D10" s="172"/>
      <c r="E10" s="172"/>
      <c r="F10" s="172"/>
      <c r="G10" s="172"/>
      <c r="H10" s="172" t="s">
        <v>78</v>
      </c>
      <c r="I10" s="172" t="s">
        <v>79</v>
      </c>
      <c r="J10" s="173" t="s">
        <v>80</v>
      </c>
      <c r="K10" s="178" t="s">
        <v>81</v>
      </c>
    </row>
    <row r="11" spans="1:13" ht="29.25" customHeight="1" thickBot="1" x14ac:dyDescent="0.3">
      <c r="A11" s="177"/>
      <c r="B11" s="172"/>
      <c r="C11" s="172"/>
      <c r="D11" s="172"/>
      <c r="E11" s="172"/>
      <c r="F11" s="172"/>
      <c r="G11" s="172"/>
      <c r="H11" s="172"/>
      <c r="I11" s="172"/>
      <c r="J11" s="173"/>
      <c r="K11" s="178"/>
    </row>
    <row r="12" spans="1:13" s="145" customFormat="1" ht="66" customHeight="1" x14ac:dyDescent="0.25">
      <c r="A12" s="146">
        <v>1</v>
      </c>
      <c r="B12" s="147" t="str">
        <f>'SAF 011'!B10</f>
        <v>2.1.1-705.137</v>
      </c>
      <c r="C12" s="169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70"/>
      <c r="E12" s="170"/>
      <c r="F12" s="170"/>
      <c r="G12" s="171"/>
      <c r="H12" s="147" t="s">
        <v>116</v>
      </c>
      <c r="I12" s="148" t="str">
        <f>'SAF 011'!F10</f>
        <v>UNIDAD</v>
      </c>
      <c r="J12" s="149">
        <f>'SAF 011'!AX10</f>
        <v>800</v>
      </c>
      <c r="K12" s="150">
        <f>'SAF 011'!AW10</f>
        <v>5000</v>
      </c>
      <c r="M12" s="151">
        <f>+J12*K12</f>
        <v>4000000</v>
      </c>
    </row>
    <row r="13" spans="1:13" ht="15.75" x14ac:dyDescent="0.25">
      <c r="A13" s="84"/>
      <c r="B13" s="85"/>
      <c r="C13" s="176"/>
      <c r="D13" s="176"/>
      <c r="E13" s="176"/>
      <c r="F13" s="176"/>
      <c r="G13" s="176"/>
      <c r="H13" s="86"/>
      <c r="I13" s="87"/>
      <c r="J13" s="144"/>
      <c r="K13" s="88"/>
    </row>
    <row r="14" spans="1:13" ht="19.5" thickBot="1" x14ac:dyDescent="0.3">
      <c r="A14" s="174" t="s">
        <v>117</v>
      </c>
      <c r="B14" s="174"/>
      <c r="C14" s="174"/>
      <c r="D14" s="174"/>
      <c r="E14" s="174"/>
      <c r="F14" s="174"/>
      <c r="G14" s="174"/>
      <c r="H14" s="174"/>
      <c r="I14" s="174"/>
      <c r="J14" s="175">
        <f>+M12</f>
        <v>4000000</v>
      </c>
      <c r="K14" s="175"/>
    </row>
  </sheetData>
  <mergeCells count="24">
    <mergeCell ref="C12:G12"/>
    <mergeCell ref="I10:I11"/>
    <mergeCell ref="J10:J11"/>
    <mergeCell ref="A14:I14"/>
    <mergeCell ref="J14:K14"/>
    <mergeCell ref="C13:G13"/>
    <mergeCell ref="A10:A11"/>
    <mergeCell ref="B10:B11"/>
    <mergeCell ref="C10:G11"/>
    <mergeCell ref="H10:H11"/>
    <mergeCell ref="K10:K11"/>
    <mergeCell ref="A6:C6"/>
    <mergeCell ref="D6:K6"/>
    <mergeCell ref="A7:C7"/>
    <mergeCell ref="D7:K7"/>
    <mergeCell ref="A8:C8"/>
    <mergeCell ref="D8:K8"/>
    <mergeCell ref="A5:C5"/>
    <mergeCell ref="D5:K5"/>
    <mergeCell ref="A1:I1"/>
    <mergeCell ref="A3:C3"/>
    <mergeCell ref="D3:K3"/>
    <mergeCell ref="A4:C4"/>
    <mergeCell ref="D4:K4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topLeftCell="A10" workbookViewId="0">
      <selection activeCell="A11" sqref="A11"/>
    </sheetView>
  </sheetViews>
  <sheetFormatPr baseColWidth="10" defaultRowHeight="15" x14ac:dyDescent="0.25"/>
  <cols>
    <col min="1" max="5" width="4.42578125" customWidth="1"/>
    <col min="6" max="6" width="9.28515625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80" t="s">
        <v>5</v>
      </c>
      <c r="B1" s="180"/>
      <c r="C1" s="180"/>
      <c r="D1" s="181">
        <v>2022</v>
      </c>
      <c r="E1" s="181"/>
      <c r="F1" s="89"/>
      <c r="G1" s="89"/>
      <c r="H1" s="90"/>
      <c r="I1" s="90"/>
      <c r="J1" s="90"/>
      <c r="K1" s="90"/>
      <c r="L1" s="90"/>
      <c r="M1" s="90"/>
      <c r="N1" s="90"/>
      <c r="O1" s="91"/>
      <c r="P1" s="182" t="s">
        <v>82</v>
      </c>
      <c r="Q1" s="182"/>
    </row>
    <row r="2" spans="1:17" ht="15.75" thickBot="1" x14ac:dyDescent="0.3">
      <c r="A2" s="92"/>
      <c r="B2" s="93"/>
      <c r="C2" s="93"/>
      <c r="D2" s="93"/>
      <c r="E2" s="93"/>
      <c r="F2" s="93"/>
      <c r="G2" s="94"/>
      <c r="H2" s="95"/>
      <c r="I2" s="95"/>
      <c r="J2" s="95"/>
      <c r="K2" s="95"/>
      <c r="L2" s="95"/>
      <c r="M2" s="95"/>
      <c r="N2" s="95"/>
      <c r="O2" s="93"/>
      <c r="P2" s="182"/>
      <c r="Q2" s="182"/>
    </row>
    <row r="3" spans="1:17" ht="15.75" thickBot="1" x14ac:dyDescent="0.3">
      <c r="A3" s="92"/>
      <c r="B3" s="93"/>
      <c r="C3" s="93"/>
      <c r="D3" s="93"/>
      <c r="E3" s="93"/>
      <c r="F3" s="93"/>
      <c r="G3" s="94"/>
      <c r="H3" s="93"/>
      <c r="I3" s="93"/>
      <c r="J3" s="93"/>
      <c r="K3" s="93"/>
      <c r="L3" s="93"/>
      <c r="M3" s="93"/>
      <c r="N3" s="93"/>
      <c r="O3" s="93"/>
      <c r="P3" s="93"/>
      <c r="Q3" s="96"/>
    </row>
    <row r="4" spans="1:17" ht="15.75" thickBot="1" x14ac:dyDescent="0.3">
      <c r="A4" s="183" t="s">
        <v>83</v>
      </c>
      <c r="B4" s="183"/>
      <c r="C4" s="183"/>
      <c r="D4" s="183"/>
      <c r="E4" s="183"/>
      <c r="F4" s="183"/>
      <c r="G4" s="184" t="str">
        <f>NP!D3</f>
        <v>040 - MINISTERIO DE SALUD</v>
      </c>
      <c r="H4" s="184"/>
      <c r="I4" s="184"/>
      <c r="J4" s="184"/>
      <c r="K4" s="184"/>
      <c r="L4" s="184"/>
      <c r="M4" s="184"/>
      <c r="N4" s="184"/>
      <c r="O4" s="184"/>
      <c r="P4" s="184"/>
      <c r="Q4" s="184"/>
    </row>
    <row r="5" spans="1:17" ht="15.75" thickBot="1" x14ac:dyDescent="0.3">
      <c r="A5" s="185" t="s">
        <v>70</v>
      </c>
      <c r="B5" s="185"/>
      <c r="C5" s="185"/>
      <c r="D5" s="185"/>
      <c r="E5" s="185"/>
      <c r="F5" s="185"/>
      <c r="G5" s="184" t="str">
        <f>NP!D4</f>
        <v>011 - DIRECCION PROVINCIAL DE ADMINISTRACION - MINISTERIO DE SALUD</v>
      </c>
      <c r="H5" s="184"/>
      <c r="I5" s="184"/>
      <c r="J5" s="184"/>
      <c r="K5" s="184"/>
      <c r="L5" s="184"/>
      <c r="M5" s="184"/>
      <c r="N5" s="184"/>
      <c r="O5" s="184"/>
      <c r="P5" s="184"/>
      <c r="Q5" s="184"/>
    </row>
    <row r="6" spans="1:17" ht="15.75" thickBot="1" x14ac:dyDescent="0.3">
      <c r="A6" s="185" t="s">
        <v>71</v>
      </c>
      <c r="B6" s="185"/>
      <c r="C6" s="185"/>
      <c r="D6" s="185"/>
      <c r="E6" s="185"/>
      <c r="F6" s="185"/>
      <c r="G6" s="184" t="str">
        <f>NP!D5</f>
        <v>DIRECCION PROVINCIAL MATERNIDAD, INFANCIA Y ADOLESCENCIA</v>
      </c>
      <c r="H6" s="184"/>
      <c r="I6" s="184"/>
      <c r="J6" s="184"/>
      <c r="K6" s="184"/>
      <c r="L6" s="184"/>
      <c r="M6" s="184"/>
      <c r="N6" s="184"/>
      <c r="O6" s="184"/>
      <c r="P6" s="184"/>
      <c r="Q6" s="184"/>
    </row>
    <row r="7" spans="1:17" ht="15.75" thickBot="1" x14ac:dyDescent="0.3">
      <c r="A7" s="185" t="s">
        <v>72</v>
      </c>
      <c r="B7" s="185"/>
      <c r="C7" s="185"/>
      <c r="D7" s="185"/>
      <c r="E7" s="185"/>
      <c r="F7" s="185"/>
      <c r="G7" s="184" t="str">
        <f>NP!D6</f>
        <v>DIRECCION PROVINCIAL MATERNIDAD, INFANCIA Y ADOLESCENCIA</v>
      </c>
      <c r="H7" s="184"/>
      <c r="I7" s="184"/>
      <c r="J7" s="184"/>
      <c r="K7" s="184"/>
      <c r="L7" s="184"/>
      <c r="M7" s="184"/>
      <c r="N7" s="184"/>
      <c r="O7" s="184"/>
      <c r="P7" s="184"/>
      <c r="Q7" s="184"/>
    </row>
    <row r="8" spans="1:17" ht="15.75" thickBot="1" x14ac:dyDescent="0.3">
      <c r="A8" s="186" t="s">
        <v>84</v>
      </c>
      <c r="B8" s="186"/>
      <c r="C8" s="186"/>
      <c r="D8" s="186"/>
      <c r="E8" s="186"/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</row>
    <row r="9" spans="1:17" ht="20.25" customHeight="1" x14ac:dyDescent="0.25">
      <c r="A9" s="179" t="s">
        <v>85</v>
      </c>
      <c r="B9" s="179"/>
      <c r="C9" s="179"/>
      <c r="D9" s="179"/>
      <c r="E9" s="179"/>
      <c r="F9" s="179"/>
      <c r="G9" s="179"/>
      <c r="H9" s="179"/>
      <c r="I9" s="179"/>
      <c r="J9" s="179"/>
      <c r="K9" s="179"/>
      <c r="L9" s="179"/>
      <c r="M9" s="179"/>
      <c r="N9" s="179"/>
      <c r="O9" s="179"/>
      <c r="P9" s="179"/>
      <c r="Q9" s="179"/>
    </row>
    <row r="10" spans="1:17" ht="69" customHeight="1" x14ac:dyDescent="0.25">
      <c r="A10" s="188" t="s">
        <v>121</v>
      </c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88"/>
      <c r="M10" s="188"/>
      <c r="N10" s="188"/>
      <c r="O10" s="188"/>
      <c r="P10" s="188"/>
      <c r="Q10" s="188"/>
    </row>
    <row r="11" spans="1:17" ht="15.75" thickBot="1" x14ac:dyDescent="0.3">
      <c r="A11" s="97"/>
      <c r="B11" s="98"/>
      <c r="C11" s="98"/>
      <c r="D11" s="98"/>
      <c r="E11" s="98"/>
      <c r="F11" s="98"/>
      <c r="G11" s="99"/>
      <c r="H11" s="98"/>
      <c r="I11" s="98"/>
      <c r="J11" s="98"/>
      <c r="K11" s="98"/>
      <c r="L11" s="98"/>
      <c r="M11" s="98"/>
      <c r="N11" s="98"/>
      <c r="O11" s="98"/>
      <c r="P11" s="98"/>
      <c r="Q11" s="100"/>
    </row>
    <row r="12" spans="1:17" ht="15.75" thickBot="1" x14ac:dyDescent="0.3">
      <c r="A12" s="189" t="s">
        <v>86</v>
      </c>
      <c r="B12" s="189"/>
      <c r="C12" s="189"/>
      <c r="D12" s="189"/>
      <c r="E12" s="189"/>
      <c r="F12" s="189"/>
      <c r="G12" s="189"/>
      <c r="H12" s="189"/>
      <c r="I12" s="189"/>
      <c r="J12" s="189"/>
      <c r="K12" s="189"/>
      <c r="L12" s="189"/>
      <c r="M12" s="189"/>
      <c r="N12" s="189"/>
      <c r="O12" s="189"/>
      <c r="P12" s="189"/>
      <c r="Q12" s="189"/>
    </row>
    <row r="13" spans="1:17" ht="15.75" thickBot="1" x14ac:dyDescent="0.3">
      <c r="A13" s="190" t="s">
        <v>87</v>
      </c>
      <c r="B13" s="190"/>
      <c r="C13" s="190"/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1" t="s">
        <v>88</v>
      </c>
      <c r="P13" s="191"/>
      <c r="Q13" s="192" t="s">
        <v>89</v>
      </c>
    </row>
    <row r="14" spans="1:17" ht="15.75" thickBot="1" x14ac:dyDescent="0.3">
      <c r="A14" s="101" t="s">
        <v>90</v>
      </c>
      <c r="B14" s="102" t="s">
        <v>91</v>
      </c>
      <c r="C14" s="102" t="s">
        <v>92</v>
      </c>
      <c r="D14" s="102" t="s">
        <v>93</v>
      </c>
      <c r="E14" s="102" t="s">
        <v>94</v>
      </c>
      <c r="F14" s="102" t="s">
        <v>95</v>
      </c>
      <c r="G14" s="103" t="s">
        <v>96</v>
      </c>
      <c r="H14" s="102" t="s">
        <v>97</v>
      </c>
      <c r="I14" s="102" t="s">
        <v>98</v>
      </c>
      <c r="J14" s="102" t="s">
        <v>99</v>
      </c>
      <c r="K14" s="102" t="s">
        <v>99</v>
      </c>
      <c r="L14" s="102" t="s">
        <v>100</v>
      </c>
      <c r="M14" s="104" t="s">
        <v>101</v>
      </c>
      <c r="N14" s="105" t="s">
        <v>102</v>
      </c>
      <c r="O14" s="191"/>
      <c r="P14" s="191"/>
      <c r="Q14" s="192"/>
    </row>
    <row r="15" spans="1:17" x14ac:dyDescent="0.25">
      <c r="A15" s="106">
        <v>20</v>
      </c>
      <c r="B15" s="107"/>
      <c r="C15" s="107"/>
      <c r="D15" s="107">
        <v>1</v>
      </c>
      <c r="E15" s="107"/>
      <c r="F15" s="107">
        <v>4901</v>
      </c>
      <c r="G15" s="107">
        <v>3</v>
      </c>
      <c r="H15" s="107">
        <v>1</v>
      </c>
      <c r="I15" s="107">
        <v>2</v>
      </c>
      <c r="J15" s="107">
        <v>1</v>
      </c>
      <c r="K15" s="107">
        <v>1</v>
      </c>
      <c r="L15" s="107"/>
      <c r="M15" s="108">
        <v>1</v>
      </c>
      <c r="N15" s="107" t="s">
        <v>118</v>
      </c>
      <c r="O15" s="193" t="s">
        <v>119</v>
      </c>
      <c r="P15" s="193"/>
      <c r="Q15" s="109">
        <f>NP!M12</f>
        <v>4000000</v>
      </c>
    </row>
    <row r="16" spans="1:17" x14ac:dyDescent="0.25">
      <c r="A16" s="110"/>
      <c r="B16" s="111"/>
      <c r="C16" s="111"/>
      <c r="D16" s="111"/>
      <c r="E16" s="111"/>
      <c r="F16" s="111"/>
      <c r="G16" s="111"/>
      <c r="H16" s="111"/>
      <c r="I16" s="111"/>
      <c r="J16" s="111"/>
      <c r="K16" s="111"/>
      <c r="L16" s="111"/>
      <c r="M16" s="112"/>
      <c r="N16" s="113"/>
      <c r="O16" s="194"/>
      <c r="P16" s="194"/>
      <c r="Q16" s="114"/>
    </row>
    <row r="17" spans="1:17" x14ac:dyDescent="0.25">
      <c r="A17" s="110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2"/>
      <c r="N17" s="113"/>
      <c r="O17" s="195"/>
      <c r="P17" s="195"/>
      <c r="Q17" s="114"/>
    </row>
    <row r="18" spans="1:17" x14ac:dyDescent="0.25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2"/>
      <c r="N18" s="113"/>
      <c r="O18" s="187"/>
      <c r="P18" s="187"/>
      <c r="Q18" s="114"/>
    </row>
    <row r="19" spans="1:17" x14ac:dyDescent="0.25">
      <c r="A19" s="110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2"/>
      <c r="N19" s="113"/>
      <c r="O19" s="187"/>
      <c r="P19" s="187"/>
      <c r="Q19" s="114"/>
    </row>
    <row r="20" spans="1:17" x14ac:dyDescent="0.25">
      <c r="A20" s="110"/>
      <c r="B20" s="111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2"/>
      <c r="N20" s="113"/>
      <c r="O20" s="187"/>
      <c r="P20" s="187"/>
      <c r="Q20" s="114"/>
    </row>
    <row r="21" spans="1:17" x14ac:dyDescent="0.25">
      <c r="A21" s="110"/>
      <c r="B21" s="111"/>
      <c r="C21" s="111"/>
      <c r="D21" s="111"/>
      <c r="E21" s="111"/>
      <c r="F21" s="111"/>
      <c r="G21" s="111"/>
      <c r="H21" s="111"/>
      <c r="I21" s="111"/>
      <c r="J21" s="111"/>
      <c r="K21" s="111"/>
      <c r="L21" s="111"/>
      <c r="M21" s="112"/>
      <c r="N21" s="113"/>
      <c r="O21" s="187"/>
      <c r="P21" s="187"/>
      <c r="Q21" s="114"/>
    </row>
    <row r="22" spans="1:17" x14ac:dyDescent="0.25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2"/>
      <c r="N22" s="113"/>
      <c r="O22" s="187"/>
      <c r="P22" s="187"/>
      <c r="Q22" s="114"/>
    </row>
    <row r="23" spans="1:17" x14ac:dyDescent="0.25">
      <c r="A23" s="110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2"/>
      <c r="N23" s="113"/>
      <c r="O23" s="187"/>
      <c r="P23" s="187"/>
      <c r="Q23" s="114"/>
    </row>
    <row r="24" spans="1:17" x14ac:dyDescent="0.25">
      <c r="A24" s="110"/>
      <c r="B24" s="111"/>
      <c r="C24" s="111"/>
      <c r="D24" s="111"/>
      <c r="E24" s="111"/>
      <c r="F24" s="111"/>
      <c r="G24" s="111"/>
      <c r="H24" s="111"/>
      <c r="I24" s="111"/>
      <c r="J24" s="111"/>
      <c r="K24" s="111"/>
      <c r="L24" s="111"/>
      <c r="M24" s="112"/>
      <c r="N24" s="113"/>
      <c r="O24" s="187"/>
      <c r="P24" s="187"/>
      <c r="Q24" s="114"/>
    </row>
    <row r="25" spans="1:17" x14ac:dyDescent="0.25">
      <c r="A25" s="110"/>
      <c r="B25" s="111"/>
      <c r="C25" s="111"/>
      <c r="D25" s="111"/>
      <c r="E25" s="111"/>
      <c r="F25" s="111"/>
      <c r="G25" s="111"/>
      <c r="H25" s="111"/>
      <c r="I25" s="111"/>
      <c r="J25" s="111"/>
      <c r="K25" s="111"/>
      <c r="L25" s="111"/>
      <c r="M25" s="112"/>
      <c r="N25" s="113"/>
      <c r="O25" s="187"/>
      <c r="P25" s="187"/>
      <c r="Q25" s="114"/>
    </row>
    <row r="26" spans="1:17" x14ac:dyDescent="0.25">
      <c r="A26" s="110"/>
      <c r="B26" s="111"/>
      <c r="C26" s="111"/>
      <c r="D26" s="111"/>
      <c r="E26" s="111"/>
      <c r="F26" s="111"/>
      <c r="G26" s="111"/>
      <c r="H26" s="111"/>
      <c r="I26" s="111"/>
      <c r="J26" s="111"/>
      <c r="K26" s="111"/>
      <c r="L26" s="111"/>
      <c r="M26" s="112"/>
      <c r="N26" s="113"/>
      <c r="O26" s="187"/>
      <c r="P26" s="187"/>
      <c r="Q26" s="114"/>
    </row>
    <row r="27" spans="1:17" x14ac:dyDescent="0.25">
      <c r="A27" s="110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2"/>
      <c r="N27" s="113"/>
      <c r="O27" s="187"/>
      <c r="P27" s="187"/>
      <c r="Q27" s="114"/>
    </row>
    <row r="28" spans="1:17" x14ac:dyDescent="0.25">
      <c r="A28" s="110"/>
      <c r="B28" s="111"/>
      <c r="C28" s="111"/>
      <c r="D28" s="111"/>
      <c r="E28" s="111"/>
      <c r="F28" s="111"/>
      <c r="G28" s="111"/>
      <c r="H28" s="111"/>
      <c r="I28" s="111"/>
      <c r="J28" s="111"/>
      <c r="K28" s="111"/>
      <c r="L28" s="111"/>
      <c r="M28" s="112"/>
      <c r="N28" s="113"/>
      <c r="O28" s="187"/>
      <c r="P28" s="187"/>
      <c r="Q28" s="114"/>
    </row>
    <row r="29" spans="1:17" x14ac:dyDescent="0.25">
      <c r="A29" s="110"/>
      <c r="B29" s="111"/>
      <c r="C29" s="111"/>
      <c r="D29" s="111"/>
      <c r="E29" s="111"/>
      <c r="F29" s="111"/>
      <c r="G29" s="111"/>
      <c r="H29" s="111"/>
      <c r="I29" s="111"/>
      <c r="J29" s="111"/>
      <c r="K29" s="111"/>
      <c r="L29" s="111"/>
      <c r="M29" s="112"/>
      <c r="N29" s="113"/>
      <c r="O29" s="187"/>
      <c r="P29" s="187"/>
      <c r="Q29" s="114"/>
    </row>
    <row r="30" spans="1:17" x14ac:dyDescent="0.25">
      <c r="A30" s="110"/>
      <c r="B30" s="111"/>
      <c r="C30" s="111"/>
      <c r="D30" s="111"/>
      <c r="E30" s="111"/>
      <c r="F30" s="111"/>
      <c r="G30" s="111"/>
      <c r="H30" s="111"/>
      <c r="I30" s="111"/>
      <c r="J30" s="111"/>
      <c r="K30" s="111"/>
      <c r="L30" s="111"/>
      <c r="M30" s="112"/>
      <c r="N30" s="113"/>
      <c r="O30" s="187"/>
      <c r="P30" s="187"/>
      <c r="Q30" s="114"/>
    </row>
    <row r="31" spans="1:17" x14ac:dyDescent="0.25">
      <c r="A31" s="110"/>
      <c r="B31" s="111"/>
      <c r="C31" s="111"/>
      <c r="D31" s="111"/>
      <c r="E31" s="111"/>
      <c r="F31" s="111"/>
      <c r="G31" s="111"/>
      <c r="H31" s="111"/>
      <c r="I31" s="111"/>
      <c r="J31" s="111"/>
      <c r="K31" s="111"/>
      <c r="L31" s="111"/>
      <c r="M31" s="112"/>
      <c r="N31" s="113"/>
      <c r="O31" s="187"/>
      <c r="P31" s="187"/>
      <c r="Q31" s="114"/>
    </row>
    <row r="32" spans="1:17" x14ac:dyDescent="0.25">
      <c r="A32" s="110"/>
      <c r="B32" s="111"/>
      <c r="C32" s="111"/>
      <c r="D32" s="111"/>
      <c r="E32" s="111"/>
      <c r="F32" s="113"/>
      <c r="G32" s="111"/>
      <c r="H32" s="111"/>
      <c r="I32" s="111"/>
      <c r="J32" s="111"/>
      <c r="K32" s="111"/>
      <c r="L32" s="111"/>
      <c r="M32" s="112"/>
      <c r="N32" s="113"/>
      <c r="O32" s="194"/>
      <c r="P32" s="194"/>
      <c r="Q32" s="114"/>
    </row>
    <row r="33" spans="1:17" x14ac:dyDescent="0.25">
      <c r="A33" s="110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2"/>
      <c r="N33" s="113"/>
      <c r="O33" s="194"/>
      <c r="P33" s="194"/>
      <c r="Q33" s="114"/>
    </row>
    <row r="34" spans="1:17" x14ac:dyDescent="0.25">
      <c r="A34" s="110"/>
      <c r="B34" s="111"/>
      <c r="C34" s="111"/>
      <c r="D34" s="111"/>
      <c r="E34" s="111"/>
      <c r="F34" s="113"/>
      <c r="G34" s="111"/>
      <c r="H34" s="111"/>
      <c r="I34" s="111"/>
      <c r="J34" s="111"/>
      <c r="K34" s="111"/>
      <c r="L34" s="111"/>
      <c r="M34" s="112"/>
      <c r="N34" s="113"/>
      <c r="O34" s="194"/>
      <c r="P34" s="194"/>
      <c r="Q34" s="114"/>
    </row>
    <row r="35" spans="1:17" x14ac:dyDescent="0.25">
      <c r="A35" s="110"/>
      <c r="B35" s="111"/>
      <c r="C35" s="111"/>
      <c r="D35" s="111"/>
      <c r="E35" s="111"/>
      <c r="F35" s="113"/>
      <c r="G35" s="111"/>
      <c r="H35" s="111"/>
      <c r="I35" s="111"/>
      <c r="J35" s="111"/>
      <c r="K35" s="111"/>
      <c r="L35" s="111"/>
      <c r="M35" s="112"/>
      <c r="N35" s="113"/>
      <c r="O35" s="194"/>
      <c r="P35" s="194"/>
      <c r="Q35" s="114"/>
    </row>
    <row r="36" spans="1:17" x14ac:dyDescent="0.25">
      <c r="A36" s="115"/>
      <c r="B36" s="116"/>
      <c r="C36" s="116"/>
      <c r="D36" s="116"/>
      <c r="E36" s="116"/>
      <c r="F36" s="117"/>
      <c r="G36" s="116"/>
      <c r="H36" s="116"/>
      <c r="I36" s="116"/>
      <c r="J36" s="116"/>
      <c r="K36" s="116"/>
      <c r="L36" s="116"/>
      <c r="M36" s="118"/>
      <c r="N36" s="119"/>
      <c r="O36" s="199"/>
      <c r="P36" s="199"/>
      <c r="Q36" s="114"/>
    </row>
    <row r="37" spans="1:17" ht="15.75" thickBot="1" x14ac:dyDescent="0.3">
      <c r="A37" s="120"/>
      <c r="B37" s="121"/>
      <c r="C37" s="121"/>
      <c r="D37" s="121"/>
      <c r="E37" s="121"/>
      <c r="F37" s="121"/>
      <c r="G37" s="121"/>
      <c r="H37" s="121"/>
      <c r="I37" s="121"/>
      <c r="J37" s="121"/>
      <c r="K37" s="121"/>
      <c r="L37" s="121"/>
      <c r="M37" s="122"/>
      <c r="N37" s="121"/>
      <c r="O37" s="200"/>
      <c r="P37" s="200"/>
      <c r="Q37" s="123"/>
    </row>
    <row r="38" spans="1:17" ht="15.75" thickBot="1" x14ac:dyDescent="0.3">
      <c r="A38" s="201" t="s">
        <v>120</v>
      </c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124">
        <f>SUM(Q15:Q37)</f>
        <v>4000000</v>
      </c>
    </row>
    <row r="39" spans="1:17" ht="15.75" thickBot="1" x14ac:dyDescent="0.3">
      <c r="A39" s="202"/>
      <c r="B39" s="202"/>
      <c r="C39" s="202"/>
      <c r="D39" s="202"/>
      <c r="E39" s="202"/>
      <c r="F39" s="202"/>
      <c r="G39" s="202"/>
      <c r="H39" s="202"/>
      <c r="I39" s="202"/>
      <c r="J39" s="202"/>
      <c r="K39" s="202"/>
      <c r="L39" s="202"/>
      <c r="M39" s="202"/>
      <c r="N39" s="202"/>
      <c r="O39" s="202"/>
      <c r="P39" s="202"/>
      <c r="Q39" s="202"/>
    </row>
    <row r="40" spans="1:17" ht="15.75" thickBot="1" x14ac:dyDescent="0.3">
      <c r="A40" s="196" t="s">
        <v>103</v>
      </c>
      <c r="B40" s="196"/>
      <c r="C40" s="196"/>
      <c r="D40" s="196"/>
      <c r="E40" s="196"/>
      <c r="F40" s="196"/>
      <c r="G40" s="197"/>
      <c r="H40" s="197"/>
      <c r="I40" s="197"/>
      <c r="J40" s="197"/>
      <c r="K40" s="197"/>
      <c r="L40" s="197"/>
      <c r="M40" s="197"/>
      <c r="N40" s="197"/>
      <c r="O40" s="197"/>
      <c r="P40" s="197"/>
      <c r="Q40" s="197"/>
    </row>
    <row r="41" spans="1:17" ht="15.75" thickBot="1" x14ac:dyDescent="0.3">
      <c r="A41" s="198" t="str">
        <f>NP!D8</f>
        <v>ADQUISICION DEL RUBRO ALIMENTOS PARA PERSONAS (LECHE FORTIFICADA)</v>
      </c>
      <c r="B41" s="198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</row>
    <row r="42" spans="1:17" ht="15.75" thickBot="1" x14ac:dyDescent="0.3">
      <c r="A42" s="198"/>
      <c r="B42" s="198"/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dcterms:created xsi:type="dcterms:W3CDTF">2021-11-12T17:27:33Z</dcterms:created>
  <dcterms:modified xsi:type="dcterms:W3CDTF">2022-02-14T13:49:48Z</dcterms:modified>
</cp:coreProperties>
</file>