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PRAS\Desktop\8 - EX-2022-00927492- -CAT-SA#MS\"/>
    </mc:Choice>
  </mc:AlternateContent>
  <bookViews>
    <workbookView xWindow="0" yWindow="0" windowWidth="23040" windowHeight="9375" tabRatio="753"/>
  </bookViews>
  <sheets>
    <sheet name="F. CM" sheetId="1" r:id="rId1"/>
    <sheet name="ACUERDO" sheetId="2" r:id="rId2"/>
    <sheet name="NP FCIA" sheetId="4" r:id="rId3"/>
    <sheet name="APG FCIA" sheetId="3" r:id="rId4"/>
    <sheet name="NP LAB" sheetId="5" r:id="rId5"/>
    <sheet name="APG LAB" sheetId="6" r:id="rId6"/>
    <sheet name="NP BS" sheetId="9" r:id="rId7"/>
    <sheet name="APG BS" sheetId="10" r:id="rId8"/>
    <sheet name="NP DPO" sheetId="11" r:id="rId9"/>
    <sheet name="APG DPO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2" l="1"/>
  <c r="R5" i="2"/>
  <c r="R6" i="2"/>
  <c r="R7" i="2"/>
  <c r="R8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3" i="2"/>
  <c r="R136" i="2" s="1"/>
  <c r="P4" i="2"/>
  <c r="P5" i="2"/>
  <c r="P6" i="2"/>
  <c r="P7" i="2"/>
  <c r="P8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3" i="2"/>
  <c r="N4" i="2"/>
  <c r="N5" i="2"/>
  <c r="N6" i="2"/>
  <c r="N7" i="2"/>
  <c r="N8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3" i="2"/>
  <c r="J4" i="2"/>
  <c r="J136" i="2" s="1"/>
  <c r="J5" i="2"/>
  <c r="J6" i="2"/>
  <c r="J7" i="2"/>
  <c r="J8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3" i="2"/>
  <c r="H4" i="2"/>
  <c r="H136" i="2" s="1"/>
  <c r="H5" i="2"/>
  <c r="H6" i="2"/>
  <c r="H7" i="2"/>
  <c r="H8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3" i="2"/>
  <c r="S4" i="2"/>
  <c r="S5" i="2"/>
  <c r="U5" i="2" s="1"/>
  <c r="S6" i="2"/>
  <c r="S7" i="2"/>
  <c r="U7" i="2" s="1"/>
  <c r="S8" i="2"/>
  <c r="S10" i="2"/>
  <c r="S11" i="2"/>
  <c r="S12" i="2"/>
  <c r="S13" i="2"/>
  <c r="S14" i="2"/>
  <c r="S15" i="2"/>
  <c r="S16" i="2"/>
  <c r="U16" i="2" s="1"/>
  <c r="S17" i="2"/>
  <c r="U17" i="2" s="1"/>
  <c r="S18" i="2"/>
  <c r="U18" i="2" s="1"/>
  <c r="S19" i="2"/>
  <c r="S20" i="2"/>
  <c r="U20" i="2" s="1"/>
  <c r="S21" i="2"/>
  <c r="S22" i="2"/>
  <c r="S23" i="2"/>
  <c r="S24" i="2"/>
  <c r="U24" i="2" s="1"/>
  <c r="S25" i="2"/>
  <c r="S26" i="2"/>
  <c r="S27" i="2"/>
  <c r="S28" i="2"/>
  <c r="S29" i="2"/>
  <c r="U29" i="2" s="1"/>
  <c r="S30" i="2"/>
  <c r="U30" i="2" s="1"/>
  <c r="S31" i="2"/>
  <c r="S32" i="2"/>
  <c r="U32" i="2" s="1"/>
  <c r="S33" i="2"/>
  <c r="S34" i="2"/>
  <c r="U34" i="2" s="1"/>
  <c r="S35" i="2"/>
  <c r="S36" i="2"/>
  <c r="U36" i="2" s="1"/>
  <c r="S37" i="2"/>
  <c r="S38" i="2"/>
  <c r="S39" i="2"/>
  <c r="S40" i="2"/>
  <c r="S41" i="2"/>
  <c r="S42" i="2"/>
  <c r="U42" i="2" s="1"/>
  <c r="S43" i="2"/>
  <c r="S44" i="2"/>
  <c r="U44" i="2" s="1"/>
  <c r="S45" i="2"/>
  <c r="S46" i="2"/>
  <c r="S47" i="2"/>
  <c r="U47" i="2" s="1"/>
  <c r="S48" i="2"/>
  <c r="U48" i="2" s="1"/>
  <c r="S49" i="2"/>
  <c r="S50" i="2"/>
  <c r="U50" i="2" s="1"/>
  <c r="S51" i="2"/>
  <c r="S52" i="2"/>
  <c r="U52" i="2" s="1"/>
  <c r="S53" i="2"/>
  <c r="S54" i="2"/>
  <c r="S55" i="2"/>
  <c r="S56" i="2"/>
  <c r="S57" i="2"/>
  <c r="S58" i="2"/>
  <c r="S59" i="2"/>
  <c r="S60" i="2"/>
  <c r="S61" i="2"/>
  <c r="S62" i="2"/>
  <c r="S63" i="2"/>
  <c r="U63" i="2" s="1"/>
  <c r="S64" i="2"/>
  <c r="U64" i="2" s="1"/>
  <c r="S65" i="2"/>
  <c r="U65" i="2" s="1"/>
  <c r="S66" i="2"/>
  <c r="U66" i="2" s="1"/>
  <c r="S67" i="2"/>
  <c r="S68" i="2"/>
  <c r="U68" i="2" s="1"/>
  <c r="S69" i="2"/>
  <c r="S70" i="2"/>
  <c r="S71" i="2"/>
  <c r="U71" i="2" s="1"/>
  <c r="S72" i="2"/>
  <c r="U72" i="2" s="1"/>
  <c r="S73" i="2"/>
  <c r="S74" i="2"/>
  <c r="S75" i="2"/>
  <c r="S76" i="2"/>
  <c r="U76" i="2" s="1"/>
  <c r="S77" i="2"/>
  <c r="U77" i="2" s="1"/>
  <c r="S78" i="2"/>
  <c r="U78" i="2" s="1"/>
  <c r="S79" i="2"/>
  <c r="S80" i="2"/>
  <c r="U80" i="2" s="1"/>
  <c r="S81" i="2"/>
  <c r="S82" i="2"/>
  <c r="U82" i="2" s="1"/>
  <c r="S83" i="2"/>
  <c r="S84" i="2"/>
  <c r="U84" i="2" s="1"/>
  <c r="S85" i="2"/>
  <c r="S86" i="2"/>
  <c r="S87" i="2"/>
  <c r="S88" i="2"/>
  <c r="U88" i="2" s="1"/>
  <c r="S89" i="2"/>
  <c r="U89" i="2" s="1"/>
  <c r="S90" i="2"/>
  <c r="U90" i="2" s="1"/>
  <c r="S91" i="2"/>
  <c r="S92" i="2"/>
  <c r="U92" i="2" s="1"/>
  <c r="S93" i="2"/>
  <c r="S94" i="2"/>
  <c r="S95" i="2"/>
  <c r="U95" i="2" s="1"/>
  <c r="S96" i="2"/>
  <c r="U96" i="2" s="1"/>
  <c r="S97" i="2"/>
  <c r="S98" i="2"/>
  <c r="U98" i="2" s="1"/>
  <c r="S99" i="2"/>
  <c r="S100" i="2"/>
  <c r="U100" i="2" s="1"/>
  <c r="S101" i="2"/>
  <c r="U101" i="2" s="1"/>
  <c r="S102" i="2"/>
  <c r="U102" i="2" s="1"/>
  <c r="S103" i="2"/>
  <c r="S104" i="2"/>
  <c r="U104" i="2" s="1"/>
  <c r="S105" i="2"/>
  <c r="S106" i="2"/>
  <c r="S107" i="2"/>
  <c r="S108" i="2"/>
  <c r="U108" i="2" s="1"/>
  <c r="S109" i="2"/>
  <c r="S110" i="2"/>
  <c r="S111" i="2"/>
  <c r="S112" i="2"/>
  <c r="S113" i="2"/>
  <c r="U113" i="2" s="1"/>
  <c r="S114" i="2"/>
  <c r="U114" i="2" s="1"/>
  <c r="S115" i="2"/>
  <c r="S116" i="2"/>
  <c r="U116" i="2" s="1"/>
  <c r="S117" i="2"/>
  <c r="S118" i="2"/>
  <c r="S119" i="2"/>
  <c r="U119" i="2" s="1"/>
  <c r="S120" i="2"/>
  <c r="U120" i="2" s="1"/>
  <c r="S121" i="2"/>
  <c r="S122" i="2"/>
  <c r="S123" i="2"/>
  <c r="S124" i="2"/>
  <c r="U124" i="2" s="1"/>
  <c r="S125" i="2"/>
  <c r="U125" i="2" s="1"/>
  <c r="S126" i="2"/>
  <c r="U126" i="2" s="1"/>
  <c r="S127" i="2"/>
  <c r="U127" i="2" s="1"/>
  <c r="S128" i="2"/>
  <c r="U128" i="2" s="1"/>
  <c r="S129" i="2"/>
  <c r="S130" i="2"/>
  <c r="U130" i="2" s="1"/>
  <c r="S131" i="2"/>
  <c r="S132" i="2"/>
  <c r="U132" i="2" s="1"/>
  <c r="S133" i="2"/>
  <c r="S134" i="2"/>
  <c r="S3" i="2"/>
  <c r="U3" i="2" s="1"/>
  <c r="K12" i="11"/>
  <c r="K13" i="11"/>
  <c r="K14" i="11"/>
  <c r="K15" i="11"/>
  <c r="K16" i="11"/>
  <c r="K17" i="11"/>
  <c r="K18" i="11"/>
  <c r="K19" i="11"/>
  <c r="K20" i="11"/>
  <c r="K21" i="11"/>
  <c r="K22" i="11"/>
  <c r="K23" i="11"/>
  <c r="K13" i="9"/>
  <c r="K14" i="9"/>
  <c r="K15" i="9"/>
  <c r="K16" i="9"/>
  <c r="K17" i="9"/>
  <c r="K18" i="9"/>
  <c r="K12" i="9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12" i="5"/>
  <c r="A41" i="12"/>
  <c r="G7" i="12"/>
  <c r="G6" i="12"/>
  <c r="G5" i="12"/>
  <c r="G4" i="12"/>
  <c r="J23" i="11"/>
  <c r="I23" i="11"/>
  <c r="C23" i="11"/>
  <c r="B23" i="11"/>
  <c r="J22" i="11"/>
  <c r="I22" i="11"/>
  <c r="C22" i="11"/>
  <c r="B22" i="11"/>
  <c r="J21" i="11"/>
  <c r="I21" i="11"/>
  <c r="C21" i="11"/>
  <c r="B21" i="11"/>
  <c r="J20" i="11"/>
  <c r="I20" i="11"/>
  <c r="C20" i="11"/>
  <c r="B20" i="11"/>
  <c r="J19" i="11"/>
  <c r="I19" i="11"/>
  <c r="C19" i="11"/>
  <c r="B19" i="11"/>
  <c r="J18" i="11"/>
  <c r="I18" i="11"/>
  <c r="C18" i="11"/>
  <c r="B18" i="11"/>
  <c r="J17" i="11"/>
  <c r="I17" i="11"/>
  <c r="C17" i="11"/>
  <c r="B17" i="11"/>
  <c r="J16" i="11"/>
  <c r="I16" i="11"/>
  <c r="C16" i="11"/>
  <c r="B16" i="11"/>
  <c r="J15" i="11"/>
  <c r="I15" i="11"/>
  <c r="C15" i="11"/>
  <c r="B15" i="11"/>
  <c r="J14" i="11"/>
  <c r="I14" i="11"/>
  <c r="C14" i="11"/>
  <c r="B14" i="11"/>
  <c r="J13" i="11"/>
  <c r="I13" i="11"/>
  <c r="C13" i="11"/>
  <c r="B13" i="11"/>
  <c r="J12" i="11"/>
  <c r="I12" i="11"/>
  <c r="C12" i="11"/>
  <c r="B12" i="11"/>
  <c r="A41" i="10"/>
  <c r="G7" i="10"/>
  <c r="G6" i="10"/>
  <c r="G5" i="10"/>
  <c r="G4" i="10"/>
  <c r="J18" i="9"/>
  <c r="I18" i="9"/>
  <c r="C18" i="9"/>
  <c r="B18" i="9"/>
  <c r="J17" i="9"/>
  <c r="I17" i="9"/>
  <c r="C17" i="9"/>
  <c r="B17" i="9"/>
  <c r="J16" i="9"/>
  <c r="I16" i="9"/>
  <c r="C16" i="9"/>
  <c r="B16" i="9"/>
  <c r="J15" i="9"/>
  <c r="I15" i="9"/>
  <c r="C15" i="9"/>
  <c r="B15" i="9"/>
  <c r="J14" i="9"/>
  <c r="I14" i="9"/>
  <c r="C14" i="9"/>
  <c r="B14" i="9"/>
  <c r="J13" i="9"/>
  <c r="I13" i="9"/>
  <c r="C13" i="9"/>
  <c r="B13" i="9"/>
  <c r="J12" i="9"/>
  <c r="I12" i="9"/>
  <c r="C12" i="9"/>
  <c r="B12" i="9"/>
  <c r="A41" i="6"/>
  <c r="G7" i="6"/>
  <c r="G6" i="6"/>
  <c r="G5" i="6"/>
  <c r="G4" i="6"/>
  <c r="J26" i="5"/>
  <c r="I26" i="5"/>
  <c r="C26" i="5"/>
  <c r="B26" i="5"/>
  <c r="J25" i="5"/>
  <c r="I25" i="5"/>
  <c r="C25" i="5"/>
  <c r="B25" i="5"/>
  <c r="J24" i="5"/>
  <c r="I24" i="5"/>
  <c r="C24" i="5"/>
  <c r="B24" i="5"/>
  <c r="J23" i="5"/>
  <c r="I23" i="5"/>
  <c r="C23" i="5"/>
  <c r="B23" i="5"/>
  <c r="J22" i="5"/>
  <c r="I22" i="5"/>
  <c r="C22" i="5"/>
  <c r="B22" i="5"/>
  <c r="J21" i="5"/>
  <c r="I21" i="5"/>
  <c r="C21" i="5"/>
  <c r="B21" i="5"/>
  <c r="J20" i="5"/>
  <c r="I20" i="5"/>
  <c r="C20" i="5"/>
  <c r="B20" i="5"/>
  <c r="J19" i="5"/>
  <c r="I19" i="5"/>
  <c r="C19" i="5"/>
  <c r="B19" i="5"/>
  <c r="J18" i="5"/>
  <c r="I18" i="5"/>
  <c r="C18" i="5"/>
  <c r="B18" i="5"/>
  <c r="J17" i="5"/>
  <c r="I17" i="5"/>
  <c r="C17" i="5"/>
  <c r="B17" i="5"/>
  <c r="J16" i="5"/>
  <c r="I16" i="5"/>
  <c r="C16" i="5"/>
  <c r="B16" i="5"/>
  <c r="J15" i="5"/>
  <c r="I15" i="5"/>
  <c r="C15" i="5"/>
  <c r="B15" i="5"/>
  <c r="J14" i="5"/>
  <c r="I14" i="5"/>
  <c r="C14" i="5"/>
  <c r="B14" i="5"/>
  <c r="J13" i="5"/>
  <c r="I13" i="5"/>
  <c r="C13" i="5"/>
  <c r="B13" i="5"/>
  <c r="J12" i="5"/>
  <c r="I12" i="5"/>
  <c r="C12" i="5"/>
  <c r="B12" i="5"/>
  <c r="U4" i="2"/>
  <c r="U6" i="2"/>
  <c r="U8" i="2"/>
  <c r="U10" i="2"/>
  <c r="U12" i="2"/>
  <c r="U13" i="2"/>
  <c r="U14" i="2"/>
  <c r="U19" i="2"/>
  <c r="U21" i="2"/>
  <c r="U22" i="2"/>
  <c r="U23" i="2"/>
  <c r="U25" i="2"/>
  <c r="U27" i="2"/>
  <c r="U28" i="2"/>
  <c r="U33" i="2"/>
  <c r="U35" i="2"/>
  <c r="U37" i="2"/>
  <c r="U38" i="2"/>
  <c r="U39" i="2"/>
  <c r="U40" i="2"/>
  <c r="U41" i="2"/>
  <c r="U43" i="2"/>
  <c r="U45" i="2"/>
  <c r="U46" i="2"/>
  <c r="U49" i="2"/>
  <c r="U51" i="2"/>
  <c r="U53" i="2"/>
  <c r="U54" i="2"/>
  <c r="U55" i="2"/>
  <c r="U56" i="2"/>
  <c r="U57" i="2"/>
  <c r="U58" i="2"/>
  <c r="U59" i="2"/>
  <c r="U60" i="2"/>
  <c r="U61" i="2"/>
  <c r="U62" i="2"/>
  <c r="U67" i="2"/>
  <c r="U69" i="2"/>
  <c r="U70" i="2"/>
  <c r="U81" i="2"/>
  <c r="U83" i="2"/>
  <c r="U85" i="2"/>
  <c r="U86" i="2"/>
  <c r="U87" i="2"/>
  <c r="U97" i="2"/>
  <c r="U99" i="2"/>
  <c r="U103" i="2"/>
  <c r="U105" i="2"/>
  <c r="U106" i="2"/>
  <c r="U107" i="2"/>
  <c r="U110" i="2"/>
  <c r="U112" i="2"/>
  <c r="U115" i="2"/>
  <c r="U117" i="2"/>
  <c r="U118" i="2"/>
  <c r="U121" i="2"/>
  <c r="U122" i="2"/>
  <c r="U129" i="2"/>
  <c r="U131" i="2"/>
  <c r="U133" i="2"/>
  <c r="U134" i="2"/>
  <c r="S135" i="2"/>
  <c r="U135" i="2" s="1"/>
  <c r="A41" i="3"/>
  <c r="G6" i="3"/>
  <c r="G7" i="3"/>
  <c r="G5" i="3"/>
  <c r="G4" i="3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U11" i="2"/>
  <c r="U15" i="2"/>
  <c r="U26" i="2"/>
  <c r="U31" i="2"/>
  <c r="U73" i="2"/>
  <c r="U74" i="2"/>
  <c r="U75" i="2"/>
  <c r="U79" i="2"/>
  <c r="U91" i="2"/>
  <c r="U93" i="2"/>
  <c r="U94" i="2"/>
  <c r="U109" i="2"/>
  <c r="U111" i="2"/>
  <c r="U123" i="2"/>
  <c r="N136" i="2" l="1"/>
  <c r="P136" i="2"/>
  <c r="U136" i="2"/>
  <c r="J29" i="4"/>
  <c r="Q15" i="3" s="1"/>
  <c r="Q38" i="3" s="1"/>
  <c r="J25" i="11"/>
  <c r="Q15" i="12" s="1"/>
  <c r="Q38" i="12" s="1"/>
  <c r="J20" i="9"/>
  <c r="Q15" i="10" s="1"/>
  <c r="Q38" i="10" s="1"/>
  <c r="J28" i="5"/>
  <c r="Q15" i="6" s="1"/>
  <c r="Q38" i="6" s="1"/>
</calcChain>
</file>

<file path=xl/sharedStrings.xml><?xml version="1.0" encoding="utf-8"?>
<sst xmlns="http://schemas.openxmlformats.org/spreadsheetml/2006/main" count="980" uniqueCount="402">
  <si>
    <t>DESCRIPCION</t>
  </si>
  <si>
    <t>UNIDAD DE MEDIDA</t>
  </si>
  <si>
    <t>CANTIDAD SOLICITADA</t>
  </si>
  <si>
    <t>CODIGO DEL ITEM</t>
  </si>
  <si>
    <t>ID</t>
  </si>
  <si>
    <t xml:space="preserve">2.9.5-470.13 </t>
  </si>
  <si>
    <t xml:space="preserve">ALGODONES; TIPO: HIDROFILADO, CAPACIDAD: 500 GR, PRESENTACION: ENVASE X 500 
GR </t>
  </si>
  <si>
    <t>UNIDAD</t>
  </si>
  <si>
    <t xml:space="preserve">2.9.5-428.21 </t>
  </si>
  <si>
    <t xml:space="preserve">BARBIJOS; TIPO: 3 CAPAS </t>
  </si>
  <si>
    <t xml:space="preserve">2.9.5-441.470 </t>
  </si>
  <si>
    <t>CAJA</t>
  </si>
  <si>
    <t xml:space="preserve">GUANTES USO MEDICINAL; TIPO: EXAMINACION , TAMAÑO: GRANDE, MATERIAL: LATEX, 
PRESENTACION: ENVASE X 100 UN </t>
  </si>
  <si>
    <t xml:space="preserve">2.9.5-1909.78 </t>
  </si>
  <si>
    <t xml:space="preserve">GUANTES USO MEDICINAL; TIPO: EXAMINACION , TAMAÑO: MEDIANO, MATERIAL: LATEX, 
PRESENTACION: ENVASE X 100 UN </t>
  </si>
  <si>
    <t xml:space="preserve">2.9.5-1909.79 </t>
  </si>
  <si>
    <t xml:space="preserve">GUANTES USO MEDICINAL; TIPO: EXAMINACION, TAMAÑO: S 6/7, MATERIAL: LATEX, 
PRESENTACION: ENVASE X 100 UN, ESTERIL: NO, TALCO: CON, DESCARTABLE: 
SI </t>
  </si>
  <si>
    <t xml:space="preserve">2.9.5-1909.195 </t>
  </si>
  <si>
    <t xml:space="preserve">JERINGAS DESCARTABLES; CAPACIDAD: 10 mL, AGUJA: SIN, USO: MEDICINAL </t>
  </si>
  <si>
    <t xml:space="preserve">2.9.5-2157.60 </t>
  </si>
  <si>
    <t>2.9.5-441.470</t>
  </si>
  <si>
    <t>2.9.5-441.471</t>
  </si>
  <si>
    <t>2.9.5-441.51</t>
  </si>
  <si>
    <t>2.9.5-470.13</t>
  </si>
  <si>
    <t>2.9.5-428.21</t>
  </si>
  <si>
    <t>2.9.5-2160.10</t>
  </si>
  <si>
    <t>2.9.5-2157.60</t>
  </si>
  <si>
    <t>2.9.5-2157.67</t>
  </si>
  <si>
    <t>2.9.5-8239.1</t>
  </si>
  <si>
    <t>CHATAS; MATERIAL: PVC</t>
  </si>
  <si>
    <t>DESCARTADORES DE AGUJAS; BOCA: 2, CAPACIDAD: 2 L, MODELO: P/AGUJAS COLECTA MULTIPLE, MODELO EQUIPO: P/AGUJAS COLECTA MULTIPLE, SISTEMA DE CIERRE: P/AGUJAS COLECTA MULTIPLE</t>
  </si>
  <si>
    <t>2.9.5-1909.135</t>
  </si>
  <si>
    <t>GUANTES USO MEDICINAL; TIPO: ESTERIL, TAMAÑO: 6 1/2 CAÑA LARGA, MATERIAL: LATEX, PRESENTACION: PAR, ESTERIL: SI, TALCO: SIN, DESCARTABLE: SI</t>
  </si>
  <si>
    <t>2.9.5-1909.79</t>
  </si>
  <si>
    <t>GUANTES USO MEDICINAL; TIPO: EXAMINACION , TAMAÑO: MEDIANO, MATERIAL: LATEX, PRESENTACION: ENVASE X 100 UN</t>
  </si>
  <si>
    <t>JERINGAS DESCARTABLES; CAPACIDAD: 10 mL, AGUJA: SIN, USO: MEDICINAL</t>
  </si>
  <si>
    <t>2.9.5-461.78</t>
  </si>
  <si>
    <t>VENDAS USO MEDICO; TIPO: OVATA, MEDIDA: 10 Cm</t>
  </si>
  <si>
    <t>2.9.5-2205.31</t>
  </si>
  <si>
    <t>PROLONGADORES P/GUIA SUERO; USO: ADMINISTRACION DE SOLUCIONES, MODELO: PT26 LONGITUD: 30 CM</t>
  </si>
  <si>
    <t>2.9.5-931.49</t>
  </si>
  <si>
    <t>TELAS ADHESIVAS; ANCHO: 2,5 Cm, LONG.DE CUERPO: 9 M, TIPO: IMPERMEABLE</t>
  </si>
  <si>
    <t>2.9.5-931.9</t>
  </si>
  <si>
    <t>TELAS ADHESIVAS; LONG.DE CUERPO: 9 M, ANCHO: 5.00 CM, TIPO: HIPOALERGENICA MACROPOROSA TRANSPARENTE</t>
  </si>
  <si>
    <t>2.9.5-6526.10</t>
  </si>
  <si>
    <t>TUBOS P/MEDICINA; TIPO: DE LATEX, USO: P/DRENAJE, PRESENTACION: M, DIMENSION: 5 X 8 MM</t>
  </si>
  <si>
    <t>2.9.5-2569.151</t>
  </si>
  <si>
    <t>TUBOS TRAQUEALES; TIPO: ENDOTRAQUEAL PEDIATR. S/BALON, Nº: 3, NUMERO: 3</t>
  </si>
  <si>
    <t>2.9.5-2569.99</t>
  </si>
  <si>
    <t>TUBOS TRAQUEALES; Nº: 3 1/2 S/BALON DESCARTABLE, TIPO: ENDOTRAQUEAL PEDIATRICO PERFOR, NUMERO: 3 1/2 S/BALON DESCARTABLE</t>
  </si>
  <si>
    <t>2.9.5-461.4</t>
  </si>
  <si>
    <t>VENDAS USO MEDICO; TIPO: CAMBRIC, MEDIDA: 7 CM X 3 M</t>
  </si>
  <si>
    <t>2.9.5-461.29</t>
  </si>
  <si>
    <t>VENDAS USO MEDICO; MEDIDA: 10 CM X 4 M, TIPO: ENYESADA FRAGUADO RAPIDO GYSOFIX</t>
  </si>
  <si>
    <t>2.9.5-461.28</t>
  </si>
  <si>
    <t>VENDAS USO MEDICO; MEDIDA: 15 CM X 4 M, TIPO: ENYESADA FRAGUADO RAPIDO GYSOFIX</t>
  </si>
  <si>
    <t>2.9.5-461.27</t>
  </si>
  <si>
    <t>VENDAS USO MEDICO; , MEDIDA: 20 CM X 4 M, TIPO: ENYESADA FRAGUADO RAPIDO GYSOFIX</t>
  </si>
  <si>
    <t>AGUJAS QUIRURGICAS; TIPO: TERUMO 25GX5/8", ESPECIFICACION: 16/5, UNIDAD VENTA: CAJA X 100, PRESENTACION: CAJA X 100</t>
  </si>
  <si>
    <t>ALGODONES; TIPO: HIDROFILADO, CAPACIDAD: 500 GR, PRESENTACION: ENVASE X 500 GR</t>
  </si>
  <si>
    <t>DESCARTADORES DE AGUJAS; BOCA: 2,CAPACIDAD: 2L, MODELO: P/AGUJAS COLECTA MULTIPLE, MODELO EQUIPO: P/AGUJAS COLECTA MULTIPLE, SISTEMA DE CIERRE: P/AGUJAS COLECTA MULTIPLE</t>
  </si>
  <si>
    <t>2.9.5-1909.195</t>
  </si>
  <si>
    <t>GUANTES USO MEDICINAL; TIPO: EXAMINACION, TAMAÑO: S 6/7, MATERIAL: LATEX, PRESENTACION: ENVASE X 100 UN, ESTERIL: NO, TALCO: CON, DESCARTABLE: SI</t>
  </si>
  <si>
    <t>2.9.5-1909.172</t>
  </si>
  <si>
    <t>GUANTES USO MEDICINAL; TIPO: EXAMINACION, TAMAÑO: S 6/7, MATERIAL: NITRILO, PRESENTACION: ENVASE X 100 UN, ESTERIL: NO, TALCO: SIN, DESCARTABLE: SI</t>
  </si>
  <si>
    <t>2.9.5-1909.174</t>
  </si>
  <si>
    <t>GUANTES USO MEDICINAL; TIPO: EXAMINACION, TAMAÑO: L 8/9, MATERIAL: NITRILO, PRESENTACION: ENVASE X 100 UN, ESTERIL: NO, TALCO: SIN, DESCARTABLE: SI</t>
  </si>
  <si>
    <t>2.9.5-1909.173</t>
  </si>
  <si>
    <t>GUANTES USO MEDICINAL; TIPO: EXAMINACION, TAMAÑO: M 7/8, MATERIAL: NITRILO, PRESENTACION: ENVASE X 100 UN, ESTERIL: NO, TALCO: SIN, DESCARTABLE: SI</t>
  </si>
  <si>
    <t>2.9.5-1909.169</t>
  </si>
  <si>
    <t>GUANTES USO MEDICINAL; TIPO: EXAMINACION, TAMAÑO: L 8/9, MATERIAL: VINILO, PRESENTACION: ENVASE X 100 UN, ESTERIL: NO, TALCO: SIN, DESCARTABLE: SI</t>
  </si>
  <si>
    <t>2.9.5-1909.168</t>
  </si>
  <si>
    <t>GUANTES USO MEDICINAL; TIPO: EXAMINACION, TAMAÑO: M 7/8, MATERIAL: VINILO, PRESENTACION: ENVASE X 100 UN, ESTERIL: NO, TALCO: SIN, DESCARTABLE: SI</t>
  </si>
  <si>
    <t>JERINGAS DESCARTABLES; CAPACIDAD: 5 CM3, AGUJA: SIN, USO: SIN VALOR</t>
  </si>
  <si>
    <t>2.9.5-1909.96</t>
  </si>
  <si>
    <t>GUANTES USO MEDICINAL; TIPO: MANOPLA, TAMAÑO: MEDIANO, MATERIAL: POLIETILENO, PRESENTACION: ENVASE X 100</t>
  </si>
  <si>
    <t>2.9.5-2562.11</t>
  </si>
  <si>
    <t>PORTAOBJETOS P/MICROSCOPIO; MATERIAL: VIDRIO, PRESENTACION: CAJA X 100 UN, TAMAÑO: 25 X 76 X 1,2 MM</t>
  </si>
  <si>
    <t>2.9.5- 446.1</t>
  </si>
  <si>
    <t>BAJALENGUAS DESCARTABLES; USO: ADULTOS, PAQUETES DE UNIDADES: X 100, PRESENTACION: X 100</t>
  </si>
  <si>
    <t>BARBIJOS; TIPO: 3 CAPAS</t>
  </si>
  <si>
    <t>2.9.5- 428.36</t>
  </si>
  <si>
    <t>BARBIJOS; TIPO: COPA N95 SIN VALVULA, MATERIAL: NO TEJIDO, CANTIDAD DE CAPAS: DOS, DESCARTABLE: SI, PRESENTACION: UNIDAD</t>
  </si>
  <si>
    <t>2.9.5- 4198.170</t>
  </si>
  <si>
    <t>ELEMENTOS DESC. P/CIRUGIAS; TIPO: CAMISOLIN HEMORREP. DE 30 GRAMOS CON MANGAS Y PUÑOS ELASTICOS DE 1,4 MTRS DE LARGO, CANTIDAD: POR UNIDAD, PRESENTACION: UNIDAD</t>
  </si>
  <si>
    <t>2.9.5- 1909.203</t>
  </si>
  <si>
    <t>GUANTES USO MEDICINAL; TIPO: ESTERIL, TAMAÑO: 7 CAÑA LARGA, MATERIAL: LATEX, PRESENTACION: PAR, ESTERIL: SI, TALCO: SIN, DESCARTABLE: SI</t>
  </si>
  <si>
    <t>2.9.5- 444.24</t>
  </si>
  <si>
    <t>HOJAS DE BISTURI; TIPO: CAJA X 100 UN, Nº: 15, NUMERO: 15</t>
  </si>
  <si>
    <t>2.9.5-4198.171</t>
  </si>
  <si>
    <t>ELEMENTOS DESC. P/CIRUGIAS; TIPO:
KIT DE CAMISOLIN 50 GRS CON
PUÑO DE ALGODON + COFIA +
BOTAS PAR, PRESENTACION:
INDIVIDUAL, ESTERIL: NO</t>
  </si>
  <si>
    <t>2.9.5</t>
  </si>
  <si>
    <t>2.9.5-2366.2</t>
  </si>
  <si>
    <t>HISOPOS; MATERIAL DE EXTREMOS: ALGODON, PRESENTACION: CAJA X 100</t>
  </si>
  <si>
    <t>Detalle de productos o servicios</t>
  </si>
  <si>
    <t>N°</t>
  </si>
  <si>
    <t>Objeto del gasto</t>
  </si>
  <si>
    <t>Código del ítem</t>
  </si>
  <si>
    <t>Descripción</t>
  </si>
  <si>
    <t>Cantidad</t>
  </si>
  <si>
    <t>UM</t>
  </si>
  <si>
    <t>AGUJAS QUIRURGICAS; TIPO: TERUMO 21GX1", ESPECIFICACION: 25/8, UNIDAD VENTA: CAJA X 100, PRESENTACION: CAJA X 100</t>
  </si>
  <si>
    <t>2.9.5-441.472</t>
  </si>
  <si>
    <t>AGUJAS QUIRURGICAS; TIPO: 25GX5/8", ESPECIFICACION: 16/5, UNIDAD VENTA: CAJA X 100 UN, PRESENTACION: CAJA X 100 UN</t>
  </si>
  <si>
    <t>2.9.5-441.92</t>
  </si>
  <si>
    <t>AGUJAS QUIRURGICAS; TIPO: DESCARTABLE, ESPECIFICACION: 25 X 0,8, UNIDAD VENTA: CAJA X 100, PRESENTACION: CAJA X 100</t>
  </si>
  <si>
    <t>2.9.5-441.356</t>
  </si>
  <si>
    <t>AGUJAS QUIRURGICAS; TIPO: DESCARTABLE, ESPECIFICACION: 40/12, PRESENTACION: ENVASE X 100 UN</t>
  </si>
  <si>
    <t>AGUJAS QUIRURGICAS; TIPO: DESCARTABLE, UNIDAD VENTA: 100, ESPECIFICACION: 40/8, PRESENTACION: 100</t>
  </si>
  <si>
    <t>2.9.5-446.1</t>
  </si>
  <si>
    <t>2.9.5-428.36</t>
  </si>
  <si>
    <t>2.9.5-4198.9</t>
  </si>
  <si>
    <t>ELEMENTOS DESC. P/CIRUGIAS; TIPO: BOTA CAÑA ALTA CON TIRAS, CANTIDAD: 1, PRESENTACION: 1</t>
  </si>
  <si>
    <t>2.5.1</t>
  </si>
  <si>
    <t>2.5.1-9004.1319</t>
  </si>
  <si>
    <t>SALES; COMPUESTO QUIMICO: CAL SODADA, ESTADO: GRANULADO, CALIDAD: MEDICA, PRESENTACION: ENVASE X 1 KG</t>
  </si>
  <si>
    <t>2.9.5-4198.170</t>
  </si>
  <si>
    <t>2.9.5-4198.169</t>
  </si>
  <si>
    <t>ELEMENTOS DESC. P/CIRUGIAS; TIPO: CAMISOLIN HEMORREP. DE 50 GRAMOS CON MANGAS Y PUÑOS ALGODON DE 1,4 MTRS DE LARGO, CANTIDAD: POR UNIDAD, PRESENTACION: UNIDAD</t>
  </si>
  <si>
    <t>2.9.5-4198.28</t>
  </si>
  <si>
    <t>ELEMENTOS DESC. P/CIRUGIAS; TIPO: CEPILLO ESTERIL, CANTIDAD: UNIDAD, PRESENTACION: UNIDAD</t>
  </si>
  <si>
    <t>2.9.5-8050.1</t>
  </si>
  <si>
    <t>CLAMPS UMBILICALES; MATERIAL: PLASTICO, PRESENTACION: UNIDAD</t>
  </si>
  <si>
    <t>2.2.2</t>
  </si>
  <si>
    <t>2.2.2-915.15</t>
  </si>
  <si>
    <t>ROPA DESCARTABLE; ELEMENTO: COFIA, VARIEDAD: CON ELASTICO, ESPECIFICACION: CON ELASTICO</t>
  </si>
  <si>
    <t>2.9.5-2505.24</t>
  </si>
  <si>
    <t>BOLSAS COLECTORAS; TIPO: DE ORINA, USO: PEDIATRICO, CAPACIDAD: 100 CM3</t>
  </si>
  <si>
    <t>2.9.5-9998.1</t>
  </si>
  <si>
    <t>RECIPIENTE RECOLECTOR; TIPO: FRASCO, USO: P/ALIMENTACION ENTERAL, CAPACIDAD: 250 ML</t>
  </si>
  <si>
    <t>2.9.5-466.6</t>
  </si>
  <si>
    <t>CUBRECAMILLAS; TIPO: DESCARTABLE DE 30 GRS, CON ELASTICO DE 80 X 210 CM</t>
  </si>
  <si>
    <t>2.9.5-2160.45</t>
  </si>
  <si>
    <t>DESCARTADORES DE AGUJAS; BOCA: 2, CAPACIDAD: 8 L, MODELO: P/AGUJAS COLECTA MULTIPLE, MODELO EQUIPO: P/AGUJAS COLECTA MULTIPLE, SISTEMA DE CIERRE: P/AGUJAS COLECTA MULTIPLE</t>
  </si>
  <si>
    <t>2.9.5-2225.87</t>
  </si>
  <si>
    <t>ELECTRODOS P/MEDICINA; TIPO: ECG, USO: MONITORIZACION, PIN: SIN, AGUJA: SIN, DESCARTABLE: SI</t>
  </si>
  <si>
    <t>2.9.5-448.46</t>
  </si>
  <si>
    <t>FRASCOS ESTERILES; CAPACIDAD: 125 mL, PRESENTACION: UNIDAD, GRABADO: SIN, USO: UROCULTIVO</t>
  </si>
  <si>
    <t>2.9.5-5723.1</t>
  </si>
  <si>
    <t>ESPATULAS DE AYRE; MATERIAL: MADERA (DESCARTABLE), BOLSA X 100</t>
  </si>
  <si>
    <t>2.9.5-3255.10</t>
  </si>
  <si>
    <t>ESPECULOS DESCARTABLES; TIPO: VAGINAL PEQUEÑO, PRESENTACION: UNIDAD, MATERIAL: PLASTICO</t>
  </si>
  <si>
    <t>2.9.5-3255.12</t>
  </si>
  <si>
    <t>ESPECULOS DESCARTABLES; TIPO: VAGINAL GRANDE, PRESENTACION: UNIDAD, MATERIAL: PLASTICO</t>
  </si>
  <si>
    <t>2.9.5-3255.11</t>
  </si>
  <si>
    <t>ESPECULOS DESCARTABLES; TIPO: VAGINAL MEDIO, PRESENTACION: UNIDAD, MATERIAL: PLASTICO</t>
  </si>
  <si>
    <t>2.5.2</t>
  </si>
  <si>
    <t>2.5.2-3584.1</t>
  </si>
  <si>
    <t>GEL P/ECOGRAFIA; PRESENTACION: ENVASE X 1 Kg</t>
  </si>
  <si>
    <t>2.5.2-3584.3</t>
  </si>
  <si>
    <t>GEL P/ECOGRAFIA; PRESENTACION: ENVASE X 5 Kg</t>
  </si>
  <si>
    <t>2.9.5-1909.224</t>
  </si>
  <si>
    <t>GUANTES USO MEDICINAL; TIPO: ESTERIL, TAMAÑO: 7 1/2 CAÑA LARGA, MATERIAL: NITRILO, PRESENTACION: ENVASE X 50 PAR, ESTERIL: SI, TALCO: SIN, DESCARTABLE: SI</t>
  </si>
  <si>
    <t>2.9.5-1909.203</t>
  </si>
  <si>
    <t>2.9.5-1909.184</t>
  </si>
  <si>
    <t>GUANTES USO MEDICINAL; TIPO: ESTERIL, TAMAÑO: 7 1/2 CAÑA LARGA, MATERIAL: LATEX, PRESENTACION: PAR, ESTERIL: SI, TALCO: SIN, DESCARTABLE: SI</t>
  </si>
  <si>
    <t>2.9.5-1909.202</t>
  </si>
  <si>
    <t>GUANTES USO MEDICINAL; TIPO: ESTERIL, TAMAÑO: 8 CAÑA LARGA, MATERIAL: LATEX, PRESENTACION: PAR, ESTERIL: SI, TALCO: SIN, DESCARTABLE: SI</t>
  </si>
  <si>
    <t>2.9.5-1909.223</t>
  </si>
  <si>
    <t>GUANTES USO MEDICINAL; TIPO: ESTERIL, TAMAÑO: 8 1/2 CAÑA LARGA, MATERIAL: LATEX, PRESENTACION: PAR, ESTERIL: SI, TALCO: SIN, DESCARTABLE: SI</t>
  </si>
  <si>
    <t>2.9.5-1909.78</t>
  </si>
  <si>
    <t>GUANTES USO MEDICINAL; TIPO: EXAMINACION , TAMAÑO: GRANDE, MATERIAL: LATEX, PRESENTACION: ENVASE X 100 UN</t>
  </si>
  <si>
    <t>2.9.5-444.60</t>
  </si>
  <si>
    <t>HOJAS DE BISTURI; TIPO: CAJA X 100 UN, Nº: 10, NUMERO: 10</t>
  </si>
  <si>
    <t>2.9.5-444.22</t>
  </si>
  <si>
    <t>HOJAS DE BISTURI; TIPO: CAJA X 100 UN, Nº: 11, NUMERO: 11</t>
  </si>
  <si>
    <t>2.9.5-444.24</t>
  </si>
  <si>
    <t>2.9.5-444.31</t>
  </si>
  <si>
    <t>HOJAS DE BISTURI; TIPO: CAJA X 100 UN, Nº: 22, NUMERO: 22</t>
  </si>
  <si>
    <t>2.9.5-444.61</t>
  </si>
  <si>
    <t>HOJAS DE BISTURI; TIPO: CAJA X 100 UN, Nº: 23, NUMERO: 23</t>
  </si>
  <si>
    <t>2.9.5-444.32</t>
  </si>
  <si>
    <t>HOJAS DE BISTURI; TIPO: CAJA X 100 UN, Nº: 24, NUMERO: 24</t>
  </si>
  <si>
    <t>2.9.5-2157.121</t>
  </si>
  <si>
    <t>JERINGAS DESCARTABLES; CAPACIDAD: 50 CM3, AGUJA: SIN, USO: TIPO TOMEY</t>
  </si>
  <si>
    <t>2.9.5-2157.120</t>
  </si>
  <si>
    <t>JERINGAS DESCARTABLES; CAPACIDAD: 20 CM3, AGUJA: SIN, USO: MEDICINAL</t>
  </si>
  <si>
    <t>2.9.5-2157.86</t>
  </si>
  <si>
    <t>JERINGAS DESCARTABLES; CAPACIDAD: 60 CM3, AGUJA: SIN, USO: SIN VALOR</t>
  </si>
  <si>
    <t>2.9.5-2157.154</t>
  </si>
  <si>
    <t>JERINGAS DESCARTABLES; CAPACIDAD: 1 mL, AGUJA: 16/5, USO: INSULINA</t>
  </si>
  <si>
    <t>2.9.5-2157.99</t>
  </si>
  <si>
    <t>JERINGAS DESCARTABLES; CAPACIDAD: 1 CM3, AGUJA: SIN, USO: TUBERCULINA</t>
  </si>
  <si>
    <t>2.9.5-2157.140</t>
  </si>
  <si>
    <t>JERINGAS DESCARTABLES; CAPACIDAD: 2,5 mL, AGUJA: SIN, USO: MEDICINAL</t>
  </si>
  <si>
    <t>ELEMENTOS DESC. P/CIRUGIAS; TIPO: KIT DE CAMISOLIN 50 GRS CON PUÑO DE ALGODON + COFIA + BOTAS PAR, PRESENTACION: INDIVIDUAL, ESTERIL: NO</t>
  </si>
  <si>
    <t>2.9.5-6535.9</t>
  </si>
  <si>
    <t>MAMADERAS; MATERIAL: VIDRIO BOROSILICATO, TIPO: PYREX, TAPA: CON, VOLUMEN: 75 ML</t>
  </si>
  <si>
    <t>2.9.5-6535.3</t>
  </si>
  <si>
    <t>MAMADERAS; MATERIAL: VIDRIO BOROSILICATO, TIPO: PYREX, TAPA: CON, VOLUMEN: 250 mL</t>
  </si>
  <si>
    <t>2.9.5-461.80</t>
  </si>
  <si>
    <t>VENDAS USO MEDICO; TIPO: OVATA, MEDIDA: 15 Cm</t>
  </si>
  <si>
    <t>2.9.5-461.88</t>
  </si>
  <si>
    <t>VENDAS USO MEDICO; TIPO: OVATA, MEDIDA: 20 Cm</t>
  </si>
  <si>
    <t>2.9.9</t>
  </si>
  <si>
    <t>2.9.9-2504.21</t>
  </si>
  <si>
    <t>PAÑALES; USO: ADULTO, TIPO: DESCARTABLE XG</t>
  </si>
  <si>
    <t>2.9.9-2504.9</t>
  </si>
  <si>
    <t>PAÑALES; TIPO: DESCARTABLE, USO: NIÑO PREMATURO 0,8 A 1,3 Kg</t>
  </si>
  <si>
    <t>2.9.9-2504.11</t>
  </si>
  <si>
    <t>PAÑALES; TIPO: DESCARTABLE, USO: NIÑOS EXTRAGRANDE 12 A 15 Kg</t>
  </si>
  <si>
    <t>2.9.9-2504.13</t>
  </si>
  <si>
    <t>PAÑALES; TIPO: DESCARTABLE, USO: GRANDE 9 A 12,5 Kg</t>
  </si>
  <si>
    <t>2.9.9-2504.3</t>
  </si>
  <si>
    <t>PAÑALES; TIPO: DESCARTABLE, USO: NIÑOS MEDIANOS (5 A 11 KG)</t>
  </si>
  <si>
    <t>2.9.9-2504.2</t>
  </si>
  <si>
    <t>PAÑALES; TIPO: DESCARTABLE, USO: NIÑOS PEQUEÑOS (3 A 6 KG)</t>
  </si>
  <si>
    <t>PORTAOBJETOS P/MICROSCOPIO; MATERIAL: VIDRIO, PRESENTACION: CAJA X 100 UN, TAMAÑO: 25 X 76 X 1,2 mm</t>
  </si>
  <si>
    <t>2.9.5-2205.30</t>
  </si>
  <si>
    <t>PROLONGADORES P/GUIA SUERO; USO: ADMINISTRACION DE SOLUCIONES, MODELO: PT26 LONGITUD: 150 CM</t>
  </si>
  <si>
    <t>2.9.5-2205.32</t>
  </si>
  <si>
    <t>PROLONGADORES P/GUIA SUERO; USO: ADMINISTRACION DE SOLUCIONES, MODELO: PT26 LONGITUD: 50 CM</t>
  </si>
  <si>
    <t>2.9.5-7843.5</t>
  </si>
  <si>
    <t>BRAZALETES P/MEDICINA; MATERIAL: PLASTICO, USO: IDENTIFICACION MADRE - HIJO, TIPO: IDENTIFICATORIA</t>
  </si>
  <si>
    <t>2.9.5-2161.542</t>
  </si>
  <si>
    <t>CATETERES/SONDAS; NUMERO: K-26P, TIPO: NASOGASTRICA C/REGULADOR</t>
  </si>
  <si>
    <t>2.9.5-2161.543</t>
  </si>
  <si>
    <t>CATETERES/SONDAS; NUMERO: K-28P, TIPO: NASOGASTRICA C/REGULADOR</t>
  </si>
  <si>
    <t>2.9.5-2161.160</t>
  </si>
  <si>
    <t>CATETERES/SONDAS; NUMERO: K32P, TIPO: ASPIRACION SECRECIONES</t>
  </si>
  <si>
    <t>2.9.5-2161.544</t>
  </si>
  <si>
    <t>CATETERES/SONDAS; NUMERO: K-29P, TIPO: NASOGASTRICA C/REGULADOR</t>
  </si>
  <si>
    <t>2.9.5-2161.501</t>
  </si>
  <si>
    <t>CATETERES/SONDAS; NUMERO: K-30, TIPO: NASOGASTRICA C/REGULADOR</t>
  </si>
  <si>
    <t>2.9.5-2161.181</t>
  </si>
  <si>
    <t>CATETERES/SONDAS; NUMERO: K-31P, TIPO: NASOGASTRICA C/REGULADOR</t>
  </si>
  <si>
    <t>2.9.5-2161.500</t>
  </si>
  <si>
    <t>CATETERES/SONDAS; NUMERO: K-33, TIPO: NASOGASTRICA C/REGULADOR</t>
  </si>
  <si>
    <t>2.9.5-2161.189</t>
  </si>
  <si>
    <t>CATETERES/SONDAS; NUMERO: K-35P, TIPO: NASOGASTRICA C/REGULADOR</t>
  </si>
  <si>
    <t>2.9.5-2161.545</t>
  </si>
  <si>
    <t>CATETERES/SONDAS; NUMERO: SIN, TIPO: TUBO DE LUKEN PARA TOMA DE MUESTRAS</t>
  </si>
  <si>
    <t>2.9.5-931.36</t>
  </si>
  <si>
    <t>TELAS ADHESIVAS; ANCHO: 5 Cm, LONG.DE CUERPO: 9 M, TIPO: IMPERMEABLE</t>
  </si>
  <si>
    <t>2.9.5-931.47</t>
  </si>
  <si>
    <t>TELAS ADHESIVAS; ANCHO: 2,5 Cm, LONG.DE CUERPO: 9 M, TIPO: HIPOALERGICA MICROPOROSA</t>
  </si>
  <si>
    <t>2.9.5-931.21</t>
  </si>
  <si>
    <t>TELAS ADHESIVAS; ANCHO: 5.00 CM, LONG.DE CUERPO: 9 M, TIPO: HIPOALERGENICA MICROPOROSA</t>
  </si>
  <si>
    <t>2.9.5-931.48</t>
  </si>
  <si>
    <t>TELAS ADHESIVAS; ANCHO: 2,5 CM, LONG.DE CUERPO: 9 M, TIPO: HIPOALERGENICA MACROPOROSA TRANSPARENTE</t>
  </si>
  <si>
    <t>2.9.5-3751.41</t>
  </si>
  <si>
    <t>TERMOMETROS MEDICINALES; TIPO: DIGITAL, ESCALA: GRADO CENTIGRADO, RANGO DE TEMPERATURA: 35,5 A 42 °C</t>
  </si>
  <si>
    <t>2.9.9-7939.1</t>
  </si>
  <si>
    <t>TETINAS; MATERIAL: SILICONA, TAMAÑO MAMADERA: 250 CM3, NUMERO: 1</t>
  </si>
  <si>
    <t>2.9.9-7939.3</t>
  </si>
  <si>
    <t>TETINAS; MATERIAL: SILICONA, TAMAÑO MAMADERA: 500 CM3, NUMERO: 2</t>
  </si>
  <si>
    <t>2.9.9-7939.4</t>
  </si>
  <si>
    <t>TETINAS; MATERIAL: SILICONA, TAMAÑO MAMADERA: PIPETA PASTEUR, NUMERO: 3</t>
  </si>
  <si>
    <t>2.9.5-6526.58</t>
  </si>
  <si>
    <t>TUBOS P/MEDICINA; TIPO: DE LATEX, USO: P/DRENAJE, PRESENTACION: 1 M, DIMENSION: 3 X 5 MM</t>
  </si>
  <si>
    <t>2.9.5-2569.45</t>
  </si>
  <si>
    <t>TUBOS TRAQUEALES; TIPO: ENDOTRAQUEAL C/BALON, NUMERO: 2,5 MM</t>
  </si>
  <si>
    <t>2.9.5-2569.27</t>
  </si>
  <si>
    <t>TUBOS TRAQUEALES; TIPO: ENDOTRAQUEAL S/BALON, NUMERO: 6 MM</t>
  </si>
  <si>
    <t>2.9.5-2569.19</t>
  </si>
  <si>
    <t>TUBOS TRAQUEALES; TIPO: ENDOTRAQUEAL S/BALON, NUMERO: 6,5 MM</t>
  </si>
  <si>
    <t>2.9.5-2569.89</t>
  </si>
  <si>
    <t>TUBOS TRAQUEALES; TIPO: ENDOTRAQUEAL S/BALON, NUMERO: 2,5 MM</t>
  </si>
  <si>
    <t>2.9.5-2569.9</t>
  </si>
  <si>
    <t>TUBOS TRAQUEALES; TIPO: ENDOTRAQUEAL S/BALON, NUMERO: 4 MM</t>
  </si>
  <si>
    <t>2.9.5-2569.20</t>
  </si>
  <si>
    <t>TUBOS TRAQUEALES; TIPO: ENDOTRAQUEAL S/BALON, NUMERO: 4,5 MM</t>
  </si>
  <si>
    <t>2.9.5-2569.10</t>
  </si>
  <si>
    <t>TUBOS TRAQUEALES; TIPO: ENDOTRAQUEAL S/BALON, NUMERO: 5 MM</t>
  </si>
  <si>
    <t>2.9.5-2569.139</t>
  </si>
  <si>
    <t>TUBOS TRAQUEALES; TIPO: ENDOTRAQUEAL S/BALON, NUMERO: 5,5 MM</t>
  </si>
  <si>
    <t>2.9.5-2569.15</t>
  </si>
  <si>
    <t>TUBOS TRAQUEALES; TIPO: ENDOTRAQUEAL C/BALON, NUMERO: 3 MM</t>
  </si>
  <si>
    <t>2.9.5-2569.48</t>
  </si>
  <si>
    <t>TUBOS TRAQUEALES; TIPO: ENDOTRAQUEAL C/BALON, NUMERO: 3,5 MM</t>
  </si>
  <si>
    <t>2.9.5-2569.50</t>
  </si>
  <si>
    <t>TUBOS TRAQUEALES; TIPO: ENDOTRAQUEAL C/BALON, NUMERO: 6 MM</t>
  </si>
  <si>
    <t>2.9.5-2569.43</t>
  </si>
  <si>
    <t>TUBOS TRAQUEALES; TIPO: ENDOTRAQUEAL C/BALON, NUMERO: 6,5 MM</t>
  </si>
  <si>
    <t>2.9.5-2569.11</t>
  </si>
  <si>
    <t>TUBOS TRAQUEALES; TIPO: ENDOTRAQUEAL C/BALON, NUMERO: 7 MM</t>
  </si>
  <si>
    <t>2.9.5-2569.1</t>
  </si>
  <si>
    <t>TUBOS TRAQUEALES; TIPO: ENDOTRAQUEAL C/BALON, NUMERO: 7,5 MM</t>
  </si>
  <si>
    <t>2.9.5-2569.4</t>
  </si>
  <si>
    <t>TUBOS TRAQUEALES; TIPO: ENDOTRAQUEAL C/BALON, NUMERO: 8 MM</t>
  </si>
  <si>
    <t>2.9.5-2569.111</t>
  </si>
  <si>
    <t>TUBOS TRAQUEALES; TIPO: ENDOTRAQUEAL C/ BALON, NUMERO: 8,5 MM</t>
  </si>
  <si>
    <t>2.9.5-2569.29</t>
  </si>
  <si>
    <t>TUBOS TRAQUEALES; TIPO: ENDOTRAQUEAL C/BALON, NUMERO: 4 MM</t>
  </si>
  <si>
    <t>2.9.5-2569.28</t>
  </si>
  <si>
    <t>TUBOS TRAQUEALES; TIPO: ENDOTRAQUEAL C/BALON, NUMERO: 4,5 MM</t>
  </si>
  <si>
    <t>2.9.5-2569.36</t>
  </si>
  <si>
    <t>TUBOS TRAQUEALES; TIPO: ENDOTRAQUEAL C/BALON, NUMERO: 5 MM</t>
  </si>
  <si>
    <t>2.9.5-2569.35</t>
  </si>
  <si>
    <t>TUBOS TRAQUEALES; TIPO: ENDOTRAQUEAL C/BALON, NUMERO: 5,5 MM</t>
  </si>
  <si>
    <t>2.9.5-6527.36</t>
  </si>
  <si>
    <t>TUBULADURAS; TIPO: TRANSPARENTE DE PVC, USO: MEDICO, MEDIDAS: 6 MM X 9 MM, PRESENTACION: 50 M</t>
  </si>
  <si>
    <t>2.9.5-6527.37</t>
  </si>
  <si>
    <t>TUBULADURAS; TIPO: TRANSPARENTE DE PVC, USO: MEDICO, MEDIDAS: 7,9 MM X 12,7 MM, PRESENTACION: 50 M</t>
  </si>
  <si>
    <t>2.9.5-6527.38</t>
  </si>
  <si>
    <t>TUBULADURAS; TIPO: TRANSPARENTE DE PVC, USO: MEDICO, MEDIDAS: 8 MM X 11 MM, PRESENTACION: 50 M</t>
  </si>
  <si>
    <t>2.9.5-461.94</t>
  </si>
  <si>
    <t>VENDAS USO MEDICO; TIPO: CAMBRIC, MEDIDA: 5 CM X 3 M</t>
  </si>
  <si>
    <t>2.9.5-461.102</t>
  </si>
  <si>
    <t>VENDAS USO MEDICO; TIPO: CAMBRIC, MEDIDA: 10 CM X 3 M</t>
  </si>
  <si>
    <t>2.9.5-461.11</t>
  </si>
  <si>
    <t>VENDAS USO MEDICO; MEDIDA: 10 CM, TIPO: ELASTICA</t>
  </si>
  <si>
    <t>2.2.3</t>
  </si>
  <si>
    <t>2.2.3-6065.2</t>
  </si>
  <si>
    <t>ZALEA; DESCRIPCION: DESCARTABLE, MEDIDA: 60 X 90 Cm, USO: SANITARIO</t>
  </si>
  <si>
    <t>Precio Unitario</t>
  </si>
  <si>
    <t>Cantidad Total MS</t>
  </si>
  <si>
    <t>Cantidad Farmacia</t>
  </si>
  <si>
    <t>Cantidad Laboratorio</t>
  </si>
  <si>
    <t>Cantidad SAME</t>
  </si>
  <si>
    <t>Cantidad CUR</t>
  </si>
  <si>
    <t>Cantidad Banco de Sangre</t>
  </si>
  <si>
    <t>Cantidad Odontologia</t>
  </si>
  <si>
    <t>Importe Total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</si>
  <si>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</si>
  <si>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</si>
  <si>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</si>
  <si>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</si>
  <si>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</si>
  <si>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</si>
  <si>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</si>
  <si>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</si>
  <si>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</si>
  <si>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</si>
  <si>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</si>
  <si>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</si>
  <si>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</si>
  <si>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</si>
  <si>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040 - MINISTERIO DE SALUD</t>
  </si>
  <si>
    <t>011 - DIRECCION PROVINCIAL DE ADMINISTRACION - MS</t>
  </si>
  <si>
    <t>UN (1) MES</t>
  </si>
  <si>
    <t>ACUERDO MARCO PEDIDO DE INSUMOS COMUNES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</si>
  <si>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</si>
  <si>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</si>
  <si>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</si>
  <si>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</si>
  <si>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</si>
  <si>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</si>
  <si>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</si>
  <si>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</si>
  <si>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</si>
  <si>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</si>
  <si>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</si>
  <si>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</si>
  <si>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</si>
  <si>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</si>
  <si>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</si>
  <si>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</si>
  <si>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</si>
  <si>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</si>
  <si>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</si>
  <si>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</si>
  <si>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</si>
  <si>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</si>
  <si>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</si>
  <si>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NO</t>
  </si>
  <si>
    <t>1.1</t>
  </si>
  <si>
    <t>DIRECCION PROVINCIAL DE FARMACIA E INSUMOS</t>
  </si>
  <si>
    <t>DIRECCION PROVINCIAL DE LABORATORIO</t>
  </si>
  <si>
    <t>DIRECCION PROVINCIAL BANCO DE SANGRE</t>
  </si>
  <si>
    <t>DIRECCION PROVINCIAL DE ODONTOLOGIA</t>
  </si>
  <si>
    <t>TOTAL RUBRO INSUMOS COMUNES</t>
  </si>
  <si>
    <t>Importe Farmacia</t>
  </si>
  <si>
    <t>Importe Laboratorio</t>
  </si>
  <si>
    <t>Importe SAME</t>
  </si>
  <si>
    <t>Importe CUR</t>
  </si>
  <si>
    <t>Importe Banco de Sangre</t>
  </si>
  <si>
    <t>Importe Odontologia</t>
  </si>
  <si>
    <t>UTILES MENORES MEDICOS, QUIRURGICOS Y DE LABORATORIO</t>
  </si>
  <si>
    <t xml:space="preserve">2.9.5-441.245 </t>
  </si>
  <si>
    <t xml:space="preserve">AGUJAS QUIRURGICAS; TIPO: ESTERIL, ESPECIFICACION: 50/8, UNIDAD VENTA: CAJA X 
100 UN, PRESENTACION: CAJA X 100 UN </t>
  </si>
  <si>
    <t xml:space="preserve">BANCO DE SANGRE </t>
  </si>
  <si>
    <t>JERINGAS DESCARTABLES; CAPACIDAD: 10 ML, AGUJA: SIN, USO: MEDICINAL</t>
  </si>
  <si>
    <t>FARMACIA</t>
  </si>
  <si>
    <t>AGUJAS QUIRURGICAS; TIPO: TERUMO 21 GX1", ESPECIFICACION: 25/8, UNIDAD VENTA: CAJA X 100, PRESENTACION: CAJA X 100</t>
  </si>
  <si>
    <t>LABORATORIO</t>
  </si>
  <si>
    <t>GUANTES USO MEDICINAL; TIPO: EXAMINACION, TAMAÑO: MEDIANO, MATERIAL: LATEX, PRESENTACION: ENVASE X 100 UN</t>
  </si>
  <si>
    <t>2.9.5- 470.13</t>
  </si>
  <si>
    <t xml:space="preserve">UNIDAD  </t>
  </si>
  <si>
    <t>ODONTOLOGIA</t>
  </si>
  <si>
    <t>2.9.5- 428.21</t>
  </si>
  <si>
    <t>2.9.5- 1909.135</t>
  </si>
  <si>
    <t>2.9.5- 1909.195</t>
  </si>
  <si>
    <t>2.9.5- 1909.174</t>
  </si>
  <si>
    <t>2.9.5- 1909.173</t>
  </si>
  <si>
    <t>018/2022</t>
  </si>
  <si>
    <t>008/2022</t>
  </si>
  <si>
    <t>011/2022</t>
  </si>
  <si>
    <t>Costo total estimado: PESOS CIENTO SETENTA Y SIETE MIL TRESCIENTOS TREINTA CON 00/100.-</t>
  </si>
  <si>
    <t>Costo total estimado: PESOS CIENTO CUARENTA Y DOS MIL QUINIENTOS NOVENTA CON 00/100.-</t>
  </si>
  <si>
    <t>Costo total estimado: PESOS CUATROCIENTOS CUARENTA Y UN MIL CUATROCIENTOS NOVENTA Y DOS CON 00/100.-</t>
  </si>
  <si>
    <t>TOTAL DE PESOS: CUATROCIENTOS CUARENTA Y UN MIL CUATROCIENTOS NOVENTA Y DOS CON 00/100.-</t>
  </si>
  <si>
    <t>TOTAL DE PESOS: CIENTO CUARENTA Y DOS MIL QUINIENTOS NOVENTA CON 00/100.-</t>
  </si>
  <si>
    <t>TOTAL DE PESOS: CIENTO SETENTA Y SIETE MIL TRESCIENTOS TREINTA CON 00/100.-</t>
  </si>
  <si>
    <t>Costo total estimado: PESOS CINCO MILLONES DOSCIENTO SESENTA Y DOS MIL CIENTO NOVENTA CON 00/100.-</t>
  </si>
  <si>
    <t>TOTAL DE PESOS:  CINCO MILLONES DOSCIENTO SESENTA Y DOS MIL CIENTO NOVENTA CON 00/100.-</t>
  </si>
  <si>
    <t>006/2022</t>
  </si>
  <si>
    <t xml:space="preserve">AGUJAS QUIRURGICAS; TIPO: TERUMO 21GX1", ESPECIFICACION: 25/8, UNIDAD VENTA: CAJA X 100, PRESENTACION: CAJA X 100
TERUMO </t>
  </si>
  <si>
    <t>Autorizo la realización de los  trámites correspondientes, a fin de proveer a  este Organismo los bienes que se detallan en Nota  de Pedido N° 018/2022 , afectando la erogación resultante a los créditos presupuestarios aprobados a favor de esta Unidad Ejecutora, conforme al siguiente detalle:</t>
  </si>
  <si>
    <t>Autorizo la realización de los  trámites correspondientes, a fin de proveer a  este Organismo los bienes que se detallan en Nota  de Pedido N° 008/2022 , afectando la erogación resultante a los créditos presupuestarios aprobados a favor de esta Unidad Ejecutora, conforme al siguiente detalle:</t>
  </si>
  <si>
    <t>Autorizo la realización de los  trámites correspondientes, a fin de proveer a  este Organismo los bienes que se detallan en Nota  de Pedido N° 011/2022 , afectando la erogación resultante a los créditos presupuestarios aprobados a favor de esta Unidad Ejecutora, conforme al siguiente detalle:</t>
  </si>
  <si>
    <t>Autorizo la realización de los  trámites correspondientes, a fin de proveer a  este Organismo los bienes que se detallan en Nota  de Pedido N° 006/2022 ,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</si>
</sst>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[$$-2C0A]\ * #,##0.00_-;\-[$$-2C0A]\ * #,##0.00_-;_-[$$-2C0A]\ * &quot;-&quot;??_-;_-@_-"/>
    <numFmt numFmtId="165" formatCode="[$$-2C0A]\ #,##0.00"/>
    <numFmt numFmtId="166" formatCode="dd\-mm\-yy;@"/>
    <numFmt numFmtId="167" formatCode="_(\$* #,##0.00_);_(\$* \(#,##0.00\);_(\$* \-??_);_(@_)"/>
    <numFmt numFmtId="168" formatCode="[$$-2C0A]\ #,##0.00;[$$-2C0A]&quot; -&quot;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333333"/>
      <name val="Helvetica"/>
      <family val="2"/>
    </font>
    <font>
      <sz val="12"/>
      <color rgb="FF333333"/>
      <name val="Helvetica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rgb="FF333333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9FE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7" fontId="22" fillId="0" borderId="0" applyBorder="0" applyProtection="0"/>
    <xf numFmtId="0" fontId="11" fillId="0" borderId="0" applyBorder="0"/>
  </cellStyleXfs>
  <cellXfs count="183">
    <xf numFmtId="0" fontId="0" fillId="0" borderId="0" xfId="0"/>
    <xf numFmtId="0" fontId="0" fillId="0" borderId="0" xfId="0" applyBorder="1"/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horizontal="left" vertical="center"/>
    </xf>
    <xf numFmtId="0" fontId="6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164" fontId="8" fillId="0" borderId="0" xfId="0" applyNumberFormat="1" applyFont="1" applyAlignment="1">
      <alignment vertical="center"/>
    </xf>
    <xf numFmtId="164" fontId="0" fillId="0" borderId="0" xfId="0" applyNumberFormat="1"/>
    <xf numFmtId="164" fontId="8" fillId="0" borderId="0" xfId="0" applyNumberFormat="1" applyFont="1" applyFill="1" applyAlignment="1">
      <alignment vertical="center"/>
    </xf>
    <xf numFmtId="164" fontId="8" fillId="0" borderId="0" xfId="0" applyNumberFormat="1" applyFont="1" applyFill="1" applyBorder="1" applyAlignment="1">
      <alignment horizontal="left" vertical="center"/>
    </xf>
    <xf numFmtId="164" fontId="9" fillId="0" borderId="3" xfId="0" applyNumberFormat="1" applyFont="1" applyFill="1" applyBorder="1" applyAlignment="1">
      <alignment horizontal="center" vertical="center" wrapText="1"/>
    </xf>
    <xf numFmtId="164" fontId="10" fillId="0" borderId="4" xfId="0" applyNumberFormat="1" applyFont="1" applyFill="1" applyBorder="1" applyAlignment="1">
      <alignment horizontal="left" vertical="center" shrinkToFit="1"/>
    </xf>
    <xf numFmtId="164" fontId="8" fillId="0" borderId="4" xfId="0" applyNumberFormat="1" applyFont="1" applyFill="1" applyBorder="1" applyAlignment="1">
      <alignment horizontal="left" vertical="center"/>
    </xf>
    <xf numFmtId="164" fontId="10" fillId="0" borderId="4" xfId="0" applyNumberFormat="1" applyFont="1" applyFill="1" applyBorder="1" applyAlignment="1">
      <alignment horizontal="center" vertical="center" shrinkToFit="1"/>
    </xf>
    <xf numFmtId="164" fontId="8" fillId="0" borderId="3" xfId="0" applyNumberFormat="1" applyFont="1" applyFill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 wrapText="1" indent="1"/>
    </xf>
    <xf numFmtId="0" fontId="14" fillId="0" borderId="10" xfId="0" applyFont="1" applyBorder="1" applyAlignment="1">
      <alignment horizontal="left" vertical="center" wrapText="1" indent="1"/>
    </xf>
    <xf numFmtId="0" fontId="17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3" fontId="18" fillId="0" borderId="21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3" fontId="18" fillId="0" borderId="23" xfId="0" applyNumberFormat="1" applyFont="1" applyBorder="1" applyAlignment="1">
      <alignment horizontal="center" vertical="center"/>
    </xf>
    <xf numFmtId="3" fontId="20" fillId="0" borderId="27" xfId="0" applyNumberFormat="1" applyFont="1" applyBorder="1" applyAlignment="1"/>
    <xf numFmtId="166" fontId="0" fillId="0" borderId="27" xfId="0" applyNumberFormat="1" applyBorder="1" applyAlignment="1">
      <alignment horizontal="left"/>
    </xf>
    <xf numFmtId="0" fontId="0" fillId="0" borderId="27" xfId="0" applyBorder="1"/>
    <xf numFmtId="0" fontId="0" fillId="0" borderId="15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10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33" xfId="0" applyBorder="1"/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left" vertical="center"/>
    </xf>
    <xf numFmtId="0" fontId="25" fillId="0" borderId="3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168" fontId="0" fillId="0" borderId="43" xfId="1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8" fontId="0" fillId="0" borderId="48" xfId="1" applyNumberFormat="1" applyFont="1" applyBorder="1" applyAlignment="1" applyProtection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8" fontId="0" fillId="0" borderId="52" xfId="1" applyNumberFormat="1" applyFont="1" applyBorder="1" applyAlignment="1" applyProtection="1">
      <alignment horizontal="center" vertical="center"/>
    </xf>
    <xf numFmtId="168" fontId="25" fillId="0" borderId="54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0" fontId="14" fillId="0" borderId="55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0" fontId="17" fillId="0" borderId="56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3" fontId="18" fillId="0" borderId="58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right" vertical="center"/>
    </xf>
    <xf numFmtId="164" fontId="13" fillId="0" borderId="0" xfId="0" applyNumberFormat="1" applyFont="1" applyBorder="1" applyAlignment="1">
      <alignment vertical="center"/>
    </xf>
    <xf numFmtId="164" fontId="14" fillId="0" borderId="55" xfId="0" applyNumberFormat="1" applyFont="1" applyBorder="1" applyAlignment="1">
      <alignment vertical="center"/>
    </xf>
    <xf numFmtId="164" fontId="14" fillId="0" borderId="0" xfId="0" applyNumberFormat="1" applyFont="1" applyBorder="1" applyAlignment="1">
      <alignment horizontal="left" vertical="center" wrapText="1" indent="1"/>
    </xf>
    <xf numFmtId="164" fontId="18" fillId="0" borderId="20" xfId="0" applyNumberFormat="1" applyFont="1" applyBorder="1" applyAlignment="1">
      <alignment horizontal="center" vertical="center" wrapText="1"/>
    </xf>
    <xf numFmtId="164" fontId="18" fillId="0" borderId="57" xfId="0" applyNumberFormat="1" applyFont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vertical="center"/>
    </xf>
    <xf numFmtId="0" fontId="8" fillId="6" borderId="67" xfId="0" applyFont="1" applyFill="1" applyBorder="1" applyAlignment="1">
      <alignment horizontal="center" vertical="center" wrapText="1"/>
    </xf>
    <xf numFmtId="0" fontId="8" fillId="6" borderId="67" xfId="0" applyFont="1" applyFill="1" applyBorder="1" applyAlignment="1">
      <alignment vertical="center" wrapText="1"/>
    </xf>
    <xf numFmtId="164" fontId="8" fillId="0" borderId="68" xfId="0" applyNumberFormat="1" applyFont="1" applyFill="1" applyBorder="1" applyAlignment="1">
      <alignment vertical="center"/>
    </xf>
    <xf numFmtId="164" fontId="8" fillId="0" borderId="67" xfId="0" applyNumberFormat="1" applyFont="1" applyBorder="1" applyAlignment="1">
      <alignment vertical="center"/>
    </xf>
    <xf numFmtId="164" fontId="9" fillId="0" borderId="2" xfId="0" applyNumberFormat="1" applyFont="1" applyBorder="1" applyAlignment="1">
      <alignment vertical="center"/>
    </xf>
    <xf numFmtId="164" fontId="8" fillId="6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164" fontId="8" fillId="6" borderId="67" xfId="0" applyNumberFormat="1" applyFont="1" applyFill="1" applyBorder="1" applyAlignment="1">
      <alignment horizontal="center" vertical="center" wrapText="1"/>
    </xf>
    <xf numFmtId="0" fontId="2" fillId="0" borderId="55" xfId="0" applyFont="1" applyBorder="1" applyAlignment="1">
      <alignment vertical="center"/>
    </xf>
    <xf numFmtId="164" fontId="2" fillId="0" borderId="55" xfId="0" applyNumberFormat="1" applyFont="1" applyBorder="1" applyAlignment="1">
      <alignment vertical="center"/>
    </xf>
    <xf numFmtId="3" fontId="0" fillId="0" borderId="0" xfId="0" applyNumberFormat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3" fontId="8" fillId="6" borderId="67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/>
    </xf>
    <xf numFmtId="3" fontId="8" fillId="6" borderId="1" xfId="0" applyNumberFormat="1" applyFont="1" applyFill="1" applyBorder="1" applyAlignment="1">
      <alignment vertical="center" wrapText="1"/>
    </xf>
    <xf numFmtId="3" fontId="8" fillId="6" borderId="67" xfId="0" applyNumberFormat="1" applyFont="1" applyFill="1" applyBorder="1" applyAlignment="1">
      <alignment vertical="center" wrapText="1"/>
    </xf>
    <xf numFmtId="3" fontId="2" fillId="0" borderId="55" xfId="0" applyNumberFormat="1" applyFont="1" applyBorder="1" applyAlignment="1">
      <alignment vertical="center"/>
    </xf>
    <xf numFmtId="0" fontId="0" fillId="0" borderId="2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0" fillId="0" borderId="2" xfId="0" applyBorder="1"/>
    <xf numFmtId="0" fontId="0" fillId="4" borderId="2" xfId="0" applyFill="1" applyBorder="1"/>
    <xf numFmtId="0" fontId="7" fillId="0" borderId="0" xfId="0" applyFont="1" applyAlignment="1">
      <alignment horizontal="left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 wrapText="1"/>
    </xf>
    <xf numFmtId="0" fontId="15" fillId="0" borderId="60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164" fontId="16" fillId="0" borderId="17" xfId="0" applyNumberFormat="1" applyFont="1" applyBorder="1" applyAlignment="1">
      <alignment horizontal="center" vertical="center" wrapText="1"/>
    </xf>
    <xf numFmtId="164" fontId="16" fillId="0" borderId="66" xfId="0" applyNumberFormat="1" applyFont="1" applyBorder="1" applyAlignment="1">
      <alignment horizontal="center" vertical="center" wrapText="1"/>
    </xf>
    <xf numFmtId="0" fontId="15" fillId="0" borderId="63" xfId="0" applyFont="1" applyBorder="1" applyAlignment="1">
      <alignment horizontal="left" vertical="center" wrapText="1"/>
    </xf>
    <xf numFmtId="0" fontId="15" fillId="0" borderId="64" xfId="0" applyFont="1" applyBorder="1" applyAlignment="1">
      <alignment horizontal="left" vertical="center" wrapText="1"/>
    </xf>
    <xf numFmtId="0" fontId="15" fillId="0" borderId="65" xfId="0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 indent="1"/>
    </xf>
    <xf numFmtId="165" fontId="26" fillId="0" borderId="61" xfId="0" applyNumberFormat="1" applyFont="1" applyBorder="1" applyAlignment="1">
      <alignment horizontal="center" vertical="center"/>
    </xf>
    <xf numFmtId="165" fontId="26" fillId="0" borderId="6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left"/>
    </xf>
    <xf numFmtId="0" fontId="0" fillId="0" borderId="25" xfId="0" applyFont="1" applyBorder="1" applyAlignment="1">
      <alignment horizontal="center"/>
    </xf>
    <xf numFmtId="3" fontId="20" fillId="0" borderId="26" xfId="0" applyNumberFormat="1" applyFont="1" applyBorder="1" applyAlignment="1">
      <alignment horizontal="center"/>
    </xf>
    <xf numFmtId="0" fontId="21" fillId="0" borderId="7" xfId="0" applyFont="1" applyBorder="1" applyAlignment="1">
      <alignment horizontal="center" vertical="center" wrapText="1"/>
    </xf>
    <xf numFmtId="0" fontId="22" fillId="0" borderId="28" xfId="0" applyFont="1" applyBorder="1"/>
    <xf numFmtId="0" fontId="23" fillId="0" borderId="29" xfId="0" applyFont="1" applyBorder="1" applyAlignment="1">
      <alignment horizontal="left" indent="1"/>
    </xf>
    <xf numFmtId="0" fontId="18" fillId="0" borderId="28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/>
    </xf>
    <xf numFmtId="0" fontId="0" fillId="0" borderId="47" xfId="0" applyFont="1" applyBorder="1" applyAlignment="1">
      <alignment horizontal="center" vertical="center"/>
    </xf>
    <xf numFmtId="49" fontId="23" fillId="0" borderId="32" xfId="0" applyNumberFormat="1" applyFont="1" applyBorder="1" applyAlignment="1">
      <alignment horizontal="justify" vertical="center" wrapText="1"/>
    </xf>
    <xf numFmtId="0" fontId="25" fillId="0" borderId="3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/>
    </xf>
    <xf numFmtId="0" fontId="0" fillId="0" borderId="41" xfId="0" applyFont="1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center"/>
    </xf>
    <xf numFmtId="0" fontId="20" fillId="0" borderId="2" xfId="0" applyFont="1" applyBorder="1" applyAlignment="1">
      <alignment vertical="center" wrapText="1"/>
    </xf>
    <xf numFmtId="0" fontId="23" fillId="0" borderId="35" xfId="0" applyFont="1" applyBorder="1" applyAlignment="1">
      <alignment vertical="center" wrapText="1"/>
    </xf>
    <xf numFmtId="0" fontId="23" fillId="0" borderId="24" xfId="0" applyFont="1" applyBorder="1" applyAlignment="1">
      <alignment horizontal="left" vertical="center" wrapText="1" indent="1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20" fillId="0" borderId="53" xfId="0" applyFont="1" applyBorder="1" applyAlignment="1">
      <alignment horizontal="left" vertical="center" wrapText="1"/>
    </xf>
    <xf numFmtId="0" fontId="0" fillId="0" borderId="31" xfId="0" applyBorder="1"/>
    <xf numFmtId="0" fontId="15" fillId="0" borderId="20" xfId="0" applyFont="1" applyBorder="1" applyAlignment="1">
      <alignment horizontal="left" vertical="center" wrapText="1"/>
    </xf>
  </cellXfs>
  <cellStyles count="3">
    <cellStyle name="Moneda_AUTORIZACION Y NOTA DE PEDIDO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workbookViewId="0">
      <selection activeCell="A3" sqref="A3:A52"/>
    </sheetView>
  </sheetViews>
  <sheetFormatPr baseColWidth="10" defaultRowHeight="15" x14ac:dyDescent="0.25"/>
  <cols>
    <col min="1" max="1" width="7.5703125" customWidth="1"/>
    <col min="2" max="2" width="16.85546875" bestFit="1" customWidth="1"/>
    <col min="3" max="3" width="92.85546875" customWidth="1"/>
    <col min="4" max="4" width="18.85546875" bestFit="1" customWidth="1"/>
    <col min="5" max="5" width="21.42578125" bestFit="1" customWidth="1"/>
    <col min="6" max="6" width="14.42578125" bestFit="1" customWidth="1"/>
  </cols>
  <sheetData>
    <row r="1" spans="1:6" ht="15.75" thickBot="1" x14ac:dyDescent="0.3"/>
    <row r="2" spans="1:6" ht="15.75" thickBot="1" x14ac:dyDescent="0.3">
      <c r="A2" s="11" t="s">
        <v>4</v>
      </c>
      <c r="B2" s="11" t="s">
        <v>3</v>
      </c>
      <c r="C2" s="11" t="s">
        <v>0</v>
      </c>
      <c r="D2" s="11" t="s">
        <v>1</v>
      </c>
      <c r="E2" s="11" t="s">
        <v>2</v>
      </c>
    </row>
    <row r="3" spans="1:6" ht="45.75" thickBot="1" x14ac:dyDescent="0.3">
      <c r="A3" s="13">
        <v>1</v>
      </c>
      <c r="B3" s="14" t="s">
        <v>10</v>
      </c>
      <c r="C3" s="15" t="s">
        <v>397</v>
      </c>
      <c r="D3" s="13" t="s">
        <v>11</v>
      </c>
      <c r="E3" s="13">
        <v>3</v>
      </c>
      <c r="F3" s="128" t="s">
        <v>371</v>
      </c>
    </row>
    <row r="4" spans="1:6" ht="30.75" thickBot="1" x14ac:dyDescent="0.3">
      <c r="A4" s="13">
        <v>2</v>
      </c>
      <c r="B4" s="14" t="s">
        <v>5</v>
      </c>
      <c r="C4" s="15" t="s">
        <v>6</v>
      </c>
      <c r="D4" s="13" t="s">
        <v>7</v>
      </c>
      <c r="E4" s="13">
        <v>20</v>
      </c>
    </row>
    <row r="5" spans="1:6" ht="26.25" customHeight="1" thickBot="1" x14ac:dyDescent="0.3">
      <c r="A5" s="13">
        <v>3</v>
      </c>
      <c r="B5" s="14" t="s">
        <v>8</v>
      </c>
      <c r="C5" s="14" t="s">
        <v>9</v>
      </c>
      <c r="D5" s="13" t="s">
        <v>7</v>
      </c>
      <c r="E5" s="13">
        <v>1000</v>
      </c>
    </row>
    <row r="6" spans="1:6" ht="30.75" thickBot="1" x14ac:dyDescent="0.3">
      <c r="A6" s="13">
        <v>4</v>
      </c>
      <c r="B6" s="14" t="s">
        <v>13</v>
      </c>
      <c r="C6" s="15" t="s">
        <v>12</v>
      </c>
      <c r="D6" s="13" t="s">
        <v>11</v>
      </c>
      <c r="E6" s="13">
        <v>10</v>
      </c>
    </row>
    <row r="7" spans="1:6" ht="30.75" thickBot="1" x14ac:dyDescent="0.3">
      <c r="A7" s="13">
        <v>5</v>
      </c>
      <c r="B7" s="14" t="s">
        <v>15</v>
      </c>
      <c r="C7" s="15" t="s">
        <v>14</v>
      </c>
      <c r="D7" s="13" t="s">
        <v>11</v>
      </c>
      <c r="E7" s="13">
        <v>10</v>
      </c>
    </row>
    <row r="8" spans="1:6" ht="45.75" thickBot="1" x14ac:dyDescent="0.3">
      <c r="A8" s="13">
        <v>6</v>
      </c>
      <c r="B8" s="14" t="s">
        <v>17</v>
      </c>
      <c r="C8" s="15" t="s">
        <v>16</v>
      </c>
      <c r="D8" s="13" t="s">
        <v>11</v>
      </c>
      <c r="E8" s="13">
        <v>10</v>
      </c>
    </row>
    <row r="9" spans="1:6" ht="15.75" thickBot="1" x14ac:dyDescent="0.3">
      <c r="A9" s="13">
        <v>7</v>
      </c>
      <c r="B9" s="14" t="s">
        <v>19</v>
      </c>
      <c r="C9" s="14" t="s">
        <v>18</v>
      </c>
      <c r="D9" s="13" t="s">
        <v>7</v>
      </c>
      <c r="E9" s="13">
        <v>500</v>
      </c>
    </row>
    <row r="10" spans="1:6" ht="15.75" thickBot="1" x14ac:dyDescent="0.3">
      <c r="A10" s="13">
        <v>8</v>
      </c>
      <c r="B10" s="16" t="s">
        <v>28</v>
      </c>
      <c r="C10" s="16" t="s">
        <v>29</v>
      </c>
      <c r="D10" s="16" t="s">
        <v>7</v>
      </c>
      <c r="E10" s="17">
        <v>10</v>
      </c>
      <c r="F10" s="16" t="s">
        <v>373</v>
      </c>
    </row>
    <row r="11" spans="1:6" ht="43.5" thickBot="1" x14ac:dyDescent="0.3">
      <c r="A11" s="13">
        <v>9</v>
      </c>
      <c r="B11" s="16" t="s">
        <v>25</v>
      </c>
      <c r="C11" s="16" t="s">
        <v>30</v>
      </c>
      <c r="D11" s="16" t="s">
        <v>7</v>
      </c>
      <c r="E11" s="18">
        <v>100</v>
      </c>
    </row>
    <row r="12" spans="1:6" ht="29.25" thickBot="1" x14ac:dyDescent="0.3">
      <c r="A12" s="13">
        <v>10</v>
      </c>
      <c r="B12" s="16" t="s">
        <v>31</v>
      </c>
      <c r="C12" s="16" t="s">
        <v>32</v>
      </c>
      <c r="D12" s="16" t="s">
        <v>7</v>
      </c>
      <c r="E12" s="18">
        <v>1000</v>
      </c>
    </row>
    <row r="13" spans="1:6" ht="29.25" thickBot="1" x14ac:dyDescent="0.3">
      <c r="A13" s="13">
        <v>11</v>
      </c>
      <c r="B13" s="16" t="s">
        <v>33</v>
      </c>
      <c r="C13" s="16" t="s">
        <v>34</v>
      </c>
      <c r="D13" s="16" t="s">
        <v>7</v>
      </c>
      <c r="E13" s="18">
        <v>2000</v>
      </c>
    </row>
    <row r="14" spans="1:6" ht="16.5" thickBot="1" x14ac:dyDescent="0.3">
      <c r="A14" s="13">
        <v>12</v>
      </c>
      <c r="B14" s="129" t="s">
        <v>26</v>
      </c>
      <c r="C14" s="129" t="s">
        <v>35</v>
      </c>
      <c r="D14" s="16" t="s">
        <v>7</v>
      </c>
      <c r="E14" s="18">
        <v>50000</v>
      </c>
    </row>
    <row r="15" spans="1:6" ht="16.5" thickBot="1" x14ac:dyDescent="0.3">
      <c r="A15" s="13">
        <v>13</v>
      </c>
      <c r="B15" s="16" t="s">
        <v>36</v>
      </c>
      <c r="C15" s="16" t="s">
        <v>37</v>
      </c>
      <c r="D15" s="16" t="s">
        <v>7</v>
      </c>
      <c r="E15" s="18">
        <v>100</v>
      </c>
    </row>
    <row r="16" spans="1:6" ht="29.25" thickBot="1" x14ac:dyDescent="0.3">
      <c r="A16" s="13">
        <v>14</v>
      </c>
      <c r="B16" s="16" t="s">
        <v>38</v>
      </c>
      <c r="C16" s="16" t="s">
        <v>39</v>
      </c>
      <c r="D16" s="16" t="s">
        <v>7</v>
      </c>
      <c r="E16" s="18">
        <v>80</v>
      </c>
    </row>
    <row r="17" spans="1:6" ht="16.5" thickBot="1" x14ac:dyDescent="0.3">
      <c r="A17" s="13">
        <v>15</v>
      </c>
      <c r="B17" s="16" t="s">
        <v>40</v>
      </c>
      <c r="C17" s="16" t="s">
        <v>41</v>
      </c>
      <c r="D17" s="16" t="s">
        <v>7</v>
      </c>
      <c r="E17" s="18">
        <v>2000</v>
      </c>
    </row>
    <row r="18" spans="1:6" ht="29.25" thickBot="1" x14ac:dyDescent="0.3">
      <c r="A18" s="13">
        <v>16</v>
      </c>
      <c r="B18" s="16" t="s">
        <v>42</v>
      </c>
      <c r="C18" s="16" t="s">
        <v>43</v>
      </c>
      <c r="D18" s="16" t="s">
        <v>7</v>
      </c>
      <c r="E18" s="18">
        <v>200</v>
      </c>
    </row>
    <row r="19" spans="1:6" ht="29.25" thickBot="1" x14ac:dyDescent="0.3">
      <c r="A19" s="13">
        <v>17</v>
      </c>
      <c r="B19" s="16" t="s">
        <v>44</v>
      </c>
      <c r="C19" s="16" t="s">
        <v>45</v>
      </c>
      <c r="D19" s="16" t="s">
        <v>7</v>
      </c>
      <c r="E19" s="18">
        <v>10</v>
      </c>
    </row>
    <row r="20" spans="1:6" ht="16.5" thickBot="1" x14ac:dyDescent="0.3">
      <c r="A20" s="13">
        <v>18</v>
      </c>
      <c r="B20" s="16" t="s">
        <v>46</v>
      </c>
      <c r="C20" s="16" t="s">
        <v>47</v>
      </c>
      <c r="D20" s="16" t="s">
        <v>7</v>
      </c>
      <c r="E20" s="18">
        <v>10</v>
      </c>
    </row>
    <row r="21" spans="1:6" ht="29.25" thickBot="1" x14ac:dyDescent="0.3">
      <c r="A21" s="13">
        <v>19</v>
      </c>
      <c r="B21" s="16" t="s">
        <v>48</v>
      </c>
      <c r="C21" s="16" t="s">
        <v>49</v>
      </c>
      <c r="D21" s="16" t="s">
        <v>7</v>
      </c>
      <c r="E21" s="18">
        <v>10</v>
      </c>
    </row>
    <row r="22" spans="1:6" ht="16.5" thickBot="1" x14ac:dyDescent="0.3">
      <c r="A22" s="13">
        <v>20</v>
      </c>
      <c r="B22" s="16" t="s">
        <v>50</v>
      </c>
      <c r="C22" s="16" t="s">
        <v>51</v>
      </c>
      <c r="D22" s="16" t="s">
        <v>7</v>
      </c>
      <c r="E22" s="18">
        <v>100</v>
      </c>
    </row>
    <row r="23" spans="1:6" ht="29.25" thickBot="1" x14ac:dyDescent="0.3">
      <c r="A23" s="13">
        <v>21</v>
      </c>
      <c r="B23" s="16" t="s">
        <v>52</v>
      </c>
      <c r="C23" s="16" t="s">
        <v>53</v>
      </c>
      <c r="D23" s="16" t="s">
        <v>7</v>
      </c>
      <c r="E23" s="18">
        <v>300</v>
      </c>
    </row>
    <row r="24" spans="1:6" ht="29.25" thickBot="1" x14ac:dyDescent="0.3">
      <c r="A24" s="13">
        <v>22</v>
      </c>
      <c r="B24" s="16" t="s">
        <v>54</v>
      </c>
      <c r="C24" s="16" t="s">
        <v>55</v>
      </c>
      <c r="D24" s="16" t="s">
        <v>7</v>
      </c>
      <c r="E24" s="18">
        <v>500</v>
      </c>
    </row>
    <row r="25" spans="1:6" ht="29.25" thickBot="1" x14ac:dyDescent="0.3">
      <c r="A25" s="13">
        <v>23</v>
      </c>
      <c r="B25" s="16" t="s">
        <v>56</v>
      </c>
      <c r="C25" s="16" t="s">
        <v>57</v>
      </c>
      <c r="D25" s="16" t="s">
        <v>7</v>
      </c>
      <c r="E25" s="18">
        <v>150</v>
      </c>
    </row>
    <row r="26" spans="1:6" ht="30.75" thickBot="1" x14ac:dyDescent="0.3">
      <c r="A26" s="13">
        <v>24</v>
      </c>
      <c r="B26" s="2" t="s">
        <v>20</v>
      </c>
      <c r="C26" s="3" t="s">
        <v>374</v>
      </c>
      <c r="D26" s="4" t="s">
        <v>7</v>
      </c>
      <c r="E26" s="4">
        <v>300</v>
      </c>
      <c r="F26" s="130" t="s">
        <v>375</v>
      </c>
    </row>
    <row r="27" spans="1:6" ht="30.75" thickBot="1" x14ac:dyDescent="0.3">
      <c r="A27" s="13">
        <v>25</v>
      </c>
      <c r="B27" s="2" t="s">
        <v>21</v>
      </c>
      <c r="C27" s="3" t="s">
        <v>58</v>
      </c>
      <c r="D27" s="4" t="s">
        <v>7</v>
      </c>
      <c r="E27" s="4">
        <v>90</v>
      </c>
    </row>
    <row r="28" spans="1:6" ht="15.75" thickBot="1" x14ac:dyDescent="0.3">
      <c r="A28" s="13">
        <v>26</v>
      </c>
      <c r="B28" s="2" t="s">
        <v>23</v>
      </c>
      <c r="C28" s="3" t="s">
        <v>59</v>
      </c>
      <c r="D28" s="4" t="s">
        <v>7</v>
      </c>
      <c r="E28" s="4">
        <v>300</v>
      </c>
    </row>
    <row r="29" spans="1:6" ht="30.75" thickBot="1" x14ac:dyDescent="0.3">
      <c r="A29" s="13">
        <v>27</v>
      </c>
      <c r="B29" s="2" t="s">
        <v>25</v>
      </c>
      <c r="C29" s="3" t="s">
        <v>60</v>
      </c>
      <c r="D29" s="4" t="s">
        <v>7</v>
      </c>
      <c r="E29" s="4">
        <v>90</v>
      </c>
    </row>
    <row r="30" spans="1:6" ht="30.75" thickBot="1" x14ac:dyDescent="0.3">
      <c r="A30" s="13">
        <v>28</v>
      </c>
      <c r="B30" s="2" t="s">
        <v>33</v>
      </c>
      <c r="C30" s="3" t="s">
        <v>376</v>
      </c>
      <c r="D30" s="4" t="s">
        <v>7</v>
      </c>
      <c r="E30" s="4">
        <v>150</v>
      </c>
    </row>
    <row r="31" spans="1:6" ht="30.75" thickBot="1" x14ac:dyDescent="0.3">
      <c r="A31" s="13">
        <v>29</v>
      </c>
      <c r="B31" s="2" t="s">
        <v>61</v>
      </c>
      <c r="C31" s="3" t="s">
        <v>62</v>
      </c>
      <c r="D31" s="4" t="s">
        <v>7</v>
      </c>
      <c r="E31" s="4">
        <v>150</v>
      </c>
    </row>
    <row r="32" spans="1:6" ht="30.75" thickBot="1" x14ac:dyDescent="0.3">
      <c r="A32" s="13">
        <v>30</v>
      </c>
      <c r="B32" s="2" t="s">
        <v>63</v>
      </c>
      <c r="C32" s="3" t="s">
        <v>64</v>
      </c>
      <c r="D32" s="4" t="s">
        <v>7</v>
      </c>
      <c r="E32" s="4">
        <v>30</v>
      </c>
    </row>
    <row r="33" spans="1:6" ht="30.75" thickBot="1" x14ac:dyDescent="0.3">
      <c r="A33" s="13">
        <v>31</v>
      </c>
      <c r="B33" s="2" t="s">
        <v>65</v>
      </c>
      <c r="C33" s="3" t="s">
        <v>66</v>
      </c>
      <c r="D33" s="4" t="s">
        <v>7</v>
      </c>
      <c r="E33" s="4">
        <v>15</v>
      </c>
    </row>
    <row r="34" spans="1:6" ht="30.75" thickBot="1" x14ac:dyDescent="0.3">
      <c r="A34" s="13">
        <v>32</v>
      </c>
      <c r="B34" s="2" t="s">
        <v>67</v>
      </c>
      <c r="C34" s="3" t="s">
        <v>68</v>
      </c>
      <c r="D34" s="4" t="s">
        <v>7</v>
      </c>
      <c r="E34" s="4">
        <v>30</v>
      </c>
    </row>
    <row r="35" spans="1:6" ht="30.75" thickBot="1" x14ac:dyDescent="0.3">
      <c r="A35" s="13">
        <v>33</v>
      </c>
      <c r="B35" s="2" t="s">
        <v>69</v>
      </c>
      <c r="C35" s="3" t="s">
        <v>70</v>
      </c>
      <c r="D35" s="4" t="s">
        <v>7</v>
      </c>
      <c r="E35" s="4">
        <v>15</v>
      </c>
    </row>
    <row r="36" spans="1:6" ht="30.75" thickBot="1" x14ac:dyDescent="0.3">
      <c r="A36" s="13">
        <v>34</v>
      </c>
      <c r="B36" s="2" t="s">
        <v>71</v>
      </c>
      <c r="C36" s="3" t="s">
        <v>72</v>
      </c>
      <c r="D36" s="4" t="s">
        <v>7</v>
      </c>
      <c r="E36" s="4">
        <v>150</v>
      </c>
    </row>
    <row r="37" spans="1:6" ht="15.75" thickBot="1" x14ac:dyDescent="0.3">
      <c r="A37" s="13">
        <v>35</v>
      </c>
      <c r="B37" s="2" t="s">
        <v>26</v>
      </c>
      <c r="C37" s="3" t="s">
        <v>372</v>
      </c>
      <c r="D37" s="4" t="s">
        <v>7</v>
      </c>
      <c r="E37" s="4">
        <v>90</v>
      </c>
    </row>
    <row r="38" spans="1:6" ht="15.75" thickBot="1" x14ac:dyDescent="0.3">
      <c r="A38" s="13">
        <v>36</v>
      </c>
      <c r="B38" s="2" t="s">
        <v>27</v>
      </c>
      <c r="C38" s="3" t="s">
        <v>73</v>
      </c>
      <c r="D38" s="4" t="s">
        <v>7</v>
      </c>
      <c r="E38" s="4">
        <v>150</v>
      </c>
    </row>
    <row r="39" spans="1:6" ht="30.75" thickBot="1" x14ac:dyDescent="0.3">
      <c r="A39" s="13">
        <v>37</v>
      </c>
      <c r="B39" s="2" t="s">
        <v>74</v>
      </c>
      <c r="C39" s="3" t="s">
        <v>75</v>
      </c>
      <c r="D39" s="4" t="s">
        <v>7</v>
      </c>
      <c r="E39" s="4">
        <v>150</v>
      </c>
    </row>
    <row r="40" spans="1:6" ht="30.75" thickBot="1" x14ac:dyDescent="0.3">
      <c r="A40" s="13">
        <v>38</v>
      </c>
      <c r="B40" s="2" t="s">
        <v>76</v>
      </c>
      <c r="C40" s="3" t="s">
        <v>77</v>
      </c>
      <c r="D40" s="4" t="s">
        <v>7</v>
      </c>
      <c r="E40" s="4">
        <v>150</v>
      </c>
    </row>
    <row r="41" spans="1:6" ht="15.75" thickBot="1" x14ac:dyDescent="0.3">
      <c r="A41" s="13">
        <v>39</v>
      </c>
      <c r="B41" s="6" t="s">
        <v>377</v>
      </c>
      <c r="C41" s="7" t="s">
        <v>59</v>
      </c>
      <c r="D41" s="5" t="s">
        <v>378</v>
      </c>
      <c r="E41" s="5">
        <v>20</v>
      </c>
      <c r="F41" s="131" t="s">
        <v>379</v>
      </c>
    </row>
    <row r="42" spans="1:6" ht="15.75" thickBot="1" x14ac:dyDescent="0.3">
      <c r="A42" s="13">
        <v>40</v>
      </c>
      <c r="B42" s="8" t="s">
        <v>78</v>
      </c>
      <c r="C42" s="7" t="s">
        <v>79</v>
      </c>
      <c r="D42" s="5" t="s">
        <v>7</v>
      </c>
      <c r="E42" s="5">
        <v>1500</v>
      </c>
    </row>
    <row r="43" spans="1:6" ht="15.75" thickBot="1" x14ac:dyDescent="0.3">
      <c r="A43" s="13">
        <v>41</v>
      </c>
      <c r="B43" s="8" t="s">
        <v>380</v>
      </c>
      <c r="C43" s="7" t="s">
        <v>80</v>
      </c>
      <c r="D43" s="5" t="s">
        <v>7</v>
      </c>
      <c r="E43" s="5">
        <v>1500</v>
      </c>
    </row>
    <row r="44" spans="1:6" ht="30.75" thickBot="1" x14ac:dyDescent="0.3">
      <c r="A44" s="13">
        <v>42</v>
      </c>
      <c r="B44" s="8" t="s">
        <v>81</v>
      </c>
      <c r="C44" s="7" t="s">
        <v>82</v>
      </c>
      <c r="D44" s="5" t="s">
        <v>7</v>
      </c>
      <c r="E44" s="5">
        <v>300</v>
      </c>
    </row>
    <row r="45" spans="1:6" ht="30.75" thickBot="1" x14ac:dyDescent="0.3">
      <c r="A45" s="13">
        <v>43</v>
      </c>
      <c r="B45" s="8" t="s">
        <v>83</v>
      </c>
      <c r="C45" s="7" t="s">
        <v>84</v>
      </c>
      <c r="D45" s="5" t="s">
        <v>7</v>
      </c>
      <c r="E45" s="5">
        <v>50</v>
      </c>
    </row>
    <row r="46" spans="1:6" ht="30.75" thickBot="1" x14ac:dyDescent="0.3">
      <c r="A46" s="13">
        <v>44</v>
      </c>
      <c r="B46" s="8" t="s">
        <v>381</v>
      </c>
      <c r="C46" s="7" t="s">
        <v>32</v>
      </c>
      <c r="D46" s="5" t="s">
        <v>7</v>
      </c>
      <c r="E46" s="5">
        <v>10</v>
      </c>
    </row>
    <row r="47" spans="1:6" ht="30.75" thickBot="1" x14ac:dyDescent="0.3">
      <c r="A47" s="13">
        <v>45</v>
      </c>
      <c r="B47" s="8" t="s">
        <v>85</v>
      </c>
      <c r="C47" s="7" t="s">
        <v>86</v>
      </c>
      <c r="D47" s="5" t="s">
        <v>7</v>
      </c>
      <c r="E47" s="5">
        <v>10</v>
      </c>
    </row>
    <row r="48" spans="1:6" ht="30.75" thickBot="1" x14ac:dyDescent="0.3">
      <c r="A48" s="13">
        <v>46</v>
      </c>
      <c r="B48" s="8" t="s">
        <v>382</v>
      </c>
      <c r="C48" s="7" t="s">
        <v>62</v>
      </c>
      <c r="D48" s="5" t="s">
        <v>7</v>
      </c>
      <c r="E48" s="5">
        <v>10</v>
      </c>
    </row>
    <row r="49" spans="1:5" ht="30.75" thickBot="1" x14ac:dyDescent="0.3">
      <c r="A49" s="13">
        <v>47</v>
      </c>
      <c r="B49" s="8" t="s">
        <v>383</v>
      </c>
      <c r="C49" s="7" t="s">
        <v>66</v>
      </c>
      <c r="D49" s="5" t="s">
        <v>7</v>
      </c>
      <c r="E49" s="5">
        <v>10</v>
      </c>
    </row>
    <row r="50" spans="1:5" ht="30.75" thickBot="1" x14ac:dyDescent="0.3">
      <c r="A50" s="13">
        <v>48</v>
      </c>
      <c r="B50" s="8" t="s">
        <v>384</v>
      </c>
      <c r="C50" s="7" t="s">
        <v>68</v>
      </c>
      <c r="D50" s="5" t="s">
        <v>7</v>
      </c>
      <c r="E50" s="5">
        <v>10</v>
      </c>
    </row>
    <row r="51" spans="1:5" ht="15.75" thickBot="1" x14ac:dyDescent="0.3">
      <c r="A51" s="13">
        <v>49</v>
      </c>
      <c r="B51" s="8" t="s">
        <v>87</v>
      </c>
      <c r="C51" s="9" t="s">
        <v>88</v>
      </c>
      <c r="D51" s="5" t="s">
        <v>7</v>
      </c>
      <c r="E51" s="5">
        <v>4</v>
      </c>
    </row>
    <row r="52" spans="1:5" ht="75.75" thickBot="1" x14ac:dyDescent="0.3">
      <c r="A52" s="13">
        <v>50</v>
      </c>
      <c r="B52" s="6" t="s">
        <v>89</v>
      </c>
      <c r="C52" s="10" t="s">
        <v>90</v>
      </c>
      <c r="D52" s="5" t="s">
        <v>7</v>
      </c>
      <c r="E52" s="5">
        <v>40</v>
      </c>
    </row>
  </sheetData>
  <pageMargins left="0" right="0" top="0.19685039370078741" bottom="0.19685039370078741" header="0.31496062992125984" footer="0.31496062992125984"/>
  <pageSetup paperSize="5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6"/>
  <sheetViews>
    <sheetView topLeftCell="A52" workbookViewId="0">
      <selection activeCell="D3" sqref="D3"/>
    </sheetView>
  </sheetViews>
  <sheetFormatPr baseColWidth="10" defaultRowHeight="15" x14ac:dyDescent="0.25"/>
  <cols>
    <col min="1" max="1" width="11.42578125" style="19"/>
    <col min="2" max="2" width="10.42578125" style="19" bestFit="1" customWidth="1"/>
    <col min="3" max="3" width="19.85546875" style="19" customWidth="1"/>
    <col min="4" max="4" width="78.85546875" style="20" customWidth="1"/>
    <col min="5" max="5" width="17.42578125" style="119" customWidth="1"/>
    <col min="6" max="6" width="16.7109375" style="19" customWidth="1"/>
    <col min="7" max="7" width="12.140625" style="19" hidden="1" customWidth="1"/>
    <col min="8" max="8" width="15.85546875" style="114" bestFit="1" customWidth="1"/>
    <col min="9" max="9" width="12.7109375" style="19" bestFit="1" customWidth="1"/>
    <col min="10" max="10" width="13" style="114" bestFit="1" customWidth="1"/>
    <col min="11" max="11" width="10" style="19" bestFit="1" customWidth="1"/>
    <col min="12" max="12" width="9.28515625" style="114" bestFit="1" customWidth="1"/>
    <col min="13" max="13" width="10" style="19" bestFit="1" customWidth="1"/>
    <col min="14" max="14" width="14.140625" style="114" bestFit="1" customWidth="1"/>
    <col min="15" max="15" width="17.140625" style="19" bestFit="1" customWidth="1"/>
    <col min="16" max="16" width="16.42578125" style="114" bestFit="1" customWidth="1"/>
    <col min="17" max="17" width="13.42578125" style="19" bestFit="1" customWidth="1"/>
    <col min="18" max="18" width="14.140625" style="114" bestFit="1" customWidth="1"/>
    <col min="19" max="19" width="11.5703125" style="124"/>
    <col min="20" max="20" width="11.5703125" style="29"/>
    <col min="21" max="21" width="16.28515625" style="27" bestFit="1" customWidth="1"/>
  </cols>
  <sheetData>
    <row r="1" spans="1:21" ht="18" x14ac:dyDescent="0.25">
      <c r="A1" s="132" t="s">
        <v>94</v>
      </c>
      <c r="B1" s="132"/>
      <c r="C1" s="132"/>
      <c r="D1" s="132"/>
    </row>
    <row r="2" spans="1:21" ht="40.9" customHeight="1" x14ac:dyDescent="0.25">
      <c r="A2" s="25" t="s">
        <v>95</v>
      </c>
      <c r="B2" s="25" t="s">
        <v>96</v>
      </c>
      <c r="C2" s="25" t="s">
        <v>97</v>
      </c>
      <c r="D2" s="25" t="s">
        <v>98</v>
      </c>
      <c r="E2" s="120" t="s">
        <v>99</v>
      </c>
      <c r="F2" s="25" t="s">
        <v>100</v>
      </c>
      <c r="G2" s="25" t="s">
        <v>307</v>
      </c>
      <c r="H2" s="26" t="s">
        <v>362</v>
      </c>
      <c r="I2" s="25" t="s">
        <v>308</v>
      </c>
      <c r="J2" s="26" t="s">
        <v>363</v>
      </c>
      <c r="K2" s="25" t="s">
        <v>309</v>
      </c>
      <c r="L2" s="26" t="s">
        <v>364</v>
      </c>
      <c r="M2" s="25" t="s">
        <v>310</v>
      </c>
      <c r="N2" s="26" t="s">
        <v>365</v>
      </c>
      <c r="O2" s="25" t="s">
        <v>311</v>
      </c>
      <c r="P2" s="26" t="s">
        <v>366</v>
      </c>
      <c r="Q2" s="25" t="s">
        <v>312</v>
      </c>
      <c r="R2" s="26" t="s">
        <v>367</v>
      </c>
      <c r="S2" s="120" t="s">
        <v>306</v>
      </c>
      <c r="T2" s="31" t="s">
        <v>305</v>
      </c>
      <c r="U2" s="26" t="s">
        <v>313</v>
      </c>
    </row>
    <row r="3" spans="1:21" ht="28.5" x14ac:dyDescent="0.25">
      <c r="A3" s="21">
        <v>1</v>
      </c>
      <c r="B3" s="21" t="s">
        <v>91</v>
      </c>
      <c r="C3" s="21" t="s">
        <v>20</v>
      </c>
      <c r="D3" s="22" t="s">
        <v>101</v>
      </c>
      <c r="E3" s="121">
        <v>600</v>
      </c>
      <c r="F3" s="21" t="s">
        <v>7</v>
      </c>
      <c r="G3" s="21"/>
      <c r="H3" s="113">
        <f>+G3*T3</f>
        <v>0</v>
      </c>
      <c r="I3" s="21">
        <v>300</v>
      </c>
      <c r="J3" s="113">
        <f>+I3*T3</f>
        <v>30000</v>
      </c>
      <c r="K3" s="21"/>
      <c r="L3" s="113"/>
      <c r="M3" s="21"/>
      <c r="N3" s="113">
        <f>+M3*T3</f>
        <v>0</v>
      </c>
      <c r="O3" s="21">
        <v>3</v>
      </c>
      <c r="P3" s="113">
        <f>+O3*T3</f>
        <v>300</v>
      </c>
      <c r="Q3" s="21"/>
      <c r="R3" s="113">
        <f>+Q3*T3</f>
        <v>0</v>
      </c>
      <c r="S3" s="125">
        <f>+G3+I3+K3+M3+O3+Q3</f>
        <v>303</v>
      </c>
      <c r="T3" s="32">
        <v>100</v>
      </c>
      <c r="U3" s="107">
        <f>+S3*T3</f>
        <v>30300</v>
      </c>
    </row>
    <row r="4" spans="1:21" ht="28.5" x14ac:dyDescent="0.25">
      <c r="A4" s="23">
        <v>2</v>
      </c>
      <c r="B4" s="23" t="s">
        <v>91</v>
      </c>
      <c r="C4" s="23" t="s">
        <v>21</v>
      </c>
      <c r="D4" s="24" t="s">
        <v>58</v>
      </c>
      <c r="E4" s="122">
        <v>105</v>
      </c>
      <c r="F4" s="23" t="s">
        <v>7</v>
      </c>
      <c r="G4" s="23"/>
      <c r="H4" s="115">
        <f t="shared" ref="H4:H68" si="0">+G4*T4</f>
        <v>0</v>
      </c>
      <c r="I4" s="23">
        <v>90</v>
      </c>
      <c r="J4" s="113">
        <f t="shared" ref="J4:J68" si="1">+I4*T4</f>
        <v>9000</v>
      </c>
      <c r="K4" s="23"/>
      <c r="L4" s="115"/>
      <c r="M4" s="23"/>
      <c r="N4" s="113">
        <f t="shared" ref="N4:N68" si="2">+M4*T4</f>
        <v>0</v>
      </c>
      <c r="O4" s="23"/>
      <c r="P4" s="113">
        <f t="shared" ref="P4:P68" si="3">+O4*T4</f>
        <v>0</v>
      </c>
      <c r="Q4" s="23"/>
      <c r="R4" s="113">
        <f t="shared" ref="R4:R68" si="4">+Q4*T4</f>
        <v>0</v>
      </c>
      <c r="S4" s="125">
        <f t="shared" ref="S4:S68" si="5">+G4+I4+K4+M4+O4+Q4</f>
        <v>90</v>
      </c>
      <c r="T4" s="32">
        <v>100</v>
      </c>
      <c r="U4" s="107">
        <f t="shared" ref="U4:U67" si="6">+S4*T4</f>
        <v>9000</v>
      </c>
    </row>
    <row r="5" spans="1:21" ht="28.5" hidden="1" x14ac:dyDescent="0.25">
      <c r="A5" s="21">
        <v>3</v>
      </c>
      <c r="B5" s="21" t="s">
        <v>91</v>
      </c>
      <c r="C5" s="21" t="s">
        <v>102</v>
      </c>
      <c r="D5" s="22" t="s">
        <v>103</v>
      </c>
      <c r="E5" s="121">
        <v>650</v>
      </c>
      <c r="F5" s="21" t="s">
        <v>7</v>
      </c>
      <c r="G5" s="21"/>
      <c r="H5" s="113">
        <f t="shared" si="0"/>
        <v>0</v>
      </c>
      <c r="I5" s="21"/>
      <c r="J5" s="113">
        <f t="shared" si="1"/>
        <v>0</v>
      </c>
      <c r="K5" s="21"/>
      <c r="L5" s="113"/>
      <c r="M5" s="21"/>
      <c r="N5" s="113">
        <f t="shared" si="2"/>
        <v>0</v>
      </c>
      <c r="O5" s="21"/>
      <c r="P5" s="113">
        <f t="shared" si="3"/>
        <v>0</v>
      </c>
      <c r="Q5" s="21"/>
      <c r="R5" s="113">
        <f t="shared" si="4"/>
        <v>0</v>
      </c>
      <c r="S5" s="125">
        <f t="shared" si="5"/>
        <v>0</v>
      </c>
      <c r="T5" s="32">
        <v>93</v>
      </c>
      <c r="U5" s="107">
        <f t="shared" si="6"/>
        <v>0</v>
      </c>
    </row>
    <row r="6" spans="1:21" ht="28.5" hidden="1" x14ac:dyDescent="0.25">
      <c r="A6" s="23">
        <v>4</v>
      </c>
      <c r="B6" s="23" t="s">
        <v>91</v>
      </c>
      <c r="C6" s="23" t="s">
        <v>104</v>
      </c>
      <c r="D6" s="24" t="s">
        <v>105</v>
      </c>
      <c r="E6" s="122">
        <v>5500</v>
      </c>
      <c r="F6" s="23" t="s">
        <v>7</v>
      </c>
      <c r="G6" s="23"/>
      <c r="H6" s="115">
        <f t="shared" si="0"/>
        <v>0</v>
      </c>
      <c r="I6" s="23"/>
      <c r="J6" s="113">
        <f t="shared" si="1"/>
        <v>0</v>
      </c>
      <c r="K6" s="23"/>
      <c r="L6" s="115"/>
      <c r="M6" s="23"/>
      <c r="N6" s="113">
        <f t="shared" si="2"/>
        <v>0</v>
      </c>
      <c r="O6" s="23"/>
      <c r="P6" s="113">
        <f t="shared" si="3"/>
        <v>0</v>
      </c>
      <c r="Q6" s="23"/>
      <c r="R6" s="113">
        <f t="shared" si="4"/>
        <v>0</v>
      </c>
      <c r="S6" s="125">
        <f t="shared" si="5"/>
        <v>0</v>
      </c>
      <c r="T6" s="32">
        <v>93</v>
      </c>
      <c r="U6" s="107">
        <f t="shared" si="6"/>
        <v>0</v>
      </c>
    </row>
    <row r="7" spans="1:21" ht="28.5" hidden="1" x14ac:dyDescent="0.25">
      <c r="A7" s="21">
        <v>5</v>
      </c>
      <c r="B7" s="21" t="s">
        <v>91</v>
      </c>
      <c r="C7" s="21" t="s">
        <v>106</v>
      </c>
      <c r="D7" s="22" t="s">
        <v>107</v>
      </c>
      <c r="E7" s="121">
        <v>180</v>
      </c>
      <c r="F7" s="21" t="s">
        <v>7</v>
      </c>
      <c r="G7" s="21"/>
      <c r="H7" s="113">
        <f t="shared" si="0"/>
        <v>0</v>
      </c>
      <c r="I7" s="21"/>
      <c r="J7" s="113">
        <f t="shared" si="1"/>
        <v>0</v>
      </c>
      <c r="K7" s="21"/>
      <c r="L7" s="113"/>
      <c r="M7" s="21"/>
      <c r="N7" s="113">
        <f t="shared" si="2"/>
        <v>0</v>
      </c>
      <c r="O7" s="21"/>
      <c r="P7" s="113">
        <f t="shared" si="3"/>
        <v>0</v>
      </c>
      <c r="Q7" s="21"/>
      <c r="R7" s="113">
        <f t="shared" si="4"/>
        <v>0</v>
      </c>
      <c r="S7" s="125">
        <f t="shared" si="5"/>
        <v>0</v>
      </c>
      <c r="T7" s="32">
        <v>93</v>
      </c>
      <c r="U7" s="107">
        <f t="shared" si="6"/>
        <v>0</v>
      </c>
    </row>
    <row r="8" spans="1:21" ht="28.5" x14ac:dyDescent="0.25">
      <c r="A8" s="23">
        <v>6</v>
      </c>
      <c r="B8" s="23" t="s">
        <v>91</v>
      </c>
      <c r="C8" s="23" t="s">
        <v>22</v>
      </c>
      <c r="D8" s="24" t="s">
        <v>108</v>
      </c>
      <c r="E8" s="122">
        <v>3400</v>
      </c>
      <c r="F8" s="23" t="s">
        <v>7</v>
      </c>
      <c r="G8" s="23"/>
      <c r="H8" s="115">
        <f t="shared" si="0"/>
        <v>0</v>
      </c>
      <c r="I8" s="23"/>
      <c r="J8" s="113">
        <f t="shared" si="1"/>
        <v>0</v>
      </c>
      <c r="K8" s="23"/>
      <c r="L8" s="115"/>
      <c r="M8" s="23"/>
      <c r="N8" s="113">
        <f t="shared" si="2"/>
        <v>0</v>
      </c>
      <c r="O8" s="23"/>
      <c r="P8" s="113">
        <f t="shared" si="3"/>
        <v>0</v>
      </c>
      <c r="Q8" s="23"/>
      <c r="R8" s="113">
        <f t="shared" si="4"/>
        <v>0</v>
      </c>
      <c r="S8" s="125">
        <f t="shared" si="5"/>
        <v>0</v>
      </c>
      <c r="T8" s="32">
        <v>93</v>
      </c>
      <c r="U8" s="107">
        <f t="shared" si="6"/>
        <v>0</v>
      </c>
    </row>
    <row r="9" spans="1:21" ht="42.75" hidden="1" x14ac:dyDescent="0.25">
      <c r="A9" s="23">
        <v>7</v>
      </c>
      <c r="B9" s="23" t="s">
        <v>91</v>
      </c>
      <c r="C9" s="23" t="s">
        <v>369</v>
      </c>
      <c r="D9" s="24" t="s">
        <v>370</v>
      </c>
      <c r="E9" s="122">
        <v>2555</v>
      </c>
      <c r="F9" s="23" t="s">
        <v>7</v>
      </c>
      <c r="G9" s="23"/>
      <c r="H9" s="115"/>
      <c r="I9" s="23"/>
      <c r="J9" s="113"/>
      <c r="K9" s="23"/>
      <c r="L9" s="115"/>
      <c r="M9" s="23"/>
      <c r="N9" s="113"/>
      <c r="O9" s="23"/>
      <c r="P9" s="113"/>
      <c r="Q9" s="23"/>
      <c r="R9" s="113"/>
      <c r="S9" s="125"/>
      <c r="T9" s="32"/>
      <c r="U9" s="107"/>
    </row>
    <row r="10" spans="1:21" ht="28.5" x14ac:dyDescent="0.25">
      <c r="A10" s="23">
        <v>8</v>
      </c>
      <c r="B10" s="23" t="s">
        <v>91</v>
      </c>
      <c r="C10" s="23" t="s">
        <v>23</v>
      </c>
      <c r="D10" s="24" t="s">
        <v>59</v>
      </c>
      <c r="E10" s="122">
        <v>7300</v>
      </c>
      <c r="F10" s="23" t="s">
        <v>7</v>
      </c>
      <c r="G10" s="23"/>
      <c r="H10" s="115">
        <f t="shared" si="0"/>
        <v>0</v>
      </c>
      <c r="I10" s="23">
        <v>300</v>
      </c>
      <c r="J10" s="113">
        <f t="shared" si="1"/>
        <v>30000</v>
      </c>
      <c r="K10" s="23"/>
      <c r="L10" s="115"/>
      <c r="M10" s="23"/>
      <c r="N10" s="113">
        <f t="shared" si="2"/>
        <v>0</v>
      </c>
      <c r="O10" s="23">
        <v>20</v>
      </c>
      <c r="P10" s="113">
        <f t="shared" si="3"/>
        <v>2000</v>
      </c>
      <c r="Q10" s="23">
        <v>20</v>
      </c>
      <c r="R10" s="113">
        <f t="shared" si="4"/>
        <v>2000</v>
      </c>
      <c r="S10" s="125">
        <f t="shared" si="5"/>
        <v>340</v>
      </c>
      <c r="T10" s="32">
        <v>100</v>
      </c>
      <c r="U10" s="107">
        <f t="shared" si="6"/>
        <v>34000</v>
      </c>
    </row>
    <row r="11" spans="1:21" ht="28.5" x14ac:dyDescent="0.25">
      <c r="A11" s="21">
        <v>9</v>
      </c>
      <c r="B11" s="21" t="s">
        <v>91</v>
      </c>
      <c r="C11" s="21" t="s">
        <v>109</v>
      </c>
      <c r="D11" s="22" t="s">
        <v>79</v>
      </c>
      <c r="E11" s="121">
        <v>2150</v>
      </c>
      <c r="F11" s="21" t="s">
        <v>7</v>
      </c>
      <c r="G11" s="21"/>
      <c r="H11" s="113">
        <f t="shared" si="0"/>
        <v>0</v>
      </c>
      <c r="I11" s="21"/>
      <c r="J11" s="113">
        <f t="shared" si="1"/>
        <v>0</v>
      </c>
      <c r="K11" s="21"/>
      <c r="L11" s="113"/>
      <c r="M11" s="21"/>
      <c r="N11" s="113">
        <f t="shared" si="2"/>
        <v>0</v>
      </c>
      <c r="O11" s="21"/>
      <c r="P11" s="113">
        <f t="shared" si="3"/>
        <v>0</v>
      </c>
      <c r="Q11" s="21">
        <v>1500</v>
      </c>
      <c r="R11" s="113">
        <f t="shared" si="4"/>
        <v>150000</v>
      </c>
      <c r="S11" s="125">
        <f t="shared" si="5"/>
        <v>1500</v>
      </c>
      <c r="T11" s="32">
        <v>100</v>
      </c>
      <c r="U11" s="107">
        <f t="shared" si="6"/>
        <v>150000</v>
      </c>
    </row>
    <row r="12" spans="1:21" x14ac:dyDescent="0.25">
      <c r="A12" s="23">
        <v>10</v>
      </c>
      <c r="B12" s="23" t="s">
        <v>91</v>
      </c>
      <c r="C12" s="23" t="s">
        <v>24</v>
      </c>
      <c r="D12" s="24" t="s">
        <v>80</v>
      </c>
      <c r="E12" s="122">
        <v>1266000</v>
      </c>
      <c r="F12" s="23" t="s">
        <v>7</v>
      </c>
      <c r="G12" s="23"/>
      <c r="H12" s="115">
        <f t="shared" si="0"/>
        <v>0</v>
      </c>
      <c r="I12" s="23"/>
      <c r="J12" s="113">
        <f t="shared" si="1"/>
        <v>0</v>
      </c>
      <c r="K12" s="23"/>
      <c r="L12" s="115"/>
      <c r="M12" s="23"/>
      <c r="N12" s="113">
        <f t="shared" si="2"/>
        <v>0</v>
      </c>
      <c r="O12" s="23">
        <v>1000</v>
      </c>
      <c r="P12" s="113">
        <f t="shared" si="3"/>
        <v>91000</v>
      </c>
      <c r="Q12" s="23">
        <v>1500</v>
      </c>
      <c r="R12" s="113">
        <f t="shared" si="4"/>
        <v>136500</v>
      </c>
      <c r="S12" s="125">
        <f t="shared" si="5"/>
        <v>2500</v>
      </c>
      <c r="T12" s="32">
        <v>91</v>
      </c>
      <c r="U12" s="107">
        <f t="shared" si="6"/>
        <v>227500</v>
      </c>
    </row>
    <row r="13" spans="1:21" ht="28.5" x14ac:dyDescent="0.25">
      <c r="A13" s="21">
        <v>11</v>
      </c>
      <c r="B13" s="21" t="s">
        <v>91</v>
      </c>
      <c r="C13" s="21" t="s">
        <v>110</v>
      </c>
      <c r="D13" s="22" t="s">
        <v>82</v>
      </c>
      <c r="E13" s="121">
        <v>26800</v>
      </c>
      <c r="F13" s="21" t="s">
        <v>7</v>
      </c>
      <c r="G13" s="21"/>
      <c r="H13" s="113">
        <f t="shared" si="0"/>
        <v>0</v>
      </c>
      <c r="I13" s="21"/>
      <c r="J13" s="113">
        <f t="shared" si="1"/>
        <v>0</v>
      </c>
      <c r="K13" s="21"/>
      <c r="L13" s="113"/>
      <c r="M13" s="21"/>
      <c r="N13" s="113">
        <f t="shared" si="2"/>
        <v>0</v>
      </c>
      <c r="O13" s="21"/>
      <c r="P13" s="113">
        <f t="shared" si="3"/>
        <v>0</v>
      </c>
      <c r="Q13" s="21">
        <v>1500</v>
      </c>
      <c r="R13" s="113">
        <f t="shared" si="4"/>
        <v>139500</v>
      </c>
      <c r="S13" s="125">
        <f t="shared" si="5"/>
        <v>1500</v>
      </c>
      <c r="T13" s="32">
        <v>93</v>
      </c>
      <c r="U13" s="107">
        <f t="shared" si="6"/>
        <v>139500</v>
      </c>
    </row>
    <row r="14" spans="1:21" ht="28.5" hidden="1" x14ac:dyDescent="0.25">
      <c r="A14" s="23">
        <v>12</v>
      </c>
      <c r="B14" s="23" t="s">
        <v>91</v>
      </c>
      <c r="C14" s="23" t="s">
        <v>111</v>
      </c>
      <c r="D14" s="24" t="s">
        <v>112</v>
      </c>
      <c r="E14" s="122">
        <v>20000</v>
      </c>
      <c r="F14" s="23" t="s">
        <v>7</v>
      </c>
      <c r="G14" s="23"/>
      <c r="H14" s="115">
        <f t="shared" si="0"/>
        <v>0</v>
      </c>
      <c r="I14" s="23"/>
      <c r="J14" s="113">
        <f t="shared" si="1"/>
        <v>0</v>
      </c>
      <c r="K14" s="23"/>
      <c r="L14" s="115"/>
      <c r="M14" s="23"/>
      <c r="N14" s="113">
        <f t="shared" si="2"/>
        <v>0</v>
      </c>
      <c r="O14" s="23"/>
      <c r="P14" s="113">
        <f t="shared" si="3"/>
        <v>0</v>
      </c>
      <c r="Q14" s="23"/>
      <c r="R14" s="113">
        <f t="shared" si="4"/>
        <v>0</v>
      </c>
      <c r="S14" s="125">
        <f t="shared" si="5"/>
        <v>0</v>
      </c>
      <c r="T14" s="32">
        <v>91</v>
      </c>
      <c r="U14" s="107">
        <f t="shared" si="6"/>
        <v>0</v>
      </c>
    </row>
    <row r="15" spans="1:21" ht="28.5" hidden="1" x14ac:dyDescent="0.25">
      <c r="A15" s="21">
        <v>13</v>
      </c>
      <c r="B15" s="21" t="s">
        <v>113</v>
      </c>
      <c r="C15" s="21" t="s">
        <v>114</v>
      </c>
      <c r="D15" s="22" t="s">
        <v>115</v>
      </c>
      <c r="E15" s="121">
        <v>201</v>
      </c>
      <c r="F15" s="21" t="s">
        <v>7</v>
      </c>
      <c r="G15" s="21"/>
      <c r="H15" s="113">
        <f t="shared" si="0"/>
        <v>0</v>
      </c>
      <c r="I15" s="21"/>
      <c r="J15" s="113">
        <f t="shared" si="1"/>
        <v>0</v>
      </c>
      <c r="K15" s="21"/>
      <c r="L15" s="113"/>
      <c r="M15" s="21"/>
      <c r="N15" s="113">
        <f t="shared" si="2"/>
        <v>0</v>
      </c>
      <c r="O15" s="21"/>
      <c r="P15" s="113">
        <f t="shared" si="3"/>
        <v>0</v>
      </c>
      <c r="Q15" s="21"/>
      <c r="R15" s="113">
        <f t="shared" si="4"/>
        <v>0</v>
      </c>
      <c r="S15" s="125">
        <f t="shared" si="5"/>
        <v>0</v>
      </c>
      <c r="T15" s="32">
        <v>93</v>
      </c>
      <c r="U15" s="107">
        <f t="shared" si="6"/>
        <v>0</v>
      </c>
    </row>
    <row r="16" spans="1:21" ht="42.75" x14ac:dyDescent="0.25">
      <c r="A16" s="23">
        <v>14</v>
      </c>
      <c r="B16" s="23" t="s">
        <v>91</v>
      </c>
      <c r="C16" s="23" t="s">
        <v>116</v>
      </c>
      <c r="D16" s="24" t="s">
        <v>84</v>
      </c>
      <c r="E16" s="122">
        <v>41000</v>
      </c>
      <c r="F16" s="23" t="s">
        <v>7</v>
      </c>
      <c r="G16" s="23"/>
      <c r="H16" s="115">
        <f t="shared" si="0"/>
        <v>0</v>
      </c>
      <c r="I16" s="23"/>
      <c r="J16" s="113">
        <f t="shared" si="1"/>
        <v>0</v>
      </c>
      <c r="K16" s="23"/>
      <c r="L16" s="115"/>
      <c r="M16" s="23"/>
      <c r="N16" s="113">
        <f t="shared" si="2"/>
        <v>0</v>
      </c>
      <c r="O16" s="23"/>
      <c r="P16" s="113">
        <f t="shared" si="3"/>
        <v>0</v>
      </c>
      <c r="Q16" s="23">
        <v>50</v>
      </c>
      <c r="R16" s="113">
        <f t="shared" si="4"/>
        <v>4550</v>
      </c>
      <c r="S16" s="125">
        <f t="shared" si="5"/>
        <v>50</v>
      </c>
      <c r="T16" s="32">
        <v>91</v>
      </c>
      <c r="U16" s="107">
        <f t="shared" si="6"/>
        <v>4550</v>
      </c>
    </row>
    <row r="17" spans="1:21" ht="42.75" hidden="1" x14ac:dyDescent="0.25">
      <c r="A17" s="21">
        <v>15</v>
      </c>
      <c r="B17" s="21" t="s">
        <v>91</v>
      </c>
      <c r="C17" s="21" t="s">
        <v>117</v>
      </c>
      <c r="D17" s="22" t="s">
        <v>118</v>
      </c>
      <c r="E17" s="121">
        <v>51400</v>
      </c>
      <c r="F17" s="21" t="s">
        <v>7</v>
      </c>
      <c r="G17" s="21"/>
      <c r="H17" s="113">
        <f t="shared" si="0"/>
        <v>0</v>
      </c>
      <c r="I17" s="21"/>
      <c r="J17" s="113">
        <f t="shared" si="1"/>
        <v>0</v>
      </c>
      <c r="K17" s="21"/>
      <c r="L17" s="113"/>
      <c r="M17" s="21"/>
      <c r="N17" s="113">
        <f t="shared" si="2"/>
        <v>0</v>
      </c>
      <c r="O17" s="21"/>
      <c r="P17" s="113">
        <f t="shared" si="3"/>
        <v>0</v>
      </c>
      <c r="Q17" s="21"/>
      <c r="R17" s="113">
        <f t="shared" si="4"/>
        <v>0</v>
      </c>
      <c r="S17" s="125">
        <f t="shared" si="5"/>
        <v>0</v>
      </c>
      <c r="T17" s="32">
        <v>98</v>
      </c>
      <c r="U17" s="107">
        <f t="shared" si="6"/>
        <v>0</v>
      </c>
    </row>
    <row r="18" spans="1:21" ht="28.5" hidden="1" x14ac:dyDescent="0.25">
      <c r="A18" s="23">
        <v>16</v>
      </c>
      <c r="B18" s="23" t="s">
        <v>91</v>
      </c>
      <c r="C18" s="23" t="s">
        <v>119</v>
      </c>
      <c r="D18" s="24" t="s">
        <v>120</v>
      </c>
      <c r="E18" s="122">
        <v>1100</v>
      </c>
      <c r="F18" s="23" t="s">
        <v>7</v>
      </c>
      <c r="G18" s="23"/>
      <c r="H18" s="115">
        <f t="shared" si="0"/>
        <v>0</v>
      </c>
      <c r="I18" s="23"/>
      <c r="J18" s="113">
        <f t="shared" si="1"/>
        <v>0</v>
      </c>
      <c r="K18" s="23"/>
      <c r="L18" s="115"/>
      <c r="M18" s="23"/>
      <c r="N18" s="113">
        <f t="shared" si="2"/>
        <v>0</v>
      </c>
      <c r="O18" s="23"/>
      <c r="P18" s="113">
        <f t="shared" si="3"/>
        <v>0</v>
      </c>
      <c r="Q18" s="23"/>
      <c r="R18" s="113">
        <f t="shared" si="4"/>
        <v>0</v>
      </c>
      <c r="S18" s="125">
        <f t="shared" si="5"/>
        <v>0</v>
      </c>
      <c r="T18" s="32">
        <v>93</v>
      </c>
      <c r="U18" s="107">
        <f t="shared" si="6"/>
        <v>0</v>
      </c>
    </row>
    <row r="19" spans="1:21" x14ac:dyDescent="0.25">
      <c r="A19" s="21">
        <v>17</v>
      </c>
      <c r="B19" s="21" t="s">
        <v>91</v>
      </c>
      <c r="C19" s="21" t="s">
        <v>28</v>
      </c>
      <c r="D19" s="22" t="s">
        <v>29</v>
      </c>
      <c r="E19" s="121">
        <v>81</v>
      </c>
      <c r="F19" s="21" t="s">
        <v>7</v>
      </c>
      <c r="G19" s="21">
        <v>10</v>
      </c>
      <c r="H19" s="113">
        <f t="shared" si="0"/>
        <v>930</v>
      </c>
      <c r="I19" s="21"/>
      <c r="J19" s="113">
        <f t="shared" si="1"/>
        <v>0</v>
      </c>
      <c r="K19" s="21"/>
      <c r="L19" s="113"/>
      <c r="M19" s="21"/>
      <c r="N19" s="113">
        <f t="shared" si="2"/>
        <v>0</v>
      </c>
      <c r="O19" s="21"/>
      <c r="P19" s="113">
        <f t="shared" si="3"/>
        <v>0</v>
      </c>
      <c r="Q19" s="21"/>
      <c r="R19" s="113">
        <f t="shared" si="4"/>
        <v>0</v>
      </c>
      <c r="S19" s="125">
        <f t="shared" si="5"/>
        <v>10</v>
      </c>
      <c r="T19" s="32">
        <v>93</v>
      </c>
      <c r="U19" s="107">
        <f t="shared" si="6"/>
        <v>930</v>
      </c>
    </row>
    <row r="20" spans="1:21" hidden="1" x14ac:dyDescent="0.25">
      <c r="A20" s="23">
        <v>18</v>
      </c>
      <c r="B20" s="23" t="s">
        <v>91</v>
      </c>
      <c r="C20" s="23" t="s">
        <v>121</v>
      </c>
      <c r="D20" s="24" t="s">
        <v>122</v>
      </c>
      <c r="E20" s="122">
        <v>5000</v>
      </c>
      <c r="F20" s="23" t="s">
        <v>7</v>
      </c>
      <c r="G20" s="23"/>
      <c r="H20" s="115">
        <f t="shared" si="0"/>
        <v>0</v>
      </c>
      <c r="I20" s="23"/>
      <c r="J20" s="113">
        <f t="shared" si="1"/>
        <v>0</v>
      </c>
      <c r="K20" s="23"/>
      <c r="L20" s="115"/>
      <c r="M20" s="23"/>
      <c r="N20" s="113">
        <f t="shared" si="2"/>
        <v>0</v>
      </c>
      <c r="O20" s="23"/>
      <c r="P20" s="113">
        <f t="shared" si="3"/>
        <v>0</v>
      </c>
      <c r="Q20" s="23"/>
      <c r="R20" s="113">
        <f t="shared" si="4"/>
        <v>0</v>
      </c>
      <c r="S20" s="125">
        <f t="shared" si="5"/>
        <v>0</v>
      </c>
      <c r="T20" s="32">
        <v>100</v>
      </c>
      <c r="U20" s="107">
        <f t="shared" si="6"/>
        <v>0</v>
      </c>
    </row>
    <row r="21" spans="1:21" ht="28.5" hidden="1" x14ac:dyDescent="0.25">
      <c r="A21" s="21">
        <v>19</v>
      </c>
      <c r="B21" s="21" t="s">
        <v>123</v>
      </c>
      <c r="C21" s="21" t="s">
        <v>124</v>
      </c>
      <c r="D21" s="22" t="s">
        <v>125</v>
      </c>
      <c r="E21" s="121">
        <v>225000</v>
      </c>
      <c r="F21" s="21" t="s">
        <v>7</v>
      </c>
      <c r="G21" s="21"/>
      <c r="H21" s="113">
        <f t="shared" si="0"/>
        <v>0</v>
      </c>
      <c r="I21" s="21"/>
      <c r="J21" s="113">
        <f t="shared" si="1"/>
        <v>0</v>
      </c>
      <c r="K21" s="21"/>
      <c r="L21" s="113"/>
      <c r="M21" s="21"/>
      <c r="N21" s="113">
        <f t="shared" si="2"/>
        <v>0</v>
      </c>
      <c r="O21" s="21"/>
      <c r="P21" s="113">
        <f t="shared" si="3"/>
        <v>0</v>
      </c>
      <c r="Q21" s="21"/>
      <c r="R21" s="113">
        <f t="shared" si="4"/>
        <v>0</v>
      </c>
      <c r="S21" s="125">
        <f t="shared" si="5"/>
        <v>0</v>
      </c>
      <c r="T21" s="32">
        <v>93</v>
      </c>
      <c r="U21" s="107">
        <f t="shared" si="6"/>
        <v>0</v>
      </c>
    </row>
    <row r="22" spans="1:21" ht="28.5" hidden="1" x14ac:dyDescent="0.25">
      <c r="A22" s="23">
        <v>20</v>
      </c>
      <c r="B22" s="23" t="s">
        <v>91</v>
      </c>
      <c r="C22" s="23" t="s">
        <v>126</v>
      </c>
      <c r="D22" s="24" t="s">
        <v>127</v>
      </c>
      <c r="E22" s="122">
        <v>2000</v>
      </c>
      <c r="F22" s="23" t="s">
        <v>7</v>
      </c>
      <c r="G22" s="23"/>
      <c r="H22" s="115">
        <f t="shared" si="0"/>
        <v>0</v>
      </c>
      <c r="I22" s="23"/>
      <c r="J22" s="113">
        <f t="shared" si="1"/>
        <v>0</v>
      </c>
      <c r="K22" s="23"/>
      <c r="L22" s="115"/>
      <c r="M22" s="23"/>
      <c r="N22" s="113">
        <f t="shared" si="2"/>
        <v>0</v>
      </c>
      <c r="O22" s="23"/>
      <c r="P22" s="113">
        <f t="shared" si="3"/>
        <v>0</v>
      </c>
      <c r="Q22" s="23"/>
      <c r="R22" s="113">
        <f t="shared" si="4"/>
        <v>0</v>
      </c>
      <c r="S22" s="125">
        <f t="shared" si="5"/>
        <v>0</v>
      </c>
      <c r="T22" s="32">
        <v>93</v>
      </c>
      <c r="U22" s="107">
        <f t="shared" si="6"/>
        <v>0</v>
      </c>
    </row>
    <row r="23" spans="1:21" ht="28.5" hidden="1" x14ac:dyDescent="0.25">
      <c r="A23" s="21">
        <v>21</v>
      </c>
      <c r="B23" s="21" t="s">
        <v>91</v>
      </c>
      <c r="C23" s="21" t="s">
        <v>128</v>
      </c>
      <c r="D23" s="22" t="s">
        <v>129</v>
      </c>
      <c r="E23" s="121">
        <v>65</v>
      </c>
      <c r="F23" s="21" t="s">
        <v>7</v>
      </c>
      <c r="G23" s="21"/>
      <c r="H23" s="113">
        <f t="shared" si="0"/>
        <v>0</v>
      </c>
      <c r="I23" s="21"/>
      <c r="J23" s="113">
        <f t="shared" si="1"/>
        <v>0</v>
      </c>
      <c r="K23" s="21"/>
      <c r="L23" s="113"/>
      <c r="M23" s="21"/>
      <c r="N23" s="113">
        <f t="shared" si="2"/>
        <v>0</v>
      </c>
      <c r="O23" s="21"/>
      <c r="P23" s="113">
        <f t="shared" si="3"/>
        <v>0</v>
      </c>
      <c r="Q23" s="21"/>
      <c r="R23" s="113">
        <f t="shared" si="4"/>
        <v>0</v>
      </c>
      <c r="S23" s="125">
        <f t="shared" si="5"/>
        <v>0</v>
      </c>
      <c r="T23" s="32"/>
      <c r="U23" s="107">
        <f t="shared" si="6"/>
        <v>0</v>
      </c>
    </row>
    <row r="24" spans="1:21" ht="28.5" hidden="1" x14ac:dyDescent="0.25">
      <c r="A24" s="23">
        <v>22</v>
      </c>
      <c r="B24" s="23" t="s">
        <v>91</v>
      </c>
      <c r="C24" s="23" t="s">
        <v>130</v>
      </c>
      <c r="D24" s="24" t="s">
        <v>131</v>
      </c>
      <c r="E24" s="122">
        <v>505</v>
      </c>
      <c r="F24" s="23" t="s">
        <v>7</v>
      </c>
      <c r="G24" s="23"/>
      <c r="H24" s="115">
        <f t="shared" si="0"/>
        <v>0</v>
      </c>
      <c r="I24" s="23"/>
      <c r="J24" s="113">
        <f t="shared" si="1"/>
        <v>0</v>
      </c>
      <c r="K24" s="23"/>
      <c r="L24" s="115"/>
      <c r="M24" s="23"/>
      <c r="N24" s="113">
        <f t="shared" si="2"/>
        <v>0</v>
      </c>
      <c r="O24" s="23"/>
      <c r="P24" s="113">
        <f t="shared" si="3"/>
        <v>0</v>
      </c>
      <c r="Q24" s="23"/>
      <c r="R24" s="113">
        <f t="shared" si="4"/>
        <v>0</v>
      </c>
      <c r="S24" s="125">
        <f t="shared" si="5"/>
        <v>0</v>
      </c>
      <c r="T24" s="32">
        <v>91</v>
      </c>
      <c r="U24" s="107">
        <f t="shared" si="6"/>
        <v>0</v>
      </c>
    </row>
    <row r="25" spans="1:21" ht="42.75" x14ac:dyDescent="0.25">
      <c r="A25" s="21">
        <v>23</v>
      </c>
      <c r="B25" s="21" t="s">
        <v>91</v>
      </c>
      <c r="C25" s="21" t="s">
        <v>25</v>
      </c>
      <c r="D25" s="22" t="s">
        <v>30</v>
      </c>
      <c r="E25" s="121">
        <v>1352</v>
      </c>
      <c r="F25" s="21" t="s">
        <v>7</v>
      </c>
      <c r="G25" s="21">
        <v>100</v>
      </c>
      <c r="H25" s="113">
        <f t="shared" si="0"/>
        <v>9100</v>
      </c>
      <c r="I25" s="21">
        <v>90</v>
      </c>
      <c r="J25" s="113">
        <f t="shared" si="1"/>
        <v>8190</v>
      </c>
      <c r="K25" s="21"/>
      <c r="L25" s="113"/>
      <c r="M25" s="21"/>
      <c r="N25" s="113">
        <f t="shared" si="2"/>
        <v>0</v>
      </c>
      <c r="O25" s="21"/>
      <c r="P25" s="113">
        <f t="shared" si="3"/>
        <v>0</v>
      </c>
      <c r="Q25" s="21"/>
      <c r="R25" s="113">
        <f t="shared" si="4"/>
        <v>0</v>
      </c>
      <c r="S25" s="125">
        <f t="shared" si="5"/>
        <v>190</v>
      </c>
      <c r="T25" s="32">
        <v>91</v>
      </c>
      <c r="U25" s="107">
        <f t="shared" si="6"/>
        <v>17290</v>
      </c>
    </row>
    <row r="26" spans="1:21" ht="42.75" hidden="1" x14ac:dyDescent="0.25">
      <c r="A26" s="23">
        <v>24</v>
      </c>
      <c r="B26" s="23" t="s">
        <v>91</v>
      </c>
      <c r="C26" s="23" t="s">
        <v>132</v>
      </c>
      <c r="D26" s="24" t="s">
        <v>133</v>
      </c>
      <c r="E26" s="122">
        <v>100</v>
      </c>
      <c r="F26" s="23" t="s">
        <v>7</v>
      </c>
      <c r="G26" s="23"/>
      <c r="H26" s="115">
        <f t="shared" si="0"/>
        <v>0</v>
      </c>
      <c r="I26" s="23"/>
      <c r="J26" s="113">
        <f t="shared" si="1"/>
        <v>0</v>
      </c>
      <c r="K26" s="23"/>
      <c r="L26" s="115"/>
      <c r="M26" s="23"/>
      <c r="N26" s="113">
        <f t="shared" si="2"/>
        <v>0</v>
      </c>
      <c r="O26" s="23"/>
      <c r="P26" s="113">
        <f t="shared" si="3"/>
        <v>0</v>
      </c>
      <c r="Q26" s="23"/>
      <c r="R26" s="113">
        <f t="shared" si="4"/>
        <v>0</v>
      </c>
      <c r="S26" s="125">
        <f t="shared" si="5"/>
        <v>0</v>
      </c>
      <c r="T26" s="32">
        <v>91</v>
      </c>
      <c r="U26" s="107">
        <f t="shared" si="6"/>
        <v>0</v>
      </c>
    </row>
    <row r="27" spans="1:21" ht="28.5" hidden="1" x14ac:dyDescent="0.25">
      <c r="A27" s="21">
        <v>25</v>
      </c>
      <c r="B27" s="21" t="s">
        <v>91</v>
      </c>
      <c r="C27" s="21" t="s">
        <v>134</v>
      </c>
      <c r="D27" s="22" t="s">
        <v>135</v>
      </c>
      <c r="E27" s="121">
        <v>50000</v>
      </c>
      <c r="F27" s="21" t="s">
        <v>7</v>
      </c>
      <c r="G27" s="21"/>
      <c r="H27" s="113">
        <f t="shared" si="0"/>
        <v>0</v>
      </c>
      <c r="I27" s="21"/>
      <c r="J27" s="113">
        <f t="shared" si="1"/>
        <v>0</v>
      </c>
      <c r="K27" s="21"/>
      <c r="L27" s="113"/>
      <c r="M27" s="21"/>
      <c r="N27" s="113">
        <f t="shared" si="2"/>
        <v>0</v>
      </c>
      <c r="O27" s="21"/>
      <c r="P27" s="113">
        <f t="shared" si="3"/>
        <v>0</v>
      </c>
      <c r="Q27" s="21"/>
      <c r="R27" s="113">
        <f t="shared" si="4"/>
        <v>0</v>
      </c>
      <c r="S27" s="125">
        <f t="shared" si="5"/>
        <v>0</v>
      </c>
      <c r="T27" s="32">
        <v>98</v>
      </c>
      <c r="U27" s="107">
        <f t="shared" si="6"/>
        <v>0</v>
      </c>
    </row>
    <row r="28" spans="1:21" ht="28.5" hidden="1" x14ac:dyDescent="0.25">
      <c r="A28" s="23">
        <v>26</v>
      </c>
      <c r="B28" s="23" t="s">
        <v>91</v>
      </c>
      <c r="C28" s="23" t="s">
        <v>136</v>
      </c>
      <c r="D28" s="24" t="s">
        <v>137</v>
      </c>
      <c r="E28" s="122">
        <v>7000</v>
      </c>
      <c r="F28" s="23" t="s">
        <v>7</v>
      </c>
      <c r="G28" s="23"/>
      <c r="H28" s="115">
        <f t="shared" si="0"/>
        <v>0</v>
      </c>
      <c r="I28" s="23"/>
      <c r="J28" s="113">
        <f t="shared" si="1"/>
        <v>0</v>
      </c>
      <c r="K28" s="23"/>
      <c r="L28" s="115"/>
      <c r="M28" s="23"/>
      <c r="N28" s="113">
        <f t="shared" si="2"/>
        <v>0</v>
      </c>
      <c r="O28" s="23"/>
      <c r="P28" s="113">
        <f t="shared" si="3"/>
        <v>0</v>
      </c>
      <c r="Q28" s="23"/>
      <c r="R28" s="113">
        <f t="shared" si="4"/>
        <v>0</v>
      </c>
      <c r="S28" s="125">
        <f t="shared" si="5"/>
        <v>0</v>
      </c>
      <c r="T28" s="32">
        <v>92</v>
      </c>
      <c r="U28" s="107">
        <f t="shared" si="6"/>
        <v>0</v>
      </c>
    </row>
    <row r="29" spans="1:21" hidden="1" x14ac:dyDescent="0.25">
      <c r="A29" s="21">
        <v>27</v>
      </c>
      <c r="B29" s="21" t="s">
        <v>91</v>
      </c>
      <c r="C29" s="21" t="s">
        <v>138</v>
      </c>
      <c r="D29" s="22" t="s">
        <v>139</v>
      </c>
      <c r="E29" s="121">
        <v>31</v>
      </c>
      <c r="F29" s="21" t="s">
        <v>7</v>
      </c>
      <c r="G29" s="21"/>
      <c r="H29" s="113">
        <f t="shared" si="0"/>
        <v>0</v>
      </c>
      <c r="I29" s="21"/>
      <c r="J29" s="113">
        <f t="shared" si="1"/>
        <v>0</v>
      </c>
      <c r="K29" s="21"/>
      <c r="L29" s="113"/>
      <c r="M29" s="21"/>
      <c r="N29" s="113">
        <f t="shared" si="2"/>
        <v>0</v>
      </c>
      <c r="O29" s="21"/>
      <c r="P29" s="113">
        <f t="shared" si="3"/>
        <v>0</v>
      </c>
      <c r="Q29" s="21"/>
      <c r="R29" s="113">
        <f t="shared" si="4"/>
        <v>0</v>
      </c>
      <c r="S29" s="125">
        <f t="shared" si="5"/>
        <v>0</v>
      </c>
      <c r="T29" s="32">
        <v>100</v>
      </c>
      <c r="U29" s="107">
        <f t="shared" si="6"/>
        <v>0</v>
      </c>
    </row>
    <row r="30" spans="1:21" ht="28.5" hidden="1" x14ac:dyDescent="0.25">
      <c r="A30" s="23">
        <v>28</v>
      </c>
      <c r="B30" s="23" t="s">
        <v>91</v>
      </c>
      <c r="C30" s="23" t="s">
        <v>140</v>
      </c>
      <c r="D30" s="24" t="s">
        <v>141</v>
      </c>
      <c r="E30" s="122">
        <v>1950</v>
      </c>
      <c r="F30" s="23" t="s">
        <v>7</v>
      </c>
      <c r="G30" s="23"/>
      <c r="H30" s="115">
        <f t="shared" si="0"/>
        <v>0</v>
      </c>
      <c r="I30" s="23"/>
      <c r="J30" s="113">
        <f t="shared" si="1"/>
        <v>0</v>
      </c>
      <c r="K30" s="23"/>
      <c r="L30" s="115"/>
      <c r="M30" s="23"/>
      <c r="N30" s="113">
        <f t="shared" si="2"/>
        <v>0</v>
      </c>
      <c r="O30" s="23"/>
      <c r="P30" s="113">
        <f t="shared" si="3"/>
        <v>0</v>
      </c>
      <c r="Q30" s="23"/>
      <c r="R30" s="113">
        <f t="shared" si="4"/>
        <v>0</v>
      </c>
      <c r="S30" s="125">
        <f t="shared" si="5"/>
        <v>0</v>
      </c>
      <c r="T30" s="32">
        <v>93</v>
      </c>
      <c r="U30" s="107">
        <f t="shared" si="6"/>
        <v>0</v>
      </c>
    </row>
    <row r="31" spans="1:21" ht="28.5" hidden="1" x14ac:dyDescent="0.25">
      <c r="A31" s="21">
        <v>29</v>
      </c>
      <c r="B31" s="21" t="s">
        <v>91</v>
      </c>
      <c r="C31" s="21" t="s">
        <v>142</v>
      </c>
      <c r="D31" s="22" t="s">
        <v>143</v>
      </c>
      <c r="E31" s="121">
        <v>1250</v>
      </c>
      <c r="F31" s="21" t="s">
        <v>7</v>
      </c>
      <c r="G31" s="21"/>
      <c r="H31" s="113">
        <f t="shared" si="0"/>
        <v>0</v>
      </c>
      <c r="I31" s="21"/>
      <c r="J31" s="113">
        <f t="shared" si="1"/>
        <v>0</v>
      </c>
      <c r="K31" s="21"/>
      <c r="L31" s="113"/>
      <c r="M31" s="21"/>
      <c r="N31" s="113">
        <f t="shared" si="2"/>
        <v>0</v>
      </c>
      <c r="O31" s="21"/>
      <c r="P31" s="113">
        <f t="shared" si="3"/>
        <v>0</v>
      </c>
      <c r="Q31" s="21"/>
      <c r="R31" s="113">
        <f t="shared" si="4"/>
        <v>0</v>
      </c>
      <c r="S31" s="125">
        <f t="shared" si="5"/>
        <v>0</v>
      </c>
      <c r="T31" s="32">
        <v>93</v>
      </c>
      <c r="U31" s="107">
        <f t="shared" si="6"/>
        <v>0</v>
      </c>
    </row>
    <row r="32" spans="1:21" ht="28.5" hidden="1" x14ac:dyDescent="0.25">
      <c r="A32" s="23">
        <v>30</v>
      </c>
      <c r="B32" s="23" t="s">
        <v>91</v>
      </c>
      <c r="C32" s="23" t="s">
        <v>144</v>
      </c>
      <c r="D32" s="24" t="s">
        <v>145</v>
      </c>
      <c r="E32" s="122">
        <v>3100</v>
      </c>
      <c r="F32" s="23" t="s">
        <v>7</v>
      </c>
      <c r="G32" s="23"/>
      <c r="H32" s="115">
        <f t="shared" si="0"/>
        <v>0</v>
      </c>
      <c r="I32" s="23"/>
      <c r="J32" s="113">
        <f t="shared" si="1"/>
        <v>0</v>
      </c>
      <c r="K32" s="23"/>
      <c r="L32" s="115"/>
      <c r="M32" s="23"/>
      <c r="N32" s="113">
        <f t="shared" si="2"/>
        <v>0</v>
      </c>
      <c r="O32" s="23"/>
      <c r="P32" s="113">
        <f t="shared" si="3"/>
        <v>0</v>
      </c>
      <c r="Q32" s="23"/>
      <c r="R32" s="113">
        <f t="shared" si="4"/>
        <v>0</v>
      </c>
      <c r="S32" s="125">
        <f t="shared" si="5"/>
        <v>0</v>
      </c>
      <c r="T32" s="33">
        <v>93</v>
      </c>
      <c r="U32" s="107">
        <f t="shared" si="6"/>
        <v>0</v>
      </c>
    </row>
    <row r="33" spans="1:21" hidden="1" x14ac:dyDescent="0.25">
      <c r="A33" s="21">
        <v>31</v>
      </c>
      <c r="B33" s="21" t="s">
        <v>146</v>
      </c>
      <c r="C33" s="21" t="s">
        <v>147</v>
      </c>
      <c r="D33" s="22" t="s">
        <v>148</v>
      </c>
      <c r="E33" s="121">
        <v>140</v>
      </c>
      <c r="F33" s="21" t="s">
        <v>7</v>
      </c>
      <c r="G33" s="21"/>
      <c r="H33" s="113">
        <f t="shared" si="0"/>
        <v>0</v>
      </c>
      <c r="I33" s="21"/>
      <c r="J33" s="113">
        <f t="shared" si="1"/>
        <v>0</v>
      </c>
      <c r="K33" s="21"/>
      <c r="L33" s="113"/>
      <c r="M33" s="21"/>
      <c r="N33" s="113">
        <f t="shared" si="2"/>
        <v>0</v>
      </c>
      <c r="O33" s="21"/>
      <c r="P33" s="113">
        <f t="shared" si="3"/>
        <v>0</v>
      </c>
      <c r="Q33" s="21"/>
      <c r="R33" s="113">
        <f t="shared" si="4"/>
        <v>0</v>
      </c>
      <c r="S33" s="125">
        <f t="shared" si="5"/>
        <v>0</v>
      </c>
      <c r="T33" s="34">
        <v>93</v>
      </c>
      <c r="U33" s="107">
        <f t="shared" si="6"/>
        <v>0</v>
      </c>
    </row>
    <row r="34" spans="1:21" hidden="1" x14ac:dyDescent="0.25">
      <c r="A34" s="23">
        <v>32</v>
      </c>
      <c r="B34" s="23" t="s">
        <v>146</v>
      </c>
      <c r="C34" s="23" t="s">
        <v>149</v>
      </c>
      <c r="D34" s="24" t="s">
        <v>150</v>
      </c>
      <c r="E34" s="122">
        <v>30</v>
      </c>
      <c r="F34" s="23" t="s">
        <v>7</v>
      </c>
      <c r="G34" s="23"/>
      <c r="H34" s="115">
        <f t="shared" si="0"/>
        <v>0</v>
      </c>
      <c r="I34" s="23"/>
      <c r="J34" s="113">
        <f t="shared" si="1"/>
        <v>0</v>
      </c>
      <c r="K34" s="23"/>
      <c r="L34" s="115"/>
      <c r="M34" s="23"/>
      <c r="N34" s="113">
        <f t="shared" si="2"/>
        <v>0</v>
      </c>
      <c r="O34" s="23"/>
      <c r="P34" s="113">
        <f t="shared" si="3"/>
        <v>0</v>
      </c>
      <c r="Q34" s="23"/>
      <c r="R34" s="113">
        <f t="shared" si="4"/>
        <v>0</v>
      </c>
      <c r="S34" s="125">
        <f t="shared" si="5"/>
        <v>0</v>
      </c>
      <c r="T34" s="34">
        <v>93</v>
      </c>
      <c r="U34" s="107">
        <f t="shared" si="6"/>
        <v>0</v>
      </c>
    </row>
    <row r="35" spans="1:21" ht="42.75" hidden="1" x14ac:dyDescent="0.25">
      <c r="A35" s="21">
        <v>33</v>
      </c>
      <c r="B35" s="21" t="s">
        <v>91</v>
      </c>
      <c r="C35" s="21" t="s">
        <v>151</v>
      </c>
      <c r="D35" s="22" t="s">
        <v>152</v>
      </c>
      <c r="E35" s="121">
        <v>48</v>
      </c>
      <c r="F35" s="21" t="s">
        <v>7</v>
      </c>
      <c r="G35" s="21"/>
      <c r="H35" s="113">
        <f t="shared" si="0"/>
        <v>0</v>
      </c>
      <c r="I35" s="21"/>
      <c r="J35" s="113">
        <f t="shared" si="1"/>
        <v>0</v>
      </c>
      <c r="K35" s="21"/>
      <c r="L35" s="113"/>
      <c r="M35" s="21"/>
      <c r="N35" s="113">
        <f t="shared" si="2"/>
        <v>0</v>
      </c>
      <c r="O35" s="21"/>
      <c r="P35" s="113">
        <f t="shared" si="3"/>
        <v>0</v>
      </c>
      <c r="Q35" s="21"/>
      <c r="R35" s="113">
        <f t="shared" si="4"/>
        <v>0</v>
      </c>
      <c r="S35" s="125">
        <f t="shared" si="5"/>
        <v>0</v>
      </c>
      <c r="T35" s="34">
        <v>98</v>
      </c>
      <c r="U35" s="107">
        <f t="shared" si="6"/>
        <v>0</v>
      </c>
    </row>
    <row r="36" spans="1:21" ht="42.75" x14ac:dyDescent="0.25">
      <c r="A36" s="23">
        <v>34</v>
      </c>
      <c r="B36" s="23" t="s">
        <v>91</v>
      </c>
      <c r="C36" s="23" t="s">
        <v>31</v>
      </c>
      <c r="D36" s="24" t="s">
        <v>32</v>
      </c>
      <c r="E36" s="122">
        <v>10500</v>
      </c>
      <c r="F36" s="23" t="s">
        <v>7</v>
      </c>
      <c r="G36" s="23">
        <v>1000</v>
      </c>
      <c r="H36" s="115">
        <f t="shared" si="0"/>
        <v>93000</v>
      </c>
      <c r="I36" s="23"/>
      <c r="J36" s="113">
        <f t="shared" si="1"/>
        <v>0</v>
      </c>
      <c r="K36" s="23"/>
      <c r="L36" s="115"/>
      <c r="M36" s="23"/>
      <c r="N36" s="113">
        <f t="shared" si="2"/>
        <v>0</v>
      </c>
      <c r="O36" s="23"/>
      <c r="P36" s="113">
        <f t="shared" si="3"/>
        <v>0</v>
      </c>
      <c r="Q36" s="23">
        <v>10</v>
      </c>
      <c r="R36" s="113">
        <f t="shared" si="4"/>
        <v>930</v>
      </c>
      <c r="S36" s="125">
        <f t="shared" si="5"/>
        <v>1010</v>
      </c>
      <c r="T36" s="34">
        <v>93</v>
      </c>
      <c r="U36" s="107">
        <f t="shared" si="6"/>
        <v>93930</v>
      </c>
    </row>
    <row r="37" spans="1:21" ht="42.75" x14ac:dyDescent="0.25">
      <c r="A37" s="21">
        <v>35</v>
      </c>
      <c r="B37" s="21" t="s">
        <v>91</v>
      </c>
      <c r="C37" s="21" t="s">
        <v>153</v>
      </c>
      <c r="D37" s="22" t="s">
        <v>86</v>
      </c>
      <c r="E37" s="121">
        <v>40000</v>
      </c>
      <c r="F37" s="21" t="s">
        <v>7</v>
      </c>
      <c r="G37" s="21"/>
      <c r="H37" s="113">
        <f t="shared" si="0"/>
        <v>0</v>
      </c>
      <c r="I37" s="21"/>
      <c r="J37" s="113">
        <f t="shared" si="1"/>
        <v>0</v>
      </c>
      <c r="K37" s="21"/>
      <c r="L37" s="113"/>
      <c r="M37" s="21"/>
      <c r="N37" s="113">
        <f t="shared" si="2"/>
        <v>0</v>
      </c>
      <c r="O37" s="21"/>
      <c r="P37" s="113">
        <f t="shared" si="3"/>
        <v>0</v>
      </c>
      <c r="Q37" s="21">
        <v>10</v>
      </c>
      <c r="R37" s="113">
        <f t="shared" si="4"/>
        <v>930</v>
      </c>
      <c r="S37" s="125">
        <f t="shared" si="5"/>
        <v>10</v>
      </c>
      <c r="T37" s="34">
        <v>93</v>
      </c>
      <c r="U37" s="107">
        <f t="shared" si="6"/>
        <v>930</v>
      </c>
    </row>
    <row r="38" spans="1:21" ht="42.75" hidden="1" x14ac:dyDescent="0.25">
      <c r="A38" s="23">
        <v>36</v>
      </c>
      <c r="B38" s="23" t="s">
        <v>91</v>
      </c>
      <c r="C38" s="23" t="s">
        <v>154</v>
      </c>
      <c r="D38" s="24" t="s">
        <v>155</v>
      </c>
      <c r="E38" s="122">
        <v>46000</v>
      </c>
      <c r="F38" s="23" t="s">
        <v>7</v>
      </c>
      <c r="G38" s="23"/>
      <c r="H38" s="115">
        <f t="shared" si="0"/>
        <v>0</v>
      </c>
      <c r="I38" s="23"/>
      <c r="J38" s="113">
        <f t="shared" si="1"/>
        <v>0</v>
      </c>
      <c r="K38" s="23"/>
      <c r="L38" s="115"/>
      <c r="M38" s="23"/>
      <c r="N38" s="113">
        <f t="shared" si="2"/>
        <v>0</v>
      </c>
      <c r="O38" s="23"/>
      <c r="P38" s="113">
        <f t="shared" si="3"/>
        <v>0</v>
      </c>
      <c r="Q38" s="23"/>
      <c r="R38" s="113">
        <f t="shared" si="4"/>
        <v>0</v>
      </c>
      <c r="S38" s="125">
        <f t="shared" si="5"/>
        <v>0</v>
      </c>
      <c r="T38" s="34">
        <v>93</v>
      </c>
      <c r="U38" s="107">
        <f t="shared" si="6"/>
        <v>0</v>
      </c>
    </row>
    <row r="39" spans="1:21" ht="42.75" hidden="1" x14ac:dyDescent="0.25">
      <c r="A39" s="21">
        <v>37</v>
      </c>
      <c r="B39" s="21" t="s">
        <v>91</v>
      </c>
      <c r="C39" s="21" t="s">
        <v>156</v>
      </c>
      <c r="D39" s="22" t="s">
        <v>157</v>
      </c>
      <c r="E39" s="121">
        <v>31300</v>
      </c>
      <c r="F39" s="21" t="s">
        <v>7</v>
      </c>
      <c r="G39" s="21"/>
      <c r="H39" s="113">
        <f t="shared" si="0"/>
        <v>0</v>
      </c>
      <c r="I39" s="21"/>
      <c r="J39" s="113">
        <f t="shared" si="1"/>
        <v>0</v>
      </c>
      <c r="K39" s="21"/>
      <c r="L39" s="113"/>
      <c r="M39" s="21"/>
      <c r="N39" s="113">
        <f t="shared" si="2"/>
        <v>0</v>
      </c>
      <c r="O39" s="21"/>
      <c r="P39" s="113">
        <f t="shared" si="3"/>
        <v>0</v>
      </c>
      <c r="Q39" s="21"/>
      <c r="R39" s="113">
        <f t="shared" si="4"/>
        <v>0</v>
      </c>
      <c r="S39" s="125">
        <f t="shared" si="5"/>
        <v>0</v>
      </c>
      <c r="T39" s="34">
        <v>93</v>
      </c>
      <c r="U39" s="107">
        <f t="shared" si="6"/>
        <v>0</v>
      </c>
    </row>
    <row r="40" spans="1:21" ht="42.75" hidden="1" x14ac:dyDescent="0.25">
      <c r="A40" s="23">
        <v>38</v>
      </c>
      <c r="B40" s="23" t="s">
        <v>91</v>
      </c>
      <c r="C40" s="23" t="s">
        <v>158</v>
      </c>
      <c r="D40" s="24" t="s">
        <v>159</v>
      </c>
      <c r="E40" s="122">
        <v>9300</v>
      </c>
      <c r="F40" s="23" t="s">
        <v>7</v>
      </c>
      <c r="G40" s="23"/>
      <c r="H40" s="115">
        <f t="shared" si="0"/>
        <v>0</v>
      </c>
      <c r="I40" s="23"/>
      <c r="J40" s="113">
        <f t="shared" si="1"/>
        <v>0</v>
      </c>
      <c r="K40" s="23"/>
      <c r="L40" s="115"/>
      <c r="M40" s="23"/>
      <c r="N40" s="113">
        <f t="shared" si="2"/>
        <v>0</v>
      </c>
      <c r="O40" s="23"/>
      <c r="P40" s="113">
        <f t="shared" si="3"/>
        <v>0</v>
      </c>
      <c r="Q40" s="23"/>
      <c r="R40" s="113">
        <f t="shared" si="4"/>
        <v>0</v>
      </c>
      <c r="S40" s="125">
        <f t="shared" si="5"/>
        <v>0</v>
      </c>
      <c r="T40" s="34">
        <v>93</v>
      </c>
      <c r="U40" s="107">
        <f t="shared" si="6"/>
        <v>0</v>
      </c>
    </row>
    <row r="41" spans="1:21" ht="28.5" x14ac:dyDescent="0.25">
      <c r="A41" s="21">
        <v>39</v>
      </c>
      <c r="B41" s="21" t="s">
        <v>91</v>
      </c>
      <c r="C41" s="21" t="s">
        <v>160</v>
      </c>
      <c r="D41" s="22" t="s">
        <v>161</v>
      </c>
      <c r="E41" s="121">
        <v>7600</v>
      </c>
      <c r="F41" s="21" t="s">
        <v>7</v>
      </c>
      <c r="G41" s="21"/>
      <c r="H41" s="113">
        <f t="shared" si="0"/>
        <v>0</v>
      </c>
      <c r="I41" s="21"/>
      <c r="J41" s="113">
        <f t="shared" si="1"/>
        <v>0</v>
      </c>
      <c r="K41" s="21"/>
      <c r="L41" s="113"/>
      <c r="M41" s="21"/>
      <c r="N41" s="113">
        <f t="shared" si="2"/>
        <v>0</v>
      </c>
      <c r="O41" s="21">
        <v>10</v>
      </c>
      <c r="P41" s="113">
        <f t="shared" si="3"/>
        <v>930</v>
      </c>
      <c r="Q41" s="21"/>
      <c r="R41" s="113">
        <f t="shared" si="4"/>
        <v>0</v>
      </c>
      <c r="S41" s="125">
        <f t="shared" si="5"/>
        <v>10</v>
      </c>
      <c r="T41" s="34">
        <v>93</v>
      </c>
      <c r="U41" s="107">
        <f t="shared" si="6"/>
        <v>930</v>
      </c>
    </row>
    <row r="42" spans="1:21" ht="28.5" x14ac:dyDescent="0.25">
      <c r="A42" s="23">
        <v>40</v>
      </c>
      <c r="B42" s="23" t="s">
        <v>91</v>
      </c>
      <c r="C42" s="23" t="s">
        <v>33</v>
      </c>
      <c r="D42" s="24" t="s">
        <v>34</v>
      </c>
      <c r="E42" s="122">
        <v>20000</v>
      </c>
      <c r="F42" s="23" t="s">
        <v>7</v>
      </c>
      <c r="G42" s="23">
        <v>2000</v>
      </c>
      <c r="H42" s="115">
        <f t="shared" si="0"/>
        <v>186000</v>
      </c>
      <c r="I42" s="23">
        <v>150</v>
      </c>
      <c r="J42" s="113">
        <f t="shared" si="1"/>
        <v>13950</v>
      </c>
      <c r="K42" s="23"/>
      <c r="L42" s="115"/>
      <c r="M42" s="23"/>
      <c r="N42" s="113">
        <f t="shared" si="2"/>
        <v>0</v>
      </c>
      <c r="O42" s="23">
        <v>10</v>
      </c>
      <c r="P42" s="113">
        <f t="shared" si="3"/>
        <v>930</v>
      </c>
      <c r="Q42" s="23"/>
      <c r="R42" s="113">
        <f t="shared" si="4"/>
        <v>0</v>
      </c>
      <c r="S42" s="125">
        <f t="shared" si="5"/>
        <v>2160</v>
      </c>
      <c r="T42" s="34">
        <v>93</v>
      </c>
      <c r="U42" s="107">
        <f t="shared" si="6"/>
        <v>200880</v>
      </c>
    </row>
    <row r="43" spans="1:21" ht="42.75" x14ac:dyDescent="0.25">
      <c r="A43" s="21">
        <v>41</v>
      </c>
      <c r="B43" s="21" t="s">
        <v>91</v>
      </c>
      <c r="C43" s="21" t="s">
        <v>61</v>
      </c>
      <c r="D43" s="22" t="s">
        <v>62</v>
      </c>
      <c r="E43" s="121">
        <v>11900</v>
      </c>
      <c r="F43" s="21" t="s">
        <v>7</v>
      </c>
      <c r="G43" s="21"/>
      <c r="H43" s="113">
        <f t="shared" si="0"/>
        <v>0</v>
      </c>
      <c r="I43" s="21">
        <v>150</v>
      </c>
      <c r="J43" s="113">
        <f t="shared" si="1"/>
        <v>13950</v>
      </c>
      <c r="K43" s="21"/>
      <c r="L43" s="113"/>
      <c r="M43" s="21"/>
      <c r="N43" s="113">
        <f t="shared" si="2"/>
        <v>0</v>
      </c>
      <c r="O43" s="21">
        <v>10</v>
      </c>
      <c r="P43" s="113">
        <f t="shared" si="3"/>
        <v>930</v>
      </c>
      <c r="Q43" s="21">
        <v>10</v>
      </c>
      <c r="R43" s="113">
        <f t="shared" si="4"/>
        <v>930</v>
      </c>
      <c r="S43" s="125">
        <f t="shared" si="5"/>
        <v>170</v>
      </c>
      <c r="T43" s="34">
        <v>93</v>
      </c>
      <c r="U43" s="107">
        <f t="shared" si="6"/>
        <v>15810</v>
      </c>
    </row>
    <row r="44" spans="1:21" ht="42.75" x14ac:dyDescent="0.25">
      <c r="A44" s="23">
        <v>42</v>
      </c>
      <c r="B44" s="23" t="s">
        <v>91</v>
      </c>
      <c r="C44" s="23" t="s">
        <v>63</v>
      </c>
      <c r="D44" s="24" t="s">
        <v>64</v>
      </c>
      <c r="E44" s="122">
        <v>430</v>
      </c>
      <c r="F44" s="23" t="s">
        <v>7</v>
      </c>
      <c r="G44" s="23"/>
      <c r="H44" s="115">
        <f t="shared" si="0"/>
        <v>0</v>
      </c>
      <c r="I44" s="23">
        <v>30</v>
      </c>
      <c r="J44" s="113">
        <f t="shared" si="1"/>
        <v>2790</v>
      </c>
      <c r="K44" s="23"/>
      <c r="L44" s="115"/>
      <c r="M44" s="23"/>
      <c r="N44" s="113">
        <f t="shared" si="2"/>
        <v>0</v>
      </c>
      <c r="O44" s="23"/>
      <c r="P44" s="113">
        <f t="shared" si="3"/>
        <v>0</v>
      </c>
      <c r="Q44" s="23"/>
      <c r="R44" s="113">
        <f t="shared" si="4"/>
        <v>0</v>
      </c>
      <c r="S44" s="125">
        <f t="shared" si="5"/>
        <v>30</v>
      </c>
      <c r="T44" s="34">
        <v>93</v>
      </c>
      <c r="U44" s="107">
        <f t="shared" si="6"/>
        <v>2790</v>
      </c>
    </row>
    <row r="45" spans="1:21" ht="42.75" x14ac:dyDescent="0.25">
      <c r="A45" s="21">
        <v>43</v>
      </c>
      <c r="B45" s="21" t="s">
        <v>91</v>
      </c>
      <c r="C45" s="21" t="s">
        <v>65</v>
      </c>
      <c r="D45" s="22" t="s">
        <v>66</v>
      </c>
      <c r="E45" s="121">
        <v>703</v>
      </c>
      <c r="F45" s="21" t="s">
        <v>7</v>
      </c>
      <c r="G45" s="21"/>
      <c r="H45" s="113">
        <f t="shared" si="0"/>
        <v>0</v>
      </c>
      <c r="I45" s="21">
        <v>15</v>
      </c>
      <c r="J45" s="113">
        <f t="shared" si="1"/>
        <v>1395</v>
      </c>
      <c r="K45" s="21"/>
      <c r="L45" s="113"/>
      <c r="M45" s="21"/>
      <c r="N45" s="113">
        <f t="shared" si="2"/>
        <v>0</v>
      </c>
      <c r="O45" s="21"/>
      <c r="P45" s="113">
        <f t="shared" si="3"/>
        <v>0</v>
      </c>
      <c r="Q45" s="21">
        <v>10</v>
      </c>
      <c r="R45" s="113">
        <f t="shared" si="4"/>
        <v>930</v>
      </c>
      <c r="S45" s="125">
        <f t="shared" si="5"/>
        <v>25</v>
      </c>
      <c r="T45" s="34">
        <v>93</v>
      </c>
      <c r="U45" s="107">
        <f t="shared" si="6"/>
        <v>2325</v>
      </c>
    </row>
    <row r="46" spans="1:21" ht="42.75" x14ac:dyDescent="0.25">
      <c r="A46" s="23">
        <v>44</v>
      </c>
      <c r="B46" s="23" t="s">
        <v>91</v>
      </c>
      <c r="C46" s="23" t="s">
        <v>67</v>
      </c>
      <c r="D46" s="24" t="s">
        <v>68</v>
      </c>
      <c r="E46" s="122">
        <v>893</v>
      </c>
      <c r="F46" s="23" t="s">
        <v>7</v>
      </c>
      <c r="G46" s="23"/>
      <c r="H46" s="115">
        <f t="shared" si="0"/>
        <v>0</v>
      </c>
      <c r="I46" s="23">
        <v>30</v>
      </c>
      <c r="J46" s="113">
        <f t="shared" si="1"/>
        <v>2790</v>
      </c>
      <c r="K46" s="23"/>
      <c r="L46" s="115"/>
      <c r="M46" s="23"/>
      <c r="N46" s="113">
        <f t="shared" si="2"/>
        <v>0</v>
      </c>
      <c r="O46" s="23"/>
      <c r="P46" s="113">
        <f t="shared" si="3"/>
        <v>0</v>
      </c>
      <c r="Q46" s="23">
        <v>10</v>
      </c>
      <c r="R46" s="113">
        <f t="shared" si="4"/>
        <v>930</v>
      </c>
      <c r="S46" s="125">
        <f t="shared" si="5"/>
        <v>40</v>
      </c>
      <c r="T46" s="34">
        <v>93</v>
      </c>
      <c r="U46" s="107">
        <f t="shared" si="6"/>
        <v>3720</v>
      </c>
    </row>
    <row r="47" spans="1:21" ht="42.75" x14ac:dyDescent="0.25">
      <c r="A47" s="21">
        <v>45</v>
      </c>
      <c r="B47" s="21" t="s">
        <v>91</v>
      </c>
      <c r="C47" s="21" t="s">
        <v>69</v>
      </c>
      <c r="D47" s="22" t="s">
        <v>70</v>
      </c>
      <c r="E47" s="121">
        <v>1100</v>
      </c>
      <c r="F47" s="21" t="s">
        <v>7</v>
      </c>
      <c r="G47" s="21"/>
      <c r="H47" s="113">
        <f t="shared" si="0"/>
        <v>0</v>
      </c>
      <c r="I47" s="21">
        <v>15</v>
      </c>
      <c r="J47" s="113">
        <f t="shared" si="1"/>
        <v>1395</v>
      </c>
      <c r="K47" s="21"/>
      <c r="L47" s="113"/>
      <c r="M47" s="21"/>
      <c r="N47" s="113">
        <f t="shared" si="2"/>
        <v>0</v>
      </c>
      <c r="O47" s="21"/>
      <c r="P47" s="113">
        <f t="shared" si="3"/>
        <v>0</v>
      </c>
      <c r="Q47" s="21"/>
      <c r="R47" s="113">
        <f t="shared" si="4"/>
        <v>0</v>
      </c>
      <c r="S47" s="125">
        <f t="shared" si="5"/>
        <v>15</v>
      </c>
      <c r="T47" s="34">
        <v>93</v>
      </c>
      <c r="U47" s="107">
        <f t="shared" si="6"/>
        <v>1395</v>
      </c>
    </row>
    <row r="48" spans="1:21" ht="42.75" x14ac:dyDescent="0.25">
      <c r="A48" s="23">
        <v>46</v>
      </c>
      <c r="B48" s="23" t="s">
        <v>91</v>
      </c>
      <c r="C48" s="23" t="s">
        <v>71</v>
      </c>
      <c r="D48" s="24" t="s">
        <v>72</v>
      </c>
      <c r="E48" s="122">
        <v>100</v>
      </c>
      <c r="F48" s="23" t="s">
        <v>7</v>
      </c>
      <c r="G48" s="23"/>
      <c r="H48" s="115">
        <f t="shared" si="0"/>
        <v>0</v>
      </c>
      <c r="I48" s="23">
        <v>150</v>
      </c>
      <c r="J48" s="113">
        <f t="shared" si="1"/>
        <v>13950</v>
      </c>
      <c r="K48" s="23"/>
      <c r="L48" s="115"/>
      <c r="M48" s="23"/>
      <c r="N48" s="113">
        <f t="shared" si="2"/>
        <v>0</v>
      </c>
      <c r="O48" s="23"/>
      <c r="P48" s="113">
        <f t="shared" si="3"/>
        <v>0</v>
      </c>
      <c r="Q48" s="23"/>
      <c r="R48" s="113">
        <f t="shared" si="4"/>
        <v>0</v>
      </c>
      <c r="S48" s="125">
        <f t="shared" si="5"/>
        <v>150</v>
      </c>
      <c r="T48" s="34">
        <v>93</v>
      </c>
      <c r="U48" s="107">
        <f t="shared" si="6"/>
        <v>13950</v>
      </c>
    </row>
    <row r="49" spans="1:21" ht="28.5" hidden="1" x14ac:dyDescent="0.25">
      <c r="A49" s="21">
        <v>47</v>
      </c>
      <c r="B49" s="21" t="s">
        <v>91</v>
      </c>
      <c r="C49" s="21" t="s">
        <v>92</v>
      </c>
      <c r="D49" s="22" t="s">
        <v>93</v>
      </c>
      <c r="E49" s="121">
        <v>18</v>
      </c>
      <c r="F49" s="21" t="s">
        <v>7</v>
      </c>
      <c r="G49" s="21"/>
      <c r="H49" s="113">
        <f t="shared" si="0"/>
        <v>0</v>
      </c>
      <c r="I49" s="21">
        <v>100</v>
      </c>
      <c r="J49" s="113">
        <f t="shared" si="1"/>
        <v>0</v>
      </c>
      <c r="K49" s="21"/>
      <c r="L49" s="113"/>
      <c r="M49" s="21"/>
      <c r="N49" s="113">
        <f t="shared" si="2"/>
        <v>0</v>
      </c>
      <c r="O49" s="21"/>
      <c r="P49" s="113">
        <f t="shared" si="3"/>
        <v>0</v>
      </c>
      <c r="Q49" s="21"/>
      <c r="R49" s="113">
        <f t="shared" si="4"/>
        <v>0</v>
      </c>
      <c r="S49" s="125">
        <f t="shared" si="5"/>
        <v>100</v>
      </c>
      <c r="T49" s="34"/>
      <c r="U49" s="107">
        <f t="shared" si="6"/>
        <v>0</v>
      </c>
    </row>
    <row r="50" spans="1:21" hidden="1" x14ac:dyDescent="0.25">
      <c r="A50" s="23">
        <v>48</v>
      </c>
      <c r="B50" s="23" t="s">
        <v>91</v>
      </c>
      <c r="C50" s="23" t="s">
        <v>162</v>
      </c>
      <c r="D50" s="24" t="s">
        <v>163</v>
      </c>
      <c r="E50" s="122">
        <v>10</v>
      </c>
      <c r="F50" s="23" t="s">
        <v>7</v>
      </c>
      <c r="G50" s="23"/>
      <c r="H50" s="115">
        <f t="shared" si="0"/>
        <v>0</v>
      </c>
      <c r="I50" s="23"/>
      <c r="J50" s="113">
        <f t="shared" si="1"/>
        <v>0</v>
      </c>
      <c r="K50" s="23"/>
      <c r="L50" s="115"/>
      <c r="M50" s="23"/>
      <c r="N50" s="113">
        <f t="shared" si="2"/>
        <v>0</v>
      </c>
      <c r="O50" s="23"/>
      <c r="P50" s="113">
        <f t="shared" si="3"/>
        <v>0</v>
      </c>
      <c r="Q50" s="23"/>
      <c r="R50" s="113">
        <f t="shared" si="4"/>
        <v>0</v>
      </c>
      <c r="S50" s="125">
        <f t="shared" si="5"/>
        <v>0</v>
      </c>
      <c r="T50" s="34">
        <v>93</v>
      </c>
      <c r="U50" s="107">
        <f t="shared" si="6"/>
        <v>0</v>
      </c>
    </row>
    <row r="51" spans="1:21" hidden="1" x14ac:dyDescent="0.25">
      <c r="A51" s="21">
        <v>49</v>
      </c>
      <c r="B51" s="21" t="s">
        <v>91</v>
      </c>
      <c r="C51" s="21" t="s">
        <v>164</v>
      </c>
      <c r="D51" s="22" t="s">
        <v>165</v>
      </c>
      <c r="E51" s="121">
        <v>65</v>
      </c>
      <c r="F51" s="21" t="s">
        <v>7</v>
      </c>
      <c r="G51" s="21"/>
      <c r="H51" s="113">
        <f t="shared" si="0"/>
        <v>0</v>
      </c>
      <c r="I51" s="21"/>
      <c r="J51" s="113">
        <f t="shared" si="1"/>
        <v>0</v>
      </c>
      <c r="K51" s="21"/>
      <c r="L51" s="113"/>
      <c r="M51" s="21"/>
      <c r="N51" s="113">
        <f t="shared" si="2"/>
        <v>0</v>
      </c>
      <c r="O51" s="21"/>
      <c r="P51" s="113">
        <f t="shared" si="3"/>
        <v>0</v>
      </c>
      <c r="Q51" s="21"/>
      <c r="R51" s="113">
        <f t="shared" si="4"/>
        <v>0</v>
      </c>
      <c r="S51" s="125">
        <f t="shared" si="5"/>
        <v>0</v>
      </c>
      <c r="T51" s="34">
        <v>93</v>
      </c>
      <c r="U51" s="107">
        <f t="shared" si="6"/>
        <v>0</v>
      </c>
    </row>
    <row r="52" spans="1:21" x14ac:dyDescent="0.25">
      <c r="A52" s="23">
        <v>50</v>
      </c>
      <c r="B52" s="23" t="s">
        <v>91</v>
      </c>
      <c r="C52" s="23" t="s">
        <v>166</v>
      </c>
      <c r="D52" s="24" t="s">
        <v>88</v>
      </c>
      <c r="E52" s="122">
        <v>85</v>
      </c>
      <c r="F52" s="23" t="s">
        <v>7</v>
      </c>
      <c r="G52" s="23"/>
      <c r="H52" s="115">
        <f t="shared" si="0"/>
        <v>0</v>
      </c>
      <c r="I52" s="23"/>
      <c r="J52" s="113">
        <f t="shared" si="1"/>
        <v>0</v>
      </c>
      <c r="K52" s="23"/>
      <c r="L52" s="115"/>
      <c r="M52" s="23"/>
      <c r="N52" s="113">
        <f t="shared" si="2"/>
        <v>0</v>
      </c>
      <c r="O52" s="23"/>
      <c r="P52" s="113">
        <f t="shared" si="3"/>
        <v>0</v>
      </c>
      <c r="Q52" s="23">
        <v>4</v>
      </c>
      <c r="R52" s="113">
        <f t="shared" si="4"/>
        <v>372</v>
      </c>
      <c r="S52" s="125">
        <f t="shared" si="5"/>
        <v>4</v>
      </c>
      <c r="T52" s="34">
        <v>93</v>
      </c>
      <c r="U52" s="107">
        <f t="shared" si="6"/>
        <v>372</v>
      </c>
    </row>
    <row r="53" spans="1:21" hidden="1" x14ac:dyDescent="0.25">
      <c r="A53" s="21">
        <v>51</v>
      </c>
      <c r="B53" s="21" t="s">
        <v>91</v>
      </c>
      <c r="C53" s="21" t="s">
        <v>167</v>
      </c>
      <c r="D53" s="22" t="s">
        <v>168</v>
      </c>
      <c r="E53" s="121">
        <v>40</v>
      </c>
      <c r="F53" s="21" t="s">
        <v>7</v>
      </c>
      <c r="G53" s="21"/>
      <c r="H53" s="113">
        <f t="shared" si="0"/>
        <v>0</v>
      </c>
      <c r="I53" s="21"/>
      <c r="J53" s="113">
        <f t="shared" si="1"/>
        <v>0</v>
      </c>
      <c r="K53" s="21"/>
      <c r="L53" s="113"/>
      <c r="M53" s="21"/>
      <c r="N53" s="113">
        <f t="shared" si="2"/>
        <v>0</v>
      </c>
      <c r="O53" s="21"/>
      <c r="P53" s="113">
        <f t="shared" si="3"/>
        <v>0</v>
      </c>
      <c r="Q53" s="21"/>
      <c r="R53" s="113">
        <f t="shared" si="4"/>
        <v>0</v>
      </c>
      <c r="S53" s="125">
        <f t="shared" si="5"/>
        <v>0</v>
      </c>
      <c r="T53" s="34">
        <v>93</v>
      </c>
      <c r="U53" s="107">
        <f t="shared" si="6"/>
        <v>0</v>
      </c>
    </row>
    <row r="54" spans="1:21" hidden="1" x14ac:dyDescent="0.25">
      <c r="A54" s="23">
        <v>52</v>
      </c>
      <c r="B54" s="23" t="s">
        <v>91</v>
      </c>
      <c r="C54" s="23" t="s">
        <v>169</v>
      </c>
      <c r="D54" s="24" t="s">
        <v>170</v>
      </c>
      <c r="E54" s="122">
        <v>15</v>
      </c>
      <c r="F54" s="23" t="s">
        <v>7</v>
      </c>
      <c r="G54" s="23"/>
      <c r="H54" s="115">
        <f t="shared" si="0"/>
        <v>0</v>
      </c>
      <c r="I54" s="23"/>
      <c r="J54" s="113">
        <f t="shared" si="1"/>
        <v>0</v>
      </c>
      <c r="K54" s="23"/>
      <c r="L54" s="115"/>
      <c r="M54" s="23"/>
      <c r="N54" s="113">
        <f t="shared" si="2"/>
        <v>0</v>
      </c>
      <c r="O54" s="23"/>
      <c r="P54" s="113">
        <f t="shared" si="3"/>
        <v>0</v>
      </c>
      <c r="Q54" s="23"/>
      <c r="R54" s="113">
        <f t="shared" si="4"/>
        <v>0</v>
      </c>
      <c r="S54" s="125">
        <f t="shared" si="5"/>
        <v>0</v>
      </c>
      <c r="T54" s="34">
        <v>93</v>
      </c>
      <c r="U54" s="107">
        <f t="shared" si="6"/>
        <v>0</v>
      </c>
    </row>
    <row r="55" spans="1:21" hidden="1" x14ac:dyDescent="0.25">
      <c r="A55" s="21">
        <v>53</v>
      </c>
      <c r="B55" s="21" t="s">
        <v>91</v>
      </c>
      <c r="C55" s="21" t="s">
        <v>171</v>
      </c>
      <c r="D55" s="22" t="s">
        <v>172</v>
      </c>
      <c r="E55" s="121">
        <v>208</v>
      </c>
      <c r="F55" s="21" t="s">
        <v>7</v>
      </c>
      <c r="G55" s="21"/>
      <c r="H55" s="113">
        <f t="shared" si="0"/>
        <v>0</v>
      </c>
      <c r="I55" s="21"/>
      <c r="J55" s="113">
        <f t="shared" si="1"/>
        <v>0</v>
      </c>
      <c r="K55" s="21"/>
      <c r="L55" s="113"/>
      <c r="M55" s="21"/>
      <c r="N55" s="113">
        <f t="shared" si="2"/>
        <v>0</v>
      </c>
      <c r="O55" s="21"/>
      <c r="P55" s="113">
        <f t="shared" si="3"/>
        <v>0</v>
      </c>
      <c r="Q55" s="21"/>
      <c r="R55" s="113">
        <f t="shared" si="4"/>
        <v>0</v>
      </c>
      <c r="S55" s="125">
        <f t="shared" si="5"/>
        <v>0</v>
      </c>
      <c r="T55" s="34">
        <v>93</v>
      </c>
      <c r="U55" s="107">
        <f t="shared" si="6"/>
        <v>0</v>
      </c>
    </row>
    <row r="56" spans="1:21" ht="28.5" hidden="1" x14ac:dyDescent="0.25">
      <c r="A56" s="23">
        <v>54</v>
      </c>
      <c r="B56" s="23" t="s">
        <v>91</v>
      </c>
      <c r="C56" s="23" t="s">
        <v>173</v>
      </c>
      <c r="D56" s="24" t="s">
        <v>174</v>
      </c>
      <c r="E56" s="122">
        <v>1300</v>
      </c>
      <c r="F56" s="23" t="s">
        <v>7</v>
      </c>
      <c r="G56" s="23"/>
      <c r="H56" s="115">
        <f t="shared" si="0"/>
        <v>0</v>
      </c>
      <c r="I56" s="23"/>
      <c r="J56" s="113">
        <f t="shared" si="1"/>
        <v>0</v>
      </c>
      <c r="K56" s="23"/>
      <c r="L56" s="115"/>
      <c r="M56" s="23"/>
      <c r="N56" s="113">
        <f t="shared" si="2"/>
        <v>0</v>
      </c>
      <c r="O56" s="23"/>
      <c r="P56" s="113">
        <f t="shared" si="3"/>
        <v>0</v>
      </c>
      <c r="Q56" s="23"/>
      <c r="R56" s="113">
        <f t="shared" si="4"/>
        <v>0</v>
      </c>
      <c r="S56" s="125">
        <f t="shared" si="5"/>
        <v>0</v>
      </c>
      <c r="T56" s="34">
        <v>91</v>
      </c>
      <c r="U56" s="107">
        <f t="shared" si="6"/>
        <v>0</v>
      </c>
    </row>
    <row r="57" spans="1:21" ht="28.5" x14ac:dyDescent="0.25">
      <c r="A57" s="21">
        <v>55</v>
      </c>
      <c r="B57" s="21" t="s">
        <v>91</v>
      </c>
      <c r="C57" s="21" t="s">
        <v>26</v>
      </c>
      <c r="D57" s="22" t="s">
        <v>35</v>
      </c>
      <c r="E57" s="121">
        <v>240000</v>
      </c>
      <c r="F57" s="21" t="s">
        <v>7</v>
      </c>
      <c r="G57" s="21">
        <v>50000</v>
      </c>
      <c r="H57" s="113">
        <f t="shared" si="0"/>
        <v>4650000</v>
      </c>
      <c r="I57" s="21">
        <v>90</v>
      </c>
      <c r="J57" s="113">
        <f t="shared" si="1"/>
        <v>8370</v>
      </c>
      <c r="K57" s="21"/>
      <c r="L57" s="113"/>
      <c r="M57" s="21"/>
      <c r="N57" s="113">
        <f t="shared" si="2"/>
        <v>0</v>
      </c>
      <c r="O57" s="21">
        <v>500</v>
      </c>
      <c r="P57" s="113">
        <f t="shared" si="3"/>
        <v>46500</v>
      </c>
      <c r="Q57" s="21"/>
      <c r="R57" s="113">
        <f t="shared" si="4"/>
        <v>0</v>
      </c>
      <c r="S57" s="125">
        <f t="shared" si="5"/>
        <v>50590</v>
      </c>
      <c r="T57" s="34">
        <v>93</v>
      </c>
      <c r="U57" s="107">
        <f t="shared" si="6"/>
        <v>4704870</v>
      </c>
    </row>
    <row r="58" spans="1:21" ht="28.5" hidden="1" x14ac:dyDescent="0.25">
      <c r="A58" s="23">
        <v>56</v>
      </c>
      <c r="B58" s="23" t="s">
        <v>91</v>
      </c>
      <c r="C58" s="23" t="s">
        <v>175</v>
      </c>
      <c r="D58" s="24" t="s">
        <v>176</v>
      </c>
      <c r="E58" s="122">
        <v>25600</v>
      </c>
      <c r="F58" s="23" t="s">
        <v>7</v>
      </c>
      <c r="G58" s="23"/>
      <c r="H58" s="115">
        <f t="shared" si="0"/>
        <v>0</v>
      </c>
      <c r="I58" s="23"/>
      <c r="J58" s="113">
        <f t="shared" si="1"/>
        <v>0</v>
      </c>
      <c r="K58" s="23"/>
      <c r="L58" s="115"/>
      <c r="M58" s="23"/>
      <c r="N58" s="113">
        <f t="shared" si="2"/>
        <v>0</v>
      </c>
      <c r="O58" s="23"/>
      <c r="P58" s="113">
        <f t="shared" si="3"/>
        <v>0</v>
      </c>
      <c r="Q58" s="23"/>
      <c r="R58" s="113">
        <f t="shared" si="4"/>
        <v>0</v>
      </c>
      <c r="S58" s="125">
        <f t="shared" si="5"/>
        <v>0</v>
      </c>
      <c r="T58" s="34">
        <v>93</v>
      </c>
      <c r="U58" s="107">
        <f t="shared" si="6"/>
        <v>0</v>
      </c>
    </row>
    <row r="59" spans="1:21" ht="28.5" x14ac:dyDescent="0.25">
      <c r="A59" s="21">
        <v>57</v>
      </c>
      <c r="B59" s="21" t="s">
        <v>91</v>
      </c>
      <c r="C59" s="21" t="s">
        <v>27</v>
      </c>
      <c r="D59" s="22" t="s">
        <v>73</v>
      </c>
      <c r="E59" s="121">
        <v>380500</v>
      </c>
      <c r="F59" s="21" t="s">
        <v>7</v>
      </c>
      <c r="G59" s="21"/>
      <c r="H59" s="113">
        <f t="shared" si="0"/>
        <v>0</v>
      </c>
      <c r="I59" s="21">
        <v>150</v>
      </c>
      <c r="J59" s="113">
        <f t="shared" si="1"/>
        <v>13950</v>
      </c>
      <c r="K59" s="21"/>
      <c r="L59" s="113"/>
      <c r="M59" s="21"/>
      <c r="N59" s="113">
        <f t="shared" si="2"/>
        <v>0</v>
      </c>
      <c r="O59" s="21"/>
      <c r="P59" s="113">
        <f t="shared" si="3"/>
        <v>0</v>
      </c>
      <c r="Q59" s="21"/>
      <c r="R59" s="113">
        <f t="shared" si="4"/>
        <v>0</v>
      </c>
      <c r="S59" s="125">
        <f t="shared" si="5"/>
        <v>150</v>
      </c>
      <c r="T59" s="34">
        <v>93</v>
      </c>
      <c r="U59" s="107">
        <f t="shared" si="6"/>
        <v>13950</v>
      </c>
    </row>
    <row r="60" spans="1:21" ht="28.5" hidden="1" x14ac:dyDescent="0.25">
      <c r="A60" s="23">
        <v>58</v>
      </c>
      <c r="B60" s="23" t="s">
        <v>91</v>
      </c>
      <c r="C60" s="23" t="s">
        <v>177</v>
      </c>
      <c r="D60" s="24" t="s">
        <v>178</v>
      </c>
      <c r="E60" s="122">
        <v>7000</v>
      </c>
      <c r="F60" s="23" t="s">
        <v>7</v>
      </c>
      <c r="G60" s="23"/>
      <c r="H60" s="115">
        <f t="shared" si="0"/>
        <v>0</v>
      </c>
      <c r="I60" s="23"/>
      <c r="J60" s="113">
        <f t="shared" si="1"/>
        <v>0</v>
      </c>
      <c r="K60" s="23"/>
      <c r="L60" s="115"/>
      <c r="M60" s="23"/>
      <c r="N60" s="113">
        <f t="shared" si="2"/>
        <v>0</v>
      </c>
      <c r="O60" s="23"/>
      <c r="P60" s="113">
        <f t="shared" si="3"/>
        <v>0</v>
      </c>
      <c r="Q60" s="23"/>
      <c r="R60" s="113">
        <f t="shared" si="4"/>
        <v>0</v>
      </c>
      <c r="S60" s="125">
        <f t="shared" si="5"/>
        <v>0</v>
      </c>
      <c r="T60" s="34">
        <v>91</v>
      </c>
      <c r="U60" s="107">
        <f t="shared" si="6"/>
        <v>0</v>
      </c>
    </row>
    <row r="61" spans="1:21" hidden="1" x14ac:dyDescent="0.25">
      <c r="A61" s="21">
        <v>59</v>
      </c>
      <c r="B61" s="21" t="s">
        <v>91</v>
      </c>
      <c r="C61" s="21" t="s">
        <v>179</v>
      </c>
      <c r="D61" s="22" t="s">
        <v>180</v>
      </c>
      <c r="E61" s="121">
        <v>83800</v>
      </c>
      <c r="F61" s="21" t="s">
        <v>7</v>
      </c>
      <c r="G61" s="21"/>
      <c r="H61" s="113">
        <f t="shared" si="0"/>
        <v>0</v>
      </c>
      <c r="I61" s="21"/>
      <c r="J61" s="113">
        <f t="shared" si="1"/>
        <v>0</v>
      </c>
      <c r="K61" s="21"/>
      <c r="L61" s="113"/>
      <c r="M61" s="21"/>
      <c r="N61" s="113">
        <f t="shared" si="2"/>
        <v>0</v>
      </c>
      <c r="O61" s="21"/>
      <c r="P61" s="113">
        <f t="shared" si="3"/>
        <v>0</v>
      </c>
      <c r="Q61" s="21"/>
      <c r="R61" s="113">
        <f t="shared" si="4"/>
        <v>0</v>
      </c>
      <c r="S61" s="125">
        <f t="shared" si="5"/>
        <v>0</v>
      </c>
      <c r="T61" s="34">
        <v>93</v>
      </c>
      <c r="U61" s="107">
        <f t="shared" si="6"/>
        <v>0</v>
      </c>
    </row>
    <row r="62" spans="1:21" ht="28.5" hidden="1" x14ac:dyDescent="0.25">
      <c r="A62" s="23">
        <v>60</v>
      </c>
      <c r="B62" s="23" t="s">
        <v>91</v>
      </c>
      <c r="C62" s="23" t="s">
        <v>181</v>
      </c>
      <c r="D62" s="24" t="s">
        <v>182</v>
      </c>
      <c r="E62" s="122">
        <v>36500</v>
      </c>
      <c r="F62" s="23" t="s">
        <v>7</v>
      </c>
      <c r="G62" s="23"/>
      <c r="H62" s="115">
        <f t="shared" si="0"/>
        <v>0</v>
      </c>
      <c r="I62" s="23"/>
      <c r="J62" s="113">
        <f t="shared" si="1"/>
        <v>0</v>
      </c>
      <c r="K62" s="23"/>
      <c r="L62" s="115"/>
      <c r="M62" s="23"/>
      <c r="N62" s="113">
        <f t="shared" si="2"/>
        <v>0</v>
      </c>
      <c r="O62" s="23"/>
      <c r="P62" s="113">
        <f t="shared" si="3"/>
        <v>0</v>
      </c>
      <c r="Q62" s="23"/>
      <c r="R62" s="113">
        <f t="shared" si="4"/>
        <v>0</v>
      </c>
      <c r="S62" s="125">
        <f t="shared" si="5"/>
        <v>0</v>
      </c>
      <c r="T62" s="34">
        <v>93</v>
      </c>
      <c r="U62" s="107">
        <f t="shared" si="6"/>
        <v>0</v>
      </c>
    </row>
    <row r="63" spans="1:21" ht="28.5" hidden="1" x14ac:dyDescent="0.25">
      <c r="A63" s="21">
        <v>61</v>
      </c>
      <c r="B63" s="21" t="s">
        <v>91</v>
      </c>
      <c r="C63" s="21" t="s">
        <v>183</v>
      </c>
      <c r="D63" s="22" t="s">
        <v>184</v>
      </c>
      <c r="E63" s="121">
        <v>40000</v>
      </c>
      <c r="F63" s="21" t="s">
        <v>7</v>
      </c>
      <c r="G63" s="21"/>
      <c r="H63" s="113">
        <f t="shared" si="0"/>
        <v>0</v>
      </c>
      <c r="I63" s="21"/>
      <c r="J63" s="113">
        <f t="shared" si="1"/>
        <v>0</v>
      </c>
      <c r="K63" s="21"/>
      <c r="L63" s="113"/>
      <c r="M63" s="21"/>
      <c r="N63" s="113">
        <f t="shared" si="2"/>
        <v>0</v>
      </c>
      <c r="O63" s="21"/>
      <c r="P63" s="113">
        <f t="shared" si="3"/>
        <v>0</v>
      </c>
      <c r="Q63" s="21"/>
      <c r="R63" s="113">
        <f t="shared" si="4"/>
        <v>0</v>
      </c>
      <c r="S63" s="125">
        <f t="shared" si="5"/>
        <v>0</v>
      </c>
      <c r="T63" s="34">
        <v>93</v>
      </c>
      <c r="U63" s="107">
        <f t="shared" si="6"/>
        <v>0</v>
      </c>
    </row>
    <row r="64" spans="1:21" ht="42.75" x14ac:dyDescent="0.25">
      <c r="A64" s="23">
        <v>62</v>
      </c>
      <c r="B64" s="23" t="s">
        <v>91</v>
      </c>
      <c r="C64" s="23" t="s">
        <v>89</v>
      </c>
      <c r="D64" s="24" t="s">
        <v>185</v>
      </c>
      <c r="E64" s="122">
        <v>153000</v>
      </c>
      <c r="F64" s="23" t="s">
        <v>7</v>
      </c>
      <c r="G64" s="23"/>
      <c r="H64" s="115">
        <f t="shared" si="0"/>
        <v>0</v>
      </c>
      <c r="I64" s="23"/>
      <c r="J64" s="113">
        <f t="shared" si="1"/>
        <v>0</v>
      </c>
      <c r="K64" s="23"/>
      <c r="L64" s="115"/>
      <c r="M64" s="23"/>
      <c r="N64" s="113">
        <f t="shared" si="2"/>
        <v>0</v>
      </c>
      <c r="O64" s="23"/>
      <c r="P64" s="113">
        <f t="shared" si="3"/>
        <v>0</v>
      </c>
      <c r="Q64" s="23">
        <v>40</v>
      </c>
      <c r="R64" s="113">
        <f t="shared" si="4"/>
        <v>3920</v>
      </c>
      <c r="S64" s="125">
        <f t="shared" si="5"/>
        <v>40</v>
      </c>
      <c r="T64" s="34">
        <v>98</v>
      </c>
      <c r="U64" s="107">
        <f t="shared" si="6"/>
        <v>3920</v>
      </c>
    </row>
    <row r="65" spans="1:21" ht="28.5" hidden="1" x14ac:dyDescent="0.25">
      <c r="A65" s="21">
        <v>63</v>
      </c>
      <c r="B65" s="21" t="s">
        <v>91</v>
      </c>
      <c r="C65" s="21" t="s">
        <v>186</v>
      </c>
      <c r="D65" s="22" t="s">
        <v>187</v>
      </c>
      <c r="E65" s="121">
        <v>288</v>
      </c>
      <c r="F65" s="21" t="s">
        <v>7</v>
      </c>
      <c r="G65" s="21"/>
      <c r="H65" s="113">
        <f t="shared" si="0"/>
        <v>0</v>
      </c>
      <c r="I65" s="21"/>
      <c r="J65" s="113">
        <f t="shared" si="1"/>
        <v>0</v>
      </c>
      <c r="K65" s="21"/>
      <c r="L65" s="113"/>
      <c r="M65" s="21"/>
      <c r="N65" s="113">
        <f t="shared" si="2"/>
        <v>0</v>
      </c>
      <c r="O65" s="21"/>
      <c r="P65" s="113">
        <f t="shared" si="3"/>
        <v>0</v>
      </c>
      <c r="Q65" s="21"/>
      <c r="R65" s="113">
        <f t="shared" si="4"/>
        <v>0</v>
      </c>
      <c r="S65" s="125">
        <f t="shared" si="5"/>
        <v>0</v>
      </c>
      <c r="T65" s="32">
        <v>100</v>
      </c>
      <c r="U65" s="107">
        <f t="shared" si="6"/>
        <v>0</v>
      </c>
    </row>
    <row r="66" spans="1:21" ht="28.5" hidden="1" x14ac:dyDescent="0.25">
      <c r="A66" s="23">
        <v>64</v>
      </c>
      <c r="B66" s="23" t="s">
        <v>91</v>
      </c>
      <c r="C66" s="23" t="s">
        <v>188</v>
      </c>
      <c r="D66" s="24" t="s">
        <v>189</v>
      </c>
      <c r="E66" s="122">
        <v>788</v>
      </c>
      <c r="F66" s="23" t="s">
        <v>7</v>
      </c>
      <c r="G66" s="23"/>
      <c r="H66" s="115">
        <f t="shared" si="0"/>
        <v>0</v>
      </c>
      <c r="I66" s="23"/>
      <c r="J66" s="113">
        <f t="shared" si="1"/>
        <v>0</v>
      </c>
      <c r="K66" s="23"/>
      <c r="L66" s="115"/>
      <c r="M66" s="23"/>
      <c r="N66" s="113">
        <f t="shared" si="2"/>
        <v>0</v>
      </c>
      <c r="O66" s="23"/>
      <c r="P66" s="113">
        <f t="shared" si="3"/>
        <v>0</v>
      </c>
      <c r="Q66" s="23"/>
      <c r="R66" s="113">
        <f t="shared" si="4"/>
        <v>0</v>
      </c>
      <c r="S66" s="125">
        <f t="shared" si="5"/>
        <v>0</v>
      </c>
      <c r="T66" s="32">
        <v>100</v>
      </c>
      <c r="U66" s="107">
        <f t="shared" si="6"/>
        <v>0</v>
      </c>
    </row>
    <row r="67" spans="1:21" ht="28.5" x14ac:dyDescent="0.25">
      <c r="A67" s="21">
        <v>65</v>
      </c>
      <c r="B67" s="21" t="s">
        <v>91</v>
      </c>
      <c r="C67" s="21" t="s">
        <v>74</v>
      </c>
      <c r="D67" s="22" t="s">
        <v>75</v>
      </c>
      <c r="E67" s="121">
        <v>1050</v>
      </c>
      <c r="F67" s="21" t="s">
        <v>7</v>
      </c>
      <c r="G67" s="21"/>
      <c r="H67" s="113">
        <f t="shared" si="0"/>
        <v>0</v>
      </c>
      <c r="I67" s="21">
        <v>150</v>
      </c>
      <c r="J67" s="113">
        <f t="shared" si="1"/>
        <v>13950</v>
      </c>
      <c r="K67" s="21"/>
      <c r="L67" s="113"/>
      <c r="M67" s="21"/>
      <c r="N67" s="113">
        <f t="shared" si="2"/>
        <v>0</v>
      </c>
      <c r="O67" s="21"/>
      <c r="P67" s="113">
        <f t="shared" si="3"/>
        <v>0</v>
      </c>
      <c r="Q67" s="21"/>
      <c r="R67" s="113">
        <f t="shared" si="4"/>
        <v>0</v>
      </c>
      <c r="S67" s="125">
        <f t="shared" si="5"/>
        <v>150</v>
      </c>
      <c r="T67" s="32">
        <v>93</v>
      </c>
      <c r="U67" s="107">
        <f t="shared" si="6"/>
        <v>13950</v>
      </c>
    </row>
    <row r="68" spans="1:21" x14ac:dyDescent="0.25">
      <c r="A68" s="23">
        <v>66</v>
      </c>
      <c r="B68" s="23" t="s">
        <v>91</v>
      </c>
      <c r="C68" s="23" t="s">
        <v>36</v>
      </c>
      <c r="D68" s="24" t="s">
        <v>37</v>
      </c>
      <c r="E68" s="122">
        <v>910</v>
      </c>
      <c r="F68" s="23" t="s">
        <v>7</v>
      </c>
      <c r="G68" s="23">
        <v>100</v>
      </c>
      <c r="H68" s="115">
        <f t="shared" si="0"/>
        <v>10000</v>
      </c>
      <c r="I68" s="23"/>
      <c r="J68" s="113">
        <f t="shared" si="1"/>
        <v>0</v>
      </c>
      <c r="K68" s="23"/>
      <c r="L68" s="115"/>
      <c r="M68" s="23"/>
      <c r="N68" s="113">
        <f t="shared" si="2"/>
        <v>0</v>
      </c>
      <c r="O68" s="23"/>
      <c r="P68" s="113">
        <f t="shared" si="3"/>
        <v>0</v>
      </c>
      <c r="Q68" s="23"/>
      <c r="R68" s="113">
        <f t="shared" si="4"/>
        <v>0</v>
      </c>
      <c r="S68" s="125">
        <f t="shared" si="5"/>
        <v>100</v>
      </c>
      <c r="T68" s="32">
        <v>100</v>
      </c>
      <c r="U68" s="107">
        <f t="shared" ref="U68:U131" si="7">+S68*T68</f>
        <v>10000</v>
      </c>
    </row>
    <row r="69" spans="1:21" hidden="1" x14ac:dyDescent="0.25">
      <c r="A69" s="21">
        <v>67</v>
      </c>
      <c r="B69" s="21" t="s">
        <v>91</v>
      </c>
      <c r="C69" s="21" t="s">
        <v>190</v>
      </c>
      <c r="D69" s="22" t="s">
        <v>191</v>
      </c>
      <c r="E69" s="121">
        <v>1410</v>
      </c>
      <c r="F69" s="21" t="s">
        <v>7</v>
      </c>
      <c r="G69" s="21"/>
      <c r="H69" s="113">
        <f t="shared" ref="H69:H132" si="8">+G69*T69</f>
        <v>0</v>
      </c>
      <c r="I69" s="21"/>
      <c r="J69" s="113">
        <f t="shared" ref="J69:J132" si="9">+I69*T69</f>
        <v>0</v>
      </c>
      <c r="K69" s="21"/>
      <c r="L69" s="113"/>
      <c r="M69" s="21"/>
      <c r="N69" s="113">
        <f t="shared" ref="N69:N132" si="10">+M69*T69</f>
        <v>0</v>
      </c>
      <c r="O69" s="21"/>
      <c r="P69" s="113">
        <f t="shared" ref="P69:P132" si="11">+O69*T69</f>
        <v>0</v>
      </c>
      <c r="Q69" s="21"/>
      <c r="R69" s="113">
        <f t="shared" ref="R69:R132" si="12">+Q69*T69</f>
        <v>0</v>
      </c>
      <c r="S69" s="125">
        <f t="shared" ref="S69:S132" si="13">+G69+I69+K69+M69+O69+Q69</f>
        <v>0</v>
      </c>
      <c r="T69" s="32">
        <v>95.21</v>
      </c>
      <c r="U69" s="107">
        <f t="shared" si="7"/>
        <v>0</v>
      </c>
    </row>
    <row r="70" spans="1:21" hidden="1" x14ac:dyDescent="0.25">
      <c r="A70" s="23">
        <v>68</v>
      </c>
      <c r="B70" s="23" t="s">
        <v>91</v>
      </c>
      <c r="C70" s="23" t="s">
        <v>192</v>
      </c>
      <c r="D70" s="24" t="s">
        <v>193</v>
      </c>
      <c r="E70" s="122">
        <v>1400</v>
      </c>
      <c r="F70" s="23" t="s">
        <v>7</v>
      </c>
      <c r="G70" s="23"/>
      <c r="H70" s="115">
        <f t="shared" si="8"/>
        <v>0</v>
      </c>
      <c r="I70" s="23"/>
      <c r="J70" s="113">
        <f t="shared" si="9"/>
        <v>0</v>
      </c>
      <c r="K70" s="23"/>
      <c r="L70" s="115"/>
      <c r="M70" s="23"/>
      <c r="N70" s="113">
        <f t="shared" si="10"/>
        <v>0</v>
      </c>
      <c r="O70" s="23"/>
      <c r="P70" s="113">
        <f t="shared" si="11"/>
        <v>0</v>
      </c>
      <c r="Q70" s="23"/>
      <c r="R70" s="113">
        <f t="shared" si="12"/>
        <v>0</v>
      </c>
      <c r="S70" s="125">
        <f t="shared" si="13"/>
        <v>0</v>
      </c>
      <c r="T70" s="32">
        <v>100</v>
      </c>
      <c r="U70" s="107">
        <f t="shared" si="7"/>
        <v>0</v>
      </c>
    </row>
    <row r="71" spans="1:21" hidden="1" x14ac:dyDescent="0.25">
      <c r="A71" s="21">
        <v>69</v>
      </c>
      <c r="B71" s="21" t="s">
        <v>194</v>
      </c>
      <c r="C71" s="21" t="s">
        <v>195</v>
      </c>
      <c r="D71" s="22" t="s">
        <v>196</v>
      </c>
      <c r="E71" s="121">
        <v>33000</v>
      </c>
      <c r="F71" s="21" t="s">
        <v>7</v>
      </c>
      <c r="G71" s="21"/>
      <c r="H71" s="113">
        <f t="shared" si="8"/>
        <v>0</v>
      </c>
      <c r="I71" s="21"/>
      <c r="J71" s="113">
        <f t="shared" si="9"/>
        <v>0</v>
      </c>
      <c r="K71" s="21"/>
      <c r="L71" s="113"/>
      <c r="M71" s="21"/>
      <c r="N71" s="113">
        <f t="shared" si="10"/>
        <v>0</v>
      </c>
      <c r="O71" s="21"/>
      <c r="P71" s="113">
        <f t="shared" si="11"/>
        <v>0</v>
      </c>
      <c r="Q71" s="21"/>
      <c r="R71" s="113">
        <f t="shared" si="12"/>
        <v>0</v>
      </c>
      <c r="S71" s="125">
        <f t="shared" si="13"/>
        <v>0</v>
      </c>
      <c r="T71" s="32">
        <v>93</v>
      </c>
      <c r="U71" s="107">
        <f t="shared" si="7"/>
        <v>0</v>
      </c>
    </row>
    <row r="72" spans="1:21" hidden="1" x14ac:dyDescent="0.25">
      <c r="A72" s="23">
        <v>70</v>
      </c>
      <c r="B72" s="23" t="s">
        <v>194</v>
      </c>
      <c r="C72" s="23" t="s">
        <v>197</v>
      </c>
      <c r="D72" s="24" t="s">
        <v>198</v>
      </c>
      <c r="E72" s="122">
        <v>3000</v>
      </c>
      <c r="F72" s="23" t="s">
        <v>7</v>
      </c>
      <c r="G72" s="23"/>
      <c r="H72" s="115">
        <f t="shared" si="8"/>
        <v>0</v>
      </c>
      <c r="I72" s="23"/>
      <c r="J72" s="113">
        <f t="shared" si="9"/>
        <v>0</v>
      </c>
      <c r="K72" s="23"/>
      <c r="L72" s="115"/>
      <c r="M72" s="23"/>
      <c r="N72" s="113">
        <f t="shared" si="10"/>
        <v>0</v>
      </c>
      <c r="O72" s="23"/>
      <c r="P72" s="113">
        <f t="shared" si="11"/>
        <v>0</v>
      </c>
      <c r="Q72" s="23"/>
      <c r="R72" s="113">
        <f t="shared" si="12"/>
        <v>0</v>
      </c>
      <c r="S72" s="125">
        <f t="shared" si="13"/>
        <v>0</v>
      </c>
      <c r="T72" s="32">
        <v>91</v>
      </c>
      <c r="U72" s="107">
        <f t="shared" si="7"/>
        <v>0</v>
      </c>
    </row>
    <row r="73" spans="1:21" hidden="1" x14ac:dyDescent="0.25">
      <c r="A73" s="21">
        <v>71</v>
      </c>
      <c r="B73" s="21" t="s">
        <v>194</v>
      </c>
      <c r="C73" s="21" t="s">
        <v>199</v>
      </c>
      <c r="D73" s="22" t="s">
        <v>200</v>
      </c>
      <c r="E73" s="121">
        <v>1500</v>
      </c>
      <c r="F73" s="21" t="s">
        <v>7</v>
      </c>
      <c r="G73" s="21"/>
      <c r="H73" s="113">
        <f t="shared" si="8"/>
        <v>0</v>
      </c>
      <c r="I73" s="21"/>
      <c r="J73" s="113">
        <f t="shared" si="9"/>
        <v>0</v>
      </c>
      <c r="K73" s="21"/>
      <c r="L73" s="113"/>
      <c r="M73" s="21"/>
      <c r="N73" s="113">
        <f t="shared" si="10"/>
        <v>0</v>
      </c>
      <c r="O73" s="21"/>
      <c r="P73" s="113">
        <f t="shared" si="11"/>
        <v>0</v>
      </c>
      <c r="Q73" s="21"/>
      <c r="R73" s="113">
        <f t="shared" si="12"/>
        <v>0</v>
      </c>
      <c r="S73" s="125">
        <f t="shared" si="13"/>
        <v>0</v>
      </c>
      <c r="T73" s="32">
        <v>91</v>
      </c>
      <c r="U73" s="107">
        <f t="shared" si="7"/>
        <v>0</v>
      </c>
    </row>
    <row r="74" spans="1:21" hidden="1" x14ac:dyDescent="0.25">
      <c r="A74" s="23">
        <v>72</v>
      </c>
      <c r="B74" s="23" t="s">
        <v>194</v>
      </c>
      <c r="C74" s="23" t="s">
        <v>201</v>
      </c>
      <c r="D74" s="24" t="s">
        <v>202</v>
      </c>
      <c r="E74" s="122">
        <v>1500</v>
      </c>
      <c r="F74" s="23" t="s">
        <v>7</v>
      </c>
      <c r="G74" s="23"/>
      <c r="H74" s="115">
        <f t="shared" si="8"/>
        <v>0</v>
      </c>
      <c r="I74" s="23"/>
      <c r="J74" s="113">
        <f t="shared" si="9"/>
        <v>0</v>
      </c>
      <c r="K74" s="23"/>
      <c r="L74" s="115"/>
      <c r="M74" s="23"/>
      <c r="N74" s="113">
        <f t="shared" si="10"/>
        <v>0</v>
      </c>
      <c r="O74" s="23"/>
      <c r="P74" s="113">
        <f t="shared" si="11"/>
        <v>0</v>
      </c>
      <c r="Q74" s="23"/>
      <c r="R74" s="113">
        <f t="shared" si="12"/>
        <v>0</v>
      </c>
      <c r="S74" s="125">
        <f t="shared" si="13"/>
        <v>0</v>
      </c>
      <c r="T74" s="32">
        <v>93</v>
      </c>
      <c r="U74" s="107">
        <f t="shared" si="7"/>
        <v>0</v>
      </c>
    </row>
    <row r="75" spans="1:21" hidden="1" x14ac:dyDescent="0.25">
      <c r="A75" s="21">
        <v>73</v>
      </c>
      <c r="B75" s="21" t="s">
        <v>194</v>
      </c>
      <c r="C75" s="21" t="s">
        <v>203</v>
      </c>
      <c r="D75" s="22" t="s">
        <v>204</v>
      </c>
      <c r="E75" s="121">
        <v>2000</v>
      </c>
      <c r="F75" s="21" t="s">
        <v>7</v>
      </c>
      <c r="G75" s="21"/>
      <c r="H75" s="113">
        <f t="shared" si="8"/>
        <v>0</v>
      </c>
      <c r="I75" s="21"/>
      <c r="J75" s="113">
        <f t="shared" si="9"/>
        <v>0</v>
      </c>
      <c r="K75" s="21"/>
      <c r="L75" s="113"/>
      <c r="M75" s="21"/>
      <c r="N75" s="113">
        <f t="shared" si="10"/>
        <v>0</v>
      </c>
      <c r="O75" s="21"/>
      <c r="P75" s="113">
        <f t="shared" si="11"/>
        <v>0</v>
      </c>
      <c r="Q75" s="21"/>
      <c r="R75" s="113">
        <f t="shared" si="12"/>
        <v>0</v>
      </c>
      <c r="S75" s="125">
        <f t="shared" si="13"/>
        <v>0</v>
      </c>
      <c r="T75" s="32">
        <v>93</v>
      </c>
      <c r="U75" s="107">
        <f t="shared" si="7"/>
        <v>0</v>
      </c>
    </row>
    <row r="76" spans="1:21" hidden="1" x14ac:dyDescent="0.25">
      <c r="A76" s="23">
        <v>74</v>
      </c>
      <c r="B76" s="23" t="s">
        <v>194</v>
      </c>
      <c r="C76" s="23" t="s">
        <v>205</v>
      </c>
      <c r="D76" s="24" t="s">
        <v>206</v>
      </c>
      <c r="E76" s="122">
        <v>31000</v>
      </c>
      <c r="F76" s="23" t="s">
        <v>7</v>
      </c>
      <c r="G76" s="23"/>
      <c r="H76" s="115">
        <f t="shared" si="8"/>
        <v>0</v>
      </c>
      <c r="I76" s="23"/>
      <c r="J76" s="113">
        <f t="shared" si="9"/>
        <v>0</v>
      </c>
      <c r="K76" s="23"/>
      <c r="L76" s="115"/>
      <c r="M76" s="23"/>
      <c r="N76" s="113">
        <f t="shared" si="10"/>
        <v>0</v>
      </c>
      <c r="O76" s="23"/>
      <c r="P76" s="113">
        <f t="shared" si="11"/>
        <v>0</v>
      </c>
      <c r="Q76" s="23"/>
      <c r="R76" s="113">
        <f t="shared" si="12"/>
        <v>0</v>
      </c>
      <c r="S76" s="125">
        <f t="shared" si="13"/>
        <v>0</v>
      </c>
      <c r="T76" s="32">
        <v>93</v>
      </c>
      <c r="U76" s="107">
        <f t="shared" si="7"/>
        <v>0</v>
      </c>
    </row>
    <row r="77" spans="1:21" ht="28.5" x14ac:dyDescent="0.25">
      <c r="A77" s="21">
        <v>75</v>
      </c>
      <c r="B77" s="21" t="s">
        <v>91</v>
      </c>
      <c r="C77" s="21" t="s">
        <v>76</v>
      </c>
      <c r="D77" s="22" t="s">
        <v>207</v>
      </c>
      <c r="E77" s="121">
        <v>40</v>
      </c>
      <c r="F77" s="21" t="s">
        <v>7</v>
      </c>
      <c r="G77" s="21"/>
      <c r="H77" s="113">
        <f t="shared" si="8"/>
        <v>0</v>
      </c>
      <c r="I77" s="21">
        <v>150</v>
      </c>
      <c r="J77" s="113">
        <f t="shared" si="9"/>
        <v>13650</v>
      </c>
      <c r="K77" s="21"/>
      <c r="L77" s="113"/>
      <c r="M77" s="21"/>
      <c r="N77" s="113">
        <f t="shared" si="10"/>
        <v>0</v>
      </c>
      <c r="O77" s="21"/>
      <c r="P77" s="113">
        <f t="shared" si="11"/>
        <v>0</v>
      </c>
      <c r="Q77" s="21"/>
      <c r="R77" s="113">
        <f t="shared" si="12"/>
        <v>0</v>
      </c>
      <c r="S77" s="125">
        <f t="shared" si="13"/>
        <v>150</v>
      </c>
      <c r="T77" s="32">
        <v>91</v>
      </c>
      <c r="U77" s="107">
        <f t="shared" si="7"/>
        <v>13650</v>
      </c>
    </row>
    <row r="78" spans="1:21" ht="28.5" hidden="1" x14ac:dyDescent="0.25">
      <c r="A78" s="23">
        <v>76</v>
      </c>
      <c r="B78" s="23" t="s">
        <v>91</v>
      </c>
      <c r="C78" s="23" t="s">
        <v>208</v>
      </c>
      <c r="D78" s="24" t="s">
        <v>209</v>
      </c>
      <c r="E78" s="122">
        <v>4000</v>
      </c>
      <c r="F78" s="23" t="s">
        <v>7</v>
      </c>
      <c r="G78" s="23"/>
      <c r="H78" s="115">
        <f t="shared" si="8"/>
        <v>0</v>
      </c>
      <c r="I78" s="23"/>
      <c r="J78" s="113">
        <f t="shared" si="9"/>
        <v>0</v>
      </c>
      <c r="K78" s="23"/>
      <c r="L78" s="115"/>
      <c r="M78" s="23"/>
      <c r="N78" s="113">
        <f t="shared" si="10"/>
        <v>0</v>
      </c>
      <c r="O78" s="23"/>
      <c r="P78" s="113">
        <f t="shared" si="11"/>
        <v>0</v>
      </c>
      <c r="Q78" s="23"/>
      <c r="R78" s="113">
        <f t="shared" si="12"/>
        <v>0</v>
      </c>
      <c r="S78" s="125">
        <f t="shared" si="13"/>
        <v>0</v>
      </c>
      <c r="T78" s="32">
        <v>93</v>
      </c>
      <c r="U78" s="107">
        <f t="shared" si="7"/>
        <v>0</v>
      </c>
    </row>
    <row r="79" spans="1:21" ht="28.5" x14ac:dyDescent="0.25">
      <c r="A79" s="21">
        <v>77</v>
      </c>
      <c r="B79" s="21" t="s">
        <v>91</v>
      </c>
      <c r="C79" s="21" t="s">
        <v>38</v>
      </c>
      <c r="D79" s="22" t="s">
        <v>39</v>
      </c>
      <c r="E79" s="121">
        <v>1000</v>
      </c>
      <c r="F79" s="21" t="s">
        <v>7</v>
      </c>
      <c r="G79" s="21">
        <v>80</v>
      </c>
      <c r="H79" s="113">
        <f t="shared" si="8"/>
        <v>7440</v>
      </c>
      <c r="I79" s="21"/>
      <c r="J79" s="113">
        <f t="shared" si="9"/>
        <v>0</v>
      </c>
      <c r="K79" s="21"/>
      <c r="L79" s="113"/>
      <c r="M79" s="21"/>
      <c r="N79" s="113">
        <f t="shared" si="10"/>
        <v>0</v>
      </c>
      <c r="O79" s="21"/>
      <c r="P79" s="113">
        <f t="shared" si="11"/>
        <v>0</v>
      </c>
      <c r="Q79" s="21"/>
      <c r="R79" s="113">
        <f t="shared" si="12"/>
        <v>0</v>
      </c>
      <c r="S79" s="125">
        <f t="shared" si="13"/>
        <v>80</v>
      </c>
      <c r="T79" s="32">
        <v>93</v>
      </c>
      <c r="U79" s="107">
        <f t="shared" si="7"/>
        <v>7440</v>
      </c>
    </row>
    <row r="80" spans="1:21" ht="28.5" hidden="1" x14ac:dyDescent="0.25">
      <c r="A80" s="23">
        <v>78</v>
      </c>
      <c r="B80" s="23" t="s">
        <v>91</v>
      </c>
      <c r="C80" s="23" t="s">
        <v>210</v>
      </c>
      <c r="D80" s="24" t="s">
        <v>211</v>
      </c>
      <c r="E80" s="122">
        <v>2500</v>
      </c>
      <c r="F80" s="23" t="s">
        <v>7</v>
      </c>
      <c r="G80" s="23"/>
      <c r="H80" s="115">
        <f t="shared" si="8"/>
        <v>0</v>
      </c>
      <c r="I80" s="23"/>
      <c r="J80" s="113">
        <f t="shared" si="9"/>
        <v>0</v>
      </c>
      <c r="K80" s="23"/>
      <c r="L80" s="115"/>
      <c r="M80" s="23"/>
      <c r="N80" s="113">
        <f t="shared" si="10"/>
        <v>0</v>
      </c>
      <c r="O80" s="23"/>
      <c r="P80" s="113">
        <f t="shared" si="11"/>
        <v>0</v>
      </c>
      <c r="Q80" s="23"/>
      <c r="R80" s="113">
        <f t="shared" si="12"/>
        <v>0</v>
      </c>
      <c r="S80" s="125">
        <f t="shared" si="13"/>
        <v>0</v>
      </c>
      <c r="T80" s="32">
        <v>93</v>
      </c>
      <c r="U80" s="107">
        <f t="shared" si="7"/>
        <v>0</v>
      </c>
    </row>
    <row r="81" spans="1:21" ht="28.5" hidden="1" x14ac:dyDescent="0.25">
      <c r="A81" s="21">
        <v>79</v>
      </c>
      <c r="B81" s="21" t="s">
        <v>91</v>
      </c>
      <c r="C81" s="21" t="s">
        <v>212</v>
      </c>
      <c r="D81" s="22" t="s">
        <v>213</v>
      </c>
      <c r="E81" s="121">
        <v>2500</v>
      </c>
      <c r="F81" s="21" t="s">
        <v>7</v>
      </c>
      <c r="G81" s="21"/>
      <c r="H81" s="113">
        <f t="shared" si="8"/>
        <v>0</v>
      </c>
      <c r="I81" s="21"/>
      <c r="J81" s="113">
        <f t="shared" si="9"/>
        <v>0</v>
      </c>
      <c r="K81" s="21"/>
      <c r="L81" s="113"/>
      <c r="M81" s="21"/>
      <c r="N81" s="113">
        <f t="shared" si="10"/>
        <v>0</v>
      </c>
      <c r="O81" s="21"/>
      <c r="P81" s="113">
        <f t="shared" si="11"/>
        <v>0</v>
      </c>
      <c r="Q81" s="21"/>
      <c r="R81" s="113">
        <f t="shared" si="12"/>
        <v>0</v>
      </c>
      <c r="S81" s="125">
        <f t="shared" si="13"/>
        <v>0</v>
      </c>
      <c r="T81" s="32">
        <v>91</v>
      </c>
      <c r="U81" s="107">
        <f t="shared" si="7"/>
        <v>0</v>
      </c>
    </row>
    <row r="82" spans="1:21" ht="28.5" hidden="1" x14ac:dyDescent="0.25">
      <c r="A82" s="23">
        <v>80</v>
      </c>
      <c r="B82" s="23" t="s">
        <v>91</v>
      </c>
      <c r="C82" s="23" t="s">
        <v>214</v>
      </c>
      <c r="D82" s="24" t="s">
        <v>215</v>
      </c>
      <c r="E82" s="122">
        <v>5600</v>
      </c>
      <c r="F82" s="23" t="s">
        <v>7</v>
      </c>
      <c r="G82" s="23"/>
      <c r="H82" s="115">
        <f t="shared" si="8"/>
        <v>0</v>
      </c>
      <c r="I82" s="23"/>
      <c r="J82" s="113">
        <f t="shared" si="9"/>
        <v>0</v>
      </c>
      <c r="K82" s="23"/>
      <c r="L82" s="115"/>
      <c r="M82" s="23"/>
      <c r="N82" s="113">
        <f t="shared" si="10"/>
        <v>0</v>
      </c>
      <c r="O82" s="23"/>
      <c r="P82" s="113">
        <f t="shared" si="11"/>
        <v>0</v>
      </c>
      <c r="Q82" s="23"/>
      <c r="R82" s="113">
        <f t="shared" si="12"/>
        <v>0</v>
      </c>
      <c r="S82" s="125">
        <f t="shared" si="13"/>
        <v>0</v>
      </c>
      <c r="T82" s="32">
        <v>91</v>
      </c>
      <c r="U82" s="107">
        <f t="shared" si="7"/>
        <v>0</v>
      </c>
    </row>
    <row r="83" spans="1:21" ht="28.5" hidden="1" x14ac:dyDescent="0.25">
      <c r="A83" s="21">
        <v>81</v>
      </c>
      <c r="B83" s="21" t="s">
        <v>91</v>
      </c>
      <c r="C83" s="21" t="s">
        <v>216</v>
      </c>
      <c r="D83" s="22" t="s">
        <v>217</v>
      </c>
      <c r="E83" s="121">
        <v>5600</v>
      </c>
      <c r="F83" s="21" t="s">
        <v>7</v>
      </c>
      <c r="G83" s="21"/>
      <c r="H83" s="113">
        <f t="shared" si="8"/>
        <v>0</v>
      </c>
      <c r="I83" s="21"/>
      <c r="J83" s="113">
        <f t="shared" si="9"/>
        <v>0</v>
      </c>
      <c r="K83" s="21"/>
      <c r="L83" s="113"/>
      <c r="M83" s="21"/>
      <c r="N83" s="113">
        <f t="shared" si="10"/>
        <v>0</v>
      </c>
      <c r="O83" s="21"/>
      <c r="P83" s="113">
        <f t="shared" si="11"/>
        <v>0</v>
      </c>
      <c r="Q83" s="21"/>
      <c r="R83" s="113">
        <f t="shared" si="12"/>
        <v>0</v>
      </c>
      <c r="S83" s="125">
        <f t="shared" si="13"/>
        <v>0</v>
      </c>
      <c r="T83" s="32">
        <v>93</v>
      </c>
      <c r="U83" s="107">
        <f t="shared" si="7"/>
        <v>0</v>
      </c>
    </row>
    <row r="84" spans="1:21" hidden="1" x14ac:dyDescent="0.25">
      <c r="A84" s="23">
        <v>82</v>
      </c>
      <c r="B84" s="23" t="s">
        <v>91</v>
      </c>
      <c r="C84" s="23" t="s">
        <v>218</v>
      </c>
      <c r="D84" s="24" t="s">
        <v>219</v>
      </c>
      <c r="E84" s="122">
        <v>23000</v>
      </c>
      <c r="F84" s="23" t="s">
        <v>7</v>
      </c>
      <c r="G84" s="23"/>
      <c r="H84" s="115">
        <f t="shared" si="8"/>
        <v>0</v>
      </c>
      <c r="I84" s="23"/>
      <c r="J84" s="113">
        <f t="shared" si="9"/>
        <v>0</v>
      </c>
      <c r="K84" s="23"/>
      <c r="L84" s="115"/>
      <c r="M84" s="23"/>
      <c r="N84" s="113">
        <f t="shared" si="10"/>
        <v>0</v>
      </c>
      <c r="O84" s="23"/>
      <c r="P84" s="113">
        <f t="shared" si="11"/>
        <v>0</v>
      </c>
      <c r="Q84" s="23"/>
      <c r="R84" s="113">
        <f t="shared" si="12"/>
        <v>0</v>
      </c>
      <c r="S84" s="125">
        <f t="shared" si="13"/>
        <v>0</v>
      </c>
      <c r="T84" s="32">
        <v>93</v>
      </c>
      <c r="U84" s="107">
        <f t="shared" si="7"/>
        <v>0</v>
      </c>
    </row>
    <row r="85" spans="1:21" ht="28.5" hidden="1" x14ac:dyDescent="0.25">
      <c r="A85" s="21">
        <v>83</v>
      </c>
      <c r="B85" s="21" t="s">
        <v>91</v>
      </c>
      <c r="C85" s="21" t="s">
        <v>220</v>
      </c>
      <c r="D85" s="22" t="s">
        <v>221</v>
      </c>
      <c r="E85" s="121">
        <v>3800</v>
      </c>
      <c r="F85" s="21" t="s">
        <v>7</v>
      </c>
      <c r="G85" s="21"/>
      <c r="H85" s="113">
        <f t="shared" si="8"/>
        <v>0</v>
      </c>
      <c r="I85" s="21"/>
      <c r="J85" s="113">
        <f t="shared" si="9"/>
        <v>0</v>
      </c>
      <c r="K85" s="21"/>
      <c r="L85" s="113"/>
      <c r="M85" s="21"/>
      <c r="N85" s="113">
        <f t="shared" si="10"/>
        <v>0</v>
      </c>
      <c r="O85" s="21"/>
      <c r="P85" s="113">
        <f t="shared" si="11"/>
        <v>0</v>
      </c>
      <c r="Q85" s="21"/>
      <c r="R85" s="113">
        <f t="shared" si="12"/>
        <v>0</v>
      </c>
      <c r="S85" s="125">
        <f t="shared" si="13"/>
        <v>0</v>
      </c>
      <c r="T85" s="32">
        <v>93</v>
      </c>
      <c r="U85" s="107">
        <f t="shared" si="7"/>
        <v>0</v>
      </c>
    </row>
    <row r="86" spans="1:21" ht="28.5" hidden="1" x14ac:dyDescent="0.25">
      <c r="A86" s="23">
        <v>84</v>
      </c>
      <c r="B86" s="23" t="s">
        <v>91</v>
      </c>
      <c r="C86" s="23" t="s">
        <v>222</v>
      </c>
      <c r="D86" s="24" t="s">
        <v>223</v>
      </c>
      <c r="E86" s="122">
        <v>1750</v>
      </c>
      <c r="F86" s="23" t="s">
        <v>7</v>
      </c>
      <c r="G86" s="23"/>
      <c r="H86" s="115">
        <f t="shared" si="8"/>
        <v>0</v>
      </c>
      <c r="I86" s="23"/>
      <c r="J86" s="113">
        <f t="shared" si="9"/>
        <v>0</v>
      </c>
      <c r="K86" s="23"/>
      <c r="L86" s="115"/>
      <c r="M86" s="23"/>
      <c r="N86" s="113">
        <f t="shared" si="10"/>
        <v>0</v>
      </c>
      <c r="O86" s="23"/>
      <c r="P86" s="113">
        <f t="shared" si="11"/>
        <v>0</v>
      </c>
      <c r="Q86" s="23"/>
      <c r="R86" s="113">
        <f t="shared" si="12"/>
        <v>0</v>
      </c>
      <c r="S86" s="125">
        <f t="shared" si="13"/>
        <v>0</v>
      </c>
      <c r="T86" s="32">
        <v>93</v>
      </c>
      <c r="U86" s="107">
        <f t="shared" si="7"/>
        <v>0</v>
      </c>
    </row>
    <row r="87" spans="1:21" ht="28.5" hidden="1" x14ac:dyDescent="0.25">
      <c r="A87" s="21">
        <v>85</v>
      </c>
      <c r="B87" s="21" t="s">
        <v>91</v>
      </c>
      <c r="C87" s="21" t="s">
        <v>224</v>
      </c>
      <c r="D87" s="22" t="s">
        <v>225</v>
      </c>
      <c r="E87" s="121">
        <v>2250</v>
      </c>
      <c r="F87" s="21" t="s">
        <v>7</v>
      </c>
      <c r="G87" s="21"/>
      <c r="H87" s="113">
        <f t="shared" si="8"/>
        <v>0</v>
      </c>
      <c r="I87" s="21"/>
      <c r="J87" s="113">
        <f t="shared" si="9"/>
        <v>0</v>
      </c>
      <c r="K87" s="21"/>
      <c r="L87" s="113"/>
      <c r="M87" s="21"/>
      <c r="N87" s="113">
        <f t="shared" si="10"/>
        <v>0</v>
      </c>
      <c r="O87" s="21"/>
      <c r="P87" s="113">
        <f t="shared" si="11"/>
        <v>0</v>
      </c>
      <c r="Q87" s="21"/>
      <c r="R87" s="113">
        <f t="shared" si="12"/>
        <v>0</v>
      </c>
      <c r="S87" s="125">
        <f t="shared" si="13"/>
        <v>0</v>
      </c>
      <c r="T87" s="32">
        <v>93</v>
      </c>
      <c r="U87" s="107">
        <f t="shared" si="7"/>
        <v>0</v>
      </c>
    </row>
    <row r="88" spans="1:21" ht="28.5" hidden="1" x14ac:dyDescent="0.25">
      <c r="A88" s="23">
        <v>86</v>
      </c>
      <c r="B88" s="23" t="s">
        <v>91</v>
      </c>
      <c r="C88" s="23" t="s">
        <v>226</v>
      </c>
      <c r="D88" s="24" t="s">
        <v>227</v>
      </c>
      <c r="E88" s="122">
        <v>5750</v>
      </c>
      <c r="F88" s="23" t="s">
        <v>7</v>
      </c>
      <c r="G88" s="23"/>
      <c r="H88" s="115">
        <f t="shared" si="8"/>
        <v>0</v>
      </c>
      <c r="I88" s="23"/>
      <c r="J88" s="113">
        <f t="shared" si="9"/>
        <v>0</v>
      </c>
      <c r="K88" s="23"/>
      <c r="L88" s="115"/>
      <c r="M88" s="23"/>
      <c r="N88" s="113">
        <f t="shared" si="10"/>
        <v>0</v>
      </c>
      <c r="O88" s="23"/>
      <c r="P88" s="113">
        <f t="shared" si="11"/>
        <v>0</v>
      </c>
      <c r="Q88" s="23"/>
      <c r="R88" s="113">
        <f t="shared" si="12"/>
        <v>0</v>
      </c>
      <c r="S88" s="125">
        <f t="shared" si="13"/>
        <v>0</v>
      </c>
      <c r="T88" s="32">
        <v>93</v>
      </c>
      <c r="U88" s="107">
        <f t="shared" si="7"/>
        <v>0</v>
      </c>
    </row>
    <row r="89" spans="1:21" ht="28.5" hidden="1" x14ac:dyDescent="0.25">
      <c r="A89" s="21">
        <v>87</v>
      </c>
      <c r="B89" s="21" t="s">
        <v>91</v>
      </c>
      <c r="C89" s="21" t="s">
        <v>228</v>
      </c>
      <c r="D89" s="22" t="s">
        <v>229</v>
      </c>
      <c r="E89" s="121">
        <v>5500</v>
      </c>
      <c r="F89" s="21" t="s">
        <v>7</v>
      </c>
      <c r="G89" s="21"/>
      <c r="H89" s="113">
        <f t="shared" si="8"/>
        <v>0</v>
      </c>
      <c r="I89" s="21"/>
      <c r="J89" s="113">
        <f t="shared" si="9"/>
        <v>0</v>
      </c>
      <c r="K89" s="21"/>
      <c r="L89" s="113"/>
      <c r="M89" s="21"/>
      <c r="N89" s="113">
        <f t="shared" si="10"/>
        <v>0</v>
      </c>
      <c r="O89" s="21"/>
      <c r="P89" s="113">
        <f t="shared" si="11"/>
        <v>0</v>
      </c>
      <c r="Q89" s="21"/>
      <c r="R89" s="113">
        <f t="shared" si="12"/>
        <v>0</v>
      </c>
      <c r="S89" s="125">
        <f t="shared" si="13"/>
        <v>0</v>
      </c>
      <c r="T89" s="32">
        <v>93</v>
      </c>
      <c r="U89" s="107">
        <f t="shared" si="7"/>
        <v>0</v>
      </c>
    </row>
    <row r="90" spans="1:21" ht="28.5" hidden="1" x14ac:dyDescent="0.25">
      <c r="A90" s="23">
        <v>88</v>
      </c>
      <c r="B90" s="23" t="s">
        <v>91</v>
      </c>
      <c r="C90" s="23" t="s">
        <v>230</v>
      </c>
      <c r="D90" s="24" t="s">
        <v>231</v>
      </c>
      <c r="E90" s="122">
        <v>3740</v>
      </c>
      <c r="F90" s="23" t="s">
        <v>7</v>
      </c>
      <c r="G90" s="23"/>
      <c r="H90" s="115">
        <f t="shared" si="8"/>
        <v>0</v>
      </c>
      <c r="I90" s="23"/>
      <c r="J90" s="113">
        <f t="shared" si="9"/>
        <v>0</v>
      </c>
      <c r="K90" s="23"/>
      <c r="L90" s="115"/>
      <c r="M90" s="23"/>
      <c r="N90" s="113">
        <f t="shared" si="10"/>
        <v>0</v>
      </c>
      <c r="O90" s="23"/>
      <c r="P90" s="113">
        <f t="shared" si="11"/>
        <v>0</v>
      </c>
      <c r="Q90" s="23"/>
      <c r="R90" s="113">
        <f t="shared" si="12"/>
        <v>0</v>
      </c>
      <c r="S90" s="125">
        <f t="shared" si="13"/>
        <v>0</v>
      </c>
      <c r="T90" s="35"/>
      <c r="U90" s="107">
        <f t="shared" si="7"/>
        <v>0</v>
      </c>
    </row>
    <row r="91" spans="1:21" ht="28.5" x14ac:dyDescent="0.25">
      <c r="A91" s="21">
        <v>89</v>
      </c>
      <c r="B91" s="21" t="s">
        <v>91</v>
      </c>
      <c r="C91" s="21" t="s">
        <v>40</v>
      </c>
      <c r="D91" s="22" t="s">
        <v>41</v>
      </c>
      <c r="E91" s="121">
        <v>12506</v>
      </c>
      <c r="F91" s="21" t="s">
        <v>7</v>
      </c>
      <c r="G91" s="21">
        <v>2000</v>
      </c>
      <c r="H91" s="113">
        <f t="shared" si="8"/>
        <v>186000</v>
      </c>
      <c r="I91" s="21"/>
      <c r="J91" s="113">
        <f t="shared" si="9"/>
        <v>0</v>
      </c>
      <c r="K91" s="21"/>
      <c r="L91" s="113"/>
      <c r="M91" s="21"/>
      <c r="N91" s="113">
        <f t="shared" si="10"/>
        <v>0</v>
      </c>
      <c r="O91" s="21"/>
      <c r="P91" s="113">
        <f t="shared" si="11"/>
        <v>0</v>
      </c>
      <c r="Q91" s="21"/>
      <c r="R91" s="113">
        <f t="shared" si="12"/>
        <v>0</v>
      </c>
      <c r="S91" s="125">
        <f t="shared" si="13"/>
        <v>2000</v>
      </c>
      <c r="T91" s="35">
        <v>93</v>
      </c>
      <c r="U91" s="107">
        <f t="shared" si="7"/>
        <v>186000</v>
      </c>
    </row>
    <row r="92" spans="1:21" ht="28.5" hidden="1" x14ac:dyDescent="0.25">
      <c r="A92" s="23">
        <v>90</v>
      </c>
      <c r="B92" s="23" t="s">
        <v>91</v>
      </c>
      <c r="C92" s="23" t="s">
        <v>232</v>
      </c>
      <c r="D92" s="24" t="s">
        <v>233</v>
      </c>
      <c r="E92" s="122">
        <v>8200</v>
      </c>
      <c r="F92" s="23" t="s">
        <v>7</v>
      </c>
      <c r="G92" s="23"/>
      <c r="H92" s="115">
        <f t="shared" si="8"/>
        <v>0</v>
      </c>
      <c r="I92" s="23"/>
      <c r="J92" s="113">
        <f t="shared" si="9"/>
        <v>0</v>
      </c>
      <c r="K92" s="23"/>
      <c r="L92" s="115"/>
      <c r="M92" s="23"/>
      <c r="N92" s="113">
        <f t="shared" si="10"/>
        <v>0</v>
      </c>
      <c r="O92" s="23"/>
      <c r="P92" s="113">
        <f t="shared" si="11"/>
        <v>0</v>
      </c>
      <c r="Q92" s="23"/>
      <c r="R92" s="113">
        <f t="shared" si="12"/>
        <v>0</v>
      </c>
      <c r="S92" s="125">
        <f t="shared" si="13"/>
        <v>0</v>
      </c>
      <c r="T92" s="35">
        <v>93</v>
      </c>
      <c r="U92" s="107">
        <f t="shared" si="7"/>
        <v>0</v>
      </c>
    </row>
    <row r="93" spans="1:21" ht="28.5" hidden="1" x14ac:dyDescent="0.25">
      <c r="A93" s="21">
        <v>91</v>
      </c>
      <c r="B93" s="21" t="s">
        <v>91</v>
      </c>
      <c r="C93" s="21" t="s">
        <v>234</v>
      </c>
      <c r="D93" s="22" t="s">
        <v>235</v>
      </c>
      <c r="E93" s="121">
        <v>1700</v>
      </c>
      <c r="F93" s="21" t="s">
        <v>7</v>
      </c>
      <c r="G93" s="21"/>
      <c r="H93" s="113">
        <f t="shared" si="8"/>
        <v>0</v>
      </c>
      <c r="I93" s="21"/>
      <c r="J93" s="113">
        <f t="shared" si="9"/>
        <v>0</v>
      </c>
      <c r="K93" s="21"/>
      <c r="L93" s="113"/>
      <c r="M93" s="21"/>
      <c r="N93" s="113">
        <f t="shared" si="10"/>
        <v>0</v>
      </c>
      <c r="O93" s="21"/>
      <c r="P93" s="113">
        <f t="shared" si="11"/>
        <v>0</v>
      </c>
      <c r="Q93" s="21"/>
      <c r="R93" s="113">
        <f t="shared" si="12"/>
        <v>0</v>
      </c>
      <c r="S93" s="125">
        <f t="shared" si="13"/>
        <v>0</v>
      </c>
      <c r="T93" s="35">
        <v>93</v>
      </c>
      <c r="U93" s="107">
        <f t="shared" si="7"/>
        <v>0</v>
      </c>
    </row>
    <row r="94" spans="1:21" ht="28.5" hidden="1" x14ac:dyDescent="0.25">
      <c r="A94" s="23">
        <v>92</v>
      </c>
      <c r="B94" s="23" t="s">
        <v>91</v>
      </c>
      <c r="C94" s="23" t="s">
        <v>236</v>
      </c>
      <c r="D94" s="24" t="s">
        <v>237</v>
      </c>
      <c r="E94" s="122">
        <v>1000</v>
      </c>
      <c r="F94" s="23" t="s">
        <v>7</v>
      </c>
      <c r="G94" s="23"/>
      <c r="H94" s="115">
        <f t="shared" si="8"/>
        <v>0</v>
      </c>
      <c r="I94" s="23"/>
      <c r="J94" s="113">
        <f t="shared" si="9"/>
        <v>0</v>
      </c>
      <c r="K94" s="23"/>
      <c r="L94" s="115"/>
      <c r="M94" s="23"/>
      <c r="N94" s="113">
        <f t="shared" si="10"/>
        <v>0</v>
      </c>
      <c r="O94" s="23"/>
      <c r="P94" s="113">
        <f t="shared" si="11"/>
        <v>0</v>
      </c>
      <c r="Q94" s="23"/>
      <c r="R94" s="113">
        <f t="shared" si="12"/>
        <v>0</v>
      </c>
      <c r="S94" s="125">
        <f t="shared" si="13"/>
        <v>0</v>
      </c>
      <c r="T94" s="35">
        <v>93</v>
      </c>
      <c r="U94" s="107">
        <f t="shared" si="7"/>
        <v>0</v>
      </c>
    </row>
    <row r="95" spans="1:21" ht="28.5" hidden="1" x14ac:dyDescent="0.25">
      <c r="A95" s="21">
        <v>93</v>
      </c>
      <c r="B95" s="21" t="s">
        <v>91</v>
      </c>
      <c r="C95" s="21" t="s">
        <v>238</v>
      </c>
      <c r="D95" s="22" t="s">
        <v>239</v>
      </c>
      <c r="E95" s="121">
        <v>2700</v>
      </c>
      <c r="F95" s="21" t="s">
        <v>7</v>
      </c>
      <c r="G95" s="21"/>
      <c r="H95" s="113">
        <f t="shared" si="8"/>
        <v>0</v>
      </c>
      <c r="I95" s="21"/>
      <c r="J95" s="113">
        <f t="shared" si="9"/>
        <v>0</v>
      </c>
      <c r="K95" s="21"/>
      <c r="L95" s="113"/>
      <c r="M95" s="21"/>
      <c r="N95" s="113">
        <f t="shared" si="10"/>
        <v>0</v>
      </c>
      <c r="O95" s="21"/>
      <c r="P95" s="113">
        <f t="shared" si="11"/>
        <v>0</v>
      </c>
      <c r="Q95" s="21"/>
      <c r="R95" s="113">
        <f t="shared" si="12"/>
        <v>0</v>
      </c>
      <c r="S95" s="125">
        <f t="shared" si="13"/>
        <v>0</v>
      </c>
      <c r="T95" s="35">
        <v>93</v>
      </c>
      <c r="U95" s="107">
        <f t="shared" si="7"/>
        <v>0</v>
      </c>
    </row>
    <row r="96" spans="1:21" ht="28.5" x14ac:dyDescent="0.25">
      <c r="A96" s="23">
        <v>94</v>
      </c>
      <c r="B96" s="23" t="s">
        <v>91</v>
      </c>
      <c r="C96" s="23" t="s">
        <v>42</v>
      </c>
      <c r="D96" s="24" t="s">
        <v>43</v>
      </c>
      <c r="E96" s="122">
        <v>800</v>
      </c>
      <c r="F96" s="23" t="s">
        <v>7</v>
      </c>
      <c r="G96" s="23">
        <v>200</v>
      </c>
      <c r="H96" s="115">
        <f t="shared" si="8"/>
        <v>18600</v>
      </c>
      <c r="I96" s="23"/>
      <c r="J96" s="113">
        <f t="shared" si="9"/>
        <v>0</v>
      </c>
      <c r="K96" s="23"/>
      <c r="L96" s="115"/>
      <c r="M96" s="23"/>
      <c r="N96" s="113">
        <f t="shared" si="10"/>
        <v>0</v>
      </c>
      <c r="O96" s="23"/>
      <c r="P96" s="113">
        <f t="shared" si="11"/>
        <v>0</v>
      </c>
      <c r="Q96" s="23"/>
      <c r="R96" s="113">
        <f t="shared" si="12"/>
        <v>0</v>
      </c>
      <c r="S96" s="125">
        <f t="shared" si="13"/>
        <v>200</v>
      </c>
      <c r="T96" s="35">
        <v>93</v>
      </c>
      <c r="U96" s="107">
        <f t="shared" si="7"/>
        <v>18600</v>
      </c>
    </row>
    <row r="97" spans="1:21" ht="28.5" hidden="1" x14ac:dyDescent="0.25">
      <c r="A97" s="21">
        <v>95</v>
      </c>
      <c r="B97" s="21" t="s">
        <v>91</v>
      </c>
      <c r="C97" s="21" t="s">
        <v>240</v>
      </c>
      <c r="D97" s="22" t="s">
        <v>241</v>
      </c>
      <c r="E97" s="121">
        <v>620</v>
      </c>
      <c r="F97" s="21" t="s">
        <v>7</v>
      </c>
      <c r="G97" s="21"/>
      <c r="H97" s="113">
        <f t="shared" si="8"/>
        <v>0</v>
      </c>
      <c r="I97" s="21"/>
      <c r="J97" s="113">
        <f t="shared" si="9"/>
        <v>0</v>
      </c>
      <c r="K97" s="21"/>
      <c r="L97" s="113"/>
      <c r="M97" s="21"/>
      <c r="N97" s="113">
        <f t="shared" si="10"/>
        <v>0</v>
      </c>
      <c r="O97" s="21"/>
      <c r="P97" s="113">
        <f t="shared" si="11"/>
        <v>0</v>
      </c>
      <c r="Q97" s="21"/>
      <c r="R97" s="113">
        <f t="shared" si="12"/>
        <v>0</v>
      </c>
      <c r="S97" s="125">
        <f t="shared" si="13"/>
        <v>0</v>
      </c>
      <c r="T97" s="35">
        <v>91</v>
      </c>
      <c r="U97" s="107">
        <f t="shared" si="7"/>
        <v>0</v>
      </c>
    </row>
    <row r="98" spans="1:21" hidden="1" x14ac:dyDescent="0.25">
      <c r="A98" s="23">
        <v>96</v>
      </c>
      <c r="B98" s="23" t="s">
        <v>194</v>
      </c>
      <c r="C98" s="23" t="s">
        <v>242</v>
      </c>
      <c r="D98" s="24" t="s">
        <v>243</v>
      </c>
      <c r="E98" s="122">
        <v>150</v>
      </c>
      <c r="F98" s="23" t="s">
        <v>7</v>
      </c>
      <c r="G98" s="23"/>
      <c r="H98" s="115">
        <f t="shared" si="8"/>
        <v>0</v>
      </c>
      <c r="I98" s="23"/>
      <c r="J98" s="113">
        <f t="shared" si="9"/>
        <v>0</v>
      </c>
      <c r="K98" s="23"/>
      <c r="L98" s="115"/>
      <c r="M98" s="23"/>
      <c r="N98" s="113">
        <f t="shared" si="10"/>
        <v>0</v>
      </c>
      <c r="O98" s="23"/>
      <c r="P98" s="113">
        <f t="shared" si="11"/>
        <v>0</v>
      </c>
      <c r="Q98" s="23"/>
      <c r="R98" s="113">
        <f t="shared" si="12"/>
        <v>0</v>
      </c>
      <c r="S98" s="125">
        <f t="shared" si="13"/>
        <v>0</v>
      </c>
      <c r="T98" s="35">
        <v>91</v>
      </c>
      <c r="U98" s="107">
        <f t="shared" si="7"/>
        <v>0</v>
      </c>
    </row>
    <row r="99" spans="1:21" hidden="1" x14ac:dyDescent="0.25">
      <c r="A99" s="21">
        <v>97</v>
      </c>
      <c r="B99" s="21" t="s">
        <v>194</v>
      </c>
      <c r="C99" s="21" t="s">
        <v>244</v>
      </c>
      <c r="D99" s="22" t="s">
        <v>245</v>
      </c>
      <c r="E99" s="121">
        <v>300</v>
      </c>
      <c r="F99" s="21" t="s">
        <v>7</v>
      </c>
      <c r="G99" s="21"/>
      <c r="H99" s="113">
        <f t="shared" si="8"/>
        <v>0</v>
      </c>
      <c r="I99" s="21"/>
      <c r="J99" s="113">
        <f t="shared" si="9"/>
        <v>0</v>
      </c>
      <c r="K99" s="21"/>
      <c r="L99" s="113"/>
      <c r="M99" s="21"/>
      <c r="N99" s="113">
        <f t="shared" si="10"/>
        <v>0</v>
      </c>
      <c r="O99" s="21"/>
      <c r="P99" s="113">
        <f t="shared" si="11"/>
        <v>0</v>
      </c>
      <c r="Q99" s="21"/>
      <c r="R99" s="113">
        <f t="shared" si="12"/>
        <v>0</v>
      </c>
      <c r="S99" s="125">
        <f t="shared" si="13"/>
        <v>0</v>
      </c>
      <c r="T99" s="35">
        <v>91</v>
      </c>
      <c r="U99" s="107">
        <f t="shared" si="7"/>
        <v>0</v>
      </c>
    </row>
    <row r="100" spans="1:21" ht="28.5" hidden="1" x14ac:dyDescent="0.25">
      <c r="A100" s="23">
        <v>98</v>
      </c>
      <c r="B100" s="23" t="s">
        <v>194</v>
      </c>
      <c r="C100" s="23" t="s">
        <v>246</v>
      </c>
      <c r="D100" s="24" t="s">
        <v>247</v>
      </c>
      <c r="E100" s="122">
        <v>100</v>
      </c>
      <c r="F100" s="23" t="s">
        <v>7</v>
      </c>
      <c r="G100" s="23"/>
      <c r="H100" s="115">
        <f t="shared" si="8"/>
        <v>0</v>
      </c>
      <c r="I100" s="23"/>
      <c r="J100" s="113">
        <f t="shared" si="9"/>
        <v>0</v>
      </c>
      <c r="K100" s="23"/>
      <c r="L100" s="115"/>
      <c r="M100" s="23"/>
      <c r="N100" s="113">
        <f t="shared" si="10"/>
        <v>0</v>
      </c>
      <c r="O100" s="23"/>
      <c r="P100" s="113">
        <f t="shared" si="11"/>
        <v>0</v>
      </c>
      <c r="Q100" s="23"/>
      <c r="R100" s="113">
        <f t="shared" si="12"/>
        <v>0</v>
      </c>
      <c r="S100" s="125">
        <f t="shared" si="13"/>
        <v>0</v>
      </c>
      <c r="T100" s="35">
        <v>91</v>
      </c>
      <c r="U100" s="107">
        <f t="shared" si="7"/>
        <v>0</v>
      </c>
    </row>
    <row r="101" spans="1:21" ht="28.5" hidden="1" x14ac:dyDescent="0.25">
      <c r="A101" s="21">
        <v>99</v>
      </c>
      <c r="B101" s="21" t="s">
        <v>91</v>
      </c>
      <c r="C101" s="21" t="s">
        <v>248</v>
      </c>
      <c r="D101" s="22" t="s">
        <v>249</v>
      </c>
      <c r="E101" s="121">
        <v>120</v>
      </c>
      <c r="F101" s="21" t="s">
        <v>7</v>
      </c>
      <c r="G101" s="21"/>
      <c r="H101" s="113">
        <f t="shared" si="8"/>
        <v>0</v>
      </c>
      <c r="I101" s="21"/>
      <c r="J101" s="113">
        <f t="shared" si="9"/>
        <v>0</v>
      </c>
      <c r="K101" s="21"/>
      <c r="L101" s="113"/>
      <c r="M101" s="21"/>
      <c r="N101" s="113">
        <f t="shared" si="10"/>
        <v>0</v>
      </c>
      <c r="O101" s="21"/>
      <c r="P101" s="113">
        <f t="shared" si="11"/>
        <v>0</v>
      </c>
      <c r="Q101" s="21"/>
      <c r="R101" s="113">
        <f t="shared" si="12"/>
        <v>0</v>
      </c>
      <c r="S101" s="125">
        <f t="shared" si="13"/>
        <v>0</v>
      </c>
      <c r="T101" s="35">
        <v>91</v>
      </c>
      <c r="U101" s="107">
        <f t="shared" si="7"/>
        <v>0</v>
      </c>
    </row>
    <row r="102" spans="1:21" ht="28.5" x14ac:dyDescent="0.25">
      <c r="A102" s="23">
        <v>100</v>
      </c>
      <c r="B102" s="23" t="s">
        <v>91</v>
      </c>
      <c r="C102" s="23" t="s">
        <v>44</v>
      </c>
      <c r="D102" s="24" t="s">
        <v>45</v>
      </c>
      <c r="E102" s="122">
        <v>280</v>
      </c>
      <c r="F102" s="23" t="s">
        <v>7</v>
      </c>
      <c r="G102" s="23">
        <v>10</v>
      </c>
      <c r="H102" s="115">
        <f t="shared" si="8"/>
        <v>910</v>
      </c>
      <c r="I102" s="23"/>
      <c r="J102" s="113">
        <f t="shared" si="9"/>
        <v>0</v>
      </c>
      <c r="K102" s="23"/>
      <c r="L102" s="115"/>
      <c r="M102" s="23"/>
      <c r="N102" s="113">
        <f t="shared" si="10"/>
        <v>0</v>
      </c>
      <c r="O102" s="23"/>
      <c r="P102" s="113">
        <f t="shared" si="11"/>
        <v>0</v>
      </c>
      <c r="Q102" s="23"/>
      <c r="R102" s="113">
        <f t="shared" si="12"/>
        <v>0</v>
      </c>
      <c r="S102" s="125">
        <f t="shared" si="13"/>
        <v>10</v>
      </c>
      <c r="T102" s="35">
        <v>91</v>
      </c>
      <c r="U102" s="107">
        <f t="shared" si="7"/>
        <v>910</v>
      </c>
    </row>
    <row r="103" spans="1:21" hidden="1" x14ac:dyDescent="0.25">
      <c r="A103" s="21">
        <v>101</v>
      </c>
      <c r="B103" s="21" t="s">
        <v>91</v>
      </c>
      <c r="C103" s="21" t="s">
        <v>250</v>
      </c>
      <c r="D103" s="22" t="s">
        <v>251</v>
      </c>
      <c r="E103" s="121">
        <v>155</v>
      </c>
      <c r="F103" s="21" t="s">
        <v>7</v>
      </c>
      <c r="G103" s="21"/>
      <c r="H103" s="113">
        <f t="shared" si="8"/>
        <v>0</v>
      </c>
      <c r="I103" s="21"/>
      <c r="J103" s="113">
        <f t="shared" si="9"/>
        <v>0</v>
      </c>
      <c r="K103" s="21"/>
      <c r="L103" s="113"/>
      <c r="M103" s="21"/>
      <c r="N103" s="113">
        <f t="shared" si="10"/>
        <v>0</v>
      </c>
      <c r="O103" s="21"/>
      <c r="P103" s="113">
        <f t="shared" si="11"/>
        <v>0</v>
      </c>
      <c r="Q103" s="21"/>
      <c r="R103" s="113">
        <f t="shared" si="12"/>
        <v>0</v>
      </c>
      <c r="S103" s="125">
        <f t="shared" si="13"/>
        <v>0</v>
      </c>
      <c r="T103" s="35">
        <v>93</v>
      </c>
      <c r="U103" s="107">
        <f t="shared" si="7"/>
        <v>0</v>
      </c>
    </row>
    <row r="104" spans="1:21" hidden="1" x14ac:dyDescent="0.25">
      <c r="A104" s="23">
        <v>102</v>
      </c>
      <c r="B104" s="23" t="s">
        <v>91</v>
      </c>
      <c r="C104" s="23" t="s">
        <v>252</v>
      </c>
      <c r="D104" s="24" t="s">
        <v>253</v>
      </c>
      <c r="E104" s="122">
        <v>30</v>
      </c>
      <c r="F104" s="23" t="s">
        <v>7</v>
      </c>
      <c r="G104" s="23"/>
      <c r="H104" s="115">
        <f t="shared" si="8"/>
        <v>0</v>
      </c>
      <c r="I104" s="23"/>
      <c r="J104" s="113">
        <f t="shared" si="9"/>
        <v>0</v>
      </c>
      <c r="K104" s="23"/>
      <c r="L104" s="115"/>
      <c r="M104" s="23"/>
      <c r="N104" s="113">
        <f t="shared" si="10"/>
        <v>0</v>
      </c>
      <c r="O104" s="23"/>
      <c r="P104" s="113">
        <f t="shared" si="11"/>
        <v>0</v>
      </c>
      <c r="Q104" s="23"/>
      <c r="R104" s="113">
        <f t="shared" si="12"/>
        <v>0</v>
      </c>
      <c r="S104" s="125">
        <f t="shared" si="13"/>
        <v>0</v>
      </c>
      <c r="T104" s="35">
        <v>91</v>
      </c>
      <c r="U104" s="107">
        <f t="shared" si="7"/>
        <v>0</v>
      </c>
    </row>
    <row r="105" spans="1:21" hidden="1" x14ac:dyDescent="0.25">
      <c r="A105" s="21">
        <v>103</v>
      </c>
      <c r="B105" s="21" t="s">
        <v>91</v>
      </c>
      <c r="C105" s="21" t="s">
        <v>254</v>
      </c>
      <c r="D105" s="22" t="s">
        <v>255</v>
      </c>
      <c r="E105" s="121">
        <v>30</v>
      </c>
      <c r="F105" s="21" t="s">
        <v>7</v>
      </c>
      <c r="G105" s="21"/>
      <c r="H105" s="113">
        <f t="shared" si="8"/>
        <v>0</v>
      </c>
      <c r="I105" s="21"/>
      <c r="J105" s="113">
        <f t="shared" si="9"/>
        <v>0</v>
      </c>
      <c r="K105" s="21"/>
      <c r="L105" s="113"/>
      <c r="M105" s="21"/>
      <c r="N105" s="113">
        <f t="shared" si="10"/>
        <v>0</v>
      </c>
      <c r="O105" s="21"/>
      <c r="P105" s="113">
        <f t="shared" si="11"/>
        <v>0</v>
      </c>
      <c r="Q105" s="21"/>
      <c r="R105" s="113">
        <f t="shared" si="12"/>
        <v>0</v>
      </c>
      <c r="S105" s="125">
        <f t="shared" si="13"/>
        <v>0</v>
      </c>
      <c r="T105" s="35">
        <v>91</v>
      </c>
      <c r="U105" s="107">
        <f t="shared" si="7"/>
        <v>0</v>
      </c>
    </row>
    <row r="106" spans="1:21" hidden="1" x14ac:dyDescent="0.25">
      <c r="A106" s="23">
        <v>104</v>
      </c>
      <c r="B106" s="23" t="s">
        <v>91</v>
      </c>
      <c r="C106" s="23" t="s">
        <v>256</v>
      </c>
      <c r="D106" s="24" t="s">
        <v>257</v>
      </c>
      <c r="E106" s="122">
        <v>120</v>
      </c>
      <c r="F106" s="23" t="s">
        <v>7</v>
      </c>
      <c r="G106" s="23"/>
      <c r="H106" s="115">
        <f t="shared" si="8"/>
        <v>0</v>
      </c>
      <c r="I106" s="23"/>
      <c r="J106" s="113">
        <f t="shared" si="9"/>
        <v>0</v>
      </c>
      <c r="K106" s="23"/>
      <c r="L106" s="115"/>
      <c r="M106" s="23"/>
      <c r="N106" s="113">
        <f t="shared" si="10"/>
        <v>0</v>
      </c>
      <c r="O106" s="23"/>
      <c r="P106" s="113">
        <f t="shared" si="11"/>
        <v>0</v>
      </c>
      <c r="Q106" s="23"/>
      <c r="R106" s="113">
        <f t="shared" si="12"/>
        <v>0</v>
      </c>
      <c r="S106" s="125">
        <f t="shared" si="13"/>
        <v>0</v>
      </c>
      <c r="T106" s="35">
        <v>100</v>
      </c>
      <c r="U106" s="107">
        <f t="shared" si="7"/>
        <v>0</v>
      </c>
    </row>
    <row r="107" spans="1:21" hidden="1" x14ac:dyDescent="0.25">
      <c r="A107" s="21">
        <v>105</v>
      </c>
      <c r="B107" s="21" t="s">
        <v>91</v>
      </c>
      <c r="C107" s="21" t="s">
        <v>258</v>
      </c>
      <c r="D107" s="22" t="s">
        <v>259</v>
      </c>
      <c r="E107" s="121">
        <v>50</v>
      </c>
      <c r="F107" s="21" t="s">
        <v>7</v>
      </c>
      <c r="G107" s="21"/>
      <c r="H107" s="113">
        <f t="shared" si="8"/>
        <v>0</v>
      </c>
      <c r="I107" s="21"/>
      <c r="J107" s="113">
        <f t="shared" si="9"/>
        <v>0</v>
      </c>
      <c r="K107" s="21"/>
      <c r="L107" s="113"/>
      <c r="M107" s="21"/>
      <c r="N107" s="113">
        <f t="shared" si="10"/>
        <v>0</v>
      </c>
      <c r="O107" s="21"/>
      <c r="P107" s="113">
        <f t="shared" si="11"/>
        <v>0</v>
      </c>
      <c r="Q107" s="21"/>
      <c r="R107" s="113">
        <f t="shared" si="12"/>
        <v>0</v>
      </c>
      <c r="S107" s="125">
        <f t="shared" si="13"/>
        <v>0</v>
      </c>
      <c r="T107" s="35">
        <v>93</v>
      </c>
      <c r="U107" s="107">
        <f t="shared" si="7"/>
        <v>0</v>
      </c>
    </row>
    <row r="108" spans="1:21" hidden="1" x14ac:dyDescent="0.25">
      <c r="A108" s="23">
        <v>106</v>
      </c>
      <c r="B108" s="23" t="s">
        <v>91</v>
      </c>
      <c r="C108" s="23" t="s">
        <v>260</v>
      </c>
      <c r="D108" s="24" t="s">
        <v>261</v>
      </c>
      <c r="E108" s="122">
        <v>50</v>
      </c>
      <c r="F108" s="23" t="s">
        <v>7</v>
      </c>
      <c r="G108" s="23"/>
      <c r="H108" s="115">
        <f t="shared" si="8"/>
        <v>0</v>
      </c>
      <c r="I108" s="23"/>
      <c r="J108" s="113">
        <f t="shared" si="9"/>
        <v>0</v>
      </c>
      <c r="K108" s="23"/>
      <c r="L108" s="115"/>
      <c r="M108" s="23"/>
      <c r="N108" s="113">
        <f t="shared" si="10"/>
        <v>0</v>
      </c>
      <c r="O108" s="23"/>
      <c r="P108" s="113">
        <f t="shared" si="11"/>
        <v>0</v>
      </c>
      <c r="Q108" s="23"/>
      <c r="R108" s="113">
        <f t="shared" si="12"/>
        <v>0</v>
      </c>
      <c r="S108" s="125">
        <f t="shared" si="13"/>
        <v>0</v>
      </c>
      <c r="T108" s="35">
        <v>91</v>
      </c>
      <c r="U108" s="107">
        <f t="shared" si="7"/>
        <v>0</v>
      </c>
    </row>
    <row r="109" spans="1:21" hidden="1" x14ac:dyDescent="0.25">
      <c r="A109" s="21">
        <v>107</v>
      </c>
      <c r="B109" s="21" t="s">
        <v>91</v>
      </c>
      <c r="C109" s="21" t="s">
        <v>262</v>
      </c>
      <c r="D109" s="22" t="s">
        <v>263</v>
      </c>
      <c r="E109" s="121">
        <v>50</v>
      </c>
      <c r="F109" s="21" t="s">
        <v>7</v>
      </c>
      <c r="G109" s="21"/>
      <c r="H109" s="113">
        <f t="shared" si="8"/>
        <v>0</v>
      </c>
      <c r="I109" s="21"/>
      <c r="J109" s="113">
        <f t="shared" si="9"/>
        <v>0</v>
      </c>
      <c r="K109" s="21"/>
      <c r="L109" s="113"/>
      <c r="M109" s="21"/>
      <c r="N109" s="113">
        <f t="shared" si="10"/>
        <v>0</v>
      </c>
      <c r="O109" s="21"/>
      <c r="P109" s="113">
        <f t="shared" si="11"/>
        <v>0</v>
      </c>
      <c r="Q109" s="21"/>
      <c r="R109" s="113">
        <f t="shared" si="12"/>
        <v>0</v>
      </c>
      <c r="S109" s="125">
        <f t="shared" si="13"/>
        <v>0</v>
      </c>
      <c r="T109" s="35">
        <v>93</v>
      </c>
      <c r="U109" s="107">
        <f t="shared" si="7"/>
        <v>0</v>
      </c>
    </row>
    <row r="110" spans="1:21" hidden="1" x14ac:dyDescent="0.25">
      <c r="A110" s="23">
        <v>108</v>
      </c>
      <c r="B110" s="23" t="s">
        <v>91</v>
      </c>
      <c r="C110" s="23" t="s">
        <v>264</v>
      </c>
      <c r="D110" s="24" t="s">
        <v>265</v>
      </c>
      <c r="E110" s="122">
        <v>35</v>
      </c>
      <c r="F110" s="23" t="s">
        <v>7</v>
      </c>
      <c r="G110" s="23"/>
      <c r="H110" s="115">
        <f t="shared" si="8"/>
        <v>0</v>
      </c>
      <c r="I110" s="23"/>
      <c r="J110" s="113">
        <f t="shared" si="9"/>
        <v>0</v>
      </c>
      <c r="K110" s="23"/>
      <c r="L110" s="115"/>
      <c r="M110" s="23"/>
      <c r="N110" s="113">
        <f t="shared" si="10"/>
        <v>0</v>
      </c>
      <c r="O110" s="23"/>
      <c r="P110" s="113">
        <f t="shared" si="11"/>
        <v>0</v>
      </c>
      <c r="Q110" s="23"/>
      <c r="R110" s="113">
        <f t="shared" si="12"/>
        <v>0</v>
      </c>
      <c r="S110" s="125">
        <f t="shared" si="13"/>
        <v>0</v>
      </c>
      <c r="T110" s="35">
        <v>93</v>
      </c>
      <c r="U110" s="107">
        <f t="shared" si="7"/>
        <v>0</v>
      </c>
    </row>
    <row r="111" spans="1:21" hidden="1" x14ac:dyDescent="0.25">
      <c r="A111" s="21">
        <v>109</v>
      </c>
      <c r="B111" s="21" t="s">
        <v>91</v>
      </c>
      <c r="C111" s="21" t="s">
        <v>266</v>
      </c>
      <c r="D111" s="22" t="s">
        <v>267</v>
      </c>
      <c r="E111" s="121">
        <v>250</v>
      </c>
      <c r="F111" s="21" t="s">
        <v>7</v>
      </c>
      <c r="G111" s="21"/>
      <c r="H111" s="113">
        <f t="shared" si="8"/>
        <v>0</v>
      </c>
      <c r="I111" s="21"/>
      <c r="J111" s="113">
        <f t="shared" si="9"/>
        <v>0</v>
      </c>
      <c r="K111" s="21"/>
      <c r="L111" s="113"/>
      <c r="M111" s="21"/>
      <c r="N111" s="113">
        <f t="shared" si="10"/>
        <v>0</v>
      </c>
      <c r="O111" s="21"/>
      <c r="P111" s="113">
        <f t="shared" si="11"/>
        <v>0</v>
      </c>
      <c r="Q111" s="21"/>
      <c r="R111" s="113">
        <f t="shared" si="12"/>
        <v>0</v>
      </c>
      <c r="S111" s="125">
        <f t="shared" si="13"/>
        <v>0</v>
      </c>
      <c r="T111" s="35">
        <v>91</v>
      </c>
      <c r="U111" s="107">
        <f t="shared" si="7"/>
        <v>0</v>
      </c>
    </row>
    <row r="112" spans="1:21" hidden="1" x14ac:dyDescent="0.25">
      <c r="A112" s="23">
        <v>110</v>
      </c>
      <c r="B112" s="23" t="s">
        <v>91</v>
      </c>
      <c r="C112" s="23" t="s">
        <v>268</v>
      </c>
      <c r="D112" s="24" t="s">
        <v>269</v>
      </c>
      <c r="E112" s="122">
        <v>250</v>
      </c>
      <c r="F112" s="23" t="s">
        <v>7</v>
      </c>
      <c r="G112" s="23"/>
      <c r="H112" s="115">
        <f t="shared" si="8"/>
        <v>0</v>
      </c>
      <c r="I112" s="23"/>
      <c r="J112" s="113">
        <f t="shared" si="9"/>
        <v>0</v>
      </c>
      <c r="K112" s="23"/>
      <c r="L112" s="115"/>
      <c r="M112" s="23"/>
      <c r="N112" s="113">
        <f t="shared" si="10"/>
        <v>0</v>
      </c>
      <c r="O112" s="23"/>
      <c r="P112" s="113">
        <f t="shared" si="11"/>
        <v>0</v>
      </c>
      <c r="Q112" s="23"/>
      <c r="R112" s="113">
        <f t="shared" si="12"/>
        <v>0</v>
      </c>
      <c r="S112" s="125">
        <f t="shared" si="13"/>
        <v>0</v>
      </c>
      <c r="T112" s="35">
        <v>93</v>
      </c>
      <c r="U112" s="107">
        <f t="shared" si="7"/>
        <v>0</v>
      </c>
    </row>
    <row r="113" spans="1:21" hidden="1" x14ac:dyDescent="0.25">
      <c r="A113" s="21">
        <v>111</v>
      </c>
      <c r="B113" s="21" t="s">
        <v>91</v>
      </c>
      <c r="C113" s="21" t="s">
        <v>270</v>
      </c>
      <c r="D113" s="22" t="s">
        <v>271</v>
      </c>
      <c r="E113" s="121">
        <v>200</v>
      </c>
      <c r="F113" s="21" t="s">
        <v>7</v>
      </c>
      <c r="G113" s="21"/>
      <c r="H113" s="113">
        <f t="shared" si="8"/>
        <v>0</v>
      </c>
      <c r="I113" s="21"/>
      <c r="J113" s="113">
        <f t="shared" si="9"/>
        <v>0</v>
      </c>
      <c r="K113" s="21"/>
      <c r="L113" s="113"/>
      <c r="M113" s="21"/>
      <c r="N113" s="113">
        <f t="shared" si="10"/>
        <v>0</v>
      </c>
      <c r="O113" s="21"/>
      <c r="P113" s="113">
        <f t="shared" si="11"/>
        <v>0</v>
      </c>
      <c r="Q113" s="21"/>
      <c r="R113" s="113">
        <f t="shared" si="12"/>
        <v>0</v>
      </c>
      <c r="S113" s="125">
        <f t="shared" si="13"/>
        <v>0</v>
      </c>
      <c r="T113" s="35">
        <v>93</v>
      </c>
      <c r="U113" s="107">
        <f t="shared" si="7"/>
        <v>0</v>
      </c>
    </row>
    <row r="114" spans="1:21" hidden="1" x14ac:dyDescent="0.25">
      <c r="A114" s="23">
        <v>112</v>
      </c>
      <c r="B114" s="23" t="s">
        <v>91</v>
      </c>
      <c r="C114" s="23" t="s">
        <v>272</v>
      </c>
      <c r="D114" s="24" t="s">
        <v>273</v>
      </c>
      <c r="E114" s="122">
        <v>200</v>
      </c>
      <c r="F114" s="23" t="s">
        <v>7</v>
      </c>
      <c r="G114" s="23"/>
      <c r="H114" s="115">
        <f t="shared" si="8"/>
        <v>0</v>
      </c>
      <c r="I114" s="23"/>
      <c r="J114" s="113">
        <f t="shared" si="9"/>
        <v>0</v>
      </c>
      <c r="K114" s="23"/>
      <c r="L114" s="115"/>
      <c r="M114" s="23"/>
      <c r="N114" s="113">
        <f t="shared" si="10"/>
        <v>0</v>
      </c>
      <c r="O114" s="23"/>
      <c r="P114" s="113">
        <f t="shared" si="11"/>
        <v>0</v>
      </c>
      <c r="Q114" s="23"/>
      <c r="R114" s="113">
        <f t="shared" si="12"/>
        <v>0</v>
      </c>
      <c r="S114" s="125">
        <f t="shared" si="13"/>
        <v>0</v>
      </c>
      <c r="T114" s="35">
        <v>72.48</v>
      </c>
      <c r="U114" s="107">
        <f t="shared" si="7"/>
        <v>0</v>
      </c>
    </row>
    <row r="115" spans="1:21" hidden="1" x14ac:dyDescent="0.25">
      <c r="A115" s="21">
        <v>113</v>
      </c>
      <c r="B115" s="21" t="s">
        <v>91</v>
      </c>
      <c r="C115" s="21" t="s">
        <v>274</v>
      </c>
      <c r="D115" s="22" t="s">
        <v>275</v>
      </c>
      <c r="E115" s="121">
        <v>275</v>
      </c>
      <c r="F115" s="21" t="s">
        <v>7</v>
      </c>
      <c r="G115" s="21"/>
      <c r="H115" s="113">
        <f t="shared" si="8"/>
        <v>0</v>
      </c>
      <c r="I115" s="21"/>
      <c r="J115" s="113">
        <f t="shared" si="9"/>
        <v>0</v>
      </c>
      <c r="K115" s="21"/>
      <c r="L115" s="113"/>
      <c r="M115" s="21"/>
      <c r="N115" s="113">
        <f t="shared" si="10"/>
        <v>0</v>
      </c>
      <c r="O115" s="21"/>
      <c r="P115" s="113">
        <f t="shared" si="11"/>
        <v>0</v>
      </c>
      <c r="Q115" s="21"/>
      <c r="R115" s="113">
        <f t="shared" si="12"/>
        <v>0</v>
      </c>
      <c r="S115" s="125">
        <f t="shared" si="13"/>
        <v>0</v>
      </c>
      <c r="T115" s="35">
        <v>93</v>
      </c>
      <c r="U115" s="107">
        <f t="shared" si="7"/>
        <v>0</v>
      </c>
    </row>
    <row r="116" spans="1:21" hidden="1" x14ac:dyDescent="0.25">
      <c r="A116" s="23">
        <v>114</v>
      </c>
      <c r="B116" s="23" t="s">
        <v>91</v>
      </c>
      <c r="C116" s="23" t="s">
        <v>276</v>
      </c>
      <c r="D116" s="24" t="s">
        <v>277</v>
      </c>
      <c r="E116" s="122">
        <v>675</v>
      </c>
      <c r="F116" s="23" t="s">
        <v>7</v>
      </c>
      <c r="G116" s="23"/>
      <c r="H116" s="115">
        <f t="shared" si="8"/>
        <v>0</v>
      </c>
      <c r="I116" s="23"/>
      <c r="J116" s="113">
        <f t="shared" si="9"/>
        <v>0</v>
      </c>
      <c r="K116" s="23"/>
      <c r="L116" s="115"/>
      <c r="M116" s="23"/>
      <c r="N116" s="113">
        <f t="shared" si="10"/>
        <v>0</v>
      </c>
      <c r="O116" s="23"/>
      <c r="P116" s="113">
        <f t="shared" si="11"/>
        <v>0</v>
      </c>
      <c r="Q116" s="23"/>
      <c r="R116" s="113">
        <f t="shared" si="12"/>
        <v>0</v>
      </c>
      <c r="S116" s="125">
        <f t="shared" si="13"/>
        <v>0</v>
      </c>
      <c r="T116" s="35">
        <v>93</v>
      </c>
      <c r="U116" s="107">
        <f t="shared" si="7"/>
        <v>0</v>
      </c>
    </row>
    <row r="117" spans="1:21" hidden="1" x14ac:dyDescent="0.25">
      <c r="A117" s="21">
        <v>115</v>
      </c>
      <c r="B117" s="21" t="s">
        <v>91</v>
      </c>
      <c r="C117" s="21" t="s">
        <v>278</v>
      </c>
      <c r="D117" s="22" t="s">
        <v>279</v>
      </c>
      <c r="E117" s="121">
        <v>585</v>
      </c>
      <c r="F117" s="21" t="s">
        <v>7</v>
      </c>
      <c r="G117" s="21"/>
      <c r="H117" s="113">
        <f t="shared" si="8"/>
        <v>0</v>
      </c>
      <c r="I117" s="21"/>
      <c r="J117" s="113">
        <f t="shared" si="9"/>
        <v>0</v>
      </c>
      <c r="K117" s="21"/>
      <c r="L117" s="113"/>
      <c r="M117" s="21"/>
      <c r="N117" s="113">
        <f t="shared" si="10"/>
        <v>0</v>
      </c>
      <c r="O117" s="21"/>
      <c r="P117" s="113">
        <f t="shared" si="11"/>
        <v>0</v>
      </c>
      <c r="Q117" s="21"/>
      <c r="R117" s="113">
        <f t="shared" si="12"/>
        <v>0</v>
      </c>
      <c r="S117" s="125">
        <f t="shared" si="13"/>
        <v>0</v>
      </c>
      <c r="T117" s="35">
        <v>93</v>
      </c>
      <c r="U117" s="107">
        <f t="shared" si="7"/>
        <v>0</v>
      </c>
    </row>
    <row r="118" spans="1:21" hidden="1" x14ac:dyDescent="0.25">
      <c r="A118" s="23">
        <v>116</v>
      </c>
      <c r="B118" s="23" t="s">
        <v>91</v>
      </c>
      <c r="C118" s="23" t="s">
        <v>280</v>
      </c>
      <c r="D118" s="24" t="s">
        <v>281</v>
      </c>
      <c r="E118" s="122">
        <v>685</v>
      </c>
      <c r="F118" s="23" t="s">
        <v>7</v>
      </c>
      <c r="G118" s="23"/>
      <c r="H118" s="115">
        <f t="shared" si="8"/>
        <v>0</v>
      </c>
      <c r="I118" s="23"/>
      <c r="J118" s="113">
        <f t="shared" si="9"/>
        <v>0</v>
      </c>
      <c r="K118" s="23"/>
      <c r="L118" s="115"/>
      <c r="M118" s="23"/>
      <c r="N118" s="113">
        <f t="shared" si="10"/>
        <v>0</v>
      </c>
      <c r="O118" s="23"/>
      <c r="P118" s="113">
        <f t="shared" si="11"/>
        <v>0</v>
      </c>
      <c r="Q118" s="23"/>
      <c r="R118" s="113">
        <f t="shared" si="12"/>
        <v>0</v>
      </c>
      <c r="S118" s="125">
        <f t="shared" si="13"/>
        <v>0</v>
      </c>
      <c r="T118" s="35">
        <v>93</v>
      </c>
      <c r="U118" s="107">
        <f t="shared" si="7"/>
        <v>0</v>
      </c>
    </row>
    <row r="119" spans="1:21" hidden="1" x14ac:dyDescent="0.25">
      <c r="A119" s="21">
        <v>117</v>
      </c>
      <c r="B119" s="21" t="s">
        <v>91</v>
      </c>
      <c r="C119" s="21" t="s">
        <v>282</v>
      </c>
      <c r="D119" s="22" t="s">
        <v>283</v>
      </c>
      <c r="E119" s="121">
        <v>420</v>
      </c>
      <c r="F119" s="21" t="s">
        <v>7</v>
      </c>
      <c r="G119" s="21"/>
      <c r="H119" s="113">
        <f t="shared" si="8"/>
        <v>0</v>
      </c>
      <c r="I119" s="21"/>
      <c r="J119" s="113">
        <f t="shared" si="9"/>
        <v>0</v>
      </c>
      <c r="K119" s="21"/>
      <c r="L119" s="113"/>
      <c r="M119" s="21"/>
      <c r="N119" s="113">
        <f t="shared" si="10"/>
        <v>0</v>
      </c>
      <c r="O119" s="21"/>
      <c r="P119" s="113">
        <f t="shared" si="11"/>
        <v>0</v>
      </c>
      <c r="Q119" s="21"/>
      <c r="R119" s="113">
        <f t="shared" si="12"/>
        <v>0</v>
      </c>
      <c r="S119" s="125">
        <f t="shared" si="13"/>
        <v>0</v>
      </c>
      <c r="T119" s="35">
        <v>93</v>
      </c>
      <c r="U119" s="107">
        <f t="shared" si="7"/>
        <v>0</v>
      </c>
    </row>
    <row r="120" spans="1:21" hidden="1" x14ac:dyDescent="0.25">
      <c r="A120" s="23">
        <v>118</v>
      </c>
      <c r="B120" s="23" t="s">
        <v>91</v>
      </c>
      <c r="C120" s="23" t="s">
        <v>284</v>
      </c>
      <c r="D120" s="24" t="s">
        <v>285</v>
      </c>
      <c r="E120" s="122">
        <v>400</v>
      </c>
      <c r="F120" s="23" t="s">
        <v>7</v>
      </c>
      <c r="G120" s="23"/>
      <c r="H120" s="115">
        <f t="shared" si="8"/>
        <v>0</v>
      </c>
      <c r="I120" s="23"/>
      <c r="J120" s="113">
        <f t="shared" si="9"/>
        <v>0</v>
      </c>
      <c r="K120" s="23"/>
      <c r="L120" s="115"/>
      <c r="M120" s="23"/>
      <c r="N120" s="113">
        <f t="shared" si="10"/>
        <v>0</v>
      </c>
      <c r="O120" s="23"/>
      <c r="P120" s="113">
        <f t="shared" si="11"/>
        <v>0</v>
      </c>
      <c r="Q120" s="23"/>
      <c r="R120" s="113">
        <f t="shared" si="12"/>
        <v>0</v>
      </c>
      <c r="S120" s="125">
        <f t="shared" si="13"/>
        <v>0</v>
      </c>
      <c r="T120" s="35">
        <v>93</v>
      </c>
      <c r="U120" s="107">
        <f t="shared" si="7"/>
        <v>0</v>
      </c>
    </row>
    <row r="121" spans="1:21" hidden="1" x14ac:dyDescent="0.25">
      <c r="A121" s="21">
        <v>119</v>
      </c>
      <c r="B121" s="21" t="s">
        <v>91</v>
      </c>
      <c r="C121" s="21" t="s">
        <v>286</v>
      </c>
      <c r="D121" s="22" t="s">
        <v>287</v>
      </c>
      <c r="E121" s="121">
        <v>200</v>
      </c>
      <c r="F121" s="21" t="s">
        <v>7</v>
      </c>
      <c r="G121" s="21"/>
      <c r="H121" s="113">
        <f t="shared" si="8"/>
        <v>0</v>
      </c>
      <c r="I121" s="21"/>
      <c r="J121" s="113">
        <f t="shared" si="9"/>
        <v>0</v>
      </c>
      <c r="K121" s="21"/>
      <c r="L121" s="113"/>
      <c r="M121" s="21"/>
      <c r="N121" s="113">
        <f t="shared" si="10"/>
        <v>0</v>
      </c>
      <c r="O121" s="21"/>
      <c r="P121" s="113">
        <f t="shared" si="11"/>
        <v>0</v>
      </c>
      <c r="Q121" s="21"/>
      <c r="R121" s="113">
        <f t="shared" si="12"/>
        <v>0</v>
      </c>
      <c r="S121" s="125">
        <f t="shared" si="13"/>
        <v>0</v>
      </c>
      <c r="T121" s="35">
        <v>93</v>
      </c>
      <c r="U121" s="107">
        <f t="shared" si="7"/>
        <v>0</v>
      </c>
    </row>
    <row r="122" spans="1:21" hidden="1" x14ac:dyDescent="0.25">
      <c r="A122" s="23">
        <v>120</v>
      </c>
      <c r="B122" s="23" t="s">
        <v>91</v>
      </c>
      <c r="C122" s="23" t="s">
        <v>288</v>
      </c>
      <c r="D122" s="24" t="s">
        <v>289</v>
      </c>
      <c r="E122" s="122">
        <v>200</v>
      </c>
      <c r="F122" s="23" t="s">
        <v>7</v>
      </c>
      <c r="G122" s="23"/>
      <c r="H122" s="115">
        <f t="shared" si="8"/>
        <v>0</v>
      </c>
      <c r="I122" s="23"/>
      <c r="J122" s="113">
        <f t="shared" si="9"/>
        <v>0</v>
      </c>
      <c r="K122" s="23"/>
      <c r="L122" s="115"/>
      <c r="M122" s="23"/>
      <c r="N122" s="113">
        <f t="shared" si="10"/>
        <v>0</v>
      </c>
      <c r="O122" s="23"/>
      <c r="P122" s="113">
        <f t="shared" si="11"/>
        <v>0</v>
      </c>
      <c r="Q122" s="23"/>
      <c r="R122" s="113">
        <f t="shared" si="12"/>
        <v>0</v>
      </c>
      <c r="S122" s="125">
        <f t="shared" si="13"/>
        <v>0</v>
      </c>
      <c r="T122" s="35">
        <v>93</v>
      </c>
      <c r="U122" s="107">
        <f t="shared" si="7"/>
        <v>0</v>
      </c>
    </row>
    <row r="123" spans="1:21" ht="28.5" x14ac:dyDescent="0.25">
      <c r="A123" s="21">
        <v>121</v>
      </c>
      <c r="B123" s="21" t="s">
        <v>91</v>
      </c>
      <c r="C123" s="21" t="s">
        <v>46</v>
      </c>
      <c r="D123" s="22" t="s">
        <v>47</v>
      </c>
      <c r="E123" s="121">
        <v>450</v>
      </c>
      <c r="F123" s="21" t="s">
        <v>7</v>
      </c>
      <c r="G123" s="21">
        <v>10</v>
      </c>
      <c r="H123" s="113">
        <f t="shared" si="8"/>
        <v>930</v>
      </c>
      <c r="I123" s="21"/>
      <c r="J123" s="113">
        <f t="shared" si="9"/>
        <v>0</v>
      </c>
      <c r="K123" s="21"/>
      <c r="L123" s="113"/>
      <c r="M123" s="21"/>
      <c r="N123" s="113">
        <f t="shared" si="10"/>
        <v>0</v>
      </c>
      <c r="O123" s="21"/>
      <c r="P123" s="113">
        <f t="shared" si="11"/>
        <v>0</v>
      </c>
      <c r="Q123" s="21"/>
      <c r="R123" s="113">
        <f t="shared" si="12"/>
        <v>0</v>
      </c>
      <c r="S123" s="125">
        <f t="shared" si="13"/>
        <v>10</v>
      </c>
      <c r="T123" s="35">
        <v>93</v>
      </c>
      <c r="U123" s="107">
        <f t="shared" si="7"/>
        <v>930</v>
      </c>
    </row>
    <row r="124" spans="1:21" ht="42.75" x14ac:dyDescent="0.25">
      <c r="A124" s="23">
        <v>122</v>
      </c>
      <c r="B124" s="23" t="s">
        <v>91</v>
      </c>
      <c r="C124" s="23" t="s">
        <v>48</v>
      </c>
      <c r="D124" s="24" t="s">
        <v>49</v>
      </c>
      <c r="E124" s="122">
        <v>240</v>
      </c>
      <c r="F124" s="23" t="s">
        <v>7</v>
      </c>
      <c r="G124" s="23">
        <v>10</v>
      </c>
      <c r="H124" s="115">
        <f t="shared" si="8"/>
        <v>930</v>
      </c>
      <c r="I124" s="23"/>
      <c r="J124" s="113">
        <f t="shared" si="9"/>
        <v>0</v>
      </c>
      <c r="K124" s="23"/>
      <c r="L124" s="115"/>
      <c r="M124" s="23"/>
      <c r="N124" s="113">
        <f t="shared" si="10"/>
        <v>0</v>
      </c>
      <c r="O124" s="23"/>
      <c r="P124" s="113">
        <f t="shared" si="11"/>
        <v>0</v>
      </c>
      <c r="Q124" s="23"/>
      <c r="R124" s="113">
        <f t="shared" si="12"/>
        <v>0</v>
      </c>
      <c r="S124" s="125">
        <f t="shared" si="13"/>
        <v>10</v>
      </c>
      <c r="T124" s="35">
        <v>93</v>
      </c>
      <c r="U124" s="107">
        <f t="shared" si="7"/>
        <v>930</v>
      </c>
    </row>
    <row r="125" spans="1:21" ht="28.5" hidden="1" x14ac:dyDescent="0.25">
      <c r="A125" s="21">
        <v>123</v>
      </c>
      <c r="B125" s="21" t="s">
        <v>91</v>
      </c>
      <c r="C125" s="21" t="s">
        <v>290</v>
      </c>
      <c r="D125" s="22" t="s">
        <v>291</v>
      </c>
      <c r="E125" s="121">
        <v>84</v>
      </c>
      <c r="F125" s="21" t="s">
        <v>7</v>
      </c>
      <c r="G125" s="21"/>
      <c r="H125" s="113">
        <f t="shared" si="8"/>
        <v>0</v>
      </c>
      <c r="I125" s="21"/>
      <c r="J125" s="113">
        <f t="shared" si="9"/>
        <v>0</v>
      </c>
      <c r="K125" s="21"/>
      <c r="L125" s="113"/>
      <c r="M125" s="21"/>
      <c r="N125" s="113">
        <f t="shared" si="10"/>
        <v>0</v>
      </c>
      <c r="O125" s="21"/>
      <c r="P125" s="113">
        <f t="shared" si="11"/>
        <v>0</v>
      </c>
      <c r="Q125" s="21"/>
      <c r="R125" s="113">
        <f t="shared" si="12"/>
        <v>0</v>
      </c>
      <c r="S125" s="125">
        <f t="shared" si="13"/>
        <v>0</v>
      </c>
      <c r="T125" s="35">
        <v>91</v>
      </c>
      <c r="U125" s="107">
        <f t="shared" si="7"/>
        <v>0</v>
      </c>
    </row>
    <row r="126" spans="1:21" ht="28.5" hidden="1" x14ac:dyDescent="0.25">
      <c r="A126" s="23">
        <v>124</v>
      </c>
      <c r="B126" s="23" t="s">
        <v>91</v>
      </c>
      <c r="C126" s="23" t="s">
        <v>292</v>
      </c>
      <c r="D126" s="24" t="s">
        <v>293</v>
      </c>
      <c r="E126" s="122">
        <v>7</v>
      </c>
      <c r="F126" s="23" t="s">
        <v>7</v>
      </c>
      <c r="G126" s="23"/>
      <c r="H126" s="115">
        <f t="shared" si="8"/>
        <v>0</v>
      </c>
      <c r="I126" s="23"/>
      <c r="J126" s="113">
        <f t="shared" si="9"/>
        <v>0</v>
      </c>
      <c r="K126" s="23"/>
      <c r="L126" s="115"/>
      <c r="M126" s="23"/>
      <c r="N126" s="113">
        <f t="shared" si="10"/>
        <v>0</v>
      </c>
      <c r="O126" s="23"/>
      <c r="P126" s="113">
        <f t="shared" si="11"/>
        <v>0</v>
      </c>
      <c r="Q126" s="23"/>
      <c r="R126" s="113">
        <f t="shared" si="12"/>
        <v>0</v>
      </c>
      <c r="S126" s="125">
        <f t="shared" si="13"/>
        <v>0</v>
      </c>
      <c r="T126" s="35"/>
      <c r="U126" s="107">
        <f t="shared" si="7"/>
        <v>0</v>
      </c>
    </row>
    <row r="127" spans="1:21" ht="28.5" hidden="1" x14ac:dyDescent="0.25">
      <c r="A127" s="21">
        <v>125</v>
      </c>
      <c r="B127" s="21" t="s">
        <v>91</v>
      </c>
      <c r="C127" s="21" t="s">
        <v>294</v>
      </c>
      <c r="D127" s="22" t="s">
        <v>295</v>
      </c>
      <c r="E127" s="121">
        <v>13</v>
      </c>
      <c r="F127" s="21" t="s">
        <v>7</v>
      </c>
      <c r="G127" s="21"/>
      <c r="H127" s="113">
        <f t="shared" si="8"/>
        <v>0</v>
      </c>
      <c r="I127" s="21"/>
      <c r="J127" s="113">
        <f t="shared" si="9"/>
        <v>0</v>
      </c>
      <c r="K127" s="21"/>
      <c r="L127" s="113"/>
      <c r="M127" s="21"/>
      <c r="N127" s="113">
        <f t="shared" si="10"/>
        <v>0</v>
      </c>
      <c r="O127" s="21"/>
      <c r="P127" s="113">
        <f t="shared" si="11"/>
        <v>0</v>
      </c>
      <c r="Q127" s="21"/>
      <c r="R127" s="113">
        <f t="shared" si="12"/>
        <v>0</v>
      </c>
      <c r="S127" s="125">
        <f t="shared" si="13"/>
        <v>0</v>
      </c>
      <c r="T127" s="35">
        <v>91</v>
      </c>
      <c r="U127" s="107">
        <f t="shared" si="7"/>
        <v>0</v>
      </c>
    </row>
    <row r="128" spans="1:21" hidden="1" x14ac:dyDescent="0.25">
      <c r="A128" s="23">
        <v>126</v>
      </c>
      <c r="B128" s="23" t="s">
        <v>91</v>
      </c>
      <c r="C128" s="23" t="s">
        <v>296</v>
      </c>
      <c r="D128" s="24" t="s">
        <v>297</v>
      </c>
      <c r="E128" s="122">
        <v>10510</v>
      </c>
      <c r="F128" s="23" t="s">
        <v>7</v>
      </c>
      <c r="G128" s="23"/>
      <c r="H128" s="115">
        <f t="shared" si="8"/>
        <v>0</v>
      </c>
      <c r="I128" s="23"/>
      <c r="J128" s="113">
        <f t="shared" si="9"/>
        <v>0</v>
      </c>
      <c r="K128" s="23"/>
      <c r="L128" s="115"/>
      <c r="M128" s="23"/>
      <c r="N128" s="113">
        <f t="shared" si="10"/>
        <v>0</v>
      </c>
      <c r="O128" s="23"/>
      <c r="P128" s="113">
        <f t="shared" si="11"/>
        <v>0</v>
      </c>
      <c r="Q128" s="23"/>
      <c r="R128" s="113">
        <f t="shared" si="12"/>
        <v>0</v>
      </c>
      <c r="S128" s="125">
        <f t="shared" si="13"/>
        <v>0</v>
      </c>
      <c r="T128" s="35">
        <v>100</v>
      </c>
      <c r="U128" s="107">
        <f t="shared" si="7"/>
        <v>0</v>
      </c>
    </row>
    <row r="129" spans="1:21" x14ac:dyDescent="0.25">
      <c r="A129" s="21">
        <v>127</v>
      </c>
      <c r="B129" s="21" t="s">
        <v>91</v>
      </c>
      <c r="C129" s="21" t="s">
        <v>50</v>
      </c>
      <c r="D129" s="22" t="s">
        <v>51</v>
      </c>
      <c r="E129" s="121">
        <v>500</v>
      </c>
      <c r="F129" s="21" t="s">
        <v>7</v>
      </c>
      <c r="G129" s="21">
        <v>100</v>
      </c>
      <c r="H129" s="113">
        <f t="shared" si="8"/>
        <v>10000</v>
      </c>
      <c r="I129" s="21"/>
      <c r="J129" s="113">
        <f t="shared" si="9"/>
        <v>0</v>
      </c>
      <c r="K129" s="21"/>
      <c r="L129" s="113"/>
      <c r="M129" s="21"/>
      <c r="N129" s="113">
        <f t="shared" si="10"/>
        <v>0</v>
      </c>
      <c r="O129" s="21"/>
      <c r="P129" s="113">
        <f t="shared" si="11"/>
        <v>0</v>
      </c>
      <c r="Q129" s="21"/>
      <c r="R129" s="113">
        <f t="shared" si="12"/>
        <v>0</v>
      </c>
      <c r="S129" s="125">
        <f t="shared" si="13"/>
        <v>100</v>
      </c>
      <c r="T129" s="35">
        <v>100</v>
      </c>
      <c r="U129" s="107">
        <f t="shared" si="7"/>
        <v>10000</v>
      </c>
    </row>
    <row r="130" spans="1:21" hidden="1" x14ac:dyDescent="0.25">
      <c r="A130" s="23">
        <v>128</v>
      </c>
      <c r="B130" s="23" t="s">
        <v>91</v>
      </c>
      <c r="C130" s="23" t="s">
        <v>298</v>
      </c>
      <c r="D130" s="24" t="s">
        <v>299</v>
      </c>
      <c r="E130" s="122">
        <v>6010</v>
      </c>
      <c r="F130" s="23" t="s">
        <v>7</v>
      </c>
      <c r="G130" s="23"/>
      <c r="H130" s="115">
        <f t="shared" si="8"/>
        <v>0</v>
      </c>
      <c r="I130" s="23"/>
      <c r="J130" s="113">
        <f t="shared" si="9"/>
        <v>0</v>
      </c>
      <c r="K130" s="23"/>
      <c r="L130" s="115"/>
      <c r="M130" s="23"/>
      <c r="N130" s="113">
        <f t="shared" si="10"/>
        <v>0</v>
      </c>
      <c r="O130" s="23"/>
      <c r="P130" s="113">
        <f t="shared" si="11"/>
        <v>0</v>
      </c>
      <c r="Q130" s="23"/>
      <c r="R130" s="113">
        <f t="shared" si="12"/>
        <v>0</v>
      </c>
      <c r="S130" s="125">
        <f t="shared" si="13"/>
        <v>0</v>
      </c>
      <c r="T130" s="35">
        <v>93</v>
      </c>
      <c r="U130" s="107">
        <f t="shared" si="7"/>
        <v>0</v>
      </c>
    </row>
    <row r="131" spans="1:21" hidden="1" x14ac:dyDescent="0.25">
      <c r="A131" s="21">
        <v>129</v>
      </c>
      <c r="B131" s="21" t="s">
        <v>91</v>
      </c>
      <c r="C131" s="21" t="s">
        <v>300</v>
      </c>
      <c r="D131" s="22" t="s">
        <v>301</v>
      </c>
      <c r="E131" s="121">
        <v>4</v>
      </c>
      <c r="F131" s="21" t="s">
        <v>7</v>
      </c>
      <c r="G131" s="21"/>
      <c r="H131" s="113">
        <f t="shared" si="8"/>
        <v>0</v>
      </c>
      <c r="I131" s="21"/>
      <c r="J131" s="113">
        <f t="shared" si="9"/>
        <v>0</v>
      </c>
      <c r="K131" s="21"/>
      <c r="L131" s="113"/>
      <c r="M131" s="21"/>
      <c r="N131" s="113">
        <f t="shared" si="10"/>
        <v>0</v>
      </c>
      <c r="O131" s="21"/>
      <c r="P131" s="113">
        <f t="shared" si="11"/>
        <v>0</v>
      </c>
      <c r="Q131" s="21"/>
      <c r="R131" s="113">
        <f t="shared" si="12"/>
        <v>0</v>
      </c>
      <c r="S131" s="125">
        <f t="shared" si="13"/>
        <v>0</v>
      </c>
      <c r="T131" s="35">
        <v>91</v>
      </c>
      <c r="U131" s="107">
        <f t="shared" si="7"/>
        <v>0</v>
      </c>
    </row>
    <row r="132" spans="1:21" ht="28.5" x14ac:dyDescent="0.25">
      <c r="A132" s="23">
        <v>130</v>
      </c>
      <c r="B132" s="23" t="s">
        <v>91</v>
      </c>
      <c r="C132" s="23" t="s">
        <v>52</v>
      </c>
      <c r="D132" s="24" t="s">
        <v>53</v>
      </c>
      <c r="E132" s="122">
        <v>1960</v>
      </c>
      <c r="F132" s="23" t="s">
        <v>7</v>
      </c>
      <c r="G132" s="23">
        <v>300</v>
      </c>
      <c r="H132" s="115">
        <f t="shared" si="8"/>
        <v>27900</v>
      </c>
      <c r="I132" s="23"/>
      <c r="J132" s="113">
        <f t="shared" si="9"/>
        <v>0</v>
      </c>
      <c r="K132" s="23"/>
      <c r="L132" s="115"/>
      <c r="M132" s="23"/>
      <c r="N132" s="113">
        <f t="shared" si="10"/>
        <v>0</v>
      </c>
      <c r="O132" s="23"/>
      <c r="P132" s="113">
        <f t="shared" si="11"/>
        <v>0</v>
      </c>
      <c r="Q132" s="23"/>
      <c r="R132" s="113">
        <f t="shared" si="12"/>
        <v>0</v>
      </c>
      <c r="S132" s="125">
        <f t="shared" si="13"/>
        <v>300</v>
      </c>
      <c r="T132" s="35">
        <v>93</v>
      </c>
      <c r="U132" s="107">
        <f t="shared" ref="U132:U135" si="14">+S132*T132</f>
        <v>27900</v>
      </c>
    </row>
    <row r="133" spans="1:21" ht="28.5" x14ac:dyDescent="0.25">
      <c r="A133" s="21">
        <v>131</v>
      </c>
      <c r="B133" s="21" t="s">
        <v>91</v>
      </c>
      <c r="C133" s="21" t="s">
        <v>54</v>
      </c>
      <c r="D133" s="22" t="s">
        <v>55</v>
      </c>
      <c r="E133" s="121">
        <v>1300</v>
      </c>
      <c r="F133" s="21" t="s">
        <v>7</v>
      </c>
      <c r="G133" s="21">
        <v>500</v>
      </c>
      <c r="H133" s="113">
        <f t="shared" ref="H133:H134" si="15">+G133*T133</f>
        <v>46500</v>
      </c>
      <c r="I133" s="21"/>
      <c r="J133" s="113">
        <f t="shared" ref="J133:J134" si="16">+I133*T133</f>
        <v>0</v>
      </c>
      <c r="K133" s="21"/>
      <c r="L133" s="113"/>
      <c r="M133" s="21"/>
      <c r="N133" s="113">
        <f t="shared" ref="N133:N134" si="17">+M133*T133</f>
        <v>0</v>
      </c>
      <c r="O133" s="21"/>
      <c r="P133" s="113">
        <f t="shared" ref="P133:P134" si="18">+O133*T133</f>
        <v>0</v>
      </c>
      <c r="Q133" s="21"/>
      <c r="R133" s="113">
        <f t="shared" ref="R133:R134" si="19">+Q133*T133</f>
        <v>0</v>
      </c>
      <c r="S133" s="125">
        <f t="shared" ref="S133:S134" si="20">+G133+I133+K133+M133+O133+Q133</f>
        <v>500</v>
      </c>
      <c r="T133" s="35">
        <v>93</v>
      </c>
      <c r="U133" s="107">
        <f t="shared" si="14"/>
        <v>46500</v>
      </c>
    </row>
    <row r="134" spans="1:21" ht="35.450000000000003" customHeight="1" thickBot="1" x14ac:dyDescent="0.3">
      <c r="A134" s="23">
        <v>132</v>
      </c>
      <c r="B134" s="23" t="s">
        <v>91</v>
      </c>
      <c r="C134" s="23" t="s">
        <v>56</v>
      </c>
      <c r="D134" s="24" t="s">
        <v>57</v>
      </c>
      <c r="E134" s="122">
        <v>1000</v>
      </c>
      <c r="F134" s="23" t="s">
        <v>7</v>
      </c>
      <c r="G134" s="23">
        <v>150</v>
      </c>
      <c r="H134" s="115">
        <f t="shared" si="15"/>
        <v>13950</v>
      </c>
      <c r="I134" s="23"/>
      <c r="J134" s="113">
        <f t="shared" si="16"/>
        <v>0</v>
      </c>
      <c r="K134" s="23"/>
      <c r="L134" s="115"/>
      <c r="M134" s="23"/>
      <c r="N134" s="113">
        <f t="shared" si="17"/>
        <v>0</v>
      </c>
      <c r="O134" s="23"/>
      <c r="P134" s="113">
        <f t="shared" si="18"/>
        <v>0</v>
      </c>
      <c r="Q134" s="23"/>
      <c r="R134" s="113">
        <f t="shared" si="19"/>
        <v>0</v>
      </c>
      <c r="S134" s="125">
        <f t="shared" si="20"/>
        <v>150</v>
      </c>
      <c r="T134" s="35">
        <v>93</v>
      </c>
      <c r="U134" s="107">
        <f t="shared" si="14"/>
        <v>13950</v>
      </c>
    </row>
    <row r="135" spans="1:21" ht="29.25" hidden="1" thickBot="1" x14ac:dyDescent="0.3">
      <c r="A135" s="108">
        <v>133</v>
      </c>
      <c r="B135" s="108" t="s">
        <v>302</v>
      </c>
      <c r="C135" s="108" t="s">
        <v>303</v>
      </c>
      <c r="D135" s="109" t="s">
        <v>304</v>
      </c>
      <c r="E135" s="123">
        <v>1050</v>
      </c>
      <c r="F135" s="108" t="s">
        <v>7</v>
      </c>
      <c r="G135" s="108"/>
      <c r="H135" s="116"/>
      <c r="I135" s="108"/>
      <c r="J135" s="116"/>
      <c r="K135" s="108"/>
      <c r="L135" s="116"/>
      <c r="M135" s="108"/>
      <c r="N135" s="116"/>
      <c r="O135" s="108"/>
      <c r="P135" s="116"/>
      <c r="Q135" s="108"/>
      <c r="R135" s="116"/>
      <c r="S135" s="126">
        <f t="shared" ref="S135" si="21">SUM(G135:Q135)</f>
        <v>0</v>
      </c>
      <c r="T135" s="110">
        <v>91</v>
      </c>
      <c r="U135" s="111">
        <f t="shared" si="14"/>
        <v>0</v>
      </c>
    </row>
    <row r="136" spans="1:21" ht="15.75" thickBot="1" x14ac:dyDescent="0.3">
      <c r="A136" s="133" t="s">
        <v>361</v>
      </c>
      <c r="B136" s="134"/>
      <c r="C136" s="134"/>
      <c r="D136" s="134"/>
      <c r="E136" s="134"/>
      <c r="F136" s="134"/>
      <c r="G136" s="117"/>
      <c r="H136" s="118">
        <f>SUM(H3:H135)</f>
        <v>5262190</v>
      </c>
      <c r="I136" s="117"/>
      <c r="J136" s="118">
        <f>SUM(J3:J135)</f>
        <v>177330</v>
      </c>
      <c r="K136" s="117"/>
      <c r="L136" s="117"/>
      <c r="M136" s="117"/>
      <c r="N136" s="118">
        <f>SUM(N3:N135)</f>
        <v>0</v>
      </c>
      <c r="O136" s="117"/>
      <c r="P136" s="118">
        <f>SUM(P3:P135)</f>
        <v>142590</v>
      </c>
      <c r="Q136" s="117"/>
      <c r="R136" s="118">
        <f>SUM(R3:R135)</f>
        <v>441492</v>
      </c>
      <c r="S136" s="127"/>
      <c r="T136" s="117"/>
      <c r="U136" s="112">
        <f>SUM(U3:U135)</f>
        <v>6023602</v>
      </c>
    </row>
  </sheetData>
  <mergeCells count="2">
    <mergeCell ref="A1:D1"/>
    <mergeCell ref="A136:F136"/>
  </mergeCells>
  <pageMargins left="0.7" right="0.7" top="0.75" bottom="0.75" header="0.3" footer="0.3"/>
  <pageSetup paperSize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1" sqref="K1"/>
    </sheetView>
  </sheetViews>
  <sheetFormatPr baseColWidth="10" defaultRowHeight="15" x14ac:dyDescent="0.25"/>
  <cols>
    <col min="1" max="1" width="5.5703125" customWidth="1"/>
    <col min="2" max="2" width="15.140625" style="12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1.140625" customWidth="1"/>
    <col min="8" max="8" width="9.28515625" customWidth="1"/>
    <col min="9" max="9" width="15.5703125" customWidth="1"/>
    <col min="10" max="10" width="14.7109375" style="28" customWidth="1"/>
    <col min="11" max="11" width="15.5703125" customWidth="1"/>
  </cols>
  <sheetData>
    <row r="1" spans="1:11" ht="30.75" thickBot="1" x14ac:dyDescent="0.3">
      <c r="A1" s="139" t="s">
        <v>314</v>
      </c>
      <c r="B1" s="139"/>
      <c r="C1" s="139"/>
      <c r="D1" s="139"/>
      <c r="E1" s="139"/>
      <c r="F1" s="139"/>
      <c r="G1" s="139"/>
      <c r="H1" s="139"/>
      <c r="I1" s="139"/>
      <c r="J1" s="100" t="s">
        <v>95</v>
      </c>
      <c r="K1" s="36" t="s">
        <v>385</v>
      </c>
    </row>
    <row r="2" spans="1:11" ht="16.5" thickBot="1" x14ac:dyDescent="0.3">
      <c r="A2" s="37"/>
      <c r="B2" s="95"/>
      <c r="C2" s="38"/>
      <c r="D2" s="39"/>
      <c r="E2" s="39"/>
      <c r="F2" s="39"/>
      <c r="G2" s="39"/>
      <c r="H2" s="39"/>
      <c r="I2" s="39"/>
      <c r="J2" s="101"/>
      <c r="K2" s="40"/>
    </row>
    <row r="3" spans="1:11" ht="16.149999999999999" customHeight="1" thickBot="1" x14ac:dyDescent="0.3">
      <c r="A3" s="135" t="s">
        <v>315</v>
      </c>
      <c r="B3" s="135"/>
      <c r="C3" s="135"/>
      <c r="D3" s="88" t="s">
        <v>328</v>
      </c>
      <c r="E3" s="89"/>
      <c r="F3" s="89"/>
      <c r="G3" s="89"/>
      <c r="H3" s="89"/>
      <c r="I3" s="89"/>
      <c r="J3" s="102"/>
      <c r="K3" s="90"/>
    </row>
    <row r="4" spans="1:11" ht="16.149999999999999" customHeight="1" thickBot="1" x14ac:dyDescent="0.3">
      <c r="A4" s="136" t="s">
        <v>316</v>
      </c>
      <c r="B4" s="136"/>
      <c r="C4" s="136"/>
      <c r="D4" s="88" t="s">
        <v>329</v>
      </c>
      <c r="E4" s="89"/>
      <c r="F4" s="89"/>
      <c r="G4" s="89"/>
      <c r="H4" s="89"/>
      <c r="I4" s="89"/>
      <c r="J4" s="102"/>
      <c r="K4" s="90"/>
    </row>
    <row r="5" spans="1:11" ht="16.5" thickBot="1" x14ac:dyDescent="0.3">
      <c r="A5" s="136" t="s">
        <v>317</v>
      </c>
      <c r="B5" s="136"/>
      <c r="C5" s="136"/>
      <c r="D5" s="88" t="s">
        <v>357</v>
      </c>
      <c r="E5" s="89"/>
      <c r="F5" s="89"/>
      <c r="G5" s="89"/>
      <c r="H5" s="89"/>
      <c r="I5" s="89"/>
      <c r="J5" s="102"/>
      <c r="K5" s="90"/>
    </row>
    <row r="6" spans="1:11" ht="16.5" thickBot="1" x14ac:dyDescent="0.3">
      <c r="A6" s="135" t="s">
        <v>318</v>
      </c>
      <c r="B6" s="135"/>
      <c r="C6" s="135"/>
      <c r="D6" s="88" t="s">
        <v>357</v>
      </c>
      <c r="E6" s="89"/>
      <c r="F6" s="89"/>
      <c r="G6" s="89"/>
      <c r="H6" s="89"/>
      <c r="I6" s="89"/>
      <c r="J6" s="102"/>
      <c r="K6" s="90"/>
    </row>
    <row r="7" spans="1:11" ht="16.5" thickBot="1" x14ac:dyDescent="0.3">
      <c r="A7" s="136" t="s">
        <v>319</v>
      </c>
      <c r="B7" s="136"/>
      <c r="C7" s="136"/>
      <c r="D7" s="88" t="s">
        <v>330</v>
      </c>
      <c r="E7" s="89"/>
      <c r="F7" s="89"/>
      <c r="G7" s="89"/>
      <c r="H7" s="89"/>
      <c r="I7" s="89"/>
      <c r="J7" s="102"/>
      <c r="K7" s="90"/>
    </row>
    <row r="8" spans="1:11" ht="16.149999999999999" customHeight="1" thickBot="1" x14ac:dyDescent="0.3">
      <c r="A8" s="137" t="s">
        <v>320</v>
      </c>
      <c r="B8" s="137"/>
      <c r="C8" s="138"/>
      <c r="D8" s="88" t="s">
        <v>331</v>
      </c>
      <c r="E8" s="89"/>
      <c r="F8" s="89"/>
      <c r="G8" s="89"/>
      <c r="H8" s="89"/>
      <c r="I8" s="89"/>
      <c r="J8" s="102"/>
      <c r="K8" s="90"/>
    </row>
    <row r="9" spans="1:11" ht="16.5" thickBot="1" x14ac:dyDescent="0.3">
      <c r="A9" s="41"/>
      <c r="B9" s="96"/>
      <c r="C9" s="42"/>
      <c r="D9" s="43"/>
      <c r="E9" s="43"/>
      <c r="F9" s="43"/>
      <c r="G9" s="43"/>
      <c r="H9" s="43"/>
      <c r="I9" s="43"/>
      <c r="J9" s="103"/>
      <c r="K9" s="44"/>
    </row>
    <row r="10" spans="1:11" ht="15.75" thickBot="1" x14ac:dyDescent="0.3">
      <c r="A10" s="145" t="s">
        <v>321</v>
      </c>
      <c r="B10" s="147" t="s">
        <v>322</v>
      </c>
      <c r="C10" s="147" t="s">
        <v>323</v>
      </c>
      <c r="D10" s="147"/>
      <c r="E10" s="147"/>
      <c r="F10" s="147"/>
      <c r="G10" s="147"/>
      <c r="H10" s="147" t="s">
        <v>324</v>
      </c>
      <c r="I10" s="147" t="s">
        <v>325</v>
      </c>
      <c r="J10" s="149" t="s">
        <v>326</v>
      </c>
      <c r="K10" s="140" t="s">
        <v>327</v>
      </c>
    </row>
    <row r="11" spans="1:11" ht="30" customHeight="1" thickBot="1" x14ac:dyDescent="0.3">
      <c r="A11" s="146"/>
      <c r="B11" s="148"/>
      <c r="C11" s="148"/>
      <c r="D11" s="148"/>
      <c r="E11" s="148"/>
      <c r="F11" s="148"/>
      <c r="G11" s="148"/>
      <c r="H11" s="148"/>
      <c r="I11" s="148"/>
      <c r="J11" s="150"/>
      <c r="K11" s="141"/>
    </row>
    <row r="12" spans="1:11" ht="16.149999999999999" customHeight="1" x14ac:dyDescent="0.25">
      <c r="A12" s="91">
        <v>17</v>
      </c>
      <c r="B12" s="98" t="str">
        <f>ACUERDO!C19</f>
        <v>2.9.5-8239.1</v>
      </c>
      <c r="C12" s="151" t="str">
        <f>ACUERDO!D19</f>
        <v>CHATAS; MATERIAL: PVC</v>
      </c>
      <c r="D12" s="152"/>
      <c r="E12" s="152"/>
      <c r="F12" s="152"/>
      <c r="G12" s="153"/>
      <c r="H12" s="92" t="s">
        <v>355</v>
      </c>
      <c r="I12" s="93" t="str">
        <f>ACUERDO!F19</f>
        <v>UNIDAD</v>
      </c>
      <c r="J12" s="105">
        <f>ACUERDO!T19</f>
        <v>93</v>
      </c>
      <c r="K12" s="94">
        <f>ACUERDO!G19</f>
        <v>10</v>
      </c>
    </row>
    <row r="13" spans="1:11" ht="16.149999999999999" customHeight="1" x14ac:dyDescent="0.25">
      <c r="A13" s="91">
        <v>23</v>
      </c>
      <c r="B13" s="98" t="str">
        <f>ACUERDO!C25</f>
        <v>2.9.5-2160.10</v>
      </c>
      <c r="C13" s="142" t="str">
        <f>ACUERDO!D25</f>
        <v>DESCARTADORES DE AGUJAS; BOCA: 2, CAPACIDAD: 2 L, MODELO: P/AGUJAS COLECTA MULTIPLE, MODELO EQUIPO: P/AGUJAS COLECTA MULTIPLE, SISTEMA DE CIERRE: P/AGUJAS COLECTA MULTIPLE</v>
      </c>
      <c r="D13" s="143"/>
      <c r="E13" s="143"/>
      <c r="F13" s="143"/>
      <c r="G13" s="144"/>
      <c r="H13" s="92" t="s">
        <v>355</v>
      </c>
      <c r="I13" s="93" t="str">
        <f>ACUERDO!F25</f>
        <v>UNIDAD</v>
      </c>
      <c r="J13" s="105">
        <f>ACUERDO!T25</f>
        <v>91</v>
      </c>
      <c r="K13" s="94">
        <f>ACUERDO!G25</f>
        <v>100</v>
      </c>
    </row>
    <row r="14" spans="1:11" ht="16.149999999999999" customHeight="1" x14ac:dyDescent="0.25">
      <c r="A14" s="91">
        <v>34</v>
      </c>
      <c r="B14" s="98" t="str">
        <f>ACUERDO!C36</f>
        <v>2.9.5-1909.135</v>
      </c>
      <c r="C14" s="142" t="str">
        <f>ACUERDO!D36</f>
        <v>GUANTES USO MEDICINAL; TIPO: ESTERIL, TAMAÑO: 6 1/2 CAÑA LARGA, MATERIAL: LATEX, PRESENTACION: PAR, ESTERIL: SI, TALCO: SIN, DESCARTABLE: SI</v>
      </c>
      <c r="D14" s="143"/>
      <c r="E14" s="143"/>
      <c r="F14" s="143"/>
      <c r="G14" s="144"/>
      <c r="H14" s="92" t="s">
        <v>355</v>
      </c>
      <c r="I14" s="93" t="str">
        <f>ACUERDO!F36</f>
        <v>UNIDAD</v>
      </c>
      <c r="J14" s="105">
        <f>ACUERDO!T36</f>
        <v>93</v>
      </c>
      <c r="K14" s="94">
        <f>ACUERDO!G36</f>
        <v>1000</v>
      </c>
    </row>
    <row r="15" spans="1:11" ht="16.149999999999999" customHeight="1" x14ac:dyDescent="0.25">
      <c r="A15" s="91">
        <v>40</v>
      </c>
      <c r="B15" s="98" t="str">
        <f>ACUERDO!C42</f>
        <v>2.9.5-1909.79</v>
      </c>
      <c r="C15" s="142" t="str">
        <f>ACUERDO!D42</f>
        <v>GUANTES USO MEDICINAL; TIPO: EXAMINACION , TAMAÑO: MEDIANO, MATERIAL: LATEX, PRESENTACION: ENVASE X 100 UN</v>
      </c>
      <c r="D15" s="143"/>
      <c r="E15" s="143"/>
      <c r="F15" s="143"/>
      <c r="G15" s="144"/>
      <c r="H15" s="92" t="s">
        <v>355</v>
      </c>
      <c r="I15" s="93" t="str">
        <f>ACUERDO!F42</f>
        <v>UNIDAD</v>
      </c>
      <c r="J15" s="105">
        <f>ACUERDO!T42</f>
        <v>93</v>
      </c>
      <c r="K15" s="94">
        <f>ACUERDO!G42</f>
        <v>2000</v>
      </c>
    </row>
    <row r="16" spans="1:11" ht="16.149999999999999" customHeight="1" x14ac:dyDescent="0.25">
      <c r="A16" s="91">
        <v>55</v>
      </c>
      <c r="B16" s="98" t="str">
        <f>ACUERDO!C57</f>
        <v>2.9.5-2157.60</v>
      </c>
      <c r="C16" s="142" t="str">
        <f>ACUERDO!D57</f>
        <v>JERINGAS DESCARTABLES; CAPACIDAD: 10 mL, AGUJA: SIN, USO: MEDICINAL</v>
      </c>
      <c r="D16" s="143"/>
      <c r="E16" s="143"/>
      <c r="F16" s="143"/>
      <c r="G16" s="144"/>
      <c r="H16" s="92" t="s">
        <v>355</v>
      </c>
      <c r="I16" s="93" t="str">
        <f>ACUERDO!F57</f>
        <v>UNIDAD</v>
      </c>
      <c r="J16" s="105">
        <f>ACUERDO!T57</f>
        <v>93</v>
      </c>
      <c r="K16" s="94">
        <f>ACUERDO!G57</f>
        <v>50000</v>
      </c>
    </row>
    <row r="17" spans="1:11" ht="16.149999999999999" customHeight="1" x14ac:dyDescent="0.25">
      <c r="A17" s="91">
        <v>66</v>
      </c>
      <c r="B17" s="98" t="str">
        <f>ACUERDO!C68</f>
        <v>2.9.5-461.78</v>
      </c>
      <c r="C17" s="142" t="str">
        <f>ACUERDO!D68</f>
        <v>VENDAS USO MEDICO; TIPO: OVATA, MEDIDA: 10 Cm</v>
      </c>
      <c r="D17" s="143"/>
      <c r="E17" s="143"/>
      <c r="F17" s="143"/>
      <c r="G17" s="144"/>
      <c r="H17" s="92" t="s">
        <v>355</v>
      </c>
      <c r="I17" s="93" t="str">
        <f>ACUERDO!F68</f>
        <v>UNIDAD</v>
      </c>
      <c r="J17" s="105">
        <f>ACUERDO!T68</f>
        <v>100</v>
      </c>
      <c r="K17" s="94">
        <f>ACUERDO!G68</f>
        <v>100</v>
      </c>
    </row>
    <row r="18" spans="1:11" ht="16.149999999999999" customHeight="1" x14ac:dyDescent="0.25">
      <c r="A18" s="91">
        <v>77</v>
      </c>
      <c r="B18" s="98" t="str">
        <f>ACUERDO!C79</f>
        <v>2.9.5-2205.31</v>
      </c>
      <c r="C18" s="142" t="str">
        <f>ACUERDO!D79</f>
        <v>PROLONGADORES P/GUIA SUERO; USO: ADMINISTRACION DE SOLUCIONES, MODELO: PT26 LONGITUD: 30 CM</v>
      </c>
      <c r="D18" s="143"/>
      <c r="E18" s="143"/>
      <c r="F18" s="143"/>
      <c r="G18" s="144"/>
      <c r="H18" s="92" t="s">
        <v>355</v>
      </c>
      <c r="I18" s="93" t="str">
        <f>ACUERDO!F79</f>
        <v>UNIDAD</v>
      </c>
      <c r="J18" s="105">
        <f>ACUERDO!T79</f>
        <v>93</v>
      </c>
      <c r="K18" s="94">
        <f>ACUERDO!G79</f>
        <v>80</v>
      </c>
    </row>
    <row r="19" spans="1:11" ht="16.149999999999999" customHeight="1" x14ac:dyDescent="0.25">
      <c r="A19" s="91">
        <v>89</v>
      </c>
      <c r="B19" s="98" t="str">
        <f>ACUERDO!C91</f>
        <v>2.9.5-931.49</v>
      </c>
      <c r="C19" s="142" t="str">
        <f>ACUERDO!D91</f>
        <v>TELAS ADHESIVAS; ANCHO: 2,5 Cm, LONG.DE CUERPO: 9 M, TIPO: IMPERMEABLE</v>
      </c>
      <c r="D19" s="143"/>
      <c r="E19" s="143"/>
      <c r="F19" s="143"/>
      <c r="G19" s="144"/>
      <c r="H19" s="92" t="s">
        <v>355</v>
      </c>
      <c r="I19" s="93" t="str">
        <f>ACUERDO!F91</f>
        <v>UNIDAD</v>
      </c>
      <c r="J19" s="105">
        <f>ACUERDO!T91</f>
        <v>93</v>
      </c>
      <c r="K19" s="94">
        <f>ACUERDO!G91</f>
        <v>2000</v>
      </c>
    </row>
    <row r="20" spans="1:11" ht="16.149999999999999" customHeight="1" x14ac:dyDescent="0.25">
      <c r="A20" s="91">
        <v>94</v>
      </c>
      <c r="B20" s="98" t="str">
        <f>ACUERDO!C96</f>
        <v>2.9.5-931.9</v>
      </c>
      <c r="C20" s="142" t="str">
        <f>ACUERDO!D96</f>
        <v>TELAS ADHESIVAS; LONG.DE CUERPO: 9 M, ANCHO: 5.00 CM, TIPO: HIPOALERGENICA MACROPOROSA TRANSPARENTE</v>
      </c>
      <c r="D20" s="143"/>
      <c r="E20" s="143"/>
      <c r="F20" s="143"/>
      <c r="G20" s="144"/>
      <c r="H20" s="92" t="s">
        <v>355</v>
      </c>
      <c r="I20" s="93" t="str">
        <f>ACUERDO!F96</f>
        <v>UNIDAD</v>
      </c>
      <c r="J20" s="105">
        <f>ACUERDO!T96</f>
        <v>93</v>
      </c>
      <c r="K20" s="94">
        <f>ACUERDO!G96</f>
        <v>200</v>
      </c>
    </row>
    <row r="21" spans="1:11" ht="16.149999999999999" customHeight="1" x14ac:dyDescent="0.25">
      <c r="A21" s="91">
        <v>100</v>
      </c>
      <c r="B21" s="98" t="str">
        <f>ACUERDO!C102</f>
        <v>2.9.5-6526.10</v>
      </c>
      <c r="C21" s="142" t="str">
        <f>ACUERDO!D102</f>
        <v>TUBOS P/MEDICINA; TIPO: DE LATEX, USO: P/DRENAJE, PRESENTACION: M, DIMENSION: 5 X 8 MM</v>
      </c>
      <c r="D21" s="143"/>
      <c r="E21" s="143"/>
      <c r="F21" s="143"/>
      <c r="G21" s="144"/>
      <c r="H21" s="92" t="s">
        <v>355</v>
      </c>
      <c r="I21" s="93" t="str">
        <f>ACUERDO!F102</f>
        <v>UNIDAD</v>
      </c>
      <c r="J21" s="105">
        <f>ACUERDO!T102</f>
        <v>91</v>
      </c>
      <c r="K21" s="94">
        <f>ACUERDO!G102</f>
        <v>10</v>
      </c>
    </row>
    <row r="22" spans="1:11" ht="16.149999999999999" customHeight="1" x14ac:dyDescent="0.25">
      <c r="A22" s="91">
        <v>121</v>
      </c>
      <c r="B22" s="98" t="str">
        <f>ACUERDO!C123</f>
        <v>2.9.5-2569.151</v>
      </c>
      <c r="C22" s="142" t="str">
        <f>ACUERDO!D123</f>
        <v>TUBOS TRAQUEALES; TIPO: ENDOTRAQUEAL PEDIATR. S/BALON, Nº: 3, NUMERO: 3</v>
      </c>
      <c r="D22" s="143"/>
      <c r="E22" s="143"/>
      <c r="F22" s="143"/>
      <c r="G22" s="144"/>
      <c r="H22" s="92" t="s">
        <v>355</v>
      </c>
      <c r="I22" s="93" t="str">
        <f>ACUERDO!F123</f>
        <v>UNIDAD</v>
      </c>
      <c r="J22" s="105">
        <f>ACUERDO!T123</f>
        <v>93</v>
      </c>
      <c r="K22" s="94">
        <f>ACUERDO!G123</f>
        <v>10</v>
      </c>
    </row>
    <row r="23" spans="1:11" ht="16.149999999999999" customHeight="1" x14ac:dyDescent="0.25">
      <c r="A23" s="91">
        <v>122</v>
      </c>
      <c r="B23" s="99" t="str">
        <f>ACUERDO!C124</f>
        <v>2.9.5-2569.99</v>
      </c>
      <c r="C23" s="142" t="str">
        <f>ACUERDO!D124</f>
        <v>TUBOS TRAQUEALES; Nº: 3 1/2 S/BALON DESCARTABLE, TIPO: ENDOTRAQUEAL PEDIATRICO PERFOR, NUMERO: 3 1/2 S/BALON DESCARTABLE</v>
      </c>
      <c r="D23" s="143"/>
      <c r="E23" s="143"/>
      <c r="F23" s="143"/>
      <c r="G23" s="144"/>
      <c r="H23" s="92" t="s">
        <v>355</v>
      </c>
      <c r="I23" s="51" t="str">
        <f>ACUERDO!F124</f>
        <v>UNIDAD</v>
      </c>
      <c r="J23" s="106">
        <f>ACUERDO!T124</f>
        <v>93</v>
      </c>
      <c r="K23" s="52">
        <f>ACUERDO!G124</f>
        <v>10</v>
      </c>
    </row>
    <row r="24" spans="1:11" ht="16.149999999999999" customHeight="1" x14ac:dyDescent="0.25">
      <c r="A24" s="91">
        <v>127</v>
      </c>
      <c r="B24" s="99" t="str">
        <f>ACUERDO!C129</f>
        <v>2.9.5-461.4</v>
      </c>
      <c r="C24" s="142" t="str">
        <f>ACUERDO!D129</f>
        <v>VENDAS USO MEDICO; TIPO: CAMBRIC, MEDIDA: 7 CM X 3 M</v>
      </c>
      <c r="D24" s="143"/>
      <c r="E24" s="143"/>
      <c r="F24" s="143"/>
      <c r="G24" s="144"/>
      <c r="H24" s="92" t="s">
        <v>355</v>
      </c>
      <c r="I24" s="51" t="str">
        <f>ACUERDO!F129</f>
        <v>UNIDAD</v>
      </c>
      <c r="J24" s="106">
        <f>ACUERDO!T129</f>
        <v>100</v>
      </c>
      <c r="K24" s="52">
        <f>ACUERDO!G129</f>
        <v>100</v>
      </c>
    </row>
    <row r="25" spans="1:11" ht="16.149999999999999" customHeight="1" x14ac:dyDescent="0.25">
      <c r="A25" s="91">
        <v>130</v>
      </c>
      <c r="B25" s="99" t="str">
        <f>ACUERDO!C132</f>
        <v>2.9.5-461.29</v>
      </c>
      <c r="C25" s="142" t="str">
        <f>ACUERDO!D132</f>
        <v>VENDAS USO MEDICO; MEDIDA: 10 CM X 4 M, TIPO: ENYESADA FRAGUADO RAPIDO GYSOFIX</v>
      </c>
      <c r="D25" s="143"/>
      <c r="E25" s="143"/>
      <c r="F25" s="143"/>
      <c r="G25" s="144"/>
      <c r="H25" s="92" t="s">
        <v>355</v>
      </c>
      <c r="I25" s="51" t="str">
        <f>ACUERDO!F132</f>
        <v>UNIDAD</v>
      </c>
      <c r="J25" s="106">
        <f>ACUERDO!T132</f>
        <v>93</v>
      </c>
      <c r="K25" s="52">
        <f>ACUERDO!G132</f>
        <v>300</v>
      </c>
    </row>
    <row r="26" spans="1:11" ht="16.149999999999999" customHeight="1" x14ac:dyDescent="0.25">
      <c r="A26" s="91">
        <v>131</v>
      </c>
      <c r="B26" s="99" t="str">
        <f>ACUERDO!C133</f>
        <v>2.9.5-461.28</v>
      </c>
      <c r="C26" s="142" t="str">
        <f>ACUERDO!D133</f>
        <v>VENDAS USO MEDICO; MEDIDA: 15 CM X 4 M, TIPO: ENYESADA FRAGUADO RAPIDO GYSOFIX</v>
      </c>
      <c r="D26" s="143"/>
      <c r="E26" s="143"/>
      <c r="F26" s="143"/>
      <c r="G26" s="144"/>
      <c r="H26" s="92" t="s">
        <v>355</v>
      </c>
      <c r="I26" s="51" t="str">
        <f>ACUERDO!F133</f>
        <v>UNIDAD</v>
      </c>
      <c r="J26" s="106">
        <f>ACUERDO!T133</f>
        <v>93</v>
      </c>
      <c r="K26" s="52">
        <f>ACUERDO!G133</f>
        <v>500</v>
      </c>
    </row>
    <row r="27" spans="1:11" ht="16.149999999999999" customHeight="1" x14ac:dyDescent="0.25">
      <c r="A27" s="91">
        <v>132</v>
      </c>
      <c r="B27" s="99" t="str">
        <f>ACUERDO!C134</f>
        <v>2.9.5-461.27</v>
      </c>
      <c r="C27" s="142" t="str">
        <f>ACUERDO!D134</f>
        <v>VENDAS USO MEDICO; , MEDIDA: 20 CM X 4 M, TIPO: ENYESADA FRAGUADO RAPIDO GYSOFIX</v>
      </c>
      <c r="D27" s="143"/>
      <c r="E27" s="143"/>
      <c r="F27" s="143"/>
      <c r="G27" s="144"/>
      <c r="H27" s="92" t="s">
        <v>355</v>
      </c>
      <c r="I27" s="51" t="str">
        <f>ACUERDO!F134</f>
        <v>UNIDAD</v>
      </c>
      <c r="J27" s="106">
        <f>ACUERDO!T134</f>
        <v>93</v>
      </c>
      <c r="K27" s="52">
        <f>ACUERDO!G134</f>
        <v>150</v>
      </c>
    </row>
    <row r="28" spans="1:11" ht="15.75" x14ac:dyDescent="0.25">
      <c r="A28" s="49"/>
      <c r="B28" s="99"/>
      <c r="C28" s="157"/>
      <c r="D28" s="157"/>
      <c r="E28" s="157"/>
      <c r="F28" s="157"/>
      <c r="G28" s="157"/>
      <c r="H28" s="50"/>
      <c r="I28" s="51"/>
      <c r="J28" s="106"/>
      <c r="K28" s="52"/>
    </row>
    <row r="29" spans="1:11" ht="19.5" thickBot="1" x14ac:dyDescent="0.3">
      <c r="A29" s="154" t="s">
        <v>394</v>
      </c>
      <c r="B29" s="154"/>
      <c r="C29" s="154"/>
      <c r="D29" s="154"/>
      <c r="E29" s="154"/>
      <c r="F29" s="154"/>
      <c r="G29" s="154"/>
      <c r="H29" s="154"/>
      <c r="I29" s="154"/>
      <c r="J29" s="155">
        <f>SUMPRODUCT(J12:J27,K12:K27)</f>
        <v>5262190</v>
      </c>
      <c r="K29" s="156"/>
    </row>
  </sheetData>
  <mergeCells count="33">
    <mergeCell ref="C19:G19"/>
    <mergeCell ref="C18:G18"/>
    <mergeCell ref="C14:G14"/>
    <mergeCell ref="A29:I29"/>
    <mergeCell ref="J29:K29"/>
    <mergeCell ref="C24:G24"/>
    <mergeCell ref="C26:G26"/>
    <mergeCell ref="C27:G27"/>
    <mergeCell ref="C28:G28"/>
    <mergeCell ref="C25:G25"/>
    <mergeCell ref="K10:K11"/>
    <mergeCell ref="C23:G23"/>
    <mergeCell ref="C22:G22"/>
    <mergeCell ref="A10:A11"/>
    <mergeCell ref="B10:B11"/>
    <mergeCell ref="C10:G11"/>
    <mergeCell ref="H10:H11"/>
    <mergeCell ref="I10:I11"/>
    <mergeCell ref="J10:J11"/>
    <mergeCell ref="C12:G12"/>
    <mergeCell ref="C13:G13"/>
    <mergeCell ref="C15:G15"/>
    <mergeCell ref="C17:G17"/>
    <mergeCell ref="C16:G16"/>
    <mergeCell ref="C20:G20"/>
    <mergeCell ref="C21:G21"/>
    <mergeCell ref="A6:C6"/>
    <mergeCell ref="A7:C7"/>
    <mergeCell ref="A8:C8"/>
    <mergeCell ref="A1:I1"/>
    <mergeCell ref="A3:C3"/>
    <mergeCell ref="A4:C4"/>
    <mergeCell ref="A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5"/>
  <sheetViews>
    <sheetView workbookViewId="0">
      <selection activeCell="J28" sqref="J28"/>
    </sheetView>
  </sheetViews>
  <sheetFormatPr baseColWidth="10" defaultRowHeight="15" x14ac:dyDescent="0.25"/>
  <cols>
    <col min="1" max="5" width="4.42578125" customWidth="1"/>
    <col min="6" max="6" width="7.7109375" customWidth="1"/>
    <col min="7" max="13" width="4.42578125" customWidth="1"/>
    <col min="14" max="14" width="4.42578125" style="29" customWidth="1"/>
    <col min="15" max="16" width="14.85546875" customWidth="1"/>
    <col min="17" max="17" width="14.7109375" customWidth="1"/>
  </cols>
  <sheetData>
    <row r="1" spans="1:17" ht="15.75" thickBot="1" x14ac:dyDescent="0.3">
      <c r="A1" s="159" t="s">
        <v>332</v>
      </c>
      <c r="B1" s="159"/>
      <c r="C1" s="159"/>
      <c r="D1" s="160">
        <v>2022</v>
      </c>
      <c r="E1" s="160"/>
      <c r="F1" s="53"/>
      <c r="G1" s="53"/>
      <c r="H1" s="54"/>
      <c r="I1" s="54"/>
      <c r="J1" s="54"/>
      <c r="K1" s="54"/>
      <c r="L1" s="54"/>
      <c r="M1" s="54"/>
      <c r="N1" s="54"/>
      <c r="O1" s="55"/>
      <c r="P1" s="161" t="s">
        <v>333</v>
      </c>
      <c r="Q1" s="161"/>
    </row>
    <row r="2" spans="1:17" ht="15" customHeight="1" thickBot="1" x14ac:dyDescent="0.3">
      <c r="A2" s="56"/>
      <c r="B2" s="1"/>
      <c r="C2" s="1"/>
      <c r="D2" s="1"/>
      <c r="E2" s="1"/>
      <c r="F2" s="1"/>
      <c r="G2" s="57"/>
      <c r="H2" s="58"/>
      <c r="I2" s="58"/>
      <c r="J2" s="58"/>
      <c r="K2" s="58"/>
      <c r="L2" s="58"/>
      <c r="M2" s="58"/>
      <c r="N2" s="58"/>
      <c r="O2" s="1"/>
      <c r="P2" s="161"/>
      <c r="Q2" s="161"/>
    </row>
    <row r="3" spans="1:17" ht="15.75" thickBot="1" x14ac:dyDescent="0.3">
      <c r="A3" s="56"/>
      <c r="B3" s="1"/>
      <c r="C3" s="1"/>
      <c r="D3" s="1"/>
      <c r="E3" s="1"/>
      <c r="F3" s="1"/>
      <c r="G3" s="57"/>
      <c r="H3" s="1"/>
      <c r="I3" s="1"/>
      <c r="J3" s="1"/>
      <c r="K3" s="1"/>
      <c r="L3" s="1"/>
      <c r="M3" s="1"/>
      <c r="N3" s="1"/>
      <c r="O3" s="1"/>
      <c r="P3" s="1"/>
      <c r="Q3" s="59"/>
    </row>
    <row r="4" spans="1:17" ht="15.75" thickBot="1" x14ac:dyDescent="0.3">
      <c r="A4" s="162" t="s">
        <v>334</v>
      </c>
      <c r="B4" s="162"/>
      <c r="C4" s="162"/>
      <c r="D4" s="162"/>
      <c r="E4" s="162"/>
      <c r="F4" s="162"/>
      <c r="G4" s="163" t="str">
        <f>'NP FCIA'!D3</f>
        <v>040 - MINISTERIO DE SALUD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ht="15.75" thickBot="1" x14ac:dyDescent="0.3">
      <c r="A5" s="164" t="s">
        <v>316</v>
      </c>
      <c r="B5" s="164"/>
      <c r="C5" s="164"/>
      <c r="D5" s="164"/>
      <c r="E5" s="164"/>
      <c r="F5" s="164"/>
      <c r="G5" s="163" t="str">
        <f>'NP FCIA'!D4</f>
        <v>011 - DIRECCION PROVINCIAL DE ADMINISTRACION - MS</v>
      </c>
      <c r="H5" s="163"/>
      <c r="I5" s="163"/>
      <c r="J5" s="163"/>
      <c r="K5" s="163"/>
      <c r="L5" s="163"/>
      <c r="M5" s="163"/>
      <c r="N5" s="163"/>
      <c r="O5" s="163"/>
      <c r="P5" s="163"/>
      <c r="Q5" s="163"/>
    </row>
    <row r="6" spans="1:17" ht="15" customHeight="1" thickBot="1" x14ac:dyDescent="0.3">
      <c r="A6" s="164" t="s">
        <v>317</v>
      </c>
      <c r="B6" s="164"/>
      <c r="C6" s="164"/>
      <c r="D6" s="164"/>
      <c r="E6" s="164"/>
      <c r="F6" s="164"/>
      <c r="G6" s="163" t="str">
        <f>'NP FCIA'!D5</f>
        <v>DIRECCION PROVINCIAL DE FARMACIA E INSUMOS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ht="15" customHeight="1" thickBot="1" x14ac:dyDescent="0.3">
      <c r="A7" s="164" t="s">
        <v>318</v>
      </c>
      <c r="B7" s="164"/>
      <c r="C7" s="164"/>
      <c r="D7" s="164"/>
      <c r="E7" s="164"/>
      <c r="F7" s="164"/>
      <c r="G7" s="163" t="str">
        <f>'NP FCIA'!D6</f>
        <v>DIRECCION PROVINCIAL DE FARMACIA E INSUMOS</v>
      </c>
      <c r="H7" s="163"/>
      <c r="I7" s="163"/>
      <c r="J7" s="163"/>
      <c r="K7" s="163"/>
      <c r="L7" s="163"/>
      <c r="M7" s="163"/>
      <c r="N7" s="163"/>
      <c r="O7" s="163"/>
      <c r="P7" s="163"/>
      <c r="Q7" s="163"/>
    </row>
    <row r="8" spans="1:17" ht="15.75" thickBot="1" x14ac:dyDescent="0.3">
      <c r="A8" s="165" t="s">
        <v>335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</row>
    <row r="9" spans="1:17" x14ac:dyDescent="0.25">
      <c r="A9" s="158" t="s">
        <v>336</v>
      </c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</row>
    <row r="10" spans="1:17" ht="55.15" customHeight="1" x14ac:dyDescent="0.25">
      <c r="A10" s="167" t="s">
        <v>398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</row>
    <row r="11" spans="1:17" ht="15.75" thickBot="1" x14ac:dyDescent="0.3">
      <c r="A11" s="60"/>
      <c r="B11" s="61"/>
      <c r="C11" s="61"/>
      <c r="D11" s="61"/>
      <c r="E11" s="61"/>
      <c r="F11" s="61"/>
      <c r="G11" s="62"/>
      <c r="H11" s="61"/>
      <c r="I11" s="61"/>
      <c r="J11" s="61"/>
      <c r="K11" s="61"/>
      <c r="L11" s="61"/>
      <c r="M11" s="61"/>
      <c r="N11" s="61"/>
      <c r="O11" s="61"/>
      <c r="P11" s="61"/>
      <c r="Q11" s="63"/>
    </row>
    <row r="12" spans="1:17" ht="15.75" thickBot="1" x14ac:dyDescent="0.3">
      <c r="A12" s="168" t="s">
        <v>337</v>
      </c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</row>
    <row r="13" spans="1:17" ht="15" customHeight="1" thickBot="1" x14ac:dyDescent="0.3">
      <c r="A13" s="169" t="s">
        <v>338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70" t="s">
        <v>339</v>
      </c>
      <c r="P13" s="170"/>
      <c r="Q13" s="171" t="s">
        <v>340</v>
      </c>
    </row>
    <row r="14" spans="1:17" ht="15.75" thickBot="1" x14ac:dyDescent="0.3">
      <c r="A14" s="64" t="s">
        <v>341</v>
      </c>
      <c r="B14" s="65" t="s">
        <v>342</v>
      </c>
      <c r="C14" s="65" t="s">
        <v>343</v>
      </c>
      <c r="D14" s="65" t="s">
        <v>344</v>
      </c>
      <c r="E14" s="65" t="s">
        <v>345</v>
      </c>
      <c r="F14" s="65" t="s">
        <v>346</v>
      </c>
      <c r="G14" s="66" t="s">
        <v>347</v>
      </c>
      <c r="H14" s="65" t="s">
        <v>348</v>
      </c>
      <c r="I14" s="65" t="s">
        <v>349</v>
      </c>
      <c r="J14" s="65" t="s">
        <v>350</v>
      </c>
      <c r="K14" s="65" t="s">
        <v>350</v>
      </c>
      <c r="L14" s="65" t="s">
        <v>351</v>
      </c>
      <c r="M14" s="67" t="s">
        <v>352</v>
      </c>
      <c r="N14" s="68" t="s">
        <v>353</v>
      </c>
      <c r="O14" s="170"/>
      <c r="P14" s="170"/>
      <c r="Q14" s="171"/>
    </row>
    <row r="15" spans="1:17" ht="33.6" customHeight="1" x14ac:dyDescent="0.25">
      <c r="A15" s="69">
        <v>30</v>
      </c>
      <c r="B15" s="70"/>
      <c r="C15" s="70"/>
      <c r="D15" s="70">
        <v>1</v>
      </c>
      <c r="E15" s="70"/>
      <c r="F15" s="70">
        <v>4901</v>
      </c>
      <c r="G15" s="70">
        <v>3</v>
      </c>
      <c r="H15" s="70">
        <v>1</v>
      </c>
      <c r="I15" s="70">
        <v>2</v>
      </c>
      <c r="J15" s="70">
        <v>9</v>
      </c>
      <c r="K15" s="70">
        <v>5</v>
      </c>
      <c r="L15" s="70"/>
      <c r="M15" s="71">
        <v>1</v>
      </c>
      <c r="N15" s="70" t="s">
        <v>356</v>
      </c>
      <c r="O15" s="172" t="s">
        <v>368</v>
      </c>
      <c r="P15" s="172"/>
      <c r="Q15" s="72">
        <f>'NP FCIA'!J29</f>
        <v>5262190</v>
      </c>
    </row>
    <row r="16" spans="1:17" x14ac:dyDescent="0.25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5"/>
      <c r="N16" s="76"/>
      <c r="O16" s="173"/>
      <c r="P16" s="173"/>
      <c r="Q16" s="77"/>
    </row>
    <row r="17" spans="1:17" x14ac:dyDescent="0.25">
      <c r="A17" s="73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76"/>
      <c r="O17" s="174"/>
      <c r="P17" s="174"/>
      <c r="Q17" s="77"/>
    </row>
    <row r="18" spans="1:17" x14ac:dyDescent="0.25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5"/>
      <c r="N18" s="76"/>
      <c r="O18" s="166"/>
      <c r="P18" s="166"/>
      <c r="Q18" s="77"/>
    </row>
    <row r="19" spans="1:17" x14ac:dyDescent="0.25">
      <c r="A19" s="73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5"/>
      <c r="N19" s="76"/>
      <c r="O19" s="166"/>
      <c r="P19" s="166"/>
      <c r="Q19" s="77"/>
    </row>
    <row r="20" spans="1:17" x14ac:dyDescent="0.25">
      <c r="A20" s="73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5"/>
      <c r="N20" s="76"/>
      <c r="O20" s="166"/>
      <c r="P20" s="166"/>
      <c r="Q20" s="77"/>
    </row>
    <row r="21" spans="1:17" x14ac:dyDescent="0.25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5"/>
      <c r="N21" s="76"/>
      <c r="O21" s="166"/>
      <c r="P21" s="166"/>
      <c r="Q21" s="77"/>
    </row>
    <row r="22" spans="1:17" x14ac:dyDescent="0.25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5"/>
      <c r="N22" s="76"/>
      <c r="O22" s="166"/>
      <c r="P22" s="166"/>
      <c r="Q22" s="77"/>
    </row>
    <row r="23" spans="1:17" x14ac:dyDescent="0.25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5"/>
      <c r="N23" s="76"/>
      <c r="O23" s="166"/>
      <c r="P23" s="166"/>
      <c r="Q23" s="77"/>
    </row>
    <row r="24" spans="1:17" x14ac:dyDescent="0.25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5"/>
      <c r="N24" s="76"/>
      <c r="O24" s="166"/>
      <c r="P24" s="166"/>
      <c r="Q24" s="77"/>
    </row>
    <row r="25" spans="1:17" x14ac:dyDescent="0.25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5"/>
      <c r="N25" s="76"/>
      <c r="O25" s="166"/>
      <c r="P25" s="166"/>
      <c r="Q25" s="77"/>
    </row>
    <row r="26" spans="1:17" x14ac:dyDescent="0.25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5"/>
      <c r="N26" s="76"/>
      <c r="O26" s="166"/>
      <c r="P26" s="166"/>
      <c r="Q26" s="77"/>
    </row>
    <row r="27" spans="1:17" x14ac:dyDescent="0.25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5"/>
      <c r="N27" s="76"/>
      <c r="O27" s="166"/>
      <c r="P27" s="166"/>
      <c r="Q27" s="77"/>
    </row>
    <row r="28" spans="1:17" x14ac:dyDescent="0.25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5"/>
      <c r="N28" s="76"/>
      <c r="O28" s="166"/>
      <c r="P28" s="166"/>
      <c r="Q28" s="77"/>
    </row>
    <row r="29" spans="1:17" x14ac:dyDescent="0.25">
      <c r="A29" s="73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5"/>
      <c r="N29" s="76"/>
      <c r="O29" s="166"/>
      <c r="P29" s="166"/>
      <c r="Q29" s="77"/>
    </row>
    <row r="30" spans="1:17" x14ac:dyDescent="0.25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/>
      <c r="N30" s="76"/>
      <c r="O30" s="166"/>
      <c r="P30" s="166"/>
      <c r="Q30" s="77"/>
    </row>
    <row r="31" spans="1:17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5"/>
      <c r="N31" s="76"/>
      <c r="O31" s="166"/>
      <c r="P31" s="166"/>
      <c r="Q31" s="77"/>
    </row>
    <row r="32" spans="1:17" x14ac:dyDescent="0.25">
      <c r="A32" s="73"/>
      <c r="B32" s="74"/>
      <c r="C32" s="74"/>
      <c r="D32" s="74"/>
      <c r="E32" s="74"/>
      <c r="F32" s="76"/>
      <c r="G32" s="74"/>
      <c r="H32" s="74"/>
      <c r="I32" s="74"/>
      <c r="J32" s="74"/>
      <c r="K32" s="74"/>
      <c r="L32" s="74"/>
      <c r="M32" s="75"/>
      <c r="N32" s="76"/>
      <c r="O32" s="173"/>
      <c r="P32" s="173"/>
      <c r="Q32" s="77"/>
    </row>
    <row r="33" spans="1:17" x14ac:dyDescent="0.25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5"/>
      <c r="N33" s="76"/>
      <c r="O33" s="173"/>
      <c r="P33" s="173"/>
      <c r="Q33" s="77"/>
    </row>
    <row r="34" spans="1:17" x14ac:dyDescent="0.25">
      <c r="A34" s="73"/>
      <c r="B34" s="74"/>
      <c r="C34" s="74"/>
      <c r="D34" s="74"/>
      <c r="E34" s="74"/>
      <c r="F34" s="76"/>
      <c r="G34" s="74"/>
      <c r="H34" s="74"/>
      <c r="I34" s="74"/>
      <c r="J34" s="74"/>
      <c r="K34" s="74"/>
      <c r="L34" s="74"/>
      <c r="M34" s="75"/>
      <c r="N34" s="76"/>
      <c r="O34" s="173"/>
      <c r="P34" s="173"/>
      <c r="Q34" s="77"/>
    </row>
    <row r="35" spans="1:17" x14ac:dyDescent="0.25">
      <c r="A35" s="73"/>
      <c r="B35" s="74"/>
      <c r="C35" s="74"/>
      <c r="D35" s="74"/>
      <c r="E35" s="74"/>
      <c r="F35" s="76"/>
      <c r="G35" s="74"/>
      <c r="H35" s="74"/>
      <c r="I35" s="74"/>
      <c r="J35" s="74"/>
      <c r="K35" s="74"/>
      <c r="L35" s="74"/>
      <c r="M35" s="75"/>
      <c r="N35" s="76"/>
      <c r="O35" s="173"/>
      <c r="P35" s="173"/>
      <c r="Q35" s="77"/>
    </row>
    <row r="36" spans="1:17" x14ac:dyDescent="0.25">
      <c r="A36" s="78"/>
      <c r="B36" s="79"/>
      <c r="C36" s="79"/>
      <c r="D36" s="79"/>
      <c r="E36" s="79"/>
      <c r="F36" s="80"/>
      <c r="G36" s="79"/>
      <c r="H36" s="79"/>
      <c r="I36" s="79"/>
      <c r="J36" s="79"/>
      <c r="K36" s="79"/>
      <c r="L36" s="79"/>
      <c r="M36" s="81"/>
      <c r="N36" s="82"/>
      <c r="O36" s="178"/>
      <c r="P36" s="178"/>
      <c r="Q36" s="77"/>
    </row>
    <row r="37" spans="1:17" ht="15.75" thickBot="1" x14ac:dyDescent="0.3">
      <c r="A37" s="83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5"/>
      <c r="N37" s="84"/>
      <c r="O37" s="179"/>
      <c r="P37" s="179"/>
      <c r="Q37" s="86"/>
    </row>
    <row r="38" spans="1:17" ht="32.25" customHeight="1" thickBot="1" x14ac:dyDescent="0.3">
      <c r="A38" s="180" t="s">
        <v>395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87">
        <f>SUM(Q15:Q37)</f>
        <v>5262190</v>
      </c>
    </row>
    <row r="39" spans="1:17" ht="15.75" thickBot="1" x14ac:dyDescent="0.3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</row>
    <row r="40" spans="1:17" ht="15" customHeight="1" thickBot="1" x14ac:dyDescent="0.3">
      <c r="A40" s="175" t="s">
        <v>354</v>
      </c>
      <c r="B40" s="175"/>
      <c r="C40" s="175"/>
      <c r="D40" s="175"/>
      <c r="E40" s="175"/>
      <c r="F40" s="175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</row>
    <row r="41" spans="1:17" ht="15.75" thickBot="1" x14ac:dyDescent="0.3">
      <c r="A41" s="177" t="str">
        <f>'NP FCIA'!D8</f>
        <v>ACUERDO MARCO PEDIDO DE INSUMOS COMUNES</v>
      </c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</row>
    <row r="42" spans="1:17" ht="15.75" thickBot="1" x14ac:dyDescent="0.3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</row>
    <row r="43" spans="1:17" x14ac:dyDescent="0.25">
      <c r="N43" s="30"/>
    </row>
    <row r="44" spans="1:17" x14ac:dyDescent="0.25">
      <c r="N44" s="30"/>
    </row>
    <row r="45" spans="1:17" x14ac:dyDescent="0.25">
      <c r="N45" s="30"/>
    </row>
    <row r="46" spans="1:17" x14ac:dyDescent="0.25">
      <c r="N46" s="30"/>
    </row>
    <row r="47" spans="1:17" x14ac:dyDescent="0.25">
      <c r="N47" s="30"/>
    </row>
    <row r="48" spans="1:17" x14ac:dyDescent="0.25">
      <c r="N48" s="30"/>
    </row>
    <row r="49" spans="14:14" x14ac:dyDescent="0.25">
      <c r="N49" s="30"/>
    </row>
    <row r="50" spans="14:14" x14ac:dyDescent="0.25">
      <c r="N50" s="30"/>
    </row>
    <row r="51" spans="14:14" x14ac:dyDescent="0.25">
      <c r="N51" s="30"/>
    </row>
    <row r="52" spans="14:14" x14ac:dyDescent="0.25">
      <c r="N52" s="30"/>
    </row>
    <row r="53" spans="14:14" x14ac:dyDescent="0.25">
      <c r="N53" s="30"/>
    </row>
    <row r="54" spans="14:14" x14ac:dyDescent="0.25">
      <c r="N54" s="30"/>
    </row>
    <row r="55" spans="14:14" x14ac:dyDescent="0.25">
      <c r="N55" s="30"/>
    </row>
    <row r="56" spans="14:14" x14ac:dyDescent="0.25">
      <c r="N56" s="30"/>
    </row>
    <row r="57" spans="14:14" x14ac:dyDescent="0.25">
      <c r="N57" s="30"/>
    </row>
    <row r="58" spans="14:14" x14ac:dyDescent="0.25">
      <c r="N58" s="30"/>
    </row>
    <row r="59" spans="14:14" x14ac:dyDescent="0.25">
      <c r="N59" s="30"/>
    </row>
    <row r="60" spans="14:14" x14ac:dyDescent="0.25">
      <c r="N60" s="30"/>
    </row>
    <row r="61" spans="14:14" x14ac:dyDescent="0.25">
      <c r="N61" s="30"/>
    </row>
    <row r="62" spans="14:14" x14ac:dyDescent="0.25">
      <c r="N62" s="30"/>
    </row>
    <row r="63" spans="14:14" x14ac:dyDescent="0.25">
      <c r="N63" s="30"/>
    </row>
    <row r="64" spans="14:14" x14ac:dyDescent="0.25">
      <c r="N64" s="30"/>
    </row>
    <row r="65" spans="14:14" x14ac:dyDescent="0.25">
      <c r="N65" s="30"/>
    </row>
    <row r="66" spans="14:14" x14ac:dyDescent="0.25">
      <c r="N66" s="30"/>
    </row>
    <row r="67" spans="14:14" x14ac:dyDescent="0.25">
      <c r="N67" s="30"/>
    </row>
    <row r="68" spans="14:14" x14ac:dyDescent="0.25">
      <c r="N68" s="30"/>
    </row>
    <row r="69" spans="14:14" x14ac:dyDescent="0.25">
      <c r="N69" s="30"/>
    </row>
    <row r="70" spans="14:14" x14ac:dyDescent="0.25">
      <c r="N70" s="30"/>
    </row>
    <row r="71" spans="14:14" x14ac:dyDescent="0.25">
      <c r="N71" s="30"/>
    </row>
    <row r="72" spans="14:14" x14ac:dyDescent="0.25">
      <c r="N72" s="30"/>
    </row>
    <row r="73" spans="14:14" x14ac:dyDescent="0.25">
      <c r="N73" s="30"/>
    </row>
    <row r="74" spans="14:14" x14ac:dyDescent="0.25">
      <c r="N74" s="30"/>
    </row>
    <row r="75" spans="14:14" x14ac:dyDescent="0.25">
      <c r="N75" s="30"/>
    </row>
    <row r="76" spans="14:14" x14ac:dyDescent="0.25">
      <c r="N76" s="30"/>
    </row>
    <row r="77" spans="14:14" x14ac:dyDescent="0.25">
      <c r="N77" s="30"/>
    </row>
    <row r="78" spans="14:14" x14ac:dyDescent="0.25">
      <c r="N78" s="30"/>
    </row>
    <row r="79" spans="14:14" x14ac:dyDescent="0.25">
      <c r="N79" s="30"/>
    </row>
    <row r="80" spans="14:14" x14ac:dyDescent="0.25">
      <c r="N80" s="30"/>
    </row>
    <row r="81" spans="14:14" x14ac:dyDescent="0.25">
      <c r="N81" s="30"/>
    </row>
    <row r="82" spans="14:14" x14ac:dyDescent="0.25">
      <c r="N82" s="30"/>
    </row>
    <row r="83" spans="14:14" x14ac:dyDescent="0.25">
      <c r="N83" s="30"/>
    </row>
    <row r="84" spans="14:14" x14ac:dyDescent="0.25">
      <c r="N84" s="30"/>
    </row>
    <row r="85" spans="14:14" x14ac:dyDescent="0.25">
      <c r="N85" s="30"/>
    </row>
    <row r="86" spans="14:14" x14ac:dyDescent="0.25">
      <c r="N86" s="30"/>
    </row>
    <row r="87" spans="14:14" x14ac:dyDescent="0.25">
      <c r="N87" s="30"/>
    </row>
    <row r="88" spans="14:14" x14ac:dyDescent="0.25">
      <c r="N88" s="30"/>
    </row>
    <row r="89" spans="14:14" x14ac:dyDescent="0.25">
      <c r="N89" s="30"/>
    </row>
    <row r="125" spans="14:14" x14ac:dyDescent="0.25">
      <c r="N125" s="29">
        <v>91</v>
      </c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selection activeCell="A28" sqref="A28:I28"/>
    </sheetView>
  </sheetViews>
  <sheetFormatPr baseColWidth="10" defaultRowHeight="15" x14ac:dyDescent="0.25"/>
  <cols>
    <col min="1" max="1" width="5.5703125" customWidth="1"/>
    <col min="2" max="2" width="15.140625" style="12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1.140625" customWidth="1"/>
    <col min="8" max="8" width="9.28515625" customWidth="1"/>
    <col min="9" max="9" width="15.5703125" customWidth="1"/>
    <col min="10" max="10" width="14.7109375" style="28" customWidth="1"/>
    <col min="11" max="11" width="15.5703125" customWidth="1"/>
  </cols>
  <sheetData>
    <row r="1" spans="1:11" ht="30.75" thickBot="1" x14ac:dyDescent="0.3">
      <c r="A1" s="139" t="s">
        <v>314</v>
      </c>
      <c r="B1" s="139"/>
      <c r="C1" s="139"/>
      <c r="D1" s="139"/>
      <c r="E1" s="139"/>
      <c r="F1" s="139"/>
      <c r="G1" s="139"/>
      <c r="H1" s="139"/>
      <c r="I1" s="139"/>
      <c r="J1" s="100" t="s">
        <v>95</v>
      </c>
      <c r="K1" s="36" t="s">
        <v>386</v>
      </c>
    </row>
    <row r="2" spans="1:11" ht="16.5" thickBot="1" x14ac:dyDescent="0.3">
      <c r="A2" s="37"/>
      <c r="B2" s="95"/>
      <c r="C2" s="38"/>
      <c r="D2" s="39"/>
      <c r="E2" s="39"/>
      <c r="F2" s="39"/>
      <c r="G2" s="39"/>
      <c r="H2" s="39"/>
      <c r="I2" s="39"/>
      <c r="J2" s="101"/>
      <c r="K2" s="40"/>
    </row>
    <row r="3" spans="1:11" ht="16.149999999999999" customHeight="1" thickBot="1" x14ac:dyDescent="0.3">
      <c r="A3" s="135" t="s">
        <v>315</v>
      </c>
      <c r="B3" s="135"/>
      <c r="C3" s="135"/>
      <c r="D3" s="88" t="s">
        <v>328</v>
      </c>
      <c r="E3" s="89"/>
      <c r="F3" s="89"/>
      <c r="G3" s="89"/>
      <c r="H3" s="89"/>
      <c r="I3" s="89"/>
      <c r="J3" s="102"/>
      <c r="K3" s="90"/>
    </row>
    <row r="4" spans="1:11" ht="16.149999999999999" customHeight="1" thickBot="1" x14ac:dyDescent="0.3">
      <c r="A4" s="136" t="s">
        <v>316</v>
      </c>
      <c r="B4" s="136"/>
      <c r="C4" s="136"/>
      <c r="D4" s="88" t="s">
        <v>329</v>
      </c>
      <c r="E4" s="89"/>
      <c r="F4" s="89"/>
      <c r="G4" s="89"/>
      <c r="H4" s="89"/>
      <c r="I4" s="89"/>
      <c r="J4" s="102"/>
      <c r="K4" s="90"/>
    </row>
    <row r="5" spans="1:11" ht="16.5" thickBot="1" x14ac:dyDescent="0.3">
      <c r="A5" s="136" t="s">
        <v>317</v>
      </c>
      <c r="B5" s="136"/>
      <c r="C5" s="136"/>
      <c r="D5" s="88" t="s">
        <v>358</v>
      </c>
      <c r="E5" s="89"/>
      <c r="F5" s="89"/>
      <c r="G5" s="89"/>
      <c r="H5" s="89"/>
      <c r="I5" s="89"/>
      <c r="J5" s="102"/>
      <c r="K5" s="90"/>
    </row>
    <row r="6" spans="1:11" ht="16.5" thickBot="1" x14ac:dyDescent="0.3">
      <c r="A6" s="135" t="s">
        <v>318</v>
      </c>
      <c r="B6" s="135"/>
      <c r="C6" s="135"/>
      <c r="D6" s="88" t="s">
        <v>358</v>
      </c>
      <c r="E6" s="89"/>
      <c r="F6" s="89"/>
      <c r="G6" s="89"/>
      <c r="H6" s="89"/>
      <c r="I6" s="89"/>
      <c r="J6" s="102"/>
      <c r="K6" s="90"/>
    </row>
    <row r="7" spans="1:11" ht="16.5" thickBot="1" x14ac:dyDescent="0.3">
      <c r="A7" s="136" t="s">
        <v>319</v>
      </c>
      <c r="B7" s="136"/>
      <c r="C7" s="136"/>
      <c r="D7" s="88" t="s">
        <v>330</v>
      </c>
      <c r="E7" s="89"/>
      <c r="F7" s="89"/>
      <c r="G7" s="89"/>
      <c r="H7" s="89"/>
      <c r="I7" s="89"/>
      <c r="J7" s="102"/>
      <c r="K7" s="90"/>
    </row>
    <row r="8" spans="1:11" ht="16.149999999999999" customHeight="1" thickBot="1" x14ac:dyDescent="0.3">
      <c r="A8" s="137" t="s">
        <v>320</v>
      </c>
      <c r="B8" s="137"/>
      <c r="C8" s="138"/>
      <c r="D8" s="88" t="s">
        <v>331</v>
      </c>
      <c r="E8" s="89"/>
      <c r="F8" s="89"/>
      <c r="G8" s="89"/>
      <c r="H8" s="89"/>
      <c r="I8" s="89"/>
      <c r="J8" s="102"/>
      <c r="K8" s="90"/>
    </row>
    <row r="9" spans="1:11" ht="16.5" thickBot="1" x14ac:dyDescent="0.3">
      <c r="A9" s="41"/>
      <c r="B9" s="96"/>
      <c r="C9" s="42"/>
      <c r="D9" s="43"/>
      <c r="E9" s="43"/>
      <c r="F9" s="43"/>
      <c r="G9" s="43"/>
      <c r="H9" s="43"/>
      <c r="I9" s="43"/>
      <c r="J9" s="103"/>
      <c r="K9" s="44"/>
    </row>
    <row r="10" spans="1:11" ht="15.75" thickBot="1" x14ac:dyDescent="0.3">
      <c r="A10" s="145" t="s">
        <v>321</v>
      </c>
      <c r="B10" s="147" t="s">
        <v>322</v>
      </c>
      <c r="C10" s="147" t="s">
        <v>323</v>
      </c>
      <c r="D10" s="147"/>
      <c r="E10" s="147"/>
      <c r="F10" s="147"/>
      <c r="G10" s="147"/>
      <c r="H10" s="147" t="s">
        <v>324</v>
      </c>
      <c r="I10" s="147" t="s">
        <v>325</v>
      </c>
      <c r="J10" s="149" t="s">
        <v>326</v>
      </c>
      <c r="K10" s="140" t="s">
        <v>327</v>
      </c>
    </row>
    <row r="11" spans="1:11" ht="30" customHeight="1" thickBot="1" x14ac:dyDescent="0.3">
      <c r="A11" s="145"/>
      <c r="B11" s="147"/>
      <c r="C11" s="147"/>
      <c r="D11" s="147"/>
      <c r="E11" s="147"/>
      <c r="F11" s="147"/>
      <c r="G11" s="147"/>
      <c r="H11" s="147"/>
      <c r="I11" s="147"/>
      <c r="J11" s="149"/>
      <c r="K11" s="140"/>
    </row>
    <row r="12" spans="1:11" ht="15.75" x14ac:dyDescent="0.25">
      <c r="A12" s="45">
        <v>1</v>
      </c>
      <c r="B12" s="97" t="str">
        <f>ACUERDO!C3</f>
        <v>2.9.5-441.470</v>
      </c>
      <c r="C12" s="182" t="str">
        <f>ACUERDO!D3</f>
        <v>AGUJAS QUIRURGICAS; TIPO: TERUMO 21GX1", ESPECIFICACION: 25/8, UNIDAD VENTA: CAJA X 100, PRESENTACION: CAJA X 100</v>
      </c>
      <c r="D12" s="182"/>
      <c r="E12" s="182"/>
      <c r="F12" s="182"/>
      <c r="G12" s="182"/>
      <c r="H12" s="46" t="s">
        <v>355</v>
      </c>
      <c r="I12" s="47" t="str">
        <f>ACUERDO!F3</f>
        <v>UNIDAD</v>
      </c>
      <c r="J12" s="104">
        <f>ACUERDO!T3</f>
        <v>100</v>
      </c>
      <c r="K12" s="48">
        <f>ACUERDO!I3</f>
        <v>300</v>
      </c>
    </row>
    <row r="13" spans="1:11" ht="16.149999999999999" customHeight="1" x14ac:dyDescent="0.25">
      <c r="A13" s="91">
        <v>2</v>
      </c>
      <c r="B13" s="98" t="str">
        <f>ACUERDO!C4</f>
        <v>2.9.5-441.471</v>
      </c>
      <c r="C13" s="142" t="str">
        <f>ACUERDO!D4</f>
        <v>AGUJAS QUIRURGICAS; TIPO: TERUMO 25GX5/8", ESPECIFICACION: 16/5, UNIDAD VENTA: CAJA X 100, PRESENTACION: CAJA X 100</v>
      </c>
      <c r="D13" s="143"/>
      <c r="E13" s="143"/>
      <c r="F13" s="143"/>
      <c r="G13" s="144"/>
      <c r="H13" s="92" t="s">
        <v>355</v>
      </c>
      <c r="I13" s="93" t="str">
        <f>ACUERDO!F4</f>
        <v>UNIDAD</v>
      </c>
      <c r="J13" s="105">
        <f>ACUERDO!T4</f>
        <v>100</v>
      </c>
      <c r="K13" s="94">
        <f>ACUERDO!I4</f>
        <v>90</v>
      </c>
    </row>
    <row r="14" spans="1:11" ht="16.149999999999999" customHeight="1" x14ac:dyDescent="0.25">
      <c r="A14" s="91">
        <v>8</v>
      </c>
      <c r="B14" s="98" t="str">
        <f>ACUERDO!C10</f>
        <v>2.9.5-470.13</v>
      </c>
      <c r="C14" s="142" t="str">
        <f>ACUERDO!D10</f>
        <v>ALGODONES; TIPO: HIDROFILADO, CAPACIDAD: 500 GR, PRESENTACION: ENVASE X 500 GR</v>
      </c>
      <c r="D14" s="143"/>
      <c r="E14" s="143"/>
      <c r="F14" s="143"/>
      <c r="G14" s="144"/>
      <c r="H14" s="92" t="s">
        <v>355</v>
      </c>
      <c r="I14" s="93" t="str">
        <f>ACUERDO!F10</f>
        <v>UNIDAD</v>
      </c>
      <c r="J14" s="105">
        <f>ACUERDO!T10</f>
        <v>100</v>
      </c>
      <c r="K14" s="94">
        <f>ACUERDO!I10</f>
        <v>300</v>
      </c>
    </row>
    <row r="15" spans="1:11" ht="16.149999999999999" customHeight="1" x14ac:dyDescent="0.25">
      <c r="A15" s="91">
        <v>23</v>
      </c>
      <c r="B15" s="98" t="str">
        <f>ACUERDO!C25</f>
        <v>2.9.5-2160.10</v>
      </c>
      <c r="C15" s="142" t="str">
        <f>ACUERDO!D25</f>
        <v>DESCARTADORES DE AGUJAS; BOCA: 2, CAPACIDAD: 2 L, MODELO: P/AGUJAS COLECTA MULTIPLE, MODELO EQUIPO: P/AGUJAS COLECTA MULTIPLE, SISTEMA DE CIERRE: P/AGUJAS COLECTA MULTIPLE</v>
      </c>
      <c r="D15" s="143"/>
      <c r="E15" s="143"/>
      <c r="F15" s="143"/>
      <c r="G15" s="144"/>
      <c r="H15" s="92" t="s">
        <v>355</v>
      </c>
      <c r="I15" s="93" t="str">
        <f>ACUERDO!F25</f>
        <v>UNIDAD</v>
      </c>
      <c r="J15" s="105">
        <f>ACUERDO!T25</f>
        <v>91</v>
      </c>
      <c r="K15" s="94">
        <f>ACUERDO!I25</f>
        <v>90</v>
      </c>
    </row>
    <row r="16" spans="1:11" ht="16.149999999999999" customHeight="1" x14ac:dyDescent="0.25">
      <c r="A16" s="91">
        <v>40</v>
      </c>
      <c r="B16" s="98" t="str">
        <f>ACUERDO!C42</f>
        <v>2.9.5-1909.79</v>
      </c>
      <c r="C16" s="142" t="str">
        <f>ACUERDO!D42</f>
        <v>GUANTES USO MEDICINAL; TIPO: EXAMINACION , TAMAÑO: MEDIANO, MATERIAL: LATEX, PRESENTACION: ENVASE X 100 UN</v>
      </c>
      <c r="D16" s="143"/>
      <c r="E16" s="143"/>
      <c r="F16" s="143"/>
      <c r="G16" s="144"/>
      <c r="H16" s="92" t="s">
        <v>355</v>
      </c>
      <c r="I16" s="93" t="str">
        <f>ACUERDO!F42</f>
        <v>UNIDAD</v>
      </c>
      <c r="J16" s="105">
        <f>ACUERDO!T42</f>
        <v>93</v>
      </c>
      <c r="K16" s="94">
        <f>ACUERDO!I42</f>
        <v>150</v>
      </c>
    </row>
    <row r="17" spans="1:11" ht="16.149999999999999" customHeight="1" x14ac:dyDescent="0.25">
      <c r="A17" s="91">
        <v>41</v>
      </c>
      <c r="B17" s="98" t="str">
        <f>ACUERDO!C43</f>
        <v>2.9.5-1909.195</v>
      </c>
      <c r="C17" s="142" t="str">
        <f>ACUERDO!D43</f>
        <v>GUANTES USO MEDICINAL; TIPO: EXAMINACION, TAMAÑO: S 6/7, MATERIAL: LATEX, PRESENTACION: ENVASE X 100 UN, ESTERIL: NO, TALCO: CON, DESCARTABLE: SI</v>
      </c>
      <c r="D17" s="143"/>
      <c r="E17" s="143"/>
      <c r="F17" s="143"/>
      <c r="G17" s="144"/>
      <c r="H17" s="92" t="s">
        <v>355</v>
      </c>
      <c r="I17" s="93" t="str">
        <f>ACUERDO!F43</f>
        <v>UNIDAD</v>
      </c>
      <c r="J17" s="105">
        <f>ACUERDO!T43</f>
        <v>93</v>
      </c>
      <c r="K17" s="94">
        <f>ACUERDO!I43</f>
        <v>150</v>
      </c>
    </row>
    <row r="18" spans="1:11" ht="16.149999999999999" customHeight="1" x14ac:dyDescent="0.25">
      <c r="A18" s="91">
        <v>42</v>
      </c>
      <c r="B18" s="98" t="str">
        <f>ACUERDO!C44</f>
        <v>2.9.5-1909.172</v>
      </c>
      <c r="C18" s="142" t="str">
        <f>ACUERDO!D44</f>
        <v>GUANTES USO MEDICINAL; TIPO: EXAMINACION, TAMAÑO: S 6/7, MATERIAL: NITRILO, PRESENTACION: ENVASE X 100 UN, ESTERIL: NO, TALCO: SIN, DESCARTABLE: SI</v>
      </c>
      <c r="D18" s="143"/>
      <c r="E18" s="143"/>
      <c r="F18" s="143"/>
      <c r="G18" s="144"/>
      <c r="H18" s="92" t="s">
        <v>355</v>
      </c>
      <c r="I18" s="93" t="str">
        <f>ACUERDO!F44</f>
        <v>UNIDAD</v>
      </c>
      <c r="J18" s="105">
        <f>ACUERDO!T44</f>
        <v>93</v>
      </c>
      <c r="K18" s="94">
        <f>ACUERDO!I44</f>
        <v>30</v>
      </c>
    </row>
    <row r="19" spans="1:11" ht="16.149999999999999" customHeight="1" x14ac:dyDescent="0.25">
      <c r="A19" s="91">
        <v>43</v>
      </c>
      <c r="B19" s="98" t="str">
        <f>ACUERDO!C45</f>
        <v>2.9.5-1909.174</v>
      </c>
      <c r="C19" s="142" t="str">
        <f>ACUERDO!D45</f>
        <v>GUANTES USO MEDICINAL; TIPO: EXAMINACION, TAMAÑO: L 8/9, MATERIAL: NITRILO, PRESENTACION: ENVASE X 100 UN, ESTERIL: NO, TALCO: SIN, DESCARTABLE: SI</v>
      </c>
      <c r="D19" s="143"/>
      <c r="E19" s="143"/>
      <c r="F19" s="143"/>
      <c r="G19" s="144"/>
      <c r="H19" s="92" t="s">
        <v>355</v>
      </c>
      <c r="I19" s="93" t="str">
        <f>ACUERDO!F45</f>
        <v>UNIDAD</v>
      </c>
      <c r="J19" s="105">
        <f>ACUERDO!T45</f>
        <v>93</v>
      </c>
      <c r="K19" s="94">
        <f>ACUERDO!I45</f>
        <v>15</v>
      </c>
    </row>
    <row r="20" spans="1:11" ht="16.149999999999999" customHeight="1" x14ac:dyDescent="0.25">
      <c r="A20" s="91">
        <v>44</v>
      </c>
      <c r="B20" s="98" t="str">
        <f>ACUERDO!C46</f>
        <v>2.9.5-1909.173</v>
      </c>
      <c r="C20" s="142" t="str">
        <f>ACUERDO!D46</f>
        <v>GUANTES USO MEDICINAL; TIPO: EXAMINACION, TAMAÑO: M 7/8, MATERIAL: NITRILO, PRESENTACION: ENVASE X 100 UN, ESTERIL: NO, TALCO: SIN, DESCARTABLE: SI</v>
      </c>
      <c r="D20" s="143"/>
      <c r="E20" s="143"/>
      <c r="F20" s="143"/>
      <c r="G20" s="144"/>
      <c r="H20" s="92" t="s">
        <v>355</v>
      </c>
      <c r="I20" s="93" t="str">
        <f>ACUERDO!F46</f>
        <v>UNIDAD</v>
      </c>
      <c r="J20" s="105">
        <f>ACUERDO!T46</f>
        <v>93</v>
      </c>
      <c r="K20" s="94">
        <f>ACUERDO!I46</f>
        <v>30</v>
      </c>
    </row>
    <row r="21" spans="1:11" ht="16.149999999999999" customHeight="1" x14ac:dyDescent="0.25">
      <c r="A21" s="91">
        <v>45</v>
      </c>
      <c r="B21" s="98" t="str">
        <f>ACUERDO!C47</f>
        <v>2.9.5-1909.169</v>
      </c>
      <c r="C21" s="142" t="str">
        <f>ACUERDO!D47</f>
        <v>GUANTES USO MEDICINAL; TIPO: EXAMINACION, TAMAÑO: L 8/9, MATERIAL: VINILO, PRESENTACION: ENVASE X 100 UN, ESTERIL: NO, TALCO: SIN, DESCARTABLE: SI</v>
      </c>
      <c r="D21" s="143"/>
      <c r="E21" s="143"/>
      <c r="F21" s="143"/>
      <c r="G21" s="144"/>
      <c r="H21" s="92" t="s">
        <v>355</v>
      </c>
      <c r="I21" s="93" t="str">
        <f>ACUERDO!F47</f>
        <v>UNIDAD</v>
      </c>
      <c r="J21" s="105">
        <f>ACUERDO!T47</f>
        <v>93</v>
      </c>
      <c r="K21" s="94">
        <f>ACUERDO!I47</f>
        <v>15</v>
      </c>
    </row>
    <row r="22" spans="1:11" ht="16.149999999999999" customHeight="1" x14ac:dyDescent="0.25">
      <c r="A22" s="91">
        <v>46</v>
      </c>
      <c r="B22" s="98" t="str">
        <f>ACUERDO!C48</f>
        <v>2.9.5-1909.168</v>
      </c>
      <c r="C22" s="142" t="str">
        <f>ACUERDO!D48</f>
        <v>GUANTES USO MEDICINAL; TIPO: EXAMINACION, TAMAÑO: M 7/8, MATERIAL: VINILO, PRESENTACION: ENVASE X 100 UN, ESTERIL: NO, TALCO: SIN, DESCARTABLE: SI</v>
      </c>
      <c r="D22" s="143"/>
      <c r="E22" s="143"/>
      <c r="F22" s="143"/>
      <c r="G22" s="144"/>
      <c r="H22" s="92" t="s">
        <v>355</v>
      </c>
      <c r="I22" s="93" t="str">
        <f>ACUERDO!F48</f>
        <v>UNIDAD</v>
      </c>
      <c r="J22" s="105">
        <f>ACUERDO!T48</f>
        <v>93</v>
      </c>
      <c r="K22" s="94">
        <f>ACUERDO!I48</f>
        <v>150</v>
      </c>
    </row>
    <row r="23" spans="1:11" ht="16.149999999999999" customHeight="1" x14ac:dyDescent="0.25">
      <c r="A23" s="91">
        <v>55</v>
      </c>
      <c r="B23" s="98" t="str">
        <f>ACUERDO!C57</f>
        <v>2.9.5-2157.60</v>
      </c>
      <c r="C23" s="142" t="str">
        <f>ACUERDO!D57</f>
        <v>JERINGAS DESCARTABLES; CAPACIDAD: 10 mL, AGUJA: SIN, USO: MEDICINAL</v>
      </c>
      <c r="D23" s="143"/>
      <c r="E23" s="143"/>
      <c r="F23" s="143"/>
      <c r="G23" s="144"/>
      <c r="H23" s="92" t="s">
        <v>355</v>
      </c>
      <c r="I23" s="93" t="str">
        <f>ACUERDO!F57</f>
        <v>UNIDAD</v>
      </c>
      <c r="J23" s="105">
        <f>ACUERDO!T57</f>
        <v>93</v>
      </c>
      <c r="K23" s="94">
        <f>ACUERDO!I57</f>
        <v>90</v>
      </c>
    </row>
    <row r="24" spans="1:11" ht="16.149999999999999" customHeight="1" x14ac:dyDescent="0.25">
      <c r="A24" s="91">
        <v>57</v>
      </c>
      <c r="B24" s="98" t="str">
        <f>ACUERDO!C59</f>
        <v>2.9.5-2157.67</v>
      </c>
      <c r="C24" s="142" t="str">
        <f>ACUERDO!D59</f>
        <v>JERINGAS DESCARTABLES; CAPACIDAD: 5 CM3, AGUJA: SIN, USO: SIN VALOR</v>
      </c>
      <c r="D24" s="143"/>
      <c r="E24" s="143"/>
      <c r="F24" s="143"/>
      <c r="G24" s="144"/>
      <c r="H24" s="92" t="s">
        <v>355</v>
      </c>
      <c r="I24" s="93" t="str">
        <f>ACUERDO!F59</f>
        <v>UNIDAD</v>
      </c>
      <c r="J24" s="105">
        <f>ACUERDO!T59</f>
        <v>93</v>
      </c>
      <c r="K24" s="94">
        <f>ACUERDO!I59</f>
        <v>150</v>
      </c>
    </row>
    <row r="25" spans="1:11" ht="16.149999999999999" customHeight="1" x14ac:dyDescent="0.25">
      <c r="A25" s="91">
        <v>65</v>
      </c>
      <c r="B25" s="98" t="str">
        <f>ACUERDO!C67</f>
        <v>2.9.5-1909.96</v>
      </c>
      <c r="C25" s="142" t="str">
        <f>ACUERDO!D67</f>
        <v>GUANTES USO MEDICINAL; TIPO: MANOPLA, TAMAÑO: MEDIANO, MATERIAL: POLIETILENO, PRESENTACION: ENVASE X 100</v>
      </c>
      <c r="D25" s="143"/>
      <c r="E25" s="143"/>
      <c r="F25" s="143"/>
      <c r="G25" s="144"/>
      <c r="H25" s="92" t="s">
        <v>355</v>
      </c>
      <c r="I25" s="93" t="str">
        <f>ACUERDO!F67</f>
        <v>UNIDAD</v>
      </c>
      <c r="J25" s="105">
        <f>ACUERDO!T67</f>
        <v>93</v>
      </c>
      <c r="K25" s="94">
        <f>ACUERDO!I67</f>
        <v>150</v>
      </c>
    </row>
    <row r="26" spans="1:11" ht="16.149999999999999" customHeight="1" x14ac:dyDescent="0.25">
      <c r="A26" s="91">
        <v>75</v>
      </c>
      <c r="B26" s="98" t="str">
        <f>ACUERDO!C77</f>
        <v>2.9.5-2562.11</v>
      </c>
      <c r="C26" s="142" t="str">
        <f>ACUERDO!D77</f>
        <v>PORTAOBJETOS P/MICROSCOPIO; MATERIAL: VIDRIO, PRESENTACION: CAJA X 100 UN, TAMAÑO: 25 X 76 X 1,2 mm</v>
      </c>
      <c r="D26" s="143"/>
      <c r="E26" s="143"/>
      <c r="F26" s="143"/>
      <c r="G26" s="144"/>
      <c r="H26" s="92" t="s">
        <v>355</v>
      </c>
      <c r="I26" s="93" t="str">
        <f>ACUERDO!F77</f>
        <v>UNIDAD</v>
      </c>
      <c r="J26" s="105">
        <f>ACUERDO!T77</f>
        <v>91</v>
      </c>
      <c r="K26" s="94">
        <f>ACUERDO!I77</f>
        <v>150</v>
      </c>
    </row>
    <row r="27" spans="1:11" ht="15.75" x14ac:dyDescent="0.25">
      <c r="A27" s="49"/>
      <c r="B27" s="99"/>
      <c r="C27" s="157"/>
      <c r="D27" s="157"/>
      <c r="E27" s="157"/>
      <c r="F27" s="157"/>
      <c r="G27" s="157"/>
      <c r="H27" s="50"/>
      <c r="I27" s="51"/>
      <c r="J27" s="106"/>
      <c r="K27" s="52"/>
    </row>
    <row r="28" spans="1:11" ht="19.5" thickBot="1" x14ac:dyDescent="0.3">
      <c r="A28" s="154" t="s">
        <v>388</v>
      </c>
      <c r="B28" s="154"/>
      <c r="C28" s="154"/>
      <c r="D28" s="154"/>
      <c r="E28" s="154"/>
      <c r="F28" s="154"/>
      <c r="G28" s="154"/>
      <c r="H28" s="154"/>
      <c r="I28" s="154"/>
      <c r="J28" s="155">
        <f>SUMPRODUCT(J12:J26,K12:K26)</f>
        <v>177330</v>
      </c>
      <c r="K28" s="156"/>
    </row>
  </sheetData>
  <mergeCells count="32">
    <mergeCell ref="J28:K28"/>
    <mergeCell ref="C27:G27"/>
    <mergeCell ref="A28:I28"/>
    <mergeCell ref="C26:G26"/>
    <mergeCell ref="C25:G25"/>
    <mergeCell ref="C23:G23"/>
    <mergeCell ref="C24:G24"/>
    <mergeCell ref="C17:G17"/>
    <mergeCell ref="C18:G18"/>
    <mergeCell ref="C19:G19"/>
    <mergeCell ref="C20:G20"/>
    <mergeCell ref="C21:G21"/>
    <mergeCell ref="C22:G22"/>
    <mergeCell ref="C16:G16"/>
    <mergeCell ref="C15:G15"/>
    <mergeCell ref="C14:G14"/>
    <mergeCell ref="J10:J11"/>
    <mergeCell ref="K10:K11"/>
    <mergeCell ref="C12:G12"/>
    <mergeCell ref="C13:G13"/>
    <mergeCell ref="I10:I11"/>
    <mergeCell ref="A8:C8"/>
    <mergeCell ref="A10:A11"/>
    <mergeCell ref="B10:B11"/>
    <mergeCell ref="C10:G11"/>
    <mergeCell ref="H10:H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5"/>
  <sheetViews>
    <sheetView topLeftCell="A10" workbookViewId="0">
      <selection activeCell="S34" sqref="S34"/>
    </sheetView>
  </sheetViews>
  <sheetFormatPr baseColWidth="10" defaultRowHeight="15" x14ac:dyDescent="0.25"/>
  <cols>
    <col min="1" max="5" width="4.42578125" customWidth="1"/>
    <col min="6" max="6" width="7.7109375" customWidth="1"/>
    <col min="7" max="13" width="4.42578125" customWidth="1"/>
    <col min="14" max="14" width="4.42578125" style="29" customWidth="1"/>
    <col min="15" max="16" width="14.85546875" customWidth="1"/>
    <col min="17" max="17" width="14.7109375" customWidth="1"/>
  </cols>
  <sheetData>
    <row r="1" spans="1:17" ht="15.75" thickBot="1" x14ac:dyDescent="0.3">
      <c r="A1" s="159" t="s">
        <v>332</v>
      </c>
      <c r="B1" s="159"/>
      <c r="C1" s="159"/>
      <c r="D1" s="160">
        <v>2022</v>
      </c>
      <c r="E1" s="160"/>
      <c r="F1" s="53"/>
      <c r="G1" s="53"/>
      <c r="H1" s="54"/>
      <c r="I1" s="54"/>
      <c r="J1" s="54"/>
      <c r="K1" s="54"/>
      <c r="L1" s="54"/>
      <c r="M1" s="54"/>
      <c r="N1" s="54"/>
      <c r="O1" s="55"/>
      <c r="P1" s="161" t="s">
        <v>333</v>
      </c>
      <c r="Q1" s="161"/>
    </row>
    <row r="2" spans="1:17" ht="15" customHeight="1" thickBot="1" x14ac:dyDescent="0.3">
      <c r="A2" s="56"/>
      <c r="B2" s="1"/>
      <c r="C2" s="1"/>
      <c r="D2" s="1"/>
      <c r="E2" s="1"/>
      <c r="F2" s="1"/>
      <c r="G2" s="57"/>
      <c r="H2" s="58"/>
      <c r="I2" s="58"/>
      <c r="J2" s="58"/>
      <c r="K2" s="58"/>
      <c r="L2" s="58"/>
      <c r="M2" s="58"/>
      <c r="N2" s="58"/>
      <c r="O2" s="1"/>
      <c r="P2" s="161"/>
      <c r="Q2" s="161"/>
    </row>
    <row r="3" spans="1:17" ht="15.75" thickBot="1" x14ac:dyDescent="0.3">
      <c r="A3" s="56"/>
      <c r="B3" s="1"/>
      <c r="C3" s="1"/>
      <c r="D3" s="1"/>
      <c r="E3" s="1"/>
      <c r="F3" s="1"/>
      <c r="G3" s="57"/>
      <c r="H3" s="1"/>
      <c r="I3" s="1"/>
      <c r="J3" s="1"/>
      <c r="K3" s="1"/>
      <c r="L3" s="1"/>
      <c r="M3" s="1"/>
      <c r="N3" s="1"/>
      <c r="O3" s="1"/>
      <c r="P3" s="1"/>
      <c r="Q3" s="59"/>
    </row>
    <row r="4" spans="1:17" ht="15.75" thickBot="1" x14ac:dyDescent="0.3">
      <c r="A4" s="162" t="s">
        <v>334</v>
      </c>
      <c r="B4" s="162"/>
      <c r="C4" s="162"/>
      <c r="D4" s="162"/>
      <c r="E4" s="162"/>
      <c r="F4" s="162"/>
      <c r="G4" s="163" t="str">
        <f>'NP LAB'!D3</f>
        <v>040 - MINISTERIO DE SALUD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ht="15.75" thickBot="1" x14ac:dyDescent="0.3">
      <c r="A5" s="164" t="s">
        <v>316</v>
      </c>
      <c r="B5" s="164"/>
      <c r="C5" s="164"/>
      <c r="D5" s="164"/>
      <c r="E5" s="164"/>
      <c r="F5" s="164"/>
      <c r="G5" s="163" t="str">
        <f>'NP LAB'!D4</f>
        <v>011 - DIRECCION PROVINCIAL DE ADMINISTRACION - MS</v>
      </c>
      <c r="H5" s="163"/>
      <c r="I5" s="163"/>
      <c r="J5" s="163"/>
      <c r="K5" s="163"/>
      <c r="L5" s="163"/>
      <c r="M5" s="163"/>
      <c r="N5" s="163"/>
      <c r="O5" s="163"/>
      <c r="P5" s="163"/>
      <c r="Q5" s="163"/>
    </row>
    <row r="6" spans="1:17" ht="15" customHeight="1" thickBot="1" x14ac:dyDescent="0.3">
      <c r="A6" s="164" t="s">
        <v>317</v>
      </c>
      <c r="B6" s="164"/>
      <c r="C6" s="164"/>
      <c r="D6" s="164"/>
      <c r="E6" s="164"/>
      <c r="F6" s="164"/>
      <c r="G6" s="163" t="str">
        <f>'NP LAB'!D5</f>
        <v>DIRECCION PROVINCIAL DE LABORATORIO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ht="15" customHeight="1" thickBot="1" x14ac:dyDescent="0.3">
      <c r="A7" s="164" t="s">
        <v>318</v>
      </c>
      <c r="B7" s="164"/>
      <c r="C7" s="164"/>
      <c r="D7" s="164"/>
      <c r="E7" s="164"/>
      <c r="F7" s="164"/>
      <c r="G7" s="163" t="str">
        <f>'NP LAB'!D6</f>
        <v>DIRECCION PROVINCIAL DE LABORATORIO</v>
      </c>
      <c r="H7" s="163"/>
      <c r="I7" s="163"/>
      <c r="J7" s="163"/>
      <c r="K7" s="163"/>
      <c r="L7" s="163"/>
      <c r="M7" s="163"/>
      <c r="N7" s="163"/>
      <c r="O7" s="163"/>
      <c r="P7" s="163"/>
      <c r="Q7" s="163"/>
    </row>
    <row r="8" spans="1:17" ht="15.75" thickBot="1" x14ac:dyDescent="0.3">
      <c r="A8" s="165" t="s">
        <v>335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</row>
    <row r="9" spans="1:17" x14ac:dyDescent="0.25">
      <c r="A9" s="158" t="s">
        <v>336</v>
      </c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</row>
    <row r="10" spans="1:17" ht="55.15" customHeight="1" x14ac:dyDescent="0.25">
      <c r="A10" s="167" t="s">
        <v>399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</row>
    <row r="11" spans="1:17" ht="15.75" thickBot="1" x14ac:dyDescent="0.3">
      <c r="A11" s="60"/>
      <c r="B11" s="61"/>
      <c r="C11" s="61"/>
      <c r="D11" s="61"/>
      <c r="E11" s="61"/>
      <c r="F11" s="61"/>
      <c r="G11" s="62"/>
      <c r="H11" s="61"/>
      <c r="I11" s="61"/>
      <c r="J11" s="61"/>
      <c r="K11" s="61"/>
      <c r="L11" s="61"/>
      <c r="M11" s="61"/>
      <c r="N11" s="61"/>
      <c r="O11" s="61"/>
      <c r="P11" s="61"/>
      <c r="Q11" s="63"/>
    </row>
    <row r="12" spans="1:17" ht="15.75" thickBot="1" x14ac:dyDescent="0.3">
      <c r="A12" s="168" t="s">
        <v>337</v>
      </c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</row>
    <row r="13" spans="1:17" ht="15" customHeight="1" thickBot="1" x14ac:dyDescent="0.3">
      <c r="A13" s="169" t="s">
        <v>338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70" t="s">
        <v>339</v>
      </c>
      <c r="P13" s="170"/>
      <c r="Q13" s="171" t="s">
        <v>340</v>
      </c>
    </row>
    <row r="14" spans="1:17" ht="15.75" thickBot="1" x14ac:dyDescent="0.3">
      <c r="A14" s="64" t="s">
        <v>341</v>
      </c>
      <c r="B14" s="65" t="s">
        <v>342</v>
      </c>
      <c r="C14" s="65" t="s">
        <v>343</v>
      </c>
      <c r="D14" s="65" t="s">
        <v>344</v>
      </c>
      <c r="E14" s="65" t="s">
        <v>345</v>
      </c>
      <c r="F14" s="65" t="s">
        <v>346</v>
      </c>
      <c r="G14" s="66" t="s">
        <v>347</v>
      </c>
      <c r="H14" s="65" t="s">
        <v>348</v>
      </c>
      <c r="I14" s="65" t="s">
        <v>349</v>
      </c>
      <c r="J14" s="65" t="s">
        <v>350</v>
      </c>
      <c r="K14" s="65" t="s">
        <v>350</v>
      </c>
      <c r="L14" s="65" t="s">
        <v>351</v>
      </c>
      <c r="M14" s="67" t="s">
        <v>352</v>
      </c>
      <c r="N14" s="68" t="s">
        <v>353</v>
      </c>
      <c r="O14" s="170"/>
      <c r="P14" s="170"/>
      <c r="Q14" s="171"/>
    </row>
    <row r="15" spans="1:17" ht="31.15" customHeight="1" x14ac:dyDescent="0.25">
      <c r="A15" s="69">
        <v>62</v>
      </c>
      <c r="B15" s="70"/>
      <c r="C15" s="70"/>
      <c r="D15" s="70">
        <v>1</v>
      </c>
      <c r="E15" s="70"/>
      <c r="F15" s="70">
        <v>4901</v>
      </c>
      <c r="G15" s="70">
        <v>3</v>
      </c>
      <c r="H15" s="70">
        <v>1</v>
      </c>
      <c r="I15" s="70">
        <v>2</v>
      </c>
      <c r="J15" s="70">
        <v>9</v>
      </c>
      <c r="K15" s="70">
        <v>5</v>
      </c>
      <c r="L15" s="70"/>
      <c r="M15" s="71">
        <v>1</v>
      </c>
      <c r="N15" s="70" t="s">
        <v>356</v>
      </c>
      <c r="O15" s="172" t="s">
        <v>368</v>
      </c>
      <c r="P15" s="172"/>
      <c r="Q15" s="72">
        <f>'NP LAB'!J28</f>
        <v>177330</v>
      </c>
    </row>
    <row r="16" spans="1:17" x14ac:dyDescent="0.25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5"/>
      <c r="N16" s="76"/>
      <c r="O16" s="173"/>
      <c r="P16" s="173"/>
      <c r="Q16" s="77"/>
    </row>
    <row r="17" spans="1:17" x14ac:dyDescent="0.25">
      <c r="A17" s="73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76"/>
      <c r="O17" s="174"/>
      <c r="P17" s="174"/>
      <c r="Q17" s="77"/>
    </row>
    <row r="18" spans="1:17" x14ac:dyDescent="0.25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5"/>
      <c r="N18" s="76"/>
      <c r="O18" s="166"/>
      <c r="P18" s="166"/>
      <c r="Q18" s="77"/>
    </row>
    <row r="19" spans="1:17" x14ac:dyDescent="0.25">
      <c r="A19" s="73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5"/>
      <c r="N19" s="76"/>
      <c r="O19" s="166"/>
      <c r="P19" s="166"/>
      <c r="Q19" s="77"/>
    </row>
    <row r="20" spans="1:17" x14ac:dyDescent="0.25">
      <c r="A20" s="73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5"/>
      <c r="N20" s="76"/>
      <c r="O20" s="166"/>
      <c r="P20" s="166"/>
      <c r="Q20" s="77"/>
    </row>
    <row r="21" spans="1:17" x14ac:dyDescent="0.25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5"/>
      <c r="N21" s="76"/>
      <c r="O21" s="166"/>
      <c r="P21" s="166"/>
      <c r="Q21" s="77"/>
    </row>
    <row r="22" spans="1:17" x14ac:dyDescent="0.25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5"/>
      <c r="N22" s="76"/>
      <c r="O22" s="166"/>
      <c r="P22" s="166"/>
      <c r="Q22" s="77"/>
    </row>
    <row r="23" spans="1:17" x14ac:dyDescent="0.25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5"/>
      <c r="N23" s="76"/>
      <c r="O23" s="166"/>
      <c r="P23" s="166"/>
      <c r="Q23" s="77"/>
    </row>
    <row r="24" spans="1:17" x14ac:dyDescent="0.25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5"/>
      <c r="N24" s="76"/>
      <c r="O24" s="166"/>
      <c r="P24" s="166"/>
      <c r="Q24" s="77"/>
    </row>
    <row r="25" spans="1:17" x14ac:dyDescent="0.25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5"/>
      <c r="N25" s="76"/>
      <c r="O25" s="166"/>
      <c r="P25" s="166"/>
      <c r="Q25" s="77"/>
    </row>
    <row r="26" spans="1:17" x14ac:dyDescent="0.25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5"/>
      <c r="N26" s="76"/>
      <c r="O26" s="166"/>
      <c r="P26" s="166"/>
      <c r="Q26" s="77"/>
    </row>
    <row r="27" spans="1:17" x14ac:dyDescent="0.25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5"/>
      <c r="N27" s="76"/>
      <c r="O27" s="166"/>
      <c r="P27" s="166"/>
      <c r="Q27" s="77"/>
    </row>
    <row r="28" spans="1:17" x14ac:dyDescent="0.25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5"/>
      <c r="N28" s="76"/>
      <c r="O28" s="166"/>
      <c r="P28" s="166"/>
      <c r="Q28" s="77"/>
    </row>
    <row r="29" spans="1:17" x14ac:dyDescent="0.25">
      <c r="A29" s="73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5"/>
      <c r="N29" s="76"/>
      <c r="O29" s="166"/>
      <c r="P29" s="166"/>
      <c r="Q29" s="77"/>
    </row>
    <row r="30" spans="1:17" x14ac:dyDescent="0.25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/>
      <c r="N30" s="76"/>
      <c r="O30" s="166"/>
      <c r="P30" s="166"/>
      <c r="Q30" s="77"/>
    </row>
    <row r="31" spans="1:17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5"/>
      <c r="N31" s="76"/>
      <c r="O31" s="166"/>
      <c r="P31" s="166"/>
      <c r="Q31" s="77"/>
    </row>
    <row r="32" spans="1:17" x14ac:dyDescent="0.25">
      <c r="A32" s="73"/>
      <c r="B32" s="74"/>
      <c r="C32" s="74"/>
      <c r="D32" s="74"/>
      <c r="E32" s="74"/>
      <c r="F32" s="76"/>
      <c r="G32" s="74"/>
      <c r="H32" s="74"/>
      <c r="I32" s="74"/>
      <c r="J32" s="74"/>
      <c r="K32" s="74"/>
      <c r="L32" s="74"/>
      <c r="M32" s="75"/>
      <c r="N32" s="76"/>
      <c r="O32" s="173"/>
      <c r="P32" s="173"/>
      <c r="Q32" s="77"/>
    </row>
    <row r="33" spans="1:17" x14ac:dyDescent="0.25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5"/>
      <c r="N33" s="76"/>
      <c r="O33" s="173"/>
      <c r="P33" s="173"/>
      <c r="Q33" s="77"/>
    </row>
    <row r="34" spans="1:17" x14ac:dyDescent="0.25">
      <c r="A34" s="73"/>
      <c r="B34" s="74"/>
      <c r="C34" s="74"/>
      <c r="D34" s="74"/>
      <c r="E34" s="74"/>
      <c r="F34" s="76"/>
      <c r="G34" s="74"/>
      <c r="H34" s="74"/>
      <c r="I34" s="74"/>
      <c r="J34" s="74"/>
      <c r="K34" s="74"/>
      <c r="L34" s="74"/>
      <c r="M34" s="75"/>
      <c r="N34" s="76"/>
      <c r="O34" s="173"/>
      <c r="P34" s="173"/>
      <c r="Q34" s="77"/>
    </row>
    <row r="35" spans="1:17" x14ac:dyDescent="0.25">
      <c r="A35" s="73"/>
      <c r="B35" s="74"/>
      <c r="C35" s="74"/>
      <c r="D35" s="74"/>
      <c r="E35" s="74"/>
      <c r="F35" s="76"/>
      <c r="G35" s="74"/>
      <c r="H35" s="74"/>
      <c r="I35" s="74"/>
      <c r="J35" s="74"/>
      <c r="K35" s="74"/>
      <c r="L35" s="74"/>
      <c r="M35" s="75"/>
      <c r="N35" s="76"/>
      <c r="O35" s="173"/>
      <c r="P35" s="173"/>
      <c r="Q35" s="77"/>
    </row>
    <row r="36" spans="1:17" x14ac:dyDescent="0.25">
      <c r="A36" s="78"/>
      <c r="B36" s="79"/>
      <c r="C36" s="79"/>
      <c r="D36" s="79"/>
      <c r="E36" s="79"/>
      <c r="F36" s="80"/>
      <c r="G36" s="79"/>
      <c r="H36" s="79"/>
      <c r="I36" s="79"/>
      <c r="J36" s="79"/>
      <c r="K36" s="79"/>
      <c r="L36" s="79"/>
      <c r="M36" s="81"/>
      <c r="N36" s="82"/>
      <c r="O36" s="178"/>
      <c r="P36" s="178"/>
      <c r="Q36" s="77"/>
    </row>
    <row r="37" spans="1:17" ht="15.75" thickBot="1" x14ac:dyDescent="0.3">
      <c r="A37" s="83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5"/>
      <c r="N37" s="84"/>
      <c r="O37" s="179"/>
      <c r="P37" s="179"/>
      <c r="Q37" s="86"/>
    </row>
    <row r="38" spans="1:17" ht="28.5" customHeight="1" thickBot="1" x14ac:dyDescent="0.3">
      <c r="A38" s="180" t="s">
        <v>393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87">
        <f>SUM(Q15:Q37)</f>
        <v>177330</v>
      </c>
    </row>
    <row r="39" spans="1:17" ht="15.75" thickBot="1" x14ac:dyDescent="0.3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</row>
    <row r="40" spans="1:17" ht="15" customHeight="1" thickBot="1" x14ac:dyDescent="0.3">
      <c r="A40" s="175" t="s">
        <v>354</v>
      </c>
      <c r="B40" s="175"/>
      <c r="C40" s="175"/>
      <c r="D40" s="175"/>
      <c r="E40" s="175"/>
      <c r="F40" s="175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</row>
    <row r="41" spans="1:17" ht="15.75" thickBot="1" x14ac:dyDescent="0.3">
      <c r="A41" s="177" t="str">
        <f>'NP LAB'!D8</f>
        <v>ACUERDO MARCO PEDIDO DE INSUMOS COMUNES</v>
      </c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</row>
    <row r="42" spans="1:17" ht="15.75" thickBot="1" x14ac:dyDescent="0.3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</row>
    <row r="43" spans="1:17" x14ac:dyDescent="0.25">
      <c r="N43" s="30"/>
    </row>
    <row r="44" spans="1:17" x14ac:dyDescent="0.25">
      <c r="N44" s="30"/>
    </row>
    <row r="45" spans="1:17" x14ac:dyDescent="0.25">
      <c r="N45" s="30"/>
    </row>
    <row r="46" spans="1:17" x14ac:dyDescent="0.25">
      <c r="N46" s="30"/>
    </row>
    <row r="47" spans="1:17" x14ac:dyDescent="0.25">
      <c r="N47" s="30"/>
    </row>
    <row r="48" spans="1:17" x14ac:dyDescent="0.25">
      <c r="N48" s="30"/>
    </row>
    <row r="49" spans="14:14" x14ac:dyDescent="0.25">
      <c r="N49" s="30"/>
    </row>
    <row r="50" spans="14:14" x14ac:dyDescent="0.25">
      <c r="N50" s="30"/>
    </row>
    <row r="51" spans="14:14" x14ac:dyDescent="0.25">
      <c r="N51" s="30"/>
    </row>
    <row r="52" spans="14:14" x14ac:dyDescent="0.25">
      <c r="N52" s="30"/>
    </row>
    <row r="53" spans="14:14" x14ac:dyDescent="0.25">
      <c r="N53" s="30"/>
    </row>
    <row r="54" spans="14:14" x14ac:dyDescent="0.25">
      <c r="N54" s="30"/>
    </row>
    <row r="55" spans="14:14" x14ac:dyDescent="0.25">
      <c r="N55" s="30"/>
    </row>
    <row r="56" spans="14:14" x14ac:dyDescent="0.25">
      <c r="N56" s="30"/>
    </row>
    <row r="57" spans="14:14" x14ac:dyDescent="0.25">
      <c r="N57" s="30"/>
    </row>
    <row r="58" spans="14:14" x14ac:dyDescent="0.25">
      <c r="N58" s="30"/>
    </row>
    <row r="59" spans="14:14" x14ac:dyDescent="0.25">
      <c r="N59" s="30"/>
    </row>
    <row r="60" spans="14:14" x14ac:dyDescent="0.25">
      <c r="N60" s="30"/>
    </row>
    <row r="61" spans="14:14" x14ac:dyDescent="0.25">
      <c r="N61" s="30"/>
    </row>
    <row r="62" spans="14:14" x14ac:dyDescent="0.25">
      <c r="N62" s="30"/>
    </row>
    <row r="63" spans="14:14" x14ac:dyDescent="0.25">
      <c r="N63" s="30"/>
    </row>
    <row r="64" spans="14:14" x14ac:dyDescent="0.25">
      <c r="N64" s="30"/>
    </row>
    <row r="65" spans="14:14" x14ac:dyDescent="0.25">
      <c r="N65" s="30"/>
    </row>
    <row r="66" spans="14:14" x14ac:dyDescent="0.25">
      <c r="N66" s="30"/>
    </row>
    <row r="67" spans="14:14" x14ac:dyDescent="0.25">
      <c r="N67" s="30"/>
    </row>
    <row r="68" spans="14:14" x14ac:dyDescent="0.25">
      <c r="N68" s="30"/>
    </row>
    <row r="69" spans="14:14" x14ac:dyDescent="0.25">
      <c r="N69" s="30"/>
    </row>
    <row r="70" spans="14:14" x14ac:dyDescent="0.25">
      <c r="N70" s="30"/>
    </row>
    <row r="71" spans="14:14" x14ac:dyDescent="0.25">
      <c r="N71" s="30"/>
    </row>
    <row r="72" spans="14:14" x14ac:dyDescent="0.25">
      <c r="N72" s="30"/>
    </row>
    <row r="73" spans="14:14" x14ac:dyDescent="0.25">
      <c r="N73" s="30"/>
    </row>
    <row r="74" spans="14:14" x14ac:dyDescent="0.25">
      <c r="N74" s="30"/>
    </row>
    <row r="75" spans="14:14" x14ac:dyDescent="0.25">
      <c r="N75" s="30"/>
    </row>
    <row r="76" spans="14:14" x14ac:dyDescent="0.25">
      <c r="N76" s="30"/>
    </row>
    <row r="77" spans="14:14" x14ac:dyDescent="0.25">
      <c r="N77" s="30"/>
    </row>
    <row r="78" spans="14:14" x14ac:dyDescent="0.25">
      <c r="N78" s="30"/>
    </row>
    <row r="79" spans="14:14" x14ac:dyDescent="0.25">
      <c r="N79" s="30"/>
    </row>
    <row r="80" spans="14:14" x14ac:dyDescent="0.25">
      <c r="N80" s="30"/>
    </row>
    <row r="81" spans="14:14" x14ac:dyDescent="0.25">
      <c r="N81" s="30"/>
    </row>
    <row r="82" spans="14:14" x14ac:dyDescent="0.25">
      <c r="N82" s="30"/>
    </row>
    <row r="83" spans="14:14" x14ac:dyDescent="0.25">
      <c r="N83" s="30"/>
    </row>
    <row r="84" spans="14:14" x14ac:dyDescent="0.25">
      <c r="N84" s="30"/>
    </row>
    <row r="85" spans="14:14" x14ac:dyDescent="0.25">
      <c r="N85" s="30"/>
    </row>
    <row r="86" spans="14:14" x14ac:dyDescent="0.25">
      <c r="N86" s="30"/>
    </row>
    <row r="87" spans="14:14" x14ac:dyDescent="0.25">
      <c r="N87" s="30"/>
    </row>
    <row r="88" spans="14:14" x14ac:dyDescent="0.25">
      <c r="N88" s="30"/>
    </row>
    <row r="89" spans="14:14" x14ac:dyDescent="0.25">
      <c r="N89" s="30"/>
    </row>
    <row r="125" spans="14:14" x14ac:dyDescent="0.25">
      <c r="N125" s="29">
        <v>91</v>
      </c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N22" sqref="N22"/>
    </sheetView>
  </sheetViews>
  <sheetFormatPr baseColWidth="10" defaultRowHeight="15" x14ac:dyDescent="0.25"/>
  <cols>
    <col min="1" max="1" width="5.5703125" customWidth="1"/>
    <col min="2" max="2" width="15.140625" style="12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1.140625" customWidth="1"/>
    <col min="8" max="8" width="9.28515625" customWidth="1"/>
    <col min="9" max="9" width="15.5703125" customWidth="1"/>
    <col min="10" max="10" width="14.7109375" style="28" customWidth="1"/>
    <col min="11" max="11" width="15.5703125" customWidth="1"/>
  </cols>
  <sheetData>
    <row r="1" spans="1:11" ht="30.75" thickBot="1" x14ac:dyDescent="0.3">
      <c r="A1" s="139" t="s">
        <v>314</v>
      </c>
      <c r="B1" s="139"/>
      <c r="C1" s="139"/>
      <c r="D1" s="139"/>
      <c r="E1" s="139"/>
      <c r="F1" s="139"/>
      <c r="G1" s="139"/>
      <c r="H1" s="139"/>
      <c r="I1" s="139"/>
      <c r="J1" s="100" t="s">
        <v>95</v>
      </c>
      <c r="K1" s="36" t="s">
        <v>387</v>
      </c>
    </row>
    <row r="2" spans="1:11" ht="16.5" thickBot="1" x14ac:dyDescent="0.3">
      <c r="A2" s="37"/>
      <c r="B2" s="95"/>
      <c r="C2" s="38"/>
      <c r="D2" s="39"/>
      <c r="E2" s="39"/>
      <c r="F2" s="39"/>
      <c r="G2" s="39"/>
      <c r="H2" s="39"/>
      <c r="I2" s="39"/>
      <c r="J2" s="101"/>
      <c r="K2" s="40"/>
    </row>
    <row r="3" spans="1:11" ht="16.149999999999999" customHeight="1" thickBot="1" x14ac:dyDescent="0.3">
      <c r="A3" s="135" t="s">
        <v>315</v>
      </c>
      <c r="B3" s="135"/>
      <c r="C3" s="135"/>
      <c r="D3" s="88" t="s">
        <v>328</v>
      </c>
      <c r="E3" s="89"/>
      <c r="F3" s="89"/>
      <c r="G3" s="89"/>
      <c r="H3" s="89"/>
      <c r="I3" s="89"/>
      <c r="J3" s="102"/>
      <c r="K3" s="90"/>
    </row>
    <row r="4" spans="1:11" ht="16.149999999999999" customHeight="1" thickBot="1" x14ac:dyDescent="0.3">
      <c r="A4" s="136" t="s">
        <v>316</v>
      </c>
      <c r="B4" s="136"/>
      <c r="C4" s="136"/>
      <c r="D4" s="88" t="s">
        <v>329</v>
      </c>
      <c r="E4" s="89"/>
      <c r="F4" s="89"/>
      <c r="G4" s="89"/>
      <c r="H4" s="89"/>
      <c r="I4" s="89"/>
      <c r="J4" s="102"/>
      <c r="K4" s="90"/>
    </row>
    <row r="5" spans="1:11" ht="16.5" thickBot="1" x14ac:dyDescent="0.3">
      <c r="A5" s="136" t="s">
        <v>317</v>
      </c>
      <c r="B5" s="136"/>
      <c r="C5" s="136"/>
      <c r="D5" s="88" t="s">
        <v>359</v>
      </c>
      <c r="E5" s="89"/>
      <c r="F5" s="89"/>
      <c r="G5" s="89"/>
      <c r="H5" s="89"/>
      <c r="I5" s="89"/>
      <c r="J5" s="102"/>
      <c r="K5" s="90"/>
    </row>
    <row r="6" spans="1:11" ht="16.5" thickBot="1" x14ac:dyDescent="0.3">
      <c r="A6" s="135" t="s">
        <v>318</v>
      </c>
      <c r="B6" s="135"/>
      <c r="C6" s="135"/>
      <c r="D6" s="88" t="s">
        <v>359</v>
      </c>
      <c r="E6" s="89"/>
      <c r="F6" s="89"/>
      <c r="G6" s="89"/>
      <c r="H6" s="89"/>
      <c r="I6" s="89"/>
      <c r="J6" s="102"/>
      <c r="K6" s="90"/>
    </row>
    <row r="7" spans="1:11" ht="16.5" thickBot="1" x14ac:dyDescent="0.3">
      <c r="A7" s="136" t="s">
        <v>319</v>
      </c>
      <c r="B7" s="136"/>
      <c r="C7" s="136"/>
      <c r="D7" s="88" t="s">
        <v>330</v>
      </c>
      <c r="E7" s="89"/>
      <c r="F7" s="89"/>
      <c r="G7" s="89"/>
      <c r="H7" s="89"/>
      <c r="I7" s="89"/>
      <c r="J7" s="102"/>
      <c r="K7" s="90"/>
    </row>
    <row r="8" spans="1:11" ht="16.149999999999999" customHeight="1" thickBot="1" x14ac:dyDescent="0.3">
      <c r="A8" s="137" t="s">
        <v>320</v>
      </c>
      <c r="B8" s="137"/>
      <c r="C8" s="138"/>
      <c r="D8" s="88" t="s">
        <v>331</v>
      </c>
      <c r="E8" s="89"/>
      <c r="F8" s="89"/>
      <c r="G8" s="89"/>
      <c r="H8" s="89"/>
      <c r="I8" s="89"/>
      <c r="J8" s="102"/>
      <c r="K8" s="90"/>
    </row>
    <row r="9" spans="1:11" ht="16.5" thickBot="1" x14ac:dyDescent="0.3">
      <c r="A9" s="41"/>
      <c r="B9" s="96"/>
      <c r="C9" s="42"/>
      <c r="D9" s="43"/>
      <c r="E9" s="43"/>
      <c r="F9" s="43"/>
      <c r="G9" s="43"/>
      <c r="H9" s="43"/>
      <c r="I9" s="43"/>
      <c r="J9" s="103"/>
      <c r="K9" s="44"/>
    </row>
    <row r="10" spans="1:11" ht="15.75" thickBot="1" x14ac:dyDescent="0.3">
      <c r="A10" s="145" t="s">
        <v>321</v>
      </c>
      <c r="B10" s="147" t="s">
        <v>322</v>
      </c>
      <c r="C10" s="147" t="s">
        <v>323</v>
      </c>
      <c r="D10" s="147"/>
      <c r="E10" s="147"/>
      <c r="F10" s="147"/>
      <c r="G10" s="147"/>
      <c r="H10" s="147" t="s">
        <v>324</v>
      </c>
      <c r="I10" s="147" t="s">
        <v>325</v>
      </c>
      <c r="J10" s="149" t="s">
        <v>326</v>
      </c>
      <c r="K10" s="140" t="s">
        <v>327</v>
      </c>
    </row>
    <row r="11" spans="1:11" ht="30" customHeight="1" thickBot="1" x14ac:dyDescent="0.3">
      <c r="A11" s="145"/>
      <c r="B11" s="147"/>
      <c r="C11" s="147"/>
      <c r="D11" s="147"/>
      <c r="E11" s="147"/>
      <c r="F11" s="147"/>
      <c r="G11" s="147"/>
      <c r="H11" s="147"/>
      <c r="I11" s="147"/>
      <c r="J11" s="149"/>
      <c r="K11" s="140"/>
    </row>
    <row r="12" spans="1:11" ht="15.75" x14ac:dyDescent="0.25">
      <c r="A12" s="45">
        <v>1</v>
      </c>
      <c r="B12" s="97" t="str">
        <f>ACUERDO!C3</f>
        <v>2.9.5-441.470</v>
      </c>
      <c r="C12" s="182" t="str">
        <f>ACUERDO!D3</f>
        <v>AGUJAS QUIRURGICAS; TIPO: TERUMO 21GX1", ESPECIFICACION: 25/8, UNIDAD VENTA: CAJA X 100, PRESENTACION: CAJA X 100</v>
      </c>
      <c r="D12" s="182"/>
      <c r="E12" s="182"/>
      <c r="F12" s="182"/>
      <c r="G12" s="182"/>
      <c r="H12" s="46" t="s">
        <v>355</v>
      </c>
      <c r="I12" s="47" t="str">
        <f>ACUERDO!F3</f>
        <v>UNIDAD</v>
      </c>
      <c r="J12" s="104">
        <f>ACUERDO!T3</f>
        <v>100</v>
      </c>
      <c r="K12" s="48">
        <f>ACUERDO!O3</f>
        <v>3</v>
      </c>
    </row>
    <row r="13" spans="1:11" ht="16.149999999999999" customHeight="1" x14ac:dyDescent="0.25">
      <c r="A13" s="91">
        <v>8</v>
      </c>
      <c r="B13" s="98" t="str">
        <f>ACUERDO!C10</f>
        <v>2.9.5-470.13</v>
      </c>
      <c r="C13" s="142" t="str">
        <f>ACUERDO!D10</f>
        <v>ALGODONES; TIPO: HIDROFILADO, CAPACIDAD: 500 GR, PRESENTACION: ENVASE X 500 GR</v>
      </c>
      <c r="D13" s="143"/>
      <c r="E13" s="143"/>
      <c r="F13" s="143"/>
      <c r="G13" s="144"/>
      <c r="H13" s="92" t="s">
        <v>355</v>
      </c>
      <c r="I13" s="93" t="str">
        <f>ACUERDO!F10</f>
        <v>UNIDAD</v>
      </c>
      <c r="J13" s="105">
        <f>ACUERDO!T10</f>
        <v>100</v>
      </c>
      <c r="K13" s="94">
        <f>ACUERDO!O10</f>
        <v>20</v>
      </c>
    </row>
    <row r="14" spans="1:11" ht="16.149999999999999" customHeight="1" x14ac:dyDescent="0.25">
      <c r="A14" s="91">
        <v>10</v>
      </c>
      <c r="B14" s="98" t="str">
        <f>ACUERDO!C12</f>
        <v>2.9.5-428.21</v>
      </c>
      <c r="C14" s="142" t="str">
        <f>ACUERDO!D12</f>
        <v>BARBIJOS; TIPO: 3 CAPAS</v>
      </c>
      <c r="D14" s="143"/>
      <c r="E14" s="143"/>
      <c r="F14" s="143"/>
      <c r="G14" s="144"/>
      <c r="H14" s="92" t="s">
        <v>355</v>
      </c>
      <c r="I14" s="93" t="str">
        <f>ACUERDO!F12</f>
        <v>UNIDAD</v>
      </c>
      <c r="J14" s="105">
        <f>ACUERDO!T12</f>
        <v>91</v>
      </c>
      <c r="K14" s="94">
        <f>ACUERDO!O12</f>
        <v>1000</v>
      </c>
    </row>
    <row r="15" spans="1:11" ht="16.149999999999999" customHeight="1" x14ac:dyDescent="0.25">
      <c r="A15" s="91">
        <v>39</v>
      </c>
      <c r="B15" s="98" t="str">
        <f>ACUERDO!C41</f>
        <v>2.9.5-1909.78</v>
      </c>
      <c r="C15" s="142" t="str">
        <f>ACUERDO!D41</f>
        <v>GUANTES USO MEDICINAL; TIPO: EXAMINACION , TAMAÑO: GRANDE, MATERIAL: LATEX, PRESENTACION: ENVASE X 100 UN</v>
      </c>
      <c r="D15" s="143"/>
      <c r="E15" s="143"/>
      <c r="F15" s="143"/>
      <c r="G15" s="144"/>
      <c r="H15" s="92" t="s">
        <v>355</v>
      </c>
      <c r="I15" s="93" t="str">
        <f>ACUERDO!F41</f>
        <v>UNIDAD</v>
      </c>
      <c r="J15" s="105">
        <f>ACUERDO!T41</f>
        <v>93</v>
      </c>
      <c r="K15" s="94">
        <f>ACUERDO!O41</f>
        <v>10</v>
      </c>
    </row>
    <row r="16" spans="1:11" ht="16.149999999999999" customHeight="1" x14ac:dyDescent="0.25">
      <c r="A16" s="91">
        <v>40</v>
      </c>
      <c r="B16" s="98" t="str">
        <f>ACUERDO!C42</f>
        <v>2.9.5-1909.79</v>
      </c>
      <c r="C16" s="142" t="str">
        <f>ACUERDO!D42</f>
        <v>GUANTES USO MEDICINAL; TIPO: EXAMINACION , TAMAÑO: MEDIANO, MATERIAL: LATEX, PRESENTACION: ENVASE X 100 UN</v>
      </c>
      <c r="D16" s="143"/>
      <c r="E16" s="143"/>
      <c r="F16" s="143"/>
      <c r="G16" s="144"/>
      <c r="H16" s="92" t="s">
        <v>355</v>
      </c>
      <c r="I16" s="93" t="str">
        <f>ACUERDO!F42</f>
        <v>UNIDAD</v>
      </c>
      <c r="J16" s="105">
        <f>ACUERDO!T42</f>
        <v>93</v>
      </c>
      <c r="K16" s="94">
        <f>ACUERDO!O42</f>
        <v>10</v>
      </c>
    </row>
    <row r="17" spans="1:11" ht="16.149999999999999" customHeight="1" x14ac:dyDescent="0.25">
      <c r="A17" s="91">
        <v>41</v>
      </c>
      <c r="B17" s="98" t="str">
        <f>ACUERDO!C43</f>
        <v>2.9.5-1909.195</v>
      </c>
      <c r="C17" s="142" t="str">
        <f>ACUERDO!D43</f>
        <v>GUANTES USO MEDICINAL; TIPO: EXAMINACION, TAMAÑO: S 6/7, MATERIAL: LATEX, PRESENTACION: ENVASE X 100 UN, ESTERIL: NO, TALCO: CON, DESCARTABLE: SI</v>
      </c>
      <c r="D17" s="143"/>
      <c r="E17" s="143"/>
      <c r="F17" s="143"/>
      <c r="G17" s="144"/>
      <c r="H17" s="92" t="s">
        <v>355</v>
      </c>
      <c r="I17" s="93" t="str">
        <f>ACUERDO!F43</f>
        <v>UNIDAD</v>
      </c>
      <c r="J17" s="105">
        <f>ACUERDO!T43</f>
        <v>93</v>
      </c>
      <c r="K17" s="94">
        <f>ACUERDO!O43</f>
        <v>10</v>
      </c>
    </row>
    <row r="18" spans="1:11" ht="16.149999999999999" customHeight="1" x14ac:dyDescent="0.25">
      <c r="A18" s="91">
        <v>55</v>
      </c>
      <c r="B18" s="98" t="str">
        <f>ACUERDO!C57</f>
        <v>2.9.5-2157.60</v>
      </c>
      <c r="C18" s="142" t="str">
        <f>ACUERDO!D57</f>
        <v>JERINGAS DESCARTABLES; CAPACIDAD: 10 mL, AGUJA: SIN, USO: MEDICINAL</v>
      </c>
      <c r="D18" s="143"/>
      <c r="E18" s="143"/>
      <c r="F18" s="143"/>
      <c r="G18" s="144"/>
      <c r="H18" s="92" t="s">
        <v>355</v>
      </c>
      <c r="I18" s="93" t="str">
        <f>ACUERDO!F57</f>
        <v>UNIDAD</v>
      </c>
      <c r="J18" s="105">
        <f>ACUERDO!T57</f>
        <v>93</v>
      </c>
      <c r="K18" s="94">
        <f>ACUERDO!O57</f>
        <v>500</v>
      </c>
    </row>
    <row r="19" spans="1:11" ht="15.75" x14ac:dyDescent="0.25">
      <c r="A19" s="49"/>
      <c r="B19" s="99"/>
      <c r="C19" s="157"/>
      <c r="D19" s="157"/>
      <c r="E19" s="157"/>
      <c r="F19" s="157"/>
      <c r="G19" s="157"/>
      <c r="H19" s="50"/>
      <c r="I19" s="51"/>
      <c r="J19" s="106"/>
      <c r="K19" s="52"/>
    </row>
    <row r="20" spans="1:11" ht="19.5" thickBot="1" x14ac:dyDescent="0.3">
      <c r="A20" s="154" t="s">
        <v>389</v>
      </c>
      <c r="B20" s="154"/>
      <c r="C20" s="154"/>
      <c r="D20" s="154"/>
      <c r="E20" s="154"/>
      <c r="F20" s="154"/>
      <c r="G20" s="154"/>
      <c r="H20" s="154"/>
      <c r="I20" s="154"/>
      <c r="J20" s="155">
        <f>SUMPRODUCT(J12:J18,K12:K18)</f>
        <v>142590</v>
      </c>
      <c r="K20" s="156"/>
    </row>
  </sheetData>
  <mergeCells count="24">
    <mergeCell ref="C19:G19"/>
    <mergeCell ref="A20:I20"/>
    <mergeCell ref="J20:K20"/>
    <mergeCell ref="C18:G18"/>
    <mergeCell ref="C17:G17"/>
    <mergeCell ref="C15:G15"/>
    <mergeCell ref="C16:G16"/>
    <mergeCell ref="C13:G13"/>
    <mergeCell ref="C14:G14"/>
    <mergeCell ref="J10:J11"/>
    <mergeCell ref="K10:K11"/>
    <mergeCell ref="C12:G12"/>
    <mergeCell ref="A8:C8"/>
    <mergeCell ref="A10:A11"/>
    <mergeCell ref="B10:B11"/>
    <mergeCell ref="C10:G11"/>
    <mergeCell ref="H10:H11"/>
    <mergeCell ref="I10:I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5"/>
  <sheetViews>
    <sheetView topLeftCell="A10" workbookViewId="0">
      <selection activeCell="T17" sqref="T17"/>
    </sheetView>
  </sheetViews>
  <sheetFormatPr baseColWidth="10" defaultRowHeight="15" x14ac:dyDescent="0.25"/>
  <cols>
    <col min="1" max="5" width="4.42578125" customWidth="1"/>
    <col min="6" max="6" width="7.7109375" customWidth="1"/>
    <col min="7" max="13" width="4.42578125" customWidth="1"/>
    <col min="14" max="14" width="4.42578125" style="29" customWidth="1"/>
    <col min="15" max="16" width="14.85546875" customWidth="1"/>
    <col min="17" max="17" width="14.7109375" customWidth="1"/>
  </cols>
  <sheetData>
    <row r="1" spans="1:17" ht="15.75" thickBot="1" x14ac:dyDescent="0.3">
      <c r="A1" s="159" t="s">
        <v>332</v>
      </c>
      <c r="B1" s="159"/>
      <c r="C1" s="159"/>
      <c r="D1" s="160">
        <v>2022</v>
      </c>
      <c r="E1" s="160"/>
      <c r="F1" s="53"/>
      <c r="G1" s="53"/>
      <c r="H1" s="54"/>
      <c r="I1" s="54"/>
      <c r="J1" s="54"/>
      <c r="K1" s="54"/>
      <c r="L1" s="54"/>
      <c r="M1" s="54"/>
      <c r="N1" s="54"/>
      <c r="O1" s="55"/>
      <c r="P1" s="161" t="s">
        <v>333</v>
      </c>
      <c r="Q1" s="161"/>
    </row>
    <row r="2" spans="1:17" ht="15" customHeight="1" thickBot="1" x14ac:dyDescent="0.3">
      <c r="A2" s="56"/>
      <c r="B2" s="1"/>
      <c r="C2" s="1"/>
      <c r="D2" s="1"/>
      <c r="E2" s="1"/>
      <c r="F2" s="1"/>
      <c r="G2" s="57"/>
      <c r="H2" s="58"/>
      <c r="I2" s="58"/>
      <c r="J2" s="58"/>
      <c r="K2" s="58"/>
      <c r="L2" s="58"/>
      <c r="M2" s="58"/>
      <c r="N2" s="58"/>
      <c r="O2" s="1"/>
      <c r="P2" s="161"/>
      <c r="Q2" s="161"/>
    </row>
    <row r="3" spans="1:17" ht="15.75" thickBot="1" x14ac:dyDescent="0.3">
      <c r="A3" s="56"/>
      <c r="B3" s="1"/>
      <c r="C3" s="1"/>
      <c r="D3" s="1"/>
      <c r="E3" s="1"/>
      <c r="F3" s="1"/>
      <c r="G3" s="57"/>
      <c r="H3" s="1"/>
      <c r="I3" s="1"/>
      <c r="J3" s="1"/>
      <c r="K3" s="1"/>
      <c r="L3" s="1"/>
      <c r="M3" s="1"/>
      <c r="N3" s="1"/>
      <c r="O3" s="1"/>
      <c r="P3" s="1"/>
      <c r="Q3" s="59"/>
    </row>
    <row r="4" spans="1:17" ht="15.75" thickBot="1" x14ac:dyDescent="0.3">
      <c r="A4" s="162" t="s">
        <v>334</v>
      </c>
      <c r="B4" s="162"/>
      <c r="C4" s="162"/>
      <c r="D4" s="162"/>
      <c r="E4" s="162"/>
      <c r="F4" s="162"/>
      <c r="G4" s="163" t="str">
        <f>'NP BS'!D3</f>
        <v>040 - MINISTERIO DE SALUD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ht="15.75" thickBot="1" x14ac:dyDescent="0.3">
      <c r="A5" s="164" t="s">
        <v>316</v>
      </c>
      <c r="B5" s="164"/>
      <c r="C5" s="164"/>
      <c r="D5" s="164"/>
      <c r="E5" s="164"/>
      <c r="F5" s="164"/>
      <c r="G5" s="163" t="str">
        <f>'NP BS'!D4</f>
        <v>011 - DIRECCION PROVINCIAL DE ADMINISTRACION - MS</v>
      </c>
      <c r="H5" s="163"/>
      <c r="I5" s="163"/>
      <c r="J5" s="163"/>
      <c r="K5" s="163"/>
      <c r="L5" s="163"/>
      <c r="M5" s="163"/>
      <c r="N5" s="163"/>
      <c r="O5" s="163"/>
      <c r="P5" s="163"/>
      <c r="Q5" s="163"/>
    </row>
    <row r="6" spans="1:17" ht="15" customHeight="1" thickBot="1" x14ac:dyDescent="0.3">
      <c r="A6" s="164" t="s">
        <v>317</v>
      </c>
      <c r="B6" s="164"/>
      <c r="C6" s="164"/>
      <c r="D6" s="164"/>
      <c r="E6" s="164"/>
      <c r="F6" s="164"/>
      <c r="G6" s="163" t="str">
        <f>'NP BS'!D5</f>
        <v>DIRECCION PROVINCIAL BANCO DE SANGRE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ht="15" customHeight="1" thickBot="1" x14ac:dyDescent="0.3">
      <c r="A7" s="164" t="s">
        <v>318</v>
      </c>
      <c r="B7" s="164"/>
      <c r="C7" s="164"/>
      <c r="D7" s="164"/>
      <c r="E7" s="164"/>
      <c r="F7" s="164"/>
      <c r="G7" s="163" t="str">
        <f>'NP BS'!D6</f>
        <v>DIRECCION PROVINCIAL BANCO DE SANGRE</v>
      </c>
      <c r="H7" s="163"/>
      <c r="I7" s="163"/>
      <c r="J7" s="163"/>
      <c r="K7" s="163"/>
      <c r="L7" s="163"/>
      <c r="M7" s="163"/>
      <c r="N7" s="163"/>
      <c r="O7" s="163"/>
      <c r="P7" s="163"/>
      <c r="Q7" s="163"/>
    </row>
    <row r="8" spans="1:17" ht="15.75" thickBot="1" x14ac:dyDescent="0.3">
      <c r="A8" s="165" t="s">
        <v>335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</row>
    <row r="9" spans="1:17" x14ac:dyDescent="0.25">
      <c r="A9" s="158" t="s">
        <v>336</v>
      </c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</row>
    <row r="10" spans="1:17" ht="55.15" customHeight="1" x14ac:dyDescent="0.25">
      <c r="A10" s="167" t="s">
        <v>400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</row>
    <row r="11" spans="1:17" ht="15.75" thickBot="1" x14ac:dyDescent="0.3">
      <c r="A11" s="60"/>
      <c r="B11" s="61"/>
      <c r="C11" s="61"/>
      <c r="D11" s="61"/>
      <c r="E11" s="61"/>
      <c r="F11" s="61"/>
      <c r="G11" s="62"/>
      <c r="H11" s="61"/>
      <c r="I11" s="61"/>
      <c r="J11" s="61"/>
      <c r="K11" s="61"/>
      <c r="L11" s="61"/>
      <c r="M11" s="61"/>
      <c r="N11" s="61"/>
      <c r="O11" s="61"/>
      <c r="P11" s="61"/>
      <c r="Q11" s="63"/>
    </row>
    <row r="12" spans="1:17" ht="15.75" thickBot="1" x14ac:dyDescent="0.3">
      <c r="A12" s="168" t="s">
        <v>337</v>
      </c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</row>
    <row r="13" spans="1:17" ht="15" customHeight="1" thickBot="1" x14ac:dyDescent="0.3">
      <c r="A13" s="169" t="s">
        <v>338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70" t="s">
        <v>339</v>
      </c>
      <c r="P13" s="170"/>
      <c r="Q13" s="171" t="s">
        <v>340</v>
      </c>
    </row>
    <row r="14" spans="1:17" ht="15.75" thickBot="1" x14ac:dyDescent="0.3">
      <c r="A14" s="64" t="s">
        <v>341</v>
      </c>
      <c r="B14" s="65" t="s">
        <v>342</v>
      </c>
      <c r="C14" s="65" t="s">
        <v>343</v>
      </c>
      <c r="D14" s="65" t="s">
        <v>344</v>
      </c>
      <c r="E14" s="65" t="s">
        <v>345</v>
      </c>
      <c r="F14" s="65" t="s">
        <v>346</v>
      </c>
      <c r="G14" s="66" t="s">
        <v>347</v>
      </c>
      <c r="H14" s="65" t="s">
        <v>348</v>
      </c>
      <c r="I14" s="65" t="s">
        <v>349</v>
      </c>
      <c r="J14" s="65" t="s">
        <v>350</v>
      </c>
      <c r="K14" s="65" t="s">
        <v>350</v>
      </c>
      <c r="L14" s="65" t="s">
        <v>351</v>
      </c>
      <c r="M14" s="67" t="s">
        <v>352</v>
      </c>
      <c r="N14" s="68" t="s">
        <v>353</v>
      </c>
      <c r="O14" s="170"/>
      <c r="P14" s="170"/>
      <c r="Q14" s="171"/>
    </row>
    <row r="15" spans="1:17" ht="31.9" customHeight="1" x14ac:dyDescent="0.25">
      <c r="A15" s="69">
        <v>27</v>
      </c>
      <c r="B15" s="70"/>
      <c r="C15" s="70"/>
      <c r="D15" s="70">
        <v>1</v>
      </c>
      <c r="E15" s="70"/>
      <c r="F15" s="70">
        <v>4901</v>
      </c>
      <c r="G15" s="70">
        <v>3</v>
      </c>
      <c r="H15" s="70">
        <v>1</v>
      </c>
      <c r="I15" s="70">
        <v>2</v>
      </c>
      <c r="J15" s="70">
        <v>9</v>
      </c>
      <c r="K15" s="70">
        <v>5</v>
      </c>
      <c r="L15" s="70"/>
      <c r="M15" s="71">
        <v>1</v>
      </c>
      <c r="N15" s="70" t="s">
        <v>356</v>
      </c>
      <c r="O15" s="172" t="s">
        <v>368</v>
      </c>
      <c r="P15" s="172"/>
      <c r="Q15" s="72">
        <f>'NP BS'!J20</f>
        <v>142590</v>
      </c>
    </row>
    <row r="16" spans="1:17" x14ac:dyDescent="0.25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5"/>
      <c r="N16" s="76"/>
      <c r="O16" s="173"/>
      <c r="P16" s="173"/>
      <c r="Q16" s="77"/>
    </row>
    <row r="17" spans="1:17" x14ac:dyDescent="0.25">
      <c r="A17" s="73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76"/>
      <c r="O17" s="174"/>
      <c r="P17" s="174"/>
      <c r="Q17" s="77"/>
    </row>
    <row r="18" spans="1:17" x14ac:dyDescent="0.25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5"/>
      <c r="N18" s="76"/>
      <c r="O18" s="166"/>
      <c r="P18" s="166"/>
      <c r="Q18" s="77"/>
    </row>
    <row r="19" spans="1:17" x14ac:dyDescent="0.25">
      <c r="A19" s="73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5"/>
      <c r="N19" s="76"/>
      <c r="O19" s="166"/>
      <c r="P19" s="166"/>
      <c r="Q19" s="77"/>
    </row>
    <row r="20" spans="1:17" x14ac:dyDescent="0.25">
      <c r="A20" s="73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5"/>
      <c r="N20" s="76"/>
      <c r="O20" s="166"/>
      <c r="P20" s="166"/>
      <c r="Q20" s="77"/>
    </row>
    <row r="21" spans="1:17" x14ac:dyDescent="0.25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5"/>
      <c r="N21" s="76"/>
      <c r="O21" s="166"/>
      <c r="P21" s="166"/>
      <c r="Q21" s="77"/>
    </row>
    <row r="22" spans="1:17" x14ac:dyDescent="0.25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5"/>
      <c r="N22" s="76"/>
      <c r="O22" s="166"/>
      <c r="P22" s="166"/>
      <c r="Q22" s="77"/>
    </row>
    <row r="23" spans="1:17" x14ac:dyDescent="0.25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5"/>
      <c r="N23" s="76"/>
      <c r="O23" s="166"/>
      <c r="P23" s="166"/>
      <c r="Q23" s="77"/>
    </row>
    <row r="24" spans="1:17" x14ac:dyDescent="0.25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5"/>
      <c r="N24" s="76"/>
      <c r="O24" s="166"/>
      <c r="P24" s="166"/>
      <c r="Q24" s="77"/>
    </row>
    <row r="25" spans="1:17" x14ac:dyDescent="0.25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5"/>
      <c r="N25" s="76"/>
      <c r="O25" s="166"/>
      <c r="P25" s="166"/>
      <c r="Q25" s="77"/>
    </row>
    <row r="26" spans="1:17" x14ac:dyDescent="0.25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5"/>
      <c r="N26" s="76"/>
      <c r="O26" s="166"/>
      <c r="P26" s="166"/>
      <c r="Q26" s="77"/>
    </row>
    <row r="27" spans="1:17" x14ac:dyDescent="0.25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5"/>
      <c r="N27" s="76"/>
      <c r="O27" s="166"/>
      <c r="P27" s="166"/>
      <c r="Q27" s="77"/>
    </row>
    <row r="28" spans="1:17" x14ac:dyDescent="0.25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5"/>
      <c r="N28" s="76"/>
      <c r="O28" s="166"/>
      <c r="P28" s="166"/>
      <c r="Q28" s="77"/>
    </row>
    <row r="29" spans="1:17" x14ac:dyDescent="0.25">
      <c r="A29" s="73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5"/>
      <c r="N29" s="76"/>
      <c r="O29" s="166"/>
      <c r="P29" s="166"/>
      <c r="Q29" s="77"/>
    </row>
    <row r="30" spans="1:17" x14ac:dyDescent="0.25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/>
      <c r="N30" s="76"/>
      <c r="O30" s="166"/>
      <c r="P30" s="166"/>
      <c r="Q30" s="77"/>
    </row>
    <row r="31" spans="1:17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5"/>
      <c r="N31" s="76"/>
      <c r="O31" s="166"/>
      <c r="P31" s="166"/>
      <c r="Q31" s="77"/>
    </row>
    <row r="32" spans="1:17" x14ac:dyDescent="0.25">
      <c r="A32" s="73"/>
      <c r="B32" s="74"/>
      <c r="C32" s="74"/>
      <c r="D32" s="74"/>
      <c r="E32" s="74"/>
      <c r="F32" s="76"/>
      <c r="G32" s="74"/>
      <c r="H32" s="74"/>
      <c r="I32" s="74"/>
      <c r="J32" s="74"/>
      <c r="K32" s="74"/>
      <c r="L32" s="74"/>
      <c r="M32" s="75"/>
      <c r="N32" s="76"/>
      <c r="O32" s="173"/>
      <c r="P32" s="173"/>
      <c r="Q32" s="77"/>
    </row>
    <row r="33" spans="1:17" x14ac:dyDescent="0.25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5"/>
      <c r="N33" s="76"/>
      <c r="O33" s="173"/>
      <c r="P33" s="173"/>
      <c r="Q33" s="77"/>
    </row>
    <row r="34" spans="1:17" x14ac:dyDescent="0.25">
      <c r="A34" s="73"/>
      <c r="B34" s="74"/>
      <c r="C34" s="74"/>
      <c r="D34" s="74"/>
      <c r="E34" s="74"/>
      <c r="F34" s="76"/>
      <c r="G34" s="74"/>
      <c r="H34" s="74"/>
      <c r="I34" s="74"/>
      <c r="J34" s="74"/>
      <c r="K34" s="74"/>
      <c r="L34" s="74"/>
      <c r="M34" s="75"/>
      <c r="N34" s="76"/>
      <c r="O34" s="173"/>
      <c r="P34" s="173"/>
      <c r="Q34" s="77"/>
    </row>
    <row r="35" spans="1:17" x14ac:dyDescent="0.25">
      <c r="A35" s="73"/>
      <c r="B35" s="74"/>
      <c r="C35" s="74"/>
      <c r="D35" s="74"/>
      <c r="E35" s="74"/>
      <c r="F35" s="76"/>
      <c r="G35" s="74"/>
      <c r="H35" s="74"/>
      <c r="I35" s="74"/>
      <c r="J35" s="74"/>
      <c r="K35" s="74"/>
      <c r="L35" s="74"/>
      <c r="M35" s="75"/>
      <c r="N35" s="76"/>
      <c r="O35" s="173"/>
      <c r="P35" s="173"/>
      <c r="Q35" s="77"/>
    </row>
    <row r="36" spans="1:17" x14ac:dyDescent="0.25">
      <c r="A36" s="78"/>
      <c r="B36" s="79"/>
      <c r="C36" s="79"/>
      <c r="D36" s="79"/>
      <c r="E36" s="79"/>
      <c r="F36" s="80"/>
      <c r="G36" s="79"/>
      <c r="H36" s="79"/>
      <c r="I36" s="79"/>
      <c r="J36" s="79"/>
      <c r="K36" s="79"/>
      <c r="L36" s="79"/>
      <c r="M36" s="81"/>
      <c r="N36" s="82"/>
      <c r="O36" s="178"/>
      <c r="P36" s="178"/>
      <c r="Q36" s="77"/>
    </row>
    <row r="37" spans="1:17" ht="15.75" thickBot="1" x14ac:dyDescent="0.3">
      <c r="A37" s="83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5"/>
      <c r="N37" s="84"/>
      <c r="O37" s="179"/>
      <c r="P37" s="179"/>
      <c r="Q37" s="86"/>
    </row>
    <row r="38" spans="1:17" ht="32.25" customHeight="1" thickBot="1" x14ac:dyDescent="0.3">
      <c r="A38" s="180" t="s">
        <v>392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87">
        <f>SUM(Q15:Q37)</f>
        <v>142590</v>
      </c>
    </row>
    <row r="39" spans="1:17" ht="15.75" thickBot="1" x14ac:dyDescent="0.3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</row>
    <row r="40" spans="1:17" ht="15" customHeight="1" thickBot="1" x14ac:dyDescent="0.3">
      <c r="A40" s="175" t="s">
        <v>354</v>
      </c>
      <c r="B40" s="175"/>
      <c r="C40" s="175"/>
      <c r="D40" s="175"/>
      <c r="E40" s="175"/>
      <c r="F40" s="175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</row>
    <row r="41" spans="1:17" ht="15.75" thickBot="1" x14ac:dyDescent="0.3">
      <c r="A41" s="177" t="str">
        <f>'NP BS'!D8</f>
        <v>ACUERDO MARCO PEDIDO DE INSUMOS COMUNES</v>
      </c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</row>
    <row r="42" spans="1:17" ht="15.75" thickBot="1" x14ac:dyDescent="0.3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</row>
    <row r="43" spans="1:17" x14ac:dyDescent="0.25">
      <c r="N43" s="30"/>
    </row>
    <row r="44" spans="1:17" x14ac:dyDescent="0.25">
      <c r="N44" s="30"/>
    </row>
    <row r="45" spans="1:17" x14ac:dyDescent="0.25">
      <c r="N45" s="30"/>
    </row>
    <row r="46" spans="1:17" x14ac:dyDescent="0.25">
      <c r="N46" s="30"/>
    </row>
    <row r="47" spans="1:17" x14ac:dyDescent="0.25">
      <c r="N47" s="30"/>
    </row>
    <row r="48" spans="1:17" x14ac:dyDescent="0.25">
      <c r="N48" s="30"/>
    </row>
    <row r="49" spans="14:14" x14ac:dyDescent="0.25">
      <c r="N49" s="30"/>
    </row>
    <row r="50" spans="14:14" x14ac:dyDescent="0.25">
      <c r="N50" s="30"/>
    </row>
    <row r="51" spans="14:14" x14ac:dyDescent="0.25">
      <c r="N51" s="30"/>
    </row>
    <row r="52" spans="14:14" x14ac:dyDescent="0.25">
      <c r="N52" s="30"/>
    </row>
    <row r="53" spans="14:14" x14ac:dyDescent="0.25">
      <c r="N53" s="30"/>
    </row>
    <row r="54" spans="14:14" x14ac:dyDescent="0.25">
      <c r="N54" s="30"/>
    </row>
    <row r="55" spans="14:14" x14ac:dyDescent="0.25">
      <c r="N55" s="30"/>
    </row>
    <row r="56" spans="14:14" x14ac:dyDescent="0.25">
      <c r="N56" s="30"/>
    </row>
    <row r="57" spans="14:14" x14ac:dyDescent="0.25">
      <c r="N57" s="30"/>
    </row>
    <row r="58" spans="14:14" x14ac:dyDescent="0.25">
      <c r="N58" s="30"/>
    </row>
    <row r="59" spans="14:14" x14ac:dyDescent="0.25">
      <c r="N59" s="30"/>
    </row>
    <row r="60" spans="14:14" x14ac:dyDescent="0.25">
      <c r="N60" s="30"/>
    </row>
    <row r="61" spans="14:14" x14ac:dyDescent="0.25">
      <c r="N61" s="30"/>
    </row>
    <row r="62" spans="14:14" x14ac:dyDescent="0.25">
      <c r="N62" s="30"/>
    </row>
    <row r="63" spans="14:14" x14ac:dyDescent="0.25">
      <c r="N63" s="30"/>
    </row>
    <row r="64" spans="14:14" x14ac:dyDescent="0.25">
      <c r="N64" s="30"/>
    </row>
    <row r="65" spans="14:14" x14ac:dyDescent="0.25">
      <c r="N65" s="30"/>
    </row>
    <row r="66" spans="14:14" x14ac:dyDescent="0.25">
      <c r="N66" s="30"/>
    </row>
    <row r="67" spans="14:14" x14ac:dyDescent="0.25">
      <c r="N67" s="30"/>
    </row>
    <row r="68" spans="14:14" x14ac:dyDescent="0.25">
      <c r="N68" s="30"/>
    </row>
    <row r="69" spans="14:14" x14ac:dyDescent="0.25">
      <c r="N69" s="30"/>
    </row>
    <row r="70" spans="14:14" x14ac:dyDescent="0.25">
      <c r="N70" s="30"/>
    </row>
    <row r="71" spans="14:14" x14ac:dyDescent="0.25">
      <c r="N71" s="30"/>
    </row>
    <row r="72" spans="14:14" x14ac:dyDescent="0.25">
      <c r="N72" s="30"/>
    </row>
    <row r="73" spans="14:14" x14ac:dyDescent="0.25">
      <c r="N73" s="30"/>
    </row>
    <row r="74" spans="14:14" x14ac:dyDescent="0.25">
      <c r="N74" s="30"/>
    </row>
    <row r="75" spans="14:14" x14ac:dyDescent="0.25">
      <c r="N75" s="30"/>
    </row>
    <row r="76" spans="14:14" x14ac:dyDescent="0.25">
      <c r="N76" s="30"/>
    </row>
    <row r="77" spans="14:14" x14ac:dyDescent="0.25">
      <c r="N77" s="30"/>
    </row>
    <row r="78" spans="14:14" x14ac:dyDescent="0.25">
      <c r="N78" s="30"/>
    </row>
    <row r="79" spans="14:14" x14ac:dyDescent="0.25">
      <c r="N79" s="30"/>
    </row>
    <row r="80" spans="14:14" x14ac:dyDescent="0.25">
      <c r="N80" s="30"/>
    </row>
    <row r="81" spans="14:14" x14ac:dyDescent="0.25">
      <c r="N81" s="30"/>
    </row>
    <row r="82" spans="14:14" x14ac:dyDescent="0.25">
      <c r="N82" s="30"/>
    </row>
    <row r="83" spans="14:14" x14ac:dyDescent="0.25">
      <c r="N83" s="30"/>
    </row>
    <row r="84" spans="14:14" x14ac:dyDescent="0.25">
      <c r="N84" s="30"/>
    </row>
    <row r="85" spans="14:14" x14ac:dyDescent="0.25">
      <c r="N85" s="30"/>
    </row>
    <row r="86" spans="14:14" x14ac:dyDescent="0.25">
      <c r="N86" s="30"/>
    </row>
    <row r="87" spans="14:14" x14ac:dyDescent="0.25">
      <c r="N87" s="30"/>
    </row>
    <row r="88" spans="14:14" x14ac:dyDescent="0.25">
      <c r="N88" s="30"/>
    </row>
    <row r="89" spans="14:14" x14ac:dyDescent="0.25">
      <c r="N89" s="30"/>
    </row>
    <row r="125" spans="14:14" x14ac:dyDescent="0.25">
      <c r="N125" s="29">
        <v>91</v>
      </c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K2" sqref="K2"/>
    </sheetView>
  </sheetViews>
  <sheetFormatPr baseColWidth="10" defaultRowHeight="15" x14ac:dyDescent="0.25"/>
  <cols>
    <col min="1" max="1" width="5.5703125" customWidth="1"/>
    <col min="2" max="2" width="15.140625" style="12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1" customWidth="1"/>
    <col min="8" max="8" width="9.28515625" customWidth="1"/>
    <col min="9" max="9" width="15.5703125" customWidth="1"/>
    <col min="10" max="10" width="14.7109375" style="28" customWidth="1"/>
    <col min="11" max="11" width="15.5703125" customWidth="1"/>
  </cols>
  <sheetData>
    <row r="1" spans="1:11" ht="30.75" thickBot="1" x14ac:dyDescent="0.3">
      <c r="A1" s="139" t="s">
        <v>314</v>
      </c>
      <c r="B1" s="139"/>
      <c r="C1" s="139"/>
      <c r="D1" s="139"/>
      <c r="E1" s="139"/>
      <c r="F1" s="139"/>
      <c r="G1" s="139"/>
      <c r="H1" s="139"/>
      <c r="I1" s="139"/>
      <c r="J1" s="100" t="s">
        <v>95</v>
      </c>
      <c r="K1" s="36" t="s">
        <v>396</v>
      </c>
    </row>
    <row r="2" spans="1:11" ht="16.5" thickBot="1" x14ac:dyDescent="0.3">
      <c r="A2" s="37"/>
      <c r="B2" s="95"/>
      <c r="C2" s="38"/>
      <c r="D2" s="39"/>
      <c r="E2" s="39"/>
      <c r="F2" s="39"/>
      <c r="G2" s="39"/>
      <c r="H2" s="39"/>
      <c r="I2" s="39"/>
      <c r="J2" s="101"/>
      <c r="K2" s="40"/>
    </row>
    <row r="3" spans="1:11" ht="16.149999999999999" customHeight="1" thickBot="1" x14ac:dyDescent="0.3">
      <c r="A3" s="135" t="s">
        <v>315</v>
      </c>
      <c r="B3" s="135"/>
      <c r="C3" s="135"/>
      <c r="D3" s="88" t="s">
        <v>328</v>
      </c>
      <c r="E3" s="89"/>
      <c r="F3" s="89"/>
      <c r="G3" s="89"/>
      <c r="H3" s="89"/>
      <c r="I3" s="89"/>
      <c r="J3" s="102"/>
      <c r="K3" s="90"/>
    </row>
    <row r="4" spans="1:11" ht="16.149999999999999" customHeight="1" thickBot="1" x14ac:dyDescent="0.3">
      <c r="A4" s="136" t="s">
        <v>316</v>
      </c>
      <c r="B4" s="136"/>
      <c r="C4" s="136"/>
      <c r="D4" s="88" t="s">
        <v>329</v>
      </c>
      <c r="E4" s="89"/>
      <c r="F4" s="89"/>
      <c r="G4" s="89"/>
      <c r="H4" s="89"/>
      <c r="I4" s="89"/>
      <c r="J4" s="102"/>
      <c r="K4" s="90"/>
    </row>
    <row r="5" spans="1:11" ht="16.5" thickBot="1" x14ac:dyDescent="0.3">
      <c r="A5" s="136" t="s">
        <v>317</v>
      </c>
      <c r="B5" s="136"/>
      <c r="C5" s="136"/>
      <c r="D5" s="88" t="s">
        <v>360</v>
      </c>
      <c r="E5" s="89"/>
      <c r="F5" s="89"/>
      <c r="G5" s="89"/>
      <c r="H5" s="89"/>
      <c r="I5" s="89"/>
      <c r="J5" s="102"/>
      <c r="K5" s="90"/>
    </row>
    <row r="6" spans="1:11" ht="16.5" thickBot="1" x14ac:dyDescent="0.3">
      <c r="A6" s="135" t="s">
        <v>318</v>
      </c>
      <c r="B6" s="135"/>
      <c r="C6" s="135"/>
      <c r="D6" s="88" t="s">
        <v>360</v>
      </c>
      <c r="E6" s="89"/>
      <c r="F6" s="89"/>
      <c r="G6" s="89"/>
      <c r="H6" s="89"/>
      <c r="I6" s="89"/>
      <c r="J6" s="102"/>
      <c r="K6" s="90"/>
    </row>
    <row r="7" spans="1:11" ht="16.5" thickBot="1" x14ac:dyDescent="0.3">
      <c r="A7" s="136" t="s">
        <v>319</v>
      </c>
      <c r="B7" s="136"/>
      <c r="C7" s="136"/>
      <c r="D7" s="88" t="s">
        <v>330</v>
      </c>
      <c r="E7" s="89"/>
      <c r="F7" s="89"/>
      <c r="G7" s="89"/>
      <c r="H7" s="89"/>
      <c r="I7" s="89"/>
      <c r="J7" s="102"/>
      <c r="K7" s="90"/>
    </row>
    <row r="8" spans="1:11" ht="16.149999999999999" customHeight="1" thickBot="1" x14ac:dyDescent="0.3">
      <c r="A8" s="137" t="s">
        <v>320</v>
      </c>
      <c r="B8" s="137"/>
      <c r="C8" s="138"/>
      <c r="D8" s="88" t="s">
        <v>331</v>
      </c>
      <c r="E8" s="89"/>
      <c r="F8" s="89"/>
      <c r="G8" s="89"/>
      <c r="H8" s="89"/>
      <c r="I8" s="89"/>
      <c r="J8" s="102"/>
      <c r="K8" s="90"/>
    </row>
    <row r="9" spans="1:11" ht="16.5" thickBot="1" x14ac:dyDescent="0.3">
      <c r="A9" s="41"/>
      <c r="B9" s="96"/>
      <c r="C9" s="42"/>
      <c r="D9" s="43"/>
      <c r="E9" s="43"/>
      <c r="F9" s="43"/>
      <c r="G9" s="43"/>
      <c r="H9" s="43"/>
      <c r="I9" s="43"/>
      <c r="J9" s="103"/>
      <c r="K9" s="44"/>
    </row>
    <row r="10" spans="1:11" ht="15.75" thickBot="1" x14ac:dyDescent="0.3">
      <c r="A10" s="145" t="s">
        <v>321</v>
      </c>
      <c r="B10" s="147" t="s">
        <v>322</v>
      </c>
      <c r="C10" s="147" t="s">
        <v>323</v>
      </c>
      <c r="D10" s="147"/>
      <c r="E10" s="147"/>
      <c r="F10" s="147"/>
      <c r="G10" s="147"/>
      <c r="H10" s="147" t="s">
        <v>324</v>
      </c>
      <c r="I10" s="147" t="s">
        <v>325</v>
      </c>
      <c r="J10" s="149" t="s">
        <v>326</v>
      </c>
      <c r="K10" s="140" t="s">
        <v>327</v>
      </c>
    </row>
    <row r="11" spans="1:11" ht="30" customHeight="1" thickBot="1" x14ac:dyDescent="0.3">
      <c r="A11" s="146"/>
      <c r="B11" s="148"/>
      <c r="C11" s="148"/>
      <c r="D11" s="148"/>
      <c r="E11" s="148"/>
      <c r="F11" s="148"/>
      <c r="G11" s="148"/>
      <c r="H11" s="148"/>
      <c r="I11" s="148"/>
      <c r="J11" s="150"/>
      <c r="K11" s="141"/>
    </row>
    <row r="12" spans="1:11" ht="16.149999999999999" customHeight="1" x14ac:dyDescent="0.25">
      <c r="A12" s="91">
        <v>8</v>
      </c>
      <c r="B12" s="98" t="str">
        <f>ACUERDO!C10</f>
        <v>2.9.5-470.13</v>
      </c>
      <c r="C12" s="151" t="str">
        <f>ACUERDO!D10</f>
        <v>ALGODONES; TIPO: HIDROFILADO, CAPACIDAD: 500 GR, PRESENTACION: ENVASE X 500 GR</v>
      </c>
      <c r="D12" s="152"/>
      <c r="E12" s="152"/>
      <c r="F12" s="152"/>
      <c r="G12" s="153"/>
      <c r="H12" s="92" t="s">
        <v>355</v>
      </c>
      <c r="I12" s="93" t="str">
        <f>ACUERDO!F10</f>
        <v>UNIDAD</v>
      </c>
      <c r="J12" s="105">
        <f>ACUERDO!T10</f>
        <v>100</v>
      </c>
      <c r="K12" s="94">
        <f>ACUERDO!Q10</f>
        <v>20</v>
      </c>
    </row>
    <row r="13" spans="1:11" ht="16.149999999999999" customHeight="1" x14ac:dyDescent="0.25">
      <c r="A13" s="91">
        <v>9</v>
      </c>
      <c r="B13" s="98" t="str">
        <f>ACUERDO!C11</f>
        <v>2.9.5-446.1</v>
      </c>
      <c r="C13" s="142" t="str">
        <f>ACUERDO!D11</f>
        <v>BAJALENGUAS DESCARTABLES; USO: ADULTOS, PAQUETES DE UNIDADES: X 100, PRESENTACION: X 100</v>
      </c>
      <c r="D13" s="143"/>
      <c r="E13" s="143"/>
      <c r="F13" s="143"/>
      <c r="G13" s="144"/>
      <c r="H13" s="92" t="s">
        <v>355</v>
      </c>
      <c r="I13" s="93" t="str">
        <f>ACUERDO!F11</f>
        <v>UNIDAD</v>
      </c>
      <c r="J13" s="105">
        <f>ACUERDO!T11</f>
        <v>100</v>
      </c>
      <c r="K13" s="94">
        <f>ACUERDO!Q11</f>
        <v>1500</v>
      </c>
    </row>
    <row r="14" spans="1:11" ht="16.149999999999999" customHeight="1" x14ac:dyDescent="0.25">
      <c r="A14" s="91">
        <v>10</v>
      </c>
      <c r="B14" s="98" t="str">
        <f>ACUERDO!C12</f>
        <v>2.9.5-428.21</v>
      </c>
      <c r="C14" s="142" t="str">
        <f>ACUERDO!D12</f>
        <v>BARBIJOS; TIPO: 3 CAPAS</v>
      </c>
      <c r="D14" s="143"/>
      <c r="E14" s="143"/>
      <c r="F14" s="143"/>
      <c r="G14" s="144"/>
      <c r="H14" s="92" t="s">
        <v>355</v>
      </c>
      <c r="I14" s="93" t="str">
        <f>ACUERDO!F12</f>
        <v>UNIDAD</v>
      </c>
      <c r="J14" s="105">
        <f>ACUERDO!T12</f>
        <v>91</v>
      </c>
      <c r="K14" s="94">
        <f>ACUERDO!Q12</f>
        <v>1500</v>
      </c>
    </row>
    <row r="15" spans="1:11" ht="16.149999999999999" customHeight="1" x14ac:dyDescent="0.25">
      <c r="A15" s="91">
        <v>11</v>
      </c>
      <c r="B15" s="98" t="str">
        <f>ACUERDO!C13</f>
        <v>2.9.5-428.36</v>
      </c>
      <c r="C15" s="142" t="str">
        <f>ACUERDO!D13</f>
        <v>BARBIJOS; TIPO: COPA N95 SIN VALVULA, MATERIAL: NO TEJIDO, CANTIDAD DE CAPAS: DOS, DESCARTABLE: SI, PRESENTACION: UNIDAD</v>
      </c>
      <c r="D15" s="143"/>
      <c r="E15" s="143"/>
      <c r="F15" s="143"/>
      <c r="G15" s="144"/>
      <c r="H15" s="92" t="s">
        <v>355</v>
      </c>
      <c r="I15" s="93" t="str">
        <f>ACUERDO!F13</f>
        <v>UNIDAD</v>
      </c>
      <c r="J15" s="105">
        <f>ACUERDO!T13</f>
        <v>93</v>
      </c>
      <c r="K15" s="94">
        <f>ACUERDO!Q13</f>
        <v>1500</v>
      </c>
    </row>
    <row r="16" spans="1:11" ht="16.149999999999999" customHeight="1" x14ac:dyDescent="0.25">
      <c r="A16" s="91">
        <v>14</v>
      </c>
      <c r="B16" s="98" t="str">
        <f>ACUERDO!C16</f>
        <v>2.9.5-4198.170</v>
      </c>
      <c r="C16" s="142" t="str">
        <f>ACUERDO!D16</f>
        <v>ELEMENTOS DESC. P/CIRUGIAS; TIPO: CAMISOLIN HEMORREP. DE 30 GRAMOS CON MANGAS Y PUÑOS ELASTICOS DE 1,4 MTRS DE LARGO, CANTIDAD: POR UNIDAD, PRESENTACION: UNIDAD</v>
      </c>
      <c r="D16" s="143"/>
      <c r="E16" s="143"/>
      <c r="F16" s="143"/>
      <c r="G16" s="144"/>
      <c r="H16" s="92" t="s">
        <v>355</v>
      </c>
      <c r="I16" s="93" t="str">
        <f>ACUERDO!F16</f>
        <v>UNIDAD</v>
      </c>
      <c r="J16" s="105">
        <f>ACUERDO!T16</f>
        <v>91</v>
      </c>
      <c r="K16" s="94">
        <f>ACUERDO!Q16</f>
        <v>50</v>
      </c>
    </row>
    <row r="17" spans="1:11" ht="16.149999999999999" customHeight="1" x14ac:dyDescent="0.25">
      <c r="A17" s="91">
        <v>34</v>
      </c>
      <c r="B17" s="98" t="str">
        <f>ACUERDO!C36</f>
        <v>2.9.5-1909.135</v>
      </c>
      <c r="C17" s="142" t="str">
        <f>ACUERDO!D36</f>
        <v>GUANTES USO MEDICINAL; TIPO: ESTERIL, TAMAÑO: 6 1/2 CAÑA LARGA, MATERIAL: LATEX, PRESENTACION: PAR, ESTERIL: SI, TALCO: SIN, DESCARTABLE: SI</v>
      </c>
      <c r="D17" s="143"/>
      <c r="E17" s="143"/>
      <c r="F17" s="143"/>
      <c r="G17" s="144"/>
      <c r="H17" s="92" t="s">
        <v>355</v>
      </c>
      <c r="I17" s="93" t="str">
        <f>ACUERDO!F36</f>
        <v>UNIDAD</v>
      </c>
      <c r="J17" s="105">
        <f>ACUERDO!T36</f>
        <v>93</v>
      </c>
      <c r="K17" s="94">
        <f>ACUERDO!Q36</f>
        <v>10</v>
      </c>
    </row>
    <row r="18" spans="1:11" ht="16.149999999999999" customHeight="1" x14ac:dyDescent="0.25">
      <c r="A18" s="91">
        <v>35</v>
      </c>
      <c r="B18" s="98" t="str">
        <f>ACUERDO!C37</f>
        <v>2.9.5-1909.203</v>
      </c>
      <c r="C18" s="142" t="str">
        <f>ACUERDO!D37</f>
        <v>GUANTES USO MEDICINAL; TIPO: ESTERIL, TAMAÑO: 7 CAÑA LARGA, MATERIAL: LATEX, PRESENTACION: PAR, ESTERIL: SI, TALCO: SIN, DESCARTABLE: SI</v>
      </c>
      <c r="D18" s="143"/>
      <c r="E18" s="143"/>
      <c r="F18" s="143"/>
      <c r="G18" s="144"/>
      <c r="H18" s="92" t="s">
        <v>355</v>
      </c>
      <c r="I18" s="93" t="str">
        <f>ACUERDO!F37</f>
        <v>UNIDAD</v>
      </c>
      <c r="J18" s="105">
        <f>ACUERDO!T37</f>
        <v>93</v>
      </c>
      <c r="K18" s="94">
        <f>ACUERDO!Q37</f>
        <v>10</v>
      </c>
    </row>
    <row r="19" spans="1:11" ht="16.149999999999999" customHeight="1" x14ac:dyDescent="0.25">
      <c r="A19" s="91">
        <v>41</v>
      </c>
      <c r="B19" s="98" t="str">
        <f>ACUERDO!C43</f>
        <v>2.9.5-1909.195</v>
      </c>
      <c r="C19" s="142" t="str">
        <f>ACUERDO!D43</f>
        <v>GUANTES USO MEDICINAL; TIPO: EXAMINACION, TAMAÑO: S 6/7, MATERIAL: LATEX, PRESENTACION: ENVASE X 100 UN, ESTERIL: NO, TALCO: CON, DESCARTABLE: SI</v>
      </c>
      <c r="D19" s="143"/>
      <c r="E19" s="143"/>
      <c r="F19" s="143"/>
      <c r="G19" s="144"/>
      <c r="H19" s="92" t="s">
        <v>355</v>
      </c>
      <c r="I19" s="93" t="str">
        <f>ACUERDO!F43</f>
        <v>UNIDAD</v>
      </c>
      <c r="J19" s="105">
        <f>ACUERDO!T43</f>
        <v>93</v>
      </c>
      <c r="K19" s="94">
        <f>ACUERDO!Q43</f>
        <v>10</v>
      </c>
    </row>
    <row r="20" spans="1:11" ht="16.149999999999999" customHeight="1" x14ac:dyDescent="0.25">
      <c r="A20" s="91">
        <v>43</v>
      </c>
      <c r="B20" s="98" t="str">
        <f>ACUERDO!C45</f>
        <v>2.9.5-1909.174</v>
      </c>
      <c r="C20" s="142" t="str">
        <f>ACUERDO!D45</f>
        <v>GUANTES USO MEDICINAL; TIPO: EXAMINACION, TAMAÑO: L 8/9, MATERIAL: NITRILO, PRESENTACION: ENVASE X 100 UN, ESTERIL: NO, TALCO: SIN, DESCARTABLE: SI</v>
      </c>
      <c r="D20" s="143"/>
      <c r="E20" s="143"/>
      <c r="F20" s="143"/>
      <c r="G20" s="144"/>
      <c r="H20" s="92" t="s">
        <v>355</v>
      </c>
      <c r="I20" s="93" t="str">
        <f>ACUERDO!F45</f>
        <v>UNIDAD</v>
      </c>
      <c r="J20" s="105">
        <f>ACUERDO!T45</f>
        <v>93</v>
      </c>
      <c r="K20" s="94">
        <f>ACUERDO!Q45</f>
        <v>10</v>
      </c>
    </row>
    <row r="21" spans="1:11" ht="16.149999999999999" customHeight="1" x14ac:dyDescent="0.25">
      <c r="A21" s="91">
        <v>44</v>
      </c>
      <c r="B21" s="98" t="str">
        <f>ACUERDO!C46</f>
        <v>2.9.5-1909.173</v>
      </c>
      <c r="C21" s="142" t="str">
        <f>ACUERDO!D46</f>
        <v>GUANTES USO MEDICINAL; TIPO: EXAMINACION, TAMAÑO: M 7/8, MATERIAL: NITRILO, PRESENTACION: ENVASE X 100 UN, ESTERIL: NO, TALCO: SIN, DESCARTABLE: SI</v>
      </c>
      <c r="D21" s="143"/>
      <c r="E21" s="143"/>
      <c r="F21" s="143"/>
      <c r="G21" s="144"/>
      <c r="H21" s="92" t="s">
        <v>355</v>
      </c>
      <c r="I21" s="93" t="str">
        <f>ACUERDO!F46</f>
        <v>UNIDAD</v>
      </c>
      <c r="J21" s="105">
        <f>ACUERDO!T46</f>
        <v>93</v>
      </c>
      <c r="K21" s="94">
        <f>ACUERDO!Q46</f>
        <v>10</v>
      </c>
    </row>
    <row r="22" spans="1:11" ht="16.149999999999999" customHeight="1" x14ac:dyDescent="0.25">
      <c r="A22" s="91">
        <v>50</v>
      </c>
      <c r="B22" s="98" t="str">
        <f>ACUERDO!C52</f>
        <v>2.9.5-444.24</v>
      </c>
      <c r="C22" s="142" t="str">
        <f>ACUERDO!D52</f>
        <v>HOJAS DE BISTURI; TIPO: CAJA X 100 UN, Nº: 15, NUMERO: 15</v>
      </c>
      <c r="D22" s="143"/>
      <c r="E22" s="143"/>
      <c r="F22" s="143"/>
      <c r="G22" s="144"/>
      <c r="H22" s="92" t="s">
        <v>355</v>
      </c>
      <c r="I22" s="93" t="str">
        <f>ACUERDO!F52</f>
        <v>UNIDAD</v>
      </c>
      <c r="J22" s="105">
        <f>ACUERDO!T52</f>
        <v>93</v>
      </c>
      <c r="K22" s="94">
        <f>ACUERDO!Q52</f>
        <v>4</v>
      </c>
    </row>
    <row r="23" spans="1:11" ht="37.15" customHeight="1" x14ac:dyDescent="0.25">
      <c r="A23" s="91">
        <v>62</v>
      </c>
      <c r="B23" s="98" t="str">
        <f>ACUERDO!C64</f>
        <v>2.9.5-4198.171</v>
      </c>
      <c r="C23" s="142" t="str">
        <f>ACUERDO!D64</f>
        <v>ELEMENTOS DESC. P/CIRUGIAS; TIPO: KIT DE CAMISOLIN 50 GRS CON PUÑO DE ALGODON + COFIA + BOTAS PAR, PRESENTACION: INDIVIDUAL, ESTERIL: NO</v>
      </c>
      <c r="D23" s="143"/>
      <c r="E23" s="143"/>
      <c r="F23" s="143"/>
      <c r="G23" s="144"/>
      <c r="H23" s="92" t="s">
        <v>355</v>
      </c>
      <c r="I23" s="93" t="str">
        <f>ACUERDO!F64</f>
        <v>UNIDAD</v>
      </c>
      <c r="J23" s="105">
        <f>ACUERDO!T64</f>
        <v>98</v>
      </c>
      <c r="K23" s="94">
        <f>ACUERDO!Q64</f>
        <v>40</v>
      </c>
    </row>
    <row r="24" spans="1:11" ht="15.75" x14ac:dyDescent="0.25">
      <c r="A24" s="49"/>
      <c r="B24" s="99"/>
      <c r="C24" s="157"/>
      <c r="D24" s="157"/>
      <c r="E24" s="157"/>
      <c r="F24" s="157"/>
      <c r="G24" s="157"/>
      <c r="H24" s="50"/>
      <c r="I24" s="51"/>
      <c r="J24" s="106"/>
      <c r="K24" s="52"/>
    </row>
    <row r="25" spans="1:11" ht="19.5" thickBot="1" x14ac:dyDescent="0.3">
      <c r="A25" s="154" t="s">
        <v>390</v>
      </c>
      <c r="B25" s="154"/>
      <c r="C25" s="154"/>
      <c r="D25" s="154"/>
      <c r="E25" s="154"/>
      <c r="F25" s="154"/>
      <c r="G25" s="154"/>
      <c r="H25" s="154"/>
      <c r="I25" s="154"/>
      <c r="J25" s="155">
        <f>SUMPRODUCT(J12:J23,K12:K23)</f>
        <v>441492</v>
      </c>
      <c r="K25" s="156"/>
    </row>
  </sheetData>
  <mergeCells count="29">
    <mergeCell ref="C24:G24"/>
    <mergeCell ref="A25:I25"/>
    <mergeCell ref="J25:K25"/>
    <mergeCell ref="C23:G23"/>
    <mergeCell ref="C22:G22"/>
    <mergeCell ref="C19:G19"/>
    <mergeCell ref="C20:G20"/>
    <mergeCell ref="C21:G21"/>
    <mergeCell ref="C18:G18"/>
    <mergeCell ref="C17:G17"/>
    <mergeCell ref="C15:G15"/>
    <mergeCell ref="C16:G16"/>
    <mergeCell ref="C12:G12"/>
    <mergeCell ref="C13:G13"/>
    <mergeCell ref="C14:G14"/>
    <mergeCell ref="J10:J11"/>
    <mergeCell ref="K10:K11"/>
    <mergeCell ref="A8:C8"/>
    <mergeCell ref="A10:A11"/>
    <mergeCell ref="B10:B11"/>
    <mergeCell ref="C10:G11"/>
    <mergeCell ref="H10:H11"/>
    <mergeCell ref="I10:I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5"/>
  <sheetViews>
    <sheetView topLeftCell="A13" workbookViewId="0">
      <selection activeCell="U38" sqref="U38"/>
    </sheetView>
  </sheetViews>
  <sheetFormatPr baseColWidth="10" defaultRowHeight="15" x14ac:dyDescent="0.25"/>
  <cols>
    <col min="1" max="5" width="4.42578125" customWidth="1"/>
    <col min="6" max="6" width="7.7109375" customWidth="1"/>
    <col min="7" max="13" width="4.42578125" customWidth="1"/>
    <col min="14" max="14" width="4.42578125" style="29" customWidth="1"/>
    <col min="15" max="16" width="14.85546875" customWidth="1"/>
    <col min="17" max="17" width="14.7109375" customWidth="1"/>
  </cols>
  <sheetData>
    <row r="1" spans="1:17" ht="15.75" thickBot="1" x14ac:dyDescent="0.3">
      <c r="A1" s="159" t="s">
        <v>332</v>
      </c>
      <c r="B1" s="159"/>
      <c r="C1" s="159"/>
      <c r="D1" s="160">
        <v>2022</v>
      </c>
      <c r="E1" s="160"/>
      <c r="F1" s="53"/>
      <c r="G1" s="53"/>
      <c r="H1" s="54"/>
      <c r="I1" s="54"/>
      <c r="J1" s="54"/>
      <c r="K1" s="54"/>
      <c r="L1" s="54"/>
      <c r="M1" s="54"/>
      <c r="N1" s="54"/>
      <c r="O1" s="55"/>
      <c r="P1" s="161" t="s">
        <v>333</v>
      </c>
      <c r="Q1" s="161"/>
    </row>
    <row r="2" spans="1:17" ht="15" customHeight="1" thickBot="1" x14ac:dyDescent="0.3">
      <c r="A2" s="56"/>
      <c r="B2" s="1"/>
      <c r="C2" s="1"/>
      <c r="D2" s="1"/>
      <c r="E2" s="1"/>
      <c r="F2" s="1"/>
      <c r="G2" s="57"/>
      <c r="H2" s="58"/>
      <c r="I2" s="58"/>
      <c r="J2" s="58"/>
      <c r="K2" s="58"/>
      <c r="L2" s="58"/>
      <c r="M2" s="58"/>
      <c r="N2" s="58"/>
      <c r="O2" s="1"/>
      <c r="P2" s="161"/>
      <c r="Q2" s="161"/>
    </row>
    <row r="3" spans="1:17" ht="15.75" thickBot="1" x14ac:dyDescent="0.3">
      <c r="A3" s="56"/>
      <c r="B3" s="1"/>
      <c r="C3" s="1"/>
      <c r="D3" s="1"/>
      <c r="E3" s="1"/>
      <c r="F3" s="1"/>
      <c r="G3" s="57"/>
      <c r="H3" s="1"/>
      <c r="I3" s="1"/>
      <c r="J3" s="1"/>
      <c r="K3" s="1"/>
      <c r="L3" s="1"/>
      <c r="M3" s="1"/>
      <c r="N3" s="1"/>
      <c r="O3" s="1"/>
      <c r="P3" s="1"/>
      <c r="Q3" s="59"/>
    </row>
    <row r="4" spans="1:17" ht="15.75" thickBot="1" x14ac:dyDescent="0.3">
      <c r="A4" s="162" t="s">
        <v>334</v>
      </c>
      <c r="B4" s="162"/>
      <c r="C4" s="162"/>
      <c r="D4" s="162"/>
      <c r="E4" s="162"/>
      <c r="F4" s="162"/>
      <c r="G4" s="163" t="str">
        <f>'NP DPO'!D3</f>
        <v>040 - MINISTERIO DE SALUD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ht="15.75" thickBot="1" x14ac:dyDescent="0.3">
      <c r="A5" s="164" t="s">
        <v>316</v>
      </c>
      <c r="B5" s="164"/>
      <c r="C5" s="164"/>
      <c r="D5" s="164"/>
      <c r="E5" s="164"/>
      <c r="F5" s="164"/>
      <c r="G5" s="163" t="str">
        <f>'NP DPO'!D4</f>
        <v>011 - DIRECCION PROVINCIAL DE ADMINISTRACION - MS</v>
      </c>
      <c r="H5" s="163"/>
      <c r="I5" s="163"/>
      <c r="J5" s="163"/>
      <c r="K5" s="163"/>
      <c r="L5" s="163"/>
      <c r="M5" s="163"/>
      <c r="N5" s="163"/>
      <c r="O5" s="163"/>
      <c r="P5" s="163"/>
      <c r="Q5" s="163"/>
    </row>
    <row r="6" spans="1:17" ht="15" customHeight="1" thickBot="1" x14ac:dyDescent="0.3">
      <c r="A6" s="164" t="s">
        <v>317</v>
      </c>
      <c r="B6" s="164"/>
      <c r="C6" s="164"/>
      <c r="D6" s="164"/>
      <c r="E6" s="164"/>
      <c r="F6" s="164"/>
      <c r="G6" s="163" t="str">
        <f>'NP DPO'!D5</f>
        <v>DIRECCION PROVINCIAL DE ODONTOLOGIA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ht="15" customHeight="1" thickBot="1" x14ac:dyDescent="0.3">
      <c r="A7" s="164" t="s">
        <v>318</v>
      </c>
      <c r="B7" s="164"/>
      <c r="C7" s="164"/>
      <c r="D7" s="164"/>
      <c r="E7" s="164"/>
      <c r="F7" s="164"/>
      <c r="G7" s="163" t="str">
        <f>'NP DPO'!D6</f>
        <v>DIRECCION PROVINCIAL DE ODONTOLOGIA</v>
      </c>
      <c r="H7" s="163"/>
      <c r="I7" s="163"/>
      <c r="J7" s="163"/>
      <c r="K7" s="163"/>
      <c r="L7" s="163"/>
      <c r="M7" s="163"/>
      <c r="N7" s="163"/>
      <c r="O7" s="163"/>
      <c r="P7" s="163"/>
      <c r="Q7" s="163"/>
    </row>
    <row r="8" spans="1:17" ht="15.75" thickBot="1" x14ac:dyDescent="0.3">
      <c r="A8" s="165" t="s">
        <v>335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</row>
    <row r="9" spans="1:17" x14ac:dyDescent="0.25">
      <c r="A9" s="158" t="s">
        <v>336</v>
      </c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</row>
    <row r="10" spans="1:17" ht="55.15" customHeight="1" x14ac:dyDescent="0.25">
      <c r="A10" s="167" t="s">
        <v>401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</row>
    <row r="11" spans="1:17" ht="15.75" thickBot="1" x14ac:dyDescent="0.3">
      <c r="A11" s="60"/>
      <c r="B11" s="61"/>
      <c r="C11" s="61"/>
      <c r="D11" s="61"/>
      <c r="E11" s="61"/>
      <c r="F11" s="61"/>
      <c r="G11" s="62"/>
      <c r="H11" s="61"/>
      <c r="I11" s="61"/>
      <c r="J11" s="61"/>
      <c r="K11" s="61"/>
      <c r="L11" s="61"/>
      <c r="M11" s="61"/>
      <c r="N11" s="61"/>
      <c r="O11" s="61"/>
      <c r="P11" s="61"/>
      <c r="Q11" s="63"/>
    </row>
    <row r="12" spans="1:17" ht="15.75" thickBot="1" x14ac:dyDescent="0.3">
      <c r="A12" s="168" t="s">
        <v>337</v>
      </c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</row>
    <row r="13" spans="1:17" ht="15" customHeight="1" thickBot="1" x14ac:dyDescent="0.3">
      <c r="A13" s="169" t="s">
        <v>338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70" t="s">
        <v>339</v>
      </c>
      <c r="P13" s="170"/>
      <c r="Q13" s="171" t="s">
        <v>340</v>
      </c>
    </row>
    <row r="14" spans="1:17" ht="15.75" thickBot="1" x14ac:dyDescent="0.3">
      <c r="A14" s="64" t="s">
        <v>341</v>
      </c>
      <c r="B14" s="65" t="s">
        <v>342</v>
      </c>
      <c r="C14" s="65" t="s">
        <v>343</v>
      </c>
      <c r="D14" s="65" t="s">
        <v>344</v>
      </c>
      <c r="E14" s="65" t="s">
        <v>345</v>
      </c>
      <c r="F14" s="65" t="s">
        <v>346</v>
      </c>
      <c r="G14" s="66" t="s">
        <v>347</v>
      </c>
      <c r="H14" s="65" t="s">
        <v>348</v>
      </c>
      <c r="I14" s="65" t="s">
        <v>349</v>
      </c>
      <c r="J14" s="65" t="s">
        <v>350</v>
      </c>
      <c r="K14" s="65" t="s">
        <v>350</v>
      </c>
      <c r="L14" s="65" t="s">
        <v>351</v>
      </c>
      <c r="M14" s="67" t="s">
        <v>352</v>
      </c>
      <c r="N14" s="68" t="s">
        <v>353</v>
      </c>
      <c r="O14" s="170"/>
      <c r="P14" s="170"/>
      <c r="Q14" s="171"/>
    </row>
    <row r="15" spans="1:17" ht="28.9" customHeight="1" x14ac:dyDescent="0.25">
      <c r="A15" s="69">
        <v>29</v>
      </c>
      <c r="B15" s="70"/>
      <c r="C15" s="70"/>
      <c r="D15" s="70">
        <v>1</v>
      </c>
      <c r="E15" s="70"/>
      <c r="F15" s="70">
        <v>4901</v>
      </c>
      <c r="G15" s="70">
        <v>3</v>
      </c>
      <c r="H15" s="70">
        <v>1</v>
      </c>
      <c r="I15" s="70">
        <v>2</v>
      </c>
      <c r="J15" s="70">
        <v>9</v>
      </c>
      <c r="K15" s="70">
        <v>5</v>
      </c>
      <c r="L15" s="70"/>
      <c r="M15" s="71">
        <v>1</v>
      </c>
      <c r="N15" s="70" t="s">
        <v>356</v>
      </c>
      <c r="O15" s="172" t="s">
        <v>368</v>
      </c>
      <c r="P15" s="172"/>
      <c r="Q15" s="72">
        <f>'NP DPO'!J25</f>
        <v>441492</v>
      </c>
    </row>
    <row r="16" spans="1:17" x14ac:dyDescent="0.25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5"/>
      <c r="N16" s="76"/>
      <c r="O16" s="173"/>
      <c r="P16" s="173"/>
      <c r="Q16" s="77"/>
    </row>
    <row r="17" spans="1:17" x14ac:dyDescent="0.25">
      <c r="A17" s="73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76"/>
      <c r="O17" s="174"/>
      <c r="P17" s="174"/>
      <c r="Q17" s="77"/>
    </row>
    <row r="18" spans="1:17" x14ac:dyDescent="0.25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5"/>
      <c r="N18" s="76"/>
      <c r="O18" s="166"/>
      <c r="P18" s="166"/>
      <c r="Q18" s="77"/>
    </row>
    <row r="19" spans="1:17" x14ac:dyDescent="0.25">
      <c r="A19" s="73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5"/>
      <c r="N19" s="76"/>
      <c r="O19" s="166"/>
      <c r="P19" s="166"/>
      <c r="Q19" s="77"/>
    </row>
    <row r="20" spans="1:17" x14ac:dyDescent="0.25">
      <c r="A20" s="73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5"/>
      <c r="N20" s="76"/>
      <c r="O20" s="166"/>
      <c r="P20" s="166"/>
      <c r="Q20" s="77"/>
    </row>
    <row r="21" spans="1:17" x14ac:dyDescent="0.25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5"/>
      <c r="N21" s="76"/>
      <c r="O21" s="166"/>
      <c r="P21" s="166"/>
      <c r="Q21" s="77"/>
    </row>
    <row r="22" spans="1:17" x14ac:dyDescent="0.25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5"/>
      <c r="N22" s="76"/>
      <c r="O22" s="166"/>
      <c r="P22" s="166"/>
      <c r="Q22" s="77"/>
    </row>
    <row r="23" spans="1:17" x14ac:dyDescent="0.25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5"/>
      <c r="N23" s="76"/>
      <c r="O23" s="166"/>
      <c r="P23" s="166"/>
      <c r="Q23" s="77"/>
    </row>
    <row r="24" spans="1:17" x14ac:dyDescent="0.25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5"/>
      <c r="N24" s="76"/>
      <c r="O24" s="166"/>
      <c r="P24" s="166"/>
      <c r="Q24" s="77"/>
    </row>
    <row r="25" spans="1:17" x14ac:dyDescent="0.25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5"/>
      <c r="N25" s="76"/>
      <c r="O25" s="166"/>
      <c r="P25" s="166"/>
      <c r="Q25" s="77"/>
    </row>
    <row r="26" spans="1:17" x14ac:dyDescent="0.25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5"/>
      <c r="N26" s="76"/>
      <c r="O26" s="166"/>
      <c r="P26" s="166"/>
      <c r="Q26" s="77"/>
    </row>
    <row r="27" spans="1:17" x14ac:dyDescent="0.25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5"/>
      <c r="N27" s="76"/>
      <c r="O27" s="166"/>
      <c r="P27" s="166"/>
      <c r="Q27" s="77"/>
    </row>
    <row r="28" spans="1:17" x14ac:dyDescent="0.25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5"/>
      <c r="N28" s="76"/>
      <c r="O28" s="166"/>
      <c r="P28" s="166"/>
      <c r="Q28" s="77"/>
    </row>
    <row r="29" spans="1:17" x14ac:dyDescent="0.25">
      <c r="A29" s="73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5"/>
      <c r="N29" s="76"/>
      <c r="O29" s="166"/>
      <c r="P29" s="166"/>
      <c r="Q29" s="77"/>
    </row>
    <row r="30" spans="1:17" x14ac:dyDescent="0.25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/>
      <c r="N30" s="76"/>
      <c r="O30" s="166"/>
      <c r="P30" s="166"/>
      <c r="Q30" s="77"/>
    </row>
    <row r="31" spans="1:17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5"/>
      <c r="N31" s="76"/>
      <c r="O31" s="166"/>
      <c r="P31" s="166"/>
      <c r="Q31" s="77"/>
    </row>
    <row r="32" spans="1:17" x14ac:dyDescent="0.25">
      <c r="A32" s="73"/>
      <c r="B32" s="74"/>
      <c r="C32" s="74"/>
      <c r="D32" s="74"/>
      <c r="E32" s="74"/>
      <c r="F32" s="76"/>
      <c r="G32" s="74"/>
      <c r="H32" s="74"/>
      <c r="I32" s="74"/>
      <c r="J32" s="74"/>
      <c r="K32" s="74"/>
      <c r="L32" s="74"/>
      <c r="M32" s="75"/>
      <c r="N32" s="76"/>
      <c r="O32" s="173"/>
      <c r="P32" s="173"/>
      <c r="Q32" s="77"/>
    </row>
    <row r="33" spans="1:17" x14ac:dyDescent="0.25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5"/>
      <c r="N33" s="76"/>
      <c r="O33" s="173"/>
      <c r="P33" s="173"/>
      <c r="Q33" s="77"/>
    </row>
    <row r="34" spans="1:17" x14ac:dyDescent="0.25">
      <c r="A34" s="73"/>
      <c r="B34" s="74"/>
      <c r="C34" s="74"/>
      <c r="D34" s="74"/>
      <c r="E34" s="74"/>
      <c r="F34" s="76"/>
      <c r="G34" s="74"/>
      <c r="H34" s="74"/>
      <c r="I34" s="74"/>
      <c r="J34" s="74"/>
      <c r="K34" s="74"/>
      <c r="L34" s="74"/>
      <c r="M34" s="75"/>
      <c r="N34" s="76"/>
      <c r="O34" s="173"/>
      <c r="P34" s="173"/>
      <c r="Q34" s="77"/>
    </row>
    <row r="35" spans="1:17" x14ac:dyDescent="0.25">
      <c r="A35" s="73"/>
      <c r="B35" s="74"/>
      <c r="C35" s="74"/>
      <c r="D35" s="74"/>
      <c r="E35" s="74"/>
      <c r="F35" s="76"/>
      <c r="G35" s="74"/>
      <c r="H35" s="74"/>
      <c r="I35" s="74"/>
      <c r="J35" s="74"/>
      <c r="K35" s="74"/>
      <c r="L35" s="74"/>
      <c r="M35" s="75"/>
      <c r="N35" s="76"/>
      <c r="O35" s="173"/>
      <c r="P35" s="173"/>
      <c r="Q35" s="77"/>
    </row>
    <row r="36" spans="1:17" x14ac:dyDescent="0.25">
      <c r="A36" s="78"/>
      <c r="B36" s="79"/>
      <c r="C36" s="79"/>
      <c r="D36" s="79"/>
      <c r="E36" s="79"/>
      <c r="F36" s="80"/>
      <c r="G36" s="79"/>
      <c r="H36" s="79"/>
      <c r="I36" s="79"/>
      <c r="J36" s="79"/>
      <c r="K36" s="79"/>
      <c r="L36" s="79"/>
      <c r="M36" s="81"/>
      <c r="N36" s="82"/>
      <c r="O36" s="178"/>
      <c r="P36" s="178"/>
      <c r="Q36" s="77"/>
    </row>
    <row r="37" spans="1:17" ht="15.75" thickBot="1" x14ac:dyDescent="0.3">
      <c r="A37" s="83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5"/>
      <c r="N37" s="84"/>
      <c r="O37" s="179"/>
      <c r="P37" s="179"/>
      <c r="Q37" s="86"/>
    </row>
    <row r="38" spans="1:17" ht="33" customHeight="1" thickBot="1" x14ac:dyDescent="0.3">
      <c r="A38" s="180" t="s">
        <v>391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87">
        <f>SUM(Q15:Q37)</f>
        <v>441492</v>
      </c>
    </row>
    <row r="39" spans="1:17" ht="15.75" thickBot="1" x14ac:dyDescent="0.3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</row>
    <row r="40" spans="1:17" ht="15" customHeight="1" thickBot="1" x14ac:dyDescent="0.3">
      <c r="A40" s="175" t="s">
        <v>354</v>
      </c>
      <c r="B40" s="175"/>
      <c r="C40" s="175"/>
      <c r="D40" s="175"/>
      <c r="E40" s="175"/>
      <c r="F40" s="175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</row>
    <row r="41" spans="1:17" ht="15.75" thickBot="1" x14ac:dyDescent="0.3">
      <c r="A41" s="177" t="str">
        <f>'NP DPO'!D8</f>
        <v>ACUERDO MARCO PEDIDO DE INSUMOS COMUNES</v>
      </c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</row>
    <row r="42" spans="1:17" ht="15.75" thickBot="1" x14ac:dyDescent="0.3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</row>
    <row r="43" spans="1:17" x14ac:dyDescent="0.25">
      <c r="N43" s="30"/>
    </row>
    <row r="44" spans="1:17" x14ac:dyDescent="0.25">
      <c r="N44" s="30"/>
    </row>
    <row r="45" spans="1:17" x14ac:dyDescent="0.25">
      <c r="N45" s="30"/>
    </row>
    <row r="46" spans="1:17" x14ac:dyDescent="0.25">
      <c r="N46" s="30"/>
    </row>
    <row r="47" spans="1:17" x14ac:dyDescent="0.25">
      <c r="N47" s="30"/>
    </row>
    <row r="48" spans="1:17" x14ac:dyDescent="0.25">
      <c r="N48" s="30"/>
    </row>
    <row r="49" spans="14:14" x14ac:dyDescent="0.25">
      <c r="N49" s="30"/>
    </row>
    <row r="50" spans="14:14" x14ac:dyDescent="0.25">
      <c r="N50" s="30"/>
    </row>
    <row r="51" spans="14:14" x14ac:dyDescent="0.25">
      <c r="N51" s="30"/>
    </row>
    <row r="52" spans="14:14" x14ac:dyDescent="0.25">
      <c r="N52" s="30"/>
    </row>
    <row r="53" spans="14:14" x14ac:dyDescent="0.25">
      <c r="N53" s="30"/>
    </row>
    <row r="54" spans="14:14" x14ac:dyDescent="0.25">
      <c r="N54" s="30"/>
    </row>
    <row r="55" spans="14:14" x14ac:dyDescent="0.25">
      <c r="N55" s="30"/>
    </row>
    <row r="56" spans="14:14" x14ac:dyDescent="0.25">
      <c r="N56" s="30"/>
    </row>
    <row r="57" spans="14:14" x14ac:dyDescent="0.25">
      <c r="N57" s="30"/>
    </row>
    <row r="58" spans="14:14" x14ac:dyDescent="0.25">
      <c r="N58" s="30"/>
    </row>
    <row r="59" spans="14:14" x14ac:dyDescent="0.25">
      <c r="N59" s="30"/>
    </row>
    <row r="60" spans="14:14" x14ac:dyDescent="0.25">
      <c r="N60" s="30"/>
    </row>
    <row r="61" spans="14:14" x14ac:dyDescent="0.25">
      <c r="N61" s="30"/>
    </row>
    <row r="62" spans="14:14" x14ac:dyDescent="0.25">
      <c r="N62" s="30"/>
    </row>
    <row r="63" spans="14:14" x14ac:dyDescent="0.25">
      <c r="N63" s="30"/>
    </row>
    <row r="64" spans="14:14" x14ac:dyDescent="0.25">
      <c r="N64" s="30"/>
    </row>
    <row r="65" spans="14:14" x14ac:dyDescent="0.25">
      <c r="N65" s="30"/>
    </row>
    <row r="66" spans="14:14" x14ac:dyDescent="0.25">
      <c r="N66" s="30"/>
    </row>
    <row r="67" spans="14:14" x14ac:dyDescent="0.25">
      <c r="N67" s="30"/>
    </row>
    <row r="68" spans="14:14" x14ac:dyDescent="0.25">
      <c r="N68" s="30"/>
    </row>
    <row r="69" spans="14:14" x14ac:dyDescent="0.25">
      <c r="N69" s="30"/>
    </row>
    <row r="70" spans="14:14" x14ac:dyDescent="0.25">
      <c r="N70" s="30"/>
    </row>
    <row r="71" spans="14:14" x14ac:dyDescent="0.25">
      <c r="N71" s="30"/>
    </row>
    <row r="72" spans="14:14" x14ac:dyDescent="0.25">
      <c r="N72" s="30"/>
    </row>
    <row r="73" spans="14:14" x14ac:dyDescent="0.25">
      <c r="N73" s="30"/>
    </row>
    <row r="74" spans="14:14" x14ac:dyDescent="0.25">
      <c r="N74" s="30"/>
    </row>
    <row r="75" spans="14:14" x14ac:dyDescent="0.25">
      <c r="N75" s="30"/>
    </row>
    <row r="76" spans="14:14" x14ac:dyDescent="0.25">
      <c r="N76" s="30"/>
    </row>
    <row r="77" spans="14:14" x14ac:dyDescent="0.25">
      <c r="N77" s="30"/>
    </row>
    <row r="78" spans="14:14" x14ac:dyDescent="0.25">
      <c r="N78" s="30"/>
    </row>
    <row r="79" spans="14:14" x14ac:dyDescent="0.25">
      <c r="N79" s="30"/>
    </row>
    <row r="80" spans="14:14" x14ac:dyDescent="0.25">
      <c r="N80" s="30"/>
    </row>
    <row r="81" spans="14:14" x14ac:dyDescent="0.25">
      <c r="N81" s="30"/>
    </row>
    <row r="82" spans="14:14" x14ac:dyDescent="0.25">
      <c r="N82" s="30"/>
    </row>
    <row r="83" spans="14:14" x14ac:dyDescent="0.25">
      <c r="N83" s="30"/>
    </row>
    <row r="84" spans="14:14" x14ac:dyDescent="0.25">
      <c r="N84" s="30"/>
    </row>
    <row r="85" spans="14:14" x14ac:dyDescent="0.25">
      <c r="N85" s="30"/>
    </row>
    <row r="86" spans="14:14" x14ac:dyDescent="0.25">
      <c r="N86" s="30"/>
    </row>
    <row r="87" spans="14:14" x14ac:dyDescent="0.25">
      <c r="N87" s="30"/>
    </row>
    <row r="88" spans="14:14" x14ac:dyDescent="0.25">
      <c r="N88" s="30"/>
    </row>
    <row r="89" spans="14:14" x14ac:dyDescent="0.25">
      <c r="N89" s="30"/>
    </row>
    <row r="125" spans="14:14" x14ac:dyDescent="0.25">
      <c r="N125" s="29">
        <v>91</v>
      </c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F. CM</vt:lpstr>
      <vt:lpstr>ACUERDO</vt:lpstr>
      <vt:lpstr>NP FCIA</vt:lpstr>
      <vt:lpstr>APG FCIA</vt:lpstr>
      <vt:lpstr>NP LAB</vt:lpstr>
      <vt:lpstr>APG LAB</vt:lpstr>
      <vt:lpstr>NP BS</vt:lpstr>
      <vt:lpstr>APG BS</vt:lpstr>
      <vt:lpstr>NP DPO</vt:lpstr>
      <vt:lpstr>APG DPO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COMPRAS</cp:lastModifiedBy>
  <cp:lastPrinted>2022-05-19T15:25:38Z</cp:lastPrinted>
  <dcterms:created xsi:type="dcterms:W3CDTF">2022-04-18T19:09:04Z</dcterms:created>
  <dcterms:modified xsi:type="dcterms:W3CDTF">2022-06-06T13:34:25Z</dcterms:modified>
</cp:coreProperties>
</file>