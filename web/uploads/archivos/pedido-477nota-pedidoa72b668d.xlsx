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ARIEL_MATERNIDAD\Mis Documentos\Secretaria de compras\PAC 2022\3° triemstre 2022\Mantenimiento esterilizador\"/>
    </mc:Choice>
  </mc:AlternateContent>
  <bookViews>
    <workbookView xWindow="0" yWindow="0" windowWidth="28800" windowHeight="11835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2" i="2" l="1"/>
  <c r="J12" i="2"/>
  <c r="I10" i="1"/>
  <c r="Q15" i="3" s="1"/>
  <c r="K15" i="3" l="1"/>
  <c r="J15" i="3"/>
  <c r="I15" i="3"/>
  <c r="C12" i="2"/>
  <c r="B12" i="2"/>
  <c r="G6" i="3" l="1"/>
  <c r="G7" i="3"/>
  <c r="D7" i="2"/>
  <c r="D3" i="2"/>
  <c r="G4" i="3" s="1"/>
  <c r="D4" i="2"/>
  <c r="G5" i="3" s="1"/>
  <c r="A10" i="3" l="1"/>
  <c r="D1" i="3"/>
  <c r="Q22" i="3"/>
  <c r="J13" i="2" l="1"/>
</calcChain>
</file>

<file path=xl/sharedStrings.xml><?xml version="1.0" encoding="utf-8"?>
<sst xmlns="http://schemas.openxmlformats.org/spreadsheetml/2006/main" count="83" uniqueCount="78">
  <si>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</si>
  <si>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</si>
  <si>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</si>
  <si>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</si>
  <si>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</si>
  <si>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</si>
  <si>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</si>
  <si>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</si>
  <si>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</si>
  <si>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</si>
  <si>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</si>
  <si>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</si>
  <si>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</si>
  <si>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</si>
  <si>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</si>
  <si>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</si>
  <si>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</si>
  <si>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</si>
  <si>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</si>
  <si>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</si>
  <si>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</si>
  <si>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</si>
  <si>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</si>
  <si>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</si>
  <si>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</si>
  <si>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</si>
  <si>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</si>
  <si>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</si>
  <si>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</si>
  <si>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</si>
  <si>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</si>
  <si>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</si>
  <si>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</si>
  <si>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</si>
  <si>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</si>
  <si>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</si>
  <si>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</si>
  <si>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</si>
  <si>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</si>
  <si>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</si>
  <si>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</si>
  <si>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</si>
  <si>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</si>
  <si>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</si>
  <si>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</si>
  <si>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</si>
  <si>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</si>
  <si>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</si>
  <si>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</si>
  <si>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</si>
  <si>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</si>
  <si>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</si>
  <si>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</si>
  <si>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</si>
  <si>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</si>
  <si>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</si>
  <si>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</si>
  <si>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</si>
  <si>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 xml:space="preserve">Direccion de Mantenimiento </t>
  </si>
  <si>
    <t xml:space="preserve">Mantenimiento </t>
  </si>
  <si>
    <t>3.3.3-2440.80</t>
  </si>
  <si>
    <t>MANT. REPARACION Y LIMPIEZA</t>
  </si>
  <si>
    <t>MANT. Y REP. DE EQ. MEDICOS; DESCRIPCION: MANT. Y REP. DE EQ. MEDICOS, CRITERIO SOCIAL: SIN</t>
  </si>
  <si>
    <t>SI</t>
  </si>
  <si>
    <t>UNIDAD</t>
  </si>
  <si>
    <t>3.3.3</t>
  </si>
  <si>
    <t xml:space="preserve">UNIDAD  </t>
  </si>
  <si>
    <t>MANTENIMIENTO, REPARACIÓN Y LIMPIEZA</t>
  </si>
  <si>
    <t>XX/2022</t>
  </si>
  <si>
    <t>Para Adquisicion del Servicio de Mantenimiento Preventivo para Esterilizador por Plasma de Peroxido de Hidrogeno Sterrad para ser destinados a la de la Maternidad Provincial 25 de Mayo.</t>
  </si>
  <si>
    <t>Adquisicion del Servicio de Mantenimiento Preventivo para Esterilizador por Plasma de Peroxido de Hidrogeno Sterrad</t>
  </si>
  <si>
    <t>Costo total estimado:  SEISCIENTOS CINCUENTA MIL CON 00/100</t>
  </si>
  <si>
    <t xml:space="preserve">Mantenimiento Preventivo Nivel 2 del STERRAD NX N° de serie 0033081435 instalado en la Maternidad. Incluye Kit
PM2 mano de obras.
</t>
  </si>
  <si>
    <t>45 DIAS HABILES</t>
  </si>
  <si>
    <t xml:space="preserve">10 dias desde la confeccion del instrumento contractual </t>
  </si>
  <si>
    <t xml:space="preserve">Servicio de manetnimeinto-Maternidad Provincial 25 de Mayo Domicilio: Hernando de Pedraza N° 1650 B° Jorge Bermudez </t>
  </si>
  <si>
    <t>40-Ministerio de Salud</t>
  </si>
  <si>
    <t>TOTAL DE PESOS: SEISCIENTOS CINCUENTA MIL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</si>
</sst>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  <numFmt numFmtId="170" formatCode="[$$-2C0A]\ #,##0.00;[$$-2C0A]\ \-#,##0.00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</fills>
  <borders count="5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5" fillId="0" borderId="13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9" fillId="0" borderId="2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3" fontId="4" fillId="0" borderId="21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7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8" xfId="0" applyBorder="1"/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left" vertical="center"/>
    </xf>
    <xf numFmtId="0" fontId="14" fillId="0" borderId="32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2" fillId="0" borderId="2" xfId="0" applyFont="1" applyBorder="1" applyAlignment="1">
      <alignment horizontal="center" vertical="center" wrapText="1"/>
    </xf>
    <xf numFmtId="0" fontId="23" fillId="0" borderId="3" xfId="0" applyFont="1" applyBorder="1"/>
    <xf numFmtId="0" fontId="16" fillId="0" borderId="6" xfId="0" applyFont="1" applyBorder="1"/>
    <xf numFmtId="0" fontId="23" fillId="0" borderId="6" xfId="0" applyFont="1" applyBorder="1" applyAlignment="1">
      <alignment horizontal="left" indent="3"/>
    </xf>
    <xf numFmtId="0" fontId="16" fillId="0" borderId="6" xfId="0" applyFont="1" applyBorder="1" applyAlignment="1">
      <alignment horizontal="left" indent="3"/>
    </xf>
    <xf numFmtId="0" fontId="16" fillId="0" borderId="8" xfId="0" applyFont="1" applyBorder="1" applyAlignment="1">
      <alignment horizontal="left" indent="3"/>
    </xf>
    <xf numFmtId="0" fontId="16" fillId="0" borderId="9" xfId="0" applyFont="1" applyBorder="1"/>
    <xf numFmtId="0" fontId="16" fillId="0" borderId="10" xfId="0" applyFont="1" applyBorder="1"/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0" fontId="16" fillId="0" borderId="0" xfId="0" applyFont="1" applyFill="1" applyBorder="1"/>
    <xf numFmtId="0" fontId="16" fillId="0" borderId="7" xfId="0" applyFont="1" applyFill="1" applyBorder="1"/>
    <xf numFmtId="0" fontId="16" fillId="0" borderId="0" xfId="0" applyFont="1" applyFill="1" applyBorder="1" applyAlignment="1">
      <alignment horizontal="center" wrapText="1"/>
    </xf>
    <xf numFmtId="0" fontId="16" fillId="0" borderId="0" xfId="0" applyFont="1" applyFill="1"/>
    <xf numFmtId="0" fontId="16" fillId="0" borderId="4" xfId="0" applyFont="1" applyFill="1" applyBorder="1"/>
    <xf numFmtId="0" fontId="16" fillId="0" borderId="5" xfId="0" applyFont="1" applyFill="1" applyBorder="1"/>
    <xf numFmtId="0" fontId="6" fillId="0" borderId="12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left" vertical="center"/>
    </xf>
    <xf numFmtId="0" fontId="0" fillId="0" borderId="33" xfId="0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25" fillId="0" borderId="0" xfId="0" applyFont="1" applyBorder="1" applyAlignment="1">
      <alignment vertical="center" wrapText="1"/>
    </xf>
    <xf numFmtId="169" fontId="7" fillId="0" borderId="2" xfId="0" applyNumberFormat="1" applyFont="1" applyBorder="1" applyAlignment="1">
      <alignment vertical="center" wrapText="1"/>
    </xf>
    <xf numFmtId="170" fontId="15" fillId="0" borderId="45" xfId="1" applyNumberFormat="1" applyBorder="1"/>
    <xf numFmtId="169" fontId="15" fillId="0" borderId="49" xfId="1" applyNumberFormat="1" applyBorder="1"/>
    <xf numFmtId="0" fontId="16" fillId="0" borderId="7" xfId="0" applyFont="1" applyFill="1" applyBorder="1" applyAlignment="1">
      <alignment horizontal="left" wrapText="1"/>
    </xf>
    <xf numFmtId="0" fontId="20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0" fillId="0" borderId="2" xfId="0" applyBorder="1"/>
    <xf numFmtId="0" fontId="22" fillId="0" borderId="2" xfId="0" applyFont="1" applyFill="1" applyBorder="1" applyAlignment="1">
      <alignment horizontal="center" vertical="center" wrapText="1"/>
    </xf>
    <xf numFmtId="166" fontId="21" fillId="0" borderId="2" xfId="1" applyNumberFormat="1" applyFont="1" applyFill="1" applyBorder="1" applyAlignment="1" applyProtection="1">
      <alignment horizontal="right" vertical="center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0" borderId="0" xfId="0" applyFont="1" applyFill="1" applyBorder="1" applyAlignment="1">
      <alignment horizontal="left" wrapText="1" indent="1"/>
    </xf>
    <xf numFmtId="0" fontId="25" fillId="0" borderId="6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 vertical="center" wrapText="1"/>
    </xf>
    <xf numFmtId="0" fontId="25" fillId="0" borderId="7" xfId="0" applyFont="1" applyBorder="1" applyAlignment="1">
      <alignment horizontal="left" vertical="center" wrapText="1"/>
    </xf>
    <xf numFmtId="0" fontId="16" fillId="0" borderId="0" xfId="0" applyFont="1" applyFill="1" applyBorder="1" applyAlignment="1">
      <alignment horizontal="center"/>
    </xf>
    <xf numFmtId="0" fontId="16" fillId="0" borderId="7" xfId="0" applyFont="1" applyFill="1" applyBorder="1" applyAlignment="1">
      <alignment horizontal="center"/>
    </xf>
    <xf numFmtId="0" fontId="16" fillId="0" borderId="7" xfId="0" applyFont="1" applyFill="1" applyBorder="1" applyAlignment="1">
      <alignment horizontal="center" wrapText="1"/>
    </xf>
    <xf numFmtId="0" fontId="5" fillId="0" borderId="0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 indent="1"/>
    </xf>
    <xf numFmtId="0" fontId="7" fillId="0" borderId="16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 indent="1"/>
    </xf>
    <xf numFmtId="167" fontId="7" fillId="0" borderId="15" xfId="0" applyNumberFormat="1" applyFont="1" applyBorder="1" applyAlignment="1">
      <alignment horizontal="center" vertical="center"/>
    </xf>
    <xf numFmtId="0" fontId="4" fillId="0" borderId="20" xfId="0" applyFont="1" applyFill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6" fillId="0" borderId="18" xfId="0" applyFont="1" applyFill="1" applyBorder="1" applyAlignment="1">
      <alignment horizontal="left" vertical="center" wrapText="1" indent="1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/>
    </xf>
    <xf numFmtId="3" fontId="10" fillId="0" borderId="23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12" fillId="0" borderId="12" xfId="0" applyFont="1" applyBorder="1" applyAlignment="1">
      <alignment horizontal="left" indent="1"/>
    </xf>
    <xf numFmtId="0" fontId="4" fillId="0" borderId="14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/>
    </xf>
    <xf numFmtId="0" fontId="12" fillId="0" borderId="25" xfId="0" applyFont="1" applyBorder="1"/>
    <xf numFmtId="0" fontId="12" fillId="0" borderId="26" xfId="0" applyFont="1" applyBorder="1" applyAlignment="1">
      <alignment horizontal="left" vertical="center" wrapText="1" indent="1"/>
    </xf>
    <xf numFmtId="0" fontId="14" fillId="0" borderId="2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/>
    </xf>
    <xf numFmtId="0" fontId="15" fillId="0" borderId="34" xfId="0" applyFont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/>
    </xf>
    <xf numFmtId="0" fontId="10" fillId="0" borderId="22" xfId="0" applyFont="1" applyBorder="1" applyAlignment="1">
      <alignment vertical="center" wrapText="1"/>
    </xf>
    <xf numFmtId="0" fontId="10" fillId="0" borderId="46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2" fillId="3" borderId="45" xfId="0" applyFont="1" applyFill="1" applyBorder="1" applyAlignment="1">
      <alignment horizontal="left" vertical="center" wrapText="1" indent="1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14" fillId="0" borderId="45" xfId="0" applyFont="1" applyBorder="1" applyAlignment="1">
      <alignment horizontal="left" vertical="center" wrapText="1"/>
    </xf>
    <xf numFmtId="169" fontId="15" fillId="0" borderId="24" xfId="1" applyNumberForma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7"/>
  <sheetViews>
    <sheetView tabSelected="1" topLeftCell="A13" workbookViewId="0">
      <selection activeCell="C7" sqref="C7"/>
    </sheetView>
  </sheetViews>
  <sheetFormatPr baseColWidth="10" defaultColWidth="11" defaultRowHeight="12.75" x14ac:dyDescent="0.2"/>
  <cols>
    <col min="1" max="1" width="4.5703125" style="40" customWidth="1"/>
    <col min="2" max="2" width="14" style="40" customWidth="1"/>
    <col min="3" max="3" width="32.42578125" style="40" customWidth="1"/>
    <col min="4" max="4" width="8.42578125" style="40" customWidth="1"/>
    <col min="5" max="5" width="101.28515625" style="40" customWidth="1"/>
    <col min="6" max="6" width="11" style="40"/>
    <col min="7" max="7" width="12.7109375" style="40" customWidth="1"/>
    <col min="8" max="8" width="13.85546875" style="40" customWidth="1"/>
    <col min="9" max="9" width="18.5703125" style="40" customWidth="1"/>
    <col min="10" max="16384" width="11" style="40"/>
  </cols>
  <sheetData>
    <row r="2" spans="1:9" ht="27" x14ac:dyDescent="0.35">
      <c r="B2" s="76" t="s">
        <v>0</v>
      </c>
      <c r="C2" s="76"/>
      <c r="D2" s="76"/>
      <c r="E2" s="76"/>
      <c r="F2" s="76"/>
      <c r="G2" s="76"/>
      <c r="H2" s="76"/>
    </row>
    <row r="4" spans="1:9" ht="18" customHeight="1" x14ac:dyDescent="0.25">
      <c r="A4" s="75" t="s">
        <v>1</v>
      </c>
      <c r="B4" s="75"/>
      <c r="C4" s="77" t="s">
        <v>76</v>
      </c>
      <c r="D4" s="77"/>
      <c r="E4" s="77"/>
      <c r="F4" s="41"/>
      <c r="G4" s="42"/>
      <c r="H4" s="41"/>
    </row>
    <row r="5" spans="1:9" ht="18" customHeight="1" x14ac:dyDescent="0.25">
      <c r="A5" s="75" t="s">
        <v>2</v>
      </c>
      <c r="B5" s="75"/>
      <c r="C5" s="77" t="s">
        <v>57</v>
      </c>
      <c r="D5" s="77"/>
      <c r="E5" s="77"/>
      <c r="F5" s="41"/>
      <c r="G5" s="42"/>
      <c r="H5" s="41"/>
    </row>
    <row r="6" spans="1:9" ht="16.5" customHeight="1" x14ac:dyDescent="0.25">
      <c r="A6" s="75" t="s">
        <v>3</v>
      </c>
      <c r="B6" s="75"/>
      <c r="C6" s="51">
        <v>2022</v>
      </c>
      <c r="D6" s="52"/>
      <c r="E6" s="52"/>
      <c r="F6" s="41"/>
      <c r="G6" s="42"/>
      <c r="H6" s="41"/>
    </row>
    <row r="7" spans="1:9" ht="16.5" customHeight="1" x14ac:dyDescent="0.25">
      <c r="A7" s="75" t="s">
        <v>4</v>
      </c>
      <c r="B7" s="75"/>
      <c r="C7" s="51">
        <v>3</v>
      </c>
      <c r="D7" s="52"/>
      <c r="E7" s="52"/>
      <c r="F7" s="41"/>
      <c r="G7" s="42"/>
      <c r="H7" s="41"/>
    </row>
    <row r="8" spans="1:9" x14ac:dyDescent="0.2">
      <c r="B8" s="41"/>
      <c r="C8" s="42"/>
      <c r="D8" s="41"/>
      <c r="E8" s="41"/>
      <c r="F8" s="41"/>
      <c r="G8" s="42"/>
      <c r="H8" s="41"/>
    </row>
    <row r="9" spans="1:9" ht="38.25" x14ac:dyDescent="0.2">
      <c r="A9" s="70" t="s">
        <v>5</v>
      </c>
      <c r="B9" s="70" t="s">
        <v>6</v>
      </c>
      <c r="C9" s="70" t="s">
        <v>7</v>
      </c>
      <c r="D9" s="70" t="s">
        <v>8</v>
      </c>
      <c r="E9" s="70" t="s">
        <v>9</v>
      </c>
      <c r="F9" s="70" t="s">
        <v>10</v>
      </c>
      <c r="G9" s="70" t="s">
        <v>11</v>
      </c>
      <c r="H9" s="70" t="s">
        <v>12</v>
      </c>
      <c r="I9" s="70" t="s">
        <v>13</v>
      </c>
    </row>
    <row r="10" spans="1:9" ht="57" customHeight="1" x14ac:dyDescent="0.2">
      <c r="A10" s="71">
        <v>1</v>
      </c>
      <c r="B10" s="72" t="s">
        <v>60</v>
      </c>
      <c r="C10" s="72" t="s">
        <v>61</v>
      </c>
      <c r="D10" s="43" t="s">
        <v>65</v>
      </c>
      <c r="E10" s="72" t="s">
        <v>62</v>
      </c>
      <c r="F10" s="64" t="s">
        <v>64</v>
      </c>
      <c r="G10" s="73">
        <v>1</v>
      </c>
      <c r="H10" s="74">
        <v>650000</v>
      </c>
      <c r="I10" s="74">
        <f>H10*G10</f>
        <v>650000</v>
      </c>
    </row>
    <row r="13" spans="1:9" ht="13.5" thickBot="1" x14ac:dyDescent="0.25">
      <c r="C13" s="56"/>
      <c r="D13" s="56"/>
      <c r="E13" s="56"/>
    </row>
    <row r="14" spans="1:9" x14ac:dyDescent="0.2">
      <c r="B14" s="44" t="s">
        <v>14</v>
      </c>
      <c r="C14" s="57"/>
      <c r="D14" s="57"/>
      <c r="E14" s="58"/>
    </row>
    <row r="15" spans="1:9" x14ac:dyDescent="0.2">
      <c r="B15" s="45"/>
      <c r="C15" s="53"/>
      <c r="D15" s="53"/>
      <c r="E15" s="54"/>
    </row>
    <row r="16" spans="1:9" x14ac:dyDescent="0.2">
      <c r="B16" s="46" t="s">
        <v>15</v>
      </c>
      <c r="C16" s="53"/>
      <c r="D16" s="53"/>
      <c r="E16" s="54"/>
    </row>
    <row r="17" spans="2:11" ht="168" customHeight="1" x14ac:dyDescent="0.2">
      <c r="B17" s="78" t="s">
        <v>72</v>
      </c>
      <c r="C17" s="79"/>
      <c r="D17" s="79"/>
      <c r="E17" s="80"/>
      <c r="F17" s="65"/>
      <c r="G17" s="65"/>
      <c r="H17" s="65"/>
      <c r="I17" s="65"/>
      <c r="J17" s="65"/>
      <c r="K17" s="65"/>
    </row>
    <row r="18" spans="2:11" x14ac:dyDescent="0.2">
      <c r="B18" s="46" t="s">
        <v>16</v>
      </c>
      <c r="C18" s="53"/>
      <c r="D18" s="53"/>
      <c r="E18" s="54" t="s">
        <v>75</v>
      </c>
    </row>
    <row r="19" spans="2:11" x14ac:dyDescent="0.2">
      <c r="B19" s="47"/>
      <c r="C19" s="81" t="s">
        <v>74</v>
      </c>
      <c r="D19" s="81"/>
      <c r="E19" s="82"/>
    </row>
    <row r="20" spans="2:11" x14ac:dyDescent="0.2">
      <c r="B20" s="47"/>
      <c r="C20" s="81"/>
      <c r="D20" s="81"/>
      <c r="E20" s="82"/>
    </row>
    <row r="21" spans="2:11" x14ac:dyDescent="0.2">
      <c r="B21" s="46" t="s">
        <v>17</v>
      </c>
      <c r="C21" s="53"/>
      <c r="D21" s="53"/>
      <c r="E21" s="54"/>
    </row>
    <row r="22" spans="2:11" x14ac:dyDescent="0.2">
      <c r="B22" s="47"/>
      <c r="C22" s="83"/>
      <c r="D22" s="83"/>
      <c r="E22" s="83"/>
    </row>
    <row r="23" spans="2:11" x14ac:dyDescent="0.2">
      <c r="B23" s="46" t="s">
        <v>18</v>
      </c>
      <c r="C23" s="55"/>
      <c r="D23" s="55"/>
      <c r="E23" s="69" t="s">
        <v>73</v>
      </c>
    </row>
    <row r="24" spans="2:11" x14ac:dyDescent="0.2">
      <c r="B24" s="47"/>
      <c r="C24" s="83"/>
      <c r="D24" s="83"/>
      <c r="E24" s="83"/>
    </row>
    <row r="25" spans="2:11" x14ac:dyDescent="0.2">
      <c r="B25" s="46" t="s">
        <v>19</v>
      </c>
      <c r="C25" s="53"/>
      <c r="D25" s="53"/>
      <c r="E25" s="54"/>
    </row>
    <row r="26" spans="2:11" x14ac:dyDescent="0.2">
      <c r="B26" s="46"/>
      <c r="C26" s="82"/>
      <c r="D26" s="82"/>
      <c r="E26" s="82"/>
    </row>
    <row r="27" spans="2:11" ht="13.5" thickBot="1" x14ac:dyDescent="0.25">
      <c r="B27" s="48"/>
      <c r="C27" s="49"/>
      <c r="D27" s="49"/>
      <c r="E27" s="50"/>
    </row>
  </sheetData>
  <mergeCells count="13">
    <mergeCell ref="B17:E17"/>
    <mergeCell ref="C20:E20"/>
    <mergeCell ref="C22:E22"/>
    <mergeCell ref="C24:E24"/>
    <mergeCell ref="C26:E26"/>
    <mergeCell ref="C19:E19"/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zoomScale="90" zoomScaleNormal="90" workbookViewId="0">
      <selection activeCell="A13" sqref="A13:I13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84" t="s">
        <v>20</v>
      </c>
      <c r="B1" s="84"/>
      <c r="C1" s="84"/>
      <c r="D1" s="84"/>
      <c r="E1" s="84"/>
      <c r="F1" s="84"/>
      <c r="G1" s="84"/>
      <c r="H1" s="84"/>
      <c r="I1" s="84"/>
      <c r="J1" s="3" t="s">
        <v>21</v>
      </c>
      <c r="K1" s="59" t="s">
        <v>68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85" t="s">
        <v>54</v>
      </c>
      <c r="B3" s="85"/>
      <c r="C3" s="85"/>
      <c r="D3" s="86" t="str">
        <f>'Necesidades Trimestrales'!C4</f>
        <v>40-Ministerio de Salud</v>
      </c>
      <c r="E3" s="86"/>
      <c r="F3" s="86"/>
      <c r="G3" s="86"/>
      <c r="H3" s="86"/>
      <c r="I3" s="86"/>
      <c r="J3" s="86"/>
      <c r="K3" s="86"/>
    </row>
    <row r="4" spans="1:11" ht="18.75" customHeight="1" thickBot="1" x14ac:dyDescent="0.25">
      <c r="A4" s="87" t="s">
        <v>55</v>
      </c>
      <c r="B4" s="87"/>
      <c r="C4" s="87"/>
      <c r="D4" s="86" t="str">
        <f>'Necesidades Trimestrales'!C5</f>
        <v>28- Maternidad Provincial 25 de Mayo</v>
      </c>
      <c r="E4" s="86"/>
      <c r="F4" s="86"/>
      <c r="G4" s="86"/>
      <c r="H4" s="86"/>
      <c r="I4" s="86"/>
      <c r="J4" s="86"/>
      <c r="K4" s="86"/>
    </row>
    <row r="5" spans="1:11" ht="18.75" customHeight="1" thickBot="1" x14ac:dyDescent="0.25">
      <c r="A5" s="87" t="s">
        <v>33</v>
      </c>
      <c r="B5" s="87"/>
      <c r="C5" s="87"/>
      <c r="D5" s="86" t="s">
        <v>58</v>
      </c>
      <c r="E5" s="86"/>
      <c r="F5" s="86"/>
      <c r="G5" s="86"/>
      <c r="H5" s="86"/>
      <c r="I5" s="86"/>
      <c r="J5" s="86"/>
      <c r="K5" s="86"/>
    </row>
    <row r="6" spans="1:11" ht="16.5" customHeight="1" thickBot="1" x14ac:dyDescent="0.25">
      <c r="A6" s="85" t="s">
        <v>56</v>
      </c>
      <c r="B6" s="85"/>
      <c r="C6" s="85"/>
      <c r="D6" s="86" t="s">
        <v>59</v>
      </c>
      <c r="E6" s="86"/>
      <c r="F6" s="86"/>
      <c r="G6" s="86"/>
      <c r="H6" s="86"/>
      <c r="I6" s="86"/>
      <c r="J6" s="86"/>
      <c r="K6" s="86"/>
    </row>
    <row r="7" spans="1:11" ht="16.5" customHeight="1" x14ac:dyDescent="0.2">
      <c r="A7" s="87" t="s">
        <v>22</v>
      </c>
      <c r="B7" s="87"/>
      <c r="C7" s="87"/>
      <c r="D7" s="86" t="str">
        <f>'Necesidades Trimestrales'!C7 &amp; "° Trimestre - Año " &amp; 'Necesidades Trimestrales'!C6</f>
        <v>3° Trimestre - Año 2022</v>
      </c>
      <c r="E7" s="86"/>
      <c r="F7" s="86"/>
      <c r="G7" s="86"/>
      <c r="H7" s="86"/>
      <c r="I7" s="86"/>
      <c r="J7" s="86"/>
      <c r="K7" s="86"/>
    </row>
    <row r="8" spans="1:11" ht="16.5" customHeight="1" x14ac:dyDescent="0.2">
      <c r="A8" s="91" t="s">
        <v>23</v>
      </c>
      <c r="B8" s="91"/>
      <c r="C8" s="91"/>
      <c r="D8" s="92" t="s">
        <v>70</v>
      </c>
      <c r="E8" s="92"/>
      <c r="F8" s="92"/>
      <c r="G8" s="92"/>
      <c r="H8" s="92"/>
      <c r="I8" s="92"/>
      <c r="J8" s="92"/>
      <c r="K8" s="92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3" t="s">
        <v>24</v>
      </c>
      <c r="B10" s="94" t="s">
        <v>25</v>
      </c>
      <c r="C10" s="94" t="s">
        <v>26</v>
      </c>
      <c r="D10" s="94"/>
      <c r="E10" s="94"/>
      <c r="F10" s="94"/>
      <c r="G10" s="94"/>
      <c r="H10" s="94" t="s">
        <v>27</v>
      </c>
      <c r="I10" s="94" t="s">
        <v>28</v>
      </c>
      <c r="J10" s="94" t="s">
        <v>29</v>
      </c>
      <c r="K10" s="95" t="s">
        <v>30</v>
      </c>
    </row>
    <row r="11" spans="1:11" ht="24" customHeight="1" thickBot="1" x14ac:dyDescent="0.25">
      <c r="A11" s="93"/>
      <c r="B11" s="94"/>
      <c r="C11" s="94"/>
      <c r="D11" s="94"/>
      <c r="E11" s="94"/>
      <c r="F11" s="94"/>
      <c r="G11" s="94"/>
      <c r="H11" s="94"/>
      <c r="I11" s="94"/>
      <c r="J11" s="94"/>
      <c r="K11" s="95"/>
    </row>
    <row r="12" spans="1:11" ht="54" customHeight="1" thickBot="1" x14ac:dyDescent="0.25">
      <c r="A12" s="8">
        <v>1</v>
      </c>
      <c r="B12" s="60" t="str">
        <f>'Necesidades Trimestrales'!B10</f>
        <v>3.3.3-2440.80</v>
      </c>
      <c r="C12" s="90" t="str">
        <f>'Necesidades Trimestrales'!E10</f>
        <v>MANT. Y REP. DE EQ. MEDICOS; DESCRIPCION: MANT. Y REP. DE EQ. MEDICOS, CRITERIO SOCIAL: SIN</v>
      </c>
      <c r="D12" s="90"/>
      <c r="E12" s="90"/>
      <c r="F12" s="90"/>
      <c r="G12" s="90"/>
      <c r="H12" s="9" t="s">
        <v>63</v>
      </c>
      <c r="I12" s="10" t="s">
        <v>66</v>
      </c>
      <c r="J12" s="66">
        <f>'Necesidades Trimestrales'!H10</f>
        <v>650000</v>
      </c>
      <c r="K12" s="11">
        <f>'Necesidades Trimestrales'!G10</f>
        <v>1</v>
      </c>
    </row>
    <row r="13" spans="1:11" ht="38.25" customHeight="1" thickBot="1" x14ac:dyDescent="0.25">
      <c r="A13" s="88" t="s">
        <v>71</v>
      </c>
      <c r="B13" s="88"/>
      <c r="C13" s="88"/>
      <c r="D13" s="88"/>
      <c r="E13" s="88"/>
      <c r="F13" s="88"/>
      <c r="G13" s="88"/>
      <c r="H13" s="88"/>
      <c r="I13" s="88"/>
      <c r="J13" s="89">
        <f>SUMPRODUCT(J12:J12,K12:K12)</f>
        <v>650000</v>
      </c>
      <c r="K13" s="89"/>
    </row>
  </sheetData>
  <mergeCells count="23"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opLeftCell="A4" zoomScale="130" zoomScaleNormal="130" workbookViewId="0">
      <selection activeCell="G24" sqref="G24:Q24"/>
    </sheetView>
  </sheetViews>
  <sheetFormatPr baseColWidth="10" defaultColWidth="11" defaultRowHeight="12.75" x14ac:dyDescent="0.2"/>
  <cols>
    <col min="1" max="5" width="4.42578125" customWidth="1"/>
    <col min="6" max="6" width="6.140625" customWidth="1"/>
    <col min="7" max="7" width="5.42578125" style="12" customWidth="1"/>
    <col min="8" max="14" width="4.42578125" customWidth="1"/>
    <col min="15" max="15" width="14.85546875" customWidth="1"/>
    <col min="16" max="16" width="20.140625" customWidth="1"/>
    <col min="17" max="17" width="14.7109375" customWidth="1"/>
  </cols>
  <sheetData>
    <row r="1" spans="1:17" ht="15.75" customHeight="1" x14ac:dyDescent="0.25">
      <c r="A1" s="96" t="s">
        <v>3</v>
      </c>
      <c r="B1" s="96"/>
      <c r="C1" s="96"/>
      <c r="D1" s="97">
        <f>'Necesidades Trimestrales'!C6</f>
        <v>2022</v>
      </c>
      <c r="E1" s="97"/>
      <c r="F1" s="13"/>
      <c r="G1" s="13"/>
      <c r="H1" s="14"/>
      <c r="I1" s="14"/>
      <c r="J1" s="14"/>
      <c r="K1" s="14"/>
      <c r="L1" s="14"/>
      <c r="M1" s="14"/>
      <c r="N1" s="14"/>
      <c r="P1" s="98" t="s">
        <v>31</v>
      </c>
      <c r="Q1" s="98"/>
    </row>
    <row r="2" spans="1:17" ht="15.75" customHeight="1" x14ac:dyDescent="0.2">
      <c r="H2" s="14"/>
      <c r="I2" s="14"/>
      <c r="J2" s="14"/>
      <c r="K2" s="14"/>
      <c r="L2" s="14"/>
      <c r="M2" s="14"/>
      <c r="N2" s="14"/>
      <c r="P2" s="98"/>
      <c r="Q2" s="98"/>
    </row>
    <row r="4" spans="1:17" s="15" customFormat="1" ht="18" customHeight="1" thickBot="1" x14ac:dyDescent="0.25">
      <c r="A4" s="99" t="s">
        <v>32</v>
      </c>
      <c r="B4" s="99"/>
      <c r="C4" s="99"/>
      <c r="D4" s="99"/>
      <c r="E4" s="99"/>
      <c r="F4" s="99"/>
      <c r="G4" s="100" t="str">
        <f>' NotaPedido'!D3</f>
        <v>40-Ministerio de Salud</v>
      </c>
      <c r="H4" s="100"/>
      <c r="I4" s="100"/>
      <c r="J4" s="100"/>
      <c r="K4" s="100"/>
      <c r="L4" s="100"/>
      <c r="M4" s="100"/>
      <c r="N4" s="100"/>
      <c r="O4" s="100"/>
      <c r="P4" s="100"/>
      <c r="Q4" s="100"/>
    </row>
    <row r="5" spans="1:17" s="15" customFormat="1" ht="18" customHeight="1" thickBot="1" x14ac:dyDescent="0.25">
      <c r="A5" s="101" t="s">
        <v>55</v>
      </c>
      <c r="B5" s="102"/>
      <c r="C5" s="102"/>
      <c r="D5" s="102"/>
      <c r="E5" s="102"/>
      <c r="F5" s="103"/>
      <c r="G5" s="100" t="str">
        <f>' NotaPedido'!D4</f>
        <v>28- Maternidad Provincial 25 de Mayo</v>
      </c>
      <c r="H5" s="100"/>
      <c r="I5" s="100"/>
      <c r="J5" s="100"/>
      <c r="K5" s="100"/>
      <c r="L5" s="100"/>
      <c r="M5" s="100"/>
      <c r="N5" s="100"/>
      <c r="O5" s="100"/>
      <c r="P5" s="100"/>
      <c r="Q5" s="100"/>
    </row>
    <row r="6" spans="1:17" s="15" customFormat="1" ht="18" customHeight="1" thickBot="1" x14ac:dyDescent="0.25">
      <c r="A6" s="101" t="s">
        <v>33</v>
      </c>
      <c r="B6" s="102"/>
      <c r="C6" s="102"/>
      <c r="D6" s="102"/>
      <c r="E6" s="102"/>
      <c r="F6" s="103"/>
      <c r="G6" s="100" t="str">
        <f>' NotaPedido'!D5</f>
        <v xml:space="preserve">Direccion de Mantenimiento </v>
      </c>
      <c r="H6" s="100"/>
      <c r="I6" s="100"/>
      <c r="J6" s="100"/>
      <c r="K6" s="100"/>
      <c r="L6" s="100"/>
      <c r="M6" s="100"/>
      <c r="N6" s="100"/>
      <c r="O6" s="100"/>
      <c r="P6" s="100"/>
      <c r="Q6" s="100"/>
    </row>
    <row r="7" spans="1:17" s="15" customFormat="1" ht="18" customHeight="1" thickBot="1" x14ac:dyDescent="0.25">
      <c r="A7" s="101" t="s">
        <v>56</v>
      </c>
      <c r="B7" s="102"/>
      <c r="C7" s="102"/>
      <c r="D7" s="102"/>
      <c r="E7" s="102"/>
      <c r="F7" s="103"/>
      <c r="G7" s="100" t="str">
        <f>' NotaPedido'!D6</f>
        <v xml:space="preserve">Mantenimiento </v>
      </c>
      <c r="H7" s="100"/>
      <c r="I7" s="100"/>
      <c r="J7" s="100"/>
      <c r="K7" s="100"/>
      <c r="L7" s="100"/>
      <c r="M7" s="100"/>
      <c r="N7" s="100"/>
      <c r="O7" s="100"/>
      <c r="P7" s="100"/>
      <c r="Q7" s="100"/>
    </row>
    <row r="8" spans="1:17" ht="18" customHeight="1" thickBot="1" x14ac:dyDescent="0.25">
      <c r="A8" s="104" t="s">
        <v>34</v>
      </c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</row>
    <row r="9" spans="1:17" ht="18" customHeight="1" x14ac:dyDescent="0.2">
      <c r="A9" s="105" t="s">
        <v>35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"/>
      <c r="P9" s="1"/>
      <c r="Q9" s="16"/>
    </row>
    <row r="10" spans="1:17" ht="54.75" customHeight="1" x14ac:dyDescent="0.2">
      <c r="A10" s="10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XX/2022,  afectando la erogación resultante a los créditos presupuestarios aprobados a favor de esta Unidad Ejecutora, conforme al siguiente detalle: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</row>
    <row r="11" spans="1:17" ht="9" customHeight="1" x14ac:dyDescent="0.2">
      <c r="A11" s="17"/>
      <c r="B11" s="18"/>
      <c r="C11" s="18"/>
      <c r="D11" s="18"/>
      <c r="E11" s="18"/>
      <c r="F11" s="18"/>
      <c r="G11" s="19"/>
      <c r="H11" s="18"/>
      <c r="I11" s="18"/>
      <c r="J11" s="18"/>
      <c r="K11" s="18"/>
      <c r="L11" s="18"/>
      <c r="M11" s="18"/>
      <c r="N11" s="18"/>
      <c r="O11" s="18"/>
      <c r="P11" s="18"/>
      <c r="Q11" s="20"/>
    </row>
    <row r="12" spans="1:17" ht="15.75" customHeight="1" x14ac:dyDescent="0.2">
      <c r="A12" s="107" t="s">
        <v>36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</row>
    <row r="13" spans="1:17" ht="15.75" customHeight="1" x14ac:dyDescent="0.2">
      <c r="A13" s="108" t="s">
        <v>37</v>
      </c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9" t="s">
        <v>38</v>
      </c>
      <c r="P13" s="109"/>
      <c r="Q13" s="110" t="s">
        <v>39</v>
      </c>
    </row>
    <row r="14" spans="1:17" ht="15.75" customHeight="1" thickBot="1" x14ac:dyDescent="0.25">
      <c r="A14" s="21" t="s">
        <v>40</v>
      </c>
      <c r="B14" s="22" t="s">
        <v>41</v>
      </c>
      <c r="C14" s="22" t="s">
        <v>42</v>
      </c>
      <c r="D14" s="22" t="s">
        <v>43</v>
      </c>
      <c r="E14" s="22" t="s">
        <v>44</v>
      </c>
      <c r="F14" s="22" t="s">
        <v>45</v>
      </c>
      <c r="G14" s="23" t="s">
        <v>46</v>
      </c>
      <c r="H14" s="22" t="s">
        <v>47</v>
      </c>
      <c r="I14" s="22" t="s">
        <v>48</v>
      </c>
      <c r="J14" s="22" t="s">
        <v>49</v>
      </c>
      <c r="K14" s="22" t="s">
        <v>49</v>
      </c>
      <c r="L14" s="22" t="s">
        <v>50</v>
      </c>
      <c r="M14" s="24" t="s">
        <v>51</v>
      </c>
      <c r="N14" s="25" t="s">
        <v>52</v>
      </c>
      <c r="O14" s="109"/>
      <c r="P14" s="109"/>
      <c r="Q14" s="110"/>
    </row>
    <row r="15" spans="1:17" ht="27" customHeight="1" x14ac:dyDescent="0.2">
      <c r="A15" s="61">
        <v>42</v>
      </c>
      <c r="B15" s="62"/>
      <c r="C15" s="62"/>
      <c r="D15" s="62">
        <v>4</v>
      </c>
      <c r="E15" s="62"/>
      <c r="F15" s="62">
        <v>4901</v>
      </c>
      <c r="G15" s="62">
        <v>3</v>
      </c>
      <c r="H15" s="62">
        <v>1</v>
      </c>
      <c r="I15" s="62" t="str">
        <f>LEFT('Necesidades Trimestrales'!D10,1)</f>
        <v>3</v>
      </c>
      <c r="J15" s="62" t="str">
        <f>MID('Necesidades Trimestrales'!D10,3,1)</f>
        <v>3</v>
      </c>
      <c r="K15" s="62" t="str">
        <f>RIGHT('Necesidades Trimestrales'!D10,1)</f>
        <v>3</v>
      </c>
      <c r="L15" s="62"/>
      <c r="M15" s="63">
        <v>1</v>
      </c>
      <c r="N15" s="62">
        <v>11</v>
      </c>
      <c r="O15" s="111" t="s">
        <v>67</v>
      </c>
      <c r="P15" s="112"/>
      <c r="Q15" s="68">
        <f>'Necesidades Trimestrales'!I10</f>
        <v>650000</v>
      </c>
    </row>
    <row r="16" spans="1:17" ht="17.25" customHeight="1" x14ac:dyDescent="0.2">
      <c r="A16" s="26"/>
      <c r="B16" s="27"/>
      <c r="C16" s="27"/>
      <c r="D16" s="27"/>
      <c r="E16" s="27"/>
      <c r="F16" s="29"/>
      <c r="G16" s="27"/>
      <c r="H16" s="27"/>
      <c r="I16" s="27"/>
      <c r="J16" s="27"/>
      <c r="K16" s="27"/>
      <c r="L16" s="27"/>
      <c r="M16" s="28"/>
      <c r="N16" s="29"/>
      <c r="O16" s="113"/>
      <c r="P16" s="113"/>
      <c r="Q16" s="30"/>
    </row>
    <row r="17" spans="1:18" ht="17.25" customHeight="1" x14ac:dyDescent="0.2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9"/>
      <c r="O17" s="113"/>
      <c r="P17" s="113"/>
      <c r="Q17" s="30"/>
    </row>
    <row r="18" spans="1:18" ht="17.25" customHeight="1" x14ac:dyDescent="0.2">
      <c r="A18" s="26"/>
      <c r="B18" s="27"/>
      <c r="C18" s="27"/>
      <c r="D18" s="27"/>
      <c r="E18" s="27"/>
      <c r="F18" s="29"/>
      <c r="G18" s="27"/>
      <c r="H18" s="27"/>
      <c r="I18" s="27"/>
      <c r="J18" s="27"/>
      <c r="K18" s="27"/>
      <c r="L18" s="27"/>
      <c r="M18" s="28"/>
      <c r="N18" s="29"/>
      <c r="O18" s="113"/>
      <c r="P18" s="113"/>
      <c r="Q18" s="30"/>
    </row>
    <row r="19" spans="1:18" ht="17.25" customHeight="1" x14ac:dyDescent="0.2">
      <c r="A19" s="26"/>
      <c r="B19" s="27"/>
      <c r="C19" s="27"/>
      <c r="D19" s="27"/>
      <c r="E19" s="27"/>
      <c r="F19" s="29"/>
      <c r="G19" s="27"/>
      <c r="H19" s="27"/>
      <c r="I19" s="27"/>
      <c r="J19" s="27"/>
      <c r="K19" s="27"/>
      <c r="L19" s="27"/>
      <c r="M19" s="28"/>
      <c r="N19" s="29"/>
      <c r="O19" s="113"/>
      <c r="P19" s="113"/>
      <c r="Q19" s="30"/>
    </row>
    <row r="20" spans="1:18" ht="17.25" customHeight="1" x14ac:dyDescent="0.2">
      <c r="A20" s="31"/>
      <c r="B20" s="32"/>
      <c r="C20" s="32"/>
      <c r="D20" s="32"/>
      <c r="E20" s="32"/>
      <c r="F20" s="33"/>
      <c r="G20" s="32"/>
      <c r="H20" s="32"/>
      <c r="I20" s="32"/>
      <c r="J20" s="32"/>
      <c r="K20" s="32"/>
      <c r="L20" s="32"/>
      <c r="M20" s="34"/>
      <c r="N20" s="35"/>
      <c r="O20" s="119"/>
      <c r="P20" s="119"/>
      <c r="Q20" s="30"/>
      <c r="R20" s="1"/>
    </row>
    <row r="21" spans="1:18" ht="17.25" customHeight="1" thickBot="1" x14ac:dyDescent="0.25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8"/>
      <c r="N21" s="37"/>
      <c r="O21" s="120"/>
      <c r="P21" s="120"/>
      <c r="Q21" s="39"/>
    </row>
    <row r="22" spans="1:18" ht="20.25" customHeight="1" thickBot="1" x14ac:dyDescent="0.25">
      <c r="A22" s="121" t="s">
        <v>77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67">
        <f>SUM(Q15:Q21)</f>
        <v>650000</v>
      </c>
    </row>
    <row r="23" spans="1:18" ht="18" customHeight="1" thickBot="1" x14ac:dyDescent="0.25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</row>
    <row r="24" spans="1:18" ht="17.25" customHeight="1" thickBot="1" x14ac:dyDescent="0.25">
      <c r="A24" s="114" t="s">
        <v>53</v>
      </c>
      <c r="B24" s="115"/>
      <c r="C24" s="115"/>
      <c r="D24" s="115"/>
      <c r="E24" s="115"/>
      <c r="F24" s="116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</row>
    <row r="25" spans="1:18" ht="18" customHeight="1" thickBot="1" x14ac:dyDescent="0.25">
      <c r="A25" s="118" t="s">
        <v>69</v>
      </c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</row>
    <row r="26" spans="1:18" ht="15" customHeight="1" thickBot="1" x14ac:dyDescent="0.25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</row>
  </sheetData>
  <mergeCells count="30"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24:F24"/>
    <mergeCell ref="G24:Q24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ARIEL</dc:creator>
  <dc:description/>
  <cp:lastModifiedBy>ARIEL</cp:lastModifiedBy>
  <cp:revision>2</cp:revision>
  <cp:lastPrinted>2020-07-17T22:18:48Z</cp:lastPrinted>
  <dcterms:created xsi:type="dcterms:W3CDTF">2020-07-17T23:44:49Z</dcterms:created>
  <dcterms:modified xsi:type="dcterms:W3CDTF">2022-08-23T11:37:57Z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