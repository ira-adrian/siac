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7D4DE2FC-B007-470F-A305-572FCC5D564B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Trimestrales'!$A$9:$I$18</definedName>
    <definedName name="_xlnm.Print_Area" localSheetId="1">' NotaPedido'!$A$1:$K$21</definedName>
    <definedName name="_xlnm.Print_Area" localSheetId="2">'Autor Gastar'!$A$1:$Q$26</definedName>
  </definedNames>
  <calcPr calcId="181029"/>
</workbook>
</file>

<file path=xl/calcChain.xml><?xml version="1.0" encoding="utf-8"?>
<calcChain xmlns="http://schemas.openxmlformats.org/spreadsheetml/2006/main">
  <c r="I18" i="1" l="1"/>
  <c r="I17" i="1"/>
  <c r="I16" i="1"/>
  <c r="I15" i="1"/>
  <c r="I14" i="1"/>
  <c r="I13" i="1"/>
  <c r="I12" i="1"/>
  <c r="I11" i="1"/>
  <c r="I10" i="1"/>
  <c r="A20" i="2"/>
  <c r="A19" i="2"/>
  <c r="A18" i="2"/>
  <c r="A17" i="2"/>
  <c r="A16" i="2"/>
  <c r="A15" i="2"/>
  <c r="A14" i="2"/>
  <c r="A13" i="2"/>
  <c r="A12" i="2"/>
  <c r="K20" i="2"/>
  <c r="J20" i="2"/>
  <c r="I20" i="2"/>
  <c r="C20" i="2"/>
  <c r="B20" i="2"/>
  <c r="K19" i="2"/>
  <c r="J19" i="2"/>
  <c r="I19" i="2"/>
  <c r="C19" i="2"/>
  <c r="B19" i="2"/>
  <c r="K18" i="2"/>
  <c r="J18" i="2"/>
  <c r="I18" i="2"/>
  <c r="C18" i="2"/>
  <c r="B18" i="2"/>
  <c r="K17" i="2"/>
  <c r="J17" i="2"/>
  <c r="I17" i="2"/>
  <c r="C17" i="2"/>
  <c r="B17" i="2"/>
  <c r="K16" i="2"/>
  <c r="J16" i="2"/>
  <c r="I16" i="2"/>
  <c r="C16" i="2"/>
  <c r="B16" i="2"/>
  <c r="D14" i="1" l="1"/>
  <c r="A10" i="3" l="1"/>
  <c r="K13" i="2"/>
  <c r="K14" i="2"/>
  <c r="K15" i="2"/>
  <c r="J13" i="2"/>
  <c r="J14" i="2"/>
  <c r="J15" i="2"/>
  <c r="I13" i="2"/>
  <c r="I14" i="2"/>
  <c r="I15" i="2"/>
  <c r="C13" i="2"/>
  <c r="C14" i="2"/>
  <c r="C15" i="2"/>
  <c r="B13" i="2"/>
  <c r="B14" i="2"/>
  <c r="B15" i="2"/>
  <c r="K12" i="2"/>
  <c r="J12" i="2"/>
  <c r="I12" i="2"/>
  <c r="C12" i="2"/>
  <c r="B12" i="2"/>
  <c r="D12" i="1"/>
  <c r="D13" i="1"/>
  <c r="D11" i="1"/>
  <c r="D10" i="1"/>
  <c r="J21" i="2" l="1"/>
  <c r="G6" i="3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<sst xmlns="http://schemas.openxmlformats.org/spreadsheetml/2006/main" count="168" uniqueCount="109">
  <si>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</si>
  <si>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</si>
  <si>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</si>
  <si>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</si>
  <si>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</si>
  <si>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</si>
  <si>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</si>
  <si>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</si>
  <si>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</si>
  <si>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</si>
  <si>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</si>
  <si>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</si>
  <si>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</si>
  <si>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</si>
  <si>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</si>
  <si>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</si>
  <si>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</si>
  <si>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</si>
  <si>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</si>
  <si>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</si>
  <si>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</si>
  <si>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</si>
  <si>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</si>
  <si>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</si>
  <si>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</si>
  <si>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</si>
  <si>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</si>
  <si>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</si>
  <si>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</si>
  <si>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</si>
  <si>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</si>
  <si>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</si>
  <si>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</si>
  <si>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</si>
  <si>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</si>
  <si>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</si>
  <si>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</si>
  <si>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</si>
  <si>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</si>
  <si>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</si>
  <si>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</si>
  <si>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</si>
  <si>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</si>
  <si>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</si>
  <si>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</si>
  <si>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</si>
  <si>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</si>
  <si>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</si>
  <si>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</si>
  <si>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</si>
  <si>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</si>
  <si>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</si>
  <si>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28- Maternidad Provincial 25 de Mayo</t>
  </si>
  <si>
    <t xml:space="preserve">Direccion Asistencial </t>
  </si>
  <si>
    <t>1.1</t>
  </si>
  <si>
    <t>MANTAS; MATERIAL: POLAR, TAMAÑO: 100 X 75 Cm</t>
  </si>
  <si>
    <t>INDUMENT TEXTIL Y CONFECCIONES</t>
  </si>
  <si>
    <t>2.2.3-918.36</t>
  </si>
  <si>
    <t>FUNDAS DE TELA; MATERIAL: ALGODON Y POLIESTER, DIMENSION: 85 X 50 Cm, TIPO: ALMOHADA</t>
  </si>
  <si>
    <t>2.2.3-3169.13</t>
  </si>
  <si>
    <t>SABANAS; CONJUNTO: SUPERIOR Y FUNDA, TELA: ALGODON C/POLIESTER, TAMAÑO: 1 1/2 PLAZA</t>
  </si>
  <si>
    <t>2.2.3-923.23</t>
  </si>
  <si>
    <t>SABANAS; TELA: ALGODON, TAMAÑO: 60 X 80 Cm, CONJUNTO: INFERIOR TRADICIONAL</t>
  </si>
  <si>
    <t>2.2.3-923.37</t>
  </si>
  <si>
    <t>SABANAS; TELA: ALGODON, TAMAÑO: 60 X 80 Cm, CONJUNTO: SUPERIOR TRADICIONAL</t>
  </si>
  <si>
    <t>2.2.3-923.38</t>
  </si>
  <si>
    <t>UNIDAD</t>
  </si>
  <si>
    <t>Descripción técnica</t>
  </si>
  <si>
    <t>Plazos y lugares de entrega</t>
  </si>
  <si>
    <t>10 dias desde la firma de instrumento contractual</t>
  </si>
  <si>
    <t>Calidad Minima esperada</t>
  </si>
  <si>
    <t>Mantenimiento</t>
  </si>
  <si>
    <t xml:space="preserve">30 dias </t>
  </si>
  <si>
    <t>Garantia</t>
  </si>
  <si>
    <t xml:space="preserve">2.2.1-2311.2 </t>
  </si>
  <si>
    <t>2.2.1</t>
  </si>
  <si>
    <t>TELA BRIN; COLOR: CELESTE AERONAUTICO, ANCHO: 1,6 M</t>
  </si>
  <si>
    <t>rollo</t>
  </si>
  <si>
    <t>2.2.1-5016.11</t>
  </si>
  <si>
    <t>LIENZOS; TIPO: TRAMA INTERMEDIA, MATERIA PRIMA: ALGODON PURO, ANCHO: 1,5 M, PRESENTACION: METRO</t>
  </si>
  <si>
    <t>metro</t>
  </si>
  <si>
    <t>Tela BRIN " mil usos ". Color verde o azul . Presentacion: 1 rollo x 50 mts.</t>
  </si>
  <si>
    <t>quirofano</t>
  </si>
  <si>
    <t>30 DIAS</t>
  </si>
  <si>
    <t>Especificidades Item N°6 :</t>
  </si>
  <si>
    <t>Especificidades Item N°7 :</t>
  </si>
  <si>
    <t>Especificidades Item N°8 :</t>
  </si>
  <si>
    <t>Especificidades Item N°9 :</t>
  </si>
  <si>
    <t>Servicio de enfermeria  - MATERNIDAD PROVINCIAL 25 DE MAYO - H. DE PEDRAZA 1650</t>
  </si>
  <si>
    <t>Servicio de quirofano-Maternidad Provincial 25 de Mayo - H de Pedraza 1500</t>
  </si>
  <si>
    <t xml:space="preserve">Adquisicon de telas y confecciones textiles </t>
  </si>
  <si>
    <t xml:space="preserve">Hilados y Telas </t>
  </si>
  <si>
    <t xml:space="preserve">Confecciones textiles </t>
  </si>
  <si>
    <t>Costo total estimado: SEISCIENTOS CUARENTA Y CUATRO MIL QUINIENTOS CON 00/100</t>
  </si>
  <si>
    <t>SON PESOS: SEISCIENTOS CUARENTA Y CUATRO MIL QUINIENTOS CON 00/100</t>
  </si>
  <si>
    <t>Para la adquisición de Telas y confecciones textil, las mismas seran destinadas a la atencion de pacientes que ingresan a nuestra institucion</t>
  </si>
  <si>
    <t xml:space="preserve">División de Enfermería y quirofano </t>
  </si>
  <si>
    <t>109/2021</t>
  </si>
  <si>
    <t>NO</t>
  </si>
  <si>
    <t>Especificidades Item N° 1 al 5:</t>
  </si>
  <si>
    <t>SI</t>
  </si>
  <si>
    <t>tela de Lienzo 100% algodón. Grosor intermedio. 1,50 mts deancho aprox. Presentacion:1 rollo x 100mts</t>
  </si>
  <si>
    <t>2.2.1-2617.11</t>
  </si>
  <si>
    <t>TELA DE ALGODON; ANCHO: 1,50 M, LARGO ROLLO: 50 M, COLOR: SIN VALOR, LARGO: 50 M</t>
  </si>
  <si>
    <t xml:space="preserve">Rollo </t>
  </si>
  <si>
    <t>Tela para toalla. Absorbente. Color blanco. Liso.100% Algodón .</t>
  </si>
  <si>
    <t>2.9.9-7471.165</t>
  </si>
  <si>
    <t>MATERIALES SINTETICOS; TIPO: NAILON, DIMENSION: 1000 X 1000 X 5 mm, PRESENTACION: UNIDAD</t>
  </si>
  <si>
    <t xml:space="preserve">tela "silver " o rompevientos impermeable. Color:azul o terracota.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</si>
</sst>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u/>
      <sz val="10"/>
      <name val="Times New Roman"/>
      <family val="1"/>
    </font>
    <font>
      <sz val="10"/>
      <color rgb="FF000000"/>
      <name val="Arial"/>
      <family val="2"/>
    </font>
    <font>
      <b/>
      <sz val="10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8" xfId="0" applyFont="1" applyBorder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7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8" xfId="0" applyBorder="1"/>
    <xf numFmtId="0" fontId="0" fillId="0" borderId="24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25" xfId="0" applyBorder="1"/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13" fillId="0" borderId="43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0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9" fillId="0" borderId="7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 wrapText="1"/>
    </xf>
    <xf numFmtId="166" fontId="4" fillId="0" borderId="17" xfId="1" applyNumberFormat="1" applyFont="1" applyFill="1" applyBorder="1" applyAlignment="1" applyProtection="1">
      <alignment horizontal="right" vertical="center" wrapText="1"/>
    </xf>
    <xf numFmtId="3" fontId="4" fillId="0" borderId="17" xfId="0" applyNumberFormat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 wrapText="1"/>
    </xf>
    <xf numFmtId="166" fontId="4" fillId="0" borderId="18" xfId="1" applyNumberFormat="1" applyFont="1" applyFill="1" applyBorder="1" applyAlignment="1" applyProtection="1">
      <alignment horizontal="right" vertical="center" wrapText="1"/>
    </xf>
    <xf numFmtId="3" fontId="4" fillId="0" borderId="18" xfId="0" applyNumberFormat="1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1" fillId="3" borderId="0" xfId="0" applyFont="1" applyFill="1" applyAlignment="1">
      <alignment wrapText="1"/>
    </xf>
    <xf numFmtId="0" fontId="22" fillId="0" borderId="7" xfId="0" applyFont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1" fillId="0" borderId="7" xfId="0" applyFont="1" applyBorder="1"/>
    <xf numFmtId="0" fontId="21" fillId="3" borderId="7" xfId="0" applyFont="1" applyFill="1" applyBorder="1" applyAlignment="1">
      <alignment wrapText="1"/>
    </xf>
    <xf numFmtId="0" fontId="21" fillId="3" borderId="7" xfId="0" applyFont="1" applyFill="1" applyBorder="1"/>
    <xf numFmtId="0" fontId="23" fillId="0" borderId="2" xfId="0" applyFont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6" fontId="19" fillId="0" borderId="4" xfId="0" applyNumberFormat="1" applyFont="1" applyBorder="1" applyAlignment="1">
      <alignment horizontal="center" vertical="center" wrapText="1"/>
    </xf>
    <xf numFmtId="6" fontId="19" fillId="0" borderId="5" xfId="0" applyNumberFormat="1" applyFont="1" applyBorder="1" applyAlignment="1">
      <alignment horizontal="center" vertical="center" wrapText="1"/>
    </xf>
    <xf numFmtId="6" fontId="19" fillId="0" borderId="7" xfId="0" applyNumberFormat="1" applyFont="1" applyBorder="1" applyAlignment="1">
      <alignment horizontal="center" vertical="center" wrapText="1"/>
    </xf>
    <xf numFmtId="0" fontId="21" fillId="0" borderId="49" xfId="0" applyFont="1" applyBorder="1"/>
    <xf numFmtId="0" fontId="24" fillId="0" borderId="50" xfId="0" applyFont="1" applyBorder="1"/>
    <xf numFmtId="0" fontId="15" fillId="0" borderId="51" xfId="0" applyFont="1" applyBorder="1"/>
    <xf numFmtId="0" fontId="15" fillId="0" borderId="52" xfId="0" applyFont="1" applyBorder="1"/>
    <xf numFmtId="0" fontId="15" fillId="0" borderId="53" xfId="0" applyFont="1" applyBorder="1"/>
    <xf numFmtId="0" fontId="15" fillId="0" borderId="0" xfId="0" applyFont="1" applyBorder="1"/>
    <xf numFmtId="0" fontId="15" fillId="0" borderId="54" xfId="0" applyFont="1" applyBorder="1"/>
    <xf numFmtId="0" fontId="24" fillId="0" borderId="53" xfId="0" applyFont="1" applyBorder="1" applyAlignment="1">
      <alignment horizontal="left" indent="3"/>
    </xf>
    <xf numFmtId="0" fontId="15" fillId="0" borderId="54" xfId="0" applyFont="1" applyFill="1" applyBorder="1" applyAlignment="1">
      <alignment wrapText="1"/>
    </xf>
    <xf numFmtId="0" fontId="15" fillId="0" borderId="0" xfId="0" applyFont="1" applyFill="1" applyBorder="1"/>
    <xf numFmtId="0" fontId="15" fillId="0" borderId="54" xfId="0" applyFont="1" applyFill="1" applyBorder="1"/>
    <xf numFmtId="0" fontId="15" fillId="0" borderId="53" xfId="0" applyFont="1" applyBorder="1" applyAlignment="1">
      <alignment horizontal="left" indent="3"/>
    </xf>
    <xf numFmtId="0" fontId="15" fillId="0" borderId="0" xfId="0" applyFont="1" applyFill="1" applyBorder="1" applyAlignment="1">
      <alignment horizontal="center" wrapText="1"/>
    </xf>
    <xf numFmtId="0" fontId="15" fillId="0" borderId="54" xfId="0" applyFont="1" applyFill="1" applyBorder="1" applyAlignment="1">
      <alignment horizontal="center" wrapText="1"/>
    </xf>
    <xf numFmtId="0" fontId="15" fillId="0" borderId="53" xfId="0" applyFont="1" applyBorder="1" applyAlignment="1">
      <alignment wrapText="1"/>
    </xf>
    <xf numFmtId="0" fontId="24" fillId="0" borderId="55" xfId="0" applyFont="1" applyBorder="1" applyAlignment="1">
      <alignment horizontal="left" indent="3"/>
    </xf>
    <xf numFmtId="0" fontId="15" fillId="0" borderId="0" xfId="0" applyFont="1" applyFill="1" applyBorder="1" applyAlignment="1">
      <alignment horizontal="center" wrapText="1"/>
    </xf>
    <xf numFmtId="0" fontId="25" fillId="0" borderId="0" xfId="0" applyFont="1" applyBorder="1" applyAlignment="1">
      <alignment vertical="center"/>
    </xf>
    <xf numFmtId="0" fontId="26" fillId="0" borderId="0" xfId="0" applyFont="1" applyFill="1" applyBorder="1" applyAlignment="1">
      <alignment horizontal="center" wrapText="1"/>
    </xf>
    <xf numFmtId="0" fontId="15" fillId="0" borderId="0" xfId="0" applyFont="1" applyBorder="1" applyAlignment="1">
      <alignment horizontal="left" indent="3"/>
    </xf>
    <xf numFmtId="0" fontId="15" fillId="0" borderId="55" xfId="0" applyFont="1" applyBorder="1" applyAlignment="1">
      <alignment horizontal="left" indent="3"/>
    </xf>
    <xf numFmtId="0" fontId="15" fillId="0" borderId="57" xfId="0" applyFont="1" applyBorder="1"/>
    <xf numFmtId="0" fontId="15" fillId="0" borderId="56" xfId="0" applyFont="1" applyBorder="1"/>
    <xf numFmtId="49" fontId="6" fillId="0" borderId="9" xfId="0" applyNumberFormat="1" applyFont="1" applyFill="1" applyBorder="1" applyAlignment="1">
      <alignment horizontal="center" vertical="center"/>
    </xf>
    <xf numFmtId="0" fontId="27" fillId="0" borderId="7" xfId="0" applyFont="1" applyBorder="1"/>
    <xf numFmtId="167" fontId="0" fillId="0" borderId="0" xfId="0" applyNumberFormat="1"/>
    <xf numFmtId="0" fontId="16" fillId="0" borderId="0" xfId="0" applyFont="1" applyBorder="1" applyAlignment="1">
      <alignment horizontal="center"/>
    </xf>
    <xf numFmtId="0" fontId="23" fillId="0" borderId="0" xfId="0" applyFont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 indent="1"/>
    </xf>
    <xf numFmtId="0" fontId="17" fillId="0" borderId="0" xfId="0" applyFont="1" applyBorder="1" applyAlignment="1">
      <alignment horizontal="left" vertical="center" wrapText="1"/>
    </xf>
    <xf numFmtId="0" fontId="15" fillId="0" borderId="53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4" xfId="0" applyFont="1" applyFill="1" applyBorder="1" applyAlignment="1">
      <alignment wrapText="1"/>
    </xf>
    <xf numFmtId="0" fontId="15" fillId="0" borderId="56" xfId="0" applyFont="1" applyFill="1" applyBorder="1" applyAlignment="1">
      <alignment horizontal="center"/>
    </xf>
    <xf numFmtId="0" fontId="15" fillId="0" borderId="54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15" fillId="0" borderId="54" xfId="0" applyFont="1" applyFill="1" applyBorder="1" applyAlignment="1">
      <alignment horizontal="center" wrapText="1"/>
    </xf>
    <xf numFmtId="0" fontId="15" fillId="0" borderId="54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 indent="1"/>
    </xf>
    <xf numFmtId="0" fontId="7" fillId="0" borderId="1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 indent="1"/>
    </xf>
    <xf numFmtId="167" fontId="7" fillId="0" borderId="12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/>
    </xf>
    <xf numFmtId="3" fontId="9" fillId="0" borderId="20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0" fontId="11" fillId="0" borderId="9" xfId="0" applyFont="1" applyBorder="1" applyAlignment="1">
      <alignment horizontal="left" indent="1"/>
    </xf>
    <xf numFmtId="0" fontId="4" fillId="0" borderId="11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/>
    </xf>
    <xf numFmtId="0" fontId="11" fillId="0" borderId="22" xfId="0" applyFont="1" applyBorder="1"/>
    <xf numFmtId="0" fontId="11" fillId="0" borderId="23" xfId="0" applyFont="1" applyFill="1" applyBorder="1" applyAlignment="1">
      <alignment horizontal="left" vertical="center" wrapText="1" indent="1"/>
    </xf>
    <xf numFmtId="0" fontId="13" fillId="0" borderId="2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0" fillId="0" borderId="31" xfId="0" applyFont="1" applyBorder="1" applyAlignment="1">
      <alignment horizontal="left" vertical="center" wrapText="1"/>
    </xf>
    <xf numFmtId="0" fontId="0" fillId="0" borderId="37" xfId="0" applyFont="1" applyBorder="1" applyAlignment="1">
      <alignment horizontal="left" vertical="center"/>
    </xf>
    <xf numFmtId="0" fontId="9" fillId="0" borderId="19" xfId="0" applyFont="1" applyBorder="1" applyAlignment="1">
      <alignment vertical="center" wrapText="1"/>
    </xf>
    <xf numFmtId="0" fontId="9" fillId="0" borderId="4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43" xfId="0" applyFont="1" applyFill="1" applyBorder="1" applyAlignment="1">
      <alignment horizontal="left" vertical="center" wrapText="1" indent="1"/>
    </xf>
    <xf numFmtId="0" fontId="0" fillId="0" borderId="37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9" fillId="0" borderId="43" xfId="0" applyFont="1" applyBorder="1" applyAlignment="1">
      <alignment horizontal="left" vertical="center" wrapText="1"/>
    </xf>
    <xf numFmtId="0" fontId="0" fillId="0" borderId="21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4"/>
  <sheetViews>
    <sheetView tabSelected="1" topLeftCell="A5" zoomScale="130" zoomScaleNormal="130" workbookViewId="0">
      <selection activeCell="J18" sqref="J18"/>
    </sheetView>
  </sheetViews>
  <sheetFormatPr baseColWidth="10" defaultColWidth="11" defaultRowHeight="12.75" x14ac:dyDescent="0.2"/>
  <cols>
    <col min="1" max="1" width="3.5703125" style="39" customWidth="1"/>
    <col min="2" max="2" width="10" style="39" customWidth="1"/>
    <col min="3" max="3" width="27.42578125" style="39" customWidth="1"/>
    <col min="4" max="4" width="6.7109375" style="39" customWidth="1"/>
    <col min="5" max="5" width="102.85546875" style="39" customWidth="1"/>
    <col min="6" max="6" width="8.28515625" style="39" customWidth="1"/>
    <col min="7" max="7" width="10.28515625" style="39" customWidth="1"/>
    <col min="8" max="8" width="10.140625" style="39" customWidth="1"/>
    <col min="9" max="9" width="11" style="39" customWidth="1"/>
    <col min="10" max="16384" width="11" style="39"/>
  </cols>
  <sheetData>
    <row r="2" spans="1:9" ht="27" x14ac:dyDescent="0.35">
      <c r="B2" s="100" t="s">
        <v>0</v>
      </c>
      <c r="C2" s="100"/>
      <c r="D2" s="100"/>
      <c r="E2" s="100"/>
      <c r="F2" s="100"/>
      <c r="G2" s="100"/>
      <c r="H2" s="100"/>
    </row>
    <row r="4" spans="1:9" ht="18" customHeight="1" x14ac:dyDescent="0.25">
      <c r="A4" s="101" t="s">
        <v>1</v>
      </c>
      <c r="B4" s="101"/>
      <c r="C4" s="102" t="s">
        <v>51</v>
      </c>
      <c r="D4" s="102"/>
      <c r="E4" s="102"/>
      <c r="F4" s="40"/>
      <c r="G4" s="41"/>
      <c r="H4" s="40"/>
    </row>
    <row r="5" spans="1:9" ht="18" customHeight="1" x14ac:dyDescent="0.25">
      <c r="A5" s="103" t="s">
        <v>2</v>
      </c>
      <c r="B5" s="103"/>
      <c r="C5" s="102" t="s">
        <v>52</v>
      </c>
      <c r="D5" s="102"/>
      <c r="E5" s="102"/>
      <c r="F5" s="40"/>
      <c r="G5" s="41"/>
      <c r="H5" s="40"/>
    </row>
    <row r="6" spans="1:9" ht="16.5" customHeight="1" x14ac:dyDescent="0.25">
      <c r="A6" s="103" t="s">
        <v>3</v>
      </c>
      <c r="B6" s="103"/>
      <c r="C6" s="42">
        <v>2021</v>
      </c>
      <c r="D6" s="43"/>
      <c r="E6" s="43"/>
      <c r="F6" s="40"/>
      <c r="G6" s="41"/>
      <c r="H6" s="40"/>
    </row>
    <row r="7" spans="1:9" ht="16.5" customHeight="1" x14ac:dyDescent="0.25">
      <c r="A7" s="103" t="s">
        <v>4</v>
      </c>
      <c r="B7" s="103"/>
      <c r="C7" s="42">
        <v>3</v>
      </c>
      <c r="D7" s="43"/>
      <c r="E7" s="4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3" thickTop="1" thickBot="1" x14ac:dyDescent="0.25">
      <c r="A9" s="69" t="s">
        <v>5</v>
      </c>
      <c r="B9" s="70" t="s">
        <v>6</v>
      </c>
      <c r="C9" s="70" t="s">
        <v>7</v>
      </c>
      <c r="D9" s="69" t="s">
        <v>8</v>
      </c>
      <c r="E9" s="70" t="s">
        <v>9</v>
      </c>
      <c r="F9" s="69" t="s">
        <v>10</v>
      </c>
      <c r="G9" s="69" t="s">
        <v>11</v>
      </c>
      <c r="H9" s="69" t="s">
        <v>12</v>
      </c>
      <c r="I9" s="69" t="s">
        <v>13</v>
      </c>
    </row>
    <row r="10" spans="1:9" ht="27" customHeight="1" thickBot="1" x14ac:dyDescent="0.25">
      <c r="A10" s="45">
        <v>1</v>
      </c>
      <c r="B10" s="74" t="s">
        <v>57</v>
      </c>
      <c r="C10" s="74" t="s">
        <v>56</v>
      </c>
      <c r="D10" s="62" t="str">
        <f>LEFT(B10,5)</f>
        <v>2.2.3</v>
      </c>
      <c r="E10" s="63" t="s">
        <v>55</v>
      </c>
      <c r="F10" s="46" t="s">
        <v>66</v>
      </c>
      <c r="G10" s="46">
        <v>30</v>
      </c>
      <c r="H10" s="71">
        <v>3000</v>
      </c>
      <c r="I10" s="72">
        <f>G10*H10</f>
        <v>90000</v>
      </c>
    </row>
    <row r="11" spans="1:9" ht="25.5" customHeight="1" thickBot="1" x14ac:dyDescent="0.25">
      <c r="A11" s="47">
        <v>2</v>
      </c>
      <c r="B11" s="66" t="s">
        <v>59</v>
      </c>
      <c r="C11" s="66" t="s">
        <v>56</v>
      </c>
      <c r="D11" s="64" t="str">
        <f>LEFT(B11,5)</f>
        <v>2.2.3</v>
      </c>
      <c r="E11" s="67" t="s">
        <v>58</v>
      </c>
      <c r="F11" s="44" t="s">
        <v>66</v>
      </c>
      <c r="G11" s="44">
        <v>60</v>
      </c>
      <c r="H11" s="73">
        <v>500</v>
      </c>
      <c r="I11" s="72">
        <f t="shared" ref="I11:I18" si="0">G11*H11</f>
        <v>30000</v>
      </c>
    </row>
    <row r="12" spans="1:9" ht="29.25" customHeight="1" thickBot="1" x14ac:dyDescent="0.25">
      <c r="A12" s="47">
        <v>3</v>
      </c>
      <c r="B12" s="66" t="s">
        <v>61</v>
      </c>
      <c r="C12" s="66" t="s">
        <v>56</v>
      </c>
      <c r="D12" s="64" t="str">
        <f t="shared" ref="D12:D13" si="1">LEFT(B12,5)</f>
        <v>2.2.3</v>
      </c>
      <c r="E12" s="67" t="s">
        <v>60</v>
      </c>
      <c r="F12" s="44" t="s">
        <v>66</v>
      </c>
      <c r="G12" s="44">
        <v>60</v>
      </c>
      <c r="H12" s="73">
        <v>2000</v>
      </c>
      <c r="I12" s="72">
        <f t="shared" si="0"/>
        <v>120000</v>
      </c>
    </row>
    <row r="13" spans="1:9" ht="18.75" customHeight="1" thickBot="1" x14ac:dyDescent="0.25">
      <c r="A13" s="47">
        <v>4</v>
      </c>
      <c r="B13" s="68" t="s">
        <v>63</v>
      </c>
      <c r="C13" s="68" t="s">
        <v>56</v>
      </c>
      <c r="D13" s="65" t="str">
        <f t="shared" si="1"/>
        <v>2.2.3</v>
      </c>
      <c r="E13" s="68" t="s">
        <v>62</v>
      </c>
      <c r="F13" s="44" t="s">
        <v>66</v>
      </c>
      <c r="G13" s="44">
        <v>30</v>
      </c>
      <c r="H13" s="73">
        <v>850</v>
      </c>
      <c r="I13" s="72">
        <f t="shared" si="0"/>
        <v>25500</v>
      </c>
    </row>
    <row r="14" spans="1:9" ht="18.75" customHeight="1" thickBot="1" x14ac:dyDescent="0.25">
      <c r="A14" s="45">
        <v>5</v>
      </c>
      <c r="B14" s="68" t="s">
        <v>65</v>
      </c>
      <c r="C14" s="68" t="s">
        <v>56</v>
      </c>
      <c r="D14" s="65" t="str">
        <f t="shared" ref="D14" si="2">LEFT(B14,5)</f>
        <v>2.2.3</v>
      </c>
      <c r="E14" s="68" t="s">
        <v>64</v>
      </c>
      <c r="F14" s="44" t="s">
        <v>66</v>
      </c>
      <c r="G14" s="44">
        <v>30</v>
      </c>
      <c r="H14" s="73">
        <v>850</v>
      </c>
      <c r="I14" s="72">
        <f t="shared" si="0"/>
        <v>25500</v>
      </c>
    </row>
    <row r="15" spans="1:9" ht="18.75" customHeight="1" thickBot="1" x14ac:dyDescent="0.25">
      <c r="A15" s="47">
        <v>6</v>
      </c>
      <c r="B15" s="68" t="s">
        <v>74</v>
      </c>
      <c r="C15" s="68" t="s">
        <v>56</v>
      </c>
      <c r="D15" s="65" t="s">
        <v>75</v>
      </c>
      <c r="E15" s="68" t="s">
        <v>76</v>
      </c>
      <c r="F15" s="44" t="s">
        <v>77</v>
      </c>
      <c r="G15" s="44">
        <v>10</v>
      </c>
      <c r="H15" s="73">
        <v>24500</v>
      </c>
      <c r="I15" s="72">
        <f t="shared" si="0"/>
        <v>245000</v>
      </c>
    </row>
    <row r="16" spans="1:9" ht="18.75" customHeight="1" thickBot="1" x14ac:dyDescent="0.25">
      <c r="A16" s="47">
        <v>7</v>
      </c>
      <c r="B16" s="68" t="s">
        <v>78</v>
      </c>
      <c r="C16" s="68" t="s">
        <v>56</v>
      </c>
      <c r="D16" s="65" t="s">
        <v>75</v>
      </c>
      <c r="E16" s="68" t="s">
        <v>79</v>
      </c>
      <c r="F16" s="44" t="s">
        <v>80</v>
      </c>
      <c r="G16" s="44">
        <v>100</v>
      </c>
      <c r="H16" s="73">
        <v>360</v>
      </c>
      <c r="I16" s="72">
        <f t="shared" si="0"/>
        <v>36000</v>
      </c>
    </row>
    <row r="17" spans="1:9" ht="18.75" customHeight="1" thickBot="1" x14ac:dyDescent="0.25">
      <c r="A17" s="47">
        <v>8</v>
      </c>
      <c r="B17" t="s">
        <v>102</v>
      </c>
      <c r="C17" s="68" t="s">
        <v>56</v>
      </c>
      <c r="D17" s="65" t="s">
        <v>75</v>
      </c>
      <c r="E17" s="98" t="s">
        <v>103</v>
      </c>
      <c r="F17" s="44" t="s">
        <v>104</v>
      </c>
      <c r="G17" s="44">
        <v>1</v>
      </c>
      <c r="H17" s="73">
        <v>55000</v>
      </c>
      <c r="I17" s="72">
        <f t="shared" si="0"/>
        <v>55000</v>
      </c>
    </row>
    <row r="18" spans="1:9" ht="18.75" customHeight="1" x14ac:dyDescent="0.2">
      <c r="A18" s="45">
        <v>9</v>
      </c>
      <c r="B18" t="s">
        <v>106</v>
      </c>
      <c r="C18" s="68" t="s">
        <v>56</v>
      </c>
      <c r="D18" s="65" t="s">
        <v>75</v>
      </c>
      <c r="E18" s="98" t="s">
        <v>107</v>
      </c>
      <c r="F18" s="44" t="s">
        <v>66</v>
      </c>
      <c r="G18" s="44">
        <v>1</v>
      </c>
      <c r="H18" s="73">
        <v>17500</v>
      </c>
      <c r="I18" s="72">
        <f t="shared" si="0"/>
        <v>17500</v>
      </c>
    </row>
    <row r="20" spans="1:9" ht="13.5" thickBot="1" x14ac:dyDescent="0.25"/>
    <row r="21" spans="1:9" x14ac:dyDescent="0.2">
      <c r="B21" s="75" t="s">
        <v>99</v>
      </c>
      <c r="C21" s="76"/>
      <c r="D21" s="76"/>
      <c r="E21" s="77"/>
    </row>
    <row r="22" spans="1:9" x14ac:dyDescent="0.2">
      <c r="B22" s="78"/>
      <c r="C22" s="79"/>
      <c r="D22" s="79"/>
      <c r="E22" s="80"/>
    </row>
    <row r="23" spans="1:9" x14ac:dyDescent="0.2">
      <c r="B23" s="81" t="s">
        <v>67</v>
      </c>
      <c r="C23" s="79"/>
      <c r="D23" s="79"/>
      <c r="E23" s="80"/>
    </row>
    <row r="24" spans="1:9" x14ac:dyDescent="0.2">
      <c r="B24" s="104"/>
      <c r="C24" s="105"/>
      <c r="D24" s="105"/>
      <c r="E24" s="82"/>
    </row>
    <row r="25" spans="1:9" x14ac:dyDescent="0.2">
      <c r="B25" s="81" t="s">
        <v>68</v>
      </c>
      <c r="C25" s="83"/>
      <c r="D25" s="83"/>
      <c r="E25" s="84"/>
    </row>
    <row r="26" spans="1:9" x14ac:dyDescent="0.2">
      <c r="B26" s="85"/>
      <c r="C26" s="108" t="s">
        <v>69</v>
      </c>
      <c r="D26" s="108"/>
      <c r="E26" s="108"/>
    </row>
    <row r="27" spans="1:9" x14ac:dyDescent="0.2">
      <c r="B27" s="109" t="s">
        <v>88</v>
      </c>
      <c r="C27" s="110"/>
      <c r="D27" s="110"/>
      <c r="E27" s="108"/>
    </row>
    <row r="28" spans="1:9" x14ac:dyDescent="0.2">
      <c r="B28" s="81" t="s">
        <v>70</v>
      </c>
      <c r="C28" s="83"/>
      <c r="D28" s="83"/>
      <c r="E28" s="84"/>
    </row>
    <row r="29" spans="1:9" x14ac:dyDescent="0.2">
      <c r="B29" s="104"/>
      <c r="C29" s="105"/>
      <c r="D29" s="105"/>
      <c r="E29" s="82"/>
    </row>
    <row r="30" spans="1:9" x14ac:dyDescent="0.2">
      <c r="B30" s="81" t="s">
        <v>71</v>
      </c>
      <c r="C30" s="86"/>
      <c r="D30" s="86"/>
      <c r="E30" s="87" t="s">
        <v>72</v>
      </c>
    </row>
    <row r="31" spans="1:9" x14ac:dyDescent="0.2">
      <c r="B31" s="88"/>
      <c r="C31" s="106"/>
      <c r="D31" s="106"/>
      <c r="E31" s="106"/>
    </row>
    <row r="32" spans="1:9" x14ac:dyDescent="0.2">
      <c r="B32" s="81" t="s">
        <v>73</v>
      </c>
      <c r="C32" s="83"/>
      <c r="D32" s="83"/>
      <c r="E32" s="84"/>
    </row>
    <row r="33" spans="2:5" ht="13.5" thickBot="1" x14ac:dyDescent="0.25">
      <c r="B33" s="89"/>
      <c r="C33" s="107"/>
      <c r="D33" s="107"/>
      <c r="E33" s="107"/>
    </row>
    <row r="35" spans="2:5" ht="13.5" thickBot="1" x14ac:dyDescent="0.25"/>
    <row r="36" spans="2:5" x14ac:dyDescent="0.2">
      <c r="B36" s="75" t="s">
        <v>84</v>
      </c>
      <c r="C36" s="76"/>
      <c r="D36" s="76"/>
      <c r="E36" s="76"/>
    </row>
    <row r="37" spans="2:5" x14ac:dyDescent="0.2">
      <c r="B37" s="78"/>
      <c r="C37" s="79"/>
      <c r="D37" s="79"/>
      <c r="E37" s="79"/>
    </row>
    <row r="38" spans="2:5" x14ac:dyDescent="0.2">
      <c r="B38" s="81" t="s">
        <v>67</v>
      </c>
      <c r="D38" s="79" t="s">
        <v>81</v>
      </c>
      <c r="E38" s="79"/>
    </row>
    <row r="39" spans="2:5" x14ac:dyDescent="0.2">
      <c r="B39" s="81"/>
      <c r="C39" s="91"/>
      <c r="D39" s="90"/>
      <c r="E39" s="92"/>
    </row>
    <row r="40" spans="2:5" x14ac:dyDescent="0.2">
      <c r="B40" s="81" t="s">
        <v>68</v>
      </c>
      <c r="C40" s="83"/>
      <c r="D40" s="83"/>
      <c r="E40" s="83"/>
    </row>
    <row r="41" spans="2:5" x14ac:dyDescent="0.2">
      <c r="B41" s="85"/>
      <c r="C41" s="108" t="s">
        <v>89</v>
      </c>
      <c r="D41" s="108"/>
      <c r="E41" s="110"/>
    </row>
    <row r="42" spans="2:5" x14ac:dyDescent="0.2">
      <c r="B42" s="85"/>
      <c r="C42" s="108" t="s">
        <v>69</v>
      </c>
      <c r="D42" s="108"/>
      <c r="E42" s="108"/>
    </row>
    <row r="43" spans="2:5" x14ac:dyDescent="0.2">
      <c r="B43" s="81" t="s">
        <v>70</v>
      </c>
      <c r="C43" s="83"/>
      <c r="D43" s="83"/>
      <c r="E43" s="83"/>
    </row>
    <row r="44" spans="2:5" x14ac:dyDescent="0.2">
      <c r="B44" s="85"/>
      <c r="C44" s="105"/>
      <c r="D44" s="105"/>
      <c r="E44" s="105"/>
    </row>
    <row r="45" spans="2:5" x14ac:dyDescent="0.2">
      <c r="B45" s="81" t="s">
        <v>71</v>
      </c>
      <c r="D45" s="90"/>
      <c r="E45" s="90" t="s">
        <v>83</v>
      </c>
    </row>
    <row r="46" spans="2:5" x14ac:dyDescent="0.2">
      <c r="B46" s="85"/>
      <c r="C46" s="105"/>
      <c r="D46" s="105"/>
      <c r="E46" s="105"/>
    </row>
    <row r="47" spans="2:5" x14ac:dyDescent="0.2">
      <c r="B47" s="81" t="s">
        <v>73</v>
      </c>
      <c r="C47" s="83"/>
      <c r="D47" s="83"/>
      <c r="E47" s="83"/>
    </row>
    <row r="48" spans="2:5" ht="13.5" thickBot="1" x14ac:dyDescent="0.25">
      <c r="B48" s="89"/>
      <c r="C48" s="111"/>
      <c r="D48" s="111"/>
      <c r="E48" s="111"/>
    </row>
    <row r="49" spans="2:5" x14ac:dyDescent="0.2">
      <c r="B49" s="93"/>
      <c r="C49" s="79"/>
      <c r="D49" s="79"/>
      <c r="E49" s="79"/>
    </row>
    <row r="50" spans="2:5" ht="13.5" thickBot="1" x14ac:dyDescent="0.25"/>
    <row r="51" spans="2:5" x14ac:dyDescent="0.2">
      <c r="B51" s="75" t="s">
        <v>85</v>
      </c>
      <c r="C51" s="76"/>
      <c r="D51" s="76"/>
      <c r="E51" s="77"/>
    </row>
    <row r="52" spans="2:5" x14ac:dyDescent="0.2">
      <c r="B52" s="78"/>
      <c r="C52" s="79"/>
      <c r="D52" s="79"/>
      <c r="E52" s="80"/>
    </row>
    <row r="53" spans="2:5" x14ac:dyDescent="0.2">
      <c r="B53" s="81" t="s">
        <v>67</v>
      </c>
      <c r="C53" s="79"/>
      <c r="D53" s="79"/>
      <c r="E53" s="80"/>
    </row>
    <row r="54" spans="2:5" x14ac:dyDescent="0.2">
      <c r="B54" s="81"/>
      <c r="C54" s="112" t="s">
        <v>101</v>
      </c>
      <c r="D54" s="112"/>
      <c r="E54" s="112"/>
    </row>
    <row r="55" spans="2:5" x14ac:dyDescent="0.2">
      <c r="B55" s="81" t="s">
        <v>68</v>
      </c>
      <c r="C55" s="83"/>
      <c r="D55" s="83"/>
      <c r="E55" s="84"/>
    </row>
    <row r="56" spans="2:5" x14ac:dyDescent="0.2">
      <c r="B56" s="85"/>
      <c r="C56" s="108" t="s">
        <v>89</v>
      </c>
      <c r="D56" s="108"/>
      <c r="E56" s="110"/>
    </row>
    <row r="57" spans="2:5" x14ac:dyDescent="0.2">
      <c r="B57" s="85"/>
      <c r="C57" s="108" t="s">
        <v>69</v>
      </c>
      <c r="D57" s="108"/>
      <c r="E57" s="108"/>
    </row>
    <row r="58" spans="2:5" x14ac:dyDescent="0.2">
      <c r="B58" s="81" t="s">
        <v>70</v>
      </c>
      <c r="C58" s="83"/>
      <c r="D58" s="83"/>
      <c r="E58" s="84"/>
    </row>
    <row r="59" spans="2:5" x14ac:dyDescent="0.2">
      <c r="B59" s="85"/>
      <c r="C59" s="112"/>
      <c r="D59" s="112"/>
      <c r="E59" s="112"/>
    </row>
    <row r="60" spans="2:5" x14ac:dyDescent="0.2">
      <c r="B60" s="81" t="s">
        <v>71</v>
      </c>
      <c r="D60" s="90"/>
      <c r="E60" s="90" t="s">
        <v>83</v>
      </c>
    </row>
    <row r="61" spans="2:5" x14ac:dyDescent="0.2">
      <c r="B61" s="85"/>
      <c r="C61" s="112"/>
      <c r="D61" s="112"/>
      <c r="E61" s="112"/>
    </row>
    <row r="62" spans="2:5" x14ac:dyDescent="0.2">
      <c r="B62" s="81" t="s">
        <v>73</v>
      </c>
      <c r="C62" s="83"/>
      <c r="D62" s="83"/>
      <c r="E62" s="84"/>
    </row>
    <row r="63" spans="2:5" x14ac:dyDescent="0.2">
      <c r="B63" s="81"/>
      <c r="C63" s="108"/>
      <c r="D63" s="108"/>
      <c r="E63" s="108"/>
    </row>
    <row r="64" spans="2:5" ht="13.5" thickBot="1" x14ac:dyDescent="0.25">
      <c r="B64" s="94"/>
      <c r="C64" s="95"/>
      <c r="D64" s="95"/>
      <c r="E64" s="96"/>
    </row>
    <row r="65" spans="2:5" ht="13.5" thickBot="1" x14ac:dyDescent="0.25"/>
    <row r="66" spans="2:5" x14ac:dyDescent="0.2">
      <c r="B66" s="75" t="s">
        <v>86</v>
      </c>
      <c r="C66" s="76"/>
      <c r="D66" s="76"/>
      <c r="E66" s="77"/>
    </row>
    <row r="67" spans="2:5" x14ac:dyDescent="0.2">
      <c r="B67" s="78"/>
      <c r="C67" s="79"/>
      <c r="D67" s="79"/>
      <c r="E67" s="80"/>
    </row>
    <row r="68" spans="2:5" x14ac:dyDescent="0.2">
      <c r="B68" s="81" t="s">
        <v>67</v>
      </c>
      <c r="C68" s="79"/>
      <c r="D68" s="79"/>
      <c r="E68" s="80"/>
    </row>
    <row r="69" spans="2:5" x14ac:dyDescent="0.2">
      <c r="B69" s="81"/>
      <c r="C69" s="113" t="s">
        <v>105</v>
      </c>
      <c r="D69" s="113"/>
      <c r="E69" s="113"/>
    </row>
    <row r="70" spans="2:5" x14ac:dyDescent="0.2">
      <c r="B70" s="81" t="s">
        <v>68</v>
      </c>
      <c r="C70" s="83"/>
      <c r="D70" s="83"/>
      <c r="E70" s="84"/>
    </row>
    <row r="71" spans="2:5" x14ac:dyDescent="0.2">
      <c r="B71" s="85"/>
      <c r="C71" s="108" t="s">
        <v>89</v>
      </c>
      <c r="D71" s="108"/>
      <c r="E71" s="110"/>
    </row>
    <row r="72" spans="2:5" x14ac:dyDescent="0.2">
      <c r="B72" s="85"/>
      <c r="C72" s="108" t="s">
        <v>69</v>
      </c>
      <c r="D72" s="108"/>
      <c r="E72" s="108"/>
    </row>
    <row r="73" spans="2:5" x14ac:dyDescent="0.2">
      <c r="B73" s="81" t="s">
        <v>70</v>
      </c>
      <c r="C73" s="83"/>
      <c r="D73" s="83"/>
      <c r="E73" s="84"/>
    </row>
    <row r="74" spans="2:5" x14ac:dyDescent="0.2">
      <c r="B74" s="85"/>
      <c r="C74" s="112"/>
      <c r="D74" s="112"/>
      <c r="E74" s="112"/>
    </row>
    <row r="75" spans="2:5" x14ac:dyDescent="0.2">
      <c r="B75" s="81" t="s">
        <v>71</v>
      </c>
      <c r="C75" s="90"/>
      <c r="D75" s="105" t="s">
        <v>72</v>
      </c>
      <c r="E75" s="112"/>
    </row>
    <row r="76" spans="2:5" x14ac:dyDescent="0.2">
      <c r="B76" s="85"/>
      <c r="C76" s="112"/>
      <c r="D76" s="112"/>
      <c r="E76" s="112"/>
    </row>
    <row r="77" spans="2:5" x14ac:dyDescent="0.2">
      <c r="B77" s="81" t="s">
        <v>73</v>
      </c>
      <c r="C77" s="83"/>
      <c r="D77" s="83"/>
      <c r="E77" s="84"/>
    </row>
    <row r="78" spans="2:5" x14ac:dyDescent="0.2">
      <c r="B78" s="81"/>
      <c r="C78" s="108"/>
      <c r="D78" s="108"/>
      <c r="E78" s="108"/>
    </row>
    <row r="79" spans="2:5" ht="13.5" thickBot="1" x14ac:dyDescent="0.25">
      <c r="B79" s="94"/>
      <c r="C79" s="95"/>
      <c r="D79" s="95"/>
      <c r="E79" s="96"/>
    </row>
    <row r="80" spans="2:5" ht="13.5" thickBot="1" x14ac:dyDescent="0.25"/>
    <row r="81" spans="2:5" x14ac:dyDescent="0.2">
      <c r="B81" s="75" t="s">
        <v>87</v>
      </c>
      <c r="C81" s="76"/>
      <c r="D81" s="76"/>
      <c r="E81" s="77"/>
    </row>
    <row r="82" spans="2:5" x14ac:dyDescent="0.2">
      <c r="B82" s="78"/>
      <c r="C82" s="79"/>
      <c r="D82" s="79"/>
      <c r="E82" s="80"/>
    </row>
    <row r="83" spans="2:5" x14ac:dyDescent="0.2">
      <c r="B83" s="81" t="s">
        <v>67</v>
      </c>
      <c r="C83" s="79"/>
      <c r="D83" s="79"/>
      <c r="E83" s="80"/>
    </row>
    <row r="84" spans="2:5" x14ac:dyDescent="0.2">
      <c r="B84" s="81"/>
      <c r="C84" s="112" t="s">
        <v>108</v>
      </c>
      <c r="D84" s="112"/>
      <c r="E84" s="112"/>
    </row>
    <row r="85" spans="2:5" x14ac:dyDescent="0.2">
      <c r="B85" s="81" t="s">
        <v>68</v>
      </c>
      <c r="C85" s="83" t="s">
        <v>82</v>
      </c>
      <c r="D85" s="83"/>
      <c r="E85" s="84"/>
    </row>
    <row r="86" spans="2:5" x14ac:dyDescent="0.2">
      <c r="B86" s="85"/>
      <c r="C86" s="108" t="s">
        <v>89</v>
      </c>
      <c r="D86" s="108"/>
      <c r="E86" s="110"/>
    </row>
    <row r="87" spans="2:5" x14ac:dyDescent="0.2">
      <c r="B87" s="85"/>
      <c r="C87" s="108" t="s">
        <v>69</v>
      </c>
      <c r="D87" s="108"/>
      <c r="E87" s="108"/>
    </row>
    <row r="88" spans="2:5" x14ac:dyDescent="0.2">
      <c r="B88" s="81" t="s">
        <v>70</v>
      </c>
      <c r="C88" s="83"/>
      <c r="D88" s="83"/>
      <c r="E88" s="84"/>
    </row>
    <row r="89" spans="2:5" x14ac:dyDescent="0.2">
      <c r="B89" s="85"/>
      <c r="C89" s="112"/>
      <c r="D89" s="112"/>
      <c r="E89" s="112"/>
    </row>
    <row r="90" spans="2:5" x14ac:dyDescent="0.2">
      <c r="B90" s="81" t="s">
        <v>71</v>
      </c>
      <c r="D90" s="90"/>
      <c r="E90" s="90" t="s">
        <v>83</v>
      </c>
    </row>
    <row r="91" spans="2:5" x14ac:dyDescent="0.2">
      <c r="B91" s="85"/>
      <c r="C91" s="112"/>
      <c r="D91" s="112"/>
      <c r="E91" s="112"/>
    </row>
    <row r="92" spans="2:5" x14ac:dyDescent="0.2">
      <c r="B92" s="81" t="s">
        <v>73</v>
      </c>
      <c r="C92" s="83"/>
      <c r="D92" s="83"/>
      <c r="E92" s="84"/>
    </row>
    <row r="93" spans="2:5" x14ac:dyDescent="0.2">
      <c r="B93" s="81"/>
      <c r="C93" s="108"/>
      <c r="D93" s="108"/>
      <c r="E93" s="108"/>
    </row>
    <row r="94" spans="2:5" ht="13.5" thickBot="1" x14ac:dyDescent="0.25">
      <c r="B94" s="94"/>
      <c r="C94" s="95"/>
      <c r="D94" s="95"/>
      <c r="E94" s="96"/>
    </row>
  </sheetData>
  <autoFilter ref="A9:I18" xr:uid="{00000000-0009-0000-0000-000000000000}"/>
  <mergeCells count="37">
    <mergeCell ref="C89:E89"/>
    <mergeCell ref="C91:E91"/>
    <mergeCell ref="C93:E93"/>
    <mergeCell ref="D75:E75"/>
    <mergeCell ref="C76:E76"/>
    <mergeCell ref="C78:E78"/>
    <mergeCell ref="C84:E84"/>
    <mergeCell ref="C86:E86"/>
    <mergeCell ref="C87:E87"/>
    <mergeCell ref="C63:E63"/>
    <mergeCell ref="C69:E69"/>
    <mergeCell ref="C71:E71"/>
    <mergeCell ref="C72:E72"/>
    <mergeCell ref="C74:E74"/>
    <mergeCell ref="C54:E54"/>
    <mergeCell ref="C56:E56"/>
    <mergeCell ref="C57:E57"/>
    <mergeCell ref="C59:E59"/>
    <mergeCell ref="C61:E61"/>
    <mergeCell ref="C41:E41"/>
    <mergeCell ref="C42:E42"/>
    <mergeCell ref="C44:E44"/>
    <mergeCell ref="C46:E46"/>
    <mergeCell ref="C48:E48"/>
    <mergeCell ref="B29:D29"/>
    <mergeCell ref="C31:E31"/>
    <mergeCell ref="C33:E33"/>
    <mergeCell ref="A6:B6"/>
    <mergeCell ref="A7:B7"/>
    <mergeCell ref="B24:D24"/>
    <mergeCell ref="C26:E26"/>
    <mergeCell ref="B27:E2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1"/>
  <sheetViews>
    <sheetView zoomScale="75" zoomScaleNormal="75" workbookViewId="0">
      <selection activeCell="G23" sqref="G2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5" t="s">
        <v>14</v>
      </c>
      <c r="B1" s="115"/>
      <c r="C1" s="115"/>
      <c r="D1" s="115"/>
      <c r="E1" s="115"/>
      <c r="F1" s="115"/>
      <c r="G1" s="115"/>
      <c r="H1" s="115"/>
      <c r="I1" s="115"/>
      <c r="J1" s="3" t="s">
        <v>15</v>
      </c>
      <c r="K1" s="97" t="s">
        <v>97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6" t="s">
        <v>48</v>
      </c>
      <c r="B3" s="116"/>
      <c r="C3" s="116"/>
      <c r="D3" s="117" t="str">
        <f>'Necesidades Trimestrales'!C4</f>
        <v>42-Ministerio de Salud</v>
      </c>
      <c r="E3" s="117"/>
      <c r="F3" s="117"/>
      <c r="G3" s="117"/>
      <c r="H3" s="117"/>
      <c r="I3" s="117"/>
      <c r="J3" s="117"/>
      <c r="K3" s="117"/>
    </row>
    <row r="4" spans="1:11" ht="18.75" customHeight="1" thickBot="1" x14ac:dyDescent="0.25">
      <c r="A4" s="118" t="s">
        <v>49</v>
      </c>
      <c r="B4" s="118"/>
      <c r="C4" s="118"/>
      <c r="D4" s="117" t="str">
        <f>'Necesidades Trimestrales'!C5</f>
        <v>28- Maternidad Provincial 25 de Mayo</v>
      </c>
      <c r="E4" s="117"/>
      <c r="F4" s="117"/>
      <c r="G4" s="117"/>
      <c r="H4" s="117"/>
      <c r="I4" s="117"/>
      <c r="J4" s="117"/>
      <c r="K4" s="117"/>
    </row>
    <row r="5" spans="1:11" ht="18.75" customHeight="1" thickBot="1" x14ac:dyDescent="0.25">
      <c r="A5" s="118" t="s">
        <v>27</v>
      </c>
      <c r="B5" s="118"/>
      <c r="C5" s="118"/>
      <c r="D5" s="117" t="s">
        <v>53</v>
      </c>
      <c r="E5" s="117"/>
      <c r="F5" s="117"/>
      <c r="G5" s="117"/>
      <c r="H5" s="117"/>
      <c r="I5" s="117"/>
      <c r="J5" s="117"/>
      <c r="K5" s="117"/>
    </row>
    <row r="6" spans="1:11" ht="16.5" customHeight="1" thickBot="1" x14ac:dyDescent="0.25">
      <c r="A6" s="116" t="s">
        <v>50</v>
      </c>
      <c r="B6" s="116"/>
      <c r="C6" s="116"/>
      <c r="D6" s="117" t="s">
        <v>96</v>
      </c>
      <c r="E6" s="117"/>
      <c r="F6" s="117"/>
      <c r="G6" s="117"/>
      <c r="H6" s="117"/>
      <c r="I6" s="117"/>
      <c r="J6" s="117"/>
      <c r="K6" s="117"/>
    </row>
    <row r="7" spans="1:11" ht="16.5" customHeight="1" thickBot="1" x14ac:dyDescent="0.25">
      <c r="A7" s="118" t="s">
        <v>16</v>
      </c>
      <c r="B7" s="118"/>
      <c r="C7" s="118"/>
      <c r="D7" s="117" t="str">
        <f>'Necesidades Trimestrales'!C7 &amp; "° Trimestre - Año " &amp; 'Necesidades Trimestrales'!C6</f>
        <v>3° Trimestre - Año 2021</v>
      </c>
      <c r="E7" s="117"/>
      <c r="F7" s="117"/>
      <c r="G7" s="117"/>
      <c r="H7" s="117"/>
      <c r="I7" s="117"/>
      <c r="J7" s="117"/>
      <c r="K7" s="117"/>
    </row>
    <row r="8" spans="1:11" ht="16.5" customHeight="1" x14ac:dyDescent="0.2">
      <c r="A8" s="122" t="s">
        <v>17</v>
      </c>
      <c r="B8" s="122"/>
      <c r="C8" s="122"/>
      <c r="D8" s="123" t="s">
        <v>90</v>
      </c>
      <c r="E8" s="123"/>
      <c r="F8" s="123"/>
      <c r="G8" s="123"/>
      <c r="H8" s="123"/>
      <c r="I8" s="123"/>
      <c r="J8" s="123"/>
      <c r="K8" s="123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4" t="s">
        <v>18</v>
      </c>
      <c r="B10" s="125" t="s">
        <v>19</v>
      </c>
      <c r="C10" s="125" t="s">
        <v>20</v>
      </c>
      <c r="D10" s="125"/>
      <c r="E10" s="125"/>
      <c r="F10" s="125"/>
      <c r="G10" s="125"/>
      <c r="H10" s="125" t="s">
        <v>21</v>
      </c>
      <c r="I10" s="125" t="s">
        <v>22</v>
      </c>
      <c r="J10" s="125" t="s">
        <v>23</v>
      </c>
      <c r="K10" s="126" t="s">
        <v>24</v>
      </c>
    </row>
    <row r="11" spans="1:11" ht="24" customHeight="1" thickBot="1" x14ac:dyDescent="0.25">
      <c r="A11" s="124"/>
      <c r="B11" s="125"/>
      <c r="C11" s="125"/>
      <c r="D11" s="125"/>
      <c r="E11" s="125"/>
      <c r="F11" s="125"/>
      <c r="G11" s="125"/>
      <c r="H11" s="125"/>
      <c r="I11" s="125"/>
      <c r="J11" s="125"/>
      <c r="K11" s="126"/>
    </row>
    <row r="12" spans="1:11" ht="20.25" customHeight="1" thickBot="1" x14ac:dyDescent="0.25">
      <c r="A12" s="8">
        <f>'Necesidades Trimestrales'!A10</f>
        <v>1</v>
      </c>
      <c r="B12" s="48" t="str">
        <f>'Necesidades Trimestrales'!B10</f>
        <v>2.2.3-918.36</v>
      </c>
      <c r="C12" s="121" t="str">
        <f>'Necesidades Trimestrales'!E10</f>
        <v>MANTAS; MATERIAL: POLAR, TAMAÑO: 100 X 75 Cm</v>
      </c>
      <c r="D12" s="121"/>
      <c r="E12" s="121"/>
      <c r="F12" s="121"/>
      <c r="G12" s="121"/>
      <c r="H12" s="49" t="s">
        <v>98</v>
      </c>
      <c r="I12" s="50" t="str">
        <f>'Necesidades Trimestrales'!F10</f>
        <v>UNIDAD</v>
      </c>
      <c r="J12" s="51">
        <f>'Necesidades Trimestrales'!H10</f>
        <v>3000</v>
      </c>
      <c r="K12" s="52">
        <f>'Necesidades Trimestrales'!G10</f>
        <v>30</v>
      </c>
    </row>
    <row r="13" spans="1:11" ht="26.25" customHeight="1" thickBot="1" x14ac:dyDescent="0.25">
      <c r="A13" s="8">
        <f>'Necesidades Trimestrales'!A11</f>
        <v>2</v>
      </c>
      <c r="B13" s="53" t="str">
        <f>'Necesidades Trimestrales'!B11</f>
        <v>2.2.3-3169.13</v>
      </c>
      <c r="C13" s="114" t="str">
        <f>'Necesidades Trimestrales'!E11</f>
        <v>FUNDAS DE TELA; MATERIAL: ALGODON Y POLIESTER, DIMENSION: 85 X 50 Cm, TIPO: ALMOHADA</v>
      </c>
      <c r="D13" s="114"/>
      <c r="E13" s="114"/>
      <c r="F13" s="114"/>
      <c r="G13" s="114"/>
      <c r="H13" s="54" t="s">
        <v>98</v>
      </c>
      <c r="I13" s="55" t="str">
        <f>'Necesidades Trimestrales'!F11</f>
        <v>UNIDAD</v>
      </c>
      <c r="J13" s="56">
        <f>'Necesidades Trimestrales'!H11</f>
        <v>500</v>
      </c>
      <c r="K13" s="57">
        <f>'Necesidades Trimestrales'!G11</f>
        <v>60</v>
      </c>
    </row>
    <row r="14" spans="1:11" ht="28.5" customHeight="1" thickBot="1" x14ac:dyDescent="0.25">
      <c r="A14" s="8">
        <f>'Necesidades Trimestrales'!A12</f>
        <v>3</v>
      </c>
      <c r="B14" s="53" t="str">
        <f>'Necesidades Trimestrales'!B12</f>
        <v>2.2.3-923.23</v>
      </c>
      <c r="C14" s="114" t="str">
        <f>'Necesidades Trimestrales'!E12</f>
        <v>SABANAS; CONJUNTO: SUPERIOR Y FUNDA, TELA: ALGODON C/POLIESTER, TAMAÑO: 1 1/2 PLAZA</v>
      </c>
      <c r="D14" s="114"/>
      <c r="E14" s="114"/>
      <c r="F14" s="114"/>
      <c r="G14" s="114"/>
      <c r="H14" s="54" t="s">
        <v>98</v>
      </c>
      <c r="I14" s="55" t="str">
        <f>'Necesidades Trimestrales'!F12</f>
        <v>UNIDAD</v>
      </c>
      <c r="J14" s="56">
        <f>'Necesidades Trimestrales'!H12</f>
        <v>2000</v>
      </c>
      <c r="K14" s="57">
        <f>'Necesidades Trimestrales'!G12</f>
        <v>60</v>
      </c>
    </row>
    <row r="15" spans="1:11" ht="27" customHeight="1" thickBot="1" x14ac:dyDescent="0.25">
      <c r="A15" s="8">
        <f>'Necesidades Trimestrales'!A13</f>
        <v>4</v>
      </c>
      <c r="B15" s="53" t="str">
        <f>'Necesidades Trimestrales'!B13</f>
        <v>2.2.3-923.37</v>
      </c>
      <c r="C15" s="114" t="str">
        <f>'Necesidades Trimestrales'!E13</f>
        <v>SABANAS; TELA: ALGODON, TAMAÑO: 60 X 80 Cm, CONJUNTO: INFERIOR TRADICIONAL</v>
      </c>
      <c r="D15" s="114"/>
      <c r="E15" s="114"/>
      <c r="F15" s="114"/>
      <c r="G15" s="114"/>
      <c r="H15" s="54" t="s">
        <v>98</v>
      </c>
      <c r="I15" s="55" t="str">
        <f>'Necesidades Trimestrales'!F13</f>
        <v>UNIDAD</v>
      </c>
      <c r="J15" s="56">
        <f>'Necesidades Trimestrales'!H13</f>
        <v>850</v>
      </c>
      <c r="K15" s="57">
        <f>'Necesidades Trimestrales'!G13</f>
        <v>30</v>
      </c>
    </row>
    <row r="16" spans="1:11" ht="27" customHeight="1" thickBot="1" x14ac:dyDescent="0.25">
      <c r="A16" s="8">
        <f>'Necesidades Trimestrales'!A14</f>
        <v>5</v>
      </c>
      <c r="B16" s="53" t="str">
        <f>'Necesidades Trimestrales'!B14</f>
        <v>2.2.3-923.38</v>
      </c>
      <c r="C16" s="114" t="str">
        <f>'Necesidades Trimestrales'!E14</f>
        <v>SABANAS; TELA: ALGODON, TAMAÑO: 60 X 80 Cm, CONJUNTO: SUPERIOR TRADICIONAL</v>
      </c>
      <c r="D16" s="114"/>
      <c r="E16" s="114"/>
      <c r="F16" s="114"/>
      <c r="G16" s="114"/>
      <c r="H16" s="54" t="s">
        <v>98</v>
      </c>
      <c r="I16" s="55" t="str">
        <f>'Necesidades Trimestrales'!F14</f>
        <v>UNIDAD</v>
      </c>
      <c r="J16" s="56">
        <f>'Necesidades Trimestrales'!H14</f>
        <v>850</v>
      </c>
      <c r="K16" s="57">
        <f>'Necesidades Trimestrales'!G14</f>
        <v>30</v>
      </c>
    </row>
    <row r="17" spans="1:11" ht="27" customHeight="1" thickBot="1" x14ac:dyDescent="0.25">
      <c r="A17" s="8">
        <f>'Necesidades Trimestrales'!A15</f>
        <v>6</v>
      </c>
      <c r="B17" s="53" t="str">
        <f>'Necesidades Trimestrales'!B15</f>
        <v xml:space="preserve">2.2.1-2311.2 </v>
      </c>
      <c r="C17" s="114" t="str">
        <f>'Necesidades Trimestrales'!E15</f>
        <v>TELA BRIN; COLOR: CELESTE AERONAUTICO, ANCHO: 1,6 M</v>
      </c>
      <c r="D17" s="114"/>
      <c r="E17" s="114"/>
      <c r="F17" s="114"/>
      <c r="G17" s="114"/>
      <c r="H17" s="54" t="s">
        <v>100</v>
      </c>
      <c r="I17" s="55" t="str">
        <f>'Necesidades Trimestrales'!F15</f>
        <v>rollo</v>
      </c>
      <c r="J17" s="56">
        <f>'Necesidades Trimestrales'!H15</f>
        <v>24500</v>
      </c>
      <c r="K17" s="57">
        <f>'Necesidades Trimestrales'!G15</f>
        <v>10</v>
      </c>
    </row>
    <row r="18" spans="1:11" ht="27" customHeight="1" thickBot="1" x14ac:dyDescent="0.25">
      <c r="A18" s="8">
        <f>'Necesidades Trimestrales'!A16</f>
        <v>7</v>
      </c>
      <c r="B18" s="53" t="str">
        <f>'Necesidades Trimestrales'!B16</f>
        <v>2.2.1-5016.11</v>
      </c>
      <c r="C18" s="114" t="str">
        <f>'Necesidades Trimestrales'!E16</f>
        <v>LIENZOS; TIPO: TRAMA INTERMEDIA, MATERIA PRIMA: ALGODON PURO, ANCHO: 1,5 M, PRESENTACION: METRO</v>
      </c>
      <c r="D18" s="114"/>
      <c r="E18" s="114"/>
      <c r="F18" s="114"/>
      <c r="G18" s="114"/>
      <c r="H18" s="54" t="s">
        <v>100</v>
      </c>
      <c r="I18" s="55" t="str">
        <f>'Necesidades Trimestrales'!F16</f>
        <v>metro</v>
      </c>
      <c r="J18" s="56">
        <f>'Necesidades Trimestrales'!H16</f>
        <v>360</v>
      </c>
      <c r="K18" s="57">
        <f>'Necesidades Trimestrales'!G16</f>
        <v>100</v>
      </c>
    </row>
    <row r="19" spans="1:11" ht="27" customHeight="1" thickBot="1" x14ac:dyDescent="0.25">
      <c r="A19" s="8">
        <f>'Necesidades Trimestrales'!A17</f>
        <v>8</v>
      </c>
      <c r="B19" s="53" t="str">
        <f>'Necesidades Trimestrales'!B17</f>
        <v>2.2.1-2617.11</v>
      </c>
      <c r="C19" s="114" t="str">
        <f>'Necesidades Trimestrales'!E17</f>
        <v>TELA DE ALGODON; ANCHO: 1,50 M, LARGO ROLLO: 50 M, COLOR: SIN VALOR, LARGO: 50 M</v>
      </c>
      <c r="D19" s="114"/>
      <c r="E19" s="114"/>
      <c r="F19" s="114"/>
      <c r="G19" s="114"/>
      <c r="H19" s="54" t="s">
        <v>100</v>
      </c>
      <c r="I19" s="55" t="str">
        <f>'Necesidades Trimestrales'!F17</f>
        <v xml:space="preserve">Rollo </v>
      </c>
      <c r="J19" s="56">
        <f>'Necesidades Trimestrales'!H17</f>
        <v>55000</v>
      </c>
      <c r="K19" s="57">
        <f>'Necesidades Trimestrales'!G17</f>
        <v>1</v>
      </c>
    </row>
    <row r="20" spans="1:11" ht="27" customHeight="1" thickBot="1" x14ac:dyDescent="0.25">
      <c r="A20" s="8">
        <f>'Necesidades Trimestrales'!A18</f>
        <v>9</v>
      </c>
      <c r="B20" s="53" t="str">
        <f>'Necesidades Trimestrales'!B18</f>
        <v>2.9.9-7471.165</v>
      </c>
      <c r="C20" s="114" t="str">
        <f>'Necesidades Trimestrales'!E18</f>
        <v>MATERIALES SINTETICOS; TIPO: NAILON, DIMENSION: 1000 X 1000 X 5 mm, PRESENTACION: UNIDAD</v>
      </c>
      <c r="D20" s="114"/>
      <c r="E20" s="114"/>
      <c r="F20" s="114"/>
      <c r="G20" s="114"/>
      <c r="H20" s="54" t="s">
        <v>100</v>
      </c>
      <c r="I20" s="55" t="str">
        <f>'Necesidades Trimestrales'!F18</f>
        <v>UNIDAD</v>
      </c>
      <c r="J20" s="56">
        <f>'Necesidades Trimestrales'!H18</f>
        <v>17500</v>
      </c>
      <c r="K20" s="57">
        <f>'Necesidades Trimestrales'!G18</f>
        <v>1</v>
      </c>
    </row>
    <row r="21" spans="1:11" ht="20.25" customHeight="1" thickBot="1" x14ac:dyDescent="0.25">
      <c r="A21" s="119" t="s">
        <v>93</v>
      </c>
      <c r="B21" s="119"/>
      <c r="C21" s="119"/>
      <c r="D21" s="119"/>
      <c r="E21" s="119"/>
      <c r="F21" s="119"/>
      <c r="G21" s="119"/>
      <c r="H21" s="119"/>
      <c r="I21" s="119"/>
      <c r="J21" s="120">
        <f>SUMPRODUCT(J12:J20,K12:K20)</f>
        <v>644500</v>
      </c>
      <c r="K21" s="120"/>
    </row>
  </sheetData>
  <mergeCells count="31">
    <mergeCell ref="A21:I21"/>
    <mergeCell ref="J21:K21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4:G14"/>
    <mergeCell ref="C15:G15"/>
    <mergeCell ref="C20:G20"/>
    <mergeCell ref="C16:G16"/>
    <mergeCell ref="C17:G17"/>
    <mergeCell ref="C18:G18"/>
    <mergeCell ref="C19:G1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11" zoomScale="130" zoomScaleNormal="130" workbookViewId="0">
      <selection activeCell="Q22" sqref="Q2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1.7109375" bestFit="1" customWidth="1"/>
  </cols>
  <sheetData>
    <row r="1" spans="1:19" ht="15.75" customHeight="1" x14ac:dyDescent="0.25">
      <c r="A1" s="127" t="s">
        <v>3</v>
      </c>
      <c r="B1" s="127"/>
      <c r="C1" s="127"/>
      <c r="D1" s="128">
        <f>'Necesidades Trimestrales'!C6</f>
        <v>2021</v>
      </c>
      <c r="E1" s="128"/>
      <c r="F1" s="10"/>
      <c r="G1" s="10"/>
      <c r="H1" s="11"/>
      <c r="I1" s="11"/>
      <c r="J1" s="11"/>
      <c r="K1" s="11"/>
      <c r="L1" s="11"/>
      <c r="M1" s="11"/>
      <c r="N1" s="11"/>
      <c r="P1" s="129" t="s">
        <v>25</v>
      </c>
      <c r="Q1" s="129"/>
    </row>
    <row r="2" spans="1:19" ht="15.75" customHeight="1" x14ac:dyDescent="0.2">
      <c r="H2" s="11"/>
      <c r="I2" s="11"/>
      <c r="J2" s="11"/>
      <c r="K2" s="11"/>
      <c r="L2" s="11"/>
      <c r="M2" s="11"/>
      <c r="N2" s="11"/>
      <c r="P2" s="129"/>
      <c r="Q2" s="129"/>
    </row>
    <row r="4" spans="1:19" s="12" customFormat="1" ht="18" customHeight="1" thickBot="1" x14ac:dyDescent="0.25">
      <c r="A4" s="130" t="s">
        <v>26</v>
      </c>
      <c r="B4" s="130"/>
      <c r="C4" s="130"/>
      <c r="D4" s="130"/>
      <c r="E4" s="130"/>
      <c r="F4" s="130"/>
      <c r="G4" s="131" t="str">
        <f>' NotaPedido'!D3</f>
        <v>42-Ministerio de Salud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9" s="12" customFormat="1" ht="18" customHeight="1" thickBot="1" x14ac:dyDescent="0.25">
      <c r="A5" s="132" t="s">
        <v>49</v>
      </c>
      <c r="B5" s="133"/>
      <c r="C5" s="133"/>
      <c r="D5" s="133"/>
      <c r="E5" s="133"/>
      <c r="F5" s="134"/>
      <c r="G5" s="131" t="str">
        <f>' NotaPedido'!D4</f>
        <v>28- Maternidad Provincial 25 de Mayo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9" s="12" customFormat="1" ht="18" customHeight="1" thickBot="1" x14ac:dyDescent="0.25">
      <c r="A6" s="132" t="s">
        <v>27</v>
      </c>
      <c r="B6" s="133"/>
      <c r="C6" s="133"/>
      <c r="D6" s="133"/>
      <c r="E6" s="133"/>
      <c r="F6" s="134"/>
      <c r="G6" s="131" t="str">
        <f>' NotaPedido'!D5</f>
        <v xml:space="preserve">Direccion Asistencial 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9" s="12" customFormat="1" ht="18" customHeight="1" thickBot="1" x14ac:dyDescent="0.25">
      <c r="A7" s="132" t="s">
        <v>50</v>
      </c>
      <c r="B7" s="133"/>
      <c r="C7" s="133"/>
      <c r="D7" s="133"/>
      <c r="E7" s="133"/>
      <c r="F7" s="134"/>
      <c r="G7" s="131" t="str">
        <f>' NotaPedido'!D6</f>
        <v xml:space="preserve">División de Enfermería y quirofano 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9" ht="18" customHeight="1" thickBot="1" x14ac:dyDescent="0.25">
      <c r="A8" s="135" t="s">
        <v>28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</row>
    <row r="9" spans="1:19" ht="18" customHeight="1" x14ac:dyDescent="0.2">
      <c r="A9" s="136" t="s">
        <v>29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"/>
      <c r="P9" s="1"/>
      <c r="Q9" s="13"/>
    </row>
    <row r="10" spans="1:19" ht="54.75" customHeight="1" x14ac:dyDescent="0.2">
      <c r="A10" s="13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109/2021,  afectando la erogación resultante a los créditos presupuestarios aprobados a favor de esta Unidad Ejecutora, conforme al siguiente detalle: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9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9" ht="15.75" customHeight="1" x14ac:dyDescent="0.2">
      <c r="A12" s="138" t="s">
        <v>30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9" ht="15.75" customHeight="1" x14ac:dyDescent="0.2">
      <c r="A13" s="139" t="s">
        <v>31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32</v>
      </c>
      <c r="P13" s="140"/>
      <c r="Q13" s="141" t="s">
        <v>33</v>
      </c>
    </row>
    <row r="14" spans="1:19" ht="15.75" customHeight="1" x14ac:dyDescent="0.2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140"/>
      <c r="P14" s="140"/>
      <c r="Q14" s="141"/>
    </row>
    <row r="15" spans="1:19" ht="17.25" customHeight="1" thickBot="1" x14ac:dyDescent="0.25">
      <c r="A15" s="58">
        <v>42</v>
      </c>
      <c r="B15" s="59"/>
      <c r="C15" s="59"/>
      <c r="D15" s="59">
        <v>2</v>
      </c>
      <c r="E15" s="59"/>
      <c r="F15" s="59">
        <v>4901</v>
      </c>
      <c r="G15" s="59">
        <v>3</v>
      </c>
      <c r="H15" s="59">
        <v>1</v>
      </c>
      <c r="I15" s="59">
        <v>2</v>
      </c>
      <c r="J15" s="59">
        <v>2</v>
      </c>
      <c r="K15" s="59">
        <v>1</v>
      </c>
      <c r="L15" s="59"/>
      <c r="M15" s="60"/>
      <c r="N15" s="61" t="s">
        <v>54</v>
      </c>
      <c r="O15" s="142" t="s">
        <v>91</v>
      </c>
      <c r="P15" s="142"/>
      <c r="Q15" s="23">
        <v>353500</v>
      </c>
      <c r="S15" s="99"/>
    </row>
    <row r="16" spans="1:19" ht="17.25" customHeight="1" x14ac:dyDescent="0.2">
      <c r="A16" s="58">
        <v>42</v>
      </c>
      <c r="B16" s="59"/>
      <c r="C16" s="59"/>
      <c r="D16" s="59">
        <v>2</v>
      </c>
      <c r="E16" s="59"/>
      <c r="F16" s="59">
        <v>4901</v>
      </c>
      <c r="G16" s="59">
        <v>3</v>
      </c>
      <c r="H16" s="59">
        <v>1</v>
      </c>
      <c r="I16" s="59">
        <v>2</v>
      </c>
      <c r="J16" s="59">
        <v>2</v>
      </c>
      <c r="K16" s="59">
        <v>3</v>
      </c>
      <c r="L16" s="59"/>
      <c r="M16" s="60"/>
      <c r="N16" s="61" t="s">
        <v>54</v>
      </c>
      <c r="O16" s="143" t="s">
        <v>92</v>
      </c>
      <c r="P16" s="143"/>
      <c r="Q16" s="28">
        <v>291000</v>
      </c>
    </row>
    <row r="17" spans="1:18" ht="17.25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7"/>
      <c r="O17" s="143"/>
      <c r="P17" s="143"/>
      <c r="Q17" s="28"/>
    </row>
    <row r="18" spans="1:18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43"/>
      <c r="P18" s="143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43"/>
      <c r="P19" s="143"/>
      <c r="Q19" s="28"/>
    </row>
    <row r="20" spans="1:18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49"/>
      <c r="P20" s="149"/>
      <c r="Q20" s="28"/>
      <c r="R20" s="1"/>
    </row>
    <row r="21" spans="1:18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50"/>
      <c r="P21" s="150"/>
      <c r="Q21" s="37"/>
    </row>
    <row r="22" spans="1:18" ht="20.25" customHeight="1" x14ac:dyDescent="0.2">
      <c r="A22" s="151" t="s">
        <v>94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38">
        <f>SUM(Q15:Q21)</f>
        <v>644500</v>
      </c>
    </row>
    <row r="23" spans="1:18" ht="18" customHeight="1" thickBot="1" x14ac:dyDescent="0.25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</row>
    <row r="24" spans="1:18" ht="17.25" customHeight="1" thickBot="1" x14ac:dyDescent="0.25">
      <c r="A24" s="144" t="s">
        <v>47</v>
      </c>
      <c r="B24" s="145"/>
      <c r="C24" s="145"/>
      <c r="D24" s="145"/>
      <c r="E24" s="145"/>
      <c r="F24" s="146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</row>
    <row r="25" spans="1:18" ht="18" customHeight="1" thickBot="1" x14ac:dyDescent="0.25">
      <c r="A25" s="148" t="s">
        <v>95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</row>
    <row r="26" spans="1:18" ht="15" customHeight="1" x14ac:dyDescent="0.2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2021-05-18T10:43:48Z</cp:lastPrinted>
  <dcterms:created xsi:type="dcterms:W3CDTF">2020-07-17T23:44:49Z</dcterms:created>
  <dcterms:modified xsi:type="dcterms:W3CDTF">2021-08-12T16:28:33Z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