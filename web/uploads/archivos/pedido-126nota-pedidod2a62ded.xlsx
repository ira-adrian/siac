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C8E5B6CD-088A-4459-8FC7-5A141F407EFF}" xr6:coauthVersionLast="47" xr6:coauthVersionMax="47" xr10:uidLastSave="{00000000-0000-0000-0000-000000000000}"/>
  <bookViews>
    <workbookView xWindow="-120" yWindow="-120" windowWidth="29040" windowHeight="15840" tabRatio="488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Trimestrales'!$A$9:$I$41</definedName>
    <definedName name="_xlnm.Print_Area" localSheetId="1">' NotaPedido'!$A$1:$K$44</definedName>
    <definedName name="_xlnm.Print_Area" localSheetId="2">'Autor Gastar'!$A$1:$Q$25</definedName>
    <definedName name="_xlnm.Print_Area" localSheetId="0">'Necesidades Trimestrales'!$E$9:$E$41</definedName>
  </definedNames>
  <calcPr calcId="181029"/>
</workbook>
</file>

<file path=xl/calcChain.xml><?xml version="1.0" encoding="utf-8"?>
<calcChain xmlns="http://schemas.openxmlformats.org/spreadsheetml/2006/main">
  <c r="I17" i="3" l="1"/>
  <c r="I16" i="3"/>
  <c r="I15" i="3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32" i="1"/>
  <c r="I33" i="1"/>
  <c r="I34" i="1"/>
  <c r="I35" i="1"/>
  <c r="I36" i="1"/>
  <c r="I37" i="1"/>
  <c r="I38" i="1"/>
  <c r="I39" i="1"/>
  <c r="I40" i="1"/>
  <c r="I41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J44" i="2" l="1"/>
  <c r="Q21" i="3"/>
</calcChain>
</file>

<file path=xl/sharedStrings.xml><?xml version="1.0" encoding="utf-8"?>
<sst xmlns="http://schemas.openxmlformats.org/spreadsheetml/2006/main" count="269" uniqueCount="164">
  <si>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</si>
  <si>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</si>
  <si>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</si>
  <si>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</si>
  <si>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</si>
  <si>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</si>
  <si>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</si>
  <si>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</si>
  <si>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</si>
  <si>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</si>
  <si>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</si>
  <si>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</si>
  <si>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</si>
  <si>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</si>
  <si>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</si>
  <si>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</si>
  <si>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</si>
  <si>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</si>
  <si>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</si>
  <si>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</si>
  <si>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</si>
  <si>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</si>
  <si>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</si>
  <si>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</si>
  <si>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</si>
  <si>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</si>
  <si>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</si>
  <si>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</si>
  <si>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</si>
  <si>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</si>
  <si>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</si>
  <si>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</si>
  <si>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</si>
  <si>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</si>
  <si>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</si>
  <si>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</si>
  <si>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</si>
  <si>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</si>
  <si>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</si>
  <si>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</si>
  <si>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</si>
  <si>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</si>
  <si>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</si>
  <si>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</si>
  <si>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</si>
  <si>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</si>
  <si>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</si>
  <si>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</si>
  <si>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</si>
  <si>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</si>
  <si>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</si>
  <si>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</si>
  <si>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</si>
  <si>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</si>
  <si>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</si>
  <si>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</si>
  <si>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</si>
  <si>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</si>
  <si>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</si>
  <si>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CAJA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</si>
  <si>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</si>
  <si>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2.9.1-6952.22</t>
  </si>
  <si>
    <t>ELEMENTOS DE LIMPIEZA</t>
  </si>
  <si>
    <t>CEPILLOS; TIPO: ESCOBA REFORZADA, MATERIAL: PAJA</t>
  </si>
  <si>
    <t>2.3.4-783.84</t>
  </si>
  <si>
    <t>TOALLAS DE PAPEL; MATERIAL: FIBRA CELULOSICA, GRAMAJE: 20 GR/M2, DIMENSION: 25 Cm, PRESENTACION: 2 X BOBINA X 400 M</t>
  </si>
  <si>
    <t>ROLLO</t>
  </si>
  <si>
    <t>2.9.1-564.5</t>
  </si>
  <si>
    <t>BALDES DE PLASTICO; CAPACIDAD: 10 L, COLOR: AMARILLO</t>
  </si>
  <si>
    <t>2.9.1-6951.60</t>
  </si>
  <si>
    <t>LIMPIADORES; TIPO: DESENGRASANTE, PRESENTACION: ENVASE X 5 L</t>
  </si>
  <si>
    <t>BIDON</t>
  </si>
  <si>
    <t>2.9.1-6960.27</t>
  </si>
  <si>
    <t>ELEM. LIMPIEZA P/INDUMENTARIA; TIPO: JABON EN PAN, PRESENTACION: 200 GR</t>
  </si>
  <si>
    <t>2.9.1-6951.41</t>
  </si>
  <si>
    <t>LIMPIADORES; TIPO: DESINFECTANTE P/PISO, PRESENTACION: ENVASE X 5 L</t>
  </si>
  <si>
    <t>2.9.1-6961.6</t>
  </si>
  <si>
    <t>ELEM. P/LIMPIEZA SANITARIOS; TIPO: PASTILLA DESODORANTE, PRESENTACION: UNIDAD</t>
  </si>
  <si>
    <t>2.9.1-6960.56</t>
  </si>
  <si>
    <t>ELEM. LIMPIEZA P/INDUMENTARIA; TIPO: JABON EN POLVO BAJA ESPUMA, PRESENTACION: ENVASE X 25 Kg</t>
  </si>
  <si>
    <t>BOLSA</t>
  </si>
  <si>
    <t>2.9.1-6956.27</t>
  </si>
  <si>
    <t>ARTICULOS DE TOCADOR; TIPO: JABON DE TOCADOR LIQUIDO, PRESENTACION: ENVASE X 5 L</t>
  </si>
  <si>
    <t>2.9.1-4784.9</t>
  </si>
  <si>
    <t>LIMPIADORES MULTIUSO; TIPO: CREMOSO, PRESENTACION: ENVASE X 750 GR</t>
  </si>
  <si>
    <t>2.9.1-2030.1</t>
  </si>
  <si>
    <t>LANAS DE ACERO; PRESENTACION: PAQUETE, CONTENIDO: MADEJA</t>
  </si>
  <si>
    <t>PAQUETE</t>
  </si>
  <si>
    <t>2.9.1-1164.26</t>
  </si>
  <si>
    <t>ESPONJAS; USO: LIMPIEZA, ADITAMENTO: SIN VALOR, FORMA: RECTANGULAR, COLOR: AMARILLO, MATERIAL: FIBRA, LARGO X ANCHO X ESP: 9,7 X 5,7 X 3,5 Cm</t>
  </si>
  <si>
    <t>2.9.1-1164.22</t>
  </si>
  <si>
    <t>ESPONJAS; MATERIAL: ACERO INOXIDABLE, USO: LIMPIEZA, ADITAMENTO: SIN, FORMA: MADEJA 15 GR, LARGO X ANCHO X ESP: SIN VALOR, COLOR: ACERO</t>
  </si>
  <si>
    <t>2.9.1-6952.45</t>
  </si>
  <si>
    <t>CEPILLOS; TIPO: ESCOBILLA LIMPIAVIDRIOS, MATERIAL: PLASTICO Y GOMA</t>
  </si>
  <si>
    <t>2.9.1-683.6</t>
  </si>
  <si>
    <t>SECADORES DE GOMA; COLOR: NEGRO, LARGO: 50 Cm</t>
  </si>
  <si>
    <t>2.9.1-6956.50</t>
  </si>
  <si>
    <t>ARTICULOS DE TOCADOR; TIPO: JABON DE TOCADOR, PRESENTACION: CAJA X 60 X 90 GR</t>
  </si>
  <si>
    <t>2.9.1-2661.25</t>
  </si>
  <si>
    <t>TACHOS DE RESIDUOS; MATERIAL: PLASTICO, SECCION: RECTANGULAR, DIMENSION: 10 L, TAPA: VAIVEN</t>
  </si>
  <si>
    <t>2.9.1-6951.27</t>
  </si>
  <si>
    <t>LIMPIADORES; TIPO: LAVANDINA, PRESENTACION: ENVASE X 2 L</t>
  </si>
  <si>
    <t>BOTELLA</t>
  </si>
  <si>
    <t>2.3.4-786.91</t>
  </si>
  <si>
    <t>PAPEL HIGIENICO; PRESENTACION: CAJA X 20, TIPO: DOBLE, ANCHO: 10 Cm, LARGO: 80 M, TIPO DE HOJA: DOBLE</t>
  </si>
  <si>
    <t>2.3.4-783.40</t>
  </si>
  <si>
    <t>TOALLAS DE PAPEL; MATERIAL: PAPEL, GRAMAJE: SIN VALOR, DIMENSION: 22,8 (ANCHO) Cm, COLOR: BLANCO, PRESENTACION: ROLLO</t>
  </si>
  <si>
    <t>2.9.1-6961.14</t>
  </si>
  <si>
    <t>ELEM. P/LIMPIEZA SANITARIOS; TIPO: ESCOBILLA P/INODORO , PRESENTACION: UNIDAD</t>
  </si>
  <si>
    <t>2.9.1-678.1</t>
  </si>
  <si>
    <t>TRAPOS REJILLA; DIMENSION: 38 X 42 Cm, MATERIAL: PURO ALGODON, COLOR: BLANCO</t>
  </si>
  <si>
    <t>2.9.1-713.12</t>
  </si>
  <si>
    <t>TRAPOS DE PISO; DIMENSION: 50 X 55 Cm, COLOR: GRIS</t>
  </si>
  <si>
    <t>2.9.1-646.58</t>
  </si>
  <si>
    <t>BOLSAS DE RESIDUOS; DIMENSION: 80 X 110 Cm, PRESENTACION: POR UNIDAD, ESPESOR: 30 Mn, COLOR: TRANSPARENTE</t>
  </si>
  <si>
    <t>2.9.1-1156.8</t>
  </si>
  <si>
    <t>PLUMEROS; PLUMA: SINTETICA, CLASE: PARA TECHO, MATERIAL MANGO: METAL, LARGO MANGO: EXTENSIBLE, Nº VUELTAS PENACHO: 3, TIPO: PARA TECHO</t>
  </si>
  <si>
    <t>2.3.4-783.90</t>
  </si>
  <si>
    <t>TOALLAS DE PAPEL; MATERIAL: PAPEL ABSORBENTE, GRAMAJE: 35 GR, DIMENSION: 20 X 24 Cm, PRESENTACION: ENVASE X 2500 HOJAS</t>
  </si>
  <si>
    <t>2.9.1-646.16</t>
  </si>
  <si>
    <t>BOLSAS DE RESIDUOS; COLOR: OBSCURO, ESPESOR: 30 Mn, DIMENSION: 45 X 60 Cm, PRESENTACION: SIN VALOR</t>
  </si>
  <si>
    <t>2.9.1-646.26</t>
  </si>
  <si>
    <t>BOLSAS DE RESIDUOS; DIMENSION: 60 X 90 Cm, ESPESOR: 30 mm, PRESENTACION: POR UNIDAD, COLOR: OSCURO</t>
  </si>
  <si>
    <t>2.9.1-544.30</t>
  </si>
  <si>
    <t>DESODORANTES DE AMBIENTE; FORMATO: AEROSOL, CONTENIDO: 440 CM3, PRESENTACION: UNIDAD, FRAGANCIA: NEUTRALIZADOR, LIBRE DE CFC: SI</t>
  </si>
  <si>
    <t>2.9.1-646.125</t>
  </si>
  <si>
    <t>BOLSAS DE RESIDUOS; DIMENSION: 90 X 110 Cm, PRESENTACION: ENVASE X 100 UN, ESPESOR: 45 Mn, MATERIAL: PLASTICO</t>
  </si>
  <si>
    <t>2.9.1-646.118</t>
  </si>
  <si>
    <t>BOLSAS DE RESIDUOS; DIMENSION: 45 X 60 Cm, PRESENTACION: ENVASE X 50 UN, ESPESOR: 60 Mn, MATERIAL: POLIETILENO</t>
  </si>
  <si>
    <t>2.9.5-4558.24</t>
  </si>
  <si>
    <t>PROD. MEDICO/FARMACEUTICOS/LAB</t>
  </si>
  <si>
    <t>BOLSAS DE RESIDUOS PATOLOGICOS; MEDIDA: 45 X 60 CM. EN 120 MICRONES, ESPESOR: SIN VALOR, TIPO: POLIETILENO BAJA DENSIDAD, PRESENTACION: ENVASE X 10 UN.</t>
  </si>
  <si>
    <t>017/2022</t>
  </si>
  <si>
    <t>Servicio de Economato</t>
  </si>
  <si>
    <t>Trimestre</t>
  </si>
  <si>
    <t>Elementos de Limpieza</t>
  </si>
  <si>
    <t>Productos de Papel y Carton</t>
  </si>
  <si>
    <t>Productos de Material Plastico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</si>
  <si>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</si>
  <si>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Descripción técnica:</t>
  </si>
  <si>
    <t>NO SE ACEPTARAN PRODUCTOS PARA DILUIR, SOLO SE TENDRAN EN CUENTA PRODUCTOS PREPARADOS LISTOS PARA SU USO EN SU CORRESPONDIENTE ENVASE.</t>
  </si>
  <si>
    <t>COLOR AMARILLO,  DE BAJA DENSIDAD.</t>
  </si>
  <si>
    <t>COLOR ROJO CON IMPRESIÓN "RESIDUOS PATOGENOS"</t>
  </si>
  <si>
    <t>Especificidades Item N° 1, 21, 22 y 23:</t>
  </si>
  <si>
    <t>Especificidades Item N° 4:</t>
  </si>
  <si>
    <t>Especificidades Item N° 6:</t>
  </si>
  <si>
    <t>Para la adquisición de Elementos de Limpieza destinados al Servicio de Economato del Hospital Interzonal de Niños Eva Peron, para el normal funcionamiento del organismo.</t>
  </si>
  <si>
    <t>TOTAL DE PESOS: TRES MILLONES DOSCIENTOS VEINTITRES MIL DOSCIENTOS VEINTICINCO CON 00/100.</t>
  </si>
  <si>
    <t>Costo total estimado: Tres Millones Doscientos Veintitres Mil Doscientos Veinticinco Con 00/100.</t>
  </si>
  <si>
    <t>FRAGANCIA INDISTINTA.</t>
  </si>
  <si>
    <t>Especificidades Item N° 1, 2 y 16:</t>
  </si>
  <si>
    <t>Especificidades Item N° 22:</t>
  </si>
  <si>
    <t>FRAGANCIA A LIMON</t>
  </si>
  <si>
    <t>Especificidades Item N° 9:</t>
  </si>
  <si>
    <t>COLOR NEGRA</t>
  </si>
  <si>
    <t>Especificidades Item N° 27:</t>
  </si>
  <si>
    <t>COLOR OSCURO</t>
  </si>
  <si>
    <t>Especificidades Item N° 15:</t>
  </si>
  <si>
    <t>MATERIAL PLASTICO</t>
  </si>
  <si>
    <t>Especificidades Item N° 19:</t>
  </si>
  <si>
    <t>PAQUETE X 6 UNIDADES.</t>
  </si>
  <si>
    <t>Especificidades Item N° 23:</t>
  </si>
  <si>
    <t>LIQUIDA CONCENTRADA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</si>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</sst>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7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0" fillId="0" borderId="58" xfId="0" applyBorder="1" applyAlignment="1">
      <alignment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4" borderId="58" xfId="0" applyFont="1" applyFill="1" applyBorder="1" applyAlignment="1">
      <alignment horizontal="center" vertical="center" wrapText="1"/>
    </xf>
    <xf numFmtId="166" fontId="23" fillId="4" borderId="58" xfId="1" applyNumberFormat="1" applyFont="1" applyFill="1" applyBorder="1" applyAlignment="1" applyProtection="1">
      <alignment horizontal="right" vertical="center" wrapText="1"/>
    </xf>
    <xf numFmtId="0" fontId="0" fillId="0" borderId="53" xfId="0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166" fontId="23" fillId="4" borderId="53" xfId="1" applyNumberFormat="1" applyFont="1" applyFill="1" applyBorder="1" applyAlignment="1" applyProtection="1">
      <alignment horizontal="right" vertical="center" wrapText="1"/>
    </xf>
    <xf numFmtId="0" fontId="2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vertical="center" wrapText="1"/>
    </xf>
    <xf numFmtId="0" fontId="0" fillId="0" borderId="53" xfId="0" applyBorder="1" applyAlignment="1">
      <alignment wrapText="1"/>
    </xf>
    <xf numFmtId="0" fontId="24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wrapText="1"/>
    </xf>
    <xf numFmtId="0" fontId="24" fillId="4" borderId="56" xfId="0" applyFont="1" applyFill="1" applyBorder="1" applyAlignment="1">
      <alignment horizontal="center" vertical="center" wrapText="1"/>
    </xf>
    <xf numFmtId="166" fontId="23" fillId="4" borderId="56" xfId="1" applyNumberFormat="1" applyFont="1" applyFill="1" applyBorder="1" applyAlignment="1" applyProtection="1">
      <alignment horizontal="right" vertical="center" wrapText="1"/>
    </xf>
    <xf numFmtId="166" fontId="23" fillId="4" borderId="57" xfId="1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wrapText="1"/>
    </xf>
    <xf numFmtId="0" fontId="0" fillId="3" borderId="62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0" fillId="0" borderId="60" xfId="0" applyBorder="1" applyAlignment="1">
      <alignment wrapText="1"/>
    </xf>
    <xf numFmtId="0" fontId="0" fillId="0" borderId="6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53" xfId="0" applyBorder="1" applyAlignment="1">
      <alignment horizontal="left" vertical="center" wrapText="1"/>
    </xf>
    <xf numFmtId="0" fontId="25" fillId="0" borderId="2" xfId="0" applyFont="1" applyBorder="1"/>
    <xf numFmtId="0" fontId="18" fillId="0" borderId="3" xfId="0" applyFont="1" applyFill="1" applyBorder="1"/>
    <xf numFmtId="0" fontId="18" fillId="0" borderId="4" xfId="0" applyFont="1" applyFill="1" applyBorder="1"/>
    <xf numFmtId="0" fontId="25" fillId="0" borderId="5" xfId="0" applyFont="1" applyBorder="1" applyAlignment="1"/>
    <xf numFmtId="0" fontId="18" fillId="0" borderId="0" xfId="0" applyFont="1" applyFill="1" applyBorder="1"/>
    <xf numFmtId="0" fontId="18" fillId="0" borderId="6" xfId="0" applyFont="1" applyFill="1" applyBorder="1"/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17" fillId="0" borderId="5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18" fillId="0" borderId="8" xfId="0" applyFont="1" applyFill="1" applyBorder="1"/>
    <xf numFmtId="0" fontId="18" fillId="0" borderId="9" xfId="0" applyFont="1" applyFill="1" applyBorder="1"/>
    <xf numFmtId="0" fontId="18" fillId="0" borderId="7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17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  <row r="12">
          <cell r="D12">
            <v>231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78"/>
  <sheetViews>
    <sheetView topLeftCell="A43" zoomScale="93" zoomScaleNormal="93" workbookViewId="0">
      <selection activeCell="G78" sqref="G78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28" t="s">
        <v>0</v>
      </c>
      <c r="C2" s="128"/>
      <c r="D2" s="128"/>
      <c r="E2" s="128"/>
      <c r="F2" s="128"/>
      <c r="G2" s="128"/>
      <c r="H2" s="128"/>
    </row>
    <row r="3" spans="1:11" ht="12" customHeight="1" x14ac:dyDescent="0.2"/>
    <row r="4" spans="1:11" ht="18" customHeight="1" x14ac:dyDescent="0.25">
      <c r="A4" s="124" t="s">
        <v>1</v>
      </c>
      <c r="B4" s="124"/>
      <c r="C4" s="129" t="s">
        <v>52</v>
      </c>
      <c r="D4" s="129"/>
      <c r="E4" s="129"/>
      <c r="F4" s="27"/>
      <c r="G4" s="28"/>
      <c r="H4" s="46"/>
    </row>
    <row r="5" spans="1:11" ht="18" customHeight="1" x14ac:dyDescent="0.25">
      <c r="A5" s="124" t="s">
        <v>2</v>
      </c>
      <c r="B5" s="124"/>
      <c r="C5" s="129" t="s">
        <v>51</v>
      </c>
      <c r="D5" s="129"/>
      <c r="E5" s="129"/>
      <c r="F5" s="27"/>
      <c r="G5" s="28" t="s">
        <v>55</v>
      </c>
      <c r="H5" s="46"/>
    </row>
    <row r="6" spans="1:11" ht="16.5" customHeight="1" x14ac:dyDescent="0.25">
      <c r="A6" s="124" t="s">
        <v>3</v>
      </c>
      <c r="B6" s="124"/>
      <c r="C6" s="42">
        <v>2022</v>
      </c>
      <c r="D6" s="43"/>
      <c r="E6" s="43"/>
      <c r="F6" s="27"/>
      <c r="G6" s="28"/>
      <c r="H6" s="46"/>
    </row>
    <row r="7" spans="1:11" ht="16.5" customHeight="1" x14ac:dyDescent="0.25">
      <c r="A7" s="124" t="s">
        <v>4</v>
      </c>
      <c r="B7" s="124"/>
      <c r="C7" s="42">
        <v>1</v>
      </c>
      <c r="D7" s="43"/>
      <c r="E7" s="43"/>
      <c r="F7" s="27"/>
      <c r="G7" s="28"/>
      <c r="H7" s="46"/>
    </row>
    <row r="8" spans="1:11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1" ht="36.75" thickBot="1" x14ac:dyDescent="0.25">
      <c r="A9" s="64" t="s">
        <v>5</v>
      </c>
      <c r="B9" s="64" t="s">
        <v>6</v>
      </c>
      <c r="C9" s="64" t="s">
        <v>7</v>
      </c>
      <c r="D9" s="64" t="s">
        <v>8</v>
      </c>
      <c r="E9" s="64" t="s">
        <v>9</v>
      </c>
      <c r="F9" s="64" t="s">
        <v>10</v>
      </c>
      <c r="G9" s="64" t="s">
        <v>11</v>
      </c>
      <c r="H9" s="65" t="s">
        <v>12</v>
      </c>
      <c r="I9" s="64" t="s">
        <v>13</v>
      </c>
    </row>
    <row r="10" spans="1:11" ht="25.5" x14ac:dyDescent="0.2">
      <c r="A10" s="56">
        <v>1</v>
      </c>
      <c r="B10" s="108" t="s">
        <v>81</v>
      </c>
      <c r="C10" s="109" t="s">
        <v>62</v>
      </c>
      <c r="D10" s="72">
        <v>291</v>
      </c>
      <c r="E10" s="71" t="s">
        <v>82</v>
      </c>
      <c r="F10" s="73" t="s">
        <v>71</v>
      </c>
      <c r="G10" s="73">
        <v>300</v>
      </c>
      <c r="H10" s="74">
        <v>675</v>
      </c>
      <c r="I10" s="57">
        <f t="shared" ref="I10:I41" si="0">+G10*H10</f>
        <v>202500</v>
      </c>
    </row>
    <row r="11" spans="1:11" ht="25.5" x14ac:dyDescent="0.2">
      <c r="A11" s="56">
        <v>2</v>
      </c>
      <c r="B11" s="107" t="s">
        <v>96</v>
      </c>
      <c r="C11" s="110" t="s">
        <v>62</v>
      </c>
      <c r="D11" s="76">
        <v>291</v>
      </c>
      <c r="E11" s="75" t="s">
        <v>97</v>
      </c>
      <c r="F11" s="77" t="s">
        <v>59</v>
      </c>
      <c r="G11" s="77">
        <v>3</v>
      </c>
      <c r="H11" s="78">
        <v>6800</v>
      </c>
      <c r="I11" s="57">
        <f t="shared" si="0"/>
        <v>20400</v>
      </c>
      <c r="K11" s="33"/>
    </row>
    <row r="12" spans="1:11" x14ac:dyDescent="0.2">
      <c r="A12" s="56">
        <v>3</v>
      </c>
      <c r="B12" s="111" t="s">
        <v>67</v>
      </c>
      <c r="C12" s="112" t="s">
        <v>62</v>
      </c>
      <c r="D12" s="79">
        <v>291</v>
      </c>
      <c r="E12" s="80" t="s">
        <v>68</v>
      </c>
      <c r="F12" s="77" t="s">
        <v>56</v>
      </c>
      <c r="G12" s="77">
        <v>20</v>
      </c>
      <c r="H12" s="78">
        <v>270</v>
      </c>
      <c r="I12" s="57">
        <f t="shared" si="0"/>
        <v>5400</v>
      </c>
      <c r="K12" s="33"/>
    </row>
    <row r="13" spans="1:11" ht="38.25" x14ac:dyDescent="0.2">
      <c r="A13" s="56">
        <v>4</v>
      </c>
      <c r="B13" s="107" t="s">
        <v>129</v>
      </c>
      <c r="C13" s="110" t="s">
        <v>130</v>
      </c>
      <c r="D13" s="76">
        <v>258</v>
      </c>
      <c r="E13" s="81" t="s">
        <v>131</v>
      </c>
      <c r="F13" s="77" t="s">
        <v>56</v>
      </c>
      <c r="G13" s="77">
        <v>4500</v>
      </c>
      <c r="H13" s="78">
        <v>105</v>
      </c>
      <c r="I13" s="57">
        <f t="shared" si="0"/>
        <v>472500</v>
      </c>
      <c r="K13" s="33"/>
    </row>
    <row r="14" spans="1:11" ht="25.5" x14ac:dyDescent="0.2">
      <c r="A14" s="56">
        <v>5</v>
      </c>
      <c r="B14" s="113" t="s">
        <v>119</v>
      </c>
      <c r="C14" s="110" t="s">
        <v>62</v>
      </c>
      <c r="D14" s="76">
        <v>258</v>
      </c>
      <c r="E14" s="99" t="s">
        <v>120</v>
      </c>
      <c r="F14" s="77" t="s">
        <v>56</v>
      </c>
      <c r="G14" s="77">
        <v>40000</v>
      </c>
      <c r="H14" s="78">
        <v>2.25</v>
      </c>
      <c r="I14" s="57">
        <f t="shared" si="0"/>
        <v>90000</v>
      </c>
    </row>
    <row r="15" spans="1:11" ht="38.25" x14ac:dyDescent="0.2">
      <c r="A15" s="56">
        <v>6</v>
      </c>
      <c r="B15" s="107" t="s">
        <v>127</v>
      </c>
      <c r="C15" s="110" t="s">
        <v>62</v>
      </c>
      <c r="D15" s="76">
        <v>258</v>
      </c>
      <c r="E15" s="81" t="s">
        <v>128</v>
      </c>
      <c r="F15" s="77" t="s">
        <v>87</v>
      </c>
      <c r="G15" s="77">
        <v>400</v>
      </c>
      <c r="H15" s="78">
        <v>375</v>
      </c>
      <c r="I15" s="57">
        <f t="shared" si="0"/>
        <v>150000</v>
      </c>
    </row>
    <row r="16" spans="1:11" ht="25.5" x14ac:dyDescent="0.2">
      <c r="A16" s="56">
        <v>7</v>
      </c>
      <c r="B16" s="107" t="s">
        <v>121</v>
      </c>
      <c r="C16" s="110" t="s">
        <v>62</v>
      </c>
      <c r="D16" s="76">
        <v>258</v>
      </c>
      <c r="E16" s="81" t="s">
        <v>122</v>
      </c>
      <c r="F16" s="77" t="s">
        <v>56</v>
      </c>
      <c r="G16" s="77">
        <v>20000</v>
      </c>
      <c r="H16" s="78">
        <v>6.75</v>
      </c>
      <c r="I16" s="57">
        <f t="shared" si="0"/>
        <v>135000</v>
      </c>
    </row>
    <row r="17" spans="1:9" ht="38.25" x14ac:dyDescent="0.2">
      <c r="A17" s="56">
        <v>8</v>
      </c>
      <c r="B17" s="107" t="s">
        <v>113</v>
      </c>
      <c r="C17" s="110" t="s">
        <v>62</v>
      </c>
      <c r="D17" s="76">
        <v>258</v>
      </c>
      <c r="E17" s="81" t="s">
        <v>114</v>
      </c>
      <c r="F17" s="77" t="s">
        <v>56</v>
      </c>
      <c r="G17" s="77">
        <v>10000</v>
      </c>
      <c r="H17" s="78">
        <v>28</v>
      </c>
      <c r="I17" s="57">
        <f t="shared" si="0"/>
        <v>280000</v>
      </c>
    </row>
    <row r="18" spans="1:9" ht="38.25" x14ac:dyDescent="0.2">
      <c r="A18" s="56">
        <v>9</v>
      </c>
      <c r="B18" s="107" t="s">
        <v>125</v>
      </c>
      <c r="C18" s="110" t="s">
        <v>62</v>
      </c>
      <c r="D18" s="76">
        <v>258</v>
      </c>
      <c r="E18" s="81" t="s">
        <v>126</v>
      </c>
      <c r="F18" s="77" t="s">
        <v>87</v>
      </c>
      <c r="G18" s="77">
        <v>30</v>
      </c>
      <c r="H18" s="78">
        <v>2100</v>
      </c>
      <c r="I18" s="57">
        <f t="shared" si="0"/>
        <v>63000</v>
      </c>
    </row>
    <row r="19" spans="1:9" x14ac:dyDescent="0.2">
      <c r="A19" s="56">
        <v>10</v>
      </c>
      <c r="B19" s="107" t="s">
        <v>61</v>
      </c>
      <c r="C19" s="110" t="s">
        <v>62</v>
      </c>
      <c r="D19" s="76">
        <v>291</v>
      </c>
      <c r="E19" s="75" t="s">
        <v>63</v>
      </c>
      <c r="F19" s="77" t="s">
        <v>56</v>
      </c>
      <c r="G19" s="77">
        <v>15</v>
      </c>
      <c r="H19" s="78">
        <v>375</v>
      </c>
      <c r="I19" s="57">
        <f t="shared" si="0"/>
        <v>5625</v>
      </c>
    </row>
    <row r="20" spans="1:9" ht="25.5" x14ac:dyDescent="0.2">
      <c r="A20" s="56">
        <v>11</v>
      </c>
      <c r="B20" s="107" t="s">
        <v>92</v>
      </c>
      <c r="C20" s="110" t="s">
        <v>62</v>
      </c>
      <c r="D20" s="76">
        <v>291</v>
      </c>
      <c r="E20" s="81" t="s">
        <v>93</v>
      </c>
      <c r="F20" s="77" t="s">
        <v>56</v>
      </c>
      <c r="G20" s="77">
        <v>30</v>
      </c>
      <c r="H20" s="78">
        <v>240</v>
      </c>
      <c r="I20" s="57">
        <f t="shared" si="0"/>
        <v>7200</v>
      </c>
    </row>
    <row r="21" spans="1:9" ht="38.25" x14ac:dyDescent="0.2">
      <c r="A21" s="56">
        <v>12</v>
      </c>
      <c r="B21" s="107" t="s">
        <v>123</v>
      </c>
      <c r="C21" s="110" t="s">
        <v>62</v>
      </c>
      <c r="D21" s="76">
        <v>291</v>
      </c>
      <c r="E21" s="81" t="s">
        <v>124</v>
      </c>
      <c r="F21" s="77" t="s">
        <v>56</v>
      </c>
      <c r="G21" s="77">
        <v>100</v>
      </c>
      <c r="H21" s="78">
        <v>225</v>
      </c>
      <c r="I21" s="57">
        <f t="shared" si="0"/>
        <v>22500</v>
      </c>
    </row>
    <row r="22" spans="1:9" ht="25.5" x14ac:dyDescent="0.2">
      <c r="A22" s="56">
        <v>13</v>
      </c>
      <c r="B22" s="107" t="s">
        <v>72</v>
      </c>
      <c r="C22" s="110" t="s">
        <v>62</v>
      </c>
      <c r="D22" s="76">
        <v>291</v>
      </c>
      <c r="E22" s="100" t="s">
        <v>73</v>
      </c>
      <c r="F22" s="77" t="s">
        <v>56</v>
      </c>
      <c r="G22" s="77">
        <v>100</v>
      </c>
      <c r="H22" s="78">
        <v>70</v>
      </c>
      <c r="I22" s="57">
        <f t="shared" si="0"/>
        <v>7000</v>
      </c>
    </row>
    <row r="23" spans="1:9" ht="25.5" x14ac:dyDescent="0.2">
      <c r="A23" s="56">
        <v>14</v>
      </c>
      <c r="B23" s="114" t="s">
        <v>78</v>
      </c>
      <c r="C23" s="110" t="s">
        <v>62</v>
      </c>
      <c r="D23" s="76">
        <v>291</v>
      </c>
      <c r="E23" s="96" t="s">
        <v>79</v>
      </c>
      <c r="F23" s="77" t="s">
        <v>80</v>
      </c>
      <c r="G23" s="77">
        <v>30</v>
      </c>
      <c r="H23" s="78">
        <v>4900</v>
      </c>
      <c r="I23" s="57">
        <f t="shared" si="0"/>
        <v>147000</v>
      </c>
    </row>
    <row r="24" spans="1:9" ht="25.5" x14ac:dyDescent="0.2">
      <c r="A24" s="56">
        <v>15</v>
      </c>
      <c r="B24" s="115" t="s">
        <v>107</v>
      </c>
      <c r="C24" s="116" t="s">
        <v>62</v>
      </c>
      <c r="D24" s="79">
        <v>291</v>
      </c>
      <c r="E24" s="87" t="s">
        <v>108</v>
      </c>
      <c r="F24" s="77" t="s">
        <v>56</v>
      </c>
      <c r="G24" s="77">
        <v>20</v>
      </c>
      <c r="H24" s="78">
        <v>200</v>
      </c>
      <c r="I24" s="57">
        <f t="shared" si="0"/>
        <v>4000</v>
      </c>
    </row>
    <row r="25" spans="1:9" ht="25.5" x14ac:dyDescent="0.2">
      <c r="A25" s="56">
        <v>16</v>
      </c>
      <c r="B25" s="107" t="s">
        <v>76</v>
      </c>
      <c r="C25" s="110" t="s">
        <v>62</v>
      </c>
      <c r="D25" s="76">
        <v>291</v>
      </c>
      <c r="E25" s="75" t="s">
        <v>77</v>
      </c>
      <c r="F25" s="77" t="s">
        <v>56</v>
      </c>
      <c r="G25" s="77">
        <v>100</v>
      </c>
      <c r="H25" s="78">
        <v>105</v>
      </c>
      <c r="I25" s="57">
        <f t="shared" si="0"/>
        <v>10500</v>
      </c>
    </row>
    <row r="26" spans="1:9" ht="38.25" x14ac:dyDescent="0.2">
      <c r="A26" s="56">
        <v>17</v>
      </c>
      <c r="B26" s="107" t="s">
        <v>90</v>
      </c>
      <c r="C26" s="110" t="s">
        <v>62</v>
      </c>
      <c r="D26" s="76">
        <v>291</v>
      </c>
      <c r="E26" s="81" t="s">
        <v>91</v>
      </c>
      <c r="F26" s="77" t="s">
        <v>56</v>
      </c>
      <c r="G26" s="77">
        <v>200</v>
      </c>
      <c r="H26" s="78">
        <v>70</v>
      </c>
      <c r="I26" s="57">
        <f t="shared" si="0"/>
        <v>14000</v>
      </c>
    </row>
    <row r="27" spans="1:9" ht="38.25" x14ac:dyDescent="0.2">
      <c r="A27" s="56">
        <v>18</v>
      </c>
      <c r="B27" s="107" t="s">
        <v>88</v>
      </c>
      <c r="C27" s="110" t="s">
        <v>62</v>
      </c>
      <c r="D27" s="76">
        <v>291</v>
      </c>
      <c r="E27" s="75" t="s">
        <v>89</v>
      </c>
      <c r="F27" s="77" t="s">
        <v>56</v>
      </c>
      <c r="G27" s="77">
        <v>200</v>
      </c>
      <c r="H27" s="78">
        <v>31</v>
      </c>
      <c r="I27" s="57">
        <f t="shared" si="0"/>
        <v>6200</v>
      </c>
    </row>
    <row r="28" spans="1:9" ht="25.5" x14ac:dyDescent="0.2">
      <c r="A28" s="56">
        <v>19</v>
      </c>
      <c r="B28" s="107" t="s">
        <v>85</v>
      </c>
      <c r="C28" s="110" t="s">
        <v>62</v>
      </c>
      <c r="D28" s="76">
        <v>291</v>
      </c>
      <c r="E28" s="75" t="s">
        <v>86</v>
      </c>
      <c r="F28" s="77" t="s">
        <v>87</v>
      </c>
      <c r="G28" s="77">
        <v>150</v>
      </c>
      <c r="H28" s="78">
        <v>56</v>
      </c>
      <c r="I28" s="57">
        <f t="shared" si="0"/>
        <v>8400</v>
      </c>
    </row>
    <row r="29" spans="1:9" ht="25.5" x14ac:dyDescent="0.2">
      <c r="A29" s="56">
        <v>20</v>
      </c>
      <c r="B29" s="107" t="s">
        <v>83</v>
      </c>
      <c r="C29" s="110" t="s">
        <v>62</v>
      </c>
      <c r="D29" s="76">
        <v>291</v>
      </c>
      <c r="E29" s="75" t="s">
        <v>84</v>
      </c>
      <c r="F29" s="77" t="s">
        <v>56</v>
      </c>
      <c r="G29" s="77">
        <v>50</v>
      </c>
      <c r="H29" s="78">
        <v>195</v>
      </c>
      <c r="I29" s="57">
        <f t="shared" si="0"/>
        <v>9750</v>
      </c>
    </row>
    <row r="30" spans="1:9" ht="25.5" x14ac:dyDescent="0.2">
      <c r="A30" s="56">
        <v>21</v>
      </c>
      <c r="B30" s="113" t="s">
        <v>69</v>
      </c>
      <c r="C30" s="110" t="s">
        <v>62</v>
      </c>
      <c r="D30" s="76">
        <v>291</v>
      </c>
      <c r="E30" s="98" t="s">
        <v>70</v>
      </c>
      <c r="F30" s="77" t="s">
        <v>71</v>
      </c>
      <c r="G30" s="77">
        <v>10</v>
      </c>
      <c r="H30" s="78">
        <v>975</v>
      </c>
      <c r="I30" s="57">
        <f t="shared" si="0"/>
        <v>9750</v>
      </c>
    </row>
    <row r="31" spans="1:9" ht="25.5" x14ac:dyDescent="0.2">
      <c r="A31" s="56">
        <v>22</v>
      </c>
      <c r="B31" s="107" t="s">
        <v>74</v>
      </c>
      <c r="C31" s="110" t="s">
        <v>62</v>
      </c>
      <c r="D31" s="76">
        <v>291</v>
      </c>
      <c r="E31" s="75" t="s">
        <v>75</v>
      </c>
      <c r="F31" s="77" t="s">
        <v>71</v>
      </c>
      <c r="G31" s="77">
        <v>600</v>
      </c>
      <c r="H31" s="78">
        <v>225</v>
      </c>
      <c r="I31" s="57">
        <f t="shared" si="0"/>
        <v>135000</v>
      </c>
    </row>
    <row r="32" spans="1:9" ht="25.5" x14ac:dyDescent="0.2">
      <c r="A32" s="56">
        <v>23</v>
      </c>
      <c r="B32" s="107" t="s">
        <v>100</v>
      </c>
      <c r="C32" s="110" t="s">
        <v>62</v>
      </c>
      <c r="D32" s="76">
        <v>291</v>
      </c>
      <c r="E32" s="75" t="s">
        <v>101</v>
      </c>
      <c r="F32" s="77" t="s">
        <v>102</v>
      </c>
      <c r="G32" s="77">
        <v>1500</v>
      </c>
      <c r="H32" s="78">
        <v>132</v>
      </c>
      <c r="I32" s="57">
        <f t="shared" si="0"/>
        <v>198000</v>
      </c>
    </row>
    <row r="33" spans="1:9" ht="25.5" x14ac:dyDescent="0.2">
      <c r="A33" s="56">
        <v>24</v>
      </c>
      <c r="B33" s="107" t="s">
        <v>103</v>
      </c>
      <c r="C33" s="110" t="s">
        <v>62</v>
      </c>
      <c r="D33" s="76">
        <v>234</v>
      </c>
      <c r="E33" s="75" t="s">
        <v>104</v>
      </c>
      <c r="F33" s="77" t="s">
        <v>59</v>
      </c>
      <c r="G33" s="77">
        <v>45</v>
      </c>
      <c r="H33" s="78">
        <v>1900</v>
      </c>
      <c r="I33" s="57">
        <f t="shared" si="0"/>
        <v>85500</v>
      </c>
    </row>
    <row r="34" spans="1:9" ht="38.25" x14ac:dyDescent="0.2">
      <c r="A34" s="56">
        <v>25</v>
      </c>
      <c r="B34" s="115" t="s">
        <v>115</v>
      </c>
      <c r="C34" s="110" t="s">
        <v>62</v>
      </c>
      <c r="D34" s="76">
        <v>291</v>
      </c>
      <c r="E34" s="81" t="s">
        <v>116</v>
      </c>
      <c r="F34" s="77" t="s">
        <v>56</v>
      </c>
      <c r="G34" s="77">
        <v>20</v>
      </c>
      <c r="H34" s="78">
        <v>600</v>
      </c>
      <c r="I34" s="57">
        <f t="shared" si="0"/>
        <v>12000</v>
      </c>
    </row>
    <row r="35" spans="1:9" x14ac:dyDescent="0.2">
      <c r="A35" s="56">
        <v>26</v>
      </c>
      <c r="B35" s="107" t="s">
        <v>94</v>
      </c>
      <c r="C35" s="110" t="s">
        <v>62</v>
      </c>
      <c r="D35" s="76">
        <v>291</v>
      </c>
      <c r="E35" s="75" t="s">
        <v>95</v>
      </c>
      <c r="F35" s="77" t="s">
        <v>56</v>
      </c>
      <c r="G35" s="77">
        <v>150</v>
      </c>
      <c r="H35" s="78">
        <v>150</v>
      </c>
      <c r="I35" s="57">
        <f t="shared" si="0"/>
        <v>22500</v>
      </c>
    </row>
    <row r="36" spans="1:9" ht="25.5" x14ac:dyDescent="0.2">
      <c r="A36" s="56">
        <v>27</v>
      </c>
      <c r="B36" s="107" t="s">
        <v>98</v>
      </c>
      <c r="C36" s="110" t="s">
        <v>62</v>
      </c>
      <c r="D36" s="76">
        <v>291</v>
      </c>
      <c r="E36" s="75" t="s">
        <v>99</v>
      </c>
      <c r="F36" s="77" t="s">
        <v>56</v>
      </c>
      <c r="G36" s="77">
        <v>30</v>
      </c>
      <c r="H36" s="78">
        <v>700</v>
      </c>
      <c r="I36" s="57">
        <f t="shared" si="0"/>
        <v>21000</v>
      </c>
    </row>
    <row r="37" spans="1:9" ht="38.25" x14ac:dyDescent="0.2">
      <c r="A37" s="56">
        <v>28</v>
      </c>
      <c r="B37" s="107" t="s">
        <v>64</v>
      </c>
      <c r="C37" s="110" t="s">
        <v>62</v>
      </c>
      <c r="D37" s="76">
        <v>234</v>
      </c>
      <c r="E37" s="75" t="s">
        <v>65</v>
      </c>
      <c r="F37" s="77" t="s">
        <v>66</v>
      </c>
      <c r="G37" s="77">
        <v>300</v>
      </c>
      <c r="H37" s="78">
        <v>1800</v>
      </c>
      <c r="I37" s="57">
        <f t="shared" si="0"/>
        <v>540000</v>
      </c>
    </row>
    <row r="38" spans="1:9" ht="38.25" x14ac:dyDescent="0.2">
      <c r="A38" s="56">
        <v>29</v>
      </c>
      <c r="B38" s="117" t="s">
        <v>117</v>
      </c>
      <c r="C38" s="118" t="s">
        <v>62</v>
      </c>
      <c r="D38" s="82">
        <v>234</v>
      </c>
      <c r="E38" s="83" t="s">
        <v>118</v>
      </c>
      <c r="F38" s="84" t="s">
        <v>59</v>
      </c>
      <c r="G38" s="84">
        <v>300</v>
      </c>
      <c r="H38" s="85">
        <v>1350</v>
      </c>
      <c r="I38" s="57">
        <f t="shared" si="0"/>
        <v>405000</v>
      </c>
    </row>
    <row r="39" spans="1:9" ht="38.25" x14ac:dyDescent="0.2">
      <c r="A39" s="56">
        <v>30</v>
      </c>
      <c r="B39" s="114" t="s">
        <v>105</v>
      </c>
      <c r="C39" s="110" t="s">
        <v>62</v>
      </c>
      <c r="D39" s="76">
        <v>234</v>
      </c>
      <c r="E39" s="97" t="s">
        <v>106</v>
      </c>
      <c r="F39" s="77" t="s">
        <v>66</v>
      </c>
      <c r="G39" s="77">
        <v>500</v>
      </c>
      <c r="H39" s="86">
        <v>78</v>
      </c>
      <c r="I39" s="57">
        <f t="shared" si="0"/>
        <v>39000</v>
      </c>
    </row>
    <row r="40" spans="1:9" x14ac:dyDescent="0.2">
      <c r="A40" s="56">
        <v>31</v>
      </c>
      <c r="B40" s="107" t="s">
        <v>111</v>
      </c>
      <c r="C40" s="110" t="s">
        <v>62</v>
      </c>
      <c r="D40" s="76">
        <v>291</v>
      </c>
      <c r="E40" s="75" t="s">
        <v>112</v>
      </c>
      <c r="F40" s="77" t="s">
        <v>56</v>
      </c>
      <c r="G40" s="77">
        <v>400</v>
      </c>
      <c r="H40" s="86">
        <v>135</v>
      </c>
      <c r="I40" s="57">
        <f t="shared" si="0"/>
        <v>54000</v>
      </c>
    </row>
    <row r="41" spans="1:9" ht="42.75" customHeight="1" x14ac:dyDescent="0.2">
      <c r="A41" s="56">
        <v>32</v>
      </c>
      <c r="B41" s="107" t="s">
        <v>109</v>
      </c>
      <c r="C41" s="110" t="s">
        <v>62</v>
      </c>
      <c r="D41" s="76">
        <v>291</v>
      </c>
      <c r="E41" s="97" t="s">
        <v>110</v>
      </c>
      <c r="F41" s="77" t="s">
        <v>56</v>
      </c>
      <c r="G41" s="77">
        <v>300</v>
      </c>
      <c r="H41" s="86">
        <v>135</v>
      </c>
      <c r="I41" s="57">
        <f t="shared" si="0"/>
        <v>40500</v>
      </c>
    </row>
    <row r="42" spans="1:9" ht="13.5" thickBot="1" x14ac:dyDescent="0.25">
      <c r="I42" s="33"/>
    </row>
    <row r="43" spans="1:9" x14ac:dyDescent="0.2">
      <c r="B43" s="66" t="s">
        <v>57</v>
      </c>
      <c r="C43" s="29"/>
      <c r="D43" s="29"/>
      <c r="E43" s="30"/>
      <c r="I43" s="33"/>
    </row>
    <row r="44" spans="1:9" ht="13.5" customHeight="1" x14ac:dyDescent="0.2">
      <c r="B44" s="125" t="s">
        <v>58</v>
      </c>
      <c r="C44" s="126"/>
      <c r="D44" s="126"/>
      <c r="E44" s="127"/>
    </row>
    <row r="45" spans="1:9" ht="25.5" customHeight="1" x14ac:dyDescent="0.2">
      <c r="B45" s="125"/>
      <c r="C45" s="126"/>
      <c r="D45" s="126"/>
      <c r="E45" s="127"/>
      <c r="F45" s="31"/>
      <c r="G45" s="32"/>
    </row>
    <row r="46" spans="1:9" ht="13.5" customHeight="1" x14ac:dyDescent="0.2">
      <c r="B46" s="125" t="s">
        <v>138</v>
      </c>
      <c r="C46" s="126"/>
      <c r="D46" s="126"/>
      <c r="E46" s="127"/>
      <c r="F46" s="31"/>
      <c r="G46" s="32"/>
    </row>
    <row r="47" spans="1:9" ht="13.5" thickBot="1" x14ac:dyDescent="0.25">
      <c r="B47" s="67" t="s">
        <v>60</v>
      </c>
      <c r="C47" s="68"/>
      <c r="D47" s="69"/>
      <c r="E47" s="70"/>
      <c r="F47" s="31"/>
      <c r="G47" s="32"/>
    </row>
    <row r="48" spans="1:9" ht="12" customHeight="1" thickBot="1" x14ac:dyDescent="0.25"/>
    <row r="49" spans="2:5" x14ac:dyDescent="0.2">
      <c r="B49" s="101" t="s">
        <v>143</v>
      </c>
      <c r="C49" s="102"/>
      <c r="D49" s="102"/>
      <c r="E49" s="103"/>
    </row>
    <row r="50" spans="2:5" x14ac:dyDescent="0.2">
      <c r="B50" s="104" t="s">
        <v>139</v>
      </c>
      <c r="C50" s="105"/>
      <c r="D50" s="105"/>
      <c r="E50" s="106"/>
    </row>
    <row r="51" spans="2:5" ht="26.25" customHeight="1" thickBot="1" x14ac:dyDescent="0.25">
      <c r="B51" s="121" t="s">
        <v>140</v>
      </c>
      <c r="C51" s="122"/>
      <c r="D51" s="122"/>
      <c r="E51" s="123"/>
    </row>
    <row r="52" spans="2:5" ht="13.5" thickBot="1" x14ac:dyDescent="0.25"/>
    <row r="53" spans="2:5" x14ac:dyDescent="0.2">
      <c r="B53" s="101" t="s">
        <v>150</v>
      </c>
      <c r="C53" s="102"/>
      <c r="D53" s="102"/>
      <c r="E53" s="103"/>
    </row>
    <row r="54" spans="2:5" ht="13.5" thickBot="1" x14ac:dyDescent="0.25">
      <c r="B54" s="67" t="s">
        <v>139</v>
      </c>
      <c r="C54" s="119" t="s">
        <v>149</v>
      </c>
      <c r="D54" s="119"/>
      <c r="E54" s="120"/>
    </row>
    <row r="55" spans="2:5" ht="13.5" thickBot="1" x14ac:dyDescent="0.25"/>
    <row r="56" spans="2:5" x14ac:dyDescent="0.2">
      <c r="B56" s="101" t="s">
        <v>144</v>
      </c>
      <c r="C56" s="102"/>
      <c r="D56" s="102"/>
      <c r="E56" s="103"/>
    </row>
    <row r="57" spans="2:5" ht="13.5" thickBot="1" x14ac:dyDescent="0.25">
      <c r="B57" s="104" t="s">
        <v>139</v>
      </c>
      <c r="C57" s="105" t="s">
        <v>142</v>
      </c>
      <c r="D57" s="105"/>
      <c r="E57" s="106"/>
    </row>
    <row r="58" spans="2:5" ht="13.5" thickBot="1" x14ac:dyDescent="0.25">
      <c r="B58" s="29"/>
      <c r="C58" s="29"/>
      <c r="D58" s="29"/>
      <c r="E58" s="29"/>
    </row>
    <row r="59" spans="2:5" x14ac:dyDescent="0.2">
      <c r="B59" s="101" t="s">
        <v>145</v>
      </c>
      <c r="C59" s="102"/>
      <c r="D59" s="102"/>
      <c r="E59" s="103"/>
    </row>
    <row r="60" spans="2:5" ht="13.5" thickBot="1" x14ac:dyDescent="0.25">
      <c r="B60" s="67" t="s">
        <v>139</v>
      </c>
      <c r="C60" s="119" t="s">
        <v>141</v>
      </c>
      <c r="D60" s="119"/>
      <c r="E60" s="120"/>
    </row>
    <row r="61" spans="2:5" ht="13.5" thickBot="1" x14ac:dyDescent="0.25"/>
    <row r="62" spans="2:5" x14ac:dyDescent="0.2">
      <c r="B62" s="101" t="s">
        <v>153</v>
      </c>
      <c r="C62" s="102"/>
      <c r="D62" s="102"/>
      <c r="E62" s="103"/>
    </row>
    <row r="63" spans="2:5" ht="13.5" thickBot="1" x14ac:dyDescent="0.25">
      <c r="B63" s="67" t="s">
        <v>139</v>
      </c>
      <c r="C63" s="119" t="s">
        <v>154</v>
      </c>
      <c r="D63" s="119"/>
      <c r="E63" s="120"/>
    </row>
    <row r="64" spans="2:5" ht="13.5" thickBot="1" x14ac:dyDescent="0.25"/>
    <row r="65" spans="2:5" x14ac:dyDescent="0.2">
      <c r="B65" s="101" t="s">
        <v>157</v>
      </c>
      <c r="C65" s="102"/>
      <c r="D65" s="102"/>
      <c r="E65" s="103"/>
    </row>
    <row r="66" spans="2:5" ht="13.5" thickBot="1" x14ac:dyDescent="0.25">
      <c r="B66" s="67" t="s">
        <v>139</v>
      </c>
      <c r="C66" s="119" t="s">
        <v>158</v>
      </c>
      <c r="D66" s="119"/>
      <c r="E66" s="120"/>
    </row>
    <row r="67" spans="2:5" ht="13.5" thickBot="1" x14ac:dyDescent="0.25"/>
    <row r="68" spans="2:5" x14ac:dyDescent="0.2">
      <c r="B68" s="101" t="s">
        <v>159</v>
      </c>
      <c r="C68" s="102"/>
      <c r="D68" s="102"/>
      <c r="E68" s="103"/>
    </row>
    <row r="69" spans="2:5" ht="13.5" thickBot="1" x14ac:dyDescent="0.25">
      <c r="B69" s="67" t="s">
        <v>139</v>
      </c>
      <c r="C69" s="119" t="s">
        <v>160</v>
      </c>
      <c r="D69" s="119"/>
      <c r="E69" s="120"/>
    </row>
    <row r="70" spans="2:5" ht="13.5" thickBot="1" x14ac:dyDescent="0.25"/>
    <row r="71" spans="2:5" x14ac:dyDescent="0.2">
      <c r="B71" s="101" t="s">
        <v>151</v>
      </c>
      <c r="C71" s="102"/>
      <c r="D71" s="102"/>
      <c r="E71" s="103"/>
    </row>
    <row r="72" spans="2:5" ht="13.5" thickBot="1" x14ac:dyDescent="0.25">
      <c r="B72" s="67" t="s">
        <v>139</v>
      </c>
      <c r="C72" s="119" t="s">
        <v>152</v>
      </c>
      <c r="D72" s="119"/>
      <c r="E72" s="120"/>
    </row>
    <row r="73" spans="2:5" ht="13.5" thickBot="1" x14ac:dyDescent="0.25"/>
    <row r="74" spans="2:5" x14ac:dyDescent="0.2">
      <c r="B74" s="101" t="s">
        <v>161</v>
      </c>
      <c r="C74" s="102"/>
      <c r="D74" s="102"/>
      <c r="E74" s="103"/>
    </row>
    <row r="75" spans="2:5" ht="13.5" thickBot="1" x14ac:dyDescent="0.25">
      <c r="B75" s="67" t="s">
        <v>139</v>
      </c>
      <c r="C75" s="119" t="s">
        <v>162</v>
      </c>
      <c r="D75" s="119"/>
      <c r="E75" s="120"/>
    </row>
    <row r="76" spans="2:5" ht="13.5" thickBot="1" x14ac:dyDescent="0.25"/>
    <row r="77" spans="2:5" x14ac:dyDescent="0.2">
      <c r="B77" s="101" t="s">
        <v>155</v>
      </c>
      <c r="C77" s="102"/>
      <c r="D77" s="102"/>
      <c r="E77" s="103"/>
    </row>
    <row r="78" spans="2:5" ht="13.5" thickBot="1" x14ac:dyDescent="0.25">
      <c r="B78" s="67" t="s">
        <v>139</v>
      </c>
      <c r="C78" s="119" t="s">
        <v>156</v>
      </c>
      <c r="D78" s="119"/>
      <c r="E78" s="120"/>
    </row>
  </sheetData>
  <autoFilter ref="A9:I41" xr:uid="{00000000-0009-0000-0000-000000000000}"/>
  <sortState xmlns:xlrd2="http://schemas.microsoft.com/office/spreadsheetml/2017/richdata2" ref="A10:H41">
    <sortCondition ref="E10:E41"/>
  </sortState>
  <mergeCells count="10">
    <mergeCell ref="B2:H2"/>
    <mergeCell ref="A4:B4"/>
    <mergeCell ref="C4:E4"/>
    <mergeCell ref="A5:B5"/>
    <mergeCell ref="C5:E5"/>
    <mergeCell ref="B51:E51"/>
    <mergeCell ref="A6:B6"/>
    <mergeCell ref="A7:B7"/>
    <mergeCell ref="B44:E45"/>
    <mergeCell ref="B46:E4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4"/>
  <sheetViews>
    <sheetView topLeftCell="A34" zoomScale="80" zoomScaleNormal="80" workbookViewId="0">
      <selection activeCell="H39" sqref="H39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38" t="s">
        <v>14</v>
      </c>
      <c r="B1" s="138"/>
      <c r="C1" s="138"/>
      <c r="D1" s="138"/>
      <c r="E1" s="138"/>
      <c r="F1" s="138"/>
      <c r="G1" s="138"/>
      <c r="H1" s="138"/>
      <c r="I1" s="138"/>
      <c r="J1" s="34" t="s">
        <v>15</v>
      </c>
      <c r="K1" s="35" t="s">
        <v>132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39" t="s">
        <v>48</v>
      </c>
      <c r="B3" s="139"/>
      <c r="C3" s="139"/>
      <c r="D3" s="130" t="str">
        <f>'Necesidades Trimestrales'!C4</f>
        <v>040 - Ministerio de Salud</v>
      </c>
      <c r="E3" s="130"/>
      <c r="F3" s="130"/>
      <c r="G3" s="130"/>
      <c r="H3" s="130"/>
      <c r="I3" s="130"/>
      <c r="J3" s="130"/>
      <c r="K3" s="130"/>
    </row>
    <row r="4" spans="1:11" ht="18.75" customHeight="1" thickBot="1" x14ac:dyDescent="0.25">
      <c r="A4" s="140" t="s">
        <v>49</v>
      </c>
      <c r="B4" s="140"/>
      <c r="C4" s="140"/>
      <c r="D4" s="130" t="str">
        <f>'Necesidades Trimestrales'!C5</f>
        <v>024 - Hospital Interzonal de Niños</v>
      </c>
      <c r="E4" s="130"/>
      <c r="F4" s="130"/>
      <c r="G4" s="130"/>
      <c r="H4" s="130"/>
      <c r="I4" s="130"/>
      <c r="J4" s="130"/>
      <c r="K4" s="130"/>
    </row>
    <row r="5" spans="1:11" ht="18.75" customHeight="1" thickBot="1" x14ac:dyDescent="0.25">
      <c r="A5" s="140" t="s">
        <v>27</v>
      </c>
      <c r="B5" s="140"/>
      <c r="C5" s="140"/>
      <c r="D5" s="130" t="s">
        <v>51</v>
      </c>
      <c r="E5" s="130"/>
      <c r="F5" s="130"/>
      <c r="G5" s="130"/>
      <c r="H5" s="130"/>
      <c r="I5" s="130"/>
      <c r="J5" s="130"/>
      <c r="K5" s="130"/>
    </row>
    <row r="6" spans="1:11" ht="16.5" customHeight="1" thickBot="1" x14ac:dyDescent="0.25">
      <c r="A6" s="139" t="s">
        <v>50</v>
      </c>
      <c r="B6" s="139"/>
      <c r="C6" s="139"/>
      <c r="D6" s="130" t="s">
        <v>133</v>
      </c>
      <c r="E6" s="130"/>
      <c r="F6" s="130"/>
      <c r="G6" s="130"/>
      <c r="H6" s="130"/>
      <c r="I6" s="130"/>
      <c r="J6" s="130"/>
      <c r="K6" s="130"/>
    </row>
    <row r="7" spans="1:11" ht="16.5" customHeight="1" x14ac:dyDescent="0.2">
      <c r="A7" s="140" t="s">
        <v>16</v>
      </c>
      <c r="B7" s="140"/>
      <c r="C7" s="140"/>
      <c r="D7" s="130" t="s">
        <v>134</v>
      </c>
      <c r="E7" s="130"/>
      <c r="F7" s="130"/>
      <c r="G7" s="130"/>
      <c r="H7" s="130"/>
      <c r="I7" s="130"/>
      <c r="J7" s="130"/>
      <c r="K7" s="130"/>
    </row>
    <row r="8" spans="1:11" ht="16.5" customHeight="1" x14ac:dyDescent="0.2">
      <c r="A8" s="137" t="s">
        <v>17</v>
      </c>
      <c r="B8" s="137"/>
      <c r="C8" s="137"/>
      <c r="D8" s="133" t="s">
        <v>135</v>
      </c>
      <c r="E8" s="133"/>
      <c r="F8" s="133"/>
      <c r="G8" s="133"/>
      <c r="H8" s="133"/>
      <c r="I8" s="133"/>
      <c r="J8" s="133"/>
      <c r="K8" s="133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4" t="s">
        <v>18</v>
      </c>
      <c r="B10" s="135" t="s">
        <v>19</v>
      </c>
      <c r="C10" s="135" t="s">
        <v>20</v>
      </c>
      <c r="D10" s="135"/>
      <c r="E10" s="135"/>
      <c r="F10" s="135"/>
      <c r="G10" s="135"/>
      <c r="H10" s="135" t="s">
        <v>21</v>
      </c>
      <c r="I10" s="135" t="s">
        <v>22</v>
      </c>
      <c r="J10" s="135" t="s">
        <v>23</v>
      </c>
      <c r="K10" s="136" t="s">
        <v>24</v>
      </c>
    </row>
    <row r="11" spans="1:11" ht="24" customHeight="1" thickBot="1" x14ac:dyDescent="0.25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7.75" customHeight="1" x14ac:dyDescent="0.2">
      <c r="A12" s="58">
        <v>1</v>
      </c>
      <c r="B12" s="59" t="str">
        <f>'Necesidades Trimestrales'!B10</f>
        <v>2.9.1-6956.27</v>
      </c>
      <c r="C12" s="132" t="str">
        <f>'Necesidades Trimestrales'!E10</f>
        <v>ARTICULOS DE TOCADOR; TIPO: JABON DE TOCADOR LIQUIDO, PRESENTACION: ENVASE X 5 L</v>
      </c>
      <c r="D12" s="132"/>
      <c r="E12" s="132"/>
      <c r="F12" s="132"/>
      <c r="G12" s="132"/>
      <c r="H12" s="62" t="s">
        <v>163</v>
      </c>
      <c r="I12" s="63" t="str">
        <f>'Necesidades Trimestrales'!F10</f>
        <v>BIDON</v>
      </c>
      <c r="J12" s="61">
        <f>'Necesidades Trimestrales'!H10</f>
        <v>675</v>
      </c>
      <c r="K12" s="60">
        <f>'Necesidades Trimestrales'!G10</f>
        <v>300</v>
      </c>
    </row>
    <row r="13" spans="1:11" ht="27.75" customHeight="1" x14ac:dyDescent="0.2">
      <c r="A13" s="58">
        <v>2</v>
      </c>
      <c r="B13" s="59" t="str">
        <f>'Necesidades Trimestrales'!B11</f>
        <v>2.9.1-6956.50</v>
      </c>
      <c r="C13" s="132" t="str">
        <f>'Necesidades Trimestrales'!E11</f>
        <v>ARTICULOS DE TOCADOR; TIPO: JABON DE TOCADOR, PRESENTACION: CAJA X 60 X 90 GR</v>
      </c>
      <c r="D13" s="132"/>
      <c r="E13" s="132"/>
      <c r="F13" s="132"/>
      <c r="G13" s="132"/>
      <c r="H13" s="62" t="s">
        <v>163</v>
      </c>
      <c r="I13" s="63" t="str">
        <f>'Necesidades Trimestrales'!F11</f>
        <v>CAJA</v>
      </c>
      <c r="J13" s="61">
        <f>'Necesidades Trimestrales'!H11</f>
        <v>6800</v>
      </c>
      <c r="K13" s="60">
        <f>'Necesidades Trimestrales'!G11</f>
        <v>3</v>
      </c>
    </row>
    <row r="14" spans="1:11" ht="27.75" customHeight="1" x14ac:dyDescent="0.2">
      <c r="A14" s="58">
        <v>3</v>
      </c>
      <c r="B14" s="59" t="str">
        <f>'Necesidades Trimestrales'!B12</f>
        <v>2.9.1-564.5</v>
      </c>
      <c r="C14" s="132" t="str">
        <f>'Necesidades Trimestrales'!E12</f>
        <v>BALDES DE PLASTICO; CAPACIDAD: 10 L, COLOR: AMARILLO</v>
      </c>
      <c r="D14" s="132"/>
      <c r="E14" s="132"/>
      <c r="F14" s="132"/>
      <c r="G14" s="132"/>
      <c r="H14" s="62" t="s">
        <v>54</v>
      </c>
      <c r="I14" s="63" t="str">
        <f>'Necesidades Trimestrales'!F12</f>
        <v>UNIDAD</v>
      </c>
      <c r="J14" s="61">
        <f>'Necesidades Trimestrales'!H12</f>
        <v>270</v>
      </c>
      <c r="K14" s="60">
        <f>'Necesidades Trimestrales'!G12</f>
        <v>20</v>
      </c>
    </row>
    <row r="15" spans="1:11" ht="27.75" customHeight="1" x14ac:dyDescent="0.2">
      <c r="A15" s="58">
        <v>4</v>
      </c>
      <c r="B15" s="59" t="str">
        <f>'Necesidades Trimestrales'!B13</f>
        <v>2.9.5-4558.24</v>
      </c>
      <c r="C15" s="132" t="str">
        <f>'Necesidades Trimestrales'!E13</f>
        <v>BOLSAS DE RESIDUOS PATOLOGICOS; MEDIDA: 45 X 60 CM. EN 120 MICRONES, ESPESOR: SIN VALOR, TIPO: POLIETILENO BAJA DENSIDAD, PRESENTACION: ENVASE X 10 UN.</v>
      </c>
      <c r="D15" s="132"/>
      <c r="E15" s="132"/>
      <c r="F15" s="132"/>
      <c r="G15" s="132"/>
      <c r="H15" s="62" t="s">
        <v>163</v>
      </c>
      <c r="I15" s="63" t="str">
        <f>'Necesidades Trimestrales'!F13</f>
        <v>UNIDAD</v>
      </c>
      <c r="J15" s="61">
        <f>'Necesidades Trimestrales'!H13</f>
        <v>105</v>
      </c>
      <c r="K15" s="60">
        <f>'Necesidades Trimestrales'!G13</f>
        <v>4500</v>
      </c>
    </row>
    <row r="16" spans="1:11" ht="27.75" customHeight="1" x14ac:dyDescent="0.2">
      <c r="A16" s="58">
        <v>5</v>
      </c>
      <c r="B16" s="59" t="str">
        <f>'Necesidades Trimestrales'!B14</f>
        <v>2.9.1-646.16</v>
      </c>
      <c r="C16" s="132" t="str">
        <f>'Necesidades Trimestrales'!E14</f>
        <v>BOLSAS DE RESIDUOS; COLOR: OBSCURO, ESPESOR: 30 Mn, DIMENSION: 45 X 60 Cm, PRESENTACION: SIN VALOR</v>
      </c>
      <c r="D16" s="132"/>
      <c r="E16" s="132"/>
      <c r="F16" s="132"/>
      <c r="G16" s="132"/>
      <c r="H16" s="62" t="s">
        <v>54</v>
      </c>
      <c r="I16" s="63" t="str">
        <f>'Necesidades Trimestrales'!F14</f>
        <v>UNIDAD</v>
      </c>
      <c r="J16" s="61">
        <f>'Necesidades Trimestrales'!H14</f>
        <v>2.25</v>
      </c>
      <c r="K16" s="60">
        <f>'Necesidades Trimestrales'!G14</f>
        <v>40000</v>
      </c>
    </row>
    <row r="17" spans="1:14" ht="27.75" customHeight="1" x14ac:dyDescent="0.2">
      <c r="A17" s="58">
        <v>6</v>
      </c>
      <c r="B17" s="59" t="str">
        <f>'Necesidades Trimestrales'!B15</f>
        <v>2.9.1-646.118</v>
      </c>
      <c r="C17" s="132" t="str">
        <f>'Necesidades Trimestrales'!E15</f>
        <v>BOLSAS DE RESIDUOS; DIMENSION: 45 X 60 Cm, PRESENTACION: ENVASE X 50 UN, ESPESOR: 60 Mn, MATERIAL: POLIETILENO</v>
      </c>
      <c r="D17" s="132"/>
      <c r="E17" s="132"/>
      <c r="F17" s="132"/>
      <c r="G17" s="132"/>
      <c r="H17" s="62" t="s">
        <v>163</v>
      </c>
      <c r="I17" s="63" t="str">
        <f>'Necesidades Trimestrales'!F15</f>
        <v>PAQUETE</v>
      </c>
      <c r="J17" s="61">
        <f>'Necesidades Trimestrales'!H15</f>
        <v>375</v>
      </c>
      <c r="K17" s="60">
        <f>'Necesidades Trimestrales'!G15</f>
        <v>400</v>
      </c>
    </row>
    <row r="18" spans="1:14" ht="27.75" customHeight="1" x14ac:dyDescent="0.2">
      <c r="A18" s="58">
        <v>7</v>
      </c>
      <c r="B18" s="59" t="str">
        <f>'Necesidades Trimestrales'!B16</f>
        <v>2.9.1-646.26</v>
      </c>
      <c r="C18" s="132" t="str">
        <f>'Necesidades Trimestrales'!E16</f>
        <v>BOLSAS DE RESIDUOS; DIMENSION: 60 X 90 Cm, ESPESOR: 30 mm, PRESENTACION: POR UNIDAD, COLOR: OSCURO</v>
      </c>
      <c r="D18" s="132"/>
      <c r="E18" s="132"/>
      <c r="F18" s="132"/>
      <c r="G18" s="132"/>
      <c r="H18" s="62" t="s">
        <v>54</v>
      </c>
      <c r="I18" s="63" t="str">
        <f>'Necesidades Trimestrales'!F16</f>
        <v>UNIDAD</v>
      </c>
      <c r="J18" s="61">
        <f>'Necesidades Trimestrales'!H16</f>
        <v>6.75</v>
      </c>
      <c r="K18" s="60">
        <f>'Necesidades Trimestrales'!G16</f>
        <v>20000</v>
      </c>
    </row>
    <row r="19" spans="1:14" ht="27.75" customHeight="1" x14ac:dyDescent="0.2">
      <c r="A19" s="58">
        <v>8</v>
      </c>
      <c r="B19" s="59" t="str">
        <f>'Necesidades Trimestrales'!B17</f>
        <v>2.9.1-646.58</v>
      </c>
      <c r="C19" s="132" t="str">
        <f>'Necesidades Trimestrales'!E17</f>
        <v>BOLSAS DE RESIDUOS; DIMENSION: 80 X 110 Cm, PRESENTACION: POR UNIDAD, ESPESOR: 30 Mn, COLOR: TRANSPARENTE</v>
      </c>
      <c r="D19" s="132"/>
      <c r="E19" s="132"/>
      <c r="F19" s="132"/>
      <c r="G19" s="132"/>
      <c r="H19" s="62" t="s">
        <v>54</v>
      </c>
      <c r="I19" s="63" t="str">
        <f>'Necesidades Trimestrales'!F17</f>
        <v>UNIDAD</v>
      </c>
      <c r="J19" s="61">
        <f>'Necesidades Trimestrales'!H17</f>
        <v>28</v>
      </c>
      <c r="K19" s="60">
        <f>'Necesidades Trimestrales'!G17</f>
        <v>10000</v>
      </c>
    </row>
    <row r="20" spans="1:14" ht="27.75" customHeight="1" x14ac:dyDescent="0.2">
      <c r="A20" s="58">
        <v>9</v>
      </c>
      <c r="B20" s="59" t="str">
        <f>'Necesidades Trimestrales'!B18</f>
        <v>2.9.1-646.125</v>
      </c>
      <c r="C20" s="132" t="str">
        <f>'Necesidades Trimestrales'!E18</f>
        <v>BOLSAS DE RESIDUOS; DIMENSION: 90 X 110 Cm, PRESENTACION: ENVASE X 100 UN, ESPESOR: 45 Mn, MATERIAL: PLASTICO</v>
      </c>
      <c r="D20" s="132"/>
      <c r="E20" s="132"/>
      <c r="F20" s="132"/>
      <c r="G20" s="132"/>
      <c r="H20" s="62" t="s">
        <v>163</v>
      </c>
      <c r="I20" s="63" t="str">
        <f>'Necesidades Trimestrales'!F18</f>
        <v>PAQUETE</v>
      </c>
      <c r="J20" s="61">
        <f>'Necesidades Trimestrales'!H18</f>
        <v>2100</v>
      </c>
      <c r="K20" s="60">
        <f>'Necesidades Trimestrales'!G18</f>
        <v>30</v>
      </c>
    </row>
    <row r="21" spans="1:14" ht="27.75" customHeight="1" x14ac:dyDescent="0.2">
      <c r="A21" s="58">
        <v>10</v>
      </c>
      <c r="B21" s="59" t="str">
        <f>'Necesidades Trimestrales'!B19</f>
        <v>2.9.1-6952.22</v>
      </c>
      <c r="C21" s="132" t="str">
        <f>'Necesidades Trimestrales'!E19</f>
        <v>CEPILLOS; TIPO: ESCOBA REFORZADA, MATERIAL: PAJA</v>
      </c>
      <c r="D21" s="132"/>
      <c r="E21" s="132"/>
      <c r="F21" s="132"/>
      <c r="G21" s="132"/>
      <c r="H21" s="62" t="s">
        <v>54</v>
      </c>
      <c r="I21" s="63" t="str">
        <f>'Necesidades Trimestrales'!F19</f>
        <v>UNIDAD</v>
      </c>
      <c r="J21" s="61">
        <f>'Necesidades Trimestrales'!H19</f>
        <v>375</v>
      </c>
      <c r="K21" s="60">
        <f>'Necesidades Trimestrales'!G19</f>
        <v>15</v>
      </c>
    </row>
    <row r="22" spans="1:14" ht="27.75" customHeight="1" x14ac:dyDescent="0.2">
      <c r="A22" s="58">
        <v>11</v>
      </c>
      <c r="B22" s="59" t="str">
        <f>'Necesidades Trimestrales'!B20</f>
        <v>2.9.1-6952.45</v>
      </c>
      <c r="C22" s="132" t="str">
        <f>'Necesidades Trimestrales'!E20</f>
        <v>CEPILLOS; TIPO: ESCOBILLA LIMPIAVIDRIOS, MATERIAL: PLASTICO Y GOMA</v>
      </c>
      <c r="D22" s="132"/>
      <c r="E22" s="132"/>
      <c r="F22" s="132"/>
      <c r="G22" s="132"/>
      <c r="H22" s="62" t="s">
        <v>54</v>
      </c>
      <c r="I22" s="63" t="str">
        <f>'Necesidades Trimestrales'!F20</f>
        <v>UNIDAD</v>
      </c>
      <c r="J22" s="61">
        <f>'Necesidades Trimestrales'!H20</f>
        <v>240</v>
      </c>
      <c r="K22" s="60">
        <f>'Necesidades Trimestrales'!G20</f>
        <v>30</v>
      </c>
    </row>
    <row r="23" spans="1:14" ht="27.75" customHeight="1" x14ac:dyDescent="0.2">
      <c r="A23" s="58">
        <v>12</v>
      </c>
      <c r="B23" s="59" t="str">
        <f>'Necesidades Trimestrales'!B21</f>
        <v>2.9.1-544.30</v>
      </c>
      <c r="C23" s="132" t="str">
        <f>'Necesidades Trimestrales'!E21</f>
        <v>DESODORANTES DE AMBIENTE; FORMATO: AEROSOL, CONTENIDO: 440 CM3, PRESENTACION: UNIDAD, FRAGANCIA: NEUTRALIZADOR, LIBRE DE CFC: SI</v>
      </c>
      <c r="D23" s="132"/>
      <c r="E23" s="132"/>
      <c r="F23" s="132"/>
      <c r="G23" s="132"/>
      <c r="H23" s="62" t="s">
        <v>54</v>
      </c>
      <c r="I23" s="63" t="str">
        <f>'Necesidades Trimestrales'!F21</f>
        <v>UNIDAD</v>
      </c>
      <c r="J23" s="61">
        <f>'Necesidades Trimestrales'!H21</f>
        <v>225</v>
      </c>
      <c r="K23" s="60">
        <f>'Necesidades Trimestrales'!G21</f>
        <v>100</v>
      </c>
    </row>
    <row r="24" spans="1:14" ht="27.75" customHeight="1" x14ac:dyDescent="0.2">
      <c r="A24" s="58">
        <v>13</v>
      </c>
      <c r="B24" s="59" t="str">
        <f>'Necesidades Trimestrales'!B22</f>
        <v>2.9.1-6960.27</v>
      </c>
      <c r="C24" s="132" t="str">
        <f>'Necesidades Trimestrales'!E22</f>
        <v>ELEM. LIMPIEZA P/INDUMENTARIA; TIPO: JABON EN PAN, PRESENTACION: 200 GR</v>
      </c>
      <c r="D24" s="132"/>
      <c r="E24" s="132"/>
      <c r="F24" s="132"/>
      <c r="G24" s="132"/>
      <c r="H24" s="62" t="s">
        <v>54</v>
      </c>
      <c r="I24" s="63" t="str">
        <f>'Necesidades Trimestrales'!F22</f>
        <v>UNIDAD</v>
      </c>
      <c r="J24" s="61">
        <f>'Necesidades Trimestrales'!H22</f>
        <v>70</v>
      </c>
      <c r="K24" s="60">
        <f>'Necesidades Trimestrales'!G22</f>
        <v>100</v>
      </c>
    </row>
    <row r="25" spans="1:14" ht="27.75" customHeight="1" x14ac:dyDescent="0.2">
      <c r="A25" s="58">
        <v>14</v>
      </c>
      <c r="B25" s="59" t="str">
        <f>'Necesidades Trimestrales'!B23</f>
        <v>2.9.1-6960.56</v>
      </c>
      <c r="C25" s="132" t="str">
        <f>'Necesidades Trimestrales'!E23</f>
        <v>ELEM. LIMPIEZA P/INDUMENTARIA; TIPO: JABON EN POLVO BAJA ESPUMA, PRESENTACION: ENVASE X 25 Kg</v>
      </c>
      <c r="D25" s="132"/>
      <c r="E25" s="132"/>
      <c r="F25" s="132"/>
      <c r="G25" s="132"/>
      <c r="H25" s="62" t="s">
        <v>54</v>
      </c>
      <c r="I25" s="63" t="str">
        <f>'Necesidades Trimestrales'!F23</f>
        <v>BOLSA</v>
      </c>
      <c r="J25" s="61">
        <f>'Necesidades Trimestrales'!H23</f>
        <v>4900</v>
      </c>
      <c r="K25" s="60">
        <f>'Necesidades Trimestrales'!G23</f>
        <v>30</v>
      </c>
    </row>
    <row r="26" spans="1:14" ht="27.75" customHeight="1" x14ac:dyDescent="0.2">
      <c r="A26" s="58">
        <v>15</v>
      </c>
      <c r="B26" s="59" t="str">
        <f>'Necesidades Trimestrales'!B24</f>
        <v>2.9.1-6961.14</v>
      </c>
      <c r="C26" s="132" t="str">
        <f>'Necesidades Trimestrales'!E24</f>
        <v>ELEM. P/LIMPIEZA SANITARIOS; TIPO: ESCOBILLA P/INODORO , PRESENTACION: UNIDAD</v>
      </c>
      <c r="D26" s="132"/>
      <c r="E26" s="132"/>
      <c r="F26" s="132"/>
      <c r="G26" s="132"/>
      <c r="H26" s="62" t="s">
        <v>163</v>
      </c>
      <c r="I26" s="63" t="str">
        <f>'Necesidades Trimestrales'!F24</f>
        <v>UNIDAD</v>
      </c>
      <c r="J26" s="61">
        <f>'Necesidades Trimestrales'!H24</f>
        <v>200</v>
      </c>
      <c r="K26" s="60">
        <f>'Necesidades Trimestrales'!G24</f>
        <v>20</v>
      </c>
    </row>
    <row r="27" spans="1:14" ht="27.75" customHeight="1" x14ac:dyDescent="0.2">
      <c r="A27" s="58">
        <v>16</v>
      </c>
      <c r="B27" s="59" t="str">
        <f>'Necesidades Trimestrales'!B25</f>
        <v>2.9.1-6961.6</v>
      </c>
      <c r="C27" s="132" t="str">
        <f>'Necesidades Trimestrales'!E25</f>
        <v>ELEM. P/LIMPIEZA SANITARIOS; TIPO: PASTILLA DESODORANTE, PRESENTACION: UNIDAD</v>
      </c>
      <c r="D27" s="132"/>
      <c r="E27" s="132"/>
      <c r="F27" s="132"/>
      <c r="G27" s="132"/>
      <c r="H27" s="62" t="s">
        <v>163</v>
      </c>
      <c r="I27" s="63" t="str">
        <f>'Necesidades Trimestrales'!F25</f>
        <v>UNIDAD</v>
      </c>
      <c r="J27" s="61">
        <f>'Necesidades Trimestrales'!H25</f>
        <v>105</v>
      </c>
      <c r="K27" s="60">
        <f>'Necesidades Trimestrales'!G25</f>
        <v>100</v>
      </c>
    </row>
    <row r="28" spans="1:14" ht="27.75" customHeight="1" x14ac:dyDescent="0.2">
      <c r="A28" s="58">
        <v>17</v>
      </c>
      <c r="B28" s="59" t="str">
        <f>'Necesidades Trimestrales'!B26</f>
        <v>2.9.1-1164.22</v>
      </c>
      <c r="C28" s="132" t="str">
        <f>'Necesidades Trimestrales'!E26</f>
        <v>ESPONJAS; MATERIAL: ACERO INOXIDABLE, USO: LIMPIEZA, ADITAMENTO: SIN, FORMA: MADEJA 15 GR, LARGO X ANCHO X ESP: SIN VALOR, COLOR: ACERO</v>
      </c>
      <c r="D28" s="132"/>
      <c r="E28" s="132"/>
      <c r="F28" s="132"/>
      <c r="G28" s="132"/>
      <c r="H28" s="62" t="s">
        <v>54</v>
      </c>
      <c r="I28" s="63" t="str">
        <f>'Necesidades Trimestrales'!F26</f>
        <v>UNIDAD</v>
      </c>
      <c r="J28" s="61">
        <f>'Necesidades Trimestrales'!H26</f>
        <v>70</v>
      </c>
      <c r="K28" s="60">
        <f>'Necesidades Trimestrales'!G26</f>
        <v>200</v>
      </c>
    </row>
    <row r="29" spans="1:14" ht="27.75" customHeight="1" x14ac:dyDescent="0.2">
      <c r="A29" s="58">
        <v>18</v>
      </c>
      <c r="B29" s="59" t="str">
        <f>'Necesidades Trimestrales'!B27</f>
        <v>2.9.1-1164.26</v>
      </c>
      <c r="C29" s="132" t="str">
        <f>'Necesidades Trimestrales'!E27</f>
        <v>ESPONJAS; USO: LIMPIEZA, ADITAMENTO: SIN VALOR, FORMA: RECTANGULAR, COLOR: AMARILLO, MATERIAL: FIBRA, LARGO X ANCHO X ESP: 9,7 X 5,7 X 3,5 Cm</v>
      </c>
      <c r="D29" s="132"/>
      <c r="E29" s="132"/>
      <c r="F29" s="132"/>
      <c r="G29" s="132"/>
      <c r="H29" s="62" t="s">
        <v>54</v>
      </c>
      <c r="I29" s="63" t="str">
        <f>'Necesidades Trimestrales'!F27</f>
        <v>UNIDAD</v>
      </c>
      <c r="J29" s="61">
        <f>'Necesidades Trimestrales'!H27</f>
        <v>31</v>
      </c>
      <c r="K29" s="60">
        <f>'Necesidades Trimestrales'!G27</f>
        <v>200</v>
      </c>
    </row>
    <row r="30" spans="1:14" ht="27.75" customHeight="1" x14ac:dyDescent="0.2">
      <c r="A30" s="58">
        <v>19</v>
      </c>
      <c r="B30" s="59" t="str">
        <f>'Necesidades Trimestrales'!B28</f>
        <v>2.9.1-2030.1</v>
      </c>
      <c r="C30" s="132" t="str">
        <f>'Necesidades Trimestrales'!E28</f>
        <v>LANAS DE ACERO; PRESENTACION: PAQUETE, CONTENIDO: MADEJA</v>
      </c>
      <c r="D30" s="132"/>
      <c r="E30" s="132"/>
      <c r="F30" s="132"/>
      <c r="G30" s="132"/>
      <c r="H30" s="62" t="s">
        <v>163</v>
      </c>
      <c r="I30" s="63" t="str">
        <f>'Necesidades Trimestrales'!F28</f>
        <v>PAQUETE</v>
      </c>
      <c r="J30" s="61">
        <f>'Necesidades Trimestrales'!H28</f>
        <v>56</v>
      </c>
      <c r="K30" s="60">
        <f>'Necesidades Trimestrales'!G28</f>
        <v>150</v>
      </c>
    </row>
    <row r="31" spans="1:14" ht="27.75" customHeight="1" x14ac:dyDescent="0.2">
      <c r="A31" s="58">
        <v>20</v>
      </c>
      <c r="B31" s="59" t="str">
        <f>'Necesidades Trimestrales'!B29</f>
        <v>2.9.1-4784.9</v>
      </c>
      <c r="C31" s="132" t="str">
        <f>'Necesidades Trimestrales'!E29</f>
        <v>LIMPIADORES MULTIUSO; TIPO: CREMOSO, PRESENTACION: ENVASE X 750 GR</v>
      </c>
      <c r="D31" s="132"/>
      <c r="E31" s="132"/>
      <c r="F31" s="132"/>
      <c r="G31" s="132"/>
      <c r="H31" s="62" t="s">
        <v>54</v>
      </c>
      <c r="I31" s="63" t="str">
        <f>'Necesidades Trimestrales'!F29</f>
        <v>UNIDAD</v>
      </c>
      <c r="J31" s="61">
        <f>'Necesidades Trimestrales'!H29</f>
        <v>195</v>
      </c>
      <c r="K31" s="60">
        <f>'Necesidades Trimestrales'!G29</f>
        <v>50</v>
      </c>
      <c r="N31" s="36" t="s">
        <v>55</v>
      </c>
    </row>
    <row r="32" spans="1:14" ht="27.75" customHeight="1" x14ac:dyDescent="0.2">
      <c r="A32" s="58">
        <v>21</v>
      </c>
      <c r="B32" s="59" t="str">
        <f>'Necesidades Trimestrales'!B30</f>
        <v>2.9.1-6951.60</v>
      </c>
      <c r="C32" s="132" t="str">
        <f>'Necesidades Trimestrales'!E30</f>
        <v>LIMPIADORES; TIPO: DESENGRASANTE, PRESENTACION: ENVASE X 5 L</v>
      </c>
      <c r="D32" s="132"/>
      <c r="E32" s="132"/>
      <c r="F32" s="132"/>
      <c r="G32" s="132"/>
      <c r="H32" s="62" t="s">
        <v>54</v>
      </c>
      <c r="I32" s="63" t="str">
        <f>'Necesidades Trimestrales'!F30</f>
        <v>BIDON</v>
      </c>
      <c r="J32" s="61">
        <f>'Necesidades Trimestrales'!H30</f>
        <v>975</v>
      </c>
      <c r="K32" s="60">
        <f>'Necesidades Trimestrales'!G30</f>
        <v>10</v>
      </c>
    </row>
    <row r="33" spans="1:14" ht="27.75" customHeight="1" x14ac:dyDescent="0.2">
      <c r="A33" s="58">
        <v>22</v>
      </c>
      <c r="B33" s="59" t="str">
        <f>'Necesidades Trimestrales'!B31</f>
        <v>2.9.1-6951.41</v>
      </c>
      <c r="C33" s="132" t="str">
        <f>'Necesidades Trimestrales'!E31</f>
        <v>LIMPIADORES; TIPO: DESINFECTANTE P/PISO, PRESENTACION: ENVASE X 5 L</v>
      </c>
      <c r="D33" s="132"/>
      <c r="E33" s="132"/>
      <c r="F33" s="132"/>
      <c r="G33" s="132"/>
      <c r="H33" s="62" t="s">
        <v>163</v>
      </c>
      <c r="I33" s="63" t="str">
        <f>'Necesidades Trimestrales'!F31</f>
        <v>BIDON</v>
      </c>
      <c r="J33" s="61">
        <f>'Necesidades Trimestrales'!H31</f>
        <v>225</v>
      </c>
      <c r="K33" s="60">
        <f>'Necesidades Trimestrales'!G31</f>
        <v>600</v>
      </c>
    </row>
    <row r="34" spans="1:14" ht="27.75" customHeight="1" x14ac:dyDescent="0.2">
      <c r="A34" s="58">
        <v>23</v>
      </c>
      <c r="B34" s="59" t="str">
        <f>'Necesidades Trimestrales'!B32</f>
        <v>2.9.1-6951.27</v>
      </c>
      <c r="C34" s="132" t="str">
        <f>'Necesidades Trimestrales'!E32</f>
        <v>LIMPIADORES; TIPO: LAVANDINA, PRESENTACION: ENVASE X 2 L</v>
      </c>
      <c r="D34" s="132"/>
      <c r="E34" s="132"/>
      <c r="F34" s="132"/>
      <c r="G34" s="132"/>
      <c r="H34" s="62" t="s">
        <v>163</v>
      </c>
      <c r="I34" s="63" t="str">
        <f>'Necesidades Trimestrales'!F32</f>
        <v>BOTELLA</v>
      </c>
      <c r="J34" s="61">
        <f>'Necesidades Trimestrales'!H32</f>
        <v>132</v>
      </c>
      <c r="K34" s="60">
        <f>'Necesidades Trimestrales'!G32</f>
        <v>1500</v>
      </c>
    </row>
    <row r="35" spans="1:14" ht="27.75" customHeight="1" x14ac:dyDescent="0.2">
      <c r="A35" s="58">
        <v>24</v>
      </c>
      <c r="B35" s="59" t="str">
        <f>'Necesidades Trimestrales'!B33</f>
        <v>2.3.4-786.91</v>
      </c>
      <c r="C35" s="132" t="str">
        <f>'Necesidades Trimestrales'!E33</f>
        <v>PAPEL HIGIENICO; PRESENTACION: CAJA X 20, TIPO: DOBLE, ANCHO: 10 Cm, LARGO: 80 M, TIPO DE HOJA: DOBLE</v>
      </c>
      <c r="D35" s="132"/>
      <c r="E35" s="132"/>
      <c r="F35" s="132"/>
      <c r="G35" s="132"/>
      <c r="H35" s="62" t="s">
        <v>54</v>
      </c>
      <c r="I35" s="63" t="str">
        <f>'Necesidades Trimestrales'!F33</f>
        <v>CAJA</v>
      </c>
      <c r="J35" s="61">
        <f>'Necesidades Trimestrales'!H33</f>
        <v>1900</v>
      </c>
      <c r="K35" s="60">
        <f>'Necesidades Trimestrales'!G33</f>
        <v>45</v>
      </c>
    </row>
    <row r="36" spans="1:14" ht="27.75" customHeight="1" x14ac:dyDescent="0.2">
      <c r="A36" s="58">
        <v>25</v>
      </c>
      <c r="B36" s="59" t="str">
        <f>'Necesidades Trimestrales'!B34</f>
        <v>2.9.1-1156.8</v>
      </c>
      <c r="C36" s="132" t="str">
        <f>'Necesidades Trimestrales'!E34</f>
        <v>PLUMEROS; PLUMA: SINTETICA, CLASE: PARA TECHO, MATERIAL MANGO: METAL, LARGO MANGO: EXTENSIBLE, Nº VUELTAS PENACHO: 3, TIPO: PARA TECHO</v>
      </c>
      <c r="D36" s="132"/>
      <c r="E36" s="132"/>
      <c r="F36" s="132"/>
      <c r="G36" s="132"/>
      <c r="H36" s="62" t="s">
        <v>54</v>
      </c>
      <c r="I36" s="63" t="str">
        <f>'Necesidades Trimestrales'!F34</f>
        <v>UNIDAD</v>
      </c>
      <c r="J36" s="61">
        <f>'Necesidades Trimestrales'!H34</f>
        <v>600</v>
      </c>
      <c r="K36" s="60">
        <f>'Necesidades Trimestrales'!G34</f>
        <v>20</v>
      </c>
    </row>
    <row r="37" spans="1:14" ht="27.75" customHeight="1" x14ac:dyDescent="0.2">
      <c r="A37" s="58">
        <v>26</v>
      </c>
      <c r="B37" s="59" t="str">
        <f>'Necesidades Trimestrales'!B35</f>
        <v>2.9.1-683.6</v>
      </c>
      <c r="C37" s="132" t="str">
        <f>'Necesidades Trimestrales'!E35</f>
        <v>SECADORES DE GOMA; COLOR: NEGRO, LARGO: 50 Cm</v>
      </c>
      <c r="D37" s="132"/>
      <c r="E37" s="132"/>
      <c r="F37" s="132"/>
      <c r="G37" s="132"/>
      <c r="H37" s="62" t="s">
        <v>54</v>
      </c>
      <c r="I37" s="63" t="str">
        <f>'Necesidades Trimestrales'!F35</f>
        <v>UNIDAD</v>
      </c>
      <c r="J37" s="61">
        <f>'Necesidades Trimestrales'!H35</f>
        <v>150</v>
      </c>
      <c r="K37" s="60">
        <f>'Necesidades Trimestrales'!G35</f>
        <v>150</v>
      </c>
    </row>
    <row r="38" spans="1:14" ht="27.75" customHeight="1" x14ac:dyDescent="0.2">
      <c r="A38" s="58">
        <v>27</v>
      </c>
      <c r="B38" s="59" t="str">
        <f>'Necesidades Trimestrales'!B36</f>
        <v>2.9.1-2661.25</v>
      </c>
      <c r="C38" s="132" t="str">
        <f>'Necesidades Trimestrales'!E36</f>
        <v>TACHOS DE RESIDUOS; MATERIAL: PLASTICO, SECCION: RECTANGULAR, DIMENSION: 10 L, TAPA: VAIVEN</v>
      </c>
      <c r="D38" s="132"/>
      <c r="E38" s="132"/>
      <c r="F38" s="132"/>
      <c r="G38" s="132"/>
      <c r="H38" s="62" t="s">
        <v>163</v>
      </c>
      <c r="I38" s="63" t="str">
        <f>'Necesidades Trimestrales'!F36</f>
        <v>UNIDAD</v>
      </c>
      <c r="J38" s="61">
        <f>'Necesidades Trimestrales'!H36</f>
        <v>700</v>
      </c>
      <c r="K38" s="60">
        <f>'Necesidades Trimestrales'!G36</f>
        <v>30</v>
      </c>
    </row>
    <row r="39" spans="1:14" ht="27.75" customHeight="1" x14ac:dyDescent="0.2">
      <c r="A39" s="58">
        <v>28</v>
      </c>
      <c r="B39" s="59" t="str">
        <f>'Necesidades Trimestrales'!B37</f>
        <v>2.3.4-783.84</v>
      </c>
      <c r="C39" s="132" t="str">
        <f>'Necesidades Trimestrales'!E37</f>
        <v>TOALLAS DE PAPEL; MATERIAL: FIBRA CELULOSICA, GRAMAJE: 20 GR/M2, DIMENSION: 25 Cm, PRESENTACION: 2 X BOBINA X 400 M</v>
      </c>
      <c r="D39" s="132"/>
      <c r="E39" s="132"/>
      <c r="F39" s="132"/>
      <c r="G39" s="132"/>
      <c r="H39" s="62" t="s">
        <v>54</v>
      </c>
      <c r="I39" s="63" t="str">
        <f>'Necesidades Trimestrales'!F37</f>
        <v>ROLLO</v>
      </c>
      <c r="J39" s="61">
        <f>'Necesidades Trimestrales'!H37</f>
        <v>1800</v>
      </c>
      <c r="K39" s="60">
        <f>'Necesidades Trimestrales'!G37</f>
        <v>300</v>
      </c>
    </row>
    <row r="40" spans="1:14" ht="27.75" customHeight="1" x14ac:dyDescent="0.2">
      <c r="A40" s="58">
        <v>29</v>
      </c>
      <c r="B40" s="59" t="str">
        <f>'Necesidades Trimestrales'!B38</f>
        <v>2.3.4-783.90</v>
      </c>
      <c r="C40" s="132" t="str">
        <f>'Necesidades Trimestrales'!E38</f>
        <v>TOALLAS DE PAPEL; MATERIAL: PAPEL ABSORBENTE, GRAMAJE: 35 GR, DIMENSION: 20 X 24 Cm, PRESENTACION: ENVASE X 2500 HOJAS</v>
      </c>
      <c r="D40" s="132"/>
      <c r="E40" s="132"/>
      <c r="F40" s="132"/>
      <c r="G40" s="132"/>
      <c r="H40" s="62" t="s">
        <v>54</v>
      </c>
      <c r="I40" s="63" t="str">
        <f>'Necesidades Trimestrales'!F38</f>
        <v>CAJA</v>
      </c>
      <c r="J40" s="61">
        <f>'Necesidades Trimestrales'!H38</f>
        <v>1350</v>
      </c>
      <c r="K40" s="60">
        <f>'Necesidades Trimestrales'!G38</f>
        <v>300</v>
      </c>
    </row>
    <row r="41" spans="1:14" ht="27.75" customHeight="1" x14ac:dyDescent="0.2">
      <c r="A41" s="58">
        <v>30</v>
      </c>
      <c r="B41" s="59" t="str">
        <f>'Necesidades Trimestrales'!B39</f>
        <v>2.3.4-783.40</v>
      </c>
      <c r="C41" s="132" t="str">
        <f>'Necesidades Trimestrales'!E39</f>
        <v>TOALLAS DE PAPEL; MATERIAL: PAPEL, GRAMAJE: SIN VALOR, DIMENSION: 22,8 (ANCHO) Cm, COLOR: BLANCO, PRESENTACION: ROLLO</v>
      </c>
      <c r="D41" s="132"/>
      <c r="E41" s="132"/>
      <c r="F41" s="132"/>
      <c r="G41" s="132"/>
      <c r="H41" s="62" t="s">
        <v>54</v>
      </c>
      <c r="I41" s="63" t="str">
        <f>'Necesidades Trimestrales'!F39</f>
        <v>ROLLO</v>
      </c>
      <c r="J41" s="61">
        <f>'Necesidades Trimestrales'!H39</f>
        <v>78</v>
      </c>
      <c r="K41" s="60">
        <f>'Necesidades Trimestrales'!G39</f>
        <v>500</v>
      </c>
    </row>
    <row r="42" spans="1:14" ht="27.75" customHeight="1" x14ac:dyDescent="0.2">
      <c r="A42" s="58">
        <v>31</v>
      </c>
      <c r="B42" s="59" t="str">
        <f>'Necesidades Trimestrales'!B40</f>
        <v>2.9.1-713.12</v>
      </c>
      <c r="C42" s="132" t="str">
        <f>'Necesidades Trimestrales'!E40</f>
        <v>TRAPOS DE PISO; DIMENSION: 50 X 55 Cm, COLOR: GRIS</v>
      </c>
      <c r="D42" s="132"/>
      <c r="E42" s="132"/>
      <c r="F42" s="132"/>
      <c r="G42" s="132"/>
      <c r="H42" s="62" t="s">
        <v>54</v>
      </c>
      <c r="I42" s="63" t="str">
        <f>'Necesidades Trimestrales'!F40</f>
        <v>UNIDAD</v>
      </c>
      <c r="J42" s="61">
        <f>'Necesidades Trimestrales'!H40</f>
        <v>135</v>
      </c>
      <c r="K42" s="60">
        <f>'Necesidades Trimestrales'!G40</f>
        <v>400</v>
      </c>
    </row>
    <row r="43" spans="1:14" ht="27.75" customHeight="1" thickBot="1" x14ac:dyDescent="0.25">
      <c r="A43" s="58">
        <v>32</v>
      </c>
      <c r="B43" s="59" t="str">
        <f>'Necesidades Trimestrales'!B41</f>
        <v>2.9.1-678.1</v>
      </c>
      <c r="C43" s="132" t="str">
        <f>'Necesidades Trimestrales'!E41</f>
        <v>TRAPOS REJILLA; DIMENSION: 38 X 42 Cm, MATERIAL: PURO ALGODON, COLOR: BLANCO</v>
      </c>
      <c r="D43" s="132"/>
      <c r="E43" s="132"/>
      <c r="F43" s="132"/>
      <c r="G43" s="132"/>
      <c r="H43" s="62" t="s">
        <v>54</v>
      </c>
      <c r="I43" s="63" t="str">
        <f>'Necesidades Trimestrales'!F41</f>
        <v>UNIDAD</v>
      </c>
      <c r="J43" s="61">
        <f>'Necesidades Trimestrales'!H41</f>
        <v>135</v>
      </c>
      <c r="K43" s="60">
        <f>'Necesidades Trimestrales'!G41</f>
        <v>300</v>
      </c>
    </row>
    <row r="44" spans="1:14" ht="20.25" customHeight="1" thickBot="1" x14ac:dyDescent="0.25">
      <c r="A44" s="130" t="s">
        <v>148</v>
      </c>
      <c r="B44" s="130"/>
      <c r="C44" s="130"/>
      <c r="D44" s="130"/>
      <c r="E44" s="130"/>
      <c r="F44" s="130"/>
      <c r="G44" s="130"/>
      <c r="H44" s="130"/>
      <c r="I44" s="130"/>
      <c r="J44" s="131">
        <f>SUMPRODUCT(J12:J43,K12:K43)</f>
        <v>3223225</v>
      </c>
      <c r="K44" s="131"/>
      <c r="N44" s="47"/>
    </row>
  </sheetData>
  <mergeCells count="54">
    <mergeCell ref="C42:G42"/>
    <mergeCell ref="C43:G43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31:G31"/>
    <mergeCell ref="C25:G25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44:I44"/>
    <mergeCell ref="J44:K4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zoomScale="130" zoomScaleNormal="130" workbookViewId="0">
      <selection activeCell="I2" sqref="I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8" t="s">
        <v>3</v>
      </c>
      <c r="B1" s="168"/>
      <c r="C1" s="168"/>
      <c r="D1" s="169">
        <f>'Necesidades Trimestrales'!C6</f>
        <v>2022</v>
      </c>
      <c r="E1" s="169"/>
      <c r="F1" s="3"/>
      <c r="G1" s="3"/>
      <c r="H1" s="4"/>
      <c r="I1" s="4"/>
      <c r="J1" s="4"/>
      <c r="K1" s="4"/>
      <c r="L1" s="4"/>
      <c r="M1" s="4"/>
      <c r="N1" s="4"/>
      <c r="P1" s="170" t="s">
        <v>25</v>
      </c>
      <c r="Q1" s="17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0"/>
      <c r="Q2" s="170"/>
    </row>
    <row r="4" spans="1:17" s="5" customFormat="1" ht="18" customHeight="1" thickBot="1" x14ac:dyDescent="0.25">
      <c r="A4" s="171" t="s">
        <v>26</v>
      </c>
      <c r="B4" s="171"/>
      <c r="C4" s="171"/>
      <c r="D4" s="171"/>
      <c r="E4" s="171"/>
      <c r="F4" s="171"/>
      <c r="G4" s="166" t="str">
        <f>' NotaPedido'!D3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5" customFormat="1" ht="18" customHeight="1" thickBot="1" x14ac:dyDescent="0.25">
      <c r="A5" s="163" t="s">
        <v>49</v>
      </c>
      <c r="B5" s="164"/>
      <c r="C5" s="164"/>
      <c r="D5" s="164"/>
      <c r="E5" s="164"/>
      <c r="F5" s="165"/>
      <c r="G5" s="166" t="str">
        <f>' NotaPedido'!D4</f>
        <v>024 - Hospital Interzonal de Niños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s="5" customFormat="1" ht="18" customHeight="1" thickBot="1" x14ac:dyDescent="0.25">
      <c r="A6" s="163" t="s">
        <v>27</v>
      </c>
      <c r="B6" s="164"/>
      <c r="C6" s="164"/>
      <c r="D6" s="164"/>
      <c r="E6" s="164"/>
      <c r="F6" s="165"/>
      <c r="G6" s="166" t="str">
        <f>' NotaPedido'!D5</f>
        <v>024 - Hospital Interzonal de Niños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s="5" customFormat="1" ht="18" customHeight="1" thickBot="1" x14ac:dyDescent="0.25">
      <c r="A7" s="163" t="s">
        <v>50</v>
      </c>
      <c r="B7" s="164"/>
      <c r="C7" s="164"/>
      <c r="D7" s="164"/>
      <c r="E7" s="164"/>
      <c r="F7" s="165"/>
      <c r="G7" s="166" t="s">
        <v>133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8" customHeight="1" thickBot="1" x14ac:dyDescent="0.25">
      <c r="A8" s="167" t="s">
        <v>28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52" t="s">
        <v>29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"/>
      <c r="P9" s="1"/>
      <c r="Q9" s="6"/>
    </row>
    <row r="10" spans="1:17" ht="54.75" customHeight="1" x14ac:dyDescent="0.2">
      <c r="A10" s="15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017/2022,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4" t="s">
        <v>30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thickBot="1" x14ac:dyDescent="0.25">
      <c r="A13" s="155" t="s">
        <v>31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32</v>
      </c>
      <c r="P13" s="158"/>
      <c r="Q13" s="161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59"/>
      <c r="P14" s="160"/>
      <c r="Q14" s="162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88" t="str">
        <f>LEFT('[1]Necesidades Trimestrales'!D10,1)</f>
        <v>2</v>
      </c>
      <c r="J15" s="88">
        <v>3</v>
      </c>
      <c r="K15" s="88">
        <v>4</v>
      </c>
      <c r="L15" s="89"/>
      <c r="M15" s="90">
        <v>1</v>
      </c>
      <c r="N15" s="91" t="s">
        <v>53</v>
      </c>
      <c r="O15" s="147" t="s">
        <v>136</v>
      </c>
      <c r="P15" s="142"/>
      <c r="Q15" s="55">
        <v>1069500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92" t="str">
        <f>LEFT('[1]Necesidades Trimestrales'!D11,1)</f>
        <v>2</v>
      </c>
      <c r="J16" s="92">
        <v>5</v>
      </c>
      <c r="K16" s="92">
        <v>8</v>
      </c>
      <c r="L16" s="93"/>
      <c r="M16" s="94">
        <v>1</v>
      </c>
      <c r="N16" s="95" t="s">
        <v>53</v>
      </c>
      <c r="O16" s="147" t="s">
        <v>137</v>
      </c>
      <c r="P16" s="142"/>
      <c r="Q16" s="15">
        <v>1190500</v>
      </c>
    </row>
    <row r="17" spans="1:18" ht="17.25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92" t="str">
        <f>LEFT('[1]Necesidades Trimestrales'!D12,1)</f>
        <v>2</v>
      </c>
      <c r="J17" s="92">
        <v>9</v>
      </c>
      <c r="K17" s="92">
        <v>1</v>
      </c>
      <c r="L17" s="93"/>
      <c r="M17" s="94">
        <v>1</v>
      </c>
      <c r="N17" s="95" t="s">
        <v>53</v>
      </c>
      <c r="O17" s="147" t="s">
        <v>135</v>
      </c>
      <c r="P17" s="142"/>
      <c r="Q17" s="15">
        <v>963225</v>
      </c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2"/>
      <c r="P18" s="14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3"/>
      <c r="P19" s="143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4"/>
      <c r="P20" s="144"/>
      <c r="Q20" s="24"/>
    </row>
    <row r="21" spans="1:18" ht="29.25" customHeight="1" x14ac:dyDescent="0.2">
      <c r="A21" s="145" t="s">
        <v>147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25">
        <f>SUM(Q15:Q20)</f>
        <v>3223225</v>
      </c>
    </row>
    <row r="22" spans="1:18" ht="18" customHeight="1" thickBot="1" x14ac:dyDescent="0.25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</row>
    <row r="23" spans="1:18" ht="17.25" customHeight="1" thickBot="1" x14ac:dyDescent="0.25">
      <c r="A23" s="148" t="s">
        <v>47</v>
      </c>
      <c r="B23" s="149"/>
      <c r="C23" s="149"/>
      <c r="D23" s="149"/>
      <c r="E23" s="149"/>
      <c r="F23" s="150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</row>
    <row r="24" spans="1:18" ht="18" customHeight="1" thickBot="1" x14ac:dyDescent="0.25">
      <c r="A24" s="141" t="s">
        <v>146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8" ht="26.25" customHeight="1" x14ac:dyDescent="0.2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2022-01-05T16:15:53Z</cp:lastPrinted>
  <dcterms:created xsi:type="dcterms:W3CDTF">2020-07-17T23:44:49Z</dcterms:created>
  <dcterms:modified xsi:type="dcterms:W3CDTF">2022-02-24T14:42:36Z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