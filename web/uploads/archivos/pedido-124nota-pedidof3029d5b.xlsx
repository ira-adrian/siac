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ZUL\NPE Y APG SEC COMPRAS\2022\LIBRERÍA\completo\"/>
    </mc:Choice>
  </mc:AlternateContent>
  <bookViews>
    <workbookView xWindow="0" yWindow="0" windowWidth="23040" windowHeight="9192"/>
  </bookViews>
  <sheets>
    <sheet name="Hoja1" sheetId="1" r:id="rId1"/>
  </sheets>
  <definedNames>
    <definedName name="_xlnm._FilterDatabase" localSheetId="0" hidden="1">Hoja1!$A$9:$I$61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1" l="1"/>
  <c r="I47" i="1" l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10" i="1" l="1"/>
  <c r="I61" i="1" s="1"/>
</calcChain>
</file>

<file path=xl/sharedStrings.xml><?xml version="1.0" encoding="utf-8"?>
<sst xmlns="http://schemas.openxmlformats.org/spreadsheetml/2006/main" count="280" uniqueCount="124">
  <si>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</si>
  <si>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</si>
  <si>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</si>
  <si>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</si>
  <si>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</si>
  <si>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</si>
  <si>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</si>
  <si>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</si>
  <si>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</si>
  <si>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2.3.1-6563.828</t>
  </si>
  <si>
    <t>LIBRERIA,PAP. Y UTILES OFICINA</t>
  </si>
  <si>
    <t>2.3.1</t>
  </si>
  <si>
    <t>PAPELES EN HOJA; TIPO DE PAPEL: OBRA, DIMENSION: 210 X 297 mm, GRAMAJE: 80 GR/M2, PRESENTACION: PAQUETE X 500, CERTIFICADO FORESTAL (GFS): CON, PORC. FIBRAS RECICLADAS: 0</t>
  </si>
  <si>
    <t>UNIDAD</t>
  </si>
  <si>
    <t>2.3.1-6563.893</t>
  </si>
  <si>
    <t>PAPELES EN HOJA; TIPO DE PAPEL: PAPEL OBRA, DIMENSION: A3, GRAMAJE: 80 GR, PRESENTACION: 500 UN, CERTIFICADO FORESTAL (GFS): CON, PORC. FIBRAS RECICLADAS: 0 %, CERT. FIBRA ALTERNATIVA (FCA): SIN</t>
  </si>
  <si>
    <t>2.3.1-6563.979</t>
  </si>
  <si>
    <t>PAPELES EN HOJA; TIPO DE PAPEL: OBRA , DIMENSION: OFICIO Cm, GRAMAJE: 80 GR, PRESENTACION: RESMA X 500 HOJAS, CERTIFICADO FORESTAL (GFS): SIN, PORC. FIBRAS RECICLADAS: 0 %, CERT. FIBRA ALTERNATIVA (FCA): SIN</t>
  </si>
  <si>
    <t>2.9.2</t>
  </si>
  <si>
    <t>2.9.2-1611.1</t>
  </si>
  <si>
    <t>FOLIOS TRANSPARENTES; MATERIAL: PLASTICO (POLIETILENO), TAMAÑO: OFICIO, PERFORACIONES: 5 UNIVERSALES</t>
  </si>
  <si>
    <t>2.9.2-1611.3</t>
  </si>
  <si>
    <t>FOLIOS TRANSPARENTES; TAMAÑO: A-4, PERFORACIONES: 5 UNIVERSALES, MATERIAL: PLASTICO (POLIETILENO)</t>
  </si>
  <si>
    <t>2.9.2-323.4</t>
  </si>
  <si>
    <t>CORRECTORES DE ESCRITURA; CAPACIDAD: 7 mL, ENVASE: LAPIZ (PUNTA METAL), PRESENTACION: LAPIZ (PUNTA METAL) X 7 mL</t>
  </si>
  <si>
    <t>2.3.4-734.60</t>
  </si>
  <si>
    <t>2.3.4</t>
  </si>
  <si>
    <t>CINTAS P/EMBALAJE; MATERIAL: POLIPROPILENO, USO: GENERAL, COLOR: TRANSPARENTE, ANCHO: 48 Cm, LARGO: 100 M</t>
  </si>
  <si>
    <t>2.9.2-317.17</t>
  </si>
  <si>
    <t>2.9.2-317.5</t>
  </si>
  <si>
    <t>BOLIGRAFOS; TRAZO 1,0mm</t>
  </si>
  <si>
    <t>2.9.2-848.11</t>
  </si>
  <si>
    <t>2.3.1-6563.109</t>
  </si>
  <si>
    <t>PAPELES EN HOJA; TIPO PAPEL: PAPEL CARBONICO, DIMENSION: OFICIO, GRAMAJE: SIN VALOR, PRESENTACION: CAJA X 100 HOJAS, TIPO DE PAPEL: PAPEL CARBONICO</t>
  </si>
  <si>
    <t>2.9.2-758.24</t>
  </si>
  <si>
    <t>TIJERAS P/CORTAR PAPELES; LONG.DE CUERPO: 24 Cm, MATERIAL: ACERO INOXIDABLE, CUCHILLA: PUNTIAGUDAS, MANGO: ERGONOMETRICO DE PLASTICO</t>
  </si>
  <si>
    <t>2.9.2-1616.145</t>
  </si>
  <si>
    <t>MARCADORES; TIPO: INDELEBLE, TRAZO: GRUESO, PUNTA: GRUESA, RECARGABLE: NO</t>
  </si>
  <si>
    <t>2.9.2-663.3</t>
  </si>
  <si>
    <t>TUBOS DE MINAS; DUREZA: HB, DIAMETRO: 0.5 mm</t>
  </si>
  <si>
    <t>2.9.2-660.48</t>
  </si>
  <si>
    <t>CLIPS P/PAPEL; NUMERO: 5, MATERIAL: METAL FORRADO EN PLASTICO, PRESENTACION: CAJA X 1000 UN</t>
  </si>
  <si>
    <t>2.9.2-660.20</t>
  </si>
  <si>
    <t>CLIPS P/PAPEL; NUMERO: 6, MATERIAL: METAL, CANT. X CAJA: 100, PRESENTACION: CAJA X 100</t>
  </si>
  <si>
    <t>2.9.2-660.31</t>
  </si>
  <si>
    <t>CLIPS P/PAPEL; NUMERO: 8, MATERIAL: METAL, CANT. X CAJA: 100 UN, PRESENTACION: CAJA X 100 UN</t>
  </si>
  <si>
    <t>2.9.2-852.11</t>
  </si>
  <si>
    <t>BROCHES DORADOS; N°: 5, PRESENTACION: CAJA X 100 UNIDADES, N° PATAS: 2, CANTIDAD PATAS: 2, NUMERO: 5</t>
  </si>
  <si>
    <t>2.9.2-852.4</t>
  </si>
  <si>
    <t>BROCHES DORADOS; PRESENTACION: CAJA X 100 UNIDADES, N° PATAS: 2, N°: 8, CANTIDAD PATAS: 2, NUMERO: 8</t>
  </si>
  <si>
    <t>2.9.2-850.181</t>
  </si>
  <si>
    <t>CAJAS DE ARCHIVO; MATERIAL: PLASTICO, DIMENSION: OFICIO</t>
  </si>
  <si>
    <t>2.9.2-1354.21</t>
  </si>
  <si>
    <t>RESALTADORES; PUNTA: BISELADA, ACCESORIO: SIN, COLOR: SIN VALOR, TIPO PUNTA: BISELADA</t>
  </si>
  <si>
    <t>2.9.2-261.4</t>
  </si>
  <si>
    <t>ABROCHADORAS DE PAPEL; TIPO: PINZA, MATERIAL: SIN VALOR, P/BROCHES: 21/6, MEDIDA: 21/6</t>
  </si>
  <si>
    <t>2.9.2-700.2</t>
  </si>
  <si>
    <t>BROCHES P/ABROCHADORA; NUMERO: 21/6, PRESENTACION: CAJA X 1000 UNIDADES</t>
  </si>
  <si>
    <t>2.9.2-700.29</t>
  </si>
  <si>
    <t>BROCHES P/ABROCHADORA; NUMERO: 24/6, PRESENTACION: CAJA X 1000 UNIDADES</t>
  </si>
  <si>
    <t>2.9.2-700.28</t>
  </si>
  <si>
    <t>BROCHES P/ABROCHADORA; NUMERO: 10/50, PRESENTACION: CAJA X 1000 UNIDADES</t>
  </si>
  <si>
    <t>2.9.2-790.13</t>
  </si>
  <si>
    <t>CUTER; TIPO HOJA: MOVIL SECCIONABLE, MATERIAL MANGO: PLASTICO, ANCHO HOJA: 18 mm, TIPO DE HOJA: MOVIL SECCIONABLE, ANCHO DE HOJA: 18 mm</t>
  </si>
  <si>
    <t>2.3.1-6587.346</t>
  </si>
  <si>
    <t>PAPELES ENCUADERNADOS; CANT. DE HOJAS: 100, TAMAÑO: A4, TIPO: CUADERNO ESPIRALADO TAPA DURA, CERTIFICADO FORESTAL (GFS): SIN, PORC. FIBRAS RECICLADAS: 0 %, CERT. FIBRA ALTERNATIVA (FCA): SIN</t>
  </si>
  <si>
    <t>2.9.2-6873.5</t>
  </si>
  <si>
    <t>BROCHES PLASTICOS; TIPO: NEPACO, TAMAÑO: Nº 1, PRESENTACION: CAJA X 50 UN</t>
  </si>
  <si>
    <t>2.9.2-866.3</t>
  </si>
  <si>
    <t>MAQUINAS SACABROCHES; EXTRACTOR: HIERRO, CUERPO: PLASTICO, MATERIAL: PLASTICO, MATERIAL DEL CUERPO: PLASTICO</t>
  </si>
  <si>
    <t>2.9.2-674.9</t>
  </si>
  <si>
    <t>REGLAS GRADUADAS; TIPO: PLANA, MATERIAL: PLASTICO, LONG.DE CUERPO: 30 Cm</t>
  </si>
  <si>
    <t>2.3.1-6590.530</t>
  </si>
  <si>
    <t>SOBRES DE PAPEL; TIPO: MADERA, TAMAÑO: A4, GRAMAJE: 80 GR/M2, PRESENTACION: ENVASE X 100 UN, CERTIFICADO FORESTAL (GFS): SIN, PORC. FIBRAS RECICLADAS: 0 %, CERT. FIBRA ALTERNATIVA (FCA): SIN</t>
  </si>
  <si>
    <t>2.3.1-6590.226</t>
  </si>
  <si>
    <t>SOBRES DE PAPEL; TIPO: MADERA, TAMAÑO: OFICIO, GRAMAJE: 80 GR/M2, PRESENTACION: CAJA X 100</t>
  </si>
  <si>
    <t>2.9.2-1428.9</t>
  </si>
  <si>
    <t>BANDAS ELASTICAS; DIAMETRO: 7 Cm, PRESENTACION: CAJA DE 250 GR, ESPESOR: 2 (+ - 10%)</t>
  </si>
  <si>
    <t>2.9.2-262.56</t>
  </si>
  <si>
    <t>ADHESIVOS P/PAPEL; PRESENTACION: ENVASE X 250 mL, TIPO: SINTETICO C/DOSIFICADOR</t>
  </si>
  <si>
    <t>2.3.1-928.8</t>
  </si>
  <si>
    <t>ARANDELAS DE CARTON; DIAMETRO: 1 pulg, PRESENTACION: CAJA X 500 UNIDADES</t>
  </si>
  <si>
    <t>2.9.2-1616.24</t>
  </si>
  <si>
    <t>MARCADORES; TIPO P/PIZARRA - TRAZO GRUESO - PUNTA REDONDA - RECARGABLE SI</t>
  </si>
  <si>
    <t>2.9.2-1100.21</t>
  </si>
  <si>
    <t>ALFILERES; MATERIAL: ACERO C/CABEZA PLASTICA, NUMERO: 3, ESPESOR: 1 mm, LARGO: 28 pulg, PRESENTACION: CAJA X 30 UN</t>
  </si>
  <si>
    <t>2.9.2-661.1</t>
  </si>
  <si>
    <t>GOMAS DE BORRAR; MATERIAL: CAUCHO, CANT. X CAJA: 30, USO: LAPIZ, DIMENSION: 4 X 1 X 1 Cm, PRESENTACION: CAJA X 30</t>
  </si>
  <si>
    <t>2.3.1-6587.334</t>
  </si>
  <si>
    <t>PAPELES ENCUADERNADOS; CANT. DE HOJAS: 84 HOJAS, TAMAÑO: 16 X 21 Cm, TIPO: RAYADO ESPIRALADO, CERTIFICADO FORESTAL (GFS): CON, PORC. FIBRAS RECICLADAS: 0 %, CERT. FIBRA ALTERNATIVA (FCA): SIN</t>
  </si>
  <si>
    <t>2.9.2-868.6</t>
  </si>
  <si>
    <t>REP. P/CUTER; TIPO HOJA: SECCIONABLE, ANCHO DE HOJA: 18 mm, TIPO DE HOJA: SECCIONABLE</t>
  </si>
  <si>
    <t>2.9.2-261.25</t>
  </si>
  <si>
    <t>ABROCHADORAS DE PAPEL; TIPO: PINZA, P/BROCHES: 24/6 - 24/8, MATERIAL: METAL, MEDIDA: 24/6 - 24/8</t>
  </si>
  <si>
    <t>2.9.2-1062.12</t>
  </si>
  <si>
    <t>PAPELES ANOTADOR AUTOADHESIVOS; PRESENTACION: 100 HOJAS, LARGO X ANCHO: 76 X 76 mm</t>
  </si>
  <si>
    <t>2.9.2-858.18</t>
  </si>
  <si>
    <t>PERFORADORAS; TAMAÑO: MEDIANA, N° PERFORACIONES: 2, DIST. ENTRE AGUJ.: FIJO, GUIA POSICION PAPEL: CON, MATERIAL ESTRUCTURA: METAL C/BASE PLASTICO, MATERIAL: METAL C/BASE PLASTICO</t>
  </si>
  <si>
    <t>2.9.2-660.4</t>
  </si>
  <si>
    <t>CLIPS P/PAPEL; MATERIAL: METAL, NUMERO: 4, CANT. X CAJA: 100, PRESENTACION: CAJA X 100</t>
  </si>
  <si>
    <t>CLIPS P/PAPEL; NUMERO: 3, MATERIAL: METAL, CANT. X CAJA: 100, PRESENTACION: CAJA X 100</t>
  </si>
  <si>
    <t>2.9.2-660.1</t>
  </si>
  <si>
    <t>2.9.2-1450.36</t>
  </si>
  <si>
    <t>TINTAS P/SELLOS; TIPO DE SELLO: DE GOMA, PRESENTACION: ENVASE X 28 CM3</t>
  </si>
  <si>
    <t>2.9.2-274.3</t>
  </si>
  <si>
    <t>BIBLIORATOS; ANCHO 80mm - ANILLO 2 Y PALANCA - TAMAÑO OFICIO - MATERIAL CARTON</t>
  </si>
  <si>
    <t>JURISDICCION:</t>
  </si>
  <si>
    <t xml:space="preserve">SAF N°: </t>
  </si>
  <si>
    <t>EJERCICIO:</t>
  </si>
  <si>
    <t>TRIMESTRE:</t>
  </si>
  <si>
    <t>65- MINISTERIO DE AGUA, ENERGÍA Y MEDIO AMBIENTE</t>
  </si>
  <si>
    <t>31- SECRETARÍA DE ADMINISTRACIÓN</t>
  </si>
  <si>
    <t>Necesidades Trimestrales</t>
  </si>
  <si>
    <t>Plazos y lugares de entrega</t>
  </si>
  <si>
    <t>Calidad Minima esperada</t>
  </si>
  <si>
    <t>Mantenimiento</t>
  </si>
  <si>
    <t>Garantia</t>
  </si>
  <si>
    <r>
      <t>Descripción técnica:</t>
    </r>
    <r>
      <rPr>
        <sz val="11"/>
        <rFont val="Arial"/>
        <family val="2"/>
      </rPr>
      <t xml:space="preserve"> </t>
    </r>
  </si>
  <si>
    <t>TOTAL: PESOS DOS MILLONES OCHOCIENTOS CUARENTA Y TRES MIL OCHOCIENTOS CINCUENTA Y DOS CON 77/100.-</t>
  </si>
  <si>
    <t xml:space="preserve">BOLIGRAFOS; TRAZO: GRUESO, COLOR TINTA: NEGRO </t>
  </si>
  <si>
    <t>LAPIZ TIPO HB COLOR NEGRO</t>
  </si>
  <si>
    <r>
      <t xml:space="preserve">Plazo de entrega: </t>
    </r>
    <r>
      <rPr>
        <sz val="9"/>
        <rFont val="Arial"/>
        <family val="2"/>
      </rPr>
      <t>diez (10) días hábiles</t>
    </r>
    <r>
      <rPr>
        <b/>
        <u/>
        <sz val="9"/>
        <rFont val="Arial"/>
        <family val="2"/>
      </rPr>
      <t xml:space="preserve">
Lugar de entrega:</t>
    </r>
    <r>
      <rPr>
        <sz val="9"/>
        <rFont val="Arial"/>
        <family val="2"/>
      </rPr>
      <t xml:space="preserve"> Secretaría de Administración (M.A.E. y M.A.)- Av. Belgrano S/N°- PABELLÓN N° 2- CAPE</t>
    </r>
  </si>
  <si>
    <t>Según anexo adjunto en nota NO-2022-00399337-CAT-MAEMA</t>
  </si>
  <si>
    <t xml:space="preserve">Especificaciones Técnicas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</si>
</sst>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&quot;$&quot;\ * #,##0.00_ ;_ &quot;$&quot;\ * \-#,##0.00_ ;_ &quot;$&quot;\ * &quot;-&quot;??_ ;_ @_ "/>
    <numFmt numFmtId="165" formatCode="&quot;$&quot;\ #,##0.00"/>
  </numFmts>
  <fonts count="17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9"/>
      <name val="Arial"/>
      <family val="2"/>
    </font>
    <font>
      <sz val="8"/>
      <color rgb="FF000000"/>
      <name val="Arial"/>
      <family val="2"/>
    </font>
    <font>
      <sz val="11"/>
      <name val="Arial"/>
      <family val="2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22"/>
      <color rgb="FF000000"/>
      <name val="Times New Roman"/>
      <family val="1"/>
    </font>
    <font>
      <b/>
      <sz val="11"/>
      <name val="Arial"/>
      <family val="2"/>
    </font>
    <font>
      <u/>
      <sz val="11"/>
      <name val="Arial"/>
      <family val="2"/>
    </font>
    <font>
      <sz val="10"/>
      <name val="Arial"/>
      <family val="2"/>
    </font>
    <font>
      <b/>
      <u/>
      <sz val="9"/>
      <name val="Arial"/>
      <family val="2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rgb="FFFFFF00"/>
      </patternFill>
    </fill>
  </fills>
  <borders count="1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164" fontId="13" fillId="0" borderId="0" applyFont="0" applyFill="0" applyBorder="0" applyAlignment="0" applyProtection="0"/>
  </cellStyleXfs>
  <cellXfs count="6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left" wrapText="1" indent="1"/>
    </xf>
    <xf numFmtId="0" fontId="7" fillId="4" borderId="0" xfId="0" applyFont="1" applyFill="1" applyAlignment="1">
      <alignment horizontal="left" wrapText="1"/>
    </xf>
    <xf numFmtId="0" fontId="8" fillId="3" borderId="0" xfId="0" applyFont="1" applyFill="1" applyBorder="1" applyAlignment="1">
      <alignment horizontal="center" wrapText="1"/>
    </xf>
    <xf numFmtId="0" fontId="6" fillId="3" borderId="0" xfId="0" applyNumberFormat="1" applyFont="1" applyFill="1" applyAlignment="1">
      <alignment horizontal="left" indent="1"/>
    </xf>
    <xf numFmtId="0" fontId="10" fillId="0" borderId="7" xfId="0" applyFont="1" applyBorder="1" applyAlignment="1">
      <alignment horizontal="left" indent="3"/>
    </xf>
    <xf numFmtId="0" fontId="4" fillId="0" borderId="0" xfId="0" applyFont="1" applyBorder="1"/>
    <xf numFmtId="0" fontId="4" fillId="0" borderId="8" xfId="0" applyFont="1" applyBorder="1"/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 indent="3"/>
    </xf>
    <xf numFmtId="0" fontId="4" fillId="4" borderId="0" xfId="0" applyFont="1" applyFill="1" applyBorder="1"/>
    <xf numFmtId="0" fontId="4" fillId="4" borderId="8" xfId="0" applyFont="1" applyFill="1" applyBorder="1"/>
    <xf numFmtId="0" fontId="4" fillId="4" borderId="0" xfId="0" applyFont="1" applyFill="1" applyBorder="1" applyAlignment="1">
      <alignment horizontal="center" wrapText="1"/>
    </xf>
    <xf numFmtId="0" fontId="4" fillId="4" borderId="8" xfId="0" applyFont="1" applyFill="1" applyBorder="1" applyAlignment="1">
      <alignment horizontal="center" wrapText="1"/>
    </xf>
    <xf numFmtId="0" fontId="4" fillId="0" borderId="9" xfId="0" applyFont="1" applyBorder="1" applyAlignment="1">
      <alignment horizontal="left" indent="3"/>
    </xf>
    <xf numFmtId="0" fontId="4" fillId="0" borderId="10" xfId="0" applyFont="1" applyBorder="1"/>
    <xf numFmtId="0" fontId="4" fillId="0" borderId="11" xfId="0" applyFont="1" applyBorder="1"/>
    <xf numFmtId="0" fontId="3" fillId="0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indent="3"/>
    </xf>
    <xf numFmtId="164" fontId="0" fillId="0" borderId="0" xfId="1" applyFont="1"/>
    <xf numFmtId="0" fontId="14" fillId="2" borderId="1" xfId="0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15" fillId="0" borderId="0" xfId="0" applyFont="1"/>
    <xf numFmtId="164" fontId="15" fillId="0" borderId="0" xfId="1" applyFont="1"/>
    <xf numFmtId="0" fontId="16" fillId="0" borderId="0" xfId="0" applyFont="1"/>
    <xf numFmtId="0" fontId="15" fillId="0" borderId="2" xfId="0" applyFont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 wrapText="1"/>
    </xf>
    <xf numFmtId="165" fontId="3" fillId="3" borderId="3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164" fontId="15" fillId="0" borderId="0" xfId="1" applyFont="1" applyAlignment="1">
      <alignment vertical="center"/>
    </xf>
    <xf numFmtId="0" fontId="15" fillId="0" borderId="2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 wrapText="1"/>
    </xf>
    <xf numFmtId="165" fontId="3" fillId="0" borderId="3" xfId="0" applyNumberFormat="1" applyFont="1" applyFill="1" applyBorder="1" applyAlignment="1">
      <alignment horizontal="center" vertical="center" wrapText="1"/>
    </xf>
    <xf numFmtId="0" fontId="15" fillId="0" borderId="0" xfId="0" applyFont="1" applyFill="1" applyAlignment="1">
      <alignment vertical="center"/>
    </xf>
    <xf numFmtId="164" fontId="15" fillId="0" borderId="0" xfId="1" applyFont="1" applyFill="1" applyAlignment="1">
      <alignment vertical="center"/>
    </xf>
    <xf numFmtId="0" fontId="16" fillId="0" borderId="0" xfId="0" applyFont="1" applyFill="1"/>
    <xf numFmtId="0" fontId="15" fillId="4" borderId="2" xfId="0" applyFont="1" applyFill="1" applyBorder="1" applyAlignment="1">
      <alignment horizontal="center" vertical="center"/>
    </xf>
    <xf numFmtId="0" fontId="15" fillId="0" borderId="15" xfId="0" applyFont="1" applyFill="1" applyBorder="1" applyAlignment="1">
      <alignment vertical="center"/>
    </xf>
    <xf numFmtId="0" fontId="15" fillId="0" borderId="0" xfId="0" applyFont="1" applyAlignment="1">
      <alignment horizontal="center" vertical="center"/>
    </xf>
    <xf numFmtId="165" fontId="1" fillId="5" borderId="3" xfId="0" applyNumberFormat="1" applyFont="1" applyFill="1" applyBorder="1" applyAlignment="1">
      <alignment horizontal="center" vertical="center" wrapText="1"/>
    </xf>
    <xf numFmtId="164" fontId="16" fillId="0" borderId="0" xfId="1" applyFont="1"/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1" fillId="3" borderId="0" xfId="0" applyFont="1" applyFill="1" applyBorder="1" applyAlignment="1">
      <alignment horizontal="left" vertical="top" wrapText="1"/>
    </xf>
    <xf numFmtId="0" fontId="11" fillId="3" borderId="8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left" wrapText="1"/>
    </xf>
    <xf numFmtId="0" fontId="4" fillId="3" borderId="8" xfId="0" applyFont="1" applyFill="1" applyBorder="1" applyAlignment="1">
      <alignment horizontal="left" wrapText="1"/>
    </xf>
    <xf numFmtId="0" fontId="8" fillId="3" borderId="0" xfId="0" applyFont="1" applyFill="1" applyBorder="1" applyAlignment="1">
      <alignment horizontal="center" wrapText="1"/>
    </xf>
    <xf numFmtId="0" fontId="5" fillId="0" borderId="0" xfId="0" applyFont="1" applyBorder="1" applyAlignment="1">
      <alignment horizontal="left" vertical="center" wrapText="1"/>
    </xf>
    <xf numFmtId="0" fontId="6" fillId="3" borderId="0" xfId="0" applyFont="1" applyFill="1" applyBorder="1" applyAlignment="1">
      <alignment horizontal="left" wrapText="1" inden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77"/>
  <sheetViews>
    <sheetView tabSelected="1" topLeftCell="A61" workbookViewId="0">
      <selection activeCell="I73" sqref="I73"/>
    </sheetView>
  </sheetViews>
  <sheetFormatPr baseColWidth="10" defaultRowHeight="14.4" x14ac:dyDescent="0.3"/>
  <cols>
    <col min="1" max="1" width="5.109375" customWidth="1"/>
    <col min="2" max="2" width="16.44140625" customWidth="1"/>
    <col min="3" max="3" width="28.6640625" customWidth="1"/>
    <col min="4" max="4" width="8.44140625" customWidth="1"/>
    <col min="5" max="5" width="64.6640625" customWidth="1"/>
    <col min="7" max="7" width="8.6640625" customWidth="1"/>
    <col min="8" max="8" width="13" customWidth="1"/>
    <col min="9" max="9" width="19.109375" customWidth="1"/>
    <col min="12" max="12" width="11.44140625" style="21"/>
    <col min="14" max="14" width="13" bestFit="1" customWidth="1"/>
  </cols>
  <sheetData>
    <row r="2" spans="1:21" ht="30" customHeight="1" x14ac:dyDescent="0.45">
      <c r="A2" s="54" t="s">
        <v>112</v>
      </c>
      <c r="B2" s="54"/>
      <c r="C2" s="54"/>
      <c r="D2" s="54"/>
      <c r="E2" s="54"/>
      <c r="F2" s="54"/>
      <c r="G2" s="54"/>
      <c r="H2" s="54"/>
      <c r="I2" s="54"/>
    </row>
    <row r="3" spans="1:21" ht="13.5" customHeight="1" x14ac:dyDescent="0.45">
      <c r="A3" s="5"/>
      <c r="B3" s="5"/>
      <c r="C3" s="5"/>
      <c r="D3" s="5"/>
      <c r="E3" s="5"/>
      <c r="F3" s="5"/>
      <c r="G3" s="5"/>
      <c r="H3" s="5"/>
      <c r="I3" s="5"/>
    </row>
    <row r="4" spans="1:21" ht="15.6" x14ac:dyDescent="0.3">
      <c r="A4" s="55" t="s">
        <v>106</v>
      </c>
      <c r="B4" s="55"/>
      <c r="C4" s="56" t="s">
        <v>110</v>
      </c>
      <c r="D4" s="56"/>
      <c r="E4" s="56"/>
    </row>
    <row r="5" spans="1:21" ht="15.6" x14ac:dyDescent="0.3">
      <c r="A5" s="55" t="s">
        <v>107</v>
      </c>
      <c r="B5" s="55"/>
      <c r="C5" s="56" t="s">
        <v>111</v>
      </c>
      <c r="D5" s="56"/>
      <c r="E5" s="56"/>
    </row>
    <row r="6" spans="1:21" ht="15.6" x14ac:dyDescent="0.3">
      <c r="A6" s="55" t="s">
        <v>108</v>
      </c>
      <c r="B6" s="55"/>
      <c r="C6" s="3">
        <v>2022</v>
      </c>
      <c r="D6" s="4"/>
      <c r="E6" s="4"/>
    </row>
    <row r="7" spans="1:21" ht="15.6" x14ac:dyDescent="0.3">
      <c r="A7" s="55" t="s">
        <v>109</v>
      </c>
      <c r="B7" s="55"/>
      <c r="C7" s="6">
        <v>1</v>
      </c>
      <c r="D7" s="4"/>
      <c r="E7" s="4"/>
    </row>
    <row r="8" spans="1:21" ht="15" thickBot="1" x14ac:dyDescent="0.35"/>
    <row r="9" spans="1:21" s="26" customFormat="1" ht="49.2" customHeight="1" thickTop="1" thickBot="1" x14ac:dyDescent="0.25">
      <c r="A9" s="22" t="s">
        <v>0</v>
      </c>
      <c r="B9" s="22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23" t="s">
        <v>7</v>
      </c>
      <c r="I9" s="23" t="s">
        <v>8</v>
      </c>
      <c r="J9" s="24"/>
      <c r="K9" s="24"/>
      <c r="L9" s="25"/>
    </row>
    <row r="10" spans="1:21" s="26" customFormat="1" ht="34.5" customHeight="1" thickBot="1" x14ac:dyDescent="0.25">
      <c r="A10" s="27">
        <v>1</v>
      </c>
      <c r="B10" s="28" t="s">
        <v>9</v>
      </c>
      <c r="C10" s="2" t="s">
        <v>10</v>
      </c>
      <c r="D10" s="2" t="s">
        <v>11</v>
      </c>
      <c r="E10" s="2" t="s">
        <v>12</v>
      </c>
      <c r="F10" s="2" t="s">
        <v>13</v>
      </c>
      <c r="G10" s="2">
        <v>600</v>
      </c>
      <c r="H10" s="29">
        <v>880</v>
      </c>
      <c r="I10" s="29">
        <f>G10*H10</f>
        <v>528000</v>
      </c>
      <c r="J10" s="30"/>
      <c r="K10" s="30"/>
      <c r="L10" s="31"/>
      <c r="M10" s="30"/>
      <c r="N10" s="30"/>
      <c r="O10" s="30"/>
      <c r="P10" s="30"/>
      <c r="Q10" s="30"/>
      <c r="R10" s="30"/>
      <c r="S10" s="30"/>
      <c r="T10" s="30"/>
      <c r="U10" s="30"/>
    </row>
    <row r="11" spans="1:21" s="26" customFormat="1" ht="40.950000000000003" customHeight="1" thickBot="1" x14ac:dyDescent="0.25">
      <c r="A11" s="27">
        <v>2</v>
      </c>
      <c r="B11" s="28" t="s">
        <v>14</v>
      </c>
      <c r="C11" s="2" t="s">
        <v>10</v>
      </c>
      <c r="D11" s="2" t="s">
        <v>11</v>
      </c>
      <c r="E11" s="2" t="s">
        <v>15</v>
      </c>
      <c r="F11" s="2" t="s">
        <v>13</v>
      </c>
      <c r="G11" s="2">
        <v>10</v>
      </c>
      <c r="H11" s="29">
        <v>2050</v>
      </c>
      <c r="I11" s="29">
        <f t="shared" ref="I11:I60" si="0">G11*H11</f>
        <v>20500</v>
      </c>
      <c r="J11" s="30"/>
      <c r="K11" s="30"/>
      <c r="L11" s="31"/>
      <c r="M11" s="30"/>
      <c r="N11" s="30"/>
      <c r="O11" s="30"/>
      <c r="P11" s="30"/>
      <c r="Q11" s="30"/>
      <c r="R11" s="30"/>
      <c r="S11" s="30"/>
      <c r="T11" s="30"/>
      <c r="U11" s="30"/>
    </row>
    <row r="12" spans="1:21" s="37" customFormat="1" ht="38.4" customHeight="1" thickBot="1" x14ac:dyDescent="0.25">
      <c r="A12" s="32">
        <v>3</v>
      </c>
      <c r="B12" s="33" t="s">
        <v>16</v>
      </c>
      <c r="C12" s="19" t="s">
        <v>10</v>
      </c>
      <c r="D12" s="19" t="s">
        <v>11</v>
      </c>
      <c r="E12" s="19" t="s">
        <v>17</v>
      </c>
      <c r="F12" s="19" t="s">
        <v>13</v>
      </c>
      <c r="G12" s="19">
        <v>1000</v>
      </c>
      <c r="H12" s="34">
        <v>990</v>
      </c>
      <c r="I12" s="29">
        <f t="shared" si="0"/>
        <v>990000</v>
      </c>
      <c r="J12" s="35"/>
      <c r="K12" s="35"/>
      <c r="L12" s="36"/>
      <c r="M12" s="35"/>
      <c r="N12" s="35"/>
      <c r="O12" s="35"/>
      <c r="P12" s="35"/>
      <c r="Q12" s="35"/>
      <c r="R12" s="35"/>
      <c r="S12" s="35"/>
      <c r="T12" s="35"/>
      <c r="U12" s="35"/>
    </row>
    <row r="13" spans="1:21" s="26" customFormat="1" ht="30" customHeight="1" thickBot="1" x14ac:dyDescent="0.25">
      <c r="A13" s="27">
        <v>4</v>
      </c>
      <c r="B13" s="28" t="s">
        <v>19</v>
      </c>
      <c r="C13" s="2" t="s">
        <v>10</v>
      </c>
      <c r="D13" s="2" t="s">
        <v>18</v>
      </c>
      <c r="E13" s="2" t="s">
        <v>20</v>
      </c>
      <c r="F13" s="2" t="s">
        <v>13</v>
      </c>
      <c r="G13" s="2">
        <v>750</v>
      </c>
      <c r="H13" s="29">
        <v>90</v>
      </c>
      <c r="I13" s="29">
        <f t="shared" si="0"/>
        <v>67500</v>
      </c>
      <c r="J13" s="30"/>
      <c r="K13" s="30"/>
      <c r="L13" s="36"/>
      <c r="M13" s="35"/>
      <c r="N13" s="35"/>
      <c r="O13" s="30"/>
      <c r="P13" s="30"/>
      <c r="Q13" s="30"/>
      <c r="R13" s="30"/>
      <c r="S13" s="30"/>
      <c r="T13" s="30"/>
      <c r="U13" s="30"/>
    </row>
    <row r="14" spans="1:21" s="26" customFormat="1" ht="30" customHeight="1" thickBot="1" x14ac:dyDescent="0.25">
      <c r="A14" s="27">
        <v>5</v>
      </c>
      <c r="B14" s="28" t="s">
        <v>21</v>
      </c>
      <c r="C14" s="2" t="s">
        <v>10</v>
      </c>
      <c r="D14" s="2" t="s">
        <v>18</v>
      </c>
      <c r="E14" s="2" t="s">
        <v>22</v>
      </c>
      <c r="F14" s="2" t="s">
        <v>13</v>
      </c>
      <c r="G14" s="2">
        <v>750</v>
      </c>
      <c r="H14" s="29">
        <v>70</v>
      </c>
      <c r="I14" s="29">
        <f t="shared" si="0"/>
        <v>52500</v>
      </c>
      <c r="J14" s="30"/>
      <c r="K14" s="30"/>
      <c r="L14" s="36"/>
      <c r="M14" s="35"/>
      <c r="N14" s="35"/>
      <c r="O14" s="30"/>
      <c r="P14" s="30"/>
      <c r="Q14" s="30"/>
      <c r="R14" s="30"/>
      <c r="S14" s="30"/>
      <c r="T14" s="30"/>
      <c r="U14" s="30"/>
    </row>
    <row r="15" spans="1:21" s="37" customFormat="1" ht="30" customHeight="1" thickBot="1" x14ac:dyDescent="0.25">
      <c r="A15" s="32">
        <v>6</v>
      </c>
      <c r="B15" s="33" t="s">
        <v>23</v>
      </c>
      <c r="C15" s="19" t="s">
        <v>10</v>
      </c>
      <c r="D15" s="19" t="s">
        <v>18</v>
      </c>
      <c r="E15" s="19" t="s">
        <v>24</v>
      </c>
      <c r="F15" s="19" t="s">
        <v>13</v>
      </c>
      <c r="G15" s="19">
        <v>160</v>
      </c>
      <c r="H15" s="34">
        <v>260</v>
      </c>
      <c r="I15" s="29">
        <f t="shared" si="0"/>
        <v>41600</v>
      </c>
      <c r="J15" s="35"/>
      <c r="K15" s="35"/>
      <c r="L15" s="36"/>
      <c r="M15" s="35"/>
      <c r="N15" s="35"/>
      <c r="O15" s="35"/>
      <c r="P15" s="35"/>
      <c r="Q15" s="35"/>
      <c r="R15" s="35"/>
      <c r="S15" s="35"/>
      <c r="T15" s="35"/>
      <c r="U15" s="35"/>
    </row>
    <row r="16" spans="1:21" s="37" customFormat="1" ht="30" customHeight="1" thickBot="1" x14ac:dyDescent="0.25">
      <c r="A16" s="32">
        <v>7</v>
      </c>
      <c r="B16" s="33" t="s">
        <v>25</v>
      </c>
      <c r="C16" s="19" t="s">
        <v>10</v>
      </c>
      <c r="D16" s="19" t="s">
        <v>26</v>
      </c>
      <c r="E16" s="19" t="s">
        <v>27</v>
      </c>
      <c r="F16" s="19" t="s">
        <v>13</v>
      </c>
      <c r="G16" s="19">
        <v>200</v>
      </c>
      <c r="H16" s="34">
        <v>156</v>
      </c>
      <c r="I16" s="29">
        <f t="shared" si="0"/>
        <v>31200</v>
      </c>
      <c r="J16" s="35"/>
      <c r="K16" s="35"/>
      <c r="L16" s="36"/>
      <c r="M16" s="35"/>
      <c r="N16" s="35"/>
      <c r="O16" s="35"/>
      <c r="P16" s="35"/>
      <c r="Q16" s="35"/>
      <c r="R16" s="35"/>
      <c r="S16" s="35"/>
      <c r="T16" s="35"/>
      <c r="U16" s="35"/>
    </row>
    <row r="17" spans="1:21" s="37" customFormat="1" ht="24" customHeight="1" thickBot="1" x14ac:dyDescent="0.25">
      <c r="A17" s="38">
        <v>8</v>
      </c>
      <c r="B17" s="33" t="s">
        <v>28</v>
      </c>
      <c r="C17" s="19" t="s">
        <v>10</v>
      </c>
      <c r="D17" s="19" t="s">
        <v>18</v>
      </c>
      <c r="E17" s="19" t="s">
        <v>119</v>
      </c>
      <c r="F17" s="19" t="s">
        <v>13</v>
      </c>
      <c r="G17" s="19">
        <v>150</v>
      </c>
      <c r="H17" s="34">
        <v>2090</v>
      </c>
      <c r="I17" s="29">
        <f t="shared" si="0"/>
        <v>313500</v>
      </c>
      <c r="J17" s="39"/>
      <c r="K17" s="35"/>
      <c r="L17" s="36"/>
      <c r="M17" s="35"/>
      <c r="N17" s="35"/>
      <c r="O17" s="35"/>
      <c r="P17" s="35"/>
      <c r="Q17" s="35"/>
      <c r="R17" s="35"/>
      <c r="S17" s="35"/>
      <c r="T17" s="35"/>
      <c r="U17" s="35"/>
    </row>
    <row r="18" spans="1:21" s="37" customFormat="1" ht="19.8" customHeight="1" thickBot="1" x14ac:dyDescent="0.25">
      <c r="A18" s="32">
        <v>9</v>
      </c>
      <c r="B18" s="33" t="s">
        <v>29</v>
      </c>
      <c r="C18" s="19" t="s">
        <v>10</v>
      </c>
      <c r="D18" s="19" t="s">
        <v>18</v>
      </c>
      <c r="E18" s="19" t="s">
        <v>30</v>
      </c>
      <c r="F18" s="19" t="s">
        <v>13</v>
      </c>
      <c r="G18" s="19">
        <v>10</v>
      </c>
      <c r="H18" s="34">
        <v>2850</v>
      </c>
      <c r="I18" s="29">
        <f t="shared" si="0"/>
        <v>28500</v>
      </c>
      <c r="J18" s="35"/>
      <c r="K18" s="35"/>
      <c r="L18" s="36"/>
      <c r="M18" s="35"/>
      <c r="N18" s="35"/>
      <c r="O18" s="35"/>
      <c r="P18" s="35"/>
      <c r="Q18" s="35"/>
      <c r="R18" s="35"/>
      <c r="S18" s="35"/>
      <c r="T18" s="35"/>
      <c r="U18" s="35"/>
    </row>
    <row r="19" spans="1:21" s="37" customFormat="1" ht="21.6" customHeight="1" thickBot="1" x14ac:dyDescent="0.25">
      <c r="A19" s="38">
        <v>10</v>
      </c>
      <c r="B19" s="33" t="s">
        <v>31</v>
      </c>
      <c r="C19" s="19" t="s">
        <v>10</v>
      </c>
      <c r="D19" s="19" t="s">
        <v>18</v>
      </c>
      <c r="E19" s="19" t="s">
        <v>120</v>
      </c>
      <c r="F19" s="19" t="s">
        <v>13</v>
      </c>
      <c r="G19" s="19">
        <v>10</v>
      </c>
      <c r="H19" s="34">
        <v>285</v>
      </c>
      <c r="I19" s="29">
        <f t="shared" si="0"/>
        <v>2850</v>
      </c>
      <c r="J19" s="39"/>
      <c r="K19" s="35"/>
      <c r="L19" s="36"/>
      <c r="M19" s="35"/>
      <c r="N19" s="35"/>
      <c r="O19" s="35"/>
      <c r="P19" s="35"/>
      <c r="Q19" s="35"/>
      <c r="R19" s="35"/>
      <c r="S19" s="35"/>
      <c r="T19" s="35"/>
      <c r="U19" s="35"/>
    </row>
    <row r="20" spans="1:21" s="26" customFormat="1" ht="39.75" customHeight="1" thickBot="1" x14ac:dyDescent="0.25">
      <c r="A20" s="27">
        <v>11</v>
      </c>
      <c r="B20" s="28" t="s">
        <v>32</v>
      </c>
      <c r="C20" s="2" t="s">
        <v>10</v>
      </c>
      <c r="D20" s="2" t="s">
        <v>11</v>
      </c>
      <c r="E20" s="2" t="s">
        <v>33</v>
      </c>
      <c r="F20" s="2" t="s">
        <v>13</v>
      </c>
      <c r="G20" s="2">
        <v>1</v>
      </c>
      <c r="H20" s="29">
        <v>1396.5</v>
      </c>
      <c r="I20" s="29">
        <f t="shared" si="0"/>
        <v>1396.5</v>
      </c>
      <c r="J20" s="30"/>
      <c r="K20" s="40"/>
      <c r="L20" s="31"/>
      <c r="M20" s="30"/>
      <c r="N20" s="30"/>
      <c r="O20" s="30"/>
      <c r="P20" s="30"/>
      <c r="Q20" s="30"/>
      <c r="R20" s="30"/>
      <c r="S20" s="30"/>
      <c r="T20" s="30"/>
      <c r="U20" s="30"/>
    </row>
    <row r="21" spans="1:21" s="37" customFormat="1" ht="30" customHeight="1" thickBot="1" x14ac:dyDescent="0.25">
      <c r="A21" s="32">
        <v>12</v>
      </c>
      <c r="B21" s="33" t="s">
        <v>34</v>
      </c>
      <c r="C21" s="19" t="s">
        <v>10</v>
      </c>
      <c r="D21" s="19" t="s">
        <v>18</v>
      </c>
      <c r="E21" s="19" t="s">
        <v>35</v>
      </c>
      <c r="F21" s="19" t="s">
        <v>13</v>
      </c>
      <c r="G21" s="19">
        <v>30</v>
      </c>
      <c r="H21" s="34">
        <v>650</v>
      </c>
      <c r="I21" s="29">
        <f t="shared" si="0"/>
        <v>19500</v>
      </c>
      <c r="J21" s="35"/>
      <c r="K21" s="35"/>
      <c r="L21" s="36"/>
      <c r="M21" s="35"/>
      <c r="N21" s="35"/>
      <c r="O21" s="35"/>
      <c r="P21" s="35"/>
      <c r="Q21" s="35"/>
      <c r="R21" s="35"/>
      <c r="S21" s="35"/>
      <c r="T21" s="35"/>
      <c r="U21" s="35"/>
    </row>
    <row r="22" spans="1:21" s="37" customFormat="1" ht="30" customHeight="1" thickBot="1" x14ac:dyDescent="0.25">
      <c r="A22" s="32">
        <v>13</v>
      </c>
      <c r="B22" s="33" t="s">
        <v>36</v>
      </c>
      <c r="C22" s="19" t="s">
        <v>10</v>
      </c>
      <c r="D22" s="19" t="s">
        <v>18</v>
      </c>
      <c r="E22" s="19" t="s">
        <v>37</v>
      </c>
      <c r="F22" s="19" t="s">
        <v>13</v>
      </c>
      <c r="G22" s="19">
        <v>50</v>
      </c>
      <c r="H22" s="34">
        <v>150</v>
      </c>
      <c r="I22" s="29">
        <f t="shared" si="0"/>
        <v>7500</v>
      </c>
      <c r="J22" s="35"/>
      <c r="K22" s="35"/>
      <c r="L22" s="36"/>
      <c r="M22" s="35"/>
      <c r="N22" s="35"/>
      <c r="O22" s="35"/>
      <c r="P22" s="35"/>
      <c r="Q22" s="35"/>
      <c r="R22" s="35"/>
      <c r="S22" s="35"/>
      <c r="T22" s="35"/>
      <c r="U22" s="35"/>
    </row>
    <row r="23" spans="1:21" s="37" customFormat="1" ht="54.6" customHeight="1" thickBot="1" x14ac:dyDescent="0.25">
      <c r="A23" s="32">
        <v>14</v>
      </c>
      <c r="B23" s="33" t="s">
        <v>96</v>
      </c>
      <c r="C23" s="19" t="s">
        <v>10</v>
      </c>
      <c r="D23" s="19" t="s">
        <v>18</v>
      </c>
      <c r="E23" s="19" t="s">
        <v>97</v>
      </c>
      <c r="F23" s="19" t="s">
        <v>13</v>
      </c>
      <c r="G23" s="19">
        <v>15</v>
      </c>
      <c r="H23" s="34">
        <v>600</v>
      </c>
      <c r="I23" s="29">
        <f t="shared" si="0"/>
        <v>9000</v>
      </c>
      <c r="J23" s="35"/>
      <c r="K23" s="35"/>
      <c r="L23" s="36"/>
      <c r="M23" s="35"/>
      <c r="N23" s="35"/>
      <c r="O23" s="35"/>
      <c r="P23" s="35"/>
      <c r="Q23" s="35"/>
      <c r="R23" s="35"/>
      <c r="S23" s="35"/>
      <c r="T23" s="35"/>
      <c r="U23" s="35"/>
    </row>
    <row r="24" spans="1:21" s="26" customFormat="1" ht="30" customHeight="1" thickBot="1" x14ac:dyDescent="0.25">
      <c r="A24" s="27">
        <v>15</v>
      </c>
      <c r="B24" s="28" t="s">
        <v>38</v>
      </c>
      <c r="C24" s="2" t="s">
        <v>10</v>
      </c>
      <c r="D24" s="2" t="s">
        <v>18</v>
      </c>
      <c r="E24" s="2" t="s">
        <v>39</v>
      </c>
      <c r="F24" s="2" t="s">
        <v>13</v>
      </c>
      <c r="G24" s="2">
        <v>100</v>
      </c>
      <c r="H24" s="29">
        <v>133</v>
      </c>
      <c r="I24" s="29">
        <f t="shared" si="0"/>
        <v>13300</v>
      </c>
      <c r="J24" s="30"/>
      <c r="K24" s="30"/>
      <c r="L24" s="31"/>
      <c r="M24" s="30"/>
      <c r="N24" s="30"/>
      <c r="O24" s="30"/>
      <c r="P24" s="30"/>
      <c r="Q24" s="30"/>
      <c r="R24" s="30"/>
      <c r="S24" s="30"/>
      <c r="T24" s="30"/>
      <c r="U24" s="30"/>
    </row>
    <row r="25" spans="1:21" s="26" customFormat="1" ht="30" customHeight="1" thickBot="1" x14ac:dyDescent="0.25">
      <c r="A25" s="27">
        <v>16</v>
      </c>
      <c r="B25" s="28" t="s">
        <v>101</v>
      </c>
      <c r="C25" s="2" t="s">
        <v>10</v>
      </c>
      <c r="D25" s="2" t="s">
        <v>18</v>
      </c>
      <c r="E25" s="2" t="s">
        <v>100</v>
      </c>
      <c r="F25" s="2" t="s">
        <v>13</v>
      </c>
      <c r="G25" s="2">
        <v>30</v>
      </c>
      <c r="H25" s="29">
        <v>200</v>
      </c>
      <c r="I25" s="29">
        <f t="shared" si="0"/>
        <v>6000</v>
      </c>
      <c r="J25" s="30"/>
      <c r="K25" s="30"/>
      <c r="L25" s="31"/>
      <c r="M25" s="30"/>
      <c r="N25" s="30"/>
      <c r="O25" s="30"/>
      <c r="P25" s="30"/>
      <c r="Q25" s="30"/>
      <c r="R25" s="30"/>
      <c r="S25" s="30"/>
      <c r="T25" s="30"/>
      <c r="U25" s="30"/>
    </row>
    <row r="26" spans="1:21" s="37" customFormat="1" ht="30" customHeight="1" thickBot="1" x14ac:dyDescent="0.25">
      <c r="A26" s="32">
        <v>17</v>
      </c>
      <c r="B26" s="33" t="s">
        <v>98</v>
      </c>
      <c r="C26" s="19" t="s">
        <v>10</v>
      </c>
      <c r="D26" s="19" t="s">
        <v>18</v>
      </c>
      <c r="E26" s="19" t="s">
        <v>99</v>
      </c>
      <c r="F26" s="19" t="s">
        <v>13</v>
      </c>
      <c r="G26" s="19">
        <v>30</v>
      </c>
      <c r="H26" s="34">
        <v>931</v>
      </c>
      <c r="I26" s="29">
        <f t="shared" si="0"/>
        <v>27930</v>
      </c>
      <c r="J26" s="35"/>
      <c r="K26" s="35"/>
      <c r="L26" s="36"/>
      <c r="M26" s="35"/>
      <c r="N26" s="35"/>
      <c r="O26" s="35"/>
      <c r="P26" s="35"/>
      <c r="Q26" s="35"/>
      <c r="R26" s="35"/>
      <c r="S26" s="35"/>
      <c r="T26" s="35"/>
      <c r="U26" s="35"/>
    </row>
    <row r="27" spans="1:21" s="37" customFormat="1" ht="30" customHeight="1" thickBot="1" x14ac:dyDescent="0.25">
      <c r="A27" s="32">
        <v>18</v>
      </c>
      <c r="B27" s="33" t="s">
        <v>40</v>
      </c>
      <c r="C27" s="19" t="s">
        <v>10</v>
      </c>
      <c r="D27" s="19" t="s">
        <v>18</v>
      </c>
      <c r="E27" s="19" t="s">
        <v>41</v>
      </c>
      <c r="F27" s="19" t="s">
        <v>13</v>
      </c>
      <c r="G27" s="19">
        <v>30</v>
      </c>
      <c r="H27" s="34">
        <v>855</v>
      </c>
      <c r="I27" s="29">
        <f t="shared" si="0"/>
        <v>25650</v>
      </c>
      <c r="J27" s="35"/>
      <c r="K27" s="35"/>
      <c r="L27" s="36"/>
      <c r="M27" s="35"/>
      <c r="N27" s="35"/>
      <c r="O27" s="35"/>
      <c r="P27" s="35"/>
      <c r="Q27" s="35"/>
      <c r="R27" s="35"/>
      <c r="S27" s="35"/>
      <c r="T27" s="35"/>
      <c r="U27" s="35"/>
    </row>
    <row r="28" spans="1:21" s="37" customFormat="1" ht="30" customHeight="1" thickBot="1" x14ac:dyDescent="0.25">
      <c r="A28" s="32">
        <v>19</v>
      </c>
      <c r="B28" s="33" t="s">
        <v>42</v>
      </c>
      <c r="C28" s="19" t="s">
        <v>10</v>
      </c>
      <c r="D28" s="19" t="s">
        <v>18</v>
      </c>
      <c r="E28" s="19" t="s">
        <v>43</v>
      </c>
      <c r="F28" s="19" t="s">
        <v>13</v>
      </c>
      <c r="G28" s="19">
        <v>30</v>
      </c>
      <c r="H28" s="34">
        <v>912</v>
      </c>
      <c r="I28" s="29">
        <f t="shared" si="0"/>
        <v>27360</v>
      </c>
      <c r="J28" s="35"/>
      <c r="K28" s="35"/>
      <c r="L28" s="36"/>
      <c r="M28" s="35"/>
      <c r="N28" s="35"/>
      <c r="O28" s="35"/>
      <c r="P28" s="35"/>
      <c r="Q28" s="35"/>
      <c r="R28" s="35"/>
      <c r="S28" s="35"/>
      <c r="T28" s="35"/>
      <c r="U28" s="35"/>
    </row>
    <row r="29" spans="1:21" s="37" customFormat="1" ht="30" customHeight="1" thickBot="1" x14ac:dyDescent="0.25">
      <c r="A29" s="32">
        <v>20</v>
      </c>
      <c r="B29" s="33" t="s">
        <v>44</v>
      </c>
      <c r="C29" s="19" t="s">
        <v>10</v>
      </c>
      <c r="D29" s="19" t="s">
        <v>18</v>
      </c>
      <c r="E29" s="19" t="s">
        <v>45</v>
      </c>
      <c r="F29" s="19" t="s">
        <v>13</v>
      </c>
      <c r="G29" s="19">
        <v>30</v>
      </c>
      <c r="H29" s="34">
        <v>365.62</v>
      </c>
      <c r="I29" s="29">
        <f t="shared" si="0"/>
        <v>10968.6</v>
      </c>
      <c r="J29" s="35"/>
      <c r="K29" s="35"/>
      <c r="L29" s="36"/>
      <c r="M29" s="35"/>
      <c r="N29" s="35"/>
      <c r="O29" s="35"/>
      <c r="P29" s="35"/>
      <c r="Q29" s="35"/>
      <c r="R29" s="35"/>
      <c r="S29" s="35"/>
      <c r="T29" s="35"/>
      <c r="U29" s="35"/>
    </row>
    <row r="30" spans="1:21" s="37" customFormat="1" ht="30" customHeight="1" thickBot="1" x14ac:dyDescent="0.25">
      <c r="A30" s="32">
        <v>21</v>
      </c>
      <c r="B30" s="33" t="s">
        <v>46</v>
      </c>
      <c r="C30" s="19" t="s">
        <v>10</v>
      </c>
      <c r="D30" s="19" t="s">
        <v>18</v>
      </c>
      <c r="E30" s="19" t="s">
        <v>47</v>
      </c>
      <c r="F30" s="19" t="s">
        <v>13</v>
      </c>
      <c r="G30" s="19">
        <v>30</v>
      </c>
      <c r="H30" s="34">
        <v>273.59999999999997</v>
      </c>
      <c r="I30" s="29">
        <f t="shared" si="0"/>
        <v>8207.9999999999982</v>
      </c>
      <c r="J30" s="35"/>
      <c r="K30" s="35"/>
      <c r="L30" s="36"/>
      <c r="M30" s="35"/>
      <c r="N30" s="35"/>
      <c r="O30" s="35"/>
      <c r="P30" s="35"/>
      <c r="Q30" s="35"/>
      <c r="R30" s="35"/>
      <c r="S30" s="35"/>
      <c r="T30" s="35"/>
      <c r="U30" s="35"/>
    </row>
    <row r="31" spans="1:21" s="37" customFormat="1" ht="30" customHeight="1" thickBot="1" x14ac:dyDescent="0.25">
      <c r="A31" s="32">
        <v>22</v>
      </c>
      <c r="B31" s="33" t="s">
        <v>48</v>
      </c>
      <c r="C31" s="19" t="s">
        <v>10</v>
      </c>
      <c r="D31" s="19" t="s">
        <v>18</v>
      </c>
      <c r="E31" s="19" t="s">
        <v>49</v>
      </c>
      <c r="F31" s="19" t="s">
        <v>13</v>
      </c>
      <c r="G31" s="19">
        <v>30</v>
      </c>
      <c r="H31" s="34">
        <v>285</v>
      </c>
      <c r="I31" s="29">
        <f t="shared" si="0"/>
        <v>8550</v>
      </c>
      <c r="J31" s="35"/>
      <c r="K31" s="35"/>
      <c r="L31" s="36"/>
      <c r="M31" s="35"/>
      <c r="N31" s="35"/>
      <c r="O31" s="35"/>
      <c r="P31" s="35"/>
      <c r="Q31" s="35"/>
      <c r="R31" s="35"/>
      <c r="S31" s="35"/>
      <c r="T31" s="35"/>
      <c r="U31" s="35"/>
    </row>
    <row r="32" spans="1:21" s="37" customFormat="1" ht="30" customHeight="1" thickBot="1" x14ac:dyDescent="0.25">
      <c r="A32" s="32">
        <v>23</v>
      </c>
      <c r="B32" s="33" t="s">
        <v>50</v>
      </c>
      <c r="C32" s="19" t="s">
        <v>10</v>
      </c>
      <c r="D32" s="19" t="s">
        <v>18</v>
      </c>
      <c r="E32" s="19" t="s">
        <v>51</v>
      </c>
      <c r="F32" s="19" t="s">
        <v>13</v>
      </c>
      <c r="G32" s="19">
        <v>300</v>
      </c>
      <c r="H32" s="34">
        <v>350</v>
      </c>
      <c r="I32" s="29">
        <f t="shared" si="0"/>
        <v>105000</v>
      </c>
      <c r="J32" s="35"/>
      <c r="K32" s="35"/>
      <c r="L32" s="36"/>
      <c r="M32" s="35"/>
      <c r="N32" s="35"/>
      <c r="O32" s="35"/>
      <c r="P32" s="35"/>
      <c r="Q32" s="35"/>
      <c r="R32" s="35"/>
      <c r="S32" s="35"/>
      <c r="T32" s="35"/>
      <c r="U32" s="35"/>
    </row>
    <row r="33" spans="1:21" s="37" customFormat="1" ht="30" customHeight="1" thickBot="1" x14ac:dyDescent="0.25">
      <c r="A33" s="32">
        <v>24</v>
      </c>
      <c r="B33" s="33" t="s">
        <v>52</v>
      </c>
      <c r="C33" s="19" t="s">
        <v>10</v>
      </c>
      <c r="D33" s="19" t="s">
        <v>18</v>
      </c>
      <c r="E33" s="19" t="s">
        <v>53</v>
      </c>
      <c r="F33" s="19" t="s">
        <v>13</v>
      </c>
      <c r="G33" s="19">
        <v>200</v>
      </c>
      <c r="H33" s="34">
        <v>551</v>
      </c>
      <c r="I33" s="29">
        <f t="shared" si="0"/>
        <v>110200</v>
      </c>
      <c r="J33" s="35"/>
      <c r="K33" s="35"/>
      <c r="L33" s="36"/>
      <c r="M33" s="35"/>
      <c r="N33" s="35"/>
      <c r="O33" s="35"/>
      <c r="P33" s="35"/>
      <c r="Q33" s="35"/>
      <c r="R33" s="35"/>
      <c r="S33" s="35"/>
      <c r="T33" s="35"/>
      <c r="U33" s="35"/>
    </row>
    <row r="34" spans="1:21" s="37" customFormat="1" ht="30" customHeight="1" thickBot="1" x14ac:dyDescent="0.25">
      <c r="A34" s="32">
        <v>25</v>
      </c>
      <c r="B34" s="33" t="s">
        <v>102</v>
      </c>
      <c r="C34" s="19" t="s">
        <v>10</v>
      </c>
      <c r="D34" s="19" t="s">
        <v>18</v>
      </c>
      <c r="E34" s="19" t="s">
        <v>103</v>
      </c>
      <c r="F34" s="19" t="s">
        <v>13</v>
      </c>
      <c r="G34" s="19">
        <v>15</v>
      </c>
      <c r="H34" s="34">
        <v>190</v>
      </c>
      <c r="I34" s="29">
        <f t="shared" si="0"/>
        <v>2850</v>
      </c>
      <c r="J34" s="35"/>
      <c r="K34" s="35"/>
      <c r="L34" s="36"/>
      <c r="M34" s="35"/>
      <c r="N34" s="35"/>
      <c r="O34" s="35"/>
      <c r="P34" s="35"/>
      <c r="Q34" s="35"/>
      <c r="R34" s="35"/>
      <c r="S34" s="35"/>
      <c r="T34" s="35"/>
      <c r="U34" s="35"/>
    </row>
    <row r="35" spans="1:21" s="37" customFormat="1" ht="30" customHeight="1" thickBot="1" x14ac:dyDescent="0.25">
      <c r="A35" s="32">
        <v>26</v>
      </c>
      <c r="B35" s="33" t="s">
        <v>102</v>
      </c>
      <c r="C35" s="19" t="s">
        <v>10</v>
      </c>
      <c r="D35" s="19" t="s">
        <v>18</v>
      </c>
      <c r="E35" s="19" t="s">
        <v>103</v>
      </c>
      <c r="F35" s="19" t="s">
        <v>13</v>
      </c>
      <c r="G35" s="19">
        <v>10</v>
      </c>
      <c r="H35" s="34">
        <v>190</v>
      </c>
      <c r="I35" s="29">
        <f t="shared" si="0"/>
        <v>1900</v>
      </c>
      <c r="J35" s="35"/>
      <c r="K35" s="35"/>
      <c r="L35" s="36"/>
      <c r="M35" s="35"/>
      <c r="N35" s="35"/>
      <c r="O35" s="35"/>
      <c r="P35" s="35"/>
      <c r="Q35" s="35"/>
      <c r="R35" s="35"/>
      <c r="S35" s="35"/>
      <c r="T35" s="35"/>
      <c r="U35" s="35"/>
    </row>
    <row r="36" spans="1:21" s="37" customFormat="1" ht="30" customHeight="1" thickBot="1" x14ac:dyDescent="0.25">
      <c r="A36" s="32">
        <v>27</v>
      </c>
      <c r="B36" s="33" t="s">
        <v>54</v>
      </c>
      <c r="C36" s="19" t="s">
        <v>10</v>
      </c>
      <c r="D36" s="19" t="s">
        <v>18</v>
      </c>
      <c r="E36" s="19" t="s">
        <v>55</v>
      </c>
      <c r="F36" s="19" t="s">
        <v>13</v>
      </c>
      <c r="G36" s="19">
        <v>30</v>
      </c>
      <c r="H36" s="34">
        <v>1200</v>
      </c>
      <c r="I36" s="29">
        <f t="shared" si="0"/>
        <v>36000</v>
      </c>
      <c r="J36" s="35"/>
      <c r="K36" s="35"/>
      <c r="L36" s="36"/>
      <c r="M36" s="35"/>
      <c r="N36" s="35"/>
      <c r="O36" s="35"/>
      <c r="P36" s="35"/>
      <c r="Q36" s="35"/>
      <c r="R36" s="35"/>
      <c r="S36" s="35"/>
      <c r="T36" s="35"/>
      <c r="U36" s="35"/>
    </row>
    <row r="37" spans="1:21" s="26" customFormat="1" ht="30" customHeight="1" thickBot="1" x14ac:dyDescent="0.25">
      <c r="A37" s="27">
        <v>28</v>
      </c>
      <c r="B37" s="28" t="s">
        <v>56</v>
      </c>
      <c r="C37" s="2" t="s">
        <v>10</v>
      </c>
      <c r="D37" s="2" t="s">
        <v>18</v>
      </c>
      <c r="E37" s="2" t="s">
        <v>57</v>
      </c>
      <c r="F37" s="2" t="s">
        <v>13</v>
      </c>
      <c r="G37" s="2">
        <v>20</v>
      </c>
      <c r="H37" s="29">
        <v>256</v>
      </c>
      <c r="I37" s="29">
        <f t="shared" si="0"/>
        <v>5120</v>
      </c>
      <c r="J37" s="30"/>
      <c r="K37" s="30"/>
      <c r="L37" s="36"/>
      <c r="M37" s="35"/>
      <c r="N37" s="35"/>
      <c r="O37" s="30"/>
      <c r="P37" s="30"/>
      <c r="Q37" s="30"/>
      <c r="R37" s="30"/>
      <c r="S37" s="30"/>
      <c r="T37" s="30"/>
      <c r="U37" s="30"/>
    </row>
    <row r="38" spans="1:21" s="26" customFormat="1" ht="30" customHeight="1" thickBot="1" x14ac:dyDescent="0.25">
      <c r="A38" s="27">
        <v>29</v>
      </c>
      <c r="B38" s="28" t="s">
        <v>58</v>
      </c>
      <c r="C38" s="2" t="s">
        <v>10</v>
      </c>
      <c r="D38" s="2" t="s">
        <v>18</v>
      </c>
      <c r="E38" s="2" t="s">
        <v>59</v>
      </c>
      <c r="F38" s="2" t="s">
        <v>13</v>
      </c>
      <c r="G38" s="2">
        <v>20</v>
      </c>
      <c r="H38" s="29">
        <v>256</v>
      </c>
      <c r="I38" s="29">
        <f t="shared" si="0"/>
        <v>5120</v>
      </c>
      <c r="J38" s="30"/>
      <c r="K38" s="30"/>
      <c r="L38" s="36"/>
      <c r="M38" s="35"/>
      <c r="N38" s="35"/>
      <c r="O38" s="30"/>
      <c r="P38" s="30"/>
      <c r="Q38" s="30"/>
      <c r="R38" s="30"/>
      <c r="S38" s="30"/>
      <c r="T38" s="30"/>
      <c r="U38" s="30"/>
    </row>
    <row r="39" spans="1:21" s="26" customFormat="1" ht="30" customHeight="1" thickBot="1" x14ac:dyDescent="0.25">
      <c r="A39" s="27">
        <v>30</v>
      </c>
      <c r="B39" s="28" t="s">
        <v>60</v>
      </c>
      <c r="C39" s="2" t="s">
        <v>10</v>
      </c>
      <c r="D39" s="2" t="s">
        <v>18</v>
      </c>
      <c r="E39" s="2" t="s">
        <v>61</v>
      </c>
      <c r="F39" s="2" t="s">
        <v>13</v>
      </c>
      <c r="G39" s="2">
        <v>20</v>
      </c>
      <c r="H39" s="29">
        <v>270</v>
      </c>
      <c r="I39" s="29">
        <f t="shared" si="0"/>
        <v>5400</v>
      </c>
      <c r="J39" s="30"/>
      <c r="K39" s="30"/>
      <c r="L39" s="36"/>
      <c r="M39" s="35"/>
      <c r="N39" s="35"/>
      <c r="O39" s="30"/>
      <c r="P39" s="30"/>
      <c r="Q39" s="30"/>
      <c r="R39" s="30"/>
      <c r="S39" s="30"/>
      <c r="T39" s="30"/>
      <c r="U39" s="30"/>
    </row>
    <row r="40" spans="1:21" s="37" customFormat="1" ht="30" customHeight="1" thickBot="1" x14ac:dyDescent="0.25">
      <c r="A40" s="32">
        <v>31</v>
      </c>
      <c r="B40" s="33" t="s">
        <v>62</v>
      </c>
      <c r="C40" s="19" t="s">
        <v>10</v>
      </c>
      <c r="D40" s="19" t="s">
        <v>18</v>
      </c>
      <c r="E40" s="19" t="s">
        <v>63</v>
      </c>
      <c r="F40" s="19" t="s">
        <v>13</v>
      </c>
      <c r="G40" s="19">
        <v>50</v>
      </c>
      <c r="H40" s="34">
        <v>255</v>
      </c>
      <c r="I40" s="29">
        <f t="shared" si="0"/>
        <v>12750</v>
      </c>
      <c r="J40" s="30"/>
      <c r="K40" s="35"/>
      <c r="L40" s="36"/>
      <c r="M40" s="35"/>
      <c r="N40" s="35"/>
      <c r="O40" s="35"/>
      <c r="P40" s="35"/>
      <c r="Q40" s="35"/>
      <c r="R40" s="35"/>
      <c r="S40" s="35"/>
      <c r="T40" s="35"/>
      <c r="U40" s="35"/>
    </row>
    <row r="41" spans="1:21" s="37" customFormat="1" ht="30" customHeight="1" thickBot="1" x14ac:dyDescent="0.25">
      <c r="A41" s="32">
        <v>32</v>
      </c>
      <c r="B41" s="33" t="s">
        <v>64</v>
      </c>
      <c r="C41" s="19" t="s">
        <v>10</v>
      </c>
      <c r="D41" s="19" t="s">
        <v>11</v>
      </c>
      <c r="E41" s="19" t="s">
        <v>65</v>
      </c>
      <c r="F41" s="19" t="s">
        <v>13</v>
      </c>
      <c r="G41" s="19">
        <v>100</v>
      </c>
      <c r="H41" s="34">
        <v>995.9</v>
      </c>
      <c r="I41" s="29">
        <f t="shared" si="0"/>
        <v>99590</v>
      </c>
      <c r="J41" s="35"/>
      <c r="K41" s="35"/>
      <c r="L41" s="36"/>
      <c r="M41" s="35"/>
      <c r="N41" s="35"/>
      <c r="O41" s="35"/>
      <c r="P41" s="35"/>
      <c r="Q41" s="35"/>
      <c r="R41" s="35"/>
      <c r="S41" s="35"/>
      <c r="T41" s="35"/>
      <c r="U41" s="35"/>
    </row>
    <row r="42" spans="1:21" s="37" customFormat="1" ht="30" customHeight="1" thickBot="1" x14ac:dyDescent="0.25">
      <c r="A42" s="32">
        <v>33</v>
      </c>
      <c r="B42" s="33" t="s">
        <v>66</v>
      </c>
      <c r="C42" s="19" t="s">
        <v>10</v>
      </c>
      <c r="D42" s="19" t="s">
        <v>18</v>
      </c>
      <c r="E42" s="19" t="s">
        <v>67</v>
      </c>
      <c r="F42" s="19" t="s">
        <v>13</v>
      </c>
      <c r="G42" s="19">
        <v>20</v>
      </c>
      <c r="H42" s="34">
        <v>320</v>
      </c>
      <c r="I42" s="29">
        <f t="shared" si="0"/>
        <v>6400</v>
      </c>
      <c r="J42" s="30"/>
      <c r="K42" s="35"/>
      <c r="L42" s="36"/>
      <c r="M42" s="35"/>
      <c r="N42" s="35"/>
      <c r="O42" s="35"/>
      <c r="P42" s="35"/>
      <c r="Q42" s="35"/>
      <c r="R42" s="35"/>
      <c r="S42" s="35"/>
      <c r="T42" s="35"/>
      <c r="U42" s="35"/>
    </row>
    <row r="43" spans="1:21" s="37" customFormat="1" ht="30" customHeight="1" thickBot="1" x14ac:dyDescent="0.25">
      <c r="A43" s="32">
        <v>34</v>
      </c>
      <c r="B43" s="33" t="s">
        <v>68</v>
      </c>
      <c r="C43" s="19" t="s">
        <v>10</v>
      </c>
      <c r="D43" s="19" t="s">
        <v>18</v>
      </c>
      <c r="E43" s="19" t="s">
        <v>69</v>
      </c>
      <c r="F43" s="19" t="s">
        <v>13</v>
      </c>
      <c r="G43" s="19">
        <v>15</v>
      </c>
      <c r="H43" s="34">
        <v>180.5</v>
      </c>
      <c r="I43" s="29">
        <f t="shared" si="0"/>
        <v>2707.5</v>
      </c>
      <c r="J43" s="30"/>
      <c r="K43" s="35"/>
      <c r="L43" s="36"/>
      <c r="M43" s="35"/>
      <c r="N43" s="35"/>
      <c r="O43" s="35"/>
      <c r="P43" s="35"/>
      <c r="Q43" s="35"/>
      <c r="R43" s="35"/>
      <c r="S43" s="35"/>
      <c r="T43" s="35"/>
      <c r="U43" s="35"/>
    </row>
    <row r="44" spans="1:21" s="37" customFormat="1" ht="30" customHeight="1" thickBot="1" x14ac:dyDescent="0.25">
      <c r="A44" s="32">
        <v>35</v>
      </c>
      <c r="B44" s="33" t="s">
        <v>70</v>
      </c>
      <c r="C44" s="19" t="s">
        <v>10</v>
      </c>
      <c r="D44" s="19" t="s">
        <v>18</v>
      </c>
      <c r="E44" s="19" t="s">
        <v>71</v>
      </c>
      <c r="F44" s="19" t="s">
        <v>13</v>
      </c>
      <c r="G44" s="19">
        <v>50</v>
      </c>
      <c r="H44" s="34">
        <v>95</v>
      </c>
      <c r="I44" s="29">
        <f t="shared" si="0"/>
        <v>4750</v>
      </c>
      <c r="J44" s="30"/>
      <c r="K44" s="35"/>
      <c r="L44" s="36"/>
      <c r="M44" s="35"/>
      <c r="N44" s="35"/>
      <c r="O44" s="35"/>
      <c r="P44" s="35"/>
      <c r="Q44" s="35"/>
      <c r="R44" s="35"/>
      <c r="S44" s="35"/>
      <c r="T44" s="35"/>
      <c r="U44" s="35"/>
    </row>
    <row r="45" spans="1:21" s="37" customFormat="1" ht="30" customHeight="1" thickBot="1" x14ac:dyDescent="0.25">
      <c r="A45" s="32">
        <v>36</v>
      </c>
      <c r="B45" s="33" t="s">
        <v>104</v>
      </c>
      <c r="C45" s="19" t="s">
        <v>10</v>
      </c>
      <c r="D45" s="19" t="s">
        <v>18</v>
      </c>
      <c r="E45" s="19" t="s">
        <v>105</v>
      </c>
      <c r="F45" s="19" t="s">
        <v>13</v>
      </c>
      <c r="G45" s="19">
        <v>66</v>
      </c>
      <c r="H45" s="34">
        <v>500</v>
      </c>
      <c r="I45" s="29">
        <f t="shared" si="0"/>
        <v>33000</v>
      </c>
      <c r="J45" s="35"/>
      <c r="K45" s="35"/>
      <c r="L45" s="36"/>
      <c r="M45" s="35"/>
      <c r="N45" s="35"/>
      <c r="O45" s="35"/>
      <c r="P45" s="35"/>
      <c r="Q45" s="35"/>
      <c r="R45" s="35"/>
      <c r="S45" s="35"/>
      <c r="T45" s="35"/>
      <c r="U45" s="35"/>
    </row>
    <row r="46" spans="1:21" s="37" customFormat="1" ht="42" customHeight="1" thickBot="1" x14ac:dyDescent="0.25">
      <c r="A46" s="32">
        <v>37</v>
      </c>
      <c r="B46" s="33" t="s">
        <v>72</v>
      </c>
      <c r="C46" s="19" t="s">
        <v>10</v>
      </c>
      <c r="D46" s="19" t="s">
        <v>11</v>
      </c>
      <c r="E46" s="19" t="s">
        <v>73</v>
      </c>
      <c r="F46" s="19" t="s">
        <v>13</v>
      </c>
      <c r="G46" s="19">
        <v>4</v>
      </c>
      <c r="H46" s="34">
        <v>300</v>
      </c>
      <c r="I46" s="29">
        <f t="shared" si="0"/>
        <v>1200</v>
      </c>
      <c r="J46" s="35"/>
      <c r="K46" s="35"/>
      <c r="L46" s="36"/>
      <c r="M46" s="35"/>
      <c r="N46" s="35"/>
      <c r="O46" s="35"/>
      <c r="P46" s="35"/>
      <c r="Q46" s="35"/>
      <c r="R46" s="35"/>
      <c r="S46" s="35"/>
      <c r="T46" s="35"/>
      <c r="U46" s="35"/>
    </row>
    <row r="47" spans="1:21" s="37" customFormat="1" ht="30" customHeight="1" thickBot="1" x14ac:dyDescent="0.25">
      <c r="A47" s="32">
        <v>38</v>
      </c>
      <c r="B47" s="33" t="s">
        <v>74</v>
      </c>
      <c r="C47" s="19" t="s">
        <v>10</v>
      </c>
      <c r="D47" s="19" t="s">
        <v>11</v>
      </c>
      <c r="E47" s="19" t="s">
        <v>75</v>
      </c>
      <c r="F47" s="19" t="s">
        <v>13</v>
      </c>
      <c r="G47" s="19">
        <v>4</v>
      </c>
      <c r="H47" s="34">
        <v>950.57</v>
      </c>
      <c r="I47" s="29">
        <f t="shared" si="0"/>
        <v>3802.28</v>
      </c>
      <c r="J47" s="35"/>
      <c r="K47" s="35"/>
      <c r="L47" s="36"/>
      <c r="M47" s="35"/>
      <c r="N47" s="35"/>
      <c r="O47" s="35"/>
      <c r="P47" s="35"/>
      <c r="Q47" s="35"/>
      <c r="R47" s="35"/>
      <c r="S47" s="35"/>
      <c r="T47" s="35"/>
      <c r="U47" s="35"/>
    </row>
    <row r="48" spans="1:21" s="37" customFormat="1" ht="30" customHeight="1" thickBot="1" x14ac:dyDescent="0.25">
      <c r="A48" s="32">
        <v>39</v>
      </c>
      <c r="B48" s="33" t="s">
        <v>76</v>
      </c>
      <c r="C48" s="19" t="s">
        <v>10</v>
      </c>
      <c r="D48" s="19" t="s">
        <v>18</v>
      </c>
      <c r="E48" s="19" t="s">
        <v>77</v>
      </c>
      <c r="F48" s="19" t="s">
        <v>13</v>
      </c>
      <c r="G48" s="19">
        <v>2</v>
      </c>
      <c r="H48" s="34">
        <v>504.74</v>
      </c>
      <c r="I48" s="29">
        <f t="shared" si="0"/>
        <v>1009.48</v>
      </c>
      <c r="J48" s="35"/>
      <c r="K48" s="35"/>
      <c r="L48" s="36"/>
      <c r="M48" s="35"/>
      <c r="N48" s="35"/>
      <c r="O48" s="35"/>
      <c r="P48" s="35"/>
      <c r="Q48" s="35"/>
      <c r="R48" s="35"/>
      <c r="S48" s="35"/>
      <c r="T48" s="35"/>
      <c r="U48" s="35"/>
    </row>
    <row r="49" spans="1:21" s="37" customFormat="1" ht="30" customHeight="1" thickBot="1" x14ac:dyDescent="0.25">
      <c r="A49" s="32">
        <v>40</v>
      </c>
      <c r="B49" s="33" t="s">
        <v>78</v>
      </c>
      <c r="C49" s="19" t="s">
        <v>10</v>
      </c>
      <c r="D49" s="19" t="s">
        <v>18</v>
      </c>
      <c r="E49" s="19" t="s">
        <v>79</v>
      </c>
      <c r="F49" s="19" t="s">
        <v>13</v>
      </c>
      <c r="G49" s="19">
        <v>30</v>
      </c>
      <c r="H49" s="34">
        <v>285</v>
      </c>
      <c r="I49" s="29">
        <f t="shared" si="0"/>
        <v>8550</v>
      </c>
      <c r="J49" s="35"/>
      <c r="K49" s="35"/>
      <c r="L49" s="36"/>
      <c r="M49" s="35"/>
      <c r="N49" s="35"/>
      <c r="O49" s="35"/>
      <c r="P49" s="35"/>
      <c r="Q49" s="35"/>
      <c r="R49" s="35"/>
      <c r="S49" s="35"/>
      <c r="T49" s="35"/>
      <c r="U49" s="35"/>
    </row>
    <row r="50" spans="1:21" s="37" customFormat="1" ht="30" customHeight="1" thickBot="1" x14ac:dyDescent="0.25">
      <c r="A50" s="32">
        <v>41</v>
      </c>
      <c r="B50" s="33" t="s">
        <v>80</v>
      </c>
      <c r="C50" s="19" t="s">
        <v>10</v>
      </c>
      <c r="D50" s="19" t="s">
        <v>11</v>
      </c>
      <c r="E50" s="19" t="s">
        <v>81</v>
      </c>
      <c r="F50" s="19" t="s">
        <v>13</v>
      </c>
      <c r="G50" s="19">
        <v>15</v>
      </c>
      <c r="H50" s="34">
        <v>650</v>
      </c>
      <c r="I50" s="29">
        <f t="shared" si="0"/>
        <v>9750</v>
      </c>
      <c r="J50" s="35"/>
      <c r="K50" s="35"/>
      <c r="L50" s="36"/>
      <c r="M50" s="35"/>
      <c r="N50" s="35"/>
      <c r="O50" s="35"/>
      <c r="P50" s="35"/>
      <c r="Q50" s="35"/>
      <c r="R50" s="35"/>
      <c r="S50" s="35"/>
      <c r="T50" s="35"/>
      <c r="U50" s="35"/>
    </row>
    <row r="51" spans="1:21" s="37" customFormat="1" ht="30" customHeight="1" thickBot="1" x14ac:dyDescent="0.25">
      <c r="A51" s="32">
        <v>42</v>
      </c>
      <c r="B51" s="33" t="s">
        <v>82</v>
      </c>
      <c r="C51" s="19" t="s">
        <v>10</v>
      </c>
      <c r="D51" s="19" t="s">
        <v>18</v>
      </c>
      <c r="E51" s="19" t="s">
        <v>83</v>
      </c>
      <c r="F51" s="19" t="s">
        <v>13</v>
      </c>
      <c r="G51" s="19">
        <v>30</v>
      </c>
      <c r="H51" s="34">
        <v>209</v>
      </c>
      <c r="I51" s="29">
        <f t="shared" si="0"/>
        <v>6270</v>
      </c>
      <c r="J51" s="35"/>
      <c r="K51" s="35"/>
      <c r="L51" s="36"/>
      <c r="M51" s="35"/>
      <c r="N51" s="35"/>
      <c r="O51" s="35"/>
      <c r="P51" s="35"/>
      <c r="Q51" s="35"/>
      <c r="R51" s="35"/>
      <c r="S51" s="35"/>
      <c r="T51" s="35"/>
      <c r="U51" s="35"/>
    </row>
    <row r="52" spans="1:21" s="26" customFormat="1" ht="30" customHeight="1" thickBot="1" x14ac:dyDescent="0.25">
      <c r="A52" s="27">
        <v>43</v>
      </c>
      <c r="B52" s="28" t="s">
        <v>82</v>
      </c>
      <c r="C52" s="2" t="s">
        <v>10</v>
      </c>
      <c r="D52" s="2" t="s">
        <v>18</v>
      </c>
      <c r="E52" s="2" t="s">
        <v>83</v>
      </c>
      <c r="F52" s="2" t="s">
        <v>13</v>
      </c>
      <c r="G52" s="2">
        <v>30</v>
      </c>
      <c r="H52" s="29">
        <v>209</v>
      </c>
      <c r="I52" s="29">
        <f t="shared" si="0"/>
        <v>6270</v>
      </c>
      <c r="J52" s="30"/>
      <c r="K52" s="30"/>
      <c r="L52" s="31"/>
      <c r="M52" s="30"/>
      <c r="N52" s="30"/>
      <c r="O52" s="30"/>
      <c r="P52" s="30"/>
      <c r="Q52" s="30"/>
      <c r="R52" s="30"/>
      <c r="S52" s="30"/>
      <c r="T52" s="30"/>
      <c r="U52" s="30"/>
    </row>
    <row r="53" spans="1:21" s="26" customFormat="1" ht="30" customHeight="1" thickBot="1" x14ac:dyDescent="0.25">
      <c r="A53" s="27">
        <v>44</v>
      </c>
      <c r="B53" s="28" t="s">
        <v>82</v>
      </c>
      <c r="C53" s="2" t="s">
        <v>10</v>
      </c>
      <c r="D53" s="2" t="s">
        <v>18</v>
      </c>
      <c r="E53" s="2" t="s">
        <v>83</v>
      </c>
      <c r="F53" s="2" t="s">
        <v>13</v>
      </c>
      <c r="G53" s="2">
        <v>20</v>
      </c>
      <c r="H53" s="29">
        <v>209</v>
      </c>
      <c r="I53" s="29">
        <f t="shared" si="0"/>
        <v>4180</v>
      </c>
      <c r="J53" s="30"/>
      <c r="K53" s="30"/>
      <c r="L53" s="31"/>
      <c r="M53" s="30"/>
      <c r="N53" s="30"/>
      <c r="O53" s="30"/>
      <c r="P53" s="30"/>
      <c r="Q53" s="30"/>
      <c r="R53" s="30"/>
      <c r="S53" s="30"/>
      <c r="T53" s="30"/>
      <c r="U53" s="30"/>
    </row>
    <row r="54" spans="1:21" s="26" customFormat="1" ht="30" customHeight="1" thickBot="1" x14ac:dyDescent="0.25">
      <c r="A54" s="27">
        <v>45</v>
      </c>
      <c r="B54" s="28" t="s">
        <v>82</v>
      </c>
      <c r="C54" s="2" t="s">
        <v>10</v>
      </c>
      <c r="D54" s="2" t="s">
        <v>18</v>
      </c>
      <c r="E54" s="2" t="s">
        <v>83</v>
      </c>
      <c r="F54" s="2" t="s">
        <v>13</v>
      </c>
      <c r="G54" s="2">
        <v>15</v>
      </c>
      <c r="H54" s="29">
        <v>209</v>
      </c>
      <c r="I54" s="29">
        <f t="shared" si="0"/>
        <v>3135</v>
      </c>
      <c r="J54" s="30"/>
      <c r="K54" s="30"/>
      <c r="L54" s="31"/>
      <c r="M54" s="30"/>
      <c r="N54" s="30"/>
      <c r="O54" s="30"/>
      <c r="P54" s="30"/>
      <c r="Q54" s="30"/>
      <c r="R54" s="30"/>
      <c r="S54" s="30"/>
      <c r="T54" s="30"/>
      <c r="U54" s="30"/>
    </row>
    <row r="55" spans="1:21" s="26" customFormat="1" ht="30" customHeight="1" thickBot="1" x14ac:dyDescent="0.25">
      <c r="A55" s="27">
        <v>46</v>
      </c>
      <c r="B55" s="28" t="s">
        <v>84</v>
      </c>
      <c r="C55" s="2" t="s">
        <v>10</v>
      </c>
      <c r="D55" s="2" t="s">
        <v>18</v>
      </c>
      <c r="E55" s="2" t="s">
        <v>85</v>
      </c>
      <c r="F55" s="2" t="s">
        <v>13</v>
      </c>
      <c r="G55" s="2">
        <v>10</v>
      </c>
      <c r="H55" s="29">
        <v>190</v>
      </c>
      <c r="I55" s="29">
        <f t="shared" si="0"/>
        <v>1900</v>
      </c>
      <c r="J55" s="30"/>
      <c r="K55" s="30"/>
      <c r="L55" s="31"/>
      <c r="M55" s="30"/>
      <c r="N55" s="30"/>
      <c r="O55" s="30"/>
      <c r="P55" s="30"/>
      <c r="Q55" s="30"/>
      <c r="R55" s="30"/>
      <c r="S55" s="30"/>
      <c r="T55" s="30"/>
      <c r="U55" s="30"/>
    </row>
    <row r="56" spans="1:21" s="37" customFormat="1" ht="30" customHeight="1" thickBot="1" x14ac:dyDescent="0.25">
      <c r="A56" s="27">
        <v>47</v>
      </c>
      <c r="B56" s="33" t="s">
        <v>86</v>
      </c>
      <c r="C56" s="19" t="s">
        <v>10</v>
      </c>
      <c r="D56" s="2" t="s">
        <v>18</v>
      </c>
      <c r="E56" s="19" t="s">
        <v>87</v>
      </c>
      <c r="F56" s="19" t="s">
        <v>13</v>
      </c>
      <c r="G56" s="19">
        <v>5</v>
      </c>
      <c r="H56" s="34">
        <v>568.1</v>
      </c>
      <c r="I56" s="29">
        <f t="shared" si="0"/>
        <v>2840.5</v>
      </c>
      <c r="J56" s="30"/>
      <c r="K56" s="35"/>
      <c r="L56" s="36"/>
      <c r="M56" s="35"/>
      <c r="N56" s="35"/>
      <c r="O56" s="35"/>
      <c r="P56" s="35"/>
      <c r="Q56" s="35"/>
      <c r="R56" s="35"/>
      <c r="S56" s="35"/>
      <c r="T56" s="35"/>
      <c r="U56" s="35"/>
    </row>
    <row r="57" spans="1:21" s="37" customFormat="1" ht="41.25" customHeight="1" thickBot="1" x14ac:dyDescent="0.25">
      <c r="A57" s="27">
        <v>48</v>
      </c>
      <c r="B57" s="33" t="s">
        <v>88</v>
      </c>
      <c r="C57" s="19" t="s">
        <v>10</v>
      </c>
      <c r="D57" s="2" t="s">
        <v>18</v>
      </c>
      <c r="E57" s="19" t="s">
        <v>89</v>
      </c>
      <c r="F57" s="19" t="s">
        <v>13</v>
      </c>
      <c r="G57" s="19">
        <v>50</v>
      </c>
      <c r="H57" s="34">
        <v>285</v>
      </c>
      <c r="I57" s="29">
        <f t="shared" si="0"/>
        <v>14250</v>
      </c>
      <c r="J57" s="30"/>
      <c r="K57" s="35"/>
      <c r="L57" s="36"/>
      <c r="M57" s="35"/>
      <c r="N57" s="35"/>
      <c r="O57" s="35"/>
      <c r="P57" s="35"/>
      <c r="Q57" s="35"/>
      <c r="R57" s="35"/>
      <c r="S57" s="35"/>
      <c r="T57" s="35"/>
      <c r="U57" s="35"/>
    </row>
    <row r="58" spans="1:21" s="37" customFormat="1" ht="30" customHeight="1" thickBot="1" x14ac:dyDescent="0.25">
      <c r="A58" s="27">
        <v>49</v>
      </c>
      <c r="B58" s="33" t="s">
        <v>90</v>
      </c>
      <c r="C58" s="19" t="s">
        <v>10</v>
      </c>
      <c r="D58" s="2" t="s">
        <v>18</v>
      </c>
      <c r="E58" s="19" t="s">
        <v>91</v>
      </c>
      <c r="F58" s="19" t="s">
        <v>13</v>
      </c>
      <c r="G58" s="19">
        <v>50</v>
      </c>
      <c r="H58" s="34">
        <v>210.89999999999998</v>
      </c>
      <c r="I58" s="29">
        <f t="shared" si="0"/>
        <v>10544.999999999998</v>
      </c>
      <c r="J58" s="30"/>
      <c r="K58" s="35"/>
      <c r="L58" s="36"/>
      <c r="M58" s="35"/>
      <c r="N58" s="35"/>
      <c r="O58" s="35"/>
      <c r="P58" s="35"/>
      <c r="Q58" s="35"/>
      <c r="R58" s="35"/>
      <c r="S58" s="35"/>
      <c r="T58" s="35"/>
      <c r="U58" s="35"/>
    </row>
    <row r="59" spans="1:21" s="37" customFormat="1" ht="30" customHeight="1" thickBot="1" x14ac:dyDescent="0.25">
      <c r="A59" s="27">
        <v>50</v>
      </c>
      <c r="B59" s="33" t="s">
        <v>92</v>
      </c>
      <c r="C59" s="19" t="s">
        <v>10</v>
      </c>
      <c r="D59" s="2" t="s">
        <v>18</v>
      </c>
      <c r="E59" s="19" t="s">
        <v>93</v>
      </c>
      <c r="F59" s="19" t="s">
        <v>13</v>
      </c>
      <c r="G59" s="19">
        <v>10</v>
      </c>
      <c r="H59" s="34">
        <v>285</v>
      </c>
      <c r="I59" s="29">
        <f t="shared" si="0"/>
        <v>2850</v>
      </c>
      <c r="J59" s="30"/>
      <c r="K59" s="30"/>
      <c r="L59" s="36"/>
      <c r="M59" s="35"/>
      <c r="N59" s="35"/>
      <c r="O59" s="35"/>
      <c r="P59" s="35"/>
      <c r="Q59" s="35"/>
      <c r="R59" s="35"/>
      <c r="S59" s="35"/>
      <c r="T59" s="35"/>
      <c r="U59" s="35"/>
    </row>
    <row r="60" spans="1:21" s="37" customFormat="1" ht="30" customHeight="1" thickBot="1" x14ac:dyDescent="0.25">
      <c r="A60" s="27">
        <v>51</v>
      </c>
      <c r="B60" s="33" t="s">
        <v>94</v>
      </c>
      <c r="C60" s="19" t="s">
        <v>10</v>
      </c>
      <c r="D60" s="2" t="s">
        <v>18</v>
      </c>
      <c r="E60" s="19" t="s">
        <v>95</v>
      </c>
      <c r="F60" s="19" t="s">
        <v>13</v>
      </c>
      <c r="G60" s="19">
        <v>500</v>
      </c>
      <c r="H60" s="34">
        <v>190</v>
      </c>
      <c r="I60" s="29">
        <f t="shared" si="0"/>
        <v>95000</v>
      </c>
      <c r="J60" s="30"/>
      <c r="K60" s="30"/>
      <c r="L60" s="36"/>
      <c r="M60" s="35"/>
      <c r="N60" s="35"/>
      <c r="O60" s="35"/>
      <c r="P60" s="35"/>
      <c r="Q60" s="35"/>
      <c r="R60" s="35"/>
      <c r="S60" s="35"/>
      <c r="T60" s="35"/>
      <c r="U60" s="35"/>
    </row>
    <row r="61" spans="1:21" s="26" customFormat="1" ht="30" customHeight="1" x14ac:dyDescent="0.2">
      <c r="A61" s="57" t="s">
        <v>118</v>
      </c>
      <c r="B61" s="58"/>
      <c r="C61" s="58"/>
      <c r="D61" s="58"/>
      <c r="E61" s="58"/>
      <c r="F61" s="58"/>
      <c r="G61" s="58"/>
      <c r="H61" s="59"/>
      <c r="I61" s="41">
        <f>SUM(I10:I60)</f>
        <v>2843852.86</v>
      </c>
      <c r="J61" s="30"/>
      <c r="K61" s="30"/>
      <c r="L61" s="31"/>
      <c r="M61" s="30"/>
      <c r="N61" s="30"/>
      <c r="O61" s="30"/>
      <c r="P61" s="30"/>
      <c r="Q61" s="30"/>
      <c r="R61" s="30"/>
      <c r="S61" s="30"/>
      <c r="T61" s="30"/>
      <c r="U61" s="30"/>
    </row>
    <row r="62" spans="1:21" s="26" customFormat="1" ht="10.199999999999999" x14ac:dyDescent="0.2">
      <c r="L62" s="42"/>
    </row>
    <row r="63" spans="1:21" ht="15" thickBot="1" x14ac:dyDescent="0.35">
      <c r="B63" s="20"/>
      <c r="C63" s="8"/>
      <c r="D63" s="8"/>
      <c r="E63" s="8"/>
    </row>
    <row r="64" spans="1:21" ht="15" thickBot="1" x14ac:dyDescent="0.35">
      <c r="B64" s="43" t="s">
        <v>123</v>
      </c>
      <c r="C64" s="44"/>
      <c r="D64" s="44"/>
      <c r="E64" s="45"/>
    </row>
    <row r="65" spans="2:12" x14ac:dyDescent="0.3">
      <c r="B65" s="7" t="s">
        <v>117</v>
      </c>
      <c r="C65" s="8"/>
      <c r="D65" s="8"/>
      <c r="E65" s="9"/>
      <c r="L65"/>
    </row>
    <row r="66" spans="2:12" x14ac:dyDescent="0.3">
      <c r="B66" s="7"/>
      <c r="C66" s="46" t="s">
        <v>122</v>
      </c>
      <c r="D66" s="46"/>
      <c r="E66" s="47"/>
      <c r="L66"/>
    </row>
    <row r="67" spans="2:12" x14ac:dyDescent="0.3">
      <c r="B67" s="7" t="s">
        <v>113</v>
      </c>
      <c r="C67" s="8"/>
      <c r="D67" s="8"/>
      <c r="E67" s="9"/>
      <c r="L67"/>
    </row>
    <row r="68" spans="2:12" x14ac:dyDescent="0.3">
      <c r="B68" s="10"/>
      <c r="C68" s="60" t="s">
        <v>121</v>
      </c>
      <c r="D68" s="61"/>
      <c r="E68" s="62"/>
      <c r="L68"/>
    </row>
    <row r="69" spans="2:12" ht="28.2" customHeight="1" x14ac:dyDescent="0.3">
      <c r="B69" s="10"/>
      <c r="C69" s="61"/>
      <c r="D69" s="61"/>
      <c r="E69" s="62"/>
      <c r="L69"/>
    </row>
    <row r="70" spans="2:12" x14ac:dyDescent="0.3">
      <c r="B70" s="7" t="s">
        <v>114</v>
      </c>
      <c r="C70" s="12"/>
      <c r="D70" s="12"/>
      <c r="E70" s="13"/>
      <c r="L70"/>
    </row>
    <row r="71" spans="2:12" x14ac:dyDescent="0.3">
      <c r="B71" s="11"/>
      <c r="C71" s="50"/>
      <c r="D71" s="50"/>
      <c r="E71" s="51"/>
      <c r="L71"/>
    </row>
    <row r="72" spans="2:12" x14ac:dyDescent="0.3">
      <c r="B72" s="7" t="s">
        <v>115</v>
      </c>
      <c r="C72" s="14"/>
      <c r="D72" s="14"/>
      <c r="E72" s="15"/>
      <c r="L72"/>
    </row>
    <row r="73" spans="2:12" x14ac:dyDescent="0.3">
      <c r="B73" s="11"/>
      <c r="C73" s="52"/>
      <c r="D73" s="52"/>
      <c r="E73" s="53"/>
      <c r="L73"/>
    </row>
    <row r="74" spans="2:12" x14ac:dyDescent="0.3">
      <c r="B74" s="7" t="s">
        <v>116</v>
      </c>
      <c r="C74" s="12"/>
      <c r="D74" s="12"/>
      <c r="E74" s="13"/>
      <c r="L74"/>
    </row>
    <row r="75" spans="2:12" x14ac:dyDescent="0.3">
      <c r="B75" s="7"/>
      <c r="C75" s="48"/>
      <c r="D75" s="48"/>
      <c r="E75" s="49"/>
      <c r="L75"/>
    </row>
    <row r="76" spans="2:12" ht="15" thickBot="1" x14ac:dyDescent="0.35">
      <c r="B76" s="16"/>
      <c r="C76" s="17"/>
      <c r="D76" s="17"/>
      <c r="E76" s="18"/>
      <c r="L76"/>
    </row>
    <row r="77" spans="2:12" x14ac:dyDescent="0.3">
      <c r="L77"/>
    </row>
  </sheetData>
  <autoFilter ref="A9:I61"/>
  <mergeCells count="14">
    <mergeCell ref="A2:I2"/>
    <mergeCell ref="A4:B4"/>
    <mergeCell ref="A5:B5"/>
    <mergeCell ref="A6:B6"/>
    <mergeCell ref="A7:B7"/>
    <mergeCell ref="C4:E4"/>
    <mergeCell ref="C5:E5"/>
    <mergeCell ref="A61:H61"/>
    <mergeCell ref="B64:E64"/>
    <mergeCell ref="C66:E66"/>
    <mergeCell ref="C68:E69"/>
    <mergeCell ref="C71:E71"/>
    <mergeCell ref="C73:E73"/>
    <mergeCell ref="C75:E7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MINISTERIO A E y M</dc:creator>
  <cp:lastModifiedBy>MINISTERIO A E y M</cp:lastModifiedBy>
  <dcterms:created xsi:type="dcterms:W3CDTF">2022-02-07T16:28:45Z</dcterms:created>
  <dcterms:modified xsi:type="dcterms:W3CDTF">2022-03-18T17:19:04Z</dcterms:modified>
</cp:coreProperties>
</file>