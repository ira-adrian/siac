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44" windowWidth="18360" windowHeight="6600" activeTab="2"/>
  </bookViews>
  <sheets>
    <sheet name="LIBRERIA NT" sheetId="1" r:id="rId1"/>
    <sheet name="LIBRERIA NPYE" sheetId="2" r:id="rId2"/>
    <sheet name="LIBRERIA APG" sheetId="3" r:id="rId3"/>
  </sheets>
  <externalReferences>
    <externalReference r:id="rId4"/>
  </externalReferences>
  <definedNames>
    <definedName name="_xlnm._FilterDatabase" localSheetId="0" hidden="1">'LIBRERIA NT'!$A$9:$I$100</definedName>
    <definedName name="_xlnm.Print_Area" localSheetId="2">'LIBRERIA APG'!$A$1:$Q$27</definedName>
    <definedName name="_xlnm.Print_Area" localSheetId="1">'LIBRERIA NPYE'!$A$1:$K$103</definedName>
  </definedNames>
  <calcPr calcId="124519"/>
</workbook>
</file>

<file path=xl/calcChain.xml><?xml version="1.0" encoding="utf-8"?>
<calcChain xmlns="http://schemas.openxmlformats.org/spreadsheetml/2006/main">
  <c r="D1" i="3"/>
  <c r="G4"/>
  <c r="G5"/>
  <c r="G6"/>
  <c r="G7"/>
  <c r="A10"/>
  <c r="Q23"/>
  <c r="A26"/>
  <c r="K102" i="2"/>
  <c r="J102"/>
  <c r="I102"/>
  <c r="C102"/>
  <c r="B102"/>
  <c r="K101"/>
  <c r="J101"/>
  <c r="I101"/>
  <c r="C101"/>
  <c r="B101"/>
  <c r="K100"/>
  <c r="J100"/>
  <c r="I100"/>
  <c r="C100"/>
  <c r="B100"/>
  <c r="K99"/>
  <c r="J99"/>
  <c r="I99"/>
  <c r="C99"/>
  <c r="B99"/>
  <c r="K98"/>
  <c r="J98"/>
  <c r="I98"/>
  <c r="C98"/>
  <c r="B98"/>
  <c r="K97"/>
  <c r="J97"/>
  <c r="I97"/>
  <c r="C97"/>
  <c r="B97"/>
  <c r="K96"/>
  <c r="J96"/>
  <c r="I96"/>
  <c r="C96"/>
  <c r="B96"/>
  <c r="K95"/>
  <c r="J95"/>
  <c r="I95"/>
  <c r="C95"/>
  <c r="B95"/>
  <c r="K94"/>
  <c r="J94"/>
  <c r="I94"/>
  <c r="C94"/>
  <c r="B94"/>
  <c r="K93"/>
  <c r="J93"/>
  <c r="I93"/>
  <c r="C93"/>
  <c r="B93"/>
  <c r="K92"/>
  <c r="J92"/>
  <c r="I92"/>
  <c r="C92"/>
  <c r="B92"/>
  <c r="K91"/>
  <c r="J91"/>
  <c r="I91"/>
  <c r="C91"/>
  <c r="B91"/>
  <c r="K90"/>
  <c r="J90"/>
  <c r="I90"/>
  <c r="C90"/>
  <c r="B90"/>
  <c r="K89"/>
  <c r="J89"/>
  <c r="I89"/>
  <c r="C89"/>
  <c r="B89"/>
  <c r="K88"/>
  <c r="J88"/>
  <c r="I88"/>
  <c r="C88"/>
  <c r="B88"/>
  <c r="K87"/>
  <c r="J87"/>
  <c r="I87"/>
  <c r="C87"/>
  <c r="B87"/>
  <c r="K86"/>
  <c r="J86"/>
  <c r="I86"/>
  <c r="C86"/>
  <c r="B86"/>
  <c r="K85"/>
  <c r="J85"/>
  <c r="I85"/>
  <c r="C85"/>
  <c r="B85"/>
  <c r="K84"/>
  <c r="J84"/>
  <c r="I84"/>
  <c r="C84"/>
  <c r="B84"/>
  <c r="K83"/>
  <c r="J83"/>
  <c r="I83"/>
  <c r="C83"/>
  <c r="B83"/>
  <c r="K82"/>
  <c r="J82"/>
  <c r="I82"/>
  <c r="C82"/>
  <c r="B82"/>
  <c r="K81"/>
  <c r="J81"/>
  <c r="I81"/>
  <c r="C81"/>
  <c r="B81"/>
  <c r="K80"/>
  <c r="J80"/>
  <c r="I80"/>
  <c r="C80"/>
  <c r="B80"/>
  <c r="K79"/>
  <c r="J79"/>
  <c r="I79"/>
  <c r="C79"/>
  <c r="B79"/>
  <c r="K78"/>
  <c r="J78"/>
  <c r="I78"/>
  <c r="C78"/>
  <c r="B78"/>
  <c r="K77"/>
  <c r="J77"/>
  <c r="I77"/>
  <c r="C77"/>
  <c r="B77"/>
  <c r="K76"/>
  <c r="J76"/>
  <c r="I76"/>
  <c r="C76"/>
  <c r="B76"/>
  <c r="K75"/>
  <c r="J75"/>
  <c r="I75"/>
  <c r="C75"/>
  <c r="B75"/>
  <c r="K74"/>
  <c r="J74"/>
  <c r="I74"/>
  <c r="C74"/>
  <c r="B74"/>
  <c r="K73"/>
  <c r="J73"/>
  <c r="I73"/>
  <c r="C73"/>
  <c r="B73"/>
  <c r="K72"/>
  <c r="J72"/>
  <c r="I72"/>
  <c r="C72"/>
  <c r="B72"/>
  <c r="K71"/>
  <c r="J71"/>
  <c r="I71"/>
  <c r="C71"/>
  <c r="B71"/>
  <c r="K70"/>
  <c r="J70"/>
  <c r="I70"/>
  <c r="C70"/>
  <c r="B70"/>
  <c r="K69"/>
  <c r="J69"/>
  <c r="I69"/>
  <c r="C69"/>
  <c r="B69"/>
  <c r="K68"/>
  <c r="J68"/>
  <c r="I68"/>
  <c r="C68"/>
  <c r="B68"/>
  <c r="K67"/>
  <c r="J67"/>
  <c r="I67"/>
  <c r="C67"/>
  <c r="B67"/>
  <c r="K66"/>
  <c r="J66"/>
  <c r="I66"/>
  <c r="C66"/>
  <c r="B66"/>
  <c r="K65"/>
  <c r="J65"/>
  <c r="I65"/>
  <c r="C65"/>
  <c r="B65"/>
  <c r="K64"/>
  <c r="J64"/>
  <c r="I64"/>
  <c r="C64"/>
  <c r="B64"/>
  <c r="K63"/>
  <c r="J63"/>
  <c r="I63"/>
  <c r="C63"/>
  <c r="B63"/>
  <c r="K62"/>
  <c r="J62"/>
  <c r="I62"/>
  <c r="C62"/>
  <c r="B62"/>
  <c r="K61"/>
  <c r="J61"/>
  <c r="I61"/>
  <c r="C61"/>
  <c r="B61"/>
  <c r="K60"/>
  <c r="J60"/>
  <c r="I60"/>
  <c r="C60"/>
  <c r="B60"/>
  <c r="K59"/>
  <c r="J59"/>
  <c r="I59"/>
  <c r="C59"/>
  <c r="B59"/>
  <c r="K58"/>
  <c r="J58"/>
  <c r="I58"/>
  <c r="C58"/>
  <c r="B58"/>
  <c r="K57"/>
  <c r="J57"/>
  <c r="I57"/>
  <c r="C57"/>
  <c r="B57"/>
  <c r="K56"/>
  <c r="J56"/>
  <c r="I56"/>
  <c r="C56"/>
  <c r="B56"/>
  <c r="K55"/>
  <c r="J55"/>
  <c r="I55"/>
  <c r="C55"/>
  <c r="B55"/>
  <c r="K54"/>
  <c r="J54"/>
  <c r="I54"/>
  <c r="C54"/>
  <c r="B54"/>
  <c r="K53"/>
  <c r="J53"/>
  <c r="I53"/>
  <c r="C53"/>
  <c r="B53"/>
  <c r="K52"/>
  <c r="J52"/>
  <c r="I52"/>
  <c r="C52"/>
  <c r="B52"/>
  <c r="K51"/>
  <c r="J51"/>
  <c r="I51"/>
  <c r="C51"/>
  <c r="B51"/>
  <c r="K50"/>
  <c r="J50"/>
  <c r="I50"/>
  <c r="C50"/>
  <c r="B50"/>
  <c r="K49"/>
  <c r="J49"/>
  <c r="I49"/>
  <c r="C49"/>
  <c r="B49"/>
  <c r="K48"/>
  <c r="J48"/>
  <c r="I48"/>
  <c r="C48"/>
  <c r="B48"/>
  <c r="K47"/>
  <c r="J47"/>
  <c r="I47"/>
  <c r="C47"/>
  <c r="B47"/>
  <c r="K46"/>
  <c r="J46"/>
  <c r="I46"/>
  <c r="C46"/>
  <c r="B46"/>
  <c r="K45"/>
  <c r="J45"/>
  <c r="I45"/>
  <c r="C45"/>
  <c r="B45"/>
  <c r="K44"/>
  <c r="J44"/>
  <c r="I44"/>
  <c r="C44"/>
  <c r="B44"/>
  <c r="K43"/>
  <c r="J43"/>
  <c r="I43"/>
  <c r="C43"/>
  <c r="B43"/>
  <c r="K42"/>
  <c r="J42"/>
  <c r="I42"/>
  <c r="C42"/>
  <c r="B42"/>
  <c r="K41"/>
  <c r="J41"/>
  <c r="I41"/>
  <c r="C41"/>
  <c r="B41"/>
  <c r="K40"/>
  <c r="J40"/>
  <c r="I40"/>
  <c r="C40"/>
  <c r="B40"/>
  <c r="K39"/>
  <c r="J39"/>
  <c r="I39"/>
  <c r="C39"/>
  <c r="B39"/>
  <c r="K38"/>
  <c r="J38"/>
  <c r="I38"/>
  <c r="C38"/>
  <c r="B38"/>
  <c r="K37"/>
  <c r="J37"/>
  <c r="I37"/>
  <c r="C37"/>
  <c r="B37"/>
  <c r="K36"/>
  <c r="J36"/>
  <c r="I36"/>
  <c r="C36"/>
  <c r="B36"/>
  <c r="K35"/>
  <c r="J35"/>
  <c r="I35"/>
  <c r="C35"/>
  <c r="B35"/>
  <c r="K34"/>
  <c r="J34"/>
  <c r="I34"/>
  <c r="C34"/>
  <c r="B34"/>
  <c r="K33"/>
  <c r="J33"/>
  <c r="I33"/>
  <c r="C33"/>
  <c r="B33"/>
  <c r="K32"/>
  <c r="J32"/>
  <c r="I32"/>
  <c r="C32"/>
  <c r="B32"/>
  <c r="K31"/>
  <c r="J31"/>
  <c r="I31"/>
  <c r="C31"/>
  <c r="B31"/>
  <c r="K30"/>
  <c r="J30"/>
  <c r="I30"/>
  <c r="C30"/>
  <c r="B30"/>
  <c r="K29"/>
  <c r="J29"/>
  <c r="I29"/>
  <c r="C29"/>
  <c r="B29"/>
  <c r="K28"/>
  <c r="J28"/>
  <c r="I28"/>
  <c r="C28"/>
  <c r="B28"/>
  <c r="K27"/>
  <c r="J27"/>
  <c r="I27"/>
  <c r="C27"/>
  <c r="B27"/>
  <c r="K26"/>
  <c r="J26"/>
  <c r="I26"/>
  <c r="C26"/>
  <c r="B26"/>
  <c r="K25"/>
  <c r="J25"/>
  <c r="I25"/>
  <c r="C25"/>
  <c r="B25"/>
  <c r="K24"/>
  <c r="J24"/>
  <c r="I24"/>
  <c r="C24"/>
  <c r="B24"/>
  <c r="K23"/>
  <c r="J23"/>
  <c r="I23"/>
  <c r="C23"/>
  <c r="B23"/>
  <c r="K22"/>
  <c r="J22"/>
  <c r="I22"/>
  <c r="C22"/>
  <c r="B22"/>
  <c r="K21"/>
  <c r="J21"/>
  <c r="I21"/>
  <c r="C21"/>
  <c r="B21"/>
  <c r="K20"/>
  <c r="J20"/>
  <c r="I20"/>
  <c r="C20"/>
  <c r="B20"/>
  <c r="K19"/>
  <c r="J19"/>
  <c r="I19"/>
  <c r="C19"/>
  <c r="B19"/>
  <c r="K18"/>
  <c r="J18"/>
  <c r="I18"/>
  <c r="C18"/>
  <c r="B18"/>
  <c r="K17"/>
  <c r="J17"/>
  <c r="I17"/>
  <c r="C17"/>
  <c r="B17"/>
  <c r="K16"/>
  <c r="J16"/>
  <c r="I16"/>
  <c r="C16"/>
  <c r="B16"/>
  <c r="K15"/>
  <c r="J15"/>
  <c r="I15"/>
  <c r="C15"/>
  <c r="B15"/>
  <c r="K14"/>
  <c r="J14"/>
  <c r="I14"/>
  <c r="C14"/>
  <c r="B14"/>
  <c r="K13"/>
  <c r="J13"/>
  <c r="I13"/>
  <c r="C13"/>
  <c r="B13"/>
  <c r="K12"/>
  <c r="J12"/>
  <c r="J103" s="1"/>
  <c r="I12"/>
  <c r="C12"/>
  <c r="B12"/>
  <c r="D7"/>
  <c r="D4"/>
  <c r="D3"/>
  <c r="I100" i="1"/>
  <c r="D100"/>
  <c r="I99"/>
  <c r="D99"/>
  <c r="I98"/>
  <c r="D98"/>
  <c r="I97"/>
  <c r="D97"/>
  <c r="I96"/>
  <c r="D96"/>
  <c r="I95"/>
  <c r="D95"/>
  <c r="I94"/>
  <c r="D94"/>
  <c r="I93"/>
  <c r="D93"/>
  <c r="I92"/>
  <c r="D92"/>
  <c r="I91"/>
  <c r="D91"/>
  <c r="I90"/>
  <c r="D90"/>
  <c r="I89"/>
  <c r="D89"/>
  <c r="I88"/>
  <c r="D88"/>
  <c r="I87"/>
  <c r="D87"/>
  <c r="I86"/>
  <c r="D86"/>
  <c r="I85"/>
  <c r="D85"/>
  <c r="I84"/>
  <c r="D84"/>
  <c r="I83"/>
  <c r="D83"/>
  <c r="I82"/>
  <c r="D82"/>
  <c r="I81"/>
  <c r="D81"/>
  <c r="I80"/>
  <c r="D80"/>
  <c r="I79"/>
  <c r="D79"/>
  <c r="I78"/>
  <c r="D78"/>
  <c r="I77"/>
  <c r="D77"/>
  <c r="I76"/>
  <c r="D76"/>
  <c r="I75"/>
  <c r="D75"/>
  <c r="I74"/>
  <c r="D74"/>
  <c r="I73"/>
  <c r="D73"/>
  <c r="I72"/>
  <c r="D72"/>
  <c r="I71"/>
  <c r="D71"/>
  <c r="I70"/>
  <c r="D70"/>
  <c r="I69"/>
  <c r="D69"/>
  <c r="I68"/>
  <c r="D68"/>
  <c r="I67"/>
  <c r="D67"/>
  <c r="I66"/>
  <c r="D66"/>
  <c r="I65"/>
  <c r="D65"/>
  <c r="I64"/>
  <c r="D64"/>
  <c r="I63"/>
  <c r="D63"/>
  <c r="I62"/>
  <c r="D62"/>
  <c r="I61"/>
  <c r="D61"/>
  <c r="I60"/>
  <c r="D60"/>
  <c r="I59"/>
  <c r="D59"/>
  <c r="I58"/>
  <c r="D58"/>
  <c r="I57"/>
  <c r="D57"/>
  <c r="I56"/>
  <c r="D56"/>
  <c r="I55"/>
  <c r="D55"/>
  <c r="I54"/>
  <c r="D54"/>
  <c r="I53"/>
  <c r="D53"/>
  <c r="I52"/>
  <c r="D52"/>
  <c r="I51"/>
  <c r="D51"/>
  <c r="I50"/>
  <c r="D50"/>
  <c r="I49"/>
  <c r="D49"/>
  <c r="I48"/>
  <c r="D48"/>
  <c r="I47"/>
  <c r="D47"/>
  <c r="I46"/>
  <c r="D46"/>
  <c r="I45"/>
  <c r="D45"/>
  <c r="I44"/>
  <c r="D44"/>
  <c r="I43"/>
  <c r="D43"/>
  <c r="I42"/>
  <c r="D42"/>
  <c r="I41"/>
  <c r="D41"/>
  <c r="I40"/>
  <c r="D40"/>
  <c r="I39"/>
  <c r="D39"/>
  <c r="I38"/>
  <c r="D38"/>
  <c r="I37"/>
  <c r="D37"/>
  <c r="I36"/>
  <c r="D36"/>
  <c r="I35"/>
  <c r="D35"/>
  <c r="I34"/>
  <c r="D34"/>
  <c r="I33"/>
  <c r="D33"/>
  <c r="I32"/>
  <c r="D32"/>
  <c r="I31"/>
  <c r="D31"/>
  <c r="I30"/>
  <c r="D30"/>
  <c r="I29"/>
  <c r="D29"/>
  <c r="I28"/>
  <c r="D28"/>
  <c r="I27"/>
  <c r="D27"/>
  <c r="I26"/>
  <c r="D26"/>
  <c r="I25"/>
  <c r="D25"/>
  <c r="I24"/>
  <c r="D24"/>
  <c r="I23"/>
  <c r="D23"/>
  <c r="I22"/>
  <c r="D22"/>
  <c r="I21"/>
  <c r="D21"/>
  <c r="I20"/>
  <c r="D20"/>
  <c r="I19"/>
  <c r="D19"/>
  <c r="I18"/>
  <c r="D18"/>
  <c r="I17"/>
  <c r="D17"/>
  <c r="I16"/>
  <c r="D16"/>
  <c r="I15"/>
  <c r="D15"/>
  <c r="I14"/>
  <c r="D14"/>
  <c r="I13"/>
  <c r="D13"/>
  <c r="I12"/>
  <c r="D12"/>
  <c r="I11"/>
  <c r="D11"/>
  <c r="I10"/>
  <c r="D10"/>
</calcChain>
</file>

<file path=xl/sharedStrings.xml><?xml version="1.0" encoding="utf-8"?>
<sst xmlns="http://schemas.openxmlformats.org/spreadsheetml/2006/main" count="1257" uniqueCount="427">
  <si>
    <t>Pedido de Necesidades Trimestrales</t>
  </si>
  <si>
    <t>JURISDICCION:</t>
  </si>
  <si>
    <t>40 - Ministerio de Salud</t>
  </si>
  <si>
    <t xml:space="preserve">SAF N°: </t>
  </si>
  <si>
    <t>23 - Hospital Interzonal San Juan Bautista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</si>
  <si>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</si>
  <si>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</si>
  <si>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</si>
  <si>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</si>
  <si>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</si>
  <si>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</si>
  <si>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</si>
  <si>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</si>
  <si>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</si>
  <si>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</si>
  <si>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</si>
  <si>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2.9.2-261.14</t>
  </si>
  <si>
    <t>LIBRERIA,PAP. Y UTILES OFICINA</t>
  </si>
  <si>
    <t>ABROCHADORAS DE PAPEL; TIPO: PINZA, P/BROCHES: 10/50, MATERIAL: METALICA, MEDIDA: 10/50</t>
  </si>
  <si>
    <t>UNIDAD</t>
  </si>
  <si>
    <t>2.9.2-262.4</t>
  </si>
  <si>
    <t>ADHESIVOS P/PAPEL; PRESENTACION: 250 GR, TIPO: COLA VINILICA</t>
  </si>
  <si>
    <t>2.9.2-700.28</t>
  </si>
  <si>
    <t>BROCHES P/ABROCHADORA; NUMERO: 10/50, PRESENTACION: CAJA X 1000 UNIDADES</t>
  </si>
  <si>
    <t>CAJA</t>
  </si>
  <si>
    <t>2.9.2-1358.359</t>
  </si>
  <si>
    <t>CARPETAS; MATERIAL: FIBRA, TAMAÑO: OFICIO</t>
  </si>
  <si>
    <t>2.9.2-2766.9</t>
  </si>
  <si>
    <t>CARPETAS P/ENCUADERNACION; TAMAÑO: A4, PEGAMENTO: SIN, MATERIAL LOMO: PLASTICO TRANPARENTE, ESPESOR: 9 mm, TAPA: TRANSPARENTE</t>
  </si>
  <si>
    <t>2.3.1-6563.814</t>
  </si>
  <si>
    <t>PAPELES EN HOJA; TIPO DE PAPEL: CARTULINA, DIMENSION: 63 X 44,5 Cm, GRAMAJE: 125, PRESENTACION: UNIDAD, CERTIFICADO FORESTAL (GFS): CON</t>
  </si>
  <si>
    <t>PLIEGO</t>
  </si>
  <si>
    <t>2.9.2-1153.35</t>
  </si>
  <si>
    <t>CINTAS ADHESIVAS; TIPO: EMBALAR, COLOR MARRON, ANCHO: 5 Cm, LARGO ROLLO: 50 M, MATERIAL: CELOFAN, ACCESORIO: SIN, LARGO: 50 M</t>
  </si>
  <si>
    <t>2.9.2-1428.1</t>
  </si>
  <si>
    <t>BANDAS ELASTICAS; PRESENTACION: CAJA DE 100 GR, ESPESOR: 2 mm, DIAMETRO: 5 Cm</t>
  </si>
  <si>
    <t>2.3.1-6587.298</t>
  </si>
  <si>
    <t>PAPELES ENCUADERNADOS; CANT. DE HOJAS: 100, TAMAÑO: 21 X 16 Cm, TIPO: CUADERNO, CERTIFICADO FORESTAL (GFS): CON, PORC. FIBRAS RECICLADAS: 0 %, CERT. FIBRA ALTERNATIVA (FCA): SIN</t>
  </si>
  <si>
    <t>2.9.2-1611.11</t>
  </si>
  <si>
    <t>FOLIOS TRANSPARENTES; TAMAÑO: OFICIO, PERFORACIONES: 5, MATERIAL: POLIPROPILENO</t>
  </si>
  <si>
    <t>2.9.2-1611.10</t>
  </si>
  <si>
    <t>FOLIOS TRANSPARENTES; TAMAÑO: A-4, PERFORACIONES: 5, MATERIAL: POLIPROPILENO</t>
  </si>
  <si>
    <t>2.9.2-4984.6</t>
  </si>
  <si>
    <t>LAPICERAS ESTILOGRAFICAS; TIPO: TRAZO GRUESO, MATERIAL: PLASTICO Y METAL , RECARGABLE: NO</t>
  </si>
  <si>
    <t>2.9.2-323.4</t>
  </si>
  <si>
    <t>CORRECTORES DE ESCRITURA; CAPACIDAD: 7 mL, ENVASE: LAPIZ (PUNTA METAL), PRESENTACION: LAPIZ (PUNTA METAL) X 7 mL</t>
  </si>
  <si>
    <t>2.9.2-848.5</t>
  </si>
  <si>
    <t>LAPIZ; TIPO: COMUN NRO 2, COLOR: NEGRO</t>
  </si>
  <si>
    <t>2.3.1-6587.324</t>
  </si>
  <si>
    <t>PAPELES ENCUADERNADOS; CANT. DE HOJAS: 400, TAMAÑO: 21 X 33 Cm, TIPO: LIBRO DE ACTAS, CERTIFICADO FORESTAL (GFS): SIN, PORC. FIBRAS RECICLADAS: 0 %, CERT. FIBRA ALTERNATIVA (FCA): SIN</t>
  </si>
  <si>
    <t>2.9.2-1616.80</t>
  </si>
  <si>
    <t>MARCADORES; TIPO AL AGUA - TRAZO GRUESO - PUNTA REDONDA - RECARGABLE NO</t>
  </si>
  <si>
    <t>2.9.2-1616.137</t>
  </si>
  <si>
    <t>MARCADORES; TIPO: INDELEBLE, TRAZO: GRUESO, PUNTA: REDONDA, COLOR: NEGRO, RECARGABLE: NO</t>
  </si>
  <si>
    <t>2.3.1-6563.968</t>
  </si>
  <si>
    <t>PAPELES EN HOJA; TIPO DE PAPEL: EXTRA BLANCO, DIMENSION: A4, GRAMAJE: 80 GR, PRESENTACION: RESMA X 500 HOJAS, CERTIFICADO FORESTAL (GFS): SIN, PORC. FIBRAS RECICLADAS: 0 %, CERT. FIBRA ALTERNATIVA (FCA): CON</t>
  </si>
  <si>
    <t>2.3.1-6563.1009</t>
  </si>
  <si>
    <t>PAPELES EN HOJA; TIPO DE PAPEL: BLANCO, DIMENSION: OFICIO, GRAMAJE: 80 GR, PRESENTACION: ENVASE X 500 HOJAS, CERTIFICADO FORESTAL (GFS): SIN, PORC. FIBRAS RECICLADAS: 0 %, CERT. FIBRA ALTERNATIVA (FCA): SIN</t>
  </si>
  <si>
    <t>2.9.2-660.4</t>
  </si>
  <si>
    <t>CLIPS P/PAPEL; MATERIAL: METAL, NUMERO: 4, CANT. X CAJA: 100, PRESENTACION: CAJA X 100</t>
  </si>
  <si>
    <t>2.3.1-6590.484</t>
  </si>
  <si>
    <t>SOBRES DE PAPEL; TIPO: MANILA, TAMAÑO: 19 X 24 Cm, GRAMAJE: 80 GR/M2, PRESENTACION: UNIDAD UN, CERTIFICADO FORESTAL (GFS): SIN, PORC. FIBRAS RECICLADAS: SIN VALOR</t>
  </si>
  <si>
    <t>PAQUETE</t>
  </si>
  <si>
    <t>2.3.1-6590.541</t>
  </si>
  <si>
    <t>SOBRES DE PAPEL; TIPO: BOLSA DE PAPEL MANILA, TAMAÑO: 24 X 30 Cm, GRAMAJE: 80 GR/M2, PRESENTACION: ENVASE X 100 UN, CERTIFICADO FORESTAL (GFS): SIN, PORC. FIBRAS RECICLADAS: 0 %, CERT. FIBRA ALTERNATIVA (FCA): SIN</t>
  </si>
  <si>
    <t>2.3.1-6590.465</t>
  </si>
  <si>
    <t>SOBRES DE PAPEL; TIPO: BOLSA MANILA, TAMAÑO: 30 X 40 Cm, GRAMAJE: 90 GR/M2, PRESENTACION: UNIDAD, CERTIFICADO FORESTAL (GFS): SIN, PORC. FIBRAS RECICLADAS: 0 %</t>
  </si>
  <si>
    <t>2.9.2-1450.36</t>
  </si>
  <si>
    <t xml:space="preserve">TINTAS P/SELLOS; TIPO DE SELLO: DE GOMA, PRESENTACION: ENVASE X 28 CM3  </t>
  </si>
  <si>
    <t>2.9.2-1354.28</t>
  </si>
  <si>
    <t>RESALTADORES; PUNTA: FINA, ACCESORIO: SIN, COLOR: AMARILLO, TIPO PUNTA: FINA</t>
  </si>
  <si>
    <t>2.9.2-1354.4</t>
  </si>
  <si>
    <t>RESALTADORES; ACCESORIO: CON CLIPS, COLOR: ROJO, PUNTA: 5 (CHANFLEADA) mm, TIPO PUNTA: 5 (CHANFLEADA) mm</t>
  </si>
  <si>
    <t>2.9.2-661.59</t>
  </si>
  <si>
    <t>GOMAS DE BORRAR; USO: LAPIZ, DIMENSION: 40 X 10 mm, MATERIAL: CAUCHO, PRESENTACION: UNIDAD</t>
  </si>
  <si>
    <t>2.9.2-850.201</t>
  </si>
  <si>
    <t>CAJAS DE ARCHIVO; MATERIAL: CARTON, DIMENSION: 45 X 35 X 25 Cm</t>
  </si>
  <si>
    <t>2.9.6-1355.1368</t>
  </si>
  <si>
    <t>REPUESTOS</t>
  </si>
  <si>
    <t>CARTUCHOS DE TINTA; CODIGO: 840C 6615, USO: HEWLETT PACKARD</t>
  </si>
  <si>
    <t>2.9.6-1355.1369</t>
  </si>
  <si>
    <t xml:space="preserve">CARTUCHOS DE TINTA; CODIGO: 840C 6625, USO: DESK JET </t>
  </si>
  <si>
    <t>2.9.6-1355.1381</t>
  </si>
  <si>
    <t>CARTUCHOS DE TINTA; CODIGO: HP 21, USO: IMPRESORA HP DESK JET 3920</t>
  </si>
  <si>
    <t>2.9.6-1355.1140</t>
  </si>
  <si>
    <t>CARTUCHOS DE TINTA; CODIGO: C9352AL, DESCRIPCION: SIN VALOR, COLOR: SIN VALOR, USO: HEWLETT PACKARD</t>
  </si>
  <si>
    <t>2.9.6-1355.1535</t>
  </si>
  <si>
    <t>CARTUCHOS DE TINTA; CODIGO: HP 27, USO: HP</t>
  </si>
  <si>
    <t>2.9.6-1355.1534</t>
  </si>
  <si>
    <t>CARTUCHOS DE TINTA; CODIGO: HP 28, USO: HP</t>
  </si>
  <si>
    <t>2.9.6-401.2193</t>
  </si>
  <si>
    <t>CARTUCHOS DE TONER; CODIGO: SP 310 DNW, USO: LASER RICOH</t>
  </si>
  <si>
    <t>2.9.6-401.2377</t>
  </si>
  <si>
    <t>CARTUCHOS DE TONER; CODIGO: CF279A, USO: HEWLETT PACKARD</t>
  </si>
  <si>
    <t>2.9.6-1355.1379</t>
  </si>
  <si>
    <t>CARTUCHOS DE TINTA; CODIGO: C6656A, USO: HP 5650</t>
  </si>
  <si>
    <t>2.9.6-1355.623</t>
  </si>
  <si>
    <t>CARTUCHOS DE TINTA; CODIGO: C6657A, PRODUCTO: CARTUCHO DE TINTA, COLOR: COLOR, USO: HEWLETT PACKARD, DESCRIPCION: CARTUCHO DE TINTA</t>
  </si>
  <si>
    <t>2.9.6-401.2056</t>
  </si>
  <si>
    <t>CARTUCHOS DE TONER; CODIGO: CC640WL, USO: HEWLETT PACKARD</t>
  </si>
  <si>
    <t>2.9.6-401.1502</t>
  </si>
  <si>
    <t>CARTUCHOS DE TINTA; CODIGO: CC643WL, USO: HEWLETT PACKARD</t>
  </si>
  <si>
    <t>2.9.2-1620.1</t>
  </si>
  <si>
    <t>INFORMATICA</t>
  </si>
  <si>
    <t>DISCO COMPACTO; TIPO: VIRGEN, CAPACIDAD: 700 MB</t>
  </si>
  <si>
    <t>2.9.6-401.1549</t>
  </si>
  <si>
    <t>CARTUCHOS DE TONER; CODIGO: CB317WL, USO: HEWLETT PACKARD</t>
  </si>
  <si>
    <t>2.9.6-401.1875</t>
  </si>
  <si>
    <t>CARTUCHOS DE TONER; CODIGO: CE255, USO: HP 3015</t>
  </si>
  <si>
    <t>2.9.6-401.1486</t>
  </si>
  <si>
    <t>CARTUCHOS DE TONER; CODIGO: HP 53A, USO: HP</t>
  </si>
  <si>
    <t>2.9.6-401.932</t>
  </si>
  <si>
    <t>CARTUCHOS DE TONER; CODIGO: Q7551A, COLOR: NEGRO, DESCRIPCION: CARTUCHO TONER, USO: HEWLETT PACKARD</t>
  </si>
  <si>
    <t>2.9.6-401.2024</t>
  </si>
  <si>
    <t>CARTUCHOS DE TONER; CODIGO: MLT-D111S, USO: SAMSUNG</t>
  </si>
  <si>
    <t>2.9.6-401.1362</t>
  </si>
  <si>
    <t>CARTUCHOS DE TONER; CODIGO: CE285A, USO: HEWLETT PACKARD</t>
  </si>
  <si>
    <t>2.9.6-401.2093</t>
  </si>
  <si>
    <t>CARTUCHOS DE TONER; CODIGO: SP5210DN, USO: LANIER RICOH</t>
  </si>
  <si>
    <t>2.9.6-401.2045</t>
  </si>
  <si>
    <t>CARTUCHOS DE TONER; CODIGO: TN 1060, USO: BROTHER</t>
  </si>
  <si>
    <t>2.9.6-1355.1631</t>
  </si>
  <si>
    <t>CARTUCHOS DE TINTA; CODIGO: CH561HL, USO: HEWLETT PACKARD</t>
  </si>
  <si>
    <t>2.9.6-1355.1630</t>
  </si>
  <si>
    <t>CARTUCHOS DE TINTA; CODIGO: CH562HL, USO: HEWLETT PACKARD</t>
  </si>
  <si>
    <t>2.9.6-1355.1425</t>
  </si>
  <si>
    <t>CARTUCHOS DE TINTA; CODIGO: CD972AL, USO: HEWLETT PACKARD</t>
  </si>
  <si>
    <t>2.9.6-1355.1426</t>
  </si>
  <si>
    <t>CARTUCHOS DE TINTA; CODIGO: CD973AL, USO: HEWLETT PACKARD</t>
  </si>
  <si>
    <t>2.9.6-1355.1427</t>
  </si>
  <si>
    <t>CARTUCHOS DE TINTA; CODIGO: CD974AL, USO: HEWLETT PACKARD</t>
  </si>
  <si>
    <t>2.9.6-401.2294</t>
  </si>
  <si>
    <t>CARTUCHOS DE TONER; CODIGO: TN-3479, USO: BROTHER</t>
  </si>
  <si>
    <t>2.9.6-401.1755</t>
  </si>
  <si>
    <t>CARTUCHOS DE TONER; CODIGO: CLT-K406S, USO: SAMSUNG</t>
  </si>
  <si>
    <t>2.9.6-401.1172</t>
  </si>
  <si>
    <t>CARTUCHOS DE TONER; CODIGO: CC364A, USO: HEWLETT PACKARD</t>
  </si>
  <si>
    <t>2.9.6-401.1859</t>
  </si>
  <si>
    <t>CARTUCHOS DE TONER; CODIGO: MLT-D101S, USO: SAMSUNG 2165</t>
  </si>
  <si>
    <t>2.9.6-1355.1993</t>
  </si>
  <si>
    <t>CARTUCHOS DE TINTA; USO: HP, CODIGO: 950XL</t>
  </si>
  <si>
    <t>2.9.6-1355.1750</t>
  </si>
  <si>
    <t>CARTUCHOS DE TINTA; CODIGO: 951XL, USO: HP</t>
  </si>
  <si>
    <t>2.9.6-1355.1858</t>
  </si>
  <si>
    <t>CARTUCHOS DE TINTA; CODIGO: CZ103XL, USO: HP 3515</t>
  </si>
  <si>
    <t>2.9.6-1355.1859</t>
  </si>
  <si>
    <t>CARTUCHOS DE TINTA; CODIGO: CZ104XL, USO: HP 3515</t>
  </si>
  <si>
    <t>2.9.6-401.1060</t>
  </si>
  <si>
    <t>CARTUCHOS DE TONER; CODIGO: HPQ2612A, COLOR: SIN VALOR, DESCRIPCION: SIN VALOR, USO: HEWLETT PACKARD</t>
  </si>
  <si>
    <t>2.9.6-401.1097</t>
  </si>
  <si>
    <t>CARTUCHOS DE TONER; CODIGO: CB435A, USO: HEWLETT PACKARD</t>
  </si>
  <si>
    <t>2.9.6-401.1550</t>
  </si>
  <si>
    <t>CARTUCHOS DE TONER; CODIGO: CB316WL, USO: HEWLETT PACKARD</t>
  </si>
  <si>
    <t>2.9.6-1355.1746</t>
  </si>
  <si>
    <t>CARTUCHOS DE TINTA; CODIGO: CB318WL, USO: HEWLETT PACKARD</t>
  </si>
  <si>
    <t>2.9.6-1355.1747</t>
  </si>
  <si>
    <t>CARTUCHOS DE TINTA; CODIGO: CB319WL, USO: HEWLETT PACKARD</t>
  </si>
  <si>
    <t>2.9.6-1355.1748</t>
  </si>
  <si>
    <t>CARTUCHOS DE TINTA; CODIGO: CB320WL, USO: HEWLETT PACKARD</t>
  </si>
  <si>
    <t>2.9.6-1355.1988</t>
  </si>
  <si>
    <t>CARTUCHOS DE TINTA; CODIGO: 664, USO: HEWLET PACKARD</t>
  </si>
  <si>
    <t>2.9.6-1891.822</t>
  </si>
  <si>
    <t>REP. Y ACC. P/IMPRESORA; MODELO EQUIPO: L3110, MARCA EQUIPO: EPSON, ELEMENTO: BOTELLA DE TINTA</t>
  </si>
  <si>
    <t>2.9.6-401.2128</t>
  </si>
  <si>
    <t>CARTUCHOS DE TONER; CODIGO: CF226A, USO: HEWLETT PACKARD</t>
  </si>
  <si>
    <t>2.9.6-401.2378</t>
  </si>
  <si>
    <t>CARTUCHOS DE TONER; CODIGO: W1105A, USO: HEWLETT PACKARD</t>
  </si>
  <si>
    <t>2.9.6-401.2303</t>
  </si>
  <si>
    <t>CARTUCHOS DE TONER; CODIGO: CF410A, USO: HEWLETT PACKARD</t>
  </si>
  <si>
    <t>2.9.6-401.2304</t>
  </si>
  <si>
    <t>CARTUCHOS DE TONER; CODIGO: CF411A, USO: HEWLETT PACKARD</t>
  </si>
  <si>
    <t>2.9.6-401.2305</t>
  </si>
  <si>
    <t>CARTUCHOS DE TONER; CODIGO: CF412A, USO: HEWLETT PACKARD</t>
  </si>
  <si>
    <t>2.9.6-401.2306</t>
  </si>
  <si>
    <t>CARTUCHOS DE TONER; CODIGO: CF413A, USO: HEWLETT PACKARD</t>
  </si>
  <si>
    <t>2.9.6-401.1136</t>
  </si>
  <si>
    <t>CARTUCHOS DE TONER; CODIGO: T1200, USO: TOSHIBA</t>
  </si>
  <si>
    <t>2.9.6-401.1289</t>
  </si>
  <si>
    <t>CARTUCHOS DE TONER; CODIGO: T 1640, USO: TOSHIBA ESTUDIO 166</t>
  </si>
  <si>
    <t>2.9.6-401.2379</t>
  </si>
  <si>
    <t>CARTUCHOS DE TONER; CODIGO: T-4530A, USO: TOSHIBA</t>
  </si>
  <si>
    <t>2.9.6-401.2328</t>
  </si>
  <si>
    <t>CARTUCHOS DE TONER; CODIGO: 74710U, USO: TOSHIBA</t>
  </si>
  <si>
    <t>2.9.6-401.2161</t>
  </si>
  <si>
    <t>CARTUCHOS DE TONER; CODIGO: 841768, USO: RICOH</t>
  </si>
  <si>
    <t>2.9.6-401.2285</t>
  </si>
  <si>
    <t>CARTUCHOS DE TONER; CODIGO: MP 301, USO: RICOH</t>
  </si>
  <si>
    <t>2.9.6-401.2380</t>
  </si>
  <si>
    <t>CARTUCHOS DE TONER; CODIGO: 408284, USO: RICOH</t>
  </si>
  <si>
    <t>Especificidades Item N° 1:</t>
  </si>
  <si>
    <t>Descripción técnica</t>
  </si>
  <si>
    <t>ABROCHADORA GRANDE PARA PAPELES N° 10/50, PRIMERA MARCA.-</t>
  </si>
  <si>
    <t>Plazos y lugares de entrega</t>
  </si>
  <si>
    <t>05 dias - Servicio de Deposito Central y Division Patrimonio del HISJB</t>
  </si>
  <si>
    <t>Calidad Minima esperada</t>
  </si>
  <si>
    <t>Mantenimiento</t>
  </si>
  <si>
    <t xml:space="preserve">30 dias habiles </t>
  </si>
  <si>
    <t>Garantia</t>
  </si>
  <si>
    <t>Especificidades Item N° 2:</t>
  </si>
  <si>
    <t>PLÁSTICOLA O ADHESIVO VINILICO EN ENVASE DE 250 GRS. PRIMERA CALIDAD.-</t>
  </si>
  <si>
    <t>Especificidades Item N° 3:</t>
  </si>
  <si>
    <t>BROCHES PARA PAPEL 10/50 EN CAJITAS DE 1000 UNIDADES, PRIMERA CALIDAD.-</t>
  </si>
  <si>
    <t>Especificidades Item N° 4:</t>
  </si>
  <si>
    <t>CARPETA CON GANCHO TAMAÑO OFICIO. PRIMERA CALIDAD.-</t>
  </si>
  <si>
    <t>Especificidades Item N° 5:</t>
  </si>
  <si>
    <t>CARPETA TRANSPARENTE TAMAÑO A/4, PRIMERA CALIDAD.-</t>
  </si>
  <si>
    <t>Especificidades Item N° 6:</t>
  </si>
  <si>
    <t>CARTULINA EN PLIEGOS DE 625 MM X 445 MM DE 120 GRS. COLOR AMARILLO, PRIMERA CALIDAD.-</t>
  </si>
  <si>
    <t>Especificidades Item N° 7:</t>
  </si>
  <si>
    <t>CINTA TRANSPARENTE DE EMBALAR 5 CM X 50 METROS DE LARGO, PRIMERA CALIDAD.-</t>
  </si>
  <si>
    <t>Especificidades Item N° 8:</t>
  </si>
  <si>
    <t>BANDAS ELASTICAS EN CAJA DE 100 GRS.</t>
  </si>
  <si>
    <t>Especificidades Item N° 9:</t>
  </si>
  <si>
    <t>CUADERNO TAPA DURA FORRADO DE 170 HOJAS A RAYAS.-</t>
  </si>
  <si>
    <t>Especificidades Item N°10:</t>
  </si>
  <si>
    <t>FOLIOS TRANSPARENTES TAMAÑO OFICIO, PRIMERA CALIDAD.-</t>
  </si>
  <si>
    <t>Especificidades Item N°11:</t>
  </si>
  <si>
    <t>FOLIOS TRANSPARENTES TAMAÑO A/4, PRIMERA CALIDAD.-</t>
  </si>
  <si>
    <t>Especificidades Item N°12:</t>
  </si>
  <si>
    <t>LAPICERA TRAZO GRUESO COLOR NEGRA, TIPO BIC.-</t>
  </si>
  <si>
    <t>Especificidades Item N°13 :</t>
  </si>
  <si>
    <t>LAPICERA TRAZO GRUESO COLOR ROJO, TIPO BIC.-</t>
  </si>
  <si>
    <t>Especificidades Item N° 14:</t>
  </si>
  <si>
    <t>LÁPIZ CORRECTOR X 7 ML. PRIMERA CALIDAD.-</t>
  </si>
  <si>
    <t>Especificidades Item N° 15:</t>
  </si>
  <si>
    <t>LÁPIZ NEGRO N° 2 EN CAJA DE 12 UNIDADES, PRIMERA MARCA.-</t>
  </si>
  <si>
    <t>Especificidades Item N° 16:</t>
  </si>
  <si>
    <t>LIBRO DE ACTA 400 PÁGINAS (4 MANOS).-</t>
  </si>
  <si>
    <t>Especificidades Item N° 17:</t>
  </si>
  <si>
    <t>MARCADOR DE TINTA AL AGUA COLOR NEGRO, PRIMERA CALIDAD.-</t>
  </si>
  <si>
    <t>Especificidades Item N° 18:</t>
  </si>
  <si>
    <t>MARCADOR DE TINTA PERMANENTE, COLOR NEGRO, PRIMERA CALIDAD.-</t>
  </si>
  <si>
    <t>Especificidades Item N°19:</t>
  </si>
  <si>
    <t>PAPEL ALCALINO A/4 POR 80 GRS. RESMAS DE 500 HOJAS.-</t>
  </si>
  <si>
    <t>Especificidades Item N° 20:</t>
  </si>
  <si>
    <t>PAPEL ALCALINO OFICIO POR 80 GRS. RESMAS DE 500 HOJAS.-</t>
  </si>
  <si>
    <t>Especificidades Item N° 21:</t>
  </si>
  <si>
    <t>BROCHES CLIPS N° 4 EN CAJA DE 100 UNIDADES.-</t>
  </si>
  <si>
    <t>Especificidades Item N° 22:</t>
  </si>
  <si>
    <t>SOBRES BOLSA DE 19 X 24 CM. TIPO MANILA EN PAQUETE DE 100 UNIDADES, PRIMERA CALIDAD.-</t>
  </si>
  <si>
    <t>Especificidades Item N° 23:</t>
  </si>
  <si>
    <t>SOBRES BOLSA 24 X 30 CM. TIPO MANILA EN PAQUETE DE 100 UNIDADES, PRIMERA CALIDAD.-</t>
  </si>
  <si>
    <t>Especificidades Item N° 24:</t>
  </si>
  <si>
    <t>SOBRES BOLSA DE 30 X 40 CM. TIPO MANILA EN PAQUETE DE 100 UNIDADES, PRIMERA CALIDAD.-</t>
  </si>
  <si>
    <t>Especificidades Item N° 25:</t>
  </si>
  <si>
    <t>TINTA PARA SELLO EN POTE DE 28 CC. COLOR NEGRO.-</t>
  </si>
  <si>
    <t>Especificidades Item N° 26:</t>
  </si>
  <si>
    <t>RESALTADOR DE TEXTOS COLOR AMARILLO, PRIMERA CALIDAD.-</t>
  </si>
  <si>
    <t>Especificidades Item N° 27:</t>
  </si>
  <si>
    <t>RESALTADOR DE TEXTOS COLOR FUCSIA, PRIMERA CALIDAD.-</t>
  </si>
  <si>
    <t>Especificidades Item N° 28:</t>
  </si>
  <si>
    <t>GOMA DE BORRAR TINTA-LAPIZ.-</t>
  </si>
  <si>
    <t>Especificidades Item N° 29:</t>
  </si>
  <si>
    <t>CAJA PARA ARCHIVO DE CARTÓN, TAMAÑO OFICIO.-</t>
  </si>
  <si>
    <t>Especificidades Item N°30:</t>
  </si>
  <si>
    <t>Cart. tinta p/impresora H.P. 840 C - negro -  original o altern.</t>
  </si>
  <si>
    <t>Especificidades Item N° 31:</t>
  </si>
  <si>
    <t>Cart. tinta p/impresora H.P. 840 C - color - original o altern.</t>
  </si>
  <si>
    <t>Especificidades Item N° 32:</t>
  </si>
  <si>
    <t xml:space="preserve">Cart. tinta p/imp. H.P. 3920 - D1460 - negro - original </t>
  </si>
  <si>
    <t>Especificidades Item N° 33:</t>
  </si>
  <si>
    <t xml:space="preserve">Cart. tinta p/imp. H.P. 3920 - D1460 - color - original </t>
  </si>
  <si>
    <t>Especificidades Item N° 34:</t>
  </si>
  <si>
    <t>Cart. tinta p/imp. H.P.3845 - negro - original o altern.</t>
  </si>
  <si>
    <t>Especificidades Item N° 35:</t>
  </si>
  <si>
    <t>Cart. tinta p/imp. H.P.3845 - color - original o altern.</t>
  </si>
  <si>
    <t>Especificidades Item N° 36:</t>
  </si>
  <si>
    <t xml:space="preserve">Toner p/imp. Ricoh SP 310 -  original </t>
  </si>
  <si>
    <t>Especificidades Item N° 37:</t>
  </si>
  <si>
    <t>Toner p/imp. H.P. Laser Jet Pro M12W - original o altern.</t>
  </si>
  <si>
    <t>Especificidades Item N° 38:</t>
  </si>
  <si>
    <t>Cart. tinta p/imp. H.P. 5650 - negro - original o alternativo</t>
  </si>
  <si>
    <t>Especificidades Item N° 39:</t>
  </si>
  <si>
    <t>Cart. tinta p/imp. H.P. 5650 - color - original o alternativo</t>
  </si>
  <si>
    <t>Especificidades Item N° 40:</t>
  </si>
  <si>
    <t>Cart. tinta p/imp. H.P. D1660 - Photosmart -color-  original o altern.</t>
  </si>
  <si>
    <t>Especificidades Item N° 41:</t>
  </si>
  <si>
    <t>Cart. tinta p/imp. H.P. D1660 - Photosmart -negro-  original o altern.</t>
  </si>
  <si>
    <t>Especificidades Item N° 42:</t>
  </si>
  <si>
    <t>CD virgen, en sobre o estuche</t>
  </si>
  <si>
    <t>Especificidades Item N° 43:</t>
  </si>
  <si>
    <t xml:space="preserve">Cart. p/imp. H.P. Multif. C-6380 gris fotog. - original </t>
  </si>
  <si>
    <t>Especificidades Item N° 44:</t>
  </si>
  <si>
    <t xml:space="preserve">Tonner p/imp. Laser H.P. 3015 - original </t>
  </si>
  <si>
    <t>Especificidades Item N° 45:</t>
  </si>
  <si>
    <t>Tonner p/imp. Laser H.P.  P 2014  - original o altern.</t>
  </si>
  <si>
    <t>Especificidades Item N° 46:</t>
  </si>
  <si>
    <t xml:space="preserve">Tonner p/imp. Laser H.P. 3005 DN - original </t>
  </si>
  <si>
    <t>Especificidades Item N° 47:</t>
  </si>
  <si>
    <t xml:space="preserve">Toner p/impr. Samsung M2020 W (111) -  original </t>
  </si>
  <si>
    <t>Especificidades Item N° 48:</t>
  </si>
  <si>
    <t>Toner p/imp. Laser H.P. 1102 W - original o altern.</t>
  </si>
  <si>
    <t>Especificidades Item N° 49:</t>
  </si>
  <si>
    <t>Toner p/imp. Ricoh (Lanier) 5210DN original o alternat.</t>
  </si>
  <si>
    <t>Especificidades Item N° 50 :</t>
  </si>
  <si>
    <t>Toner p/imp. Brother HL- 1110 original o altern.</t>
  </si>
  <si>
    <t>Especificidades Item N° 51 :</t>
  </si>
  <si>
    <t>Cart. p/imp. H.P. Deskjet 1000 - negro - original o altern.</t>
  </si>
  <si>
    <t>Especificidades Item N° 52 :</t>
  </si>
  <si>
    <t>Cart. p/imp. H.P. Deskjet 1000 -color - original o altern.</t>
  </si>
  <si>
    <t>Especificidades Item N° 53 :</t>
  </si>
  <si>
    <t>Cart. p/imp. H.P. Multif. Officejet 7500A - cian- original o altern.</t>
  </si>
  <si>
    <t>Especificidades Item N° 54:</t>
  </si>
  <si>
    <t>Cart. p/imp. H.P. Multif. Officejet 7500A -  Magenta- original o altern.</t>
  </si>
  <si>
    <t>Especificidades Item N° 55 :</t>
  </si>
  <si>
    <t>Cart. p/imp. H.P. Multif. Officejet 7500A - amarillo - original o altern.</t>
  </si>
  <si>
    <t>Especificidades Item N° 56 :</t>
  </si>
  <si>
    <t xml:space="preserve">Toner p/impr. Brother HL 5100 (3460) - original o alternat. </t>
  </si>
  <si>
    <t>Especificidades Item N° 57 :</t>
  </si>
  <si>
    <t>Toner p/imp. Samsung Laser CLP 365W - original o alternat.</t>
  </si>
  <si>
    <t>Especificidades Item N° 58 :</t>
  </si>
  <si>
    <t xml:space="preserve">Toner p/imp. Laser  H.P. Jet 4014N -  original </t>
  </si>
  <si>
    <t>Especificidades Item N° 59 :</t>
  </si>
  <si>
    <t>Toner p/imp.  Samsung 2165W - original o altern.</t>
  </si>
  <si>
    <t>Especificidades Item N° 60 :</t>
  </si>
  <si>
    <t xml:space="preserve">Cart. p/imp. H.P.  8100 PRO - negro - original </t>
  </si>
  <si>
    <t>Especificidades Item N° 61 :</t>
  </si>
  <si>
    <t xml:space="preserve">Cart. p/imp. H.P.  8100 PRO - magenta - original </t>
  </si>
  <si>
    <t>Especificidades Item N° 62 :</t>
  </si>
  <si>
    <t xml:space="preserve">Cart. p/imp. H.P.  8100 PRO - amarillo - original </t>
  </si>
  <si>
    <t>Especificidades Item N° 63 :</t>
  </si>
  <si>
    <t xml:space="preserve">Cart. p/imp. H.P.  8100 PRO - cian - original </t>
  </si>
  <si>
    <t>Especificidades Item N° 64 :</t>
  </si>
  <si>
    <t>Cart. p/imp.  H.P. 3545 - multif. 2515 - negro -  original o altern.</t>
  </si>
  <si>
    <t>Especificidades Item N° 65 :</t>
  </si>
  <si>
    <t>Cart. p/imp. H.P. 3545 -  multif. 2515 - color - original o altern.</t>
  </si>
  <si>
    <t>Especificidades Item N° 66 :</t>
  </si>
  <si>
    <t>Toner p/imp. Laser  H.P. 1015/1020 -  original o altern.</t>
  </si>
  <si>
    <t>Especificidades Item N° 67 :</t>
  </si>
  <si>
    <t>Toner p/imp. Laser  H.P. P1005 -  original o altern.</t>
  </si>
  <si>
    <t>Especificidades Item N° 68 :</t>
  </si>
  <si>
    <t>Cart. p/imp. H.P. Multif. C-6380 -negro (564)- original</t>
  </si>
  <si>
    <t>Especificidades Item N° 69 :</t>
  </si>
  <si>
    <t>Cart. p/imp. H.P. Multif. C-6380 -cian (564)- original</t>
  </si>
  <si>
    <t>Especificidades Item N° 70 :</t>
  </si>
  <si>
    <t>Cart. p/imp. H.P. Multif. C-6380 -magenta (564) - original</t>
  </si>
  <si>
    <t>Especificidades Item N° 71 :</t>
  </si>
  <si>
    <t>Cart. p/imp. H.P. Multif. C-6380 -amarillo (564)- original</t>
  </si>
  <si>
    <t>Especificidades Item N° 72 :</t>
  </si>
  <si>
    <t>Cartucho p/imp. H.P. Deskjet 2135 (664) - Negro orig. o altern.</t>
  </si>
  <si>
    <t>Especificidades Item N° 73 :</t>
  </si>
  <si>
    <t>Cartucho p/imp. H.P. Deskjet 2135 (664) - Color - orig. o altern.</t>
  </si>
  <si>
    <t>Especificidades Item N° 74 :</t>
  </si>
  <si>
    <t>Cartucho (frasco) p/imp. Epson L3110 - negro (544)</t>
  </si>
  <si>
    <t>Especificidades Item N° 75 :</t>
  </si>
  <si>
    <t>Cartucho (frasco) p/imp. Epson L3110 - cyan (544)</t>
  </si>
  <si>
    <t>Especificidades Item N° 76 :</t>
  </si>
  <si>
    <t>Cartucho (frasco) p/imp. Epson L3110 - magenta (544)</t>
  </si>
  <si>
    <t>Especificidades Item N° 77 :</t>
  </si>
  <si>
    <t>Cartucho (frasco) p/imp. Epson L3110 - amarillo (544)</t>
  </si>
  <si>
    <t>Especificidades Item N° 78 :</t>
  </si>
  <si>
    <t>Toner p/imp. H.P. Laser Pro M402 (226)  orig. o alt.</t>
  </si>
  <si>
    <t>Especificidades Item N° 79 :</t>
  </si>
  <si>
    <t>Toner p/imp. H.P. Laser  orig. o alt.  (105 A)</t>
  </si>
  <si>
    <t>Especificidades Item N° 80 :</t>
  </si>
  <si>
    <t>Toner p/imp. Laser color PRO M452 (410) negro - orig. o altern.</t>
  </si>
  <si>
    <t>Especificidades Item N° 81 :</t>
  </si>
  <si>
    <t>Toner p/imp. Laser color PRO M452 (410) cian - orig. o altern.</t>
  </si>
  <si>
    <t>Especificidades Item N° 82 :</t>
  </si>
  <si>
    <t>Toner p/imp. Laser color PRO M452 (410) magenta - orig. o altern.</t>
  </si>
  <si>
    <t>Especificidades Item N° 83 :</t>
  </si>
  <si>
    <t>Toner p/imp. Laser color PRO M452 (410) amarillo - orig. o altern.</t>
  </si>
  <si>
    <t>Especificidades Item N° 84 :</t>
  </si>
  <si>
    <t>Toner para Fotocopiadora m/Toshiba Estudio 120-150  - original o alternativo</t>
  </si>
  <si>
    <t>Especificidades Item N° 85 :</t>
  </si>
  <si>
    <t>Toner para Fotocopiadora m/Toshiba Estudio 205  - original o alternativo</t>
  </si>
  <si>
    <t>Especificidades Item N° 86 :</t>
  </si>
  <si>
    <t>Toner para Fotocopiadora m/Toshiba Estudio 455 Di  - original o alternativo</t>
  </si>
  <si>
    <t>Especificidades Item N° 87 :</t>
  </si>
  <si>
    <t>Toner para Fotocopiadora m/Toshiba Estudio 477 S  - original o alternativo</t>
  </si>
  <si>
    <t>Especificidades Item N° 88 :</t>
  </si>
  <si>
    <t>Toner para Fotocopiadora RICOH 2501 SP - original o alternativo</t>
  </si>
  <si>
    <t>Especificidades Item N° 89 :</t>
  </si>
  <si>
    <t>Toner para Fotocopiadora RICOH MP SP 310 - original o alternativo</t>
  </si>
  <si>
    <t>Especificidades Item N° 90 :</t>
  </si>
  <si>
    <t>Toner para Fotocopiadora RICOH MP 301 SP - original o alternativo</t>
  </si>
  <si>
    <t>Especificidades Item N° 91 :</t>
  </si>
  <si>
    <t>Toner para Fotocopiadora RICOH OFICIO SP 3710 SF - original o alternativo</t>
  </si>
  <si>
    <t>NOTA DE PEDIDO</t>
  </si>
  <si>
    <t>N°</t>
  </si>
  <si>
    <t>380 - 2020</t>
  </si>
  <si>
    <t xml:space="preserve">JURISDICCIÓN: </t>
  </si>
  <si>
    <t>SAF:</t>
  </si>
  <si>
    <t>UNIDAD EJECUTORA:</t>
  </si>
  <si>
    <t>172 - Direccion de Administracion</t>
  </si>
  <si>
    <t xml:space="preserve">DEPENDENCIA SOLICITANTE: </t>
  </si>
  <si>
    <t>Servicio de Deposito Central y Division Patrimonio</t>
  </si>
  <si>
    <t>PERIODO UTILIZACIÓN:</t>
  </si>
  <si>
    <t>OBJETO:</t>
  </si>
  <si>
    <t>Adquisición de Articulos de Librería e Insumos para Impresoras y fotocopiadoras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</si>
  <si>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</si>
  <si>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</si>
  <si>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</si>
  <si>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</si>
  <si>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</si>
  <si>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</si>
  <si>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</si>
  <si>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</si>
  <si>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Costo total estimado: PESOS DOS MILLONES VEINTISIETE MIL OCHOCIENTOS SESENTA CON 25/100</t>
  </si>
  <si>
    <t>JUSTIFICACIÓN:</t>
  </si>
  <si>
    <t>TOTAL DE PESOS:  DOS MILLONES VEINTISIETE MIL OCHOCIENTOS SESENTA CON 25/100.-----------</t>
  </si>
  <si>
    <t>Repuestos y Accesorios</t>
  </si>
  <si>
    <t>1.1</t>
  </si>
  <si>
    <t>3.1</t>
  </si>
  <si>
    <t>Utiles de Escritorio, Oficina y Enseñanza</t>
  </si>
  <si>
    <t>Papel de Escritorio y Cartón</t>
  </si>
  <si>
    <t>FF</t>
  </si>
  <si>
    <t>M</t>
  </si>
  <si>
    <t>SubP</t>
  </si>
  <si>
    <t>P</t>
  </si>
  <si>
    <t>I</t>
  </si>
  <si>
    <t>FUN</t>
  </si>
  <si>
    <t>FIN</t>
  </si>
  <si>
    <t>UG</t>
  </si>
  <si>
    <t>OB</t>
  </si>
  <si>
    <t>AC</t>
  </si>
  <si>
    <t>PY</t>
  </si>
  <si>
    <t>SB</t>
  </si>
  <si>
    <t>PR</t>
  </si>
  <si>
    <t>IMPORTE</t>
  </si>
  <si>
    <t xml:space="preserve"> DENOMINACIÓN DE LA PARTIDA PRESUPUESTARIA</t>
  </si>
  <si>
    <t>CÓDIGO</t>
  </si>
  <si>
    <t>IMPUTACIÓN PRESUPUESTARIA</t>
  </si>
  <si>
    <t>Señor Jefe de Servicio Administrativo Financiero: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</si>
  <si>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</si>
  <si>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JURISDICCIÓN:</t>
  </si>
  <si>
    <t>AUTORIZACION PARA GASTAR</t>
  </si>
</sst>
</file>

<file path=xl/styles.xml><?xml version="1.0" encoding="utf-8"?>
<styleSheet xmlns="http://schemas.openxmlformats.org/spreadsheetml/2006/main">
  <numFmts count="5">
    <numFmt numFmtId="164" formatCode="_-* #,##0.00&quot; €&quot;_-;\-* #,##0.00&quot; €&quot;_-;_-* \-??&quot; €&quot;_-;_-@_-"/>
    <numFmt numFmtId="165" formatCode="[$$-2C0A]\ #,##0.00;[$$-2C0A]&quot; -&quot;#,##0.00"/>
    <numFmt numFmtId="166" formatCode="_(\$* #,##0.00_);_(\$* \(#,##0.00\);_(\$* \-??_);_(@_)"/>
    <numFmt numFmtId="167" formatCode="[$$-2C0A]\ #,##0.00"/>
    <numFmt numFmtId="168" formatCode="dd\-mm\-yy;@"/>
  </numFmts>
  <fonts count="29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sz val="12"/>
      <name val="Times New Roman"/>
      <family val="1"/>
    </font>
    <font>
      <sz val="12"/>
      <name val="Calibri"/>
      <family val="2"/>
    </font>
    <font>
      <sz val="9"/>
      <color theme="1"/>
      <name val="Times New Roman"/>
      <family val="1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</font>
    <font>
      <b/>
      <u/>
      <sz val="10"/>
      <name val="Arial"/>
      <family val="2"/>
      <charset val="1"/>
    </font>
    <font>
      <b/>
      <sz val="12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5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164" fontId="9" fillId="0" borderId="0" applyBorder="0" applyProtection="0"/>
    <xf numFmtId="0" fontId="9" fillId="0" borderId="0"/>
    <xf numFmtId="0" fontId="9" fillId="0" borderId="0"/>
    <xf numFmtId="0" fontId="9" fillId="0" borderId="0"/>
    <xf numFmtId="0" fontId="15" fillId="0" borderId="14" applyProtection="0"/>
    <xf numFmtId="166" fontId="16" fillId="0" borderId="0" applyBorder="0" applyProtection="0"/>
    <xf numFmtId="0" fontId="17" fillId="5" borderId="0" applyBorder="0" applyProtection="0"/>
    <xf numFmtId="9" fontId="9" fillId="0" borderId="0" applyFont="0" applyFill="0" applyBorder="0" applyAlignment="0" applyProtection="0"/>
  </cellStyleXfs>
  <cellXfs count="156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2" borderId="0" xfId="0" applyFont="1" applyFill="1" applyAlignment="1">
      <alignment horizontal="left" wrapText="1" indent="1"/>
    </xf>
    <xf numFmtId="0" fontId="6" fillId="3" borderId="0" xfId="0" applyFont="1" applyFill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2" applyFont="1" applyFill="1" applyBorder="1" applyAlignment="1">
      <alignment vertical="center"/>
    </xf>
    <xf numFmtId="165" fontId="7" fillId="2" borderId="1" xfId="1" applyNumberFormat="1" applyFont="1" applyFill="1" applyBorder="1" applyAlignment="1" applyProtection="1">
      <alignment horizontal="center" vertical="center" wrapText="1"/>
    </xf>
    <xf numFmtId="165" fontId="7" fillId="2" borderId="1" xfId="1" applyNumberFormat="1" applyFont="1" applyFill="1" applyBorder="1" applyAlignment="1" applyProtection="1">
      <alignment horizontal="right" vertical="center" wrapText="1"/>
    </xf>
    <xf numFmtId="0" fontId="8" fillId="2" borderId="2" xfId="0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 applyProtection="1">
      <alignment horizontal="center" vertical="center" wrapText="1"/>
    </xf>
    <xf numFmtId="0" fontId="10" fillId="0" borderId="1" xfId="2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10" fillId="3" borderId="1" xfId="2" applyFont="1" applyFill="1" applyBorder="1" applyAlignment="1">
      <alignment horizontal="left" vertical="center" wrapText="1"/>
    </xf>
    <xf numFmtId="0" fontId="10" fillId="0" borderId="1" xfId="2" applyFont="1" applyFill="1" applyBorder="1" applyAlignment="1">
      <alignment horizontal="left" vertical="center" wrapText="1"/>
    </xf>
    <xf numFmtId="0" fontId="10" fillId="3" borderId="1" xfId="2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 wrapText="1"/>
    </xf>
    <xf numFmtId="0" fontId="10" fillId="0" borderId="1" xfId="2" applyFont="1" applyFill="1" applyBorder="1" applyAlignment="1">
      <alignment vertical="center" wrapText="1"/>
    </xf>
    <xf numFmtId="0" fontId="10" fillId="0" borderId="1" xfId="3" applyFont="1" applyFill="1" applyBorder="1" applyAlignment="1">
      <alignment horizontal="left" vertical="center"/>
    </xf>
    <xf numFmtId="0" fontId="10" fillId="0" borderId="1" xfId="3" applyFont="1" applyFill="1" applyBorder="1" applyAlignment="1">
      <alignment vertical="center"/>
    </xf>
    <xf numFmtId="0" fontId="10" fillId="0" borderId="1" xfId="3" applyFont="1" applyFill="1" applyBorder="1" applyAlignment="1">
      <alignment horizontal="left" vertical="center" wrapText="1"/>
    </xf>
    <xf numFmtId="0" fontId="11" fillId="0" borderId="1" xfId="3" applyFont="1" applyFill="1" applyBorder="1" applyAlignment="1">
      <alignment horizontal="left" vertical="center"/>
    </xf>
    <xf numFmtId="0" fontId="10" fillId="3" borderId="1" xfId="4" applyFont="1" applyFill="1" applyBorder="1" applyAlignment="1">
      <alignment vertical="center"/>
    </xf>
    <xf numFmtId="0" fontId="10" fillId="0" borderId="1" xfId="4" applyFont="1" applyFill="1" applyBorder="1" applyAlignment="1">
      <alignment vertical="center"/>
    </xf>
    <xf numFmtId="0" fontId="10" fillId="0" borderId="1" xfId="4" applyFont="1" applyFill="1" applyBorder="1" applyAlignment="1">
      <alignment vertical="center" wrapText="1"/>
    </xf>
    <xf numFmtId="0" fontId="10" fillId="0" borderId="1" xfId="4" applyFont="1" applyFill="1" applyBorder="1" applyAlignment="1">
      <alignment horizontal="left" vertical="center"/>
    </xf>
    <xf numFmtId="0" fontId="12" fillId="0" borderId="1" xfId="0" applyFont="1" applyFill="1" applyBorder="1" applyAlignment="1">
      <alignment vertical="center" wrapText="1"/>
    </xf>
    <xf numFmtId="0" fontId="10" fillId="3" borderId="3" xfId="2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left" vertical="center" wrapText="1"/>
    </xf>
    <xf numFmtId="165" fontId="13" fillId="2" borderId="1" xfId="1" applyNumberFormat="1" applyFont="1" applyFill="1" applyBorder="1" applyAlignment="1" applyProtection="1">
      <alignment horizontal="right" vertical="center" wrapText="1"/>
    </xf>
    <xf numFmtId="0" fontId="10" fillId="0" borderId="4" xfId="2" applyFont="1" applyFill="1" applyBorder="1" applyAlignment="1">
      <alignment vertical="center" wrapText="1"/>
    </xf>
    <xf numFmtId="0" fontId="10" fillId="0" borderId="5" xfId="2" applyFont="1" applyFill="1" applyBorder="1" applyAlignment="1">
      <alignment vertical="center" wrapText="1"/>
    </xf>
    <xf numFmtId="0" fontId="7" fillId="0" borderId="4" xfId="2" applyFont="1" applyFill="1" applyBorder="1" applyAlignment="1">
      <alignment horizontal="center" vertical="center" wrapText="1"/>
    </xf>
    <xf numFmtId="0" fontId="14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/>
    <xf numFmtId="0" fontId="1" fillId="0" borderId="10" xfId="0" applyFont="1" applyBorder="1"/>
    <xf numFmtId="0" fontId="14" fillId="0" borderId="9" xfId="0" applyFont="1" applyBorder="1" applyAlignment="1">
      <alignment horizontal="left" indent="3"/>
    </xf>
    <xf numFmtId="0" fontId="1" fillId="4" borderId="0" xfId="0" applyFont="1" applyFill="1" applyBorder="1" applyAlignment="1">
      <alignment horizontal="left" wrapText="1"/>
    </xf>
    <xf numFmtId="0" fontId="1" fillId="4" borderId="10" xfId="0" applyFont="1" applyFill="1" applyBorder="1" applyAlignment="1">
      <alignment horizontal="left" wrapText="1"/>
    </xf>
    <xf numFmtId="0" fontId="1" fillId="0" borderId="9" xfId="0" applyFont="1" applyBorder="1" applyAlignment="1">
      <alignment horizontal="left" indent="3"/>
    </xf>
    <xf numFmtId="0" fontId="1" fillId="2" borderId="10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2" borderId="10" xfId="0" applyFont="1" applyFill="1" applyBorder="1" applyAlignment="1">
      <alignment horizontal="left" wrapText="1"/>
    </xf>
    <xf numFmtId="0" fontId="1" fillId="4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left" indent="3"/>
    </xf>
    <xf numFmtId="0" fontId="1" fillId="0" borderId="12" xfId="0" applyFont="1" applyBorder="1"/>
    <xf numFmtId="0" fontId="1" fillId="0" borderId="13" xfId="0" applyFont="1" applyBorder="1"/>
    <xf numFmtId="0" fontId="1" fillId="4" borderId="0" xfId="0" applyFont="1" applyFill="1" applyBorder="1" applyAlignment="1">
      <alignment horizontal="center" wrapText="1"/>
    </xf>
    <xf numFmtId="0" fontId="1" fillId="4" borderId="0" xfId="0" applyFont="1" applyFill="1" applyBorder="1" applyAlignment="1">
      <alignment horizontal="center"/>
    </xf>
    <xf numFmtId="0" fontId="18" fillId="0" borderId="0" xfId="0" applyFont="1" applyBorder="1" applyAlignment="1">
      <alignment horizontal="center" vertical="center"/>
    </xf>
    <xf numFmtId="0" fontId="18" fillId="0" borderId="15" xfId="0" applyFont="1" applyBorder="1" applyAlignment="1">
      <alignment horizontal="right" vertical="center"/>
    </xf>
    <xf numFmtId="0" fontId="19" fillId="2" borderId="16" xfId="0" applyFont="1" applyFill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20" fillId="0" borderId="18" xfId="0" applyFont="1" applyBorder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 wrapText="1" indent="1"/>
    </xf>
    <xf numFmtId="0" fontId="20" fillId="0" borderId="19" xfId="0" applyFont="1" applyBorder="1" applyAlignment="1">
      <alignment horizontal="left" vertical="center" wrapText="1"/>
    </xf>
    <xf numFmtId="0" fontId="20" fillId="0" borderId="20" xfId="0" applyFont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 wrapText="1" indent="1"/>
    </xf>
    <xf numFmtId="0" fontId="20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left" vertical="center" wrapText="1" indent="1"/>
    </xf>
    <xf numFmtId="0" fontId="21" fillId="0" borderId="20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22" fillId="3" borderId="23" xfId="0" applyFont="1" applyFill="1" applyBorder="1" applyAlignment="1">
      <alignment horizontal="left" vertical="center"/>
    </xf>
    <xf numFmtId="0" fontId="22" fillId="3" borderId="23" xfId="0" applyFont="1" applyFill="1" applyBorder="1" applyAlignment="1">
      <alignment horizontal="left" vertical="center" wrapText="1"/>
    </xf>
    <xf numFmtId="0" fontId="22" fillId="2" borderId="23" xfId="0" applyFont="1" applyFill="1" applyBorder="1" applyAlignment="1">
      <alignment horizontal="center" vertical="center"/>
    </xf>
    <xf numFmtId="0" fontId="22" fillId="3" borderId="23" xfId="0" applyFont="1" applyFill="1" applyBorder="1" applyAlignment="1">
      <alignment horizontal="center" vertical="center" wrapText="1"/>
    </xf>
    <xf numFmtId="165" fontId="22" fillId="3" borderId="23" xfId="1" applyNumberFormat="1" applyFont="1" applyFill="1" applyBorder="1" applyAlignment="1" applyProtection="1">
      <alignment horizontal="right" vertical="center" wrapText="1"/>
    </xf>
    <xf numFmtId="3" fontId="22" fillId="3" borderId="23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 indent="1"/>
    </xf>
    <xf numFmtId="167" fontId="20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3" fillId="2" borderId="24" xfId="0" applyFont="1" applyFill="1" applyBorder="1" applyAlignment="1">
      <alignment horizontal="left" vertical="center" wrapText="1" indent="1"/>
    </xf>
    <xf numFmtId="0" fontId="23" fillId="0" borderId="25" xfId="0" applyFont="1" applyBorder="1" applyAlignment="1">
      <alignment vertical="center" wrapText="1"/>
    </xf>
    <xf numFmtId="0" fontId="24" fillId="0" borderId="21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27" xfId="0" applyFont="1" applyBorder="1" applyAlignment="1">
      <alignment vertical="center" wrapText="1"/>
    </xf>
    <xf numFmtId="0" fontId="0" fillId="0" borderId="28" xfId="0" applyBorder="1"/>
    <xf numFmtId="165" fontId="25" fillId="0" borderId="24" xfId="0" applyNumberFormat="1" applyFont="1" applyBorder="1" applyAlignment="1">
      <alignment horizontal="center" vertical="center"/>
    </xf>
    <xf numFmtId="0" fontId="25" fillId="0" borderId="24" xfId="0" applyFont="1" applyBorder="1" applyAlignment="1">
      <alignment horizontal="left" vertical="center" wrapText="1"/>
    </xf>
    <xf numFmtId="165" fontId="0" fillId="0" borderId="29" xfId="6" applyNumberFormat="1" applyFont="1" applyBorder="1" applyAlignment="1" applyProtection="1">
      <alignment horizontal="center" vertical="center"/>
    </xf>
    <xf numFmtId="0" fontId="0" fillId="0" borderId="30" xfId="0" applyBorder="1" applyAlignment="1">
      <alignment horizontal="left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applyBorder="1"/>
    <xf numFmtId="165" fontId="0" fillId="0" borderId="33" xfId="6" applyNumberFormat="1" applyFont="1" applyBorder="1" applyAlignment="1" applyProtection="1">
      <alignment horizontal="center" vertical="center"/>
    </xf>
    <xf numFmtId="0" fontId="0" fillId="0" borderId="34" xfId="0" applyBorder="1" applyAlignment="1">
      <alignment horizontal="left" vertical="center"/>
    </xf>
    <xf numFmtId="0" fontId="23" fillId="0" borderId="34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0" fillId="0" borderId="34" xfId="0" applyFont="1" applyBorder="1" applyAlignment="1">
      <alignment horizontal="left" vertical="center"/>
    </xf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9" fillId="0" borderId="34" xfId="0" applyFont="1" applyBorder="1" applyAlignment="1">
      <alignment horizontal="left" vertical="center"/>
    </xf>
    <xf numFmtId="0" fontId="9" fillId="0" borderId="34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165" fontId="0" fillId="0" borderId="0" xfId="0" applyNumberFormat="1"/>
    <xf numFmtId="0" fontId="26" fillId="0" borderId="34" xfId="0" applyFont="1" applyBorder="1" applyAlignment="1">
      <alignment horizontal="left" vertical="center"/>
    </xf>
    <xf numFmtId="165" fontId="0" fillId="0" borderId="38" xfId="6" applyNumberFormat="1" applyFont="1" applyBorder="1" applyAlignment="1" applyProtection="1">
      <alignment horizontal="center" vertical="center"/>
    </xf>
    <xf numFmtId="0" fontId="26" fillId="0" borderId="39" xfId="0" applyFont="1" applyBorder="1" applyAlignment="1">
      <alignment horizontal="left" vertical="center" wrapText="1"/>
    </xf>
    <xf numFmtId="0" fontId="9" fillId="2" borderId="39" xfId="0" applyFont="1" applyFill="1" applyBorder="1" applyAlignment="1">
      <alignment horizontal="center" vertical="center"/>
    </xf>
    <xf numFmtId="0" fontId="0" fillId="2" borderId="40" xfId="0" applyFont="1" applyFill="1" applyBorder="1" applyAlignment="1">
      <alignment horizontal="center" vertical="center"/>
    </xf>
    <xf numFmtId="0" fontId="0" fillId="2" borderId="39" xfId="0" applyFont="1" applyFill="1" applyBorder="1" applyAlignment="1">
      <alignment horizontal="center" vertical="center"/>
    </xf>
    <xf numFmtId="0" fontId="0" fillId="3" borderId="39" xfId="0" applyFont="1" applyFill="1" applyBorder="1" applyAlignment="1">
      <alignment horizontal="center" vertical="center"/>
    </xf>
    <xf numFmtId="0" fontId="0" fillId="2" borderId="41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left" vertical="center"/>
    </xf>
    <xf numFmtId="0" fontId="25" fillId="0" borderId="4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0" fillId="0" borderId="46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47" xfId="0" applyBorder="1"/>
    <xf numFmtId="0" fontId="23" fillId="0" borderId="42" xfId="0" applyFont="1" applyBorder="1" applyAlignment="1">
      <alignment horizontal="left" vertical="center" wrapText="1" indent="1"/>
    </xf>
    <xf numFmtId="0" fontId="0" fillId="0" borderId="15" xfId="0" applyBorder="1"/>
    <xf numFmtId="0" fontId="23" fillId="0" borderId="48" xfId="0" applyFont="1" applyBorder="1"/>
    <xf numFmtId="0" fontId="27" fillId="0" borderId="16" xfId="0" applyFont="1" applyBorder="1" applyAlignment="1">
      <alignment horizontal="left"/>
    </xf>
    <xf numFmtId="0" fontId="16" fillId="0" borderId="0" xfId="0" applyFont="1"/>
    <xf numFmtId="0" fontId="23" fillId="0" borderId="16" xfId="0" applyFont="1" applyBorder="1" applyAlignment="1">
      <alignment horizontal="left" indent="1"/>
    </xf>
    <xf numFmtId="0" fontId="22" fillId="0" borderId="49" xfId="0" applyFont="1" applyBorder="1" applyAlignment="1">
      <alignment horizontal="left" vertical="center" wrapText="1"/>
    </xf>
    <xf numFmtId="0" fontId="22" fillId="0" borderId="50" xfId="0" applyFont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 wrapText="1"/>
    </xf>
    <xf numFmtId="0" fontId="16" fillId="0" borderId="16" xfId="0" applyFont="1" applyBorder="1"/>
    <xf numFmtId="0" fontId="28" fillId="0" borderId="16" xfId="0" applyFont="1" applyBorder="1" applyAlignment="1">
      <alignment horizontal="center" vertical="center" wrapText="1"/>
    </xf>
    <xf numFmtId="168" fontId="0" fillId="0" borderId="0" xfId="0" applyNumberFormat="1" applyAlignment="1">
      <alignment horizontal="left"/>
    </xf>
    <xf numFmtId="3" fontId="24" fillId="0" borderId="0" xfId="0" applyNumberFormat="1" applyFont="1" applyBorder="1" applyAlignment="1"/>
    <xf numFmtId="3" fontId="24" fillId="0" borderId="51" xfId="0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</cellXfs>
  <cellStyles count="9">
    <cellStyle name="Encabezado 1" xfId="5"/>
    <cellStyle name="Moneda" xfId="1" builtinId="4"/>
    <cellStyle name="Moneda_AUTORIZACION Y NOTA DE PEDIDO" xfId="6"/>
    <cellStyle name="Neutral 1" xfId="7"/>
    <cellStyle name="Normal" xfId="0" builtinId="0"/>
    <cellStyle name="Normal 2" xfId="2"/>
    <cellStyle name="Normal 3" xfId="3"/>
    <cellStyle name="Normal 4" xfId="4"/>
    <cellStyle name="Porcentaje 2" xf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1280340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1280340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1280340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1280340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ACION%20PRIMER%20TRIMESTRE%202021/LIBRERIA%20Y%20TINTAS/LIBRERIA%20Y%20TINTA%20-%20PEDIDO%20CODIFICADO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ecesidades Trimestrales"/>
      <sheetName val="NotaPedido"/>
      <sheetName val="Autor Gastar"/>
    </sheetNames>
    <sheetDataSet>
      <sheetData sheetId="0">
        <row r="4">
          <cell r="C4" t="str">
            <v>40 - Ministerio de Salud</v>
          </cell>
        </row>
        <row r="5">
          <cell r="C5" t="str">
            <v>23 - Hospital Interzonal San Juan Bautista</v>
          </cell>
        </row>
        <row r="6">
          <cell r="C6">
            <v>2021</v>
          </cell>
        </row>
        <row r="7">
          <cell r="C7">
            <v>1</v>
          </cell>
        </row>
        <row r="10">
          <cell r="B10" t="str">
            <v>2.9.2-261.14</v>
          </cell>
          <cell r="E10" t="str">
            <v>ABROCHADORAS DE PAPEL; TIPO: PINZA, P/BROCHES: 10/50, MATERIAL: METALICA, MEDIDA: 10/50</v>
          </cell>
          <cell r="F10" t="str">
            <v>UNIDAD</v>
          </cell>
          <cell r="G10">
            <v>12</v>
          </cell>
          <cell r="H10">
            <v>734.3</v>
          </cell>
        </row>
        <row r="11">
          <cell r="B11" t="str">
            <v>2.9.2-262.4</v>
          </cell>
          <cell r="E11" t="str">
            <v>ADHESIVOS P/PAPEL; PRESENTACION: 250 GR, TIPO: COLA VINILICA</v>
          </cell>
          <cell r="F11" t="str">
            <v>UNIDAD</v>
          </cell>
          <cell r="G11">
            <v>60</v>
          </cell>
          <cell r="H11">
            <v>90.9</v>
          </cell>
        </row>
        <row r="12">
          <cell r="B12" t="str">
            <v>2.9.2-700.28</v>
          </cell>
          <cell r="E12" t="str">
            <v>BROCHES P/ABROCHADORA; NUMERO: 10/50, PRESENTACION: CAJA X 1000 UNIDADES</v>
          </cell>
          <cell r="F12" t="str">
            <v>CAJA</v>
          </cell>
          <cell r="G12">
            <v>300</v>
          </cell>
          <cell r="H12">
            <v>40.700000000000003</v>
          </cell>
        </row>
        <row r="13">
          <cell r="B13" t="str">
            <v>2.9.2-1358.359</v>
          </cell>
          <cell r="E13" t="str">
            <v>CARPETAS; MATERIAL: FIBRA, TAMAÑO: OFICIO</v>
          </cell>
          <cell r="F13" t="str">
            <v>UNIDAD</v>
          </cell>
          <cell r="G13">
            <v>200</v>
          </cell>
          <cell r="H13">
            <v>109.7</v>
          </cell>
        </row>
        <row r="14">
          <cell r="B14" t="str">
            <v>2.9.2-2766.9</v>
          </cell>
          <cell r="E14" t="str">
            <v>CARPETAS P/ENCUADERNACION; TAMAÑO: A4, PEGAMENTO: SIN, MATERIAL LOMO: PLASTICO TRANPARENTE, ESPESOR: 9 mm, TAPA: TRANSPARENTE</v>
          </cell>
          <cell r="F14" t="str">
            <v>UNIDAD</v>
          </cell>
          <cell r="G14">
            <v>200</v>
          </cell>
          <cell r="H14">
            <v>26.4</v>
          </cell>
        </row>
        <row r="15">
          <cell r="B15" t="str">
            <v>2.3.1-6563.814</v>
          </cell>
          <cell r="E15" t="str">
            <v>PAPELES EN HOJA; TIPO DE PAPEL: CARTULINA, DIMENSION: 63 X 44,5 Cm, GRAMAJE: 125, PRESENTACION: UNIDAD, CERTIFICADO FORESTAL (GFS): CON</v>
          </cell>
          <cell r="F15" t="str">
            <v>PLIEGO</v>
          </cell>
          <cell r="G15">
            <v>300</v>
          </cell>
          <cell r="H15">
            <v>16.2</v>
          </cell>
        </row>
        <row r="16">
          <cell r="B16" t="str">
            <v>2.9.2-1153.35</v>
          </cell>
          <cell r="E16" t="str">
            <v>CINTAS ADHESIVAS; TIPO: EMBALAR, COLOR MARRON, ANCHO: 5 Cm, LARGO ROLLO: 50 M, MATERIAL: CELOFAN, ACCESORIO: SIN, LARGO: 50 M</v>
          </cell>
          <cell r="F16" t="str">
            <v>UNIDAD</v>
          </cell>
          <cell r="G16">
            <v>150</v>
          </cell>
          <cell r="H16">
            <v>105.62</v>
          </cell>
        </row>
        <row r="17">
          <cell r="B17" t="str">
            <v>2.9.2-1428.1</v>
          </cell>
          <cell r="E17" t="str">
            <v>BANDAS ELASTICAS; PRESENTACION: CAJA DE 100 GR, ESPESOR: 2 mm, DIAMETRO: 5 Cm</v>
          </cell>
          <cell r="F17" t="str">
            <v>CAJA</v>
          </cell>
          <cell r="G17">
            <v>20</v>
          </cell>
          <cell r="H17">
            <v>97.1</v>
          </cell>
        </row>
        <row r="18">
          <cell r="B18" t="str">
            <v>2.3.1-6587.298</v>
          </cell>
          <cell r="E18" t="str">
            <v>PAPELES ENCUADERNADOS; CANT. DE HOJAS: 100, TAMAÑO: 21 X 16 Cm, TIPO: CUADERNO, CERTIFICADO FORESTAL (GFS): CON, PORC. FIBRAS RECICLADAS: 0 %, CERT. FIBRA ALTERNATIVA (FCA): SIN</v>
          </cell>
          <cell r="F18" t="str">
            <v>UNIDAD</v>
          </cell>
          <cell r="G18">
            <v>120</v>
          </cell>
          <cell r="H18">
            <v>249.01</v>
          </cell>
        </row>
        <row r="19">
          <cell r="B19" t="str">
            <v>2.9.2-1611.11</v>
          </cell>
          <cell r="E19" t="str">
            <v>FOLIOS TRANSPARENTES; TAMAÑO: OFICIO, PERFORACIONES: 5, MATERIAL: POLIPROPILENO</v>
          </cell>
          <cell r="F19" t="str">
            <v>UNIDAD</v>
          </cell>
          <cell r="G19">
            <v>300</v>
          </cell>
          <cell r="H19">
            <v>9</v>
          </cell>
        </row>
        <row r="20">
          <cell r="B20" t="str">
            <v>2.9.2-1611.10</v>
          </cell>
          <cell r="E20" t="str">
            <v>FOLIOS TRANSPARENTES; TAMAÑO: A-4, PERFORACIONES: 5, MATERIAL: POLIPROPILENO</v>
          </cell>
          <cell r="F20" t="str">
            <v>UNIDAD</v>
          </cell>
          <cell r="G20">
            <v>250</v>
          </cell>
          <cell r="H20">
            <v>7.3</v>
          </cell>
        </row>
        <row r="21">
          <cell r="B21" t="str">
            <v>2.9.2-4984.6</v>
          </cell>
          <cell r="E21" t="str">
            <v>LAPICERAS ESTILOGRAFICAS; TIPO: TRAZO GRUESO, MATERIAL: PLASTICO Y METAL , RECARGABLE: NO</v>
          </cell>
          <cell r="F21" t="str">
            <v>UNIDAD</v>
          </cell>
          <cell r="G21">
            <v>1000</v>
          </cell>
          <cell r="H21">
            <v>34.159999999999997</v>
          </cell>
        </row>
        <row r="22">
          <cell r="B22" t="str">
            <v>2.9.2-4984.6</v>
          </cell>
          <cell r="E22" t="str">
            <v>LAPICERAS ESTILOGRAFICAS; TIPO: TRAZO GRUESO, MATERIAL: PLASTICO Y METAL , RECARGABLE: NO</v>
          </cell>
          <cell r="F22" t="str">
            <v>UNIDAD</v>
          </cell>
          <cell r="G22">
            <v>250</v>
          </cell>
          <cell r="H22">
            <v>32.6</v>
          </cell>
        </row>
        <row r="23">
          <cell r="B23" t="str">
            <v>2.9.2-323.4</v>
          </cell>
          <cell r="E23" t="str">
            <v>CORRECTORES DE ESCRITURA; CAPACIDAD: 7 mL, ENVASE: LAPIZ (PUNTA METAL), PRESENTACION: LAPIZ (PUNTA METAL) X 7 mL</v>
          </cell>
          <cell r="F23" t="str">
            <v>UNIDAD</v>
          </cell>
          <cell r="G23">
            <v>200</v>
          </cell>
          <cell r="H23">
            <v>42.6</v>
          </cell>
        </row>
        <row r="24">
          <cell r="B24" t="str">
            <v>2.9.2-848.5</v>
          </cell>
          <cell r="E24" t="str">
            <v>LAPIZ; TIPO: COMUN NRO 2, COLOR: NEGRO</v>
          </cell>
          <cell r="F24" t="str">
            <v>UNIDAD</v>
          </cell>
          <cell r="G24">
            <v>100</v>
          </cell>
          <cell r="H24">
            <v>22.3</v>
          </cell>
        </row>
        <row r="25">
          <cell r="B25" t="str">
            <v>2.3.1-6587.324</v>
          </cell>
          <cell r="E25" t="str">
            <v>PAPELES ENCUADERNADOS; CANT. DE HOJAS: 400, TAMAÑO: 21 X 33 Cm, TIPO: LIBRO DE ACTAS, CERTIFICADO FORESTAL (GFS): SIN, PORC. FIBRAS RECICLADAS: 0 %, CERT. FIBRA ALTERNATIVA (FCA): SIN</v>
          </cell>
          <cell r="F25" t="str">
            <v>UNIDAD</v>
          </cell>
          <cell r="G25">
            <v>25</v>
          </cell>
          <cell r="H25">
            <v>737.7</v>
          </cell>
        </row>
        <row r="26">
          <cell r="B26" t="str">
            <v>2.9.2-1616.80</v>
          </cell>
          <cell r="E26" t="str">
            <v>MARCADORES; TIPO AL AGUA - TRAZO GRUESO - PUNTA REDONDA - RECARGABLE NO</v>
          </cell>
          <cell r="F26" t="str">
            <v>UNIDAD</v>
          </cell>
          <cell r="G26">
            <v>100</v>
          </cell>
          <cell r="H26">
            <v>59.29</v>
          </cell>
        </row>
        <row r="27">
          <cell r="B27" t="str">
            <v>2.9.2-1616.137</v>
          </cell>
          <cell r="E27" t="str">
            <v>MARCADORES; TIPO: INDELEBLE, TRAZO: GRUESO, PUNTA: REDONDA, COLOR: NEGRO, RECARGABLE: NO</v>
          </cell>
          <cell r="F27" t="str">
            <v>UNIDAD</v>
          </cell>
          <cell r="G27">
            <v>200</v>
          </cell>
          <cell r="H27">
            <v>100.18</v>
          </cell>
        </row>
        <row r="28">
          <cell r="B28" t="str">
            <v>2.3.1-6563.968</v>
          </cell>
          <cell r="E28" t="str">
            <v>PAPELES EN HOJA; TIPO DE PAPEL: EXTRA BLANCO, DIMENSION: A4, GRAMAJE: 80 GR, PRESENTACION: RESMA X 500 HOJAS, CERTIFICADO FORESTAL (GFS): SIN, PORC. FIBRAS RECICLADAS: 0 %, CERT. FIBRA ALTERNATIVA (FCA): CON</v>
          </cell>
          <cell r="F28" t="str">
            <v>UNIDAD</v>
          </cell>
          <cell r="G28">
            <v>200</v>
          </cell>
          <cell r="H28">
            <v>445.53</v>
          </cell>
        </row>
        <row r="29">
          <cell r="B29" t="str">
            <v>2.3.1-6563.1009</v>
          </cell>
          <cell r="E29" t="str">
            <v>PAPELES EN HOJA; TIPO DE PAPEL: BLANCO, DIMENSION: OFICIO, GRAMAJE: 80 GR, PRESENTACION: ENVASE X 500 HOJAS, CERTIFICADO FORESTAL (GFS): SIN, PORC. FIBRAS RECICLADAS: 0 %, CERT. FIBRA ALTERNATIVA (FCA): SIN</v>
          </cell>
          <cell r="F29" t="str">
            <v>UNIDAD</v>
          </cell>
          <cell r="G29">
            <v>250</v>
          </cell>
          <cell r="H29">
            <v>548.41999999999996</v>
          </cell>
        </row>
        <row r="30">
          <cell r="B30" t="str">
            <v>2.9.2-660.4</v>
          </cell>
          <cell r="E30" t="str">
            <v>CLIPS P/PAPEL; MATERIAL: METAL, NUMERO: 4, CANT. X CAJA: 100, PRESENTACION: CAJA X 100</v>
          </cell>
          <cell r="F30" t="str">
            <v>CAJA</v>
          </cell>
          <cell r="G30">
            <v>30</v>
          </cell>
          <cell r="H30">
            <v>48.1</v>
          </cell>
        </row>
        <row r="31">
          <cell r="B31" t="str">
            <v>2.3.1-6590.484</v>
          </cell>
          <cell r="E31" t="str">
            <v>SOBRES DE PAPEL; TIPO: MANILA, TAMAÑO: 19 X 24 Cm, GRAMAJE: 80 GR/M2, PRESENTACION: UNIDAD UN, CERTIFICADO FORESTAL (GFS): SIN, PORC. FIBRAS RECICLADAS: SIN VALOR</v>
          </cell>
          <cell r="F31" t="str">
            <v>PAQUETE</v>
          </cell>
          <cell r="G31">
            <v>12</v>
          </cell>
          <cell r="H31">
            <v>7.1</v>
          </cell>
        </row>
        <row r="32">
          <cell r="B32" t="str">
            <v>2.3.1-6590.541</v>
          </cell>
          <cell r="E32" t="str">
            <v>SOBRES DE PAPEL; TIPO: BOLSA DE PAPEL MANILA, TAMAÑO: 24 X 30 Cm, GRAMAJE: 80 GR/M2, PRESENTACION: ENVASE X 100 UN, CERTIFICADO FORESTAL (GFS): SIN, PORC. FIBRAS RECICLADAS: 0 %, CERT. FIBRA ALTERNATIVA (FCA): SIN</v>
          </cell>
          <cell r="F32" t="str">
            <v>PAQUETE</v>
          </cell>
          <cell r="G32">
            <v>15</v>
          </cell>
          <cell r="H32">
            <v>5.51</v>
          </cell>
        </row>
        <row r="33">
          <cell r="B33" t="str">
            <v>2.3.1-6590.465</v>
          </cell>
          <cell r="E33" t="str">
            <v>SOBRES DE PAPEL; TIPO: BOLSA MANILA, TAMAÑO: 30 X 40 Cm, GRAMAJE: 90 GR/M2, PRESENTACION: UNIDAD, CERTIFICADO FORESTAL (GFS): SIN, PORC. FIBRAS RECICLADAS: 0 %</v>
          </cell>
          <cell r="F33" t="str">
            <v>PAQUETE</v>
          </cell>
          <cell r="G33">
            <v>15</v>
          </cell>
          <cell r="H33">
            <v>14.7</v>
          </cell>
        </row>
        <row r="34">
          <cell r="B34" t="str">
            <v>2.9.2-1450.36</v>
          </cell>
          <cell r="E34" t="str">
            <v xml:space="preserve">TINTAS P/SELLOS; TIPO DE SELLO: DE GOMA, PRESENTACION: ENVASE X 28 CM3  </v>
          </cell>
          <cell r="F34" t="str">
            <v>UNIDAD</v>
          </cell>
          <cell r="G34">
            <v>25</v>
          </cell>
          <cell r="H34">
            <v>244.9</v>
          </cell>
        </row>
        <row r="35">
          <cell r="B35" t="str">
            <v>2.9.2-1354.28</v>
          </cell>
          <cell r="E35" t="str">
            <v>RESALTADORES; PUNTA: FINA, ACCESORIO: SIN, COLOR: AMARILLO, TIPO PUNTA: FINA</v>
          </cell>
          <cell r="F35" t="str">
            <v>UNIDAD</v>
          </cell>
          <cell r="G35">
            <v>150</v>
          </cell>
          <cell r="H35">
            <v>81.13</v>
          </cell>
        </row>
        <row r="36">
          <cell r="B36" t="str">
            <v>2.9.2-1354.4</v>
          </cell>
          <cell r="E36" t="str">
            <v>RESALTADORES; ACCESORIO: CON CLIPS, COLOR: ROJO, PUNTA: 5 (CHANFLEADA) mm, TIPO PUNTA: 5 (CHANFLEADA) mm</v>
          </cell>
          <cell r="F36" t="str">
            <v>UNIDAD</v>
          </cell>
          <cell r="G36">
            <v>120</v>
          </cell>
          <cell r="H36">
            <v>81.13</v>
          </cell>
        </row>
        <row r="37">
          <cell r="B37" t="str">
            <v>2.9.2-661.59</v>
          </cell>
          <cell r="E37" t="str">
            <v>GOMAS DE BORRAR; USO: LAPIZ, DIMENSION: 40 X 10 mm, MATERIAL: CAUCHO, PRESENTACION: UNIDAD</v>
          </cell>
          <cell r="F37" t="str">
            <v>UNIDAD</v>
          </cell>
          <cell r="G37">
            <v>150</v>
          </cell>
          <cell r="H37">
            <v>22.4</v>
          </cell>
        </row>
        <row r="38">
          <cell r="B38" t="str">
            <v>2.9.2-850.201</v>
          </cell>
          <cell r="E38" t="str">
            <v>CAJAS DE ARCHIVO; MATERIAL: CARTON, DIMENSION: 45 X 35 X 25 Cm</v>
          </cell>
          <cell r="F38" t="str">
            <v>UNIDAD</v>
          </cell>
          <cell r="G38">
            <v>250</v>
          </cell>
          <cell r="H38">
            <v>184.2</v>
          </cell>
        </row>
        <row r="39">
          <cell r="B39" t="str">
            <v>2.9.6-1355.1368</v>
          </cell>
          <cell r="E39" t="str">
            <v>CARTUCHOS DE TINTA; CODIGO: 840C 6615, USO: HEWLETT PACKARD</v>
          </cell>
          <cell r="F39" t="str">
            <v>UNIDAD</v>
          </cell>
          <cell r="G39">
            <v>9</v>
          </cell>
          <cell r="H39">
            <v>2300</v>
          </cell>
        </row>
        <row r="40">
          <cell r="B40" t="str">
            <v>2.9.6-1355.1369</v>
          </cell>
          <cell r="E40" t="str">
            <v xml:space="preserve">CARTUCHOS DE TINTA; CODIGO: 840C 6625, USO: DESK JET </v>
          </cell>
          <cell r="F40" t="str">
            <v>UNIDAD</v>
          </cell>
          <cell r="G40">
            <v>9</v>
          </cell>
          <cell r="H40">
            <v>2500</v>
          </cell>
        </row>
        <row r="41">
          <cell r="B41" t="str">
            <v>2.9.6-1355.1381</v>
          </cell>
          <cell r="E41" t="str">
            <v>CARTUCHOS DE TINTA; CODIGO: HP 21, USO: IMPRESORA HP DESK JET 3920</v>
          </cell>
          <cell r="F41" t="str">
            <v>UNIDAD</v>
          </cell>
          <cell r="G41">
            <v>25</v>
          </cell>
          <cell r="H41">
            <v>2600</v>
          </cell>
        </row>
        <row r="42">
          <cell r="B42" t="str">
            <v>2.9.6-1355.1140</v>
          </cell>
          <cell r="E42" t="str">
            <v>CARTUCHOS DE TINTA; CODIGO: C9352AL, DESCRIPCION: SIN VALOR, COLOR: SIN VALOR, USO: HEWLETT PACKARD</v>
          </cell>
          <cell r="F42" t="str">
            <v>UNIDAD</v>
          </cell>
          <cell r="G42">
            <v>25</v>
          </cell>
          <cell r="H42">
            <v>2800</v>
          </cell>
        </row>
        <row r="43">
          <cell r="B43" t="str">
            <v>2.9.6-1355.1535</v>
          </cell>
          <cell r="E43" t="str">
            <v>CARTUCHOS DE TINTA; CODIGO: HP 27, USO: HP</v>
          </cell>
          <cell r="F43" t="str">
            <v>UNIDAD</v>
          </cell>
          <cell r="G43">
            <v>6</v>
          </cell>
          <cell r="H43">
            <v>1600</v>
          </cell>
        </row>
        <row r="44">
          <cell r="B44" t="str">
            <v>2.9.6-1355.1534</v>
          </cell>
          <cell r="E44" t="str">
            <v>CARTUCHOS DE TINTA; CODIGO: HP 28, USO: HP</v>
          </cell>
          <cell r="F44" t="str">
            <v>UNIDAD</v>
          </cell>
          <cell r="G44">
            <v>6</v>
          </cell>
          <cell r="H44">
            <v>1950</v>
          </cell>
        </row>
        <row r="45">
          <cell r="B45" t="str">
            <v>2.9.6-401.2193</v>
          </cell>
          <cell r="E45" t="str">
            <v>CARTUCHOS DE TONER; CODIGO: SP 310 DNW, USO: LASER RICOH</v>
          </cell>
          <cell r="F45" t="str">
            <v>UNIDAD</v>
          </cell>
          <cell r="G45">
            <v>21</v>
          </cell>
          <cell r="H45">
            <v>8500</v>
          </cell>
        </row>
        <row r="46">
          <cell r="B46" t="str">
            <v>2.9.6-401.2377</v>
          </cell>
          <cell r="E46" t="str">
            <v>CARTUCHOS DE TONER; CODIGO: CF279A, USO: HEWLETT PACKARD</v>
          </cell>
          <cell r="F46" t="str">
            <v>UNIDAD</v>
          </cell>
          <cell r="G46">
            <v>3</v>
          </cell>
          <cell r="H46">
            <v>790</v>
          </cell>
        </row>
        <row r="47">
          <cell r="B47" t="str">
            <v>2.9.6-1355.1379</v>
          </cell>
          <cell r="E47" t="str">
            <v>CARTUCHOS DE TINTA; CODIGO: C6656A, USO: HP 5650</v>
          </cell>
          <cell r="F47" t="str">
            <v>UNIDAD</v>
          </cell>
          <cell r="G47">
            <v>6</v>
          </cell>
          <cell r="H47">
            <v>1790</v>
          </cell>
        </row>
        <row r="48">
          <cell r="B48" t="str">
            <v>2.9.6-1355.623</v>
          </cell>
          <cell r="E48" t="str">
            <v>CARTUCHOS DE TINTA; CODIGO: C6657A, PRODUCTO: CARTUCHO DE TINTA, COLOR: COLOR, USO: HEWLETT PACKARD, DESCRIPCION: CARTUCHO DE TINTA</v>
          </cell>
          <cell r="F48" t="str">
            <v>UNIDAD</v>
          </cell>
          <cell r="G48">
            <v>6</v>
          </cell>
          <cell r="H48">
            <v>2300</v>
          </cell>
        </row>
        <row r="49">
          <cell r="B49" t="str">
            <v>2.9.6-401.2056</v>
          </cell>
          <cell r="E49" t="str">
            <v>CARTUCHOS DE TONER; CODIGO: CC640WL, USO: HEWLETT PACKARD</v>
          </cell>
          <cell r="F49" t="str">
            <v>UNIDAD</v>
          </cell>
          <cell r="G49">
            <v>21</v>
          </cell>
          <cell r="H49">
            <v>1990</v>
          </cell>
        </row>
        <row r="50">
          <cell r="B50" t="str">
            <v>2.9.6-401.1502</v>
          </cell>
          <cell r="E50" t="str">
            <v>CARTUCHOS DE TINTA; CODIGO: CC643WL, USO: HEWLETT PACKARD</v>
          </cell>
          <cell r="F50" t="str">
            <v>UNIDAD</v>
          </cell>
          <cell r="G50">
            <v>21</v>
          </cell>
          <cell r="H50">
            <v>1890</v>
          </cell>
        </row>
        <row r="51">
          <cell r="B51" t="str">
            <v>2.9.2-1620.1</v>
          </cell>
          <cell r="E51" t="str">
            <v>DISCO COMPACTO; TIPO: VIRGEN, CAPACIDAD: 700 MB</v>
          </cell>
          <cell r="F51" t="str">
            <v>UNIDAD</v>
          </cell>
          <cell r="G51">
            <v>90</v>
          </cell>
          <cell r="H51">
            <v>30</v>
          </cell>
        </row>
        <row r="52">
          <cell r="B52" t="str">
            <v>2.9.6-401.1549</v>
          </cell>
          <cell r="E52" t="str">
            <v>CARTUCHOS DE TONER; CODIGO: CB317WL, USO: HEWLETT PACKARD</v>
          </cell>
          <cell r="F52" t="str">
            <v>UNIDAD</v>
          </cell>
          <cell r="G52">
            <v>3</v>
          </cell>
          <cell r="H52">
            <v>3000</v>
          </cell>
        </row>
        <row r="53">
          <cell r="B53" t="str">
            <v>2.9.6-401.1875</v>
          </cell>
          <cell r="E53" t="str">
            <v>CARTUCHOS DE TONER; CODIGO: CE255, USO: HP 3015</v>
          </cell>
          <cell r="F53" t="str">
            <v>UNIDAD</v>
          </cell>
          <cell r="G53">
            <v>3</v>
          </cell>
          <cell r="H53">
            <v>3200</v>
          </cell>
        </row>
        <row r="54">
          <cell r="B54" t="str">
            <v>2.9.6-401.1486</v>
          </cell>
          <cell r="E54" t="str">
            <v>CARTUCHOS DE TONER; CODIGO: HP 53A, USO: HP</v>
          </cell>
          <cell r="F54" t="str">
            <v>UNIDAD</v>
          </cell>
          <cell r="G54">
            <v>25</v>
          </cell>
          <cell r="H54">
            <v>1500</v>
          </cell>
        </row>
        <row r="55">
          <cell r="B55" t="str">
            <v>2.9.6-401.932</v>
          </cell>
          <cell r="E55" t="str">
            <v>CARTUCHOS DE TONER; CODIGO: Q7551A, COLOR: NEGRO, DESCRIPCION: CARTUCHO TONER, USO: HEWLETT PACKARD</v>
          </cell>
          <cell r="F55" t="str">
            <v>UNIDAD</v>
          </cell>
          <cell r="G55">
            <v>6</v>
          </cell>
          <cell r="H55">
            <v>8500</v>
          </cell>
        </row>
        <row r="56">
          <cell r="B56" t="str">
            <v>2.9.6-401.2024</v>
          </cell>
          <cell r="E56" t="str">
            <v>CARTUCHOS DE TONER; CODIGO: MLT-D111S, USO: SAMSUNG</v>
          </cell>
          <cell r="F56" t="str">
            <v>UNIDAD</v>
          </cell>
          <cell r="G56">
            <v>24</v>
          </cell>
          <cell r="H56">
            <v>6000</v>
          </cell>
        </row>
        <row r="57">
          <cell r="B57" t="str">
            <v>2.9.6-401.1362</v>
          </cell>
          <cell r="E57" t="str">
            <v>CARTUCHOS DE TONER; CODIGO: CE285A, USO: HEWLETT PACKARD</v>
          </cell>
          <cell r="F57" t="str">
            <v>UNIDAD</v>
          </cell>
          <cell r="G57">
            <v>30</v>
          </cell>
          <cell r="H57">
            <v>690</v>
          </cell>
        </row>
        <row r="58">
          <cell r="B58" t="str">
            <v>2.9.6-401.2093</v>
          </cell>
          <cell r="E58" t="str">
            <v>CARTUCHOS DE TONER; CODIGO: SP5210DN, USO: LANIER RICOH</v>
          </cell>
          <cell r="F58" t="str">
            <v>UNIDAD</v>
          </cell>
          <cell r="G58">
            <v>3</v>
          </cell>
          <cell r="H58">
            <v>7700</v>
          </cell>
        </row>
        <row r="59">
          <cell r="B59" t="str">
            <v>2.9.6-401.2045</v>
          </cell>
          <cell r="E59" t="str">
            <v>CARTUCHOS DE TONER; CODIGO: TN 1060, USO: BROTHER</v>
          </cell>
          <cell r="F59" t="str">
            <v>UNIDAD</v>
          </cell>
          <cell r="G59">
            <v>30</v>
          </cell>
          <cell r="H59">
            <v>790</v>
          </cell>
        </row>
        <row r="60">
          <cell r="B60" t="str">
            <v>2.9.6-1355.1631</v>
          </cell>
          <cell r="E60" t="str">
            <v>CARTUCHOS DE TINTA; CODIGO: CH561HL, USO: HEWLETT PACKARD</v>
          </cell>
          <cell r="F60" t="str">
            <v>UNIDAD</v>
          </cell>
          <cell r="G60">
            <v>12</v>
          </cell>
          <cell r="H60">
            <v>1900</v>
          </cell>
        </row>
        <row r="61">
          <cell r="B61" t="str">
            <v>2.9.6-1355.1630</v>
          </cell>
          <cell r="E61" t="str">
            <v>CARTUCHOS DE TINTA; CODIGO: CH562HL, USO: HEWLETT PACKARD</v>
          </cell>
          <cell r="F61" t="str">
            <v>UNIDAD</v>
          </cell>
          <cell r="G61">
            <v>12</v>
          </cell>
          <cell r="H61">
            <v>2300</v>
          </cell>
        </row>
        <row r="62">
          <cell r="B62" t="str">
            <v>2.9.6-1355.1425</v>
          </cell>
          <cell r="E62" t="str">
            <v>CARTUCHOS DE TINTA; CODIGO: CD972AL, USO: HEWLETT PACKARD</v>
          </cell>
          <cell r="F62" t="str">
            <v>UNIDAD</v>
          </cell>
          <cell r="G62">
            <v>3</v>
          </cell>
          <cell r="H62">
            <v>3414</v>
          </cell>
        </row>
        <row r="63">
          <cell r="B63" t="str">
            <v>2.9.6-1355.1426</v>
          </cell>
          <cell r="E63" t="str">
            <v>CARTUCHOS DE TINTA; CODIGO: CD973AL, USO: HEWLETT PACKARD</v>
          </cell>
          <cell r="F63" t="str">
            <v>UNIDAD</v>
          </cell>
          <cell r="G63">
            <v>3</v>
          </cell>
          <cell r="H63">
            <v>3414</v>
          </cell>
        </row>
        <row r="64">
          <cell r="B64" t="str">
            <v>2.9.6-1355.1427</v>
          </cell>
          <cell r="E64" t="str">
            <v>CARTUCHOS DE TINTA; CODIGO: CD974AL, USO: HEWLETT PACKARD</v>
          </cell>
          <cell r="F64" t="str">
            <v>UNIDAD</v>
          </cell>
          <cell r="G64">
            <v>3</v>
          </cell>
          <cell r="H64">
            <v>3414</v>
          </cell>
        </row>
        <row r="65">
          <cell r="B65" t="str">
            <v>2.9.6-401.2294</v>
          </cell>
          <cell r="E65" t="str">
            <v>CARTUCHOS DE TONER; CODIGO: TN-3479, USO: BROTHER</v>
          </cell>
          <cell r="F65" t="str">
            <v>UNIDAD</v>
          </cell>
          <cell r="G65">
            <v>3</v>
          </cell>
          <cell r="H65">
            <v>2500</v>
          </cell>
        </row>
        <row r="66">
          <cell r="B66" t="str">
            <v>2.9.6-401.1755</v>
          </cell>
          <cell r="E66" t="str">
            <v>CARTUCHOS DE TONER; CODIGO: CLT-K406S, USO: SAMSUNG</v>
          </cell>
          <cell r="F66" t="str">
            <v>UNIDAD</v>
          </cell>
          <cell r="G66">
            <v>6</v>
          </cell>
          <cell r="H66">
            <v>2200</v>
          </cell>
        </row>
        <row r="67">
          <cell r="B67" t="str">
            <v>2.9.6-401.1172</v>
          </cell>
          <cell r="E67" t="str">
            <v>CARTUCHOS DE TONER; CODIGO: CC364A, USO: HEWLETT PACKARD</v>
          </cell>
          <cell r="F67" t="str">
            <v>UNIDAD</v>
          </cell>
          <cell r="G67">
            <v>6</v>
          </cell>
          <cell r="H67">
            <v>8500</v>
          </cell>
        </row>
        <row r="68">
          <cell r="B68" t="str">
            <v>2.9.6-401.1859</v>
          </cell>
          <cell r="E68" t="str">
            <v>CARTUCHOS DE TONER; CODIGO: MLT-D101S, USO: SAMSUNG 2165</v>
          </cell>
          <cell r="F68" t="str">
            <v>UNIDAD</v>
          </cell>
          <cell r="G68">
            <v>21</v>
          </cell>
          <cell r="H68">
            <v>1500</v>
          </cell>
        </row>
        <row r="69">
          <cell r="B69" t="str">
            <v>2.9.6-1355.1993</v>
          </cell>
          <cell r="E69" t="str">
            <v>CARTUCHOS DE TINTA; USO: HP, CODIGO: 950XL</v>
          </cell>
          <cell r="F69" t="str">
            <v>UNIDAD</v>
          </cell>
          <cell r="G69">
            <v>3</v>
          </cell>
          <cell r="H69">
            <v>3500</v>
          </cell>
        </row>
        <row r="70">
          <cell r="B70" t="str">
            <v>2.9.6-1355.1750</v>
          </cell>
          <cell r="E70" t="str">
            <v>CARTUCHOS DE TINTA; CODIGO: 951XL, USO: HP</v>
          </cell>
          <cell r="F70" t="str">
            <v>UNIDAD</v>
          </cell>
          <cell r="G70">
            <v>3</v>
          </cell>
          <cell r="H70">
            <v>3600</v>
          </cell>
        </row>
        <row r="71">
          <cell r="B71" t="str">
            <v>2.9.6-1355.1750</v>
          </cell>
          <cell r="E71" t="str">
            <v>CARTUCHOS DE TINTA; CODIGO: 951XL, USO: HP</v>
          </cell>
          <cell r="F71" t="str">
            <v>UNIDAD</v>
          </cell>
          <cell r="G71">
            <v>3</v>
          </cell>
          <cell r="H71">
            <v>3600</v>
          </cell>
        </row>
        <row r="72">
          <cell r="B72" t="str">
            <v>2.9.6-1355.1750</v>
          </cell>
          <cell r="E72" t="str">
            <v>CARTUCHOS DE TINTA; CODIGO: 951XL, USO: HP</v>
          </cell>
          <cell r="F72" t="str">
            <v>UNIDAD</v>
          </cell>
          <cell r="G72">
            <v>3</v>
          </cell>
          <cell r="H72">
            <v>3600</v>
          </cell>
        </row>
        <row r="73">
          <cell r="B73" t="str">
            <v>2.9.6-1355.1858</v>
          </cell>
          <cell r="E73" t="str">
            <v>CARTUCHOS DE TINTA; CODIGO: CZ103XL, USO: HP 3515</v>
          </cell>
          <cell r="F73" t="str">
            <v>UNIDAD</v>
          </cell>
          <cell r="G73">
            <v>24</v>
          </cell>
          <cell r="H73">
            <v>1990</v>
          </cell>
        </row>
        <row r="74">
          <cell r="B74" t="str">
            <v>2.9.6-1355.1859</v>
          </cell>
          <cell r="E74" t="str">
            <v>CARTUCHOS DE TINTA; CODIGO: CZ104XL, USO: HP 3515</v>
          </cell>
          <cell r="F74" t="str">
            <v>UNIDAD</v>
          </cell>
          <cell r="G74">
            <v>24</v>
          </cell>
          <cell r="H74">
            <v>1850</v>
          </cell>
        </row>
        <row r="75">
          <cell r="B75" t="str">
            <v>2.9.6-401.1060</v>
          </cell>
          <cell r="E75" t="str">
            <v>CARTUCHOS DE TONER; CODIGO: HPQ2612A, COLOR: SIN VALOR, DESCRIPCION: SIN VALOR, USO: HEWLETT PACKARD</v>
          </cell>
          <cell r="F75" t="str">
            <v>UNIDAD</v>
          </cell>
          <cell r="G75">
            <v>6</v>
          </cell>
          <cell r="H75">
            <v>790</v>
          </cell>
        </row>
        <row r="76">
          <cell r="B76" t="str">
            <v>2.9.6-401.1097</v>
          </cell>
          <cell r="E76" t="str">
            <v>CARTUCHOS DE TONER; CODIGO: CB435A, USO: HEWLETT PACKARD</v>
          </cell>
          <cell r="F76" t="str">
            <v>UNIDAD</v>
          </cell>
          <cell r="G76">
            <v>6</v>
          </cell>
          <cell r="H76">
            <v>790</v>
          </cell>
        </row>
        <row r="77">
          <cell r="B77" t="str">
            <v>2.9.6-401.1550</v>
          </cell>
          <cell r="E77" t="str">
            <v>CARTUCHOS DE TONER; CODIGO: CB316WL, USO: HEWLETT PACKARD</v>
          </cell>
          <cell r="F77" t="str">
            <v>UNIDAD</v>
          </cell>
          <cell r="G77">
            <v>3</v>
          </cell>
          <cell r="H77">
            <v>2500</v>
          </cell>
        </row>
        <row r="78">
          <cell r="B78" t="str">
            <v>2.9.6-1355.1746</v>
          </cell>
          <cell r="E78" t="str">
            <v>CARTUCHOS DE TINTA; CODIGO: CB318WL, USO: HEWLETT PACKARD</v>
          </cell>
          <cell r="F78" t="str">
            <v>UNIDAD</v>
          </cell>
          <cell r="G78">
            <v>3</v>
          </cell>
          <cell r="H78">
            <v>2290</v>
          </cell>
        </row>
        <row r="79">
          <cell r="B79" t="str">
            <v>2.9.6-1355.1747</v>
          </cell>
          <cell r="E79" t="str">
            <v>CARTUCHOS DE TINTA; CODIGO: CB319WL, USO: HEWLETT PACKARD</v>
          </cell>
          <cell r="F79" t="str">
            <v>UNIDAD</v>
          </cell>
          <cell r="G79">
            <v>3</v>
          </cell>
          <cell r="H79">
            <v>2290</v>
          </cell>
        </row>
        <row r="80">
          <cell r="B80" t="str">
            <v>2.9.6-1355.1748</v>
          </cell>
          <cell r="E80" t="str">
            <v>CARTUCHOS DE TINTA; CODIGO: CB320WL, USO: HEWLETT PACKARD</v>
          </cell>
          <cell r="F80" t="str">
            <v>UNIDAD</v>
          </cell>
          <cell r="G80">
            <v>3</v>
          </cell>
          <cell r="H80">
            <v>2290</v>
          </cell>
        </row>
        <row r="81">
          <cell r="B81" t="str">
            <v>2.9.6-1355.1988</v>
          </cell>
          <cell r="E81" t="str">
            <v>CARTUCHOS DE TINTA; CODIGO: 664, USO: HEWLET PACKARD</v>
          </cell>
          <cell r="F81" t="str">
            <v>UNIDAD</v>
          </cell>
          <cell r="G81">
            <v>9</v>
          </cell>
          <cell r="H81">
            <v>2800</v>
          </cell>
        </row>
        <row r="82">
          <cell r="B82" t="str">
            <v>2.9.6-1355.1988</v>
          </cell>
          <cell r="E82" t="str">
            <v>CARTUCHOS DE TINTA; CODIGO: 664, USO: HEWLET PACKARD</v>
          </cell>
          <cell r="F82" t="str">
            <v>UNIDAD</v>
          </cell>
          <cell r="G82">
            <v>9</v>
          </cell>
          <cell r="H82">
            <v>3000</v>
          </cell>
        </row>
        <row r="83">
          <cell r="B83" t="str">
            <v>2.9.6-1891.822</v>
          </cell>
          <cell r="E83" t="str">
            <v>REP. Y ACC. P/IMPRESORA; MODELO EQUIPO: L3110, MARCA EQUIPO: EPSON, ELEMENTO: BOTELLA DE TINTA</v>
          </cell>
          <cell r="F83" t="str">
            <v>UNIDAD</v>
          </cell>
          <cell r="G83">
            <v>9</v>
          </cell>
          <cell r="H83">
            <v>1000</v>
          </cell>
        </row>
        <row r="84">
          <cell r="B84" t="str">
            <v>2.9.6-1891.822</v>
          </cell>
          <cell r="E84" t="str">
            <v>REP. Y ACC. P/IMPRESORA; MODELO EQUIPO: L3110, MARCA EQUIPO: EPSON, ELEMENTO: BOTELLA DE TINTA</v>
          </cell>
          <cell r="F84" t="str">
            <v>UNIDAD</v>
          </cell>
          <cell r="G84">
            <v>9</v>
          </cell>
          <cell r="H84">
            <v>1000</v>
          </cell>
        </row>
        <row r="85">
          <cell r="B85" t="str">
            <v>2.9.6-1891.822</v>
          </cell>
          <cell r="E85" t="str">
            <v>REP. Y ACC. P/IMPRESORA; MODELO EQUIPO: L3110, MARCA EQUIPO: EPSON, ELEMENTO: BOTELLA DE TINTA</v>
          </cell>
          <cell r="F85" t="str">
            <v>UNIDAD</v>
          </cell>
          <cell r="G85">
            <v>9</v>
          </cell>
          <cell r="H85">
            <v>1000</v>
          </cell>
        </row>
        <row r="86">
          <cell r="B86" t="str">
            <v>2.9.6-1891.822</v>
          </cell>
          <cell r="E86" t="str">
            <v>REP. Y ACC. P/IMPRESORA; MODELO EQUIPO: L3110, MARCA EQUIPO: EPSON, ELEMENTO: BOTELLA DE TINTA</v>
          </cell>
          <cell r="F86" t="str">
            <v>UNIDAD</v>
          </cell>
          <cell r="G86">
            <v>9</v>
          </cell>
          <cell r="H86">
            <v>1000</v>
          </cell>
        </row>
        <row r="87">
          <cell r="B87" t="str">
            <v>2.9.6-401.2128</v>
          </cell>
          <cell r="E87" t="str">
            <v>CARTUCHOS DE TONER; CODIGO: CF226A, USO: HEWLETT PACKARD</v>
          </cell>
          <cell r="F87" t="str">
            <v>UNIDAD</v>
          </cell>
          <cell r="G87">
            <v>6</v>
          </cell>
          <cell r="H87">
            <v>2000</v>
          </cell>
        </row>
        <row r="88">
          <cell r="B88" t="str">
            <v>2.9.6-401.2378</v>
          </cell>
          <cell r="E88" t="str">
            <v>CARTUCHOS DE TONER; CODIGO: W1105A, USO: HEWLETT PACKARD</v>
          </cell>
          <cell r="F88" t="str">
            <v>UNIDAD</v>
          </cell>
          <cell r="G88">
            <v>6</v>
          </cell>
          <cell r="H88">
            <v>1800</v>
          </cell>
        </row>
        <row r="89">
          <cell r="B89" t="str">
            <v>2.9.6-401.2303</v>
          </cell>
          <cell r="E89" t="str">
            <v>CARTUCHOS DE TONER; CODIGO: CF410A, USO: HEWLETT PACKARD</v>
          </cell>
          <cell r="F89" t="str">
            <v>UNIDAD</v>
          </cell>
          <cell r="G89">
            <v>6</v>
          </cell>
          <cell r="H89">
            <v>3000</v>
          </cell>
        </row>
        <row r="90">
          <cell r="B90" t="str">
            <v>2.9.6-401.2304</v>
          </cell>
          <cell r="E90" t="str">
            <v>CARTUCHOS DE TONER; CODIGO: CF411A, USO: HEWLETT PACKARD</v>
          </cell>
          <cell r="F90" t="str">
            <v>UNIDAD</v>
          </cell>
          <cell r="G90">
            <v>4</v>
          </cell>
          <cell r="H90">
            <v>3000</v>
          </cell>
        </row>
        <row r="91">
          <cell r="B91" t="str">
            <v>2.9.6-401.2305</v>
          </cell>
          <cell r="E91" t="str">
            <v>CARTUCHOS DE TONER; CODIGO: CF412A, USO: HEWLETT PACKARD</v>
          </cell>
          <cell r="F91" t="str">
            <v>UNIDAD</v>
          </cell>
          <cell r="G91">
            <v>4</v>
          </cell>
          <cell r="H91">
            <v>3000</v>
          </cell>
        </row>
        <row r="92">
          <cell r="B92" t="str">
            <v>2.9.6-401.2306</v>
          </cell>
          <cell r="E92" t="str">
            <v>CARTUCHOS DE TONER; CODIGO: CF413A, USO: HEWLETT PACKARD</v>
          </cell>
          <cell r="F92" t="str">
            <v>UNIDAD</v>
          </cell>
          <cell r="G92">
            <v>4</v>
          </cell>
          <cell r="H92">
            <v>3000</v>
          </cell>
        </row>
        <row r="93">
          <cell r="B93" t="str">
            <v>2.9.6-401.1136</v>
          </cell>
          <cell r="E93" t="str">
            <v>CARTUCHOS DE TONER; CODIGO: T1200, USO: TOSHIBA</v>
          </cell>
          <cell r="F93" t="str">
            <v>UNIDAD</v>
          </cell>
          <cell r="G93">
            <v>3</v>
          </cell>
          <cell r="H93">
            <v>5400</v>
          </cell>
        </row>
        <row r="94">
          <cell r="B94" t="str">
            <v>2.9.6-401.1289</v>
          </cell>
          <cell r="E94" t="str">
            <v>CARTUCHOS DE TONER; CODIGO: T 1640, USO: TOSHIBA ESTUDIO 166</v>
          </cell>
          <cell r="F94" t="str">
            <v>UNIDAD</v>
          </cell>
          <cell r="G94">
            <v>3</v>
          </cell>
          <cell r="H94">
            <v>7900</v>
          </cell>
        </row>
        <row r="95">
          <cell r="B95" t="str">
            <v>2.9.6-401.2379</v>
          </cell>
          <cell r="E95" t="str">
            <v>CARTUCHOS DE TONER; CODIGO: T-4530A, USO: TOSHIBA</v>
          </cell>
          <cell r="F95" t="str">
            <v>UNIDAD</v>
          </cell>
          <cell r="G95">
            <v>3</v>
          </cell>
          <cell r="H95">
            <v>8900</v>
          </cell>
        </row>
        <row r="96">
          <cell r="B96" t="str">
            <v>2.9.6-401.2328</v>
          </cell>
          <cell r="E96" t="str">
            <v>CARTUCHOS DE TONER; CODIGO: 74710U, USO: TOSHIBA</v>
          </cell>
          <cell r="F96" t="str">
            <v>UNIDAD</v>
          </cell>
          <cell r="G96">
            <v>3</v>
          </cell>
          <cell r="H96">
            <v>15000</v>
          </cell>
        </row>
        <row r="97">
          <cell r="B97" t="str">
            <v>2.9.6-401.2161</v>
          </cell>
          <cell r="E97" t="str">
            <v>CARTUCHOS DE TONER; CODIGO: 841768, USO: RICOH</v>
          </cell>
          <cell r="F97" t="str">
            <v>UNIDAD</v>
          </cell>
          <cell r="G97">
            <v>3</v>
          </cell>
          <cell r="H97">
            <v>5400</v>
          </cell>
        </row>
        <row r="98">
          <cell r="B98" t="str">
            <v>2.9.6-401.2193</v>
          </cell>
          <cell r="E98" t="str">
            <v>CARTUCHOS DE TONER; CODIGO: SP 310 DNW, USO: LASER RICOH</v>
          </cell>
          <cell r="F98" t="str">
            <v>UNIDAD</v>
          </cell>
          <cell r="G98">
            <v>3</v>
          </cell>
          <cell r="H98">
            <v>6500</v>
          </cell>
        </row>
        <row r="99">
          <cell r="B99" t="str">
            <v>2.9.6-401.2285</v>
          </cell>
          <cell r="E99" t="str">
            <v>CARTUCHOS DE TONER; CODIGO: MP 301, USO: RICOH</v>
          </cell>
          <cell r="F99" t="str">
            <v>UNIDAD</v>
          </cell>
          <cell r="G99">
            <v>3</v>
          </cell>
          <cell r="H99">
            <v>4500</v>
          </cell>
        </row>
        <row r="100">
          <cell r="B100" t="str">
            <v>2.9.6-401.2380</v>
          </cell>
          <cell r="E100" t="str">
            <v>CARTUCHOS DE TONER; CODIGO: 408284, USO: RICOH</v>
          </cell>
          <cell r="F100" t="str">
            <v>UNIDAD</v>
          </cell>
          <cell r="G100">
            <v>3</v>
          </cell>
          <cell r="H100">
            <v>7900</v>
          </cell>
        </row>
      </sheetData>
      <sheetData sheetId="1">
        <row r="1">
          <cell r="K1" t="str">
            <v>380 - 2020</v>
          </cell>
        </row>
        <row r="3">
          <cell r="D3" t="str">
            <v>40 - Ministerio de Salud</v>
          </cell>
        </row>
        <row r="4">
          <cell r="D4" t="str">
            <v>23 - Hospital Interzonal San Juan Bautista</v>
          </cell>
        </row>
        <row r="5">
          <cell r="D5" t="str">
            <v>172 - Direccion de Administracion</v>
          </cell>
        </row>
        <row r="6">
          <cell r="D6" t="str">
            <v>Servicio de Deposito Central y Division Patrimonio</v>
          </cell>
        </row>
        <row r="8">
          <cell r="D8" t="str">
            <v>Adquisición de Articulos de Librería e Insumos para Impresoras y fotocopiadoras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466"/>
  <sheetViews>
    <sheetView zoomScale="85" zoomScaleNormal="85" workbookViewId="0">
      <selection activeCell="K10" sqref="K10"/>
    </sheetView>
  </sheetViews>
  <sheetFormatPr baseColWidth="10" defaultColWidth="11" defaultRowHeight="13.2"/>
  <cols>
    <col min="1" max="1" width="4.5546875" style="1" customWidth="1"/>
    <col min="2" max="2" width="12.88671875" style="1" customWidth="1"/>
    <col min="3" max="3" width="32.44140625" style="1" customWidth="1"/>
    <col min="4" max="4" width="8.44140625" style="1" customWidth="1"/>
    <col min="5" max="5" width="79" style="1" customWidth="1"/>
    <col min="6" max="6" width="11" style="1"/>
    <col min="7" max="7" width="12.6640625" style="1" customWidth="1"/>
    <col min="8" max="8" width="13.88671875" style="1" customWidth="1"/>
    <col min="9" max="9" width="18.5546875" style="1" customWidth="1"/>
    <col min="10" max="16384" width="11" style="1"/>
  </cols>
  <sheetData>
    <row r="2" spans="1:9" ht="27.6">
      <c r="B2" s="2" t="s">
        <v>0</v>
      </c>
      <c r="C2" s="2"/>
      <c r="D2" s="2"/>
      <c r="E2" s="2"/>
      <c r="F2" s="2"/>
      <c r="G2" s="2"/>
      <c r="H2" s="2"/>
    </row>
    <row r="4" spans="1:9" ht="18" customHeight="1">
      <c r="A4" s="3" t="s">
        <v>1</v>
      </c>
      <c r="B4" s="3"/>
      <c r="C4" s="4" t="s">
        <v>2</v>
      </c>
      <c r="D4" s="4"/>
      <c r="E4" s="4"/>
      <c r="F4" s="5"/>
      <c r="G4" s="6"/>
      <c r="H4" s="5"/>
    </row>
    <row r="5" spans="1:9" ht="18" customHeight="1">
      <c r="A5" s="3" t="s">
        <v>3</v>
      </c>
      <c r="B5" s="3"/>
      <c r="C5" s="4" t="s">
        <v>4</v>
      </c>
      <c r="D5" s="4"/>
      <c r="E5" s="4"/>
      <c r="F5" s="5"/>
      <c r="G5" s="6"/>
      <c r="H5" s="5"/>
    </row>
    <row r="6" spans="1:9" ht="16.5" customHeight="1">
      <c r="A6" s="3" t="s">
        <v>5</v>
      </c>
      <c r="B6" s="3"/>
      <c r="C6" s="7">
        <v>2021</v>
      </c>
      <c r="D6" s="8"/>
      <c r="E6" s="8"/>
      <c r="F6" s="5"/>
      <c r="G6" s="6"/>
      <c r="H6" s="5"/>
    </row>
    <row r="7" spans="1:9" ht="16.5" customHeight="1">
      <c r="A7" s="3" t="s">
        <v>6</v>
      </c>
      <c r="B7" s="3"/>
      <c r="C7" s="7">
        <v>1</v>
      </c>
      <c r="D7" s="8"/>
      <c r="E7" s="8"/>
      <c r="F7" s="5"/>
      <c r="G7" s="6"/>
      <c r="H7" s="5"/>
    </row>
    <row r="8" spans="1:9" ht="13.8" thickBot="1">
      <c r="B8" s="5"/>
      <c r="C8" s="6"/>
      <c r="D8" s="5"/>
      <c r="E8" s="5"/>
      <c r="F8" s="5"/>
      <c r="G8" s="6"/>
      <c r="H8" s="5"/>
    </row>
    <row r="9" spans="1:9" ht="40.200000000000003" thickBot="1">
      <c r="A9" s="9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9" t="s">
        <v>14</v>
      </c>
      <c r="I9" s="9" t="s">
        <v>15</v>
      </c>
    </row>
    <row r="10" spans="1:9" ht="31.95" customHeight="1" thickBot="1">
      <c r="A10" s="10">
        <v>1</v>
      </c>
      <c r="B10" s="11" t="s">
        <v>16</v>
      </c>
      <c r="C10" s="12" t="s">
        <v>17</v>
      </c>
      <c r="D10" s="13" t="str">
        <f>LEFT(B10,5)</f>
        <v>2.9.2</v>
      </c>
      <c r="E10" s="14" t="s">
        <v>18</v>
      </c>
      <c r="F10" s="11" t="s">
        <v>19</v>
      </c>
      <c r="G10" s="11">
        <v>12</v>
      </c>
      <c r="H10" s="15">
        <v>734.3</v>
      </c>
      <c r="I10" s="16">
        <f t="shared" ref="I10:I73" si="0">G10*H10</f>
        <v>8811.5999999999985</v>
      </c>
    </row>
    <row r="11" spans="1:9" ht="31.95" customHeight="1" thickBot="1">
      <c r="A11" s="10">
        <v>2</v>
      </c>
      <c r="B11" s="11" t="s">
        <v>20</v>
      </c>
      <c r="C11" s="12" t="s">
        <v>17</v>
      </c>
      <c r="D11" s="13" t="str">
        <f t="shared" ref="D11:D74" si="1">LEFT(B11,5)</f>
        <v>2.9.2</v>
      </c>
      <c r="E11" s="14" t="s">
        <v>21</v>
      </c>
      <c r="F11" s="11" t="s">
        <v>19</v>
      </c>
      <c r="G11" s="11">
        <v>60</v>
      </c>
      <c r="H11" s="15">
        <v>90.9</v>
      </c>
      <c r="I11" s="16">
        <f t="shared" si="0"/>
        <v>5454</v>
      </c>
    </row>
    <row r="12" spans="1:9" ht="31.95" customHeight="1" thickBot="1">
      <c r="A12" s="10">
        <v>3</v>
      </c>
      <c r="B12" s="11" t="s">
        <v>22</v>
      </c>
      <c r="C12" s="12" t="s">
        <v>17</v>
      </c>
      <c r="D12" s="13" t="str">
        <f t="shared" si="1"/>
        <v>2.9.2</v>
      </c>
      <c r="E12" s="14" t="s">
        <v>23</v>
      </c>
      <c r="F12" s="11" t="s">
        <v>24</v>
      </c>
      <c r="G12" s="11">
        <v>300</v>
      </c>
      <c r="H12" s="15">
        <v>40.700000000000003</v>
      </c>
      <c r="I12" s="16">
        <f t="shared" si="0"/>
        <v>12210</v>
      </c>
    </row>
    <row r="13" spans="1:9" ht="31.95" customHeight="1" thickBot="1">
      <c r="A13" s="10">
        <v>4</v>
      </c>
      <c r="B13" s="11" t="s">
        <v>25</v>
      </c>
      <c r="C13" s="12" t="s">
        <v>17</v>
      </c>
      <c r="D13" s="13" t="str">
        <f t="shared" si="1"/>
        <v>2.9.2</v>
      </c>
      <c r="E13" s="14" t="s">
        <v>26</v>
      </c>
      <c r="F13" s="11" t="s">
        <v>19</v>
      </c>
      <c r="G13" s="11">
        <v>200</v>
      </c>
      <c r="H13" s="15">
        <v>109.7</v>
      </c>
      <c r="I13" s="16">
        <f t="shared" si="0"/>
        <v>21940</v>
      </c>
    </row>
    <row r="14" spans="1:9" ht="31.95" customHeight="1" thickBot="1">
      <c r="A14" s="10">
        <v>5</v>
      </c>
      <c r="B14" s="11" t="s">
        <v>27</v>
      </c>
      <c r="C14" s="12" t="s">
        <v>17</v>
      </c>
      <c r="D14" s="13" t="str">
        <f t="shared" si="1"/>
        <v>2.9.2</v>
      </c>
      <c r="E14" s="14" t="s">
        <v>28</v>
      </c>
      <c r="F14" s="11" t="s">
        <v>19</v>
      </c>
      <c r="G14" s="11">
        <v>200</v>
      </c>
      <c r="H14" s="15">
        <v>26.4</v>
      </c>
      <c r="I14" s="16">
        <f t="shared" si="0"/>
        <v>5280</v>
      </c>
    </row>
    <row r="15" spans="1:9" ht="31.95" customHeight="1" thickBot="1">
      <c r="A15" s="10">
        <v>6</v>
      </c>
      <c r="B15" s="11" t="s">
        <v>29</v>
      </c>
      <c r="C15" s="12" t="s">
        <v>17</v>
      </c>
      <c r="D15" s="13" t="str">
        <f t="shared" si="1"/>
        <v>2.3.1</v>
      </c>
      <c r="E15" s="14" t="s">
        <v>30</v>
      </c>
      <c r="F15" s="11" t="s">
        <v>31</v>
      </c>
      <c r="G15" s="11">
        <v>300</v>
      </c>
      <c r="H15" s="15">
        <v>16.2</v>
      </c>
      <c r="I15" s="16">
        <f t="shared" si="0"/>
        <v>4860</v>
      </c>
    </row>
    <row r="16" spans="1:9" ht="31.95" customHeight="1" thickBot="1">
      <c r="A16" s="10">
        <v>7</v>
      </c>
      <c r="B16" s="11" t="s">
        <v>32</v>
      </c>
      <c r="C16" s="12" t="s">
        <v>17</v>
      </c>
      <c r="D16" s="13" t="str">
        <f t="shared" si="1"/>
        <v>2.9.2</v>
      </c>
      <c r="E16" s="14" t="s">
        <v>33</v>
      </c>
      <c r="F16" s="11" t="s">
        <v>19</v>
      </c>
      <c r="G16" s="11">
        <v>150</v>
      </c>
      <c r="H16" s="15">
        <v>105.62</v>
      </c>
      <c r="I16" s="16">
        <f t="shared" si="0"/>
        <v>15843</v>
      </c>
    </row>
    <row r="17" spans="1:9" ht="31.95" customHeight="1" thickBot="1">
      <c r="A17" s="10">
        <v>8</v>
      </c>
      <c r="B17" s="11" t="s">
        <v>34</v>
      </c>
      <c r="C17" s="12" t="s">
        <v>17</v>
      </c>
      <c r="D17" s="13" t="str">
        <f t="shared" si="1"/>
        <v>2.9.2</v>
      </c>
      <c r="E17" s="14" t="s">
        <v>35</v>
      </c>
      <c r="F17" s="11" t="s">
        <v>24</v>
      </c>
      <c r="G17" s="11">
        <v>20</v>
      </c>
      <c r="H17" s="15">
        <v>97.1</v>
      </c>
      <c r="I17" s="16">
        <f t="shared" si="0"/>
        <v>1942</v>
      </c>
    </row>
    <row r="18" spans="1:9" ht="31.95" customHeight="1" thickBot="1">
      <c r="A18" s="10">
        <v>9</v>
      </c>
      <c r="B18" s="11" t="s">
        <v>36</v>
      </c>
      <c r="C18" s="12" t="s">
        <v>17</v>
      </c>
      <c r="D18" s="13" t="str">
        <f t="shared" si="1"/>
        <v>2.3.1</v>
      </c>
      <c r="E18" s="14" t="s">
        <v>37</v>
      </c>
      <c r="F18" s="11" t="s">
        <v>19</v>
      </c>
      <c r="G18" s="11">
        <v>120</v>
      </c>
      <c r="H18" s="15">
        <v>249.01</v>
      </c>
      <c r="I18" s="16">
        <f t="shared" si="0"/>
        <v>29881.199999999997</v>
      </c>
    </row>
    <row r="19" spans="1:9" ht="31.95" customHeight="1" thickBot="1">
      <c r="A19" s="10">
        <v>10</v>
      </c>
      <c r="B19" s="11" t="s">
        <v>38</v>
      </c>
      <c r="C19" s="12" t="s">
        <v>17</v>
      </c>
      <c r="D19" s="13" t="str">
        <f t="shared" si="1"/>
        <v>2.9.2</v>
      </c>
      <c r="E19" s="14" t="s">
        <v>39</v>
      </c>
      <c r="F19" s="11" t="s">
        <v>19</v>
      </c>
      <c r="G19" s="11">
        <v>300</v>
      </c>
      <c r="H19" s="15">
        <v>9</v>
      </c>
      <c r="I19" s="16">
        <f t="shared" si="0"/>
        <v>2700</v>
      </c>
    </row>
    <row r="20" spans="1:9" ht="31.95" customHeight="1" thickBot="1">
      <c r="A20" s="10">
        <v>11</v>
      </c>
      <c r="B20" s="11" t="s">
        <v>40</v>
      </c>
      <c r="C20" s="12" t="s">
        <v>17</v>
      </c>
      <c r="D20" s="13" t="str">
        <f t="shared" si="1"/>
        <v>2.9.2</v>
      </c>
      <c r="E20" s="14" t="s">
        <v>41</v>
      </c>
      <c r="F20" s="11" t="s">
        <v>19</v>
      </c>
      <c r="G20" s="11">
        <v>250</v>
      </c>
      <c r="H20" s="15">
        <v>7.3</v>
      </c>
      <c r="I20" s="16">
        <f t="shared" si="0"/>
        <v>1825</v>
      </c>
    </row>
    <row r="21" spans="1:9" ht="31.95" customHeight="1" thickBot="1">
      <c r="A21" s="10">
        <v>12</v>
      </c>
      <c r="B21" s="11" t="s">
        <v>42</v>
      </c>
      <c r="C21" s="12" t="s">
        <v>17</v>
      </c>
      <c r="D21" s="13" t="str">
        <f t="shared" si="1"/>
        <v>2.9.2</v>
      </c>
      <c r="E21" s="14" t="s">
        <v>43</v>
      </c>
      <c r="F21" s="11" t="s">
        <v>19</v>
      </c>
      <c r="G21" s="11">
        <v>1000</v>
      </c>
      <c r="H21" s="15">
        <v>34.159999999999997</v>
      </c>
      <c r="I21" s="16">
        <f t="shared" si="0"/>
        <v>34160</v>
      </c>
    </row>
    <row r="22" spans="1:9" ht="31.95" customHeight="1" thickBot="1">
      <c r="A22" s="10">
        <v>13</v>
      </c>
      <c r="B22" s="11" t="s">
        <v>42</v>
      </c>
      <c r="C22" s="12" t="s">
        <v>17</v>
      </c>
      <c r="D22" s="13" t="str">
        <f t="shared" si="1"/>
        <v>2.9.2</v>
      </c>
      <c r="E22" s="14" t="s">
        <v>43</v>
      </c>
      <c r="F22" s="11" t="s">
        <v>19</v>
      </c>
      <c r="G22" s="11">
        <v>250</v>
      </c>
      <c r="H22" s="15">
        <v>32.6</v>
      </c>
      <c r="I22" s="16">
        <f t="shared" si="0"/>
        <v>8150</v>
      </c>
    </row>
    <row r="23" spans="1:9" ht="31.95" customHeight="1" thickBot="1">
      <c r="A23" s="10">
        <v>14</v>
      </c>
      <c r="B23" s="11" t="s">
        <v>44</v>
      </c>
      <c r="C23" s="12" t="s">
        <v>17</v>
      </c>
      <c r="D23" s="13" t="str">
        <f t="shared" si="1"/>
        <v>2.9.2</v>
      </c>
      <c r="E23" s="14" t="s">
        <v>45</v>
      </c>
      <c r="F23" s="11" t="s">
        <v>19</v>
      </c>
      <c r="G23" s="11">
        <v>200</v>
      </c>
      <c r="H23" s="15">
        <v>42.6</v>
      </c>
      <c r="I23" s="16">
        <f t="shared" si="0"/>
        <v>8520</v>
      </c>
    </row>
    <row r="24" spans="1:9" ht="31.95" customHeight="1" thickBot="1">
      <c r="A24" s="10">
        <v>15</v>
      </c>
      <c r="B24" s="11" t="s">
        <v>46</v>
      </c>
      <c r="C24" s="12" t="s">
        <v>17</v>
      </c>
      <c r="D24" s="13" t="str">
        <f t="shared" si="1"/>
        <v>2.9.2</v>
      </c>
      <c r="E24" s="14" t="s">
        <v>47</v>
      </c>
      <c r="F24" s="11" t="s">
        <v>19</v>
      </c>
      <c r="G24" s="11">
        <v>100</v>
      </c>
      <c r="H24" s="15">
        <v>22.3</v>
      </c>
      <c r="I24" s="16">
        <f t="shared" si="0"/>
        <v>2230</v>
      </c>
    </row>
    <row r="25" spans="1:9" ht="31.95" customHeight="1" thickBot="1">
      <c r="A25" s="10">
        <v>16</v>
      </c>
      <c r="B25" s="11" t="s">
        <v>48</v>
      </c>
      <c r="C25" s="12" t="s">
        <v>17</v>
      </c>
      <c r="D25" s="13" t="str">
        <f t="shared" si="1"/>
        <v>2.3.1</v>
      </c>
      <c r="E25" s="14" t="s">
        <v>49</v>
      </c>
      <c r="F25" s="11" t="s">
        <v>19</v>
      </c>
      <c r="G25" s="11">
        <v>25</v>
      </c>
      <c r="H25" s="15">
        <v>737.7</v>
      </c>
      <c r="I25" s="16">
        <f t="shared" si="0"/>
        <v>18442.5</v>
      </c>
    </row>
    <row r="26" spans="1:9" ht="31.95" customHeight="1" thickBot="1">
      <c r="A26" s="10">
        <v>17</v>
      </c>
      <c r="B26" s="11" t="s">
        <v>50</v>
      </c>
      <c r="C26" s="12" t="s">
        <v>17</v>
      </c>
      <c r="D26" s="13" t="str">
        <f t="shared" si="1"/>
        <v>2.9.2</v>
      </c>
      <c r="E26" s="14" t="s">
        <v>51</v>
      </c>
      <c r="F26" s="11" t="s">
        <v>19</v>
      </c>
      <c r="G26" s="11">
        <v>100</v>
      </c>
      <c r="H26" s="15">
        <v>59.29</v>
      </c>
      <c r="I26" s="16">
        <f t="shared" si="0"/>
        <v>5929</v>
      </c>
    </row>
    <row r="27" spans="1:9" ht="31.95" customHeight="1" thickBot="1">
      <c r="A27" s="10">
        <v>18</v>
      </c>
      <c r="B27" s="11" t="s">
        <v>52</v>
      </c>
      <c r="C27" s="12" t="s">
        <v>17</v>
      </c>
      <c r="D27" s="13" t="str">
        <f t="shared" si="1"/>
        <v>2.9.2</v>
      </c>
      <c r="E27" s="14" t="s">
        <v>53</v>
      </c>
      <c r="F27" s="11" t="s">
        <v>19</v>
      </c>
      <c r="G27" s="11">
        <v>200</v>
      </c>
      <c r="H27" s="15">
        <v>100.18</v>
      </c>
      <c r="I27" s="16">
        <f t="shared" si="0"/>
        <v>20036</v>
      </c>
    </row>
    <row r="28" spans="1:9" ht="31.95" customHeight="1" thickBot="1">
      <c r="A28" s="10">
        <v>19</v>
      </c>
      <c r="B28" s="11" t="s">
        <v>54</v>
      </c>
      <c r="C28" s="12" t="s">
        <v>17</v>
      </c>
      <c r="D28" s="13" t="str">
        <f t="shared" si="1"/>
        <v>2.3.1</v>
      </c>
      <c r="E28" s="14" t="s">
        <v>55</v>
      </c>
      <c r="F28" s="11" t="s">
        <v>19</v>
      </c>
      <c r="G28" s="11">
        <v>200</v>
      </c>
      <c r="H28" s="15">
        <v>445.53</v>
      </c>
      <c r="I28" s="16">
        <f t="shared" si="0"/>
        <v>89106</v>
      </c>
    </row>
    <row r="29" spans="1:9" ht="31.95" customHeight="1" thickBot="1">
      <c r="A29" s="10">
        <v>20</v>
      </c>
      <c r="B29" s="11" t="s">
        <v>56</v>
      </c>
      <c r="C29" s="12" t="s">
        <v>17</v>
      </c>
      <c r="D29" s="13" t="str">
        <f t="shared" si="1"/>
        <v>2.3.1</v>
      </c>
      <c r="E29" s="14" t="s">
        <v>57</v>
      </c>
      <c r="F29" s="11" t="s">
        <v>19</v>
      </c>
      <c r="G29" s="11">
        <v>250</v>
      </c>
      <c r="H29" s="15">
        <v>548.41999999999996</v>
      </c>
      <c r="I29" s="16">
        <f t="shared" si="0"/>
        <v>137105</v>
      </c>
    </row>
    <row r="30" spans="1:9" ht="31.95" customHeight="1" thickBot="1">
      <c r="A30" s="10">
        <v>21</v>
      </c>
      <c r="B30" s="11" t="s">
        <v>58</v>
      </c>
      <c r="C30" s="12" t="s">
        <v>17</v>
      </c>
      <c r="D30" s="13" t="str">
        <f t="shared" si="1"/>
        <v>2.9.2</v>
      </c>
      <c r="E30" s="14" t="s">
        <v>59</v>
      </c>
      <c r="F30" s="11" t="s">
        <v>24</v>
      </c>
      <c r="G30" s="11">
        <v>30</v>
      </c>
      <c r="H30" s="15">
        <v>48.1</v>
      </c>
      <c r="I30" s="16">
        <f t="shared" si="0"/>
        <v>1443</v>
      </c>
    </row>
    <row r="31" spans="1:9" ht="31.95" customHeight="1" thickBot="1">
      <c r="A31" s="10">
        <v>22</v>
      </c>
      <c r="B31" s="11" t="s">
        <v>60</v>
      </c>
      <c r="C31" s="12" t="s">
        <v>17</v>
      </c>
      <c r="D31" s="13" t="str">
        <f t="shared" si="1"/>
        <v>2.3.1</v>
      </c>
      <c r="E31" s="14" t="s">
        <v>61</v>
      </c>
      <c r="F31" s="11" t="s">
        <v>62</v>
      </c>
      <c r="G31" s="11">
        <v>12</v>
      </c>
      <c r="H31" s="15">
        <v>7.1</v>
      </c>
      <c r="I31" s="16">
        <f t="shared" si="0"/>
        <v>85.199999999999989</v>
      </c>
    </row>
    <row r="32" spans="1:9" ht="31.95" customHeight="1" thickBot="1">
      <c r="A32" s="10">
        <v>23</v>
      </c>
      <c r="B32" s="11" t="s">
        <v>63</v>
      </c>
      <c r="C32" s="12" t="s">
        <v>17</v>
      </c>
      <c r="D32" s="13" t="str">
        <f t="shared" si="1"/>
        <v>2.3.1</v>
      </c>
      <c r="E32" s="14" t="s">
        <v>64</v>
      </c>
      <c r="F32" s="11" t="s">
        <v>62</v>
      </c>
      <c r="G32" s="11">
        <v>15</v>
      </c>
      <c r="H32" s="15">
        <v>5.51</v>
      </c>
      <c r="I32" s="16">
        <f t="shared" si="0"/>
        <v>82.649999999999991</v>
      </c>
    </row>
    <row r="33" spans="1:9" ht="31.95" customHeight="1" thickBot="1">
      <c r="A33" s="10">
        <v>24</v>
      </c>
      <c r="B33" s="11" t="s">
        <v>65</v>
      </c>
      <c r="C33" s="12" t="s">
        <v>17</v>
      </c>
      <c r="D33" s="13" t="str">
        <f t="shared" si="1"/>
        <v>2.3.1</v>
      </c>
      <c r="E33" s="14" t="s">
        <v>66</v>
      </c>
      <c r="F33" s="11" t="s">
        <v>62</v>
      </c>
      <c r="G33" s="11">
        <v>15</v>
      </c>
      <c r="H33" s="15">
        <v>14.7</v>
      </c>
      <c r="I33" s="16">
        <f t="shared" si="0"/>
        <v>220.5</v>
      </c>
    </row>
    <row r="34" spans="1:9" ht="31.95" customHeight="1" thickBot="1">
      <c r="A34" s="10">
        <v>25</v>
      </c>
      <c r="B34" s="11" t="s">
        <v>67</v>
      </c>
      <c r="C34" s="12" t="s">
        <v>17</v>
      </c>
      <c r="D34" s="13" t="str">
        <f t="shared" si="1"/>
        <v>2.9.2</v>
      </c>
      <c r="E34" s="14" t="s">
        <v>68</v>
      </c>
      <c r="F34" s="11" t="s">
        <v>19</v>
      </c>
      <c r="G34" s="11">
        <v>25</v>
      </c>
      <c r="H34" s="15">
        <v>244.9</v>
      </c>
      <c r="I34" s="16">
        <f t="shared" si="0"/>
        <v>6122.5</v>
      </c>
    </row>
    <row r="35" spans="1:9" ht="31.95" customHeight="1" thickBot="1">
      <c r="A35" s="10">
        <v>26</v>
      </c>
      <c r="B35" s="11" t="s">
        <v>69</v>
      </c>
      <c r="C35" s="12" t="s">
        <v>17</v>
      </c>
      <c r="D35" s="13" t="str">
        <f t="shared" si="1"/>
        <v>2.9.2</v>
      </c>
      <c r="E35" s="14" t="s">
        <v>70</v>
      </c>
      <c r="F35" s="11" t="s">
        <v>19</v>
      </c>
      <c r="G35" s="11">
        <v>150</v>
      </c>
      <c r="H35" s="15">
        <v>81.13</v>
      </c>
      <c r="I35" s="16">
        <f t="shared" si="0"/>
        <v>12169.5</v>
      </c>
    </row>
    <row r="36" spans="1:9" ht="31.95" customHeight="1" thickBot="1">
      <c r="A36" s="10">
        <v>27</v>
      </c>
      <c r="B36" s="11" t="s">
        <v>71</v>
      </c>
      <c r="C36" s="12" t="s">
        <v>17</v>
      </c>
      <c r="D36" s="13" t="str">
        <f t="shared" si="1"/>
        <v>2.9.2</v>
      </c>
      <c r="E36" s="14" t="s">
        <v>72</v>
      </c>
      <c r="F36" s="11" t="s">
        <v>19</v>
      </c>
      <c r="G36" s="11">
        <v>120</v>
      </c>
      <c r="H36" s="15">
        <v>81.13</v>
      </c>
      <c r="I36" s="16">
        <f t="shared" si="0"/>
        <v>9735.5999999999985</v>
      </c>
    </row>
    <row r="37" spans="1:9" ht="31.95" customHeight="1" thickBot="1">
      <c r="A37" s="10">
        <v>28</v>
      </c>
      <c r="B37" s="11" t="s">
        <v>73</v>
      </c>
      <c r="C37" s="12" t="s">
        <v>17</v>
      </c>
      <c r="D37" s="13" t="str">
        <f t="shared" si="1"/>
        <v>2.9.2</v>
      </c>
      <c r="E37" s="14" t="s">
        <v>74</v>
      </c>
      <c r="F37" s="11" t="s">
        <v>19</v>
      </c>
      <c r="G37" s="11">
        <v>150</v>
      </c>
      <c r="H37" s="15">
        <v>22.4</v>
      </c>
      <c r="I37" s="16">
        <f t="shared" si="0"/>
        <v>3360</v>
      </c>
    </row>
    <row r="38" spans="1:9" ht="31.95" customHeight="1" thickBot="1">
      <c r="A38" s="10">
        <v>29</v>
      </c>
      <c r="B38" s="11" t="s">
        <v>75</v>
      </c>
      <c r="C38" s="12" t="s">
        <v>17</v>
      </c>
      <c r="D38" s="13" t="str">
        <f t="shared" si="1"/>
        <v>2.9.2</v>
      </c>
      <c r="E38" s="14" t="s">
        <v>76</v>
      </c>
      <c r="F38" s="17" t="s">
        <v>19</v>
      </c>
      <c r="G38" s="11">
        <v>250</v>
      </c>
      <c r="H38" s="18">
        <v>184.2</v>
      </c>
      <c r="I38" s="16">
        <f t="shared" si="0"/>
        <v>46050</v>
      </c>
    </row>
    <row r="39" spans="1:9" ht="31.95" customHeight="1" thickBot="1">
      <c r="A39" s="10">
        <v>30</v>
      </c>
      <c r="B39" s="11" t="s">
        <v>77</v>
      </c>
      <c r="C39" s="12" t="s">
        <v>78</v>
      </c>
      <c r="D39" s="13" t="str">
        <f t="shared" si="1"/>
        <v>2.9.6</v>
      </c>
      <c r="E39" s="14" t="s">
        <v>79</v>
      </c>
      <c r="F39" s="17" t="s">
        <v>19</v>
      </c>
      <c r="G39" s="11">
        <v>9</v>
      </c>
      <c r="H39" s="15">
        <v>2300</v>
      </c>
      <c r="I39" s="16">
        <f t="shared" si="0"/>
        <v>20700</v>
      </c>
    </row>
    <row r="40" spans="1:9" ht="31.95" customHeight="1" thickBot="1">
      <c r="A40" s="10">
        <v>31</v>
      </c>
      <c r="B40" s="11" t="s">
        <v>80</v>
      </c>
      <c r="C40" s="12" t="s">
        <v>78</v>
      </c>
      <c r="D40" s="13" t="str">
        <f t="shared" si="1"/>
        <v>2.9.6</v>
      </c>
      <c r="E40" s="14" t="s">
        <v>81</v>
      </c>
      <c r="F40" s="17" t="s">
        <v>19</v>
      </c>
      <c r="G40" s="11">
        <v>9</v>
      </c>
      <c r="H40" s="18">
        <v>2500</v>
      </c>
      <c r="I40" s="16">
        <f t="shared" si="0"/>
        <v>22500</v>
      </c>
    </row>
    <row r="41" spans="1:9" ht="31.95" customHeight="1" thickBot="1">
      <c r="A41" s="10">
        <v>32</v>
      </c>
      <c r="B41" s="11" t="s">
        <v>82</v>
      </c>
      <c r="C41" s="12" t="s">
        <v>78</v>
      </c>
      <c r="D41" s="13" t="str">
        <f t="shared" si="1"/>
        <v>2.9.6</v>
      </c>
      <c r="E41" s="19" t="s">
        <v>83</v>
      </c>
      <c r="F41" s="17" t="s">
        <v>19</v>
      </c>
      <c r="G41" s="11">
        <v>25</v>
      </c>
      <c r="H41" s="15">
        <v>2600</v>
      </c>
      <c r="I41" s="16">
        <f t="shared" si="0"/>
        <v>65000</v>
      </c>
    </row>
    <row r="42" spans="1:9" ht="31.95" customHeight="1" thickBot="1">
      <c r="A42" s="10">
        <v>33</v>
      </c>
      <c r="B42" s="11" t="s">
        <v>84</v>
      </c>
      <c r="C42" s="20" t="s">
        <v>78</v>
      </c>
      <c r="D42" s="13" t="str">
        <f t="shared" si="1"/>
        <v>2.9.6</v>
      </c>
      <c r="E42" s="21" t="s">
        <v>85</v>
      </c>
      <c r="F42" s="17" t="s">
        <v>19</v>
      </c>
      <c r="G42" s="11">
        <v>25</v>
      </c>
      <c r="H42" s="18">
        <v>2800</v>
      </c>
      <c r="I42" s="16">
        <f t="shared" si="0"/>
        <v>70000</v>
      </c>
    </row>
    <row r="43" spans="1:9" ht="31.95" customHeight="1" thickBot="1">
      <c r="A43" s="10">
        <v>34</v>
      </c>
      <c r="B43" s="11" t="s">
        <v>86</v>
      </c>
      <c r="C43" s="12" t="s">
        <v>78</v>
      </c>
      <c r="D43" s="13" t="str">
        <f t="shared" si="1"/>
        <v>2.9.6</v>
      </c>
      <c r="E43" s="19" t="s">
        <v>87</v>
      </c>
      <c r="F43" s="17" t="s">
        <v>19</v>
      </c>
      <c r="G43" s="11">
        <v>6</v>
      </c>
      <c r="H43" s="15">
        <v>1600</v>
      </c>
      <c r="I43" s="16">
        <f t="shared" si="0"/>
        <v>9600</v>
      </c>
    </row>
    <row r="44" spans="1:9" ht="31.95" customHeight="1" thickBot="1">
      <c r="A44" s="10">
        <v>35</v>
      </c>
      <c r="B44" s="11" t="s">
        <v>88</v>
      </c>
      <c r="C44" s="12" t="s">
        <v>78</v>
      </c>
      <c r="D44" s="13" t="str">
        <f t="shared" si="1"/>
        <v>2.9.6</v>
      </c>
      <c r="E44" s="19" t="s">
        <v>89</v>
      </c>
      <c r="F44" s="17" t="s">
        <v>19</v>
      </c>
      <c r="G44" s="11">
        <v>6</v>
      </c>
      <c r="H44" s="18">
        <v>1950</v>
      </c>
      <c r="I44" s="16">
        <f t="shared" si="0"/>
        <v>11700</v>
      </c>
    </row>
    <row r="45" spans="1:9" ht="31.95" customHeight="1" thickBot="1">
      <c r="A45" s="10">
        <v>36</v>
      </c>
      <c r="B45" s="11" t="s">
        <v>90</v>
      </c>
      <c r="C45" s="12" t="s">
        <v>78</v>
      </c>
      <c r="D45" s="13" t="str">
        <f t="shared" si="1"/>
        <v>2.9.6</v>
      </c>
      <c r="E45" s="19" t="s">
        <v>91</v>
      </c>
      <c r="F45" s="17" t="s">
        <v>19</v>
      </c>
      <c r="G45" s="11">
        <v>21</v>
      </c>
      <c r="H45" s="15">
        <v>8500</v>
      </c>
      <c r="I45" s="16">
        <f t="shared" si="0"/>
        <v>178500</v>
      </c>
    </row>
    <row r="46" spans="1:9" ht="31.95" customHeight="1" thickBot="1">
      <c r="A46" s="10">
        <v>37</v>
      </c>
      <c r="B46" s="11" t="s">
        <v>92</v>
      </c>
      <c r="C46" s="20" t="s">
        <v>78</v>
      </c>
      <c r="D46" s="13" t="str">
        <f t="shared" si="1"/>
        <v>2.9.6</v>
      </c>
      <c r="E46" s="19" t="s">
        <v>93</v>
      </c>
      <c r="F46" s="17" t="s">
        <v>19</v>
      </c>
      <c r="G46" s="11">
        <v>3</v>
      </c>
      <c r="H46" s="18">
        <v>790</v>
      </c>
      <c r="I46" s="16">
        <f t="shared" si="0"/>
        <v>2370</v>
      </c>
    </row>
    <row r="47" spans="1:9" ht="31.95" customHeight="1" thickBot="1">
      <c r="A47" s="10">
        <v>38</v>
      </c>
      <c r="B47" s="11" t="s">
        <v>94</v>
      </c>
      <c r="C47" s="12" t="s">
        <v>78</v>
      </c>
      <c r="D47" s="13" t="str">
        <f t="shared" si="1"/>
        <v>2.9.6</v>
      </c>
      <c r="E47" s="19" t="s">
        <v>95</v>
      </c>
      <c r="F47" s="17" t="s">
        <v>19</v>
      </c>
      <c r="G47" s="11">
        <v>6</v>
      </c>
      <c r="H47" s="15">
        <v>1790</v>
      </c>
      <c r="I47" s="16">
        <f t="shared" si="0"/>
        <v>10740</v>
      </c>
    </row>
    <row r="48" spans="1:9" ht="31.95" customHeight="1" thickBot="1">
      <c r="A48" s="10">
        <v>39</v>
      </c>
      <c r="B48" s="11" t="s">
        <v>96</v>
      </c>
      <c r="C48" s="12" t="s">
        <v>78</v>
      </c>
      <c r="D48" s="13" t="str">
        <f t="shared" si="1"/>
        <v>2.9.6</v>
      </c>
      <c r="E48" s="22" t="s">
        <v>97</v>
      </c>
      <c r="F48" s="17" t="s">
        <v>19</v>
      </c>
      <c r="G48" s="11">
        <v>6</v>
      </c>
      <c r="H48" s="18">
        <v>2300</v>
      </c>
      <c r="I48" s="16">
        <f t="shared" si="0"/>
        <v>13800</v>
      </c>
    </row>
    <row r="49" spans="1:9" ht="31.95" customHeight="1" thickBot="1">
      <c r="A49" s="10">
        <v>40</v>
      </c>
      <c r="B49" s="11" t="s">
        <v>98</v>
      </c>
      <c r="C49" s="20" t="s">
        <v>78</v>
      </c>
      <c r="D49" s="13" t="str">
        <f t="shared" si="1"/>
        <v>2.9.6</v>
      </c>
      <c r="E49" s="23" t="s">
        <v>99</v>
      </c>
      <c r="F49" s="17" t="s">
        <v>19</v>
      </c>
      <c r="G49" s="11">
        <v>21</v>
      </c>
      <c r="H49" s="15">
        <v>1990</v>
      </c>
      <c r="I49" s="16">
        <f t="shared" si="0"/>
        <v>41790</v>
      </c>
    </row>
    <row r="50" spans="1:9" ht="31.95" customHeight="1" thickBot="1">
      <c r="A50" s="10">
        <v>41</v>
      </c>
      <c r="B50" s="11" t="s">
        <v>100</v>
      </c>
      <c r="C50" s="20" t="s">
        <v>78</v>
      </c>
      <c r="D50" s="13" t="str">
        <f t="shared" si="1"/>
        <v>2.9.6</v>
      </c>
      <c r="E50" s="23" t="s">
        <v>101</v>
      </c>
      <c r="F50" s="17" t="s">
        <v>19</v>
      </c>
      <c r="G50" s="11">
        <v>21</v>
      </c>
      <c r="H50" s="18">
        <v>1890</v>
      </c>
      <c r="I50" s="16">
        <f t="shared" si="0"/>
        <v>39690</v>
      </c>
    </row>
    <row r="51" spans="1:9" ht="31.95" customHeight="1" thickBot="1">
      <c r="A51" s="10">
        <v>42</v>
      </c>
      <c r="B51" s="11" t="s">
        <v>102</v>
      </c>
      <c r="C51" s="12" t="s">
        <v>103</v>
      </c>
      <c r="D51" s="13" t="str">
        <f t="shared" si="1"/>
        <v>2.9.2</v>
      </c>
      <c r="E51" s="19" t="s">
        <v>104</v>
      </c>
      <c r="F51" s="17" t="s">
        <v>19</v>
      </c>
      <c r="G51" s="11">
        <v>90</v>
      </c>
      <c r="H51" s="15">
        <v>30</v>
      </c>
      <c r="I51" s="16">
        <f t="shared" si="0"/>
        <v>2700</v>
      </c>
    </row>
    <row r="52" spans="1:9" ht="31.95" customHeight="1" thickBot="1">
      <c r="A52" s="10">
        <v>43</v>
      </c>
      <c r="B52" s="11" t="s">
        <v>105</v>
      </c>
      <c r="C52" s="20" t="s">
        <v>78</v>
      </c>
      <c r="D52" s="24" t="str">
        <f t="shared" si="1"/>
        <v>2.9.6</v>
      </c>
      <c r="E52" s="23" t="s">
        <v>106</v>
      </c>
      <c r="F52" s="17" t="s">
        <v>19</v>
      </c>
      <c r="G52" s="11">
        <v>3</v>
      </c>
      <c r="H52" s="18">
        <v>3000</v>
      </c>
      <c r="I52" s="16">
        <f t="shared" si="0"/>
        <v>9000</v>
      </c>
    </row>
    <row r="53" spans="1:9" ht="31.95" customHeight="1" thickBot="1">
      <c r="A53" s="10">
        <v>44</v>
      </c>
      <c r="B53" s="11" t="s">
        <v>107</v>
      </c>
      <c r="C53" s="12" t="s">
        <v>78</v>
      </c>
      <c r="D53" s="13" t="str">
        <f t="shared" si="1"/>
        <v>2.9.6</v>
      </c>
      <c r="E53" s="19" t="s">
        <v>108</v>
      </c>
      <c r="F53" s="17" t="s">
        <v>19</v>
      </c>
      <c r="G53" s="11">
        <v>3</v>
      </c>
      <c r="H53" s="15">
        <v>3200</v>
      </c>
      <c r="I53" s="16">
        <f t="shared" si="0"/>
        <v>9600</v>
      </c>
    </row>
    <row r="54" spans="1:9" ht="31.95" customHeight="1" thickBot="1">
      <c r="A54" s="10">
        <v>45</v>
      </c>
      <c r="B54" s="11" t="s">
        <v>109</v>
      </c>
      <c r="C54" s="12" t="s">
        <v>78</v>
      </c>
      <c r="D54" s="13" t="str">
        <f t="shared" si="1"/>
        <v>2.9.6</v>
      </c>
      <c r="E54" s="19" t="s">
        <v>110</v>
      </c>
      <c r="F54" s="17" t="s">
        <v>19</v>
      </c>
      <c r="G54" s="11">
        <v>25</v>
      </c>
      <c r="H54" s="18">
        <v>1500</v>
      </c>
      <c r="I54" s="16">
        <f t="shared" si="0"/>
        <v>37500</v>
      </c>
    </row>
    <row r="55" spans="1:9" ht="31.95" customHeight="1" thickBot="1">
      <c r="A55" s="10">
        <v>46</v>
      </c>
      <c r="B55" s="11" t="s">
        <v>111</v>
      </c>
      <c r="C55" s="12" t="s">
        <v>78</v>
      </c>
      <c r="D55" s="13" t="str">
        <f t="shared" si="1"/>
        <v>2.9.6</v>
      </c>
      <c r="E55" s="25" t="s">
        <v>112</v>
      </c>
      <c r="F55" s="17" t="s">
        <v>19</v>
      </c>
      <c r="G55" s="11">
        <v>6</v>
      </c>
      <c r="H55" s="15">
        <v>8500</v>
      </c>
      <c r="I55" s="16">
        <f t="shared" si="0"/>
        <v>51000</v>
      </c>
    </row>
    <row r="56" spans="1:9" ht="31.95" customHeight="1" thickBot="1">
      <c r="A56" s="10">
        <v>47</v>
      </c>
      <c r="B56" s="11" t="s">
        <v>113</v>
      </c>
      <c r="C56" s="12" t="s">
        <v>78</v>
      </c>
      <c r="D56" s="13" t="str">
        <f t="shared" si="1"/>
        <v>2.9.6</v>
      </c>
      <c r="E56" s="19" t="s">
        <v>114</v>
      </c>
      <c r="F56" s="17" t="s">
        <v>19</v>
      </c>
      <c r="G56" s="11">
        <v>24</v>
      </c>
      <c r="H56" s="18">
        <v>6000</v>
      </c>
      <c r="I56" s="16">
        <f t="shared" si="0"/>
        <v>144000</v>
      </c>
    </row>
    <row r="57" spans="1:9" ht="31.95" customHeight="1" thickBot="1">
      <c r="A57" s="10">
        <v>48</v>
      </c>
      <c r="B57" s="11" t="s">
        <v>115</v>
      </c>
      <c r="C57" s="12" t="s">
        <v>78</v>
      </c>
      <c r="D57" s="13" t="str">
        <f t="shared" si="1"/>
        <v>2.9.6</v>
      </c>
      <c r="E57" s="19" t="s">
        <v>116</v>
      </c>
      <c r="F57" s="17" t="s">
        <v>19</v>
      </c>
      <c r="G57" s="11">
        <v>30</v>
      </c>
      <c r="H57" s="15">
        <v>690</v>
      </c>
      <c r="I57" s="16">
        <f t="shared" si="0"/>
        <v>20700</v>
      </c>
    </row>
    <row r="58" spans="1:9" ht="31.95" customHeight="1" thickBot="1">
      <c r="A58" s="10">
        <v>49</v>
      </c>
      <c r="B58" s="11" t="s">
        <v>117</v>
      </c>
      <c r="C58" s="12" t="s">
        <v>78</v>
      </c>
      <c r="D58" s="13" t="str">
        <f t="shared" si="1"/>
        <v>2.9.6</v>
      </c>
      <c r="E58" s="19" t="s">
        <v>118</v>
      </c>
      <c r="F58" s="17" t="s">
        <v>19</v>
      </c>
      <c r="G58" s="11">
        <v>3</v>
      </c>
      <c r="H58" s="18">
        <v>7700</v>
      </c>
      <c r="I58" s="16">
        <f t="shared" si="0"/>
        <v>23100</v>
      </c>
    </row>
    <row r="59" spans="1:9" ht="31.95" customHeight="1" thickBot="1">
      <c r="A59" s="10">
        <v>50</v>
      </c>
      <c r="B59" s="11" t="s">
        <v>119</v>
      </c>
      <c r="C59" s="20" t="s">
        <v>78</v>
      </c>
      <c r="D59" s="24" t="str">
        <f t="shared" si="1"/>
        <v>2.9.6</v>
      </c>
      <c r="E59" s="23" t="s">
        <v>120</v>
      </c>
      <c r="F59" s="17" t="s">
        <v>19</v>
      </c>
      <c r="G59" s="11">
        <v>30</v>
      </c>
      <c r="H59" s="15">
        <v>790</v>
      </c>
      <c r="I59" s="16">
        <f t="shared" si="0"/>
        <v>23700</v>
      </c>
    </row>
    <row r="60" spans="1:9" ht="31.95" customHeight="1" thickBot="1">
      <c r="A60" s="10">
        <v>51</v>
      </c>
      <c r="B60" s="11" t="s">
        <v>121</v>
      </c>
      <c r="C60" s="12" t="s">
        <v>78</v>
      </c>
      <c r="D60" s="13" t="str">
        <f t="shared" si="1"/>
        <v>2.9.6</v>
      </c>
      <c r="E60" s="26" t="s">
        <v>122</v>
      </c>
      <c r="F60" s="17" t="s">
        <v>19</v>
      </c>
      <c r="G60" s="11">
        <v>12</v>
      </c>
      <c r="H60" s="18">
        <v>1900</v>
      </c>
      <c r="I60" s="16">
        <f t="shared" si="0"/>
        <v>22800</v>
      </c>
    </row>
    <row r="61" spans="1:9" ht="31.95" customHeight="1" thickBot="1">
      <c r="A61" s="10">
        <v>52</v>
      </c>
      <c r="B61" s="11" t="s">
        <v>123</v>
      </c>
      <c r="C61" s="12" t="s">
        <v>78</v>
      </c>
      <c r="D61" s="13" t="str">
        <f t="shared" si="1"/>
        <v>2.9.6</v>
      </c>
      <c r="E61" s="26" t="s">
        <v>124</v>
      </c>
      <c r="F61" s="17" t="s">
        <v>19</v>
      </c>
      <c r="G61" s="11">
        <v>12</v>
      </c>
      <c r="H61" s="15">
        <v>2300</v>
      </c>
      <c r="I61" s="16">
        <f t="shared" si="0"/>
        <v>27600</v>
      </c>
    </row>
    <row r="62" spans="1:9" ht="31.95" customHeight="1" thickBot="1">
      <c r="A62" s="10">
        <v>53</v>
      </c>
      <c r="B62" s="11" t="s">
        <v>125</v>
      </c>
      <c r="C62" s="12" t="s">
        <v>78</v>
      </c>
      <c r="D62" s="13" t="str">
        <f t="shared" si="1"/>
        <v>2.9.6</v>
      </c>
      <c r="E62" s="26" t="s">
        <v>126</v>
      </c>
      <c r="F62" s="17" t="s">
        <v>19</v>
      </c>
      <c r="G62" s="11">
        <v>3</v>
      </c>
      <c r="H62" s="18">
        <v>3414</v>
      </c>
      <c r="I62" s="16">
        <f t="shared" si="0"/>
        <v>10242</v>
      </c>
    </row>
    <row r="63" spans="1:9" ht="31.95" customHeight="1" thickBot="1">
      <c r="A63" s="10">
        <v>54</v>
      </c>
      <c r="B63" s="11" t="s">
        <v>127</v>
      </c>
      <c r="C63" s="12" t="s">
        <v>78</v>
      </c>
      <c r="D63" s="13" t="str">
        <f t="shared" si="1"/>
        <v>2.9.6</v>
      </c>
      <c r="E63" s="26" t="s">
        <v>128</v>
      </c>
      <c r="F63" s="17" t="s">
        <v>19</v>
      </c>
      <c r="G63" s="11">
        <v>3</v>
      </c>
      <c r="H63" s="15">
        <v>3414</v>
      </c>
      <c r="I63" s="16">
        <f t="shared" si="0"/>
        <v>10242</v>
      </c>
    </row>
    <row r="64" spans="1:9" ht="31.95" customHeight="1" thickBot="1">
      <c r="A64" s="10">
        <v>55</v>
      </c>
      <c r="B64" s="11" t="s">
        <v>129</v>
      </c>
      <c r="C64" s="12" t="s">
        <v>78</v>
      </c>
      <c r="D64" s="13" t="str">
        <f t="shared" si="1"/>
        <v>2.9.6</v>
      </c>
      <c r="E64" s="26" t="s">
        <v>130</v>
      </c>
      <c r="F64" s="17" t="s">
        <v>19</v>
      </c>
      <c r="G64" s="11">
        <v>3</v>
      </c>
      <c r="H64" s="18">
        <v>3414</v>
      </c>
      <c r="I64" s="16">
        <f t="shared" si="0"/>
        <v>10242</v>
      </c>
    </row>
    <row r="65" spans="1:9" ht="31.95" customHeight="1" thickBot="1">
      <c r="A65" s="10">
        <v>56</v>
      </c>
      <c r="B65" s="11" t="s">
        <v>131</v>
      </c>
      <c r="C65" s="12" t="s">
        <v>78</v>
      </c>
      <c r="D65" s="13" t="str">
        <f t="shared" si="1"/>
        <v>2.9.6</v>
      </c>
      <c r="E65" s="26" t="s">
        <v>132</v>
      </c>
      <c r="F65" s="17" t="s">
        <v>19</v>
      </c>
      <c r="G65" s="11">
        <v>3</v>
      </c>
      <c r="H65" s="15">
        <v>2500</v>
      </c>
      <c r="I65" s="16">
        <f t="shared" si="0"/>
        <v>7500</v>
      </c>
    </row>
    <row r="66" spans="1:9" ht="31.95" customHeight="1" thickBot="1">
      <c r="A66" s="10">
        <v>57</v>
      </c>
      <c r="B66" s="11" t="s">
        <v>133</v>
      </c>
      <c r="C66" s="12" t="s">
        <v>78</v>
      </c>
      <c r="D66" s="13" t="str">
        <f t="shared" si="1"/>
        <v>2.9.6</v>
      </c>
      <c r="E66" s="26" t="s">
        <v>134</v>
      </c>
      <c r="F66" s="17" t="s">
        <v>19</v>
      </c>
      <c r="G66" s="11">
        <v>6</v>
      </c>
      <c r="H66" s="18">
        <v>2200</v>
      </c>
      <c r="I66" s="16">
        <f t="shared" si="0"/>
        <v>13200</v>
      </c>
    </row>
    <row r="67" spans="1:9" ht="31.95" customHeight="1" thickBot="1">
      <c r="A67" s="10">
        <v>58</v>
      </c>
      <c r="B67" s="11" t="s">
        <v>135</v>
      </c>
      <c r="C67" s="12" t="s">
        <v>78</v>
      </c>
      <c r="D67" s="13" t="str">
        <f t="shared" si="1"/>
        <v>2.9.6</v>
      </c>
      <c r="E67" s="26" t="s">
        <v>136</v>
      </c>
      <c r="F67" s="17" t="s">
        <v>19</v>
      </c>
      <c r="G67" s="11">
        <v>6</v>
      </c>
      <c r="H67" s="15">
        <v>8500</v>
      </c>
      <c r="I67" s="16">
        <f t="shared" si="0"/>
        <v>51000</v>
      </c>
    </row>
    <row r="68" spans="1:9" ht="31.95" customHeight="1" thickBot="1">
      <c r="A68" s="10">
        <v>59</v>
      </c>
      <c r="B68" s="11" t="s">
        <v>137</v>
      </c>
      <c r="C68" s="12" t="s">
        <v>78</v>
      </c>
      <c r="D68" s="13" t="str">
        <f t="shared" si="1"/>
        <v>2.9.6</v>
      </c>
      <c r="E68" s="26" t="s">
        <v>138</v>
      </c>
      <c r="F68" s="17" t="s">
        <v>19</v>
      </c>
      <c r="G68" s="11">
        <v>21</v>
      </c>
      <c r="H68" s="18">
        <v>1500</v>
      </c>
      <c r="I68" s="16">
        <f t="shared" si="0"/>
        <v>31500</v>
      </c>
    </row>
    <row r="69" spans="1:9" ht="31.95" customHeight="1" thickBot="1">
      <c r="A69" s="10">
        <v>60</v>
      </c>
      <c r="B69" s="11" t="s">
        <v>139</v>
      </c>
      <c r="C69" s="12" t="s">
        <v>78</v>
      </c>
      <c r="D69" s="13" t="str">
        <f t="shared" si="1"/>
        <v>2.9.6</v>
      </c>
      <c r="E69" s="27" t="s">
        <v>140</v>
      </c>
      <c r="F69" s="17" t="s">
        <v>19</v>
      </c>
      <c r="G69" s="11">
        <v>3</v>
      </c>
      <c r="H69" s="15">
        <v>3500</v>
      </c>
      <c r="I69" s="16">
        <f t="shared" si="0"/>
        <v>10500</v>
      </c>
    </row>
    <row r="70" spans="1:9" ht="31.95" customHeight="1" thickBot="1">
      <c r="A70" s="10">
        <v>61</v>
      </c>
      <c r="B70" s="11" t="s">
        <v>141</v>
      </c>
      <c r="C70" s="12" t="s">
        <v>78</v>
      </c>
      <c r="D70" s="13" t="str">
        <f t="shared" si="1"/>
        <v>2.9.6</v>
      </c>
      <c r="E70" s="27" t="s">
        <v>142</v>
      </c>
      <c r="F70" s="17" t="s">
        <v>19</v>
      </c>
      <c r="G70" s="11">
        <v>3</v>
      </c>
      <c r="H70" s="18">
        <v>3600</v>
      </c>
      <c r="I70" s="16">
        <f t="shared" si="0"/>
        <v>10800</v>
      </c>
    </row>
    <row r="71" spans="1:9" ht="31.95" customHeight="1" thickBot="1">
      <c r="A71" s="10">
        <v>62</v>
      </c>
      <c r="B71" s="11" t="s">
        <v>141</v>
      </c>
      <c r="C71" s="12" t="s">
        <v>78</v>
      </c>
      <c r="D71" s="13" t="str">
        <f t="shared" si="1"/>
        <v>2.9.6</v>
      </c>
      <c r="E71" s="27" t="s">
        <v>142</v>
      </c>
      <c r="F71" s="17" t="s">
        <v>19</v>
      </c>
      <c r="G71" s="11">
        <v>3</v>
      </c>
      <c r="H71" s="15">
        <v>3600</v>
      </c>
      <c r="I71" s="16">
        <f t="shared" si="0"/>
        <v>10800</v>
      </c>
    </row>
    <row r="72" spans="1:9" ht="31.95" customHeight="1" thickBot="1">
      <c r="A72" s="10">
        <v>63</v>
      </c>
      <c r="B72" s="11" t="s">
        <v>141</v>
      </c>
      <c r="C72" s="12" t="s">
        <v>78</v>
      </c>
      <c r="D72" s="13" t="str">
        <f t="shared" si="1"/>
        <v>2.9.6</v>
      </c>
      <c r="E72" s="27" t="s">
        <v>142</v>
      </c>
      <c r="F72" s="17" t="s">
        <v>19</v>
      </c>
      <c r="G72" s="11">
        <v>3</v>
      </c>
      <c r="H72" s="18">
        <v>3600</v>
      </c>
      <c r="I72" s="16">
        <f t="shared" si="0"/>
        <v>10800</v>
      </c>
    </row>
    <row r="73" spans="1:9" ht="31.95" customHeight="1" thickBot="1">
      <c r="A73" s="10">
        <v>64</v>
      </c>
      <c r="B73" s="11" t="s">
        <v>143</v>
      </c>
      <c r="C73" s="12" t="s">
        <v>78</v>
      </c>
      <c r="D73" s="13" t="str">
        <f t="shared" si="1"/>
        <v>2.9.6</v>
      </c>
      <c r="E73" s="26" t="s">
        <v>144</v>
      </c>
      <c r="F73" s="17" t="s">
        <v>19</v>
      </c>
      <c r="G73" s="11">
        <v>24</v>
      </c>
      <c r="H73" s="15">
        <v>1990</v>
      </c>
      <c r="I73" s="16">
        <f t="shared" si="0"/>
        <v>47760</v>
      </c>
    </row>
    <row r="74" spans="1:9" ht="31.95" customHeight="1" thickBot="1">
      <c r="A74" s="10">
        <v>65</v>
      </c>
      <c r="B74" s="11" t="s">
        <v>145</v>
      </c>
      <c r="C74" s="12" t="s">
        <v>78</v>
      </c>
      <c r="D74" s="13" t="str">
        <f t="shared" si="1"/>
        <v>2.9.6</v>
      </c>
      <c r="E74" s="28" t="s">
        <v>146</v>
      </c>
      <c r="F74" s="17" t="s">
        <v>19</v>
      </c>
      <c r="G74" s="11">
        <v>24</v>
      </c>
      <c r="H74" s="18">
        <v>1850</v>
      </c>
      <c r="I74" s="16">
        <f t="shared" ref="I74:I100" si="2">G74*H74</f>
        <v>44400</v>
      </c>
    </row>
    <row r="75" spans="1:9" ht="31.95" customHeight="1" thickBot="1">
      <c r="A75" s="10">
        <v>66</v>
      </c>
      <c r="B75" s="11" t="s">
        <v>147</v>
      </c>
      <c r="C75" s="12" t="s">
        <v>78</v>
      </c>
      <c r="D75" s="13" t="str">
        <f t="shared" ref="D75:D100" si="3">LEFT(B75,5)</f>
        <v>2.9.6</v>
      </c>
      <c r="E75" s="28" t="s">
        <v>148</v>
      </c>
      <c r="F75" s="17" t="s">
        <v>19</v>
      </c>
      <c r="G75" s="11">
        <v>6</v>
      </c>
      <c r="H75" s="15">
        <v>790</v>
      </c>
      <c r="I75" s="16">
        <f t="shared" si="2"/>
        <v>4740</v>
      </c>
    </row>
    <row r="76" spans="1:9" ht="31.95" customHeight="1" thickBot="1">
      <c r="A76" s="10">
        <v>67</v>
      </c>
      <c r="B76" s="11" t="s">
        <v>149</v>
      </c>
      <c r="C76" s="12" t="s">
        <v>78</v>
      </c>
      <c r="D76" s="13" t="str">
        <f t="shared" si="3"/>
        <v>2.9.6</v>
      </c>
      <c r="E76" s="26" t="s">
        <v>150</v>
      </c>
      <c r="F76" s="17" t="s">
        <v>19</v>
      </c>
      <c r="G76" s="11">
        <v>6</v>
      </c>
      <c r="H76" s="18">
        <v>790</v>
      </c>
      <c r="I76" s="16">
        <f t="shared" si="2"/>
        <v>4740</v>
      </c>
    </row>
    <row r="77" spans="1:9" ht="31.95" customHeight="1" thickBot="1">
      <c r="A77" s="10">
        <v>68</v>
      </c>
      <c r="B77" s="11" t="s">
        <v>151</v>
      </c>
      <c r="C77" s="12" t="s">
        <v>78</v>
      </c>
      <c r="D77" s="13" t="str">
        <f t="shared" si="3"/>
        <v>2.9.6</v>
      </c>
      <c r="E77" s="29" t="s">
        <v>152</v>
      </c>
      <c r="F77" s="17" t="s">
        <v>19</v>
      </c>
      <c r="G77" s="11">
        <v>3</v>
      </c>
      <c r="H77" s="15">
        <v>2500</v>
      </c>
      <c r="I77" s="16">
        <f t="shared" si="2"/>
        <v>7500</v>
      </c>
    </row>
    <row r="78" spans="1:9" ht="31.95" customHeight="1" thickBot="1">
      <c r="A78" s="10">
        <v>69</v>
      </c>
      <c r="B78" s="11" t="s">
        <v>153</v>
      </c>
      <c r="C78" s="12" t="s">
        <v>78</v>
      </c>
      <c r="D78" s="13" t="str">
        <f t="shared" si="3"/>
        <v>2.9.6</v>
      </c>
      <c r="E78" s="29" t="s">
        <v>154</v>
      </c>
      <c r="F78" s="17" t="s">
        <v>19</v>
      </c>
      <c r="G78" s="11">
        <v>3</v>
      </c>
      <c r="H78" s="18">
        <v>2290</v>
      </c>
      <c r="I78" s="16">
        <f t="shared" si="2"/>
        <v>6870</v>
      </c>
    </row>
    <row r="79" spans="1:9" ht="31.95" customHeight="1" thickBot="1">
      <c r="A79" s="10">
        <v>70</v>
      </c>
      <c r="B79" s="11" t="s">
        <v>155</v>
      </c>
      <c r="C79" s="12" t="s">
        <v>78</v>
      </c>
      <c r="D79" s="13" t="str">
        <f t="shared" si="3"/>
        <v>2.9.6</v>
      </c>
      <c r="E79" s="29" t="s">
        <v>156</v>
      </c>
      <c r="F79" s="17" t="s">
        <v>19</v>
      </c>
      <c r="G79" s="11">
        <v>3</v>
      </c>
      <c r="H79" s="15">
        <v>2290</v>
      </c>
      <c r="I79" s="16">
        <f t="shared" si="2"/>
        <v>6870</v>
      </c>
    </row>
    <row r="80" spans="1:9" ht="31.95" customHeight="1" thickBot="1">
      <c r="A80" s="10">
        <v>71</v>
      </c>
      <c r="B80" s="11" t="s">
        <v>157</v>
      </c>
      <c r="C80" s="12" t="s">
        <v>78</v>
      </c>
      <c r="D80" s="13" t="str">
        <f t="shared" si="3"/>
        <v>2.9.6</v>
      </c>
      <c r="E80" s="29" t="s">
        <v>158</v>
      </c>
      <c r="F80" s="17" t="s">
        <v>19</v>
      </c>
      <c r="G80" s="11">
        <v>3</v>
      </c>
      <c r="H80" s="18">
        <v>2290</v>
      </c>
      <c r="I80" s="16">
        <f t="shared" si="2"/>
        <v>6870</v>
      </c>
    </row>
    <row r="81" spans="1:9" ht="31.95" customHeight="1" thickBot="1">
      <c r="A81" s="10">
        <v>72</v>
      </c>
      <c r="B81" s="11" t="s">
        <v>159</v>
      </c>
      <c r="C81" s="12" t="s">
        <v>78</v>
      </c>
      <c r="D81" s="13" t="str">
        <f t="shared" si="3"/>
        <v>2.9.6</v>
      </c>
      <c r="E81" s="30" t="s">
        <v>160</v>
      </c>
      <c r="F81" s="17" t="s">
        <v>19</v>
      </c>
      <c r="G81" s="11">
        <v>9</v>
      </c>
      <c r="H81" s="15">
        <v>2800</v>
      </c>
      <c r="I81" s="16">
        <f t="shared" si="2"/>
        <v>25200</v>
      </c>
    </row>
    <row r="82" spans="1:9" ht="31.95" customHeight="1" thickBot="1">
      <c r="A82" s="10">
        <v>73</v>
      </c>
      <c r="B82" s="11" t="s">
        <v>159</v>
      </c>
      <c r="C82" s="20" t="s">
        <v>78</v>
      </c>
      <c r="D82" s="13" t="str">
        <f t="shared" si="3"/>
        <v>2.9.6</v>
      </c>
      <c r="E82" s="31" t="s">
        <v>160</v>
      </c>
      <c r="F82" s="17" t="s">
        <v>19</v>
      </c>
      <c r="G82" s="11">
        <v>9</v>
      </c>
      <c r="H82" s="18">
        <v>3000</v>
      </c>
      <c r="I82" s="16">
        <f t="shared" si="2"/>
        <v>27000</v>
      </c>
    </row>
    <row r="83" spans="1:9" ht="31.95" customHeight="1" thickBot="1">
      <c r="A83" s="10">
        <v>74</v>
      </c>
      <c r="B83" s="11" t="s">
        <v>161</v>
      </c>
      <c r="C83" s="20" t="s">
        <v>78</v>
      </c>
      <c r="D83" s="24" t="str">
        <f t="shared" si="3"/>
        <v>2.9.6</v>
      </c>
      <c r="E83" s="31" t="s">
        <v>162</v>
      </c>
      <c r="F83" s="17" t="s">
        <v>19</v>
      </c>
      <c r="G83" s="11">
        <v>9</v>
      </c>
      <c r="H83" s="15">
        <v>1000</v>
      </c>
      <c r="I83" s="16">
        <f t="shared" si="2"/>
        <v>9000</v>
      </c>
    </row>
    <row r="84" spans="1:9" ht="31.95" customHeight="1" thickBot="1">
      <c r="A84" s="10">
        <v>75</v>
      </c>
      <c r="B84" s="11" t="s">
        <v>161</v>
      </c>
      <c r="C84" s="20" t="s">
        <v>78</v>
      </c>
      <c r="D84" s="24" t="str">
        <f t="shared" si="3"/>
        <v>2.9.6</v>
      </c>
      <c r="E84" s="31" t="s">
        <v>162</v>
      </c>
      <c r="F84" s="17" t="s">
        <v>19</v>
      </c>
      <c r="G84" s="11">
        <v>9</v>
      </c>
      <c r="H84" s="18">
        <v>1000</v>
      </c>
      <c r="I84" s="16">
        <f t="shared" si="2"/>
        <v>9000</v>
      </c>
    </row>
    <row r="85" spans="1:9" ht="31.95" customHeight="1" thickBot="1">
      <c r="A85" s="10">
        <v>76</v>
      </c>
      <c r="B85" s="11" t="s">
        <v>161</v>
      </c>
      <c r="C85" s="20" t="s">
        <v>78</v>
      </c>
      <c r="D85" s="24" t="str">
        <f t="shared" si="3"/>
        <v>2.9.6</v>
      </c>
      <c r="E85" s="32" t="s">
        <v>162</v>
      </c>
      <c r="F85" s="17" t="s">
        <v>19</v>
      </c>
      <c r="G85" s="11">
        <v>9</v>
      </c>
      <c r="H85" s="15">
        <v>1000</v>
      </c>
      <c r="I85" s="16">
        <f t="shared" si="2"/>
        <v>9000</v>
      </c>
    </row>
    <row r="86" spans="1:9" ht="31.95" customHeight="1" thickBot="1">
      <c r="A86" s="10">
        <v>77</v>
      </c>
      <c r="B86" s="11" t="s">
        <v>161</v>
      </c>
      <c r="C86" s="20" t="s">
        <v>78</v>
      </c>
      <c r="D86" s="24" t="str">
        <f t="shared" si="3"/>
        <v>2.9.6</v>
      </c>
      <c r="E86" s="31" t="s">
        <v>162</v>
      </c>
      <c r="F86" s="17" t="s">
        <v>19</v>
      </c>
      <c r="G86" s="11">
        <v>9</v>
      </c>
      <c r="H86" s="18">
        <v>1000</v>
      </c>
      <c r="I86" s="16">
        <f t="shared" si="2"/>
        <v>9000</v>
      </c>
    </row>
    <row r="87" spans="1:9" ht="31.95" customHeight="1" thickBot="1">
      <c r="A87" s="10">
        <v>78</v>
      </c>
      <c r="B87" s="11" t="s">
        <v>163</v>
      </c>
      <c r="C87" s="20" t="s">
        <v>78</v>
      </c>
      <c r="D87" s="13" t="str">
        <f t="shared" si="3"/>
        <v>2.9.6</v>
      </c>
      <c r="E87" s="33" t="s">
        <v>164</v>
      </c>
      <c r="F87" s="17" t="s">
        <v>19</v>
      </c>
      <c r="G87" s="11">
        <v>6</v>
      </c>
      <c r="H87" s="15">
        <v>2000</v>
      </c>
      <c r="I87" s="16">
        <f t="shared" si="2"/>
        <v>12000</v>
      </c>
    </row>
    <row r="88" spans="1:9" ht="31.95" customHeight="1" thickBot="1">
      <c r="A88" s="10">
        <v>79</v>
      </c>
      <c r="B88" s="11" t="s">
        <v>165</v>
      </c>
      <c r="C88" s="20" t="s">
        <v>78</v>
      </c>
      <c r="D88" s="24" t="str">
        <f t="shared" si="3"/>
        <v>2.9.6</v>
      </c>
      <c r="E88" s="33" t="s">
        <v>166</v>
      </c>
      <c r="F88" s="17" t="s">
        <v>19</v>
      </c>
      <c r="G88" s="11">
        <v>6</v>
      </c>
      <c r="H88" s="18">
        <v>1800</v>
      </c>
      <c r="I88" s="16">
        <f t="shared" si="2"/>
        <v>10800</v>
      </c>
    </row>
    <row r="89" spans="1:9" ht="31.95" customHeight="1" thickBot="1">
      <c r="A89" s="10">
        <v>80</v>
      </c>
      <c r="B89" s="11" t="s">
        <v>167</v>
      </c>
      <c r="C89" s="12" t="s">
        <v>78</v>
      </c>
      <c r="D89" s="13" t="str">
        <f t="shared" si="3"/>
        <v>2.9.6</v>
      </c>
      <c r="E89" s="34" t="s">
        <v>168</v>
      </c>
      <c r="F89" s="11" t="s">
        <v>19</v>
      </c>
      <c r="G89" s="11">
        <v>6</v>
      </c>
      <c r="H89" s="15">
        <v>3000</v>
      </c>
      <c r="I89" s="16">
        <f t="shared" si="2"/>
        <v>18000</v>
      </c>
    </row>
    <row r="90" spans="1:9" ht="31.95" customHeight="1" thickBot="1">
      <c r="A90" s="10">
        <v>81</v>
      </c>
      <c r="B90" s="11" t="s">
        <v>169</v>
      </c>
      <c r="C90" s="12" t="s">
        <v>78</v>
      </c>
      <c r="D90" s="13" t="str">
        <f t="shared" si="3"/>
        <v>2.9.6</v>
      </c>
      <c r="E90" s="34" t="s">
        <v>170</v>
      </c>
      <c r="F90" s="11" t="s">
        <v>19</v>
      </c>
      <c r="G90" s="11">
        <v>4</v>
      </c>
      <c r="H90" s="15">
        <v>3000</v>
      </c>
      <c r="I90" s="16">
        <f t="shared" si="2"/>
        <v>12000</v>
      </c>
    </row>
    <row r="91" spans="1:9" ht="31.95" customHeight="1" thickBot="1">
      <c r="A91" s="10">
        <v>82</v>
      </c>
      <c r="B91" s="11" t="s">
        <v>171</v>
      </c>
      <c r="C91" s="12" t="s">
        <v>78</v>
      </c>
      <c r="D91" s="13" t="str">
        <f t="shared" si="3"/>
        <v>2.9.6</v>
      </c>
      <c r="E91" s="34" t="s">
        <v>172</v>
      </c>
      <c r="F91" s="11" t="s">
        <v>19</v>
      </c>
      <c r="G91" s="11">
        <v>4</v>
      </c>
      <c r="H91" s="15">
        <v>3000</v>
      </c>
      <c r="I91" s="16">
        <f t="shared" si="2"/>
        <v>12000</v>
      </c>
    </row>
    <row r="92" spans="1:9" ht="31.95" customHeight="1" thickBot="1">
      <c r="A92" s="10">
        <v>83</v>
      </c>
      <c r="B92" s="11" t="s">
        <v>173</v>
      </c>
      <c r="C92" s="12" t="s">
        <v>78</v>
      </c>
      <c r="D92" s="13" t="str">
        <f t="shared" si="3"/>
        <v>2.9.6</v>
      </c>
      <c r="E92" s="34" t="s">
        <v>174</v>
      </c>
      <c r="F92" s="11" t="s">
        <v>19</v>
      </c>
      <c r="G92" s="11">
        <v>4</v>
      </c>
      <c r="H92" s="15">
        <v>3000</v>
      </c>
      <c r="I92" s="16">
        <f t="shared" si="2"/>
        <v>12000</v>
      </c>
    </row>
    <row r="93" spans="1:9" ht="31.95" customHeight="1" thickBot="1">
      <c r="A93" s="10">
        <v>84</v>
      </c>
      <c r="B93" s="11" t="s">
        <v>175</v>
      </c>
      <c r="C93" s="20" t="s">
        <v>78</v>
      </c>
      <c r="D93" s="13" t="str">
        <f t="shared" si="3"/>
        <v>2.9.6</v>
      </c>
      <c r="E93" s="35" t="s">
        <v>176</v>
      </c>
      <c r="F93" s="17" t="s">
        <v>19</v>
      </c>
      <c r="G93" s="11">
        <v>3</v>
      </c>
      <c r="H93" s="15">
        <v>5400</v>
      </c>
      <c r="I93" s="16">
        <f t="shared" si="2"/>
        <v>16200</v>
      </c>
    </row>
    <row r="94" spans="1:9" ht="31.95" customHeight="1" thickBot="1">
      <c r="A94" s="10">
        <v>85</v>
      </c>
      <c r="B94" s="11" t="s">
        <v>177</v>
      </c>
      <c r="C94" s="20" t="s">
        <v>78</v>
      </c>
      <c r="D94" s="13" t="str">
        <f t="shared" si="3"/>
        <v>2.9.6</v>
      </c>
      <c r="E94" s="35" t="s">
        <v>178</v>
      </c>
      <c r="F94" s="17" t="s">
        <v>19</v>
      </c>
      <c r="G94" s="11">
        <v>3</v>
      </c>
      <c r="H94" s="18">
        <v>7900</v>
      </c>
      <c r="I94" s="16">
        <f t="shared" si="2"/>
        <v>23700</v>
      </c>
    </row>
    <row r="95" spans="1:9" ht="31.95" customHeight="1" thickBot="1">
      <c r="A95" s="10">
        <v>86</v>
      </c>
      <c r="B95" s="36" t="s">
        <v>179</v>
      </c>
      <c r="C95" s="37" t="s">
        <v>78</v>
      </c>
      <c r="D95" s="24" t="str">
        <f t="shared" si="3"/>
        <v>2.9.6</v>
      </c>
      <c r="E95" s="35" t="s">
        <v>180</v>
      </c>
      <c r="F95" s="17" t="s">
        <v>19</v>
      </c>
      <c r="G95" s="11">
        <v>3</v>
      </c>
      <c r="H95" s="15">
        <v>8900</v>
      </c>
      <c r="I95" s="38">
        <f t="shared" si="2"/>
        <v>26700</v>
      </c>
    </row>
    <row r="96" spans="1:9" ht="31.95" customHeight="1" thickBot="1">
      <c r="A96" s="10">
        <v>87</v>
      </c>
      <c r="B96" s="11" t="s">
        <v>181</v>
      </c>
      <c r="C96" s="20" t="s">
        <v>78</v>
      </c>
      <c r="D96" s="13" t="str">
        <f t="shared" si="3"/>
        <v>2.9.6</v>
      </c>
      <c r="E96" s="39" t="s">
        <v>182</v>
      </c>
      <c r="F96" s="17" t="s">
        <v>19</v>
      </c>
      <c r="G96" s="11">
        <v>3</v>
      </c>
      <c r="H96" s="18">
        <v>15000</v>
      </c>
      <c r="I96" s="16">
        <f t="shared" si="2"/>
        <v>45000</v>
      </c>
    </row>
    <row r="97" spans="1:9" ht="31.95" customHeight="1" thickBot="1">
      <c r="A97" s="10">
        <v>88</v>
      </c>
      <c r="B97" s="11" t="s">
        <v>183</v>
      </c>
      <c r="C97" s="20" t="s">
        <v>78</v>
      </c>
      <c r="D97" s="13" t="str">
        <f t="shared" si="3"/>
        <v>2.9.6</v>
      </c>
      <c r="E97" s="40" t="s">
        <v>184</v>
      </c>
      <c r="F97" s="17" t="s">
        <v>19</v>
      </c>
      <c r="G97" s="11">
        <v>3</v>
      </c>
      <c r="H97" s="15">
        <v>5400</v>
      </c>
      <c r="I97" s="16">
        <f t="shared" si="2"/>
        <v>16200</v>
      </c>
    </row>
    <row r="98" spans="1:9" ht="31.95" customHeight="1" thickBot="1">
      <c r="A98" s="10">
        <v>89</v>
      </c>
      <c r="B98" s="11" t="s">
        <v>90</v>
      </c>
      <c r="C98" s="12" t="s">
        <v>78</v>
      </c>
      <c r="D98" s="13" t="str">
        <f t="shared" si="3"/>
        <v>2.9.6</v>
      </c>
      <c r="E98" s="34" t="s">
        <v>91</v>
      </c>
      <c r="F98" s="11" t="s">
        <v>19</v>
      </c>
      <c r="G98" s="11">
        <v>3</v>
      </c>
      <c r="H98" s="15">
        <v>6500</v>
      </c>
      <c r="I98" s="16">
        <f t="shared" si="2"/>
        <v>19500</v>
      </c>
    </row>
    <row r="99" spans="1:9" ht="31.95" customHeight="1" thickBot="1">
      <c r="A99" s="10">
        <v>90</v>
      </c>
      <c r="B99" s="11" t="s">
        <v>185</v>
      </c>
      <c r="C99" s="20" t="s">
        <v>78</v>
      </c>
      <c r="D99" s="13" t="str">
        <f t="shared" si="3"/>
        <v>2.9.6</v>
      </c>
      <c r="E99" s="39" t="s">
        <v>186</v>
      </c>
      <c r="F99" s="17" t="s">
        <v>19</v>
      </c>
      <c r="G99" s="11">
        <v>3</v>
      </c>
      <c r="H99" s="18">
        <v>4500</v>
      </c>
      <c r="I99" s="16">
        <f t="shared" si="2"/>
        <v>13500</v>
      </c>
    </row>
    <row r="100" spans="1:9" ht="31.95" customHeight="1" thickBot="1">
      <c r="A100" s="10">
        <v>91</v>
      </c>
      <c r="B100" s="11" t="s">
        <v>187</v>
      </c>
      <c r="C100" s="20" t="s">
        <v>78</v>
      </c>
      <c r="D100" s="24" t="str">
        <f t="shared" si="3"/>
        <v>2.9.6</v>
      </c>
      <c r="E100" s="39" t="s">
        <v>188</v>
      </c>
      <c r="F100" s="41" t="s">
        <v>19</v>
      </c>
      <c r="G100" s="11">
        <v>3</v>
      </c>
      <c r="H100" s="15">
        <v>7900</v>
      </c>
      <c r="I100" s="16">
        <f t="shared" si="2"/>
        <v>23700</v>
      </c>
    </row>
    <row r="102" spans="1:9" ht="13.8" thickBot="1"/>
    <row r="103" spans="1:9">
      <c r="B103" s="42" t="s">
        <v>189</v>
      </c>
      <c r="C103" s="43"/>
      <c r="D103" s="43"/>
      <c r="E103" s="44"/>
    </row>
    <row r="104" spans="1:9" ht="5.25" customHeight="1">
      <c r="B104" s="45"/>
      <c r="C104" s="46"/>
      <c r="D104" s="46"/>
      <c r="E104" s="47"/>
    </row>
    <row r="105" spans="1:9">
      <c r="B105" s="48" t="s">
        <v>190</v>
      </c>
      <c r="C105" s="46"/>
      <c r="D105" s="46"/>
      <c r="E105" s="47"/>
    </row>
    <row r="106" spans="1:9" ht="12.75" customHeight="1">
      <c r="B106" s="48"/>
      <c r="C106" s="49" t="s">
        <v>191</v>
      </c>
      <c r="D106" s="49"/>
      <c r="E106" s="50"/>
    </row>
    <row r="107" spans="1:9">
      <c r="B107" s="48" t="s">
        <v>192</v>
      </c>
      <c r="C107" s="46"/>
      <c r="D107" s="46"/>
      <c r="E107" s="47"/>
    </row>
    <row r="108" spans="1:9">
      <c r="B108" s="51"/>
      <c r="C108" s="52" t="s">
        <v>193</v>
      </c>
      <c r="D108" s="52"/>
      <c r="E108" s="52"/>
    </row>
    <row r="109" spans="1:9">
      <c r="B109" s="51"/>
      <c r="C109" s="53"/>
      <c r="D109" s="53"/>
      <c r="E109" s="53"/>
    </row>
    <row r="110" spans="1:9">
      <c r="B110" s="48" t="s">
        <v>194</v>
      </c>
      <c r="C110" s="46"/>
      <c r="D110" s="46"/>
      <c r="E110" s="47"/>
    </row>
    <row r="111" spans="1:9" ht="26.25" customHeight="1">
      <c r="B111" s="51"/>
      <c r="C111" s="54"/>
      <c r="D111" s="54"/>
      <c r="E111" s="54"/>
    </row>
    <row r="112" spans="1:9">
      <c r="B112" s="48" t="s">
        <v>195</v>
      </c>
      <c r="C112" s="55"/>
      <c r="D112" s="55"/>
      <c r="E112" s="56"/>
    </row>
    <row r="113" spans="2:5" ht="26.25" customHeight="1">
      <c r="B113" s="51"/>
      <c r="C113" s="57" t="s">
        <v>196</v>
      </c>
      <c r="D113" s="57"/>
      <c r="E113" s="57"/>
    </row>
    <row r="114" spans="2:5">
      <c r="B114" s="48" t="s">
        <v>197</v>
      </c>
      <c r="C114" s="46"/>
      <c r="D114" s="46"/>
      <c r="E114" s="47"/>
    </row>
    <row r="115" spans="2:5" ht="23.25" customHeight="1">
      <c r="B115" s="48"/>
      <c r="C115" s="58"/>
      <c r="D115" s="58"/>
      <c r="E115" s="58"/>
    </row>
    <row r="116" spans="2:5" ht="13.8" thickBot="1">
      <c r="B116" s="59"/>
      <c r="C116" s="60"/>
      <c r="D116" s="60"/>
      <c r="E116" s="61"/>
    </row>
    <row r="117" spans="2:5" ht="13.8" thickBot="1"/>
    <row r="118" spans="2:5">
      <c r="B118" s="42" t="s">
        <v>198</v>
      </c>
      <c r="C118" s="43"/>
      <c r="D118" s="43"/>
      <c r="E118" s="44"/>
    </row>
    <row r="119" spans="2:5" ht="7.5" customHeight="1">
      <c r="B119" s="45"/>
      <c r="C119" s="46"/>
      <c r="D119" s="46"/>
      <c r="E119" s="47"/>
    </row>
    <row r="120" spans="2:5">
      <c r="B120" s="48" t="s">
        <v>190</v>
      </c>
      <c r="C120" s="46"/>
      <c r="D120" s="46"/>
      <c r="E120" s="47"/>
    </row>
    <row r="121" spans="2:5" ht="13.5" customHeight="1">
      <c r="B121" s="48"/>
      <c r="C121" s="62" t="s">
        <v>199</v>
      </c>
      <c r="D121" s="62"/>
      <c r="E121" s="54"/>
    </row>
    <row r="122" spans="2:5">
      <c r="B122" s="48" t="s">
        <v>192</v>
      </c>
      <c r="C122" s="46"/>
      <c r="D122" s="46"/>
      <c r="E122" s="47"/>
    </row>
    <row r="123" spans="2:5">
      <c r="B123" s="51"/>
      <c r="C123" s="63" t="s">
        <v>193</v>
      </c>
      <c r="D123" s="63"/>
      <c r="E123" s="58"/>
    </row>
    <row r="124" spans="2:5">
      <c r="B124" s="51"/>
      <c r="C124" s="63"/>
      <c r="D124" s="63"/>
      <c r="E124" s="58"/>
    </row>
    <row r="125" spans="2:5">
      <c r="B125" s="48" t="s">
        <v>194</v>
      </c>
      <c r="C125" s="46"/>
      <c r="D125" s="46"/>
      <c r="E125" s="47"/>
    </row>
    <row r="126" spans="2:5">
      <c r="B126" s="51"/>
      <c r="C126" s="62"/>
      <c r="D126" s="62"/>
      <c r="E126" s="54"/>
    </row>
    <row r="127" spans="2:5">
      <c r="B127" s="48" t="s">
        <v>195</v>
      </c>
      <c r="C127" s="55"/>
      <c r="D127" s="55"/>
      <c r="E127" s="56"/>
    </row>
    <row r="128" spans="2:5">
      <c r="B128" s="51"/>
      <c r="C128" s="62"/>
      <c r="D128" s="62"/>
      <c r="E128" s="54"/>
    </row>
    <row r="129" spans="2:5">
      <c r="B129" s="48" t="s">
        <v>197</v>
      </c>
      <c r="C129" s="46"/>
      <c r="D129" s="46"/>
      <c r="E129" s="47"/>
    </row>
    <row r="130" spans="2:5">
      <c r="B130" s="48"/>
      <c r="C130" s="63"/>
      <c r="D130" s="63"/>
      <c r="E130" s="58"/>
    </row>
    <row r="131" spans="2:5" ht="13.8" thickBot="1">
      <c r="B131" s="59"/>
      <c r="C131" s="60"/>
      <c r="D131" s="60"/>
      <c r="E131" s="61"/>
    </row>
    <row r="132" spans="2:5" ht="13.8" thickBot="1"/>
    <row r="133" spans="2:5">
      <c r="B133" s="42" t="s">
        <v>200</v>
      </c>
      <c r="C133" s="43"/>
      <c r="D133" s="43"/>
      <c r="E133" s="44"/>
    </row>
    <row r="134" spans="2:5" ht="7.5" customHeight="1">
      <c r="B134" s="45"/>
      <c r="C134" s="46"/>
      <c r="D134" s="46"/>
      <c r="E134" s="47"/>
    </row>
    <row r="135" spans="2:5">
      <c r="B135" s="48" t="s">
        <v>190</v>
      </c>
      <c r="C135" s="46"/>
      <c r="D135" s="46"/>
      <c r="E135" s="47"/>
    </row>
    <row r="136" spans="2:5" ht="13.5" customHeight="1">
      <c r="B136" s="48"/>
      <c r="C136" s="62" t="s">
        <v>201</v>
      </c>
      <c r="D136" s="62"/>
      <c r="E136" s="54"/>
    </row>
    <row r="137" spans="2:5">
      <c r="B137" s="48" t="s">
        <v>192</v>
      </c>
      <c r="C137" s="46"/>
      <c r="D137" s="46"/>
      <c r="E137" s="47"/>
    </row>
    <row r="138" spans="2:5">
      <c r="B138" s="51"/>
      <c r="C138" s="63" t="s">
        <v>193</v>
      </c>
      <c r="D138" s="63"/>
      <c r="E138" s="58"/>
    </row>
    <row r="139" spans="2:5">
      <c r="B139" s="51"/>
      <c r="C139" s="63"/>
      <c r="D139" s="63"/>
      <c r="E139" s="58"/>
    </row>
    <row r="140" spans="2:5">
      <c r="B140" s="48" t="s">
        <v>194</v>
      </c>
      <c r="C140" s="46"/>
      <c r="D140" s="46"/>
      <c r="E140" s="47"/>
    </row>
    <row r="141" spans="2:5">
      <c r="B141" s="51"/>
      <c r="C141" s="62"/>
      <c r="D141" s="62"/>
      <c r="E141" s="54"/>
    </row>
    <row r="142" spans="2:5">
      <c r="B142" s="48" t="s">
        <v>195</v>
      </c>
      <c r="C142" s="55"/>
      <c r="D142" s="55"/>
      <c r="E142" s="56"/>
    </row>
    <row r="143" spans="2:5">
      <c r="B143" s="51"/>
      <c r="C143" s="62"/>
      <c r="D143" s="62"/>
      <c r="E143" s="54"/>
    </row>
    <row r="144" spans="2:5">
      <c r="B144" s="48" t="s">
        <v>197</v>
      </c>
      <c r="C144" s="46"/>
      <c r="D144" s="46"/>
      <c r="E144" s="47"/>
    </row>
    <row r="145" spans="2:5">
      <c r="B145" s="48"/>
      <c r="C145" s="63"/>
      <c r="D145" s="63"/>
      <c r="E145" s="58"/>
    </row>
    <row r="146" spans="2:5" ht="13.8" thickBot="1">
      <c r="B146" s="59"/>
      <c r="C146" s="60"/>
      <c r="D146" s="60"/>
      <c r="E146" s="61"/>
    </row>
    <row r="147" spans="2:5" ht="13.8" thickBot="1"/>
    <row r="148" spans="2:5">
      <c r="B148" s="42" t="s">
        <v>202</v>
      </c>
      <c r="C148" s="43"/>
      <c r="D148" s="43"/>
      <c r="E148" s="44"/>
    </row>
    <row r="149" spans="2:5">
      <c r="B149" s="45"/>
      <c r="C149" s="46"/>
      <c r="D149" s="46"/>
      <c r="E149" s="47"/>
    </row>
    <row r="150" spans="2:5">
      <c r="B150" s="48" t="s">
        <v>190</v>
      </c>
      <c r="C150" s="46"/>
      <c r="D150" s="46"/>
      <c r="E150" s="47"/>
    </row>
    <row r="151" spans="2:5">
      <c r="B151" s="48"/>
      <c r="C151" s="62" t="s">
        <v>203</v>
      </c>
      <c r="D151" s="62"/>
      <c r="E151" s="54"/>
    </row>
    <row r="152" spans="2:5">
      <c r="B152" s="48" t="s">
        <v>192</v>
      </c>
      <c r="C152" s="46"/>
      <c r="D152" s="46"/>
      <c r="E152" s="47"/>
    </row>
    <row r="153" spans="2:5">
      <c r="B153" s="51"/>
      <c r="C153" s="58" t="s">
        <v>193</v>
      </c>
      <c r="D153" s="58"/>
      <c r="E153" s="58"/>
    </row>
    <row r="154" spans="2:5">
      <c r="B154" s="51"/>
      <c r="C154" s="58"/>
      <c r="D154" s="58"/>
      <c r="E154" s="58"/>
    </row>
    <row r="155" spans="2:5">
      <c r="B155" s="48" t="s">
        <v>194</v>
      </c>
      <c r="C155" s="46"/>
      <c r="D155" s="46"/>
      <c r="E155" s="47"/>
    </row>
    <row r="156" spans="2:5">
      <c r="B156" s="51"/>
      <c r="C156" s="54"/>
      <c r="D156" s="54"/>
      <c r="E156" s="54"/>
    </row>
    <row r="157" spans="2:5">
      <c r="B157" s="48" t="s">
        <v>195</v>
      </c>
      <c r="C157" s="55"/>
      <c r="D157" s="55"/>
      <c r="E157" s="56"/>
    </row>
    <row r="158" spans="2:5">
      <c r="B158" s="51"/>
      <c r="C158" s="54"/>
      <c r="D158" s="54"/>
      <c r="E158" s="54"/>
    </row>
    <row r="159" spans="2:5">
      <c r="B159" s="48" t="s">
        <v>197</v>
      </c>
      <c r="C159" s="46"/>
      <c r="D159" s="46"/>
      <c r="E159" s="47"/>
    </row>
    <row r="160" spans="2:5">
      <c r="B160" s="48"/>
      <c r="C160" s="58"/>
      <c r="D160" s="58"/>
      <c r="E160" s="58"/>
    </row>
    <row r="161" spans="2:5" ht="13.8" thickBot="1">
      <c r="B161" s="59"/>
      <c r="C161" s="60"/>
      <c r="D161" s="60"/>
      <c r="E161" s="61"/>
    </row>
    <row r="162" spans="2:5" ht="13.8" thickBot="1"/>
    <row r="163" spans="2:5">
      <c r="B163" s="42" t="s">
        <v>204</v>
      </c>
      <c r="C163" s="43"/>
      <c r="D163" s="43"/>
      <c r="E163" s="44"/>
    </row>
    <row r="164" spans="2:5">
      <c r="B164" s="45"/>
      <c r="C164" s="46"/>
      <c r="D164" s="46"/>
      <c r="E164" s="47"/>
    </row>
    <row r="165" spans="2:5">
      <c r="B165" s="48" t="s">
        <v>190</v>
      </c>
      <c r="C165" s="46"/>
      <c r="D165" s="46"/>
      <c r="E165" s="47"/>
    </row>
    <row r="166" spans="2:5">
      <c r="B166" s="48"/>
      <c r="C166" s="62" t="s">
        <v>205</v>
      </c>
      <c r="D166" s="62"/>
      <c r="E166" s="54"/>
    </row>
    <row r="167" spans="2:5">
      <c r="B167" s="48" t="s">
        <v>192</v>
      </c>
      <c r="C167" s="46"/>
      <c r="D167" s="46"/>
      <c r="E167" s="47"/>
    </row>
    <row r="168" spans="2:5">
      <c r="B168" s="51"/>
      <c r="C168" s="58" t="s">
        <v>193</v>
      </c>
      <c r="D168" s="58"/>
      <c r="E168" s="58"/>
    </row>
    <row r="169" spans="2:5">
      <c r="B169" s="51"/>
      <c r="C169" s="58"/>
      <c r="D169" s="58"/>
      <c r="E169" s="58"/>
    </row>
    <row r="170" spans="2:5">
      <c r="B170" s="48" t="s">
        <v>194</v>
      </c>
      <c r="C170" s="46"/>
      <c r="D170" s="46"/>
      <c r="E170" s="47"/>
    </row>
    <row r="171" spans="2:5">
      <c r="B171" s="51"/>
      <c r="C171" s="54"/>
      <c r="D171" s="54"/>
      <c r="E171" s="54"/>
    </row>
    <row r="172" spans="2:5">
      <c r="B172" s="48" t="s">
        <v>195</v>
      </c>
      <c r="C172" s="55"/>
      <c r="D172" s="55"/>
      <c r="E172" s="56"/>
    </row>
    <row r="173" spans="2:5">
      <c r="B173" s="51"/>
      <c r="C173" s="54"/>
      <c r="D173" s="54"/>
      <c r="E173" s="54"/>
    </row>
    <row r="174" spans="2:5">
      <c r="B174" s="48" t="s">
        <v>197</v>
      </c>
      <c r="C174" s="46"/>
      <c r="D174" s="46"/>
      <c r="E174" s="47"/>
    </row>
    <row r="175" spans="2:5">
      <c r="B175" s="48"/>
      <c r="C175" s="58"/>
      <c r="D175" s="58"/>
      <c r="E175" s="58"/>
    </row>
    <row r="176" spans="2:5" ht="13.8" thickBot="1">
      <c r="B176" s="59"/>
      <c r="C176" s="60"/>
      <c r="D176" s="60"/>
      <c r="E176" s="61"/>
    </row>
    <row r="177" spans="2:5" ht="13.8" thickBot="1"/>
    <row r="178" spans="2:5">
      <c r="B178" s="42" t="s">
        <v>206</v>
      </c>
      <c r="C178" s="43"/>
      <c r="D178" s="43"/>
      <c r="E178" s="44"/>
    </row>
    <row r="179" spans="2:5">
      <c r="B179" s="45"/>
      <c r="C179" s="46"/>
      <c r="D179" s="46"/>
      <c r="E179" s="47"/>
    </row>
    <row r="180" spans="2:5">
      <c r="B180" s="48" t="s">
        <v>190</v>
      </c>
      <c r="C180" s="46"/>
      <c r="D180" s="46"/>
      <c r="E180" s="47"/>
    </row>
    <row r="181" spans="2:5">
      <c r="B181" s="48"/>
      <c r="C181" s="54" t="s">
        <v>207</v>
      </c>
      <c r="D181" s="54"/>
      <c r="E181" s="54"/>
    </row>
    <row r="182" spans="2:5">
      <c r="B182" s="48" t="s">
        <v>192</v>
      </c>
      <c r="C182" s="46"/>
      <c r="D182" s="46"/>
      <c r="E182" s="47"/>
    </row>
    <row r="183" spans="2:5">
      <c r="B183" s="51"/>
      <c r="C183" s="58" t="s">
        <v>193</v>
      </c>
      <c r="D183" s="58"/>
      <c r="E183" s="58"/>
    </row>
    <row r="184" spans="2:5">
      <c r="B184" s="51"/>
      <c r="C184" s="58"/>
      <c r="D184" s="58"/>
      <c r="E184" s="58"/>
    </row>
    <row r="185" spans="2:5">
      <c r="B185" s="48" t="s">
        <v>194</v>
      </c>
      <c r="C185" s="46"/>
      <c r="D185" s="46"/>
      <c r="E185" s="47"/>
    </row>
    <row r="186" spans="2:5">
      <c r="B186" s="51"/>
      <c r="C186" s="54"/>
      <c r="D186" s="54"/>
      <c r="E186" s="54"/>
    </row>
    <row r="187" spans="2:5">
      <c r="B187" s="48" t="s">
        <v>195</v>
      </c>
      <c r="C187" s="55"/>
      <c r="D187" s="55"/>
      <c r="E187" s="56"/>
    </row>
    <row r="188" spans="2:5">
      <c r="B188" s="51"/>
      <c r="C188" s="54"/>
      <c r="D188" s="54"/>
      <c r="E188" s="54"/>
    </row>
    <row r="189" spans="2:5">
      <c r="B189" s="48" t="s">
        <v>197</v>
      </c>
      <c r="C189" s="46"/>
      <c r="D189" s="46"/>
      <c r="E189" s="47"/>
    </row>
    <row r="190" spans="2:5">
      <c r="B190" s="48"/>
      <c r="C190" s="58"/>
      <c r="D190" s="58"/>
      <c r="E190" s="58"/>
    </row>
    <row r="191" spans="2:5" ht="13.8" thickBot="1">
      <c r="B191" s="59"/>
      <c r="C191" s="60"/>
      <c r="D191" s="60"/>
      <c r="E191" s="61"/>
    </row>
    <row r="192" spans="2:5" ht="13.8" thickBot="1"/>
    <row r="193" spans="2:5">
      <c r="B193" s="42" t="s">
        <v>208</v>
      </c>
      <c r="C193" s="43"/>
      <c r="D193" s="43"/>
      <c r="E193" s="44"/>
    </row>
    <row r="194" spans="2:5">
      <c r="B194" s="45"/>
      <c r="C194" s="46"/>
      <c r="D194" s="46"/>
      <c r="E194" s="47"/>
    </row>
    <row r="195" spans="2:5">
      <c r="B195" s="48" t="s">
        <v>190</v>
      </c>
      <c r="C195" s="46"/>
      <c r="D195" s="46"/>
      <c r="E195" s="47"/>
    </row>
    <row r="196" spans="2:5">
      <c r="B196" s="48"/>
      <c r="C196" s="62" t="s">
        <v>209</v>
      </c>
      <c r="D196" s="62"/>
      <c r="E196" s="54"/>
    </row>
    <row r="197" spans="2:5">
      <c r="B197" s="48" t="s">
        <v>192</v>
      </c>
      <c r="C197" s="46"/>
      <c r="D197" s="46"/>
      <c r="E197" s="47"/>
    </row>
    <row r="198" spans="2:5">
      <c r="B198" s="51"/>
      <c r="C198" s="58" t="s">
        <v>193</v>
      </c>
      <c r="D198" s="58"/>
      <c r="E198" s="58"/>
    </row>
    <row r="199" spans="2:5">
      <c r="B199" s="51"/>
      <c r="C199" s="58"/>
      <c r="D199" s="58"/>
      <c r="E199" s="58"/>
    </row>
    <row r="200" spans="2:5">
      <c r="B200" s="48" t="s">
        <v>194</v>
      </c>
      <c r="C200" s="46"/>
      <c r="D200" s="46"/>
      <c r="E200" s="47"/>
    </row>
    <row r="201" spans="2:5">
      <c r="B201" s="51"/>
      <c r="C201" s="54"/>
      <c r="D201" s="54"/>
      <c r="E201" s="54"/>
    </row>
    <row r="202" spans="2:5">
      <c r="B202" s="48" t="s">
        <v>195</v>
      </c>
      <c r="C202" s="55"/>
      <c r="D202" s="55"/>
      <c r="E202" s="56"/>
    </row>
    <row r="203" spans="2:5">
      <c r="B203" s="51"/>
      <c r="C203" s="54"/>
      <c r="D203" s="54"/>
      <c r="E203" s="54"/>
    </row>
    <row r="204" spans="2:5">
      <c r="B204" s="48" t="s">
        <v>197</v>
      </c>
      <c r="C204" s="46"/>
      <c r="D204" s="46"/>
      <c r="E204" s="47"/>
    </row>
    <row r="205" spans="2:5">
      <c r="B205" s="48"/>
      <c r="C205" s="58"/>
      <c r="D205" s="58"/>
      <c r="E205" s="58"/>
    </row>
    <row r="206" spans="2:5" ht="13.8" thickBot="1">
      <c r="B206" s="59"/>
      <c r="C206" s="60"/>
      <c r="D206" s="60"/>
      <c r="E206" s="61"/>
    </row>
    <row r="207" spans="2:5" ht="13.8" thickBot="1"/>
    <row r="208" spans="2:5">
      <c r="B208" s="42" t="s">
        <v>210</v>
      </c>
      <c r="C208" s="43"/>
      <c r="D208" s="43"/>
      <c r="E208" s="44"/>
    </row>
    <row r="209" spans="2:5">
      <c r="B209" s="45"/>
      <c r="C209" s="46"/>
      <c r="D209" s="46"/>
      <c r="E209" s="47"/>
    </row>
    <row r="210" spans="2:5">
      <c r="B210" s="48" t="s">
        <v>190</v>
      </c>
      <c r="C210" s="46"/>
      <c r="D210" s="46"/>
      <c r="E210" s="47"/>
    </row>
    <row r="211" spans="2:5">
      <c r="B211" s="48"/>
      <c r="C211" s="62" t="s">
        <v>211</v>
      </c>
      <c r="D211" s="62"/>
      <c r="E211" s="54"/>
    </row>
    <row r="212" spans="2:5">
      <c r="B212" s="48" t="s">
        <v>192</v>
      </c>
      <c r="C212" s="46"/>
      <c r="D212" s="46"/>
      <c r="E212" s="47"/>
    </row>
    <row r="213" spans="2:5">
      <c r="B213" s="51"/>
      <c r="C213" s="58" t="s">
        <v>193</v>
      </c>
      <c r="D213" s="58"/>
      <c r="E213" s="58"/>
    </row>
    <row r="214" spans="2:5">
      <c r="B214" s="51"/>
      <c r="C214" s="58"/>
      <c r="D214" s="58"/>
      <c r="E214" s="58"/>
    </row>
    <row r="215" spans="2:5">
      <c r="B215" s="48" t="s">
        <v>194</v>
      </c>
      <c r="C215" s="46"/>
      <c r="D215" s="46"/>
      <c r="E215" s="47"/>
    </row>
    <row r="216" spans="2:5">
      <c r="B216" s="51"/>
      <c r="C216" s="54"/>
      <c r="D216" s="54"/>
      <c r="E216" s="54"/>
    </row>
    <row r="217" spans="2:5">
      <c r="B217" s="48" t="s">
        <v>195</v>
      </c>
      <c r="C217" s="55"/>
      <c r="D217" s="55"/>
      <c r="E217" s="56"/>
    </row>
    <row r="218" spans="2:5">
      <c r="B218" s="51"/>
      <c r="C218" s="54"/>
      <c r="D218" s="54"/>
      <c r="E218" s="54"/>
    </row>
    <row r="219" spans="2:5">
      <c r="B219" s="48" t="s">
        <v>197</v>
      </c>
      <c r="C219" s="46"/>
      <c r="D219" s="46"/>
      <c r="E219" s="47"/>
    </row>
    <row r="220" spans="2:5">
      <c r="B220" s="48"/>
      <c r="C220" s="58"/>
      <c r="D220" s="58"/>
      <c r="E220" s="58"/>
    </row>
    <row r="221" spans="2:5" ht="13.8" thickBot="1">
      <c r="B221" s="59"/>
      <c r="C221" s="60"/>
      <c r="D221" s="60"/>
      <c r="E221" s="61"/>
    </row>
    <row r="222" spans="2:5" ht="13.8" thickBot="1"/>
    <row r="223" spans="2:5">
      <c r="B223" s="42" t="s">
        <v>212</v>
      </c>
      <c r="C223" s="43"/>
      <c r="D223" s="43"/>
      <c r="E223" s="44"/>
    </row>
    <row r="224" spans="2:5">
      <c r="B224" s="45"/>
      <c r="C224" s="46"/>
      <c r="D224" s="46"/>
      <c r="E224" s="47"/>
    </row>
    <row r="225" spans="2:5">
      <c r="B225" s="48" t="s">
        <v>190</v>
      </c>
      <c r="C225" s="46"/>
      <c r="D225" s="46"/>
      <c r="E225" s="47"/>
    </row>
    <row r="226" spans="2:5">
      <c r="B226" s="48"/>
      <c r="C226" s="62" t="s">
        <v>213</v>
      </c>
      <c r="D226" s="62"/>
      <c r="E226" s="54"/>
    </row>
    <row r="227" spans="2:5">
      <c r="B227" s="48" t="s">
        <v>192</v>
      </c>
      <c r="C227" s="46"/>
      <c r="D227" s="46"/>
      <c r="E227" s="47"/>
    </row>
    <row r="228" spans="2:5">
      <c r="B228" s="51"/>
      <c r="C228" s="58" t="s">
        <v>193</v>
      </c>
      <c r="D228" s="58"/>
      <c r="E228" s="58"/>
    </row>
    <row r="229" spans="2:5">
      <c r="B229" s="51"/>
      <c r="C229" s="58"/>
      <c r="D229" s="58"/>
      <c r="E229" s="58"/>
    </row>
    <row r="230" spans="2:5">
      <c r="B230" s="48" t="s">
        <v>194</v>
      </c>
      <c r="C230" s="46"/>
      <c r="D230" s="46"/>
      <c r="E230" s="47"/>
    </row>
    <row r="231" spans="2:5">
      <c r="B231" s="51"/>
      <c r="C231" s="54"/>
      <c r="D231" s="54"/>
      <c r="E231" s="54"/>
    </row>
    <row r="232" spans="2:5">
      <c r="B232" s="48" t="s">
        <v>195</v>
      </c>
      <c r="C232" s="55"/>
      <c r="D232" s="55"/>
      <c r="E232" s="56"/>
    </row>
    <row r="233" spans="2:5">
      <c r="B233" s="51"/>
      <c r="C233" s="54"/>
      <c r="D233" s="54"/>
      <c r="E233" s="54"/>
    </row>
    <row r="234" spans="2:5">
      <c r="B234" s="48" t="s">
        <v>197</v>
      </c>
      <c r="C234" s="46"/>
      <c r="D234" s="46"/>
      <c r="E234" s="47"/>
    </row>
    <row r="235" spans="2:5">
      <c r="B235" s="48"/>
      <c r="C235" s="58"/>
      <c r="D235" s="58"/>
      <c r="E235" s="58"/>
    </row>
    <row r="236" spans="2:5" ht="13.8" thickBot="1">
      <c r="B236" s="59"/>
      <c r="C236" s="60"/>
      <c r="D236" s="60"/>
      <c r="E236" s="61"/>
    </row>
    <row r="237" spans="2:5" ht="13.8" thickBot="1"/>
    <row r="238" spans="2:5">
      <c r="B238" s="42" t="s">
        <v>214</v>
      </c>
      <c r="C238" s="43"/>
      <c r="D238" s="43"/>
      <c r="E238" s="44"/>
    </row>
    <row r="239" spans="2:5">
      <c r="B239" s="45"/>
      <c r="C239" s="46"/>
      <c r="D239" s="46"/>
      <c r="E239" s="47"/>
    </row>
    <row r="240" spans="2:5">
      <c r="B240" s="48" t="s">
        <v>190</v>
      </c>
      <c r="C240" s="46"/>
      <c r="D240" s="46"/>
      <c r="E240" s="47"/>
    </row>
    <row r="241" spans="2:5">
      <c r="B241" s="48"/>
      <c r="C241" s="62" t="s">
        <v>215</v>
      </c>
      <c r="D241" s="62"/>
      <c r="E241" s="54"/>
    </row>
    <row r="242" spans="2:5">
      <c r="B242" s="48" t="s">
        <v>192</v>
      </c>
      <c r="C242" s="46"/>
      <c r="D242" s="46"/>
      <c r="E242" s="47"/>
    </row>
    <row r="243" spans="2:5">
      <c r="B243" s="51"/>
      <c r="C243" s="58" t="s">
        <v>193</v>
      </c>
      <c r="D243" s="58"/>
      <c r="E243" s="58"/>
    </row>
    <row r="244" spans="2:5">
      <c r="B244" s="51"/>
      <c r="C244" s="58"/>
      <c r="D244" s="58"/>
      <c r="E244" s="58"/>
    </row>
    <row r="245" spans="2:5">
      <c r="B245" s="48" t="s">
        <v>194</v>
      </c>
      <c r="C245" s="46"/>
      <c r="D245" s="46"/>
      <c r="E245" s="47"/>
    </row>
    <row r="246" spans="2:5">
      <c r="B246" s="51"/>
      <c r="C246" s="54"/>
      <c r="D246" s="54"/>
      <c r="E246" s="54"/>
    </row>
    <row r="247" spans="2:5">
      <c r="B247" s="48" t="s">
        <v>195</v>
      </c>
      <c r="C247" s="55"/>
      <c r="D247" s="55"/>
      <c r="E247" s="56"/>
    </row>
    <row r="248" spans="2:5">
      <c r="B248" s="51"/>
      <c r="C248" s="54"/>
      <c r="D248" s="54"/>
      <c r="E248" s="54"/>
    </row>
    <row r="249" spans="2:5">
      <c r="B249" s="48" t="s">
        <v>197</v>
      </c>
      <c r="C249" s="46"/>
      <c r="D249" s="46"/>
      <c r="E249" s="47"/>
    </row>
    <row r="250" spans="2:5">
      <c r="B250" s="48"/>
      <c r="C250" s="58"/>
      <c r="D250" s="58"/>
      <c r="E250" s="58"/>
    </row>
    <row r="251" spans="2:5" ht="13.8" thickBot="1">
      <c r="B251" s="59"/>
      <c r="C251" s="60"/>
      <c r="D251" s="60"/>
      <c r="E251" s="61"/>
    </row>
    <row r="252" spans="2:5" ht="13.8" thickBot="1"/>
    <row r="253" spans="2:5">
      <c r="B253" s="42" t="s">
        <v>216</v>
      </c>
      <c r="C253" s="43"/>
      <c r="D253" s="43"/>
      <c r="E253" s="44"/>
    </row>
    <row r="254" spans="2:5">
      <c r="B254" s="45"/>
      <c r="C254" s="46"/>
      <c r="D254" s="46"/>
      <c r="E254" s="47"/>
    </row>
    <row r="255" spans="2:5">
      <c r="B255" s="48" t="s">
        <v>190</v>
      </c>
      <c r="C255" s="46"/>
      <c r="D255" s="46"/>
      <c r="E255" s="47"/>
    </row>
    <row r="256" spans="2:5">
      <c r="B256" s="48"/>
      <c r="C256" s="62" t="s">
        <v>217</v>
      </c>
      <c r="D256" s="62"/>
      <c r="E256" s="54"/>
    </row>
    <row r="257" spans="2:5">
      <c r="B257" s="48" t="s">
        <v>192</v>
      </c>
      <c r="C257" s="46"/>
      <c r="D257" s="46"/>
      <c r="E257" s="47"/>
    </row>
    <row r="258" spans="2:5">
      <c r="B258" s="51"/>
      <c r="C258" s="58" t="s">
        <v>193</v>
      </c>
      <c r="D258" s="58"/>
      <c r="E258" s="58"/>
    </row>
    <row r="259" spans="2:5">
      <c r="B259" s="51"/>
      <c r="C259" s="58"/>
      <c r="D259" s="58"/>
      <c r="E259" s="58"/>
    </row>
    <row r="260" spans="2:5">
      <c r="B260" s="48" t="s">
        <v>194</v>
      </c>
      <c r="C260" s="46"/>
      <c r="D260" s="46"/>
      <c r="E260" s="47"/>
    </row>
    <row r="261" spans="2:5">
      <c r="B261" s="51"/>
      <c r="C261" s="54"/>
      <c r="D261" s="54"/>
      <c r="E261" s="54"/>
    </row>
    <row r="262" spans="2:5">
      <c r="B262" s="48" t="s">
        <v>195</v>
      </c>
      <c r="C262" s="55"/>
      <c r="D262" s="55"/>
      <c r="E262" s="56"/>
    </row>
    <row r="263" spans="2:5">
      <c r="B263" s="51"/>
      <c r="C263" s="54"/>
      <c r="D263" s="54"/>
      <c r="E263" s="54"/>
    </row>
    <row r="264" spans="2:5">
      <c r="B264" s="48" t="s">
        <v>197</v>
      </c>
      <c r="C264" s="46"/>
      <c r="D264" s="46"/>
      <c r="E264" s="47"/>
    </row>
    <row r="265" spans="2:5">
      <c r="B265" s="48"/>
      <c r="C265" s="58"/>
      <c r="D265" s="58"/>
      <c r="E265" s="58"/>
    </row>
    <row r="266" spans="2:5" ht="13.8" thickBot="1">
      <c r="B266" s="59"/>
      <c r="C266" s="60"/>
      <c r="D266" s="60"/>
      <c r="E266" s="61"/>
    </row>
    <row r="267" spans="2:5" ht="13.8" thickBot="1"/>
    <row r="268" spans="2:5">
      <c r="B268" s="42" t="s">
        <v>218</v>
      </c>
      <c r="C268" s="43"/>
      <c r="D268" s="43"/>
      <c r="E268" s="44"/>
    </row>
    <row r="269" spans="2:5">
      <c r="B269" s="45"/>
      <c r="C269" s="46"/>
      <c r="D269" s="46"/>
      <c r="E269" s="47"/>
    </row>
    <row r="270" spans="2:5">
      <c r="B270" s="48" t="s">
        <v>190</v>
      </c>
      <c r="C270" s="46"/>
      <c r="D270" s="46"/>
      <c r="E270" s="47"/>
    </row>
    <row r="271" spans="2:5">
      <c r="B271" s="48"/>
      <c r="C271" s="62" t="s">
        <v>219</v>
      </c>
      <c r="D271" s="62"/>
      <c r="E271" s="54"/>
    </row>
    <row r="272" spans="2:5">
      <c r="B272" s="48" t="s">
        <v>192</v>
      </c>
      <c r="C272" s="46"/>
      <c r="D272" s="46"/>
      <c r="E272" s="47"/>
    </row>
    <row r="273" spans="2:5">
      <c r="B273" s="51"/>
      <c r="C273" s="58" t="s">
        <v>193</v>
      </c>
      <c r="D273" s="58"/>
      <c r="E273" s="58"/>
    </row>
    <row r="274" spans="2:5">
      <c r="B274" s="51"/>
      <c r="C274" s="58"/>
      <c r="D274" s="58"/>
      <c r="E274" s="58"/>
    </row>
    <row r="275" spans="2:5">
      <c r="B275" s="48" t="s">
        <v>194</v>
      </c>
      <c r="C275" s="46"/>
      <c r="D275" s="46"/>
      <c r="E275" s="47"/>
    </row>
    <row r="276" spans="2:5">
      <c r="B276" s="51"/>
      <c r="C276" s="54"/>
      <c r="D276" s="54"/>
      <c r="E276" s="54"/>
    </row>
    <row r="277" spans="2:5">
      <c r="B277" s="48" t="s">
        <v>195</v>
      </c>
      <c r="C277" s="55"/>
      <c r="D277" s="55"/>
      <c r="E277" s="56"/>
    </row>
    <row r="278" spans="2:5">
      <c r="B278" s="51"/>
      <c r="C278" s="54"/>
      <c r="D278" s="54"/>
      <c r="E278" s="54"/>
    </row>
    <row r="279" spans="2:5">
      <c r="B279" s="48" t="s">
        <v>197</v>
      </c>
      <c r="C279" s="46"/>
      <c r="D279" s="46"/>
      <c r="E279" s="47"/>
    </row>
    <row r="280" spans="2:5">
      <c r="B280" s="48"/>
      <c r="C280" s="58"/>
      <c r="D280" s="58"/>
      <c r="E280" s="58"/>
    </row>
    <row r="281" spans="2:5" ht="13.8" thickBot="1">
      <c r="B281" s="59"/>
      <c r="C281" s="60"/>
      <c r="D281" s="60"/>
      <c r="E281" s="61"/>
    </row>
    <row r="282" spans="2:5" ht="13.8" thickBot="1"/>
    <row r="283" spans="2:5">
      <c r="B283" s="42" t="s">
        <v>220</v>
      </c>
      <c r="C283" s="43"/>
      <c r="D283" s="43"/>
      <c r="E283" s="44"/>
    </row>
    <row r="284" spans="2:5">
      <c r="B284" s="45"/>
      <c r="C284" s="46"/>
      <c r="D284" s="46"/>
      <c r="E284" s="47"/>
    </row>
    <row r="285" spans="2:5">
      <c r="B285" s="48" t="s">
        <v>190</v>
      </c>
      <c r="C285" s="46"/>
      <c r="D285" s="46"/>
      <c r="E285" s="47"/>
    </row>
    <row r="286" spans="2:5">
      <c r="B286" s="48"/>
      <c r="C286" s="63" t="s">
        <v>221</v>
      </c>
      <c r="D286" s="63"/>
      <c r="E286" s="58"/>
    </row>
    <row r="287" spans="2:5">
      <c r="B287" s="48" t="s">
        <v>192</v>
      </c>
      <c r="C287" s="46"/>
      <c r="D287" s="46"/>
      <c r="E287" s="47"/>
    </row>
    <row r="288" spans="2:5">
      <c r="B288" s="51"/>
      <c r="C288" s="58" t="s">
        <v>193</v>
      </c>
      <c r="D288" s="58"/>
      <c r="E288" s="58"/>
    </row>
    <row r="289" spans="2:5">
      <c r="B289" s="51"/>
      <c r="C289" s="58"/>
      <c r="D289" s="58"/>
      <c r="E289" s="58"/>
    </row>
    <row r="290" spans="2:5">
      <c r="B290" s="48" t="s">
        <v>194</v>
      </c>
      <c r="C290" s="46"/>
      <c r="D290" s="46"/>
      <c r="E290" s="47"/>
    </row>
    <row r="291" spans="2:5">
      <c r="B291" s="51"/>
      <c r="C291" s="54"/>
      <c r="D291" s="54"/>
      <c r="E291" s="54"/>
    </row>
    <row r="292" spans="2:5">
      <c r="B292" s="48" t="s">
        <v>195</v>
      </c>
      <c r="C292" s="55"/>
      <c r="D292" s="55"/>
      <c r="E292" s="56"/>
    </row>
    <row r="293" spans="2:5">
      <c r="B293" s="51"/>
      <c r="C293" s="54"/>
      <c r="D293" s="54"/>
      <c r="E293" s="54"/>
    </row>
    <row r="294" spans="2:5">
      <c r="B294" s="48" t="s">
        <v>197</v>
      </c>
      <c r="C294" s="46"/>
      <c r="D294" s="46"/>
      <c r="E294" s="47"/>
    </row>
    <row r="295" spans="2:5">
      <c r="B295" s="48"/>
      <c r="C295" s="58"/>
      <c r="D295" s="58"/>
      <c r="E295" s="58"/>
    </row>
    <row r="296" spans="2:5" ht="13.8" thickBot="1">
      <c r="B296" s="59"/>
      <c r="C296" s="60"/>
      <c r="D296" s="60"/>
      <c r="E296" s="61"/>
    </row>
    <row r="297" spans="2:5" ht="13.8" thickBot="1"/>
    <row r="298" spans="2:5">
      <c r="B298" s="42" t="s">
        <v>222</v>
      </c>
      <c r="C298" s="43"/>
      <c r="D298" s="43"/>
      <c r="E298" s="44"/>
    </row>
    <row r="299" spans="2:5">
      <c r="B299" s="45"/>
      <c r="C299" s="46"/>
      <c r="D299" s="46"/>
      <c r="E299" s="47"/>
    </row>
    <row r="300" spans="2:5">
      <c r="B300" s="48" t="s">
        <v>190</v>
      </c>
      <c r="C300" s="46"/>
      <c r="D300" s="46"/>
      <c r="E300" s="47"/>
    </row>
    <row r="301" spans="2:5">
      <c r="B301" s="48"/>
      <c r="C301" s="62" t="s">
        <v>223</v>
      </c>
      <c r="D301" s="62"/>
      <c r="E301" s="54"/>
    </row>
    <row r="302" spans="2:5">
      <c r="B302" s="48" t="s">
        <v>192</v>
      </c>
      <c r="C302" s="46"/>
      <c r="D302" s="46"/>
      <c r="E302" s="47"/>
    </row>
    <row r="303" spans="2:5">
      <c r="B303" s="51"/>
      <c r="C303" s="58" t="s">
        <v>193</v>
      </c>
      <c r="D303" s="58"/>
      <c r="E303" s="58"/>
    </row>
    <row r="304" spans="2:5">
      <c r="B304" s="51"/>
      <c r="C304" s="58"/>
      <c r="D304" s="58"/>
      <c r="E304" s="58"/>
    </row>
    <row r="305" spans="2:5">
      <c r="B305" s="48" t="s">
        <v>194</v>
      </c>
      <c r="C305" s="46"/>
      <c r="D305" s="46"/>
      <c r="E305" s="47"/>
    </row>
    <row r="306" spans="2:5">
      <c r="B306" s="51"/>
      <c r="C306" s="54"/>
      <c r="D306" s="54"/>
      <c r="E306" s="54"/>
    </row>
    <row r="307" spans="2:5">
      <c r="B307" s="48" t="s">
        <v>195</v>
      </c>
      <c r="C307" s="55"/>
      <c r="D307" s="55"/>
      <c r="E307" s="56"/>
    </row>
    <row r="308" spans="2:5">
      <c r="B308" s="51"/>
      <c r="C308" s="54"/>
      <c r="D308" s="54"/>
      <c r="E308" s="54"/>
    </row>
    <row r="309" spans="2:5">
      <c r="B309" s="48" t="s">
        <v>197</v>
      </c>
      <c r="C309" s="46"/>
      <c r="D309" s="46"/>
      <c r="E309" s="47"/>
    </row>
    <row r="310" spans="2:5">
      <c r="B310" s="48"/>
      <c r="C310" s="58"/>
      <c r="D310" s="58"/>
      <c r="E310" s="58"/>
    </row>
    <row r="311" spans="2:5" ht="13.8" thickBot="1">
      <c r="B311" s="59"/>
      <c r="C311" s="60"/>
      <c r="D311" s="60"/>
      <c r="E311" s="61"/>
    </row>
    <row r="312" spans="2:5" ht="13.8" thickBot="1"/>
    <row r="313" spans="2:5">
      <c r="B313" s="42" t="s">
        <v>224</v>
      </c>
      <c r="C313" s="43"/>
      <c r="D313" s="43"/>
      <c r="E313" s="44"/>
    </row>
    <row r="314" spans="2:5">
      <c r="B314" s="45"/>
      <c r="C314" s="46"/>
      <c r="D314" s="46"/>
      <c r="E314" s="47"/>
    </row>
    <row r="315" spans="2:5">
      <c r="B315" s="48" t="s">
        <v>190</v>
      </c>
      <c r="C315" s="46"/>
      <c r="D315" s="46"/>
      <c r="E315" s="47"/>
    </row>
    <row r="316" spans="2:5">
      <c r="B316" s="48"/>
      <c r="C316" s="62" t="s">
        <v>225</v>
      </c>
      <c r="D316" s="62"/>
      <c r="E316" s="54"/>
    </row>
    <row r="317" spans="2:5">
      <c r="B317" s="48" t="s">
        <v>192</v>
      </c>
      <c r="C317" s="46"/>
      <c r="D317" s="46"/>
      <c r="E317" s="47"/>
    </row>
    <row r="318" spans="2:5">
      <c r="B318" s="51"/>
      <c r="C318" s="58" t="s">
        <v>193</v>
      </c>
      <c r="D318" s="58"/>
      <c r="E318" s="58"/>
    </row>
    <row r="319" spans="2:5">
      <c r="B319" s="51"/>
      <c r="C319" s="58"/>
      <c r="D319" s="58"/>
      <c r="E319" s="58"/>
    </row>
    <row r="320" spans="2:5">
      <c r="B320" s="48" t="s">
        <v>194</v>
      </c>
      <c r="C320" s="46"/>
      <c r="D320" s="46"/>
      <c r="E320" s="47"/>
    </row>
    <row r="321" spans="2:5">
      <c r="B321" s="51"/>
      <c r="C321" s="54"/>
      <c r="D321" s="54"/>
      <c r="E321" s="54"/>
    </row>
    <row r="322" spans="2:5">
      <c r="B322" s="48" t="s">
        <v>195</v>
      </c>
      <c r="C322" s="55"/>
      <c r="D322" s="55"/>
      <c r="E322" s="56"/>
    </row>
    <row r="323" spans="2:5">
      <c r="B323" s="51"/>
      <c r="C323" s="54"/>
      <c r="D323" s="54"/>
      <c r="E323" s="54"/>
    </row>
    <row r="324" spans="2:5">
      <c r="B324" s="48" t="s">
        <v>197</v>
      </c>
      <c r="C324" s="46"/>
      <c r="D324" s="46"/>
      <c r="E324" s="47"/>
    </row>
    <row r="325" spans="2:5">
      <c r="B325" s="48"/>
      <c r="C325" s="58"/>
      <c r="D325" s="58"/>
      <c r="E325" s="58"/>
    </row>
    <row r="326" spans="2:5" ht="13.8" thickBot="1">
      <c r="B326" s="59"/>
      <c r="C326" s="60"/>
      <c r="D326" s="60"/>
      <c r="E326" s="61"/>
    </row>
    <row r="327" spans="2:5" ht="13.8" thickBot="1"/>
    <row r="328" spans="2:5">
      <c r="B328" s="42" t="s">
        <v>226</v>
      </c>
      <c r="C328" s="43"/>
      <c r="D328" s="43"/>
      <c r="E328" s="44"/>
    </row>
    <row r="329" spans="2:5">
      <c r="B329" s="45"/>
      <c r="C329" s="46"/>
      <c r="D329" s="46"/>
      <c r="E329" s="47"/>
    </row>
    <row r="330" spans="2:5">
      <c r="B330" s="48" t="s">
        <v>190</v>
      </c>
      <c r="C330" s="46"/>
      <c r="D330" s="46"/>
      <c r="E330" s="47"/>
    </row>
    <row r="331" spans="2:5">
      <c r="B331" s="48"/>
      <c r="C331" s="62" t="s">
        <v>227</v>
      </c>
      <c r="D331" s="62"/>
      <c r="E331" s="54"/>
    </row>
    <row r="332" spans="2:5">
      <c r="B332" s="48" t="s">
        <v>192</v>
      </c>
      <c r="C332" s="46"/>
      <c r="D332" s="46"/>
      <c r="E332" s="47"/>
    </row>
    <row r="333" spans="2:5">
      <c r="B333" s="51"/>
      <c r="C333" s="58" t="s">
        <v>193</v>
      </c>
      <c r="D333" s="58"/>
      <c r="E333" s="58"/>
    </row>
    <row r="334" spans="2:5">
      <c r="B334" s="51"/>
      <c r="C334" s="58"/>
      <c r="D334" s="58"/>
      <c r="E334" s="58"/>
    </row>
    <row r="335" spans="2:5">
      <c r="B335" s="48" t="s">
        <v>194</v>
      </c>
      <c r="C335" s="46"/>
      <c r="D335" s="46"/>
      <c r="E335" s="47"/>
    </row>
    <row r="336" spans="2:5">
      <c r="B336" s="51"/>
      <c r="C336" s="54"/>
      <c r="D336" s="54"/>
      <c r="E336" s="54"/>
    </row>
    <row r="337" spans="2:5">
      <c r="B337" s="48" t="s">
        <v>195</v>
      </c>
      <c r="C337" s="55"/>
      <c r="D337" s="55"/>
      <c r="E337" s="56"/>
    </row>
    <row r="338" spans="2:5">
      <c r="B338" s="51"/>
      <c r="C338" s="54"/>
      <c r="D338" s="54"/>
      <c r="E338" s="54"/>
    </row>
    <row r="339" spans="2:5">
      <c r="B339" s="48" t="s">
        <v>197</v>
      </c>
      <c r="C339" s="46"/>
      <c r="D339" s="46"/>
      <c r="E339" s="47"/>
    </row>
    <row r="340" spans="2:5">
      <c r="B340" s="48"/>
      <c r="C340" s="58"/>
      <c r="D340" s="58"/>
      <c r="E340" s="58"/>
    </row>
    <row r="341" spans="2:5" ht="13.8" thickBot="1">
      <c r="B341" s="59"/>
      <c r="C341" s="60"/>
      <c r="D341" s="60"/>
      <c r="E341" s="61"/>
    </row>
    <row r="342" spans="2:5" ht="13.8" thickBot="1"/>
    <row r="343" spans="2:5">
      <c r="B343" s="42" t="s">
        <v>228</v>
      </c>
      <c r="C343" s="43"/>
      <c r="D343" s="43"/>
      <c r="E343" s="44"/>
    </row>
    <row r="344" spans="2:5">
      <c r="B344" s="45"/>
      <c r="C344" s="46"/>
      <c r="D344" s="46"/>
      <c r="E344" s="47"/>
    </row>
    <row r="345" spans="2:5">
      <c r="B345" s="48" t="s">
        <v>190</v>
      </c>
      <c r="C345" s="46"/>
      <c r="D345" s="46"/>
      <c r="E345" s="47"/>
    </row>
    <row r="346" spans="2:5">
      <c r="B346" s="48"/>
      <c r="C346" s="62" t="s">
        <v>229</v>
      </c>
      <c r="D346" s="62"/>
      <c r="E346" s="54"/>
    </row>
    <row r="347" spans="2:5">
      <c r="B347" s="48" t="s">
        <v>192</v>
      </c>
      <c r="C347" s="46"/>
      <c r="D347" s="46"/>
      <c r="E347" s="47"/>
    </row>
    <row r="348" spans="2:5">
      <c r="B348" s="51"/>
      <c r="C348" s="58" t="s">
        <v>193</v>
      </c>
      <c r="D348" s="58"/>
      <c r="E348" s="58"/>
    </row>
    <row r="349" spans="2:5">
      <c r="B349" s="51"/>
      <c r="C349" s="58"/>
      <c r="D349" s="58"/>
      <c r="E349" s="58"/>
    </row>
    <row r="350" spans="2:5">
      <c r="B350" s="48" t="s">
        <v>194</v>
      </c>
      <c r="C350" s="46"/>
      <c r="D350" s="46"/>
      <c r="E350" s="47"/>
    </row>
    <row r="351" spans="2:5">
      <c r="B351" s="51"/>
      <c r="C351" s="54"/>
      <c r="D351" s="54"/>
      <c r="E351" s="54"/>
    </row>
    <row r="352" spans="2:5">
      <c r="B352" s="48" t="s">
        <v>195</v>
      </c>
      <c r="C352" s="55"/>
      <c r="D352" s="55"/>
      <c r="E352" s="56"/>
    </row>
    <row r="353" spans="2:5">
      <c r="B353" s="51"/>
      <c r="C353" s="54"/>
      <c r="D353" s="54"/>
      <c r="E353" s="54"/>
    </row>
    <row r="354" spans="2:5">
      <c r="B354" s="48" t="s">
        <v>197</v>
      </c>
      <c r="C354" s="46"/>
      <c r="D354" s="46"/>
      <c r="E354" s="47"/>
    </row>
    <row r="355" spans="2:5">
      <c r="B355" s="48"/>
      <c r="C355" s="58"/>
      <c r="D355" s="58"/>
      <c r="E355" s="58"/>
    </row>
    <row r="356" spans="2:5" ht="13.8" thickBot="1">
      <c r="B356" s="59"/>
      <c r="C356" s="60"/>
      <c r="D356" s="60"/>
      <c r="E356" s="61"/>
    </row>
    <row r="357" spans="2:5" ht="13.8" thickBot="1"/>
    <row r="358" spans="2:5">
      <c r="B358" s="42" t="s">
        <v>230</v>
      </c>
      <c r="C358" s="43"/>
      <c r="D358" s="43"/>
      <c r="E358" s="44"/>
    </row>
    <row r="359" spans="2:5">
      <c r="B359" s="45"/>
      <c r="C359" s="46"/>
      <c r="D359" s="46"/>
      <c r="E359" s="47"/>
    </row>
    <row r="360" spans="2:5">
      <c r="B360" s="48" t="s">
        <v>190</v>
      </c>
      <c r="C360" s="46"/>
      <c r="D360" s="46"/>
      <c r="E360" s="47"/>
    </row>
    <row r="361" spans="2:5">
      <c r="B361" s="48"/>
      <c r="C361" s="62" t="s">
        <v>231</v>
      </c>
      <c r="D361" s="62"/>
      <c r="E361" s="54"/>
    </row>
    <row r="362" spans="2:5">
      <c r="B362" s="48" t="s">
        <v>192</v>
      </c>
      <c r="C362" s="46"/>
      <c r="D362" s="46"/>
      <c r="E362" s="47"/>
    </row>
    <row r="363" spans="2:5">
      <c r="B363" s="51"/>
      <c r="C363" s="58" t="s">
        <v>193</v>
      </c>
      <c r="D363" s="58"/>
      <c r="E363" s="58"/>
    </row>
    <row r="364" spans="2:5">
      <c r="B364" s="51"/>
      <c r="C364" s="58"/>
      <c r="D364" s="58"/>
      <c r="E364" s="58"/>
    </row>
    <row r="365" spans="2:5">
      <c r="B365" s="48" t="s">
        <v>194</v>
      </c>
      <c r="C365" s="46"/>
      <c r="D365" s="46"/>
      <c r="E365" s="47"/>
    </row>
    <row r="366" spans="2:5">
      <c r="B366" s="51"/>
      <c r="C366" s="54"/>
      <c r="D366" s="54"/>
      <c r="E366" s="54"/>
    </row>
    <row r="367" spans="2:5">
      <c r="B367" s="48" t="s">
        <v>195</v>
      </c>
      <c r="C367" s="55"/>
      <c r="D367" s="55"/>
      <c r="E367" s="56"/>
    </row>
    <row r="368" spans="2:5">
      <c r="B368" s="51"/>
      <c r="C368" s="54"/>
      <c r="D368" s="54"/>
      <c r="E368" s="54"/>
    </row>
    <row r="369" spans="2:5">
      <c r="B369" s="48" t="s">
        <v>197</v>
      </c>
      <c r="C369" s="46"/>
      <c r="D369" s="46"/>
      <c r="E369" s="47"/>
    </row>
    <row r="370" spans="2:5">
      <c r="B370" s="48"/>
      <c r="C370" s="58"/>
      <c r="D370" s="58"/>
      <c r="E370" s="58"/>
    </row>
    <row r="371" spans="2:5" ht="13.8" thickBot="1">
      <c r="B371" s="59"/>
      <c r="C371" s="60"/>
      <c r="D371" s="60"/>
      <c r="E371" s="61"/>
    </row>
    <row r="372" spans="2:5" ht="13.8" thickBot="1"/>
    <row r="373" spans="2:5">
      <c r="B373" s="42" t="s">
        <v>232</v>
      </c>
      <c r="C373" s="43"/>
      <c r="D373" s="43"/>
      <c r="E373" s="44"/>
    </row>
    <row r="374" spans="2:5">
      <c r="B374" s="45"/>
      <c r="C374" s="46"/>
      <c r="D374" s="46"/>
      <c r="E374" s="47"/>
    </row>
    <row r="375" spans="2:5">
      <c r="B375" s="48" t="s">
        <v>190</v>
      </c>
      <c r="C375" s="46"/>
      <c r="D375" s="46"/>
      <c r="E375" s="47"/>
    </row>
    <row r="376" spans="2:5">
      <c r="B376" s="48"/>
      <c r="C376" s="62" t="s">
        <v>233</v>
      </c>
      <c r="D376" s="62"/>
      <c r="E376" s="54"/>
    </row>
    <row r="377" spans="2:5">
      <c r="B377" s="48" t="s">
        <v>192</v>
      </c>
      <c r="C377" s="46"/>
      <c r="D377" s="46"/>
      <c r="E377" s="47"/>
    </row>
    <row r="378" spans="2:5">
      <c r="B378" s="51"/>
      <c r="C378" s="58" t="s">
        <v>193</v>
      </c>
      <c r="D378" s="58"/>
      <c r="E378" s="58"/>
    </row>
    <row r="379" spans="2:5">
      <c r="B379" s="51"/>
      <c r="C379" s="58"/>
      <c r="D379" s="58"/>
      <c r="E379" s="58"/>
    </row>
    <row r="380" spans="2:5">
      <c r="B380" s="48" t="s">
        <v>194</v>
      </c>
      <c r="C380" s="46"/>
      <c r="D380" s="46"/>
      <c r="E380" s="47"/>
    </row>
    <row r="381" spans="2:5">
      <c r="B381" s="51"/>
      <c r="C381" s="54"/>
      <c r="D381" s="54"/>
      <c r="E381" s="54"/>
    </row>
    <row r="382" spans="2:5">
      <c r="B382" s="48" t="s">
        <v>195</v>
      </c>
      <c r="C382" s="55"/>
      <c r="D382" s="55"/>
      <c r="E382" s="56"/>
    </row>
    <row r="383" spans="2:5">
      <c r="B383" s="51"/>
      <c r="C383" s="54"/>
      <c r="D383" s="54"/>
      <c r="E383" s="54"/>
    </row>
    <row r="384" spans="2:5">
      <c r="B384" s="48" t="s">
        <v>197</v>
      </c>
      <c r="C384" s="46"/>
      <c r="D384" s="46"/>
      <c r="E384" s="47"/>
    </row>
    <row r="385" spans="2:5">
      <c r="B385" s="48"/>
      <c r="C385" s="58"/>
      <c r="D385" s="58"/>
      <c r="E385" s="58"/>
    </row>
    <row r="386" spans="2:5" ht="13.8" thickBot="1">
      <c r="B386" s="59"/>
      <c r="C386" s="60"/>
      <c r="D386" s="60"/>
      <c r="E386" s="61"/>
    </row>
    <row r="387" spans="2:5" ht="13.8" thickBot="1"/>
    <row r="388" spans="2:5">
      <c r="B388" s="42" t="s">
        <v>234</v>
      </c>
      <c r="C388" s="43"/>
      <c r="D388" s="43"/>
      <c r="E388" s="44"/>
    </row>
    <row r="389" spans="2:5">
      <c r="B389" s="45"/>
      <c r="C389" s="46"/>
      <c r="D389" s="46"/>
      <c r="E389" s="47"/>
    </row>
    <row r="390" spans="2:5">
      <c r="B390" s="48" t="s">
        <v>190</v>
      </c>
      <c r="C390" s="46"/>
      <c r="D390" s="46"/>
      <c r="E390" s="47"/>
    </row>
    <row r="391" spans="2:5">
      <c r="B391" s="48"/>
      <c r="C391" s="62" t="s">
        <v>235</v>
      </c>
      <c r="D391" s="62"/>
      <c r="E391" s="54"/>
    </row>
    <row r="392" spans="2:5">
      <c r="B392" s="48" t="s">
        <v>192</v>
      </c>
      <c r="C392" s="46"/>
      <c r="D392" s="46"/>
      <c r="E392" s="47"/>
    </row>
    <row r="393" spans="2:5">
      <c r="B393" s="51"/>
      <c r="C393" s="58" t="s">
        <v>193</v>
      </c>
      <c r="D393" s="58"/>
      <c r="E393" s="58"/>
    </row>
    <row r="394" spans="2:5">
      <c r="B394" s="51"/>
      <c r="C394" s="58"/>
      <c r="D394" s="58"/>
      <c r="E394" s="58"/>
    </row>
    <row r="395" spans="2:5">
      <c r="B395" s="48" t="s">
        <v>194</v>
      </c>
      <c r="C395" s="46"/>
      <c r="D395" s="46"/>
      <c r="E395" s="47"/>
    </row>
    <row r="396" spans="2:5">
      <c r="B396" s="51"/>
      <c r="C396" s="54"/>
      <c r="D396" s="54"/>
      <c r="E396" s="54"/>
    </row>
    <row r="397" spans="2:5">
      <c r="B397" s="48" t="s">
        <v>195</v>
      </c>
      <c r="C397" s="55"/>
      <c r="D397" s="55"/>
      <c r="E397" s="56"/>
    </row>
    <row r="398" spans="2:5">
      <c r="B398" s="51"/>
      <c r="C398" s="54"/>
      <c r="D398" s="54"/>
      <c r="E398" s="54"/>
    </row>
    <row r="399" spans="2:5">
      <c r="B399" s="48" t="s">
        <v>197</v>
      </c>
      <c r="C399" s="46"/>
      <c r="D399" s="46"/>
      <c r="E399" s="47"/>
    </row>
    <row r="400" spans="2:5">
      <c r="B400" s="48"/>
      <c r="C400" s="58"/>
      <c r="D400" s="58"/>
      <c r="E400" s="58"/>
    </row>
    <row r="401" spans="2:5" ht="13.8" thickBot="1">
      <c r="B401" s="59"/>
      <c r="C401" s="60"/>
      <c r="D401" s="60"/>
      <c r="E401" s="61"/>
    </row>
    <row r="402" spans="2:5" ht="13.8" thickBot="1"/>
    <row r="403" spans="2:5">
      <c r="B403" s="42" t="s">
        <v>236</v>
      </c>
      <c r="C403" s="43"/>
      <c r="D403" s="43"/>
      <c r="E403" s="44"/>
    </row>
    <row r="404" spans="2:5">
      <c r="B404" s="45"/>
      <c r="C404" s="46"/>
      <c r="D404" s="46"/>
      <c r="E404" s="47"/>
    </row>
    <row r="405" spans="2:5">
      <c r="B405" s="48" t="s">
        <v>190</v>
      </c>
      <c r="C405" s="46"/>
      <c r="D405" s="46"/>
      <c r="E405" s="47"/>
    </row>
    <row r="406" spans="2:5">
      <c r="B406" s="48"/>
      <c r="C406" s="62" t="s">
        <v>237</v>
      </c>
      <c r="D406" s="62"/>
      <c r="E406" s="54"/>
    </row>
    <row r="407" spans="2:5">
      <c r="B407" s="48" t="s">
        <v>192</v>
      </c>
      <c r="C407" s="46"/>
      <c r="D407" s="46"/>
      <c r="E407" s="47"/>
    </row>
    <row r="408" spans="2:5">
      <c r="B408" s="51"/>
      <c r="C408" s="58" t="s">
        <v>193</v>
      </c>
      <c r="D408" s="58"/>
      <c r="E408" s="58"/>
    </row>
    <row r="409" spans="2:5">
      <c r="B409" s="51"/>
      <c r="C409" s="58"/>
      <c r="D409" s="58"/>
      <c r="E409" s="58"/>
    </row>
    <row r="410" spans="2:5">
      <c r="B410" s="48" t="s">
        <v>194</v>
      </c>
      <c r="C410" s="46"/>
      <c r="D410" s="46"/>
      <c r="E410" s="47"/>
    </row>
    <row r="411" spans="2:5">
      <c r="B411" s="51"/>
      <c r="C411" s="54"/>
      <c r="D411" s="54"/>
      <c r="E411" s="54"/>
    </row>
    <row r="412" spans="2:5">
      <c r="B412" s="48" t="s">
        <v>195</v>
      </c>
      <c r="C412" s="55"/>
      <c r="D412" s="55"/>
      <c r="E412" s="56"/>
    </row>
    <row r="413" spans="2:5">
      <c r="B413" s="51"/>
      <c r="C413" s="54"/>
      <c r="D413" s="54"/>
      <c r="E413" s="54"/>
    </row>
    <row r="414" spans="2:5">
      <c r="B414" s="48" t="s">
        <v>197</v>
      </c>
      <c r="C414" s="46"/>
      <c r="D414" s="46"/>
      <c r="E414" s="47"/>
    </row>
    <row r="415" spans="2:5">
      <c r="B415" s="48"/>
      <c r="C415" s="58"/>
      <c r="D415" s="58"/>
      <c r="E415" s="58"/>
    </row>
    <row r="416" spans="2:5" ht="13.8" thickBot="1">
      <c r="B416" s="59"/>
      <c r="C416" s="60"/>
      <c r="D416" s="60"/>
      <c r="E416" s="61"/>
    </row>
    <row r="417" spans="2:5" ht="13.8" thickBot="1"/>
    <row r="418" spans="2:5">
      <c r="B418" s="42" t="s">
        <v>238</v>
      </c>
      <c r="C418" s="43"/>
      <c r="D418" s="43"/>
      <c r="E418" s="44"/>
    </row>
    <row r="419" spans="2:5">
      <c r="B419" s="45"/>
      <c r="C419" s="46"/>
      <c r="D419" s="46"/>
      <c r="E419" s="47"/>
    </row>
    <row r="420" spans="2:5">
      <c r="B420" s="48" t="s">
        <v>190</v>
      </c>
      <c r="C420" s="46"/>
      <c r="D420" s="46"/>
      <c r="E420" s="47"/>
    </row>
    <row r="421" spans="2:5">
      <c r="B421" s="48"/>
      <c r="C421" s="62" t="s">
        <v>239</v>
      </c>
      <c r="D421" s="62"/>
      <c r="E421" s="54"/>
    </row>
    <row r="422" spans="2:5">
      <c r="B422" s="48" t="s">
        <v>192</v>
      </c>
      <c r="C422" s="46"/>
      <c r="D422" s="46"/>
      <c r="E422" s="47"/>
    </row>
    <row r="423" spans="2:5">
      <c r="B423" s="51"/>
      <c r="C423" s="58" t="s">
        <v>193</v>
      </c>
      <c r="D423" s="58"/>
      <c r="E423" s="58"/>
    </row>
    <row r="424" spans="2:5">
      <c r="B424" s="51"/>
      <c r="C424" s="58"/>
      <c r="D424" s="58"/>
      <c r="E424" s="58"/>
    </row>
    <row r="425" spans="2:5">
      <c r="B425" s="48" t="s">
        <v>194</v>
      </c>
      <c r="C425" s="46"/>
      <c r="D425" s="46"/>
      <c r="E425" s="47"/>
    </row>
    <row r="426" spans="2:5">
      <c r="B426" s="51"/>
      <c r="C426" s="54"/>
      <c r="D426" s="54"/>
      <c r="E426" s="54"/>
    </row>
    <row r="427" spans="2:5">
      <c r="B427" s="48" t="s">
        <v>195</v>
      </c>
      <c r="C427" s="55"/>
      <c r="D427" s="55"/>
      <c r="E427" s="56"/>
    </row>
    <row r="428" spans="2:5">
      <c r="B428" s="51"/>
      <c r="C428" s="54"/>
      <c r="D428" s="54"/>
      <c r="E428" s="54"/>
    </row>
    <row r="429" spans="2:5">
      <c r="B429" s="48" t="s">
        <v>197</v>
      </c>
      <c r="C429" s="46"/>
      <c r="D429" s="46"/>
      <c r="E429" s="47"/>
    </row>
    <row r="430" spans="2:5">
      <c r="B430" s="48"/>
      <c r="C430" s="58"/>
      <c r="D430" s="58"/>
      <c r="E430" s="58"/>
    </row>
    <row r="431" spans="2:5" ht="13.8" thickBot="1">
      <c r="B431" s="59"/>
      <c r="C431" s="60"/>
      <c r="D431" s="60"/>
      <c r="E431" s="61"/>
    </row>
    <row r="432" spans="2:5" ht="13.8" thickBot="1"/>
    <row r="433" spans="2:5">
      <c r="B433" s="42" t="s">
        <v>240</v>
      </c>
      <c r="C433" s="43"/>
      <c r="D433" s="43"/>
      <c r="E433" s="44"/>
    </row>
    <row r="434" spans="2:5">
      <c r="B434" s="45"/>
      <c r="C434" s="46"/>
      <c r="D434" s="46"/>
      <c r="E434" s="47"/>
    </row>
    <row r="435" spans="2:5">
      <c r="B435" s="48" t="s">
        <v>190</v>
      </c>
      <c r="C435" s="46"/>
      <c r="D435" s="46"/>
      <c r="E435" s="47"/>
    </row>
    <row r="436" spans="2:5">
      <c r="B436" s="48"/>
      <c r="C436" s="62" t="s">
        <v>241</v>
      </c>
      <c r="D436" s="62"/>
      <c r="E436" s="54"/>
    </row>
    <row r="437" spans="2:5">
      <c r="B437" s="48" t="s">
        <v>192</v>
      </c>
      <c r="C437" s="46"/>
      <c r="D437" s="46"/>
      <c r="E437" s="47"/>
    </row>
    <row r="438" spans="2:5">
      <c r="B438" s="51"/>
      <c r="C438" s="58" t="s">
        <v>193</v>
      </c>
      <c r="D438" s="58"/>
      <c r="E438" s="58"/>
    </row>
    <row r="439" spans="2:5">
      <c r="B439" s="51"/>
      <c r="C439" s="58"/>
      <c r="D439" s="58"/>
      <c r="E439" s="58"/>
    </row>
    <row r="440" spans="2:5">
      <c r="B440" s="48" t="s">
        <v>194</v>
      </c>
      <c r="C440" s="46"/>
      <c r="D440" s="46"/>
      <c r="E440" s="47"/>
    </row>
    <row r="441" spans="2:5">
      <c r="B441" s="51"/>
      <c r="C441" s="54"/>
      <c r="D441" s="54"/>
      <c r="E441" s="54"/>
    </row>
    <row r="442" spans="2:5">
      <c r="B442" s="48" t="s">
        <v>195</v>
      </c>
      <c r="C442" s="55"/>
      <c r="D442" s="55"/>
      <c r="E442" s="56"/>
    </row>
    <row r="443" spans="2:5">
      <c r="B443" s="51"/>
      <c r="C443" s="54"/>
      <c r="D443" s="54"/>
      <c r="E443" s="54"/>
    </row>
    <row r="444" spans="2:5">
      <c r="B444" s="48" t="s">
        <v>197</v>
      </c>
      <c r="C444" s="46"/>
      <c r="D444" s="46"/>
      <c r="E444" s="47"/>
    </row>
    <row r="445" spans="2:5">
      <c r="B445" s="48"/>
      <c r="C445" s="58"/>
      <c r="D445" s="58"/>
      <c r="E445" s="58"/>
    </row>
    <row r="446" spans="2:5" ht="13.8" thickBot="1">
      <c r="B446" s="59"/>
      <c r="C446" s="60"/>
      <c r="D446" s="60"/>
      <c r="E446" s="61"/>
    </row>
    <row r="447" spans="2:5" ht="13.8" thickBot="1"/>
    <row r="448" spans="2:5">
      <c r="B448" s="42" t="s">
        <v>242</v>
      </c>
      <c r="C448" s="43"/>
      <c r="D448" s="43"/>
      <c r="E448" s="44"/>
    </row>
    <row r="449" spans="2:5">
      <c r="B449" s="45"/>
      <c r="C449" s="46"/>
      <c r="D449" s="46"/>
      <c r="E449" s="47"/>
    </row>
    <row r="450" spans="2:5">
      <c r="B450" s="48" t="s">
        <v>190</v>
      </c>
      <c r="C450" s="46"/>
      <c r="D450" s="46"/>
      <c r="E450" s="47"/>
    </row>
    <row r="451" spans="2:5">
      <c r="B451" s="48"/>
      <c r="C451" s="62" t="s">
        <v>243</v>
      </c>
      <c r="D451" s="62"/>
      <c r="E451" s="54"/>
    </row>
    <row r="452" spans="2:5">
      <c r="B452" s="48" t="s">
        <v>192</v>
      </c>
      <c r="C452" s="46"/>
      <c r="D452" s="46"/>
      <c r="E452" s="47"/>
    </row>
    <row r="453" spans="2:5">
      <c r="B453" s="51"/>
      <c r="C453" s="58" t="s">
        <v>193</v>
      </c>
      <c r="D453" s="58"/>
      <c r="E453" s="58"/>
    </row>
    <row r="454" spans="2:5">
      <c r="B454" s="51"/>
      <c r="C454" s="58"/>
      <c r="D454" s="58"/>
      <c r="E454" s="58"/>
    </row>
    <row r="455" spans="2:5">
      <c r="B455" s="48" t="s">
        <v>194</v>
      </c>
      <c r="C455" s="46"/>
      <c r="D455" s="46"/>
      <c r="E455" s="47"/>
    </row>
    <row r="456" spans="2:5">
      <c r="B456" s="51"/>
      <c r="C456" s="54"/>
      <c r="D456" s="54"/>
      <c r="E456" s="54"/>
    </row>
    <row r="457" spans="2:5">
      <c r="B457" s="48" t="s">
        <v>195</v>
      </c>
      <c r="C457" s="55"/>
      <c r="D457" s="55"/>
      <c r="E457" s="56"/>
    </row>
    <row r="458" spans="2:5">
      <c r="B458" s="51"/>
      <c r="C458" s="54"/>
      <c r="D458" s="54"/>
      <c r="E458" s="54"/>
    </row>
    <row r="459" spans="2:5">
      <c r="B459" s="48" t="s">
        <v>197</v>
      </c>
      <c r="C459" s="46"/>
      <c r="D459" s="46"/>
      <c r="E459" s="47"/>
    </row>
    <row r="460" spans="2:5">
      <c r="B460" s="48"/>
      <c r="C460" s="58"/>
      <c r="D460" s="58"/>
      <c r="E460" s="58"/>
    </row>
    <row r="461" spans="2:5" ht="13.8" thickBot="1">
      <c r="B461" s="59"/>
      <c r="C461" s="60"/>
      <c r="D461" s="60"/>
      <c r="E461" s="61"/>
    </row>
    <row r="462" spans="2:5" ht="13.8" thickBot="1"/>
    <row r="463" spans="2:5">
      <c r="B463" s="42" t="s">
        <v>244</v>
      </c>
      <c r="C463" s="43"/>
      <c r="D463" s="43"/>
      <c r="E463" s="44"/>
    </row>
    <row r="464" spans="2:5">
      <c r="B464" s="45"/>
      <c r="C464" s="46"/>
      <c r="D464" s="46"/>
      <c r="E464" s="47"/>
    </row>
    <row r="465" spans="2:5">
      <c r="B465" s="48" t="s">
        <v>190</v>
      </c>
      <c r="C465" s="46"/>
      <c r="D465" s="46"/>
      <c r="E465" s="47"/>
    </row>
    <row r="466" spans="2:5">
      <c r="B466" s="48"/>
      <c r="C466" s="62" t="s">
        <v>245</v>
      </c>
      <c r="D466" s="62"/>
      <c r="E466" s="54"/>
    </row>
    <row r="467" spans="2:5">
      <c r="B467" s="48" t="s">
        <v>192</v>
      </c>
      <c r="C467" s="46"/>
      <c r="D467" s="46"/>
      <c r="E467" s="47"/>
    </row>
    <row r="468" spans="2:5">
      <c r="B468" s="51"/>
      <c r="C468" s="58" t="s">
        <v>193</v>
      </c>
      <c r="D468" s="58"/>
      <c r="E468" s="58"/>
    </row>
    <row r="469" spans="2:5">
      <c r="B469" s="51"/>
      <c r="C469" s="58"/>
      <c r="D469" s="58"/>
      <c r="E469" s="58"/>
    </row>
    <row r="470" spans="2:5">
      <c r="B470" s="48" t="s">
        <v>194</v>
      </c>
      <c r="C470" s="46"/>
      <c r="D470" s="46"/>
      <c r="E470" s="47"/>
    </row>
    <row r="471" spans="2:5">
      <c r="B471" s="51"/>
      <c r="C471" s="54"/>
      <c r="D471" s="54"/>
      <c r="E471" s="54"/>
    </row>
    <row r="472" spans="2:5">
      <c r="B472" s="48" t="s">
        <v>195</v>
      </c>
      <c r="C472" s="55"/>
      <c r="D472" s="55"/>
      <c r="E472" s="56"/>
    </row>
    <row r="473" spans="2:5">
      <c r="B473" s="51"/>
      <c r="C473" s="54"/>
      <c r="D473" s="54"/>
      <c r="E473" s="54"/>
    </row>
    <row r="474" spans="2:5">
      <c r="B474" s="48" t="s">
        <v>197</v>
      </c>
      <c r="C474" s="46"/>
      <c r="D474" s="46"/>
      <c r="E474" s="47"/>
    </row>
    <row r="475" spans="2:5">
      <c r="B475" s="48"/>
      <c r="C475" s="58"/>
      <c r="D475" s="58"/>
      <c r="E475" s="58"/>
    </row>
    <row r="476" spans="2:5" ht="13.8" thickBot="1">
      <c r="B476" s="59"/>
      <c r="C476" s="60"/>
      <c r="D476" s="60"/>
      <c r="E476" s="61"/>
    </row>
    <row r="477" spans="2:5" ht="13.8" thickBot="1"/>
    <row r="478" spans="2:5">
      <c r="B478" s="42" t="s">
        <v>246</v>
      </c>
      <c r="C478" s="43"/>
      <c r="D478" s="43"/>
      <c r="E478" s="44"/>
    </row>
    <row r="479" spans="2:5">
      <c r="B479" s="45"/>
      <c r="C479" s="46"/>
      <c r="D479" s="46"/>
      <c r="E479" s="47"/>
    </row>
    <row r="480" spans="2:5">
      <c r="B480" s="48" t="s">
        <v>190</v>
      </c>
      <c r="C480" s="46"/>
      <c r="D480" s="46"/>
      <c r="E480" s="47"/>
    </row>
    <row r="481" spans="2:5">
      <c r="B481" s="48"/>
      <c r="C481" s="62" t="s">
        <v>247</v>
      </c>
      <c r="D481" s="62"/>
      <c r="E481" s="54"/>
    </row>
    <row r="482" spans="2:5">
      <c r="B482" s="48" t="s">
        <v>192</v>
      </c>
      <c r="C482" s="46"/>
      <c r="D482" s="46"/>
      <c r="E482" s="47"/>
    </row>
    <row r="483" spans="2:5">
      <c r="B483" s="51"/>
      <c r="C483" s="58" t="s">
        <v>193</v>
      </c>
      <c r="D483" s="58"/>
      <c r="E483" s="58"/>
    </row>
    <row r="484" spans="2:5">
      <c r="B484" s="51"/>
      <c r="C484" s="58"/>
      <c r="D484" s="58"/>
      <c r="E484" s="58"/>
    </row>
    <row r="485" spans="2:5">
      <c r="B485" s="48" t="s">
        <v>194</v>
      </c>
      <c r="C485" s="46"/>
      <c r="D485" s="46"/>
      <c r="E485" s="47"/>
    </row>
    <row r="486" spans="2:5">
      <c r="B486" s="51"/>
      <c r="C486" s="54"/>
      <c r="D486" s="54"/>
      <c r="E486" s="54"/>
    </row>
    <row r="487" spans="2:5">
      <c r="B487" s="48" t="s">
        <v>195</v>
      </c>
      <c r="C487" s="55"/>
      <c r="D487" s="55"/>
      <c r="E487" s="56"/>
    </row>
    <row r="488" spans="2:5">
      <c r="B488" s="51"/>
      <c r="C488" s="54"/>
      <c r="D488" s="54"/>
      <c r="E488" s="54"/>
    </row>
    <row r="489" spans="2:5">
      <c r="B489" s="48" t="s">
        <v>197</v>
      </c>
      <c r="C489" s="46"/>
      <c r="D489" s="46"/>
      <c r="E489" s="47"/>
    </row>
    <row r="490" spans="2:5">
      <c r="B490" s="48"/>
      <c r="C490" s="58"/>
      <c r="D490" s="58"/>
      <c r="E490" s="58"/>
    </row>
    <row r="491" spans="2:5" ht="13.8" thickBot="1">
      <c r="B491" s="59"/>
      <c r="C491" s="60"/>
      <c r="D491" s="60"/>
      <c r="E491" s="61"/>
    </row>
    <row r="492" spans="2:5" ht="13.8" thickBot="1"/>
    <row r="493" spans="2:5">
      <c r="B493" s="42" t="s">
        <v>248</v>
      </c>
      <c r="C493" s="43"/>
      <c r="D493" s="43"/>
      <c r="E493" s="44"/>
    </row>
    <row r="494" spans="2:5">
      <c r="B494" s="45"/>
      <c r="C494" s="46"/>
      <c r="D494" s="46"/>
      <c r="E494" s="47"/>
    </row>
    <row r="495" spans="2:5">
      <c r="B495" s="48" t="s">
        <v>190</v>
      </c>
      <c r="C495" s="46"/>
      <c r="D495" s="46"/>
      <c r="E495" s="47"/>
    </row>
    <row r="496" spans="2:5">
      <c r="B496" s="48"/>
      <c r="C496" s="62" t="s">
        <v>249</v>
      </c>
      <c r="D496" s="62"/>
      <c r="E496" s="54"/>
    </row>
    <row r="497" spans="2:5">
      <c r="B497" s="48" t="s">
        <v>192</v>
      </c>
      <c r="C497" s="46"/>
      <c r="D497" s="46"/>
      <c r="E497" s="47"/>
    </row>
    <row r="498" spans="2:5">
      <c r="B498" s="51"/>
      <c r="C498" s="58" t="s">
        <v>193</v>
      </c>
      <c r="D498" s="58"/>
      <c r="E498" s="58"/>
    </row>
    <row r="499" spans="2:5">
      <c r="B499" s="51"/>
      <c r="C499" s="58"/>
      <c r="D499" s="58"/>
      <c r="E499" s="58"/>
    </row>
    <row r="500" spans="2:5">
      <c r="B500" s="48" t="s">
        <v>194</v>
      </c>
      <c r="C500" s="46"/>
      <c r="D500" s="46"/>
      <c r="E500" s="47"/>
    </row>
    <row r="501" spans="2:5">
      <c r="B501" s="51"/>
      <c r="C501" s="54"/>
      <c r="D501" s="54"/>
      <c r="E501" s="54"/>
    </row>
    <row r="502" spans="2:5">
      <c r="B502" s="48" t="s">
        <v>195</v>
      </c>
      <c r="C502" s="55"/>
      <c r="D502" s="55"/>
      <c r="E502" s="56"/>
    </row>
    <row r="503" spans="2:5">
      <c r="B503" s="51"/>
      <c r="C503" s="54"/>
      <c r="D503" s="54"/>
      <c r="E503" s="54"/>
    </row>
    <row r="504" spans="2:5">
      <c r="B504" s="48" t="s">
        <v>197</v>
      </c>
      <c r="C504" s="46"/>
      <c r="D504" s="46"/>
      <c r="E504" s="47"/>
    </row>
    <row r="505" spans="2:5">
      <c r="B505" s="48"/>
      <c r="C505" s="58"/>
      <c r="D505" s="58"/>
      <c r="E505" s="58"/>
    </row>
    <row r="506" spans="2:5" ht="13.8" thickBot="1">
      <c r="B506" s="59"/>
      <c r="C506" s="60"/>
      <c r="D506" s="60"/>
      <c r="E506" s="61"/>
    </row>
    <row r="507" spans="2:5" ht="13.8" thickBot="1"/>
    <row r="508" spans="2:5">
      <c r="B508" s="42" t="s">
        <v>250</v>
      </c>
      <c r="C508" s="43"/>
      <c r="D508" s="43"/>
      <c r="E508" s="44"/>
    </row>
    <row r="509" spans="2:5">
      <c r="B509" s="45"/>
      <c r="C509" s="46"/>
      <c r="D509" s="46"/>
      <c r="E509" s="47"/>
    </row>
    <row r="510" spans="2:5">
      <c r="B510" s="48" t="s">
        <v>190</v>
      </c>
      <c r="C510" s="46"/>
      <c r="D510" s="46"/>
      <c r="E510" s="47"/>
    </row>
    <row r="511" spans="2:5">
      <c r="B511" s="48"/>
      <c r="C511" s="62" t="s">
        <v>251</v>
      </c>
      <c r="D511" s="62"/>
      <c r="E511" s="54"/>
    </row>
    <row r="512" spans="2:5">
      <c r="B512" s="48" t="s">
        <v>192</v>
      </c>
      <c r="C512" s="46"/>
      <c r="D512" s="46"/>
      <c r="E512" s="47"/>
    </row>
    <row r="513" spans="2:5">
      <c r="B513" s="51"/>
      <c r="C513" s="58" t="s">
        <v>193</v>
      </c>
      <c r="D513" s="58"/>
      <c r="E513" s="58"/>
    </row>
    <row r="514" spans="2:5">
      <c r="B514" s="51"/>
      <c r="C514" s="58"/>
      <c r="D514" s="58"/>
      <c r="E514" s="58"/>
    </row>
    <row r="515" spans="2:5">
      <c r="B515" s="48" t="s">
        <v>194</v>
      </c>
      <c r="C515" s="46"/>
      <c r="D515" s="46"/>
      <c r="E515" s="47"/>
    </row>
    <row r="516" spans="2:5">
      <c r="B516" s="51"/>
      <c r="C516" s="54"/>
      <c r="D516" s="54"/>
      <c r="E516" s="54"/>
    </row>
    <row r="517" spans="2:5">
      <c r="B517" s="48" t="s">
        <v>195</v>
      </c>
      <c r="C517" s="55"/>
      <c r="D517" s="55"/>
      <c r="E517" s="56"/>
    </row>
    <row r="518" spans="2:5">
      <c r="B518" s="51"/>
      <c r="C518" s="54"/>
      <c r="D518" s="54"/>
      <c r="E518" s="54"/>
    </row>
    <row r="519" spans="2:5">
      <c r="B519" s="48" t="s">
        <v>197</v>
      </c>
      <c r="C519" s="46"/>
      <c r="D519" s="46"/>
      <c r="E519" s="47"/>
    </row>
    <row r="520" spans="2:5">
      <c r="B520" s="48"/>
      <c r="C520" s="58"/>
      <c r="D520" s="58"/>
      <c r="E520" s="58"/>
    </row>
    <row r="521" spans="2:5" ht="13.8" thickBot="1">
      <c r="B521" s="59"/>
      <c r="C521" s="60"/>
      <c r="D521" s="60"/>
      <c r="E521" s="61"/>
    </row>
    <row r="522" spans="2:5" ht="13.8" thickBot="1"/>
    <row r="523" spans="2:5">
      <c r="B523" s="42" t="s">
        <v>252</v>
      </c>
      <c r="C523" s="43"/>
      <c r="D523" s="43"/>
      <c r="E523" s="44"/>
    </row>
    <row r="524" spans="2:5">
      <c r="B524" s="45"/>
      <c r="C524" s="46"/>
      <c r="D524" s="46"/>
      <c r="E524" s="47"/>
    </row>
    <row r="525" spans="2:5">
      <c r="B525" s="48" t="s">
        <v>190</v>
      </c>
      <c r="C525" s="46"/>
      <c r="D525" s="46"/>
      <c r="E525" s="47"/>
    </row>
    <row r="526" spans="2:5">
      <c r="B526" s="48"/>
      <c r="C526" s="62" t="s">
        <v>253</v>
      </c>
      <c r="D526" s="62"/>
      <c r="E526" s="54"/>
    </row>
    <row r="527" spans="2:5">
      <c r="B527" s="48" t="s">
        <v>192</v>
      </c>
      <c r="C527" s="46"/>
      <c r="D527" s="46"/>
      <c r="E527" s="47"/>
    </row>
    <row r="528" spans="2:5">
      <c r="B528" s="51"/>
      <c r="C528" s="58" t="s">
        <v>193</v>
      </c>
      <c r="D528" s="58"/>
      <c r="E528" s="58"/>
    </row>
    <row r="529" spans="2:5">
      <c r="B529" s="51"/>
      <c r="C529" s="58"/>
      <c r="D529" s="58"/>
      <c r="E529" s="58"/>
    </row>
    <row r="530" spans="2:5">
      <c r="B530" s="48" t="s">
        <v>194</v>
      </c>
      <c r="C530" s="46"/>
      <c r="D530" s="46"/>
      <c r="E530" s="47"/>
    </row>
    <row r="531" spans="2:5">
      <c r="B531" s="51"/>
      <c r="C531" s="54"/>
      <c r="D531" s="54"/>
      <c r="E531" s="54"/>
    </row>
    <row r="532" spans="2:5">
      <c r="B532" s="48" t="s">
        <v>195</v>
      </c>
      <c r="C532" s="55"/>
      <c r="D532" s="55"/>
      <c r="E532" s="56"/>
    </row>
    <row r="533" spans="2:5">
      <c r="B533" s="51"/>
      <c r="C533" s="54"/>
      <c r="D533" s="54"/>
      <c r="E533" s="54"/>
    </row>
    <row r="534" spans="2:5">
      <c r="B534" s="48" t="s">
        <v>197</v>
      </c>
      <c r="C534" s="46"/>
      <c r="D534" s="46"/>
      <c r="E534" s="47"/>
    </row>
    <row r="535" spans="2:5">
      <c r="B535" s="48"/>
      <c r="C535" s="58"/>
      <c r="D535" s="58"/>
      <c r="E535" s="58"/>
    </row>
    <row r="536" spans="2:5" ht="13.8" thickBot="1">
      <c r="B536" s="59"/>
      <c r="C536" s="60"/>
      <c r="D536" s="60"/>
      <c r="E536" s="61"/>
    </row>
    <row r="537" spans="2:5" ht="13.8" thickBot="1"/>
    <row r="538" spans="2:5">
      <c r="B538" s="42" t="s">
        <v>254</v>
      </c>
      <c r="C538" s="43"/>
      <c r="D538" s="43"/>
      <c r="E538" s="44"/>
    </row>
    <row r="539" spans="2:5">
      <c r="B539" s="45"/>
      <c r="C539" s="46"/>
      <c r="D539" s="46"/>
      <c r="E539" s="47"/>
    </row>
    <row r="540" spans="2:5">
      <c r="B540" s="48" t="s">
        <v>190</v>
      </c>
      <c r="C540" s="46"/>
      <c r="D540" s="46"/>
      <c r="E540" s="47"/>
    </row>
    <row r="541" spans="2:5">
      <c r="B541" s="48"/>
      <c r="C541" s="54" t="s">
        <v>255</v>
      </c>
      <c r="D541" s="54"/>
      <c r="E541" s="54"/>
    </row>
    <row r="542" spans="2:5">
      <c r="B542" s="48" t="s">
        <v>192</v>
      </c>
      <c r="C542" s="46"/>
      <c r="D542" s="46"/>
      <c r="E542" s="47"/>
    </row>
    <row r="543" spans="2:5">
      <c r="B543" s="51"/>
      <c r="C543" s="58" t="s">
        <v>193</v>
      </c>
      <c r="D543" s="58"/>
      <c r="E543" s="58"/>
    </row>
    <row r="544" spans="2:5">
      <c r="B544" s="51"/>
      <c r="C544" s="58"/>
      <c r="D544" s="58"/>
      <c r="E544" s="58"/>
    </row>
    <row r="545" spans="2:5">
      <c r="B545" s="48" t="s">
        <v>194</v>
      </c>
      <c r="C545" s="46"/>
      <c r="D545" s="46"/>
      <c r="E545" s="47"/>
    </row>
    <row r="546" spans="2:5">
      <c r="B546" s="51"/>
      <c r="C546" s="54"/>
      <c r="D546" s="54"/>
      <c r="E546" s="54"/>
    </row>
    <row r="547" spans="2:5">
      <c r="B547" s="48" t="s">
        <v>195</v>
      </c>
      <c r="C547" s="55"/>
      <c r="D547" s="55"/>
      <c r="E547" s="56"/>
    </row>
    <row r="548" spans="2:5">
      <c r="B548" s="51"/>
      <c r="C548" s="54"/>
      <c r="D548" s="54"/>
      <c r="E548" s="54"/>
    </row>
    <row r="549" spans="2:5">
      <c r="B549" s="48" t="s">
        <v>197</v>
      </c>
      <c r="C549" s="46"/>
      <c r="D549" s="46"/>
      <c r="E549" s="47"/>
    </row>
    <row r="550" spans="2:5">
      <c r="B550" s="48"/>
      <c r="C550" s="58"/>
      <c r="D550" s="58"/>
      <c r="E550" s="58"/>
    </row>
    <row r="551" spans="2:5" ht="13.8" thickBot="1">
      <c r="B551" s="59"/>
      <c r="C551" s="60"/>
      <c r="D551" s="60"/>
      <c r="E551" s="61"/>
    </row>
    <row r="552" spans="2:5" ht="13.8" thickBot="1"/>
    <row r="553" spans="2:5">
      <c r="B553" s="42" t="s">
        <v>256</v>
      </c>
      <c r="C553" s="43"/>
      <c r="D553" s="43"/>
      <c r="E553" s="44"/>
    </row>
    <row r="554" spans="2:5">
      <c r="B554" s="45"/>
      <c r="C554" s="46"/>
      <c r="D554" s="46"/>
      <c r="E554" s="47"/>
    </row>
    <row r="555" spans="2:5">
      <c r="B555" s="48" t="s">
        <v>190</v>
      </c>
      <c r="C555" s="46"/>
      <c r="D555" s="46"/>
      <c r="E555" s="47"/>
    </row>
    <row r="556" spans="2:5">
      <c r="B556" s="48"/>
      <c r="C556" s="54" t="s">
        <v>257</v>
      </c>
      <c r="D556" s="54"/>
      <c r="E556" s="54"/>
    </row>
    <row r="557" spans="2:5">
      <c r="B557" s="48" t="s">
        <v>192</v>
      </c>
      <c r="C557" s="46"/>
      <c r="D557" s="46"/>
      <c r="E557" s="47"/>
    </row>
    <row r="558" spans="2:5">
      <c r="B558" s="51"/>
      <c r="C558" s="58" t="s">
        <v>193</v>
      </c>
      <c r="D558" s="58"/>
      <c r="E558" s="58"/>
    </row>
    <row r="559" spans="2:5">
      <c r="B559" s="51"/>
      <c r="C559" s="58"/>
      <c r="D559" s="58"/>
      <c r="E559" s="58"/>
    </row>
    <row r="560" spans="2:5">
      <c r="B560" s="48" t="s">
        <v>194</v>
      </c>
      <c r="C560" s="46"/>
      <c r="D560" s="46"/>
      <c r="E560" s="47"/>
    </row>
    <row r="561" spans="2:5">
      <c r="B561" s="51"/>
      <c r="C561" s="54"/>
      <c r="D561" s="54"/>
      <c r="E561" s="54"/>
    </row>
    <row r="562" spans="2:5">
      <c r="B562" s="48" t="s">
        <v>195</v>
      </c>
      <c r="C562" s="55"/>
      <c r="D562" s="55"/>
      <c r="E562" s="56"/>
    </row>
    <row r="563" spans="2:5">
      <c r="B563" s="51"/>
      <c r="C563" s="54"/>
      <c r="D563" s="54"/>
      <c r="E563" s="54"/>
    </row>
    <row r="564" spans="2:5">
      <c r="B564" s="48" t="s">
        <v>197</v>
      </c>
      <c r="C564" s="46"/>
      <c r="D564" s="46"/>
      <c r="E564" s="47"/>
    </row>
    <row r="565" spans="2:5">
      <c r="B565" s="48"/>
      <c r="C565" s="58"/>
      <c r="D565" s="58"/>
      <c r="E565" s="58"/>
    </row>
    <row r="566" spans="2:5" ht="13.8" thickBot="1">
      <c r="B566" s="59"/>
      <c r="C566" s="60"/>
      <c r="D566" s="60"/>
      <c r="E566" s="61"/>
    </row>
    <row r="567" spans="2:5" ht="13.8" thickBot="1"/>
    <row r="568" spans="2:5">
      <c r="B568" s="42" t="s">
        <v>258</v>
      </c>
      <c r="C568" s="43"/>
      <c r="D568" s="43"/>
      <c r="E568" s="44"/>
    </row>
    <row r="569" spans="2:5">
      <c r="B569" s="45"/>
      <c r="C569" s="46"/>
      <c r="D569" s="46"/>
      <c r="E569" s="47"/>
    </row>
    <row r="570" spans="2:5">
      <c r="B570" s="48" t="s">
        <v>190</v>
      </c>
      <c r="C570" s="46"/>
      <c r="D570" s="46"/>
      <c r="E570" s="47"/>
    </row>
    <row r="571" spans="2:5">
      <c r="B571" s="48"/>
      <c r="C571" s="54" t="s">
        <v>259</v>
      </c>
      <c r="D571" s="54"/>
      <c r="E571" s="54"/>
    </row>
    <row r="572" spans="2:5">
      <c r="B572" s="48" t="s">
        <v>192</v>
      </c>
      <c r="C572" s="46"/>
      <c r="D572" s="46"/>
      <c r="E572" s="47"/>
    </row>
    <row r="573" spans="2:5">
      <c r="B573" s="51"/>
      <c r="C573" s="58" t="s">
        <v>193</v>
      </c>
      <c r="D573" s="58"/>
      <c r="E573" s="58"/>
    </row>
    <row r="574" spans="2:5">
      <c r="B574" s="51"/>
      <c r="C574" s="58"/>
      <c r="D574" s="58"/>
      <c r="E574" s="58"/>
    </row>
    <row r="575" spans="2:5">
      <c r="B575" s="48" t="s">
        <v>194</v>
      </c>
      <c r="C575" s="46"/>
      <c r="D575" s="46"/>
      <c r="E575" s="47"/>
    </row>
    <row r="576" spans="2:5">
      <c r="B576" s="51"/>
      <c r="C576" s="54"/>
      <c r="D576" s="54"/>
      <c r="E576" s="54"/>
    </row>
    <row r="577" spans="2:5">
      <c r="B577" s="48" t="s">
        <v>195</v>
      </c>
      <c r="C577" s="55"/>
      <c r="D577" s="55"/>
      <c r="E577" s="56"/>
    </row>
    <row r="578" spans="2:5">
      <c r="B578" s="51"/>
      <c r="C578" s="54"/>
      <c r="D578" s="54"/>
      <c r="E578" s="54"/>
    </row>
    <row r="579" spans="2:5">
      <c r="B579" s="48" t="s">
        <v>197</v>
      </c>
      <c r="C579" s="46"/>
      <c r="D579" s="46"/>
      <c r="E579" s="47"/>
    </row>
    <row r="580" spans="2:5">
      <c r="B580" s="48"/>
      <c r="C580" s="58"/>
      <c r="D580" s="58"/>
      <c r="E580" s="58"/>
    </row>
    <row r="581" spans="2:5" ht="13.8" thickBot="1">
      <c r="B581" s="59"/>
      <c r="C581" s="60"/>
      <c r="D581" s="60"/>
      <c r="E581" s="61"/>
    </row>
    <row r="582" spans="2:5" ht="13.8" thickBot="1"/>
    <row r="583" spans="2:5">
      <c r="B583" s="42" t="s">
        <v>260</v>
      </c>
      <c r="C583" s="43"/>
      <c r="D583" s="43"/>
      <c r="E583" s="44"/>
    </row>
    <row r="584" spans="2:5">
      <c r="B584" s="45"/>
      <c r="C584" s="46"/>
      <c r="D584" s="46"/>
      <c r="E584" s="47"/>
    </row>
    <row r="585" spans="2:5">
      <c r="B585" s="48" t="s">
        <v>190</v>
      </c>
      <c r="C585" s="46"/>
      <c r="D585" s="46"/>
      <c r="E585" s="47"/>
    </row>
    <row r="586" spans="2:5">
      <c r="B586" s="48"/>
      <c r="C586" s="54" t="s">
        <v>261</v>
      </c>
      <c r="D586" s="54"/>
      <c r="E586" s="54"/>
    </row>
    <row r="587" spans="2:5">
      <c r="B587" s="48" t="s">
        <v>192</v>
      </c>
      <c r="C587" s="46"/>
      <c r="D587" s="46"/>
      <c r="E587" s="47"/>
    </row>
    <row r="588" spans="2:5">
      <c r="B588" s="51"/>
      <c r="C588" s="58" t="s">
        <v>193</v>
      </c>
      <c r="D588" s="58"/>
      <c r="E588" s="58"/>
    </row>
    <row r="589" spans="2:5">
      <c r="B589" s="51"/>
      <c r="C589" s="58"/>
      <c r="D589" s="58"/>
      <c r="E589" s="58"/>
    </row>
    <row r="590" spans="2:5">
      <c r="B590" s="48" t="s">
        <v>194</v>
      </c>
      <c r="C590" s="46"/>
      <c r="D590" s="46"/>
      <c r="E590" s="47"/>
    </row>
    <row r="591" spans="2:5">
      <c r="B591" s="51"/>
      <c r="C591" s="54"/>
      <c r="D591" s="54"/>
      <c r="E591" s="54"/>
    </row>
    <row r="592" spans="2:5">
      <c r="B592" s="48" t="s">
        <v>195</v>
      </c>
      <c r="C592" s="55"/>
      <c r="D592" s="55"/>
      <c r="E592" s="56"/>
    </row>
    <row r="593" spans="2:5">
      <c r="B593" s="51"/>
      <c r="C593" s="54"/>
      <c r="D593" s="54"/>
      <c r="E593" s="54"/>
    </row>
    <row r="594" spans="2:5">
      <c r="B594" s="48" t="s">
        <v>197</v>
      </c>
      <c r="C594" s="46"/>
      <c r="D594" s="46"/>
      <c r="E594" s="47"/>
    </row>
    <row r="595" spans="2:5">
      <c r="B595" s="48"/>
      <c r="C595" s="58"/>
      <c r="D595" s="58"/>
      <c r="E595" s="58"/>
    </row>
    <row r="596" spans="2:5" ht="13.8" thickBot="1">
      <c r="B596" s="59"/>
      <c r="C596" s="60"/>
      <c r="D596" s="60"/>
      <c r="E596" s="61"/>
    </row>
    <row r="597" spans="2:5" ht="13.8" thickBot="1"/>
    <row r="598" spans="2:5">
      <c r="B598" s="42" t="s">
        <v>262</v>
      </c>
      <c r="C598" s="43"/>
      <c r="D598" s="43"/>
      <c r="E598" s="44"/>
    </row>
    <row r="599" spans="2:5">
      <c r="B599" s="45"/>
      <c r="C599" s="46"/>
      <c r="D599" s="46"/>
      <c r="E599" s="47"/>
    </row>
    <row r="600" spans="2:5">
      <c r="B600" s="48" t="s">
        <v>190</v>
      </c>
      <c r="C600" s="46"/>
      <c r="D600" s="46"/>
      <c r="E600" s="47"/>
    </row>
    <row r="601" spans="2:5">
      <c r="B601" s="48"/>
      <c r="C601" s="54" t="s">
        <v>263</v>
      </c>
      <c r="D601" s="54"/>
      <c r="E601" s="54"/>
    </row>
    <row r="602" spans="2:5">
      <c r="B602" s="48" t="s">
        <v>192</v>
      </c>
      <c r="C602" s="46"/>
      <c r="D602" s="46"/>
      <c r="E602" s="47"/>
    </row>
    <row r="603" spans="2:5">
      <c r="B603" s="51"/>
      <c r="C603" s="58" t="s">
        <v>193</v>
      </c>
      <c r="D603" s="58"/>
      <c r="E603" s="58"/>
    </row>
    <row r="604" spans="2:5">
      <c r="B604" s="51"/>
      <c r="C604" s="58"/>
      <c r="D604" s="58"/>
      <c r="E604" s="58"/>
    </row>
    <row r="605" spans="2:5">
      <c r="B605" s="48" t="s">
        <v>194</v>
      </c>
      <c r="C605" s="46"/>
      <c r="D605" s="46"/>
      <c r="E605" s="47"/>
    </row>
    <row r="606" spans="2:5">
      <c r="B606" s="51"/>
      <c r="C606" s="54"/>
      <c r="D606" s="54"/>
      <c r="E606" s="54"/>
    </row>
    <row r="607" spans="2:5">
      <c r="B607" s="48" t="s">
        <v>195</v>
      </c>
      <c r="C607" s="55"/>
      <c r="D607" s="55"/>
      <c r="E607" s="56"/>
    </row>
    <row r="608" spans="2:5">
      <c r="B608" s="51"/>
      <c r="C608" s="54"/>
      <c r="D608" s="54"/>
      <c r="E608" s="54"/>
    </row>
    <row r="609" spans="2:5">
      <c r="B609" s="48" t="s">
        <v>197</v>
      </c>
      <c r="C609" s="46"/>
      <c r="D609" s="46"/>
      <c r="E609" s="47"/>
    </row>
    <row r="610" spans="2:5">
      <c r="B610" s="48"/>
      <c r="C610" s="58"/>
      <c r="D610" s="58"/>
      <c r="E610" s="58"/>
    </row>
    <row r="611" spans="2:5" ht="13.8" thickBot="1">
      <c r="B611" s="59"/>
      <c r="C611" s="60"/>
      <c r="D611" s="60"/>
      <c r="E611" s="61"/>
    </row>
    <row r="612" spans="2:5" ht="13.8" thickBot="1"/>
    <row r="613" spans="2:5">
      <c r="B613" s="42" t="s">
        <v>264</v>
      </c>
      <c r="C613" s="43"/>
      <c r="D613" s="43"/>
      <c r="E613" s="44"/>
    </row>
    <row r="614" spans="2:5">
      <c r="B614" s="45"/>
      <c r="C614" s="46"/>
      <c r="D614" s="46"/>
      <c r="E614" s="47"/>
    </row>
    <row r="615" spans="2:5">
      <c r="B615" s="48" t="s">
        <v>190</v>
      </c>
      <c r="C615" s="46"/>
      <c r="D615" s="46"/>
      <c r="E615" s="47"/>
    </row>
    <row r="616" spans="2:5">
      <c r="B616" s="48"/>
      <c r="C616" s="54" t="s">
        <v>265</v>
      </c>
      <c r="D616" s="54"/>
      <c r="E616" s="54"/>
    </row>
    <row r="617" spans="2:5">
      <c r="B617" s="48" t="s">
        <v>192</v>
      </c>
      <c r="C617" s="46"/>
      <c r="D617" s="46"/>
      <c r="E617" s="47"/>
    </row>
    <row r="618" spans="2:5">
      <c r="B618" s="51"/>
      <c r="C618" s="58" t="s">
        <v>193</v>
      </c>
      <c r="D618" s="58"/>
      <c r="E618" s="58"/>
    </row>
    <row r="619" spans="2:5">
      <c r="B619" s="51"/>
      <c r="C619" s="58"/>
      <c r="D619" s="58"/>
      <c r="E619" s="58"/>
    </row>
    <row r="620" spans="2:5">
      <c r="B620" s="48" t="s">
        <v>194</v>
      </c>
      <c r="C620" s="46"/>
      <c r="D620" s="46"/>
      <c r="E620" s="47"/>
    </row>
    <row r="621" spans="2:5">
      <c r="B621" s="51"/>
      <c r="C621" s="54"/>
      <c r="D621" s="54"/>
      <c r="E621" s="54"/>
    </row>
    <row r="622" spans="2:5">
      <c r="B622" s="48" t="s">
        <v>195</v>
      </c>
      <c r="C622" s="55"/>
      <c r="D622" s="55"/>
      <c r="E622" s="56"/>
    </row>
    <row r="623" spans="2:5">
      <c r="B623" s="51"/>
      <c r="C623" s="54"/>
      <c r="D623" s="54"/>
      <c r="E623" s="54"/>
    </row>
    <row r="624" spans="2:5">
      <c r="B624" s="48" t="s">
        <v>197</v>
      </c>
      <c r="C624" s="46"/>
      <c r="D624" s="46"/>
      <c r="E624" s="47"/>
    </row>
    <row r="625" spans="2:5">
      <c r="B625" s="48"/>
      <c r="C625" s="58"/>
      <c r="D625" s="58"/>
      <c r="E625" s="58"/>
    </row>
    <row r="626" spans="2:5" ht="13.8" thickBot="1">
      <c r="B626" s="59"/>
      <c r="C626" s="60"/>
      <c r="D626" s="60"/>
      <c r="E626" s="61"/>
    </row>
    <row r="627" spans="2:5" ht="13.8" thickBot="1"/>
    <row r="628" spans="2:5">
      <c r="B628" s="42" t="s">
        <v>266</v>
      </c>
      <c r="C628" s="43"/>
      <c r="D628" s="43"/>
      <c r="E628" s="44"/>
    </row>
    <row r="629" spans="2:5">
      <c r="B629" s="45"/>
      <c r="C629" s="46"/>
      <c r="D629" s="46"/>
      <c r="E629" s="47"/>
    </row>
    <row r="630" spans="2:5">
      <c r="B630" s="48" t="s">
        <v>190</v>
      </c>
      <c r="C630" s="46"/>
      <c r="D630" s="46"/>
      <c r="E630" s="47"/>
    </row>
    <row r="631" spans="2:5">
      <c r="B631" s="48"/>
      <c r="C631" s="54" t="s">
        <v>267</v>
      </c>
      <c r="D631" s="54"/>
      <c r="E631" s="54"/>
    </row>
    <row r="632" spans="2:5">
      <c r="B632" s="48" t="s">
        <v>192</v>
      </c>
      <c r="C632" s="46"/>
      <c r="D632" s="46"/>
      <c r="E632" s="47"/>
    </row>
    <row r="633" spans="2:5">
      <c r="B633" s="51"/>
      <c r="C633" s="58" t="s">
        <v>193</v>
      </c>
      <c r="D633" s="58"/>
      <c r="E633" s="58"/>
    </row>
    <row r="634" spans="2:5">
      <c r="B634" s="51"/>
      <c r="C634" s="58"/>
      <c r="D634" s="58"/>
      <c r="E634" s="58"/>
    </row>
    <row r="635" spans="2:5">
      <c r="B635" s="48" t="s">
        <v>194</v>
      </c>
      <c r="C635" s="46"/>
      <c r="D635" s="46"/>
      <c r="E635" s="47"/>
    </row>
    <row r="636" spans="2:5">
      <c r="B636" s="51"/>
      <c r="C636" s="54"/>
      <c r="D636" s="54"/>
      <c r="E636" s="54"/>
    </row>
    <row r="637" spans="2:5">
      <c r="B637" s="48" t="s">
        <v>195</v>
      </c>
      <c r="C637" s="55"/>
      <c r="D637" s="55"/>
      <c r="E637" s="56"/>
    </row>
    <row r="638" spans="2:5">
      <c r="B638" s="51"/>
      <c r="C638" s="54"/>
      <c r="D638" s="54"/>
      <c r="E638" s="54"/>
    </row>
    <row r="639" spans="2:5">
      <c r="B639" s="48" t="s">
        <v>197</v>
      </c>
      <c r="C639" s="46"/>
      <c r="D639" s="46"/>
      <c r="E639" s="47"/>
    </row>
    <row r="640" spans="2:5">
      <c r="B640" s="48"/>
      <c r="C640" s="58"/>
      <c r="D640" s="58"/>
      <c r="E640" s="58"/>
    </row>
    <row r="641" spans="2:5" ht="13.8" thickBot="1">
      <c r="B641" s="59"/>
      <c r="C641" s="60"/>
      <c r="D641" s="60"/>
      <c r="E641" s="61"/>
    </row>
    <row r="642" spans="2:5" ht="13.8" thickBot="1"/>
    <row r="643" spans="2:5">
      <c r="B643" s="42" t="s">
        <v>268</v>
      </c>
      <c r="C643" s="43"/>
      <c r="D643" s="43"/>
      <c r="E643" s="44"/>
    </row>
    <row r="644" spans="2:5">
      <c r="B644" s="45"/>
      <c r="C644" s="46"/>
      <c r="D644" s="46"/>
      <c r="E644" s="47"/>
    </row>
    <row r="645" spans="2:5">
      <c r="B645" s="48" t="s">
        <v>190</v>
      </c>
      <c r="C645" s="46"/>
      <c r="D645" s="46"/>
      <c r="E645" s="47"/>
    </row>
    <row r="646" spans="2:5">
      <c r="B646" s="48"/>
      <c r="C646" s="54" t="s">
        <v>269</v>
      </c>
      <c r="D646" s="54"/>
      <c r="E646" s="54"/>
    </row>
    <row r="647" spans="2:5">
      <c r="B647" s="48" t="s">
        <v>192</v>
      </c>
      <c r="C647" s="46"/>
      <c r="D647" s="46"/>
      <c r="E647" s="47"/>
    </row>
    <row r="648" spans="2:5">
      <c r="B648" s="51"/>
      <c r="C648" s="58" t="s">
        <v>193</v>
      </c>
      <c r="D648" s="58"/>
      <c r="E648" s="58"/>
    </row>
    <row r="649" spans="2:5">
      <c r="B649" s="51"/>
      <c r="C649" s="58"/>
      <c r="D649" s="58"/>
      <c r="E649" s="58"/>
    </row>
    <row r="650" spans="2:5">
      <c r="B650" s="48" t="s">
        <v>194</v>
      </c>
      <c r="C650" s="46"/>
      <c r="D650" s="46"/>
      <c r="E650" s="47"/>
    </row>
    <row r="651" spans="2:5">
      <c r="B651" s="51"/>
      <c r="C651" s="54"/>
      <c r="D651" s="54"/>
      <c r="E651" s="54"/>
    </row>
    <row r="652" spans="2:5">
      <c r="B652" s="48" t="s">
        <v>195</v>
      </c>
      <c r="C652" s="55"/>
      <c r="D652" s="55"/>
      <c r="E652" s="56"/>
    </row>
    <row r="653" spans="2:5">
      <c r="B653" s="51"/>
      <c r="C653" s="54"/>
      <c r="D653" s="54"/>
      <c r="E653" s="54"/>
    </row>
    <row r="654" spans="2:5">
      <c r="B654" s="48" t="s">
        <v>197</v>
      </c>
      <c r="C654" s="46"/>
      <c r="D654" s="46"/>
      <c r="E654" s="47"/>
    </row>
    <row r="655" spans="2:5">
      <c r="B655" s="48"/>
      <c r="C655" s="58"/>
      <c r="D655" s="58"/>
      <c r="E655" s="58"/>
    </row>
    <row r="656" spans="2:5" ht="13.8" thickBot="1">
      <c r="B656" s="59"/>
      <c r="C656" s="60"/>
      <c r="D656" s="60"/>
      <c r="E656" s="61"/>
    </row>
    <row r="657" spans="2:5" ht="13.8" thickBot="1"/>
    <row r="658" spans="2:5">
      <c r="B658" s="42" t="s">
        <v>270</v>
      </c>
      <c r="C658" s="43"/>
      <c r="D658" s="43"/>
      <c r="E658" s="44"/>
    </row>
    <row r="659" spans="2:5">
      <c r="B659" s="45"/>
      <c r="C659" s="46"/>
      <c r="D659" s="46"/>
      <c r="E659" s="47"/>
    </row>
    <row r="660" spans="2:5">
      <c r="B660" s="48" t="s">
        <v>190</v>
      </c>
      <c r="C660" s="46"/>
      <c r="D660" s="46"/>
      <c r="E660" s="47"/>
    </row>
    <row r="661" spans="2:5">
      <c r="B661" s="48"/>
      <c r="C661" s="54" t="s">
        <v>271</v>
      </c>
      <c r="D661" s="54"/>
      <c r="E661" s="54"/>
    </row>
    <row r="662" spans="2:5">
      <c r="B662" s="48" t="s">
        <v>192</v>
      </c>
      <c r="C662" s="46"/>
      <c r="D662" s="46"/>
      <c r="E662" s="47"/>
    </row>
    <row r="663" spans="2:5">
      <c r="B663" s="51"/>
      <c r="C663" s="58" t="s">
        <v>193</v>
      </c>
      <c r="D663" s="58"/>
      <c r="E663" s="58"/>
    </row>
    <row r="664" spans="2:5">
      <c r="B664" s="51"/>
      <c r="C664" s="58"/>
      <c r="D664" s="58"/>
      <c r="E664" s="58"/>
    </row>
    <row r="665" spans="2:5">
      <c r="B665" s="48" t="s">
        <v>194</v>
      </c>
      <c r="C665" s="46"/>
      <c r="D665" s="46"/>
      <c r="E665" s="47"/>
    </row>
    <row r="666" spans="2:5">
      <c r="B666" s="51"/>
      <c r="C666" s="54"/>
      <c r="D666" s="54"/>
      <c r="E666" s="54"/>
    </row>
    <row r="667" spans="2:5">
      <c r="B667" s="48" t="s">
        <v>195</v>
      </c>
      <c r="C667" s="55"/>
      <c r="D667" s="55"/>
      <c r="E667" s="56"/>
    </row>
    <row r="668" spans="2:5">
      <c r="B668" s="51"/>
      <c r="C668" s="54"/>
      <c r="D668" s="54"/>
      <c r="E668" s="54"/>
    </row>
    <row r="669" spans="2:5">
      <c r="B669" s="48" t="s">
        <v>197</v>
      </c>
      <c r="C669" s="46"/>
      <c r="D669" s="46"/>
      <c r="E669" s="47"/>
    </row>
    <row r="670" spans="2:5">
      <c r="B670" s="48"/>
      <c r="C670" s="58"/>
      <c r="D670" s="58"/>
      <c r="E670" s="58"/>
    </row>
    <row r="671" spans="2:5" ht="13.8" thickBot="1">
      <c r="B671" s="59"/>
      <c r="C671" s="60"/>
      <c r="D671" s="60"/>
      <c r="E671" s="61"/>
    </row>
    <row r="672" spans="2:5" ht="13.8" thickBot="1"/>
    <row r="673" spans="2:5">
      <c r="B673" s="42" t="s">
        <v>272</v>
      </c>
      <c r="C673" s="43"/>
      <c r="D673" s="43"/>
      <c r="E673" s="44"/>
    </row>
    <row r="674" spans="2:5">
      <c r="B674" s="45"/>
      <c r="C674" s="46"/>
      <c r="D674" s="46"/>
      <c r="E674" s="47"/>
    </row>
    <row r="675" spans="2:5">
      <c r="B675" s="48" t="s">
        <v>190</v>
      </c>
      <c r="C675" s="46"/>
      <c r="D675" s="46"/>
      <c r="E675" s="47"/>
    </row>
    <row r="676" spans="2:5">
      <c r="B676" s="48"/>
      <c r="C676" s="54" t="s">
        <v>273</v>
      </c>
      <c r="D676" s="54"/>
      <c r="E676" s="54"/>
    </row>
    <row r="677" spans="2:5">
      <c r="B677" s="48" t="s">
        <v>192</v>
      </c>
      <c r="C677" s="46"/>
      <c r="D677" s="46"/>
      <c r="E677" s="47"/>
    </row>
    <row r="678" spans="2:5">
      <c r="B678" s="51"/>
      <c r="C678" s="58" t="s">
        <v>193</v>
      </c>
      <c r="D678" s="58"/>
      <c r="E678" s="58"/>
    </row>
    <row r="679" spans="2:5">
      <c r="B679" s="51"/>
      <c r="C679" s="58"/>
      <c r="D679" s="58"/>
      <c r="E679" s="58"/>
    </row>
    <row r="680" spans="2:5">
      <c r="B680" s="48" t="s">
        <v>194</v>
      </c>
      <c r="C680" s="46"/>
      <c r="D680" s="46"/>
      <c r="E680" s="47"/>
    </row>
    <row r="681" spans="2:5">
      <c r="B681" s="51"/>
      <c r="C681" s="54"/>
      <c r="D681" s="54"/>
      <c r="E681" s="54"/>
    </row>
    <row r="682" spans="2:5">
      <c r="B682" s="48" t="s">
        <v>195</v>
      </c>
      <c r="C682" s="55"/>
      <c r="D682" s="55"/>
      <c r="E682" s="56"/>
    </row>
    <row r="683" spans="2:5">
      <c r="B683" s="51"/>
      <c r="C683" s="54"/>
      <c r="D683" s="54"/>
      <c r="E683" s="54"/>
    </row>
    <row r="684" spans="2:5">
      <c r="B684" s="48" t="s">
        <v>197</v>
      </c>
      <c r="C684" s="46"/>
      <c r="D684" s="46"/>
      <c r="E684" s="47"/>
    </row>
    <row r="685" spans="2:5">
      <c r="B685" s="48"/>
      <c r="C685" s="58"/>
      <c r="D685" s="58"/>
      <c r="E685" s="58"/>
    </row>
    <row r="686" spans="2:5" ht="13.8" thickBot="1">
      <c r="B686" s="59"/>
      <c r="C686" s="60"/>
      <c r="D686" s="60"/>
      <c r="E686" s="61"/>
    </row>
    <row r="687" spans="2:5" ht="13.8" thickBot="1"/>
    <row r="688" spans="2:5">
      <c r="B688" s="42" t="s">
        <v>274</v>
      </c>
      <c r="C688" s="43"/>
      <c r="D688" s="43"/>
      <c r="E688" s="44"/>
    </row>
    <row r="689" spans="2:5">
      <c r="B689" s="45"/>
      <c r="C689" s="46"/>
      <c r="D689" s="46"/>
      <c r="E689" s="47"/>
    </row>
    <row r="690" spans="2:5">
      <c r="B690" s="48" t="s">
        <v>190</v>
      </c>
      <c r="C690" s="46"/>
      <c r="D690" s="46"/>
      <c r="E690" s="47"/>
    </row>
    <row r="691" spans="2:5">
      <c r="B691" s="48"/>
      <c r="C691" s="54" t="s">
        <v>275</v>
      </c>
      <c r="D691" s="54"/>
      <c r="E691" s="54"/>
    </row>
    <row r="692" spans="2:5">
      <c r="B692" s="48" t="s">
        <v>192</v>
      </c>
      <c r="C692" s="46"/>
      <c r="D692" s="46"/>
      <c r="E692" s="47"/>
    </row>
    <row r="693" spans="2:5">
      <c r="B693" s="51"/>
      <c r="C693" s="58" t="s">
        <v>193</v>
      </c>
      <c r="D693" s="58"/>
      <c r="E693" s="58"/>
    </row>
    <row r="694" spans="2:5">
      <c r="B694" s="51"/>
      <c r="C694" s="58"/>
      <c r="D694" s="58"/>
      <c r="E694" s="58"/>
    </row>
    <row r="695" spans="2:5">
      <c r="B695" s="48" t="s">
        <v>194</v>
      </c>
      <c r="C695" s="46"/>
      <c r="D695" s="46"/>
      <c r="E695" s="47"/>
    </row>
    <row r="696" spans="2:5">
      <c r="B696" s="51"/>
      <c r="C696" s="54"/>
      <c r="D696" s="54"/>
      <c r="E696" s="54"/>
    </row>
    <row r="697" spans="2:5">
      <c r="B697" s="48" t="s">
        <v>195</v>
      </c>
      <c r="C697" s="55"/>
      <c r="D697" s="55"/>
      <c r="E697" s="56"/>
    </row>
    <row r="698" spans="2:5">
      <c r="B698" s="51"/>
      <c r="C698" s="54"/>
      <c r="D698" s="54"/>
      <c r="E698" s="54"/>
    </row>
    <row r="699" spans="2:5">
      <c r="B699" s="48" t="s">
        <v>197</v>
      </c>
      <c r="C699" s="46"/>
      <c r="D699" s="46"/>
      <c r="E699" s="47"/>
    </row>
    <row r="700" spans="2:5">
      <c r="B700" s="48"/>
      <c r="C700" s="58"/>
      <c r="D700" s="58"/>
      <c r="E700" s="58"/>
    </row>
    <row r="701" spans="2:5" ht="13.8" thickBot="1">
      <c r="B701" s="59"/>
      <c r="C701" s="60"/>
      <c r="D701" s="60"/>
      <c r="E701" s="61"/>
    </row>
    <row r="702" spans="2:5" ht="13.8" thickBot="1"/>
    <row r="703" spans="2:5">
      <c r="B703" s="42" t="s">
        <v>276</v>
      </c>
      <c r="C703" s="43"/>
      <c r="D703" s="43"/>
      <c r="E703" s="44"/>
    </row>
    <row r="704" spans="2:5">
      <c r="B704" s="45"/>
      <c r="C704" s="46"/>
      <c r="D704" s="46"/>
      <c r="E704" s="47"/>
    </row>
    <row r="705" spans="2:5">
      <c r="B705" s="48" t="s">
        <v>190</v>
      </c>
      <c r="C705" s="46"/>
      <c r="D705" s="46"/>
      <c r="E705" s="47"/>
    </row>
    <row r="706" spans="2:5">
      <c r="B706" s="48"/>
      <c r="C706" s="54" t="s">
        <v>277</v>
      </c>
      <c r="D706" s="54"/>
      <c r="E706" s="54"/>
    </row>
    <row r="707" spans="2:5">
      <c r="B707" s="48" t="s">
        <v>192</v>
      </c>
      <c r="C707" s="46"/>
      <c r="D707" s="46"/>
      <c r="E707" s="47"/>
    </row>
    <row r="708" spans="2:5">
      <c r="B708" s="51"/>
      <c r="C708" s="58" t="s">
        <v>193</v>
      </c>
      <c r="D708" s="58"/>
      <c r="E708" s="58"/>
    </row>
    <row r="709" spans="2:5">
      <c r="B709" s="51"/>
      <c r="C709" s="58"/>
      <c r="D709" s="58"/>
      <c r="E709" s="58"/>
    </row>
    <row r="710" spans="2:5">
      <c r="B710" s="48" t="s">
        <v>194</v>
      </c>
      <c r="C710" s="46"/>
      <c r="D710" s="46"/>
      <c r="E710" s="47"/>
    </row>
    <row r="711" spans="2:5">
      <c r="B711" s="51"/>
      <c r="C711" s="54"/>
      <c r="D711" s="54"/>
      <c r="E711" s="54"/>
    </row>
    <row r="712" spans="2:5">
      <c r="B712" s="48" t="s">
        <v>195</v>
      </c>
      <c r="C712" s="55"/>
      <c r="D712" s="55"/>
      <c r="E712" s="56"/>
    </row>
    <row r="713" spans="2:5">
      <c r="B713" s="51"/>
      <c r="C713" s="54"/>
      <c r="D713" s="54"/>
      <c r="E713" s="54"/>
    </row>
    <row r="714" spans="2:5">
      <c r="B714" s="48" t="s">
        <v>197</v>
      </c>
      <c r="C714" s="46"/>
      <c r="D714" s="46"/>
      <c r="E714" s="47"/>
    </row>
    <row r="715" spans="2:5">
      <c r="B715" s="48"/>
      <c r="C715" s="58"/>
      <c r="D715" s="58"/>
      <c r="E715" s="58"/>
    </row>
    <row r="716" spans="2:5" ht="13.8" thickBot="1">
      <c r="B716" s="59"/>
      <c r="C716" s="60"/>
      <c r="D716" s="60"/>
      <c r="E716" s="61"/>
    </row>
    <row r="717" spans="2:5" ht="13.8" thickBot="1"/>
    <row r="718" spans="2:5">
      <c r="B718" s="42" t="s">
        <v>278</v>
      </c>
      <c r="C718" s="43"/>
      <c r="D718" s="43"/>
      <c r="E718" s="44"/>
    </row>
    <row r="719" spans="2:5">
      <c r="B719" s="45"/>
      <c r="C719" s="46"/>
      <c r="D719" s="46"/>
      <c r="E719" s="47"/>
    </row>
    <row r="720" spans="2:5">
      <c r="B720" s="48" t="s">
        <v>190</v>
      </c>
      <c r="C720" s="46"/>
      <c r="D720" s="46"/>
      <c r="E720" s="47"/>
    </row>
    <row r="721" spans="2:5">
      <c r="B721" s="48"/>
      <c r="C721" s="54" t="s">
        <v>279</v>
      </c>
      <c r="D721" s="54"/>
      <c r="E721" s="54"/>
    </row>
    <row r="722" spans="2:5">
      <c r="B722" s="48" t="s">
        <v>192</v>
      </c>
      <c r="C722" s="46"/>
      <c r="D722" s="46"/>
      <c r="E722" s="47"/>
    </row>
    <row r="723" spans="2:5">
      <c r="B723" s="51"/>
      <c r="C723" s="58" t="s">
        <v>193</v>
      </c>
      <c r="D723" s="58"/>
      <c r="E723" s="58"/>
    </row>
    <row r="724" spans="2:5">
      <c r="B724" s="51"/>
      <c r="C724" s="58"/>
      <c r="D724" s="58"/>
      <c r="E724" s="58"/>
    </row>
    <row r="725" spans="2:5">
      <c r="B725" s="48" t="s">
        <v>194</v>
      </c>
      <c r="C725" s="46"/>
      <c r="D725" s="46"/>
      <c r="E725" s="47"/>
    </row>
    <row r="726" spans="2:5">
      <c r="B726" s="51"/>
      <c r="C726" s="54"/>
      <c r="D726" s="54"/>
      <c r="E726" s="54"/>
    </row>
    <row r="727" spans="2:5">
      <c r="B727" s="48" t="s">
        <v>195</v>
      </c>
      <c r="C727" s="55"/>
      <c r="D727" s="55"/>
      <c r="E727" s="56"/>
    </row>
    <row r="728" spans="2:5">
      <c r="B728" s="51"/>
      <c r="C728" s="54"/>
      <c r="D728" s="54"/>
      <c r="E728" s="54"/>
    </row>
    <row r="729" spans="2:5">
      <c r="B729" s="48" t="s">
        <v>197</v>
      </c>
      <c r="C729" s="46"/>
      <c r="D729" s="46"/>
      <c r="E729" s="47"/>
    </row>
    <row r="730" spans="2:5">
      <c r="B730" s="48"/>
      <c r="C730" s="58"/>
      <c r="D730" s="58"/>
      <c r="E730" s="58"/>
    </row>
    <row r="731" spans="2:5" ht="13.8" thickBot="1">
      <c r="B731" s="59"/>
      <c r="C731" s="60"/>
      <c r="D731" s="60"/>
      <c r="E731" s="61"/>
    </row>
    <row r="732" spans="2:5" ht="13.8" thickBot="1"/>
    <row r="733" spans="2:5">
      <c r="B733" s="42" t="s">
        <v>280</v>
      </c>
      <c r="C733" s="43"/>
      <c r="D733" s="43"/>
      <c r="E733" s="44"/>
    </row>
    <row r="734" spans="2:5">
      <c r="B734" s="45"/>
      <c r="C734" s="46"/>
      <c r="D734" s="46"/>
      <c r="E734" s="47"/>
    </row>
    <row r="735" spans="2:5">
      <c r="B735" s="48" t="s">
        <v>190</v>
      </c>
      <c r="C735" s="46"/>
      <c r="D735" s="46"/>
      <c r="E735" s="47"/>
    </row>
    <row r="736" spans="2:5">
      <c r="B736" s="48"/>
      <c r="C736" s="54" t="s">
        <v>281</v>
      </c>
      <c r="D736" s="54"/>
      <c r="E736" s="54"/>
    </row>
    <row r="737" spans="2:5">
      <c r="B737" s="48" t="s">
        <v>192</v>
      </c>
      <c r="C737" s="46"/>
      <c r="D737" s="46"/>
      <c r="E737" s="47"/>
    </row>
    <row r="738" spans="2:5">
      <c r="B738" s="51"/>
      <c r="C738" s="58" t="s">
        <v>193</v>
      </c>
      <c r="D738" s="58"/>
      <c r="E738" s="58"/>
    </row>
    <row r="739" spans="2:5">
      <c r="B739" s="51"/>
      <c r="C739" s="58"/>
      <c r="D739" s="58"/>
      <c r="E739" s="58"/>
    </row>
    <row r="740" spans="2:5">
      <c r="B740" s="48" t="s">
        <v>194</v>
      </c>
      <c r="C740" s="46"/>
      <c r="D740" s="46"/>
      <c r="E740" s="47"/>
    </row>
    <row r="741" spans="2:5">
      <c r="B741" s="51"/>
      <c r="C741" s="54"/>
      <c r="D741" s="54"/>
      <c r="E741" s="54"/>
    </row>
    <row r="742" spans="2:5">
      <c r="B742" s="48" t="s">
        <v>195</v>
      </c>
      <c r="C742" s="55"/>
      <c r="D742" s="55"/>
      <c r="E742" s="56"/>
    </row>
    <row r="743" spans="2:5">
      <c r="B743" s="51"/>
      <c r="C743" s="54"/>
      <c r="D743" s="54"/>
      <c r="E743" s="54"/>
    </row>
    <row r="744" spans="2:5">
      <c r="B744" s="48" t="s">
        <v>197</v>
      </c>
      <c r="C744" s="46"/>
      <c r="D744" s="46"/>
      <c r="E744" s="47"/>
    </row>
    <row r="745" spans="2:5">
      <c r="B745" s="48"/>
      <c r="C745" s="58"/>
      <c r="D745" s="58"/>
      <c r="E745" s="58"/>
    </row>
    <row r="746" spans="2:5" ht="13.8" thickBot="1">
      <c r="B746" s="59"/>
      <c r="C746" s="60"/>
      <c r="D746" s="60"/>
      <c r="E746" s="61"/>
    </row>
    <row r="747" spans="2:5" ht="13.8" thickBot="1"/>
    <row r="748" spans="2:5">
      <c r="B748" s="42" t="s">
        <v>282</v>
      </c>
      <c r="C748" s="43"/>
      <c r="D748" s="43"/>
      <c r="E748" s="44"/>
    </row>
    <row r="749" spans="2:5">
      <c r="B749" s="45"/>
      <c r="C749" s="46"/>
      <c r="D749" s="46"/>
      <c r="E749" s="47"/>
    </row>
    <row r="750" spans="2:5">
      <c r="B750" s="48" t="s">
        <v>190</v>
      </c>
      <c r="C750" s="46"/>
      <c r="D750" s="46"/>
      <c r="E750" s="47"/>
    </row>
    <row r="751" spans="2:5">
      <c r="B751" s="48"/>
      <c r="C751" s="54" t="s">
        <v>283</v>
      </c>
      <c r="D751" s="54"/>
      <c r="E751" s="54"/>
    </row>
    <row r="752" spans="2:5">
      <c r="B752" s="48" t="s">
        <v>192</v>
      </c>
      <c r="C752" s="46"/>
      <c r="D752" s="46"/>
      <c r="E752" s="47"/>
    </row>
    <row r="753" spans="2:5">
      <c r="B753" s="51"/>
      <c r="C753" s="58" t="s">
        <v>193</v>
      </c>
      <c r="D753" s="58"/>
      <c r="E753" s="58"/>
    </row>
    <row r="754" spans="2:5">
      <c r="B754" s="51"/>
      <c r="C754" s="58"/>
      <c r="D754" s="58"/>
      <c r="E754" s="58"/>
    </row>
    <row r="755" spans="2:5">
      <c r="B755" s="48" t="s">
        <v>194</v>
      </c>
      <c r="C755" s="46"/>
      <c r="D755" s="46"/>
      <c r="E755" s="47"/>
    </row>
    <row r="756" spans="2:5">
      <c r="B756" s="51"/>
      <c r="C756" s="54"/>
      <c r="D756" s="54"/>
      <c r="E756" s="54"/>
    </row>
    <row r="757" spans="2:5">
      <c r="B757" s="48" t="s">
        <v>195</v>
      </c>
      <c r="C757" s="55"/>
      <c r="D757" s="55"/>
      <c r="E757" s="56"/>
    </row>
    <row r="758" spans="2:5">
      <c r="B758" s="51"/>
      <c r="C758" s="54"/>
      <c r="D758" s="54"/>
      <c r="E758" s="54"/>
    </row>
    <row r="759" spans="2:5">
      <c r="B759" s="48" t="s">
        <v>197</v>
      </c>
      <c r="C759" s="46"/>
      <c r="D759" s="46"/>
      <c r="E759" s="47"/>
    </row>
    <row r="760" spans="2:5">
      <c r="B760" s="48"/>
      <c r="C760" s="58"/>
      <c r="D760" s="58"/>
      <c r="E760" s="58"/>
    </row>
    <row r="761" spans="2:5" ht="13.8" thickBot="1">
      <c r="B761" s="59"/>
      <c r="C761" s="60"/>
      <c r="D761" s="60"/>
      <c r="E761" s="61"/>
    </row>
    <row r="762" spans="2:5" ht="13.8" thickBot="1"/>
    <row r="763" spans="2:5">
      <c r="B763" s="42" t="s">
        <v>284</v>
      </c>
      <c r="C763" s="43"/>
      <c r="D763" s="43"/>
      <c r="E763" s="44"/>
    </row>
    <row r="764" spans="2:5">
      <c r="B764" s="45"/>
      <c r="C764" s="46"/>
      <c r="D764" s="46"/>
      <c r="E764" s="47"/>
    </row>
    <row r="765" spans="2:5">
      <c r="B765" s="48" t="s">
        <v>190</v>
      </c>
      <c r="C765" s="46"/>
      <c r="D765" s="46"/>
      <c r="E765" s="47"/>
    </row>
    <row r="766" spans="2:5">
      <c r="B766" s="48"/>
      <c r="C766" s="54" t="s">
        <v>285</v>
      </c>
      <c r="D766" s="54"/>
      <c r="E766" s="54"/>
    </row>
    <row r="767" spans="2:5">
      <c r="B767" s="48" t="s">
        <v>192</v>
      </c>
      <c r="C767" s="46"/>
      <c r="D767" s="46"/>
      <c r="E767" s="47"/>
    </row>
    <row r="768" spans="2:5">
      <c r="B768" s="51"/>
      <c r="C768" s="58" t="s">
        <v>193</v>
      </c>
      <c r="D768" s="58"/>
      <c r="E768" s="58"/>
    </row>
    <row r="769" spans="2:5">
      <c r="B769" s="51"/>
      <c r="C769" s="58"/>
      <c r="D769" s="58"/>
      <c r="E769" s="58"/>
    </row>
    <row r="770" spans="2:5">
      <c r="B770" s="48" t="s">
        <v>194</v>
      </c>
      <c r="C770" s="46"/>
      <c r="D770" s="46"/>
      <c r="E770" s="47"/>
    </row>
    <row r="771" spans="2:5">
      <c r="B771" s="51"/>
      <c r="C771" s="54"/>
      <c r="D771" s="54"/>
      <c r="E771" s="54"/>
    </row>
    <row r="772" spans="2:5">
      <c r="B772" s="48" t="s">
        <v>195</v>
      </c>
      <c r="C772" s="55"/>
      <c r="D772" s="55"/>
      <c r="E772" s="56"/>
    </row>
    <row r="773" spans="2:5">
      <c r="B773" s="51"/>
      <c r="C773" s="54"/>
      <c r="D773" s="54"/>
      <c r="E773" s="54"/>
    </row>
    <row r="774" spans="2:5">
      <c r="B774" s="48" t="s">
        <v>197</v>
      </c>
      <c r="C774" s="46"/>
      <c r="D774" s="46"/>
      <c r="E774" s="47"/>
    </row>
    <row r="775" spans="2:5">
      <c r="B775" s="48"/>
      <c r="C775" s="58"/>
      <c r="D775" s="58"/>
      <c r="E775" s="58"/>
    </row>
    <row r="776" spans="2:5" ht="13.8" thickBot="1">
      <c r="B776" s="59"/>
      <c r="C776" s="60"/>
      <c r="D776" s="60"/>
      <c r="E776" s="61"/>
    </row>
    <row r="777" spans="2:5" ht="13.8" thickBot="1"/>
    <row r="778" spans="2:5">
      <c r="B778" s="42" t="s">
        <v>286</v>
      </c>
      <c r="C778" s="43"/>
      <c r="D778" s="43"/>
      <c r="E778" s="44"/>
    </row>
    <row r="779" spans="2:5">
      <c r="B779" s="45"/>
      <c r="C779" s="46"/>
      <c r="D779" s="46"/>
      <c r="E779" s="47"/>
    </row>
    <row r="780" spans="2:5">
      <c r="B780" s="48" t="s">
        <v>190</v>
      </c>
      <c r="C780" s="46"/>
      <c r="D780" s="46"/>
      <c r="E780" s="47"/>
    </row>
    <row r="781" spans="2:5">
      <c r="B781" s="48"/>
      <c r="C781" s="54" t="s">
        <v>287</v>
      </c>
      <c r="D781" s="54"/>
      <c r="E781" s="54"/>
    </row>
    <row r="782" spans="2:5">
      <c r="B782" s="48" t="s">
        <v>192</v>
      </c>
      <c r="C782" s="46"/>
      <c r="D782" s="46"/>
      <c r="E782" s="47"/>
    </row>
    <row r="783" spans="2:5">
      <c r="B783" s="51"/>
      <c r="C783" s="58" t="s">
        <v>193</v>
      </c>
      <c r="D783" s="58"/>
      <c r="E783" s="58"/>
    </row>
    <row r="784" spans="2:5">
      <c r="B784" s="51"/>
      <c r="C784" s="58"/>
      <c r="D784" s="58"/>
      <c r="E784" s="58"/>
    </row>
    <row r="785" spans="2:5">
      <c r="B785" s="48" t="s">
        <v>194</v>
      </c>
      <c r="C785" s="46"/>
      <c r="D785" s="46"/>
      <c r="E785" s="47"/>
    </row>
    <row r="786" spans="2:5">
      <c r="B786" s="51"/>
      <c r="C786" s="54"/>
      <c r="D786" s="54"/>
      <c r="E786" s="54"/>
    </row>
    <row r="787" spans="2:5">
      <c r="B787" s="48" t="s">
        <v>195</v>
      </c>
      <c r="C787" s="55"/>
      <c r="D787" s="55"/>
      <c r="E787" s="56"/>
    </row>
    <row r="788" spans="2:5">
      <c r="B788" s="51"/>
      <c r="C788" s="54"/>
      <c r="D788" s="54"/>
      <c r="E788" s="54"/>
    </row>
    <row r="789" spans="2:5">
      <c r="B789" s="48" t="s">
        <v>197</v>
      </c>
      <c r="C789" s="46"/>
      <c r="D789" s="46"/>
      <c r="E789" s="47"/>
    </row>
    <row r="790" spans="2:5">
      <c r="B790" s="48"/>
      <c r="C790" s="58"/>
      <c r="D790" s="58"/>
      <c r="E790" s="58"/>
    </row>
    <row r="791" spans="2:5" ht="13.8" thickBot="1">
      <c r="B791" s="59"/>
      <c r="C791" s="60"/>
      <c r="D791" s="60"/>
      <c r="E791" s="61"/>
    </row>
    <row r="792" spans="2:5" ht="13.8" thickBot="1"/>
    <row r="793" spans="2:5">
      <c r="B793" s="42" t="s">
        <v>288</v>
      </c>
      <c r="C793" s="43"/>
      <c r="D793" s="43"/>
      <c r="E793" s="44"/>
    </row>
    <row r="794" spans="2:5">
      <c r="B794" s="45"/>
      <c r="C794" s="46"/>
      <c r="D794" s="46"/>
      <c r="E794" s="47"/>
    </row>
    <row r="795" spans="2:5">
      <c r="B795" s="48" t="s">
        <v>190</v>
      </c>
      <c r="C795" s="46"/>
      <c r="D795" s="46"/>
      <c r="E795" s="47"/>
    </row>
    <row r="796" spans="2:5">
      <c r="B796" s="48"/>
      <c r="C796" s="54" t="s">
        <v>289</v>
      </c>
      <c r="D796" s="54"/>
      <c r="E796" s="54"/>
    </row>
    <row r="797" spans="2:5">
      <c r="B797" s="48" t="s">
        <v>192</v>
      </c>
      <c r="C797" s="46"/>
      <c r="D797" s="46"/>
      <c r="E797" s="47"/>
    </row>
    <row r="798" spans="2:5">
      <c r="B798" s="51"/>
      <c r="C798" s="58" t="s">
        <v>193</v>
      </c>
      <c r="D798" s="58"/>
      <c r="E798" s="58"/>
    </row>
    <row r="799" spans="2:5">
      <c r="B799" s="51"/>
      <c r="C799" s="58"/>
      <c r="D799" s="58"/>
      <c r="E799" s="58"/>
    </row>
    <row r="800" spans="2:5">
      <c r="B800" s="48" t="s">
        <v>194</v>
      </c>
      <c r="C800" s="46"/>
      <c r="D800" s="46"/>
      <c r="E800" s="47"/>
    </row>
    <row r="801" spans="2:5">
      <c r="B801" s="51"/>
      <c r="C801" s="54"/>
      <c r="D801" s="54"/>
      <c r="E801" s="54"/>
    </row>
    <row r="802" spans="2:5">
      <c r="B802" s="48" t="s">
        <v>195</v>
      </c>
      <c r="C802" s="55"/>
      <c r="D802" s="55"/>
      <c r="E802" s="56"/>
    </row>
    <row r="803" spans="2:5">
      <c r="B803" s="51"/>
      <c r="C803" s="54"/>
      <c r="D803" s="54"/>
      <c r="E803" s="54"/>
    </row>
    <row r="804" spans="2:5">
      <c r="B804" s="48" t="s">
        <v>197</v>
      </c>
      <c r="C804" s="46"/>
      <c r="D804" s="46"/>
      <c r="E804" s="47"/>
    </row>
    <row r="805" spans="2:5">
      <c r="B805" s="48"/>
      <c r="C805" s="58"/>
      <c r="D805" s="58"/>
      <c r="E805" s="58"/>
    </row>
    <row r="806" spans="2:5" ht="13.8" thickBot="1">
      <c r="B806" s="59"/>
      <c r="C806" s="60"/>
      <c r="D806" s="60"/>
      <c r="E806" s="61"/>
    </row>
    <row r="807" spans="2:5" ht="13.8" thickBot="1"/>
    <row r="808" spans="2:5">
      <c r="B808" s="42" t="s">
        <v>290</v>
      </c>
      <c r="C808" s="43"/>
      <c r="D808" s="43"/>
      <c r="E808" s="44"/>
    </row>
    <row r="809" spans="2:5">
      <c r="B809" s="45"/>
      <c r="C809" s="46"/>
      <c r="D809" s="46"/>
      <c r="E809" s="47"/>
    </row>
    <row r="810" spans="2:5">
      <c r="B810" s="48" t="s">
        <v>190</v>
      </c>
      <c r="C810" s="46"/>
      <c r="D810" s="46"/>
      <c r="E810" s="47"/>
    </row>
    <row r="811" spans="2:5">
      <c r="B811" s="48"/>
      <c r="C811" s="54" t="s">
        <v>291</v>
      </c>
      <c r="D811" s="54"/>
      <c r="E811" s="54"/>
    </row>
    <row r="812" spans="2:5">
      <c r="B812" s="48" t="s">
        <v>192</v>
      </c>
      <c r="C812" s="46"/>
      <c r="D812" s="46"/>
      <c r="E812" s="47"/>
    </row>
    <row r="813" spans="2:5">
      <c r="B813" s="51"/>
      <c r="C813" s="58" t="s">
        <v>193</v>
      </c>
      <c r="D813" s="58"/>
      <c r="E813" s="58"/>
    </row>
    <row r="814" spans="2:5">
      <c r="B814" s="51"/>
      <c r="C814" s="58"/>
      <c r="D814" s="58"/>
      <c r="E814" s="58"/>
    </row>
    <row r="815" spans="2:5">
      <c r="B815" s="48" t="s">
        <v>194</v>
      </c>
      <c r="C815" s="46"/>
      <c r="D815" s="46"/>
      <c r="E815" s="47"/>
    </row>
    <row r="816" spans="2:5">
      <c r="B816" s="51"/>
      <c r="C816" s="54"/>
      <c r="D816" s="54"/>
      <c r="E816" s="54"/>
    </row>
    <row r="817" spans="2:5">
      <c r="B817" s="48" t="s">
        <v>195</v>
      </c>
      <c r="C817" s="55"/>
      <c r="D817" s="55"/>
      <c r="E817" s="56"/>
    </row>
    <row r="818" spans="2:5">
      <c r="B818" s="51"/>
      <c r="C818" s="54"/>
      <c r="D818" s="54"/>
      <c r="E818" s="54"/>
    </row>
    <row r="819" spans="2:5">
      <c r="B819" s="48" t="s">
        <v>197</v>
      </c>
      <c r="C819" s="46"/>
      <c r="D819" s="46"/>
      <c r="E819" s="47"/>
    </row>
    <row r="820" spans="2:5">
      <c r="B820" s="48"/>
      <c r="C820" s="58"/>
      <c r="D820" s="58"/>
      <c r="E820" s="58"/>
    </row>
    <row r="821" spans="2:5" ht="13.8" thickBot="1">
      <c r="B821" s="59"/>
      <c r="C821" s="60"/>
      <c r="D821" s="60"/>
      <c r="E821" s="61"/>
    </row>
    <row r="822" spans="2:5" ht="13.8" thickBot="1"/>
    <row r="823" spans="2:5">
      <c r="B823" s="42" t="s">
        <v>292</v>
      </c>
      <c r="C823" s="43"/>
      <c r="D823" s="43"/>
      <c r="E823" s="44"/>
    </row>
    <row r="824" spans="2:5">
      <c r="B824" s="45"/>
      <c r="C824" s="46"/>
      <c r="D824" s="46"/>
      <c r="E824" s="47"/>
    </row>
    <row r="825" spans="2:5">
      <c r="B825" s="48" t="s">
        <v>190</v>
      </c>
      <c r="C825" s="46"/>
      <c r="D825" s="46"/>
      <c r="E825" s="47"/>
    </row>
    <row r="826" spans="2:5">
      <c r="B826" s="48"/>
      <c r="C826" s="54" t="s">
        <v>293</v>
      </c>
      <c r="D826" s="54"/>
      <c r="E826" s="54"/>
    </row>
    <row r="827" spans="2:5">
      <c r="B827" s="48" t="s">
        <v>192</v>
      </c>
      <c r="C827" s="46"/>
      <c r="D827" s="46"/>
      <c r="E827" s="47"/>
    </row>
    <row r="828" spans="2:5">
      <c r="B828" s="51"/>
      <c r="C828" s="58" t="s">
        <v>193</v>
      </c>
      <c r="D828" s="58"/>
      <c r="E828" s="58"/>
    </row>
    <row r="829" spans="2:5">
      <c r="B829" s="51"/>
      <c r="C829" s="58"/>
      <c r="D829" s="58"/>
      <c r="E829" s="58"/>
    </row>
    <row r="830" spans="2:5">
      <c r="B830" s="48" t="s">
        <v>194</v>
      </c>
      <c r="C830" s="46"/>
      <c r="D830" s="46"/>
      <c r="E830" s="47"/>
    </row>
    <row r="831" spans="2:5">
      <c r="B831" s="51"/>
      <c r="C831" s="54"/>
      <c r="D831" s="54"/>
      <c r="E831" s="54"/>
    </row>
    <row r="832" spans="2:5">
      <c r="B832" s="48" t="s">
        <v>195</v>
      </c>
      <c r="C832" s="55"/>
      <c r="D832" s="55"/>
      <c r="E832" s="56"/>
    </row>
    <row r="833" spans="2:5">
      <c r="B833" s="51"/>
      <c r="C833" s="54"/>
      <c r="D833" s="54"/>
      <c r="E833" s="54"/>
    </row>
    <row r="834" spans="2:5">
      <c r="B834" s="48" t="s">
        <v>197</v>
      </c>
      <c r="C834" s="46"/>
      <c r="D834" s="46"/>
      <c r="E834" s="47"/>
    </row>
    <row r="835" spans="2:5">
      <c r="B835" s="48"/>
      <c r="C835" s="58"/>
      <c r="D835" s="58"/>
      <c r="E835" s="58"/>
    </row>
    <row r="836" spans="2:5" ht="13.8" thickBot="1">
      <c r="B836" s="59"/>
      <c r="C836" s="60"/>
      <c r="D836" s="60"/>
      <c r="E836" s="61"/>
    </row>
    <row r="837" spans="2:5" ht="13.8" thickBot="1"/>
    <row r="838" spans="2:5">
      <c r="B838" s="42" t="s">
        <v>294</v>
      </c>
      <c r="C838" s="43"/>
      <c r="D838" s="43"/>
      <c r="E838" s="44"/>
    </row>
    <row r="839" spans="2:5">
      <c r="B839" s="45"/>
      <c r="C839" s="46"/>
      <c r="D839" s="46"/>
      <c r="E839" s="47"/>
    </row>
    <row r="840" spans="2:5">
      <c r="B840" s="48" t="s">
        <v>190</v>
      </c>
      <c r="C840" s="46"/>
      <c r="D840" s="46"/>
      <c r="E840" s="47"/>
    </row>
    <row r="841" spans="2:5">
      <c r="B841" s="48"/>
      <c r="C841" s="62" t="s">
        <v>295</v>
      </c>
      <c r="D841" s="62"/>
      <c r="E841" s="54"/>
    </row>
    <row r="842" spans="2:5">
      <c r="B842" s="48" t="s">
        <v>192</v>
      </c>
      <c r="C842" s="46"/>
      <c r="D842" s="46"/>
      <c r="E842" s="47"/>
    </row>
    <row r="843" spans="2:5">
      <c r="B843" s="51"/>
      <c r="C843" s="58" t="s">
        <v>193</v>
      </c>
      <c r="D843" s="58"/>
      <c r="E843" s="58"/>
    </row>
    <row r="844" spans="2:5">
      <c r="B844" s="51"/>
      <c r="C844" s="58"/>
      <c r="D844" s="58"/>
      <c r="E844" s="58"/>
    </row>
    <row r="845" spans="2:5">
      <c r="B845" s="48" t="s">
        <v>194</v>
      </c>
      <c r="C845" s="46"/>
      <c r="D845" s="46"/>
      <c r="E845" s="47"/>
    </row>
    <row r="846" spans="2:5">
      <c r="B846" s="51"/>
      <c r="C846" s="54"/>
      <c r="D846" s="54"/>
      <c r="E846" s="54"/>
    </row>
    <row r="847" spans="2:5">
      <c r="B847" s="48" t="s">
        <v>195</v>
      </c>
      <c r="C847" s="55"/>
      <c r="D847" s="55"/>
      <c r="E847" s="56"/>
    </row>
    <row r="848" spans="2:5">
      <c r="B848" s="51"/>
      <c r="C848" s="54"/>
      <c r="D848" s="54"/>
      <c r="E848" s="54"/>
    </row>
    <row r="849" spans="2:5">
      <c r="B849" s="48" t="s">
        <v>197</v>
      </c>
      <c r="C849" s="46"/>
      <c r="D849" s="46"/>
      <c r="E849" s="47"/>
    </row>
    <row r="850" spans="2:5">
      <c r="B850" s="48"/>
      <c r="C850" s="58"/>
      <c r="D850" s="58"/>
      <c r="E850" s="58"/>
    </row>
    <row r="851" spans="2:5" ht="13.8" thickBot="1">
      <c r="B851" s="59"/>
      <c r="C851" s="60"/>
      <c r="D851" s="60"/>
      <c r="E851" s="61"/>
    </row>
    <row r="852" spans="2:5" ht="13.8" thickBot="1"/>
    <row r="853" spans="2:5">
      <c r="B853" s="42" t="s">
        <v>296</v>
      </c>
      <c r="C853" s="43"/>
      <c r="D853" s="43"/>
      <c r="E853" s="44"/>
    </row>
    <row r="854" spans="2:5">
      <c r="B854" s="45"/>
      <c r="C854" s="46"/>
      <c r="D854" s="46"/>
      <c r="E854" s="47"/>
    </row>
    <row r="855" spans="2:5">
      <c r="B855" s="48" t="s">
        <v>190</v>
      </c>
      <c r="C855" s="46"/>
      <c r="D855" s="46"/>
      <c r="E855" s="47"/>
    </row>
    <row r="856" spans="2:5">
      <c r="B856" s="48"/>
      <c r="C856" s="54" t="s">
        <v>297</v>
      </c>
      <c r="D856" s="54"/>
      <c r="E856" s="54"/>
    </row>
    <row r="857" spans="2:5">
      <c r="B857" s="48" t="s">
        <v>192</v>
      </c>
      <c r="C857" s="46"/>
      <c r="D857" s="46"/>
      <c r="E857" s="47"/>
    </row>
    <row r="858" spans="2:5">
      <c r="B858" s="51"/>
      <c r="C858" s="58" t="s">
        <v>193</v>
      </c>
      <c r="D858" s="58"/>
      <c r="E858" s="58"/>
    </row>
    <row r="859" spans="2:5">
      <c r="B859" s="51"/>
      <c r="C859" s="58"/>
      <c r="D859" s="58"/>
      <c r="E859" s="58"/>
    </row>
    <row r="860" spans="2:5">
      <c r="B860" s="48" t="s">
        <v>194</v>
      </c>
      <c r="C860" s="46"/>
      <c r="D860" s="46"/>
      <c r="E860" s="47"/>
    </row>
    <row r="861" spans="2:5">
      <c r="B861" s="51"/>
      <c r="C861" s="54"/>
      <c r="D861" s="54"/>
      <c r="E861" s="54"/>
    </row>
    <row r="862" spans="2:5">
      <c r="B862" s="48" t="s">
        <v>195</v>
      </c>
      <c r="C862" s="55"/>
      <c r="D862" s="55"/>
      <c r="E862" s="56"/>
    </row>
    <row r="863" spans="2:5">
      <c r="B863" s="51"/>
      <c r="C863" s="54"/>
      <c r="D863" s="54"/>
      <c r="E863" s="54"/>
    </row>
    <row r="864" spans="2:5">
      <c r="B864" s="48" t="s">
        <v>197</v>
      </c>
      <c r="C864" s="46"/>
      <c r="D864" s="46"/>
      <c r="E864" s="47"/>
    </row>
    <row r="865" spans="2:5">
      <c r="B865" s="48"/>
      <c r="C865" s="58"/>
      <c r="D865" s="58"/>
      <c r="E865" s="58"/>
    </row>
    <row r="866" spans="2:5" ht="13.8" thickBot="1">
      <c r="B866" s="59"/>
      <c r="C866" s="60"/>
      <c r="D866" s="60"/>
      <c r="E866" s="61"/>
    </row>
    <row r="867" spans="2:5" ht="13.8" thickBot="1"/>
    <row r="868" spans="2:5">
      <c r="B868" s="42" t="s">
        <v>298</v>
      </c>
      <c r="C868" s="43"/>
      <c r="D868" s="43"/>
      <c r="E868" s="44"/>
    </row>
    <row r="869" spans="2:5">
      <c r="B869" s="45"/>
      <c r="C869" s="46"/>
      <c r="D869" s="46"/>
      <c r="E869" s="47"/>
    </row>
    <row r="870" spans="2:5">
      <c r="B870" s="48" t="s">
        <v>190</v>
      </c>
      <c r="C870" s="46"/>
      <c r="D870" s="46"/>
      <c r="E870" s="47"/>
    </row>
    <row r="871" spans="2:5">
      <c r="B871" s="48"/>
      <c r="C871" s="62" t="s">
        <v>299</v>
      </c>
      <c r="D871" s="62"/>
      <c r="E871" s="54"/>
    </row>
    <row r="872" spans="2:5">
      <c r="B872" s="48" t="s">
        <v>192</v>
      </c>
      <c r="C872" s="46"/>
      <c r="D872" s="46"/>
      <c r="E872" s="47"/>
    </row>
    <row r="873" spans="2:5">
      <c r="B873" s="51"/>
      <c r="C873" s="58" t="s">
        <v>193</v>
      </c>
      <c r="D873" s="58"/>
      <c r="E873" s="58"/>
    </row>
    <row r="874" spans="2:5">
      <c r="B874" s="51"/>
      <c r="C874" s="58"/>
      <c r="D874" s="58"/>
      <c r="E874" s="58"/>
    </row>
    <row r="875" spans="2:5">
      <c r="B875" s="48" t="s">
        <v>194</v>
      </c>
      <c r="C875" s="46"/>
      <c r="D875" s="46"/>
      <c r="E875" s="47"/>
    </row>
    <row r="876" spans="2:5">
      <c r="B876" s="51"/>
      <c r="C876" s="54"/>
      <c r="D876" s="54"/>
      <c r="E876" s="54"/>
    </row>
    <row r="877" spans="2:5">
      <c r="B877" s="48" t="s">
        <v>195</v>
      </c>
      <c r="C877" s="55"/>
      <c r="D877" s="55"/>
      <c r="E877" s="56"/>
    </row>
    <row r="878" spans="2:5">
      <c r="B878" s="51"/>
      <c r="C878" s="54"/>
      <c r="D878" s="54"/>
      <c r="E878" s="54"/>
    </row>
    <row r="879" spans="2:5">
      <c r="B879" s="48" t="s">
        <v>197</v>
      </c>
      <c r="C879" s="46"/>
      <c r="D879" s="46"/>
      <c r="E879" s="47"/>
    </row>
    <row r="880" spans="2:5">
      <c r="B880" s="48"/>
      <c r="C880" s="58"/>
      <c r="D880" s="58"/>
      <c r="E880" s="58"/>
    </row>
    <row r="881" spans="2:5" ht="13.8" thickBot="1">
      <c r="B881" s="59"/>
      <c r="C881" s="60"/>
      <c r="D881" s="60"/>
      <c r="E881" s="61"/>
    </row>
    <row r="882" spans="2:5" ht="13.8" thickBot="1"/>
    <row r="883" spans="2:5">
      <c r="B883" s="42" t="s">
        <v>300</v>
      </c>
      <c r="C883" s="43"/>
      <c r="D883" s="43"/>
      <c r="E883" s="44"/>
    </row>
    <row r="884" spans="2:5">
      <c r="B884" s="45"/>
      <c r="C884" s="46"/>
      <c r="D884" s="46"/>
      <c r="E884" s="47"/>
    </row>
    <row r="885" spans="2:5">
      <c r="B885" s="48" t="s">
        <v>190</v>
      </c>
      <c r="C885" s="46"/>
      <c r="D885" s="46"/>
      <c r="E885" s="47"/>
    </row>
    <row r="886" spans="2:5">
      <c r="B886" s="48"/>
      <c r="C886" s="62" t="s">
        <v>301</v>
      </c>
      <c r="D886" s="62"/>
      <c r="E886" s="54"/>
    </row>
    <row r="887" spans="2:5">
      <c r="B887" s="48" t="s">
        <v>192</v>
      </c>
      <c r="C887" s="46"/>
      <c r="D887" s="46"/>
      <c r="E887" s="47"/>
    </row>
    <row r="888" spans="2:5">
      <c r="B888" s="51"/>
      <c r="C888" s="58" t="s">
        <v>193</v>
      </c>
      <c r="D888" s="58"/>
      <c r="E888" s="58"/>
    </row>
    <row r="889" spans="2:5">
      <c r="B889" s="51"/>
      <c r="C889" s="58"/>
      <c r="D889" s="58"/>
      <c r="E889" s="58"/>
    </row>
    <row r="890" spans="2:5">
      <c r="B890" s="48" t="s">
        <v>194</v>
      </c>
      <c r="C890" s="46"/>
      <c r="D890" s="46"/>
      <c r="E890" s="47"/>
    </row>
    <row r="891" spans="2:5">
      <c r="B891" s="51"/>
      <c r="C891" s="54"/>
      <c r="D891" s="54"/>
      <c r="E891" s="54"/>
    </row>
    <row r="892" spans="2:5">
      <c r="B892" s="48" t="s">
        <v>195</v>
      </c>
      <c r="C892" s="55"/>
      <c r="D892" s="55"/>
      <c r="E892" s="56"/>
    </row>
    <row r="893" spans="2:5">
      <c r="B893" s="51"/>
      <c r="C893" s="54"/>
      <c r="D893" s="54"/>
      <c r="E893" s="54"/>
    </row>
    <row r="894" spans="2:5">
      <c r="B894" s="48" t="s">
        <v>197</v>
      </c>
      <c r="C894" s="46"/>
      <c r="D894" s="46"/>
      <c r="E894" s="47"/>
    </row>
    <row r="895" spans="2:5">
      <c r="B895" s="48"/>
      <c r="C895" s="58"/>
      <c r="D895" s="58"/>
      <c r="E895" s="58"/>
    </row>
    <row r="896" spans="2:5" ht="13.8" thickBot="1">
      <c r="B896" s="59"/>
      <c r="C896" s="60"/>
      <c r="D896" s="60"/>
      <c r="E896" s="61"/>
    </row>
    <row r="897" spans="2:5" ht="13.8" thickBot="1"/>
    <row r="898" spans="2:5">
      <c r="B898" s="42" t="s">
        <v>302</v>
      </c>
      <c r="C898" s="43"/>
      <c r="D898" s="43"/>
      <c r="E898" s="44"/>
    </row>
    <row r="899" spans="2:5">
      <c r="B899" s="45"/>
      <c r="C899" s="46"/>
      <c r="D899" s="46"/>
      <c r="E899" s="47"/>
    </row>
    <row r="900" spans="2:5">
      <c r="B900" s="48" t="s">
        <v>190</v>
      </c>
      <c r="C900" s="46"/>
      <c r="D900" s="46"/>
      <c r="E900" s="47"/>
    </row>
    <row r="901" spans="2:5">
      <c r="B901" s="48"/>
      <c r="C901" s="62" t="s">
        <v>303</v>
      </c>
      <c r="D901" s="62"/>
      <c r="E901" s="54"/>
    </row>
    <row r="902" spans="2:5">
      <c r="B902" s="48" t="s">
        <v>192</v>
      </c>
      <c r="C902" s="46"/>
      <c r="D902" s="46"/>
      <c r="E902" s="47"/>
    </row>
    <row r="903" spans="2:5">
      <c r="B903" s="51"/>
      <c r="C903" s="58" t="s">
        <v>193</v>
      </c>
      <c r="D903" s="58"/>
      <c r="E903" s="58"/>
    </row>
    <row r="904" spans="2:5">
      <c r="B904" s="51"/>
      <c r="C904" s="58"/>
      <c r="D904" s="58"/>
      <c r="E904" s="58"/>
    </row>
    <row r="905" spans="2:5">
      <c r="B905" s="48" t="s">
        <v>194</v>
      </c>
      <c r="C905" s="46"/>
      <c r="D905" s="46"/>
      <c r="E905" s="47"/>
    </row>
    <row r="906" spans="2:5">
      <c r="B906" s="51"/>
      <c r="C906" s="54"/>
      <c r="D906" s="54"/>
      <c r="E906" s="54"/>
    </row>
    <row r="907" spans="2:5">
      <c r="B907" s="48" t="s">
        <v>195</v>
      </c>
      <c r="C907" s="55"/>
      <c r="D907" s="55"/>
      <c r="E907" s="56"/>
    </row>
    <row r="908" spans="2:5">
      <c r="B908" s="51"/>
      <c r="C908" s="54"/>
      <c r="D908" s="54"/>
      <c r="E908" s="54"/>
    </row>
    <row r="909" spans="2:5">
      <c r="B909" s="48" t="s">
        <v>197</v>
      </c>
      <c r="C909" s="46"/>
      <c r="D909" s="46"/>
      <c r="E909" s="47"/>
    </row>
    <row r="910" spans="2:5">
      <c r="B910" s="48"/>
      <c r="C910" s="58"/>
      <c r="D910" s="58"/>
      <c r="E910" s="58"/>
    </row>
    <row r="911" spans="2:5" ht="13.8" thickBot="1">
      <c r="B911" s="59"/>
      <c r="C911" s="60"/>
      <c r="D911" s="60"/>
      <c r="E911" s="61"/>
    </row>
    <row r="912" spans="2:5" ht="13.8" thickBot="1"/>
    <row r="913" spans="2:5">
      <c r="B913" s="42" t="s">
        <v>304</v>
      </c>
      <c r="C913" s="43"/>
      <c r="D913" s="43"/>
      <c r="E913" s="44"/>
    </row>
    <row r="914" spans="2:5">
      <c r="B914" s="45"/>
      <c r="C914" s="46"/>
      <c r="D914" s="46"/>
      <c r="E914" s="47"/>
    </row>
    <row r="915" spans="2:5">
      <c r="B915" s="48" t="s">
        <v>190</v>
      </c>
      <c r="C915" s="46"/>
      <c r="D915" s="46"/>
      <c r="E915" s="47"/>
    </row>
    <row r="916" spans="2:5">
      <c r="B916" s="48"/>
      <c r="C916" s="62" t="s">
        <v>305</v>
      </c>
      <c r="D916" s="62"/>
      <c r="E916" s="54"/>
    </row>
    <row r="917" spans="2:5">
      <c r="B917" s="48" t="s">
        <v>192</v>
      </c>
      <c r="C917" s="46"/>
      <c r="D917" s="46"/>
      <c r="E917" s="47"/>
    </row>
    <row r="918" spans="2:5">
      <c r="B918" s="51"/>
      <c r="C918" s="58" t="s">
        <v>193</v>
      </c>
      <c r="D918" s="58"/>
      <c r="E918" s="58"/>
    </row>
    <row r="919" spans="2:5">
      <c r="B919" s="51"/>
      <c r="C919" s="58"/>
      <c r="D919" s="58"/>
      <c r="E919" s="58"/>
    </row>
    <row r="920" spans="2:5">
      <c r="B920" s="48" t="s">
        <v>194</v>
      </c>
      <c r="C920" s="46"/>
      <c r="D920" s="46"/>
      <c r="E920" s="47"/>
    </row>
    <row r="921" spans="2:5">
      <c r="B921" s="51"/>
      <c r="C921" s="54"/>
      <c r="D921" s="54"/>
      <c r="E921" s="54"/>
    </row>
    <row r="922" spans="2:5">
      <c r="B922" s="48" t="s">
        <v>195</v>
      </c>
      <c r="C922" s="55"/>
      <c r="D922" s="55"/>
      <c r="E922" s="56"/>
    </row>
    <row r="923" spans="2:5">
      <c r="B923" s="51"/>
      <c r="C923" s="54"/>
      <c r="D923" s="54"/>
      <c r="E923" s="54"/>
    </row>
    <row r="924" spans="2:5">
      <c r="B924" s="48" t="s">
        <v>197</v>
      </c>
      <c r="C924" s="46"/>
      <c r="D924" s="46"/>
      <c r="E924" s="47"/>
    </row>
    <row r="925" spans="2:5">
      <c r="B925" s="48"/>
      <c r="C925" s="58"/>
      <c r="D925" s="58"/>
      <c r="E925" s="58"/>
    </row>
    <row r="926" spans="2:5" ht="13.8" thickBot="1">
      <c r="B926" s="59"/>
      <c r="C926" s="60"/>
      <c r="D926" s="60"/>
      <c r="E926" s="61"/>
    </row>
    <row r="927" spans="2:5" ht="13.8" thickBot="1"/>
    <row r="928" spans="2:5">
      <c r="B928" s="42" t="s">
        <v>306</v>
      </c>
      <c r="C928" s="43"/>
      <c r="D928" s="43"/>
      <c r="E928" s="44"/>
    </row>
    <row r="929" spans="2:5">
      <c r="B929" s="45"/>
      <c r="C929" s="46"/>
      <c r="D929" s="46"/>
      <c r="E929" s="47"/>
    </row>
    <row r="930" spans="2:5">
      <c r="B930" s="48" t="s">
        <v>190</v>
      </c>
      <c r="C930" s="46"/>
      <c r="D930" s="46"/>
      <c r="E930" s="47"/>
    </row>
    <row r="931" spans="2:5">
      <c r="B931" s="48"/>
      <c r="C931" s="62" t="s">
        <v>307</v>
      </c>
      <c r="D931" s="62"/>
      <c r="E931" s="54"/>
    </row>
    <row r="932" spans="2:5">
      <c r="B932" s="48" t="s">
        <v>192</v>
      </c>
      <c r="C932" s="46"/>
      <c r="D932" s="46"/>
      <c r="E932" s="47"/>
    </row>
    <row r="933" spans="2:5">
      <c r="B933" s="51"/>
      <c r="C933" s="58" t="s">
        <v>193</v>
      </c>
      <c r="D933" s="58"/>
      <c r="E933" s="58"/>
    </row>
    <row r="934" spans="2:5">
      <c r="B934" s="51"/>
      <c r="C934" s="58"/>
      <c r="D934" s="58"/>
      <c r="E934" s="58"/>
    </row>
    <row r="935" spans="2:5">
      <c r="B935" s="48" t="s">
        <v>194</v>
      </c>
      <c r="C935" s="46"/>
      <c r="D935" s="46"/>
      <c r="E935" s="47"/>
    </row>
    <row r="936" spans="2:5">
      <c r="B936" s="51"/>
      <c r="C936" s="54"/>
      <c r="D936" s="54"/>
      <c r="E936" s="54"/>
    </row>
    <row r="937" spans="2:5">
      <c r="B937" s="48" t="s">
        <v>195</v>
      </c>
      <c r="C937" s="55"/>
      <c r="D937" s="55"/>
      <c r="E937" s="56"/>
    </row>
    <row r="938" spans="2:5">
      <c r="B938" s="51"/>
      <c r="C938" s="54"/>
      <c r="D938" s="54"/>
      <c r="E938" s="54"/>
    </row>
    <row r="939" spans="2:5">
      <c r="B939" s="48" t="s">
        <v>197</v>
      </c>
      <c r="C939" s="46"/>
      <c r="D939" s="46"/>
      <c r="E939" s="47"/>
    </row>
    <row r="940" spans="2:5">
      <c r="B940" s="48"/>
      <c r="C940" s="58"/>
      <c r="D940" s="58"/>
      <c r="E940" s="58"/>
    </row>
    <row r="941" spans="2:5" ht="13.8" thickBot="1">
      <c r="B941" s="59"/>
      <c r="C941" s="60"/>
      <c r="D941" s="60"/>
      <c r="E941" s="61"/>
    </row>
    <row r="942" spans="2:5" ht="13.8" thickBot="1"/>
    <row r="943" spans="2:5">
      <c r="B943" s="42" t="s">
        <v>308</v>
      </c>
      <c r="C943" s="43"/>
      <c r="D943" s="43"/>
      <c r="E943" s="44"/>
    </row>
    <row r="944" spans="2:5">
      <c r="B944" s="45"/>
      <c r="C944" s="46"/>
      <c r="D944" s="46"/>
      <c r="E944" s="47"/>
    </row>
    <row r="945" spans="2:5">
      <c r="B945" s="48" t="s">
        <v>190</v>
      </c>
      <c r="C945" s="46"/>
      <c r="D945" s="46"/>
      <c r="E945" s="47"/>
    </row>
    <row r="946" spans="2:5">
      <c r="B946" s="48"/>
      <c r="C946" s="62" t="s">
        <v>309</v>
      </c>
      <c r="D946" s="62"/>
      <c r="E946" s="54"/>
    </row>
    <row r="947" spans="2:5">
      <c r="B947" s="48" t="s">
        <v>192</v>
      </c>
      <c r="C947" s="46"/>
      <c r="D947" s="46"/>
      <c r="E947" s="47"/>
    </row>
    <row r="948" spans="2:5">
      <c r="B948" s="51"/>
      <c r="C948" s="58" t="s">
        <v>193</v>
      </c>
      <c r="D948" s="58"/>
      <c r="E948" s="58"/>
    </row>
    <row r="949" spans="2:5">
      <c r="B949" s="51"/>
      <c r="C949" s="58"/>
      <c r="D949" s="58"/>
      <c r="E949" s="58"/>
    </row>
    <row r="950" spans="2:5">
      <c r="B950" s="48" t="s">
        <v>194</v>
      </c>
      <c r="C950" s="46"/>
      <c r="D950" s="46"/>
      <c r="E950" s="47"/>
    </row>
    <row r="951" spans="2:5">
      <c r="B951" s="51"/>
      <c r="C951" s="54"/>
      <c r="D951" s="54"/>
      <c r="E951" s="54"/>
    </row>
    <row r="952" spans="2:5">
      <c r="B952" s="48" t="s">
        <v>195</v>
      </c>
      <c r="C952" s="55"/>
      <c r="D952" s="55"/>
      <c r="E952" s="56"/>
    </row>
    <row r="953" spans="2:5">
      <c r="B953" s="51"/>
      <c r="C953" s="54"/>
      <c r="D953" s="54"/>
      <c r="E953" s="54"/>
    </row>
    <row r="954" spans="2:5">
      <c r="B954" s="48" t="s">
        <v>197</v>
      </c>
      <c r="C954" s="46"/>
      <c r="D954" s="46"/>
      <c r="E954" s="47"/>
    </row>
    <row r="955" spans="2:5">
      <c r="B955" s="48"/>
      <c r="C955" s="58"/>
      <c r="D955" s="58"/>
      <c r="E955" s="58"/>
    </row>
    <row r="956" spans="2:5" ht="13.8" thickBot="1">
      <c r="B956" s="59"/>
      <c r="C956" s="60"/>
      <c r="D956" s="60"/>
      <c r="E956" s="61"/>
    </row>
    <row r="957" spans="2:5" ht="13.8" thickBot="1"/>
    <row r="958" spans="2:5">
      <c r="B958" s="42" t="s">
        <v>310</v>
      </c>
      <c r="C958" s="43"/>
      <c r="D958" s="43"/>
      <c r="E958" s="44"/>
    </row>
    <row r="959" spans="2:5">
      <c r="B959" s="45"/>
      <c r="C959" s="46"/>
      <c r="D959" s="46"/>
      <c r="E959" s="47"/>
    </row>
    <row r="960" spans="2:5">
      <c r="B960" s="48" t="s">
        <v>190</v>
      </c>
      <c r="C960" s="46"/>
      <c r="D960" s="46"/>
      <c r="E960" s="47"/>
    </row>
    <row r="961" spans="2:5">
      <c r="B961" s="48"/>
      <c r="C961" s="62" t="s">
        <v>311</v>
      </c>
      <c r="D961" s="62"/>
      <c r="E961" s="54"/>
    </row>
    <row r="962" spans="2:5">
      <c r="B962" s="48" t="s">
        <v>192</v>
      </c>
      <c r="C962" s="46"/>
      <c r="D962" s="46"/>
      <c r="E962" s="47"/>
    </row>
    <row r="963" spans="2:5">
      <c r="B963" s="51"/>
      <c r="C963" s="58" t="s">
        <v>193</v>
      </c>
      <c r="D963" s="58"/>
      <c r="E963" s="58"/>
    </row>
    <row r="964" spans="2:5">
      <c r="B964" s="51"/>
      <c r="C964" s="58"/>
      <c r="D964" s="58"/>
      <c r="E964" s="58"/>
    </row>
    <row r="965" spans="2:5">
      <c r="B965" s="48" t="s">
        <v>194</v>
      </c>
      <c r="C965" s="46"/>
      <c r="D965" s="46"/>
      <c r="E965" s="47"/>
    </row>
    <row r="966" spans="2:5">
      <c r="B966" s="51"/>
      <c r="C966" s="54"/>
      <c r="D966" s="54"/>
      <c r="E966" s="54"/>
    </row>
    <row r="967" spans="2:5">
      <c r="B967" s="48" t="s">
        <v>195</v>
      </c>
      <c r="C967" s="55"/>
      <c r="D967" s="55"/>
      <c r="E967" s="56"/>
    </row>
    <row r="968" spans="2:5">
      <c r="B968" s="51"/>
      <c r="C968" s="54"/>
      <c r="D968" s="54"/>
      <c r="E968" s="54"/>
    </row>
    <row r="969" spans="2:5">
      <c r="B969" s="48" t="s">
        <v>197</v>
      </c>
      <c r="C969" s="46"/>
      <c r="D969" s="46"/>
      <c r="E969" s="47"/>
    </row>
    <row r="970" spans="2:5">
      <c r="B970" s="48"/>
      <c r="C970" s="58"/>
      <c r="D970" s="58"/>
      <c r="E970" s="58"/>
    </row>
    <row r="971" spans="2:5" ht="13.8" thickBot="1">
      <c r="B971" s="59"/>
      <c r="C971" s="60"/>
      <c r="D971" s="60"/>
      <c r="E971" s="61"/>
    </row>
    <row r="972" spans="2:5" ht="13.8" thickBot="1"/>
    <row r="973" spans="2:5">
      <c r="B973" s="42" t="s">
        <v>312</v>
      </c>
      <c r="C973" s="43"/>
      <c r="D973" s="43"/>
      <c r="E973" s="44"/>
    </row>
    <row r="974" spans="2:5">
      <c r="B974" s="45"/>
      <c r="C974" s="46"/>
      <c r="D974" s="46"/>
      <c r="E974" s="47"/>
    </row>
    <row r="975" spans="2:5">
      <c r="B975" s="48" t="s">
        <v>190</v>
      </c>
      <c r="C975" s="46"/>
      <c r="D975" s="46"/>
      <c r="E975" s="47"/>
    </row>
    <row r="976" spans="2:5">
      <c r="B976" s="48"/>
      <c r="C976" s="62" t="s">
        <v>313</v>
      </c>
      <c r="D976" s="62"/>
      <c r="E976" s="54"/>
    </row>
    <row r="977" spans="2:5">
      <c r="B977" s="48" t="s">
        <v>192</v>
      </c>
      <c r="C977" s="46"/>
      <c r="D977" s="46"/>
      <c r="E977" s="47"/>
    </row>
    <row r="978" spans="2:5">
      <c r="B978" s="51"/>
      <c r="C978" s="58" t="s">
        <v>193</v>
      </c>
      <c r="D978" s="58"/>
      <c r="E978" s="58"/>
    </row>
    <row r="979" spans="2:5">
      <c r="B979" s="51"/>
      <c r="C979" s="58"/>
      <c r="D979" s="58"/>
      <c r="E979" s="58"/>
    </row>
    <row r="980" spans="2:5">
      <c r="B980" s="48" t="s">
        <v>194</v>
      </c>
      <c r="C980" s="46"/>
      <c r="D980" s="46"/>
      <c r="E980" s="47"/>
    </row>
    <row r="981" spans="2:5">
      <c r="B981" s="51"/>
      <c r="C981" s="54"/>
      <c r="D981" s="54"/>
      <c r="E981" s="54"/>
    </row>
    <row r="982" spans="2:5">
      <c r="B982" s="48" t="s">
        <v>195</v>
      </c>
      <c r="C982" s="55"/>
      <c r="D982" s="55"/>
      <c r="E982" s="56"/>
    </row>
    <row r="983" spans="2:5">
      <c r="B983" s="51"/>
      <c r="C983" s="54"/>
      <c r="D983" s="54"/>
      <c r="E983" s="54"/>
    </row>
    <row r="984" spans="2:5">
      <c r="B984" s="48" t="s">
        <v>197</v>
      </c>
      <c r="C984" s="46"/>
      <c r="D984" s="46"/>
      <c r="E984" s="47"/>
    </row>
    <row r="985" spans="2:5">
      <c r="B985" s="48"/>
      <c r="C985" s="58"/>
      <c r="D985" s="58"/>
      <c r="E985" s="58"/>
    </row>
    <row r="986" spans="2:5" ht="13.8" thickBot="1">
      <c r="B986" s="59"/>
      <c r="C986" s="60"/>
      <c r="D986" s="60"/>
      <c r="E986" s="61"/>
    </row>
    <row r="987" spans="2:5" ht="13.8" thickBot="1"/>
    <row r="988" spans="2:5">
      <c r="B988" s="42" t="s">
        <v>314</v>
      </c>
      <c r="C988" s="43"/>
      <c r="D988" s="43"/>
      <c r="E988" s="44"/>
    </row>
    <row r="989" spans="2:5">
      <c r="B989" s="45"/>
      <c r="C989" s="46"/>
      <c r="D989" s="46"/>
      <c r="E989" s="47"/>
    </row>
    <row r="990" spans="2:5">
      <c r="B990" s="48" t="s">
        <v>190</v>
      </c>
      <c r="C990" s="46"/>
      <c r="D990" s="46"/>
      <c r="E990" s="47"/>
    </row>
    <row r="991" spans="2:5">
      <c r="B991" s="48"/>
      <c r="C991" s="62" t="s">
        <v>315</v>
      </c>
      <c r="D991" s="62"/>
      <c r="E991" s="54"/>
    </row>
    <row r="992" spans="2:5">
      <c r="B992" s="48" t="s">
        <v>192</v>
      </c>
      <c r="C992" s="46"/>
      <c r="D992" s="46"/>
      <c r="E992" s="47"/>
    </row>
    <row r="993" spans="2:5">
      <c r="B993" s="51"/>
      <c r="C993" s="58" t="s">
        <v>193</v>
      </c>
      <c r="D993" s="58"/>
      <c r="E993" s="58"/>
    </row>
    <row r="994" spans="2:5">
      <c r="B994" s="51"/>
      <c r="C994" s="58"/>
      <c r="D994" s="58"/>
      <c r="E994" s="58"/>
    </row>
    <row r="995" spans="2:5">
      <c r="B995" s="48" t="s">
        <v>194</v>
      </c>
      <c r="C995" s="46"/>
      <c r="D995" s="46"/>
      <c r="E995" s="47"/>
    </row>
    <row r="996" spans="2:5">
      <c r="B996" s="51"/>
      <c r="C996" s="54"/>
      <c r="D996" s="54"/>
      <c r="E996" s="54"/>
    </row>
    <row r="997" spans="2:5">
      <c r="B997" s="48" t="s">
        <v>195</v>
      </c>
      <c r="C997" s="55"/>
      <c r="D997" s="55"/>
      <c r="E997" s="56"/>
    </row>
    <row r="998" spans="2:5">
      <c r="B998" s="51"/>
      <c r="C998" s="54"/>
      <c r="D998" s="54"/>
      <c r="E998" s="54"/>
    </row>
    <row r="999" spans="2:5">
      <c r="B999" s="48" t="s">
        <v>197</v>
      </c>
      <c r="C999" s="46"/>
      <c r="D999" s="46"/>
      <c r="E999" s="47"/>
    </row>
    <row r="1000" spans="2:5">
      <c r="B1000" s="48"/>
      <c r="C1000" s="58"/>
      <c r="D1000" s="58"/>
      <c r="E1000" s="58"/>
    </row>
    <row r="1001" spans="2:5" ht="13.8" thickBot="1">
      <c r="B1001" s="59"/>
      <c r="C1001" s="60"/>
      <c r="D1001" s="60"/>
      <c r="E1001" s="61"/>
    </row>
    <row r="1002" spans="2:5" ht="13.8" thickBot="1"/>
    <row r="1003" spans="2:5">
      <c r="B1003" s="42" t="s">
        <v>316</v>
      </c>
      <c r="C1003" s="43"/>
      <c r="D1003" s="43"/>
      <c r="E1003" s="44"/>
    </row>
    <row r="1004" spans="2:5">
      <c r="B1004" s="45"/>
      <c r="C1004" s="46"/>
      <c r="D1004" s="46"/>
      <c r="E1004" s="47"/>
    </row>
    <row r="1005" spans="2:5">
      <c r="B1005" s="48" t="s">
        <v>190</v>
      </c>
      <c r="C1005" s="46"/>
      <c r="D1005" s="46"/>
      <c r="E1005" s="47"/>
    </row>
    <row r="1006" spans="2:5">
      <c r="B1006" s="48"/>
      <c r="C1006" s="62" t="s">
        <v>317</v>
      </c>
      <c r="D1006" s="62"/>
      <c r="E1006" s="54"/>
    </row>
    <row r="1007" spans="2:5">
      <c r="B1007" s="48" t="s">
        <v>192</v>
      </c>
      <c r="C1007" s="46"/>
      <c r="D1007" s="46"/>
      <c r="E1007" s="47"/>
    </row>
    <row r="1008" spans="2:5">
      <c r="B1008" s="51"/>
      <c r="C1008" s="58" t="s">
        <v>193</v>
      </c>
      <c r="D1008" s="58"/>
      <c r="E1008" s="58"/>
    </row>
    <row r="1009" spans="2:5">
      <c r="B1009" s="51"/>
      <c r="C1009" s="58"/>
      <c r="D1009" s="58"/>
      <c r="E1009" s="58"/>
    </row>
    <row r="1010" spans="2:5">
      <c r="B1010" s="48" t="s">
        <v>194</v>
      </c>
      <c r="C1010" s="46"/>
      <c r="D1010" s="46"/>
      <c r="E1010" s="47"/>
    </row>
    <row r="1011" spans="2:5">
      <c r="B1011" s="51"/>
      <c r="C1011" s="54"/>
      <c r="D1011" s="54"/>
      <c r="E1011" s="54"/>
    </row>
    <row r="1012" spans="2:5">
      <c r="B1012" s="48" t="s">
        <v>195</v>
      </c>
      <c r="C1012" s="55"/>
      <c r="D1012" s="55"/>
      <c r="E1012" s="56"/>
    </row>
    <row r="1013" spans="2:5">
      <c r="B1013" s="51"/>
      <c r="C1013" s="54"/>
      <c r="D1013" s="54"/>
      <c r="E1013" s="54"/>
    </row>
    <row r="1014" spans="2:5">
      <c r="B1014" s="48" t="s">
        <v>197</v>
      </c>
      <c r="C1014" s="46"/>
      <c r="D1014" s="46"/>
      <c r="E1014" s="47"/>
    </row>
    <row r="1015" spans="2:5">
      <c r="B1015" s="48"/>
      <c r="C1015" s="58"/>
      <c r="D1015" s="58"/>
      <c r="E1015" s="58"/>
    </row>
    <row r="1016" spans="2:5" ht="13.8" thickBot="1">
      <c r="B1016" s="59"/>
      <c r="C1016" s="60"/>
      <c r="D1016" s="60"/>
      <c r="E1016" s="61"/>
    </row>
    <row r="1017" spans="2:5" ht="13.8" thickBot="1"/>
    <row r="1018" spans="2:5">
      <c r="B1018" s="42" t="s">
        <v>318</v>
      </c>
      <c r="C1018" s="43"/>
      <c r="D1018" s="43"/>
      <c r="E1018" s="44"/>
    </row>
    <row r="1019" spans="2:5">
      <c r="B1019" s="45"/>
      <c r="C1019" s="46"/>
      <c r="D1019" s="46"/>
      <c r="E1019" s="47"/>
    </row>
    <row r="1020" spans="2:5">
      <c r="B1020" s="48" t="s">
        <v>190</v>
      </c>
      <c r="C1020" s="46"/>
      <c r="D1020" s="46"/>
      <c r="E1020" s="47"/>
    </row>
    <row r="1021" spans="2:5">
      <c r="B1021" s="48"/>
      <c r="C1021" s="62" t="s">
        <v>319</v>
      </c>
      <c r="D1021" s="62"/>
      <c r="E1021" s="54"/>
    </row>
    <row r="1022" spans="2:5">
      <c r="B1022" s="48" t="s">
        <v>192</v>
      </c>
      <c r="C1022" s="46"/>
      <c r="D1022" s="46"/>
      <c r="E1022" s="47"/>
    </row>
    <row r="1023" spans="2:5">
      <c r="B1023" s="51"/>
      <c r="C1023" s="58" t="s">
        <v>193</v>
      </c>
      <c r="D1023" s="58"/>
      <c r="E1023" s="58"/>
    </row>
    <row r="1024" spans="2:5">
      <c r="B1024" s="51"/>
      <c r="C1024" s="58"/>
      <c r="D1024" s="58"/>
      <c r="E1024" s="58"/>
    </row>
    <row r="1025" spans="2:5">
      <c r="B1025" s="48" t="s">
        <v>194</v>
      </c>
      <c r="C1025" s="46"/>
      <c r="D1025" s="46"/>
      <c r="E1025" s="47"/>
    </row>
    <row r="1026" spans="2:5">
      <c r="B1026" s="51"/>
      <c r="C1026" s="54"/>
      <c r="D1026" s="54"/>
      <c r="E1026" s="54"/>
    </row>
    <row r="1027" spans="2:5">
      <c r="B1027" s="48" t="s">
        <v>195</v>
      </c>
      <c r="C1027" s="55"/>
      <c r="D1027" s="55"/>
      <c r="E1027" s="56"/>
    </row>
    <row r="1028" spans="2:5">
      <c r="B1028" s="51"/>
      <c r="C1028" s="54"/>
      <c r="D1028" s="54"/>
      <c r="E1028" s="54"/>
    </row>
    <row r="1029" spans="2:5">
      <c r="B1029" s="48" t="s">
        <v>197</v>
      </c>
      <c r="C1029" s="46"/>
      <c r="D1029" s="46"/>
      <c r="E1029" s="47"/>
    </row>
    <row r="1030" spans="2:5">
      <c r="B1030" s="48"/>
      <c r="C1030" s="58"/>
      <c r="D1030" s="58"/>
      <c r="E1030" s="58"/>
    </row>
    <row r="1031" spans="2:5" ht="13.8" thickBot="1">
      <c r="B1031" s="59"/>
      <c r="C1031" s="60"/>
      <c r="D1031" s="60"/>
      <c r="E1031" s="61"/>
    </row>
    <row r="1032" spans="2:5" ht="13.8" thickBot="1"/>
    <row r="1033" spans="2:5">
      <c r="B1033" s="42" t="s">
        <v>320</v>
      </c>
      <c r="C1033" s="43"/>
      <c r="D1033" s="43"/>
      <c r="E1033" s="44"/>
    </row>
    <row r="1034" spans="2:5">
      <c r="B1034" s="45"/>
      <c r="C1034" s="46"/>
      <c r="D1034" s="46"/>
      <c r="E1034" s="47"/>
    </row>
    <row r="1035" spans="2:5">
      <c r="B1035" s="48" t="s">
        <v>190</v>
      </c>
      <c r="C1035" s="46"/>
      <c r="D1035" s="46"/>
      <c r="E1035" s="47"/>
    </row>
    <row r="1036" spans="2:5">
      <c r="B1036" s="48"/>
      <c r="C1036" s="62" t="s">
        <v>321</v>
      </c>
      <c r="D1036" s="62"/>
      <c r="E1036" s="54"/>
    </row>
    <row r="1037" spans="2:5">
      <c r="B1037" s="48" t="s">
        <v>192</v>
      </c>
      <c r="C1037" s="46"/>
      <c r="D1037" s="46"/>
      <c r="E1037" s="47"/>
    </row>
    <row r="1038" spans="2:5">
      <c r="B1038" s="51"/>
      <c r="C1038" s="58" t="s">
        <v>193</v>
      </c>
      <c r="D1038" s="58"/>
      <c r="E1038" s="58"/>
    </row>
    <row r="1039" spans="2:5">
      <c r="B1039" s="51"/>
      <c r="C1039" s="58"/>
      <c r="D1039" s="58"/>
      <c r="E1039" s="58"/>
    </row>
    <row r="1040" spans="2:5">
      <c r="B1040" s="48" t="s">
        <v>194</v>
      </c>
      <c r="C1040" s="46"/>
      <c r="D1040" s="46"/>
      <c r="E1040" s="47"/>
    </row>
    <row r="1041" spans="2:5">
      <c r="B1041" s="51"/>
      <c r="C1041" s="54"/>
      <c r="D1041" s="54"/>
      <c r="E1041" s="54"/>
    </row>
    <row r="1042" spans="2:5">
      <c r="B1042" s="48" t="s">
        <v>195</v>
      </c>
      <c r="C1042" s="55"/>
      <c r="D1042" s="55"/>
      <c r="E1042" s="56"/>
    </row>
    <row r="1043" spans="2:5">
      <c r="B1043" s="51"/>
      <c r="C1043" s="54"/>
      <c r="D1043" s="54"/>
      <c r="E1043" s="54"/>
    </row>
    <row r="1044" spans="2:5">
      <c r="B1044" s="48" t="s">
        <v>197</v>
      </c>
      <c r="C1044" s="46"/>
      <c r="D1044" s="46"/>
      <c r="E1044" s="47"/>
    </row>
    <row r="1045" spans="2:5">
      <c r="B1045" s="48"/>
      <c r="C1045" s="58"/>
      <c r="D1045" s="58"/>
      <c r="E1045" s="58"/>
    </row>
    <row r="1046" spans="2:5" ht="13.8" thickBot="1">
      <c r="B1046" s="59"/>
      <c r="C1046" s="60"/>
      <c r="D1046" s="60"/>
      <c r="E1046" s="61"/>
    </row>
    <row r="1047" spans="2:5" ht="13.8" thickBot="1"/>
    <row r="1048" spans="2:5">
      <c r="B1048" s="42" t="s">
        <v>322</v>
      </c>
      <c r="C1048" s="43"/>
      <c r="D1048" s="43"/>
      <c r="E1048" s="44"/>
    </row>
    <row r="1049" spans="2:5">
      <c r="B1049" s="45"/>
      <c r="C1049" s="46"/>
      <c r="D1049" s="46"/>
      <c r="E1049" s="47"/>
    </row>
    <row r="1050" spans="2:5">
      <c r="B1050" s="48" t="s">
        <v>190</v>
      </c>
      <c r="C1050" s="46"/>
      <c r="D1050" s="46"/>
      <c r="E1050" s="47"/>
    </row>
    <row r="1051" spans="2:5">
      <c r="B1051" s="48"/>
      <c r="C1051" s="62" t="s">
        <v>323</v>
      </c>
      <c r="D1051" s="62"/>
      <c r="E1051" s="54"/>
    </row>
    <row r="1052" spans="2:5">
      <c r="B1052" s="48" t="s">
        <v>192</v>
      </c>
      <c r="C1052" s="46"/>
      <c r="D1052" s="46"/>
      <c r="E1052" s="47"/>
    </row>
    <row r="1053" spans="2:5">
      <c r="B1053" s="51"/>
      <c r="C1053" s="58" t="s">
        <v>193</v>
      </c>
      <c r="D1053" s="58"/>
      <c r="E1053" s="58"/>
    </row>
    <row r="1054" spans="2:5">
      <c r="B1054" s="51"/>
      <c r="C1054" s="58"/>
      <c r="D1054" s="58"/>
      <c r="E1054" s="58"/>
    </row>
    <row r="1055" spans="2:5">
      <c r="B1055" s="48" t="s">
        <v>194</v>
      </c>
      <c r="C1055" s="46"/>
      <c r="D1055" s="46"/>
      <c r="E1055" s="47"/>
    </row>
    <row r="1056" spans="2:5">
      <c r="B1056" s="51"/>
      <c r="C1056" s="54"/>
      <c r="D1056" s="54"/>
      <c r="E1056" s="54"/>
    </row>
    <row r="1057" spans="2:5">
      <c r="B1057" s="48" t="s">
        <v>195</v>
      </c>
      <c r="C1057" s="55"/>
      <c r="D1057" s="55"/>
      <c r="E1057" s="56"/>
    </row>
    <row r="1058" spans="2:5">
      <c r="B1058" s="51"/>
      <c r="C1058" s="54"/>
      <c r="D1058" s="54"/>
      <c r="E1058" s="54"/>
    </row>
    <row r="1059" spans="2:5">
      <c r="B1059" s="48" t="s">
        <v>197</v>
      </c>
      <c r="C1059" s="46"/>
      <c r="D1059" s="46"/>
      <c r="E1059" s="47"/>
    </row>
    <row r="1060" spans="2:5">
      <c r="B1060" s="48"/>
      <c r="C1060" s="58"/>
      <c r="D1060" s="58"/>
      <c r="E1060" s="58"/>
    </row>
    <row r="1061" spans="2:5" ht="13.8" thickBot="1">
      <c r="B1061" s="59"/>
      <c r="C1061" s="60"/>
      <c r="D1061" s="60"/>
      <c r="E1061" s="61"/>
    </row>
    <row r="1062" spans="2:5" ht="13.8" thickBot="1"/>
    <row r="1063" spans="2:5">
      <c r="B1063" s="42" t="s">
        <v>324</v>
      </c>
      <c r="C1063" s="43"/>
      <c r="D1063" s="43"/>
      <c r="E1063" s="44"/>
    </row>
    <row r="1064" spans="2:5">
      <c r="B1064" s="45"/>
      <c r="C1064" s="46"/>
      <c r="D1064" s="46"/>
      <c r="E1064" s="47"/>
    </row>
    <row r="1065" spans="2:5">
      <c r="B1065" s="48" t="s">
        <v>190</v>
      </c>
      <c r="C1065" s="46"/>
      <c r="D1065" s="46"/>
      <c r="E1065" s="47"/>
    </row>
    <row r="1066" spans="2:5">
      <c r="B1066" s="48"/>
      <c r="C1066" s="62" t="s">
        <v>325</v>
      </c>
      <c r="D1066" s="62"/>
      <c r="E1066" s="54"/>
    </row>
    <row r="1067" spans="2:5">
      <c r="B1067" s="48" t="s">
        <v>192</v>
      </c>
      <c r="C1067" s="46"/>
      <c r="D1067" s="46"/>
      <c r="E1067" s="47"/>
    </row>
    <row r="1068" spans="2:5">
      <c r="B1068" s="51"/>
      <c r="C1068" s="58" t="s">
        <v>193</v>
      </c>
      <c r="D1068" s="58"/>
      <c r="E1068" s="58"/>
    </row>
    <row r="1069" spans="2:5">
      <c r="B1069" s="51"/>
      <c r="C1069" s="58"/>
      <c r="D1069" s="58"/>
      <c r="E1069" s="58"/>
    </row>
    <row r="1070" spans="2:5">
      <c r="B1070" s="48" t="s">
        <v>194</v>
      </c>
      <c r="C1070" s="46"/>
      <c r="D1070" s="46"/>
      <c r="E1070" s="47"/>
    </row>
    <row r="1071" spans="2:5">
      <c r="B1071" s="51"/>
      <c r="C1071" s="54"/>
      <c r="D1071" s="54"/>
      <c r="E1071" s="54"/>
    </row>
    <row r="1072" spans="2:5">
      <c r="B1072" s="48" t="s">
        <v>195</v>
      </c>
      <c r="C1072" s="55"/>
      <c r="D1072" s="55"/>
      <c r="E1072" s="56"/>
    </row>
    <row r="1073" spans="2:5">
      <c r="B1073" s="51"/>
      <c r="C1073" s="54"/>
      <c r="D1073" s="54"/>
      <c r="E1073" s="54"/>
    </row>
    <row r="1074" spans="2:5">
      <c r="B1074" s="48" t="s">
        <v>197</v>
      </c>
      <c r="C1074" s="46"/>
      <c r="D1074" s="46"/>
      <c r="E1074" s="47"/>
    </row>
    <row r="1075" spans="2:5">
      <c r="B1075" s="48"/>
      <c r="C1075" s="58"/>
      <c r="D1075" s="58"/>
      <c r="E1075" s="58"/>
    </row>
    <row r="1076" spans="2:5" ht="13.8" thickBot="1">
      <c r="B1076" s="59"/>
      <c r="C1076" s="60"/>
      <c r="D1076" s="60"/>
      <c r="E1076" s="61"/>
    </row>
    <row r="1077" spans="2:5" ht="13.8" thickBot="1"/>
    <row r="1078" spans="2:5">
      <c r="B1078" s="42" t="s">
        <v>326</v>
      </c>
      <c r="C1078" s="43"/>
      <c r="D1078" s="43"/>
      <c r="E1078" s="44"/>
    </row>
    <row r="1079" spans="2:5">
      <c r="B1079" s="45"/>
      <c r="C1079" s="46"/>
      <c r="D1079" s="46"/>
      <c r="E1079" s="47"/>
    </row>
    <row r="1080" spans="2:5">
      <c r="B1080" s="48" t="s">
        <v>190</v>
      </c>
      <c r="C1080" s="46"/>
      <c r="D1080" s="46"/>
      <c r="E1080" s="47"/>
    </row>
    <row r="1081" spans="2:5">
      <c r="B1081" s="48"/>
      <c r="C1081" s="62" t="s">
        <v>327</v>
      </c>
      <c r="D1081" s="62"/>
      <c r="E1081" s="54"/>
    </row>
    <row r="1082" spans="2:5">
      <c r="B1082" s="48" t="s">
        <v>192</v>
      </c>
      <c r="C1082" s="46"/>
      <c r="D1082" s="46"/>
      <c r="E1082" s="47"/>
    </row>
    <row r="1083" spans="2:5">
      <c r="B1083" s="51"/>
      <c r="C1083" s="58" t="s">
        <v>193</v>
      </c>
      <c r="D1083" s="58"/>
      <c r="E1083" s="58"/>
    </row>
    <row r="1084" spans="2:5">
      <c r="B1084" s="51"/>
      <c r="C1084" s="58"/>
      <c r="D1084" s="58"/>
      <c r="E1084" s="58"/>
    </row>
    <row r="1085" spans="2:5">
      <c r="B1085" s="48" t="s">
        <v>194</v>
      </c>
      <c r="C1085" s="46"/>
      <c r="D1085" s="46"/>
      <c r="E1085" s="47"/>
    </row>
    <row r="1086" spans="2:5">
      <c r="B1086" s="51"/>
      <c r="C1086" s="54"/>
      <c r="D1086" s="54"/>
      <c r="E1086" s="54"/>
    </row>
    <row r="1087" spans="2:5">
      <c r="B1087" s="48" t="s">
        <v>195</v>
      </c>
      <c r="C1087" s="55"/>
      <c r="D1087" s="55"/>
      <c r="E1087" s="56"/>
    </row>
    <row r="1088" spans="2:5">
      <c r="B1088" s="51"/>
      <c r="C1088" s="54"/>
      <c r="D1088" s="54"/>
      <c r="E1088" s="54"/>
    </row>
    <row r="1089" spans="2:5">
      <c r="B1089" s="48" t="s">
        <v>197</v>
      </c>
      <c r="C1089" s="46"/>
      <c r="D1089" s="46"/>
      <c r="E1089" s="47"/>
    </row>
    <row r="1090" spans="2:5">
      <c r="B1090" s="48"/>
      <c r="C1090" s="58"/>
      <c r="D1090" s="58"/>
      <c r="E1090" s="58"/>
    </row>
    <row r="1091" spans="2:5" ht="13.8" thickBot="1">
      <c r="B1091" s="59"/>
      <c r="C1091" s="60"/>
      <c r="D1091" s="60"/>
      <c r="E1091" s="61"/>
    </row>
    <row r="1092" spans="2:5" ht="13.8" thickBot="1"/>
    <row r="1093" spans="2:5">
      <c r="B1093" s="42" t="s">
        <v>328</v>
      </c>
      <c r="C1093" s="43"/>
      <c r="D1093" s="43"/>
      <c r="E1093" s="44"/>
    </row>
    <row r="1094" spans="2:5">
      <c r="B1094" s="45"/>
      <c r="C1094" s="46"/>
      <c r="D1094" s="46"/>
      <c r="E1094" s="47"/>
    </row>
    <row r="1095" spans="2:5">
      <c r="B1095" s="48" t="s">
        <v>190</v>
      </c>
      <c r="C1095" s="46"/>
      <c r="D1095" s="46"/>
      <c r="E1095" s="47"/>
    </row>
    <row r="1096" spans="2:5">
      <c r="B1096" s="48"/>
      <c r="C1096" s="62" t="s">
        <v>329</v>
      </c>
      <c r="D1096" s="62"/>
      <c r="E1096" s="54"/>
    </row>
    <row r="1097" spans="2:5">
      <c r="B1097" s="48" t="s">
        <v>192</v>
      </c>
      <c r="C1097" s="46"/>
      <c r="D1097" s="46"/>
      <c r="E1097" s="47"/>
    </row>
    <row r="1098" spans="2:5">
      <c r="B1098" s="51"/>
      <c r="C1098" s="58" t="s">
        <v>193</v>
      </c>
      <c r="D1098" s="58"/>
      <c r="E1098" s="58"/>
    </row>
    <row r="1099" spans="2:5">
      <c r="B1099" s="51"/>
      <c r="C1099" s="58"/>
      <c r="D1099" s="58"/>
      <c r="E1099" s="58"/>
    </row>
    <row r="1100" spans="2:5">
      <c r="B1100" s="48" t="s">
        <v>194</v>
      </c>
      <c r="C1100" s="46"/>
      <c r="D1100" s="46"/>
      <c r="E1100" s="47"/>
    </row>
    <row r="1101" spans="2:5">
      <c r="B1101" s="51"/>
      <c r="C1101" s="54"/>
      <c r="D1101" s="54"/>
      <c r="E1101" s="54"/>
    </row>
    <row r="1102" spans="2:5">
      <c r="B1102" s="48" t="s">
        <v>195</v>
      </c>
      <c r="C1102" s="55"/>
      <c r="D1102" s="55"/>
      <c r="E1102" s="56"/>
    </row>
    <row r="1103" spans="2:5">
      <c r="B1103" s="51"/>
      <c r="C1103" s="54"/>
      <c r="D1103" s="54"/>
      <c r="E1103" s="54"/>
    </row>
    <row r="1104" spans="2:5">
      <c r="B1104" s="48" t="s">
        <v>197</v>
      </c>
      <c r="C1104" s="46"/>
      <c r="D1104" s="46"/>
      <c r="E1104" s="47"/>
    </row>
    <row r="1105" spans="2:5">
      <c r="B1105" s="48"/>
      <c r="C1105" s="58"/>
      <c r="D1105" s="58"/>
      <c r="E1105" s="58"/>
    </row>
    <row r="1106" spans="2:5" ht="13.8" thickBot="1">
      <c r="B1106" s="59"/>
      <c r="C1106" s="60"/>
      <c r="D1106" s="60"/>
      <c r="E1106" s="61"/>
    </row>
    <row r="1107" spans="2:5" ht="13.8" thickBot="1"/>
    <row r="1108" spans="2:5">
      <c r="B1108" s="42" t="s">
        <v>330</v>
      </c>
      <c r="C1108" s="43"/>
      <c r="D1108" s="43"/>
      <c r="E1108" s="44"/>
    </row>
    <row r="1109" spans="2:5">
      <c r="B1109" s="45"/>
      <c r="C1109" s="46"/>
      <c r="D1109" s="46"/>
      <c r="E1109" s="47"/>
    </row>
    <row r="1110" spans="2:5">
      <c r="B1110" s="48" t="s">
        <v>190</v>
      </c>
      <c r="C1110" s="46"/>
      <c r="D1110" s="46"/>
      <c r="E1110" s="47"/>
    </row>
    <row r="1111" spans="2:5">
      <c r="B1111" s="48"/>
      <c r="C1111" s="62" t="s">
        <v>331</v>
      </c>
      <c r="D1111" s="62"/>
      <c r="E1111" s="54"/>
    </row>
    <row r="1112" spans="2:5">
      <c r="B1112" s="48" t="s">
        <v>192</v>
      </c>
      <c r="C1112" s="46"/>
      <c r="D1112" s="46"/>
      <c r="E1112" s="47"/>
    </row>
    <row r="1113" spans="2:5">
      <c r="B1113" s="51"/>
      <c r="C1113" s="58" t="s">
        <v>193</v>
      </c>
      <c r="D1113" s="58"/>
      <c r="E1113" s="58"/>
    </row>
    <row r="1114" spans="2:5">
      <c r="B1114" s="51"/>
      <c r="C1114" s="58"/>
      <c r="D1114" s="58"/>
      <c r="E1114" s="58"/>
    </row>
    <row r="1115" spans="2:5">
      <c r="B1115" s="48" t="s">
        <v>194</v>
      </c>
      <c r="C1115" s="46"/>
      <c r="D1115" s="46"/>
      <c r="E1115" s="47"/>
    </row>
    <row r="1116" spans="2:5">
      <c r="B1116" s="51"/>
      <c r="C1116" s="54"/>
      <c r="D1116" s="54"/>
      <c r="E1116" s="54"/>
    </row>
    <row r="1117" spans="2:5">
      <c r="B1117" s="48" t="s">
        <v>195</v>
      </c>
      <c r="C1117" s="55"/>
      <c r="D1117" s="55"/>
      <c r="E1117" s="56"/>
    </row>
    <row r="1118" spans="2:5">
      <c r="B1118" s="51"/>
      <c r="C1118" s="54"/>
      <c r="D1118" s="54"/>
      <c r="E1118" s="54"/>
    </row>
    <row r="1119" spans="2:5">
      <c r="B1119" s="48" t="s">
        <v>197</v>
      </c>
      <c r="C1119" s="46"/>
      <c r="D1119" s="46"/>
      <c r="E1119" s="47"/>
    </row>
    <row r="1120" spans="2:5">
      <c r="B1120" s="48"/>
      <c r="C1120" s="58"/>
      <c r="D1120" s="58"/>
      <c r="E1120" s="58"/>
    </row>
    <row r="1121" spans="2:5" ht="13.8" thickBot="1">
      <c r="B1121" s="59"/>
      <c r="C1121" s="60"/>
      <c r="D1121" s="60"/>
      <c r="E1121" s="61"/>
    </row>
    <row r="1122" spans="2:5" ht="13.8" thickBot="1"/>
    <row r="1123" spans="2:5">
      <c r="B1123" s="42" t="s">
        <v>332</v>
      </c>
      <c r="C1123" s="43"/>
      <c r="D1123" s="43"/>
      <c r="E1123" s="44"/>
    </row>
    <row r="1124" spans="2:5">
      <c r="B1124" s="45"/>
      <c r="C1124" s="46"/>
      <c r="D1124" s="46"/>
      <c r="E1124" s="47"/>
    </row>
    <row r="1125" spans="2:5">
      <c r="B1125" s="48" t="s">
        <v>190</v>
      </c>
      <c r="C1125" s="46"/>
      <c r="D1125" s="46"/>
      <c r="E1125" s="47"/>
    </row>
    <row r="1126" spans="2:5">
      <c r="B1126" s="48"/>
      <c r="C1126" s="62" t="s">
        <v>333</v>
      </c>
      <c r="D1126" s="62"/>
      <c r="E1126" s="54"/>
    </row>
    <row r="1127" spans="2:5">
      <c r="B1127" s="48" t="s">
        <v>192</v>
      </c>
      <c r="C1127" s="46"/>
      <c r="D1127" s="46"/>
      <c r="E1127" s="47"/>
    </row>
    <row r="1128" spans="2:5">
      <c r="B1128" s="51"/>
      <c r="C1128" s="58" t="s">
        <v>193</v>
      </c>
      <c r="D1128" s="58"/>
      <c r="E1128" s="58"/>
    </row>
    <row r="1129" spans="2:5">
      <c r="B1129" s="51"/>
      <c r="C1129" s="58"/>
      <c r="D1129" s="58"/>
      <c r="E1129" s="58"/>
    </row>
    <row r="1130" spans="2:5">
      <c r="B1130" s="48" t="s">
        <v>194</v>
      </c>
      <c r="C1130" s="46"/>
      <c r="D1130" s="46"/>
      <c r="E1130" s="47"/>
    </row>
    <row r="1131" spans="2:5">
      <c r="B1131" s="51"/>
      <c r="C1131" s="54"/>
      <c r="D1131" s="54"/>
      <c r="E1131" s="54"/>
    </row>
    <row r="1132" spans="2:5">
      <c r="B1132" s="48" t="s">
        <v>195</v>
      </c>
      <c r="C1132" s="55"/>
      <c r="D1132" s="55"/>
      <c r="E1132" s="56"/>
    </row>
    <row r="1133" spans="2:5">
      <c r="B1133" s="51"/>
      <c r="C1133" s="54"/>
      <c r="D1133" s="54"/>
      <c r="E1133" s="54"/>
    </row>
    <row r="1134" spans="2:5">
      <c r="B1134" s="48" t="s">
        <v>197</v>
      </c>
      <c r="C1134" s="46"/>
      <c r="D1134" s="46"/>
      <c r="E1134" s="47"/>
    </row>
    <row r="1135" spans="2:5">
      <c r="B1135" s="48"/>
      <c r="C1135" s="58"/>
      <c r="D1135" s="58"/>
      <c r="E1135" s="58"/>
    </row>
    <row r="1136" spans="2:5" ht="13.8" thickBot="1">
      <c r="B1136" s="59"/>
      <c r="C1136" s="60"/>
      <c r="D1136" s="60"/>
      <c r="E1136" s="61"/>
    </row>
    <row r="1137" spans="2:5" ht="13.8" thickBot="1"/>
    <row r="1138" spans="2:5">
      <c r="B1138" s="42" t="s">
        <v>334</v>
      </c>
      <c r="C1138" s="43"/>
      <c r="D1138" s="43"/>
      <c r="E1138" s="44"/>
    </row>
    <row r="1139" spans="2:5">
      <c r="B1139" s="45"/>
      <c r="C1139" s="46"/>
      <c r="D1139" s="46"/>
      <c r="E1139" s="47"/>
    </row>
    <row r="1140" spans="2:5">
      <c r="B1140" s="48" t="s">
        <v>190</v>
      </c>
      <c r="C1140" s="46"/>
      <c r="D1140" s="46"/>
      <c r="E1140" s="47"/>
    </row>
    <row r="1141" spans="2:5">
      <c r="B1141" s="48"/>
      <c r="C1141" s="62" t="s">
        <v>335</v>
      </c>
      <c r="D1141" s="62"/>
      <c r="E1141" s="54"/>
    </row>
    <row r="1142" spans="2:5">
      <c r="B1142" s="48" t="s">
        <v>192</v>
      </c>
      <c r="C1142" s="46"/>
      <c r="D1142" s="46"/>
      <c r="E1142" s="47"/>
    </row>
    <row r="1143" spans="2:5">
      <c r="B1143" s="51"/>
      <c r="C1143" s="58" t="s">
        <v>193</v>
      </c>
      <c r="D1143" s="58"/>
      <c r="E1143" s="58"/>
    </row>
    <row r="1144" spans="2:5">
      <c r="B1144" s="51"/>
      <c r="C1144" s="58"/>
      <c r="D1144" s="58"/>
      <c r="E1144" s="58"/>
    </row>
    <row r="1145" spans="2:5">
      <c r="B1145" s="48" t="s">
        <v>194</v>
      </c>
      <c r="C1145" s="46"/>
      <c r="D1145" s="46"/>
      <c r="E1145" s="47"/>
    </row>
    <row r="1146" spans="2:5">
      <c r="B1146" s="51"/>
      <c r="C1146" s="54"/>
      <c r="D1146" s="54"/>
      <c r="E1146" s="54"/>
    </row>
    <row r="1147" spans="2:5">
      <c r="B1147" s="48" t="s">
        <v>195</v>
      </c>
      <c r="C1147" s="55"/>
      <c r="D1147" s="55"/>
      <c r="E1147" s="56"/>
    </row>
    <row r="1148" spans="2:5">
      <c r="B1148" s="51"/>
      <c r="C1148" s="54"/>
      <c r="D1148" s="54"/>
      <c r="E1148" s="54"/>
    </row>
    <row r="1149" spans="2:5">
      <c r="B1149" s="48" t="s">
        <v>197</v>
      </c>
      <c r="C1149" s="46"/>
      <c r="D1149" s="46"/>
      <c r="E1149" s="47"/>
    </row>
    <row r="1150" spans="2:5">
      <c r="B1150" s="48"/>
      <c r="C1150" s="58"/>
      <c r="D1150" s="58"/>
      <c r="E1150" s="58"/>
    </row>
    <row r="1151" spans="2:5" ht="13.8" thickBot="1">
      <c r="B1151" s="59"/>
      <c r="C1151" s="60"/>
      <c r="D1151" s="60"/>
      <c r="E1151" s="61"/>
    </row>
    <row r="1152" spans="2:5" ht="13.8" thickBot="1"/>
    <row r="1153" spans="2:5">
      <c r="B1153" s="42" t="s">
        <v>336</v>
      </c>
      <c r="C1153" s="43"/>
      <c r="D1153" s="43"/>
      <c r="E1153" s="44"/>
    </row>
    <row r="1154" spans="2:5">
      <c r="B1154" s="45"/>
      <c r="C1154" s="46"/>
      <c r="D1154" s="46"/>
      <c r="E1154" s="47"/>
    </row>
    <row r="1155" spans="2:5">
      <c r="B1155" s="48" t="s">
        <v>190</v>
      </c>
      <c r="C1155" s="46"/>
      <c r="D1155" s="46"/>
      <c r="E1155" s="47"/>
    </row>
    <row r="1156" spans="2:5">
      <c r="B1156" s="48"/>
      <c r="C1156" s="62" t="s">
        <v>337</v>
      </c>
      <c r="D1156" s="62"/>
      <c r="E1156" s="54"/>
    </row>
    <row r="1157" spans="2:5">
      <c r="B1157" s="48" t="s">
        <v>192</v>
      </c>
      <c r="C1157" s="46"/>
      <c r="D1157" s="46"/>
      <c r="E1157" s="47"/>
    </row>
    <row r="1158" spans="2:5">
      <c r="B1158" s="51"/>
      <c r="C1158" s="58" t="s">
        <v>193</v>
      </c>
      <c r="D1158" s="58"/>
      <c r="E1158" s="58"/>
    </row>
    <row r="1159" spans="2:5">
      <c r="B1159" s="51"/>
      <c r="C1159" s="58"/>
      <c r="D1159" s="58"/>
      <c r="E1159" s="58"/>
    </row>
    <row r="1160" spans="2:5">
      <c r="B1160" s="48" t="s">
        <v>194</v>
      </c>
      <c r="C1160" s="46"/>
      <c r="D1160" s="46"/>
      <c r="E1160" s="47"/>
    </row>
    <row r="1161" spans="2:5">
      <c r="B1161" s="51"/>
      <c r="C1161" s="54"/>
      <c r="D1161" s="54"/>
      <c r="E1161" s="54"/>
    </row>
    <row r="1162" spans="2:5">
      <c r="B1162" s="48" t="s">
        <v>195</v>
      </c>
      <c r="C1162" s="55"/>
      <c r="D1162" s="55"/>
      <c r="E1162" s="56"/>
    </row>
    <row r="1163" spans="2:5">
      <c r="B1163" s="51"/>
      <c r="C1163" s="54"/>
      <c r="D1163" s="54"/>
      <c r="E1163" s="54"/>
    </row>
    <row r="1164" spans="2:5">
      <c r="B1164" s="48" t="s">
        <v>197</v>
      </c>
      <c r="C1164" s="46"/>
      <c r="D1164" s="46"/>
      <c r="E1164" s="47"/>
    </row>
    <row r="1165" spans="2:5">
      <c r="B1165" s="48"/>
      <c r="C1165" s="58"/>
      <c r="D1165" s="58"/>
      <c r="E1165" s="58"/>
    </row>
    <row r="1166" spans="2:5" ht="13.8" thickBot="1">
      <c r="B1166" s="59"/>
      <c r="C1166" s="60"/>
      <c r="D1166" s="60"/>
      <c r="E1166" s="61"/>
    </row>
    <row r="1167" spans="2:5" ht="13.8" thickBot="1"/>
    <row r="1168" spans="2:5">
      <c r="B1168" s="42" t="s">
        <v>338</v>
      </c>
      <c r="C1168" s="43"/>
      <c r="D1168" s="43"/>
      <c r="E1168" s="44"/>
    </row>
    <row r="1169" spans="2:5">
      <c r="B1169" s="45"/>
      <c r="C1169" s="46"/>
      <c r="D1169" s="46"/>
      <c r="E1169" s="47"/>
    </row>
    <row r="1170" spans="2:5">
      <c r="B1170" s="48" t="s">
        <v>190</v>
      </c>
      <c r="C1170" s="46"/>
      <c r="D1170" s="46"/>
      <c r="E1170" s="47"/>
    </row>
    <row r="1171" spans="2:5">
      <c r="B1171" s="48"/>
      <c r="C1171" s="62" t="s">
        <v>339</v>
      </c>
      <c r="D1171" s="62"/>
      <c r="E1171" s="54"/>
    </row>
    <row r="1172" spans="2:5">
      <c r="B1172" s="48" t="s">
        <v>192</v>
      </c>
      <c r="C1172" s="46"/>
      <c r="D1172" s="46"/>
      <c r="E1172" s="47"/>
    </row>
    <row r="1173" spans="2:5">
      <c r="B1173" s="51"/>
      <c r="C1173" s="58" t="s">
        <v>193</v>
      </c>
      <c r="D1173" s="58"/>
      <c r="E1173" s="58"/>
    </row>
    <row r="1174" spans="2:5">
      <c r="B1174" s="51"/>
      <c r="C1174" s="58"/>
      <c r="D1174" s="58"/>
      <c r="E1174" s="58"/>
    </row>
    <row r="1175" spans="2:5">
      <c r="B1175" s="48" t="s">
        <v>194</v>
      </c>
      <c r="C1175" s="46"/>
      <c r="D1175" s="46"/>
      <c r="E1175" s="47"/>
    </row>
    <row r="1176" spans="2:5">
      <c r="B1176" s="51"/>
      <c r="C1176" s="54"/>
      <c r="D1176" s="54"/>
      <c r="E1176" s="54"/>
    </row>
    <row r="1177" spans="2:5">
      <c r="B1177" s="48" t="s">
        <v>195</v>
      </c>
      <c r="C1177" s="55"/>
      <c r="D1177" s="55"/>
      <c r="E1177" s="56"/>
    </row>
    <row r="1178" spans="2:5">
      <c r="B1178" s="51"/>
      <c r="C1178" s="54"/>
      <c r="D1178" s="54"/>
      <c r="E1178" s="54"/>
    </row>
    <row r="1179" spans="2:5">
      <c r="B1179" s="48" t="s">
        <v>197</v>
      </c>
      <c r="C1179" s="46"/>
      <c r="D1179" s="46"/>
      <c r="E1179" s="47"/>
    </row>
    <row r="1180" spans="2:5">
      <c r="B1180" s="48"/>
      <c r="C1180" s="58"/>
      <c r="D1180" s="58"/>
      <c r="E1180" s="58"/>
    </row>
    <row r="1181" spans="2:5" ht="13.8" thickBot="1">
      <c r="B1181" s="59"/>
      <c r="C1181" s="60"/>
      <c r="D1181" s="60"/>
      <c r="E1181" s="61"/>
    </row>
    <row r="1182" spans="2:5" ht="13.8" thickBot="1"/>
    <row r="1183" spans="2:5">
      <c r="B1183" s="42" t="s">
        <v>340</v>
      </c>
      <c r="C1183" s="43"/>
      <c r="D1183" s="43"/>
      <c r="E1183" s="44"/>
    </row>
    <row r="1184" spans="2:5">
      <c r="B1184" s="45"/>
      <c r="C1184" s="46"/>
      <c r="D1184" s="46"/>
      <c r="E1184" s="47"/>
    </row>
    <row r="1185" spans="2:5">
      <c r="B1185" s="48" t="s">
        <v>190</v>
      </c>
      <c r="C1185" s="46"/>
      <c r="D1185" s="46"/>
      <c r="E1185" s="47"/>
    </row>
    <row r="1186" spans="2:5">
      <c r="B1186" s="48"/>
      <c r="C1186" s="62" t="s">
        <v>341</v>
      </c>
      <c r="D1186" s="62"/>
      <c r="E1186" s="54"/>
    </row>
    <row r="1187" spans="2:5">
      <c r="B1187" s="48" t="s">
        <v>192</v>
      </c>
      <c r="C1187" s="46"/>
      <c r="D1187" s="46"/>
      <c r="E1187" s="47"/>
    </row>
    <row r="1188" spans="2:5">
      <c r="B1188" s="51"/>
      <c r="C1188" s="58" t="s">
        <v>193</v>
      </c>
      <c r="D1188" s="58"/>
      <c r="E1188" s="58"/>
    </row>
    <row r="1189" spans="2:5">
      <c r="B1189" s="51"/>
      <c r="C1189" s="58"/>
      <c r="D1189" s="58"/>
      <c r="E1189" s="58"/>
    </row>
    <row r="1190" spans="2:5">
      <c r="B1190" s="48" t="s">
        <v>194</v>
      </c>
      <c r="C1190" s="46"/>
      <c r="D1190" s="46"/>
      <c r="E1190" s="47"/>
    </row>
    <row r="1191" spans="2:5">
      <c r="B1191" s="51"/>
      <c r="C1191" s="54"/>
      <c r="D1191" s="54"/>
      <c r="E1191" s="54"/>
    </row>
    <row r="1192" spans="2:5">
      <c r="B1192" s="48" t="s">
        <v>195</v>
      </c>
      <c r="C1192" s="55"/>
      <c r="D1192" s="55"/>
      <c r="E1192" s="56"/>
    </row>
    <row r="1193" spans="2:5">
      <c r="B1193" s="51"/>
      <c r="C1193" s="54"/>
      <c r="D1193" s="54"/>
      <c r="E1193" s="54"/>
    </row>
    <row r="1194" spans="2:5">
      <c r="B1194" s="48" t="s">
        <v>197</v>
      </c>
      <c r="C1194" s="46"/>
      <c r="D1194" s="46"/>
      <c r="E1194" s="47"/>
    </row>
    <row r="1195" spans="2:5">
      <c r="B1195" s="48"/>
      <c r="C1195" s="58"/>
      <c r="D1195" s="58"/>
      <c r="E1195" s="58"/>
    </row>
    <row r="1196" spans="2:5" ht="13.8" thickBot="1">
      <c r="B1196" s="59"/>
      <c r="C1196" s="60"/>
      <c r="D1196" s="60"/>
      <c r="E1196" s="61"/>
    </row>
    <row r="1197" spans="2:5" ht="13.8" thickBot="1"/>
    <row r="1198" spans="2:5">
      <c r="B1198" s="42" t="s">
        <v>342</v>
      </c>
      <c r="C1198" s="43"/>
      <c r="D1198" s="43"/>
      <c r="E1198" s="44"/>
    </row>
    <row r="1199" spans="2:5">
      <c r="B1199" s="45"/>
      <c r="C1199" s="46"/>
      <c r="D1199" s="46"/>
      <c r="E1199" s="47"/>
    </row>
    <row r="1200" spans="2:5">
      <c r="B1200" s="48" t="s">
        <v>190</v>
      </c>
      <c r="C1200" s="46"/>
      <c r="D1200" s="46"/>
      <c r="E1200" s="47"/>
    </row>
    <row r="1201" spans="2:5" ht="12.75" customHeight="1">
      <c r="B1201" s="48"/>
      <c r="C1201" s="62" t="s">
        <v>343</v>
      </c>
      <c r="D1201" s="62"/>
      <c r="E1201" s="54"/>
    </row>
    <row r="1202" spans="2:5">
      <c r="B1202" s="48" t="s">
        <v>192</v>
      </c>
      <c r="C1202" s="46"/>
      <c r="D1202" s="46"/>
      <c r="E1202" s="47"/>
    </row>
    <row r="1203" spans="2:5">
      <c r="B1203" s="51"/>
      <c r="C1203" s="58" t="s">
        <v>193</v>
      </c>
      <c r="D1203" s="58"/>
      <c r="E1203" s="58"/>
    </row>
    <row r="1204" spans="2:5">
      <c r="B1204" s="51"/>
      <c r="C1204" s="58"/>
      <c r="D1204" s="58"/>
      <c r="E1204" s="58"/>
    </row>
    <row r="1205" spans="2:5">
      <c r="B1205" s="48" t="s">
        <v>194</v>
      </c>
      <c r="C1205" s="46"/>
      <c r="D1205" s="46"/>
      <c r="E1205" s="47"/>
    </row>
    <row r="1206" spans="2:5">
      <c r="B1206" s="51"/>
      <c r="C1206" s="54"/>
      <c r="D1206" s="54"/>
      <c r="E1206" s="54"/>
    </row>
    <row r="1207" spans="2:5">
      <c r="B1207" s="48" t="s">
        <v>195</v>
      </c>
      <c r="C1207" s="55"/>
      <c r="D1207" s="55"/>
      <c r="E1207" s="56"/>
    </row>
    <row r="1208" spans="2:5">
      <c r="B1208" s="51"/>
      <c r="C1208" s="54"/>
      <c r="D1208" s="54"/>
      <c r="E1208" s="54"/>
    </row>
    <row r="1209" spans="2:5">
      <c r="B1209" s="48" t="s">
        <v>197</v>
      </c>
      <c r="C1209" s="46"/>
      <c r="D1209" s="46"/>
      <c r="E1209" s="47"/>
    </row>
    <row r="1210" spans="2:5">
      <c r="B1210" s="48"/>
      <c r="C1210" s="58"/>
      <c r="D1210" s="58"/>
      <c r="E1210" s="58"/>
    </row>
    <row r="1211" spans="2:5" ht="13.8" thickBot="1">
      <c r="B1211" s="59"/>
      <c r="C1211" s="60"/>
      <c r="D1211" s="60"/>
      <c r="E1211" s="61"/>
    </row>
    <row r="1212" spans="2:5" ht="13.8" thickBot="1"/>
    <row r="1213" spans="2:5">
      <c r="B1213" s="42" t="s">
        <v>344</v>
      </c>
      <c r="C1213" s="43"/>
      <c r="D1213" s="43"/>
      <c r="E1213" s="44"/>
    </row>
    <row r="1214" spans="2:5">
      <c r="B1214" s="45"/>
      <c r="C1214" s="46"/>
      <c r="D1214" s="46"/>
      <c r="E1214" s="47"/>
    </row>
    <row r="1215" spans="2:5">
      <c r="B1215" s="48" t="s">
        <v>190</v>
      </c>
      <c r="C1215" s="46"/>
      <c r="D1215" s="46"/>
      <c r="E1215" s="47"/>
    </row>
    <row r="1216" spans="2:5" ht="12.75" customHeight="1">
      <c r="B1216" s="48"/>
      <c r="C1216" s="62" t="s">
        <v>345</v>
      </c>
      <c r="D1216" s="62"/>
      <c r="E1216" s="54"/>
    </row>
    <row r="1217" spans="2:5">
      <c r="B1217" s="48" t="s">
        <v>192</v>
      </c>
      <c r="C1217" s="46"/>
      <c r="D1217" s="46"/>
      <c r="E1217" s="47"/>
    </row>
    <row r="1218" spans="2:5">
      <c r="B1218" s="51"/>
      <c r="C1218" s="58" t="s">
        <v>193</v>
      </c>
      <c r="D1218" s="58"/>
      <c r="E1218" s="58"/>
    </row>
    <row r="1219" spans="2:5">
      <c r="B1219" s="51"/>
      <c r="C1219" s="58"/>
      <c r="D1219" s="58"/>
      <c r="E1219" s="58"/>
    </row>
    <row r="1220" spans="2:5">
      <c r="B1220" s="48" t="s">
        <v>194</v>
      </c>
      <c r="C1220" s="46"/>
      <c r="D1220" s="46"/>
      <c r="E1220" s="47"/>
    </row>
    <row r="1221" spans="2:5">
      <c r="B1221" s="51"/>
      <c r="C1221" s="54"/>
      <c r="D1221" s="54"/>
      <c r="E1221" s="54"/>
    </row>
    <row r="1222" spans="2:5">
      <c r="B1222" s="48" t="s">
        <v>195</v>
      </c>
      <c r="C1222" s="55"/>
      <c r="D1222" s="55"/>
      <c r="E1222" s="56"/>
    </row>
    <row r="1223" spans="2:5">
      <c r="B1223" s="51"/>
      <c r="C1223" s="54"/>
      <c r="D1223" s="54"/>
      <c r="E1223" s="54"/>
    </row>
    <row r="1224" spans="2:5">
      <c r="B1224" s="48" t="s">
        <v>197</v>
      </c>
      <c r="C1224" s="46"/>
      <c r="D1224" s="46"/>
      <c r="E1224" s="47"/>
    </row>
    <row r="1225" spans="2:5" ht="12.75" customHeight="1">
      <c r="B1225" s="48"/>
      <c r="C1225" s="58"/>
      <c r="D1225" s="58"/>
      <c r="E1225" s="58"/>
    </row>
    <row r="1226" spans="2:5" ht="13.8" thickBot="1">
      <c r="B1226" s="59"/>
      <c r="C1226" s="60"/>
      <c r="D1226" s="60"/>
      <c r="E1226" s="61"/>
    </row>
    <row r="1227" spans="2:5" ht="13.8" thickBot="1"/>
    <row r="1228" spans="2:5">
      <c r="B1228" s="42" t="s">
        <v>346</v>
      </c>
      <c r="C1228" s="43"/>
      <c r="D1228" s="43"/>
      <c r="E1228" s="44"/>
    </row>
    <row r="1229" spans="2:5">
      <c r="B1229" s="45"/>
      <c r="C1229" s="46"/>
      <c r="D1229" s="46"/>
      <c r="E1229" s="47"/>
    </row>
    <row r="1230" spans="2:5">
      <c r="B1230" s="48" t="s">
        <v>190</v>
      </c>
      <c r="C1230" s="46"/>
      <c r="D1230" s="46"/>
      <c r="E1230" s="47"/>
    </row>
    <row r="1231" spans="2:5" ht="12.75" customHeight="1">
      <c r="B1231" s="48"/>
      <c r="C1231" s="62" t="s">
        <v>347</v>
      </c>
      <c r="D1231" s="62"/>
      <c r="E1231" s="54"/>
    </row>
    <row r="1232" spans="2:5">
      <c r="B1232" s="48" t="s">
        <v>192</v>
      </c>
      <c r="C1232" s="46"/>
      <c r="D1232" s="46"/>
      <c r="E1232" s="47"/>
    </row>
    <row r="1233" spans="2:5">
      <c r="B1233" s="51"/>
      <c r="C1233" s="58" t="s">
        <v>193</v>
      </c>
      <c r="D1233" s="58"/>
      <c r="E1233" s="58"/>
    </row>
    <row r="1234" spans="2:5">
      <c r="B1234" s="51"/>
      <c r="C1234" s="58"/>
      <c r="D1234" s="58"/>
      <c r="E1234" s="58"/>
    </row>
    <row r="1235" spans="2:5">
      <c r="B1235" s="48" t="s">
        <v>194</v>
      </c>
      <c r="C1235" s="46"/>
      <c r="D1235" s="46"/>
      <c r="E1235" s="47"/>
    </row>
    <row r="1236" spans="2:5">
      <c r="B1236" s="51"/>
      <c r="C1236" s="54"/>
      <c r="D1236" s="54"/>
      <c r="E1236" s="54"/>
    </row>
    <row r="1237" spans="2:5">
      <c r="B1237" s="48" t="s">
        <v>195</v>
      </c>
      <c r="C1237" s="55"/>
      <c r="D1237" s="55"/>
      <c r="E1237" s="56"/>
    </row>
    <row r="1238" spans="2:5">
      <c r="B1238" s="51"/>
      <c r="C1238" s="54"/>
      <c r="D1238" s="54"/>
      <c r="E1238" s="54"/>
    </row>
    <row r="1239" spans="2:5">
      <c r="B1239" s="48" t="s">
        <v>197</v>
      </c>
      <c r="C1239" s="46"/>
      <c r="D1239" s="46"/>
      <c r="E1239" s="47"/>
    </row>
    <row r="1240" spans="2:5">
      <c r="B1240" s="48"/>
      <c r="C1240" s="58"/>
      <c r="D1240" s="58"/>
      <c r="E1240" s="58"/>
    </row>
    <row r="1241" spans="2:5" ht="13.8" thickBot="1">
      <c r="B1241" s="59"/>
      <c r="C1241" s="60"/>
      <c r="D1241" s="60"/>
      <c r="E1241" s="61"/>
    </row>
    <row r="1242" spans="2:5" ht="13.8" thickBot="1"/>
    <row r="1243" spans="2:5">
      <c r="B1243" s="42" t="s">
        <v>348</v>
      </c>
      <c r="C1243" s="43"/>
      <c r="D1243" s="43"/>
      <c r="E1243" s="44"/>
    </row>
    <row r="1244" spans="2:5">
      <c r="B1244" s="45"/>
      <c r="C1244" s="46"/>
      <c r="D1244" s="46"/>
      <c r="E1244" s="47"/>
    </row>
    <row r="1245" spans="2:5">
      <c r="B1245" s="48" t="s">
        <v>190</v>
      </c>
      <c r="C1245" s="46"/>
      <c r="D1245" s="46"/>
      <c r="E1245" s="47"/>
    </row>
    <row r="1246" spans="2:5">
      <c r="B1246" s="48"/>
      <c r="C1246" s="62" t="s">
        <v>349</v>
      </c>
      <c r="D1246" s="62"/>
      <c r="E1246" s="54"/>
    </row>
    <row r="1247" spans="2:5">
      <c r="B1247" s="48" t="s">
        <v>192</v>
      </c>
      <c r="C1247" s="46"/>
      <c r="D1247" s="46"/>
      <c r="E1247" s="47"/>
    </row>
    <row r="1248" spans="2:5">
      <c r="B1248" s="51"/>
      <c r="C1248" s="58" t="s">
        <v>193</v>
      </c>
      <c r="D1248" s="58"/>
      <c r="E1248" s="58"/>
    </row>
    <row r="1249" spans="2:5">
      <c r="B1249" s="51"/>
      <c r="C1249" s="58"/>
      <c r="D1249" s="58"/>
      <c r="E1249" s="58"/>
    </row>
    <row r="1250" spans="2:5">
      <c r="B1250" s="48" t="s">
        <v>194</v>
      </c>
      <c r="C1250" s="46"/>
      <c r="D1250" s="46"/>
      <c r="E1250" s="47"/>
    </row>
    <row r="1251" spans="2:5">
      <c r="B1251" s="51"/>
      <c r="C1251" s="54"/>
      <c r="D1251" s="54"/>
      <c r="E1251" s="54"/>
    </row>
    <row r="1252" spans="2:5">
      <c r="B1252" s="48" t="s">
        <v>195</v>
      </c>
      <c r="C1252" s="55"/>
      <c r="D1252" s="55"/>
      <c r="E1252" s="56"/>
    </row>
    <row r="1253" spans="2:5">
      <c r="B1253" s="51"/>
      <c r="C1253" s="54"/>
      <c r="D1253" s="54"/>
      <c r="E1253" s="54"/>
    </row>
    <row r="1254" spans="2:5">
      <c r="B1254" s="48" t="s">
        <v>197</v>
      </c>
      <c r="C1254" s="46"/>
      <c r="D1254" s="46"/>
      <c r="E1254" s="47"/>
    </row>
    <row r="1255" spans="2:5">
      <c r="B1255" s="48"/>
      <c r="C1255" s="58"/>
      <c r="D1255" s="58"/>
      <c r="E1255" s="58"/>
    </row>
    <row r="1256" spans="2:5" ht="13.8" thickBot="1">
      <c r="B1256" s="59"/>
      <c r="C1256" s="60"/>
      <c r="D1256" s="60"/>
      <c r="E1256" s="61"/>
    </row>
    <row r="1257" spans="2:5" ht="13.8" thickBot="1"/>
    <row r="1258" spans="2:5">
      <c r="B1258" s="42" t="s">
        <v>350</v>
      </c>
      <c r="C1258" s="43"/>
      <c r="D1258" s="43"/>
      <c r="E1258" s="44"/>
    </row>
    <row r="1259" spans="2:5">
      <c r="B1259" s="45"/>
      <c r="C1259" s="46"/>
      <c r="D1259" s="46"/>
      <c r="E1259" s="47"/>
    </row>
    <row r="1260" spans="2:5">
      <c r="B1260" s="48" t="s">
        <v>190</v>
      </c>
      <c r="C1260" s="46"/>
      <c r="D1260" s="46"/>
      <c r="E1260" s="47"/>
    </row>
    <row r="1261" spans="2:5">
      <c r="B1261" s="48"/>
      <c r="C1261" s="62" t="s">
        <v>351</v>
      </c>
      <c r="D1261" s="62"/>
      <c r="E1261" s="54"/>
    </row>
    <row r="1262" spans="2:5">
      <c r="B1262" s="48" t="s">
        <v>192</v>
      </c>
      <c r="C1262" s="46"/>
      <c r="D1262" s="46"/>
      <c r="E1262" s="47"/>
    </row>
    <row r="1263" spans="2:5">
      <c r="B1263" s="51"/>
      <c r="C1263" s="58" t="s">
        <v>193</v>
      </c>
      <c r="D1263" s="58"/>
      <c r="E1263" s="58"/>
    </row>
    <row r="1264" spans="2:5">
      <c r="B1264" s="51"/>
      <c r="C1264" s="58"/>
      <c r="D1264" s="58"/>
      <c r="E1264" s="58"/>
    </row>
    <row r="1265" spans="2:5">
      <c r="B1265" s="48" t="s">
        <v>194</v>
      </c>
      <c r="C1265" s="46"/>
      <c r="D1265" s="46"/>
      <c r="E1265" s="47"/>
    </row>
    <row r="1266" spans="2:5">
      <c r="B1266" s="51"/>
      <c r="C1266" s="54"/>
      <c r="D1266" s="54"/>
      <c r="E1266" s="54"/>
    </row>
    <row r="1267" spans="2:5">
      <c r="B1267" s="48" t="s">
        <v>195</v>
      </c>
      <c r="C1267" s="55"/>
      <c r="D1267" s="55"/>
      <c r="E1267" s="56"/>
    </row>
    <row r="1268" spans="2:5">
      <c r="B1268" s="51"/>
      <c r="C1268" s="54"/>
      <c r="D1268" s="54"/>
      <c r="E1268" s="54"/>
    </row>
    <row r="1269" spans="2:5">
      <c r="B1269" s="48" t="s">
        <v>197</v>
      </c>
      <c r="C1269" s="46"/>
      <c r="D1269" s="46"/>
      <c r="E1269" s="47"/>
    </row>
    <row r="1270" spans="2:5">
      <c r="B1270" s="48"/>
      <c r="C1270" s="58"/>
      <c r="D1270" s="58"/>
      <c r="E1270" s="58"/>
    </row>
    <row r="1271" spans="2:5" ht="13.8" thickBot="1">
      <c r="B1271" s="59"/>
      <c r="C1271" s="60"/>
      <c r="D1271" s="60"/>
      <c r="E1271" s="61"/>
    </row>
    <row r="1272" spans="2:5" ht="13.8" thickBot="1"/>
    <row r="1273" spans="2:5">
      <c r="B1273" s="42" t="s">
        <v>352</v>
      </c>
      <c r="C1273" s="43"/>
      <c r="D1273" s="43"/>
      <c r="E1273" s="44"/>
    </row>
    <row r="1274" spans="2:5">
      <c r="B1274" s="45"/>
      <c r="C1274" s="46"/>
      <c r="D1274" s="46"/>
      <c r="E1274" s="47"/>
    </row>
    <row r="1275" spans="2:5">
      <c r="B1275" s="48" t="s">
        <v>190</v>
      </c>
      <c r="C1275" s="46"/>
      <c r="D1275" s="46"/>
      <c r="E1275" s="47"/>
    </row>
    <row r="1276" spans="2:5">
      <c r="B1276" s="48"/>
      <c r="C1276" s="62" t="s">
        <v>353</v>
      </c>
      <c r="D1276" s="62"/>
      <c r="E1276" s="54"/>
    </row>
    <row r="1277" spans="2:5">
      <c r="B1277" s="48" t="s">
        <v>192</v>
      </c>
      <c r="C1277" s="46"/>
      <c r="D1277" s="46"/>
      <c r="E1277" s="47"/>
    </row>
    <row r="1278" spans="2:5">
      <c r="B1278" s="51"/>
      <c r="C1278" s="58" t="s">
        <v>193</v>
      </c>
      <c r="D1278" s="58"/>
      <c r="E1278" s="58"/>
    </row>
    <row r="1279" spans="2:5">
      <c r="B1279" s="51"/>
      <c r="C1279" s="58"/>
      <c r="D1279" s="58"/>
      <c r="E1279" s="58"/>
    </row>
    <row r="1280" spans="2:5">
      <c r="B1280" s="48" t="s">
        <v>194</v>
      </c>
      <c r="C1280" s="46"/>
      <c r="D1280" s="46"/>
      <c r="E1280" s="47"/>
    </row>
    <row r="1281" spans="2:5">
      <c r="B1281" s="51"/>
      <c r="C1281" s="54"/>
      <c r="D1281" s="54"/>
      <c r="E1281" s="54"/>
    </row>
    <row r="1282" spans="2:5">
      <c r="B1282" s="48" t="s">
        <v>195</v>
      </c>
      <c r="C1282" s="55"/>
      <c r="D1282" s="55"/>
      <c r="E1282" s="56"/>
    </row>
    <row r="1283" spans="2:5">
      <c r="B1283" s="51"/>
      <c r="C1283" s="54"/>
      <c r="D1283" s="54"/>
      <c r="E1283" s="54"/>
    </row>
    <row r="1284" spans="2:5">
      <c r="B1284" s="48" t="s">
        <v>197</v>
      </c>
      <c r="C1284" s="46"/>
      <c r="D1284" s="46"/>
      <c r="E1284" s="47"/>
    </row>
    <row r="1285" spans="2:5">
      <c r="B1285" s="48"/>
      <c r="C1285" s="58"/>
      <c r="D1285" s="58"/>
      <c r="E1285" s="58"/>
    </row>
    <row r="1286" spans="2:5" ht="13.8" thickBot="1">
      <c r="B1286" s="59"/>
      <c r="C1286" s="60"/>
      <c r="D1286" s="60"/>
      <c r="E1286" s="61"/>
    </row>
    <row r="1287" spans="2:5" ht="13.8" thickBot="1"/>
    <row r="1288" spans="2:5">
      <c r="B1288" s="42" t="s">
        <v>354</v>
      </c>
      <c r="C1288" s="43"/>
      <c r="D1288" s="43"/>
      <c r="E1288" s="44"/>
    </row>
    <row r="1289" spans="2:5">
      <c r="B1289" s="45"/>
      <c r="C1289" s="46"/>
      <c r="D1289" s="46"/>
      <c r="E1289" s="47"/>
    </row>
    <row r="1290" spans="2:5">
      <c r="B1290" s="48" t="s">
        <v>190</v>
      </c>
      <c r="C1290" s="46"/>
      <c r="D1290" s="46"/>
      <c r="E1290" s="47"/>
    </row>
    <row r="1291" spans="2:5" ht="12.75" customHeight="1">
      <c r="B1291" s="48"/>
      <c r="C1291" s="62" t="s">
        <v>355</v>
      </c>
      <c r="D1291" s="62"/>
      <c r="E1291" s="54"/>
    </row>
    <row r="1292" spans="2:5">
      <c r="B1292" s="48" t="s">
        <v>192</v>
      </c>
      <c r="C1292" s="46"/>
      <c r="D1292" s="46"/>
      <c r="E1292" s="47"/>
    </row>
    <row r="1293" spans="2:5">
      <c r="B1293" s="51"/>
      <c r="C1293" s="58" t="s">
        <v>193</v>
      </c>
      <c r="D1293" s="58"/>
      <c r="E1293" s="58"/>
    </row>
    <row r="1294" spans="2:5">
      <c r="B1294" s="51"/>
      <c r="C1294" s="58"/>
      <c r="D1294" s="58"/>
      <c r="E1294" s="58"/>
    </row>
    <row r="1295" spans="2:5">
      <c r="B1295" s="48" t="s">
        <v>194</v>
      </c>
      <c r="C1295" s="46"/>
      <c r="D1295" s="46"/>
      <c r="E1295" s="47"/>
    </row>
    <row r="1296" spans="2:5">
      <c r="B1296" s="51"/>
      <c r="C1296" s="54"/>
      <c r="D1296" s="54"/>
      <c r="E1296" s="54"/>
    </row>
    <row r="1297" spans="2:5">
      <c r="B1297" s="48" t="s">
        <v>195</v>
      </c>
      <c r="C1297" s="55"/>
      <c r="D1297" s="55"/>
      <c r="E1297" s="56"/>
    </row>
    <row r="1298" spans="2:5">
      <c r="B1298" s="51"/>
      <c r="C1298" s="54"/>
      <c r="D1298" s="54"/>
      <c r="E1298" s="54"/>
    </row>
    <row r="1299" spans="2:5">
      <c r="B1299" s="48" t="s">
        <v>197</v>
      </c>
      <c r="C1299" s="46"/>
      <c r="D1299" s="46"/>
      <c r="E1299" s="47"/>
    </row>
    <row r="1300" spans="2:5">
      <c r="B1300" s="48"/>
      <c r="C1300" s="58"/>
      <c r="D1300" s="58"/>
      <c r="E1300" s="58"/>
    </row>
    <row r="1301" spans="2:5" ht="13.8" thickBot="1">
      <c r="B1301" s="59"/>
      <c r="C1301" s="60"/>
      <c r="D1301" s="60"/>
      <c r="E1301" s="61"/>
    </row>
    <row r="1302" spans="2:5" ht="13.8" thickBot="1"/>
    <row r="1303" spans="2:5">
      <c r="B1303" s="42" t="s">
        <v>356</v>
      </c>
      <c r="C1303" s="43"/>
      <c r="D1303" s="43"/>
      <c r="E1303" s="44"/>
    </row>
    <row r="1304" spans="2:5">
      <c r="B1304" s="45"/>
      <c r="C1304" s="46"/>
      <c r="D1304" s="46"/>
      <c r="E1304" s="47"/>
    </row>
    <row r="1305" spans="2:5">
      <c r="B1305" s="48" t="s">
        <v>190</v>
      </c>
      <c r="C1305" s="46"/>
      <c r="D1305" s="46"/>
      <c r="E1305" s="47"/>
    </row>
    <row r="1306" spans="2:5">
      <c r="B1306" s="48"/>
      <c r="C1306" s="62" t="s">
        <v>357</v>
      </c>
      <c r="D1306" s="62"/>
      <c r="E1306" s="54"/>
    </row>
    <row r="1307" spans="2:5">
      <c r="B1307" s="48" t="s">
        <v>192</v>
      </c>
      <c r="C1307" s="46"/>
      <c r="D1307" s="46"/>
      <c r="E1307" s="47"/>
    </row>
    <row r="1308" spans="2:5">
      <c r="B1308" s="51"/>
      <c r="C1308" s="58" t="s">
        <v>193</v>
      </c>
      <c r="D1308" s="58"/>
      <c r="E1308" s="58"/>
    </row>
    <row r="1309" spans="2:5">
      <c r="B1309" s="51"/>
      <c r="C1309" s="58"/>
      <c r="D1309" s="58"/>
      <c r="E1309" s="58"/>
    </row>
    <row r="1310" spans="2:5">
      <c r="B1310" s="48" t="s">
        <v>194</v>
      </c>
      <c r="C1310" s="46"/>
      <c r="D1310" s="46"/>
      <c r="E1310" s="47"/>
    </row>
    <row r="1311" spans="2:5">
      <c r="B1311" s="51"/>
      <c r="C1311" s="54"/>
      <c r="D1311" s="54"/>
      <c r="E1311" s="54"/>
    </row>
    <row r="1312" spans="2:5">
      <c r="B1312" s="48" t="s">
        <v>195</v>
      </c>
      <c r="C1312" s="55"/>
      <c r="D1312" s="55"/>
      <c r="E1312" s="56"/>
    </row>
    <row r="1313" spans="2:5">
      <c r="B1313" s="51"/>
      <c r="C1313" s="54"/>
      <c r="D1313" s="54"/>
      <c r="E1313" s="54"/>
    </row>
    <row r="1314" spans="2:5">
      <c r="B1314" s="48" t="s">
        <v>197</v>
      </c>
      <c r="C1314" s="46"/>
      <c r="D1314" s="46"/>
      <c r="E1314" s="47"/>
    </row>
    <row r="1315" spans="2:5">
      <c r="B1315" s="48"/>
      <c r="C1315" s="58"/>
      <c r="D1315" s="58"/>
      <c r="E1315" s="58"/>
    </row>
    <row r="1316" spans="2:5" ht="13.8" thickBot="1">
      <c r="B1316" s="59"/>
      <c r="C1316" s="60"/>
      <c r="D1316" s="60"/>
      <c r="E1316" s="61"/>
    </row>
    <row r="1317" spans="2:5" ht="13.8" thickBot="1"/>
    <row r="1318" spans="2:5">
      <c r="B1318" s="42" t="s">
        <v>358</v>
      </c>
      <c r="C1318" s="43"/>
      <c r="D1318" s="43"/>
      <c r="E1318" s="44"/>
    </row>
    <row r="1319" spans="2:5">
      <c r="B1319" s="45"/>
      <c r="C1319" s="46"/>
      <c r="D1319" s="46"/>
      <c r="E1319" s="47"/>
    </row>
    <row r="1320" spans="2:5">
      <c r="B1320" s="48" t="s">
        <v>190</v>
      </c>
      <c r="C1320" s="46"/>
      <c r="D1320" s="46"/>
      <c r="E1320" s="47"/>
    </row>
    <row r="1321" spans="2:5">
      <c r="B1321" s="48"/>
      <c r="C1321" s="62" t="s">
        <v>359</v>
      </c>
      <c r="D1321" s="62"/>
      <c r="E1321" s="54"/>
    </row>
    <row r="1322" spans="2:5">
      <c r="B1322" s="48" t="s">
        <v>192</v>
      </c>
      <c r="C1322" s="46"/>
      <c r="D1322" s="46"/>
      <c r="E1322" s="47"/>
    </row>
    <row r="1323" spans="2:5">
      <c r="B1323" s="51"/>
      <c r="C1323" s="58" t="s">
        <v>193</v>
      </c>
      <c r="D1323" s="58"/>
      <c r="E1323" s="58"/>
    </row>
    <row r="1324" spans="2:5">
      <c r="B1324" s="51"/>
      <c r="C1324" s="58"/>
      <c r="D1324" s="58"/>
      <c r="E1324" s="58"/>
    </row>
    <row r="1325" spans="2:5">
      <c r="B1325" s="48" t="s">
        <v>194</v>
      </c>
      <c r="C1325" s="46"/>
      <c r="D1325" s="46"/>
      <c r="E1325" s="47"/>
    </row>
    <row r="1326" spans="2:5">
      <c r="B1326" s="51"/>
      <c r="C1326" s="54"/>
      <c r="D1326" s="54"/>
      <c r="E1326" s="54"/>
    </row>
    <row r="1327" spans="2:5">
      <c r="B1327" s="48" t="s">
        <v>195</v>
      </c>
      <c r="C1327" s="55"/>
      <c r="D1327" s="55"/>
      <c r="E1327" s="56"/>
    </row>
    <row r="1328" spans="2:5">
      <c r="B1328" s="51"/>
      <c r="C1328" s="54"/>
      <c r="D1328" s="54"/>
      <c r="E1328" s="54"/>
    </row>
    <row r="1329" spans="2:5">
      <c r="B1329" s="48" t="s">
        <v>197</v>
      </c>
      <c r="C1329" s="46"/>
      <c r="D1329" s="46"/>
      <c r="E1329" s="47"/>
    </row>
    <row r="1330" spans="2:5">
      <c r="B1330" s="48"/>
      <c r="C1330" s="58"/>
      <c r="D1330" s="58"/>
      <c r="E1330" s="58"/>
    </row>
    <row r="1331" spans="2:5" ht="13.8" thickBot="1">
      <c r="B1331" s="59"/>
      <c r="C1331" s="60"/>
      <c r="D1331" s="60"/>
      <c r="E1331" s="61"/>
    </row>
    <row r="1332" spans="2:5" ht="13.8" thickBot="1"/>
    <row r="1333" spans="2:5">
      <c r="B1333" s="42" t="s">
        <v>360</v>
      </c>
      <c r="C1333" s="43"/>
      <c r="D1333" s="43"/>
      <c r="E1333" s="44"/>
    </row>
    <row r="1334" spans="2:5">
      <c r="B1334" s="45"/>
      <c r="C1334" s="46"/>
      <c r="D1334" s="46"/>
      <c r="E1334" s="47"/>
    </row>
    <row r="1335" spans="2:5">
      <c r="B1335" s="48" t="s">
        <v>190</v>
      </c>
      <c r="C1335" s="46"/>
      <c r="D1335" s="46"/>
      <c r="E1335" s="47"/>
    </row>
    <row r="1336" spans="2:5">
      <c r="B1336" s="48"/>
      <c r="C1336" s="62" t="s">
        <v>361</v>
      </c>
      <c r="D1336" s="62"/>
      <c r="E1336" s="54"/>
    </row>
    <row r="1337" spans="2:5">
      <c r="B1337" s="48" t="s">
        <v>192</v>
      </c>
      <c r="C1337" s="46"/>
      <c r="D1337" s="46"/>
      <c r="E1337" s="47"/>
    </row>
    <row r="1338" spans="2:5">
      <c r="B1338" s="51"/>
      <c r="C1338" s="58" t="s">
        <v>193</v>
      </c>
      <c r="D1338" s="58"/>
      <c r="E1338" s="58"/>
    </row>
    <row r="1339" spans="2:5">
      <c r="B1339" s="51"/>
      <c r="C1339" s="58"/>
      <c r="D1339" s="58"/>
      <c r="E1339" s="58"/>
    </row>
    <row r="1340" spans="2:5">
      <c r="B1340" s="48" t="s">
        <v>194</v>
      </c>
      <c r="C1340" s="46"/>
      <c r="D1340" s="46"/>
      <c r="E1340" s="47"/>
    </row>
    <row r="1341" spans="2:5">
      <c r="B1341" s="51"/>
      <c r="C1341" s="54"/>
      <c r="D1341" s="54"/>
      <c r="E1341" s="54"/>
    </row>
    <row r="1342" spans="2:5">
      <c r="B1342" s="48" t="s">
        <v>195</v>
      </c>
      <c r="C1342" s="55"/>
      <c r="D1342" s="55"/>
      <c r="E1342" s="56"/>
    </row>
    <row r="1343" spans="2:5">
      <c r="B1343" s="51"/>
      <c r="C1343" s="54"/>
      <c r="D1343" s="54"/>
      <c r="E1343" s="54"/>
    </row>
    <row r="1344" spans="2:5">
      <c r="B1344" s="48" t="s">
        <v>197</v>
      </c>
      <c r="C1344" s="46"/>
      <c r="D1344" s="46"/>
      <c r="E1344" s="47"/>
    </row>
    <row r="1345" spans="2:5">
      <c r="B1345" s="48"/>
      <c r="C1345" s="58"/>
      <c r="D1345" s="58"/>
      <c r="E1345" s="58"/>
    </row>
    <row r="1346" spans="2:5" ht="13.8" thickBot="1">
      <c r="B1346" s="59"/>
      <c r="C1346" s="60"/>
      <c r="D1346" s="60"/>
      <c r="E1346" s="61"/>
    </row>
    <row r="1347" spans="2:5" ht="13.8" thickBot="1"/>
    <row r="1348" spans="2:5">
      <c r="B1348" s="42" t="s">
        <v>362</v>
      </c>
      <c r="C1348" s="43"/>
      <c r="D1348" s="43"/>
      <c r="E1348" s="44"/>
    </row>
    <row r="1349" spans="2:5">
      <c r="B1349" s="45"/>
      <c r="C1349" s="46"/>
      <c r="D1349" s="46"/>
      <c r="E1349" s="47"/>
    </row>
    <row r="1350" spans="2:5">
      <c r="B1350" s="48" t="s">
        <v>190</v>
      </c>
      <c r="C1350" s="46"/>
      <c r="D1350" s="46"/>
      <c r="E1350" s="47"/>
    </row>
    <row r="1351" spans="2:5">
      <c r="B1351" s="48"/>
      <c r="C1351" s="62" t="s">
        <v>363</v>
      </c>
      <c r="D1351" s="62"/>
      <c r="E1351" s="54"/>
    </row>
    <row r="1352" spans="2:5">
      <c r="B1352" s="48" t="s">
        <v>192</v>
      </c>
      <c r="C1352" s="46"/>
      <c r="D1352" s="46"/>
      <c r="E1352" s="47"/>
    </row>
    <row r="1353" spans="2:5">
      <c r="B1353" s="51"/>
      <c r="C1353" s="58" t="s">
        <v>193</v>
      </c>
      <c r="D1353" s="58"/>
      <c r="E1353" s="58"/>
    </row>
    <row r="1354" spans="2:5">
      <c r="B1354" s="51"/>
      <c r="C1354" s="58"/>
      <c r="D1354" s="58"/>
      <c r="E1354" s="58"/>
    </row>
    <row r="1355" spans="2:5">
      <c r="B1355" s="48" t="s">
        <v>194</v>
      </c>
      <c r="C1355" s="46"/>
      <c r="D1355" s="46"/>
      <c r="E1355" s="47"/>
    </row>
    <row r="1356" spans="2:5">
      <c r="B1356" s="51"/>
      <c r="C1356" s="54"/>
      <c r="D1356" s="54"/>
      <c r="E1356" s="54"/>
    </row>
    <row r="1357" spans="2:5">
      <c r="B1357" s="48" t="s">
        <v>195</v>
      </c>
      <c r="C1357" s="55"/>
      <c r="D1357" s="55"/>
      <c r="E1357" s="56"/>
    </row>
    <row r="1358" spans="2:5">
      <c r="B1358" s="51"/>
      <c r="C1358" s="54"/>
      <c r="D1358" s="54"/>
      <c r="E1358" s="54"/>
    </row>
    <row r="1359" spans="2:5">
      <c r="B1359" s="48" t="s">
        <v>197</v>
      </c>
      <c r="C1359" s="46"/>
      <c r="D1359" s="46"/>
      <c r="E1359" s="47"/>
    </row>
    <row r="1360" spans="2:5">
      <c r="B1360" s="48"/>
      <c r="C1360" s="58"/>
      <c r="D1360" s="58"/>
      <c r="E1360" s="58"/>
    </row>
    <row r="1361" spans="2:5" ht="13.8" thickBot="1">
      <c r="B1361" s="59"/>
      <c r="C1361" s="60"/>
      <c r="D1361" s="60"/>
      <c r="E1361" s="61"/>
    </row>
    <row r="1362" spans="2:5" ht="13.8" thickBot="1"/>
    <row r="1363" spans="2:5">
      <c r="B1363" s="42" t="s">
        <v>364</v>
      </c>
      <c r="C1363" s="43"/>
      <c r="D1363" s="43"/>
      <c r="E1363" s="44"/>
    </row>
    <row r="1364" spans="2:5">
      <c r="B1364" s="45"/>
      <c r="C1364" s="46"/>
      <c r="D1364" s="46"/>
      <c r="E1364" s="47"/>
    </row>
    <row r="1365" spans="2:5">
      <c r="B1365" s="48" t="s">
        <v>190</v>
      </c>
      <c r="C1365" s="46"/>
      <c r="D1365" s="46"/>
      <c r="E1365" s="47"/>
    </row>
    <row r="1366" spans="2:5">
      <c r="B1366" s="48"/>
      <c r="C1366" s="62" t="s">
        <v>365</v>
      </c>
      <c r="D1366" s="62"/>
      <c r="E1366" s="54"/>
    </row>
    <row r="1367" spans="2:5">
      <c r="B1367" s="48" t="s">
        <v>192</v>
      </c>
      <c r="C1367" s="46"/>
      <c r="D1367" s="46"/>
      <c r="E1367" s="47"/>
    </row>
    <row r="1368" spans="2:5">
      <c r="B1368" s="51"/>
      <c r="C1368" s="58" t="s">
        <v>193</v>
      </c>
      <c r="D1368" s="58"/>
      <c r="E1368" s="58"/>
    </row>
    <row r="1369" spans="2:5">
      <c r="B1369" s="51"/>
      <c r="C1369" s="58"/>
      <c r="D1369" s="58"/>
      <c r="E1369" s="58"/>
    </row>
    <row r="1370" spans="2:5">
      <c r="B1370" s="48" t="s">
        <v>194</v>
      </c>
      <c r="C1370" s="46"/>
      <c r="D1370" s="46"/>
      <c r="E1370" s="47"/>
    </row>
    <row r="1371" spans="2:5">
      <c r="B1371" s="51"/>
      <c r="C1371" s="54"/>
      <c r="D1371" s="54"/>
      <c r="E1371" s="54"/>
    </row>
    <row r="1372" spans="2:5">
      <c r="B1372" s="48" t="s">
        <v>195</v>
      </c>
      <c r="C1372" s="55"/>
      <c r="D1372" s="55"/>
      <c r="E1372" s="56"/>
    </row>
    <row r="1373" spans="2:5">
      <c r="B1373" s="51"/>
      <c r="C1373" s="54"/>
      <c r="D1373" s="54"/>
      <c r="E1373" s="54"/>
    </row>
    <row r="1374" spans="2:5">
      <c r="B1374" s="48" t="s">
        <v>197</v>
      </c>
      <c r="C1374" s="46"/>
      <c r="D1374" s="46"/>
      <c r="E1374" s="47"/>
    </row>
    <row r="1375" spans="2:5">
      <c r="B1375" s="48"/>
      <c r="C1375" s="58"/>
      <c r="D1375" s="58"/>
      <c r="E1375" s="58"/>
    </row>
    <row r="1376" spans="2:5" ht="13.8" thickBot="1">
      <c r="B1376" s="59"/>
      <c r="C1376" s="60"/>
      <c r="D1376" s="60"/>
      <c r="E1376" s="61"/>
    </row>
    <row r="1377" spans="2:5" ht="13.8" thickBot="1"/>
    <row r="1378" spans="2:5">
      <c r="B1378" s="42" t="s">
        <v>366</v>
      </c>
      <c r="C1378" s="43"/>
      <c r="D1378" s="43"/>
      <c r="E1378" s="44"/>
    </row>
    <row r="1379" spans="2:5">
      <c r="B1379" s="45"/>
      <c r="C1379" s="46"/>
      <c r="D1379" s="46"/>
      <c r="E1379" s="47"/>
    </row>
    <row r="1380" spans="2:5">
      <c r="B1380" s="48" t="s">
        <v>190</v>
      </c>
      <c r="C1380" s="46"/>
      <c r="D1380" s="46"/>
      <c r="E1380" s="47"/>
    </row>
    <row r="1381" spans="2:5">
      <c r="B1381" s="48"/>
      <c r="C1381" s="62" t="s">
        <v>367</v>
      </c>
      <c r="D1381" s="62"/>
      <c r="E1381" s="54"/>
    </row>
    <row r="1382" spans="2:5">
      <c r="B1382" s="48" t="s">
        <v>192</v>
      </c>
      <c r="C1382" s="46"/>
      <c r="D1382" s="46"/>
      <c r="E1382" s="47"/>
    </row>
    <row r="1383" spans="2:5">
      <c r="B1383" s="51"/>
      <c r="C1383" s="58" t="s">
        <v>193</v>
      </c>
      <c r="D1383" s="58"/>
      <c r="E1383" s="58"/>
    </row>
    <row r="1384" spans="2:5">
      <c r="B1384" s="51"/>
      <c r="C1384" s="58"/>
      <c r="D1384" s="58"/>
      <c r="E1384" s="58"/>
    </row>
    <row r="1385" spans="2:5">
      <c r="B1385" s="48" t="s">
        <v>194</v>
      </c>
      <c r="C1385" s="46"/>
      <c r="D1385" s="46"/>
      <c r="E1385" s="47"/>
    </row>
    <row r="1386" spans="2:5">
      <c r="B1386" s="51"/>
      <c r="C1386" s="54"/>
      <c r="D1386" s="54"/>
      <c r="E1386" s="54"/>
    </row>
    <row r="1387" spans="2:5">
      <c r="B1387" s="48" t="s">
        <v>195</v>
      </c>
      <c r="C1387" s="55"/>
      <c r="D1387" s="55"/>
      <c r="E1387" s="56"/>
    </row>
    <row r="1388" spans="2:5">
      <c r="B1388" s="51"/>
      <c r="C1388" s="54"/>
      <c r="D1388" s="54"/>
      <c r="E1388" s="54"/>
    </row>
    <row r="1389" spans="2:5">
      <c r="B1389" s="48" t="s">
        <v>197</v>
      </c>
      <c r="C1389" s="46"/>
      <c r="D1389" s="46"/>
      <c r="E1389" s="47"/>
    </row>
    <row r="1390" spans="2:5">
      <c r="B1390" s="48"/>
      <c r="C1390" s="58"/>
      <c r="D1390" s="58"/>
      <c r="E1390" s="58"/>
    </row>
    <row r="1391" spans="2:5" ht="13.8" thickBot="1">
      <c r="B1391" s="59"/>
      <c r="C1391" s="60"/>
      <c r="D1391" s="60"/>
      <c r="E1391" s="61"/>
    </row>
    <row r="1392" spans="2:5" ht="13.8" thickBot="1"/>
    <row r="1393" spans="2:5">
      <c r="B1393" s="42" t="s">
        <v>368</v>
      </c>
      <c r="C1393" s="43"/>
      <c r="D1393" s="43"/>
      <c r="E1393" s="44"/>
    </row>
    <row r="1394" spans="2:5">
      <c r="B1394" s="45"/>
      <c r="C1394" s="46"/>
      <c r="D1394" s="46"/>
      <c r="E1394" s="47"/>
    </row>
    <row r="1395" spans="2:5">
      <c r="B1395" s="48" t="s">
        <v>190</v>
      </c>
      <c r="C1395" s="46"/>
      <c r="D1395" s="46"/>
      <c r="E1395" s="47"/>
    </row>
    <row r="1396" spans="2:5">
      <c r="B1396" s="48"/>
      <c r="C1396" s="62" t="s">
        <v>369</v>
      </c>
      <c r="D1396" s="62"/>
      <c r="E1396" s="54"/>
    </row>
    <row r="1397" spans="2:5">
      <c r="B1397" s="48" t="s">
        <v>192</v>
      </c>
      <c r="C1397" s="46"/>
      <c r="D1397" s="46"/>
      <c r="E1397" s="47"/>
    </row>
    <row r="1398" spans="2:5">
      <c r="B1398" s="51"/>
      <c r="C1398" s="58" t="s">
        <v>193</v>
      </c>
      <c r="D1398" s="58"/>
      <c r="E1398" s="58"/>
    </row>
    <row r="1399" spans="2:5">
      <c r="B1399" s="51"/>
      <c r="C1399" s="58"/>
      <c r="D1399" s="58"/>
      <c r="E1399" s="58"/>
    </row>
    <row r="1400" spans="2:5">
      <c r="B1400" s="48" t="s">
        <v>194</v>
      </c>
      <c r="C1400" s="46"/>
      <c r="D1400" s="46"/>
      <c r="E1400" s="47"/>
    </row>
    <row r="1401" spans="2:5">
      <c r="B1401" s="51"/>
      <c r="C1401" s="54"/>
      <c r="D1401" s="54"/>
      <c r="E1401" s="54"/>
    </row>
    <row r="1402" spans="2:5">
      <c r="B1402" s="48" t="s">
        <v>195</v>
      </c>
      <c r="C1402" s="55"/>
      <c r="D1402" s="55"/>
      <c r="E1402" s="56"/>
    </row>
    <row r="1403" spans="2:5">
      <c r="B1403" s="51"/>
      <c r="C1403" s="54"/>
      <c r="D1403" s="54"/>
      <c r="E1403" s="54"/>
    </row>
    <row r="1404" spans="2:5">
      <c r="B1404" s="48" t="s">
        <v>197</v>
      </c>
      <c r="C1404" s="46"/>
      <c r="D1404" s="46"/>
      <c r="E1404" s="47"/>
    </row>
    <row r="1405" spans="2:5">
      <c r="B1405" s="48"/>
      <c r="C1405" s="58"/>
      <c r="D1405" s="58"/>
      <c r="E1405" s="58"/>
    </row>
    <row r="1406" spans="2:5" ht="13.8" thickBot="1">
      <c r="B1406" s="59"/>
      <c r="C1406" s="60"/>
      <c r="D1406" s="60"/>
      <c r="E1406" s="61"/>
    </row>
    <row r="1407" spans="2:5" ht="13.8" thickBot="1"/>
    <row r="1408" spans="2:5">
      <c r="B1408" s="42" t="s">
        <v>370</v>
      </c>
      <c r="C1408" s="43"/>
      <c r="D1408" s="43"/>
      <c r="E1408" s="44"/>
    </row>
    <row r="1409" spans="2:5">
      <c r="B1409" s="45"/>
      <c r="C1409" s="46"/>
      <c r="D1409" s="46"/>
      <c r="E1409" s="47"/>
    </row>
    <row r="1410" spans="2:5">
      <c r="B1410" s="48" t="s">
        <v>190</v>
      </c>
      <c r="C1410" s="46"/>
      <c r="D1410" s="46"/>
      <c r="E1410" s="47"/>
    </row>
    <row r="1411" spans="2:5">
      <c r="B1411" s="48"/>
      <c r="C1411" s="62" t="s">
        <v>371</v>
      </c>
      <c r="D1411" s="62"/>
      <c r="E1411" s="54"/>
    </row>
    <row r="1412" spans="2:5">
      <c r="B1412" s="48" t="s">
        <v>192</v>
      </c>
      <c r="C1412" s="46"/>
      <c r="D1412" s="46"/>
      <c r="E1412" s="47"/>
    </row>
    <row r="1413" spans="2:5">
      <c r="B1413" s="51"/>
      <c r="C1413" s="58" t="s">
        <v>193</v>
      </c>
      <c r="D1413" s="58"/>
      <c r="E1413" s="58"/>
    </row>
    <row r="1414" spans="2:5">
      <c r="B1414" s="51"/>
      <c r="C1414" s="58"/>
      <c r="D1414" s="58"/>
      <c r="E1414" s="58"/>
    </row>
    <row r="1415" spans="2:5">
      <c r="B1415" s="48" t="s">
        <v>194</v>
      </c>
      <c r="C1415" s="46"/>
      <c r="D1415" s="46"/>
      <c r="E1415" s="47"/>
    </row>
    <row r="1416" spans="2:5">
      <c r="B1416" s="51"/>
      <c r="C1416" s="54"/>
      <c r="D1416" s="54"/>
      <c r="E1416" s="54"/>
    </row>
    <row r="1417" spans="2:5">
      <c r="B1417" s="48" t="s">
        <v>195</v>
      </c>
      <c r="C1417" s="55"/>
      <c r="D1417" s="55"/>
      <c r="E1417" s="56"/>
    </row>
    <row r="1418" spans="2:5">
      <c r="B1418" s="51"/>
      <c r="C1418" s="54"/>
      <c r="D1418" s="54"/>
      <c r="E1418" s="54"/>
    </row>
    <row r="1419" spans="2:5">
      <c r="B1419" s="48" t="s">
        <v>197</v>
      </c>
      <c r="C1419" s="46"/>
      <c r="D1419" s="46"/>
      <c r="E1419" s="47"/>
    </row>
    <row r="1420" spans="2:5">
      <c r="B1420" s="48"/>
      <c r="C1420" s="58"/>
      <c r="D1420" s="58"/>
      <c r="E1420" s="58"/>
    </row>
    <row r="1421" spans="2:5" ht="13.8" thickBot="1">
      <c r="B1421" s="59"/>
      <c r="C1421" s="60"/>
      <c r="D1421" s="60"/>
      <c r="E1421" s="61"/>
    </row>
    <row r="1422" spans="2:5" ht="13.8" thickBot="1"/>
    <row r="1423" spans="2:5">
      <c r="B1423" s="42" t="s">
        <v>372</v>
      </c>
      <c r="C1423" s="43"/>
      <c r="D1423" s="43"/>
      <c r="E1423" s="44"/>
    </row>
    <row r="1424" spans="2:5">
      <c r="B1424" s="45"/>
      <c r="C1424" s="46"/>
      <c r="D1424" s="46"/>
      <c r="E1424" s="47"/>
    </row>
    <row r="1425" spans="2:5">
      <c r="B1425" s="48" t="s">
        <v>190</v>
      </c>
      <c r="C1425" s="46"/>
      <c r="D1425" s="46"/>
      <c r="E1425" s="47"/>
    </row>
    <row r="1426" spans="2:5">
      <c r="B1426" s="48"/>
      <c r="C1426" s="62" t="s">
        <v>373</v>
      </c>
      <c r="D1426" s="62"/>
      <c r="E1426" s="54"/>
    </row>
    <row r="1427" spans="2:5">
      <c r="B1427" s="48" t="s">
        <v>192</v>
      </c>
      <c r="C1427" s="46"/>
      <c r="D1427" s="46"/>
      <c r="E1427" s="47"/>
    </row>
    <row r="1428" spans="2:5">
      <c r="B1428" s="51"/>
      <c r="C1428" s="58" t="s">
        <v>193</v>
      </c>
      <c r="D1428" s="58"/>
      <c r="E1428" s="58"/>
    </row>
    <row r="1429" spans="2:5">
      <c r="B1429" s="51"/>
      <c r="C1429" s="58"/>
      <c r="D1429" s="58"/>
      <c r="E1429" s="58"/>
    </row>
    <row r="1430" spans="2:5">
      <c r="B1430" s="48" t="s">
        <v>194</v>
      </c>
      <c r="C1430" s="46"/>
      <c r="D1430" s="46"/>
      <c r="E1430" s="47"/>
    </row>
    <row r="1431" spans="2:5">
      <c r="B1431" s="51"/>
      <c r="C1431" s="54"/>
      <c r="D1431" s="54"/>
      <c r="E1431" s="54"/>
    </row>
    <row r="1432" spans="2:5">
      <c r="B1432" s="48" t="s">
        <v>195</v>
      </c>
      <c r="C1432" s="55"/>
      <c r="D1432" s="55"/>
      <c r="E1432" s="56"/>
    </row>
    <row r="1433" spans="2:5">
      <c r="B1433" s="51"/>
      <c r="C1433" s="54"/>
      <c r="D1433" s="54"/>
      <c r="E1433" s="54"/>
    </row>
    <row r="1434" spans="2:5">
      <c r="B1434" s="48" t="s">
        <v>197</v>
      </c>
      <c r="C1434" s="46"/>
      <c r="D1434" s="46"/>
      <c r="E1434" s="47"/>
    </row>
    <row r="1435" spans="2:5">
      <c r="B1435" s="48"/>
      <c r="C1435" s="58"/>
      <c r="D1435" s="58"/>
      <c r="E1435" s="58"/>
    </row>
    <row r="1436" spans="2:5" ht="13.8" thickBot="1">
      <c r="B1436" s="59"/>
      <c r="C1436" s="60"/>
      <c r="D1436" s="60"/>
      <c r="E1436" s="61"/>
    </row>
    <row r="1437" spans="2:5" ht="13.8" thickBot="1"/>
    <row r="1438" spans="2:5">
      <c r="B1438" s="42" t="s">
        <v>374</v>
      </c>
      <c r="C1438" s="43"/>
      <c r="D1438" s="43"/>
      <c r="E1438" s="44"/>
    </row>
    <row r="1439" spans="2:5">
      <c r="B1439" s="45"/>
      <c r="C1439" s="46"/>
      <c r="D1439" s="46"/>
      <c r="E1439" s="47"/>
    </row>
    <row r="1440" spans="2:5">
      <c r="B1440" s="48" t="s">
        <v>190</v>
      </c>
      <c r="C1440" s="46"/>
      <c r="D1440" s="46"/>
      <c r="E1440" s="47"/>
    </row>
    <row r="1441" spans="2:5">
      <c r="B1441" s="48"/>
      <c r="C1441" s="62" t="s">
        <v>375</v>
      </c>
      <c r="D1441" s="62"/>
      <c r="E1441" s="54"/>
    </row>
    <row r="1442" spans="2:5">
      <c r="B1442" s="48" t="s">
        <v>192</v>
      </c>
      <c r="C1442" s="46"/>
      <c r="D1442" s="46"/>
      <c r="E1442" s="47"/>
    </row>
    <row r="1443" spans="2:5">
      <c r="B1443" s="51"/>
      <c r="C1443" s="58" t="s">
        <v>193</v>
      </c>
      <c r="D1443" s="58"/>
      <c r="E1443" s="58"/>
    </row>
    <row r="1444" spans="2:5">
      <c r="B1444" s="51"/>
      <c r="C1444" s="58"/>
      <c r="D1444" s="58"/>
      <c r="E1444" s="58"/>
    </row>
    <row r="1445" spans="2:5">
      <c r="B1445" s="48" t="s">
        <v>194</v>
      </c>
      <c r="C1445" s="46"/>
      <c r="D1445" s="46"/>
      <c r="E1445" s="47"/>
    </row>
    <row r="1446" spans="2:5">
      <c r="B1446" s="51"/>
      <c r="C1446" s="54"/>
      <c r="D1446" s="54"/>
      <c r="E1446" s="54"/>
    </row>
    <row r="1447" spans="2:5">
      <c r="B1447" s="48" t="s">
        <v>195</v>
      </c>
      <c r="C1447" s="55"/>
      <c r="D1447" s="55"/>
      <c r="E1447" s="56"/>
    </row>
    <row r="1448" spans="2:5">
      <c r="B1448" s="51"/>
      <c r="C1448" s="54"/>
      <c r="D1448" s="54"/>
      <c r="E1448" s="54"/>
    </row>
    <row r="1449" spans="2:5">
      <c r="B1449" s="48" t="s">
        <v>197</v>
      </c>
      <c r="C1449" s="46"/>
      <c r="D1449" s="46"/>
      <c r="E1449" s="47"/>
    </row>
    <row r="1450" spans="2:5">
      <c r="B1450" s="48"/>
      <c r="C1450" s="58"/>
      <c r="D1450" s="58"/>
      <c r="E1450" s="58"/>
    </row>
    <row r="1451" spans="2:5" ht="13.8" thickBot="1">
      <c r="B1451" s="59"/>
      <c r="C1451" s="60"/>
      <c r="D1451" s="60"/>
      <c r="E1451" s="61"/>
    </row>
    <row r="1452" spans="2:5" ht="13.8" thickBot="1"/>
    <row r="1453" spans="2:5">
      <c r="B1453" s="42" t="s">
        <v>376</v>
      </c>
      <c r="C1453" s="43"/>
      <c r="D1453" s="43"/>
      <c r="E1453" s="44"/>
    </row>
    <row r="1454" spans="2:5">
      <c r="B1454" s="45"/>
      <c r="C1454" s="46"/>
      <c r="D1454" s="46"/>
      <c r="E1454" s="47"/>
    </row>
    <row r="1455" spans="2:5">
      <c r="B1455" s="48" t="s">
        <v>190</v>
      </c>
      <c r="C1455" s="46"/>
      <c r="D1455" s="46"/>
      <c r="E1455" s="47"/>
    </row>
    <row r="1456" spans="2:5">
      <c r="B1456" s="48"/>
      <c r="C1456" s="62" t="s">
        <v>377</v>
      </c>
      <c r="D1456" s="62"/>
      <c r="E1456" s="54"/>
    </row>
    <row r="1457" spans="2:5">
      <c r="B1457" s="48" t="s">
        <v>192</v>
      </c>
      <c r="C1457" s="46"/>
      <c r="D1457" s="46"/>
      <c r="E1457" s="47"/>
    </row>
    <row r="1458" spans="2:5">
      <c r="B1458" s="51"/>
      <c r="C1458" s="58" t="s">
        <v>193</v>
      </c>
      <c r="D1458" s="58"/>
      <c r="E1458" s="58"/>
    </row>
    <row r="1459" spans="2:5">
      <c r="B1459" s="51"/>
      <c r="C1459" s="58"/>
      <c r="D1459" s="58"/>
      <c r="E1459" s="58"/>
    </row>
    <row r="1460" spans="2:5">
      <c r="B1460" s="48" t="s">
        <v>194</v>
      </c>
      <c r="C1460" s="46"/>
      <c r="D1460" s="46"/>
      <c r="E1460" s="47"/>
    </row>
    <row r="1461" spans="2:5">
      <c r="B1461" s="51"/>
      <c r="C1461" s="54"/>
      <c r="D1461" s="54"/>
      <c r="E1461" s="54"/>
    </row>
    <row r="1462" spans="2:5">
      <c r="B1462" s="48" t="s">
        <v>195</v>
      </c>
      <c r="C1462" s="55"/>
      <c r="D1462" s="55"/>
      <c r="E1462" s="56"/>
    </row>
    <row r="1463" spans="2:5">
      <c r="B1463" s="51"/>
      <c r="C1463" s="54"/>
      <c r="D1463" s="54"/>
      <c r="E1463" s="54"/>
    </row>
    <row r="1464" spans="2:5">
      <c r="B1464" s="48" t="s">
        <v>197</v>
      </c>
      <c r="C1464" s="46"/>
      <c r="D1464" s="46"/>
      <c r="E1464" s="47"/>
    </row>
    <row r="1465" spans="2:5">
      <c r="B1465" s="48"/>
      <c r="C1465" s="58"/>
      <c r="D1465" s="58"/>
      <c r="E1465" s="58"/>
    </row>
    <row r="1466" spans="2:5" ht="13.8" thickBot="1">
      <c r="B1466" s="59"/>
      <c r="C1466" s="60"/>
      <c r="D1466" s="60"/>
      <c r="E1466" s="61"/>
    </row>
  </sheetData>
  <mergeCells count="553">
    <mergeCell ref="C1465:E1465"/>
    <mergeCell ref="C1450:E1450"/>
    <mergeCell ref="C1456:E1456"/>
    <mergeCell ref="C1458:E1458"/>
    <mergeCell ref="C1459:E1459"/>
    <mergeCell ref="C1461:E1461"/>
    <mergeCell ref="C1463:E1463"/>
    <mergeCell ref="C1435:E1435"/>
    <mergeCell ref="C1441:E1441"/>
    <mergeCell ref="C1443:E1443"/>
    <mergeCell ref="C1444:E1444"/>
    <mergeCell ref="C1446:E1446"/>
    <mergeCell ref="C1448:E1448"/>
    <mergeCell ref="C1420:E1420"/>
    <mergeCell ref="C1426:E1426"/>
    <mergeCell ref="C1428:E1428"/>
    <mergeCell ref="C1429:E1429"/>
    <mergeCell ref="C1431:E1431"/>
    <mergeCell ref="C1433:E1433"/>
    <mergeCell ref="C1405:E1405"/>
    <mergeCell ref="C1411:E1411"/>
    <mergeCell ref="C1413:E1413"/>
    <mergeCell ref="C1414:E1414"/>
    <mergeCell ref="C1416:E1416"/>
    <mergeCell ref="C1418:E1418"/>
    <mergeCell ref="C1390:E1390"/>
    <mergeCell ref="C1396:E1396"/>
    <mergeCell ref="C1398:E1398"/>
    <mergeCell ref="C1399:E1399"/>
    <mergeCell ref="C1401:E1401"/>
    <mergeCell ref="C1403:E1403"/>
    <mergeCell ref="C1375:E1375"/>
    <mergeCell ref="C1381:E1381"/>
    <mergeCell ref="C1383:E1383"/>
    <mergeCell ref="C1384:E1384"/>
    <mergeCell ref="C1386:E1386"/>
    <mergeCell ref="C1388:E1388"/>
    <mergeCell ref="C1360:E1360"/>
    <mergeCell ref="C1366:E1366"/>
    <mergeCell ref="C1368:E1368"/>
    <mergeCell ref="C1369:E1369"/>
    <mergeCell ref="C1371:E1371"/>
    <mergeCell ref="C1373:E1373"/>
    <mergeCell ref="C1345:E1345"/>
    <mergeCell ref="C1351:E1351"/>
    <mergeCell ref="C1353:E1353"/>
    <mergeCell ref="C1354:E1354"/>
    <mergeCell ref="C1356:E1356"/>
    <mergeCell ref="C1358:E1358"/>
    <mergeCell ref="C1330:E1330"/>
    <mergeCell ref="C1336:E1336"/>
    <mergeCell ref="C1338:E1338"/>
    <mergeCell ref="C1339:E1339"/>
    <mergeCell ref="C1341:E1341"/>
    <mergeCell ref="C1343:E1343"/>
    <mergeCell ref="C1315:E1315"/>
    <mergeCell ref="C1321:E1321"/>
    <mergeCell ref="C1323:E1323"/>
    <mergeCell ref="C1324:E1324"/>
    <mergeCell ref="C1326:E1326"/>
    <mergeCell ref="C1328:E1328"/>
    <mergeCell ref="C1300:E1300"/>
    <mergeCell ref="C1306:E1306"/>
    <mergeCell ref="C1308:E1308"/>
    <mergeCell ref="C1309:E1309"/>
    <mergeCell ref="C1311:E1311"/>
    <mergeCell ref="C1313:E1313"/>
    <mergeCell ref="C1285:E1285"/>
    <mergeCell ref="C1291:E1291"/>
    <mergeCell ref="C1293:E1293"/>
    <mergeCell ref="C1294:E1294"/>
    <mergeCell ref="C1296:E1296"/>
    <mergeCell ref="C1298:E1298"/>
    <mergeCell ref="C1270:E1270"/>
    <mergeCell ref="C1276:E1276"/>
    <mergeCell ref="C1278:E1278"/>
    <mergeCell ref="C1279:E1279"/>
    <mergeCell ref="C1281:E1281"/>
    <mergeCell ref="C1283:E1283"/>
    <mergeCell ref="C1255:E1255"/>
    <mergeCell ref="C1261:E1261"/>
    <mergeCell ref="C1263:E1263"/>
    <mergeCell ref="C1264:E1264"/>
    <mergeCell ref="C1266:E1266"/>
    <mergeCell ref="C1268:E1268"/>
    <mergeCell ref="C1240:E1240"/>
    <mergeCell ref="C1246:E1246"/>
    <mergeCell ref="C1248:E1248"/>
    <mergeCell ref="C1249:E1249"/>
    <mergeCell ref="C1251:E1251"/>
    <mergeCell ref="C1253:E1253"/>
    <mergeCell ref="C1225:E1225"/>
    <mergeCell ref="C1231:E1231"/>
    <mergeCell ref="C1233:E1233"/>
    <mergeCell ref="C1234:E1234"/>
    <mergeCell ref="C1236:E1236"/>
    <mergeCell ref="C1238:E1238"/>
    <mergeCell ref="C1210:E1210"/>
    <mergeCell ref="C1216:E1216"/>
    <mergeCell ref="C1218:E1218"/>
    <mergeCell ref="C1219:E1219"/>
    <mergeCell ref="C1221:E1221"/>
    <mergeCell ref="C1223:E1223"/>
    <mergeCell ref="C1195:E1195"/>
    <mergeCell ref="C1201:E1201"/>
    <mergeCell ref="C1203:E1203"/>
    <mergeCell ref="C1204:E1204"/>
    <mergeCell ref="C1206:E1206"/>
    <mergeCell ref="C1208:E1208"/>
    <mergeCell ref="C1180:E1180"/>
    <mergeCell ref="C1186:E1186"/>
    <mergeCell ref="C1188:E1188"/>
    <mergeCell ref="C1189:E1189"/>
    <mergeCell ref="C1191:E1191"/>
    <mergeCell ref="C1193:E1193"/>
    <mergeCell ref="C1165:E1165"/>
    <mergeCell ref="C1171:E1171"/>
    <mergeCell ref="C1173:E1173"/>
    <mergeCell ref="C1174:E1174"/>
    <mergeCell ref="C1176:E1176"/>
    <mergeCell ref="C1178:E1178"/>
    <mergeCell ref="C1150:E1150"/>
    <mergeCell ref="C1156:E1156"/>
    <mergeCell ref="C1158:E1158"/>
    <mergeCell ref="C1159:E1159"/>
    <mergeCell ref="C1161:E1161"/>
    <mergeCell ref="C1163:E1163"/>
    <mergeCell ref="C1135:E1135"/>
    <mergeCell ref="C1141:E1141"/>
    <mergeCell ref="C1143:E1143"/>
    <mergeCell ref="C1144:E1144"/>
    <mergeCell ref="C1146:E1146"/>
    <mergeCell ref="C1148:E1148"/>
    <mergeCell ref="C1120:E1120"/>
    <mergeCell ref="C1126:E1126"/>
    <mergeCell ref="C1128:E1128"/>
    <mergeCell ref="C1129:E1129"/>
    <mergeCell ref="C1131:E1131"/>
    <mergeCell ref="C1133:E1133"/>
    <mergeCell ref="C1105:E1105"/>
    <mergeCell ref="C1111:E1111"/>
    <mergeCell ref="C1113:E1113"/>
    <mergeCell ref="C1114:E1114"/>
    <mergeCell ref="C1116:E1116"/>
    <mergeCell ref="C1118:E1118"/>
    <mergeCell ref="C1090:E1090"/>
    <mergeCell ref="C1096:E1096"/>
    <mergeCell ref="C1098:E1098"/>
    <mergeCell ref="C1099:E1099"/>
    <mergeCell ref="C1101:E1101"/>
    <mergeCell ref="C1103:E1103"/>
    <mergeCell ref="C1075:E1075"/>
    <mergeCell ref="C1081:E1081"/>
    <mergeCell ref="C1083:E1083"/>
    <mergeCell ref="C1084:E1084"/>
    <mergeCell ref="C1086:E1086"/>
    <mergeCell ref="C1088:E1088"/>
    <mergeCell ref="C1060:E1060"/>
    <mergeCell ref="C1066:E1066"/>
    <mergeCell ref="C1068:E1068"/>
    <mergeCell ref="C1069:E1069"/>
    <mergeCell ref="C1071:E1071"/>
    <mergeCell ref="C1073:E1073"/>
    <mergeCell ref="C1045:E1045"/>
    <mergeCell ref="C1051:E1051"/>
    <mergeCell ref="C1053:E1053"/>
    <mergeCell ref="C1054:E1054"/>
    <mergeCell ref="C1056:E1056"/>
    <mergeCell ref="C1058:E1058"/>
    <mergeCell ref="C1030:E1030"/>
    <mergeCell ref="C1036:E1036"/>
    <mergeCell ref="C1038:E1038"/>
    <mergeCell ref="C1039:E1039"/>
    <mergeCell ref="C1041:E1041"/>
    <mergeCell ref="C1043:E1043"/>
    <mergeCell ref="C1015:E1015"/>
    <mergeCell ref="C1021:E1021"/>
    <mergeCell ref="C1023:E1023"/>
    <mergeCell ref="C1024:E1024"/>
    <mergeCell ref="C1026:E1026"/>
    <mergeCell ref="C1028:E1028"/>
    <mergeCell ref="C1000:E1000"/>
    <mergeCell ref="C1006:E1006"/>
    <mergeCell ref="C1008:E1008"/>
    <mergeCell ref="C1009:E1009"/>
    <mergeCell ref="C1011:E1011"/>
    <mergeCell ref="C1013:E1013"/>
    <mergeCell ref="C985:E985"/>
    <mergeCell ref="C991:E991"/>
    <mergeCell ref="C993:E993"/>
    <mergeCell ref="C994:E994"/>
    <mergeCell ref="C996:E996"/>
    <mergeCell ref="C998:E998"/>
    <mergeCell ref="C970:E970"/>
    <mergeCell ref="C976:E976"/>
    <mergeCell ref="C978:E978"/>
    <mergeCell ref="C979:E979"/>
    <mergeCell ref="C981:E981"/>
    <mergeCell ref="C983:E983"/>
    <mergeCell ref="C955:E955"/>
    <mergeCell ref="C961:E961"/>
    <mergeCell ref="C963:E963"/>
    <mergeCell ref="C964:E964"/>
    <mergeCell ref="C966:E966"/>
    <mergeCell ref="C968:E968"/>
    <mergeCell ref="C940:E940"/>
    <mergeCell ref="C946:E946"/>
    <mergeCell ref="C948:E948"/>
    <mergeCell ref="C949:E949"/>
    <mergeCell ref="C951:E951"/>
    <mergeCell ref="C953:E953"/>
    <mergeCell ref="C925:E925"/>
    <mergeCell ref="C931:E931"/>
    <mergeCell ref="C933:E933"/>
    <mergeCell ref="C934:E934"/>
    <mergeCell ref="C936:E936"/>
    <mergeCell ref="C938:E938"/>
    <mergeCell ref="C910:E910"/>
    <mergeCell ref="C916:E916"/>
    <mergeCell ref="C918:E918"/>
    <mergeCell ref="C919:E919"/>
    <mergeCell ref="C921:E921"/>
    <mergeCell ref="C923:E923"/>
    <mergeCell ref="C895:E895"/>
    <mergeCell ref="C901:E901"/>
    <mergeCell ref="C903:E903"/>
    <mergeCell ref="C904:E904"/>
    <mergeCell ref="C906:E906"/>
    <mergeCell ref="C908:E908"/>
    <mergeCell ref="C880:E880"/>
    <mergeCell ref="C886:E886"/>
    <mergeCell ref="C888:E888"/>
    <mergeCell ref="C889:E889"/>
    <mergeCell ref="C891:E891"/>
    <mergeCell ref="C893:E893"/>
    <mergeCell ref="C865:E865"/>
    <mergeCell ref="C871:E871"/>
    <mergeCell ref="C873:E873"/>
    <mergeCell ref="C874:E874"/>
    <mergeCell ref="C876:E876"/>
    <mergeCell ref="C878:E878"/>
    <mergeCell ref="C850:E850"/>
    <mergeCell ref="C856:E856"/>
    <mergeCell ref="C858:E858"/>
    <mergeCell ref="C859:E859"/>
    <mergeCell ref="C861:E861"/>
    <mergeCell ref="C863:E863"/>
    <mergeCell ref="C835:E835"/>
    <mergeCell ref="C841:E841"/>
    <mergeCell ref="C843:E843"/>
    <mergeCell ref="C844:E844"/>
    <mergeCell ref="C846:E846"/>
    <mergeCell ref="C848:E848"/>
    <mergeCell ref="C820:E820"/>
    <mergeCell ref="C826:E826"/>
    <mergeCell ref="C828:E828"/>
    <mergeCell ref="C829:E829"/>
    <mergeCell ref="C831:E831"/>
    <mergeCell ref="C833:E833"/>
    <mergeCell ref="C805:E805"/>
    <mergeCell ref="C811:E811"/>
    <mergeCell ref="C813:E813"/>
    <mergeCell ref="C814:E814"/>
    <mergeCell ref="C816:E816"/>
    <mergeCell ref="C818:E818"/>
    <mergeCell ref="C790:E790"/>
    <mergeCell ref="C796:E796"/>
    <mergeCell ref="C798:E798"/>
    <mergeCell ref="C799:E799"/>
    <mergeCell ref="C801:E801"/>
    <mergeCell ref="C803:E803"/>
    <mergeCell ref="C775:E775"/>
    <mergeCell ref="C781:E781"/>
    <mergeCell ref="C783:E783"/>
    <mergeCell ref="C784:E784"/>
    <mergeCell ref="C786:E786"/>
    <mergeCell ref="C788:E788"/>
    <mergeCell ref="C760:E760"/>
    <mergeCell ref="C766:E766"/>
    <mergeCell ref="C768:E768"/>
    <mergeCell ref="C769:E769"/>
    <mergeCell ref="C771:E771"/>
    <mergeCell ref="C773:E773"/>
    <mergeCell ref="C745:E745"/>
    <mergeCell ref="C751:E751"/>
    <mergeCell ref="C753:E753"/>
    <mergeCell ref="C754:E754"/>
    <mergeCell ref="C756:E756"/>
    <mergeCell ref="C758:E758"/>
    <mergeCell ref="C730:E730"/>
    <mergeCell ref="C736:E736"/>
    <mergeCell ref="C738:E738"/>
    <mergeCell ref="C739:E739"/>
    <mergeCell ref="C741:E741"/>
    <mergeCell ref="C743:E743"/>
    <mergeCell ref="C715:E715"/>
    <mergeCell ref="C721:E721"/>
    <mergeCell ref="C723:E723"/>
    <mergeCell ref="C724:E724"/>
    <mergeCell ref="C726:E726"/>
    <mergeCell ref="C728:E728"/>
    <mergeCell ref="C700:E700"/>
    <mergeCell ref="C706:E706"/>
    <mergeCell ref="C708:E708"/>
    <mergeCell ref="C709:E709"/>
    <mergeCell ref="C711:E711"/>
    <mergeCell ref="C713:E713"/>
    <mergeCell ref="C685:E685"/>
    <mergeCell ref="C691:E691"/>
    <mergeCell ref="C693:E693"/>
    <mergeCell ref="C694:E694"/>
    <mergeCell ref="C696:E696"/>
    <mergeCell ref="C698:E698"/>
    <mergeCell ref="C670:E670"/>
    <mergeCell ref="C676:E676"/>
    <mergeCell ref="C678:E678"/>
    <mergeCell ref="C679:E679"/>
    <mergeCell ref="C681:E681"/>
    <mergeCell ref="C683:E683"/>
    <mergeCell ref="C655:E655"/>
    <mergeCell ref="C661:E661"/>
    <mergeCell ref="C663:E663"/>
    <mergeCell ref="C664:E664"/>
    <mergeCell ref="C666:E666"/>
    <mergeCell ref="C668:E668"/>
    <mergeCell ref="C640:E640"/>
    <mergeCell ref="C646:E646"/>
    <mergeCell ref="C648:E648"/>
    <mergeCell ref="C649:E649"/>
    <mergeCell ref="C651:E651"/>
    <mergeCell ref="C653:E653"/>
    <mergeCell ref="C625:E625"/>
    <mergeCell ref="C631:E631"/>
    <mergeCell ref="C633:E633"/>
    <mergeCell ref="C634:E634"/>
    <mergeCell ref="C636:E636"/>
    <mergeCell ref="C638:E638"/>
    <mergeCell ref="C610:E610"/>
    <mergeCell ref="C616:E616"/>
    <mergeCell ref="C618:E618"/>
    <mergeCell ref="C619:E619"/>
    <mergeCell ref="C621:E621"/>
    <mergeCell ref="C623:E623"/>
    <mergeCell ref="C595:E595"/>
    <mergeCell ref="C601:E601"/>
    <mergeCell ref="C603:E603"/>
    <mergeCell ref="C604:E604"/>
    <mergeCell ref="C606:E606"/>
    <mergeCell ref="C608:E608"/>
    <mergeCell ref="C580:E580"/>
    <mergeCell ref="C586:E586"/>
    <mergeCell ref="C588:E588"/>
    <mergeCell ref="C589:E589"/>
    <mergeCell ref="C591:E591"/>
    <mergeCell ref="C593:E593"/>
    <mergeCell ref="C565:E565"/>
    <mergeCell ref="C571:E571"/>
    <mergeCell ref="C573:E573"/>
    <mergeCell ref="C574:E574"/>
    <mergeCell ref="C576:E576"/>
    <mergeCell ref="C578:E578"/>
    <mergeCell ref="C550:E550"/>
    <mergeCell ref="C556:E556"/>
    <mergeCell ref="C558:E558"/>
    <mergeCell ref="C559:E559"/>
    <mergeCell ref="C561:E561"/>
    <mergeCell ref="C563:E563"/>
    <mergeCell ref="C535:E535"/>
    <mergeCell ref="C541:E541"/>
    <mergeCell ref="C543:E543"/>
    <mergeCell ref="C544:E544"/>
    <mergeCell ref="C546:E546"/>
    <mergeCell ref="C548:E548"/>
    <mergeCell ref="C520:E520"/>
    <mergeCell ref="C526:E526"/>
    <mergeCell ref="C528:E528"/>
    <mergeCell ref="C529:E529"/>
    <mergeCell ref="C531:E531"/>
    <mergeCell ref="C533:E533"/>
    <mergeCell ref="C505:E505"/>
    <mergeCell ref="C511:E511"/>
    <mergeCell ref="C513:E513"/>
    <mergeCell ref="C514:E514"/>
    <mergeCell ref="C516:E516"/>
    <mergeCell ref="C518:E518"/>
    <mergeCell ref="C490:E490"/>
    <mergeCell ref="C496:E496"/>
    <mergeCell ref="C498:E498"/>
    <mergeCell ref="C499:E499"/>
    <mergeCell ref="C501:E501"/>
    <mergeCell ref="C503:E503"/>
    <mergeCell ref="C475:E475"/>
    <mergeCell ref="C481:E481"/>
    <mergeCell ref="C483:E483"/>
    <mergeCell ref="C484:E484"/>
    <mergeCell ref="C486:E486"/>
    <mergeCell ref="C488:E488"/>
    <mergeCell ref="C460:E460"/>
    <mergeCell ref="C466:E466"/>
    <mergeCell ref="C468:E468"/>
    <mergeCell ref="C469:E469"/>
    <mergeCell ref="C471:E471"/>
    <mergeCell ref="C473:E473"/>
    <mergeCell ref="C445:E445"/>
    <mergeCell ref="C451:E451"/>
    <mergeCell ref="C453:E453"/>
    <mergeCell ref="C454:E454"/>
    <mergeCell ref="C456:E456"/>
    <mergeCell ref="C458:E458"/>
    <mergeCell ref="C430:E430"/>
    <mergeCell ref="C436:E436"/>
    <mergeCell ref="C438:E438"/>
    <mergeCell ref="C439:E439"/>
    <mergeCell ref="C441:E441"/>
    <mergeCell ref="C443:E443"/>
    <mergeCell ref="C415:E415"/>
    <mergeCell ref="C421:E421"/>
    <mergeCell ref="C423:E423"/>
    <mergeCell ref="C424:E424"/>
    <mergeCell ref="C426:E426"/>
    <mergeCell ref="C428:E428"/>
    <mergeCell ref="C400:E400"/>
    <mergeCell ref="C406:E406"/>
    <mergeCell ref="C408:E408"/>
    <mergeCell ref="C409:E409"/>
    <mergeCell ref="C411:E411"/>
    <mergeCell ref="C413:E413"/>
    <mergeCell ref="C385:E385"/>
    <mergeCell ref="C391:E391"/>
    <mergeCell ref="C393:E393"/>
    <mergeCell ref="C394:E394"/>
    <mergeCell ref="C396:E396"/>
    <mergeCell ref="C398:E398"/>
    <mergeCell ref="C370:E370"/>
    <mergeCell ref="C376:E376"/>
    <mergeCell ref="C378:E378"/>
    <mergeCell ref="C379:E379"/>
    <mergeCell ref="C381:E381"/>
    <mergeCell ref="C383:E383"/>
    <mergeCell ref="C355:E355"/>
    <mergeCell ref="C361:E361"/>
    <mergeCell ref="C363:E363"/>
    <mergeCell ref="C364:E364"/>
    <mergeCell ref="C366:E366"/>
    <mergeCell ref="C368:E368"/>
    <mergeCell ref="C340:E340"/>
    <mergeCell ref="C346:E346"/>
    <mergeCell ref="C348:E348"/>
    <mergeCell ref="C349:E349"/>
    <mergeCell ref="C351:E351"/>
    <mergeCell ref="C353:E353"/>
    <mergeCell ref="C325:E325"/>
    <mergeCell ref="C331:E331"/>
    <mergeCell ref="C333:E333"/>
    <mergeCell ref="C334:E334"/>
    <mergeCell ref="C336:E336"/>
    <mergeCell ref="C338:E338"/>
    <mergeCell ref="C310:E310"/>
    <mergeCell ref="C316:E316"/>
    <mergeCell ref="C318:E318"/>
    <mergeCell ref="C319:E319"/>
    <mergeCell ref="C321:E321"/>
    <mergeCell ref="C323:E323"/>
    <mergeCell ref="C295:E295"/>
    <mergeCell ref="C301:E301"/>
    <mergeCell ref="C303:E303"/>
    <mergeCell ref="C304:E304"/>
    <mergeCell ref="C306:E306"/>
    <mergeCell ref="C308:E308"/>
    <mergeCell ref="C280:E280"/>
    <mergeCell ref="C286:E286"/>
    <mergeCell ref="C288:E288"/>
    <mergeCell ref="C289:E289"/>
    <mergeCell ref="C291:E291"/>
    <mergeCell ref="C293:E293"/>
    <mergeCell ref="C265:E265"/>
    <mergeCell ref="C271:E271"/>
    <mergeCell ref="C273:E273"/>
    <mergeCell ref="C274:E274"/>
    <mergeCell ref="C276:E276"/>
    <mergeCell ref="C278:E278"/>
    <mergeCell ref="C250:E250"/>
    <mergeCell ref="C256:E256"/>
    <mergeCell ref="C258:E258"/>
    <mergeCell ref="C259:E259"/>
    <mergeCell ref="C261:E261"/>
    <mergeCell ref="C263:E263"/>
    <mergeCell ref="C235:E235"/>
    <mergeCell ref="C241:E241"/>
    <mergeCell ref="C243:E243"/>
    <mergeCell ref="C244:E244"/>
    <mergeCell ref="C246:E246"/>
    <mergeCell ref="C248:E248"/>
    <mergeCell ref="C220:E220"/>
    <mergeCell ref="C226:E226"/>
    <mergeCell ref="C228:E228"/>
    <mergeCell ref="C229:E229"/>
    <mergeCell ref="C231:E231"/>
    <mergeCell ref="C233:E233"/>
    <mergeCell ref="C205:E205"/>
    <mergeCell ref="C211:E211"/>
    <mergeCell ref="C213:E213"/>
    <mergeCell ref="C214:E214"/>
    <mergeCell ref="C216:E216"/>
    <mergeCell ref="C218:E218"/>
    <mergeCell ref="C190:E190"/>
    <mergeCell ref="C196:E196"/>
    <mergeCell ref="C198:E198"/>
    <mergeCell ref="C199:E199"/>
    <mergeCell ref="C201:E201"/>
    <mergeCell ref="C203:E203"/>
    <mergeCell ref="C175:E175"/>
    <mergeCell ref="C181:E181"/>
    <mergeCell ref="C183:E183"/>
    <mergeCell ref="C184:E184"/>
    <mergeCell ref="C186:E186"/>
    <mergeCell ref="C188:E188"/>
    <mergeCell ref="C160:E160"/>
    <mergeCell ref="C166:E166"/>
    <mergeCell ref="C168:E168"/>
    <mergeCell ref="C169:E169"/>
    <mergeCell ref="C171:E171"/>
    <mergeCell ref="C173:E173"/>
    <mergeCell ref="C145:E145"/>
    <mergeCell ref="C151:E151"/>
    <mergeCell ref="C153:E153"/>
    <mergeCell ref="C154:E154"/>
    <mergeCell ref="C156:E156"/>
    <mergeCell ref="C158:E158"/>
    <mergeCell ref="C130:E130"/>
    <mergeCell ref="C136:E136"/>
    <mergeCell ref="C138:E138"/>
    <mergeCell ref="C139:E139"/>
    <mergeCell ref="C141:E141"/>
    <mergeCell ref="C143:E143"/>
    <mergeCell ref="C115:E115"/>
    <mergeCell ref="C121:E121"/>
    <mergeCell ref="C123:E123"/>
    <mergeCell ref="C124:E124"/>
    <mergeCell ref="C126:E126"/>
    <mergeCell ref="C128:E128"/>
    <mergeCell ref="A7:B7"/>
    <mergeCell ref="C106:E106"/>
    <mergeCell ref="C108:E108"/>
    <mergeCell ref="C109:E109"/>
    <mergeCell ref="C111:E111"/>
    <mergeCell ref="C113:E113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103"/>
  <sheetViews>
    <sheetView zoomScale="70" zoomScaleNormal="70" workbookViewId="0">
      <selection activeCell="R12" sqref="R12"/>
    </sheetView>
  </sheetViews>
  <sheetFormatPr baseColWidth="10" defaultColWidth="9.109375" defaultRowHeight="13.2"/>
  <cols>
    <col min="1" max="1" width="5.5546875" style="67" customWidth="1"/>
    <col min="2" max="2" width="15.109375" style="67" customWidth="1"/>
    <col min="3" max="3" width="14.109375" style="67" customWidth="1"/>
    <col min="4" max="4" width="26" style="67" customWidth="1"/>
    <col min="5" max="5" width="8" style="67" customWidth="1"/>
    <col min="6" max="6" width="7.88671875" style="67" customWidth="1"/>
    <col min="7" max="7" width="42" style="67" customWidth="1"/>
    <col min="8" max="8" width="9.33203125" style="67" customWidth="1"/>
    <col min="9" max="9" width="15.5546875" style="67" customWidth="1"/>
    <col min="10" max="10" width="14.6640625" style="67" customWidth="1"/>
    <col min="11" max="11" width="15.5546875" style="67" customWidth="1"/>
    <col min="12" max="14" width="5.88671875" style="67" customWidth="1"/>
    <col min="15" max="15" width="12.5546875" style="67" customWidth="1"/>
    <col min="16" max="1024" width="9.109375" style="67"/>
  </cols>
  <sheetData>
    <row r="1" spans="1:11" ht="18" customHeight="1" thickBot="1">
      <c r="A1" s="64" t="s">
        <v>378</v>
      </c>
      <c r="B1" s="64"/>
      <c r="C1" s="64"/>
      <c r="D1" s="64"/>
      <c r="E1" s="64"/>
      <c r="F1" s="64"/>
      <c r="G1" s="64"/>
      <c r="H1" s="64"/>
      <c r="I1" s="64"/>
      <c r="J1" s="65" t="s">
        <v>379</v>
      </c>
      <c r="K1" s="66" t="s">
        <v>380</v>
      </c>
    </row>
    <row r="2" spans="1:11" ht="18.75" customHeight="1" thickBot="1">
      <c r="A2" s="68"/>
      <c r="B2" s="68"/>
      <c r="C2" s="68"/>
      <c r="D2" s="69"/>
      <c r="E2" s="69"/>
      <c r="F2" s="69"/>
      <c r="G2" s="69"/>
      <c r="H2" s="69"/>
      <c r="I2" s="69"/>
      <c r="J2" s="69"/>
      <c r="K2" s="69"/>
    </row>
    <row r="3" spans="1:11" ht="18.75" customHeight="1" thickBot="1">
      <c r="A3" s="70" t="s">
        <v>381</v>
      </c>
      <c r="B3" s="70"/>
      <c r="C3" s="70"/>
      <c r="D3" s="71" t="str">
        <f>'[1]Necesidades Trimestrales'!C4</f>
        <v>40 - Ministerio de Salud</v>
      </c>
      <c r="E3" s="71"/>
      <c r="F3" s="71"/>
      <c r="G3" s="71"/>
      <c r="H3" s="71"/>
      <c r="I3" s="71"/>
      <c r="J3" s="71"/>
      <c r="K3" s="71"/>
    </row>
    <row r="4" spans="1:11" ht="18.75" customHeight="1" thickBot="1">
      <c r="A4" s="72" t="s">
        <v>382</v>
      </c>
      <c r="B4" s="72"/>
      <c r="C4" s="72"/>
      <c r="D4" s="71" t="str">
        <f>'[1]Necesidades Trimestrales'!C5</f>
        <v>23 - Hospital Interzonal San Juan Bautista</v>
      </c>
      <c r="E4" s="71"/>
      <c r="F4" s="71"/>
      <c r="G4" s="71"/>
      <c r="H4" s="71"/>
      <c r="I4" s="71"/>
      <c r="J4" s="71"/>
      <c r="K4" s="71"/>
    </row>
    <row r="5" spans="1:11" ht="18.75" customHeight="1" thickBot="1">
      <c r="A5" s="72" t="s">
        <v>383</v>
      </c>
      <c r="B5" s="72"/>
      <c r="C5" s="72"/>
      <c r="D5" s="71" t="s">
        <v>384</v>
      </c>
      <c r="E5" s="71"/>
      <c r="F5" s="71"/>
      <c r="G5" s="71"/>
      <c r="H5" s="71"/>
      <c r="I5" s="71"/>
      <c r="J5" s="71"/>
      <c r="K5" s="71"/>
    </row>
    <row r="6" spans="1:11" ht="16.5" customHeight="1" thickBot="1">
      <c r="A6" s="70" t="s">
        <v>385</v>
      </c>
      <c r="B6" s="70"/>
      <c r="C6" s="70"/>
      <c r="D6" s="71" t="s">
        <v>386</v>
      </c>
      <c r="E6" s="71"/>
      <c r="F6" s="71"/>
      <c r="G6" s="71"/>
      <c r="H6" s="71"/>
      <c r="I6" s="71"/>
      <c r="J6" s="71"/>
      <c r="K6" s="71"/>
    </row>
    <row r="7" spans="1:11" ht="16.5" customHeight="1" thickBot="1">
      <c r="A7" s="72" t="s">
        <v>387</v>
      </c>
      <c r="B7" s="72"/>
      <c r="C7" s="72"/>
      <c r="D7" s="71" t="str">
        <f>'[1]Necesidades Trimestrales'!C7 &amp; "° Trimestre - Año " &amp; '[1]Necesidades Trimestrales'!C6</f>
        <v>1° Trimestre - Año 2021</v>
      </c>
      <c r="E7" s="71"/>
      <c r="F7" s="71"/>
      <c r="G7" s="71"/>
      <c r="H7" s="71"/>
      <c r="I7" s="71"/>
      <c r="J7" s="71"/>
      <c r="K7" s="71"/>
    </row>
    <row r="8" spans="1:11" ht="16.5" customHeight="1" thickBot="1">
      <c r="A8" s="73" t="s">
        <v>388</v>
      </c>
      <c r="B8" s="73"/>
      <c r="C8" s="73"/>
      <c r="D8" s="74" t="s">
        <v>389</v>
      </c>
      <c r="E8" s="74"/>
      <c r="F8" s="74"/>
      <c r="G8" s="74"/>
      <c r="H8" s="74"/>
      <c r="I8" s="74"/>
      <c r="J8" s="74"/>
      <c r="K8" s="74"/>
    </row>
    <row r="9" spans="1:11" ht="16.2" thickBot="1">
      <c r="A9" s="75"/>
      <c r="B9" s="75"/>
      <c r="C9" s="75"/>
      <c r="D9" s="76"/>
      <c r="E9" s="76"/>
      <c r="F9" s="76"/>
      <c r="G9" s="76"/>
      <c r="H9" s="76"/>
      <c r="I9" s="76"/>
      <c r="J9" s="76"/>
      <c r="K9" s="76"/>
    </row>
    <row r="10" spans="1:11" ht="18.75" customHeight="1" thickBot="1">
      <c r="A10" s="77" t="s">
        <v>390</v>
      </c>
      <c r="B10" s="78" t="s">
        <v>391</v>
      </c>
      <c r="C10" s="78" t="s">
        <v>392</v>
      </c>
      <c r="D10" s="78"/>
      <c r="E10" s="78"/>
      <c r="F10" s="78"/>
      <c r="G10" s="78"/>
      <c r="H10" s="78" t="s">
        <v>393</v>
      </c>
      <c r="I10" s="78" t="s">
        <v>394</v>
      </c>
      <c r="J10" s="78" t="s">
        <v>395</v>
      </c>
      <c r="K10" s="79" t="s">
        <v>396</v>
      </c>
    </row>
    <row r="11" spans="1:11" ht="24" customHeight="1" thickBo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9"/>
    </row>
    <row r="12" spans="1:11" ht="38.4" customHeight="1" thickBot="1">
      <c r="A12" s="80">
        <v>1</v>
      </c>
      <c r="B12" s="81" t="str">
        <f>'[1]Necesidades Trimestrales'!B10</f>
        <v>2.9.2-261.14</v>
      </c>
      <c r="C12" s="82" t="str">
        <f>'[1]Necesidades Trimestrales'!E10</f>
        <v>ABROCHADORAS DE PAPEL; TIPO: PINZA, P/BROCHES: 10/50, MATERIAL: METALICA, MEDIDA: 10/50</v>
      </c>
      <c r="D12" s="82"/>
      <c r="E12" s="82"/>
      <c r="F12" s="82"/>
      <c r="G12" s="82"/>
      <c r="H12" s="83" t="s">
        <v>397</v>
      </c>
      <c r="I12" s="84" t="str">
        <f>'[1]Necesidades Trimestrales'!F10</f>
        <v>UNIDAD</v>
      </c>
      <c r="J12" s="85">
        <f>'[1]Necesidades Trimestrales'!H10</f>
        <v>734.3</v>
      </c>
      <c r="K12" s="86">
        <f>'[1]Necesidades Trimestrales'!G10</f>
        <v>12</v>
      </c>
    </row>
    <row r="13" spans="1:11" ht="38.4" customHeight="1" thickBot="1">
      <c r="A13" s="80">
        <v>2</v>
      </c>
      <c r="B13" s="81" t="str">
        <f>'[1]Necesidades Trimestrales'!B11</f>
        <v>2.9.2-262.4</v>
      </c>
      <c r="C13" s="82" t="str">
        <f>'[1]Necesidades Trimestrales'!E11</f>
        <v>ADHESIVOS P/PAPEL; PRESENTACION: 250 GR, TIPO: COLA VINILICA</v>
      </c>
      <c r="D13" s="82"/>
      <c r="E13" s="82"/>
      <c r="F13" s="82"/>
      <c r="G13" s="82"/>
      <c r="H13" s="83" t="s">
        <v>397</v>
      </c>
      <c r="I13" s="84" t="str">
        <f>'[1]Necesidades Trimestrales'!F11</f>
        <v>UNIDAD</v>
      </c>
      <c r="J13" s="85">
        <f>'[1]Necesidades Trimestrales'!H11</f>
        <v>90.9</v>
      </c>
      <c r="K13" s="86">
        <f>'[1]Necesidades Trimestrales'!G11</f>
        <v>60</v>
      </c>
    </row>
    <row r="14" spans="1:11" ht="38.4" customHeight="1" thickBot="1">
      <c r="A14" s="80">
        <v>3</v>
      </c>
      <c r="B14" s="81" t="str">
        <f>'[1]Necesidades Trimestrales'!B12</f>
        <v>2.9.2-700.28</v>
      </c>
      <c r="C14" s="82" t="str">
        <f>'[1]Necesidades Trimestrales'!E12</f>
        <v>BROCHES P/ABROCHADORA; NUMERO: 10/50, PRESENTACION: CAJA X 1000 UNIDADES</v>
      </c>
      <c r="D14" s="82"/>
      <c r="E14" s="82"/>
      <c r="F14" s="82"/>
      <c r="G14" s="82"/>
      <c r="H14" s="83" t="s">
        <v>397</v>
      </c>
      <c r="I14" s="84" t="str">
        <f>'[1]Necesidades Trimestrales'!F12</f>
        <v>CAJA</v>
      </c>
      <c r="J14" s="85">
        <f>'[1]Necesidades Trimestrales'!H12</f>
        <v>40.700000000000003</v>
      </c>
      <c r="K14" s="86">
        <f>'[1]Necesidades Trimestrales'!G12</f>
        <v>300</v>
      </c>
    </row>
    <row r="15" spans="1:11" ht="38.4" customHeight="1" thickBot="1">
      <c r="A15" s="80">
        <v>4</v>
      </c>
      <c r="B15" s="81" t="str">
        <f>'[1]Necesidades Trimestrales'!B13</f>
        <v>2.9.2-1358.359</v>
      </c>
      <c r="C15" s="82" t="str">
        <f>'[1]Necesidades Trimestrales'!E13</f>
        <v>CARPETAS; MATERIAL: FIBRA, TAMAÑO: OFICIO</v>
      </c>
      <c r="D15" s="82"/>
      <c r="E15" s="82"/>
      <c r="F15" s="82"/>
      <c r="G15" s="82"/>
      <c r="H15" s="83" t="s">
        <v>397</v>
      </c>
      <c r="I15" s="84" t="str">
        <f>'[1]Necesidades Trimestrales'!F13</f>
        <v>UNIDAD</v>
      </c>
      <c r="J15" s="85">
        <f>'[1]Necesidades Trimestrales'!H13</f>
        <v>109.7</v>
      </c>
      <c r="K15" s="86">
        <f>'[1]Necesidades Trimestrales'!G13</f>
        <v>200</v>
      </c>
    </row>
    <row r="16" spans="1:11" ht="38.4" customHeight="1" thickBot="1">
      <c r="A16" s="80">
        <v>5</v>
      </c>
      <c r="B16" s="81" t="str">
        <f>'[1]Necesidades Trimestrales'!B14</f>
        <v>2.9.2-2766.9</v>
      </c>
      <c r="C16" s="82" t="str">
        <f>'[1]Necesidades Trimestrales'!E14</f>
        <v>CARPETAS P/ENCUADERNACION; TAMAÑO: A4, PEGAMENTO: SIN, MATERIAL LOMO: PLASTICO TRANPARENTE, ESPESOR: 9 mm, TAPA: TRANSPARENTE</v>
      </c>
      <c r="D16" s="82"/>
      <c r="E16" s="82"/>
      <c r="F16" s="82"/>
      <c r="G16" s="82"/>
      <c r="H16" s="83" t="s">
        <v>397</v>
      </c>
      <c r="I16" s="84" t="str">
        <f>'[1]Necesidades Trimestrales'!F14</f>
        <v>UNIDAD</v>
      </c>
      <c r="J16" s="85">
        <f>'[1]Necesidades Trimestrales'!H14</f>
        <v>26.4</v>
      </c>
      <c r="K16" s="86">
        <f>'[1]Necesidades Trimestrales'!G14</f>
        <v>200</v>
      </c>
    </row>
    <row r="17" spans="1:11" ht="38.4" customHeight="1" thickBot="1">
      <c r="A17" s="80">
        <v>6</v>
      </c>
      <c r="B17" s="81" t="str">
        <f>'[1]Necesidades Trimestrales'!B15</f>
        <v>2.3.1-6563.814</v>
      </c>
      <c r="C17" s="82" t="str">
        <f>'[1]Necesidades Trimestrales'!E15</f>
        <v>PAPELES EN HOJA; TIPO DE PAPEL: CARTULINA, DIMENSION: 63 X 44,5 Cm, GRAMAJE: 125, PRESENTACION: UNIDAD, CERTIFICADO FORESTAL (GFS): CON</v>
      </c>
      <c r="D17" s="82"/>
      <c r="E17" s="82"/>
      <c r="F17" s="82"/>
      <c r="G17" s="82"/>
      <c r="H17" s="83" t="s">
        <v>397</v>
      </c>
      <c r="I17" s="84" t="str">
        <f>'[1]Necesidades Trimestrales'!F15</f>
        <v>PLIEGO</v>
      </c>
      <c r="J17" s="85">
        <f>'[1]Necesidades Trimestrales'!H15</f>
        <v>16.2</v>
      </c>
      <c r="K17" s="86">
        <f>'[1]Necesidades Trimestrales'!G15</f>
        <v>300</v>
      </c>
    </row>
    <row r="18" spans="1:11" ht="38.4" customHeight="1" thickBot="1">
      <c r="A18" s="80">
        <v>7</v>
      </c>
      <c r="B18" s="81" t="str">
        <f>'[1]Necesidades Trimestrales'!B16</f>
        <v>2.9.2-1153.35</v>
      </c>
      <c r="C18" s="82" t="str">
        <f>'[1]Necesidades Trimestrales'!E16</f>
        <v>CINTAS ADHESIVAS; TIPO: EMBALAR, COLOR MARRON, ANCHO: 5 Cm, LARGO ROLLO: 50 M, MATERIAL: CELOFAN, ACCESORIO: SIN, LARGO: 50 M</v>
      </c>
      <c r="D18" s="82"/>
      <c r="E18" s="82"/>
      <c r="F18" s="82"/>
      <c r="G18" s="82"/>
      <c r="H18" s="83" t="s">
        <v>397</v>
      </c>
      <c r="I18" s="84" t="str">
        <f>'[1]Necesidades Trimestrales'!F16</f>
        <v>UNIDAD</v>
      </c>
      <c r="J18" s="85">
        <f>'[1]Necesidades Trimestrales'!H16</f>
        <v>105.62</v>
      </c>
      <c r="K18" s="86">
        <f>'[1]Necesidades Trimestrales'!G16</f>
        <v>150</v>
      </c>
    </row>
    <row r="19" spans="1:11" ht="38.4" customHeight="1" thickBot="1">
      <c r="A19" s="80">
        <v>8</v>
      </c>
      <c r="B19" s="81" t="str">
        <f>'[1]Necesidades Trimestrales'!B17</f>
        <v>2.9.2-1428.1</v>
      </c>
      <c r="C19" s="82" t="str">
        <f>'[1]Necesidades Trimestrales'!E17</f>
        <v>BANDAS ELASTICAS; PRESENTACION: CAJA DE 100 GR, ESPESOR: 2 mm, DIAMETRO: 5 Cm</v>
      </c>
      <c r="D19" s="82"/>
      <c r="E19" s="82"/>
      <c r="F19" s="82"/>
      <c r="G19" s="82"/>
      <c r="H19" s="83" t="s">
        <v>397</v>
      </c>
      <c r="I19" s="84" t="str">
        <f>'[1]Necesidades Trimestrales'!F17</f>
        <v>CAJA</v>
      </c>
      <c r="J19" s="85">
        <f>'[1]Necesidades Trimestrales'!H17</f>
        <v>97.1</v>
      </c>
      <c r="K19" s="86">
        <f>'[1]Necesidades Trimestrales'!G17</f>
        <v>20</v>
      </c>
    </row>
    <row r="20" spans="1:11" ht="38.4" customHeight="1" thickBot="1">
      <c r="A20" s="80">
        <v>9</v>
      </c>
      <c r="B20" s="81" t="str">
        <f>'[1]Necesidades Trimestrales'!B18</f>
        <v>2.3.1-6587.298</v>
      </c>
      <c r="C20" s="82" t="str">
        <f>'[1]Necesidades Trimestrales'!E18</f>
        <v>PAPELES ENCUADERNADOS; CANT. DE HOJAS: 100, TAMAÑO: 21 X 16 Cm, TIPO: CUADERNO, CERTIFICADO FORESTAL (GFS): CON, PORC. FIBRAS RECICLADAS: 0 %, CERT. FIBRA ALTERNATIVA (FCA): SIN</v>
      </c>
      <c r="D20" s="82"/>
      <c r="E20" s="82"/>
      <c r="F20" s="82"/>
      <c r="G20" s="82"/>
      <c r="H20" s="83" t="s">
        <v>397</v>
      </c>
      <c r="I20" s="84" t="str">
        <f>'[1]Necesidades Trimestrales'!F18</f>
        <v>UNIDAD</v>
      </c>
      <c r="J20" s="85">
        <f>'[1]Necesidades Trimestrales'!H18</f>
        <v>249.01</v>
      </c>
      <c r="K20" s="86">
        <f>'[1]Necesidades Trimestrales'!G18</f>
        <v>120</v>
      </c>
    </row>
    <row r="21" spans="1:11" ht="38.4" customHeight="1" thickBot="1">
      <c r="A21" s="80">
        <v>10</v>
      </c>
      <c r="B21" s="81" t="str">
        <f>'[1]Necesidades Trimestrales'!B19</f>
        <v>2.9.2-1611.11</v>
      </c>
      <c r="C21" s="82" t="str">
        <f>'[1]Necesidades Trimestrales'!E19</f>
        <v>FOLIOS TRANSPARENTES; TAMAÑO: OFICIO, PERFORACIONES: 5, MATERIAL: POLIPROPILENO</v>
      </c>
      <c r="D21" s="82"/>
      <c r="E21" s="82"/>
      <c r="F21" s="82"/>
      <c r="G21" s="82"/>
      <c r="H21" s="83" t="s">
        <v>397</v>
      </c>
      <c r="I21" s="84" t="str">
        <f>'[1]Necesidades Trimestrales'!F19</f>
        <v>UNIDAD</v>
      </c>
      <c r="J21" s="85">
        <f>'[1]Necesidades Trimestrales'!H19</f>
        <v>9</v>
      </c>
      <c r="K21" s="86">
        <f>'[1]Necesidades Trimestrales'!G19</f>
        <v>300</v>
      </c>
    </row>
    <row r="22" spans="1:11" ht="38.4" customHeight="1" thickBot="1">
      <c r="A22" s="80">
        <v>11</v>
      </c>
      <c r="B22" s="81" t="str">
        <f>'[1]Necesidades Trimestrales'!B20</f>
        <v>2.9.2-1611.10</v>
      </c>
      <c r="C22" s="82" t="str">
        <f>'[1]Necesidades Trimestrales'!E20</f>
        <v>FOLIOS TRANSPARENTES; TAMAÑO: A-4, PERFORACIONES: 5, MATERIAL: POLIPROPILENO</v>
      </c>
      <c r="D22" s="82"/>
      <c r="E22" s="82"/>
      <c r="F22" s="82"/>
      <c r="G22" s="82"/>
      <c r="H22" s="83" t="s">
        <v>397</v>
      </c>
      <c r="I22" s="84" t="str">
        <f>'[1]Necesidades Trimestrales'!F20</f>
        <v>UNIDAD</v>
      </c>
      <c r="J22" s="85">
        <f>'[1]Necesidades Trimestrales'!H20</f>
        <v>7.3</v>
      </c>
      <c r="K22" s="86">
        <f>'[1]Necesidades Trimestrales'!G20</f>
        <v>250</v>
      </c>
    </row>
    <row r="23" spans="1:11" ht="38.4" customHeight="1" thickBot="1">
      <c r="A23" s="80">
        <v>12</v>
      </c>
      <c r="B23" s="81" t="str">
        <f>'[1]Necesidades Trimestrales'!B21</f>
        <v>2.9.2-4984.6</v>
      </c>
      <c r="C23" s="82" t="str">
        <f>'[1]Necesidades Trimestrales'!E21</f>
        <v>LAPICERAS ESTILOGRAFICAS; TIPO: TRAZO GRUESO, MATERIAL: PLASTICO Y METAL , RECARGABLE: NO</v>
      </c>
      <c r="D23" s="82"/>
      <c r="E23" s="82"/>
      <c r="F23" s="82"/>
      <c r="G23" s="82"/>
      <c r="H23" s="83" t="s">
        <v>397</v>
      </c>
      <c r="I23" s="84" t="str">
        <f>'[1]Necesidades Trimestrales'!F21</f>
        <v>UNIDAD</v>
      </c>
      <c r="J23" s="85">
        <f>'[1]Necesidades Trimestrales'!H21</f>
        <v>34.159999999999997</v>
      </c>
      <c r="K23" s="86">
        <f>'[1]Necesidades Trimestrales'!G21</f>
        <v>1000</v>
      </c>
    </row>
    <row r="24" spans="1:11" ht="38.4" customHeight="1" thickBot="1">
      <c r="A24" s="80">
        <v>13</v>
      </c>
      <c r="B24" s="81" t="str">
        <f>'[1]Necesidades Trimestrales'!B22</f>
        <v>2.9.2-4984.6</v>
      </c>
      <c r="C24" s="82" t="str">
        <f>'[1]Necesidades Trimestrales'!E22</f>
        <v>LAPICERAS ESTILOGRAFICAS; TIPO: TRAZO GRUESO, MATERIAL: PLASTICO Y METAL , RECARGABLE: NO</v>
      </c>
      <c r="D24" s="82"/>
      <c r="E24" s="82"/>
      <c r="F24" s="82"/>
      <c r="G24" s="82"/>
      <c r="H24" s="83" t="s">
        <v>397</v>
      </c>
      <c r="I24" s="84" t="str">
        <f>'[1]Necesidades Trimestrales'!F22</f>
        <v>UNIDAD</v>
      </c>
      <c r="J24" s="85">
        <f>'[1]Necesidades Trimestrales'!H22</f>
        <v>32.6</v>
      </c>
      <c r="K24" s="86">
        <f>'[1]Necesidades Trimestrales'!G22</f>
        <v>250</v>
      </c>
    </row>
    <row r="25" spans="1:11" ht="38.4" customHeight="1" thickBot="1">
      <c r="A25" s="80">
        <v>14</v>
      </c>
      <c r="B25" s="81" t="str">
        <f>'[1]Necesidades Trimestrales'!B23</f>
        <v>2.9.2-323.4</v>
      </c>
      <c r="C25" s="82" t="str">
        <f>'[1]Necesidades Trimestrales'!E23</f>
        <v>CORRECTORES DE ESCRITURA; CAPACIDAD: 7 mL, ENVASE: LAPIZ (PUNTA METAL), PRESENTACION: LAPIZ (PUNTA METAL) X 7 mL</v>
      </c>
      <c r="D25" s="82"/>
      <c r="E25" s="82"/>
      <c r="F25" s="82"/>
      <c r="G25" s="82"/>
      <c r="H25" s="83" t="s">
        <v>397</v>
      </c>
      <c r="I25" s="84" t="str">
        <f>'[1]Necesidades Trimestrales'!F23</f>
        <v>UNIDAD</v>
      </c>
      <c r="J25" s="85">
        <f>'[1]Necesidades Trimestrales'!H23</f>
        <v>42.6</v>
      </c>
      <c r="K25" s="86">
        <f>'[1]Necesidades Trimestrales'!G23</f>
        <v>200</v>
      </c>
    </row>
    <row r="26" spans="1:11" ht="38.4" customHeight="1" thickBot="1">
      <c r="A26" s="80">
        <v>15</v>
      </c>
      <c r="B26" s="81" t="str">
        <f>'[1]Necesidades Trimestrales'!B24</f>
        <v>2.9.2-848.5</v>
      </c>
      <c r="C26" s="82" t="str">
        <f>'[1]Necesidades Trimestrales'!E24</f>
        <v>LAPIZ; TIPO: COMUN NRO 2, COLOR: NEGRO</v>
      </c>
      <c r="D26" s="82"/>
      <c r="E26" s="82"/>
      <c r="F26" s="82"/>
      <c r="G26" s="82"/>
      <c r="H26" s="83" t="s">
        <v>397</v>
      </c>
      <c r="I26" s="84" t="str">
        <f>'[1]Necesidades Trimestrales'!F24</f>
        <v>UNIDAD</v>
      </c>
      <c r="J26" s="85">
        <f>'[1]Necesidades Trimestrales'!H24</f>
        <v>22.3</v>
      </c>
      <c r="K26" s="86">
        <f>'[1]Necesidades Trimestrales'!G24</f>
        <v>100</v>
      </c>
    </row>
    <row r="27" spans="1:11" ht="38.4" customHeight="1" thickBot="1">
      <c r="A27" s="80">
        <v>16</v>
      </c>
      <c r="B27" s="81" t="str">
        <f>'[1]Necesidades Trimestrales'!B25</f>
        <v>2.3.1-6587.324</v>
      </c>
      <c r="C27" s="82" t="str">
        <f>'[1]Necesidades Trimestrales'!E25</f>
        <v>PAPELES ENCUADERNADOS; CANT. DE HOJAS: 400, TAMAÑO: 21 X 33 Cm, TIPO: LIBRO DE ACTAS, CERTIFICADO FORESTAL (GFS): SIN, PORC. FIBRAS RECICLADAS: 0 %, CERT. FIBRA ALTERNATIVA (FCA): SIN</v>
      </c>
      <c r="D27" s="82"/>
      <c r="E27" s="82"/>
      <c r="F27" s="82"/>
      <c r="G27" s="82"/>
      <c r="H27" s="83" t="s">
        <v>397</v>
      </c>
      <c r="I27" s="84" t="str">
        <f>'[1]Necesidades Trimestrales'!F25</f>
        <v>UNIDAD</v>
      </c>
      <c r="J27" s="85">
        <f>'[1]Necesidades Trimestrales'!H25</f>
        <v>737.7</v>
      </c>
      <c r="K27" s="86">
        <f>'[1]Necesidades Trimestrales'!G25</f>
        <v>25</v>
      </c>
    </row>
    <row r="28" spans="1:11" ht="38.4" customHeight="1" thickBot="1">
      <c r="A28" s="80">
        <v>17</v>
      </c>
      <c r="B28" s="81" t="str">
        <f>'[1]Necesidades Trimestrales'!B26</f>
        <v>2.9.2-1616.80</v>
      </c>
      <c r="C28" s="82" t="str">
        <f>'[1]Necesidades Trimestrales'!E26</f>
        <v>MARCADORES; TIPO AL AGUA - TRAZO GRUESO - PUNTA REDONDA - RECARGABLE NO</v>
      </c>
      <c r="D28" s="82"/>
      <c r="E28" s="82"/>
      <c r="F28" s="82"/>
      <c r="G28" s="82"/>
      <c r="H28" s="83" t="s">
        <v>397</v>
      </c>
      <c r="I28" s="84" t="str">
        <f>'[1]Necesidades Trimestrales'!F26</f>
        <v>UNIDAD</v>
      </c>
      <c r="J28" s="85">
        <f>'[1]Necesidades Trimestrales'!H26</f>
        <v>59.29</v>
      </c>
      <c r="K28" s="86">
        <f>'[1]Necesidades Trimestrales'!G26</f>
        <v>100</v>
      </c>
    </row>
    <row r="29" spans="1:11" ht="38.4" customHeight="1" thickBot="1">
      <c r="A29" s="80">
        <v>18</v>
      </c>
      <c r="B29" s="81" t="str">
        <f>'[1]Necesidades Trimestrales'!B27</f>
        <v>2.9.2-1616.137</v>
      </c>
      <c r="C29" s="82" t="str">
        <f>'[1]Necesidades Trimestrales'!E27</f>
        <v>MARCADORES; TIPO: INDELEBLE, TRAZO: GRUESO, PUNTA: REDONDA, COLOR: NEGRO, RECARGABLE: NO</v>
      </c>
      <c r="D29" s="82"/>
      <c r="E29" s="82"/>
      <c r="F29" s="82"/>
      <c r="G29" s="82"/>
      <c r="H29" s="83" t="s">
        <v>397</v>
      </c>
      <c r="I29" s="84" t="str">
        <f>'[1]Necesidades Trimestrales'!F27</f>
        <v>UNIDAD</v>
      </c>
      <c r="J29" s="85">
        <f>'[1]Necesidades Trimestrales'!H27</f>
        <v>100.18</v>
      </c>
      <c r="K29" s="86">
        <f>'[1]Necesidades Trimestrales'!G27</f>
        <v>200</v>
      </c>
    </row>
    <row r="30" spans="1:11" ht="38.4" customHeight="1" thickBot="1">
      <c r="A30" s="80">
        <v>19</v>
      </c>
      <c r="B30" s="81" t="str">
        <f>'[1]Necesidades Trimestrales'!B28</f>
        <v>2.3.1-6563.968</v>
      </c>
      <c r="C30" s="82" t="str">
        <f>'[1]Necesidades Trimestrales'!E28</f>
        <v>PAPELES EN HOJA; TIPO DE PAPEL: EXTRA BLANCO, DIMENSION: A4, GRAMAJE: 80 GR, PRESENTACION: RESMA X 500 HOJAS, CERTIFICADO FORESTAL (GFS): SIN, PORC. FIBRAS RECICLADAS: 0 %, CERT. FIBRA ALTERNATIVA (FCA): CON</v>
      </c>
      <c r="D30" s="82"/>
      <c r="E30" s="82"/>
      <c r="F30" s="82"/>
      <c r="G30" s="82"/>
      <c r="H30" s="83" t="s">
        <v>397</v>
      </c>
      <c r="I30" s="84" t="str">
        <f>'[1]Necesidades Trimestrales'!F28</f>
        <v>UNIDAD</v>
      </c>
      <c r="J30" s="85">
        <f>'[1]Necesidades Trimestrales'!H28</f>
        <v>445.53</v>
      </c>
      <c r="K30" s="86">
        <f>'[1]Necesidades Trimestrales'!G28</f>
        <v>200</v>
      </c>
    </row>
    <row r="31" spans="1:11" ht="38.4" customHeight="1" thickBot="1">
      <c r="A31" s="80">
        <v>20</v>
      </c>
      <c r="B31" s="81" t="str">
        <f>'[1]Necesidades Trimestrales'!B29</f>
        <v>2.3.1-6563.1009</v>
      </c>
      <c r="C31" s="82" t="str">
        <f>'[1]Necesidades Trimestrales'!E29</f>
        <v>PAPELES EN HOJA; TIPO DE PAPEL: BLANCO, DIMENSION: OFICIO, GRAMAJE: 80 GR, PRESENTACION: ENVASE X 500 HOJAS, CERTIFICADO FORESTAL (GFS): SIN, PORC. FIBRAS RECICLADAS: 0 %, CERT. FIBRA ALTERNATIVA (FCA): SIN</v>
      </c>
      <c r="D31" s="82"/>
      <c r="E31" s="82"/>
      <c r="F31" s="82"/>
      <c r="G31" s="82"/>
      <c r="H31" s="83" t="s">
        <v>397</v>
      </c>
      <c r="I31" s="84" t="str">
        <f>'[1]Necesidades Trimestrales'!F29</f>
        <v>UNIDAD</v>
      </c>
      <c r="J31" s="85">
        <f>'[1]Necesidades Trimestrales'!H29</f>
        <v>548.41999999999996</v>
      </c>
      <c r="K31" s="86">
        <f>'[1]Necesidades Trimestrales'!G29</f>
        <v>250</v>
      </c>
    </row>
    <row r="32" spans="1:11" ht="38.4" customHeight="1" thickBot="1">
      <c r="A32" s="80">
        <v>21</v>
      </c>
      <c r="B32" s="81" t="str">
        <f>'[1]Necesidades Trimestrales'!B30</f>
        <v>2.9.2-660.4</v>
      </c>
      <c r="C32" s="82" t="str">
        <f>'[1]Necesidades Trimestrales'!E30</f>
        <v>CLIPS P/PAPEL; MATERIAL: METAL, NUMERO: 4, CANT. X CAJA: 100, PRESENTACION: CAJA X 100</v>
      </c>
      <c r="D32" s="82"/>
      <c r="E32" s="82"/>
      <c r="F32" s="82"/>
      <c r="G32" s="82"/>
      <c r="H32" s="83" t="s">
        <v>397</v>
      </c>
      <c r="I32" s="84" t="str">
        <f>'[1]Necesidades Trimestrales'!F30</f>
        <v>CAJA</v>
      </c>
      <c r="J32" s="85">
        <f>'[1]Necesidades Trimestrales'!H30</f>
        <v>48.1</v>
      </c>
      <c r="K32" s="86">
        <f>'[1]Necesidades Trimestrales'!G30</f>
        <v>30</v>
      </c>
    </row>
    <row r="33" spans="1:11" ht="38.4" customHeight="1" thickBot="1">
      <c r="A33" s="80">
        <v>22</v>
      </c>
      <c r="B33" s="81" t="str">
        <f>'[1]Necesidades Trimestrales'!B31</f>
        <v>2.3.1-6590.484</v>
      </c>
      <c r="C33" s="82" t="str">
        <f>'[1]Necesidades Trimestrales'!E31</f>
        <v>SOBRES DE PAPEL; TIPO: MANILA, TAMAÑO: 19 X 24 Cm, GRAMAJE: 80 GR/M2, PRESENTACION: UNIDAD UN, CERTIFICADO FORESTAL (GFS): SIN, PORC. FIBRAS RECICLADAS: SIN VALOR</v>
      </c>
      <c r="D33" s="82"/>
      <c r="E33" s="82"/>
      <c r="F33" s="82"/>
      <c r="G33" s="82"/>
      <c r="H33" s="83" t="s">
        <v>397</v>
      </c>
      <c r="I33" s="84" t="str">
        <f>'[1]Necesidades Trimestrales'!F31</f>
        <v>PAQUETE</v>
      </c>
      <c r="J33" s="85">
        <f>'[1]Necesidades Trimestrales'!H31</f>
        <v>7.1</v>
      </c>
      <c r="K33" s="86">
        <f>'[1]Necesidades Trimestrales'!G31</f>
        <v>12</v>
      </c>
    </row>
    <row r="34" spans="1:11" ht="38.4" customHeight="1" thickBot="1">
      <c r="A34" s="80">
        <v>23</v>
      </c>
      <c r="B34" s="81" t="str">
        <f>'[1]Necesidades Trimestrales'!B32</f>
        <v>2.3.1-6590.541</v>
      </c>
      <c r="C34" s="82" t="str">
        <f>'[1]Necesidades Trimestrales'!E32</f>
        <v>SOBRES DE PAPEL; TIPO: BOLSA DE PAPEL MANILA, TAMAÑO: 24 X 30 Cm, GRAMAJE: 80 GR/M2, PRESENTACION: ENVASE X 100 UN, CERTIFICADO FORESTAL (GFS): SIN, PORC. FIBRAS RECICLADAS: 0 %, CERT. FIBRA ALTERNATIVA (FCA): SIN</v>
      </c>
      <c r="D34" s="82"/>
      <c r="E34" s="82"/>
      <c r="F34" s="82"/>
      <c r="G34" s="82"/>
      <c r="H34" s="83" t="s">
        <v>397</v>
      </c>
      <c r="I34" s="84" t="str">
        <f>'[1]Necesidades Trimestrales'!F32</f>
        <v>PAQUETE</v>
      </c>
      <c r="J34" s="85">
        <f>'[1]Necesidades Trimestrales'!H32</f>
        <v>5.51</v>
      </c>
      <c r="K34" s="86">
        <f>'[1]Necesidades Trimestrales'!G32</f>
        <v>15</v>
      </c>
    </row>
    <row r="35" spans="1:11" ht="38.4" customHeight="1" thickBot="1">
      <c r="A35" s="80">
        <v>24</v>
      </c>
      <c r="B35" s="81" t="str">
        <f>'[1]Necesidades Trimestrales'!B33</f>
        <v>2.3.1-6590.465</v>
      </c>
      <c r="C35" s="82" t="str">
        <f>'[1]Necesidades Trimestrales'!E33</f>
        <v>SOBRES DE PAPEL; TIPO: BOLSA MANILA, TAMAÑO: 30 X 40 Cm, GRAMAJE: 90 GR/M2, PRESENTACION: UNIDAD, CERTIFICADO FORESTAL (GFS): SIN, PORC. FIBRAS RECICLADAS: 0 %</v>
      </c>
      <c r="D35" s="82"/>
      <c r="E35" s="82"/>
      <c r="F35" s="82"/>
      <c r="G35" s="82"/>
      <c r="H35" s="83" t="s">
        <v>397</v>
      </c>
      <c r="I35" s="84" t="str">
        <f>'[1]Necesidades Trimestrales'!F33</f>
        <v>PAQUETE</v>
      </c>
      <c r="J35" s="85">
        <f>'[1]Necesidades Trimestrales'!H33</f>
        <v>14.7</v>
      </c>
      <c r="K35" s="86">
        <f>'[1]Necesidades Trimestrales'!G33</f>
        <v>15</v>
      </c>
    </row>
    <row r="36" spans="1:11" ht="38.4" customHeight="1" thickBot="1">
      <c r="A36" s="80">
        <v>25</v>
      </c>
      <c r="B36" s="81" t="str">
        <f>'[1]Necesidades Trimestrales'!B34</f>
        <v>2.9.2-1450.36</v>
      </c>
      <c r="C36" s="82" t="str">
        <f>'[1]Necesidades Trimestrales'!E34</f>
        <v xml:space="preserve">TINTAS P/SELLOS; TIPO DE SELLO: DE GOMA, PRESENTACION: ENVASE X 28 CM3  </v>
      </c>
      <c r="D36" s="82"/>
      <c r="E36" s="82"/>
      <c r="F36" s="82"/>
      <c r="G36" s="82"/>
      <c r="H36" s="83" t="s">
        <v>397</v>
      </c>
      <c r="I36" s="84" t="str">
        <f>'[1]Necesidades Trimestrales'!F34</f>
        <v>UNIDAD</v>
      </c>
      <c r="J36" s="85">
        <f>'[1]Necesidades Trimestrales'!H34</f>
        <v>244.9</v>
      </c>
      <c r="K36" s="86">
        <f>'[1]Necesidades Trimestrales'!G34</f>
        <v>25</v>
      </c>
    </row>
    <row r="37" spans="1:11" ht="38.4" customHeight="1" thickBot="1">
      <c r="A37" s="80">
        <v>26</v>
      </c>
      <c r="B37" s="81" t="str">
        <f>'[1]Necesidades Trimestrales'!B35</f>
        <v>2.9.2-1354.28</v>
      </c>
      <c r="C37" s="82" t="str">
        <f>'[1]Necesidades Trimestrales'!E35</f>
        <v>RESALTADORES; PUNTA: FINA, ACCESORIO: SIN, COLOR: AMARILLO, TIPO PUNTA: FINA</v>
      </c>
      <c r="D37" s="82"/>
      <c r="E37" s="82"/>
      <c r="F37" s="82"/>
      <c r="G37" s="82"/>
      <c r="H37" s="83" t="s">
        <v>397</v>
      </c>
      <c r="I37" s="84" t="str">
        <f>'[1]Necesidades Trimestrales'!F35</f>
        <v>UNIDAD</v>
      </c>
      <c r="J37" s="85">
        <f>'[1]Necesidades Trimestrales'!H35</f>
        <v>81.13</v>
      </c>
      <c r="K37" s="86">
        <f>'[1]Necesidades Trimestrales'!G35</f>
        <v>150</v>
      </c>
    </row>
    <row r="38" spans="1:11" ht="38.4" customHeight="1" thickBot="1">
      <c r="A38" s="80">
        <v>27</v>
      </c>
      <c r="B38" s="81" t="str">
        <f>'[1]Necesidades Trimestrales'!B36</f>
        <v>2.9.2-1354.4</v>
      </c>
      <c r="C38" s="82" t="str">
        <f>'[1]Necesidades Trimestrales'!E36</f>
        <v>RESALTADORES; ACCESORIO: CON CLIPS, COLOR: ROJO, PUNTA: 5 (CHANFLEADA) mm, TIPO PUNTA: 5 (CHANFLEADA) mm</v>
      </c>
      <c r="D38" s="82"/>
      <c r="E38" s="82"/>
      <c r="F38" s="82"/>
      <c r="G38" s="82"/>
      <c r="H38" s="83" t="s">
        <v>397</v>
      </c>
      <c r="I38" s="84" t="str">
        <f>'[1]Necesidades Trimestrales'!F36</f>
        <v>UNIDAD</v>
      </c>
      <c r="J38" s="85">
        <f>'[1]Necesidades Trimestrales'!H36</f>
        <v>81.13</v>
      </c>
      <c r="K38" s="86">
        <f>'[1]Necesidades Trimestrales'!G36</f>
        <v>120</v>
      </c>
    </row>
    <row r="39" spans="1:11" ht="38.4" customHeight="1" thickBot="1">
      <c r="A39" s="80">
        <v>28</v>
      </c>
      <c r="B39" s="81" t="str">
        <f>'[1]Necesidades Trimestrales'!B37</f>
        <v>2.9.2-661.59</v>
      </c>
      <c r="C39" s="82" t="str">
        <f>'[1]Necesidades Trimestrales'!E37</f>
        <v>GOMAS DE BORRAR; USO: LAPIZ, DIMENSION: 40 X 10 mm, MATERIAL: CAUCHO, PRESENTACION: UNIDAD</v>
      </c>
      <c r="D39" s="82"/>
      <c r="E39" s="82"/>
      <c r="F39" s="82"/>
      <c r="G39" s="82"/>
      <c r="H39" s="83" t="s">
        <v>397</v>
      </c>
      <c r="I39" s="84" t="str">
        <f>'[1]Necesidades Trimestrales'!F37</f>
        <v>UNIDAD</v>
      </c>
      <c r="J39" s="85">
        <f>'[1]Necesidades Trimestrales'!H37</f>
        <v>22.4</v>
      </c>
      <c r="K39" s="86">
        <f>'[1]Necesidades Trimestrales'!G37</f>
        <v>150</v>
      </c>
    </row>
    <row r="40" spans="1:11" ht="38.4" customHeight="1" thickBot="1">
      <c r="A40" s="80">
        <v>29</v>
      </c>
      <c r="B40" s="81" t="str">
        <f>'[1]Necesidades Trimestrales'!B38</f>
        <v>2.9.2-850.201</v>
      </c>
      <c r="C40" s="82" t="str">
        <f>'[1]Necesidades Trimestrales'!E38</f>
        <v>CAJAS DE ARCHIVO; MATERIAL: CARTON, DIMENSION: 45 X 35 X 25 Cm</v>
      </c>
      <c r="D40" s="82"/>
      <c r="E40" s="82"/>
      <c r="F40" s="82"/>
      <c r="G40" s="82"/>
      <c r="H40" s="83" t="s">
        <v>397</v>
      </c>
      <c r="I40" s="84" t="str">
        <f>'[1]Necesidades Trimestrales'!F38</f>
        <v>UNIDAD</v>
      </c>
      <c r="J40" s="85">
        <f>'[1]Necesidades Trimestrales'!H38</f>
        <v>184.2</v>
      </c>
      <c r="K40" s="86">
        <f>'[1]Necesidades Trimestrales'!G38</f>
        <v>250</v>
      </c>
    </row>
    <row r="41" spans="1:11" ht="38.4" customHeight="1" thickBot="1">
      <c r="A41" s="80">
        <v>30</v>
      </c>
      <c r="B41" s="81" t="str">
        <f>'[1]Necesidades Trimestrales'!B39</f>
        <v>2.9.6-1355.1368</v>
      </c>
      <c r="C41" s="82" t="str">
        <f>'[1]Necesidades Trimestrales'!E39</f>
        <v>CARTUCHOS DE TINTA; CODIGO: 840C 6615, USO: HEWLETT PACKARD</v>
      </c>
      <c r="D41" s="82"/>
      <c r="E41" s="82"/>
      <c r="F41" s="82"/>
      <c r="G41" s="82"/>
      <c r="H41" s="83" t="s">
        <v>397</v>
      </c>
      <c r="I41" s="84" t="str">
        <f>'[1]Necesidades Trimestrales'!F39</f>
        <v>UNIDAD</v>
      </c>
      <c r="J41" s="85">
        <f>'[1]Necesidades Trimestrales'!H39</f>
        <v>2300</v>
      </c>
      <c r="K41" s="86">
        <f>'[1]Necesidades Trimestrales'!G39</f>
        <v>9</v>
      </c>
    </row>
    <row r="42" spans="1:11" ht="38.4" customHeight="1" thickBot="1">
      <c r="A42" s="80">
        <v>31</v>
      </c>
      <c r="B42" s="81" t="str">
        <f>'[1]Necesidades Trimestrales'!B40</f>
        <v>2.9.6-1355.1369</v>
      </c>
      <c r="C42" s="82" t="str">
        <f>'[1]Necesidades Trimestrales'!E40</f>
        <v xml:space="preserve">CARTUCHOS DE TINTA; CODIGO: 840C 6625, USO: DESK JET </v>
      </c>
      <c r="D42" s="82"/>
      <c r="E42" s="82"/>
      <c r="F42" s="82"/>
      <c r="G42" s="82"/>
      <c r="H42" s="83" t="s">
        <v>397</v>
      </c>
      <c r="I42" s="84" t="str">
        <f>'[1]Necesidades Trimestrales'!F40</f>
        <v>UNIDAD</v>
      </c>
      <c r="J42" s="85">
        <f>'[1]Necesidades Trimestrales'!H40</f>
        <v>2500</v>
      </c>
      <c r="K42" s="86">
        <f>'[1]Necesidades Trimestrales'!G40</f>
        <v>9</v>
      </c>
    </row>
    <row r="43" spans="1:11" ht="38.4" customHeight="1" thickBot="1">
      <c r="A43" s="80">
        <v>32</v>
      </c>
      <c r="B43" s="81" t="str">
        <f>'[1]Necesidades Trimestrales'!B41</f>
        <v>2.9.6-1355.1381</v>
      </c>
      <c r="C43" s="82" t="str">
        <f>'[1]Necesidades Trimestrales'!E41</f>
        <v>CARTUCHOS DE TINTA; CODIGO: HP 21, USO: IMPRESORA HP DESK JET 3920</v>
      </c>
      <c r="D43" s="82"/>
      <c r="E43" s="82"/>
      <c r="F43" s="82"/>
      <c r="G43" s="82"/>
      <c r="H43" s="83" t="s">
        <v>397</v>
      </c>
      <c r="I43" s="84" t="str">
        <f>'[1]Necesidades Trimestrales'!F41</f>
        <v>UNIDAD</v>
      </c>
      <c r="J43" s="85">
        <f>'[1]Necesidades Trimestrales'!H41</f>
        <v>2600</v>
      </c>
      <c r="K43" s="86">
        <f>'[1]Necesidades Trimestrales'!G41</f>
        <v>25</v>
      </c>
    </row>
    <row r="44" spans="1:11" ht="38.4" customHeight="1" thickBot="1">
      <c r="A44" s="80">
        <v>33</v>
      </c>
      <c r="B44" s="81" t="str">
        <f>'[1]Necesidades Trimestrales'!B42</f>
        <v>2.9.6-1355.1140</v>
      </c>
      <c r="C44" s="82" t="str">
        <f>'[1]Necesidades Trimestrales'!E42</f>
        <v>CARTUCHOS DE TINTA; CODIGO: C9352AL, DESCRIPCION: SIN VALOR, COLOR: SIN VALOR, USO: HEWLETT PACKARD</v>
      </c>
      <c r="D44" s="82"/>
      <c r="E44" s="82"/>
      <c r="F44" s="82"/>
      <c r="G44" s="82"/>
      <c r="H44" s="83" t="s">
        <v>397</v>
      </c>
      <c r="I44" s="84" t="str">
        <f>'[1]Necesidades Trimestrales'!F42</f>
        <v>UNIDAD</v>
      </c>
      <c r="J44" s="85">
        <f>'[1]Necesidades Trimestrales'!H42</f>
        <v>2800</v>
      </c>
      <c r="K44" s="86">
        <f>'[1]Necesidades Trimestrales'!G42</f>
        <v>25</v>
      </c>
    </row>
    <row r="45" spans="1:11" ht="38.4" customHeight="1" thickBot="1">
      <c r="A45" s="80">
        <v>34</v>
      </c>
      <c r="B45" s="81" t="str">
        <f>'[1]Necesidades Trimestrales'!B43</f>
        <v>2.9.6-1355.1535</v>
      </c>
      <c r="C45" s="82" t="str">
        <f>'[1]Necesidades Trimestrales'!E43</f>
        <v>CARTUCHOS DE TINTA; CODIGO: HP 27, USO: HP</v>
      </c>
      <c r="D45" s="82"/>
      <c r="E45" s="82"/>
      <c r="F45" s="82"/>
      <c r="G45" s="82"/>
      <c r="H45" s="83" t="s">
        <v>397</v>
      </c>
      <c r="I45" s="84" t="str">
        <f>'[1]Necesidades Trimestrales'!F43</f>
        <v>UNIDAD</v>
      </c>
      <c r="J45" s="85">
        <f>'[1]Necesidades Trimestrales'!H43</f>
        <v>1600</v>
      </c>
      <c r="K45" s="86">
        <f>'[1]Necesidades Trimestrales'!G43</f>
        <v>6</v>
      </c>
    </row>
    <row r="46" spans="1:11" ht="38.4" customHeight="1" thickBot="1">
      <c r="A46" s="80">
        <v>35</v>
      </c>
      <c r="B46" s="81" t="str">
        <f>'[1]Necesidades Trimestrales'!B44</f>
        <v>2.9.6-1355.1534</v>
      </c>
      <c r="C46" s="82" t="str">
        <f>'[1]Necesidades Trimestrales'!E44</f>
        <v>CARTUCHOS DE TINTA; CODIGO: HP 28, USO: HP</v>
      </c>
      <c r="D46" s="82"/>
      <c r="E46" s="82"/>
      <c r="F46" s="82"/>
      <c r="G46" s="82"/>
      <c r="H46" s="83" t="s">
        <v>397</v>
      </c>
      <c r="I46" s="84" t="str">
        <f>'[1]Necesidades Trimestrales'!F44</f>
        <v>UNIDAD</v>
      </c>
      <c r="J46" s="85">
        <f>'[1]Necesidades Trimestrales'!H44</f>
        <v>1950</v>
      </c>
      <c r="K46" s="86">
        <f>'[1]Necesidades Trimestrales'!G44</f>
        <v>6</v>
      </c>
    </row>
    <row r="47" spans="1:11" ht="38.4" customHeight="1" thickBot="1">
      <c r="A47" s="80">
        <v>36</v>
      </c>
      <c r="B47" s="81" t="str">
        <f>'[1]Necesidades Trimestrales'!B45</f>
        <v>2.9.6-401.2193</v>
      </c>
      <c r="C47" s="82" t="str">
        <f>'[1]Necesidades Trimestrales'!E45</f>
        <v>CARTUCHOS DE TONER; CODIGO: SP 310 DNW, USO: LASER RICOH</v>
      </c>
      <c r="D47" s="82"/>
      <c r="E47" s="82"/>
      <c r="F47" s="82"/>
      <c r="G47" s="82"/>
      <c r="H47" s="83" t="s">
        <v>397</v>
      </c>
      <c r="I47" s="84" t="str">
        <f>'[1]Necesidades Trimestrales'!F45</f>
        <v>UNIDAD</v>
      </c>
      <c r="J47" s="85">
        <f>'[1]Necesidades Trimestrales'!H45</f>
        <v>8500</v>
      </c>
      <c r="K47" s="86">
        <f>'[1]Necesidades Trimestrales'!G45</f>
        <v>21</v>
      </c>
    </row>
    <row r="48" spans="1:11" ht="38.4" customHeight="1" thickBot="1">
      <c r="A48" s="80">
        <v>37</v>
      </c>
      <c r="B48" s="81" t="str">
        <f>'[1]Necesidades Trimestrales'!B46</f>
        <v>2.9.6-401.2377</v>
      </c>
      <c r="C48" s="82" t="str">
        <f>'[1]Necesidades Trimestrales'!E46</f>
        <v>CARTUCHOS DE TONER; CODIGO: CF279A, USO: HEWLETT PACKARD</v>
      </c>
      <c r="D48" s="82"/>
      <c r="E48" s="82"/>
      <c r="F48" s="82"/>
      <c r="G48" s="82"/>
      <c r="H48" s="83" t="s">
        <v>397</v>
      </c>
      <c r="I48" s="84" t="str">
        <f>'[1]Necesidades Trimestrales'!F46</f>
        <v>UNIDAD</v>
      </c>
      <c r="J48" s="85">
        <f>'[1]Necesidades Trimestrales'!H46</f>
        <v>790</v>
      </c>
      <c r="K48" s="86">
        <f>'[1]Necesidades Trimestrales'!G46</f>
        <v>3</v>
      </c>
    </row>
    <row r="49" spans="1:11" ht="38.4" customHeight="1" thickBot="1">
      <c r="A49" s="80">
        <v>38</v>
      </c>
      <c r="B49" s="81" t="str">
        <f>'[1]Necesidades Trimestrales'!B47</f>
        <v>2.9.6-1355.1379</v>
      </c>
      <c r="C49" s="82" t="str">
        <f>'[1]Necesidades Trimestrales'!E47</f>
        <v>CARTUCHOS DE TINTA; CODIGO: C6656A, USO: HP 5650</v>
      </c>
      <c r="D49" s="82"/>
      <c r="E49" s="82"/>
      <c r="F49" s="82"/>
      <c r="G49" s="82"/>
      <c r="H49" s="83" t="s">
        <v>397</v>
      </c>
      <c r="I49" s="84" t="str">
        <f>'[1]Necesidades Trimestrales'!F47</f>
        <v>UNIDAD</v>
      </c>
      <c r="J49" s="85">
        <f>'[1]Necesidades Trimestrales'!H47</f>
        <v>1790</v>
      </c>
      <c r="K49" s="86">
        <f>'[1]Necesidades Trimestrales'!G47</f>
        <v>6</v>
      </c>
    </row>
    <row r="50" spans="1:11" ht="38.4" customHeight="1" thickBot="1">
      <c r="A50" s="80">
        <v>39</v>
      </c>
      <c r="B50" s="81" t="str">
        <f>'[1]Necesidades Trimestrales'!B48</f>
        <v>2.9.6-1355.623</v>
      </c>
      <c r="C50" s="82" t="str">
        <f>'[1]Necesidades Trimestrales'!E48</f>
        <v>CARTUCHOS DE TINTA; CODIGO: C6657A, PRODUCTO: CARTUCHO DE TINTA, COLOR: COLOR, USO: HEWLETT PACKARD, DESCRIPCION: CARTUCHO DE TINTA</v>
      </c>
      <c r="D50" s="82"/>
      <c r="E50" s="82"/>
      <c r="F50" s="82"/>
      <c r="G50" s="82"/>
      <c r="H50" s="83" t="s">
        <v>397</v>
      </c>
      <c r="I50" s="84" t="str">
        <f>'[1]Necesidades Trimestrales'!F48</f>
        <v>UNIDAD</v>
      </c>
      <c r="J50" s="85">
        <f>'[1]Necesidades Trimestrales'!H48</f>
        <v>2300</v>
      </c>
      <c r="K50" s="86">
        <f>'[1]Necesidades Trimestrales'!G48</f>
        <v>6</v>
      </c>
    </row>
    <row r="51" spans="1:11" ht="38.4" customHeight="1" thickBot="1">
      <c r="A51" s="80">
        <v>40</v>
      </c>
      <c r="B51" s="81" t="str">
        <f>'[1]Necesidades Trimestrales'!B49</f>
        <v>2.9.6-401.2056</v>
      </c>
      <c r="C51" s="82" t="str">
        <f>'[1]Necesidades Trimestrales'!E49</f>
        <v>CARTUCHOS DE TONER; CODIGO: CC640WL, USO: HEWLETT PACKARD</v>
      </c>
      <c r="D51" s="82"/>
      <c r="E51" s="82"/>
      <c r="F51" s="82"/>
      <c r="G51" s="82"/>
      <c r="H51" s="83" t="s">
        <v>397</v>
      </c>
      <c r="I51" s="84" t="str">
        <f>'[1]Necesidades Trimestrales'!F49</f>
        <v>UNIDAD</v>
      </c>
      <c r="J51" s="85">
        <f>'[1]Necesidades Trimestrales'!H49</f>
        <v>1990</v>
      </c>
      <c r="K51" s="86">
        <f>'[1]Necesidades Trimestrales'!G49</f>
        <v>21</v>
      </c>
    </row>
    <row r="52" spans="1:11" ht="38.4" customHeight="1" thickBot="1">
      <c r="A52" s="80">
        <v>41</v>
      </c>
      <c r="B52" s="81" t="str">
        <f>'[1]Necesidades Trimestrales'!B50</f>
        <v>2.9.6-401.1502</v>
      </c>
      <c r="C52" s="82" t="str">
        <f>'[1]Necesidades Trimestrales'!E50</f>
        <v>CARTUCHOS DE TINTA; CODIGO: CC643WL, USO: HEWLETT PACKARD</v>
      </c>
      <c r="D52" s="82"/>
      <c r="E52" s="82"/>
      <c r="F52" s="82"/>
      <c r="G52" s="82"/>
      <c r="H52" s="83" t="s">
        <v>397</v>
      </c>
      <c r="I52" s="84" t="str">
        <f>'[1]Necesidades Trimestrales'!F50</f>
        <v>UNIDAD</v>
      </c>
      <c r="J52" s="85">
        <f>'[1]Necesidades Trimestrales'!H50</f>
        <v>1890</v>
      </c>
      <c r="K52" s="86">
        <f>'[1]Necesidades Trimestrales'!G50</f>
        <v>21</v>
      </c>
    </row>
    <row r="53" spans="1:11" ht="38.4" customHeight="1" thickBot="1">
      <c r="A53" s="80">
        <v>42</v>
      </c>
      <c r="B53" s="81" t="str">
        <f>'[1]Necesidades Trimestrales'!B51</f>
        <v>2.9.2-1620.1</v>
      </c>
      <c r="C53" s="82" t="str">
        <f>'[1]Necesidades Trimestrales'!E51</f>
        <v>DISCO COMPACTO; TIPO: VIRGEN, CAPACIDAD: 700 MB</v>
      </c>
      <c r="D53" s="82"/>
      <c r="E53" s="82"/>
      <c r="F53" s="82"/>
      <c r="G53" s="82"/>
      <c r="H53" s="83" t="s">
        <v>397</v>
      </c>
      <c r="I53" s="84" t="str">
        <f>'[1]Necesidades Trimestrales'!F51</f>
        <v>UNIDAD</v>
      </c>
      <c r="J53" s="85">
        <f>'[1]Necesidades Trimestrales'!H51</f>
        <v>30</v>
      </c>
      <c r="K53" s="86">
        <f>'[1]Necesidades Trimestrales'!G51</f>
        <v>90</v>
      </c>
    </row>
    <row r="54" spans="1:11" ht="38.4" customHeight="1" thickBot="1">
      <c r="A54" s="80">
        <v>43</v>
      </c>
      <c r="B54" s="81" t="str">
        <f>'[1]Necesidades Trimestrales'!B52</f>
        <v>2.9.6-401.1549</v>
      </c>
      <c r="C54" s="82" t="str">
        <f>'[1]Necesidades Trimestrales'!E52</f>
        <v>CARTUCHOS DE TONER; CODIGO: CB317WL, USO: HEWLETT PACKARD</v>
      </c>
      <c r="D54" s="82"/>
      <c r="E54" s="82"/>
      <c r="F54" s="82"/>
      <c r="G54" s="82"/>
      <c r="H54" s="83" t="s">
        <v>397</v>
      </c>
      <c r="I54" s="84" t="str">
        <f>'[1]Necesidades Trimestrales'!F52</f>
        <v>UNIDAD</v>
      </c>
      <c r="J54" s="85">
        <f>'[1]Necesidades Trimestrales'!H52</f>
        <v>3000</v>
      </c>
      <c r="K54" s="86">
        <f>'[1]Necesidades Trimestrales'!G52</f>
        <v>3</v>
      </c>
    </row>
    <row r="55" spans="1:11" ht="38.4" customHeight="1" thickBot="1">
      <c r="A55" s="80">
        <v>44</v>
      </c>
      <c r="B55" s="81" t="str">
        <f>'[1]Necesidades Trimestrales'!B53</f>
        <v>2.9.6-401.1875</v>
      </c>
      <c r="C55" s="82" t="str">
        <f>'[1]Necesidades Trimestrales'!E53</f>
        <v>CARTUCHOS DE TONER; CODIGO: CE255, USO: HP 3015</v>
      </c>
      <c r="D55" s="82"/>
      <c r="E55" s="82"/>
      <c r="F55" s="82"/>
      <c r="G55" s="82"/>
      <c r="H55" s="83" t="s">
        <v>397</v>
      </c>
      <c r="I55" s="84" t="str">
        <f>'[1]Necesidades Trimestrales'!F53</f>
        <v>UNIDAD</v>
      </c>
      <c r="J55" s="85">
        <f>'[1]Necesidades Trimestrales'!H53</f>
        <v>3200</v>
      </c>
      <c r="K55" s="86">
        <f>'[1]Necesidades Trimestrales'!G53</f>
        <v>3</v>
      </c>
    </row>
    <row r="56" spans="1:11" ht="38.4" customHeight="1" thickBot="1">
      <c r="A56" s="80">
        <v>45</v>
      </c>
      <c r="B56" s="81" t="str">
        <f>'[1]Necesidades Trimestrales'!B54</f>
        <v>2.9.6-401.1486</v>
      </c>
      <c r="C56" s="82" t="str">
        <f>'[1]Necesidades Trimestrales'!E54</f>
        <v>CARTUCHOS DE TONER; CODIGO: HP 53A, USO: HP</v>
      </c>
      <c r="D56" s="82"/>
      <c r="E56" s="82"/>
      <c r="F56" s="82"/>
      <c r="G56" s="82"/>
      <c r="H56" s="83" t="s">
        <v>397</v>
      </c>
      <c r="I56" s="84" t="str">
        <f>'[1]Necesidades Trimestrales'!F54</f>
        <v>UNIDAD</v>
      </c>
      <c r="J56" s="85">
        <f>'[1]Necesidades Trimestrales'!H54</f>
        <v>1500</v>
      </c>
      <c r="K56" s="86">
        <f>'[1]Necesidades Trimestrales'!G54</f>
        <v>25</v>
      </c>
    </row>
    <row r="57" spans="1:11" ht="38.4" customHeight="1" thickBot="1">
      <c r="A57" s="80">
        <v>46</v>
      </c>
      <c r="B57" s="81" t="str">
        <f>'[1]Necesidades Trimestrales'!B55</f>
        <v>2.9.6-401.932</v>
      </c>
      <c r="C57" s="82" t="str">
        <f>'[1]Necesidades Trimestrales'!E55</f>
        <v>CARTUCHOS DE TONER; CODIGO: Q7551A, COLOR: NEGRO, DESCRIPCION: CARTUCHO TONER, USO: HEWLETT PACKARD</v>
      </c>
      <c r="D57" s="82"/>
      <c r="E57" s="82"/>
      <c r="F57" s="82"/>
      <c r="G57" s="82"/>
      <c r="H57" s="83" t="s">
        <v>397</v>
      </c>
      <c r="I57" s="84" t="str">
        <f>'[1]Necesidades Trimestrales'!F55</f>
        <v>UNIDAD</v>
      </c>
      <c r="J57" s="85">
        <f>'[1]Necesidades Trimestrales'!H55</f>
        <v>8500</v>
      </c>
      <c r="K57" s="86">
        <f>'[1]Necesidades Trimestrales'!G55</f>
        <v>6</v>
      </c>
    </row>
    <row r="58" spans="1:11" ht="38.4" customHeight="1" thickBot="1">
      <c r="A58" s="80">
        <v>47</v>
      </c>
      <c r="B58" s="81" t="str">
        <f>'[1]Necesidades Trimestrales'!B56</f>
        <v>2.9.6-401.2024</v>
      </c>
      <c r="C58" s="82" t="str">
        <f>'[1]Necesidades Trimestrales'!E56</f>
        <v>CARTUCHOS DE TONER; CODIGO: MLT-D111S, USO: SAMSUNG</v>
      </c>
      <c r="D58" s="82"/>
      <c r="E58" s="82"/>
      <c r="F58" s="82"/>
      <c r="G58" s="82"/>
      <c r="H58" s="83" t="s">
        <v>397</v>
      </c>
      <c r="I58" s="84" t="str">
        <f>'[1]Necesidades Trimestrales'!F56</f>
        <v>UNIDAD</v>
      </c>
      <c r="J58" s="85">
        <f>'[1]Necesidades Trimestrales'!H56</f>
        <v>6000</v>
      </c>
      <c r="K58" s="86">
        <f>'[1]Necesidades Trimestrales'!G56</f>
        <v>24</v>
      </c>
    </row>
    <row r="59" spans="1:11" ht="38.4" customHeight="1" thickBot="1">
      <c r="A59" s="80">
        <v>48</v>
      </c>
      <c r="B59" s="81" t="str">
        <f>'[1]Necesidades Trimestrales'!B57</f>
        <v>2.9.6-401.1362</v>
      </c>
      <c r="C59" s="82" t="str">
        <f>'[1]Necesidades Trimestrales'!E57</f>
        <v>CARTUCHOS DE TONER; CODIGO: CE285A, USO: HEWLETT PACKARD</v>
      </c>
      <c r="D59" s="82"/>
      <c r="E59" s="82"/>
      <c r="F59" s="82"/>
      <c r="G59" s="82"/>
      <c r="H59" s="83" t="s">
        <v>397</v>
      </c>
      <c r="I59" s="84" t="str">
        <f>'[1]Necesidades Trimestrales'!F57</f>
        <v>UNIDAD</v>
      </c>
      <c r="J59" s="85">
        <f>'[1]Necesidades Trimestrales'!H57</f>
        <v>690</v>
      </c>
      <c r="K59" s="86">
        <f>'[1]Necesidades Trimestrales'!G57</f>
        <v>30</v>
      </c>
    </row>
    <row r="60" spans="1:11" ht="38.4" customHeight="1" thickBot="1">
      <c r="A60" s="80">
        <v>49</v>
      </c>
      <c r="B60" s="81" t="str">
        <f>'[1]Necesidades Trimestrales'!B58</f>
        <v>2.9.6-401.2093</v>
      </c>
      <c r="C60" s="82" t="str">
        <f>'[1]Necesidades Trimestrales'!E58</f>
        <v>CARTUCHOS DE TONER; CODIGO: SP5210DN, USO: LANIER RICOH</v>
      </c>
      <c r="D60" s="82"/>
      <c r="E60" s="82"/>
      <c r="F60" s="82"/>
      <c r="G60" s="82"/>
      <c r="H60" s="83" t="s">
        <v>397</v>
      </c>
      <c r="I60" s="84" t="str">
        <f>'[1]Necesidades Trimestrales'!F58</f>
        <v>UNIDAD</v>
      </c>
      <c r="J60" s="85">
        <f>'[1]Necesidades Trimestrales'!H58</f>
        <v>7700</v>
      </c>
      <c r="K60" s="86">
        <f>'[1]Necesidades Trimestrales'!G58</f>
        <v>3</v>
      </c>
    </row>
    <row r="61" spans="1:11" ht="38.4" customHeight="1" thickBot="1">
      <c r="A61" s="80">
        <v>50</v>
      </c>
      <c r="B61" s="81" t="str">
        <f>'[1]Necesidades Trimestrales'!B59</f>
        <v>2.9.6-401.2045</v>
      </c>
      <c r="C61" s="82" t="str">
        <f>'[1]Necesidades Trimestrales'!E59</f>
        <v>CARTUCHOS DE TONER; CODIGO: TN 1060, USO: BROTHER</v>
      </c>
      <c r="D61" s="82"/>
      <c r="E61" s="82"/>
      <c r="F61" s="82"/>
      <c r="G61" s="82"/>
      <c r="H61" s="83" t="s">
        <v>397</v>
      </c>
      <c r="I61" s="84" t="str">
        <f>'[1]Necesidades Trimestrales'!F59</f>
        <v>UNIDAD</v>
      </c>
      <c r="J61" s="85">
        <f>'[1]Necesidades Trimestrales'!H59</f>
        <v>790</v>
      </c>
      <c r="K61" s="86">
        <f>'[1]Necesidades Trimestrales'!G59</f>
        <v>30</v>
      </c>
    </row>
    <row r="62" spans="1:11" ht="38.4" customHeight="1" thickBot="1">
      <c r="A62" s="80">
        <v>51</v>
      </c>
      <c r="B62" s="81" t="str">
        <f>'[1]Necesidades Trimestrales'!B60</f>
        <v>2.9.6-1355.1631</v>
      </c>
      <c r="C62" s="82" t="str">
        <f>'[1]Necesidades Trimestrales'!E60</f>
        <v>CARTUCHOS DE TINTA; CODIGO: CH561HL, USO: HEWLETT PACKARD</v>
      </c>
      <c r="D62" s="82"/>
      <c r="E62" s="82"/>
      <c r="F62" s="82"/>
      <c r="G62" s="82"/>
      <c r="H62" s="83" t="s">
        <v>397</v>
      </c>
      <c r="I62" s="84" t="str">
        <f>'[1]Necesidades Trimestrales'!F60</f>
        <v>UNIDAD</v>
      </c>
      <c r="J62" s="85">
        <f>'[1]Necesidades Trimestrales'!H60</f>
        <v>1900</v>
      </c>
      <c r="K62" s="86">
        <f>'[1]Necesidades Trimestrales'!G60</f>
        <v>12</v>
      </c>
    </row>
    <row r="63" spans="1:11" ht="38.4" customHeight="1" thickBot="1">
      <c r="A63" s="80">
        <v>52</v>
      </c>
      <c r="B63" s="81" t="str">
        <f>'[1]Necesidades Trimestrales'!B61</f>
        <v>2.9.6-1355.1630</v>
      </c>
      <c r="C63" s="82" t="str">
        <f>'[1]Necesidades Trimestrales'!E61</f>
        <v>CARTUCHOS DE TINTA; CODIGO: CH562HL, USO: HEWLETT PACKARD</v>
      </c>
      <c r="D63" s="82"/>
      <c r="E63" s="82"/>
      <c r="F63" s="82"/>
      <c r="G63" s="82"/>
      <c r="H63" s="83" t="s">
        <v>397</v>
      </c>
      <c r="I63" s="84" t="str">
        <f>'[1]Necesidades Trimestrales'!F61</f>
        <v>UNIDAD</v>
      </c>
      <c r="J63" s="85">
        <f>'[1]Necesidades Trimestrales'!H61</f>
        <v>2300</v>
      </c>
      <c r="K63" s="86">
        <f>'[1]Necesidades Trimestrales'!G61</f>
        <v>12</v>
      </c>
    </row>
    <row r="64" spans="1:11" ht="38.4" customHeight="1" thickBot="1">
      <c r="A64" s="80">
        <v>53</v>
      </c>
      <c r="B64" s="81" t="str">
        <f>'[1]Necesidades Trimestrales'!B62</f>
        <v>2.9.6-1355.1425</v>
      </c>
      <c r="C64" s="82" t="str">
        <f>'[1]Necesidades Trimestrales'!E62</f>
        <v>CARTUCHOS DE TINTA; CODIGO: CD972AL, USO: HEWLETT PACKARD</v>
      </c>
      <c r="D64" s="82"/>
      <c r="E64" s="82"/>
      <c r="F64" s="82"/>
      <c r="G64" s="82"/>
      <c r="H64" s="83" t="s">
        <v>397</v>
      </c>
      <c r="I64" s="84" t="str">
        <f>'[1]Necesidades Trimestrales'!F62</f>
        <v>UNIDAD</v>
      </c>
      <c r="J64" s="85">
        <f>'[1]Necesidades Trimestrales'!H62</f>
        <v>3414</v>
      </c>
      <c r="K64" s="86">
        <f>'[1]Necesidades Trimestrales'!G62</f>
        <v>3</v>
      </c>
    </row>
    <row r="65" spans="1:11" ht="38.4" customHeight="1" thickBot="1">
      <c r="A65" s="80">
        <v>54</v>
      </c>
      <c r="B65" s="81" t="str">
        <f>'[1]Necesidades Trimestrales'!B63</f>
        <v>2.9.6-1355.1426</v>
      </c>
      <c r="C65" s="82" t="str">
        <f>'[1]Necesidades Trimestrales'!E63</f>
        <v>CARTUCHOS DE TINTA; CODIGO: CD973AL, USO: HEWLETT PACKARD</v>
      </c>
      <c r="D65" s="82"/>
      <c r="E65" s="82"/>
      <c r="F65" s="82"/>
      <c r="G65" s="82"/>
      <c r="H65" s="83" t="s">
        <v>397</v>
      </c>
      <c r="I65" s="84" t="str">
        <f>'[1]Necesidades Trimestrales'!F63</f>
        <v>UNIDAD</v>
      </c>
      <c r="J65" s="85">
        <f>'[1]Necesidades Trimestrales'!H63</f>
        <v>3414</v>
      </c>
      <c r="K65" s="86">
        <f>'[1]Necesidades Trimestrales'!G63</f>
        <v>3</v>
      </c>
    </row>
    <row r="66" spans="1:11" ht="38.4" customHeight="1" thickBot="1">
      <c r="A66" s="80">
        <v>55</v>
      </c>
      <c r="B66" s="81" t="str">
        <f>'[1]Necesidades Trimestrales'!B64</f>
        <v>2.9.6-1355.1427</v>
      </c>
      <c r="C66" s="82" t="str">
        <f>'[1]Necesidades Trimestrales'!E64</f>
        <v>CARTUCHOS DE TINTA; CODIGO: CD974AL, USO: HEWLETT PACKARD</v>
      </c>
      <c r="D66" s="82"/>
      <c r="E66" s="82"/>
      <c r="F66" s="82"/>
      <c r="G66" s="82"/>
      <c r="H66" s="83" t="s">
        <v>397</v>
      </c>
      <c r="I66" s="84" t="str">
        <f>'[1]Necesidades Trimestrales'!F64</f>
        <v>UNIDAD</v>
      </c>
      <c r="J66" s="85">
        <f>'[1]Necesidades Trimestrales'!H64</f>
        <v>3414</v>
      </c>
      <c r="K66" s="86">
        <f>'[1]Necesidades Trimestrales'!G64</f>
        <v>3</v>
      </c>
    </row>
    <row r="67" spans="1:11" ht="38.4" customHeight="1" thickBot="1">
      <c r="A67" s="80">
        <v>56</v>
      </c>
      <c r="B67" s="81" t="str">
        <f>'[1]Necesidades Trimestrales'!B65</f>
        <v>2.9.6-401.2294</v>
      </c>
      <c r="C67" s="82" t="str">
        <f>'[1]Necesidades Trimestrales'!E65</f>
        <v>CARTUCHOS DE TONER; CODIGO: TN-3479, USO: BROTHER</v>
      </c>
      <c r="D67" s="82"/>
      <c r="E67" s="82"/>
      <c r="F67" s="82"/>
      <c r="G67" s="82"/>
      <c r="H67" s="83" t="s">
        <v>397</v>
      </c>
      <c r="I67" s="84" t="str">
        <f>'[1]Necesidades Trimestrales'!F65</f>
        <v>UNIDAD</v>
      </c>
      <c r="J67" s="85">
        <f>'[1]Necesidades Trimestrales'!H65</f>
        <v>2500</v>
      </c>
      <c r="K67" s="86">
        <f>'[1]Necesidades Trimestrales'!G65</f>
        <v>3</v>
      </c>
    </row>
    <row r="68" spans="1:11" ht="38.4" customHeight="1" thickBot="1">
      <c r="A68" s="80">
        <v>57</v>
      </c>
      <c r="B68" s="81" t="str">
        <f>'[1]Necesidades Trimestrales'!B66</f>
        <v>2.9.6-401.1755</v>
      </c>
      <c r="C68" s="82" t="str">
        <f>'[1]Necesidades Trimestrales'!E66</f>
        <v>CARTUCHOS DE TONER; CODIGO: CLT-K406S, USO: SAMSUNG</v>
      </c>
      <c r="D68" s="82"/>
      <c r="E68" s="82"/>
      <c r="F68" s="82"/>
      <c r="G68" s="82"/>
      <c r="H68" s="83" t="s">
        <v>397</v>
      </c>
      <c r="I68" s="84" t="str">
        <f>'[1]Necesidades Trimestrales'!F66</f>
        <v>UNIDAD</v>
      </c>
      <c r="J68" s="85">
        <f>'[1]Necesidades Trimestrales'!H66</f>
        <v>2200</v>
      </c>
      <c r="K68" s="86">
        <f>'[1]Necesidades Trimestrales'!G66</f>
        <v>6</v>
      </c>
    </row>
    <row r="69" spans="1:11" ht="38.4" customHeight="1" thickBot="1">
      <c r="A69" s="80">
        <v>58</v>
      </c>
      <c r="B69" s="81" t="str">
        <f>'[1]Necesidades Trimestrales'!B67</f>
        <v>2.9.6-401.1172</v>
      </c>
      <c r="C69" s="82" t="str">
        <f>'[1]Necesidades Trimestrales'!E67</f>
        <v>CARTUCHOS DE TONER; CODIGO: CC364A, USO: HEWLETT PACKARD</v>
      </c>
      <c r="D69" s="82"/>
      <c r="E69" s="82"/>
      <c r="F69" s="82"/>
      <c r="G69" s="82"/>
      <c r="H69" s="83" t="s">
        <v>397</v>
      </c>
      <c r="I69" s="84" t="str">
        <f>'[1]Necesidades Trimestrales'!F67</f>
        <v>UNIDAD</v>
      </c>
      <c r="J69" s="85">
        <f>'[1]Necesidades Trimestrales'!H67</f>
        <v>8500</v>
      </c>
      <c r="K69" s="86">
        <f>'[1]Necesidades Trimestrales'!G67</f>
        <v>6</v>
      </c>
    </row>
    <row r="70" spans="1:11" ht="38.4" customHeight="1" thickBot="1">
      <c r="A70" s="80">
        <v>59</v>
      </c>
      <c r="B70" s="81" t="str">
        <f>'[1]Necesidades Trimestrales'!B68</f>
        <v>2.9.6-401.1859</v>
      </c>
      <c r="C70" s="82" t="str">
        <f>'[1]Necesidades Trimestrales'!E68</f>
        <v>CARTUCHOS DE TONER; CODIGO: MLT-D101S, USO: SAMSUNG 2165</v>
      </c>
      <c r="D70" s="82"/>
      <c r="E70" s="82"/>
      <c r="F70" s="82"/>
      <c r="G70" s="82"/>
      <c r="H70" s="83" t="s">
        <v>397</v>
      </c>
      <c r="I70" s="84" t="str">
        <f>'[1]Necesidades Trimestrales'!F68</f>
        <v>UNIDAD</v>
      </c>
      <c r="J70" s="85">
        <f>'[1]Necesidades Trimestrales'!H68</f>
        <v>1500</v>
      </c>
      <c r="K70" s="86">
        <f>'[1]Necesidades Trimestrales'!G68</f>
        <v>21</v>
      </c>
    </row>
    <row r="71" spans="1:11" ht="38.4" customHeight="1" thickBot="1">
      <c r="A71" s="80">
        <v>60</v>
      </c>
      <c r="B71" s="81" t="str">
        <f>'[1]Necesidades Trimestrales'!B69</f>
        <v>2.9.6-1355.1993</v>
      </c>
      <c r="C71" s="82" t="str">
        <f>'[1]Necesidades Trimestrales'!E69</f>
        <v>CARTUCHOS DE TINTA; USO: HP, CODIGO: 950XL</v>
      </c>
      <c r="D71" s="82"/>
      <c r="E71" s="82"/>
      <c r="F71" s="82"/>
      <c r="G71" s="82"/>
      <c r="H71" s="83" t="s">
        <v>397</v>
      </c>
      <c r="I71" s="84" t="str">
        <f>'[1]Necesidades Trimestrales'!F69</f>
        <v>UNIDAD</v>
      </c>
      <c r="J71" s="85">
        <f>'[1]Necesidades Trimestrales'!H69</f>
        <v>3500</v>
      </c>
      <c r="K71" s="86">
        <f>'[1]Necesidades Trimestrales'!G69</f>
        <v>3</v>
      </c>
    </row>
    <row r="72" spans="1:11" ht="38.4" customHeight="1" thickBot="1">
      <c r="A72" s="80">
        <v>61</v>
      </c>
      <c r="B72" s="81" t="str">
        <f>'[1]Necesidades Trimestrales'!B70</f>
        <v>2.9.6-1355.1750</v>
      </c>
      <c r="C72" s="82" t="str">
        <f>'[1]Necesidades Trimestrales'!E70</f>
        <v>CARTUCHOS DE TINTA; CODIGO: 951XL, USO: HP</v>
      </c>
      <c r="D72" s="82"/>
      <c r="E72" s="82"/>
      <c r="F72" s="82"/>
      <c r="G72" s="82"/>
      <c r="H72" s="83" t="s">
        <v>397</v>
      </c>
      <c r="I72" s="84" t="str">
        <f>'[1]Necesidades Trimestrales'!F70</f>
        <v>UNIDAD</v>
      </c>
      <c r="J72" s="85">
        <f>'[1]Necesidades Trimestrales'!H70</f>
        <v>3600</v>
      </c>
      <c r="K72" s="86">
        <f>'[1]Necesidades Trimestrales'!G70</f>
        <v>3</v>
      </c>
    </row>
    <row r="73" spans="1:11" ht="38.4" customHeight="1" thickBot="1">
      <c r="A73" s="80">
        <v>62</v>
      </c>
      <c r="B73" s="81" t="str">
        <f>'[1]Necesidades Trimestrales'!B71</f>
        <v>2.9.6-1355.1750</v>
      </c>
      <c r="C73" s="82" t="str">
        <f>'[1]Necesidades Trimestrales'!E71</f>
        <v>CARTUCHOS DE TINTA; CODIGO: 951XL, USO: HP</v>
      </c>
      <c r="D73" s="82"/>
      <c r="E73" s="82"/>
      <c r="F73" s="82"/>
      <c r="G73" s="82"/>
      <c r="H73" s="83" t="s">
        <v>397</v>
      </c>
      <c r="I73" s="84" t="str">
        <f>'[1]Necesidades Trimestrales'!F71</f>
        <v>UNIDAD</v>
      </c>
      <c r="J73" s="85">
        <f>'[1]Necesidades Trimestrales'!H71</f>
        <v>3600</v>
      </c>
      <c r="K73" s="86">
        <f>'[1]Necesidades Trimestrales'!G71</f>
        <v>3</v>
      </c>
    </row>
    <row r="74" spans="1:11" ht="38.4" customHeight="1" thickBot="1">
      <c r="A74" s="80">
        <v>63</v>
      </c>
      <c r="B74" s="81" t="str">
        <f>'[1]Necesidades Trimestrales'!B72</f>
        <v>2.9.6-1355.1750</v>
      </c>
      <c r="C74" s="82" t="str">
        <f>'[1]Necesidades Trimestrales'!E72</f>
        <v>CARTUCHOS DE TINTA; CODIGO: 951XL, USO: HP</v>
      </c>
      <c r="D74" s="82"/>
      <c r="E74" s="82"/>
      <c r="F74" s="82"/>
      <c r="G74" s="82"/>
      <c r="H74" s="83" t="s">
        <v>397</v>
      </c>
      <c r="I74" s="84" t="str">
        <f>'[1]Necesidades Trimestrales'!F72</f>
        <v>UNIDAD</v>
      </c>
      <c r="J74" s="85">
        <f>'[1]Necesidades Trimestrales'!H72</f>
        <v>3600</v>
      </c>
      <c r="K74" s="86">
        <f>'[1]Necesidades Trimestrales'!G72</f>
        <v>3</v>
      </c>
    </row>
    <row r="75" spans="1:11" ht="38.4" customHeight="1" thickBot="1">
      <c r="A75" s="80">
        <v>64</v>
      </c>
      <c r="B75" s="81" t="str">
        <f>'[1]Necesidades Trimestrales'!B73</f>
        <v>2.9.6-1355.1858</v>
      </c>
      <c r="C75" s="82" t="str">
        <f>'[1]Necesidades Trimestrales'!E73</f>
        <v>CARTUCHOS DE TINTA; CODIGO: CZ103XL, USO: HP 3515</v>
      </c>
      <c r="D75" s="82"/>
      <c r="E75" s="82"/>
      <c r="F75" s="82"/>
      <c r="G75" s="82"/>
      <c r="H75" s="83" t="s">
        <v>397</v>
      </c>
      <c r="I75" s="84" t="str">
        <f>'[1]Necesidades Trimestrales'!F73</f>
        <v>UNIDAD</v>
      </c>
      <c r="J75" s="85">
        <f>'[1]Necesidades Trimestrales'!H73</f>
        <v>1990</v>
      </c>
      <c r="K75" s="86">
        <f>'[1]Necesidades Trimestrales'!G73</f>
        <v>24</v>
      </c>
    </row>
    <row r="76" spans="1:11" ht="38.4" customHeight="1" thickBot="1">
      <c r="A76" s="80">
        <v>65</v>
      </c>
      <c r="B76" s="81" t="str">
        <f>'[1]Necesidades Trimestrales'!B74</f>
        <v>2.9.6-1355.1859</v>
      </c>
      <c r="C76" s="82" t="str">
        <f>'[1]Necesidades Trimestrales'!E74</f>
        <v>CARTUCHOS DE TINTA; CODIGO: CZ104XL, USO: HP 3515</v>
      </c>
      <c r="D76" s="82"/>
      <c r="E76" s="82"/>
      <c r="F76" s="82"/>
      <c r="G76" s="82"/>
      <c r="H76" s="83" t="s">
        <v>397</v>
      </c>
      <c r="I76" s="84" t="str">
        <f>'[1]Necesidades Trimestrales'!F74</f>
        <v>UNIDAD</v>
      </c>
      <c r="J76" s="85">
        <f>'[1]Necesidades Trimestrales'!H74</f>
        <v>1850</v>
      </c>
      <c r="K76" s="86">
        <f>'[1]Necesidades Trimestrales'!G74</f>
        <v>24</v>
      </c>
    </row>
    <row r="77" spans="1:11" ht="38.4" customHeight="1" thickBot="1">
      <c r="A77" s="80">
        <v>66</v>
      </c>
      <c r="B77" s="81" t="str">
        <f>'[1]Necesidades Trimestrales'!B75</f>
        <v>2.9.6-401.1060</v>
      </c>
      <c r="C77" s="82" t="str">
        <f>'[1]Necesidades Trimestrales'!E75</f>
        <v>CARTUCHOS DE TONER; CODIGO: HPQ2612A, COLOR: SIN VALOR, DESCRIPCION: SIN VALOR, USO: HEWLETT PACKARD</v>
      </c>
      <c r="D77" s="82"/>
      <c r="E77" s="82"/>
      <c r="F77" s="82"/>
      <c r="G77" s="82"/>
      <c r="H77" s="83" t="s">
        <v>397</v>
      </c>
      <c r="I77" s="84" t="str">
        <f>'[1]Necesidades Trimestrales'!F75</f>
        <v>UNIDAD</v>
      </c>
      <c r="J77" s="85">
        <f>'[1]Necesidades Trimestrales'!H75</f>
        <v>790</v>
      </c>
      <c r="K77" s="86">
        <f>'[1]Necesidades Trimestrales'!G75</f>
        <v>6</v>
      </c>
    </row>
    <row r="78" spans="1:11" ht="38.4" customHeight="1" thickBot="1">
      <c r="A78" s="80">
        <v>67</v>
      </c>
      <c r="B78" s="81" t="str">
        <f>'[1]Necesidades Trimestrales'!B76</f>
        <v>2.9.6-401.1097</v>
      </c>
      <c r="C78" s="82" t="str">
        <f>'[1]Necesidades Trimestrales'!E76</f>
        <v>CARTUCHOS DE TONER; CODIGO: CB435A, USO: HEWLETT PACKARD</v>
      </c>
      <c r="D78" s="82"/>
      <c r="E78" s="82"/>
      <c r="F78" s="82"/>
      <c r="G78" s="82"/>
      <c r="H78" s="83" t="s">
        <v>397</v>
      </c>
      <c r="I78" s="84" t="str">
        <f>'[1]Necesidades Trimestrales'!F76</f>
        <v>UNIDAD</v>
      </c>
      <c r="J78" s="85">
        <f>'[1]Necesidades Trimestrales'!H76</f>
        <v>790</v>
      </c>
      <c r="K78" s="86">
        <f>'[1]Necesidades Trimestrales'!G76</f>
        <v>6</v>
      </c>
    </row>
    <row r="79" spans="1:11" ht="38.4" customHeight="1" thickBot="1">
      <c r="A79" s="80">
        <v>68</v>
      </c>
      <c r="B79" s="81" t="str">
        <f>'[1]Necesidades Trimestrales'!B77</f>
        <v>2.9.6-401.1550</v>
      </c>
      <c r="C79" s="82" t="str">
        <f>'[1]Necesidades Trimestrales'!E77</f>
        <v>CARTUCHOS DE TONER; CODIGO: CB316WL, USO: HEWLETT PACKARD</v>
      </c>
      <c r="D79" s="82"/>
      <c r="E79" s="82"/>
      <c r="F79" s="82"/>
      <c r="G79" s="82"/>
      <c r="H79" s="83" t="s">
        <v>397</v>
      </c>
      <c r="I79" s="84" t="str">
        <f>'[1]Necesidades Trimestrales'!F77</f>
        <v>UNIDAD</v>
      </c>
      <c r="J79" s="85">
        <f>'[1]Necesidades Trimestrales'!H77</f>
        <v>2500</v>
      </c>
      <c r="K79" s="86">
        <f>'[1]Necesidades Trimestrales'!G77</f>
        <v>3</v>
      </c>
    </row>
    <row r="80" spans="1:11" ht="38.4" customHeight="1" thickBot="1">
      <c r="A80" s="80">
        <v>69</v>
      </c>
      <c r="B80" s="81" t="str">
        <f>'[1]Necesidades Trimestrales'!B78</f>
        <v>2.9.6-1355.1746</v>
      </c>
      <c r="C80" s="82" t="str">
        <f>'[1]Necesidades Trimestrales'!E78</f>
        <v>CARTUCHOS DE TINTA; CODIGO: CB318WL, USO: HEWLETT PACKARD</v>
      </c>
      <c r="D80" s="82"/>
      <c r="E80" s="82"/>
      <c r="F80" s="82"/>
      <c r="G80" s="82"/>
      <c r="H80" s="83" t="s">
        <v>397</v>
      </c>
      <c r="I80" s="84" t="str">
        <f>'[1]Necesidades Trimestrales'!F78</f>
        <v>UNIDAD</v>
      </c>
      <c r="J80" s="85">
        <f>'[1]Necesidades Trimestrales'!H78</f>
        <v>2290</v>
      </c>
      <c r="K80" s="86">
        <f>'[1]Necesidades Trimestrales'!G78</f>
        <v>3</v>
      </c>
    </row>
    <row r="81" spans="1:11" ht="38.4" customHeight="1" thickBot="1">
      <c r="A81" s="80">
        <v>70</v>
      </c>
      <c r="B81" s="81" t="str">
        <f>'[1]Necesidades Trimestrales'!B79</f>
        <v>2.9.6-1355.1747</v>
      </c>
      <c r="C81" s="82" t="str">
        <f>'[1]Necesidades Trimestrales'!E79</f>
        <v>CARTUCHOS DE TINTA; CODIGO: CB319WL, USO: HEWLETT PACKARD</v>
      </c>
      <c r="D81" s="82"/>
      <c r="E81" s="82"/>
      <c r="F81" s="82"/>
      <c r="G81" s="82"/>
      <c r="H81" s="83" t="s">
        <v>397</v>
      </c>
      <c r="I81" s="84" t="str">
        <f>'[1]Necesidades Trimestrales'!F79</f>
        <v>UNIDAD</v>
      </c>
      <c r="J81" s="85">
        <f>'[1]Necesidades Trimestrales'!H79</f>
        <v>2290</v>
      </c>
      <c r="K81" s="86">
        <f>'[1]Necesidades Trimestrales'!G79</f>
        <v>3</v>
      </c>
    </row>
    <row r="82" spans="1:11" ht="38.4" customHeight="1" thickBot="1">
      <c r="A82" s="80">
        <v>71</v>
      </c>
      <c r="B82" s="81" t="str">
        <f>'[1]Necesidades Trimestrales'!B80</f>
        <v>2.9.6-1355.1748</v>
      </c>
      <c r="C82" s="82" t="str">
        <f>'[1]Necesidades Trimestrales'!E80</f>
        <v>CARTUCHOS DE TINTA; CODIGO: CB320WL, USO: HEWLETT PACKARD</v>
      </c>
      <c r="D82" s="82"/>
      <c r="E82" s="82"/>
      <c r="F82" s="82"/>
      <c r="G82" s="82"/>
      <c r="H82" s="83" t="s">
        <v>397</v>
      </c>
      <c r="I82" s="84" t="str">
        <f>'[1]Necesidades Trimestrales'!F80</f>
        <v>UNIDAD</v>
      </c>
      <c r="J82" s="85">
        <f>'[1]Necesidades Trimestrales'!H80</f>
        <v>2290</v>
      </c>
      <c r="K82" s="86">
        <f>'[1]Necesidades Trimestrales'!G80</f>
        <v>3</v>
      </c>
    </row>
    <row r="83" spans="1:11" ht="38.4" customHeight="1" thickBot="1">
      <c r="A83" s="80">
        <v>72</v>
      </c>
      <c r="B83" s="81" t="str">
        <f>'[1]Necesidades Trimestrales'!B81</f>
        <v>2.9.6-1355.1988</v>
      </c>
      <c r="C83" s="82" t="str">
        <f>'[1]Necesidades Trimestrales'!E81</f>
        <v>CARTUCHOS DE TINTA; CODIGO: 664, USO: HEWLET PACKARD</v>
      </c>
      <c r="D83" s="82"/>
      <c r="E83" s="82"/>
      <c r="F83" s="82"/>
      <c r="G83" s="82"/>
      <c r="H83" s="83" t="s">
        <v>397</v>
      </c>
      <c r="I83" s="84" t="str">
        <f>'[1]Necesidades Trimestrales'!F81</f>
        <v>UNIDAD</v>
      </c>
      <c r="J83" s="85">
        <f>'[1]Necesidades Trimestrales'!H81</f>
        <v>2800</v>
      </c>
      <c r="K83" s="86">
        <f>'[1]Necesidades Trimestrales'!G81</f>
        <v>9</v>
      </c>
    </row>
    <row r="84" spans="1:11" ht="38.4" customHeight="1" thickBot="1">
      <c r="A84" s="80">
        <v>73</v>
      </c>
      <c r="B84" s="81" t="str">
        <f>'[1]Necesidades Trimestrales'!B82</f>
        <v>2.9.6-1355.1988</v>
      </c>
      <c r="C84" s="82" t="str">
        <f>'[1]Necesidades Trimestrales'!E82</f>
        <v>CARTUCHOS DE TINTA; CODIGO: 664, USO: HEWLET PACKARD</v>
      </c>
      <c r="D84" s="82"/>
      <c r="E84" s="82"/>
      <c r="F84" s="82"/>
      <c r="G84" s="82"/>
      <c r="H84" s="83" t="s">
        <v>397</v>
      </c>
      <c r="I84" s="84" t="str">
        <f>'[1]Necesidades Trimestrales'!F82</f>
        <v>UNIDAD</v>
      </c>
      <c r="J84" s="85">
        <f>'[1]Necesidades Trimestrales'!H82</f>
        <v>3000</v>
      </c>
      <c r="K84" s="86">
        <f>'[1]Necesidades Trimestrales'!G82</f>
        <v>9</v>
      </c>
    </row>
    <row r="85" spans="1:11" ht="38.4" customHeight="1" thickBot="1">
      <c r="A85" s="80">
        <v>74</v>
      </c>
      <c r="B85" s="81" t="str">
        <f>'[1]Necesidades Trimestrales'!B83</f>
        <v>2.9.6-1891.822</v>
      </c>
      <c r="C85" s="82" t="str">
        <f>'[1]Necesidades Trimestrales'!E83</f>
        <v>REP. Y ACC. P/IMPRESORA; MODELO EQUIPO: L3110, MARCA EQUIPO: EPSON, ELEMENTO: BOTELLA DE TINTA</v>
      </c>
      <c r="D85" s="82"/>
      <c r="E85" s="82"/>
      <c r="F85" s="82"/>
      <c r="G85" s="82"/>
      <c r="H85" s="83" t="s">
        <v>397</v>
      </c>
      <c r="I85" s="84" t="str">
        <f>'[1]Necesidades Trimestrales'!F83</f>
        <v>UNIDAD</v>
      </c>
      <c r="J85" s="85">
        <f>'[1]Necesidades Trimestrales'!H83</f>
        <v>1000</v>
      </c>
      <c r="K85" s="86">
        <f>'[1]Necesidades Trimestrales'!G83</f>
        <v>9</v>
      </c>
    </row>
    <row r="86" spans="1:11" ht="38.4" customHeight="1" thickBot="1">
      <c r="A86" s="80">
        <v>75</v>
      </c>
      <c r="B86" s="81" t="str">
        <f>'[1]Necesidades Trimestrales'!B84</f>
        <v>2.9.6-1891.822</v>
      </c>
      <c r="C86" s="82" t="str">
        <f>'[1]Necesidades Trimestrales'!E84</f>
        <v>REP. Y ACC. P/IMPRESORA; MODELO EQUIPO: L3110, MARCA EQUIPO: EPSON, ELEMENTO: BOTELLA DE TINTA</v>
      </c>
      <c r="D86" s="82"/>
      <c r="E86" s="82"/>
      <c r="F86" s="82"/>
      <c r="G86" s="82"/>
      <c r="H86" s="83" t="s">
        <v>397</v>
      </c>
      <c r="I86" s="84" t="str">
        <f>'[1]Necesidades Trimestrales'!F84</f>
        <v>UNIDAD</v>
      </c>
      <c r="J86" s="85">
        <f>'[1]Necesidades Trimestrales'!H84</f>
        <v>1000</v>
      </c>
      <c r="K86" s="86">
        <f>'[1]Necesidades Trimestrales'!G84</f>
        <v>9</v>
      </c>
    </row>
    <row r="87" spans="1:11" ht="38.4" customHeight="1" thickBot="1">
      <c r="A87" s="80">
        <v>76</v>
      </c>
      <c r="B87" s="81" t="str">
        <f>'[1]Necesidades Trimestrales'!B85</f>
        <v>2.9.6-1891.822</v>
      </c>
      <c r="C87" s="82" t="str">
        <f>'[1]Necesidades Trimestrales'!E85</f>
        <v>REP. Y ACC. P/IMPRESORA; MODELO EQUIPO: L3110, MARCA EQUIPO: EPSON, ELEMENTO: BOTELLA DE TINTA</v>
      </c>
      <c r="D87" s="82"/>
      <c r="E87" s="82"/>
      <c r="F87" s="82"/>
      <c r="G87" s="82"/>
      <c r="H87" s="83" t="s">
        <v>397</v>
      </c>
      <c r="I87" s="84" t="str">
        <f>'[1]Necesidades Trimestrales'!F85</f>
        <v>UNIDAD</v>
      </c>
      <c r="J87" s="85">
        <f>'[1]Necesidades Trimestrales'!H85</f>
        <v>1000</v>
      </c>
      <c r="K87" s="86">
        <f>'[1]Necesidades Trimestrales'!G85</f>
        <v>9</v>
      </c>
    </row>
    <row r="88" spans="1:11" ht="38.4" customHeight="1" thickBot="1">
      <c r="A88" s="80">
        <v>77</v>
      </c>
      <c r="B88" s="81" t="str">
        <f>'[1]Necesidades Trimestrales'!B86</f>
        <v>2.9.6-1891.822</v>
      </c>
      <c r="C88" s="82" t="str">
        <f>'[1]Necesidades Trimestrales'!E86</f>
        <v>REP. Y ACC. P/IMPRESORA; MODELO EQUIPO: L3110, MARCA EQUIPO: EPSON, ELEMENTO: BOTELLA DE TINTA</v>
      </c>
      <c r="D88" s="82"/>
      <c r="E88" s="82"/>
      <c r="F88" s="82"/>
      <c r="G88" s="82"/>
      <c r="H88" s="83" t="s">
        <v>397</v>
      </c>
      <c r="I88" s="84" t="str">
        <f>'[1]Necesidades Trimestrales'!F86</f>
        <v>UNIDAD</v>
      </c>
      <c r="J88" s="85">
        <f>'[1]Necesidades Trimestrales'!H86</f>
        <v>1000</v>
      </c>
      <c r="K88" s="86">
        <f>'[1]Necesidades Trimestrales'!G86</f>
        <v>9</v>
      </c>
    </row>
    <row r="89" spans="1:11" ht="38.4" customHeight="1" thickBot="1">
      <c r="A89" s="80">
        <v>78</v>
      </c>
      <c r="B89" s="81" t="str">
        <f>'[1]Necesidades Trimestrales'!B87</f>
        <v>2.9.6-401.2128</v>
      </c>
      <c r="C89" s="82" t="str">
        <f>'[1]Necesidades Trimestrales'!E87</f>
        <v>CARTUCHOS DE TONER; CODIGO: CF226A, USO: HEWLETT PACKARD</v>
      </c>
      <c r="D89" s="82"/>
      <c r="E89" s="82"/>
      <c r="F89" s="82"/>
      <c r="G89" s="82"/>
      <c r="H89" s="83" t="s">
        <v>397</v>
      </c>
      <c r="I89" s="84" t="str">
        <f>'[1]Necesidades Trimestrales'!F87</f>
        <v>UNIDAD</v>
      </c>
      <c r="J89" s="85">
        <f>'[1]Necesidades Trimestrales'!H87</f>
        <v>2000</v>
      </c>
      <c r="K89" s="86">
        <f>'[1]Necesidades Trimestrales'!G87</f>
        <v>6</v>
      </c>
    </row>
    <row r="90" spans="1:11" ht="38.4" customHeight="1" thickBot="1">
      <c r="A90" s="80">
        <v>79</v>
      </c>
      <c r="B90" s="81" t="str">
        <f>'[1]Necesidades Trimestrales'!B88</f>
        <v>2.9.6-401.2378</v>
      </c>
      <c r="C90" s="82" t="str">
        <f>'[1]Necesidades Trimestrales'!E88</f>
        <v>CARTUCHOS DE TONER; CODIGO: W1105A, USO: HEWLETT PACKARD</v>
      </c>
      <c r="D90" s="82"/>
      <c r="E90" s="82"/>
      <c r="F90" s="82"/>
      <c r="G90" s="82"/>
      <c r="H90" s="83" t="s">
        <v>397</v>
      </c>
      <c r="I90" s="84" t="str">
        <f>'[1]Necesidades Trimestrales'!F88</f>
        <v>UNIDAD</v>
      </c>
      <c r="J90" s="85">
        <f>'[1]Necesidades Trimestrales'!H88</f>
        <v>1800</v>
      </c>
      <c r="K90" s="86">
        <f>'[1]Necesidades Trimestrales'!G88</f>
        <v>6</v>
      </c>
    </row>
    <row r="91" spans="1:11" ht="38.4" customHeight="1" thickBot="1">
      <c r="A91" s="80">
        <v>80</v>
      </c>
      <c r="B91" s="81" t="str">
        <f>'[1]Necesidades Trimestrales'!B89</f>
        <v>2.9.6-401.2303</v>
      </c>
      <c r="C91" s="82" t="str">
        <f>'[1]Necesidades Trimestrales'!E89</f>
        <v>CARTUCHOS DE TONER; CODIGO: CF410A, USO: HEWLETT PACKARD</v>
      </c>
      <c r="D91" s="82"/>
      <c r="E91" s="82"/>
      <c r="F91" s="82"/>
      <c r="G91" s="82"/>
      <c r="H91" s="83" t="s">
        <v>397</v>
      </c>
      <c r="I91" s="84" t="str">
        <f>'[1]Necesidades Trimestrales'!F89</f>
        <v>UNIDAD</v>
      </c>
      <c r="J91" s="85">
        <f>'[1]Necesidades Trimestrales'!H89</f>
        <v>3000</v>
      </c>
      <c r="K91" s="86">
        <f>'[1]Necesidades Trimestrales'!G89</f>
        <v>6</v>
      </c>
    </row>
    <row r="92" spans="1:11" ht="38.4" customHeight="1" thickBot="1">
      <c r="A92" s="80">
        <v>81</v>
      </c>
      <c r="B92" s="81" t="str">
        <f>'[1]Necesidades Trimestrales'!B90</f>
        <v>2.9.6-401.2304</v>
      </c>
      <c r="C92" s="82" t="str">
        <f>'[1]Necesidades Trimestrales'!E90</f>
        <v>CARTUCHOS DE TONER; CODIGO: CF411A, USO: HEWLETT PACKARD</v>
      </c>
      <c r="D92" s="82"/>
      <c r="E92" s="82"/>
      <c r="F92" s="82"/>
      <c r="G92" s="82"/>
      <c r="H92" s="83" t="s">
        <v>397</v>
      </c>
      <c r="I92" s="84" t="str">
        <f>'[1]Necesidades Trimestrales'!F90</f>
        <v>UNIDAD</v>
      </c>
      <c r="J92" s="85">
        <f>'[1]Necesidades Trimestrales'!H90</f>
        <v>3000</v>
      </c>
      <c r="K92" s="86">
        <f>'[1]Necesidades Trimestrales'!G90</f>
        <v>4</v>
      </c>
    </row>
    <row r="93" spans="1:11" ht="38.4" customHeight="1" thickBot="1">
      <c r="A93" s="80">
        <v>82</v>
      </c>
      <c r="B93" s="81" t="str">
        <f>'[1]Necesidades Trimestrales'!B91</f>
        <v>2.9.6-401.2305</v>
      </c>
      <c r="C93" s="82" t="str">
        <f>'[1]Necesidades Trimestrales'!E91</f>
        <v>CARTUCHOS DE TONER; CODIGO: CF412A, USO: HEWLETT PACKARD</v>
      </c>
      <c r="D93" s="82"/>
      <c r="E93" s="82"/>
      <c r="F93" s="82"/>
      <c r="G93" s="82"/>
      <c r="H93" s="83" t="s">
        <v>397</v>
      </c>
      <c r="I93" s="84" t="str">
        <f>'[1]Necesidades Trimestrales'!F91</f>
        <v>UNIDAD</v>
      </c>
      <c r="J93" s="85">
        <f>'[1]Necesidades Trimestrales'!H91</f>
        <v>3000</v>
      </c>
      <c r="K93" s="86">
        <f>'[1]Necesidades Trimestrales'!G91</f>
        <v>4</v>
      </c>
    </row>
    <row r="94" spans="1:11" ht="38.4" customHeight="1" thickBot="1">
      <c r="A94" s="80">
        <v>83</v>
      </c>
      <c r="B94" s="81" t="str">
        <f>'[1]Necesidades Trimestrales'!B92</f>
        <v>2.9.6-401.2306</v>
      </c>
      <c r="C94" s="82" t="str">
        <f>'[1]Necesidades Trimestrales'!E92</f>
        <v>CARTUCHOS DE TONER; CODIGO: CF413A, USO: HEWLETT PACKARD</v>
      </c>
      <c r="D94" s="82"/>
      <c r="E94" s="82"/>
      <c r="F94" s="82"/>
      <c r="G94" s="82"/>
      <c r="H94" s="83" t="s">
        <v>397</v>
      </c>
      <c r="I94" s="84" t="str">
        <f>'[1]Necesidades Trimestrales'!F92</f>
        <v>UNIDAD</v>
      </c>
      <c r="J94" s="85">
        <f>'[1]Necesidades Trimestrales'!H92</f>
        <v>3000</v>
      </c>
      <c r="K94" s="86">
        <f>'[1]Necesidades Trimestrales'!G92</f>
        <v>4</v>
      </c>
    </row>
    <row r="95" spans="1:11" ht="38.4" customHeight="1" thickBot="1">
      <c r="A95" s="80">
        <v>84</v>
      </c>
      <c r="B95" s="81" t="str">
        <f>'[1]Necesidades Trimestrales'!B93</f>
        <v>2.9.6-401.1136</v>
      </c>
      <c r="C95" s="82" t="str">
        <f>'[1]Necesidades Trimestrales'!E93</f>
        <v>CARTUCHOS DE TONER; CODIGO: T1200, USO: TOSHIBA</v>
      </c>
      <c r="D95" s="82"/>
      <c r="E95" s="82"/>
      <c r="F95" s="82"/>
      <c r="G95" s="82"/>
      <c r="H95" s="83" t="s">
        <v>397</v>
      </c>
      <c r="I95" s="84" t="str">
        <f>'[1]Necesidades Trimestrales'!F93</f>
        <v>UNIDAD</v>
      </c>
      <c r="J95" s="85">
        <f>'[1]Necesidades Trimestrales'!H93</f>
        <v>5400</v>
      </c>
      <c r="K95" s="86">
        <f>'[1]Necesidades Trimestrales'!G93</f>
        <v>3</v>
      </c>
    </row>
    <row r="96" spans="1:11" ht="38.4" customHeight="1" thickBot="1">
      <c r="A96" s="80">
        <v>85</v>
      </c>
      <c r="B96" s="81" t="str">
        <f>'[1]Necesidades Trimestrales'!B94</f>
        <v>2.9.6-401.1289</v>
      </c>
      <c r="C96" s="82" t="str">
        <f>'[1]Necesidades Trimestrales'!E94</f>
        <v>CARTUCHOS DE TONER; CODIGO: T 1640, USO: TOSHIBA ESTUDIO 166</v>
      </c>
      <c r="D96" s="82"/>
      <c r="E96" s="82"/>
      <c r="F96" s="82"/>
      <c r="G96" s="82"/>
      <c r="H96" s="83" t="s">
        <v>397</v>
      </c>
      <c r="I96" s="84" t="str">
        <f>'[1]Necesidades Trimestrales'!F94</f>
        <v>UNIDAD</v>
      </c>
      <c r="J96" s="85">
        <f>'[1]Necesidades Trimestrales'!H94</f>
        <v>7900</v>
      </c>
      <c r="K96" s="86">
        <f>'[1]Necesidades Trimestrales'!G94</f>
        <v>3</v>
      </c>
    </row>
    <row r="97" spans="1:1024" ht="38.4" customHeight="1" thickBot="1">
      <c r="A97" s="80">
        <v>86</v>
      </c>
      <c r="B97" s="81" t="str">
        <f>'[1]Necesidades Trimestrales'!B95</f>
        <v>2.9.6-401.2379</v>
      </c>
      <c r="C97" s="82" t="str">
        <f>'[1]Necesidades Trimestrales'!E95</f>
        <v>CARTUCHOS DE TONER; CODIGO: T-4530A, USO: TOSHIBA</v>
      </c>
      <c r="D97" s="82"/>
      <c r="E97" s="82"/>
      <c r="F97" s="82"/>
      <c r="G97" s="82"/>
      <c r="H97" s="83" t="s">
        <v>397</v>
      </c>
      <c r="I97" s="84" t="str">
        <f>'[1]Necesidades Trimestrales'!F95</f>
        <v>UNIDAD</v>
      </c>
      <c r="J97" s="85">
        <f>'[1]Necesidades Trimestrales'!H95</f>
        <v>8900</v>
      </c>
      <c r="K97" s="86">
        <f>'[1]Necesidades Trimestrales'!G95</f>
        <v>3</v>
      </c>
    </row>
    <row r="98" spans="1:1024" ht="38.4" customHeight="1" thickBot="1">
      <c r="A98" s="80">
        <v>87</v>
      </c>
      <c r="B98" s="81" t="str">
        <f>'[1]Necesidades Trimestrales'!B96</f>
        <v>2.9.6-401.2328</v>
      </c>
      <c r="C98" s="82" t="str">
        <f>'[1]Necesidades Trimestrales'!E96</f>
        <v>CARTUCHOS DE TONER; CODIGO: 74710U, USO: TOSHIBA</v>
      </c>
      <c r="D98" s="82"/>
      <c r="E98" s="82"/>
      <c r="F98" s="82"/>
      <c r="G98" s="82"/>
      <c r="H98" s="83" t="s">
        <v>397</v>
      </c>
      <c r="I98" s="84" t="str">
        <f>'[1]Necesidades Trimestrales'!F96</f>
        <v>UNIDAD</v>
      </c>
      <c r="J98" s="85">
        <f>'[1]Necesidades Trimestrales'!H96</f>
        <v>15000</v>
      </c>
      <c r="K98" s="86">
        <f>'[1]Necesidades Trimestrales'!G96</f>
        <v>3</v>
      </c>
    </row>
    <row r="99" spans="1:1024" ht="38.4" customHeight="1" thickBot="1">
      <c r="A99" s="80">
        <v>88</v>
      </c>
      <c r="B99" s="81" t="str">
        <f>'[1]Necesidades Trimestrales'!B97</f>
        <v>2.9.6-401.2161</v>
      </c>
      <c r="C99" s="82" t="str">
        <f>'[1]Necesidades Trimestrales'!E97</f>
        <v>CARTUCHOS DE TONER; CODIGO: 841768, USO: RICOH</v>
      </c>
      <c r="D99" s="82"/>
      <c r="E99" s="82"/>
      <c r="F99" s="82"/>
      <c r="G99" s="82"/>
      <c r="H99" s="83" t="s">
        <v>397</v>
      </c>
      <c r="I99" s="84" t="str">
        <f>'[1]Necesidades Trimestrales'!F97</f>
        <v>UNIDAD</v>
      </c>
      <c r="J99" s="85">
        <f>'[1]Necesidades Trimestrales'!H97</f>
        <v>5400</v>
      </c>
      <c r="K99" s="86">
        <f>'[1]Necesidades Trimestrales'!G97</f>
        <v>3</v>
      </c>
    </row>
    <row r="100" spans="1:1024" ht="38.4" customHeight="1" thickBot="1">
      <c r="A100" s="80">
        <v>89</v>
      </c>
      <c r="B100" s="81" t="str">
        <f>'[1]Necesidades Trimestrales'!B98</f>
        <v>2.9.6-401.2193</v>
      </c>
      <c r="C100" s="82" t="str">
        <f>'[1]Necesidades Trimestrales'!E98</f>
        <v>CARTUCHOS DE TONER; CODIGO: SP 310 DNW, USO: LASER RICOH</v>
      </c>
      <c r="D100" s="82"/>
      <c r="E100" s="82"/>
      <c r="F100" s="82"/>
      <c r="G100" s="82"/>
      <c r="H100" s="83" t="s">
        <v>397</v>
      </c>
      <c r="I100" s="84" t="str">
        <f>'[1]Necesidades Trimestrales'!F98</f>
        <v>UNIDAD</v>
      </c>
      <c r="J100" s="85">
        <f>'[1]Necesidades Trimestrales'!H98</f>
        <v>6500</v>
      </c>
      <c r="K100" s="86">
        <f>'[1]Necesidades Trimestrales'!G98</f>
        <v>3</v>
      </c>
    </row>
    <row r="101" spans="1:1024" ht="38.4" customHeight="1" thickBot="1">
      <c r="A101" s="80">
        <v>90</v>
      </c>
      <c r="B101" s="81" t="str">
        <f>'[1]Necesidades Trimestrales'!B99</f>
        <v>2.9.6-401.2285</v>
      </c>
      <c r="C101" s="82" t="str">
        <f>'[1]Necesidades Trimestrales'!E99</f>
        <v>CARTUCHOS DE TONER; CODIGO: MP 301, USO: RICOH</v>
      </c>
      <c r="D101" s="82"/>
      <c r="E101" s="82"/>
      <c r="F101" s="82"/>
      <c r="G101" s="82"/>
      <c r="H101" s="83" t="s">
        <v>397</v>
      </c>
      <c r="I101" s="84" t="str">
        <f>'[1]Necesidades Trimestrales'!F99</f>
        <v>UNIDAD</v>
      </c>
      <c r="J101" s="85">
        <f>'[1]Necesidades Trimestrales'!H99</f>
        <v>4500</v>
      </c>
      <c r="K101" s="86">
        <f>'[1]Necesidades Trimestrales'!G99</f>
        <v>3</v>
      </c>
    </row>
    <row r="102" spans="1:1024" ht="38.4" customHeight="1" thickBot="1">
      <c r="A102" s="80">
        <v>91</v>
      </c>
      <c r="B102" s="81" t="str">
        <f>'[1]Necesidades Trimestrales'!B100</f>
        <v>2.9.6-401.2380</v>
      </c>
      <c r="C102" s="82" t="str">
        <f>'[1]Necesidades Trimestrales'!E100</f>
        <v>CARTUCHOS DE TONER; CODIGO: 408284, USO: RICOH</v>
      </c>
      <c r="D102" s="82"/>
      <c r="E102" s="82"/>
      <c r="F102" s="82"/>
      <c r="G102" s="82"/>
      <c r="H102" s="83" t="s">
        <v>397</v>
      </c>
      <c r="I102" s="84" t="str">
        <f>'[1]Necesidades Trimestrales'!F100</f>
        <v>UNIDAD</v>
      </c>
      <c r="J102" s="85">
        <f>'[1]Necesidades Trimestrales'!H100</f>
        <v>7900</v>
      </c>
      <c r="K102" s="86">
        <f>'[1]Necesidades Trimestrales'!G100</f>
        <v>3</v>
      </c>
    </row>
    <row r="103" spans="1:1024" ht="20.25" customHeight="1" thickBot="1">
      <c r="A103" s="87" t="s">
        <v>398</v>
      </c>
      <c r="B103" s="87"/>
      <c r="C103" s="87"/>
      <c r="D103" s="87"/>
      <c r="E103" s="87"/>
      <c r="F103" s="87"/>
      <c r="G103" s="87"/>
      <c r="H103" s="87"/>
      <c r="I103" s="87"/>
      <c r="J103" s="88">
        <f>SUMPRODUCT(J12:J102,K12:K102)</f>
        <v>2027860.25</v>
      </c>
      <c r="K103" s="88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  <c r="NR103"/>
      <c r="NS103"/>
      <c r="NT103"/>
      <c r="NU103"/>
      <c r="NV103"/>
      <c r="NW103"/>
      <c r="NX103"/>
      <c r="NY103"/>
      <c r="NZ103"/>
      <c r="OA103"/>
      <c r="OB103"/>
      <c r="OC103"/>
      <c r="OD103"/>
      <c r="OE103"/>
      <c r="OF103"/>
      <c r="OG103"/>
      <c r="OH103"/>
      <c r="OI103"/>
      <c r="OJ103"/>
      <c r="OK103"/>
      <c r="OL103"/>
      <c r="OM103"/>
      <c r="ON103"/>
      <c r="OO103"/>
      <c r="OP103"/>
      <c r="OQ103"/>
      <c r="OR103"/>
      <c r="OS103"/>
      <c r="OT103"/>
      <c r="OU103"/>
      <c r="OV103"/>
      <c r="OW103"/>
      <c r="OX103"/>
      <c r="OY103"/>
      <c r="OZ103"/>
      <c r="PA103"/>
      <c r="PB103"/>
      <c r="PC103"/>
      <c r="PD103"/>
      <c r="PE103"/>
      <c r="PF103"/>
      <c r="PG103"/>
      <c r="PH103"/>
      <c r="PI103"/>
      <c r="PJ103"/>
      <c r="PK103"/>
      <c r="PL103"/>
      <c r="PM103"/>
      <c r="PN103"/>
      <c r="PO103"/>
      <c r="PP103"/>
      <c r="PQ103"/>
      <c r="PR103"/>
      <c r="PS103"/>
      <c r="PT103"/>
      <c r="PU103"/>
      <c r="PV103"/>
      <c r="PW103"/>
      <c r="PX103"/>
      <c r="PY103"/>
      <c r="PZ103"/>
      <c r="QA103"/>
      <c r="QB103"/>
      <c r="QC103"/>
      <c r="QD103"/>
      <c r="QE103"/>
      <c r="QF103"/>
      <c r="QG103"/>
      <c r="QH103"/>
      <c r="QI103"/>
      <c r="QJ103"/>
      <c r="QK103"/>
      <c r="QL103"/>
      <c r="QM103"/>
      <c r="QN103"/>
      <c r="QO103"/>
      <c r="QP103"/>
      <c r="QQ103"/>
      <c r="QR103"/>
      <c r="QS103"/>
      <c r="QT103"/>
      <c r="QU103"/>
      <c r="QV103"/>
      <c r="QW103"/>
      <c r="QX103"/>
      <c r="QY103"/>
      <c r="QZ103"/>
      <c r="RA103"/>
      <c r="RB103"/>
      <c r="RC103"/>
      <c r="RD103"/>
      <c r="RE103"/>
      <c r="RF103"/>
      <c r="RG103"/>
      <c r="RH103"/>
      <c r="RI103"/>
      <c r="RJ103"/>
      <c r="RK103"/>
      <c r="RL103"/>
      <c r="RM103"/>
      <c r="RN103"/>
      <c r="RO103"/>
      <c r="RP103"/>
      <c r="RQ103"/>
      <c r="RR103"/>
      <c r="RS103"/>
      <c r="RT103"/>
      <c r="RU103"/>
      <c r="RV103"/>
      <c r="RW103"/>
      <c r="RX103"/>
      <c r="RY103"/>
      <c r="RZ103"/>
      <c r="SA103"/>
      <c r="SB103"/>
      <c r="SC103"/>
      <c r="SD103"/>
      <c r="SE103"/>
      <c r="SF103"/>
      <c r="SG103"/>
      <c r="SH103"/>
      <c r="SI103"/>
      <c r="SJ103"/>
      <c r="SK103"/>
      <c r="SL103"/>
      <c r="SM103"/>
      <c r="SN103"/>
      <c r="SO103"/>
      <c r="SP103"/>
      <c r="SQ103"/>
      <c r="SR103"/>
      <c r="SS103"/>
      <c r="ST103"/>
      <c r="SU103"/>
      <c r="SV103"/>
      <c r="SW103"/>
      <c r="SX103"/>
      <c r="SY103"/>
      <c r="SZ103"/>
      <c r="TA103"/>
      <c r="TB103"/>
      <c r="TC103"/>
      <c r="TD103"/>
      <c r="TE103"/>
      <c r="TF103"/>
      <c r="TG103"/>
      <c r="TH103"/>
      <c r="TI103"/>
      <c r="TJ103"/>
      <c r="TK103"/>
      <c r="TL103"/>
      <c r="TM103"/>
      <c r="TN103"/>
      <c r="TO103"/>
      <c r="TP103"/>
      <c r="TQ103"/>
      <c r="TR103"/>
      <c r="TS103"/>
      <c r="TT103"/>
      <c r="TU103"/>
      <c r="TV103"/>
      <c r="TW103"/>
      <c r="TX103"/>
      <c r="TY103"/>
      <c r="TZ103"/>
      <c r="UA103"/>
      <c r="UB103"/>
      <c r="UC103"/>
      <c r="UD103"/>
      <c r="UE103"/>
      <c r="UF103"/>
      <c r="UG103"/>
      <c r="UH103"/>
      <c r="UI103"/>
      <c r="UJ103"/>
      <c r="UK103"/>
      <c r="UL103"/>
      <c r="UM103"/>
      <c r="UN103"/>
      <c r="UO103"/>
      <c r="UP103"/>
      <c r="UQ103"/>
      <c r="UR103"/>
      <c r="US103"/>
      <c r="UT103"/>
      <c r="UU103"/>
      <c r="UV103"/>
      <c r="UW103"/>
      <c r="UX103"/>
      <c r="UY103"/>
      <c r="UZ103"/>
      <c r="VA103"/>
      <c r="VB103"/>
      <c r="VC103"/>
      <c r="VD103"/>
      <c r="VE103"/>
      <c r="VF103"/>
      <c r="VG103"/>
      <c r="VH103"/>
      <c r="VI103"/>
      <c r="VJ103"/>
      <c r="VK103"/>
      <c r="VL103"/>
      <c r="VM103"/>
      <c r="VN103"/>
      <c r="VO103"/>
      <c r="VP103"/>
      <c r="VQ103"/>
      <c r="VR103"/>
      <c r="VS103"/>
      <c r="VT103"/>
      <c r="VU103"/>
      <c r="VV103"/>
      <c r="VW103"/>
      <c r="VX103"/>
      <c r="VY103"/>
      <c r="VZ103"/>
      <c r="WA103"/>
      <c r="WB103"/>
      <c r="WC103"/>
      <c r="WD103"/>
      <c r="WE103"/>
      <c r="WF103"/>
      <c r="WG103"/>
      <c r="WH103"/>
      <c r="WI103"/>
      <c r="WJ103"/>
      <c r="WK103"/>
      <c r="WL103"/>
      <c r="WM103"/>
      <c r="WN103"/>
      <c r="WO103"/>
      <c r="WP103"/>
      <c r="WQ103"/>
      <c r="WR103"/>
      <c r="WS103"/>
      <c r="WT103"/>
      <c r="WU103"/>
      <c r="WV103"/>
      <c r="WW103"/>
      <c r="WX103"/>
      <c r="WY103"/>
      <c r="WZ103"/>
      <c r="XA103"/>
      <c r="XB103"/>
      <c r="XC103"/>
      <c r="XD103"/>
      <c r="XE103"/>
      <c r="XF103"/>
      <c r="XG103"/>
      <c r="XH103"/>
      <c r="XI103"/>
      <c r="XJ103"/>
      <c r="XK103"/>
      <c r="XL103"/>
      <c r="XM103"/>
      <c r="XN103"/>
      <c r="XO103"/>
      <c r="XP103"/>
      <c r="XQ103"/>
      <c r="XR103"/>
      <c r="XS103"/>
      <c r="XT103"/>
      <c r="XU103"/>
      <c r="XV103"/>
      <c r="XW103"/>
      <c r="XX103"/>
      <c r="XY103"/>
      <c r="XZ103"/>
      <c r="YA103"/>
      <c r="YB103"/>
      <c r="YC103"/>
      <c r="YD103"/>
      <c r="YE103"/>
      <c r="YF103"/>
      <c r="YG103"/>
      <c r="YH103"/>
      <c r="YI103"/>
      <c r="YJ103"/>
      <c r="YK103"/>
      <c r="YL103"/>
      <c r="YM103"/>
      <c r="YN103"/>
      <c r="YO103"/>
      <c r="YP103"/>
      <c r="YQ103"/>
      <c r="YR103"/>
      <c r="YS103"/>
      <c r="YT103"/>
      <c r="YU103"/>
      <c r="YV103"/>
      <c r="YW103"/>
      <c r="YX103"/>
      <c r="YY103"/>
      <c r="YZ103"/>
      <c r="ZA103"/>
      <c r="ZB103"/>
      <c r="ZC103"/>
      <c r="ZD103"/>
      <c r="ZE103"/>
      <c r="ZF103"/>
      <c r="ZG103"/>
      <c r="ZH103"/>
      <c r="ZI103"/>
      <c r="ZJ103"/>
      <c r="ZK103"/>
      <c r="ZL103"/>
      <c r="ZM103"/>
      <c r="ZN103"/>
      <c r="ZO103"/>
      <c r="ZP103"/>
      <c r="ZQ103"/>
      <c r="ZR103"/>
      <c r="ZS103"/>
      <c r="ZT103"/>
      <c r="ZU103"/>
      <c r="ZV103"/>
      <c r="ZW103"/>
      <c r="ZX103"/>
      <c r="ZY103"/>
      <c r="ZZ103"/>
      <c r="AAA103"/>
      <c r="AAB103"/>
      <c r="AAC103"/>
      <c r="AAD103"/>
      <c r="AAE103"/>
      <c r="AAF103"/>
      <c r="AAG103"/>
      <c r="AAH103"/>
      <c r="AAI103"/>
      <c r="AAJ103"/>
      <c r="AAK103"/>
      <c r="AAL103"/>
      <c r="AAM103"/>
      <c r="AAN103"/>
      <c r="AAO103"/>
      <c r="AAP103"/>
      <c r="AAQ103"/>
      <c r="AAR103"/>
      <c r="AAS103"/>
      <c r="AAT103"/>
      <c r="AAU103"/>
      <c r="AAV103"/>
      <c r="AAW103"/>
      <c r="AAX103"/>
      <c r="AAY103"/>
      <c r="AAZ103"/>
      <c r="ABA103"/>
      <c r="ABB103"/>
      <c r="ABC103"/>
      <c r="ABD103"/>
      <c r="ABE103"/>
      <c r="ABF103"/>
      <c r="ABG103"/>
      <c r="ABH103"/>
      <c r="ABI103"/>
      <c r="ABJ103"/>
      <c r="ABK103"/>
      <c r="ABL103"/>
      <c r="ABM103"/>
      <c r="ABN103"/>
      <c r="ABO103"/>
      <c r="ABP103"/>
      <c r="ABQ103"/>
      <c r="ABR103"/>
      <c r="ABS103"/>
      <c r="ABT103"/>
      <c r="ABU103"/>
      <c r="ABV103"/>
      <c r="ABW103"/>
      <c r="ABX103"/>
      <c r="ABY103"/>
      <c r="ABZ103"/>
      <c r="ACA103"/>
      <c r="ACB103"/>
      <c r="ACC103"/>
      <c r="ACD103"/>
      <c r="ACE103"/>
      <c r="ACF103"/>
      <c r="ACG103"/>
      <c r="ACH103"/>
      <c r="ACI103"/>
      <c r="ACJ103"/>
      <c r="ACK103"/>
      <c r="ACL103"/>
      <c r="ACM103"/>
      <c r="ACN103"/>
      <c r="ACO103"/>
      <c r="ACP103"/>
      <c r="ACQ103"/>
      <c r="ACR103"/>
      <c r="ACS103"/>
      <c r="ACT103"/>
      <c r="ACU103"/>
      <c r="ACV103"/>
      <c r="ACW103"/>
      <c r="ACX103"/>
      <c r="ACY103"/>
      <c r="ACZ103"/>
      <c r="ADA103"/>
      <c r="ADB103"/>
      <c r="ADC103"/>
      <c r="ADD103"/>
      <c r="ADE103"/>
      <c r="ADF103"/>
      <c r="ADG103"/>
      <c r="ADH103"/>
      <c r="ADI103"/>
      <c r="ADJ103"/>
      <c r="ADK103"/>
      <c r="ADL103"/>
      <c r="ADM103"/>
      <c r="ADN103"/>
      <c r="ADO103"/>
      <c r="ADP103"/>
      <c r="ADQ103"/>
      <c r="ADR103"/>
      <c r="ADS103"/>
      <c r="ADT103"/>
      <c r="ADU103"/>
      <c r="ADV103"/>
      <c r="ADW103"/>
      <c r="ADX103"/>
      <c r="ADY103"/>
      <c r="ADZ103"/>
      <c r="AEA103"/>
      <c r="AEB103"/>
      <c r="AEC103"/>
      <c r="AED103"/>
      <c r="AEE103"/>
      <c r="AEF103"/>
      <c r="AEG103"/>
      <c r="AEH103"/>
      <c r="AEI103"/>
      <c r="AEJ103"/>
      <c r="AEK103"/>
      <c r="AEL103"/>
      <c r="AEM103"/>
      <c r="AEN103"/>
      <c r="AEO103"/>
      <c r="AEP103"/>
      <c r="AEQ103"/>
      <c r="AER103"/>
      <c r="AES103"/>
      <c r="AET103"/>
      <c r="AEU103"/>
      <c r="AEV103"/>
      <c r="AEW103"/>
      <c r="AEX103"/>
      <c r="AEY103"/>
      <c r="AEZ103"/>
      <c r="AFA103"/>
      <c r="AFB103"/>
      <c r="AFC103"/>
      <c r="AFD103"/>
      <c r="AFE103"/>
      <c r="AFF103"/>
      <c r="AFG103"/>
      <c r="AFH103"/>
      <c r="AFI103"/>
      <c r="AFJ103"/>
      <c r="AFK103"/>
      <c r="AFL103"/>
      <c r="AFM103"/>
      <c r="AFN103"/>
      <c r="AFO103"/>
      <c r="AFP103"/>
      <c r="AFQ103"/>
      <c r="AFR103"/>
      <c r="AFS103"/>
      <c r="AFT103"/>
      <c r="AFU103"/>
      <c r="AFV103"/>
      <c r="AFW103"/>
      <c r="AFX103"/>
      <c r="AFY103"/>
      <c r="AFZ103"/>
      <c r="AGA103"/>
      <c r="AGB103"/>
      <c r="AGC103"/>
      <c r="AGD103"/>
      <c r="AGE103"/>
      <c r="AGF103"/>
      <c r="AGG103"/>
      <c r="AGH103"/>
      <c r="AGI103"/>
      <c r="AGJ103"/>
      <c r="AGK103"/>
      <c r="AGL103"/>
      <c r="AGM103"/>
      <c r="AGN103"/>
      <c r="AGO103"/>
      <c r="AGP103"/>
      <c r="AGQ103"/>
      <c r="AGR103"/>
      <c r="AGS103"/>
      <c r="AGT103"/>
      <c r="AGU103"/>
      <c r="AGV103"/>
      <c r="AGW103"/>
      <c r="AGX103"/>
      <c r="AGY103"/>
      <c r="AGZ103"/>
      <c r="AHA103"/>
      <c r="AHB103"/>
      <c r="AHC103"/>
      <c r="AHD103"/>
      <c r="AHE103"/>
      <c r="AHF103"/>
      <c r="AHG103"/>
      <c r="AHH103"/>
      <c r="AHI103"/>
      <c r="AHJ103"/>
      <c r="AHK103"/>
      <c r="AHL103"/>
      <c r="AHM103"/>
      <c r="AHN103"/>
      <c r="AHO103"/>
      <c r="AHP103"/>
      <c r="AHQ103"/>
      <c r="AHR103"/>
      <c r="AHS103"/>
      <c r="AHT103"/>
      <c r="AHU103"/>
      <c r="AHV103"/>
      <c r="AHW103"/>
      <c r="AHX103"/>
      <c r="AHY103"/>
      <c r="AHZ103"/>
      <c r="AIA103"/>
      <c r="AIB103"/>
      <c r="AIC103"/>
      <c r="AID103"/>
      <c r="AIE103"/>
      <c r="AIF103"/>
      <c r="AIG103"/>
      <c r="AIH103"/>
      <c r="AII103"/>
      <c r="AIJ103"/>
      <c r="AIK103"/>
      <c r="AIL103"/>
      <c r="AIM103"/>
      <c r="AIN103"/>
      <c r="AIO103"/>
      <c r="AIP103"/>
      <c r="AIQ103"/>
      <c r="AIR103"/>
      <c r="AIS103"/>
      <c r="AIT103"/>
      <c r="AIU103"/>
      <c r="AIV103"/>
      <c r="AIW103"/>
      <c r="AIX103"/>
      <c r="AIY103"/>
      <c r="AIZ103"/>
      <c r="AJA103"/>
      <c r="AJB103"/>
      <c r="AJC103"/>
      <c r="AJD103"/>
      <c r="AJE103"/>
      <c r="AJF103"/>
      <c r="AJG103"/>
      <c r="AJH103"/>
      <c r="AJI103"/>
      <c r="AJJ103"/>
      <c r="AJK103"/>
      <c r="AJL103"/>
      <c r="AJM103"/>
      <c r="AJN103"/>
      <c r="AJO103"/>
      <c r="AJP103"/>
      <c r="AJQ103"/>
      <c r="AJR103"/>
      <c r="AJS103"/>
      <c r="AJT103"/>
      <c r="AJU103"/>
      <c r="AJV103"/>
      <c r="AJW103"/>
      <c r="AJX103"/>
      <c r="AJY103"/>
      <c r="AJZ103"/>
      <c r="AKA103"/>
      <c r="AKB103"/>
      <c r="AKC103"/>
      <c r="AKD103"/>
      <c r="AKE103"/>
      <c r="AKF103"/>
      <c r="AKG103"/>
      <c r="AKH103"/>
      <c r="AKI103"/>
      <c r="AKJ103"/>
      <c r="AKK103"/>
      <c r="AKL103"/>
      <c r="AKM103"/>
      <c r="AKN103"/>
      <c r="AKO103"/>
      <c r="AKP103"/>
      <c r="AKQ103"/>
      <c r="AKR103"/>
      <c r="AKS103"/>
      <c r="AKT103"/>
      <c r="AKU103"/>
      <c r="AKV103"/>
      <c r="AKW103"/>
      <c r="AKX103"/>
      <c r="AKY103"/>
      <c r="AKZ103"/>
      <c r="ALA103"/>
      <c r="ALB103"/>
      <c r="ALC103"/>
      <c r="ALD103"/>
      <c r="ALE103"/>
      <c r="ALF103"/>
      <c r="ALG103"/>
      <c r="ALH103"/>
      <c r="ALI103"/>
      <c r="ALJ103"/>
      <c r="ALK103"/>
      <c r="ALL103"/>
      <c r="ALM103"/>
      <c r="ALN103"/>
      <c r="ALO103"/>
      <c r="ALP103"/>
      <c r="ALQ103"/>
      <c r="ALR103"/>
      <c r="ALS103"/>
      <c r="ALT103"/>
      <c r="ALU103"/>
      <c r="ALV103"/>
      <c r="ALW103"/>
      <c r="ALX103"/>
      <c r="ALY103"/>
      <c r="ALZ103"/>
      <c r="AMA103"/>
      <c r="AMB103"/>
      <c r="AMC103"/>
      <c r="AMD103"/>
      <c r="AME103"/>
      <c r="AMF103"/>
      <c r="AMG103"/>
      <c r="AMH103"/>
      <c r="AMI103"/>
      <c r="AMJ103"/>
    </row>
  </sheetData>
  <mergeCells count="113">
    <mergeCell ref="C101:G101"/>
    <mergeCell ref="C102:G102"/>
    <mergeCell ref="A103:I103"/>
    <mergeCell ref="J103:K103"/>
    <mergeCell ref="C95:G95"/>
    <mergeCell ref="C96:G96"/>
    <mergeCell ref="C97:G97"/>
    <mergeCell ref="C98:G98"/>
    <mergeCell ref="C99:G99"/>
    <mergeCell ref="C100:G100"/>
    <mergeCell ref="C89:G89"/>
    <mergeCell ref="C90:G90"/>
    <mergeCell ref="C91:G91"/>
    <mergeCell ref="C92:G92"/>
    <mergeCell ref="C93:G93"/>
    <mergeCell ref="C94:G94"/>
    <mergeCell ref="C83:G83"/>
    <mergeCell ref="C84:G84"/>
    <mergeCell ref="C85:G85"/>
    <mergeCell ref="C86:G86"/>
    <mergeCell ref="C87:G87"/>
    <mergeCell ref="C88:G88"/>
    <mergeCell ref="C77:G77"/>
    <mergeCell ref="C78:G78"/>
    <mergeCell ref="C79:G79"/>
    <mergeCell ref="C80:G80"/>
    <mergeCell ref="C81:G81"/>
    <mergeCell ref="C82:G82"/>
    <mergeCell ref="C71:G71"/>
    <mergeCell ref="C72:G72"/>
    <mergeCell ref="C73:G73"/>
    <mergeCell ref="C74:G74"/>
    <mergeCell ref="C75:G75"/>
    <mergeCell ref="C76:G76"/>
    <mergeCell ref="C65:G65"/>
    <mergeCell ref="C66:G66"/>
    <mergeCell ref="C67:G67"/>
    <mergeCell ref="C68:G68"/>
    <mergeCell ref="C69:G69"/>
    <mergeCell ref="C70:G70"/>
    <mergeCell ref="C59:G59"/>
    <mergeCell ref="C60:G60"/>
    <mergeCell ref="C61:G61"/>
    <mergeCell ref="C62:G62"/>
    <mergeCell ref="C63:G63"/>
    <mergeCell ref="C64:G64"/>
    <mergeCell ref="C53:G53"/>
    <mergeCell ref="C54:G54"/>
    <mergeCell ref="C55:G55"/>
    <mergeCell ref="C56:G56"/>
    <mergeCell ref="C57:G57"/>
    <mergeCell ref="C58:G58"/>
    <mergeCell ref="C47:G47"/>
    <mergeCell ref="C48:G48"/>
    <mergeCell ref="C49:G49"/>
    <mergeCell ref="C50:G50"/>
    <mergeCell ref="C51:G51"/>
    <mergeCell ref="C52:G52"/>
    <mergeCell ref="C41:G41"/>
    <mergeCell ref="C42:G42"/>
    <mergeCell ref="C43:G43"/>
    <mergeCell ref="C44:G44"/>
    <mergeCell ref="C45:G45"/>
    <mergeCell ref="C46:G46"/>
    <mergeCell ref="C35:G35"/>
    <mergeCell ref="C36:G36"/>
    <mergeCell ref="C37:G37"/>
    <mergeCell ref="C38:G38"/>
    <mergeCell ref="C39:G39"/>
    <mergeCell ref="C40:G40"/>
    <mergeCell ref="C29:G29"/>
    <mergeCell ref="C30:G30"/>
    <mergeCell ref="C31:G31"/>
    <mergeCell ref="C32:G32"/>
    <mergeCell ref="C33:G33"/>
    <mergeCell ref="C34:G34"/>
    <mergeCell ref="C23:G23"/>
    <mergeCell ref="C24:G24"/>
    <mergeCell ref="C25:G25"/>
    <mergeCell ref="C26:G26"/>
    <mergeCell ref="C27:G27"/>
    <mergeCell ref="C28:G28"/>
    <mergeCell ref="C17:G17"/>
    <mergeCell ref="C18:G18"/>
    <mergeCell ref="C19:G19"/>
    <mergeCell ref="C20:G20"/>
    <mergeCell ref="C21:G21"/>
    <mergeCell ref="C22:G22"/>
    <mergeCell ref="K10:K11"/>
    <mergeCell ref="C12:G12"/>
    <mergeCell ref="C13:G13"/>
    <mergeCell ref="C14:G14"/>
    <mergeCell ref="C15:G15"/>
    <mergeCell ref="C16:G16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1:I1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7"/>
  <sheetViews>
    <sheetView tabSelected="1" zoomScale="130" zoomScaleNormal="130" workbookViewId="0">
      <selection activeCell="S16" sqref="S16"/>
    </sheetView>
  </sheetViews>
  <sheetFormatPr baseColWidth="10" defaultColWidth="11" defaultRowHeight="13.2"/>
  <cols>
    <col min="1" max="4" width="4.44140625" customWidth="1"/>
    <col min="5" max="5" width="4.109375" customWidth="1"/>
    <col min="6" max="6" width="5.109375" customWidth="1"/>
    <col min="7" max="7" width="4.44140625" style="89" customWidth="1"/>
    <col min="8" max="14" width="4.44140625" customWidth="1"/>
    <col min="15" max="16" width="14.88671875" customWidth="1"/>
    <col min="17" max="17" width="14.6640625" customWidth="1"/>
    <col min="19" max="19" width="13.33203125" bestFit="1" customWidth="1"/>
  </cols>
  <sheetData>
    <row r="1" spans="1:17" ht="15.75" customHeight="1" thickBot="1">
      <c r="A1" s="155" t="s">
        <v>5</v>
      </c>
      <c r="B1" s="155"/>
      <c r="C1" s="155"/>
      <c r="D1" s="154">
        <f>'[1]Necesidades Trimestrales'!C6</f>
        <v>2021</v>
      </c>
      <c r="E1" s="154"/>
      <c r="F1" s="153"/>
      <c r="G1" s="153"/>
      <c r="H1" s="152"/>
      <c r="I1" s="152"/>
      <c r="J1" s="152"/>
      <c r="K1" s="152"/>
      <c r="L1" s="152"/>
      <c r="M1" s="152"/>
      <c r="N1" s="152"/>
      <c r="P1" s="151" t="s">
        <v>426</v>
      </c>
      <c r="Q1" s="151"/>
    </row>
    <row r="2" spans="1:17" ht="15.75" customHeight="1" thickBot="1">
      <c r="H2" s="152"/>
      <c r="I2" s="152"/>
      <c r="J2" s="152"/>
      <c r="K2" s="152"/>
      <c r="L2" s="152"/>
      <c r="M2" s="152"/>
      <c r="N2" s="152"/>
      <c r="P2" s="151"/>
      <c r="Q2" s="151"/>
    </row>
    <row r="4" spans="1:17" s="145" customFormat="1" ht="18" customHeight="1" thickBot="1">
      <c r="A4" s="150" t="s">
        <v>425</v>
      </c>
      <c r="B4" s="150"/>
      <c r="C4" s="150"/>
      <c r="D4" s="150"/>
      <c r="E4" s="150"/>
      <c r="F4" s="150"/>
      <c r="G4" s="146" t="str">
        <f>[1]NotaPedido!D3</f>
        <v>40 - Ministerio de Salud</v>
      </c>
      <c r="H4" s="146"/>
      <c r="I4" s="146"/>
      <c r="J4" s="146"/>
      <c r="K4" s="146"/>
      <c r="L4" s="146"/>
      <c r="M4" s="146"/>
      <c r="N4" s="146"/>
      <c r="O4" s="146"/>
      <c r="P4" s="146"/>
      <c r="Q4" s="146"/>
    </row>
    <row r="5" spans="1:17" s="145" customFormat="1" ht="18" customHeight="1" thickBot="1">
      <c r="A5" s="149" t="s">
        <v>382</v>
      </c>
      <c r="B5" s="148"/>
      <c r="C5" s="148"/>
      <c r="D5" s="148"/>
      <c r="E5" s="148"/>
      <c r="F5" s="147"/>
      <c r="G5" s="146" t="str">
        <f>[1]NotaPedido!D4</f>
        <v>23 - Hospital Interzonal San Juan Bautista</v>
      </c>
      <c r="H5" s="146"/>
      <c r="I5" s="146"/>
      <c r="J5" s="146"/>
      <c r="K5" s="146"/>
      <c r="L5" s="146"/>
      <c r="M5" s="146"/>
      <c r="N5" s="146"/>
      <c r="O5" s="146"/>
      <c r="P5" s="146"/>
      <c r="Q5" s="146"/>
    </row>
    <row r="6" spans="1:17" s="145" customFormat="1" ht="18" customHeight="1" thickBot="1">
      <c r="A6" s="149" t="s">
        <v>383</v>
      </c>
      <c r="B6" s="148"/>
      <c r="C6" s="148"/>
      <c r="D6" s="148"/>
      <c r="E6" s="148"/>
      <c r="F6" s="147"/>
      <c r="G6" s="146" t="str">
        <f>[1]NotaPedido!D5</f>
        <v>172 - Direccion de Administracion</v>
      </c>
      <c r="H6" s="146"/>
      <c r="I6" s="146"/>
      <c r="J6" s="146"/>
      <c r="K6" s="146"/>
      <c r="L6" s="146"/>
      <c r="M6" s="146"/>
      <c r="N6" s="146"/>
      <c r="O6" s="146"/>
      <c r="P6" s="146"/>
      <c r="Q6" s="146"/>
    </row>
    <row r="7" spans="1:17" s="145" customFormat="1" ht="18" customHeight="1" thickBot="1">
      <c r="A7" s="149" t="s">
        <v>385</v>
      </c>
      <c r="B7" s="148"/>
      <c r="C7" s="148"/>
      <c r="D7" s="148"/>
      <c r="E7" s="148"/>
      <c r="F7" s="147"/>
      <c r="G7" s="146" t="str">
        <f>[1]NotaPedido!D6</f>
        <v>Servicio de Deposito Central y Division Patrimonio</v>
      </c>
      <c r="H7" s="146"/>
      <c r="I7" s="146"/>
      <c r="J7" s="146"/>
      <c r="K7" s="146"/>
      <c r="L7" s="146"/>
      <c r="M7" s="146"/>
      <c r="N7" s="146"/>
      <c r="O7" s="146"/>
      <c r="P7" s="146"/>
      <c r="Q7" s="146"/>
    </row>
    <row r="8" spans="1:17" ht="18" customHeight="1" thickBot="1">
      <c r="A8" s="144" t="s">
        <v>424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</row>
    <row r="9" spans="1:17" ht="18" customHeight="1">
      <c r="A9" s="143" t="s">
        <v>423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03"/>
      <c r="P9" s="103"/>
      <c r="Q9" s="142"/>
    </row>
    <row r="10" spans="1:17" ht="54.75" customHeight="1">
      <c r="A10" s="141" t="str">
        <f>"Autorizo la realización de los  trámites correspondientes, a fin de proveer a  este Organismo los bienes y/o servicios que se detallan en Nota de Pedido N° " &amp; [1]NotaPedido!K1&amp;",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380 - 2020,  afectando la erogación resultante a los créditos presupuestarios aprobados a favor de esta Unidad Ejecutora, conforme al siguiente detalle: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</row>
    <row r="11" spans="1:17" ht="9" customHeight="1" thickBot="1">
      <c r="A11" s="140"/>
      <c r="B11" s="138"/>
      <c r="C11" s="138"/>
      <c r="D11" s="138"/>
      <c r="E11" s="138"/>
      <c r="F11" s="138"/>
      <c r="G11" s="139"/>
      <c r="H11" s="138"/>
      <c r="I11" s="138"/>
      <c r="J11" s="138"/>
      <c r="K11" s="138"/>
      <c r="L11" s="138"/>
      <c r="M11" s="138"/>
      <c r="N11" s="138"/>
      <c r="O11" s="138"/>
      <c r="P11" s="138"/>
      <c r="Q11" s="137"/>
    </row>
    <row r="12" spans="1:17" ht="15.75" customHeight="1" thickBot="1">
      <c r="A12" s="136" t="s">
        <v>422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</row>
    <row r="13" spans="1:17" ht="15.75" customHeight="1" thickBot="1">
      <c r="A13" s="135" t="s">
        <v>421</v>
      </c>
      <c r="B13" s="135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29" t="s">
        <v>420</v>
      </c>
      <c r="P13" s="129"/>
      <c r="Q13" s="128" t="s">
        <v>419</v>
      </c>
    </row>
    <row r="14" spans="1:17" ht="15.75" customHeight="1" thickBot="1">
      <c r="A14" s="134" t="s">
        <v>418</v>
      </c>
      <c r="B14" s="132" t="s">
        <v>417</v>
      </c>
      <c r="C14" s="132" t="s">
        <v>416</v>
      </c>
      <c r="D14" s="132" t="s">
        <v>415</v>
      </c>
      <c r="E14" s="132" t="s">
        <v>414</v>
      </c>
      <c r="F14" s="132" t="s">
        <v>413</v>
      </c>
      <c r="G14" s="133" t="s">
        <v>412</v>
      </c>
      <c r="H14" s="132" t="s">
        <v>411</v>
      </c>
      <c r="I14" s="132" t="s">
        <v>410</v>
      </c>
      <c r="J14" s="132" t="s">
        <v>409</v>
      </c>
      <c r="K14" s="132" t="s">
        <v>409</v>
      </c>
      <c r="L14" s="132" t="s">
        <v>408</v>
      </c>
      <c r="M14" s="131" t="s">
        <v>407</v>
      </c>
      <c r="N14" s="130" t="s">
        <v>406</v>
      </c>
      <c r="O14" s="129"/>
      <c r="P14" s="129"/>
      <c r="Q14" s="128"/>
    </row>
    <row r="15" spans="1:17" ht="17.25" customHeight="1">
      <c r="A15" s="127">
        <v>33</v>
      </c>
      <c r="B15" s="125"/>
      <c r="C15" s="125"/>
      <c r="D15" s="125">
        <v>5</v>
      </c>
      <c r="E15" s="125"/>
      <c r="F15" s="125">
        <v>4901</v>
      </c>
      <c r="G15" s="125">
        <v>3</v>
      </c>
      <c r="H15" s="123" t="s">
        <v>403</v>
      </c>
      <c r="I15" s="126">
        <v>2</v>
      </c>
      <c r="J15" s="126">
        <v>3</v>
      </c>
      <c r="K15" s="126">
        <v>1</v>
      </c>
      <c r="L15" s="125"/>
      <c r="M15" s="124">
        <v>1</v>
      </c>
      <c r="N15" s="123" t="s">
        <v>402</v>
      </c>
      <c r="O15" s="122" t="s">
        <v>405</v>
      </c>
      <c r="P15" s="122"/>
      <c r="Q15" s="121">
        <v>279783.05</v>
      </c>
    </row>
    <row r="16" spans="1:17" ht="17.25" customHeight="1">
      <c r="A16" s="115">
        <v>33</v>
      </c>
      <c r="B16" s="114"/>
      <c r="C16" s="114"/>
      <c r="D16" s="114">
        <v>5</v>
      </c>
      <c r="E16" s="114"/>
      <c r="F16" s="114">
        <v>4901</v>
      </c>
      <c r="G16" s="114">
        <v>3</v>
      </c>
      <c r="H16" s="118" t="s">
        <v>403</v>
      </c>
      <c r="I16" s="114">
        <v>2</v>
      </c>
      <c r="J16" s="114">
        <v>9</v>
      </c>
      <c r="K16" s="114">
        <v>2</v>
      </c>
      <c r="L16" s="114"/>
      <c r="M16" s="113">
        <v>1</v>
      </c>
      <c r="N16" s="117" t="s">
        <v>402</v>
      </c>
      <c r="O16" s="120" t="s">
        <v>404</v>
      </c>
      <c r="P16" s="120"/>
      <c r="Q16" s="104">
        <v>236611.20000000001</v>
      </c>
    </row>
    <row r="17" spans="1:19" ht="17.25" customHeight="1">
      <c r="A17" s="115">
        <v>33</v>
      </c>
      <c r="B17" s="114"/>
      <c r="C17" s="114"/>
      <c r="D17" s="114">
        <v>5</v>
      </c>
      <c r="E17" s="114"/>
      <c r="F17" s="112">
        <v>4901</v>
      </c>
      <c r="G17" s="114">
        <v>3</v>
      </c>
      <c r="H17" s="118" t="s">
        <v>403</v>
      </c>
      <c r="I17" s="114">
        <v>2</v>
      </c>
      <c r="J17" s="114">
        <v>9</v>
      </c>
      <c r="K17" s="114">
        <v>6</v>
      </c>
      <c r="L17" s="114"/>
      <c r="M17" s="113">
        <v>1</v>
      </c>
      <c r="N17" s="117" t="s">
        <v>402</v>
      </c>
      <c r="O17" s="120" t="s">
        <v>401</v>
      </c>
      <c r="P17" s="120"/>
      <c r="Q17" s="104">
        <v>1511466</v>
      </c>
      <c r="S17" s="119"/>
    </row>
    <row r="18" spans="1:19" ht="17.25" customHeight="1">
      <c r="A18" s="115"/>
      <c r="B18" s="114"/>
      <c r="C18" s="114"/>
      <c r="D18" s="114"/>
      <c r="E18" s="114"/>
      <c r="F18" s="114"/>
      <c r="G18" s="114"/>
      <c r="H18" s="118"/>
      <c r="I18" s="114"/>
      <c r="J18" s="114"/>
      <c r="K18" s="114"/>
      <c r="L18" s="114"/>
      <c r="M18" s="113"/>
      <c r="N18" s="117"/>
      <c r="O18" s="116"/>
      <c r="P18" s="111"/>
      <c r="Q18" s="104"/>
    </row>
    <row r="19" spans="1:19" ht="17.25" customHeight="1">
      <c r="A19" s="115"/>
      <c r="B19" s="114"/>
      <c r="C19" s="114"/>
      <c r="D19" s="114"/>
      <c r="E19" s="114"/>
      <c r="F19" s="112"/>
      <c r="G19" s="114"/>
      <c r="H19" s="114"/>
      <c r="I19" s="114"/>
      <c r="J19" s="114"/>
      <c r="K19" s="114"/>
      <c r="L19" s="114"/>
      <c r="M19" s="113"/>
      <c r="N19" s="112"/>
      <c r="O19" s="111"/>
      <c r="P19" s="111"/>
      <c r="Q19" s="104"/>
    </row>
    <row r="20" spans="1:19" ht="17.25" customHeight="1">
      <c r="A20" s="115"/>
      <c r="B20" s="114"/>
      <c r="C20" s="114"/>
      <c r="D20" s="114"/>
      <c r="E20" s="114"/>
      <c r="F20" s="112"/>
      <c r="G20" s="114"/>
      <c r="H20" s="114"/>
      <c r="I20" s="114"/>
      <c r="J20" s="114"/>
      <c r="K20" s="114"/>
      <c r="L20" s="114"/>
      <c r="M20" s="113"/>
      <c r="N20" s="112"/>
      <c r="O20" s="111"/>
      <c r="P20" s="111"/>
      <c r="Q20" s="104"/>
    </row>
    <row r="21" spans="1:19" ht="17.25" customHeight="1">
      <c r="A21" s="110"/>
      <c r="B21" s="108"/>
      <c r="C21" s="108"/>
      <c r="D21" s="108"/>
      <c r="E21" s="108"/>
      <c r="F21" s="109"/>
      <c r="G21" s="108"/>
      <c r="H21" s="108"/>
      <c r="I21" s="108"/>
      <c r="J21" s="108"/>
      <c r="K21" s="108"/>
      <c r="L21" s="108"/>
      <c r="M21" s="107"/>
      <c r="N21" s="106"/>
      <c r="O21" s="105"/>
      <c r="P21" s="105"/>
      <c r="Q21" s="104"/>
      <c r="R21" s="103"/>
    </row>
    <row r="22" spans="1:19" ht="17.25" customHeight="1" thickBot="1">
      <c r="A22" s="102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1"/>
      <c r="N22" s="100"/>
      <c r="O22" s="99"/>
      <c r="P22" s="99"/>
      <c r="Q22" s="98"/>
    </row>
    <row r="23" spans="1:19" ht="27" customHeight="1" thickBot="1">
      <c r="A23" s="97" t="s">
        <v>400</v>
      </c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6">
        <f>SUM(Q15:Q22)</f>
        <v>2027860.25</v>
      </c>
    </row>
    <row r="24" spans="1:19" ht="18" customHeight="1" thickBot="1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</row>
    <row r="25" spans="1:19" ht="17.25" customHeight="1" thickBot="1">
      <c r="A25" s="94" t="s">
        <v>399</v>
      </c>
      <c r="B25" s="93"/>
      <c r="C25" s="93"/>
      <c r="D25" s="93"/>
      <c r="E25" s="93"/>
      <c r="F25" s="92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</row>
    <row r="26" spans="1:19" ht="18" customHeight="1" thickBot="1">
      <c r="A26" s="90" t="str">
        <f>"Para la "&amp; [1]NotaPedido!D8 &amp;" para ser destinados al " &amp; [1]NotaPedido!D6 &amp;"  del HISJB del Ministerio de Salud."</f>
        <v>Para la Adquisición de Articulos de Librería e Insumos para Impresoras y fotocopiadoras para ser destinados al Servicio de Deposito Central y Division Patrimonio  del HISJB del Ministerio de Salud.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</row>
    <row r="27" spans="1:19" ht="15" customHeight="1" thickBot="1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A26:Q2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LIBRERIA NT</vt:lpstr>
      <vt:lpstr>LIBRERIA NPYE</vt:lpstr>
      <vt:lpstr>LIBRERIA APG</vt:lpstr>
      <vt:lpstr>'LIBRERIA APG'!Área_de_impresión</vt:lpstr>
      <vt:lpstr>'LIBRERIA NPYE'!Área_de_impresión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llicta6</cp:lastModifiedBy>
  <dcterms:created xsi:type="dcterms:W3CDTF">2021-02-08T13:18:48Z</dcterms:created>
  <dcterms:modified xsi:type="dcterms:W3CDTF">2021-02-08T13:19:58Z</dcterms:modified>
</cp:coreProperties>
</file>