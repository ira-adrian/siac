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RTIN\Desktop\kit escolares corregido\"/>
    </mc:Choice>
  </mc:AlternateContent>
  <bookViews>
    <workbookView xWindow="-120" yWindow="-120" windowWidth="15600" windowHeight="11025"/>
  </bookViews>
  <sheets>
    <sheet name="Necesidades Trimestrales" sheetId="1" r:id="rId1"/>
    <sheet name="NDP 47" sheetId="5" r:id="rId2"/>
    <sheet name="APG" sheetId="3" r:id="rId3"/>
  </sheets>
  <definedNames>
    <definedName name="_xlnm._FilterDatabase" localSheetId="0" hidden="1">'Necesidades Trimestrales'!$A$8:$I$19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2" i="1" l="1"/>
  <c r="E11" i="1" l="1"/>
  <c r="E13" i="1" l="1"/>
  <c r="I11" i="5" l="1"/>
  <c r="I12" i="5"/>
  <c r="I13" i="5"/>
  <c r="I14" i="5"/>
  <c r="I15" i="5"/>
  <c r="I16" i="5"/>
  <c r="I17" i="5"/>
  <c r="I18" i="5"/>
  <c r="Q16" i="3" s="1"/>
  <c r="I19" i="5"/>
  <c r="I20" i="5"/>
  <c r="I10" i="5"/>
  <c r="H10" i="1"/>
  <c r="H11" i="1"/>
  <c r="H12" i="1"/>
  <c r="H13" i="1"/>
  <c r="H14" i="1"/>
  <c r="H15" i="1"/>
  <c r="H16" i="1"/>
  <c r="H17" i="1"/>
  <c r="H18" i="1"/>
  <c r="H19" i="1"/>
  <c r="H9" i="1"/>
  <c r="G10" i="1"/>
  <c r="G11" i="1"/>
  <c r="G12" i="1"/>
  <c r="G13" i="1"/>
  <c r="G14" i="1"/>
  <c r="G15" i="1"/>
  <c r="G16" i="1"/>
  <c r="G17" i="1"/>
  <c r="G18" i="1"/>
  <c r="G19" i="1"/>
  <c r="G9" i="1"/>
  <c r="E10" i="1"/>
  <c r="E14" i="1"/>
  <c r="E15" i="1"/>
  <c r="E16" i="1"/>
  <c r="E17" i="1"/>
  <c r="E18" i="1"/>
  <c r="E19" i="1"/>
  <c r="E9" i="1"/>
  <c r="B10" i="1"/>
  <c r="B11" i="1"/>
  <c r="B12" i="1"/>
  <c r="B13" i="1"/>
  <c r="B14" i="1"/>
  <c r="B15" i="1"/>
  <c r="B16" i="1"/>
  <c r="B17" i="1"/>
  <c r="B18" i="1"/>
  <c r="B19" i="1"/>
  <c r="B9" i="1"/>
  <c r="H21" i="5" l="1"/>
  <c r="Q15" i="3"/>
  <c r="Q17" i="3"/>
  <c r="Q21" i="3"/>
  <c r="I10" i="1"/>
  <c r="I11" i="1"/>
  <c r="I12" i="1"/>
  <c r="I13" i="1"/>
  <c r="I14" i="1"/>
  <c r="I15" i="1"/>
  <c r="I16" i="1"/>
  <c r="I17" i="1"/>
  <c r="I18" i="1"/>
  <c r="I19" i="1"/>
  <c r="I9" i="1"/>
</calcChain>
</file>

<file path=xl/sharedStrings.xml><?xml version="1.0" encoding="utf-8"?>
<sst xmlns="http://schemas.openxmlformats.org/spreadsheetml/2006/main" count="165" uniqueCount="101">
  <si>
    <t>JURISDICCION:</t>
  </si>
  <si>
    <t xml:space="preserve">SAF N°: </t>
  </si>
  <si>
    <t>EJERCICIO:</t>
  </si>
  <si>
    <t>TRIMESTRE:</t>
  </si>
  <si>
    <t>ID</t>
  </si>
  <si>
    <t>Pedido de Necesidades Trimestrales</t>
  </si>
  <si>
    <t>CODIGO ITEM</t>
  </si>
  <si>
    <t>2.9.2-848.11</t>
  </si>
  <si>
    <t>2.9.2-696.18</t>
  </si>
  <si>
    <t>2.9.2-368.15</t>
  </si>
  <si>
    <t>2.9.2-1789.2</t>
  </si>
  <si>
    <t>Descripción técnica</t>
  </si>
  <si>
    <t>Plazos y lugares de entrega</t>
  </si>
  <si>
    <t>Calidad Minima esperada</t>
  </si>
  <si>
    <r>
      <t>Mantenimiento:</t>
    </r>
    <r>
      <rPr>
        <sz val="10"/>
        <rFont val="Times New Roman"/>
        <family val="1"/>
      </rPr>
      <t xml:space="preserve"> 30 días corridos</t>
    </r>
  </si>
  <si>
    <t>Garantia</t>
  </si>
  <si>
    <t>50 - MINISTERIO DE EDUCACIÓN</t>
  </si>
  <si>
    <t>26 - DIRECCIÓN PROVINCIAL DE ADMINISTRACIÓN</t>
  </si>
  <si>
    <t>RUBRO DE COMPRA</t>
  </si>
  <si>
    <t>LIBRERIA,PAP. Y UTILES OFICINA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</si>
  <si>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</si>
  <si>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 xml:space="preserve">I.P.P. </t>
  </si>
  <si>
    <t>2.9.2</t>
  </si>
  <si>
    <t>DESCRIPCION</t>
  </si>
  <si>
    <t>LAPIZ; TIPO: HB, COLOR: NEGRO</t>
  </si>
  <si>
    <t xml:space="preserve">SACAPUNTAS; MATERIAL: PLASTICO, FIJACION: SIN, NUMERO: UNIVERSAL, CANTIDAD DE BOCAS: 1, TIPO: ESCOLAR </t>
  </si>
  <si>
    <t>ESCUADRAS; MODELO: 45°-20 Cm, MATERIAL: PLASTICO, ANGULO: 45°-20 Cm</t>
  </si>
  <si>
    <t>ANILLOS P/CARPETAS; DIAMETRO: 51 mm, MATERIAL: ACERO INOXIDABLE</t>
  </si>
  <si>
    <t>UNIDAD DE MEDIDA</t>
  </si>
  <si>
    <t>Unidad</t>
  </si>
  <si>
    <t>CANTIDAD</t>
  </si>
  <si>
    <t>PRECIO UNITARIO ESTIMADO</t>
  </si>
  <si>
    <t xml:space="preserve">IMPORTE TOTAL ESTIMADO </t>
  </si>
  <si>
    <t>NOTA DE PEDIDO</t>
  </si>
  <si>
    <t xml:space="preserve">JURISDICCIÓN: </t>
  </si>
  <si>
    <t>MINISTERIO DE EDUCACIÓN</t>
  </si>
  <si>
    <t>SAF:</t>
  </si>
  <si>
    <t>UNIDAD EJECUTORA:</t>
  </si>
  <si>
    <t xml:space="preserve">DEPENDENCIA SOLICITANTE: </t>
  </si>
  <si>
    <t>PERIODO UTILIZACIÓN:</t>
  </si>
  <si>
    <t>OBJETO:</t>
  </si>
  <si>
    <t>ADQUISICIÓN DE KITS ESCOLARES</t>
  </si>
  <si>
    <t>Adjunta Detalle Técnico</t>
  </si>
  <si>
    <t>NO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</si>
  <si>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</si>
  <si>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</si>
  <si>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</si>
  <si>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</si>
  <si>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</si>
  <si>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</si>
  <si>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</si>
  <si>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</si>
  <si>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</si>
  <si>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</si>
  <si>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</si>
  <si>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</si>
  <si>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</si>
  <si>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</si>
  <si>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</si>
  <si>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</si>
  <si>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</si>
  <si>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</si>
  <si>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</si>
  <si>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</si>
  <si>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</si>
  <si>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</si>
  <si>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ÚTILES DE ESC., OFICINA Y ENSEÑANZA</t>
  </si>
  <si>
    <t>JUSTIFICACIÓN:</t>
  </si>
  <si>
    <t>2.9.2-758.3</t>
  </si>
  <si>
    <t>TIJERAS P/CORTAR PAPELES; LONG.DE CUERPO: 12.5 Cm, MATERIAL: ACERO INOXIDABLE, MANGO: SIN VALOR, CUCHILLA: REDONDEADAS</t>
  </si>
  <si>
    <t>2.9.2-3283.9</t>
  </si>
  <si>
    <t>2.9.2-1358.356</t>
  </si>
  <si>
    <t>N° 47-21</t>
  </si>
  <si>
    <t xml:space="preserve"> </t>
  </si>
  <si>
    <t>4.3.5-5563.59</t>
  </si>
  <si>
    <t>EQUIPOS</t>
  </si>
  <si>
    <t>PIZARRONES; MATERIAL: MADERA, SOPORTE: SOBRE PARED, DIMENSION PLANO: 2,30 X 1,20 M,</t>
  </si>
  <si>
    <t>4.3.7-1785.1</t>
  </si>
  <si>
    <t>EQUIPO DE OFICINA Y MUEBLES</t>
  </si>
  <si>
    <t>MAPOTECAS; TIPO: COLGANTE, TERMINACION: PINTADO SINTETICO, ALTO: 105 Cm, MATERIAL: METAL, PROFUNDIDAD: 52,50 Cm, ANCHO: 133 Cm.</t>
  </si>
  <si>
    <t>CALCULADORAS ELECTRONICAS; FUNCION: CIENTIFICA, TAMAÑO: BOLSILLO, ALIMENTACION: BATERIAS</t>
  </si>
  <si>
    <t>4.3.7-61.3</t>
  </si>
  <si>
    <t>Costo total estimado:  TRES MILLONES CUATROCIENTOS SETENTA Y CINCO MIL CIENTO TREINTA CON 00/100</t>
  </si>
  <si>
    <t xml:space="preserve">UNIDAD EJECUTORA: </t>
  </si>
  <si>
    <t>3 (TRES) MESES</t>
  </si>
  <si>
    <t>4.3.5</t>
  </si>
  <si>
    <t>4.3.7</t>
  </si>
  <si>
    <t>Especificidades Items N° 1 a 11:</t>
  </si>
  <si>
    <t>TOTAL DE PESOS:TRES MILLONES CUATROCIENTOS SETENTA Y CINCO MIL CIENTO TREINTA CON 00/100</t>
  </si>
  <si>
    <t>EQUIPO EDUCACIONAL Y RECREATIVO</t>
  </si>
  <si>
    <t>Autorizo la realización de los  trámites correspondientes, a fin de proveer a  este Organismo los bienes que se detallan en Nota  de Pedido N° 47/21, afectando la erogación resultante a los créditos presupuestarios aprobados a favor de esta Unidad Ejecutora, conforme al siguiente detalle:</t>
  </si>
  <si>
    <t>Caja</t>
  </si>
  <si>
    <t>2.9.2-2034.26</t>
  </si>
  <si>
    <t>PORTA UTILES; MATERIAL: LONETA, DIMENSION: 15 X 20 Cm, CIERRE: CORDON, PRESENTACION: UNIDAD</t>
  </si>
  <si>
    <t xml:space="preserve"> Item N° 5: Cartuchera de loneta con cierre. Medidas aproximadas 15 X 20 Cm</t>
  </si>
  <si>
    <t>JUEGO DE LAPICES; TIPO: DE COLORES, PRESENTACION: CAJA X 12 UN -</t>
  </si>
  <si>
    <t xml:space="preserve"> Items N° 3: tamaño largo</t>
  </si>
  <si>
    <t>CARPETAS; MATERIAL: CARTON FORRADO C/ PLASTICO, TAMAÑO: Nº 5</t>
  </si>
  <si>
    <t xml:space="preserve"> Items N° 4: dos tapas, colores varios</t>
  </si>
  <si>
    <t>ADQUISICIÓN  DE KITS ESCOLARES CON DESTINO A ESTUDIANTES DE NIVEL SECUNDARIO DE LA PROVINCIA.-</t>
  </si>
  <si>
    <t>Item N° 10 : Mapoteca colgante para clase en aula: 4 de America (2 politicos y 2 fisico), 3  Planisferio (2 politicos y 1 fisico), 3 de Argentina (2 politicos y 1 fisico)</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</si>
</sst>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 #,##0.00_-;\-&quot;$&quot;\ * #,##0.00_-;_-&quot;$&quot;\ * &quot;-&quot;??_-;_-@_-"/>
    <numFmt numFmtId="165" formatCode="[$$-2C0A]\ #,##0.00;[$$-2C0A]&quot; -&quot;#,##0.00"/>
    <numFmt numFmtId="166" formatCode="&quot;$&quot;\ #,##0.00"/>
    <numFmt numFmtId="167" formatCode="dd\-mm\-yy;@"/>
    <numFmt numFmtId="168" formatCode="_(\$* #,##0.00_);_(\$* \(#,##0.00\);_(\$* \-??_);_(@_)"/>
  </numFmts>
  <fonts count="33" x14ac:knownFonts="1">
    <font>
      <sz val="11"/>
      <color theme="1"/>
      <name val="Calibri"/>
      <family val="2"/>
      <scheme val="minor"/>
    </font>
    <font>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11"/>
      <name val="Arial"/>
      <family val="2"/>
    </font>
    <font>
      <sz val="11"/>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
      <sz val="8"/>
      <color theme="1"/>
      <name val="Calibri"/>
      <family val="2"/>
      <scheme val="minor"/>
    </font>
    <font>
      <sz val="10"/>
      <color theme="1"/>
      <name val="Calibri"/>
      <family val="2"/>
      <scheme val="minor"/>
    </font>
    <font>
      <sz val="8"/>
      <name val="Calibri"/>
      <family val="2"/>
      <scheme val="minor"/>
    </font>
    <font>
      <sz val="9"/>
      <color theme="1"/>
      <name val="Calibri"/>
      <family val="2"/>
      <scheme val="minor"/>
    </font>
    <font>
      <sz val="10"/>
      <name val="Calibri"/>
      <family val="2"/>
      <scheme val="minor"/>
    </font>
    <font>
      <sz val="10"/>
      <color rgb="FF000000"/>
      <name val="Calibri"/>
      <family val="2"/>
      <scheme val="minor"/>
    </font>
    <font>
      <b/>
      <sz val="10"/>
      <color theme="1"/>
      <name val="Calibri"/>
      <family val="2"/>
      <scheme val="minor"/>
    </font>
    <font>
      <sz val="10"/>
      <color theme="0"/>
      <name val="Calibri"/>
      <family val="2"/>
      <scheme val="minor"/>
    </font>
    <font>
      <sz val="9"/>
      <color rgb="FF333333"/>
      <name val="Calibri"/>
      <family val="2"/>
      <scheme val="minor"/>
    </font>
    <font>
      <sz val="9"/>
      <name val="Arial"/>
      <family val="2"/>
    </font>
    <font>
      <sz val="10"/>
      <color rgb="FFFF0000"/>
      <name val="Calibri"/>
      <family val="2"/>
      <scheme val="minor"/>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61">
    <border>
      <left/>
      <right/>
      <top/>
      <bottom/>
      <diagonal/>
    </border>
    <border>
      <left style="thick">
        <color auto="1"/>
      </left>
      <right style="thick">
        <color auto="1"/>
      </right>
      <top style="thick">
        <color auto="1"/>
      </top>
      <bottom style="thick">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bottom style="thin">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right style="thin">
        <color auto="1"/>
      </right>
      <top/>
      <bottom style="thin">
        <color auto="1"/>
      </bottom>
      <diagonal/>
    </border>
    <border>
      <left style="thick">
        <color auto="1"/>
      </left>
      <right style="thick">
        <color auto="1"/>
      </right>
      <top/>
      <bottom/>
      <diagonal/>
    </border>
  </borders>
  <cellStyleXfs count="3">
    <xf numFmtId="0" fontId="0" fillId="0" borderId="0"/>
    <xf numFmtId="164" fontId="1" fillId="0" borderId="0" applyFont="0" applyFill="0" applyBorder="0" applyAlignment="0" applyProtection="0"/>
    <xf numFmtId="168" fontId="21" fillId="0" borderId="0" applyBorder="0" applyProtection="0"/>
  </cellStyleXfs>
  <cellXfs count="165">
    <xf numFmtId="0" fontId="0" fillId="0" borderId="0" xfId="0"/>
    <xf numFmtId="0" fontId="2" fillId="0" borderId="0" xfId="0" applyFont="1"/>
    <xf numFmtId="0" fontId="3" fillId="0" borderId="1"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0" xfId="0" applyFont="1" applyAlignment="1">
      <alignment horizontal="center" vertical="center"/>
    </xf>
    <xf numFmtId="0" fontId="6" fillId="0" borderId="0" xfId="0" applyFont="1" applyAlignment="1">
      <alignment horizontal="left" wrapText="1"/>
    </xf>
    <xf numFmtId="0" fontId="9" fillId="2" borderId="0" xfId="0" applyFont="1" applyFill="1" applyAlignment="1">
      <alignment horizontal="center" vertical="center" wrapText="1"/>
    </xf>
    <xf numFmtId="0" fontId="10" fillId="0" borderId="7" xfId="0" applyFont="1" applyBorder="1"/>
    <xf numFmtId="0" fontId="10" fillId="0" borderId="8" xfId="0" applyFont="1" applyBorder="1" applyAlignment="1">
      <alignment horizontal="left" indent="3"/>
    </xf>
    <xf numFmtId="0" fontId="2" fillId="0" borderId="8" xfId="0" applyFont="1" applyBorder="1" applyAlignment="1">
      <alignment horizontal="left" indent="3"/>
    </xf>
    <xf numFmtId="0" fontId="2" fillId="0" borderId="9" xfId="0" applyFont="1" applyBorder="1" applyAlignment="1">
      <alignment horizontal="left" indent="3"/>
    </xf>
    <xf numFmtId="0" fontId="11" fillId="2" borderId="0" xfId="0" applyFont="1" applyFill="1" applyAlignment="1">
      <alignment horizontal="left" wrapText="1" indent="1"/>
    </xf>
    <xf numFmtId="0" fontId="6" fillId="0" borderId="0" xfId="0" applyFont="1" applyAlignment="1">
      <alignment horizontal="center" wrapText="1"/>
    </xf>
    <xf numFmtId="0" fontId="0" fillId="0" borderId="0" xfId="0" applyAlignment="1">
      <alignment horizontal="center" vertical="center" wrapText="1"/>
    </xf>
    <xf numFmtId="0" fontId="2" fillId="0" borderId="6" xfId="0" applyFont="1" applyBorder="1"/>
    <xf numFmtId="0" fontId="2" fillId="0" borderId="0" xfId="0" applyFont="1" applyAlignment="1">
      <alignment horizontal="center" wrapText="1"/>
    </xf>
    <xf numFmtId="0" fontId="2" fillId="0" borderId="10" xfId="0" applyFont="1" applyBorder="1"/>
    <xf numFmtId="0" fontId="13" fillId="3" borderId="0" xfId="0" applyFont="1" applyFill="1" applyAlignment="1">
      <alignment horizontal="left" wrapText="1"/>
    </xf>
    <xf numFmtId="0" fontId="0" fillId="0" borderId="0" xfId="0" applyAlignment="1">
      <alignment horizontal="left" vertical="center" wrapText="1"/>
    </xf>
    <xf numFmtId="0" fontId="2" fillId="0" borderId="11" xfId="0" applyFont="1" applyBorder="1"/>
    <xf numFmtId="0" fontId="2" fillId="0" borderId="12" xfId="0" applyFont="1" applyBorder="1"/>
    <xf numFmtId="0" fontId="2" fillId="0" borderId="12" xfId="0" applyFont="1" applyBorder="1" applyAlignment="1">
      <alignment horizontal="center" wrapText="1"/>
    </xf>
    <xf numFmtId="0" fontId="2" fillId="0" borderId="13" xfId="0" applyFont="1" applyBorder="1"/>
    <xf numFmtId="0" fontId="9" fillId="2" borderId="4" xfId="0" applyFont="1" applyFill="1" applyBorder="1" applyAlignment="1">
      <alignment horizontal="center" vertical="center" wrapText="1"/>
    </xf>
    <xf numFmtId="0" fontId="9" fillId="2" borderId="14" xfId="0" applyFont="1" applyFill="1" applyBorder="1" applyAlignment="1">
      <alignment horizontal="center" vertical="center" wrapText="1"/>
    </xf>
    <xf numFmtId="165" fontId="4" fillId="2" borderId="0" xfId="1" applyNumberFormat="1" applyFont="1" applyFill="1" applyBorder="1" applyAlignment="1" applyProtection="1">
      <alignment horizontal="right" vertical="center" wrapText="1"/>
    </xf>
    <xf numFmtId="0" fontId="15" fillId="0" borderId="17" xfId="0" applyFont="1" applyBorder="1" applyAlignment="1">
      <alignment vertical="center"/>
    </xf>
    <xf numFmtId="0" fontId="15" fillId="0" borderId="18" xfId="0" applyFont="1" applyBorder="1" applyAlignment="1">
      <alignment vertical="center"/>
    </xf>
    <xf numFmtId="0" fontId="15" fillId="0" borderId="12" xfId="0" applyFont="1" applyBorder="1" applyAlignment="1">
      <alignment vertical="center"/>
    </xf>
    <xf numFmtId="165" fontId="4" fillId="2" borderId="4" xfId="1" applyNumberFormat="1" applyFont="1" applyFill="1" applyBorder="1" applyAlignment="1" applyProtection="1">
      <alignment horizontal="center" vertical="center" wrapText="1"/>
    </xf>
    <xf numFmtId="0" fontId="9" fillId="0" borderId="0" xfId="0" applyFont="1" applyBorder="1" applyAlignment="1">
      <alignment horizontal="center" vertical="center" wrapText="1"/>
    </xf>
    <xf numFmtId="0" fontId="9" fillId="0" borderId="0" xfId="0" applyFont="1" applyFill="1" applyBorder="1" applyAlignment="1">
      <alignment horizontal="center" vertical="center" wrapText="1"/>
    </xf>
    <xf numFmtId="0" fontId="9" fillId="2" borderId="0" xfId="0" applyFont="1" applyFill="1" applyBorder="1" applyAlignment="1">
      <alignment horizontal="center" vertical="center" wrapText="1"/>
    </xf>
    <xf numFmtId="165" fontId="4" fillId="2" borderId="15" xfId="1" applyNumberFormat="1" applyFont="1" applyFill="1" applyBorder="1" applyAlignment="1" applyProtection="1">
      <alignment horizontal="center" vertical="center" wrapText="1"/>
    </xf>
    <xf numFmtId="3" fontId="18" fillId="0" borderId="6" xfId="0" applyNumberFormat="1" applyFont="1" applyBorder="1"/>
    <xf numFmtId="167" fontId="12" fillId="0" borderId="6" xfId="0" applyNumberFormat="1" applyFont="1" applyBorder="1" applyAlignment="1">
      <alignment horizontal="left"/>
    </xf>
    <xf numFmtId="0" fontId="12" fillId="0" borderId="6" xfId="0" applyFont="1" applyBorder="1"/>
    <xf numFmtId="0" fontId="12" fillId="0" borderId="8" xfId="0" applyFont="1" applyBorder="1"/>
    <xf numFmtId="0" fontId="12" fillId="0" borderId="0" xfId="0" applyFont="1"/>
    <xf numFmtId="0" fontId="12" fillId="0" borderId="0" xfId="0" applyFont="1" applyAlignment="1">
      <alignment horizontal="left"/>
    </xf>
    <xf numFmtId="167" fontId="12" fillId="0" borderId="0" xfId="0" applyNumberFormat="1" applyFont="1" applyAlignment="1">
      <alignment horizontal="left"/>
    </xf>
    <xf numFmtId="0" fontId="12" fillId="0" borderId="12" xfId="0" applyFont="1" applyBorder="1"/>
    <xf numFmtId="0" fontId="12" fillId="0" borderId="17" xfId="0" applyFont="1" applyBorder="1"/>
    <xf numFmtId="0" fontId="12" fillId="0" borderId="18" xfId="0" applyFont="1" applyBorder="1"/>
    <xf numFmtId="0" fontId="12" fillId="0" borderId="18" xfId="0" applyFont="1" applyBorder="1" applyAlignment="1">
      <alignment horizontal="left"/>
    </xf>
    <xf numFmtId="0" fontId="12" fillId="0" borderId="33" xfId="0" applyFont="1" applyBorder="1"/>
    <xf numFmtId="0" fontId="15" fillId="0" borderId="20" xfId="0" applyFont="1" applyBorder="1" applyAlignment="1">
      <alignment horizontal="left" vertical="center"/>
    </xf>
    <xf numFmtId="0" fontId="15" fillId="0" borderId="0" xfId="0" applyFont="1" applyBorder="1" applyAlignment="1">
      <alignment vertical="center"/>
    </xf>
    <xf numFmtId="0" fontId="22" fillId="0" borderId="0" xfId="0" applyFont="1"/>
    <xf numFmtId="0" fontId="15" fillId="0" borderId="18" xfId="0" applyFont="1" applyBorder="1" applyAlignment="1">
      <alignment vertical="top"/>
    </xf>
    <xf numFmtId="0" fontId="0" fillId="0" borderId="0" xfId="0" applyAlignment="1">
      <alignment vertical="top"/>
    </xf>
    <xf numFmtId="0" fontId="23" fillId="0" borderId="0" xfId="0" applyFont="1" applyAlignment="1">
      <alignment vertical="center"/>
    </xf>
    <xf numFmtId="0" fontId="4" fillId="0" borderId="0" xfId="0" applyFont="1" applyBorder="1" applyAlignment="1">
      <alignment horizontal="center" vertical="center"/>
    </xf>
    <xf numFmtId="0" fontId="7" fillId="0" borderId="0" xfId="0" applyFont="1" applyBorder="1" applyAlignment="1">
      <alignment horizontal="center" vertical="center"/>
    </xf>
    <xf numFmtId="0" fontId="12" fillId="0" borderId="0" xfId="0" applyFont="1" applyBorder="1" applyAlignment="1">
      <alignment horizontal="center" vertical="center" wrapText="1"/>
    </xf>
    <xf numFmtId="0" fontId="8" fillId="0" borderId="0" xfId="0" applyFont="1" applyBorder="1" applyAlignment="1">
      <alignment horizontal="center" vertical="center" wrapText="1"/>
    </xf>
    <xf numFmtId="0" fontId="12" fillId="0" borderId="0" xfId="0" applyFont="1" applyBorder="1" applyAlignment="1">
      <alignment horizontal="left" vertical="center" wrapText="1"/>
    </xf>
    <xf numFmtId="165" fontId="4" fillId="2" borderId="0" xfId="1" applyNumberFormat="1" applyFont="1" applyFill="1" applyBorder="1" applyAlignment="1" applyProtection="1">
      <alignment horizontal="center" vertical="center" wrapText="1"/>
    </xf>
    <xf numFmtId="0" fontId="23" fillId="0" borderId="5" xfId="0" applyFont="1" applyBorder="1" applyAlignment="1">
      <alignment horizontal="left" vertical="center"/>
    </xf>
    <xf numFmtId="0" fontId="25" fillId="0" borderId="5" xfId="0" applyFont="1" applyBorder="1" applyAlignment="1">
      <alignment vertical="center"/>
    </xf>
    <xf numFmtId="0" fontId="26" fillId="0" borderId="5" xfId="0" applyFont="1" applyFill="1" applyBorder="1" applyAlignment="1">
      <alignment horizontal="center" vertical="center"/>
    </xf>
    <xf numFmtId="0" fontId="26" fillId="0" borderId="5" xfId="0" applyFont="1" applyFill="1" applyBorder="1" applyAlignment="1">
      <alignment horizontal="left" vertical="center"/>
    </xf>
    <xf numFmtId="0" fontId="26" fillId="0" borderId="5" xfId="0" applyFont="1" applyFill="1" applyBorder="1" applyAlignment="1">
      <alignment vertical="top" wrapText="1"/>
    </xf>
    <xf numFmtId="0" fontId="27" fillId="0" borderId="5" xfId="0" applyFont="1" applyFill="1" applyBorder="1" applyAlignment="1">
      <alignment horizontal="left" vertical="center" wrapText="1"/>
    </xf>
    <xf numFmtId="0" fontId="26" fillId="0" borderId="59" xfId="0" applyFont="1" applyFill="1" applyBorder="1" applyAlignment="1">
      <alignment horizontal="center" vertical="center"/>
    </xf>
    <xf numFmtId="166" fontId="26" fillId="0" borderId="4" xfId="1" applyNumberFormat="1" applyFont="1" applyFill="1" applyBorder="1" applyAlignment="1" applyProtection="1">
      <alignment horizontal="center" vertical="center" wrapText="1"/>
    </xf>
    <xf numFmtId="0" fontId="27" fillId="0" borderId="4" xfId="0" applyFont="1" applyFill="1" applyBorder="1" applyAlignment="1">
      <alignment horizontal="center" vertical="center" wrapText="1"/>
    </xf>
    <xf numFmtId="166" fontId="23" fillId="0" borderId="5" xfId="0" applyNumberFormat="1" applyFont="1" applyBorder="1"/>
    <xf numFmtId="0" fontId="23" fillId="0" borderId="0" xfId="0" applyFont="1"/>
    <xf numFmtId="0" fontId="3" fillId="0" borderId="60" xfId="0" applyFont="1" applyBorder="1" applyAlignment="1">
      <alignment horizontal="center" vertical="center" wrapText="1"/>
    </xf>
    <xf numFmtId="0" fontId="3" fillId="0" borderId="60" xfId="0" applyFont="1" applyBorder="1" applyAlignment="1">
      <alignment horizontal="center" vertical="top" wrapText="1"/>
    </xf>
    <xf numFmtId="0" fontId="23" fillId="0" borderId="5" xfId="0" applyFont="1" applyFill="1" applyBorder="1" applyAlignment="1">
      <alignment horizontal="left" vertical="center"/>
    </xf>
    <xf numFmtId="166" fontId="29" fillId="0" borderId="0" xfId="0" applyNumberFormat="1" applyFont="1"/>
    <xf numFmtId="0" fontId="16" fillId="0" borderId="32" xfId="0" applyFont="1" applyBorder="1" applyAlignment="1">
      <alignment horizontal="center" vertical="center" wrapText="1"/>
    </xf>
    <xf numFmtId="0" fontId="27" fillId="0" borderId="5" xfId="0" applyFont="1" applyFill="1" applyBorder="1" applyAlignment="1">
      <alignment horizontal="center" vertical="center" wrapText="1"/>
    </xf>
    <xf numFmtId="166" fontId="26" fillId="0" borderId="5" xfId="1" applyNumberFormat="1" applyFont="1" applyFill="1" applyBorder="1" applyAlignment="1" applyProtection="1">
      <alignment horizontal="center" vertical="center" wrapText="1"/>
    </xf>
    <xf numFmtId="0" fontId="23" fillId="0" borderId="5" xfId="0" applyFont="1" applyFill="1" applyBorder="1" applyAlignment="1">
      <alignment wrapText="1"/>
    </xf>
    <xf numFmtId="0" fontId="23" fillId="0" borderId="5" xfId="0" applyFont="1" applyFill="1" applyBorder="1" applyAlignment="1">
      <alignment vertical="top" wrapText="1"/>
    </xf>
    <xf numFmtId="0" fontId="23" fillId="0" borderId="5" xfId="0" applyFont="1" applyBorder="1" applyAlignment="1">
      <alignment vertical="center" wrapText="1"/>
    </xf>
    <xf numFmtId="0" fontId="30" fillId="0" borderId="0" xfId="0" applyFont="1" applyAlignment="1">
      <alignment wrapText="1"/>
    </xf>
    <xf numFmtId="0" fontId="9" fillId="0" borderId="4" xfId="0" applyFont="1" applyBorder="1" applyAlignment="1">
      <alignment horizontal="center" vertical="center" wrapText="1"/>
    </xf>
    <xf numFmtId="0" fontId="4" fillId="0" borderId="4" xfId="0" applyFont="1" applyBorder="1" applyAlignment="1">
      <alignment horizontal="left" vertical="center" wrapText="1"/>
    </xf>
    <xf numFmtId="0" fontId="9" fillId="0" borderId="5" xfId="0" applyFont="1" applyFill="1" applyBorder="1" applyAlignment="1">
      <alignment horizontal="center" vertical="center" wrapText="1"/>
    </xf>
    <xf numFmtId="0" fontId="4" fillId="0" borderId="5" xfId="0" applyFont="1" applyBorder="1" applyAlignment="1">
      <alignment horizontal="left" vertical="center" wrapText="1"/>
    </xf>
    <xf numFmtId="0" fontId="9" fillId="0" borderId="5" xfId="0" applyFont="1" applyBorder="1" applyAlignment="1">
      <alignment horizontal="center" vertical="center" wrapText="1"/>
    </xf>
    <xf numFmtId="0" fontId="31" fillId="0" borderId="4" xfId="0" applyFont="1" applyBorder="1" applyAlignment="1">
      <alignment horizontal="left" vertical="center"/>
    </xf>
    <xf numFmtId="0" fontId="24" fillId="0" borderId="0" xfId="0" applyFont="1"/>
    <xf numFmtId="0" fontId="20" fillId="0" borderId="36" xfId="0" applyFont="1" applyFill="1" applyBorder="1" applyAlignment="1">
      <alignment horizontal="center" vertical="center"/>
    </xf>
    <xf numFmtId="0" fontId="20" fillId="0" borderId="37" xfId="0" applyFont="1" applyFill="1" applyBorder="1" applyAlignment="1">
      <alignment horizontal="center" vertical="center"/>
    </xf>
    <xf numFmtId="0" fontId="20" fillId="0" borderId="37" xfId="0" applyFont="1" applyFill="1" applyBorder="1" applyAlignment="1">
      <alignment horizontal="left" vertical="center"/>
    </xf>
    <xf numFmtId="0" fontId="20" fillId="0" borderId="38" xfId="0" applyFont="1" applyFill="1" applyBorder="1" applyAlignment="1">
      <alignment horizontal="center" vertical="center"/>
    </xf>
    <xf numFmtId="0" fontId="20" fillId="0" borderId="39" xfId="0" applyFont="1" applyFill="1" applyBorder="1" applyAlignment="1">
      <alignment horizontal="center" vertical="center"/>
    </xf>
    <xf numFmtId="0" fontId="4" fillId="0" borderId="40" xfId="0" applyFont="1" applyFill="1" applyBorder="1" applyAlignment="1">
      <alignment horizontal="center" vertical="center"/>
    </xf>
    <xf numFmtId="0" fontId="4" fillId="0" borderId="41" xfId="0" applyFont="1" applyFill="1" applyBorder="1" applyAlignment="1">
      <alignment horizontal="center" vertical="center"/>
    </xf>
    <xf numFmtId="0" fontId="4" fillId="0" borderId="42" xfId="0" applyFont="1" applyFill="1" applyBorder="1" applyAlignment="1">
      <alignment horizontal="center" vertical="center"/>
    </xf>
    <xf numFmtId="165" fontId="4" fillId="0" borderId="43" xfId="2" applyNumberFormat="1" applyFont="1" applyFill="1" applyBorder="1" applyAlignment="1" applyProtection="1">
      <alignment horizontal="center" vertical="center"/>
    </xf>
    <xf numFmtId="0" fontId="4" fillId="0" borderId="44" xfId="0" applyFont="1" applyFill="1" applyBorder="1" applyAlignment="1">
      <alignment horizontal="center" vertical="center"/>
    </xf>
    <xf numFmtId="0" fontId="4" fillId="0" borderId="45" xfId="0" applyFont="1" applyFill="1" applyBorder="1" applyAlignment="1">
      <alignment horizontal="center" vertical="center"/>
    </xf>
    <xf numFmtId="0" fontId="4" fillId="0" borderId="46" xfId="0" applyFont="1" applyFill="1" applyBorder="1" applyAlignment="1">
      <alignment horizontal="center" vertical="center"/>
    </xf>
    <xf numFmtId="0" fontId="4" fillId="0" borderId="47" xfId="0" applyFont="1" applyFill="1" applyBorder="1" applyAlignment="1">
      <alignment horizontal="center" vertical="center"/>
    </xf>
    <xf numFmtId="165" fontId="4" fillId="0" borderId="50" xfId="2" applyNumberFormat="1" applyFont="1" applyFill="1" applyBorder="1" applyAlignment="1" applyProtection="1">
      <alignment horizontal="center" vertical="center"/>
    </xf>
    <xf numFmtId="0" fontId="12" fillId="0" borderId="44" xfId="0" applyFont="1" applyFill="1" applyBorder="1" applyAlignment="1">
      <alignment horizontal="center" vertical="center"/>
    </xf>
    <xf numFmtId="0" fontId="12" fillId="0" borderId="45" xfId="0" applyFont="1" applyFill="1" applyBorder="1" applyAlignment="1">
      <alignment horizontal="center" vertical="center"/>
    </xf>
    <xf numFmtId="0" fontId="12" fillId="0" borderId="46" xfId="0" applyFont="1" applyFill="1" applyBorder="1" applyAlignment="1">
      <alignment horizontal="center" vertical="center"/>
    </xf>
    <xf numFmtId="0" fontId="12" fillId="0" borderId="47" xfId="0" applyFont="1" applyFill="1" applyBorder="1" applyAlignment="1">
      <alignment horizontal="center" vertical="center"/>
    </xf>
    <xf numFmtId="165" fontId="12" fillId="0" borderId="50" xfId="2" applyNumberFormat="1" applyFont="1" applyFill="1" applyBorder="1" applyAlignment="1" applyProtection="1">
      <alignment horizontal="center" vertical="center"/>
    </xf>
    <xf numFmtId="0" fontId="12" fillId="0" borderId="51" xfId="0" applyFont="1" applyFill="1" applyBorder="1" applyAlignment="1">
      <alignment horizontal="center" vertical="center"/>
    </xf>
    <xf numFmtId="0" fontId="12" fillId="0" borderId="52" xfId="0" applyFont="1" applyFill="1" applyBorder="1" applyAlignment="1">
      <alignment horizontal="center" vertical="center"/>
    </xf>
    <xf numFmtId="0" fontId="12" fillId="0" borderId="53" xfId="0" applyFont="1" applyFill="1" applyBorder="1" applyAlignment="1">
      <alignment horizontal="center" vertical="center"/>
    </xf>
    <xf numFmtId="165" fontId="12" fillId="0" borderId="54" xfId="2" applyNumberFormat="1" applyFont="1" applyFill="1" applyBorder="1" applyAlignment="1" applyProtection="1">
      <alignment horizontal="center" vertical="center"/>
    </xf>
    <xf numFmtId="165" fontId="20" fillId="0" borderId="56" xfId="0" applyNumberFormat="1" applyFont="1" applyFill="1" applyBorder="1" applyAlignment="1">
      <alignment horizontal="center" vertical="center"/>
    </xf>
    <xf numFmtId="166" fontId="32" fillId="0" borderId="0" xfId="0" applyNumberFormat="1" applyFont="1"/>
    <xf numFmtId="0" fontId="2" fillId="0" borderId="0" xfId="0" applyFont="1" applyFill="1" applyBorder="1"/>
    <xf numFmtId="0" fontId="4" fillId="0" borderId="3" xfId="0" applyFont="1" applyFill="1" applyBorder="1" applyAlignment="1">
      <alignment horizontal="center" vertical="center"/>
    </xf>
    <xf numFmtId="0" fontId="31" fillId="0" borderId="4" xfId="0" applyFont="1" applyFill="1" applyBorder="1" applyAlignment="1">
      <alignment horizontal="left" vertical="center"/>
    </xf>
    <xf numFmtId="0" fontId="4" fillId="0" borderId="5" xfId="0" applyFont="1" applyFill="1" applyBorder="1" applyAlignment="1">
      <alignment horizontal="left" vertical="center" wrapText="1"/>
    </xf>
    <xf numFmtId="0" fontId="4" fillId="0" borderId="4" xfId="0" applyFont="1" applyFill="1" applyBorder="1" applyAlignment="1">
      <alignment horizontal="left" vertical="center" wrapText="1"/>
    </xf>
    <xf numFmtId="165" fontId="2" fillId="0" borderId="50" xfId="2" applyNumberFormat="1" applyFont="1" applyFill="1" applyBorder="1" applyAlignment="1" applyProtection="1">
      <alignment horizontal="center" vertical="center"/>
    </xf>
    <xf numFmtId="0" fontId="2" fillId="0" borderId="12" xfId="0" applyFont="1" applyFill="1" applyBorder="1"/>
    <xf numFmtId="0" fontId="3" fillId="0" borderId="0" xfId="0" applyFont="1" applyAlignment="1">
      <alignment horizontal="left" vertical="center" wrapText="1"/>
    </xf>
    <xf numFmtId="0" fontId="12" fillId="2" borderId="0" xfId="0" applyFont="1" applyFill="1" applyAlignment="1">
      <alignment horizontal="left" wrapText="1"/>
    </xf>
    <xf numFmtId="0" fontId="12" fillId="2" borderId="12" xfId="0" applyFont="1" applyFill="1" applyBorder="1" applyAlignment="1">
      <alignment horizontal="left" wrapText="1"/>
    </xf>
    <xf numFmtId="0" fontId="5" fillId="0" borderId="0" xfId="0" applyFont="1" applyAlignment="1">
      <alignment horizontal="center"/>
    </xf>
    <xf numFmtId="0" fontId="11" fillId="2" borderId="0" xfId="0" applyFont="1" applyFill="1" applyAlignment="1">
      <alignment horizontal="left" wrapText="1" indent="1"/>
    </xf>
    <xf numFmtId="0" fontId="2" fillId="0" borderId="0" xfId="0" applyFont="1" applyAlignment="1">
      <alignment horizontal="left" wrapText="1"/>
    </xf>
    <xf numFmtId="0" fontId="2" fillId="0" borderId="12" xfId="0" applyFont="1" applyBorder="1" applyAlignment="1">
      <alignment horizontal="left" wrapText="1"/>
    </xf>
    <xf numFmtId="0" fontId="17" fillId="0" borderId="21" xfId="0" applyFont="1" applyBorder="1" applyAlignment="1">
      <alignment horizontal="left" vertical="center" wrapText="1"/>
    </xf>
    <xf numFmtId="0" fontId="16" fillId="0" borderId="26" xfId="0" applyFont="1" applyBorder="1" applyAlignment="1">
      <alignment horizontal="left" vertical="center" wrapText="1"/>
    </xf>
    <xf numFmtId="0" fontId="16" fillId="0" borderId="58" xfId="0" applyFont="1" applyBorder="1" applyAlignment="1">
      <alignment horizontal="left" vertical="center" wrapText="1"/>
    </xf>
    <xf numFmtId="0" fontId="16" fillId="0" borderId="27" xfId="0" applyFont="1" applyBorder="1" applyAlignment="1">
      <alignment horizontal="left" vertical="center" wrapText="1"/>
    </xf>
    <xf numFmtId="0" fontId="14" fillId="0" borderId="7" xfId="0" applyFont="1" applyBorder="1" applyAlignment="1">
      <alignment horizontal="center" vertical="center" wrapText="1"/>
    </xf>
    <xf numFmtId="0" fontId="14" fillId="0" borderId="6" xfId="0" applyFont="1" applyBorder="1" applyAlignment="1">
      <alignment horizontal="center" vertical="center" wrapText="1"/>
    </xf>
    <xf numFmtId="0" fontId="17" fillId="0" borderId="19" xfId="0" applyFont="1" applyBorder="1" applyAlignment="1">
      <alignment horizontal="left" vertical="center" wrapText="1"/>
    </xf>
    <xf numFmtId="0" fontId="16" fillId="0" borderId="20" xfId="0" applyFont="1" applyBorder="1" applyAlignment="1">
      <alignment vertical="center" wrapText="1"/>
    </xf>
    <xf numFmtId="0" fontId="16" fillId="0" borderId="20" xfId="0" applyFont="1" applyBorder="1" applyAlignment="1">
      <alignment horizontal="left" vertical="center" wrapText="1"/>
    </xf>
    <xf numFmtId="0" fontId="28" fillId="0" borderId="5" xfId="0" applyFont="1" applyBorder="1" applyAlignment="1">
      <alignment horizontal="left" vertical="top" wrapText="1"/>
    </xf>
    <xf numFmtId="0" fontId="17" fillId="0" borderId="19" xfId="0" applyFont="1" applyBorder="1" applyAlignment="1">
      <alignment horizontal="left" vertical="center"/>
    </xf>
    <xf numFmtId="0" fontId="17" fillId="0" borderId="22" xfId="0" applyFont="1" applyBorder="1" applyAlignment="1">
      <alignment horizontal="left" vertical="center"/>
    </xf>
    <xf numFmtId="0" fontId="17" fillId="0" borderId="23" xfId="0" applyFont="1" applyBorder="1" applyAlignment="1">
      <alignment horizontal="left" vertical="center"/>
    </xf>
    <xf numFmtId="0" fontId="17" fillId="0" borderId="24" xfId="0" applyFont="1" applyBorder="1" applyAlignment="1">
      <alignment horizontal="left" vertical="center"/>
    </xf>
    <xf numFmtId="0" fontId="16" fillId="0" borderId="25" xfId="0" applyFont="1" applyBorder="1" applyAlignment="1">
      <alignment vertical="center" wrapText="1"/>
    </xf>
    <xf numFmtId="0" fontId="4" fillId="0" borderId="31" xfId="0" applyFont="1" applyFill="1" applyBorder="1"/>
    <xf numFmtId="0" fontId="20" fillId="0" borderId="20" xfId="0" applyFont="1" applyFill="1" applyBorder="1" applyAlignment="1">
      <alignment vertical="center" wrapText="1"/>
    </xf>
    <xf numFmtId="0" fontId="4" fillId="0" borderId="35" xfId="0" applyFont="1" applyFill="1" applyBorder="1" applyAlignment="1">
      <alignment vertical="center" wrapText="1"/>
    </xf>
    <xf numFmtId="0" fontId="4" fillId="0" borderId="57" xfId="0" applyFont="1" applyFill="1" applyBorder="1" applyAlignment="1">
      <alignment horizontal="left" vertical="center" wrapText="1" indent="1"/>
    </xf>
    <xf numFmtId="0" fontId="4" fillId="0" borderId="48" xfId="0" applyFont="1" applyFill="1" applyBorder="1" applyAlignment="1">
      <alignment horizontal="left" vertical="center" wrapText="1"/>
    </xf>
    <xf numFmtId="0" fontId="4" fillId="0" borderId="49" xfId="0" applyFont="1" applyFill="1" applyBorder="1" applyAlignment="1">
      <alignment horizontal="left" vertical="center" wrapText="1"/>
    </xf>
    <xf numFmtId="0" fontId="4" fillId="0" borderId="47" xfId="0" applyFont="1" applyFill="1" applyBorder="1" applyAlignment="1">
      <alignment horizontal="left" wrapText="1"/>
    </xf>
    <xf numFmtId="0" fontId="12" fillId="0" borderId="47" xfId="0" applyFont="1" applyFill="1" applyBorder="1" applyAlignment="1">
      <alignment horizontal="center" vertical="center"/>
    </xf>
    <xf numFmtId="0" fontId="12" fillId="0" borderId="52" xfId="0" applyFont="1" applyFill="1" applyBorder="1" applyAlignment="1">
      <alignment horizontal="left" vertical="center"/>
    </xf>
    <xf numFmtId="0" fontId="20" fillId="0" borderId="55" xfId="0" applyFont="1" applyFill="1" applyBorder="1" applyAlignment="1">
      <alignment horizontal="left" vertical="center" wrapText="1"/>
    </xf>
    <xf numFmtId="0" fontId="12" fillId="0" borderId="28" xfId="0" applyFont="1" applyBorder="1" applyAlignment="1">
      <alignment horizontal="left" vertical="center" wrapText="1"/>
    </xf>
    <xf numFmtId="0" fontId="12" fillId="0" borderId="29" xfId="0" applyFont="1" applyBorder="1" applyAlignment="1">
      <alignment horizontal="left" indent="1"/>
    </xf>
    <xf numFmtId="0" fontId="19" fillId="0" borderId="30" xfId="0" applyFont="1" applyBorder="1" applyAlignment="1">
      <alignment horizontal="left"/>
    </xf>
    <xf numFmtId="0" fontId="12" fillId="0" borderId="31" xfId="0" applyFont="1" applyBorder="1" applyAlignment="1">
      <alignment horizontal="left"/>
    </xf>
    <xf numFmtId="49" fontId="12" fillId="0" borderId="32" xfId="0" applyNumberFormat="1" applyFont="1" applyBorder="1" applyAlignment="1">
      <alignment horizontal="justify" vertical="center" wrapText="1"/>
    </xf>
    <xf numFmtId="0" fontId="20" fillId="0" borderId="31" xfId="0" applyFont="1" applyFill="1" applyBorder="1" applyAlignment="1">
      <alignment horizontal="center" vertical="center"/>
    </xf>
    <xf numFmtId="0" fontId="20" fillId="0" borderId="28" xfId="0" applyFont="1" applyFill="1" applyBorder="1" applyAlignment="1">
      <alignment horizontal="center" vertical="center"/>
    </xf>
    <xf numFmtId="0" fontId="20" fillId="0" borderId="34" xfId="0" applyFont="1" applyFill="1" applyBorder="1" applyAlignment="1">
      <alignment horizontal="center" vertical="center" wrapText="1"/>
    </xf>
    <xf numFmtId="0" fontId="20" fillId="0" borderId="35" xfId="0" applyFont="1" applyFill="1" applyBorder="1" applyAlignment="1">
      <alignment horizontal="center" vertical="center"/>
    </xf>
    <xf numFmtId="0" fontId="12" fillId="0" borderId="26" xfId="0" applyFont="1" applyBorder="1" applyAlignment="1">
      <alignment horizontal="center"/>
    </xf>
    <xf numFmtId="0" fontId="18" fillId="0" borderId="27" xfId="0" applyFont="1" applyBorder="1" applyAlignment="1">
      <alignment horizontal="center"/>
    </xf>
    <xf numFmtId="0" fontId="18" fillId="0" borderId="16" xfId="0" applyFont="1" applyBorder="1" applyAlignment="1">
      <alignment horizontal="center" vertical="center" wrapText="1"/>
    </xf>
    <xf numFmtId="0" fontId="12" fillId="0" borderId="28" xfId="0" applyFont="1" applyBorder="1"/>
  </cellXfs>
  <cellStyles count="3">
    <cellStyle name="Moneda" xfId="1" builtinId="4"/>
    <cellStyle name="Moneda_AUTORIZACION Y NOTA DE PEDIDO"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abSelected="1" workbookViewId="0">
      <selection activeCell="H30" sqref="H30"/>
    </sheetView>
  </sheetViews>
  <sheetFormatPr baseColWidth="10" defaultRowHeight="15" x14ac:dyDescent="0.25"/>
  <cols>
    <col min="1" max="1" width="4.5703125" customWidth="1"/>
    <col min="2" max="2" width="15" customWidth="1"/>
    <col min="3" max="3" width="29.85546875" customWidth="1"/>
    <col min="4" max="4" width="8.42578125" customWidth="1"/>
    <col min="5" max="5" width="64.7109375" customWidth="1"/>
    <col min="6" max="6" width="11"/>
    <col min="7" max="7" width="12.7109375" customWidth="1"/>
    <col min="8" max="8" width="13.85546875" customWidth="1"/>
    <col min="9" max="9" width="17.5703125" customWidth="1"/>
  </cols>
  <sheetData>
    <row r="1" spans="1:9" ht="27" x14ac:dyDescent="0.35">
      <c r="A1" s="1"/>
      <c r="B1" s="123" t="s">
        <v>5</v>
      </c>
      <c r="C1" s="123"/>
      <c r="D1" s="123"/>
      <c r="E1" s="123"/>
      <c r="F1" s="123"/>
      <c r="G1" s="123"/>
      <c r="H1" s="123"/>
      <c r="I1" s="1"/>
    </row>
    <row r="2" spans="1:9" ht="4.5" customHeight="1" x14ac:dyDescent="0.25">
      <c r="A2" s="1"/>
      <c r="B2" s="1"/>
      <c r="C2" s="1"/>
      <c r="D2" s="1"/>
      <c r="E2" s="1"/>
      <c r="F2" s="1"/>
      <c r="G2" s="1"/>
      <c r="H2" s="1"/>
      <c r="I2" s="1"/>
    </row>
    <row r="3" spans="1:9" ht="15.75" x14ac:dyDescent="0.25">
      <c r="A3" s="120" t="s">
        <v>0</v>
      </c>
      <c r="B3" s="120"/>
      <c r="C3" s="124" t="s">
        <v>16</v>
      </c>
      <c r="D3" s="124"/>
      <c r="E3" s="124"/>
      <c r="F3" s="6"/>
      <c r="G3" s="13"/>
      <c r="H3" s="6"/>
      <c r="I3" s="1"/>
    </row>
    <row r="4" spans="1:9" ht="15.75" x14ac:dyDescent="0.25">
      <c r="A4" s="120" t="s">
        <v>1</v>
      </c>
      <c r="B4" s="120"/>
      <c r="C4" s="124" t="s">
        <v>17</v>
      </c>
      <c r="D4" s="124"/>
      <c r="E4" s="124"/>
      <c r="F4" s="6"/>
      <c r="G4" s="13"/>
      <c r="H4" s="6"/>
      <c r="I4" s="1"/>
    </row>
    <row r="5" spans="1:9" ht="15.75" x14ac:dyDescent="0.25">
      <c r="A5" s="120" t="s">
        <v>2</v>
      </c>
      <c r="B5" s="120"/>
      <c r="C5" s="12">
        <v>2021</v>
      </c>
      <c r="D5" s="18"/>
      <c r="E5" s="18"/>
      <c r="F5" s="6"/>
      <c r="G5" s="13"/>
      <c r="H5" s="6"/>
      <c r="I5" s="1"/>
    </row>
    <row r="6" spans="1:9" ht="15.6" x14ac:dyDescent="0.35">
      <c r="A6" s="120" t="s">
        <v>3</v>
      </c>
      <c r="B6" s="120"/>
      <c r="C6" s="12">
        <v>4</v>
      </c>
      <c r="D6" s="18"/>
      <c r="E6" s="18"/>
      <c r="F6" s="6"/>
      <c r="G6" s="13"/>
      <c r="H6" s="6"/>
      <c r="I6" s="1"/>
    </row>
    <row r="7" spans="1:9" ht="1.5" customHeight="1" thickBot="1" x14ac:dyDescent="0.3">
      <c r="A7" s="1"/>
      <c r="B7" s="6"/>
      <c r="C7" s="13"/>
      <c r="D7" s="6"/>
      <c r="E7" s="6"/>
      <c r="F7" s="6"/>
      <c r="G7" s="13"/>
      <c r="H7" s="6"/>
      <c r="I7" s="1"/>
    </row>
    <row r="8" spans="1:9" ht="44.25" thickTop="1" thickBot="1" x14ac:dyDescent="0.3">
      <c r="A8" s="2" t="s">
        <v>4</v>
      </c>
      <c r="B8" s="2" t="s">
        <v>6</v>
      </c>
      <c r="C8" s="2" t="s">
        <v>18</v>
      </c>
      <c r="D8" s="2" t="s">
        <v>21</v>
      </c>
      <c r="E8" s="2" t="s">
        <v>23</v>
      </c>
      <c r="F8" s="2" t="s">
        <v>28</v>
      </c>
      <c r="G8" s="2" t="s">
        <v>30</v>
      </c>
      <c r="H8" s="2" t="s">
        <v>31</v>
      </c>
      <c r="I8" s="2" t="s">
        <v>32</v>
      </c>
    </row>
    <row r="9" spans="1:9" ht="16.5" thickTop="1" thickBot="1" x14ac:dyDescent="0.3">
      <c r="A9" s="3">
        <v>1</v>
      </c>
      <c r="B9" s="86" t="str">
        <f>'NDP 47'!C10</f>
        <v>2.9.2-848.11</v>
      </c>
      <c r="C9" s="82" t="s">
        <v>19</v>
      </c>
      <c r="D9" s="81" t="s">
        <v>22</v>
      </c>
      <c r="E9" s="82" t="str">
        <f>'NDP 47'!D10</f>
        <v>LAPIZ; TIPO: HB, COLOR: NEGRO</v>
      </c>
      <c r="F9" s="24" t="s">
        <v>29</v>
      </c>
      <c r="G9" s="24">
        <f>'NDP 47'!H10</f>
        <v>2500</v>
      </c>
      <c r="H9" s="30">
        <f>'NDP 47'!G10</f>
        <v>30</v>
      </c>
      <c r="I9" s="34">
        <f>G9*H9</f>
        <v>75000</v>
      </c>
    </row>
    <row r="10" spans="1:9" ht="24.75" thickBot="1" x14ac:dyDescent="0.3">
      <c r="A10" s="4">
        <v>2</v>
      </c>
      <c r="B10" s="86" t="str">
        <f>'NDP 47'!C11</f>
        <v>2.9.2-696.18</v>
      </c>
      <c r="C10" s="84" t="s">
        <v>19</v>
      </c>
      <c r="D10" s="83" t="s">
        <v>22</v>
      </c>
      <c r="E10" s="82" t="str">
        <f>'NDP 47'!D11</f>
        <v xml:space="preserve">SACAPUNTAS; MATERIAL: PLASTICO, FIJACION: SIN, NUMERO: UNIVERSAL, CANTIDAD DE BOCAS: 1, TIPO: ESCOLAR </v>
      </c>
      <c r="F10" s="25" t="s">
        <v>29</v>
      </c>
      <c r="G10" s="24">
        <f>'NDP 47'!H11</f>
        <v>3000</v>
      </c>
      <c r="H10" s="30">
        <f>'NDP 47'!G11</f>
        <v>60</v>
      </c>
      <c r="I10" s="34">
        <f t="shared" ref="I10:I19" si="0">G10*H10</f>
        <v>180000</v>
      </c>
    </row>
    <row r="11" spans="1:9" ht="18" customHeight="1" thickBot="1" x14ac:dyDescent="0.3">
      <c r="A11" s="4">
        <v>3</v>
      </c>
      <c r="B11" s="86" t="str">
        <f>'NDP 47'!C12</f>
        <v>2.9.2-3283.9</v>
      </c>
      <c r="C11" s="84" t="s">
        <v>19</v>
      </c>
      <c r="D11" s="85" t="s">
        <v>22</v>
      </c>
      <c r="E11" s="82" t="str">
        <f>'NDP 47'!D12</f>
        <v>JUEGO DE LAPICES; TIPO: DE COLORES, PRESENTACION: CAJA X 12 UN -</v>
      </c>
      <c r="F11" s="25" t="s">
        <v>91</v>
      </c>
      <c r="G11" s="24">
        <f>'NDP 47'!H12</f>
        <v>3000</v>
      </c>
      <c r="H11" s="30">
        <f>'NDP 47'!G12</f>
        <v>215.4</v>
      </c>
      <c r="I11" s="34">
        <f t="shared" si="0"/>
        <v>646200</v>
      </c>
    </row>
    <row r="12" spans="1:9" ht="15.75" thickBot="1" x14ac:dyDescent="0.3">
      <c r="A12" s="114">
        <v>4</v>
      </c>
      <c r="B12" s="115" t="str">
        <f>'NDP 47'!C13</f>
        <v>2.9.2-1358.356</v>
      </c>
      <c r="C12" s="116" t="s">
        <v>19</v>
      </c>
      <c r="D12" s="83" t="s">
        <v>22</v>
      </c>
      <c r="E12" s="117" t="str">
        <f>'NDP 47'!D13</f>
        <v>CARPETAS; MATERIAL: CARTON FORRADO C/ PLASTICO, TAMAÑO: Nº 5</v>
      </c>
      <c r="F12" s="25" t="s">
        <v>29</v>
      </c>
      <c r="G12" s="24">
        <f>'NDP 47'!H13</f>
        <v>3000</v>
      </c>
      <c r="H12" s="30">
        <f>'NDP 47'!G13</f>
        <v>141</v>
      </c>
      <c r="I12" s="34">
        <f t="shared" si="0"/>
        <v>423000</v>
      </c>
    </row>
    <row r="13" spans="1:9" ht="24.75" thickBot="1" x14ac:dyDescent="0.3">
      <c r="A13" s="114">
        <v>5</v>
      </c>
      <c r="B13" s="115" t="str">
        <f>'NDP 47'!C14</f>
        <v>2.9.2-2034.26</v>
      </c>
      <c r="C13" s="116" t="s">
        <v>19</v>
      </c>
      <c r="D13" s="83" t="s">
        <v>22</v>
      </c>
      <c r="E13" s="117" t="str">
        <f>'NDP 47'!D14</f>
        <v>PORTA UTILES; MATERIAL: LONETA, DIMENSION: 15 X 20 Cm, CIERRE: CORDON, PRESENTACION: UNIDAD</v>
      </c>
      <c r="F13" s="25" t="s">
        <v>29</v>
      </c>
      <c r="G13" s="24">
        <f>'NDP 47'!H14</f>
        <v>3000</v>
      </c>
      <c r="H13" s="30">
        <f>'NDP 47'!G14</f>
        <v>282.31</v>
      </c>
      <c r="I13" s="34">
        <f t="shared" si="0"/>
        <v>846930</v>
      </c>
    </row>
    <row r="14" spans="1:9" ht="24.75" thickBot="1" x14ac:dyDescent="0.3">
      <c r="A14" s="4">
        <v>6</v>
      </c>
      <c r="B14" s="86" t="str">
        <f>'NDP 47'!C15</f>
        <v>2.9.2-368.15</v>
      </c>
      <c r="C14" s="84" t="s">
        <v>19</v>
      </c>
      <c r="D14" s="85" t="s">
        <v>22</v>
      </c>
      <c r="E14" s="82" t="str">
        <f>'NDP 47'!D15</f>
        <v>ESCUADRAS; MODELO: 45°-20 Cm, MATERIAL: PLASTICO, ANGULO: 45°-20 Cm</v>
      </c>
      <c r="F14" s="25" t="s">
        <v>29</v>
      </c>
      <c r="G14" s="24">
        <f>'NDP 47'!H15</f>
        <v>3000</v>
      </c>
      <c r="H14" s="30">
        <f>'NDP 47'!G15</f>
        <v>152</v>
      </c>
      <c r="I14" s="34">
        <f t="shared" si="0"/>
        <v>456000</v>
      </c>
    </row>
    <row r="15" spans="1:9" ht="15.75" thickBot="1" x14ac:dyDescent="0.3">
      <c r="A15" s="4">
        <v>7</v>
      </c>
      <c r="B15" s="86" t="str">
        <f>'NDP 47'!C16</f>
        <v>2.9.2-1789.2</v>
      </c>
      <c r="C15" s="84" t="s">
        <v>19</v>
      </c>
      <c r="D15" s="85" t="s">
        <v>22</v>
      </c>
      <c r="E15" s="82" t="str">
        <f>'NDP 47'!D16</f>
        <v>ANILLOS P/CARPETAS; DIAMETRO: 51 mm, MATERIAL: ACERO INOXIDABLE</v>
      </c>
      <c r="F15" s="25" t="s">
        <v>29</v>
      </c>
      <c r="G15" s="24">
        <f>'NDP 47'!H16</f>
        <v>12000</v>
      </c>
      <c r="H15" s="30">
        <f>'NDP 47'!G16</f>
        <v>25</v>
      </c>
      <c r="I15" s="34">
        <f t="shared" si="0"/>
        <v>300000</v>
      </c>
    </row>
    <row r="16" spans="1:9" ht="24.75" thickBot="1" x14ac:dyDescent="0.3">
      <c r="A16" s="4">
        <v>8</v>
      </c>
      <c r="B16" s="86" t="str">
        <f>'NDP 47'!C17</f>
        <v>2.9.2-758.3</v>
      </c>
      <c r="C16" s="84" t="s">
        <v>19</v>
      </c>
      <c r="D16" s="85" t="s">
        <v>22</v>
      </c>
      <c r="E16" s="82" t="str">
        <f>'NDP 47'!D17</f>
        <v>TIJERAS P/CORTAR PAPELES; LONG.DE CUERPO: 12.5 Cm, MATERIAL: ACERO INOXIDABLE, MANGO: SIN VALOR, CUCHILLA: REDONDEADAS</v>
      </c>
      <c r="F16" s="25" t="s">
        <v>29</v>
      </c>
      <c r="G16" s="24">
        <f>'NDP 47'!H17</f>
        <v>3000</v>
      </c>
      <c r="H16" s="30">
        <f>'NDP 47'!G17</f>
        <v>125</v>
      </c>
      <c r="I16" s="34">
        <f t="shared" si="0"/>
        <v>375000</v>
      </c>
    </row>
    <row r="17" spans="1:9" ht="24.75" thickBot="1" x14ac:dyDescent="0.3">
      <c r="A17" s="4">
        <v>9</v>
      </c>
      <c r="B17" s="86" t="str">
        <f>'NDP 47'!C18</f>
        <v>4.3.5-5563.59</v>
      </c>
      <c r="C17" s="60" t="s">
        <v>75</v>
      </c>
      <c r="D17" s="85" t="s">
        <v>85</v>
      </c>
      <c r="E17" s="82" t="str">
        <f>'NDP 47'!D18</f>
        <v>PIZARRONES; MATERIAL: MADERA, SOPORTE: SOBRE PARED, DIMENSION PLANO: 2,30 X 1,20 M,</v>
      </c>
      <c r="F17" s="25" t="s">
        <v>29</v>
      </c>
      <c r="G17" s="24">
        <f>'NDP 47'!H18</f>
        <v>10</v>
      </c>
      <c r="H17" s="30">
        <f>'NDP 47'!G18</f>
        <v>11000</v>
      </c>
      <c r="I17" s="34">
        <f t="shared" si="0"/>
        <v>110000</v>
      </c>
    </row>
    <row r="18" spans="1:9" ht="27" customHeight="1" thickBot="1" x14ac:dyDescent="0.3">
      <c r="A18" s="4">
        <v>10</v>
      </c>
      <c r="B18" s="86" t="str">
        <f>'NDP 47'!C19</f>
        <v>4.3.7-1785.1</v>
      </c>
      <c r="C18" s="60" t="s">
        <v>78</v>
      </c>
      <c r="D18" s="85" t="s">
        <v>86</v>
      </c>
      <c r="E18" s="82" t="str">
        <f>'NDP 47'!D19</f>
        <v>MAPOTECAS; TIPO: COLGANTE, TERMINACION: PINTADO SINTETICO, ALTO: 105 Cm, MATERIAL: METAL, PROFUNDIDAD: 52,50 Cm, ANCHO: 133 Cm.</v>
      </c>
      <c r="F18" s="25" t="s">
        <v>29</v>
      </c>
      <c r="G18" s="24">
        <f>'NDP 47'!H19</f>
        <v>10</v>
      </c>
      <c r="H18" s="30">
        <f>'NDP 47'!G19</f>
        <v>3600</v>
      </c>
      <c r="I18" s="34">
        <f t="shared" si="0"/>
        <v>36000</v>
      </c>
    </row>
    <row r="19" spans="1:9" ht="24" x14ac:dyDescent="0.25">
      <c r="A19" s="4">
        <v>11</v>
      </c>
      <c r="B19" s="86" t="str">
        <f>'NDP 47'!C20</f>
        <v>4.3.7-61.3</v>
      </c>
      <c r="C19" s="60" t="s">
        <v>78</v>
      </c>
      <c r="D19" s="85" t="s">
        <v>86</v>
      </c>
      <c r="E19" s="82" t="str">
        <f>'NDP 47'!D20</f>
        <v>CALCULADORAS ELECTRONICAS; FUNCION: CIENTIFICA, TAMAÑO: BOLSILLO, ALIMENTACION: BATERIAS</v>
      </c>
      <c r="F19" s="25" t="s">
        <v>29</v>
      </c>
      <c r="G19" s="24">
        <f>'NDP 47'!H20</f>
        <v>10</v>
      </c>
      <c r="H19" s="30">
        <f>'NDP 47'!G20</f>
        <v>2700</v>
      </c>
      <c r="I19" s="34">
        <f t="shared" si="0"/>
        <v>27000</v>
      </c>
    </row>
    <row r="20" spans="1:9" x14ac:dyDescent="0.25">
      <c r="A20" s="53"/>
      <c r="B20" s="54"/>
      <c r="C20" s="55"/>
      <c r="D20" s="56"/>
      <c r="E20" s="57"/>
      <c r="F20" s="33"/>
      <c r="G20" s="33"/>
      <c r="H20" s="58"/>
      <c r="I20" s="58"/>
    </row>
    <row r="21" spans="1:9" ht="15.75" thickBot="1" x14ac:dyDescent="0.3">
      <c r="A21" s="5"/>
      <c r="B21" s="33"/>
      <c r="C21" s="14"/>
      <c r="D21" s="32"/>
      <c r="E21" s="19"/>
      <c r="F21" s="7"/>
      <c r="G21" s="7"/>
      <c r="H21" s="26"/>
      <c r="I21" s="26"/>
    </row>
    <row r="22" spans="1:9" x14ac:dyDescent="0.25">
      <c r="A22" s="1"/>
      <c r="B22" s="8" t="s">
        <v>87</v>
      </c>
      <c r="C22" s="15"/>
      <c r="D22" s="15"/>
      <c r="E22" s="20"/>
      <c r="F22" s="1"/>
      <c r="G22" s="1"/>
      <c r="H22" s="1"/>
      <c r="I22" s="1"/>
    </row>
    <row r="23" spans="1:9" x14ac:dyDescent="0.25">
      <c r="A23" s="1"/>
      <c r="B23" s="9" t="s">
        <v>11</v>
      </c>
      <c r="C23" s="1"/>
      <c r="D23" s="1"/>
      <c r="E23" s="21"/>
      <c r="F23" s="1"/>
      <c r="G23" s="1"/>
      <c r="H23" s="1"/>
      <c r="I23" s="1"/>
    </row>
    <row r="24" spans="1:9" x14ac:dyDescent="0.25">
      <c r="A24" s="1"/>
      <c r="B24" s="9"/>
      <c r="C24" s="113" t="s">
        <v>96</v>
      </c>
      <c r="D24" s="113"/>
      <c r="E24" s="119"/>
      <c r="F24" s="1"/>
      <c r="G24" s="1"/>
      <c r="H24" s="1"/>
      <c r="I24" s="1"/>
    </row>
    <row r="25" spans="1:9" x14ac:dyDescent="0.25">
      <c r="A25" s="1"/>
      <c r="B25" s="9"/>
      <c r="C25" s="113" t="s">
        <v>98</v>
      </c>
      <c r="D25" s="113"/>
      <c r="E25" s="119"/>
      <c r="F25" s="1"/>
      <c r="G25" s="1"/>
      <c r="H25" s="1"/>
      <c r="I25" s="1"/>
    </row>
    <row r="26" spans="1:9" x14ac:dyDescent="0.25">
      <c r="A26" s="1"/>
      <c r="B26" s="9"/>
      <c r="C26" s="113" t="s">
        <v>94</v>
      </c>
      <c r="D26" s="113"/>
      <c r="E26" s="119"/>
      <c r="F26" s="1"/>
      <c r="G26" s="1"/>
      <c r="H26" s="1"/>
      <c r="I26" s="1"/>
    </row>
    <row r="27" spans="1:9" ht="29.25" customHeight="1" x14ac:dyDescent="0.25">
      <c r="A27" s="1"/>
      <c r="B27" s="9"/>
      <c r="C27" s="125" t="s">
        <v>100</v>
      </c>
      <c r="D27" s="125"/>
      <c r="E27" s="126"/>
      <c r="F27" s="1"/>
      <c r="G27" s="1"/>
      <c r="H27" s="1"/>
      <c r="I27" s="1"/>
    </row>
    <row r="28" spans="1:9" x14ac:dyDescent="0.25">
      <c r="A28" s="1"/>
      <c r="B28" s="9" t="s">
        <v>12</v>
      </c>
      <c r="C28" s="1"/>
      <c r="D28" s="1"/>
      <c r="E28" s="21"/>
      <c r="F28" s="1"/>
      <c r="H28" s="1"/>
      <c r="I28" s="1"/>
    </row>
    <row r="29" spans="1:9" x14ac:dyDescent="0.25">
      <c r="A29" s="1"/>
      <c r="B29" s="10"/>
      <c r="C29" s="121" t="s">
        <v>20</v>
      </c>
      <c r="D29" s="121"/>
      <c r="E29" s="122"/>
      <c r="F29" s="1"/>
      <c r="G29" s="1"/>
      <c r="H29" s="1"/>
      <c r="I29" s="1"/>
    </row>
    <row r="30" spans="1:9" ht="63" customHeight="1" x14ac:dyDescent="0.25">
      <c r="A30" s="1"/>
      <c r="B30" s="10"/>
      <c r="C30" s="121"/>
      <c r="D30" s="121"/>
      <c r="E30" s="122"/>
      <c r="F30" s="1"/>
      <c r="G30" s="1"/>
      <c r="H30" s="1"/>
      <c r="I30" s="1"/>
    </row>
    <row r="31" spans="1:9" x14ac:dyDescent="0.25">
      <c r="A31" s="1"/>
      <c r="B31" s="9" t="s">
        <v>13</v>
      </c>
      <c r="C31" s="1"/>
      <c r="D31" s="1"/>
      <c r="E31" s="21"/>
      <c r="F31" s="1"/>
      <c r="G31" s="1"/>
      <c r="H31" s="1"/>
      <c r="I31" s="1"/>
    </row>
    <row r="32" spans="1:9" x14ac:dyDescent="0.25">
      <c r="A32" s="1"/>
      <c r="B32" s="9" t="s">
        <v>14</v>
      </c>
      <c r="C32" s="16"/>
      <c r="D32" s="16"/>
      <c r="E32" s="22"/>
      <c r="F32" s="1"/>
      <c r="G32" s="1"/>
      <c r="H32" s="1"/>
      <c r="I32" s="1"/>
    </row>
    <row r="33" spans="1:9" x14ac:dyDescent="0.25">
      <c r="A33" s="1"/>
      <c r="B33" s="9" t="s">
        <v>15</v>
      </c>
      <c r="C33" s="1"/>
      <c r="D33" s="1"/>
      <c r="E33" s="21"/>
      <c r="F33" s="1"/>
      <c r="G33" s="1"/>
      <c r="H33" s="1"/>
      <c r="I33" s="1"/>
    </row>
    <row r="34" spans="1:9" ht="15.75" thickBot="1" x14ac:dyDescent="0.3">
      <c r="A34" s="1"/>
      <c r="B34" s="11"/>
      <c r="C34" s="17"/>
      <c r="D34" s="17"/>
      <c r="E34" s="23"/>
      <c r="F34" s="1"/>
      <c r="G34" s="1"/>
      <c r="H34" s="1"/>
      <c r="I34" s="1"/>
    </row>
    <row r="35" spans="1:9" x14ac:dyDescent="0.25">
      <c r="A35" s="5"/>
      <c r="B35" s="33"/>
      <c r="C35" s="14"/>
      <c r="D35" s="31"/>
      <c r="E35" s="19"/>
      <c r="F35" s="7"/>
      <c r="G35" s="7"/>
      <c r="H35" s="26"/>
      <c r="I35" s="26"/>
    </row>
  </sheetData>
  <autoFilter ref="A8:I19"/>
  <mergeCells count="9">
    <mergeCell ref="A5:B5"/>
    <mergeCell ref="A6:B6"/>
    <mergeCell ref="C29:E30"/>
    <mergeCell ref="B1:H1"/>
    <mergeCell ref="A3:B3"/>
    <mergeCell ref="C3:E3"/>
    <mergeCell ref="A4:B4"/>
    <mergeCell ref="C4:E4"/>
    <mergeCell ref="C27:E27"/>
  </mergeCells>
  <pageMargins left="0.70866141732283472" right="0.70866141732283472" top="0.74803149606299213" bottom="0.74803149606299213" header="0.31496062992125984" footer="0.31496062992125984"/>
  <pageSetup paperSize="5" scale="8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opLeftCell="B16" zoomScale="120" zoomScaleNormal="120" workbookViewId="0">
      <selection activeCell="D13" sqref="D13"/>
    </sheetView>
  </sheetViews>
  <sheetFormatPr baseColWidth="10" defaultRowHeight="15" x14ac:dyDescent="0.25"/>
  <cols>
    <col min="2" max="2" width="9.140625" customWidth="1"/>
    <col min="3" max="3" width="15" customWidth="1"/>
    <col min="4" max="4" width="61.140625" style="51" customWidth="1"/>
    <col min="5" max="6" width="11.5703125" customWidth="1"/>
    <col min="7" max="7" width="13.42578125" customWidth="1"/>
    <col min="8" max="8" width="15.7109375" customWidth="1"/>
  </cols>
  <sheetData>
    <row r="1" spans="2:12" ht="16.5" thickBot="1" x14ac:dyDescent="0.3">
      <c r="B1" s="131" t="s">
        <v>33</v>
      </c>
      <c r="C1" s="132"/>
      <c r="D1" s="132"/>
      <c r="E1" s="132"/>
      <c r="F1" s="132"/>
      <c r="G1" s="132"/>
      <c r="H1" s="47" t="s">
        <v>72</v>
      </c>
    </row>
    <row r="2" spans="2:12" ht="15.75" thickBot="1" x14ac:dyDescent="0.3">
      <c r="B2" s="27"/>
      <c r="C2" s="28"/>
      <c r="D2" s="50"/>
      <c r="E2" s="48"/>
      <c r="F2" s="48"/>
      <c r="G2" s="48"/>
      <c r="H2" s="29"/>
    </row>
    <row r="3" spans="2:12" ht="15.75" thickBot="1" x14ac:dyDescent="0.3">
      <c r="B3" s="133" t="s">
        <v>34</v>
      </c>
      <c r="C3" s="133"/>
      <c r="D3" s="133"/>
      <c r="E3" s="134" t="s">
        <v>35</v>
      </c>
      <c r="F3" s="134"/>
      <c r="G3" s="134"/>
      <c r="H3" s="134"/>
    </row>
    <row r="4" spans="2:12" ht="15.75" thickBot="1" x14ac:dyDescent="0.3">
      <c r="B4" s="127" t="s">
        <v>36</v>
      </c>
      <c r="C4" s="127"/>
      <c r="D4" s="127"/>
      <c r="E4" s="135">
        <v>26</v>
      </c>
      <c r="F4" s="135"/>
      <c r="G4" s="135"/>
      <c r="H4" s="135"/>
    </row>
    <row r="5" spans="2:12" ht="15.75" customHeight="1" thickBot="1" x14ac:dyDescent="0.3">
      <c r="B5" s="127" t="s">
        <v>83</v>
      </c>
      <c r="C5" s="127"/>
      <c r="D5" s="127"/>
      <c r="E5" s="128" t="s">
        <v>35</v>
      </c>
      <c r="F5" s="129"/>
      <c r="G5" s="129"/>
      <c r="H5" s="130"/>
    </row>
    <row r="6" spans="2:12" ht="15.75" thickBot="1" x14ac:dyDescent="0.3">
      <c r="B6" s="137" t="s">
        <v>38</v>
      </c>
      <c r="C6" s="138"/>
      <c r="D6" s="139"/>
      <c r="E6" s="135" t="s">
        <v>35</v>
      </c>
      <c r="F6" s="135"/>
      <c r="G6" s="135"/>
      <c r="H6" s="135"/>
    </row>
    <row r="7" spans="2:12" ht="15.75" thickBot="1" x14ac:dyDescent="0.3">
      <c r="B7" s="127" t="s">
        <v>39</v>
      </c>
      <c r="C7" s="127"/>
      <c r="D7" s="127"/>
      <c r="E7" s="134" t="s">
        <v>84</v>
      </c>
      <c r="F7" s="134"/>
      <c r="G7" s="134"/>
      <c r="H7" s="134"/>
    </row>
    <row r="8" spans="2:12" ht="15.75" thickBot="1" x14ac:dyDescent="0.3">
      <c r="B8" s="140" t="s">
        <v>40</v>
      </c>
      <c r="C8" s="140"/>
      <c r="D8" s="140"/>
      <c r="E8" s="141" t="s">
        <v>41</v>
      </c>
      <c r="F8" s="141"/>
      <c r="G8" s="141"/>
      <c r="H8" s="141"/>
    </row>
    <row r="9" spans="2:12" ht="47.25" customHeight="1" x14ac:dyDescent="0.25">
      <c r="B9" s="70" t="s">
        <v>4</v>
      </c>
      <c r="C9" s="70" t="s">
        <v>6</v>
      </c>
      <c r="D9" s="71" t="s">
        <v>23</v>
      </c>
      <c r="E9" s="74" t="s">
        <v>42</v>
      </c>
      <c r="F9" s="70" t="s">
        <v>28</v>
      </c>
      <c r="G9" s="70" t="s">
        <v>31</v>
      </c>
      <c r="H9" s="70" t="s">
        <v>30</v>
      </c>
    </row>
    <row r="10" spans="2:12" s="49" customFormat="1" ht="14.25" customHeight="1" x14ac:dyDescent="0.2">
      <c r="B10" s="61">
        <v>1</v>
      </c>
      <c r="C10" s="72" t="s">
        <v>7</v>
      </c>
      <c r="D10" s="63" t="s">
        <v>24</v>
      </c>
      <c r="E10" s="61" t="s">
        <v>43</v>
      </c>
      <c r="F10" s="75" t="s">
        <v>29</v>
      </c>
      <c r="G10" s="76">
        <v>30</v>
      </c>
      <c r="H10" s="75">
        <v>2500</v>
      </c>
      <c r="I10" s="73">
        <f>G10*H10</f>
        <v>75000</v>
      </c>
      <c r="J10" s="87"/>
    </row>
    <row r="11" spans="2:12" s="49" customFormat="1" ht="27.75" customHeight="1" x14ac:dyDescent="0.2">
      <c r="B11" s="61">
        <v>2</v>
      </c>
      <c r="C11" s="62" t="s">
        <v>8</v>
      </c>
      <c r="D11" s="63" t="s">
        <v>25</v>
      </c>
      <c r="E11" s="61" t="s">
        <v>43</v>
      </c>
      <c r="F11" s="75" t="s">
        <v>29</v>
      </c>
      <c r="G11" s="76">
        <v>60</v>
      </c>
      <c r="H11" s="75">
        <v>3000</v>
      </c>
      <c r="I11" s="73">
        <f t="shared" ref="I11:I20" si="0">G11*H11</f>
        <v>180000</v>
      </c>
      <c r="J11" s="87"/>
      <c r="L11" s="49" t="s">
        <v>73</v>
      </c>
    </row>
    <row r="12" spans="2:12" s="49" customFormat="1" ht="16.5" customHeight="1" x14ac:dyDescent="0.2">
      <c r="B12" s="61">
        <v>3</v>
      </c>
      <c r="C12" s="62" t="s">
        <v>70</v>
      </c>
      <c r="D12" s="63" t="s">
        <v>95</v>
      </c>
      <c r="E12" s="61" t="s">
        <v>43</v>
      </c>
      <c r="F12" s="75" t="s">
        <v>91</v>
      </c>
      <c r="G12" s="76">
        <v>215.4</v>
      </c>
      <c r="H12" s="75">
        <v>3000</v>
      </c>
      <c r="I12" s="73">
        <f t="shared" si="0"/>
        <v>646200</v>
      </c>
      <c r="J12" s="87"/>
    </row>
    <row r="13" spans="2:12" s="49" customFormat="1" ht="14.25" customHeight="1" x14ac:dyDescent="0.2">
      <c r="B13" s="61">
        <v>4</v>
      </c>
      <c r="C13" s="64" t="s">
        <v>71</v>
      </c>
      <c r="D13" s="63" t="s">
        <v>97</v>
      </c>
      <c r="E13" s="61" t="s">
        <v>43</v>
      </c>
      <c r="F13" s="75" t="s">
        <v>29</v>
      </c>
      <c r="G13" s="76">
        <v>141</v>
      </c>
      <c r="H13" s="75">
        <v>3000</v>
      </c>
      <c r="I13" s="73">
        <f t="shared" si="0"/>
        <v>423000</v>
      </c>
      <c r="J13" s="87"/>
    </row>
    <row r="14" spans="2:12" s="49" customFormat="1" ht="27" customHeight="1" x14ac:dyDescent="0.2">
      <c r="B14" s="61">
        <v>5</v>
      </c>
      <c r="C14" s="72" t="s">
        <v>92</v>
      </c>
      <c r="D14" s="77" t="s">
        <v>93</v>
      </c>
      <c r="E14" s="61" t="s">
        <v>43</v>
      </c>
      <c r="F14" s="75" t="s">
        <v>29</v>
      </c>
      <c r="G14" s="76">
        <v>282.31</v>
      </c>
      <c r="H14" s="75">
        <v>3000</v>
      </c>
      <c r="I14" s="73">
        <f t="shared" si="0"/>
        <v>846930</v>
      </c>
      <c r="J14" s="87"/>
    </row>
    <row r="15" spans="2:12" s="49" customFormat="1" ht="14.25" customHeight="1" x14ac:dyDescent="0.2">
      <c r="B15" s="61">
        <v>6</v>
      </c>
      <c r="C15" s="62" t="s">
        <v>9</v>
      </c>
      <c r="D15" s="63" t="s">
        <v>26</v>
      </c>
      <c r="E15" s="61" t="s">
        <v>43</v>
      </c>
      <c r="F15" s="75" t="s">
        <v>29</v>
      </c>
      <c r="G15" s="76">
        <v>152</v>
      </c>
      <c r="H15" s="75">
        <v>3000</v>
      </c>
      <c r="I15" s="73">
        <f t="shared" si="0"/>
        <v>456000</v>
      </c>
      <c r="J15" s="87"/>
    </row>
    <row r="16" spans="2:12" s="49" customFormat="1" ht="14.25" customHeight="1" x14ac:dyDescent="0.2">
      <c r="B16" s="61">
        <v>7</v>
      </c>
      <c r="C16" s="62" t="s">
        <v>10</v>
      </c>
      <c r="D16" s="63" t="s">
        <v>27</v>
      </c>
      <c r="E16" s="61" t="s">
        <v>43</v>
      </c>
      <c r="F16" s="75" t="s">
        <v>29</v>
      </c>
      <c r="G16" s="76">
        <v>25</v>
      </c>
      <c r="H16" s="75">
        <v>12000</v>
      </c>
      <c r="I16" s="73">
        <f t="shared" si="0"/>
        <v>300000</v>
      </c>
      <c r="J16" s="87"/>
    </row>
    <row r="17" spans="1:10" s="49" customFormat="1" ht="27" customHeight="1" x14ac:dyDescent="0.2">
      <c r="B17" s="61">
        <v>8</v>
      </c>
      <c r="C17" s="62" t="s">
        <v>68</v>
      </c>
      <c r="D17" s="78" t="s">
        <v>69</v>
      </c>
      <c r="E17" s="61" t="s">
        <v>43</v>
      </c>
      <c r="F17" s="75" t="s">
        <v>29</v>
      </c>
      <c r="G17" s="76">
        <v>125</v>
      </c>
      <c r="H17" s="75">
        <v>3000</v>
      </c>
      <c r="I17" s="73">
        <f t="shared" si="0"/>
        <v>375000</v>
      </c>
      <c r="J17" s="87"/>
    </row>
    <row r="18" spans="1:10" s="49" customFormat="1" ht="26.25" customHeight="1" x14ac:dyDescent="0.2">
      <c r="A18" s="52"/>
      <c r="B18" s="61">
        <v>9</v>
      </c>
      <c r="C18" s="59" t="s">
        <v>74</v>
      </c>
      <c r="D18" s="79" t="s">
        <v>76</v>
      </c>
      <c r="E18" s="61" t="s">
        <v>43</v>
      </c>
      <c r="F18" s="75" t="s">
        <v>29</v>
      </c>
      <c r="G18" s="76">
        <v>11000</v>
      </c>
      <c r="H18" s="75">
        <v>10</v>
      </c>
      <c r="I18" s="112">
        <f t="shared" si="0"/>
        <v>110000</v>
      </c>
      <c r="J18" s="87"/>
    </row>
    <row r="19" spans="1:10" s="49" customFormat="1" ht="26.25" customHeight="1" x14ac:dyDescent="0.2">
      <c r="A19" s="52"/>
      <c r="B19" s="61">
        <v>10</v>
      </c>
      <c r="C19" s="59" t="s">
        <v>77</v>
      </c>
      <c r="D19" s="79" t="s">
        <v>79</v>
      </c>
      <c r="E19" s="61" t="s">
        <v>43</v>
      </c>
      <c r="F19" s="75" t="s">
        <v>29</v>
      </c>
      <c r="G19" s="76">
        <v>3600</v>
      </c>
      <c r="H19" s="75">
        <v>10</v>
      </c>
      <c r="I19" s="112">
        <f t="shared" si="0"/>
        <v>36000</v>
      </c>
      <c r="J19" s="87"/>
    </row>
    <row r="20" spans="1:10" s="49" customFormat="1" ht="26.25" customHeight="1" x14ac:dyDescent="0.2">
      <c r="B20" s="65">
        <v>11</v>
      </c>
      <c r="C20" s="62" t="s">
        <v>81</v>
      </c>
      <c r="D20" s="80" t="s">
        <v>80</v>
      </c>
      <c r="E20" s="61" t="s">
        <v>43</v>
      </c>
      <c r="F20" s="75" t="s">
        <v>29</v>
      </c>
      <c r="G20" s="66">
        <v>2700</v>
      </c>
      <c r="H20" s="67">
        <v>10</v>
      </c>
      <c r="I20" s="112">
        <f t="shared" si="0"/>
        <v>27000</v>
      </c>
      <c r="J20" s="87"/>
    </row>
    <row r="21" spans="1:10" ht="15.75" customHeight="1" x14ac:dyDescent="0.25">
      <c r="B21" s="136" t="s">
        <v>82</v>
      </c>
      <c r="C21" s="136"/>
      <c r="D21" s="136"/>
      <c r="E21" s="136"/>
      <c r="F21" s="136"/>
      <c r="G21" s="136"/>
      <c r="H21" s="68">
        <f>SUM(I10:I20)</f>
        <v>3475130</v>
      </c>
      <c r="I21" s="69"/>
    </row>
    <row r="23" spans="1:10" x14ac:dyDescent="0.25">
      <c r="E23" s="52"/>
    </row>
    <row r="24" spans="1:10" x14ac:dyDescent="0.25">
      <c r="E24" s="52"/>
    </row>
    <row r="28" spans="1:10" x14ac:dyDescent="0.25">
      <c r="D28"/>
    </row>
  </sheetData>
  <mergeCells count="14">
    <mergeCell ref="B21:G21"/>
    <mergeCell ref="B6:D6"/>
    <mergeCell ref="E6:H6"/>
    <mergeCell ref="B7:D7"/>
    <mergeCell ref="E7:H7"/>
    <mergeCell ref="B8:D8"/>
    <mergeCell ref="E8:H8"/>
    <mergeCell ref="B5:D5"/>
    <mergeCell ref="E5:H5"/>
    <mergeCell ref="B1:G1"/>
    <mergeCell ref="B3:D3"/>
    <mergeCell ref="E3:H3"/>
    <mergeCell ref="B4:D4"/>
    <mergeCell ref="E4:H4"/>
  </mergeCells>
  <pageMargins left="0.70866141732283472" right="0.70866141732283472" top="0.74803149606299213" bottom="0.74803149606299213" header="0.31496062992125984" footer="0.31496062992125984"/>
  <pageSetup paperSize="5" scale="80"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topLeftCell="A16" workbookViewId="0">
      <selection activeCell="T24" sqref="T24"/>
    </sheetView>
  </sheetViews>
  <sheetFormatPr baseColWidth="10" defaultRowHeight="15" x14ac:dyDescent="0.25"/>
  <cols>
    <col min="1" max="1" width="3.140625" customWidth="1"/>
    <col min="2" max="2" width="3.42578125" customWidth="1"/>
    <col min="3" max="4" width="3.5703125" customWidth="1"/>
    <col min="5" max="5" width="3.42578125" customWidth="1"/>
    <col min="6" max="6" width="5.140625" customWidth="1"/>
    <col min="7" max="7" width="3.7109375" customWidth="1"/>
    <col min="8" max="8" width="3.5703125" customWidth="1"/>
    <col min="9" max="9" width="3.85546875" customWidth="1"/>
    <col min="10" max="10" width="3.28515625" customWidth="1"/>
    <col min="11" max="11" width="3.5703125" customWidth="1"/>
    <col min="12" max="12" width="3.28515625" customWidth="1"/>
    <col min="13" max="13" width="3" customWidth="1"/>
    <col min="14" max="14" width="4.42578125" customWidth="1"/>
    <col min="15" max="15" width="20.28515625" customWidth="1"/>
    <col min="16" max="16" width="4" customWidth="1"/>
    <col min="17" max="17" width="15.7109375" customWidth="1"/>
  </cols>
  <sheetData>
    <row r="1" spans="1:17" ht="15.75" thickBot="1" x14ac:dyDescent="0.3">
      <c r="A1" s="161" t="s">
        <v>2</v>
      </c>
      <c r="B1" s="161"/>
      <c r="C1" s="161"/>
      <c r="D1" s="162">
        <v>2021</v>
      </c>
      <c r="E1" s="162"/>
      <c r="F1" s="35"/>
      <c r="G1" s="35"/>
      <c r="H1" s="36"/>
      <c r="I1" s="36"/>
      <c r="J1" s="36"/>
      <c r="K1" s="36"/>
      <c r="L1" s="36"/>
      <c r="M1" s="36"/>
      <c r="N1" s="36"/>
      <c r="O1" s="37"/>
      <c r="P1" s="163" t="s">
        <v>44</v>
      </c>
      <c r="Q1" s="163"/>
    </row>
    <row r="2" spans="1:17" ht="15.75" thickBot="1" x14ac:dyDescent="0.3">
      <c r="A2" s="38"/>
      <c r="B2" s="39"/>
      <c r="C2" s="39"/>
      <c r="D2" s="39"/>
      <c r="E2" s="39"/>
      <c r="F2" s="39"/>
      <c r="G2" s="40"/>
      <c r="H2" s="41"/>
      <c r="I2" s="41"/>
      <c r="J2" s="41"/>
      <c r="K2" s="41"/>
      <c r="L2" s="41"/>
      <c r="M2" s="41"/>
      <c r="N2" s="41"/>
      <c r="O2" s="39"/>
      <c r="P2" s="163"/>
      <c r="Q2" s="163"/>
    </row>
    <row r="3" spans="1:17" ht="15.75" thickBot="1" x14ac:dyDescent="0.3">
      <c r="A3" s="38"/>
      <c r="B3" s="39"/>
      <c r="C3" s="39"/>
      <c r="D3" s="39"/>
      <c r="E3" s="39"/>
      <c r="F3" s="39"/>
      <c r="G3" s="40"/>
      <c r="H3" s="39"/>
      <c r="I3" s="39"/>
      <c r="J3" s="39"/>
      <c r="K3" s="39"/>
      <c r="L3" s="39"/>
      <c r="M3" s="39"/>
      <c r="N3" s="39"/>
      <c r="O3" s="39"/>
      <c r="P3" s="39"/>
      <c r="Q3" s="42"/>
    </row>
    <row r="4" spans="1:17" ht="15.75" thickBot="1" x14ac:dyDescent="0.3">
      <c r="A4" s="164" t="s">
        <v>45</v>
      </c>
      <c r="B4" s="164"/>
      <c r="C4" s="164"/>
      <c r="D4" s="164"/>
      <c r="E4" s="164"/>
      <c r="F4" s="164"/>
      <c r="G4" s="153" t="s">
        <v>35</v>
      </c>
      <c r="H4" s="153"/>
      <c r="I4" s="153"/>
      <c r="J4" s="153"/>
      <c r="K4" s="153"/>
      <c r="L4" s="153"/>
      <c r="M4" s="153"/>
      <c r="N4" s="153"/>
      <c r="O4" s="153"/>
      <c r="P4" s="153"/>
      <c r="Q4" s="153"/>
    </row>
    <row r="5" spans="1:17" ht="15.75" thickBot="1" x14ac:dyDescent="0.3">
      <c r="A5" s="152" t="s">
        <v>36</v>
      </c>
      <c r="B5" s="152"/>
      <c r="C5" s="152"/>
      <c r="D5" s="152"/>
      <c r="E5" s="152"/>
      <c r="F5" s="152"/>
      <c r="G5" s="153">
        <v>26</v>
      </c>
      <c r="H5" s="153"/>
      <c r="I5" s="153"/>
      <c r="J5" s="153"/>
      <c r="K5" s="153"/>
      <c r="L5" s="153"/>
      <c r="M5" s="153"/>
      <c r="N5" s="153"/>
      <c r="O5" s="153"/>
      <c r="P5" s="153"/>
      <c r="Q5" s="153"/>
    </row>
    <row r="6" spans="1:17" ht="15.75" thickBot="1" x14ac:dyDescent="0.3">
      <c r="A6" s="152" t="s">
        <v>37</v>
      </c>
      <c r="B6" s="152"/>
      <c r="C6" s="152"/>
      <c r="D6" s="152"/>
      <c r="E6" s="152"/>
      <c r="F6" s="152"/>
      <c r="G6" s="153" t="s">
        <v>35</v>
      </c>
      <c r="H6" s="153"/>
      <c r="I6" s="153"/>
      <c r="J6" s="153"/>
      <c r="K6" s="153"/>
      <c r="L6" s="153"/>
      <c r="M6" s="153"/>
      <c r="N6" s="153"/>
      <c r="O6" s="153"/>
      <c r="P6" s="153"/>
      <c r="Q6" s="153"/>
    </row>
    <row r="7" spans="1:17" ht="15.75" thickBot="1" x14ac:dyDescent="0.3">
      <c r="A7" s="152" t="s">
        <v>38</v>
      </c>
      <c r="B7" s="152"/>
      <c r="C7" s="152"/>
      <c r="D7" s="152"/>
      <c r="E7" s="152"/>
      <c r="F7" s="152"/>
      <c r="G7" s="153" t="s">
        <v>35</v>
      </c>
      <c r="H7" s="153"/>
      <c r="I7" s="153"/>
      <c r="J7" s="153"/>
      <c r="K7" s="153"/>
      <c r="L7" s="153"/>
      <c r="M7" s="153"/>
      <c r="N7" s="153"/>
      <c r="O7" s="153"/>
      <c r="P7" s="153"/>
      <c r="Q7" s="153"/>
    </row>
    <row r="8" spans="1:17" ht="15.75" thickBot="1" x14ac:dyDescent="0.3">
      <c r="A8" s="154" t="s">
        <v>46</v>
      </c>
      <c r="B8" s="154"/>
      <c r="C8" s="154"/>
      <c r="D8" s="154"/>
      <c r="E8" s="154"/>
      <c r="F8" s="154"/>
      <c r="G8" s="154"/>
      <c r="H8" s="154"/>
      <c r="I8" s="154"/>
      <c r="J8" s="154"/>
      <c r="K8" s="154"/>
      <c r="L8" s="154"/>
      <c r="M8" s="154"/>
      <c r="N8" s="154"/>
      <c r="O8" s="154"/>
      <c r="P8" s="154"/>
      <c r="Q8" s="154"/>
    </row>
    <row r="9" spans="1:17" ht="27.75" customHeight="1" x14ac:dyDescent="0.25">
      <c r="A9" s="155" t="s">
        <v>47</v>
      </c>
      <c r="B9" s="155"/>
      <c r="C9" s="155"/>
      <c r="D9" s="155"/>
      <c r="E9" s="155"/>
      <c r="F9" s="155"/>
      <c r="G9" s="155"/>
      <c r="H9" s="155"/>
      <c r="I9" s="155"/>
      <c r="J9" s="155"/>
      <c r="K9" s="155"/>
      <c r="L9" s="155"/>
      <c r="M9" s="155"/>
      <c r="N9" s="155"/>
      <c r="O9" s="155"/>
      <c r="P9" s="155"/>
      <c r="Q9" s="155"/>
    </row>
    <row r="10" spans="1:17" ht="73.5" customHeight="1" x14ac:dyDescent="0.25">
      <c r="A10" s="156" t="s">
        <v>90</v>
      </c>
      <c r="B10" s="156"/>
      <c r="C10" s="156"/>
      <c r="D10" s="156"/>
      <c r="E10" s="156"/>
      <c r="F10" s="156"/>
      <c r="G10" s="156"/>
      <c r="H10" s="156"/>
      <c r="I10" s="156"/>
      <c r="J10" s="156"/>
      <c r="K10" s="156"/>
      <c r="L10" s="156"/>
      <c r="M10" s="156"/>
      <c r="N10" s="156"/>
      <c r="O10" s="156"/>
      <c r="P10" s="156"/>
      <c r="Q10" s="156"/>
    </row>
    <row r="11" spans="1:17" ht="5.25" customHeight="1" thickBot="1" x14ac:dyDescent="0.3">
      <c r="A11" s="43"/>
      <c r="B11" s="44"/>
      <c r="C11" s="44"/>
      <c r="D11" s="44"/>
      <c r="E11" s="44"/>
      <c r="F11" s="44"/>
      <c r="G11" s="45"/>
      <c r="H11" s="44"/>
      <c r="I11" s="44"/>
      <c r="J11" s="44"/>
      <c r="K11" s="44"/>
      <c r="L11" s="44"/>
      <c r="M11" s="44"/>
      <c r="N11" s="44"/>
      <c r="O11" s="44"/>
      <c r="P11" s="44"/>
      <c r="Q11" s="46"/>
    </row>
    <row r="12" spans="1:17" ht="15.75" thickBot="1" x14ac:dyDescent="0.3">
      <c r="A12" s="157" t="s">
        <v>48</v>
      </c>
      <c r="B12" s="157"/>
      <c r="C12" s="157"/>
      <c r="D12" s="157"/>
      <c r="E12" s="157"/>
      <c r="F12" s="157"/>
      <c r="G12" s="157"/>
      <c r="H12" s="157"/>
      <c r="I12" s="157"/>
      <c r="J12" s="157"/>
      <c r="K12" s="157"/>
      <c r="L12" s="157"/>
      <c r="M12" s="157"/>
      <c r="N12" s="157"/>
      <c r="O12" s="157"/>
      <c r="P12" s="157"/>
      <c r="Q12" s="157"/>
    </row>
    <row r="13" spans="1:17" ht="15.75" thickBot="1" x14ac:dyDescent="0.3">
      <c r="A13" s="158" t="s">
        <v>49</v>
      </c>
      <c r="B13" s="158"/>
      <c r="C13" s="158"/>
      <c r="D13" s="158"/>
      <c r="E13" s="158"/>
      <c r="F13" s="158"/>
      <c r="G13" s="158"/>
      <c r="H13" s="158"/>
      <c r="I13" s="158"/>
      <c r="J13" s="158"/>
      <c r="K13" s="158"/>
      <c r="L13" s="158"/>
      <c r="M13" s="158"/>
      <c r="N13" s="158"/>
      <c r="O13" s="159" t="s">
        <v>50</v>
      </c>
      <c r="P13" s="159"/>
      <c r="Q13" s="160" t="s">
        <v>51</v>
      </c>
    </row>
    <row r="14" spans="1:17" ht="15.75" thickBot="1" x14ac:dyDescent="0.3">
      <c r="A14" s="88" t="s">
        <v>52</v>
      </c>
      <c r="B14" s="89" t="s">
        <v>53</v>
      </c>
      <c r="C14" s="89" t="s">
        <v>54</v>
      </c>
      <c r="D14" s="89" t="s">
        <v>55</v>
      </c>
      <c r="E14" s="89" t="s">
        <v>56</v>
      </c>
      <c r="F14" s="89" t="s">
        <v>57</v>
      </c>
      <c r="G14" s="90" t="s">
        <v>58</v>
      </c>
      <c r="H14" s="89" t="s">
        <v>59</v>
      </c>
      <c r="I14" s="89" t="s">
        <v>60</v>
      </c>
      <c r="J14" s="89" t="s">
        <v>61</v>
      </c>
      <c r="K14" s="89" t="s">
        <v>61</v>
      </c>
      <c r="L14" s="89" t="s">
        <v>62</v>
      </c>
      <c r="M14" s="91" t="s">
        <v>63</v>
      </c>
      <c r="N14" s="92" t="s">
        <v>64</v>
      </c>
      <c r="O14" s="159"/>
      <c r="P14" s="159"/>
      <c r="Q14" s="160"/>
    </row>
    <row r="15" spans="1:17" ht="33.75" customHeight="1" thickBot="1" x14ac:dyDescent="0.3">
      <c r="A15" s="93">
        <v>1</v>
      </c>
      <c r="B15" s="94">
        <v>0</v>
      </c>
      <c r="C15" s="94">
        <v>0</v>
      </c>
      <c r="D15" s="94">
        <v>1</v>
      </c>
      <c r="E15" s="94">
        <v>0</v>
      </c>
      <c r="F15" s="94">
        <v>4901</v>
      </c>
      <c r="G15" s="94">
        <v>3</v>
      </c>
      <c r="H15" s="94">
        <v>4</v>
      </c>
      <c r="I15" s="94">
        <v>2</v>
      </c>
      <c r="J15" s="94">
        <v>9</v>
      </c>
      <c r="K15" s="94">
        <v>2</v>
      </c>
      <c r="L15" s="94">
        <v>0</v>
      </c>
      <c r="M15" s="95">
        <v>1</v>
      </c>
      <c r="N15" s="94" t="s">
        <v>65</v>
      </c>
      <c r="O15" s="146" t="s">
        <v>66</v>
      </c>
      <c r="P15" s="147"/>
      <c r="Q15" s="96">
        <f>'NDP 47'!I10+'NDP 47'!I11+'NDP 47'!I12+'NDP 47'!I13+'NDP 47'!I14+'NDP 47'!I15+'NDP 47'!I16+'NDP 47'!I17</f>
        <v>3302130</v>
      </c>
    </row>
    <row r="16" spans="1:17" ht="29.25" customHeight="1" thickBot="1" x14ac:dyDescent="0.3">
      <c r="A16" s="97">
        <v>1</v>
      </c>
      <c r="B16" s="98">
        <v>0</v>
      </c>
      <c r="C16" s="98">
        <v>0</v>
      </c>
      <c r="D16" s="98">
        <v>1</v>
      </c>
      <c r="E16" s="98">
        <v>0</v>
      </c>
      <c r="F16" s="94">
        <v>4901</v>
      </c>
      <c r="G16" s="98">
        <v>3</v>
      </c>
      <c r="H16" s="98">
        <v>4</v>
      </c>
      <c r="I16" s="98">
        <v>4</v>
      </c>
      <c r="J16" s="98">
        <v>3</v>
      </c>
      <c r="K16" s="98">
        <v>5</v>
      </c>
      <c r="L16" s="98">
        <v>0</v>
      </c>
      <c r="M16" s="99">
        <v>1</v>
      </c>
      <c r="N16" s="100" t="s">
        <v>65</v>
      </c>
      <c r="O16" s="146" t="s">
        <v>89</v>
      </c>
      <c r="P16" s="147"/>
      <c r="Q16" s="101">
        <f>'NDP 47'!I18</f>
        <v>110000</v>
      </c>
    </row>
    <row r="17" spans="1:17" ht="24.75" customHeight="1" x14ac:dyDescent="0.25">
      <c r="A17" s="97">
        <v>1</v>
      </c>
      <c r="B17" s="98">
        <v>0</v>
      </c>
      <c r="C17" s="98">
        <v>0</v>
      </c>
      <c r="D17" s="98">
        <v>1</v>
      </c>
      <c r="E17" s="98">
        <v>0</v>
      </c>
      <c r="F17" s="94">
        <v>4901</v>
      </c>
      <c r="G17" s="98">
        <v>3</v>
      </c>
      <c r="H17" s="98">
        <v>4</v>
      </c>
      <c r="I17" s="103">
        <v>4</v>
      </c>
      <c r="J17" s="103">
        <v>3</v>
      </c>
      <c r="K17" s="103">
        <v>7</v>
      </c>
      <c r="L17" s="98">
        <v>0</v>
      </c>
      <c r="M17" s="99">
        <v>1</v>
      </c>
      <c r="N17" s="100" t="s">
        <v>65</v>
      </c>
      <c r="O17" s="148" t="s">
        <v>78</v>
      </c>
      <c r="P17" s="148"/>
      <c r="Q17" s="118">
        <f>'NDP 47'!I19+'NDP 47'!I20</f>
        <v>63000</v>
      </c>
    </row>
    <row r="18" spans="1:17" x14ac:dyDescent="0.25">
      <c r="A18" s="102"/>
      <c r="B18" s="103"/>
      <c r="C18" s="103"/>
      <c r="D18" s="103"/>
      <c r="E18" s="103"/>
      <c r="F18" s="103"/>
      <c r="G18" s="103"/>
      <c r="H18" s="103"/>
      <c r="I18" s="103"/>
      <c r="J18" s="103"/>
      <c r="K18" s="103"/>
      <c r="L18" s="103"/>
      <c r="M18" s="104"/>
      <c r="N18" s="105"/>
      <c r="O18" s="149"/>
      <c r="P18" s="149"/>
      <c r="Q18" s="106"/>
    </row>
    <row r="19" spans="1:17" x14ac:dyDescent="0.25">
      <c r="A19" s="102"/>
      <c r="B19" s="103"/>
      <c r="C19" s="103"/>
      <c r="D19" s="103"/>
      <c r="E19" s="103"/>
      <c r="F19" s="103"/>
      <c r="G19" s="103"/>
      <c r="H19" s="103"/>
      <c r="I19" s="103"/>
      <c r="J19" s="103"/>
      <c r="K19" s="103"/>
      <c r="L19" s="103"/>
      <c r="M19" s="104"/>
      <c r="N19" s="105"/>
      <c r="O19" s="149"/>
      <c r="P19" s="149"/>
      <c r="Q19" s="106"/>
    </row>
    <row r="20" spans="1:17" ht="15.75" thickBot="1" x14ac:dyDescent="0.3">
      <c r="A20" s="107"/>
      <c r="B20" s="108"/>
      <c r="C20" s="108"/>
      <c r="D20" s="108"/>
      <c r="E20" s="108"/>
      <c r="F20" s="108"/>
      <c r="G20" s="108"/>
      <c r="H20" s="108"/>
      <c r="I20" s="108"/>
      <c r="J20" s="108"/>
      <c r="K20" s="108"/>
      <c r="L20" s="108"/>
      <c r="M20" s="109"/>
      <c r="N20" s="108"/>
      <c r="O20" s="150"/>
      <c r="P20" s="150"/>
      <c r="Q20" s="110"/>
    </row>
    <row r="21" spans="1:17" ht="27.75" customHeight="1" thickBot="1" x14ac:dyDescent="0.3">
      <c r="A21" s="151" t="s">
        <v>88</v>
      </c>
      <c r="B21" s="151"/>
      <c r="C21" s="151"/>
      <c r="D21" s="151"/>
      <c r="E21" s="151"/>
      <c r="F21" s="151"/>
      <c r="G21" s="151"/>
      <c r="H21" s="151"/>
      <c r="I21" s="151"/>
      <c r="J21" s="151"/>
      <c r="K21" s="151"/>
      <c r="L21" s="151"/>
      <c r="M21" s="151"/>
      <c r="N21" s="151"/>
      <c r="O21" s="151"/>
      <c r="P21" s="151"/>
      <c r="Q21" s="111">
        <f>SUM(Q15:Q20)</f>
        <v>3475130</v>
      </c>
    </row>
    <row r="22" spans="1:17" ht="15.75" thickBot="1" x14ac:dyDescent="0.3">
      <c r="A22" s="142"/>
      <c r="B22" s="142"/>
      <c r="C22" s="142"/>
      <c r="D22" s="142"/>
      <c r="E22" s="142"/>
      <c r="F22" s="142"/>
      <c r="G22" s="142"/>
      <c r="H22" s="142"/>
      <c r="I22" s="142"/>
      <c r="J22" s="142"/>
      <c r="K22" s="142"/>
      <c r="L22" s="142"/>
      <c r="M22" s="142"/>
      <c r="N22" s="142"/>
      <c r="O22" s="142"/>
      <c r="P22" s="142"/>
      <c r="Q22" s="142"/>
    </row>
    <row r="23" spans="1:17" ht="15.75" thickBot="1" x14ac:dyDescent="0.3">
      <c r="A23" s="143" t="s">
        <v>67</v>
      </c>
      <c r="B23" s="143"/>
      <c r="C23" s="143"/>
      <c r="D23" s="143"/>
      <c r="E23" s="143"/>
      <c r="F23" s="143"/>
      <c r="G23" s="144"/>
      <c r="H23" s="144"/>
      <c r="I23" s="144"/>
      <c r="J23" s="144"/>
      <c r="K23" s="144"/>
      <c r="L23" s="144"/>
      <c r="M23" s="144"/>
      <c r="N23" s="144"/>
      <c r="O23" s="144"/>
      <c r="P23" s="144"/>
      <c r="Q23" s="144"/>
    </row>
    <row r="24" spans="1:17" ht="15.75" thickBot="1" x14ac:dyDescent="0.3">
      <c r="A24" s="145" t="s">
        <v>99</v>
      </c>
      <c r="B24" s="145"/>
      <c r="C24" s="145"/>
      <c r="D24" s="145"/>
      <c r="E24" s="145"/>
      <c r="F24" s="145"/>
      <c r="G24" s="145"/>
      <c r="H24" s="145"/>
      <c r="I24" s="145"/>
      <c r="J24" s="145"/>
      <c r="K24" s="145"/>
      <c r="L24" s="145"/>
      <c r="M24" s="145"/>
      <c r="N24" s="145"/>
      <c r="O24" s="145"/>
      <c r="P24" s="145"/>
      <c r="Q24" s="145"/>
    </row>
    <row r="25" spans="1:17" ht="15.75" thickBot="1" x14ac:dyDescent="0.3">
      <c r="A25" s="145"/>
      <c r="B25" s="145"/>
      <c r="C25" s="145"/>
      <c r="D25" s="145"/>
      <c r="E25" s="145"/>
      <c r="F25" s="145"/>
      <c r="G25" s="145"/>
      <c r="H25" s="145"/>
      <c r="I25" s="145"/>
      <c r="J25" s="145"/>
      <c r="K25" s="145"/>
      <c r="L25" s="145"/>
      <c r="M25" s="145"/>
      <c r="N25" s="145"/>
      <c r="O25" s="145"/>
      <c r="P25" s="145"/>
      <c r="Q25" s="145"/>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70866141732283472" right="0.70866141732283472" top="0.74803149606299213" bottom="0.74803149606299213" header="0.31496062992125984" footer="0.31496062992125984"/>
  <pageSetup paperSize="5" scale="80"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NDP 47</vt:lpstr>
      <vt:lpstr>APG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MARTIN</cp:lastModifiedBy>
  <cp:lastPrinted>2021-09-21T14:41:09Z</cp:lastPrinted>
  <dcterms:created xsi:type="dcterms:W3CDTF">2021-02-08T12:06:32Z</dcterms:created>
  <dcterms:modified xsi:type="dcterms:W3CDTF">2021-09-21T14:41:22Z</dcterms:modified>
</cp:coreProperties>
</file>