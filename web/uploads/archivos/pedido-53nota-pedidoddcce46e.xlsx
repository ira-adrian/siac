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HSJB\Medicamentos 1er Trim.2022\Terapia Antiinfecciosa consolidado\"/>
    </mc:Choice>
  </mc:AlternateContent>
  <xr:revisionPtr revIDLastSave="0" documentId="13_ncr:1_{E7B0B306-2E51-4F29-B81C-3EE72FC4100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69" i="2" l="1"/>
  <c r="G6" i="3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<sst xmlns="http://schemas.openxmlformats.org/spreadsheetml/2006/main" count="363" uniqueCount="138">
  <si>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</si>
  <si>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</si>
  <si>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</si>
  <si>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</si>
  <si>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</si>
  <si>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</si>
  <si>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</si>
  <si>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</si>
  <si>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</si>
  <si>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</si>
  <si>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</si>
  <si>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</si>
  <si>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</si>
  <si>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</si>
  <si>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</si>
  <si>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</si>
  <si>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</si>
  <si>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</si>
  <si>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</si>
  <si>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</si>
  <si>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</si>
  <si>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</si>
  <si>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</si>
  <si>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</si>
  <si>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</si>
  <si>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</si>
  <si>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</si>
  <si>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</si>
  <si>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</si>
  <si>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</si>
  <si>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</si>
  <si>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</si>
  <si>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</si>
  <si>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</si>
  <si>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</si>
  <si>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</si>
  <si>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</si>
  <si>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</si>
  <si>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</si>
  <si>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</si>
  <si>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</si>
  <si>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</si>
  <si>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</si>
  <si>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</si>
  <si>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</si>
  <si>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</si>
  <si>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</si>
  <si>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</si>
  <si>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</si>
  <si>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</si>
  <si>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</si>
  <si>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</si>
  <si>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</si>
  <si>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</si>
  <si>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</si>
  <si>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</si>
  <si>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</si>
  <si>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</si>
  <si>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</si>
  <si>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</si>
  <si>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</si>
  <si>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</si>
  <si>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</si>
  <si>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</si>
  <si>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</si>
  <si>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ACICLOVIR 400 MG COMPRIMIDO</t>
  </si>
  <si>
    <t>ACICLOVIR 500 MG FCO AMPOLLA</t>
  </si>
  <si>
    <t>ACIDO ACETIL SALICILICO 100 MG COMPRIMIDO</t>
  </si>
  <si>
    <t>ALLOPURINOL 300 MG COMPRIMIDO</t>
  </si>
  <si>
    <t>AMOXICILINA + CLAVULANICO 1 G COMPRIMIDO</t>
  </si>
  <si>
    <t>AMPICILINA 500 MG COMPRIMIDO</t>
  </si>
  <si>
    <t>BARIO SULFATO TIPO EZ-CAT  SUSPENSION ORAL X 225 ML</t>
  </si>
  <si>
    <t>BARIO SULFATO TIPO GASTROPAQUE F SUSPENSION ORAL X 300 ML</t>
  </si>
  <si>
    <t>BUPIVACAINA  0,5% C/EPINEFRINA FRASCO X 20 ML</t>
  </si>
  <si>
    <t>BUPIVACAINA  0,5% S/EPINEFRINA  FRASCO X 20 ML</t>
  </si>
  <si>
    <t xml:space="preserve">BUPIVACAINA 5 MG / ML  HIBERBARICA  AMPOLLA DE 4 ML CON AGUJA 27 G X 3 1/2 CON INTRODUCTOR </t>
  </si>
  <si>
    <t>CEFALEXINA 500 MG COMPRIMIDOS</t>
  </si>
  <si>
    <t>CEFALOTINA 1 GR. AMP.</t>
  </si>
  <si>
    <t>CEFTAZIDIMA 1G FCO AMPOLLA</t>
  </si>
  <si>
    <t>CIPROFLOXACINA 200 MG AMPOLLA</t>
  </si>
  <si>
    <t>CIPROFLOXACINA 500 MG COMP</t>
  </si>
  <si>
    <t>CLARITROMICINA 500 MG COMPRIMIDO</t>
  </si>
  <si>
    <t>COLISTINA 100 MG FCO AMPOLLA</t>
  </si>
  <si>
    <t>CONTRASTE NO IONICO X 300 MG X 50 ML (TIPO IOPROMIDA, IOBITRIDOL, IODIXANOL, IOHEXOL, IOVERSOL)</t>
  </si>
  <si>
    <t>DEXMEDETOMIDINA 200MG x 2 ml AMPOLLA</t>
  </si>
  <si>
    <t>DIATRIZOATO DE SODIO 25 GR  X 50 ML ( TIPO TRIYOSOM 50)</t>
  </si>
  <si>
    <t>DIATRIZOATO DE MEGLUMINA + DIATRIZOATO DE SODIO (TIPO TRIYOSOM GI, TEMISTAC) X 120 ML SOLUCION ORAL Y RECTAL</t>
  </si>
  <si>
    <t>DICLOFENAC 75 MG COMPRIMIDOS</t>
  </si>
  <si>
    <t xml:space="preserve">DICLOFENAC 75 MG. AMPOLLA </t>
  </si>
  <si>
    <t>DIPIRONA 1GR AMPOLLA</t>
  </si>
  <si>
    <t>FLUCONAZOL 100 MG COMPRIMIDOS</t>
  </si>
  <si>
    <t>FLUCONAZOL 200 MG SACHET 100 ML</t>
  </si>
  <si>
    <t xml:space="preserve">GAMMAGLOBULINA + TOXOIDE 500 MG </t>
  </si>
  <si>
    <t>GENTAMICINA 80 MG AMPOLLA</t>
  </si>
  <si>
    <t>KETAMINA 50MG/ML FCO AMPOLLA</t>
  </si>
  <si>
    <t>KETOROLAC 30 MG AMPOLLA</t>
  </si>
  <si>
    <t>LIDOCAINA  2% SIN EPINEFRINA FCO X 5ML</t>
  </si>
  <si>
    <t>LIDOCAINA 2%  SIN EPINEFRINA X 20 ML</t>
  </si>
  <si>
    <t>LIDOCAINA 2% CON EPINEFRINA X 20 ML</t>
  </si>
  <si>
    <t>LIDOCAINA JALEA</t>
  </si>
  <si>
    <t>LINEZOLI SOLUCION 2MG/ML X 300ML</t>
  </si>
  <si>
    <t>MEROPENEM 1000MG FCO AMPOLLA</t>
  </si>
  <si>
    <t>METRONIDAZOL 500 MG SACHET</t>
  </si>
  <si>
    <t>MINOCICLINA 100 MG COMPRIMIDO</t>
  </si>
  <si>
    <t>MORFINA 10 MG AMPOLLA</t>
  </si>
  <si>
    <t>NALBUFINA 10 MG AMPOLLA</t>
  </si>
  <si>
    <t>NAPROXENO 500MG COMPRIMIDO</t>
  </si>
  <si>
    <t>PANCURONIO 4 MG/ ML</t>
  </si>
  <si>
    <t>PARACETAMOL 1GR COMPRIMIDO</t>
  </si>
  <si>
    <t>PARACETAMOL 1GR ML FRASCO AMPOLLA</t>
  </si>
  <si>
    <t>PARACETAMOL 500 MG COMPRIMIDO</t>
  </si>
  <si>
    <t>PENICILINA G SODICA 3.000.000 UI FCO AMPOLLA</t>
  </si>
  <si>
    <t>PIPERACILINA 4 GRS + TAZOBACTAM 500 MG FCO AMPOLLA</t>
  </si>
  <si>
    <t>PROPOFOL 1% AMPOLLAS X 20 ML</t>
  </si>
  <si>
    <t>PROPOFOL 2% FCO AMPOLLAS VIAL X 50 ML</t>
  </si>
  <si>
    <t>REMIFENTANILO 5 MG FCO AMPOLLA</t>
  </si>
  <si>
    <t xml:space="preserve">RIFAMPICINA 300 MG CAPSULAS </t>
  </si>
  <si>
    <t>RIFAMPICINA 600 MG VIAL</t>
  </si>
  <si>
    <t xml:space="preserve">SEVOFLUORANO X 250 ML TIPO </t>
  </si>
  <si>
    <t>TIGECICLINA 50MG FCO AMPOLLA</t>
  </si>
  <si>
    <t>VANCOMICINA 1000 MG FCO AMP</t>
  </si>
  <si>
    <t>VECURONIO BROMURO 10 MG AMPOLLA</t>
  </si>
  <si>
    <t>2.5.2</t>
  </si>
  <si>
    <t>COMPRIMIDO</t>
  </si>
  <si>
    <t>AMPOLLA</t>
  </si>
  <si>
    <t>FRASCO</t>
  </si>
  <si>
    <t>FRASCO AMPOLLA</t>
  </si>
  <si>
    <t>ENVASE</t>
  </si>
  <si>
    <t>CAPSULAS</t>
  </si>
  <si>
    <t xml:space="preserve">Adquisición de MEDICAMENTOS PARA TERAPIA ANTIINFECCIOSA SISTEMICA/SUEROS INMUNES E INMUNOGLOBULINAS  Y MEDIOS DE CONTRASTES /ANALGESICOS ANTINFLAMATORIOS </t>
  </si>
  <si>
    <t>Especificidades Item:</t>
  </si>
  <si>
    <t xml:space="preserve">15 dias habiles  - Servicio de Farmacia del HISJB Avda. Illia y mariano Moreno en el horario de 08:00 a 12:00 horas de Lunes a Viernes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</si>
  <si>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24 MESES DE LA FECHA DE RECEPCION.</t>
  </si>
  <si>
    <t xml:space="preserve">PLAZO DE MANTENIMIENTO DE OFERTA: 45 DIAS HABILES </t>
  </si>
  <si>
    <t>Costo total estimado: VEINTE MILLONES SETENTA Y SEIS MIL VEINTINUEVE CON 50/100.---</t>
  </si>
  <si>
    <t>008 - 2022</t>
  </si>
  <si>
    <t>TOTAL DE PESOS: VEINTE MILLONES SETENTA Y SEIS MIL VEINTINUEVE CON 50/100.--</t>
  </si>
  <si>
    <t xml:space="preserve">PLAZO DE ENTREGA: 15 DIAS HABILES EN EL SERVICIO DE FARMACIA - AVDA. ILLIA Y MARIANO MORENO - DE LUNES A VIERNES EN EL HORARIO DE 08 A 11 HORAS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</si>
</sst>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9"/>
      <name val="Arial"/>
      <family val="2"/>
      <charset val="1"/>
    </font>
    <font>
      <sz val="2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15" fillId="0" borderId="0"/>
  </cellStyleXfs>
  <cellXfs count="162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6" fillId="0" borderId="12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9" xfId="0" applyFont="1" applyBorder="1" applyAlignment="1">
      <alignment horizontal="left" vertical="center"/>
    </xf>
    <xf numFmtId="0" fontId="14" fillId="0" borderId="30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4" fillId="0" borderId="44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3" fillId="0" borderId="2" xfId="0" applyFont="1" applyBorder="1"/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6" fillId="0" borderId="0" xfId="0" applyFont="1" applyBorder="1"/>
    <xf numFmtId="0" fontId="16" fillId="0" borderId="6" xfId="0" applyFont="1" applyBorder="1"/>
    <xf numFmtId="0" fontId="23" fillId="0" borderId="5" xfId="0" applyFont="1" applyBorder="1" applyAlignment="1">
      <alignment horizontal="left" indent="3"/>
    </xf>
    <xf numFmtId="0" fontId="16" fillId="0" borderId="5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6" xfId="0" applyFont="1" applyBorder="1" applyAlignment="1">
      <alignment horizontal="center" wrapText="1"/>
    </xf>
    <xf numFmtId="0" fontId="16" fillId="0" borderId="7" xfId="0" applyFont="1" applyBorder="1" applyAlignment="1">
      <alignment horizontal="left" indent="3"/>
    </xf>
    <xf numFmtId="0" fontId="16" fillId="0" borderId="8" xfId="0" applyFont="1" applyBorder="1"/>
    <xf numFmtId="0" fontId="16" fillId="0" borderId="9" xfId="0" applyFont="1" applyBorder="1"/>
    <xf numFmtId="0" fontId="20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4" borderId="14" xfId="0" applyFont="1" applyFill="1" applyBorder="1" applyAlignment="1">
      <alignment horizontal="center" vertical="center" wrapText="1"/>
    </xf>
    <xf numFmtId="166" fontId="21" fillId="4" borderId="14" xfId="1" applyNumberFormat="1" applyFont="1" applyFill="1" applyBorder="1" applyAlignment="1" applyProtection="1">
      <alignment horizontal="right" vertical="center" wrapText="1"/>
    </xf>
    <xf numFmtId="0" fontId="24" fillId="4" borderId="0" xfId="0" applyFont="1" applyFill="1" applyAlignment="1">
      <alignment horizontal="left" wrapText="1" indent="1"/>
    </xf>
    <xf numFmtId="0" fontId="20" fillId="5" borderId="0" xfId="0" applyFont="1" applyFill="1" applyAlignment="1">
      <alignment horizontal="left" wrapText="1"/>
    </xf>
    <xf numFmtId="0" fontId="7" fillId="4" borderId="11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 wrapText="1"/>
    </xf>
    <xf numFmtId="166" fontId="5" fillId="5" borderId="19" xfId="1" applyNumberFormat="1" applyFont="1" applyFill="1" applyBorder="1" applyAlignment="1" applyProtection="1">
      <alignment horizontal="right" vertical="center" wrapText="1"/>
    </xf>
    <xf numFmtId="3" fontId="5" fillId="5" borderId="19" xfId="0" applyNumberFormat="1" applyFont="1" applyFill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5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6" fillId="5" borderId="14" xfId="5" applyFont="1" applyFill="1" applyBorder="1"/>
    <xf numFmtId="0" fontId="15" fillId="5" borderId="14" xfId="0" applyFont="1" applyFill="1" applyBorder="1" applyAlignment="1">
      <alignment horizontal="center" vertical="center"/>
    </xf>
    <xf numFmtId="3" fontId="15" fillId="5" borderId="14" xfId="0" applyNumberFormat="1" applyFont="1" applyFill="1" applyBorder="1" applyAlignment="1">
      <alignment horizontal="center" vertical="center"/>
    </xf>
    <xf numFmtId="44" fontId="15" fillId="5" borderId="14" xfId="1" applyNumberFormat="1" applyFont="1" applyFill="1" applyBorder="1" applyAlignment="1">
      <alignment horizontal="center"/>
    </xf>
    <xf numFmtId="0" fontId="26" fillId="5" borderId="14" xfId="5" applyFont="1" applyFill="1" applyBorder="1" applyAlignment="1">
      <alignment horizontal="left"/>
    </xf>
    <xf numFmtId="0" fontId="1" fillId="5" borderId="14" xfId="5" applyFill="1" applyBorder="1" applyAlignment="1">
      <alignment horizontal="left"/>
    </xf>
    <xf numFmtId="0" fontId="15" fillId="5" borderId="14" xfId="5" applyFont="1" applyFill="1" applyBorder="1" applyAlignment="1">
      <alignment horizontal="left" vertical="center" wrapText="1"/>
    </xf>
    <xf numFmtId="0" fontId="27" fillId="5" borderId="14" xfId="5" applyFont="1" applyFill="1" applyBorder="1" applyAlignment="1">
      <alignment horizontal="left" vertical="center" wrapText="1"/>
    </xf>
    <xf numFmtId="0" fontId="15" fillId="5" borderId="14" xfId="5" applyFont="1" applyFill="1" applyBorder="1" applyAlignment="1">
      <alignment horizontal="left" vertical="center"/>
    </xf>
    <xf numFmtId="0" fontId="1" fillId="5" borderId="14" xfId="5" applyFill="1" applyBorder="1"/>
    <xf numFmtId="44" fontId="15" fillId="5" borderId="14" xfId="1" applyNumberFormat="1" applyFont="1" applyFill="1" applyBorder="1" applyAlignment="1">
      <alignment horizontal="center" vertical="center"/>
    </xf>
    <xf numFmtId="0" fontId="27" fillId="5" borderId="14" xfId="5" applyFont="1" applyFill="1" applyBorder="1" applyAlignment="1">
      <alignment horizontal="left" vertical="center"/>
    </xf>
    <xf numFmtId="3" fontId="15" fillId="5" borderId="14" xfId="6" applyNumberFormat="1" applyFont="1" applyFill="1" applyBorder="1" applyAlignment="1">
      <alignment horizontal="center" vertical="center"/>
    </xf>
    <xf numFmtId="44" fontId="15" fillId="5" borderId="14" xfId="1" applyNumberFormat="1" applyFont="1" applyFill="1" applyBorder="1" applyAlignment="1">
      <alignment horizontal="right" vertical="center" indent="2"/>
    </xf>
    <xf numFmtId="0" fontId="1" fillId="5" borderId="14" xfId="5" applyFont="1" applyFill="1" applyBorder="1" applyAlignment="1">
      <alignment vertical="center" wrapText="1"/>
    </xf>
    <xf numFmtId="44" fontId="15" fillId="5" borderId="14" xfId="1" applyNumberFormat="1" applyFont="1" applyFill="1" applyBorder="1" applyAlignment="1">
      <alignment horizontal="right" vertical="center"/>
    </xf>
    <xf numFmtId="0" fontId="15" fillId="0" borderId="14" xfId="5" applyFont="1" applyFill="1" applyBorder="1" applyAlignment="1">
      <alignment horizontal="left" vertical="center" wrapText="1"/>
    </xf>
    <xf numFmtId="3" fontId="15" fillId="5" borderId="14" xfId="1" applyNumberFormat="1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 wrapText="1"/>
    </xf>
    <xf numFmtId="0" fontId="1" fillId="5" borderId="14" xfId="5" applyFill="1" applyBorder="1" applyAlignment="1"/>
    <xf numFmtId="3" fontId="15" fillId="5" borderId="14" xfId="0" applyNumberFormat="1" applyFont="1" applyFill="1" applyBorder="1" applyAlignment="1"/>
    <xf numFmtId="44" fontId="15" fillId="5" borderId="14" xfId="1" applyNumberFormat="1" applyFont="1" applyFill="1" applyBorder="1" applyAlignment="1"/>
    <xf numFmtId="0" fontId="28" fillId="5" borderId="14" xfId="5" applyFont="1" applyFill="1" applyBorder="1"/>
    <xf numFmtId="0" fontId="1" fillId="5" borderId="14" xfId="5" applyFont="1" applyFill="1" applyBorder="1" applyAlignment="1">
      <alignment horizontal="left"/>
    </xf>
    <xf numFmtId="44" fontId="25" fillId="5" borderId="14" xfId="1" applyNumberFormat="1" applyFont="1" applyFill="1" applyBorder="1" applyAlignment="1">
      <alignment horizontal="right" vertical="center" indent="2"/>
    </xf>
    <xf numFmtId="0" fontId="1" fillId="5" borderId="14" xfId="5" applyFont="1" applyFill="1" applyBorder="1"/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4" borderId="0" xfId="0" applyFont="1" applyFill="1" applyBorder="1" applyAlignment="1">
      <alignment horizontal="left" wrapText="1" indent="1"/>
    </xf>
    <xf numFmtId="0" fontId="16" fillId="3" borderId="6" xfId="0" applyFont="1" applyFill="1" applyBorder="1" applyAlignment="1">
      <alignment horizont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6" xfId="0" applyFont="1" applyFill="1" applyBorder="1" applyAlignment="1">
      <alignment horizontal="left" vertical="center" wrapText="1"/>
    </xf>
    <xf numFmtId="0" fontId="16" fillId="3" borderId="6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left" vertical="center"/>
    </xf>
    <xf numFmtId="0" fontId="16" fillId="3" borderId="6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center"/>
    </xf>
    <xf numFmtId="0" fontId="16" fillId="3" borderId="14" xfId="0" applyFont="1" applyFill="1" applyBorder="1" applyAlignment="1">
      <alignment horizontal="center" vertical="center" wrapText="1"/>
    </xf>
    <xf numFmtId="0" fontId="31" fillId="3" borderId="21" xfId="0" applyFont="1" applyFill="1" applyBorder="1" applyAlignment="1">
      <alignment horizontal="center" vertical="center" wrapText="1"/>
    </xf>
    <xf numFmtId="0" fontId="16" fillId="6" borderId="20" xfId="0" applyFont="1" applyFill="1" applyBorder="1" applyAlignment="1">
      <alignment horizontal="center" vertical="center"/>
    </xf>
    <xf numFmtId="0" fontId="16" fillId="6" borderId="49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0" fontId="16" fillId="6" borderId="20" xfId="0" applyFont="1" applyFill="1" applyBorder="1" applyAlignment="1">
      <alignment horizontal="center" vertical="center" wrapText="1"/>
    </xf>
    <xf numFmtId="0" fontId="16" fillId="6" borderId="49" xfId="0" applyFont="1" applyFill="1" applyBorder="1" applyAlignment="1">
      <alignment horizontal="center" vertical="center" wrapText="1"/>
    </xf>
    <xf numFmtId="0" fontId="16" fillId="6" borderId="2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7" fillId="5" borderId="14" xfId="0" applyFont="1" applyFill="1" applyBorder="1" applyAlignment="1">
      <alignment horizontal="left" vertical="center" wrapText="1" indent="1"/>
    </xf>
    <xf numFmtId="0" fontId="8" fillId="0" borderId="15" xfId="0" applyFont="1" applyBorder="1" applyAlignment="1">
      <alignment horizontal="left" vertical="center" wrapText="1"/>
    </xf>
    <xf numFmtId="167" fontId="8" fillId="0" borderId="14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7" fillId="4" borderId="17" xfId="0" applyFont="1" applyFill="1" applyBorder="1" applyAlignment="1">
      <alignment horizontal="left" vertical="center" wrapText="1" indent="1"/>
    </xf>
    <xf numFmtId="0" fontId="9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 indent="1"/>
    </xf>
    <xf numFmtId="0" fontId="0" fillId="0" borderId="20" xfId="0" applyFont="1" applyBorder="1" applyAlignment="1">
      <alignment horizontal="center"/>
    </xf>
    <xf numFmtId="3" fontId="10" fillId="0" borderId="21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12" fillId="0" borderId="11" xfId="0" applyFont="1" applyBorder="1" applyAlignment="1">
      <alignment horizontal="left" indent="1"/>
    </xf>
    <xf numFmtId="0" fontId="5" fillId="0" borderId="13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/>
    </xf>
    <xf numFmtId="0" fontId="12" fillId="0" borderId="23" xfId="0" applyFont="1" applyBorder="1"/>
    <xf numFmtId="0" fontId="12" fillId="0" borderId="24" xfId="0" applyFont="1" applyBorder="1" applyAlignment="1">
      <alignment horizontal="left" vertical="center" wrapText="1" indent="1"/>
    </xf>
    <xf numFmtId="0" fontId="14" fillId="0" borderId="2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29" fillId="0" borderId="33" xfId="0" applyFont="1" applyBorder="1" applyAlignment="1">
      <alignment horizontal="left" vertical="center" wrapText="1"/>
    </xf>
    <xf numFmtId="0" fontId="29" fillId="0" borderId="48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5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0" fillId="0" borderId="20" xfId="0" applyFont="1" applyBorder="1" applyAlignment="1">
      <alignment vertical="center" wrapText="1"/>
    </xf>
    <xf numFmtId="0" fontId="10" fillId="0" borderId="45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30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4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7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 3" xfId="6" xr:uid="{00000000-0005-0000-0000-000005000000}"/>
    <cellStyle name="Normal 5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5"/>
  <sheetViews>
    <sheetView tabSelected="1" zoomScale="85" zoomScaleNormal="85" workbookViewId="0">
      <selection activeCell="H83" sqref="H83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5" style="39" customWidth="1"/>
    <col min="9" max="9" width="18.5703125" style="39" customWidth="1"/>
    <col min="10" max="16384" width="11" style="39"/>
  </cols>
  <sheetData>
    <row r="2" spans="1:9" ht="27" x14ac:dyDescent="0.35">
      <c r="B2" s="103" t="s">
        <v>0</v>
      </c>
      <c r="C2" s="103"/>
      <c r="D2" s="103"/>
      <c r="E2" s="103"/>
      <c r="F2" s="103"/>
      <c r="G2" s="103"/>
      <c r="H2" s="103"/>
    </row>
    <row r="4" spans="1:9" ht="18" customHeight="1" x14ac:dyDescent="0.25">
      <c r="A4" s="104" t="s">
        <v>1</v>
      </c>
      <c r="B4" s="104"/>
      <c r="C4" s="105" t="s">
        <v>57</v>
      </c>
      <c r="D4" s="105"/>
      <c r="E4" s="105"/>
      <c r="F4" s="40"/>
      <c r="G4" s="41"/>
      <c r="H4" s="40"/>
    </row>
    <row r="5" spans="1:9" ht="18" customHeight="1" x14ac:dyDescent="0.25">
      <c r="A5" s="104" t="s">
        <v>2</v>
      </c>
      <c r="B5" s="104"/>
      <c r="C5" s="105" t="s">
        <v>58</v>
      </c>
      <c r="D5" s="105"/>
      <c r="E5" s="105"/>
      <c r="F5" s="40"/>
      <c r="G5" s="41"/>
      <c r="H5" s="40"/>
    </row>
    <row r="6" spans="1:9" ht="16.5" customHeight="1" x14ac:dyDescent="0.25">
      <c r="A6" s="104" t="s">
        <v>3</v>
      </c>
      <c r="B6" s="104"/>
      <c r="C6" s="61">
        <v>2022</v>
      </c>
      <c r="D6" s="62"/>
      <c r="E6" s="62"/>
      <c r="F6" s="40"/>
      <c r="G6" s="41"/>
      <c r="H6" s="40"/>
    </row>
    <row r="7" spans="1:9" ht="16.5" customHeight="1" x14ac:dyDescent="0.25">
      <c r="A7" s="104" t="s">
        <v>4</v>
      </c>
      <c r="B7" s="104"/>
      <c r="C7" s="61">
        <v>1</v>
      </c>
      <c r="D7" s="62"/>
      <c r="E7" s="62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3">
      <c r="A10" s="56">
        <v>1</v>
      </c>
      <c r="B10" s="59"/>
      <c r="C10" s="57" t="s">
        <v>61</v>
      </c>
      <c r="D10" s="58" t="s">
        <v>122</v>
      </c>
      <c r="E10" s="77" t="s">
        <v>65</v>
      </c>
      <c r="F10" s="78" t="s">
        <v>123</v>
      </c>
      <c r="G10" s="79">
        <v>200</v>
      </c>
      <c r="H10" s="80">
        <v>32</v>
      </c>
      <c r="I10" s="60">
        <f t="shared" ref="I10:I66" si="0">G10*H10</f>
        <v>6400</v>
      </c>
    </row>
    <row r="11" spans="1:9" ht="31.9" customHeight="1" thickBot="1" x14ac:dyDescent="0.3">
      <c r="A11" s="56">
        <v>2</v>
      </c>
      <c r="B11" s="59"/>
      <c r="C11" s="57" t="s">
        <v>61</v>
      </c>
      <c r="D11" s="58" t="s">
        <v>122</v>
      </c>
      <c r="E11" s="77" t="s">
        <v>66</v>
      </c>
      <c r="F11" s="78" t="s">
        <v>124</v>
      </c>
      <c r="G11" s="79">
        <v>150</v>
      </c>
      <c r="H11" s="80">
        <v>450</v>
      </c>
      <c r="I11" s="60">
        <f t="shared" si="0"/>
        <v>67500</v>
      </c>
    </row>
    <row r="12" spans="1:9" ht="31.9" customHeight="1" thickBot="1" x14ac:dyDescent="0.3">
      <c r="A12" s="56">
        <v>3</v>
      </c>
      <c r="B12" s="59"/>
      <c r="C12" s="57" t="s">
        <v>61</v>
      </c>
      <c r="D12" s="58" t="s">
        <v>122</v>
      </c>
      <c r="E12" s="81" t="s">
        <v>67</v>
      </c>
      <c r="F12" s="78" t="s">
        <v>123</v>
      </c>
      <c r="G12" s="79">
        <v>3000</v>
      </c>
      <c r="H12" s="80">
        <v>1.26</v>
      </c>
      <c r="I12" s="60">
        <f t="shared" si="0"/>
        <v>3780</v>
      </c>
    </row>
    <row r="13" spans="1:9" ht="31.9" customHeight="1" thickBot="1" x14ac:dyDescent="0.3">
      <c r="A13" s="56">
        <v>4</v>
      </c>
      <c r="B13" s="59"/>
      <c r="C13" s="57" t="s">
        <v>61</v>
      </c>
      <c r="D13" s="58" t="s">
        <v>122</v>
      </c>
      <c r="E13" s="82" t="s">
        <v>68</v>
      </c>
      <c r="F13" s="78" t="s">
        <v>123</v>
      </c>
      <c r="G13" s="79">
        <v>100</v>
      </c>
      <c r="H13" s="80">
        <v>12.15</v>
      </c>
      <c r="I13" s="60">
        <f t="shared" si="0"/>
        <v>1215</v>
      </c>
    </row>
    <row r="14" spans="1:9" ht="31.9" customHeight="1" thickBot="1" x14ac:dyDescent="0.25">
      <c r="A14" s="56">
        <v>5</v>
      </c>
      <c r="B14" s="59"/>
      <c r="C14" s="57" t="s">
        <v>61</v>
      </c>
      <c r="D14" s="58" t="s">
        <v>122</v>
      </c>
      <c r="E14" s="83" t="s">
        <v>69</v>
      </c>
      <c r="F14" s="78" t="s">
        <v>123</v>
      </c>
      <c r="G14" s="79">
        <v>900</v>
      </c>
      <c r="H14" s="80">
        <v>28</v>
      </c>
      <c r="I14" s="60">
        <f t="shared" si="0"/>
        <v>25200</v>
      </c>
    </row>
    <row r="15" spans="1:9" ht="31.9" customHeight="1" thickBot="1" x14ac:dyDescent="0.25">
      <c r="A15" s="56">
        <v>6</v>
      </c>
      <c r="B15" s="59"/>
      <c r="C15" s="57" t="s">
        <v>61</v>
      </c>
      <c r="D15" s="58" t="s">
        <v>122</v>
      </c>
      <c r="E15" s="84" t="s">
        <v>70</v>
      </c>
      <c r="F15" s="78" t="s">
        <v>123</v>
      </c>
      <c r="G15" s="79">
        <v>200</v>
      </c>
      <c r="H15" s="80">
        <v>6.9</v>
      </c>
      <c r="I15" s="60">
        <f t="shared" si="0"/>
        <v>1380</v>
      </c>
    </row>
    <row r="16" spans="1:9" ht="31.9" customHeight="1" thickBot="1" x14ac:dyDescent="0.25">
      <c r="A16" s="56">
        <v>7</v>
      </c>
      <c r="B16" s="59"/>
      <c r="C16" s="57" t="s">
        <v>61</v>
      </c>
      <c r="D16" s="58" t="s">
        <v>122</v>
      </c>
      <c r="E16" s="85" t="s">
        <v>71</v>
      </c>
      <c r="F16" s="78" t="s">
        <v>125</v>
      </c>
      <c r="G16" s="79">
        <v>3</v>
      </c>
      <c r="H16" s="80">
        <v>1680</v>
      </c>
      <c r="I16" s="60">
        <f t="shared" si="0"/>
        <v>5040</v>
      </c>
    </row>
    <row r="17" spans="1:9" ht="31.9" customHeight="1" thickBot="1" x14ac:dyDescent="0.3">
      <c r="A17" s="56">
        <v>8</v>
      </c>
      <c r="B17" s="59"/>
      <c r="C17" s="57" t="s">
        <v>61</v>
      </c>
      <c r="D17" s="58" t="s">
        <v>122</v>
      </c>
      <c r="E17" s="86" t="s">
        <v>72</v>
      </c>
      <c r="F17" s="78" t="s">
        <v>125</v>
      </c>
      <c r="G17" s="79">
        <v>5</v>
      </c>
      <c r="H17" s="80">
        <v>2350</v>
      </c>
      <c r="I17" s="60">
        <f t="shared" si="0"/>
        <v>11750</v>
      </c>
    </row>
    <row r="18" spans="1:9" ht="31.9" customHeight="1" thickBot="1" x14ac:dyDescent="0.3">
      <c r="A18" s="56">
        <v>9</v>
      </c>
      <c r="B18" s="59"/>
      <c r="C18" s="57" t="s">
        <v>61</v>
      </c>
      <c r="D18" s="58" t="s">
        <v>122</v>
      </c>
      <c r="E18" s="82" t="s">
        <v>73</v>
      </c>
      <c r="F18" s="78" t="s">
        <v>125</v>
      </c>
      <c r="G18" s="79">
        <v>50</v>
      </c>
      <c r="H18" s="80">
        <v>380</v>
      </c>
      <c r="I18" s="60">
        <f t="shared" si="0"/>
        <v>19000</v>
      </c>
    </row>
    <row r="19" spans="1:9" ht="31.9" customHeight="1" thickBot="1" x14ac:dyDescent="0.3">
      <c r="A19" s="56">
        <v>10</v>
      </c>
      <c r="B19" s="59"/>
      <c r="C19" s="57" t="s">
        <v>61</v>
      </c>
      <c r="D19" s="58" t="s">
        <v>122</v>
      </c>
      <c r="E19" s="82" t="s">
        <v>74</v>
      </c>
      <c r="F19" s="78" t="s">
        <v>125</v>
      </c>
      <c r="G19" s="79">
        <v>20</v>
      </c>
      <c r="H19" s="80">
        <v>410</v>
      </c>
      <c r="I19" s="60">
        <f t="shared" si="0"/>
        <v>8200</v>
      </c>
    </row>
    <row r="20" spans="1:9" ht="31.9" customHeight="1" thickBot="1" x14ac:dyDescent="0.25">
      <c r="A20" s="56">
        <v>11</v>
      </c>
      <c r="B20" s="59"/>
      <c r="C20" s="57" t="s">
        <v>61</v>
      </c>
      <c r="D20" s="58" t="s">
        <v>122</v>
      </c>
      <c r="E20" s="85" t="s">
        <v>75</v>
      </c>
      <c r="F20" s="78" t="s">
        <v>124</v>
      </c>
      <c r="G20" s="79">
        <v>50</v>
      </c>
      <c r="H20" s="87">
        <v>1120</v>
      </c>
      <c r="I20" s="60">
        <f t="shared" si="0"/>
        <v>56000</v>
      </c>
    </row>
    <row r="21" spans="1:9" ht="31.9" customHeight="1" thickBot="1" x14ac:dyDescent="0.25">
      <c r="A21" s="56">
        <v>12</v>
      </c>
      <c r="B21" s="59"/>
      <c r="C21" s="57" t="s">
        <v>61</v>
      </c>
      <c r="D21" s="58" t="s">
        <v>122</v>
      </c>
      <c r="E21" s="85" t="s">
        <v>76</v>
      </c>
      <c r="F21" s="78" t="s">
        <v>123</v>
      </c>
      <c r="G21" s="79">
        <v>1000</v>
      </c>
      <c r="H21" s="80">
        <v>13.5</v>
      </c>
      <c r="I21" s="60">
        <f t="shared" si="0"/>
        <v>13500</v>
      </c>
    </row>
    <row r="22" spans="1:9" ht="31.9" customHeight="1" thickBot="1" x14ac:dyDescent="0.25">
      <c r="A22" s="56">
        <v>13</v>
      </c>
      <c r="B22" s="59"/>
      <c r="C22" s="57" t="s">
        <v>61</v>
      </c>
      <c r="D22" s="58" t="s">
        <v>122</v>
      </c>
      <c r="E22" s="88" t="s">
        <v>77</v>
      </c>
      <c r="F22" s="78" t="s">
        <v>124</v>
      </c>
      <c r="G22" s="79">
        <v>4000</v>
      </c>
      <c r="H22" s="80">
        <v>145</v>
      </c>
      <c r="I22" s="60">
        <f t="shared" si="0"/>
        <v>580000</v>
      </c>
    </row>
    <row r="23" spans="1:9" ht="31.9" customHeight="1" thickBot="1" x14ac:dyDescent="0.25">
      <c r="A23" s="56">
        <v>14</v>
      </c>
      <c r="B23" s="59"/>
      <c r="C23" s="57" t="s">
        <v>61</v>
      </c>
      <c r="D23" s="58" t="s">
        <v>122</v>
      </c>
      <c r="E23" s="85" t="s">
        <v>78</v>
      </c>
      <c r="F23" s="78" t="s">
        <v>124</v>
      </c>
      <c r="G23" s="79">
        <v>2000</v>
      </c>
      <c r="H23" s="80">
        <v>178</v>
      </c>
      <c r="I23" s="60">
        <f t="shared" si="0"/>
        <v>356000</v>
      </c>
    </row>
    <row r="24" spans="1:9" ht="31.9" customHeight="1" thickBot="1" x14ac:dyDescent="0.25">
      <c r="A24" s="56">
        <v>15</v>
      </c>
      <c r="B24" s="59"/>
      <c r="C24" s="57" t="s">
        <v>61</v>
      </c>
      <c r="D24" s="58" t="s">
        <v>122</v>
      </c>
      <c r="E24" s="85" t="s">
        <v>79</v>
      </c>
      <c r="F24" s="78" t="s">
        <v>124</v>
      </c>
      <c r="G24" s="79">
        <v>4500</v>
      </c>
      <c r="H24" s="80">
        <v>115</v>
      </c>
      <c r="I24" s="60">
        <f t="shared" si="0"/>
        <v>517500</v>
      </c>
    </row>
    <row r="25" spans="1:9" ht="31.9" customHeight="1" thickBot="1" x14ac:dyDescent="0.25">
      <c r="A25" s="56">
        <v>16</v>
      </c>
      <c r="B25" s="59"/>
      <c r="C25" s="57" t="s">
        <v>61</v>
      </c>
      <c r="D25" s="58" t="s">
        <v>122</v>
      </c>
      <c r="E25" s="85" t="s">
        <v>80</v>
      </c>
      <c r="F25" s="78" t="s">
        <v>123</v>
      </c>
      <c r="G25" s="79">
        <v>500</v>
      </c>
      <c r="H25" s="80">
        <v>11</v>
      </c>
      <c r="I25" s="60">
        <f t="shared" si="0"/>
        <v>5500</v>
      </c>
    </row>
    <row r="26" spans="1:9" ht="31.9" customHeight="1" thickBot="1" x14ac:dyDescent="0.25">
      <c r="A26" s="56">
        <v>17</v>
      </c>
      <c r="B26" s="59"/>
      <c r="C26" s="57" t="s">
        <v>61</v>
      </c>
      <c r="D26" s="58" t="s">
        <v>122</v>
      </c>
      <c r="E26" s="85" t="s">
        <v>81</v>
      </c>
      <c r="F26" s="78" t="s">
        <v>123</v>
      </c>
      <c r="G26" s="89">
        <v>2000</v>
      </c>
      <c r="H26" s="90">
        <v>42</v>
      </c>
      <c r="I26" s="60">
        <f t="shared" si="0"/>
        <v>84000</v>
      </c>
    </row>
    <row r="27" spans="1:9" ht="31.9" customHeight="1" thickBot="1" x14ac:dyDescent="0.3">
      <c r="A27" s="56">
        <v>18</v>
      </c>
      <c r="B27" s="59"/>
      <c r="C27" s="57" t="s">
        <v>61</v>
      </c>
      <c r="D27" s="58" t="s">
        <v>122</v>
      </c>
      <c r="E27" s="77" t="s">
        <v>82</v>
      </c>
      <c r="F27" s="78" t="s">
        <v>124</v>
      </c>
      <c r="G27" s="89">
        <v>300</v>
      </c>
      <c r="H27" s="90">
        <v>451</v>
      </c>
      <c r="I27" s="60">
        <f t="shared" si="0"/>
        <v>135300</v>
      </c>
    </row>
    <row r="28" spans="1:9" ht="31.9" customHeight="1" thickBot="1" x14ac:dyDescent="0.25">
      <c r="A28" s="56">
        <v>19</v>
      </c>
      <c r="B28" s="59"/>
      <c r="C28" s="57" t="s">
        <v>61</v>
      </c>
      <c r="D28" s="58" t="s">
        <v>122</v>
      </c>
      <c r="E28" s="91" t="s">
        <v>83</v>
      </c>
      <c r="F28" s="78" t="s">
        <v>125</v>
      </c>
      <c r="G28" s="89">
        <v>1500</v>
      </c>
      <c r="H28" s="92">
        <v>1650</v>
      </c>
      <c r="I28" s="60">
        <f t="shared" si="0"/>
        <v>2475000</v>
      </c>
    </row>
    <row r="29" spans="1:9" ht="31.9" customHeight="1" thickBot="1" x14ac:dyDescent="0.25">
      <c r="A29" s="56">
        <v>20</v>
      </c>
      <c r="B29" s="59"/>
      <c r="C29" s="57" t="s">
        <v>61</v>
      </c>
      <c r="D29" s="58" t="s">
        <v>122</v>
      </c>
      <c r="E29" s="93" t="s">
        <v>84</v>
      </c>
      <c r="F29" s="78" t="s">
        <v>124</v>
      </c>
      <c r="G29" s="94">
        <v>300</v>
      </c>
      <c r="H29" s="90">
        <v>690</v>
      </c>
      <c r="I29" s="60">
        <f t="shared" si="0"/>
        <v>207000</v>
      </c>
    </row>
    <row r="30" spans="1:9" ht="31.9" customHeight="1" thickBot="1" x14ac:dyDescent="0.25">
      <c r="A30" s="56">
        <v>21</v>
      </c>
      <c r="B30" s="59"/>
      <c r="C30" s="57" t="s">
        <v>61</v>
      </c>
      <c r="D30" s="58" t="s">
        <v>122</v>
      </c>
      <c r="E30" s="83" t="s">
        <v>85</v>
      </c>
      <c r="F30" s="95" t="s">
        <v>126</v>
      </c>
      <c r="G30" s="94">
        <v>150</v>
      </c>
      <c r="H30" s="90">
        <v>2358</v>
      </c>
      <c r="I30" s="60">
        <f t="shared" si="0"/>
        <v>353700</v>
      </c>
    </row>
    <row r="31" spans="1:9" ht="31.9" customHeight="1" thickBot="1" x14ac:dyDescent="0.25">
      <c r="A31" s="56">
        <v>22</v>
      </c>
      <c r="B31" s="59"/>
      <c r="C31" s="57" t="s">
        <v>61</v>
      </c>
      <c r="D31" s="58" t="s">
        <v>122</v>
      </c>
      <c r="E31" s="83" t="s">
        <v>86</v>
      </c>
      <c r="F31" s="78" t="s">
        <v>124</v>
      </c>
      <c r="G31" s="94">
        <v>90</v>
      </c>
      <c r="H31" s="90">
        <v>2890</v>
      </c>
      <c r="I31" s="60">
        <f t="shared" si="0"/>
        <v>260100</v>
      </c>
    </row>
    <row r="32" spans="1:9" ht="31.9" customHeight="1" thickBot="1" x14ac:dyDescent="0.25">
      <c r="A32" s="56">
        <v>23</v>
      </c>
      <c r="B32" s="59"/>
      <c r="C32" s="57" t="s">
        <v>61</v>
      </c>
      <c r="D32" s="58" t="s">
        <v>122</v>
      </c>
      <c r="E32" s="85" t="s">
        <v>87</v>
      </c>
      <c r="F32" s="78" t="s">
        <v>123</v>
      </c>
      <c r="G32" s="94">
        <v>750</v>
      </c>
      <c r="H32" s="90">
        <v>2.5499999999999998</v>
      </c>
      <c r="I32" s="60">
        <f t="shared" si="0"/>
        <v>1912.4999999999998</v>
      </c>
    </row>
    <row r="33" spans="1:9" ht="31.9" customHeight="1" thickBot="1" x14ac:dyDescent="0.3">
      <c r="A33" s="56">
        <v>24</v>
      </c>
      <c r="B33" s="59"/>
      <c r="C33" s="57" t="s">
        <v>61</v>
      </c>
      <c r="D33" s="58" t="s">
        <v>122</v>
      </c>
      <c r="E33" s="82" t="s">
        <v>88</v>
      </c>
      <c r="F33" s="78" t="s">
        <v>124</v>
      </c>
      <c r="G33" s="94">
        <v>24000</v>
      </c>
      <c r="H33" s="90">
        <v>45</v>
      </c>
      <c r="I33" s="60">
        <f t="shared" si="0"/>
        <v>1080000</v>
      </c>
    </row>
    <row r="34" spans="1:9" ht="31.9" customHeight="1" thickBot="1" x14ac:dyDescent="0.3">
      <c r="A34" s="56">
        <v>25</v>
      </c>
      <c r="B34" s="59"/>
      <c r="C34" s="57" t="s">
        <v>61</v>
      </c>
      <c r="D34" s="58" t="s">
        <v>122</v>
      </c>
      <c r="E34" s="82" t="s">
        <v>89</v>
      </c>
      <c r="F34" s="78" t="s">
        <v>124</v>
      </c>
      <c r="G34" s="94">
        <v>2000</v>
      </c>
      <c r="H34" s="90">
        <v>45</v>
      </c>
      <c r="I34" s="60">
        <f t="shared" si="0"/>
        <v>90000</v>
      </c>
    </row>
    <row r="35" spans="1:9" ht="31.9" customHeight="1" thickBot="1" x14ac:dyDescent="0.3">
      <c r="A35" s="56">
        <v>26</v>
      </c>
      <c r="B35" s="59"/>
      <c r="C35" s="57" t="s">
        <v>61</v>
      </c>
      <c r="D35" s="58" t="s">
        <v>122</v>
      </c>
      <c r="E35" s="77" t="s">
        <v>90</v>
      </c>
      <c r="F35" s="78" t="s">
        <v>123</v>
      </c>
      <c r="G35" s="79">
        <v>300</v>
      </c>
      <c r="H35" s="80">
        <v>52</v>
      </c>
      <c r="I35" s="60">
        <f t="shared" si="0"/>
        <v>15600</v>
      </c>
    </row>
    <row r="36" spans="1:9" ht="31.9" customHeight="1" thickBot="1" x14ac:dyDescent="0.3">
      <c r="A36" s="56">
        <v>27</v>
      </c>
      <c r="B36" s="59"/>
      <c r="C36" s="57" t="s">
        <v>61</v>
      </c>
      <c r="D36" s="58" t="s">
        <v>122</v>
      </c>
      <c r="E36" s="77" t="s">
        <v>91</v>
      </c>
      <c r="F36" s="78" t="s">
        <v>127</v>
      </c>
      <c r="G36" s="79">
        <v>600</v>
      </c>
      <c r="H36" s="80">
        <v>750</v>
      </c>
      <c r="I36" s="60">
        <f t="shared" si="0"/>
        <v>450000</v>
      </c>
    </row>
    <row r="37" spans="1:9" ht="31.9" customHeight="1" thickBot="1" x14ac:dyDescent="0.25">
      <c r="A37" s="56">
        <v>28</v>
      </c>
      <c r="B37" s="59"/>
      <c r="C37" s="57" t="s">
        <v>61</v>
      </c>
      <c r="D37" s="58" t="s">
        <v>122</v>
      </c>
      <c r="E37" s="85" t="s">
        <v>92</v>
      </c>
      <c r="F37" s="78" t="s">
        <v>124</v>
      </c>
      <c r="G37" s="79">
        <v>150</v>
      </c>
      <c r="H37" s="80">
        <v>7680</v>
      </c>
      <c r="I37" s="60">
        <f t="shared" si="0"/>
        <v>1152000</v>
      </c>
    </row>
    <row r="38" spans="1:9" ht="31.9" customHeight="1" thickBot="1" x14ac:dyDescent="0.25">
      <c r="A38" s="56">
        <v>29</v>
      </c>
      <c r="B38" s="59"/>
      <c r="C38" s="57" t="s">
        <v>61</v>
      </c>
      <c r="D38" s="58" t="s">
        <v>122</v>
      </c>
      <c r="E38" s="85" t="s">
        <v>93</v>
      </c>
      <c r="F38" s="78" t="s">
        <v>124</v>
      </c>
      <c r="G38" s="79">
        <v>800</v>
      </c>
      <c r="H38" s="80">
        <v>45</v>
      </c>
      <c r="I38" s="60">
        <f t="shared" si="0"/>
        <v>36000</v>
      </c>
    </row>
    <row r="39" spans="1:9" ht="31.9" customHeight="1" thickBot="1" x14ac:dyDescent="0.3">
      <c r="A39" s="56">
        <v>30</v>
      </c>
      <c r="B39" s="59"/>
      <c r="C39" s="57" t="s">
        <v>61</v>
      </c>
      <c r="D39" s="58" t="s">
        <v>122</v>
      </c>
      <c r="E39" s="81" t="s">
        <v>94</v>
      </c>
      <c r="F39" s="78" t="s">
        <v>124</v>
      </c>
      <c r="G39" s="79">
        <v>300</v>
      </c>
      <c r="H39" s="80">
        <v>1950</v>
      </c>
      <c r="I39" s="60">
        <f t="shared" si="0"/>
        <v>585000</v>
      </c>
    </row>
    <row r="40" spans="1:9" ht="31.9" customHeight="1" thickBot="1" x14ac:dyDescent="0.25">
      <c r="A40" s="56">
        <v>31</v>
      </c>
      <c r="B40" s="59"/>
      <c r="C40" s="57" t="s">
        <v>61</v>
      </c>
      <c r="D40" s="58" t="s">
        <v>122</v>
      </c>
      <c r="E40" s="85" t="s">
        <v>95</v>
      </c>
      <c r="F40" s="78" t="s">
        <v>124</v>
      </c>
      <c r="G40" s="79">
        <v>21000</v>
      </c>
      <c r="H40" s="80">
        <v>55</v>
      </c>
      <c r="I40" s="60">
        <f t="shared" si="0"/>
        <v>1155000</v>
      </c>
    </row>
    <row r="41" spans="1:9" ht="31.9" customHeight="1" thickBot="1" x14ac:dyDescent="0.25">
      <c r="A41" s="56">
        <v>32</v>
      </c>
      <c r="B41" s="59"/>
      <c r="C41" s="57" t="s">
        <v>61</v>
      </c>
      <c r="D41" s="58" t="s">
        <v>122</v>
      </c>
      <c r="E41" s="83" t="s">
        <v>96</v>
      </c>
      <c r="F41" s="78" t="s">
        <v>124</v>
      </c>
      <c r="G41" s="79">
        <v>2000</v>
      </c>
      <c r="H41" s="80">
        <v>35</v>
      </c>
      <c r="I41" s="60">
        <f t="shared" si="0"/>
        <v>70000</v>
      </c>
    </row>
    <row r="42" spans="1:9" ht="31.9" customHeight="1" thickBot="1" x14ac:dyDescent="0.3">
      <c r="A42" s="56">
        <v>33</v>
      </c>
      <c r="B42" s="59"/>
      <c r="C42" s="57" t="s">
        <v>61</v>
      </c>
      <c r="D42" s="58" t="s">
        <v>122</v>
      </c>
      <c r="E42" s="82" t="s">
        <v>97</v>
      </c>
      <c r="F42" s="78" t="s">
        <v>124</v>
      </c>
      <c r="G42" s="79">
        <v>50</v>
      </c>
      <c r="H42" s="80">
        <v>290</v>
      </c>
      <c r="I42" s="60">
        <f t="shared" si="0"/>
        <v>14500</v>
      </c>
    </row>
    <row r="43" spans="1:9" ht="31.9" customHeight="1" thickBot="1" x14ac:dyDescent="0.3">
      <c r="A43" s="56">
        <v>34</v>
      </c>
      <c r="B43" s="59"/>
      <c r="C43" s="57" t="s">
        <v>61</v>
      </c>
      <c r="D43" s="58" t="s">
        <v>122</v>
      </c>
      <c r="E43" s="96" t="s">
        <v>98</v>
      </c>
      <c r="F43" s="78" t="s">
        <v>124</v>
      </c>
      <c r="G43" s="97">
        <v>50</v>
      </c>
      <c r="H43" s="98">
        <v>340</v>
      </c>
      <c r="I43" s="60">
        <f t="shared" si="0"/>
        <v>17000</v>
      </c>
    </row>
    <row r="44" spans="1:9" ht="31.9" customHeight="1" thickBot="1" x14ac:dyDescent="0.3">
      <c r="A44" s="56">
        <v>35</v>
      </c>
      <c r="B44" s="59"/>
      <c r="C44" s="57" t="s">
        <v>61</v>
      </c>
      <c r="D44" s="58" t="s">
        <v>122</v>
      </c>
      <c r="E44" s="82" t="s">
        <v>99</v>
      </c>
      <c r="F44" s="78" t="s">
        <v>127</v>
      </c>
      <c r="G44" s="79">
        <v>600</v>
      </c>
      <c r="H44" s="80">
        <v>120</v>
      </c>
      <c r="I44" s="60">
        <f t="shared" si="0"/>
        <v>72000</v>
      </c>
    </row>
    <row r="45" spans="1:9" ht="31.9" customHeight="1" thickBot="1" x14ac:dyDescent="0.25">
      <c r="A45" s="56">
        <v>36</v>
      </c>
      <c r="B45" s="59"/>
      <c r="C45" s="57" t="s">
        <v>61</v>
      </c>
      <c r="D45" s="58" t="s">
        <v>122</v>
      </c>
      <c r="E45" s="85" t="s">
        <v>100</v>
      </c>
      <c r="F45" s="78" t="s">
        <v>125</v>
      </c>
      <c r="G45" s="79">
        <v>30</v>
      </c>
      <c r="H45" s="80">
        <v>1703</v>
      </c>
      <c r="I45" s="60">
        <f t="shared" si="0"/>
        <v>51090</v>
      </c>
    </row>
    <row r="46" spans="1:9" ht="31.9" customHeight="1" thickBot="1" x14ac:dyDescent="0.25">
      <c r="A46" s="56">
        <v>37</v>
      </c>
      <c r="B46" s="59"/>
      <c r="C46" s="57" t="s">
        <v>61</v>
      </c>
      <c r="D46" s="58" t="s">
        <v>122</v>
      </c>
      <c r="E46" s="85" t="s">
        <v>101</v>
      </c>
      <c r="F46" s="78" t="s">
        <v>124</v>
      </c>
      <c r="G46" s="79">
        <v>500</v>
      </c>
      <c r="H46" s="80">
        <v>590</v>
      </c>
      <c r="I46" s="60">
        <f t="shared" si="0"/>
        <v>295000</v>
      </c>
    </row>
    <row r="47" spans="1:9" ht="31.9" customHeight="1" thickBot="1" x14ac:dyDescent="0.25">
      <c r="A47" s="56">
        <v>38</v>
      </c>
      <c r="B47" s="59"/>
      <c r="C47" s="57" t="s">
        <v>61</v>
      </c>
      <c r="D47" s="58" t="s">
        <v>122</v>
      </c>
      <c r="E47" s="85" t="s">
        <v>102</v>
      </c>
      <c r="F47" s="78" t="s">
        <v>127</v>
      </c>
      <c r="G47" s="79">
        <v>3000</v>
      </c>
      <c r="H47" s="80">
        <v>110</v>
      </c>
      <c r="I47" s="60">
        <f t="shared" si="0"/>
        <v>330000</v>
      </c>
    </row>
    <row r="48" spans="1:9" ht="31.9" customHeight="1" thickBot="1" x14ac:dyDescent="0.25">
      <c r="A48" s="56">
        <v>39</v>
      </c>
      <c r="B48" s="59"/>
      <c r="C48" s="57" t="s">
        <v>61</v>
      </c>
      <c r="D48" s="58" t="s">
        <v>122</v>
      </c>
      <c r="E48" s="83" t="s">
        <v>103</v>
      </c>
      <c r="F48" s="78" t="s">
        <v>123</v>
      </c>
      <c r="G48" s="79">
        <v>300</v>
      </c>
      <c r="H48" s="80">
        <v>51</v>
      </c>
      <c r="I48" s="60">
        <f t="shared" si="0"/>
        <v>15300</v>
      </c>
    </row>
    <row r="49" spans="1:9" ht="31.9" customHeight="1" thickBot="1" x14ac:dyDescent="0.25">
      <c r="A49" s="56">
        <v>40</v>
      </c>
      <c r="B49" s="59"/>
      <c r="C49" s="57" t="s">
        <v>61</v>
      </c>
      <c r="D49" s="58" t="s">
        <v>122</v>
      </c>
      <c r="E49" s="83" t="s">
        <v>104</v>
      </c>
      <c r="F49" s="78" t="s">
        <v>124</v>
      </c>
      <c r="G49" s="79">
        <v>4800</v>
      </c>
      <c r="H49" s="80">
        <v>210</v>
      </c>
      <c r="I49" s="60">
        <f t="shared" si="0"/>
        <v>1008000</v>
      </c>
    </row>
    <row r="50" spans="1:9" ht="31.9" customHeight="1" thickBot="1" x14ac:dyDescent="0.25">
      <c r="A50" s="56">
        <v>41</v>
      </c>
      <c r="B50" s="59"/>
      <c r="C50" s="57" t="s">
        <v>61</v>
      </c>
      <c r="D50" s="58" t="s">
        <v>122</v>
      </c>
      <c r="E50" s="99" t="s">
        <v>105</v>
      </c>
      <c r="F50" s="78" t="s">
        <v>124</v>
      </c>
      <c r="G50" s="79">
        <v>3000</v>
      </c>
      <c r="H50" s="80">
        <v>120</v>
      </c>
      <c r="I50" s="60">
        <f t="shared" si="0"/>
        <v>360000</v>
      </c>
    </row>
    <row r="51" spans="1:9" ht="31.9" customHeight="1" thickBot="1" x14ac:dyDescent="0.3">
      <c r="A51" s="56">
        <v>42</v>
      </c>
      <c r="B51" s="59"/>
      <c r="C51" s="57" t="s">
        <v>61</v>
      </c>
      <c r="D51" s="58" t="s">
        <v>122</v>
      </c>
      <c r="E51" s="82" t="s">
        <v>106</v>
      </c>
      <c r="F51" s="78" t="s">
        <v>123</v>
      </c>
      <c r="G51" s="79">
        <v>500</v>
      </c>
      <c r="H51" s="80">
        <v>16.8</v>
      </c>
      <c r="I51" s="60">
        <f t="shared" si="0"/>
        <v>8400</v>
      </c>
    </row>
    <row r="52" spans="1:9" ht="31.9" customHeight="1" thickBot="1" x14ac:dyDescent="0.25">
      <c r="A52" s="56">
        <v>43</v>
      </c>
      <c r="B52" s="59"/>
      <c r="C52" s="57" t="s">
        <v>61</v>
      </c>
      <c r="D52" s="58" t="s">
        <v>122</v>
      </c>
      <c r="E52" s="83" t="s">
        <v>107</v>
      </c>
      <c r="F52" s="78" t="s">
        <v>124</v>
      </c>
      <c r="G52" s="79">
        <v>500</v>
      </c>
      <c r="H52" s="80">
        <v>248</v>
      </c>
      <c r="I52" s="60">
        <f t="shared" si="0"/>
        <v>124000</v>
      </c>
    </row>
    <row r="53" spans="1:9" ht="31.9" customHeight="1" thickBot="1" x14ac:dyDescent="0.25">
      <c r="A53" s="56">
        <v>44</v>
      </c>
      <c r="B53" s="59"/>
      <c r="C53" s="57" t="s">
        <v>61</v>
      </c>
      <c r="D53" s="58" t="s">
        <v>122</v>
      </c>
      <c r="E53" s="85" t="s">
        <v>108</v>
      </c>
      <c r="F53" s="78" t="s">
        <v>123</v>
      </c>
      <c r="G53" s="79">
        <v>10000</v>
      </c>
      <c r="H53" s="80">
        <v>9.8000000000000007</v>
      </c>
      <c r="I53" s="60">
        <f t="shared" si="0"/>
        <v>98000</v>
      </c>
    </row>
    <row r="54" spans="1:9" ht="31.9" customHeight="1" thickBot="1" x14ac:dyDescent="0.25">
      <c r="A54" s="56">
        <v>45</v>
      </c>
      <c r="B54" s="59"/>
      <c r="C54" s="57" t="s">
        <v>61</v>
      </c>
      <c r="D54" s="58" t="s">
        <v>122</v>
      </c>
      <c r="E54" s="83" t="s">
        <v>109</v>
      </c>
      <c r="F54" s="78" t="s">
        <v>124</v>
      </c>
      <c r="G54" s="79">
        <v>1200</v>
      </c>
      <c r="H54" s="80">
        <v>980</v>
      </c>
      <c r="I54" s="60">
        <f t="shared" si="0"/>
        <v>1176000</v>
      </c>
    </row>
    <row r="55" spans="1:9" ht="31.9" customHeight="1" thickBot="1" x14ac:dyDescent="0.25">
      <c r="A55" s="56">
        <v>46</v>
      </c>
      <c r="B55" s="59"/>
      <c r="C55" s="57" t="s">
        <v>61</v>
      </c>
      <c r="D55" s="58" t="s">
        <v>122</v>
      </c>
      <c r="E55" s="83" t="s">
        <v>110</v>
      </c>
      <c r="F55" s="78" t="s">
        <v>123</v>
      </c>
      <c r="G55" s="79">
        <v>5000</v>
      </c>
      <c r="H55" s="80">
        <v>5.3</v>
      </c>
      <c r="I55" s="60">
        <f t="shared" si="0"/>
        <v>26500</v>
      </c>
    </row>
    <row r="56" spans="1:9" ht="31.9" customHeight="1" thickBot="1" x14ac:dyDescent="0.25">
      <c r="A56" s="56">
        <v>47</v>
      </c>
      <c r="B56" s="59"/>
      <c r="C56" s="57" t="s">
        <v>61</v>
      </c>
      <c r="D56" s="58" t="s">
        <v>122</v>
      </c>
      <c r="E56" s="84" t="s">
        <v>111</v>
      </c>
      <c r="F56" s="78" t="s">
        <v>124</v>
      </c>
      <c r="G56" s="89">
        <v>700</v>
      </c>
      <c r="H56" s="90">
        <v>156</v>
      </c>
      <c r="I56" s="60">
        <f t="shared" si="0"/>
        <v>109200</v>
      </c>
    </row>
    <row r="57" spans="1:9" ht="31.9" customHeight="1" thickBot="1" x14ac:dyDescent="0.25">
      <c r="A57" s="56">
        <v>48</v>
      </c>
      <c r="B57" s="59"/>
      <c r="C57" s="57" t="s">
        <v>61</v>
      </c>
      <c r="D57" s="58" t="s">
        <v>122</v>
      </c>
      <c r="E57" s="85" t="s">
        <v>112</v>
      </c>
      <c r="F57" s="78" t="s">
        <v>124</v>
      </c>
      <c r="G57" s="89">
        <v>1000</v>
      </c>
      <c r="H57" s="90">
        <v>398</v>
      </c>
      <c r="I57" s="60">
        <f t="shared" si="0"/>
        <v>398000</v>
      </c>
    </row>
    <row r="58" spans="1:9" ht="31.9" customHeight="1" thickBot="1" x14ac:dyDescent="0.3">
      <c r="A58" s="56">
        <v>49</v>
      </c>
      <c r="B58" s="59"/>
      <c r="C58" s="57" t="s">
        <v>61</v>
      </c>
      <c r="D58" s="58" t="s">
        <v>122</v>
      </c>
      <c r="E58" s="81" t="s">
        <v>113</v>
      </c>
      <c r="F58" s="78" t="s">
        <v>124</v>
      </c>
      <c r="G58" s="94">
        <v>1200</v>
      </c>
      <c r="H58" s="90">
        <v>630</v>
      </c>
      <c r="I58" s="60">
        <f t="shared" si="0"/>
        <v>756000</v>
      </c>
    </row>
    <row r="59" spans="1:9" ht="31.9" customHeight="1" thickBot="1" x14ac:dyDescent="0.3">
      <c r="A59" s="56">
        <v>50</v>
      </c>
      <c r="B59" s="59"/>
      <c r="C59" s="57" t="s">
        <v>61</v>
      </c>
      <c r="D59" s="58" t="s">
        <v>122</v>
      </c>
      <c r="E59" s="100" t="s">
        <v>114</v>
      </c>
      <c r="F59" s="78" t="s">
        <v>124</v>
      </c>
      <c r="G59" s="94">
        <v>900</v>
      </c>
      <c r="H59" s="90">
        <v>1236.1400000000001</v>
      </c>
      <c r="I59" s="60">
        <f t="shared" si="0"/>
        <v>1112526</v>
      </c>
    </row>
    <row r="60" spans="1:9" ht="31.9" customHeight="1" thickBot="1" x14ac:dyDescent="0.3">
      <c r="A60" s="56">
        <v>51</v>
      </c>
      <c r="B60" s="59"/>
      <c r="C60" s="57" t="s">
        <v>61</v>
      </c>
      <c r="D60" s="58" t="s">
        <v>122</v>
      </c>
      <c r="E60" s="81" t="s">
        <v>115</v>
      </c>
      <c r="F60" s="78" t="s">
        <v>124</v>
      </c>
      <c r="G60" s="94">
        <v>3000</v>
      </c>
      <c r="H60" s="90">
        <v>790</v>
      </c>
      <c r="I60" s="60">
        <f t="shared" si="0"/>
        <v>2370000</v>
      </c>
    </row>
    <row r="61" spans="1:9" ht="31.9" customHeight="1" thickBot="1" x14ac:dyDescent="0.3">
      <c r="A61" s="56">
        <v>52</v>
      </c>
      <c r="B61" s="59"/>
      <c r="C61" s="57" t="s">
        <v>61</v>
      </c>
      <c r="D61" s="58" t="s">
        <v>122</v>
      </c>
      <c r="E61" s="86" t="s">
        <v>116</v>
      </c>
      <c r="F61" s="78" t="s">
        <v>128</v>
      </c>
      <c r="G61" s="94">
        <v>30</v>
      </c>
      <c r="H61" s="90">
        <v>41.2</v>
      </c>
      <c r="I61" s="60">
        <f t="shared" si="0"/>
        <v>1236</v>
      </c>
    </row>
    <row r="62" spans="1:9" ht="31.9" customHeight="1" thickBot="1" x14ac:dyDescent="0.3">
      <c r="A62" s="56">
        <v>53</v>
      </c>
      <c r="B62" s="59"/>
      <c r="C62" s="57" t="s">
        <v>61</v>
      </c>
      <c r="D62" s="58" t="s">
        <v>122</v>
      </c>
      <c r="E62" s="86" t="s">
        <v>117</v>
      </c>
      <c r="F62" s="78" t="s">
        <v>124</v>
      </c>
      <c r="G62" s="94">
        <v>50</v>
      </c>
      <c r="H62" s="90">
        <v>1682</v>
      </c>
      <c r="I62" s="60">
        <f t="shared" si="0"/>
        <v>84100</v>
      </c>
    </row>
    <row r="63" spans="1:9" ht="31.9" customHeight="1" thickBot="1" x14ac:dyDescent="0.25">
      <c r="A63" s="56">
        <v>54</v>
      </c>
      <c r="B63" s="59"/>
      <c r="C63" s="57" t="s">
        <v>61</v>
      </c>
      <c r="D63" s="58" t="s">
        <v>122</v>
      </c>
      <c r="E63" s="83" t="s">
        <v>118</v>
      </c>
      <c r="F63" s="78" t="s">
        <v>125</v>
      </c>
      <c r="G63" s="94">
        <v>100</v>
      </c>
      <c r="H63" s="101">
        <v>12580</v>
      </c>
      <c r="I63" s="60">
        <f t="shared" si="0"/>
        <v>1258000</v>
      </c>
    </row>
    <row r="64" spans="1:9" ht="31.9" customHeight="1" thickBot="1" x14ac:dyDescent="0.3">
      <c r="A64" s="56">
        <v>55</v>
      </c>
      <c r="B64" s="59"/>
      <c r="C64" s="57" t="s">
        <v>61</v>
      </c>
      <c r="D64" s="58" t="s">
        <v>122</v>
      </c>
      <c r="E64" s="102" t="s">
        <v>119</v>
      </c>
      <c r="F64" s="78" t="s">
        <v>124</v>
      </c>
      <c r="G64" s="94">
        <v>200</v>
      </c>
      <c r="H64" s="90">
        <v>955</v>
      </c>
      <c r="I64" s="60">
        <f t="shared" si="0"/>
        <v>191000</v>
      </c>
    </row>
    <row r="65" spans="1:9" ht="31.9" customHeight="1" thickBot="1" x14ac:dyDescent="0.25">
      <c r="A65" s="56">
        <v>56</v>
      </c>
      <c r="B65" s="59"/>
      <c r="C65" s="57" t="s">
        <v>61</v>
      </c>
      <c r="D65" s="58" t="s">
        <v>122</v>
      </c>
      <c r="E65" s="85" t="s">
        <v>120</v>
      </c>
      <c r="F65" s="78" t="s">
        <v>124</v>
      </c>
      <c r="G65" s="94">
        <v>600</v>
      </c>
      <c r="H65" s="90">
        <v>290</v>
      </c>
      <c r="I65" s="60">
        <f t="shared" si="0"/>
        <v>174000</v>
      </c>
    </row>
    <row r="66" spans="1:9" ht="31.9" customHeight="1" thickBot="1" x14ac:dyDescent="0.25">
      <c r="A66" s="56">
        <v>57</v>
      </c>
      <c r="B66" s="59"/>
      <c r="C66" s="57" t="s">
        <v>61</v>
      </c>
      <c r="D66" s="58" t="s">
        <v>122</v>
      </c>
      <c r="E66" s="83" t="s">
        <v>121</v>
      </c>
      <c r="F66" s="78" t="s">
        <v>124</v>
      </c>
      <c r="G66" s="94">
        <v>200</v>
      </c>
      <c r="H66" s="90">
        <v>988</v>
      </c>
      <c r="I66" s="60">
        <f t="shared" si="0"/>
        <v>197600</v>
      </c>
    </row>
    <row r="67" spans="1:9" ht="13.5" thickBot="1" x14ac:dyDescent="0.25"/>
    <row r="68" spans="1:9" ht="58.5" customHeight="1" thickBot="1" x14ac:dyDescent="0.25">
      <c r="C68" s="113" t="s">
        <v>132</v>
      </c>
      <c r="D68" s="114"/>
      <c r="E68" s="114"/>
    </row>
    <row r="69" spans="1:9" ht="39.75" customHeight="1" thickBot="1" x14ac:dyDescent="0.25">
      <c r="C69" s="115" t="s">
        <v>133</v>
      </c>
      <c r="D69" s="116"/>
      <c r="E69" s="117"/>
    </row>
    <row r="70" spans="1:9" ht="48.75" customHeight="1" thickBot="1" x14ac:dyDescent="0.25">
      <c r="C70" s="118" t="s">
        <v>137</v>
      </c>
      <c r="D70" s="119"/>
      <c r="E70" s="120"/>
    </row>
    <row r="71" spans="1:9" ht="13.5" thickBot="1" x14ac:dyDescent="0.25"/>
    <row r="72" spans="1:9" x14ac:dyDescent="0.2">
      <c r="B72" s="42" t="s">
        <v>130</v>
      </c>
      <c r="C72" s="43"/>
      <c r="D72" s="43"/>
      <c r="E72" s="44"/>
    </row>
    <row r="73" spans="1:9" ht="5.25" customHeight="1" x14ac:dyDescent="0.2">
      <c r="B73" s="45"/>
      <c r="C73" s="46"/>
      <c r="D73" s="46"/>
      <c r="E73" s="47"/>
    </row>
    <row r="74" spans="1:9" x14ac:dyDescent="0.2">
      <c r="B74" s="48" t="s">
        <v>14</v>
      </c>
      <c r="C74" s="46"/>
      <c r="D74" s="46"/>
      <c r="E74" s="47"/>
    </row>
    <row r="75" spans="1:9" ht="41.25" customHeight="1" x14ac:dyDescent="0.2">
      <c r="B75" s="48"/>
      <c r="C75" s="106"/>
      <c r="D75" s="106"/>
      <c r="E75" s="106"/>
    </row>
    <row r="76" spans="1:9" x14ac:dyDescent="0.2">
      <c r="B76" s="48" t="s">
        <v>15</v>
      </c>
      <c r="C76" s="46"/>
      <c r="D76" s="46"/>
      <c r="E76" s="47"/>
    </row>
    <row r="77" spans="1:9" ht="21.75" customHeight="1" x14ac:dyDescent="0.2">
      <c r="B77" s="49"/>
      <c r="C77" s="110" t="s">
        <v>131</v>
      </c>
      <c r="D77" s="110"/>
      <c r="E77" s="111"/>
    </row>
    <row r="78" spans="1:9" x14ac:dyDescent="0.2">
      <c r="B78" s="49"/>
      <c r="C78" s="112"/>
      <c r="D78" s="112"/>
      <c r="E78" s="112"/>
    </row>
    <row r="79" spans="1:9" x14ac:dyDescent="0.2">
      <c r="B79" s="48" t="s">
        <v>16</v>
      </c>
      <c r="C79" s="46"/>
      <c r="D79" s="46"/>
      <c r="E79" s="47"/>
    </row>
    <row r="80" spans="1:9" ht="26.25" customHeight="1" x14ac:dyDescent="0.2">
      <c r="B80" s="49"/>
      <c r="C80" s="106"/>
      <c r="D80" s="106"/>
      <c r="E80" s="106"/>
    </row>
    <row r="81" spans="2:5" x14ac:dyDescent="0.2">
      <c r="B81" s="48" t="s">
        <v>17</v>
      </c>
      <c r="C81" s="50"/>
      <c r="D81" s="50"/>
      <c r="E81" s="51"/>
    </row>
    <row r="82" spans="2:5" ht="26.25" customHeight="1" x14ac:dyDescent="0.2">
      <c r="B82" s="49"/>
      <c r="C82" s="107" t="s">
        <v>62</v>
      </c>
      <c r="D82" s="107"/>
      <c r="E82" s="108"/>
    </row>
    <row r="83" spans="2:5" x14ac:dyDescent="0.2">
      <c r="B83" s="48" t="s">
        <v>18</v>
      </c>
      <c r="C83" s="46"/>
      <c r="D83" s="46"/>
      <c r="E83" s="47"/>
    </row>
    <row r="84" spans="2:5" ht="23.25" customHeight="1" x14ac:dyDescent="0.2">
      <c r="B84" s="48"/>
      <c r="C84" s="109"/>
      <c r="D84" s="109"/>
      <c r="E84" s="109"/>
    </row>
    <row r="85" spans="2:5" x14ac:dyDescent="0.2">
      <c r="B85" s="52"/>
      <c r="C85" s="53"/>
      <c r="D85" s="53"/>
      <c r="E85" s="54"/>
    </row>
  </sheetData>
  <mergeCells count="16">
    <mergeCell ref="C80:E80"/>
    <mergeCell ref="C82:E82"/>
    <mergeCell ref="C84:E84"/>
    <mergeCell ref="A6:B6"/>
    <mergeCell ref="A7:B7"/>
    <mergeCell ref="C75:E75"/>
    <mergeCell ref="C77:E77"/>
    <mergeCell ref="C78:E78"/>
    <mergeCell ref="C68:E68"/>
    <mergeCell ref="C69:E69"/>
    <mergeCell ref="C70:E70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9"/>
  <sheetViews>
    <sheetView topLeftCell="A52" zoomScale="70" zoomScaleNormal="70" workbookViewId="0">
      <selection activeCell="P15" sqref="P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1" t="s">
        <v>19</v>
      </c>
      <c r="B1" s="121"/>
      <c r="C1" s="121"/>
      <c r="D1" s="121"/>
      <c r="E1" s="121"/>
      <c r="F1" s="121"/>
      <c r="G1" s="121"/>
      <c r="H1" s="121"/>
      <c r="I1" s="121"/>
      <c r="J1" s="3" t="s">
        <v>20</v>
      </c>
      <c r="K1" s="63" t="s">
        <v>135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2" t="s">
        <v>53</v>
      </c>
      <c r="B3" s="122"/>
      <c r="C3" s="122"/>
      <c r="D3" s="123" t="str">
        <f>'Necesidades Trimestrales'!C4</f>
        <v>40 - Ministerio de Salud</v>
      </c>
      <c r="E3" s="123"/>
      <c r="F3" s="123"/>
      <c r="G3" s="123"/>
      <c r="H3" s="123"/>
      <c r="I3" s="123"/>
      <c r="J3" s="123"/>
      <c r="K3" s="123"/>
    </row>
    <row r="4" spans="1:11" ht="18.75" customHeight="1" thickBot="1" x14ac:dyDescent="0.25">
      <c r="A4" s="124" t="s">
        <v>54</v>
      </c>
      <c r="B4" s="124"/>
      <c r="C4" s="124"/>
      <c r="D4" s="123" t="str">
        <f>'Necesidades Trimestrales'!C5</f>
        <v>23 - Hospital Interzonal San Juan Bautista</v>
      </c>
      <c r="E4" s="123"/>
      <c r="F4" s="123"/>
      <c r="G4" s="123"/>
      <c r="H4" s="123"/>
      <c r="I4" s="123"/>
      <c r="J4" s="123"/>
      <c r="K4" s="123"/>
    </row>
    <row r="5" spans="1:11" ht="18.75" customHeight="1" thickBot="1" x14ac:dyDescent="0.25">
      <c r="A5" s="124" t="s">
        <v>32</v>
      </c>
      <c r="B5" s="124"/>
      <c r="C5" s="124"/>
      <c r="D5" s="123" t="s">
        <v>59</v>
      </c>
      <c r="E5" s="123"/>
      <c r="F5" s="123"/>
      <c r="G5" s="123"/>
      <c r="H5" s="123"/>
      <c r="I5" s="123"/>
      <c r="J5" s="123"/>
      <c r="K5" s="123"/>
    </row>
    <row r="6" spans="1:11" ht="16.5" customHeight="1" thickBot="1" x14ac:dyDescent="0.25">
      <c r="A6" s="122" t="s">
        <v>55</v>
      </c>
      <c r="B6" s="122"/>
      <c r="C6" s="122"/>
      <c r="D6" s="123" t="s">
        <v>60</v>
      </c>
      <c r="E6" s="123"/>
      <c r="F6" s="123"/>
      <c r="G6" s="123"/>
      <c r="H6" s="123"/>
      <c r="I6" s="123"/>
      <c r="J6" s="123"/>
      <c r="K6" s="123"/>
    </row>
    <row r="7" spans="1:11" ht="16.5" customHeight="1" x14ac:dyDescent="0.2">
      <c r="A7" s="124" t="s">
        <v>21</v>
      </c>
      <c r="B7" s="124"/>
      <c r="C7" s="124"/>
      <c r="D7" s="123" t="str">
        <f>'Necesidades Trimestrales'!C7 &amp; "° Trimestre - Año " &amp; 'Necesidades Trimestrales'!C6</f>
        <v>1° Trimestre - Año 2022</v>
      </c>
      <c r="E7" s="123"/>
      <c r="F7" s="123"/>
      <c r="G7" s="123"/>
      <c r="H7" s="123"/>
      <c r="I7" s="123"/>
      <c r="J7" s="123"/>
      <c r="K7" s="123"/>
    </row>
    <row r="8" spans="1:11" ht="45.75" customHeight="1" x14ac:dyDescent="0.2">
      <c r="A8" s="126" t="s">
        <v>22</v>
      </c>
      <c r="B8" s="126"/>
      <c r="C8" s="126"/>
      <c r="D8" s="127" t="s">
        <v>129</v>
      </c>
      <c r="E8" s="127"/>
      <c r="F8" s="127"/>
      <c r="G8" s="127"/>
      <c r="H8" s="127"/>
      <c r="I8" s="127"/>
      <c r="J8" s="127"/>
      <c r="K8" s="12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28" t="s">
        <v>23</v>
      </c>
      <c r="B10" s="129" t="s">
        <v>24</v>
      </c>
      <c r="C10" s="129" t="s">
        <v>25</v>
      </c>
      <c r="D10" s="129"/>
      <c r="E10" s="129"/>
      <c r="F10" s="129"/>
      <c r="G10" s="129"/>
      <c r="H10" s="129" t="s">
        <v>26</v>
      </c>
      <c r="I10" s="129" t="s">
        <v>27</v>
      </c>
      <c r="J10" s="129" t="s">
        <v>28</v>
      </c>
      <c r="K10" s="130" t="s">
        <v>29</v>
      </c>
    </row>
    <row r="11" spans="1:11" ht="24" customHeight="1" thickBot="1" x14ac:dyDescent="0.25">
      <c r="A11" s="128"/>
      <c r="B11" s="129"/>
      <c r="C11" s="129"/>
      <c r="D11" s="129"/>
      <c r="E11" s="129"/>
      <c r="F11" s="129"/>
      <c r="G11" s="129"/>
      <c r="H11" s="129"/>
      <c r="I11" s="129"/>
      <c r="J11" s="129"/>
      <c r="K11" s="130"/>
    </row>
    <row r="12" spans="1:11" ht="20.25" customHeight="1" thickBot="1" x14ac:dyDescent="0.25">
      <c r="A12" s="8">
        <v>1</v>
      </c>
      <c r="B12" s="64">
        <f>'Necesidades Trimestrales'!B10</f>
        <v>0</v>
      </c>
      <c r="C12" s="131" t="str">
        <f>'Necesidades Trimestrales'!E10</f>
        <v>ACICLOVIR 400 MG COMPRIMIDO</v>
      </c>
      <c r="D12" s="131"/>
      <c r="E12" s="131"/>
      <c r="F12" s="131"/>
      <c r="G12" s="131"/>
      <c r="H12" s="65" t="s">
        <v>56</v>
      </c>
      <c r="I12" s="66" t="str">
        <f>'Necesidades Trimestrales'!F10</f>
        <v>COMPRIMIDO</v>
      </c>
      <c r="J12" s="67">
        <f>'Necesidades Trimestrales'!H10</f>
        <v>32</v>
      </c>
      <c r="K12" s="68">
        <f>'Necesidades Trimestrales'!G10</f>
        <v>200</v>
      </c>
    </row>
    <row r="13" spans="1:11" ht="20.25" customHeight="1" thickBot="1" x14ac:dyDescent="0.25">
      <c r="A13" s="8">
        <v>2</v>
      </c>
      <c r="B13" s="64">
        <f>'Necesidades Trimestrales'!B11</f>
        <v>0</v>
      </c>
      <c r="C13" s="131" t="str">
        <f>'Necesidades Trimestrales'!E11</f>
        <v>ACICLOVIR 500 MG FCO AMPOLLA</v>
      </c>
      <c r="D13" s="131"/>
      <c r="E13" s="131"/>
      <c r="F13" s="131"/>
      <c r="G13" s="131"/>
      <c r="H13" s="65" t="s">
        <v>56</v>
      </c>
      <c r="I13" s="66" t="str">
        <f>'Necesidades Trimestrales'!F11</f>
        <v>AMPOLLA</v>
      </c>
      <c r="J13" s="67">
        <f>'Necesidades Trimestrales'!H11</f>
        <v>450</v>
      </c>
      <c r="K13" s="68">
        <f>'Necesidades Trimestrales'!G11</f>
        <v>150</v>
      </c>
    </row>
    <row r="14" spans="1:11" ht="20.25" customHeight="1" thickBot="1" x14ac:dyDescent="0.25">
      <c r="A14" s="8">
        <v>3</v>
      </c>
      <c r="B14" s="64">
        <f>'Necesidades Trimestrales'!B12</f>
        <v>0</v>
      </c>
      <c r="C14" s="131" t="str">
        <f>'Necesidades Trimestrales'!E12</f>
        <v>ACIDO ACETIL SALICILICO 100 MG COMPRIMIDO</v>
      </c>
      <c r="D14" s="131"/>
      <c r="E14" s="131"/>
      <c r="F14" s="131"/>
      <c r="G14" s="131"/>
      <c r="H14" s="65" t="s">
        <v>56</v>
      </c>
      <c r="I14" s="66" t="str">
        <f>'Necesidades Trimestrales'!F12</f>
        <v>COMPRIMIDO</v>
      </c>
      <c r="J14" s="67">
        <f>'Necesidades Trimestrales'!H12</f>
        <v>1.26</v>
      </c>
      <c r="K14" s="68">
        <f>'Necesidades Trimestrales'!G12</f>
        <v>3000</v>
      </c>
    </row>
    <row r="15" spans="1:11" ht="20.25" customHeight="1" thickBot="1" x14ac:dyDescent="0.25">
      <c r="A15" s="8">
        <v>4</v>
      </c>
      <c r="B15" s="64">
        <f>'Necesidades Trimestrales'!B13</f>
        <v>0</v>
      </c>
      <c r="C15" s="131" t="str">
        <f>'Necesidades Trimestrales'!E13</f>
        <v>ALLOPURINOL 300 MG COMPRIMIDO</v>
      </c>
      <c r="D15" s="131"/>
      <c r="E15" s="131"/>
      <c r="F15" s="131"/>
      <c r="G15" s="131"/>
      <c r="H15" s="65" t="s">
        <v>56</v>
      </c>
      <c r="I15" s="66" t="str">
        <f>'Necesidades Trimestrales'!F13</f>
        <v>COMPRIMIDO</v>
      </c>
      <c r="J15" s="67">
        <f>'Necesidades Trimestrales'!H13</f>
        <v>12.15</v>
      </c>
      <c r="K15" s="68">
        <f>'Necesidades Trimestrales'!G13</f>
        <v>100</v>
      </c>
    </row>
    <row r="16" spans="1:11" ht="20.25" customHeight="1" thickBot="1" x14ac:dyDescent="0.25">
      <c r="A16" s="8">
        <v>5</v>
      </c>
      <c r="B16" s="64">
        <f>'Necesidades Trimestrales'!B14</f>
        <v>0</v>
      </c>
      <c r="C16" s="131" t="str">
        <f>'Necesidades Trimestrales'!E14</f>
        <v>AMOXICILINA + CLAVULANICO 1 G COMPRIMIDO</v>
      </c>
      <c r="D16" s="131"/>
      <c r="E16" s="131"/>
      <c r="F16" s="131"/>
      <c r="G16" s="131"/>
      <c r="H16" s="65" t="s">
        <v>56</v>
      </c>
      <c r="I16" s="66" t="str">
        <f>'Necesidades Trimestrales'!F14</f>
        <v>COMPRIMIDO</v>
      </c>
      <c r="J16" s="67">
        <f>'Necesidades Trimestrales'!H14</f>
        <v>28</v>
      </c>
      <c r="K16" s="68">
        <f>'Necesidades Trimestrales'!G14</f>
        <v>900</v>
      </c>
    </row>
    <row r="17" spans="1:11" ht="20.25" customHeight="1" thickBot="1" x14ac:dyDescent="0.25">
      <c r="A17" s="8">
        <v>6</v>
      </c>
      <c r="B17" s="64">
        <f>'Necesidades Trimestrales'!B15</f>
        <v>0</v>
      </c>
      <c r="C17" s="131" t="str">
        <f>'Necesidades Trimestrales'!E15</f>
        <v>AMPICILINA 500 MG COMPRIMIDO</v>
      </c>
      <c r="D17" s="131"/>
      <c r="E17" s="131"/>
      <c r="F17" s="131"/>
      <c r="G17" s="131"/>
      <c r="H17" s="65" t="s">
        <v>56</v>
      </c>
      <c r="I17" s="66" t="str">
        <f>'Necesidades Trimestrales'!F15</f>
        <v>COMPRIMIDO</v>
      </c>
      <c r="J17" s="67">
        <f>'Necesidades Trimestrales'!H15</f>
        <v>6.9</v>
      </c>
      <c r="K17" s="68">
        <f>'Necesidades Trimestrales'!G15</f>
        <v>200</v>
      </c>
    </row>
    <row r="18" spans="1:11" ht="20.25" customHeight="1" thickBot="1" x14ac:dyDescent="0.25">
      <c r="A18" s="8">
        <v>7</v>
      </c>
      <c r="B18" s="64">
        <f>'Necesidades Trimestrales'!B16</f>
        <v>0</v>
      </c>
      <c r="C18" s="131" t="str">
        <f>'Necesidades Trimestrales'!E16</f>
        <v>BARIO SULFATO TIPO EZ-CAT  SUSPENSION ORAL X 225 ML</v>
      </c>
      <c r="D18" s="131"/>
      <c r="E18" s="131"/>
      <c r="F18" s="131"/>
      <c r="G18" s="131"/>
      <c r="H18" s="65" t="s">
        <v>56</v>
      </c>
      <c r="I18" s="66" t="str">
        <f>'Necesidades Trimestrales'!F16</f>
        <v>FRASCO</v>
      </c>
      <c r="J18" s="67">
        <f>'Necesidades Trimestrales'!H16</f>
        <v>1680</v>
      </c>
      <c r="K18" s="68">
        <f>'Necesidades Trimestrales'!G16</f>
        <v>3</v>
      </c>
    </row>
    <row r="19" spans="1:11" ht="20.25" customHeight="1" thickBot="1" x14ac:dyDescent="0.25">
      <c r="A19" s="8">
        <v>8</v>
      </c>
      <c r="B19" s="64">
        <f>'Necesidades Trimestrales'!B17</f>
        <v>0</v>
      </c>
      <c r="C19" s="131" t="str">
        <f>'Necesidades Trimestrales'!E17</f>
        <v>BARIO SULFATO TIPO GASTROPAQUE F SUSPENSION ORAL X 300 ML</v>
      </c>
      <c r="D19" s="131"/>
      <c r="E19" s="131"/>
      <c r="F19" s="131"/>
      <c r="G19" s="131"/>
      <c r="H19" s="65" t="s">
        <v>56</v>
      </c>
      <c r="I19" s="66" t="str">
        <f>'Necesidades Trimestrales'!F17</f>
        <v>FRASCO</v>
      </c>
      <c r="J19" s="67">
        <f>'Necesidades Trimestrales'!H17</f>
        <v>2350</v>
      </c>
      <c r="K19" s="68">
        <f>'Necesidades Trimestrales'!G17</f>
        <v>5</v>
      </c>
    </row>
    <row r="20" spans="1:11" ht="20.25" customHeight="1" thickBot="1" x14ac:dyDescent="0.25">
      <c r="A20" s="8">
        <v>9</v>
      </c>
      <c r="B20" s="64">
        <f>'Necesidades Trimestrales'!B18</f>
        <v>0</v>
      </c>
      <c r="C20" s="131" t="str">
        <f>'Necesidades Trimestrales'!E18</f>
        <v>BUPIVACAINA  0,5% C/EPINEFRINA FRASCO X 20 ML</v>
      </c>
      <c r="D20" s="131"/>
      <c r="E20" s="131"/>
      <c r="F20" s="131"/>
      <c r="G20" s="131"/>
      <c r="H20" s="65" t="s">
        <v>56</v>
      </c>
      <c r="I20" s="66" t="str">
        <f>'Necesidades Trimestrales'!F18</f>
        <v>FRASCO</v>
      </c>
      <c r="J20" s="67">
        <f>'Necesidades Trimestrales'!H18</f>
        <v>380</v>
      </c>
      <c r="K20" s="68">
        <f>'Necesidades Trimestrales'!G18</f>
        <v>50</v>
      </c>
    </row>
    <row r="21" spans="1:11" ht="20.25" customHeight="1" thickBot="1" x14ac:dyDescent="0.25">
      <c r="A21" s="8">
        <v>10</v>
      </c>
      <c r="B21" s="64">
        <f>'Necesidades Trimestrales'!B19</f>
        <v>0</v>
      </c>
      <c r="C21" s="131" t="str">
        <f>'Necesidades Trimestrales'!E19</f>
        <v>BUPIVACAINA  0,5% S/EPINEFRINA  FRASCO X 20 ML</v>
      </c>
      <c r="D21" s="131"/>
      <c r="E21" s="131"/>
      <c r="F21" s="131"/>
      <c r="G21" s="131"/>
      <c r="H21" s="65" t="s">
        <v>56</v>
      </c>
      <c r="I21" s="66" t="str">
        <f>'Necesidades Trimestrales'!F19</f>
        <v>FRASCO</v>
      </c>
      <c r="J21" s="67">
        <f>'Necesidades Trimestrales'!H19</f>
        <v>410</v>
      </c>
      <c r="K21" s="68">
        <f>'Necesidades Trimestrales'!G19</f>
        <v>20</v>
      </c>
    </row>
    <row r="22" spans="1:11" ht="20.25" customHeight="1" thickBot="1" x14ac:dyDescent="0.25">
      <c r="A22" s="8">
        <v>11</v>
      </c>
      <c r="B22" s="64">
        <f>'Necesidades Trimestrales'!B20</f>
        <v>0</v>
      </c>
      <c r="C22" s="131" t="str">
        <f>'Necesidades Trimestrales'!E20</f>
        <v xml:space="preserve">BUPIVACAINA 5 MG / ML  HIBERBARICA  AMPOLLA DE 4 ML CON AGUJA 27 G X 3 1/2 CON INTRODUCTOR </v>
      </c>
      <c r="D22" s="131"/>
      <c r="E22" s="131"/>
      <c r="F22" s="131"/>
      <c r="G22" s="131"/>
      <c r="H22" s="65" t="s">
        <v>56</v>
      </c>
      <c r="I22" s="66" t="str">
        <f>'Necesidades Trimestrales'!F20</f>
        <v>AMPOLLA</v>
      </c>
      <c r="J22" s="67">
        <f>'Necesidades Trimestrales'!H20</f>
        <v>1120</v>
      </c>
      <c r="K22" s="68">
        <f>'Necesidades Trimestrales'!G20</f>
        <v>50</v>
      </c>
    </row>
    <row r="23" spans="1:11" ht="20.25" customHeight="1" thickBot="1" x14ac:dyDescent="0.25">
      <c r="A23" s="8">
        <v>12</v>
      </c>
      <c r="B23" s="64">
        <f>'Necesidades Trimestrales'!B21</f>
        <v>0</v>
      </c>
      <c r="C23" s="131" t="str">
        <f>'Necesidades Trimestrales'!E21</f>
        <v>CEFALEXINA 500 MG COMPRIMIDOS</v>
      </c>
      <c r="D23" s="131"/>
      <c r="E23" s="131"/>
      <c r="F23" s="131"/>
      <c r="G23" s="131"/>
      <c r="H23" s="65" t="s">
        <v>56</v>
      </c>
      <c r="I23" s="66" t="str">
        <f>'Necesidades Trimestrales'!F21</f>
        <v>COMPRIMIDO</v>
      </c>
      <c r="J23" s="67">
        <f>'Necesidades Trimestrales'!H21</f>
        <v>13.5</v>
      </c>
      <c r="K23" s="68">
        <f>'Necesidades Trimestrales'!G21</f>
        <v>1000</v>
      </c>
    </row>
    <row r="24" spans="1:11" ht="20.25" customHeight="1" thickBot="1" x14ac:dyDescent="0.25">
      <c r="A24" s="8">
        <v>13</v>
      </c>
      <c r="B24" s="64">
        <f>'Necesidades Trimestrales'!B22</f>
        <v>0</v>
      </c>
      <c r="C24" s="131" t="str">
        <f>'Necesidades Trimestrales'!E22</f>
        <v>CEFALOTINA 1 GR. AMP.</v>
      </c>
      <c r="D24" s="131"/>
      <c r="E24" s="131"/>
      <c r="F24" s="131"/>
      <c r="G24" s="131"/>
      <c r="H24" s="65" t="s">
        <v>56</v>
      </c>
      <c r="I24" s="66" t="str">
        <f>'Necesidades Trimestrales'!F22</f>
        <v>AMPOLLA</v>
      </c>
      <c r="J24" s="67">
        <f>'Necesidades Trimestrales'!H22</f>
        <v>145</v>
      </c>
      <c r="K24" s="68">
        <f>'Necesidades Trimestrales'!G22</f>
        <v>4000</v>
      </c>
    </row>
    <row r="25" spans="1:11" ht="20.25" customHeight="1" thickBot="1" x14ac:dyDescent="0.25">
      <c r="A25" s="8">
        <v>14</v>
      </c>
      <c r="B25" s="64">
        <f>'Necesidades Trimestrales'!B23</f>
        <v>0</v>
      </c>
      <c r="C25" s="131" t="str">
        <f>'Necesidades Trimestrales'!E23</f>
        <v>CEFTAZIDIMA 1G FCO AMPOLLA</v>
      </c>
      <c r="D25" s="131"/>
      <c r="E25" s="131"/>
      <c r="F25" s="131"/>
      <c r="G25" s="131"/>
      <c r="H25" s="65" t="s">
        <v>56</v>
      </c>
      <c r="I25" s="66" t="str">
        <f>'Necesidades Trimestrales'!F23</f>
        <v>AMPOLLA</v>
      </c>
      <c r="J25" s="67">
        <f>'Necesidades Trimestrales'!H23</f>
        <v>178</v>
      </c>
      <c r="K25" s="68">
        <f>'Necesidades Trimestrales'!G23</f>
        <v>2000</v>
      </c>
    </row>
    <row r="26" spans="1:11" ht="20.25" customHeight="1" thickBot="1" x14ac:dyDescent="0.25">
      <c r="A26" s="8">
        <v>15</v>
      </c>
      <c r="B26" s="64">
        <f>'Necesidades Trimestrales'!B24</f>
        <v>0</v>
      </c>
      <c r="C26" s="131" t="str">
        <f>'Necesidades Trimestrales'!E24</f>
        <v>CIPROFLOXACINA 200 MG AMPOLLA</v>
      </c>
      <c r="D26" s="131"/>
      <c r="E26" s="131"/>
      <c r="F26" s="131"/>
      <c r="G26" s="131"/>
      <c r="H26" s="65" t="s">
        <v>56</v>
      </c>
      <c r="I26" s="66" t="str">
        <f>'Necesidades Trimestrales'!F24</f>
        <v>AMPOLLA</v>
      </c>
      <c r="J26" s="67">
        <f>'Necesidades Trimestrales'!H24</f>
        <v>115</v>
      </c>
      <c r="K26" s="68">
        <f>'Necesidades Trimestrales'!G24</f>
        <v>4500</v>
      </c>
    </row>
    <row r="27" spans="1:11" ht="20.25" customHeight="1" thickBot="1" x14ac:dyDescent="0.25">
      <c r="A27" s="8">
        <v>16</v>
      </c>
      <c r="B27" s="64">
        <f>'Necesidades Trimestrales'!B25</f>
        <v>0</v>
      </c>
      <c r="C27" s="131" t="str">
        <f>'Necesidades Trimestrales'!E25</f>
        <v>CIPROFLOXACINA 500 MG COMP</v>
      </c>
      <c r="D27" s="131"/>
      <c r="E27" s="131"/>
      <c r="F27" s="131"/>
      <c r="G27" s="131"/>
      <c r="H27" s="65" t="s">
        <v>56</v>
      </c>
      <c r="I27" s="66" t="str">
        <f>'Necesidades Trimestrales'!F25</f>
        <v>COMPRIMIDO</v>
      </c>
      <c r="J27" s="67">
        <f>'Necesidades Trimestrales'!H25</f>
        <v>11</v>
      </c>
      <c r="K27" s="68">
        <f>'Necesidades Trimestrales'!G25</f>
        <v>500</v>
      </c>
    </row>
    <row r="28" spans="1:11" ht="20.25" customHeight="1" thickBot="1" x14ac:dyDescent="0.25">
      <c r="A28" s="8">
        <v>17</v>
      </c>
      <c r="B28" s="64">
        <f>'Necesidades Trimestrales'!B26</f>
        <v>0</v>
      </c>
      <c r="C28" s="131" t="str">
        <f>'Necesidades Trimestrales'!E26</f>
        <v>CLARITROMICINA 500 MG COMPRIMIDO</v>
      </c>
      <c r="D28" s="131"/>
      <c r="E28" s="131"/>
      <c r="F28" s="131"/>
      <c r="G28" s="131"/>
      <c r="H28" s="65" t="s">
        <v>56</v>
      </c>
      <c r="I28" s="66" t="str">
        <f>'Necesidades Trimestrales'!F26</f>
        <v>COMPRIMIDO</v>
      </c>
      <c r="J28" s="67">
        <f>'Necesidades Trimestrales'!H26</f>
        <v>42</v>
      </c>
      <c r="K28" s="68">
        <f>'Necesidades Trimestrales'!G26</f>
        <v>2000</v>
      </c>
    </row>
    <row r="29" spans="1:11" ht="20.25" customHeight="1" thickBot="1" x14ac:dyDescent="0.25">
      <c r="A29" s="8">
        <v>18</v>
      </c>
      <c r="B29" s="64">
        <f>'Necesidades Trimestrales'!B27</f>
        <v>0</v>
      </c>
      <c r="C29" s="131" t="str">
        <f>'Necesidades Trimestrales'!E27</f>
        <v>COLISTINA 100 MG FCO AMPOLLA</v>
      </c>
      <c r="D29" s="131"/>
      <c r="E29" s="131"/>
      <c r="F29" s="131"/>
      <c r="G29" s="131"/>
      <c r="H29" s="65" t="s">
        <v>56</v>
      </c>
      <c r="I29" s="66" t="str">
        <f>'Necesidades Trimestrales'!F27</f>
        <v>AMPOLLA</v>
      </c>
      <c r="J29" s="67">
        <f>'Necesidades Trimestrales'!H27</f>
        <v>451</v>
      </c>
      <c r="K29" s="68">
        <f>'Necesidades Trimestrales'!G27</f>
        <v>300</v>
      </c>
    </row>
    <row r="30" spans="1:11" ht="39.75" customHeight="1" thickBot="1" x14ac:dyDescent="0.25">
      <c r="A30" s="8">
        <v>19</v>
      </c>
      <c r="B30" s="64">
        <f>'Necesidades Trimestrales'!B28</f>
        <v>0</v>
      </c>
      <c r="C30" s="131" t="str">
        <f>'Necesidades Trimestrales'!E28</f>
        <v>CONTRASTE NO IONICO X 300 MG X 50 ML (TIPO IOPROMIDA, IOBITRIDOL, IODIXANOL, IOHEXOL, IOVERSOL)</v>
      </c>
      <c r="D30" s="131"/>
      <c r="E30" s="131"/>
      <c r="F30" s="131"/>
      <c r="G30" s="131"/>
      <c r="H30" s="65" t="s">
        <v>56</v>
      </c>
      <c r="I30" s="66" t="str">
        <f>'Necesidades Trimestrales'!F28</f>
        <v>FRASCO</v>
      </c>
      <c r="J30" s="67">
        <f>'Necesidades Trimestrales'!H28</f>
        <v>1650</v>
      </c>
      <c r="K30" s="68">
        <f>'Necesidades Trimestrales'!G28</f>
        <v>1500</v>
      </c>
    </row>
    <row r="31" spans="1:11" ht="20.25" customHeight="1" thickBot="1" x14ac:dyDescent="0.25">
      <c r="A31" s="8">
        <v>20</v>
      </c>
      <c r="B31" s="64">
        <f>'Necesidades Trimestrales'!B29</f>
        <v>0</v>
      </c>
      <c r="C31" s="131" t="str">
        <f>'Necesidades Trimestrales'!E29</f>
        <v>DEXMEDETOMIDINA 200MG x 2 ml AMPOLLA</v>
      </c>
      <c r="D31" s="131"/>
      <c r="E31" s="131"/>
      <c r="F31" s="131"/>
      <c r="G31" s="131"/>
      <c r="H31" s="65" t="s">
        <v>56</v>
      </c>
      <c r="I31" s="66" t="str">
        <f>'Necesidades Trimestrales'!F29</f>
        <v>AMPOLLA</v>
      </c>
      <c r="J31" s="67">
        <f>'Necesidades Trimestrales'!H29</f>
        <v>690</v>
      </c>
      <c r="K31" s="68">
        <f>'Necesidades Trimestrales'!G29</f>
        <v>300</v>
      </c>
    </row>
    <row r="32" spans="1:11" ht="45" customHeight="1" thickBot="1" x14ac:dyDescent="0.25">
      <c r="A32" s="8">
        <v>21</v>
      </c>
      <c r="B32" s="64">
        <f>'Necesidades Trimestrales'!B30</f>
        <v>0</v>
      </c>
      <c r="C32" s="131" t="str">
        <f>'Necesidades Trimestrales'!E30</f>
        <v>DIATRIZOATO DE SODIO 25 GR  X 50 ML ( TIPO TRIYOSOM 50)</v>
      </c>
      <c r="D32" s="131"/>
      <c r="E32" s="131"/>
      <c r="F32" s="131"/>
      <c r="G32" s="131"/>
      <c r="H32" s="65" t="s">
        <v>56</v>
      </c>
      <c r="I32" s="66" t="str">
        <f>'Necesidades Trimestrales'!F30</f>
        <v>FRASCO AMPOLLA</v>
      </c>
      <c r="J32" s="67">
        <f>'Necesidades Trimestrales'!H30</f>
        <v>2358</v>
      </c>
      <c r="K32" s="68">
        <f>'Necesidades Trimestrales'!G30</f>
        <v>150</v>
      </c>
    </row>
    <row r="33" spans="1:11" ht="36" customHeight="1" thickBot="1" x14ac:dyDescent="0.25">
      <c r="A33" s="8">
        <v>22</v>
      </c>
      <c r="B33" s="64">
        <f>'Necesidades Trimestrales'!B31</f>
        <v>0</v>
      </c>
      <c r="C33" s="131" t="str">
        <f>'Necesidades Trimestrales'!E31</f>
        <v>DIATRIZOATO DE MEGLUMINA + DIATRIZOATO DE SODIO (TIPO TRIYOSOM GI, TEMISTAC) X 120 ML SOLUCION ORAL Y RECTAL</v>
      </c>
      <c r="D33" s="131"/>
      <c r="E33" s="131"/>
      <c r="F33" s="131"/>
      <c r="G33" s="131"/>
      <c r="H33" s="65" t="s">
        <v>56</v>
      </c>
      <c r="I33" s="66" t="str">
        <f>'Necesidades Trimestrales'!F31</f>
        <v>AMPOLLA</v>
      </c>
      <c r="J33" s="67">
        <f>'Necesidades Trimestrales'!H31</f>
        <v>2890</v>
      </c>
      <c r="K33" s="68">
        <f>'Necesidades Trimestrales'!G31</f>
        <v>90</v>
      </c>
    </row>
    <row r="34" spans="1:11" ht="20.25" customHeight="1" thickBot="1" x14ac:dyDescent="0.25">
      <c r="A34" s="8">
        <v>23</v>
      </c>
      <c r="B34" s="64">
        <f>'Necesidades Trimestrales'!B32</f>
        <v>0</v>
      </c>
      <c r="C34" s="131" t="str">
        <f>'Necesidades Trimestrales'!E32</f>
        <v>DICLOFENAC 75 MG COMPRIMIDOS</v>
      </c>
      <c r="D34" s="131"/>
      <c r="E34" s="131"/>
      <c r="F34" s="131"/>
      <c r="G34" s="131"/>
      <c r="H34" s="65" t="s">
        <v>56</v>
      </c>
      <c r="I34" s="66" t="str">
        <f>'Necesidades Trimestrales'!F32</f>
        <v>COMPRIMIDO</v>
      </c>
      <c r="J34" s="67">
        <f>'Necesidades Trimestrales'!H32</f>
        <v>2.5499999999999998</v>
      </c>
      <c r="K34" s="68">
        <f>'Necesidades Trimestrales'!G32</f>
        <v>750</v>
      </c>
    </row>
    <row r="35" spans="1:11" ht="20.25" customHeight="1" thickBot="1" x14ac:dyDescent="0.25">
      <c r="A35" s="8">
        <v>24</v>
      </c>
      <c r="B35" s="64">
        <f>'Necesidades Trimestrales'!B33</f>
        <v>0</v>
      </c>
      <c r="C35" s="131" t="str">
        <f>'Necesidades Trimestrales'!E33</f>
        <v xml:space="preserve">DICLOFENAC 75 MG. AMPOLLA </v>
      </c>
      <c r="D35" s="131"/>
      <c r="E35" s="131"/>
      <c r="F35" s="131"/>
      <c r="G35" s="131"/>
      <c r="H35" s="65" t="s">
        <v>56</v>
      </c>
      <c r="I35" s="66" t="str">
        <f>'Necesidades Trimestrales'!F33</f>
        <v>AMPOLLA</v>
      </c>
      <c r="J35" s="67">
        <f>'Necesidades Trimestrales'!H33</f>
        <v>45</v>
      </c>
      <c r="K35" s="68">
        <f>'Necesidades Trimestrales'!G33</f>
        <v>24000</v>
      </c>
    </row>
    <row r="36" spans="1:11" ht="20.25" customHeight="1" thickBot="1" x14ac:dyDescent="0.25">
      <c r="A36" s="8">
        <v>25</v>
      </c>
      <c r="B36" s="64">
        <f>'Necesidades Trimestrales'!B34</f>
        <v>0</v>
      </c>
      <c r="C36" s="131" t="str">
        <f>'Necesidades Trimestrales'!E34</f>
        <v>DIPIRONA 1GR AMPOLLA</v>
      </c>
      <c r="D36" s="131"/>
      <c r="E36" s="131"/>
      <c r="F36" s="131"/>
      <c r="G36" s="131"/>
      <c r="H36" s="65" t="s">
        <v>56</v>
      </c>
      <c r="I36" s="66" t="str">
        <f>'Necesidades Trimestrales'!F34</f>
        <v>AMPOLLA</v>
      </c>
      <c r="J36" s="67">
        <f>'Necesidades Trimestrales'!H34</f>
        <v>45</v>
      </c>
      <c r="K36" s="68">
        <f>'Necesidades Trimestrales'!G34</f>
        <v>2000</v>
      </c>
    </row>
    <row r="37" spans="1:11" ht="20.25" customHeight="1" thickBot="1" x14ac:dyDescent="0.25">
      <c r="A37" s="8">
        <v>26</v>
      </c>
      <c r="B37" s="64">
        <f>'Necesidades Trimestrales'!B35</f>
        <v>0</v>
      </c>
      <c r="C37" s="131" t="str">
        <f>'Necesidades Trimestrales'!E35</f>
        <v>FLUCONAZOL 100 MG COMPRIMIDOS</v>
      </c>
      <c r="D37" s="131"/>
      <c r="E37" s="131"/>
      <c r="F37" s="131"/>
      <c r="G37" s="131"/>
      <c r="H37" s="65" t="s">
        <v>56</v>
      </c>
      <c r="I37" s="66" t="str">
        <f>'Necesidades Trimestrales'!F35</f>
        <v>COMPRIMIDO</v>
      </c>
      <c r="J37" s="67">
        <f>'Necesidades Trimestrales'!H35</f>
        <v>52</v>
      </c>
      <c r="K37" s="68">
        <f>'Necesidades Trimestrales'!G35</f>
        <v>300</v>
      </c>
    </row>
    <row r="38" spans="1:11" ht="20.25" customHeight="1" thickBot="1" x14ac:dyDescent="0.25">
      <c r="A38" s="8">
        <v>27</v>
      </c>
      <c r="B38" s="64">
        <f>'Necesidades Trimestrales'!B36</f>
        <v>0</v>
      </c>
      <c r="C38" s="131" t="str">
        <f>'Necesidades Trimestrales'!E36</f>
        <v>FLUCONAZOL 200 MG SACHET 100 ML</v>
      </c>
      <c r="D38" s="131"/>
      <c r="E38" s="131"/>
      <c r="F38" s="131"/>
      <c r="G38" s="131"/>
      <c r="H38" s="65" t="s">
        <v>56</v>
      </c>
      <c r="I38" s="66" t="str">
        <f>'Necesidades Trimestrales'!F36</f>
        <v>ENVASE</v>
      </c>
      <c r="J38" s="67">
        <f>'Necesidades Trimestrales'!H36</f>
        <v>750</v>
      </c>
      <c r="K38" s="68">
        <f>'Necesidades Trimestrales'!G36</f>
        <v>600</v>
      </c>
    </row>
    <row r="39" spans="1:11" ht="20.25" customHeight="1" thickBot="1" x14ac:dyDescent="0.25">
      <c r="A39" s="8">
        <v>28</v>
      </c>
      <c r="B39" s="64">
        <f>'Necesidades Trimestrales'!B37</f>
        <v>0</v>
      </c>
      <c r="C39" s="131" t="str">
        <f>'Necesidades Trimestrales'!E37</f>
        <v xml:space="preserve">GAMMAGLOBULINA + TOXOIDE 500 MG </v>
      </c>
      <c r="D39" s="131"/>
      <c r="E39" s="131"/>
      <c r="F39" s="131"/>
      <c r="G39" s="131"/>
      <c r="H39" s="65" t="s">
        <v>56</v>
      </c>
      <c r="I39" s="66" t="str">
        <f>'Necesidades Trimestrales'!F37</f>
        <v>AMPOLLA</v>
      </c>
      <c r="J39" s="67">
        <f>'Necesidades Trimestrales'!H37</f>
        <v>7680</v>
      </c>
      <c r="K39" s="68">
        <f>'Necesidades Trimestrales'!G37</f>
        <v>150</v>
      </c>
    </row>
    <row r="40" spans="1:11" ht="20.25" customHeight="1" thickBot="1" x14ac:dyDescent="0.25">
      <c r="A40" s="8">
        <v>29</v>
      </c>
      <c r="B40" s="64">
        <f>'Necesidades Trimestrales'!B38</f>
        <v>0</v>
      </c>
      <c r="C40" s="131" t="str">
        <f>'Necesidades Trimestrales'!E38</f>
        <v>GENTAMICINA 80 MG AMPOLLA</v>
      </c>
      <c r="D40" s="131"/>
      <c r="E40" s="131"/>
      <c r="F40" s="131"/>
      <c r="G40" s="131"/>
      <c r="H40" s="65" t="s">
        <v>56</v>
      </c>
      <c r="I40" s="66" t="str">
        <f>'Necesidades Trimestrales'!F38</f>
        <v>AMPOLLA</v>
      </c>
      <c r="J40" s="67">
        <f>'Necesidades Trimestrales'!H38</f>
        <v>45</v>
      </c>
      <c r="K40" s="68">
        <f>'Necesidades Trimestrales'!G38</f>
        <v>800</v>
      </c>
    </row>
    <row r="41" spans="1:11" ht="20.25" customHeight="1" thickBot="1" x14ac:dyDescent="0.25">
      <c r="A41" s="8">
        <v>30</v>
      </c>
      <c r="B41" s="64">
        <f>'Necesidades Trimestrales'!B39</f>
        <v>0</v>
      </c>
      <c r="C41" s="131" t="str">
        <f>'Necesidades Trimestrales'!E39</f>
        <v>KETAMINA 50MG/ML FCO AMPOLLA</v>
      </c>
      <c r="D41" s="131"/>
      <c r="E41" s="131"/>
      <c r="F41" s="131"/>
      <c r="G41" s="131"/>
      <c r="H41" s="65" t="s">
        <v>56</v>
      </c>
      <c r="I41" s="66" t="str">
        <f>'Necesidades Trimestrales'!F39</f>
        <v>AMPOLLA</v>
      </c>
      <c r="J41" s="67">
        <f>'Necesidades Trimestrales'!H39</f>
        <v>1950</v>
      </c>
      <c r="K41" s="68">
        <f>'Necesidades Trimestrales'!G39</f>
        <v>300</v>
      </c>
    </row>
    <row r="42" spans="1:11" ht="20.25" customHeight="1" thickBot="1" x14ac:dyDescent="0.25">
      <c r="A42" s="8">
        <v>31</v>
      </c>
      <c r="B42" s="64">
        <f>'Necesidades Trimestrales'!B40</f>
        <v>0</v>
      </c>
      <c r="C42" s="131" t="str">
        <f>'Necesidades Trimestrales'!E40</f>
        <v>KETOROLAC 30 MG AMPOLLA</v>
      </c>
      <c r="D42" s="131"/>
      <c r="E42" s="131"/>
      <c r="F42" s="131"/>
      <c r="G42" s="131"/>
      <c r="H42" s="65" t="s">
        <v>56</v>
      </c>
      <c r="I42" s="66" t="str">
        <f>'Necesidades Trimestrales'!F40</f>
        <v>AMPOLLA</v>
      </c>
      <c r="J42" s="67">
        <f>'Necesidades Trimestrales'!H40</f>
        <v>55</v>
      </c>
      <c r="K42" s="68">
        <f>'Necesidades Trimestrales'!G40</f>
        <v>21000</v>
      </c>
    </row>
    <row r="43" spans="1:11" ht="20.25" customHeight="1" thickBot="1" x14ac:dyDescent="0.25">
      <c r="A43" s="8">
        <v>32</v>
      </c>
      <c r="B43" s="64">
        <f>'Necesidades Trimestrales'!B41</f>
        <v>0</v>
      </c>
      <c r="C43" s="131" t="str">
        <f>'Necesidades Trimestrales'!E41</f>
        <v>LIDOCAINA  2% SIN EPINEFRINA FCO X 5ML</v>
      </c>
      <c r="D43" s="131"/>
      <c r="E43" s="131"/>
      <c r="F43" s="131"/>
      <c r="G43" s="131"/>
      <c r="H43" s="65" t="s">
        <v>56</v>
      </c>
      <c r="I43" s="66" t="str">
        <f>'Necesidades Trimestrales'!F41</f>
        <v>AMPOLLA</v>
      </c>
      <c r="J43" s="67">
        <f>'Necesidades Trimestrales'!H41</f>
        <v>35</v>
      </c>
      <c r="K43" s="68">
        <f>'Necesidades Trimestrales'!G41</f>
        <v>2000</v>
      </c>
    </row>
    <row r="44" spans="1:11" ht="20.25" customHeight="1" thickBot="1" x14ac:dyDescent="0.25">
      <c r="A44" s="8">
        <v>33</v>
      </c>
      <c r="B44" s="64">
        <f>'Necesidades Trimestrales'!B42</f>
        <v>0</v>
      </c>
      <c r="C44" s="131" t="str">
        <f>'Necesidades Trimestrales'!E42</f>
        <v>LIDOCAINA 2%  SIN EPINEFRINA X 20 ML</v>
      </c>
      <c r="D44" s="131"/>
      <c r="E44" s="131"/>
      <c r="F44" s="131"/>
      <c r="G44" s="131"/>
      <c r="H44" s="65" t="s">
        <v>56</v>
      </c>
      <c r="I44" s="66" t="str">
        <f>'Necesidades Trimestrales'!F42</f>
        <v>AMPOLLA</v>
      </c>
      <c r="J44" s="67">
        <f>'Necesidades Trimestrales'!H42</f>
        <v>290</v>
      </c>
      <c r="K44" s="68">
        <f>'Necesidades Trimestrales'!G42</f>
        <v>50</v>
      </c>
    </row>
    <row r="45" spans="1:11" ht="20.25" customHeight="1" thickBot="1" x14ac:dyDescent="0.25">
      <c r="A45" s="8">
        <v>34</v>
      </c>
      <c r="B45" s="64">
        <f>'Necesidades Trimestrales'!B43</f>
        <v>0</v>
      </c>
      <c r="C45" s="131" t="str">
        <f>'Necesidades Trimestrales'!E43</f>
        <v>LIDOCAINA 2% CON EPINEFRINA X 20 ML</v>
      </c>
      <c r="D45" s="131"/>
      <c r="E45" s="131"/>
      <c r="F45" s="131"/>
      <c r="G45" s="131"/>
      <c r="H45" s="65" t="s">
        <v>56</v>
      </c>
      <c r="I45" s="66" t="str">
        <f>'Necesidades Trimestrales'!F43</f>
        <v>AMPOLLA</v>
      </c>
      <c r="J45" s="67">
        <f>'Necesidades Trimestrales'!H43</f>
        <v>340</v>
      </c>
      <c r="K45" s="68">
        <f>'Necesidades Trimestrales'!G43</f>
        <v>50</v>
      </c>
    </row>
    <row r="46" spans="1:11" ht="20.25" customHeight="1" thickBot="1" x14ac:dyDescent="0.25">
      <c r="A46" s="8">
        <v>35</v>
      </c>
      <c r="B46" s="64">
        <f>'Necesidades Trimestrales'!B44</f>
        <v>0</v>
      </c>
      <c r="C46" s="131" t="str">
        <f>'Necesidades Trimestrales'!E44</f>
        <v>LIDOCAINA JALEA</v>
      </c>
      <c r="D46" s="131"/>
      <c r="E46" s="131"/>
      <c r="F46" s="131"/>
      <c r="G46" s="131"/>
      <c r="H46" s="65" t="s">
        <v>56</v>
      </c>
      <c r="I46" s="66" t="str">
        <f>'Necesidades Trimestrales'!F44</f>
        <v>ENVASE</v>
      </c>
      <c r="J46" s="67">
        <f>'Necesidades Trimestrales'!H44</f>
        <v>120</v>
      </c>
      <c r="K46" s="68">
        <f>'Necesidades Trimestrales'!G44</f>
        <v>600</v>
      </c>
    </row>
    <row r="47" spans="1:11" ht="20.25" customHeight="1" thickBot="1" x14ac:dyDescent="0.25">
      <c r="A47" s="8">
        <v>36</v>
      </c>
      <c r="B47" s="64">
        <f>'Necesidades Trimestrales'!B45</f>
        <v>0</v>
      </c>
      <c r="C47" s="131" t="str">
        <f>'Necesidades Trimestrales'!E45</f>
        <v>LINEZOLI SOLUCION 2MG/ML X 300ML</v>
      </c>
      <c r="D47" s="131"/>
      <c r="E47" s="131"/>
      <c r="F47" s="131"/>
      <c r="G47" s="131"/>
      <c r="H47" s="65" t="s">
        <v>56</v>
      </c>
      <c r="I47" s="66" t="str">
        <f>'Necesidades Trimestrales'!F45</f>
        <v>FRASCO</v>
      </c>
      <c r="J47" s="67">
        <f>'Necesidades Trimestrales'!H45</f>
        <v>1703</v>
      </c>
      <c r="K47" s="68">
        <f>'Necesidades Trimestrales'!G45</f>
        <v>30</v>
      </c>
    </row>
    <row r="48" spans="1:11" ht="20.25" customHeight="1" thickBot="1" x14ac:dyDescent="0.25">
      <c r="A48" s="8">
        <v>37</v>
      </c>
      <c r="B48" s="64">
        <f>'Necesidades Trimestrales'!B46</f>
        <v>0</v>
      </c>
      <c r="C48" s="131" t="str">
        <f>'Necesidades Trimestrales'!E46</f>
        <v>MEROPENEM 1000MG FCO AMPOLLA</v>
      </c>
      <c r="D48" s="131"/>
      <c r="E48" s="131"/>
      <c r="F48" s="131"/>
      <c r="G48" s="131"/>
      <c r="H48" s="65" t="s">
        <v>56</v>
      </c>
      <c r="I48" s="66" t="str">
        <f>'Necesidades Trimestrales'!F46</f>
        <v>AMPOLLA</v>
      </c>
      <c r="J48" s="67">
        <f>'Necesidades Trimestrales'!H46</f>
        <v>590</v>
      </c>
      <c r="K48" s="68">
        <f>'Necesidades Trimestrales'!G46</f>
        <v>500</v>
      </c>
    </row>
    <row r="49" spans="1:11" ht="20.25" customHeight="1" thickBot="1" x14ac:dyDescent="0.25">
      <c r="A49" s="8">
        <v>38</v>
      </c>
      <c r="B49" s="64">
        <f>'Necesidades Trimestrales'!B47</f>
        <v>0</v>
      </c>
      <c r="C49" s="131" t="str">
        <f>'Necesidades Trimestrales'!E47</f>
        <v>METRONIDAZOL 500 MG SACHET</v>
      </c>
      <c r="D49" s="131"/>
      <c r="E49" s="131"/>
      <c r="F49" s="131"/>
      <c r="G49" s="131"/>
      <c r="H49" s="65" t="s">
        <v>56</v>
      </c>
      <c r="I49" s="66" t="str">
        <f>'Necesidades Trimestrales'!F47</f>
        <v>ENVASE</v>
      </c>
      <c r="J49" s="67">
        <f>'Necesidades Trimestrales'!H47</f>
        <v>110</v>
      </c>
      <c r="K49" s="68">
        <f>'Necesidades Trimestrales'!G47</f>
        <v>3000</v>
      </c>
    </row>
    <row r="50" spans="1:11" ht="20.25" customHeight="1" thickBot="1" x14ac:dyDescent="0.25">
      <c r="A50" s="8">
        <v>39</v>
      </c>
      <c r="B50" s="64">
        <f>'Necesidades Trimestrales'!B48</f>
        <v>0</v>
      </c>
      <c r="C50" s="131" t="str">
        <f>'Necesidades Trimestrales'!E48</f>
        <v>MINOCICLINA 100 MG COMPRIMIDO</v>
      </c>
      <c r="D50" s="131"/>
      <c r="E50" s="131"/>
      <c r="F50" s="131"/>
      <c r="G50" s="131"/>
      <c r="H50" s="65" t="s">
        <v>56</v>
      </c>
      <c r="I50" s="66" t="str">
        <f>'Necesidades Trimestrales'!F48</f>
        <v>COMPRIMIDO</v>
      </c>
      <c r="J50" s="67">
        <f>'Necesidades Trimestrales'!H48</f>
        <v>51</v>
      </c>
      <c r="K50" s="68">
        <f>'Necesidades Trimestrales'!G48</f>
        <v>300</v>
      </c>
    </row>
    <row r="51" spans="1:11" ht="20.25" customHeight="1" thickBot="1" x14ac:dyDescent="0.25">
      <c r="A51" s="8">
        <v>40</v>
      </c>
      <c r="B51" s="64">
        <f>'Necesidades Trimestrales'!B49</f>
        <v>0</v>
      </c>
      <c r="C51" s="131" t="str">
        <f>'Necesidades Trimestrales'!E49</f>
        <v>MORFINA 10 MG AMPOLLA</v>
      </c>
      <c r="D51" s="131"/>
      <c r="E51" s="131"/>
      <c r="F51" s="131"/>
      <c r="G51" s="131"/>
      <c r="H51" s="65" t="s">
        <v>56</v>
      </c>
      <c r="I51" s="66" t="str">
        <f>'Necesidades Trimestrales'!F49</f>
        <v>AMPOLLA</v>
      </c>
      <c r="J51" s="67">
        <f>'Necesidades Trimestrales'!H49</f>
        <v>210</v>
      </c>
      <c r="K51" s="68">
        <f>'Necesidades Trimestrales'!G49</f>
        <v>4800</v>
      </c>
    </row>
    <row r="52" spans="1:11" ht="20.25" customHeight="1" thickBot="1" x14ac:dyDescent="0.25">
      <c r="A52" s="8">
        <v>41</v>
      </c>
      <c r="B52" s="64">
        <f>'Necesidades Trimestrales'!B50</f>
        <v>0</v>
      </c>
      <c r="C52" s="131" t="str">
        <f>'Necesidades Trimestrales'!E50</f>
        <v>NALBUFINA 10 MG AMPOLLA</v>
      </c>
      <c r="D52" s="131"/>
      <c r="E52" s="131"/>
      <c r="F52" s="131"/>
      <c r="G52" s="131"/>
      <c r="H52" s="65" t="s">
        <v>56</v>
      </c>
      <c r="I52" s="66" t="str">
        <f>'Necesidades Trimestrales'!F50</f>
        <v>AMPOLLA</v>
      </c>
      <c r="J52" s="67">
        <f>'Necesidades Trimestrales'!H50</f>
        <v>120</v>
      </c>
      <c r="K52" s="68">
        <f>'Necesidades Trimestrales'!G50</f>
        <v>3000</v>
      </c>
    </row>
    <row r="53" spans="1:11" ht="20.25" customHeight="1" thickBot="1" x14ac:dyDescent="0.25">
      <c r="A53" s="8">
        <v>42</v>
      </c>
      <c r="B53" s="64">
        <f>'Necesidades Trimestrales'!B51</f>
        <v>0</v>
      </c>
      <c r="C53" s="131" t="str">
        <f>'Necesidades Trimestrales'!E51</f>
        <v>NAPROXENO 500MG COMPRIMIDO</v>
      </c>
      <c r="D53" s="131"/>
      <c r="E53" s="131"/>
      <c r="F53" s="131"/>
      <c r="G53" s="131"/>
      <c r="H53" s="65" t="s">
        <v>56</v>
      </c>
      <c r="I53" s="66" t="str">
        <f>'Necesidades Trimestrales'!F51</f>
        <v>COMPRIMIDO</v>
      </c>
      <c r="J53" s="67">
        <f>'Necesidades Trimestrales'!H51</f>
        <v>16.8</v>
      </c>
      <c r="K53" s="68">
        <f>'Necesidades Trimestrales'!G51</f>
        <v>500</v>
      </c>
    </row>
    <row r="54" spans="1:11" ht="20.25" customHeight="1" thickBot="1" x14ac:dyDescent="0.25">
      <c r="A54" s="8">
        <v>43</v>
      </c>
      <c r="B54" s="64">
        <f>'Necesidades Trimestrales'!B52</f>
        <v>0</v>
      </c>
      <c r="C54" s="131" t="str">
        <f>'Necesidades Trimestrales'!E52</f>
        <v>PANCURONIO 4 MG/ ML</v>
      </c>
      <c r="D54" s="131"/>
      <c r="E54" s="131"/>
      <c r="F54" s="131"/>
      <c r="G54" s="131"/>
      <c r="H54" s="65" t="s">
        <v>56</v>
      </c>
      <c r="I54" s="66" t="str">
        <f>'Necesidades Trimestrales'!F52</f>
        <v>AMPOLLA</v>
      </c>
      <c r="J54" s="67">
        <f>'Necesidades Trimestrales'!H52</f>
        <v>248</v>
      </c>
      <c r="K54" s="68">
        <f>'Necesidades Trimestrales'!G52</f>
        <v>500</v>
      </c>
    </row>
    <row r="55" spans="1:11" ht="20.25" customHeight="1" thickBot="1" x14ac:dyDescent="0.25">
      <c r="A55" s="8">
        <v>44</v>
      </c>
      <c r="B55" s="64">
        <f>'Necesidades Trimestrales'!B53</f>
        <v>0</v>
      </c>
      <c r="C55" s="131" t="str">
        <f>'Necesidades Trimestrales'!E53</f>
        <v>PARACETAMOL 1GR COMPRIMIDO</v>
      </c>
      <c r="D55" s="131"/>
      <c r="E55" s="131"/>
      <c r="F55" s="131"/>
      <c r="G55" s="131"/>
      <c r="H55" s="65" t="s">
        <v>56</v>
      </c>
      <c r="I55" s="66" t="str">
        <f>'Necesidades Trimestrales'!F53</f>
        <v>COMPRIMIDO</v>
      </c>
      <c r="J55" s="67">
        <f>'Necesidades Trimestrales'!H53</f>
        <v>9.8000000000000007</v>
      </c>
      <c r="K55" s="68">
        <f>'Necesidades Trimestrales'!G53</f>
        <v>10000</v>
      </c>
    </row>
    <row r="56" spans="1:11" ht="20.25" customHeight="1" thickBot="1" x14ac:dyDescent="0.25">
      <c r="A56" s="8">
        <v>45</v>
      </c>
      <c r="B56" s="64">
        <f>'Necesidades Trimestrales'!B54</f>
        <v>0</v>
      </c>
      <c r="C56" s="131" t="str">
        <f>'Necesidades Trimestrales'!E54</f>
        <v>PARACETAMOL 1GR ML FRASCO AMPOLLA</v>
      </c>
      <c r="D56" s="131"/>
      <c r="E56" s="131"/>
      <c r="F56" s="131"/>
      <c r="G56" s="131"/>
      <c r="H56" s="65" t="s">
        <v>56</v>
      </c>
      <c r="I56" s="66" t="str">
        <f>'Necesidades Trimestrales'!F54</f>
        <v>AMPOLLA</v>
      </c>
      <c r="J56" s="67">
        <f>'Necesidades Trimestrales'!H54</f>
        <v>980</v>
      </c>
      <c r="K56" s="68">
        <f>'Necesidades Trimestrales'!G54</f>
        <v>1200</v>
      </c>
    </row>
    <row r="57" spans="1:11" ht="20.25" customHeight="1" thickBot="1" x14ac:dyDescent="0.25">
      <c r="A57" s="8">
        <v>46</v>
      </c>
      <c r="B57" s="64">
        <f>'Necesidades Trimestrales'!B55</f>
        <v>0</v>
      </c>
      <c r="C57" s="131" t="str">
        <f>'Necesidades Trimestrales'!E55</f>
        <v>PARACETAMOL 500 MG COMPRIMIDO</v>
      </c>
      <c r="D57" s="131"/>
      <c r="E57" s="131"/>
      <c r="F57" s="131"/>
      <c r="G57" s="131"/>
      <c r="H57" s="65" t="s">
        <v>56</v>
      </c>
      <c r="I57" s="66" t="str">
        <f>'Necesidades Trimestrales'!F55</f>
        <v>COMPRIMIDO</v>
      </c>
      <c r="J57" s="67">
        <f>'Necesidades Trimestrales'!H55</f>
        <v>5.3</v>
      </c>
      <c r="K57" s="68">
        <f>'Necesidades Trimestrales'!G55</f>
        <v>5000</v>
      </c>
    </row>
    <row r="58" spans="1:11" ht="20.25" customHeight="1" thickBot="1" x14ac:dyDescent="0.25">
      <c r="A58" s="8">
        <v>47</v>
      </c>
      <c r="B58" s="64">
        <f>'Necesidades Trimestrales'!B56</f>
        <v>0</v>
      </c>
      <c r="C58" s="131" t="str">
        <f>'Necesidades Trimestrales'!E56</f>
        <v>PENICILINA G SODICA 3.000.000 UI FCO AMPOLLA</v>
      </c>
      <c r="D58" s="131"/>
      <c r="E58" s="131"/>
      <c r="F58" s="131"/>
      <c r="G58" s="131"/>
      <c r="H58" s="65" t="s">
        <v>56</v>
      </c>
      <c r="I58" s="66" t="str">
        <f>'Necesidades Trimestrales'!F56</f>
        <v>AMPOLLA</v>
      </c>
      <c r="J58" s="67">
        <f>'Necesidades Trimestrales'!H56</f>
        <v>156</v>
      </c>
      <c r="K58" s="68">
        <f>'Necesidades Trimestrales'!G56</f>
        <v>700</v>
      </c>
    </row>
    <row r="59" spans="1:11" ht="20.25" customHeight="1" thickBot="1" x14ac:dyDescent="0.25">
      <c r="A59" s="8">
        <v>48</v>
      </c>
      <c r="B59" s="64">
        <f>'Necesidades Trimestrales'!B57</f>
        <v>0</v>
      </c>
      <c r="C59" s="131" t="str">
        <f>'Necesidades Trimestrales'!E57</f>
        <v>PIPERACILINA 4 GRS + TAZOBACTAM 500 MG FCO AMPOLLA</v>
      </c>
      <c r="D59" s="131"/>
      <c r="E59" s="131"/>
      <c r="F59" s="131"/>
      <c r="G59" s="131"/>
      <c r="H59" s="65" t="s">
        <v>56</v>
      </c>
      <c r="I59" s="66" t="str">
        <f>'Necesidades Trimestrales'!F57</f>
        <v>AMPOLLA</v>
      </c>
      <c r="J59" s="67">
        <f>'Necesidades Trimestrales'!H57</f>
        <v>398</v>
      </c>
      <c r="K59" s="68">
        <f>'Necesidades Trimestrales'!G57</f>
        <v>1000</v>
      </c>
    </row>
    <row r="60" spans="1:11" ht="20.25" customHeight="1" thickBot="1" x14ac:dyDescent="0.25">
      <c r="A60" s="8">
        <v>49</v>
      </c>
      <c r="B60" s="64">
        <f>'Necesidades Trimestrales'!B58</f>
        <v>0</v>
      </c>
      <c r="C60" s="131" t="str">
        <f>'Necesidades Trimestrales'!E58</f>
        <v>PROPOFOL 1% AMPOLLAS X 20 ML</v>
      </c>
      <c r="D60" s="131"/>
      <c r="E60" s="131"/>
      <c r="F60" s="131"/>
      <c r="G60" s="131"/>
      <c r="H60" s="65" t="s">
        <v>56</v>
      </c>
      <c r="I60" s="66" t="str">
        <f>'Necesidades Trimestrales'!F58</f>
        <v>AMPOLLA</v>
      </c>
      <c r="J60" s="67">
        <f>'Necesidades Trimestrales'!H58</f>
        <v>630</v>
      </c>
      <c r="K60" s="68">
        <f>'Necesidades Trimestrales'!G58</f>
        <v>1200</v>
      </c>
    </row>
    <row r="61" spans="1:11" ht="20.25" customHeight="1" thickBot="1" x14ac:dyDescent="0.25">
      <c r="A61" s="8">
        <v>50</v>
      </c>
      <c r="B61" s="64">
        <f>'Necesidades Trimestrales'!B59</f>
        <v>0</v>
      </c>
      <c r="C61" s="131" t="str">
        <f>'Necesidades Trimestrales'!E59</f>
        <v>PROPOFOL 2% FCO AMPOLLAS VIAL X 50 ML</v>
      </c>
      <c r="D61" s="131"/>
      <c r="E61" s="131"/>
      <c r="F61" s="131"/>
      <c r="G61" s="131"/>
      <c r="H61" s="65" t="s">
        <v>56</v>
      </c>
      <c r="I61" s="66" t="str">
        <f>'Necesidades Trimestrales'!F59</f>
        <v>AMPOLLA</v>
      </c>
      <c r="J61" s="67">
        <f>'Necesidades Trimestrales'!H59</f>
        <v>1236.1400000000001</v>
      </c>
      <c r="K61" s="68">
        <f>'Necesidades Trimestrales'!G59</f>
        <v>900</v>
      </c>
    </row>
    <row r="62" spans="1:11" ht="20.25" customHeight="1" thickBot="1" x14ac:dyDescent="0.25">
      <c r="A62" s="8">
        <v>51</v>
      </c>
      <c r="B62" s="64">
        <f>'Necesidades Trimestrales'!B60</f>
        <v>0</v>
      </c>
      <c r="C62" s="131" t="str">
        <f>'Necesidades Trimestrales'!E60</f>
        <v>REMIFENTANILO 5 MG FCO AMPOLLA</v>
      </c>
      <c r="D62" s="131"/>
      <c r="E62" s="131"/>
      <c r="F62" s="131"/>
      <c r="G62" s="131"/>
      <c r="H62" s="65" t="s">
        <v>56</v>
      </c>
      <c r="I62" s="66" t="str">
        <f>'Necesidades Trimestrales'!F60</f>
        <v>AMPOLLA</v>
      </c>
      <c r="J62" s="67">
        <f>'Necesidades Trimestrales'!H60</f>
        <v>790</v>
      </c>
      <c r="K62" s="68">
        <f>'Necesidades Trimestrales'!G60</f>
        <v>3000</v>
      </c>
    </row>
    <row r="63" spans="1:11" ht="20.25" customHeight="1" thickBot="1" x14ac:dyDescent="0.25">
      <c r="A63" s="8">
        <v>52</v>
      </c>
      <c r="B63" s="64">
        <f>'Necesidades Trimestrales'!B61</f>
        <v>0</v>
      </c>
      <c r="C63" s="131" t="str">
        <f>'Necesidades Trimestrales'!E61</f>
        <v xml:space="preserve">RIFAMPICINA 300 MG CAPSULAS </v>
      </c>
      <c r="D63" s="131"/>
      <c r="E63" s="131"/>
      <c r="F63" s="131"/>
      <c r="G63" s="131"/>
      <c r="H63" s="65" t="s">
        <v>56</v>
      </c>
      <c r="I63" s="66" t="str">
        <f>'Necesidades Trimestrales'!F61</f>
        <v>CAPSULAS</v>
      </c>
      <c r="J63" s="67">
        <f>'Necesidades Trimestrales'!H61</f>
        <v>41.2</v>
      </c>
      <c r="K63" s="68">
        <f>'Necesidades Trimestrales'!G61</f>
        <v>30</v>
      </c>
    </row>
    <row r="64" spans="1:11" ht="20.25" customHeight="1" thickBot="1" x14ac:dyDescent="0.25">
      <c r="A64" s="8">
        <v>53</v>
      </c>
      <c r="B64" s="64">
        <f>'Necesidades Trimestrales'!B62</f>
        <v>0</v>
      </c>
      <c r="C64" s="131" t="str">
        <f>'Necesidades Trimestrales'!E62</f>
        <v>RIFAMPICINA 600 MG VIAL</v>
      </c>
      <c r="D64" s="131"/>
      <c r="E64" s="131"/>
      <c r="F64" s="131"/>
      <c r="G64" s="131"/>
      <c r="H64" s="65" t="s">
        <v>56</v>
      </c>
      <c r="I64" s="66" t="str">
        <f>'Necesidades Trimestrales'!F62</f>
        <v>AMPOLLA</v>
      </c>
      <c r="J64" s="67">
        <f>'Necesidades Trimestrales'!H62</f>
        <v>1682</v>
      </c>
      <c r="K64" s="68">
        <f>'Necesidades Trimestrales'!G62</f>
        <v>50</v>
      </c>
    </row>
    <row r="65" spans="1:1024" ht="20.25" customHeight="1" thickBot="1" x14ac:dyDescent="0.25">
      <c r="A65" s="8">
        <v>54</v>
      </c>
      <c r="B65" s="64">
        <f>'Necesidades Trimestrales'!B63</f>
        <v>0</v>
      </c>
      <c r="C65" s="131" t="str">
        <f>'Necesidades Trimestrales'!E63</f>
        <v xml:space="preserve">SEVOFLUORANO X 250 ML TIPO </v>
      </c>
      <c r="D65" s="131"/>
      <c r="E65" s="131"/>
      <c r="F65" s="131"/>
      <c r="G65" s="131"/>
      <c r="H65" s="65" t="s">
        <v>56</v>
      </c>
      <c r="I65" s="66" t="str">
        <f>'Necesidades Trimestrales'!F63</f>
        <v>FRASCO</v>
      </c>
      <c r="J65" s="67">
        <f>'Necesidades Trimestrales'!H63</f>
        <v>12580</v>
      </c>
      <c r="K65" s="68">
        <f>'Necesidades Trimestrales'!G63</f>
        <v>100</v>
      </c>
    </row>
    <row r="66" spans="1:1024" ht="20.25" customHeight="1" thickBot="1" x14ac:dyDescent="0.25">
      <c r="A66" s="8">
        <v>55</v>
      </c>
      <c r="B66" s="64">
        <f>'Necesidades Trimestrales'!B64</f>
        <v>0</v>
      </c>
      <c r="C66" s="131" t="str">
        <f>'Necesidades Trimestrales'!E64</f>
        <v>TIGECICLINA 50MG FCO AMPOLLA</v>
      </c>
      <c r="D66" s="131"/>
      <c r="E66" s="131"/>
      <c r="F66" s="131"/>
      <c r="G66" s="131"/>
      <c r="H66" s="65" t="s">
        <v>56</v>
      </c>
      <c r="I66" s="66" t="str">
        <f>'Necesidades Trimestrales'!F64</f>
        <v>AMPOLLA</v>
      </c>
      <c r="J66" s="67">
        <f>'Necesidades Trimestrales'!H64</f>
        <v>955</v>
      </c>
      <c r="K66" s="68">
        <f>'Necesidades Trimestrales'!G64</f>
        <v>200</v>
      </c>
    </row>
    <row r="67" spans="1:1024" ht="20.25" customHeight="1" thickBot="1" x14ac:dyDescent="0.25">
      <c r="A67" s="8">
        <v>56</v>
      </c>
      <c r="B67" s="64">
        <f>'Necesidades Trimestrales'!B65</f>
        <v>0</v>
      </c>
      <c r="C67" s="131" t="str">
        <f>'Necesidades Trimestrales'!E65</f>
        <v>VANCOMICINA 1000 MG FCO AMP</v>
      </c>
      <c r="D67" s="131"/>
      <c r="E67" s="131"/>
      <c r="F67" s="131"/>
      <c r="G67" s="131"/>
      <c r="H67" s="65" t="s">
        <v>56</v>
      </c>
      <c r="I67" s="66" t="str">
        <f>'Necesidades Trimestrales'!F65</f>
        <v>AMPOLLA</v>
      </c>
      <c r="J67" s="67">
        <f>'Necesidades Trimestrales'!H65</f>
        <v>290</v>
      </c>
      <c r="K67" s="68">
        <f>'Necesidades Trimestrales'!G65</f>
        <v>600</v>
      </c>
    </row>
    <row r="68" spans="1:1024" ht="20.25" customHeight="1" thickBot="1" x14ac:dyDescent="0.25">
      <c r="A68" s="8">
        <v>57</v>
      </c>
      <c r="B68" s="64">
        <f>'Necesidades Trimestrales'!B66</f>
        <v>0</v>
      </c>
      <c r="C68" s="131" t="str">
        <f>'Necesidades Trimestrales'!E66</f>
        <v>VECURONIO BROMURO 10 MG AMPOLLA</v>
      </c>
      <c r="D68" s="131"/>
      <c r="E68" s="131"/>
      <c r="F68" s="131"/>
      <c r="G68" s="131"/>
      <c r="H68" s="65" t="s">
        <v>56</v>
      </c>
      <c r="I68" s="66" t="str">
        <f>'Necesidades Trimestrales'!F66</f>
        <v>AMPOLLA</v>
      </c>
      <c r="J68" s="67">
        <f>'Necesidades Trimestrales'!H66</f>
        <v>988</v>
      </c>
      <c r="K68" s="68">
        <f>'Necesidades Trimestrales'!G66</f>
        <v>200</v>
      </c>
    </row>
    <row r="69" spans="1:1024" ht="27" customHeight="1" thickBot="1" x14ac:dyDescent="0.25">
      <c r="A69" s="132" t="s">
        <v>134</v>
      </c>
      <c r="B69" s="132"/>
      <c r="C69" s="132"/>
      <c r="D69" s="132"/>
      <c r="E69" s="132"/>
      <c r="F69" s="132"/>
      <c r="G69" s="132"/>
      <c r="H69" s="132"/>
      <c r="I69" s="132"/>
      <c r="J69" s="125">
        <f>SUMPRODUCT(J12:J68,K12:K68)</f>
        <v>20076029.5</v>
      </c>
      <c r="K69" s="125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</row>
  </sheetData>
  <mergeCells count="79">
    <mergeCell ref="C51:G51"/>
    <mergeCell ref="C52:G52"/>
    <mergeCell ref="C66:G66"/>
    <mergeCell ref="C67:G67"/>
    <mergeCell ref="C68:G68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53:G53"/>
    <mergeCell ref="C54:G54"/>
    <mergeCell ref="C55:G55"/>
    <mergeCell ref="C56:G56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13:G13"/>
    <mergeCell ref="C14:G14"/>
    <mergeCell ref="C15:G15"/>
    <mergeCell ref="C16:G16"/>
    <mergeCell ref="C35:G35"/>
    <mergeCell ref="C34:G34"/>
    <mergeCell ref="J69:K6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69:I69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3" zoomScale="130" zoomScaleNormal="130" workbookViewId="0">
      <selection activeCell="S25" sqref="S25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3" t="s">
        <v>3</v>
      </c>
      <c r="B1" s="133"/>
      <c r="C1" s="133"/>
      <c r="D1" s="134">
        <f>'Necesidades Trimestrales'!C6</f>
        <v>2022</v>
      </c>
      <c r="E1" s="134"/>
      <c r="F1" s="10"/>
      <c r="G1" s="10"/>
      <c r="H1" s="11"/>
      <c r="I1" s="11"/>
      <c r="J1" s="11"/>
      <c r="K1" s="11"/>
      <c r="L1" s="11"/>
      <c r="M1" s="11"/>
      <c r="N1" s="11"/>
      <c r="P1" s="135" t="s">
        <v>30</v>
      </c>
      <c r="Q1" s="13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5"/>
      <c r="Q2" s="135"/>
    </row>
    <row r="4" spans="1:17" s="12" customFormat="1" ht="18" customHeight="1" thickBot="1" x14ac:dyDescent="0.25">
      <c r="A4" s="136" t="s">
        <v>31</v>
      </c>
      <c r="B4" s="136"/>
      <c r="C4" s="136"/>
      <c r="D4" s="136"/>
      <c r="E4" s="136"/>
      <c r="F4" s="136"/>
      <c r="G4" s="137" t="str">
        <f>NotaPedido!D3</f>
        <v>40 - Ministerio de Salud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</row>
    <row r="5" spans="1:17" s="12" customFormat="1" ht="18" customHeight="1" thickBot="1" x14ac:dyDescent="0.25">
      <c r="A5" s="138" t="s">
        <v>54</v>
      </c>
      <c r="B5" s="139"/>
      <c r="C5" s="139"/>
      <c r="D5" s="139"/>
      <c r="E5" s="139"/>
      <c r="F5" s="140"/>
      <c r="G5" s="137" t="str">
        <f>NotaPedido!D4</f>
        <v>23 - Hospital Interzonal San Juan Bautista</v>
      </c>
      <c r="H5" s="137"/>
      <c r="I5" s="137"/>
      <c r="J5" s="137"/>
      <c r="K5" s="137"/>
      <c r="L5" s="137"/>
      <c r="M5" s="137"/>
      <c r="N5" s="137"/>
      <c r="O5" s="137"/>
      <c r="P5" s="137"/>
      <c r="Q5" s="137"/>
    </row>
    <row r="6" spans="1:17" s="12" customFormat="1" ht="18" customHeight="1" thickBot="1" x14ac:dyDescent="0.25">
      <c r="A6" s="138" t="s">
        <v>32</v>
      </c>
      <c r="B6" s="139"/>
      <c r="C6" s="139"/>
      <c r="D6" s="139"/>
      <c r="E6" s="139"/>
      <c r="F6" s="140"/>
      <c r="G6" s="137" t="str">
        <f>NotaPedido!D5</f>
        <v>168 - Direccion Asistencial</v>
      </c>
      <c r="H6" s="137"/>
      <c r="I6" s="137"/>
      <c r="J6" s="137"/>
      <c r="K6" s="137"/>
      <c r="L6" s="137"/>
      <c r="M6" s="137"/>
      <c r="N6" s="137"/>
      <c r="O6" s="137"/>
      <c r="P6" s="137"/>
      <c r="Q6" s="137"/>
    </row>
    <row r="7" spans="1:17" s="12" customFormat="1" ht="18" customHeight="1" thickBot="1" x14ac:dyDescent="0.25">
      <c r="A7" s="138" t="s">
        <v>55</v>
      </c>
      <c r="B7" s="139"/>
      <c r="C7" s="139"/>
      <c r="D7" s="139"/>
      <c r="E7" s="139"/>
      <c r="F7" s="140"/>
      <c r="G7" s="137" t="str">
        <f>NotaPedido!D6</f>
        <v>Servicio de Farmacia</v>
      </c>
      <c r="H7" s="137"/>
      <c r="I7" s="137"/>
      <c r="J7" s="137"/>
      <c r="K7" s="137"/>
      <c r="L7" s="137"/>
      <c r="M7" s="137"/>
      <c r="N7" s="137"/>
      <c r="O7" s="137"/>
      <c r="P7" s="137"/>
      <c r="Q7" s="137"/>
    </row>
    <row r="8" spans="1:17" ht="18" customHeight="1" thickBot="1" x14ac:dyDescent="0.25">
      <c r="A8" s="141" t="s">
        <v>33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</row>
    <row r="9" spans="1:17" ht="18" customHeight="1" x14ac:dyDescent="0.2">
      <c r="A9" s="142" t="s">
        <v>34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"/>
      <c r="P9" s="1"/>
      <c r="Q9" s="13"/>
    </row>
    <row r="10" spans="1:17" ht="54.75" customHeight="1" x14ac:dyDescent="0.2">
      <c r="A10" s="14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008 - 2022,  afectando la erogación resultante a los créditos presupuestarios aprobados a favor de esta Unidad Ejecutora, conforme al siguiente detalle: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44" t="s">
        <v>35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7" ht="15.75" customHeight="1" x14ac:dyDescent="0.2">
      <c r="A13" s="145" t="s">
        <v>36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6" t="s">
        <v>37</v>
      </c>
      <c r="P13" s="146"/>
      <c r="Q13" s="147" t="s">
        <v>38</v>
      </c>
    </row>
    <row r="14" spans="1:17" ht="15.75" customHeight="1" thickBot="1" x14ac:dyDescent="0.25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46"/>
      <c r="P14" s="146"/>
      <c r="Q14" s="147"/>
    </row>
    <row r="15" spans="1:17" ht="17.25" customHeight="1" x14ac:dyDescent="0.2">
      <c r="A15" s="71">
        <v>33</v>
      </c>
      <c r="B15" s="72"/>
      <c r="C15" s="72"/>
      <c r="D15" s="72">
        <v>2</v>
      </c>
      <c r="E15" s="72"/>
      <c r="F15" s="72">
        <v>4901</v>
      </c>
      <c r="G15" s="72">
        <v>3</v>
      </c>
      <c r="H15" s="73" t="s">
        <v>63</v>
      </c>
      <c r="I15" s="74">
        <v>2</v>
      </c>
      <c r="J15" s="74">
        <v>5</v>
      </c>
      <c r="K15" s="74">
        <v>2</v>
      </c>
      <c r="L15" s="72"/>
      <c r="M15" s="75">
        <v>1</v>
      </c>
      <c r="N15" s="73" t="s">
        <v>64</v>
      </c>
      <c r="O15" s="148" t="s">
        <v>61</v>
      </c>
      <c r="P15" s="149"/>
      <c r="Q15" s="23">
        <v>20076029.5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9"/>
      <c r="I16" s="25"/>
      <c r="J16" s="25"/>
      <c r="K16" s="25"/>
      <c r="L16" s="25"/>
      <c r="M16" s="26"/>
      <c r="N16" s="70"/>
      <c r="O16" s="150"/>
      <c r="P16" s="150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9"/>
      <c r="I17" s="25"/>
      <c r="J17" s="25"/>
      <c r="K17" s="25"/>
      <c r="L17" s="25"/>
      <c r="M17" s="26"/>
      <c r="N17" s="70"/>
      <c r="O17" s="150"/>
      <c r="P17" s="150"/>
      <c r="Q17" s="28"/>
      <c r="S17" s="76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9"/>
      <c r="I18" s="25"/>
      <c r="J18" s="25"/>
      <c r="K18" s="25"/>
      <c r="L18" s="25"/>
      <c r="M18" s="26"/>
      <c r="N18" s="70"/>
      <c r="O18" s="151"/>
      <c r="P18" s="152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52"/>
      <c r="P19" s="152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52"/>
      <c r="P20" s="152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58"/>
      <c r="P21" s="158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59"/>
      <c r="P22" s="159"/>
      <c r="Q22" s="37"/>
    </row>
    <row r="23" spans="1:19" ht="20.25" customHeight="1" x14ac:dyDescent="0.2">
      <c r="A23" s="160" t="s">
        <v>136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38">
        <f>SUM(Q15:Q22)</f>
        <v>20076029.5</v>
      </c>
    </row>
    <row r="24" spans="1:19" ht="18" customHeight="1" thickBot="1" x14ac:dyDescent="0.25">
      <c r="A24" s="161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</row>
    <row r="25" spans="1:19" ht="17.25" customHeight="1" thickBot="1" x14ac:dyDescent="0.25">
      <c r="A25" s="153" t="s">
        <v>52</v>
      </c>
      <c r="B25" s="154"/>
      <c r="C25" s="154"/>
      <c r="D25" s="154"/>
      <c r="E25" s="154"/>
      <c r="F25" s="155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</row>
    <row r="26" spans="1:19" ht="18" customHeight="1" thickBot="1" x14ac:dyDescent="0.25">
      <c r="A26" s="157" t="str">
        <f>"Para la "&amp; NotaPedido!D8 &amp;" para ser destinados al " &amp; NotaPedido!D6 &amp;"  del HISJB del Ministerio de Salud."</f>
        <v>Para la Adquisición de MEDICAMENTOS PARA TERAPIA ANTIINFECCIOSA SISTEMICA/SUEROS INMUNES E INMUNOGLOBULINAS  Y MEDIOS DE CONTRASTES /ANALGESICOS ANTINFLAMATORIOS  para ser destinados al Servicio de Farmacia  del HISJB del Ministerio de Salud.</v>
      </c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</row>
    <row r="27" spans="1:19" ht="21" customHeight="1" x14ac:dyDescent="0.2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COMPRAR</cp:lastModifiedBy>
  <cp:revision>2</cp:revision>
  <cp:lastPrinted>2020-07-17T22:18:48Z</cp:lastPrinted>
  <dcterms:created xsi:type="dcterms:W3CDTF">2020-07-17T23:44:49Z</dcterms:created>
  <dcterms:modified xsi:type="dcterms:W3CDTF">2022-02-07T15:00:28Z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