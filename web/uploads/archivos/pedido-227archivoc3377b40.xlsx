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DRIVE 2\Secretaria\TAREAS\Ministerio de Seguridad\Policia de Catamarca\AÑO 2022\Adq.Alimentos No Perecederos (May2022)\NOTA 3\"/>
    </mc:Choice>
  </mc:AlternateContent>
  <xr:revisionPtr revIDLastSave="0" documentId="8_{2EE45B06-D180-48C6-A2FA-38D864D7C9F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NotaPedido'!$A$1:$K$15</definedName>
    <definedName name="_xlnm.Print_Area" localSheetId="2">'Autor Gastar'!$A$1:$Q$20</definedName>
  </definedNames>
  <calcPr calcId="181029"/>
</workbook>
</file>

<file path=xl/calcChain.xml><?xml version="1.0" encoding="utf-8"?>
<calcChain xmlns="http://schemas.openxmlformats.org/spreadsheetml/2006/main">
  <c r="I47" i="1" l="1"/>
  <c r="I46" i="1"/>
  <c r="I19" i="1"/>
  <c r="I11" i="1"/>
  <c r="I12" i="1"/>
  <c r="I13" i="1"/>
  <c r="I14" i="1"/>
  <c r="I15" i="1"/>
  <c r="I16" i="1"/>
  <c r="I17" i="1"/>
  <c r="I18" i="1"/>
  <c r="I20" i="1"/>
  <c r="I21" i="1"/>
  <c r="I22" i="1"/>
  <c r="I44" i="1"/>
  <c r="I23" i="1"/>
  <c r="I24" i="1"/>
  <c r="I25" i="1"/>
  <c r="I26" i="1"/>
  <c r="I27" i="1"/>
  <c r="I28" i="1"/>
  <c r="I29" i="1"/>
  <c r="I30" i="1"/>
  <c r="I31" i="1"/>
  <c r="I32" i="1"/>
  <c r="I45" i="1"/>
  <c r="I33" i="1"/>
  <c r="I34" i="1"/>
  <c r="I35" i="1"/>
  <c r="I36" i="1"/>
  <c r="I37" i="1"/>
  <c r="I38" i="1"/>
  <c r="I39" i="1"/>
  <c r="I40" i="1"/>
  <c r="I41" i="1"/>
  <c r="I42" i="1"/>
  <c r="I43" i="1"/>
  <c r="I10" i="1" l="1"/>
  <c r="I48" i="1" s="1"/>
  <c r="I13" i="2" l="1"/>
  <c r="J13" i="2"/>
  <c r="K13" i="2"/>
  <c r="I14" i="2"/>
  <c r="J14" i="2"/>
  <c r="K14" i="2"/>
  <c r="C13" i="2"/>
  <c r="C14" i="2"/>
  <c r="B13" i="2"/>
  <c r="B14" i="2"/>
  <c r="K12" i="2"/>
  <c r="I12" i="2"/>
  <c r="J12" i="2"/>
  <c r="C12" i="2"/>
  <c r="B12" i="2"/>
  <c r="O15" i="3" l="1"/>
  <c r="A19" i="3"/>
  <c r="A10" i="3"/>
  <c r="J15" i="2" l="1"/>
  <c r="Q15" i="3" l="1"/>
  <c r="Q16" i="3" s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<sst xmlns="http://schemas.openxmlformats.org/spreadsheetml/2006/main" count="271" uniqueCount="153">
  <si>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</si>
  <si>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</si>
  <si>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</si>
  <si>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</si>
  <si>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</si>
  <si>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</si>
  <si>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</si>
  <si>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</si>
  <si>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</si>
  <si>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</si>
  <si>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</si>
  <si>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</si>
  <si>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</si>
  <si>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</si>
  <si>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2.1.1-481.38</t>
  </si>
  <si>
    <t>AZUCARES; TIPO: "A" COMUN, ESTADO: MOLIDA, PESO: 1 Kg, MATERIAL ENVASE: PLASTICO, CERTIFICADO FORESTAL (GFS): SIN, ELEM. TRANSPORTE: SIN, MATERIAL ELEM. TRANSPORTE: SIN</t>
  </si>
  <si>
    <t>UNIDAD</t>
  </si>
  <si>
    <t>2.1.1-454.25</t>
  </si>
  <si>
    <t>YERBAS; PALO: CON, PESO: 1 Kg, MATERIAL ENVASE : PAPEL, CERTIFICADO FORESTAL (GFS): CON, ELEM. TRANSPORTE: SIN, MATERIAL ELEM. TRANSPORTE: SIN, LIBRE DE GLUTEN: SI</t>
  </si>
  <si>
    <t>2.1.1-439.67</t>
  </si>
  <si>
    <t>ACEITES COMESTIBLES; TIPO: GIRASOL, PRESENTACION: ENVASE X 900 CM3, MATERIAL ENVASE: PLASTICO 1 (PET), ELEM. TRANSPORTE: SIN, MATERIAL ELEM. TRANSPORTE : SIN, LIBRE DE GLUTEN: NO</t>
  </si>
  <si>
    <t>2.1.1-708.23</t>
  </si>
  <si>
    <t>CONSERVAS PESCADO Y FRUTOS MAR; ESTADO: AL NATURAL, PESO: 380 GR, ENVASE: LATA, TIPO: CABALLA, ESPECIE: CABALLA</t>
  </si>
  <si>
    <t>2.1.1-6546.5</t>
  </si>
  <si>
    <t>VERDURAS Y HORTALIZAS; PRESENTACION: BOTELLA, VARIEDAD: TOMATE PERITA, ESTADO: TRITURADO, PESO: 970 GR</t>
  </si>
  <si>
    <t>2.1.1-6547.84</t>
  </si>
  <si>
    <t>LEGUMBRES; VARIEDAD: ARVEJAS, ESTADO: CONSERVA, PRESENTACION: LATA, PESO: 350 GR, MATERIAL ENVASE: METAL, ELEM. TRANSPORTE: SIN, MATERIAL ELEM. TRANSPORTE: SIN, LIBRE DE GLUTEN: NO</t>
  </si>
  <si>
    <t>2.1.1-2868.78</t>
  </si>
  <si>
    <t>FIDEOS SECOS; LIBRE DE GLUTEN: NO, CERTIFICADO FORESTAL (GFS): SIN, MATERIAL ELEM. TRANSPORTE: SIN, ELEM. TRANSPORTE: SIN, MATERIAL ENVASE: POLIETILENO, PRESENTACION: ENVASE X 500 GR, RELLENO: SIN, VARIEDAD: TALLARIN</t>
  </si>
  <si>
    <t>2.1.1-2868.76</t>
  </si>
  <si>
    <t>FIDEOS SECOS; LIBRE DE GLUTEN: NO, CERTIFICADO FORESTAL (GFS): SIN, MATERIAL ELEM. TRANSPORTE: SIN, ELEM. TRANSPORTE: SIN, MATERIAL ENVASE: POLIETILENO, PRESENTACION: ENVASE X 500 GR, RELLENO: SIN, VARIEDAD: GUISERO</t>
  </si>
  <si>
    <t>2.1.1-2868.77</t>
  </si>
  <si>
    <t>FIDEOS SECOS; LIBRE DE GLUTEN: NO, CERTIFICADO FORESTAL (GFS): SIN, MATERIAL ELEM. TRANSPORTE: SIN, ELEM. TRANSPORTE: SIN, MATERIAL ENVASE: POLIETILENO, PRESENTACION: ENVASE X 500 GR, RELLENO: SIN, VARIEDAD: SOPERO</t>
  </si>
  <si>
    <t>2.1.1-435.60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</si>
  <si>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</si>
  <si>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2.1.1-514.2</t>
  </si>
  <si>
    <t>SAL DE MESA; CONSISTENCIA: FINA, PESO: 500 GR, TIPO: SIN VALOR, ENVASE: PAQUETE</t>
  </si>
  <si>
    <t>2.1.1-514.14</t>
  </si>
  <si>
    <t>SAL DE MESA; ENVASE: BOLSA, PESO: 5 Kg, CONSISTENCIA: GRUESA, TIPO: SIN VALOR</t>
  </si>
  <si>
    <t>2.1.1-482.81</t>
  </si>
  <si>
    <t>HARINAS; TIPO: LEUDANTE, PRESENTACION: ENVASE X 1 Kg, MATERIAL ENVASE: PAPEL, CERTICADO FORESTAL (GFS): SIN, ELEM. TRANSPORTE: SIN, MATERIAL ELEM. TRANSPORTE: SIN, LIBRE DE GLUTEN: NO</t>
  </si>
  <si>
    <t>2.1.1-2431.13</t>
  </si>
  <si>
    <t>CALDOS; GUSTO: VERDURA, TIPO: DESHIDRATADO, PRESENTACION: ENVASE X 12 UN</t>
  </si>
  <si>
    <t>2.1.1-511.8</t>
  </si>
  <si>
    <t>TE; SAQUITOS 2G P/CAJA: 50, PESO: SIN VALOR, TIPO: SIN VALOR, PRESENTACION: EN SAQUITOS</t>
  </si>
  <si>
    <t>2.1.1-709.25</t>
  </si>
  <si>
    <t>CAFE; ENVASE: SAQUITO EN CAJA X 20 SOBRE, CONTENIDO: 7 GR, ESTADO: MOLIDO, PROCESO: TORRADO, TIPO: FUERTE, PRESENTACION: 20 X ENVASE X 7 GR</t>
  </si>
  <si>
    <t>2.1.1-6546.269</t>
  </si>
  <si>
    <t>VERDURAS Y HORTALIZAS; VARIEDAD: CHOCLO, ESTADO: GRANO, PRESENTACION: LATA, PESO: 350 GR</t>
  </si>
  <si>
    <t>2.1.1-6547.70</t>
  </si>
  <si>
    <t>LEGUMBRES; VARIEDAD: LENTEJA, ESTADO: SECO, PRESENTACION: BOLSA, PESO: 1 Kg</t>
  </si>
  <si>
    <t>2.1.1-705.93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</si>
  <si>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</si>
  <si>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2.1.1-709.9</t>
  </si>
  <si>
    <t>CAFE; ESTADO: MOLIDO, CONTENIDO: 1000 GR, PROCESO: TOSTADO C/AZUCAR, ENVASE: PAQUETE, TIPO: SIN VALOR, PRESENTACION: ENVASE X 1000 GR</t>
  </si>
  <si>
    <t>2.1.1-510.3</t>
  </si>
  <si>
    <t>GELATINAS; TIPO: BAJAS CALORIAS, ENVASE: CAJA DE CARTON, PESO: 30 GR, SABOR: CEREZA</t>
  </si>
  <si>
    <t>2.1.1-482.80</t>
  </si>
  <si>
    <t>HARINAS; TIPO: DE TRIGO 000, PRESENTACION: ENVASE X 1 Kg, MATERIAL ENVASE: PAPEL, CERTICADO FORESTAL (GFS): SIN, ELEM. TRANSPORTE: SIN, MATERIAL ELEM. TRANSPORTE: SIN, LIBRE DE GLUTEN: NO</t>
  </si>
  <si>
    <t>2.1.1-2616.9</t>
  </si>
  <si>
    <t>MAIZ; TIPO: BLANCO PISADO, PRESENTACION: ENVASE X 500 GR, FORMA DE PRESENTACION: SIN VALOR</t>
  </si>
  <si>
    <t>2.1.1-6547.56</t>
  </si>
  <si>
    <t>LEGUMBRES; VARIEDAD: POROTO BLANCO OVAL, ESTADO: SECO, PRESENTACION: BOLSA, PESO: 500 GR</t>
  </si>
  <si>
    <t>2.1.1-3438.2</t>
  </si>
  <si>
    <t>CEREALES EN COPOS; VARIEDAD: SIN AZUCAR, TIPO: COPOS, PRESENTACION: ENVASE X 400 GR</t>
  </si>
  <si>
    <t>2.1.1-489.163</t>
  </si>
  <si>
    <t>ESPECIAS; TIPO: ADOBO PARA PIZZA, PRESENTACION: ENVASE X 1 Kg</t>
  </si>
  <si>
    <t>2.1.1-489.125</t>
  </si>
  <si>
    <t>ESPECIAS; TIPO: CONDIMENTO P/ARROZ, PRESENTACION: BOLSA X 1 Kg</t>
  </si>
  <si>
    <t>2.1.1-489.119</t>
  </si>
  <si>
    <t>ESPECIAS; TIPO: COMINO, PRESENTACION: BOLSA X 1 Kg</t>
  </si>
  <si>
    <t>2.1.1-489.66</t>
  </si>
  <si>
    <t>ESPECIAS; TIPO: OREGANO, PRESENTACION: BOLSA DE 1 Kg</t>
  </si>
  <si>
    <t>2.1.1-489.67</t>
  </si>
  <si>
    <t>ESPECIAS; TIPO: PIMENTON, PRESENTACION: BOLSA DE 1 Kg</t>
  </si>
  <si>
    <t>2.1.1-489.132</t>
  </si>
  <si>
    <t>ESPECIAS; TIPO: PIMIENTA BLANCA, PRESENTACION: ENVASE X 1 Kg</t>
  </si>
  <si>
    <t>2.1.1-489.109</t>
  </si>
  <si>
    <t>ESPECIAS; TIPO: PROVENZAL, PRESENTACION: PAQUETE X 1 Kg</t>
  </si>
  <si>
    <t>2.1.1-708.22</t>
  </si>
  <si>
    <t>CONSERVAS PESCADO Y FRUTOS MAR; ESPECIE: SARDINA, ESTADO: EN ACEITE, PESO: 125 GR, ENVASE: LATA, TIPO: SARDINA</t>
  </si>
  <si>
    <t>2.1.1-509.14</t>
  </si>
  <si>
    <t>PURE; TIPO: TOMATE PERITA, ENVASE: CAJA DE CARTON, PESO: 520 GR, LIBRE DE GLUTEN: NO</t>
  </si>
  <si>
    <t>2.1.1-482.90</t>
  </si>
  <si>
    <t>HARINAS; TIPO: MAIZ, PRESENTACION: ENVASE X 1 KG, MATERIAL ENVASE: SEGÚN PLIEGO, CERTICADO FORESTAL (GFS): SIN, ELEM. TRANSPORTE: SIN, MATERIAL ELEM. TRANSPORTE: SIN, LIBRE DE GLUTEN: NO</t>
  </si>
  <si>
    <t>2.1.1-706.8</t>
  </si>
  <si>
    <t>MATE COCIDO; ENVASE: CAJA CARTON, PRESENTACION: SEGÚN PLIEGO, SAQUITOS P/CAJA: 100 UN, PESO X SAQ.: 3 GR</t>
  </si>
  <si>
    <t>2.1.1-2615.16</t>
  </si>
  <si>
    <t>CACAO; TIPO: AMARGO, PRESENTACION: ENVASE X 1 Kg, FORMA DE PRESENTACION: POLVO, MATERIAL ENVASE: POLIETILENO, CERTICADO FORESTAL (GFS): CON, LIBRE DE GLUTEN: SI</t>
  </si>
  <si>
    <t>2.1.1-489.68</t>
  </si>
  <si>
    <t>ESPECIAS; PRESENTACION: BOLSA DE 1 Kg, TIPO: AJI MOLIDO</t>
  </si>
  <si>
    <t>Especificidades:</t>
  </si>
  <si>
    <t>DESCRIPCION ITEM 35: ENVASE  BOLSA</t>
  </si>
  <si>
    <t>DESCRIPCION ITEM 36: PRESENTACION SAQUITOS</t>
  </si>
  <si>
    <t>ITEM 1 AL 38 : Se requieren las siguientes consideraciones en los alimentos no perecederos: “Todos los productos deberán presentar en el envase el rótulo bien legible y responder a toda la información establecida en el Código Alimentario Argentino – Cap. V: “Normas para la Rotulación y Publicidad de Alimentos”. ANEXO Reglamento Técnico MERCOSUR para la rotulación de Alimentos Envasados – Inciso 5: Información Obligatoria: Denominación de venta del alimento; Lista de ingredientes; Contenidos netos; Identificación del origen; Nombre o razón social y dirección del importador, para alimentos importados; Identificación del lote; Fecha de duración mínima; Instrucción de uso del alimento, cuando corresponda. La fecha de vencimiento de los productos adjudicados debe ser mayor a 6 (seis) meses al momento de ser bajada en el lugar de entrega y responder a las marcas y características presentadas en la oferta de la presente contratación. Además, debe presentarse el envase en óptimas condiciones de higiene e integridad del mismo.</t>
  </si>
  <si>
    <t>Plazos y lugares de entrega</t>
  </si>
  <si>
    <t>a) LUGAR DE ENTREGA: En la Escuela de Cadetes de Policía– sito en Av. Acosta Villafañez al 1.500 de la ciudad de San Fernando del Valle de Catamarca. 
b) FORMA DE LA ENTREGA: Libre de flete, acarreo y embalaje, como así también, de todo riesgo de pérdida o destrucción total o parcial, por causas ajenas a la Institución.
c)  PLAZO DE ENTREGA: Las entregas se realizarán a requerimiento de acuerdo, a las Solicitudes de Provisión que se realicen. Se estima emitir una cantidad aproximada de 2 (Dos) Solicitudes de Provisión de 1/2 aprox. de la cantidad solicitada, en un plazo de 2 (Dos) meses: 1° Solic.de Provisión: aprox.a los 2 (Dos) dias hábiles de la firma del instrumento contractual, 2° Solic.de Provisión: al mes de la firma del instrumento contractual. Plazo de cumplimiento de cada Solicitud de Provisión: a los 5 días hábiles de notificada la misma, según necesidades del Organismo solicitante. Forma de Pago: Se solicita Pagos parciales por cada Solicitud de Provisión emitida, una vez finalizada la entrega de las cantidades contenidas en la misma.</t>
  </si>
  <si>
    <t>Calidad Minima esperada</t>
  </si>
  <si>
    <t>Que cumpla con lo solicitado en forma íntegra. Presentar muestras para los ítems 1 al 38, en su envase original, en el cual se pueda observar de forma clara la marca del mismo y sus características. La recepción de las muestras se realizará en el Departamento Logística (D-4) de la Policía de Catamarca, hasta el  momentos de la apertura, sito en Ruta Provincial N° 33-sumalao-Valle Viejo. Provincia de Catamarca. Las muestras deben estar debidamente rotuladas por ítems e identificando claramente el oferente cotizante. No se aceptan muestras distinto a lo cotizado.</t>
  </si>
  <si>
    <t>Mantenimiento</t>
  </si>
  <si>
    <t>30 días</t>
  </si>
  <si>
    <t>Garantia</t>
  </si>
  <si>
    <t>*</t>
  </si>
  <si>
    <t>NOTA DE PEDIDO</t>
  </si>
  <si>
    <t>N°</t>
  </si>
  <si>
    <t>81/2021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</si>
  <si>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</si>
  <si>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</si>
  <si>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</si>
  <si>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</si>
  <si>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</si>
  <si>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Intendencia, Departamento Logística</t>
  </si>
  <si>
    <t>PERIODO UTILIZACIÓN:</t>
  </si>
  <si>
    <t>3er trimestre Año 2021.-</t>
  </si>
  <si>
    <t>OBJETO:</t>
  </si>
  <si>
    <t>Adquisición de Uniformes de Fajina para el personal policial.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</si>
  <si>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</si>
  <si>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</si>
  <si>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</si>
  <si>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</si>
  <si>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</si>
  <si>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</si>
  <si>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</si>
  <si>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</si>
  <si>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 Pesos Cinco Millones Doscientos Mil con 00/100.-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</si>
  <si>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</si>
  <si>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</si>
  <si>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</si>
  <si>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</si>
  <si>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</si>
  <si>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</si>
  <si>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</si>
  <si>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</si>
  <si>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</si>
  <si>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</si>
  <si>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</si>
  <si>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</si>
  <si>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</si>
  <si>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</si>
  <si>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</si>
  <si>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</si>
  <si>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</si>
  <si>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</si>
  <si>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</si>
  <si>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</si>
  <si>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</si>
  <si>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</si>
  <si>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  Treinta y Cuatro Mil Novecientos Cincuenta con 00/100.-</t>
  </si>
  <si>
    <t>JUSTIFICACIÓN:</t>
  </si>
  <si>
    <t>IPP</t>
  </si>
  <si>
    <t>RUBRO</t>
  </si>
  <si>
    <t>ALIMENTOS</t>
  </si>
  <si>
    <t>2.1.1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</si>
</sst>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 [$$-2C0A]\ * #,##0.00_ ;_ [$$-2C0A]\ * \-#,##0.00_ ;_ [$$-2C0A]\ * &quot;-&quot;??_ ;_ @_ "/>
    <numFmt numFmtId="171" formatCode="&quot;$&quot;\ #,##0.00"/>
  </numFmts>
  <fonts count="23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b/>
      <sz val="11"/>
      <color rgb="FF000000"/>
      <name val="Century Gothic"/>
      <family val="2"/>
    </font>
    <font>
      <b/>
      <sz val="22"/>
      <name val="Century Gothic"/>
      <family val="2"/>
    </font>
    <font>
      <b/>
      <sz val="12"/>
      <color rgb="FF000000"/>
      <name val="Century Gothic"/>
      <family val="2"/>
    </font>
    <font>
      <b/>
      <sz val="11"/>
      <name val="Times New Roman"/>
      <family val="1"/>
      <charset val="1"/>
    </font>
    <font>
      <sz val="10"/>
      <color theme="1"/>
      <name val="Century Gothic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0" fontId="4" fillId="0" borderId="0"/>
  </cellStyleXfs>
  <cellXfs count="176">
    <xf numFmtId="0" fontId="0" fillId="0" borderId="0" xfId="0"/>
    <xf numFmtId="0" fontId="5" fillId="3" borderId="0" xfId="0" applyFont="1" applyFill="1"/>
    <xf numFmtId="0" fontId="8" fillId="3" borderId="0" xfId="0" applyFont="1" applyFill="1" applyAlignment="1">
      <alignment horizontal="left" wrapText="1"/>
    </xf>
    <xf numFmtId="0" fontId="5" fillId="3" borderId="0" xfId="0" applyFont="1" applyFill="1" applyBorder="1"/>
    <xf numFmtId="0" fontId="5" fillId="3" borderId="0" xfId="0" applyFont="1" applyFill="1" applyAlignment="1">
      <alignment horizontal="left"/>
    </xf>
    <xf numFmtId="0" fontId="8" fillId="3" borderId="0" xfId="0" applyFont="1" applyFill="1" applyAlignment="1">
      <alignment horizontal="center" wrapText="1"/>
    </xf>
    <xf numFmtId="0" fontId="19" fillId="4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171" fontId="6" fillId="3" borderId="38" xfId="0" applyNumberFormat="1" applyFont="1" applyFill="1" applyBorder="1"/>
    <xf numFmtId="3" fontId="14" fillId="3" borderId="0" xfId="0" applyNumberFormat="1" applyFont="1" applyFill="1" applyBorder="1" applyAlignment="1"/>
    <xf numFmtId="169" fontId="5" fillId="3" borderId="0" xfId="0" applyNumberFormat="1" applyFont="1" applyFill="1" applyAlignment="1">
      <alignment horizontal="left"/>
    </xf>
    <xf numFmtId="0" fontId="5" fillId="3" borderId="10" xfId="0" applyFont="1" applyFill="1" applyBorder="1"/>
    <xf numFmtId="0" fontId="5" fillId="3" borderId="24" xfId="0" applyFont="1" applyFill="1" applyBorder="1"/>
    <xf numFmtId="0" fontId="5" fillId="3" borderId="12" xfId="0" applyFont="1" applyFill="1" applyBorder="1"/>
    <xf numFmtId="0" fontId="5" fillId="3" borderId="12" xfId="0" applyFont="1" applyFill="1" applyBorder="1" applyAlignment="1">
      <alignment horizontal="left"/>
    </xf>
    <xf numFmtId="0" fontId="5" fillId="3" borderId="25" xfId="0" applyFont="1" applyFill="1" applyBorder="1"/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167" fontId="5" fillId="3" borderId="33" xfId="3" applyNumberFormat="1" applyFont="1" applyFill="1" applyBorder="1" applyAlignment="1" applyProtection="1">
      <alignment horizontal="center" vertical="center"/>
    </xf>
    <xf numFmtId="167" fontId="6" fillId="3" borderId="34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right" vertical="center"/>
    </xf>
    <xf numFmtId="0" fontId="12" fillId="3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5" fillId="3" borderId="41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 wrapText="1"/>
    </xf>
    <xf numFmtId="170" fontId="5" fillId="3" borderId="42" xfId="1" applyNumberFormat="1" applyFont="1" applyFill="1" applyBorder="1" applyAlignment="1" applyProtection="1">
      <alignment horizontal="center" vertical="center"/>
    </xf>
    <xf numFmtId="3" fontId="5" fillId="3" borderId="42" xfId="0" applyNumberFormat="1" applyFont="1" applyFill="1" applyBorder="1" applyAlignment="1">
      <alignment horizontal="center" vertical="center"/>
    </xf>
    <xf numFmtId="170" fontId="5" fillId="3" borderId="0" xfId="0" applyNumberFormat="1" applyFont="1" applyFill="1" applyBorder="1" applyAlignment="1">
      <alignment vertical="center"/>
    </xf>
    <xf numFmtId="0" fontId="9" fillId="5" borderId="2" xfId="0" applyFont="1" applyFill="1" applyBorder="1" applyAlignment="1">
      <alignment horizontal="left"/>
    </xf>
    <xf numFmtId="0" fontId="5" fillId="5" borderId="3" xfId="0" applyFont="1" applyFill="1" applyBorder="1"/>
    <xf numFmtId="0" fontId="5" fillId="5" borderId="4" xfId="0" applyFont="1" applyFill="1" applyBorder="1"/>
    <xf numFmtId="0" fontId="5" fillId="5" borderId="0" xfId="0" applyFont="1" applyFill="1" applyBorder="1"/>
    <xf numFmtId="0" fontId="5" fillId="5" borderId="6" xfId="0" applyFont="1" applyFill="1" applyBorder="1"/>
    <xf numFmtId="0" fontId="9" fillId="5" borderId="0" xfId="0" applyFont="1" applyFill="1" applyBorder="1" applyAlignment="1"/>
    <xf numFmtId="0" fontId="10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7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0" fontId="5" fillId="5" borderId="3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horizontal="left" indent="3"/>
    </xf>
    <xf numFmtId="0" fontId="10" fillId="5" borderId="5" xfId="0" applyFont="1" applyFill="1" applyBorder="1" applyAlignment="1"/>
    <xf numFmtId="0" fontId="9" fillId="5" borderId="5" xfId="0" applyFont="1" applyFill="1" applyBorder="1" applyAlignment="1">
      <alignment horizontal="left" indent="3"/>
    </xf>
    <xf numFmtId="0" fontId="5" fillId="5" borderId="7" xfId="0" applyFont="1" applyFill="1" applyBorder="1" applyAlignment="1">
      <alignment horizontal="left" indent="3"/>
    </xf>
    <xf numFmtId="0" fontId="7" fillId="3" borderId="14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49" fontId="5" fillId="3" borderId="50" xfId="0" applyNumberFormat="1" applyFont="1" applyFill="1" applyBorder="1"/>
    <xf numFmtId="0" fontId="9" fillId="5" borderId="7" xfId="0" applyFont="1" applyFill="1" applyBorder="1" applyAlignment="1">
      <alignment horizontal="left"/>
    </xf>
    <xf numFmtId="167" fontId="5" fillId="3" borderId="42" xfId="1" applyNumberFormat="1" applyFont="1" applyFill="1" applyBorder="1" applyAlignment="1" applyProtection="1">
      <alignment horizontal="right" vertical="center" wrapText="1"/>
    </xf>
    <xf numFmtId="164" fontId="21" fillId="0" borderId="42" xfId="1" applyNumberFormat="1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22" fillId="0" borderId="42" xfId="0" applyFont="1" applyBorder="1" applyAlignment="1">
      <alignment wrapText="1"/>
    </xf>
    <xf numFmtId="49" fontId="5" fillId="0" borderId="42" xfId="0" applyNumberFormat="1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 wrapText="1"/>
    </xf>
    <xf numFmtId="0" fontId="7" fillId="3" borderId="52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left" vertical="top"/>
    </xf>
    <xf numFmtId="170" fontId="6" fillId="3" borderId="0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top"/>
    </xf>
    <xf numFmtId="0" fontId="9" fillId="3" borderId="7" xfId="0" applyFont="1" applyFill="1" applyBorder="1" applyAlignment="1">
      <alignment horizontal="left" vertical="top"/>
    </xf>
    <xf numFmtId="0" fontId="5" fillId="3" borderId="8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vertical="top"/>
    </xf>
    <xf numFmtId="0" fontId="5" fillId="3" borderId="9" xfId="0" applyFont="1" applyFill="1" applyBorder="1" applyAlignment="1">
      <alignment horizontal="left" vertical="top"/>
    </xf>
    <xf numFmtId="170" fontId="5" fillId="3" borderId="0" xfId="0" applyNumberFormat="1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0" fontId="22" fillId="0" borderId="53" xfId="0" applyFont="1" applyBorder="1" applyAlignment="1">
      <alignment wrapText="1"/>
    </xf>
    <xf numFmtId="0" fontId="9" fillId="5" borderId="5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 wrapText="1"/>
    </xf>
    <xf numFmtId="0" fontId="17" fillId="3" borderId="0" xfId="0" applyFont="1" applyFill="1" applyBorder="1" applyAlignment="1">
      <alignment horizontal="left" vertical="center" wrapText="1"/>
    </xf>
    <xf numFmtId="0" fontId="22" fillId="0" borderId="0" xfId="0" applyFont="1" applyAlignment="1">
      <alignment wrapText="1"/>
    </xf>
    <xf numFmtId="0" fontId="7" fillId="3" borderId="4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left"/>
    </xf>
    <xf numFmtId="0" fontId="9" fillId="5" borderId="0" xfId="0" applyFont="1" applyFill="1" applyBorder="1" applyAlignment="1">
      <alignment horizontal="left"/>
    </xf>
    <xf numFmtId="0" fontId="9" fillId="3" borderId="0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left" vertical="top"/>
    </xf>
    <xf numFmtId="0" fontId="9" fillId="5" borderId="8" xfId="0" applyFont="1" applyFill="1" applyBorder="1" applyAlignment="1">
      <alignment horizontal="left"/>
    </xf>
    <xf numFmtId="0" fontId="10" fillId="5" borderId="3" xfId="0" applyFont="1" applyFill="1" applyBorder="1" applyAlignment="1">
      <alignment horizontal="left" vertical="center"/>
    </xf>
    <xf numFmtId="0" fontId="10" fillId="5" borderId="0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left" indent="3"/>
    </xf>
    <xf numFmtId="0" fontId="10" fillId="5" borderId="0" xfId="0" applyFont="1" applyFill="1" applyBorder="1" applyAlignment="1"/>
    <xf numFmtId="0" fontId="9" fillId="5" borderId="0" xfId="0" applyFont="1" applyFill="1" applyBorder="1" applyAlignment="1">
      <alignment horizontal="left" indent="3"/>
    </xf>
    <xf numFmtId="0" fontId="5" fillId="5" borderId="8" xfId="0" applyFont="1" applyFill="1" applyBorder="1" applyAlignment="1">
      <alignment horizontal="left" indent="3"/>
    </xf>
    <xf numFmtId="0" fontId="7" fillId="3" borderId="54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left" wrapText="1"/>
    </xf>
    <xf numFmtId="0" fontId="5" fillId="5" borderId="6" xfId="0" applyFont="1" applyFill="1" applyBorder="1" applyAlignment="1">
      <alignment horizontal="left" wrapText="1"/>
    </xf>
    <xf numFmtId="0" fontId="5" fillId="5" borderId="0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0" fontId="5" fillId="5" borderId="8" xfId="0" applyFont="1" applyFill="1" applyBorder="1" applyAlignment="1">
      <alignment horizontal="left" vertical="center" wrapText="1"/>
    </xf>
    <xf numFmtId="0" fontId="5" fillId="5" borderId="9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5" borderId="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9" fillId="6" borderId="0" xfId="0" applyFont="1" applyFill="1" applyBorder="1" applyAlignment="1">
      <alignment horizontal="left"/>
    </xf>
    <xf numFmtId="0" fontId="9" fillId="6" borderId="6" xfId="0" applyFont="1" applyFill="1" applyBorder="1" applyAlignment="1">
      <alignment horizontal="left"/>
    </xf>
    <xf numFmtId="0" fontId="5" fillId="6" borderId="0" xfId="0" applyFont="1" applyFill="1" applyBorder="1" applyAlignment="1">
      <alignment horizontal="left" vertical="center" wrapText="1"/>
    </xf>
    <xf numFmtId="0" fontId="5" fillId="6" borderId="6" xfId="0" applyFont="1" applyFill="1" applyBorder="1" applyAlignment="1">
      <alignment horizontal="left" vertical="center" wrapText="1"/>
    </xf>
    <xf numFmtId="0" fontId="17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center"/>
    </xf>
    <xf numFmtId="0" fontId="19" fillId="4" borderId="0" xfId="0" applyFont="1" applyFill="1" applyBorder="1" applyAlignment="1">
      <alignment horizontal="left" wrapText="1" indent="1"/>
    </xf>
    <xf numFmtId="0" fontId="11" fillId="3" borderId="0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left" vertical="center" wrapText="1"/>
    </xf>
    <xf numFmtId="0" fontId="12" fillId="3" borderId="19" xfId="0" applyFont="1" applyFill="1" applyBorder="1" applyAlignment="1">
      <alignment horizontal="left" vertical="center" wrapText="1" indent="1"/>
    </xf>
    <xf numFmtId="0" fontId="12" fillId="3" borderId="43" xfId="0" applyFont="1" applyFill="1" applyBorder="1" applyAlignment="1">
      <alignment horizontal="left" vertical="center" wrapText="1" indent="1"/>
    </xf>
    <xf numFmtId="0" fontId="12" fillId="3" borderId="20" xfId="0" applyFont="1" applyFill="1" applyBorder="1" applyAlignment="1">
      <alignment horizontal="left" vertical="center" wrapText="1" indent="1"/>
    </xf>
    <xf numFmtId="0" fontId="13" fillId="3" borderId="15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 indent="1"/>
    </xf>
    <xf numFmtId="0" fontId="12" fillId="3" borderId="38" xfId="0" applyFont="1" applyFill="1" applyBorder="1" applyAlignment="1">
      <alignment horizontal="left" vertical="center" wrapText="1" indent="1"/>
    </xf>
    <xf numFmtId="168" fontId="12" fillId="3" borderId="38" xfId="0" applyNumberFormat="1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left" vertical="center" wrapText="1" indent="1"/>
    </xf>
    <xf numFmtId="0" fontId="14" fillId="3" borderId="19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47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left" vertical="center"/>
    </xf>
    <xf numFmtId="49" fontId="15" fillId="3" borderId="44" xfId="0" applyNumberFormat="1" applyFont="1" applyFill="1" applyBorder="1" applyAlignment="1">
      <alignment horizontal="left" vertical="center" wrapText="1"/>
    </xf>
    <xf numFmtId="0" fontId="15" fillId="3" borderId="49" xfId="0" applyFont="1" applyFill="1" applyBorder="1" applyAlignment="1">
      <alignment horizontal="left" vertical="center" wrapText="1"/>
    </xf>
    <xf numFmtId="0" fontId="15" fillId="3" borderId="48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center"/>
    </xf>
    <xf numFmtId="3" fontId="14" fillId="3" borderId="20" xfId="0" applyNumberFormat="1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/>
    <xf numFmtId="0" fontId="16" fillId="3" borderId="11" xfId="0" applyFont="1" applyFill="1" applyBorder="1" applyAlignment="1">
      <alignment horizontal="left" indent="1"/>
    </xf>
    <xf numFmtId="0" fontId="5" fillId="3" borderId="13" xfId="0" applyFont="1" applyFill="1" applyBorder="1" applyAlignment="1">
      <alignment horizontal="left" vertical="center" wrapText="1"/>
    </xf>
    <xf numFmtId="0" fontId="5" fillId="3" borderId="36" xfId="0" applyFont="1" applyFill="1" applyBorder="1" applyAlignment="1">
      <alignment horizontal="left" vertical="center" wrapText="1"/>
    </xf>
    <xf numFmtId="0" fontId="5" fillId="3" borderId="37" xfId="0" applyFont="1" applyFill="1" applyBorder="1" applyAlignment="1">
      <alignment horizontal="left" vertical="center" wrapText="1"/>
    </xf>
    <xf numFmtId="0" fontId="10" fillId="3" borderId="11" xfId="0" applyFont="1" applyFill="1" applyBorder="1" applyAlignment="1">
      <alignment horizontal="left"/>
    </xf>
    <xf numFmtId="0" fontId="16" fillId="3" borderId="22" xfId="0" applyFont="1" applyFill="1" applyBorder="1" applyAlignment="1"/>
    <xf numFmtId="0" fontId="16" fillId="3" borderId="23" xfId="0" applyFont="1" applyFill="1" applyBorder="1" applyAlignment="1">
      <alignment horizontal="left" vertical="center" wrapText="1" indent="1"/>
    </xf>
    <xf numFmtId="0" fontId="6" fillId="3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left" vertical="center" wrapText="1"/>
    </xf>
    <xf numFmtId="0" fontId="5" fillId="3" borderId="39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vertical="center" wrapText="1"/>
    </xf>
    <xf numFmtId="0" fontId="14" fillId="3" borderId="35" xfId="0" applyFont="1" applyFill="1" applyBorder="1" applyAlignment="1">
      <alignment vertical="center" wrapText="1"/>
    </xf>
    <xf numFmtId="0" fontId="14" fillId="3" borderId="17" xfId="0" applyFont="1" applyFill="1" applyBorder="1" applyAlignment="1">
      <alignment vertical="center" wrapText="1"/>
    </xf>
    <xf numFmtId="0" fontId="16" fillId="3" borderId="45" xfId="0" applyFont="1" applyFill="1" applyBorder="1" applyAlignment="1">
      <alignment vertical="center" wrapText="1"/>
    </xf>
    <xf numFmtId="0" fontId="16" fillId="3" borderId="46" xfId="0" applyFont="1" applyFill="1" applyBorder="1" applyAlignment="1">
      <alignment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24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6" fillId="3" borderId="25" xfId="0" applyFont="1" applyFill="1" applyBorder="1" applyAlignment="1">
      <alignment horizontal="left" vertical="center" wrapText="1"/>
    </xf>
    <xf numFmtId="0" fontId="14" fillId="3" borderId="34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vertical="center"/>
    </xf>
    <xf numFmtId="0" fontId="6" fillId="3" borderId="40" xfId="0" applyFont="1" applyFill="1" applyBorder="1" applyAlignment="1">
      <alignment vertical="center"/>
    </xf>
    <xf numFmtId="0" fontId="6" fillId="3" borderId="26" xfId="0" applyFont="1" applyFill="1" applyBorder="1" applyAlignment="1">
      <alignment vertical="center"/>
    </xf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8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9"/>
  <sheetViews>
    <sheetView tabSelected="1" topLeftCell="A40" zoomScale="70" zoomScaleNormal="70" workbookViewId="0">
      <selection activeCell="B44" sqref="B44"/>
    </sheetView>
  </sheetViews>
  <sheetFormatPr baseColWidth="10" defaultColWidth="11.42578125" defaultRowHeight="13.5" x14ac:dyDescent="0.25"/>
  <cols>
    <col min="1" max="1" width="4.5703125" style="1" customWidth="1"/>
    <col min="2" max="4" width="17.140625" style="1" customWidth="1"/>
    <col min="5" max="5" width="90.7109375" style="1" customWidth="1"/>
    <col min="6" max="6" width="14.7109375" style="1" customWidth="1"/>
    <col min="7" max="7" width="15.85546875" style="1" customWidth="1"/>
    <col min="8" max="8" width="16.140625" style="1" customWidth="1"/>
    <col min="9" max="9" width="16.42578125" style="1" customWidth="1"/>
    <col min="10" max="10" width="13.85546875" style="1" customWidth="1"/>
    <col min="11" max="11" width="18.5703125" style="1" customWidth="1"/>
  </cols>
  <sheetData>
    <row r="2" spans="1:11" ht="28.5" x14ac:dyDescent="0.4">
      <c r="B2" s="122" t="s">
        <v>0</v>
      </c>
      <c r="C2" s="122"/>
      <c r="D2" s="122"/>
      <c r="E2" s="122"/>
      <c r="F2" s="122"/>
      <c r="G2" s="122"/>
      <c r="H2" s="122"/>
      <c r="I2" s="122"/>
      <c r="J2" s="122"/>
    </row>
    <row r="4" spans="1:11" ht="15.75" x14ac:dyDescent="0.25">
      <c r="A4" s="121" t="s">
        <v>1</v>
      </c>
      <c r="B4" s="121"/>
      <c r="C4" s="88"/>
      <c r="D4" s="88"/>
      <c r="E4" s="123" t="s">
        <v>2</v>
      </c>
      <c r="F4" s="123"/>
      <c r="G4" s="123"/>
      <c r="H4" s="2"/>
      <c r="I4" s="5"/>
      <c r="J4" s="2"/>
    </row>
    <row r="5" spans="1:11" ht="15.75" x14ac:dyDescent="0.25">
      <c r="A5" s="121" t="s">
        <v>3</v>
      </c>
      <c r="B5" s="121"/>
      <c r="C5" s="88"/>
      <c r="D5" s="88"/>
      <c r="E5" s="123" t="s">
        <v>4</v>
      </c>
      <c r="F5" s="123"/>
      <c r="G5" s="123"/>
      <c r="H5" s="2"/>
      <c r="I5" s="5"/>
      <c r="J5" s="2"/>
    </row>
    <row r="6" spans="1:11" ht="15.75" x14ac:dyDescent="0.25">
      <c r="A6" s="121" t="s">
        <v>5</v>
      </c>
      <c r="B6" s="121"/>
      <c r="C6" s="88"/>
      <c r="D6" s="88"/>
      <c r="E6" s="6">
        <v>2022</v>
      </c>
      <c r="F6" s="7"/>
      <c r="G6" s="7"/>
      <c r="H6" s="2"/>
      <c r="I6" s="5"/>
      <c r="J6" s="2"/>
    </row>
    <row r="7" spans="1:11" ht="15.75" x14ac:dyDescent="0.25">
      <c r="A7" s="121" t="s">
        <v>6</v>
      </c>
      <c r="B7" s="121"/>
      <c r="C7" s="88"/>
      <c r="D7" s="88"/>
      <c r="E7" s="6">
        <v>2</v>
      </c>
      <c r="F7" s="7"/>
      <c r="G7" s="7"/>
      <c r="H7" s="2"/>
      <c r="I7" s="5"/>
      <c r="J7" s="2"/>
    </row>
    <row r="8" spans="1:11" ht="14.25" thickBot="1" x14ac:dyDescent="0.3">
      <c r="B8" s="2"/>
      <c r="C8" s="2"/>
      <c r="D8" s="2"/>
      <c r="E8" s="5"/>
      <c r="F8" s="2"/>
      <c r="G8" s="2"/>
      <c r="H8" s="2"/>
      <c r="I8" s="5"/>
      <c r="J8" s="2"/>
    </row>
    <row r="9" spans="1:11" ht="39" thickBot="1" x14ac:dyDescent="0.25">
      <c r="A9" s="73" t="s">
        <v>7</v>
      </c>
      <c r="B9" s="60" t="s">
        <v>8</v>
      </c>
      <c r="C9" s="90" t="s">
        <v>150</v>
      </c>
      <c r="D9" s="60" t="s">
        <v>149</v>
      </c>
      <c r="E9" s="102" t="s">
        <v>9</v>
      </c>
      <c r="F9" s="72" t="s">
        <v>10</v>
      </c>
      <c r="G9" s="72" t="s">
        <v>11</v>
      </c>
      <c r="H9" s="72" t="s">
        <v>12</v>
      </c>
      <c r="I9" s="71" t="s">
        <v>13</v>
      </c>
      <c r="J9"/>
      <c r="K9"/>
    </row>
    <row r="10" spans="1:11" ht="44.25" customHeight="1" x14ac:dyDescent="0.25">
      <c r="A10" s="70">
        <v>1</v>
      </c>
      <c r="B10" s="69" t="s">
        <v>14</v>
      </c>
      <c r="C10" s="69" t="s">
        <v>151</v>
      </c>
      <c r="D10" s="69" t="s">
        <v>152</v>
      </c>
      <c r="E10" s="68" t="s">
        <v>15</v>
      </c>
      <c r="F10" s="67" t="s">
        <v>16</v>
      </c>
      <c r="G10" s="66">
        <v>2000</v>
      </c>
      <c r="H10" s="65">
        <v>120</v>
      </c>
      <c r="I10" s="64">
        <f>(G10*H10)</f>
        <v>240000</v>
      </c>
      <c r="J10"/>
      <c r="K10"/>
    </row>
    <row r="11" spans="1:11" ht="33.75" customHeight="1" x14ac:dyDescent="0.25">
      <c r="A11" s="70">
        <v>2</v>
      </c>
      <c r="B11" s="69" t="s">
        <v>17</v>
      </c>
      <c r="C11" s="69" t="s">
        <v>151</v>
      </c>
      <c r="D11" s="69" t="s">
        <v>152</v>
      </c>
      <c r="E11" s="68" t="s">
        <v>18</v>
      </c>
      <c r="F11" s="67" t="s">
        <v>16</v>
      </c>
      <c r="G11" s="66">
        <v>900</v>
      </c>
      <c r="H11" s="65">
        <v>480</v>
      </c>
      <c r="I11" s="64">
        <f t="shared" ref="I11:I43" si="0">(G11*H11)</f>
        <v>432000</v>
      </c>
      <c r="J11"/>
      <c r="K11"/>
    </row>
    <row r="12" spans="1:11" ht="48" customHeight="1" x14ac:dyDescent="0.25">
      <c r="A12" s="70">
        <v>3</v>
      </c>
      <c r="B12" s="69" t="s">
        <v>19</v>
      </c>
      <c r="C12" s="69" t="s">
        <v>151</v>
      </c>
      <c r="D12" s="69" t="s">
        <v>152</v>
      </c>
      <c r="E12" s="68" t="s">
        <v>20</v>
      </c>
      <c r="F12" s="67" t="s">
        <v>16</v>
      </c>
      <c r="G12" s="66">
        <v>600</v>
      </c>
      <c r="H12" s="65">
        <v>395</v>
      </c>
      <c r="I12" s="64">
        <f t="shared" si="0"/>
        <v>237000</v>
      </c>
      <c r="J12"/>
      <c r="K12"/>
    </row>
    <row r="13" spans="1:11" ht="33.75" customHeight="1" x14ac:dyDescent="0.25">
      <c r="A13" s="70">
        <v>4</v>
      </c>
      <c r="B13" s="69" t="s">
        <v>21</v>
      </c>
      <c r="C13" s="69" t="s">
        <v>151</v>
      </c>
      <c r="D13" s="69" t="s">
        <v>152</v>
      </c>
      <c r="E13" s="68" t="s">
        <v>22</v>
      </c>
      <c r="F13" s="67" t="s">
        <v>16</v>
      </c>
      <c r="G13" s="66">
        <v>800</v>
      </c>
      <c r="H13" s="65">
        <v>520</v>
      </c>
      <c r="I13" s="64">
        <f t="shared" si="0"/>
        <v>416000</v>
      </c>
      <c r="J13"/>
      <c r="K13"/>
    </row>
    <row r="14" spans="1:11" ht="30" x14ac:dyDescent="0.25">
      <c r="A14" s="70">
        <v>5</v>
      </c>
      <c r="B14" s="69" t="s">
        <v>23</v>
      </c>
      <c r="C14" s="69" t="s">
        <v>151</v>
      </c>
      <c r="D14" s="69" t="s">
        <v>152</v>
      </c>
      <c r="E14" s="68" t="s">
        <v>24</v>
      </c>
      <c r="F14" s="67" t="s">
        <v>16</v>
      </c>
      <c r="G14" s="66">
        <v>500</v>
      </c>
      <c r="H14" s="65">
        <v>230</v>
      </c>
      <c r="I14" s="64">
        <f t="shared" si="0"/>
        <v>115000</v>
      </c>
      <c r="J14"/>
      <c r="K14"/>
    </row>
    <row r="15" spans="1:11" ht="45" x14ac:dyDescent="0.25">
      <c r="A15" s="70">
        <v>6</v>
      </c>
      <c r="B15" s="69" t="s">
        <v>25</v>
      </c>
      <c r="C15" s="69" t="s">
        <v>151</v>
      </c>
      <c r="D15" s="69" t="s">
        <v>152</v>
      </c>
      <c r="E15" s="68" t="s">
        <v>26</v>
      </c>
      <c r="F15" s="67" t="s">
        <v>16</v>
      </c>
      <c r="G15" s="66">
        <v>500</v>
      </c>
      <c r="H15" s="65">
        <v>75</v>
      </c>
      <c r="I15" s="64">
        <f t="shared" si="0"/>
        <v>37500</v>
      </c>
      <c r="J15"/>
      <c r="K15"/>
    </row>
    <row r="16" spans="1:11" ht="47.25" customHeight="1" x14ac:dyDescent="0.25">
      <c r="A16" s="70">
        <v>7</v>
      </c>
      <c r="B16" s="69" t="s">
        <v>27</v>
      </c>
      <c r="C16" s="69" t="s">
        <v>151</v>
      </c>
      <c r="D16" s="69" t="s">
        <v>152</v>
      </c>
      <c r="E16" s="68" t="s">
        <v>28</v>
      </c>
      <c r="F16" s="67" t="s">
        <v>16</v>
      </c>
      <c r="G16" s="66">
        <v>800</v>
      </c>
      <c r="H16" s="65">
        <v>90</v>
      </c>
      <c r="I16" s="64">
        <f t="shared" si="0"/>
        <v>72000</v>
      </c>
      <c r="J16"/>
      <c r="K16"/>
    </row>
    <row r="17" spans="1:11" ht="45" x14ac:dyDescent="0.25">
      <c r="A17" s="70">
        <v>8</v>
      </c>
      <c r="B17" s="69" t="s">
        <v>29</v>
      </c>
      <c r="C17" s="69" t="s">
        <v>151</v>
      </c>
      <c r="D17" s="69" t="s">
        <v>152</v>
      </c>
      <c r="E17" s="68" t="s">
        <v>30</v>
      </c>
      <c r="F17" s="67" t="s">
        <v>16</v>
      </c>
      <c r="G17" s="66">
        <v>800</v>
      </c>
      <c r="H17" s="65">
        <v>90</v>
      </c>
      <c r="I17" s="64">
        <f t="shared" si="0"/>
        <v>72000</v>
      </c>
      <c r="J17"/>
      <c r="K17"/>
    </row>
    <row r="18" spans="1:11" ht="45" x14ac:dyDescent="0.25">
      <c r="A18" s="70">
        <v>9</v>
      </c>
      <c r="B18" s="69" t="s">
        <v>31</v>
      </c>
      <c r="C18" s="69" t="s">
        <v>151</v>
      </c>
      <c r="D18" s="69" t="s">
        <v>152</v>
      </c>
      <c r="E18" s="68" t="s">
        <v>32</v>
      </c>
      <c r="F18" s="67" t="s">
        <v>16</v>
      </c>
      <c r="G18" s="66">
        <v>800</v>
      </c>
      <c r="H18" s="65">
        <v>90</v>
      </c>
      <c r="I18" s="64">
        <f t="shared" si="0"/>
        <v>72000</v>
      </c>
      <c r="J18"/>
      <c r="K18"/>
    </row>
    <row r="19" spans="1:11" ht="45" x14ac:dyDescent="0.25">
      <c r="A19" s="70">
        <v>10</v>
      </c>
      <c r="B19" s="69" t="s">
        <v>33</v>
      </c>
      <c r="C19" s="69" t="s">
        <v>151</v>
      </c>
      <c r="D19" s="69" t="s">
        <v>152</v>
      </c>
      <c r="E19" s="68" t="s">
        <v>34</v>
      </c>
      <c r="F19" s="67" t="s">
        <v>16</v>
      </c>
      <c r="G19" s="66">
        <v>2000</v>
      </c>
      <c r="H19" s="65">
        <v>120</v>
      </c>
      <c r="I19" s="64">
        <f>(G19*H19)</f>
        <v>240000</v>
      </c>
      <c r="J19"/>
      <c r="K19"/>
    </row>
    <row r="20" spans="1:11" ht="15" x14ac:dyDescent="0.25">
      <c r="A20" s="70">
        <v>11</v>
      </c>
      <c r="B20" s="69" t="s">
        <v>35</v>
      </c>
      <c r="C20" s="69" t="s">
        <v>151</v>
      </c>
      <c r="D20" s="69" t="s">
        <v>152</v>
      </c>
      <c r="E20" s="68" t="s">
        <v>36</v>
      </c>
      <c r="F20" s="67" t="s">
        <v>16</v>
      </c>
      <c r="G20" s="66">
        <v>300</v>
      </c>
      <c r="H20" s="65">
        <v>50</v>
      </c>
      <c r="I20" s="64">
        <f t="shared" si="0"/>
        <v>15000</v>
      </c>
      <c r="J20"/>
      <c r="K20"/>
    </row>
    <row r="21" spans="1:11" ht="15" x14ac:dyDescent="0.25">
      <c r="A21" s="70">
        <v>12</v>
      </c>
      <c r="B21" s="69" t="s">
        <v>37</v>
      </c>
      <c r="C21" s="69" t="s">
        <v>151</v>
      </c>
      <c r="D21" s="69" t="s">
        <v>152</v>
      </c>
      <c r="E21" s="84" t="s">
        <v>38</v>
      </c>
      <c r="F21" s="67" t="s">
        <v>16</v>
      </c>
      <c r="G21" s="66">
        <v>300</v>
      </c>
      <c r="H21" s="65">
        <v>500</v>
      </c>
      <c r="I21" s="64">
        <f t="shared" si="0"/>
        <v>150000</v>
      </c>
      <c r="J21"/>
      <c r="K21"/>
    </row>
    <row r="22" spans="1:11" ht="45" x14ac:dyDescent="0.25">
      <c r="A22" s="70">
        <v>13</v>
      </c>
      <c r="B22" s="69" t="s">
        <v>39</v>
      </c>
      <c r="C22" s="69" t="s">
        <v>151</v>
      </c>
      <c r="D22" s="69" t="s">
        <v>152</v>
      </c>
      <c r="E22" s="84" t="s">
        <v>40</v>
      </c>
      <c r="F22" s="67" t="s">
        <v>16</v>
      </c>
      <c r="G22" s="66">
        <v>600</v>
      </c>
      <c r="H22" s="65">
        <v>200</v>
      </c>
      <c r="I22" s="64">
        <f t="shared" si="0"/>
        <v>120000</v>
      </c>
      <c r="J22"/>
      <c r="K22"/>
    </row>
    <row r="23" spans="1:11" ht="15" x14ac:dyDescent="0.25">
      <c r="A23" s="70">
        <v>14</v>
      </c>
      <c r="B23" s="69" t="s">
        <v>41</v>
      </c>
      <c r="C23" s="69" t="s">
        <v>151</v>
      </c>
      <c r="D23" s="69" t="s">
        <v>152</v>
      </c>
      <c r="E23" s="84" t="s">
        <v>42</v>
      </c>
      <c r="F23" s="67" t="s">
        <v>16</v>
      </c>
      <c r="G23" s="66">
        <v>200</v>
      </c>
      <c r="H23" s="65">
        <v>180</v>
      </c>
      <c r="I23" s="64">
        <f t="shared" si="0"/>
        <v>36000</v>
      </c>
      <c r="J23"/>
      <c r="K23"/>
    </row>
    <row r="24" spans="1:11" ht="15" x14ac:dyDescent="0.25">
      <c r="A24" s="70">
        <v>15</v>
      </c>
      <c r="B24" s="69" t="s">
        <v>43</v>
      </c>
      <c r="C24" s="69" t="s">
        <v>151</v>
      </c>
      <c r="D24" s="69" t="s">
        <v>152</v>
      </c>
      <c r="E24" s="84" t="s">
        <v>44</v>
      </c>
      <c r="F24" s="67" t="s">
        <v>16</v>
      </c>
      <c r="G24" s="66">
        <v>200</v>
      </c>
      <c r="H24" s="65">
        <v>150</v>
      </c>
      <c r="I24" s="64">
        <f t="shared" si="0"/>
        <v>30000</v>
      </c>
      <c r="J24"/>
      <c r="K24"/>
    </row>
    <row r="25" spans="1:11" ht="30" x14ac:dyDescent="0.25">
      <c r="A25" s="70">
        <v>16</v>
      </c>
      <c r="B25" s="69" t="s">
        <v>45</v>
      </c>
      <c r="C25" s="69" t="s">
        <v>151</v>
      </c>
      <c r="D25" s="69" t="s">
        <v>152</v>
      </c>
      <c r="E25" s="84" t="s">
        <v>46</v>
      </c>
      <c r="F25" s="67" t="s">
        <v>16</v>
      </c>
      <c r="G25" s="66">
        <v>300</v>
      </c>
      <c r="H25" s="65">
        <v>620</v>
      </c>
      <c r="I25" s="64">
        <f t="shared" si="0"/>
        <v>186000</v>
      </c>
      <c r="J25"/>
      <c r="K25"/>
    </row>
    <row r="26" spans="1:11" ht="16.5" customHeight="1" x14ac:dyDescent="0.25">
      <c r="A26" s="70">
        <v>17</v>
      </c>
      <c r="B26" s="69" t="s">
        <v>47</v>
      </c>
      <c r="C26" s="69" t="s">
        <v>151</v>
      </c>
      <c r="D26" s="69" t="s">
        <v>152</v>
      </c>
      <c r="E26" s="84" t="s">
        <v>48</v>
      </c>
      <c r="F26" s="67" t="s">
        <v>16</v>
      </c>
      <c r="G26" s="66">
        <v>800</v>
      </c>
      <c r="H26" s="65">
        <v>130</v>
      </c>
      <c r="I26" s="64">
        <f t="shared" si="0"/>
        <v>104000</v>
      </c>
      <c r="J26"/>
      <c r="K26"/>
    </row>
    <row r="27" spans="1:11" ht="15" x14ac:dyDescent="0.25">
      <c r="A27" s="70">
        <v>18</v>
      </c>
      <c r="B27" s="69" t="s">
        <v>49</v>
      </c>
      <c r="C27" s="69" t="s">
        <v>151</v>
      </c>
      <c r="D27" s="69" t="s">
        <v>152</v>
      </c>
      <c r="E27" s="89" t="s">
        <v>50</v>
      </c>
      <c r="F27" s="67" t="s">
        <v>16</v>
      </c>
      <c r="G27" s="66">
        <v>500</v>
      </c>
      <c r="H27" s="65">
        <v>230</v>
      </c>
      <c r="I27" s="64">
        <f t="shared" si="0"/>
        <v>115000</v>
      </c>
      <c r="J27"/>
      <c r="K27"/>
    </row>
    <row r="28" spans="1:11" ht="45" x14ac:dyDescent="0.25">
      <c r="A28" s="70">
        <v>19</v>
      </c>
      <c r="B28" s="69" t="s">
        <v>51</v>
      </c>
      <c r="C28" s="69" t="s">
        <v>151</v>
      </c>
      <c r="D28" s="69" t="s">
        <v>152</v>
      </c>
      <c r="E28" s="84" t="s">
        <v>52</v>
      </c>
      <c r="F28" s="67" t="s">
        <v>16</v>
      </c>
      <c r="G28" s="66">
        <v>500</v>
      </c>
      <c r="H28" s="65">
        <v>780</v>
      </c>
      <c r="I28" s="64">
        <f t="shared" si="0"/>
        <v>390000</v>
      </c>
      <c r="J28"/>
      <c r="K28"/>
    </row>
    <row r="29" spans="1:11" ht="30" x14ac:dyDescent="0.25">
      <c r="A29" s="70">
        <v>20</v>
      </c>
      <c r="B29" s="69" t="s">
        <v>53</v>
      </c>
      <c r="C29" s="69" t="s">
        <v>151</v>
      </c>
      <c r="D29" s="69" t="s">
        <v>152</v>
      </c>
      <c r="E29" s="84" t="s">
        <v>54</v>
      </c>
      <c r="F29" s="67" t="s">
        <v>16</v>
      </c>
      <c r="G29" s="66">
        <v>300</v>
      </c>
      <c r="H29" s="65">
        <v>2490</v>
      </c>
      <c r="I29" s="64">
        <f t="shared" si="0"/>
        <v>747000</v>
      </c>
      <c r="J29"/>
      <c r="K29"/>
    </row>
    <row r="30" spans="1:11" ht="15" x14ac:dyDescent="0.25">
      <c r="A30" s="70">
        <v>21</v>
      </c>
      <c r="B30" s="69" t="s">
        <v>55</v>
      </c>
      <c r="C30" s="69" t="s">
        <v>151</v>
      </c>
      <c r="D30" s="69" t="s">
        <v>152</v>
      </c>
      <c r="E30" s="84" t="s">
        <v>56</v>
      </c>
      <c r="F30" s="67" t="s">
        <v>16</v>
      </c>
      <c r="G30" s="66">
        <v>600</v>
      </c>
      <c r="H30" s="65">
        <v>110</v>
      </c>
      <c r="I30" s="64">
        <f t="shared" si="0"/>
        <v>66000</v>
      </c>
      <c r="J30"/>
      <c r="K30"/>
    </row>
    <row r="31" spans="1:11" ht="47.25" customHeight="1" x14ac:dyDescent="0.25">
      <c r="A31" s="70">
        <v>22</v>
      </c>
      <c r="B31" s="69" t="s">
        <v>57</v>
      </c>
      <c r="C31" s="69" t="s">
        <v>151</v>
      </c>
      <c r="D31" s="69" t="s">
        <v>152</v>
      </c>
      <c r="E31" s="84" t="s">
        <v>58</v>
      </c>
      <c r="F31" s="67" t="s">
        <v>16</v>
      </c>
      <c r="G31" s="66">
        <v>300</v>
      </c>
      <c r="H31" s="65">
        <v>150</v>
      </c>
      <c r="I31" s="64">
        <f t="shared" si="0"/>
        <v>45000</v>
      </c>
      <c r="J31"/>
      <c r="K31"/>
    </row>
    <row r="32" spans="1:11" ht="33.75" customHeight="1" x14ac:dyDescent="0.25">
      <c r="A32" s="70">
        <v>23</v>
      </c>
      <c r="B32" s="69" t="s">
        <v>59</v>
      </c>
      <c r="C32" s="69" t="s">
        <v>151</v>
      </c>
      <c r="D32" s="69" t="s">
        <v>152</v>
      </c>
      <c r="E32" s="84" t="s">
        <v>60</v>
      </c>
      <c r="F32" s="67" t="s">
        <v>16</v>
      </c>
      <c r="G32" s="66">
        <v>700</v>
      </c>
      <c r="H32" s="65">
        <v>172</v>
      </c>
      <c r="I32" s="64">
        <f t="shared" si="0"/>
        <v>120400</v>
      </c>
      <c r="J32"/>
      <c r="K32"/>
    </row>
    <row r="33" spans="1:11" ht="30.75" customHeight="1" x14ac:dyDescent="0.25">
      <c r="A33" s="70">
        <v>24</v>
      </c>
      <c r="B33" s="69" t="s">
        <v>61</v>
      </c>
      <c r="C33" s="69" t="s">
        <v>151</v>
      </c>
      <c r="D33" s="69" t="s">
        <v>152</v>
      </c>
      <c r="E33" s="84" t="s">
        <v>62</v>
      </c>
      <c r="F33" s="67" t="s">
        <v>16</v>
      </c>
      <c r="G33" s="66">
        <v>500</v>
      </c>
      <c r="H33" s="65">
        <v>190</v>
      </c>
      <c r="I33" s="64">
        <f t="shared" si="0"/>
        <v>95000</v>
      </c>
      <c r="J33"/>
      <c r="K33"/>
    </row>
    <row r="34" spans="1:11" ht="39" customHeight="1" x14ac:dyDescent="0.25">
      <c r="A34" s="70">
        <v>25</v>
      </c>
      <c r="B34" s="69" t="s">
        <v>63</v>
      </c>
      <c r="C34" s="69" t="s">
        <v>151</v>
      </c>
      <c r="D34" s="69" t="s">
        <v>152</v>
      </c>
      <c r="E34" s="84" t="s">
        <v>64</v>
      </c>
      <c r="F34" s="67" t="s">
        <v>16</v>
      </c>
      <c r="G34" s="66">
        <v>500</v>
      </c>
      <c r="H34" s="65">
        <v>535</v>
      </c>
      <c r="I34" s="64">
        <f t="shared" si="0"/>
        <v>267500</v>
      </c>
      <c r="J34"/>
      <c r="K34"/>
    </row>
    <row r="35" spans="1:11" ht="15" x14ac:dyDescent="0.25">
      <c r="A35" s="70">
        <v>26</v>
      </c>
      <c r="B35" s="69" t="s">
        <v>65</v>
      </c>
      <c r="C35" s="69" t="s">
        <v>151</v>
      </c>
      <c r="D35" s="69" t="s">
        <v>152</v>
      </c>
      <c r="E35" s="84" t="s">
        <v>66</v>
      </c>
      <c r="F35" s="67" t="s">
        <v>16</v>
      </c>
      <c r="G35" s="66">
        <v>50</v>
      </c>
      <c r="H35" s="65">
        <v>900</v>
      </c>
      <c r="I35" s="64">
        <f t="shared" si="0"/>
        <v>45000</v>
      </c>
      <c r="J35"/>
      <c r="K35"/>
    </row>
    <row r="36" spans="1:11" ht="15" x14ac:dyDescent="0.25">
      <c r="A36" s="70">
        <v>27</v>
      </c>
      <c r="B36" s="69" t="s">
        <v>67</v>
      </c>
      <c r="C36" s="69" t="s">
        <v>151</v>
      </c>
      <c r="D36" s="69" t="s">
        <v>152</v>
      </c>
      <c r="E36" s="84" t="s">
        <v>68</v>
      </c>
      <c r="F36" s="67" t="s">
        <v>16</v>
      </c>
      <c r="G36" s="66">
        <v>50</v>
      </c>
      <c r="H36" s="65">
        <v>900</v>
      </c>
      <c r="I36" s="64">
        <f t="shared" si="0"/>
        <v>45000</v>
      </c>
      <c r="J36"/>
      <c r="K36"/>
    </row>
    <row r="37" spans="1:11" ht="18.75" customHeight="1" x14ac:dyDescent="0.25">
      <c r="A37" s="70">
        <v>28</v>
      </c>
      <c r="B37" s="69" t="s">
        <v>69</v>
      </c>
      <c r="C37" s="69" t="s">
        <v>151</v>
      </c>
      <c r="D37" s="69" t="s">
        <v>152</v>
      </c>
      <c r="E37" s="84" t="s">
        <v>70</v>
      </c>
      <c r="F37" s="67" t="s">
        <v>16</v>
      </c>
      <c r="G37" s="66">
        <v>80</v>
      </c>
      <c r="H37" s="65">
        <v>900</v>
      </c>
      <c r="I37" s="64">
        <f t="shared" si="0"/>
        <v>72000</v>
      </c>
      <c r="J37"/>
      <c r="K37"/>
    </row>
    <row r="38" spans="1:11" ht="18.75" customHeight="1" x14ac:dyDescent="0.25">
      <c r="A38" s="70">
        <v>29</v>
      </c>
      <c r="B38" s="69" t="s">
        <v>71</v>
      </c>
      <c r="C38" s="69" t="s">
        <v>151</v>
      </c>
      <c r="D38" s="69" t="s">
        <v>152</v>
      </c>
      <c r="E38" s="84" t="s">
        <v>72</v>
      </c>
      <c r="F38" s="67" t="s">
        <v>16</v>
      </c>
      <c r="G38" s="66">
        <v>80</v>
      </c>
      <c r="H38" s="65">
        <v>900</v>
      </c>
      <c r="I38" s="64">
        <f t="shared" si="0"/>
        <v>72000</v>
      </c>
      <c r="J38"/>
      <c r="K38"/>
    </row>
    <row r="39" spans="1:11" ht="18.75" customHeight="1" x14ac:dyDescent="0.25">
      <c r="A39" s="70">
        <v>30</v>
      </c>
      <c r="B39" s="69" t="s">
        <v>73</v>
      </c>
      <c r="C39" s="69" t="s">
        <v>151</v>
      </c>
      <c r="D39" s="69" t="s">
        <v>152</v>
      </c>
      <c r="E39" s="84" t="s">
        <v>74</v>
      </c>
      <c r="F39" s="67" t="s">
        <v>16</v>
      </c>
      <c r="G39" s="66">
        <v>80</v>
      </c>
      <c r="H39" s="65">
        <v>900</v>
      </c>
      <c r="I39" s="64">
        <f t="shared" si="0"/>
        <v>72000</v>
      </c>
      <c r="J39"/>
      <c r="K39"/>
    </row>
    <row r="40" spans="1:11" ht="18.75" customHeight="1" x14ac:dyDescent="0.25">
      <c r="A40" s="70">
        <v>31</v>
      </c>
      <c r="B40" s="69" t="s">
        <v>75</v>
      </c>
      <c r="C40" s="69" t="s">
        <v>151</v>
      </c>
      <c r="D40" s="69" t="s">
        <v>152</v>
      </c>
      <c r="E40" s="84" t="s">
        <v>76</v>
      </c>
      <c r="F40" s="67" t="s">
        <v>16</v>
      </c>
      <c r="G40" s="66">
        <v>80</v>
      </c>
      <c r="H40" s="65">
        <v>900</v>
      </c>
      <c r="I40" s="64">
        <f t="shared" si="0"/>
        <v>72000</v>
      </c>
      <c r="J40"/>
      <c r="K40"/>
    </row>
    <row r="41" spans="1:11" ht="15" x14ac:dyDescent="0.25">
      <c r="A41" s="70">
        <v>32</v>
      </c>
      <c r="B41" s="69" t="s">
        <v>77</v>
      </c>
      <c r="C41" s="69" t="s">
        <v>151</v>
      </c>
      <c r="D41" s="69" t="s">
        <v>152</v>
      </c>
      <c r="E41" s="84" t="s">
        <v>78</v>
      </c>
      <c r="F41" s="67" t="s">
        <v>16</v>
      </c>
      <c r="G41" s="66">
        <v>80</v>
      </c>
      <c r="H41" s="65">
        <v>900</v>
      </c>
      <c r="I41" s="64">
        <f t="shared" si="0"/>
        <v>72000</v>
      </c>
      <c r="J41"/>
      <c r="K41"/>
    </row>
    <row r="42" spans="1:11" ht="19.5" customHeight="1" x14ac:dyDescent="0.25">
      <c r="A42" s="70">
        <v>33</v>
      </c>
      <c r="B42" s="69" t="s">
        <v>79</v>
      </c>
      <c r="C42" s="69" t="s">
        <v>151</v>
      </c>
      <c r="D42" s="69" t="s">
        <v>152</v>
      </c>
      <c r="E42" s="84" t="s">
        <v>80</v>
      </c>
      <c r="F42" s="67" t="s">
        <v>16</v>
      </c>
      <c r="G42" s="66">
        <v>300</v>
      </c>
      <c r="H42" s="65">
        <v>200</v>
      </c>
      <c r="I42" s="64">
        <f t="shared" si="0"/>
        <v>60000</v>
      </c>
      <c r="J42"/>
      <c r="K42"/>
    </row>
    <row r="43" spans="1:11" ht="15" x14ac:dyDescent="0.25">
      <c r="A43" s="70">
        <v>34</v>
      </c>
      <c r="B43" s="69" t="s">
        <v>81</v>
      </c>
      <c r="C43" s="69" t="s">
        <v>151</v>
      </c>
      <c r="D43" s="69" t="s">
        <v>152</v>
      </c>
      <c r="E43" s="84" t="s">
        <v>82</v>
      </c>
      <c r="F43" s="67" t="s">
        <v>16</v>
      </c>
      <c r="G43" s="66">
        <v>1000</v>
      </c>
      <c r="H43" s="65">
        <v>80</v>
      </c>
      <c r="I43" s="64">
        <f t="shared" si="0"/>
        <v>80000</v>
      </c>
      <c r="J43"/>
      <c r="K43"/>
    </row>
    <row r="44" spans="1:11" ht="45" x14ac:dyDescent="0.25">
      <c r="A44" s="70">
        <v>35</v>
      </c>
      <c r="B44" s="69" t="s">
        <v>83</v>
      </c>
      <c r="C44" s="69" t="s">
        <v>151</v>
      </c>
      <c r="D44" s="69" t="s">
        <v>152</v>
      </c>
      <c r="E44" s="84" t="s">
        <v>84</v>
      </c>
      <c r="F44" s="67" t="s">
        <v>16</v>
      </c>
      <c r="G44" s="66">
        <v>300</v>
      </c>
      <c r="H44" s="65">
        <v>180</v>
      </c>
      <c r="I44" s="64">
        <f>(G44*H44)</f>
        <v>54000</v>
      </c>
      <c r="J44"/>
      <c r="K44"/>
    </row>
    <row r="45" spans="1:11" ht="30" x14ac:dyDescent="0.25">
      <c r="A45" s="70">
        <v>36</v>
      </c>
      <c r="B45" s="69" t="s">
        <v>85</v>
      </c>
      <c r="C45" s="69" t="s">
        <v>151</v>
      </c>
      <c r="D45" s="69" t="s">
        <v>152</v>
      </c>
      <c r="E45" s="84" t="s">
        <v>86</v>
      </c>
      <c r="F45" s="67" t="s">
        <v>16</v>
      </c>
      <c r="G45" s="66">
        <v>300</v>
      </c>
      <c r="H45" s="65">
        <v>300</v>
      </c>
      <c r="I45" s="64">
        <f>(G45*H45)</f>
        <v>90000</v>
      </c>
      <c r="J45"/>
      <c r="K45"/>
    </row>
    <row r="46" spans="1:11" ht="30" x14ac:dyDescent="0.25">
      <c r="A46" s="70">
        <v>37</v>
      </c>
      <c r="B46" s="69" t="s">
        <v>87</v>
      </c>
      <c r="C46" s="69" t="s">
        <v>151</v>
      </c>
      <c r="D46" s="69" t="s">
        <v>152</v>
      </c>
      <c r="E46" s="84" t="s">
        <v>88</v>
      </c>
      <c r="F46" s="67" t="s">
        <v>16</v>
      </c>
      <c r="G46" s="66">
        <v>600</v>
      </c>
      <c r="H46" s="65">
        <v>970</v>
      </c>
      <c r="I46" s="64">
        <f>(G46*H46)</f>
        <v>582000</v>
      </c>
      <c r="J46"/>
      <c r="K46"/>
    </row>
    <row r="47" spans="1:11" ht="15" x14ac:dyDescent="0.25">
      <c r="A47" s="70">
        <v>38</v>
      </c>
      <c r="B47" s="69" t="s">
        <v>89</v>
      </c>
      <c r="C47" s="69" t="s">
        <v>151</v>
      </c>
      <c r="D47" s="69" t="s">
        <v>152</v>
      </c>
      <c r="E47" s="84" t="s">
        <v>90</v>
      </c>
      <c r="F47" s="67" t="s">
        <v>16</v>
      </c>
      <c r="G47" s="66">
        <v>50</v>
      </c>
      <c r="H47" s="65">
        <v>900</v>
      </c>
      <c r="I47" s="64">
        <f t="shared" ref="I47" si="1">(G47*H47)</f>
        <v>45000</v>
      </c>
      <c r="J47"/>
      <c r="K47"/>
    </row>
    <row r="48" spans="1:11" ht="15" thickBot="1" x14ac:dyDescent="0.3">
      <c r="B48" s="61"/>
      <c r="C48" s="61"/>
      <c r="D48" s="61"/>
      <c r="I48" s="8">
        <f>SUM(I10:I47)</f>
        <v>5781400</v>
      </c>
      <c r="J48"/>
      <c r="K48"/>
    </row>
    <row r="49" spans="1:11" x14ac:dyDescent="0.25">
      <c r="B49" s="39" t="s">
        <v>91</v>
      </c>
      <c r="C49" s="91"/>
      <c r="D49" s="91"/>
      <c r="E49" s="40"/>
      <c r="F49" s="40"/>
      <c r="G49" s="41"/>
    </row>
    <row r="50" spans="1:11" ht="27" customHeight="1" x14ac:dyDescent="0.25">
      <c r="B50" s="85"/>
      <c r="C50" s="92"/>
      <c r="D50" s="92"/>
      <c r="E50" s="117" t="s">
        <v>92</v>
      </c>
      <c r="F50" s="117"/>
      <c r="G50" s="118"/>
    </row>
    <row r="51" spans="1:11" ht="26.25" customHeight="1" thickBot="1" x14ac:dyDescent="0.3">
      <c r="B51" s="85"/>
      <c r="C51" s="92"/>
      <c r="D51" s="92"/>
      <c r="E51" s="119" t="s">
        <v>93</v>
      </c>
      <c r="F51" s="119"/>
      <c r="G51" s="120"/>
    </row>
    <row r="52" spans="1:11" ht="13.5" customHeight="1" x14ac:dyDescent="0.25">
      <c r="B52" s="39"/>
      <c r="C52" s="91"/>
      <c r="D52" s="91"/>
      <c r="E52" s="115" t="s">
        <v>94</v>
      </c>
      <c r="F52" s="115"/>
      <c r="G52" s="116"/>
    </row>
    <row r="53" spans="1:11" s="1" customFormat="1" ht="103.5" customHeight="1" x14ac:dyDescent="0.25">
      <c r="A53" s="74"/>
      <c r="B53" s="75"/>
      <c r="C53" s="93"/>
      <c r="D53" s="93"/>
      <c r="E53" s="111"/>
      <c r="F53" s="111"/>
      <c r="G53" s="112"/>
      <c r="H53" s="74"/>
      <c r="I53" s="74"/>
      <c r="J53" s="74"/>
      <c r="K53" s="76"/>
    </row>
    <row r="54" spans="1:11" s="1" customFormat="1" ht="10.5" customHeight="1" x14ac:dyDescent="0.25">
      <c r="A54" s="74"/>
      <c r="B54" s="75"/>
      <c r="C54" s="93"/>
      <c r="D54" s="93"/>
      <c r="E54" s="109"/>
      <c r="F54" s="109"/>
      <c r="G54" s="110"/>
      <c r="H54" s="74"/>
      <c r="I54" s="74"/>
      <c r="J54" s="74"/>
      <c r="K54" s="76"/>
    </row>
    <row r="55" spans="1:11" s="83" customFormat="1" ht="25.5" customHeight="1" thickBot="1" x14ac:dyDescent="0.25">
      <c r="A55" s="77"/>
      <c r="B55" s="78"/>
      <c r="C55" s="94"/>
      <c r="D55" s="94"/>
      <c r="E55" s="79"/>
      <c r="F55" s="80"/>
      <c r="G55" s="81"/>
      <c r="H55" s="77"/>
      <c r="I55" s="77"/>
      <c r="J55" s="77"/>
      <c r="K55" s="82"/>
    </row>
    <row r="56" spans="1:11" ht="14.25" thickBot="1" x14ac:dyDescent="0.3">
      <c r="B56" s="63"/>
      <c r="C56" s="95"/>
      <c r="D56" s="95"/>
      <c r="E56" s="107"/>
      <c r="F56" s="107"/>
      <c r="G56" s="108"/>
    </row>
    <row r="57" spans="1:11" ht="14.25" thickBot="1" x14ac:dyDescent="0.3">
      <c r="B57" s="44"/>
      <c r="C57" s="44"/>
      <c r="D57" s="44"/>
      <c r="E57" s="87"/>
      <c r="F57" s="87"/>
      <c r="G57" s="87"/>
    </row>
    <row r="58" spans="1:11" x14ac:dyDescent="0.25">
      <c r="B58" s="45" t="s">
        <v>95</v>
      </c>
      <c r="C58" s="96"/>
      <c r="D58" s="96"/>
      <c r="E58" s="46"/>
      <c r="F58" s="40"/>
      <c r="G58" s="47"/>
    </row>
    <row r="59" spans="1:11" ht="145.5" customHeight="1" x14ac:dyDescent="0.25">
      <c r="B59" s="48"/>
      <c r="C59" s="50"/>
      <c r="D59" s="50"/>
      <c r="E59" s="111" t="s">
        <v>96</v>
      </c>
      <c r="F59" s="111"/>
      <c r="G59" s="112"/>
    </row>
    <row r="60" spans="1:11" x14ac:dyDescent="0.25">
      <c r="B60" s="48"/>
      <c r="C60" s="50"/>
      <c r="D60" s="50"/>
      <c r="E60" s="113"/>
      <c r="F60" s="113"/>
      <c r="G60" s="114"/>
    </row>
    <row r="61" spans="1:11" x14ac:dyDescent="0.25">
      <c r="B61" s="49" t="s">
        <v>97</v>
      </c>
      <c r="C61" s="97"/>
      <c r="D61" s="97"/>
      <c r="E61" s="50"/>
      <c r="F61" s="42"/>
      <c r="G61" s="86"/>
    </row>
    <row r="62" spans="1:11" ht="69" customHeight="1" x14ac:dyDescent="0.25">
      <c r="B62" s="48"/>
      <c r="C62" s="50"/>
      <c r="D62" s="50"/>
      <c r="E62" s="111" t="s">
        <v>98</v>
      </c>
      <c r="F62" s="111"/>
      <c r="G62" s="112"/>
    </row>
    <row r="63" spans="1:11" ht="14.25" thickBot="1" x14ac:dyDescent="0.3">
      <c r="B63" s="51"/>
      <c r="C63" s="52"/>
      <c r="D63" s="52"/>
      <c r="E63" s="52"/>
      <c r="F63" s="52"/>
      <c r="G63" s="53"/>
    </row>
    <row r="64" spans="1:11" ht="14.25" thickBot="1" x14ac:dyDescent="0.3">
      <c r="B64" s="42"/>
      <c r="C64" s="42"/>
      <c r="D64" s="42"/>
      <c r="E64" s="42"/>
      <c r="F64" s="42"/>
      <c r="G64" s="42"/>
    </row>
    <row r="65" spans="2:7" x14ac:dyDescent="0.25">
      <c r="B65" s="45" t="s">
        <v>99</v>
      </c>
      <c r="C65" s="96"/>
      <c r="D65" s="96"/>
      <c r="E65" s="54"/>
      <c r="F65" s="54"/>
      <c r="G65" s="55"/>
    </row>
    <row r="66" spans="2:7" x14ac:dyDescent="0.25">
      <c r="B66" s="56"/>
      <c r="C66" s="98"/>
      <c r="D66" s="98"/>
      <c r="E66" s="103" t="s">
        <v>100</v>
      </c>
      <c r="F66" s="103"/>
      <c r="G66" s="104"/>
    </row>
    <row r="67" spans="2:7" x14ac:dyDescent="0.25">
      <c r="B67" s="57" t="s">
        <v>101</v>
      </c>
      <c r="C67" s="99"/>
      <c r="D67" s="99"/>
      <c r="E67" s="42"/>
      <c r="F67" s="42"/>
      <c r="G67" s="43"/>
    </row>
    <row r="68" spans="2:7" x14ac:dyDescent="0.25">
      <c r="B68" s="58"/>
      <c r="C68" s="100"/>
      <c r="D68" s="100"/>
      <c r="E68" s="105" t="s">
        <v>102</v>
      </c>
      <c r="F68" s="105"/>
      <c r="G68" s="106"/>
    </row>
    <row r="69" spans="2:7" ht="14.25" thickBot="1" x14ac:dyDescent="0.3">
      <c r="B69" s="59"/>
      <c r="C69" s="101"/>
      <c r="D69" s="101"/>
      <c r="E69" s="52"/>
      <c r="F69" s="52"/>
      <c r="G69" s="53"/>
    </row>
  </sheetData>
  <mergeCells count="17">
    <mergeCell ref="B2:J2"/>
    <mergeCell ref="A4:B4"/>
    <mergeCell ref="E4:G4"/>
    <mergeCell ref="A5:B5"/>
    <mergeCell ref="E5:G5"/>
    <mergeCell ref="E52:G53"/>
    <mergeCell ref="E50:G50"/>
    <mergeCell ref="E51:G51"/>
    <mergeCell ref="A6:B6"/>
    <mergeCell ref="A7:B7"/>
    <mergeCell ref="E66:G66"/>
    <mergeCell ref="E68:G68"/>
    <mergeCell ref="E56:G56"/>
    <mergeCell ref="E54:G54"/>
    <mergeCell ref="E62:G62"/>
    <mergeCell ref="E59:G59"/>
    <mergeCell ref="E60:G60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6"/>
  <sheetViews>
    <sheetView zoomScale="85" zoomScaleNormal="85" workbookViewId="0">
      <selection activeCell="K2" sqref="K2"/>
    </sheetView>
  </sheetViews>
  <sheetFormatPr baseColWidth="10" defaultColWidth="9.140625" defaultRowHeight="13.5" x14ac:dyDescent="0.25"/>
  <cols>
    <col min="1" max="1" width="5.42578125" style="28" customWidth="1"/>
    <col min="2" max="2" width="12.28515625" style="28" customWidth="1"/>
    <col min="3" max="3" width="14.140625" style="28" customWidth="1"/>
    <col min="4" max="4" width="26" style="28" customWidth="1"/>
    <col min="5" max="5" width="8" style="28" customWidth="1"/>
    <col min="6" max="6" width="7.85546875" style="28" customWidth="1"/>
    <col min="7" max="7" width="77.42578125" style="28" customWidth="1"/>
    <col min="8" max="8" width="8.42578125" style="28" customWidth="1"/>
    <col min="9" max="9" width="12" style="28" customWidth="1"/>
    <col min="10" max="10" width="11.42578125" style="28" customWidth="1"/>
    <col min="11" max="11" width="10.85546875" style="28" customWidth="1"/>
    <col min="12" max="14" width="5.85546875" style="28" customWidth="1"/>
    <col min="15" max="15" width="12.5703125" style="28" customWidth="1"/>
    <col min="16" max="1024" width="9.140625" style="28"/>
    <col min="1025" max="16384" width="9.140625" style="1"/>
  </cols>
  <sheetData>
    <row r="1" spans="1:1024" ht="18" customHeight="1" x14ac:dyDescent="0.25">
      <c r="A1" s="124" t="s">
        <v>103</v>
      </c>
      <c r="B1" s="124"/>
      <c r="C1" s="124"/>
      <c r="D1" s="124"/>
      <c r="E1" s="124"/>
      <c r="F1" s="124"/>
      <c r="G1" s="124"/>
      <c r="H1" s="124"/>
      <c r="I1" s="124"/>
      <c r="J1" s="26" t="s">
        <v>104</v>
      </c>
      <c r="K1" s="27" t="s">
        <v>105</v>
      </c>
    </row>
    <row r="2" spans="1:1024" ht="18.75" customHeight="1" thickBot="1" x14ac:dyDescent="0.3">
      <c r="A2" s="29"/>
      <c r="B2" s="29"/>
      <c r="C2" s="29"/>
      <c r="D2" s="30"/>
      <c r="E2" s="30"/>
      <c r="F2" s="30"/>
      <c r="G2" s="30"/>
      <c r="H2" s="30"/>
      <c r="I2" s="30"/>
      <c r="J2" s="30"/>
      <c r="K2" s="30"/>
    </row>
    <row r="3" spans="1:1024" ht="18.75" customHeight="1" thickBot="1" x14ac:dyDescent="0.3">
      <c r="A3" s="125" t="s">
        <v>106</v>
      </c>
      <c r="B3" s="125"/>
      <c r="C3" s="125"/>
      <c r="D3" s="130" t="str">
        <f>'Necesidades Trimestrales'!E4</f>
        <v>90 - Ministerio de Seguridad</v>
      </c>
      <c r="E3" s="130"/>
      <c r="F3" s="130"/>
      <c r="G3" s="130"/>
      <c r="H3" s="130"/>
      <c r="I3" s="130"/>
      <c r="J3" s="130"/>
      <c r="K3" s="130"/>
    </row>
    <row r="4" spans="1:1024" ht="18.75" customHeight="1" thickBot="1" x14ac:dyDescent="0.3">
      <c r="A4" s="129" t="s">
        <v>107</v>
      </c>
      <c r="B4" s="129"/>
      <c r="C4" s="129"/>
      <c r="D4" s="130" t="str">
        <f>'Necesidades Trimestrales'!E5</f>
        <v>7- Dirección Provincial de Administración de la Policía de la Provincia de Catamarca</v>
      </c>
      <c r="E4" s="130"/>
      <c r="F4" s="130"/>
      <c r="G4" s="130"/>
      <c r="H4" s="130"/>
      <c r="I4" s="130"/>
      <c r="J4" s="130"/>
      <c r="K4" s="130"/>
    </row>
    <row r="5" spans="1:1024" ht="18.75" customHeight="1" thickBot="1" x14ac:dyDescent="0.3">
      <c r="A5" s="129" t="s">
        <v>108</v>
      </c>
      <c r="B5" s="129"/>
      <c r="C5" s="129"/>
      <c r="D5" s="130" t="s">
        <v>109</v>
      </c>
      <c r="E5" s="130"/>
      <c r="F5" s="130"/>
      <c r="G5" s="130"/>
      <c r="H5" s="130"/>
      <c r="I5" s="130"/>
      <c r="J5" s="130"/>
      <c r="K5" s="130"/>
    </row>
    <row r="6" spans="1:1024" ht="16.5" customHeight="1" thickBot="1" x14ac:dyDescent="0.3">
      <c r="A6" s="125" t="s">
        <v>110</v>
      </c>
      <c r="B6" s="125"/>
      <c r="C6" s="125"/>
      <c r="D6" s="126" t="s">
        <v>111</v>
      </c>
      <c r="E6" s="127"/>
      <c r="F6" s="127"/>
      <c r="G6" s="127"/>
      <c r="H6" s="127"/>
      <c r="I6" s="127"/>
      <c r="J6" s="127"/>
      <c r="K6" s="128"/>
    </row>
    <row r="7" spans="1:1024" ht="16.5" customHeight="1" thickBot="1" x14ac:dyDescent="0.3">
      <c r="A7" s="129" t="s">
        <v>112</v>
      </c>
      <c r="B7" s="129"/>
      <c r="C7" s="129"/>
      <c r="D7" s="130" t="s">
        <v>113</v>
      </c>
      <c r="E7" s="130"/>
      <c r="F7" s="130"/>
      <c r="G7" s="130"/>
      <c r="H7" s="130"/>
      <c r="I7" s="130"/>
      <c r="J7" s="130"/>
      <c r="K7" s="130"/>
    </row>
    <row r="8" spans="1:1024" ht="16.5" customHeight="1" thickBot="1" x14ac:dyDescent="0.3">
      <c r="A8" s="140" t="s">
        <v>114</v>
      </c>
      <c r="B8" s="140"/>
      <c r="C8" s="140"/>
      <c r="D8" s="133" t="s">
        <v>115</v>
      </c>
      <c r="E8" s="127"/>
      <c r="F8" s="127"/>
      <c r="G8" s="127"/>
      <c r="H8" s="127"/>
      <c r="I8" s="127"/>
      <c r="J8" s="127"/>
      <c r="K8" s="128"/>
    </row>
    <row r="9" spans="1:1024" ht="18" thickBot="1" x14ac:dyDescent="0.3">
      <c r="A9" s="31"/>
      <c r="B9" s="31"/>
      <c r="C9" s="31"/>
      <c r="D9" s="32"/>
      <c r="E9" s="32"/>
      <c r="F9" s="32"/>
      <c r="G9" s="32"/>
      <c r="H9" s="32"/>
      <c r="I9" s="32"/>
      <c r="J9" s="32"/>
      <c r="K9" s="32"/>
    </row>
    <row r="10" spans="1:1024" ht="14.25" customHeight="1" thickBot="1" x14ac:dyDescent="0.3">
      <c r="A10" s="134" t="s">
        <v>116</v>
      </c>
      <c r="B10" s="135" t="s">
        <v>117</v>
      </c>
      <c r="C10" s="136" t="s">
        <v>118</v>
      </c>
      <c r="D10" s="137"/>
      <c r="E10" s="137"/>
      <c r="F10" s="137"/>
      <c r="G10" s="138"/>
      <c r="H10" s="139" t="s">
        <v>119</v>
      </c>
      <c r="I10" s="137" t="s">
        <v>120</v>
      </c>
      <c r="J10" s="137" t="s">
        <v>121</v>
      </c>
      <c r="K10" s="138" t="s">
        <v>122</v>
      </c>
    </row>
    <row r="11" spans="1:1024" ht="14.25" customHeight="1" thickBot="1" x14ac:dyDescent="0.3">
      <c r="A11" s="134"/>
      <c r="B11" s="135"/>
      <c r="C11" s="136"/>
      <c r="D11" s="137"/>
      <c r="E11" s="137"/>
      <c r="F11" s="137"/>
      <c r="G11" s="138"/>
      <c r="H11" s="139"/>
      <c r="I11" s="137"/>
      <c r="J11" s="137"/>
      <c r="K11" s="138"/>
    </row>
    <row r="12" spans="1:1024" ht="22.5" customHeight="1" thickBot="1" x14ac:dyDescent="0.3">
      <c r="A12" s="33">
        <v>1</v>
      </c>
      <c r="B12" s="62" t="e">
        <f>'Necesidades Trimestrales'!#REF!</f>
        <v>#REF!</v>
      </c>
      <c r="C12" s="141" t="e">
        <f>'Necesidades Trimestrales'!#REF!</f>
        <v>#REF!</v>
      </c>
      <c r="D12" s="142"/>
      <c r="E12" s="142"/>
      <c r="F12" s="142"/>
      <c r="G12" s="143"/>
      <c r="H12" s="34" t="s">
        <v>123</v>
      </c>
      <c r="I12" s="35" t="e">
        <f>'Necesidades Trimestrales'!#REF!</f>
        <v>#REF!</v>
      </c>
      <c r="J12" s="36" t="e">
        <f>'Necesidades Trimestrales'!#REF!</f>
        <v>#REF!</v>
      </c>
      <c r="K12" s="37" t="e">
        <f>'Necesidades Trimestrales'!#REF!</f>
        <v>#REF!</v>
      </c>
    </row>
    <row r="13" spans="1:1024" ht="22.5" customHeight="1" thickBot="1" x14ac:dyDescent="0.3">
      <c r="A13" s="33"/>
      <c r="B13" s="62" t="e">
        <f>'Necesidades Trimestrales'!#REF!</f>
        <v>#REF!</v>
      </c>
      <c r="C13" s="141" t="e">
        <f>'Necesidades Trimestrales'!#REF!</f>
        <v>#REF!</v>
      </c>
      <c r="D13" s="142"/>
      <c r="E13" s="142"/>
      <c r="F13" s="142"/>
      <c r="G13" s="143"/>
      <c r="H13" s="34" t="s">
        <v>123</v>
      </c>
      <c r="I13" s="35" t="e">
        <f>'Necesidades Trimestrales'!#REF!</f>
        <v>#REF!</v>
      </c>
      <c r="J13" s="36" t="e">
        <f>'Necesidades Trimestrales'!#REF!</f>
        <v>#REF!</v>
      </c>
      <c r="K13" s="37" t="e">
        <f>'Necesidades Trimestrales'!#REF!</f>
        <v>#REF!</v>
      </c>
    </row>
    <row r="14" spans="1:1024" ht="19.5" customHeight="1" x14ac:dyDescent="0.25">
      <c r="A14" s="33">
        <v>3</v>
      </c>
      <c r="B14" s="62" t="e">
        <f>'Necesidades Trimestrales'!#REF!</f>
        <v>#REF!</v>
      </c>
      <c r="C14" s="141" t="e">
        <f>'Necesidades Trimestrales'!#REF!</f>
        <v>#REF!</v>
      </c>
      <c r="D14" s="142"/>
      <c r="E14" s="142"/>
      <c r="F14" s="142"/>
      <c r="G14" s="143"/>
      <c r="H14" s="34" t="s">
        <v>123</v>
      </c>
      <c r="I14" s="35" t="e">
        <f>'Necesidades Trimestrales'!#REF!</f>
        <v>#REF!</v>
      </c>
      <c r="J14" s="36" t="e">
        <f>'Necesidades Trimestrales'!#REF!</f>
        <v>#REF!</v>
      </c>
      <c r="K14" s="37" t="e">
        <f>'Necesidades Trimestrales'!#REF!</f>
        <v>#REF!</v>
      </c>
    </row>
    <row r="15" spans="1:1024" ht="15.75" thickBot="1" x14ac:dyDescent="0.3">
      <c r="A15" s="131" t="s">
        <v>124</v>
      </c>
      <c r="B15" s="131"/>
      <c r="C15" s="131"/>
      <c r="D15" s="131"/>
      <c r="E15" s="131"/>
      <c r="F15" s="131"/>
      <c r="G15" s="131"/>
      <c r="H15" s="131"/>
      <c r="I15" s="131"/>
      <c r="J15" s="132">
        <f>'Necesidades Trimestrales'!I14</f>
        <v>115000</v>
      </c>
      <c r="K15" s="13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</row>
    <row r="16" spans="1:1024" x14ac:dyDescent="0.25">
      <c r="J16" s="38"/>
    </row>
  </sheetData>
  <mergeCells count="25">
    <mergeCell ref="A15:I15"/>
    <mergeCell ref="J15:K1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4:G14"/>
    <mergeCell ref="C12:G12"/>
    <mergeCell ref="C13:G13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topLeftCell="A7" workbookViewId="0">
      <selection activeCell="O15" sqref="O15:P15"/>
    </sheetView>
  </sheetViews>
  <sheetFormatPr baseColWidth="10" defaultColWidth="11" defaultRowHeight="13.5" x14ac:dyDescent="0.25"/>
  <cols>
    <col min="1" max="6" width="4.42578125" style="1" customWidth="1"/>
    <col min="7" max="7" width="4.42578125" style="4" customWidth="1"/>
    <col min="8" max="14" width="4.42578125" style="1" customWidth="1"/>
    <col min="15" max="16" width="14.85546875" style="1" customWidth="1"/>
    <col min="17" max="17" width="26.42578125" style="1" customWidth="1"/>
    <col min="18" max="16384" width="11" style="1"/>
  </cols>
  <sheetData>
    <row r="1" spans="1:17" ht="15.75" customHeight="1" x14ac:dyDescent="0.25">
      <c r="A1" s="144" t="s">
        <v>5</v>
      </c>
      <c r="B1" s="144"/>
      <c r="C1" s="144"/>
      <c r="D1" s="145">
        <f>'Necesidades Trimestrales'!E6</f>
        <v>2022</v>
      </c>
      <c r="E1" s="145"/>
      <c r="F1" s="9"/>
      <c r="G1" s="9"/>
      <c r="H1" s="10"/>
      <c r="I1" s="10"/>
      <c r="J1" s="10"/>
      <c r="K1" s="10"/>
      <c r="L1" s="10"/>
      <c r="M1" s="10"/>
      <c r="N1" s="10"/>
      <c r="P1" s="146" t="s">
        <v>125</v>
      </c>
      <c r="Q1" s="146"/>
    </row>
    <row r="2" spans="1:17" ht="15.75" customHeight="1" x14ac:dyDescent="0.25">
      <c r="H2" s="10"/>
      <c r="I2" s="10"/>
      <c r="J2" s="10"/>
      <c r="K2" s="10"/>
      <c r="L2" s="10"/>
      <c r="M2" s="10"/>
      <c r="N2" s="10"/>
      <c r="P2" s="146"/>
      <c r="Q2" s="146"/>
    </row>
    <row r="4" spans="1:17" ht="18" customHeight="1" thickBot="1" x14ac:dyDescent="0.35">
      <c r="A4" s="147" t="s">
        <v>126</v>
      </c>
      <c r="B4" s="147"/>
      <c r="C4" s="147"/>
      <c r="D4" s="147"/>
      <c r="E4" s="147"/>
      <c r="F4" s="147"/>
      <c r="G4" s="148" t="str">
        <f>' NotaPedido'!D3</f>
        <v>90 - Ministerio de Seguridad</v>
      </c>
      <c r="H4" s="148"/>
      <c r="I4" s="148"/>
      <c r="J4" s="148"/>
      <c r="K4" s="148"/>
      <c r="L4" s="148"/>
      <c r="M4" s="148"/>
      <c r="N4" s="148"/>
      <c r="O4" s="148"/>
      <c r="P4" s="148"/>
      <c r="Q4" s="148"/>
    </row>
    <row r="5" spans="1:17" ht="18" customHeight="1" thickBot="1" x14ac:dyDescent="0.35">
      <c r="A5" s="149" t="s">
        <v>107</v>
      </c>
      <c r="B5" s="150"/>
      <c r="C5" s="150"/>
      <c r="D5" s="150"/>
      <c r="E5" s="150"/>
      <c r="F5" s="151"/>
      <c r="G5" s="148" t="str">
        <f>' NotaPedido'!D4</f>
        <v>7- Dirección Provincial de Administración de la Policía de la Provincia de Catamarca</v>
      </c>
      <c r="H5" s="148"/>
      <c r="I5" s="148"/>
      <c r="J5" s="148"/>
      <c r="K5" s="148"/>
      <c r="L5" s="148"/>
      <c r="M5" s="148"/>
      <c r="N5" s="148"/>
      <c r="O5" s="148"/>
      <c r="P5" s="148"/>
      <c r="Q5" s="148"/>
    </row>
    <row r="6" spans="1:17" ht="18" customHeight="1" thickBot="1" x14ac:dyDescent="0.35">
      <c r="A6" s="149" t="s">
        <v>108</v>
      </c>
      <c r="B6" s="150"/>
      <c r="C6" s="150"/>
      <c r="D6" s="150"/>
      <c r="E6" s="150"/>
      <c r="F6" s="151"/>
      <c r="G6" s="148" t="str">
        <f>' NotaPedido'!D5</f>
        <v>Policía de la Provincia de Catamarca</v>
      </c>
      <c r="H6" s="148"/>
      <c r="I6" s="148"/>
      <c r="J6" s="148"/>
      <c r="K6" s="148"/>
      <c r="L6" s="148"/>
      <c r="M6" s="148"/>
      <c r="N6" s="148"/>
      <c r="O6" s="148"/>
      <c r="P6" s="148"/>
      <c r="Q6" s="148"/>
    </row>
    <row r="7" spans="1:17" ht="18" customHeight="1" thickBot="1" x14ac:dyDescent="0.35">
      <c r="A7" s="149" t="s">
        <v>110</v>
      </c>
      <c r="B7" s="150"/>
      <c r="C7" s="150"/>
      <c r="D7" s="150"/>
      <c r="E7" s="150"/>
      <c r="F7" s="151"/>
      <c r="G7" s="148" t="str">
        <f>' NotaPedido'!D6</f>
        <v>División Intendencia, Departamento Logística</v>
      </c>
      <c r="H7" s="148"/>
      <c r="I7" s="148"/>
      <c r="J7" s="148"/>
      <c r="K7" s="148"/>
      <c r="L7" s="148"/>
      <c r="M7" s="148"/>
      <c r="N7" s="148"/>
      <c r="O7" s="148"/>
      <c r="P7" s="148"/>
      <c r="Q7" s="148"/>
    </row>
    <row r="8" spans="1:17" ht="18" customHeight="1" thickBot="1" x14ac:dyDescent="0.3">
      <c r="A8" s="152" t="s">
        <v>127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</row>
    <row r="9" spans="1:17" ht="18" customHeight="1" x14ac:dyDescent="0.3">
      <c r="A9" s="153" t="s">
        <v>128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3"/>
      <c r="P9" s="3"/>
      <c r="Q9" s="11"/>
    </row>
    <row r="10" spans="1:17" ht="66.75" customHeight="1" x14ac:dyDescent="0.25">
      <c r="A10" s="154" t="str">
        <f>"Autorizo la realización de los  trámites correspondientes, a fin de proveer a  este Organismo los bienes y/o servicios que se detallan en Nota  de Pedido N° " &amp;'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81/2021,  afectando la erogación resultante a los créditos presupuestarios aprobados a favor de esta Unidad Ejecutora, conforme al siguiente detalle:</v>
      </c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</row>
    <row r="11" spans="1:17" ht="9" customHeight="1" x14ac:dyDescent="0.25">
      <c r="A11" s="12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5"/>
    </row>
    <row r="12" spans="1:17" ht="15.75" customHeight="1" x14ac:dyDescent="0.25">
      <c r="A12" s="155" t="s">
        <v>129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</row>
    <row r="13" spans="1:17" ht="15.75" customHeight="1" x14ac:dyDescent="0.25">
      <c r="A13" s="156" t="s">
        <v>130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7" t="s">
        <v>131</v>
      </c>
      <c r="P13" s="157"/>
      <c r="Q13" s="158" t="s">
        <v>132</v>
      </c>
    </row>
    <row r="14" spans="1:17" ht="15.75" customHeight="1" thickBot="1" x14ac:dyDescent="0.3">
      <c r="A14" s="16" t="s">
        <v>133</v>
      </c>
      <c r="B14" s="17" t="s">
        <v>134</v>
      </c>
      <c r="C14" s="17" t="s">
        <v>135</v>
      </c>
      <c r="D14" s="17" t="s">
        <v>136</v>
      </c>
      <c r="E14" s="17" t="s">
        <v>137</v>
      </c>
      <c r="F14" s="17" t="s">
        <v>138</v>
      </c>
      <c r="G14" s="18" t="s">
        <v>139</v>
      </c>
      <c r="H14" s="17" t="s">
        <v>140</v>
      </c>
      <c r="I14" s="17" t="s">
        <v>141</v>
      </c>
      <c r="J14" s="17" t="s">
        <v>142</v>
      </c>
      <c r="K14" s="17" t="s">
        <v>142</v>
      </c>
      <c r="L14" s="17" t="s">
        <v>143</v>
      </c>
      <c r="M14" s="19" t="s">
        <v>144</v>
      </c>
      <c r="N14" s="20" t="s">
        <v>145</v>
      </c>
      <c r="O14" s="157"/>
      <c r="P14" s="157"/>
      <c r="Q14" s="158"/>
    </row>
    <row r="15" spans="1:17" ht="26.25" customHeight="1" x14ac:dyDescent="0.25">
      <c r="A15" s="21">
        <v>16</v>
      </c>
      <c r="B15" s="22">
        <v>0</v>
      </c>
      <c r="C15" s="22">
        <v>0</v>
      </c>
      <c r="D15" s="22">
        <v>1</v>
      </c>
      <c r="E15" s="22">
        <v>0</v>
      </c>
      <c r="F15" s="22">
        <v>10</v>
      </c>
      <c r="G15" s="22">
        <v>2</v>
      </c>
      <c r="H15" s="22">
        <v>210</v>
      </c>
      <c r="I15" s="22">
        <v>2</v>
      </c>
      <c r="J15" s="22">
        <v>9</v>
      </c>
      <c r="K15" s="22">
        <v>1</v>
      </c>
      <c r="L15" s="22">
        <v>0</v>
      </c>
      <c r="M15" s="23">
        <v>1</v>
      </c>
      <c r="N15" s="22" t="s">
        <v>146</v>
      </c>
      <c r="O15" s="159" t="e">
        <f>'Necesidades Trimestrales'!#REF!</f>
        <v>#REF!</v>
      </c>
      <c r="P15" s="160"/>
      <c r="Q15" s="24">
        <f>' NotaPedido'!J15</f>
        <v>115000</v>
      </c>
    </row>
    <row r="16" spans="1:17" ht="33" customHeight="1" thickBot="1" x14ac:dyDescent="0.3">
      <c r="A16" s="172" t="s">
        <v>147</v>
      </c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25">
        <f>Q15</f>
        <v>115000</v>
      </c>
    </row>
    <row r="17" spans="1:17" ht="18" customHeight="1" thickBot="1" x14ac:dyDescent="0.3">
      <c r="A17" s="173"/>
      <c r="B17" s="174"/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5"/>
    </row>
    <row r="18" spans="1:17" ht="17.25" customHeight="1" thickBot="1" x14ac:dyDescent="0.3">
      <c r="A18" s="161" t="s">
        <v>148</v>
      </c>
      <c r="B18" s="162"/>
      <c r="C18" s="162"/>
      <c r="D18" s="162"/>
      <c r="E18" s="162"/>
      <c r="F18" s="163"/>
      <c r="G18" s="164"/>
      <c r="H18" s="165"/>
      <c r="I18" s="165"/>
      <c r="J18" s="165"/>
      <c r="K18" s="165"/>
      <c r="L18" s="165"/>
      <c r="M18" s="165"/>
      <c r="N18" s="165"/>
      <c r="O18" s="165"/>
      <c r="P18" s="165"/>
      <c r="Q18" s="165"/>
    </row>
    <row r="19" spans="1:17" ht="18" customHeight="1" x14ac:dyDescent="0.25">
      <c r="A19" s="166" t="str">
        <f>' NotaPedido'!D8</f>
        <v>Adquisición de Uniformes de Fajina para el personal policial.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8"/>
    </row>
    <row r="20" spans="1:17" ht="15" customHeight="1" thickBot="1" x14ac:dyDescent="0.3">
      <c r="A20" s="169"/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1"/>
    </row>
  </sheetData>
  <mergeCells count="24">
    <mergeCell ref="O15:P15"/>
    <mergeCell ref="A18:F18"/>
    <mergeCell ref="G18:Q18"/>
    <mergeCell ref="A19:Q20"/>
    <mergeCell ref="A16:P16"/>
    <mergeCell ref="A17:Q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USUARIO</cp:lastModifiedBy>
  <cp:revision>2</cp:revision>
  <dcterms:created xsi:type="dcterms:W3CDTF">2020-07-17T23:44:49Z</dcterms:created>
  <dcterms:modified xsi:type="dcterms:W3CDTF">2022-05-19T12:18:03Z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