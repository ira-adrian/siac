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0\PAC 4º trimestre 2020 NPE y APG\Desiertos Laboratorio y Farmacia del 3 Trim\Farmacia\Descartables\"/>
    </mc:Choice>
  </mc:AlternateContent>
  <bookViews>
    <workbookView xWindow="-120" yWindow="-120" windowWidth="19440" windowHeight="12240" tabRatio="500"/>
  </bookViews>
  <sheets>
    <sheet name="Necesidades Trimestrales" sheetId="1" r:id="rId1"/>
    <sheet name=" NotaPedido 249-20" sheetId="2" r:id="rId2"/>
    <sheet name="Autor Gastar" sheetId="3" r:id="rId3"/>
  </sheets>
  <definedNames>
    <definedName name="_xlnm._FilterDatabase" localSheetId="0" hidden="1">'Necesidades Trimestrales'!$A$9:$I$61</definedName>
    <definedName name="_xlnm.Print_Area" localSheetId="1">' NotaPedido 249-20'!$A$1:$K$68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I65" i="1" l="1"/>
  <c r="I64" i="1"/>
  <c r="I63" i="1"/>
  <c r="I62" i="1"/>
  <c r="I61" i="1"/>
  <c r="K67" i="2" l="1"/>
  <c r="J67" i="2"/>
  <c r="I67" i="2"/>
  <c r="C67" i="2"/>
  <c r="B67" i="2"/>
  <c r="K66" i="2"/>
  <c r="J66" i="2"/>
  <c r="I66" i="2"/>
  <c r="C66" i="2"/>
  <c r="B66" i="2"/>
  <c r="K65" i="2"/>
  <c r="J65" i="2"/>
  <c r="I65" i="2"/>
  <c r="C65" i="2"/>
  <c r="B65" i="2"/>
  <c r="K64" i="2"/>
  <c r="J64" i="2"/>
  <c r="I64" i="2"/>
  <c r="C64" i="2"/>
  <c r="B64" i="2"/>
  <c r="K63" i="2"/>
  <c r="J63" i="2"/>
  <c r="I63" i="2"/>
  <c r="C63" i="2"/>
  <c r="B63" i="2"/>
  <c r="K62" i="2"/>
  <c r="J62" i="2"/>
  <c r="I62" i="2"/>
  <c r="C62" i="2"/>
  <c r="B62" i="2"/>
  <c r="I60" i="1" l="1"/>
  <c r="D7" i="2" l="1"/>
  <c r="I49" i="1" l="1"/>
  <c r="I13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50" i="1"/>
  <c r="I51" i="1"/>
  <c r="I52" i="1"/>
  <c r="I53" i="1"/>
  <c r="I54" i="1"/>
  <c r="I55" i="1"/>
  <c r="I56" i="1"/>
  <c r="I57" i="1"/>
  <c r="I58" i="1"/>
  <c r="I59" i="1"/>
  <c r="I10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A10" i="3"/>
  <c r="K12" i="2"/>
  <c r="I12" i="2"/>
  <c r="C12" i="2"/>
  <c r="B12" i="2"/>
  <c r="J68" i="2" l="1"/>
  <c r="G6" i="3"/>
  <c r="G7" i="3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<sst xmlns="http://schemas.openxmlformats.org/spreadsheetml/2006/main" count="357" uniqueCount="134">
  <si>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</si>
  <si>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</si>
  <si>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</si>
  <si>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</si>
  <si>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</si>
  <si>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</si>
  <si>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</si>
  <si>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</si>
  <si>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</si>
  <si>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</si>
  <si>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</si>
  <si>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</si>
  <si>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</si>
  <si>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</si>
  <si>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</si>
  <si>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</si>
  <si>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</si>
  <si>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</si>
  <si>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</si>
  <si>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</si>
  <si>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</si>
  <si>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</si>
  <si>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</si>
  <si>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</si>
  <si>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</si>
  <si>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</si>
  <si>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</si>
  <si>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</si>
  <si>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</si>
  <si>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</si>
  <si>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</si>
  <si>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</si>
  <si>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</si>
  <si>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</si>
  <si>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</si>
  <si>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</si>
  <si>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</si>
  <si>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</si>
  <si>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</si>
  <si>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</si>
  <si>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</si>
  <si>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</si>
  <si>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</si>
  <si>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</si>
  <si>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</si>
  <si>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</si>
  <si>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</si>
  <si>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</si>
  <si>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</si>
  <si>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</si>
  <si>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</si>
  <si>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</si>
  <si>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</si>
  <si>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</si>
  <si>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</si>
  <si>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</si>
  <si>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28- Maternidad Provincial 25 de Mayo</t>
  </si>
  <si>
    <t>1.1</t>
  </si>
  <si>
    <t>PROD. MEDICO/FARMACEUTICOS/LAB</t>
  </si>
  <si>
    <t xml:space="preserve">NO </t>
  </si>
  <si>
    <t>UNIDAD</t>
  </si>
  <si>
    <t>,</t>
  </si>
  <si>
    <t xml:space="preserve">PROD. MEDICO/FARMACEUTICOS/LAB  </t>
  </si>
  <si>
    <t>Utiles Menores Medico, Quirurgico y de Laboratorio</t>
  </si>
  <si>
    <t>OBJETO:</t>
  </si>
  <si>
    <t>4to Trimestre</t>
  </si>
  <si>
    <t xml:space="preserve">169- Direccion Asistencial </t>
  </si>
  <si>
    <t>Unidad</t>
  </si>
  <si>
    <t>AGUJA DESCARTABLE 40/8</t>
  </si>
  <si>
    <t>AGUJA DESCARTABLE 50/8</t>
  </si>
  <si>
    <t>ALGODÓN  x 500 GRS.TIPO DONCELLA</t>
  </si>
  <si>
    <t>BAJALENGUA X 100 UNIDADES</t>
  </si>
  <si>
    <t>BOTAS ALTAS DESCARTABLES DE 30 GRAMOS CON TIRA EL PAR</t>
  </si>
  <si>
    <t>CAMISOLINES DES. SMS CON MANGAS Y PUÑO DE 1,40 MTS. DE LARGO, 30 GRS. COLOR AZUL</t>
  </si>
  <si>
    <t>CANULAS NASALES PARA OXIGENOTERAPIA -  ADULTOS</t>
  </si>
  <si>
    <t>CANULAS NASALES PARA OXIGENOTERAPIA - NEONATALES</t>
  </si>
  <si>
    <t>CATETER INTRAVENOSO Nº 22 TIPO HOSPIRA/BD</t>
  </si>
  <si>
    <t>CATETER INTRAVENOSO Nº 24 TIPO HOSPIRA/BD</t>
  </si>
  <si>
    <t>CATETER INTRAVENOSO Nº 26 TIPO HOSPIRA/BD</t>
  </si>
  <si>
    <t>CLORHEXIDINA 2 % SOLUCION x 250 ml.</t>
  </si>
  <si>
    <t>CLORHEXIDINA 4% JABON x 500 ML CON VALVULA DISPENSADORA TIPO NOVARA</t>
  </si>
  <si>
    <t>DETERGENTE MULTIENZIMATICO x 5 LITROS TIPO ADOX DM3 PLUS</t>
  </si>
  <si>
    <t>ELECTRODOS DESCARTABLES ADULTO TIPO 3M</t>
  </si>
  <si>
    <t xml:space="preserve">EQUIPO PARA ADM. SOLUC. MICROGOTERO TIPO V-17c/ ROLLER  </t>
  </si>
  <si>
    <t>EQUIPO PARA ADMINISTRACION DE SOLUCIONES  MACROGOTERO TIPO V-14 CON ROLLER</t>
  </si>
  <si>
    <t>GEL BASE PARA ECOGRAFIA  x 1kg</t>
  </si>
  <si>
    <t>GUANTES DE CIRUGIA ESTERIL Nº 6 1/2  ANATOMICOS , CAÑA LARGA SIN TALCO</t>
  </si>
  <si>
    <t>GUANTES DE CIRUGIA ESTERIL Nº 7   ANATOMICOS , CAÑA LARGA SIN TALCO</t>
  </si>
  <si>
    <t>GUANTES DE CIRUGIA ESTERIL Nº 7 1/2  ANATOMICOS , CAÑA LARGA SIN TALCO</t>
  </si>
  <si>
    <t>GUANTES DE CIRUGIA ESTERIL Nº 8   ANATOMICOS , CAÑA LARGA SIN TALCO</t>
  </si>
  <si>
    <t>HILO DE SUTURA N1 CON AGUJA TIPO VICRYL CODIGO J341</t>
  </si>
  <si>
    <t>HOJA DE BISTURI N° 24</t>
  </si>
  <si>
    <t>HOJA DE BISTURI Nº 11</t>
  </si>
  <si>
    <t>JERINGA P/INSULINA 100 UI CON AGUJA TIPO TERUMO</t>
  </si>
  <si>
    <t>JERINGA TUBERCULINA 1 CC. S/ AGUJA</t>
  </si>
  <si>
    <t>JERINGAS DE 20CC  S/AGUJA</t>
  </si>
  <si>
    <t>LLAVE 3 VIAS ESTERIL 360° LUERLOCK C/PROLONG. 15CM</t>
  </si>
  <si>
    <t>LLAVE 3 VIAS ESTERIL 360° LUERLOCK C/PROLONG. 30 CM</t>
  </si>
  <si>
    <t>LLAVE 3 VIAS ESTERIL 360° LUERLOCK C/PROLONG.50 CM</t>
  </si>
  <si>
    <t>LLAVE DE TRES VIA</t>
  </si>
  <si>
    <t>MASCARA CON BOLSA RESERVORIO</t>
  </si>
  <si>
    <t>PROLONGADOR PVC ESTERIL 2.6MM X1.5M</t>
  </si>
  <si>
    <t>SET DE VIA CENTRAL DOBLE LUMEN  7 FRENCH TIPO ARROW</t>
  </si>
  <si>
    <t>SET DE VIA CENTRAL DOBLE LUMEN 4  FRENCH  /13 CM 22/22 G TIPO ARROW</t>
  </si>
  <si>
    <t>SET DE VIA CENTRAL DOBLE LUMEN 4  FRENCH  /30 CM 22/22 G TIPO ARROW</t>
  </si>
  <si>
    <t>SET DE VIA CENTRAL SIMPLE LUMEN VIA 7 FRENCH TIPO ARROW</t>
  </si>
  <si>
    <t>SET PARA NEBULIZAR COMPLETO PIPETA+ MASCARA + TUBULADURA</t>
  </si>
  <si>
    <t>SONDA INTUB.GASTRICA K 9</t>
  </si>
  <si>
    <t>SONDA INTUB.GASTRICA K10</t>
  </si>
  <si>
    <t>SONDA INTUB.GASTRICA K11</t>
  </si>
  <si>
    <t>SONDA K32 CON REGULADOR</t>
  </si>
  <si>
    <t>SONDA NASOGASTRICA  K31</t>
  </si>
  <si>
    <t>SONDA NASOGASTRICA K 33</t>
  </si>
  <si>
    <t>SONDA NASOGASTRICA K 35</t>
  </si>
  <si>
    <t>SONDA NELATON PVC N° 12 T/K93</t>
  </si>
  <si>
    <t>SONDA P/ASPIRACION MUCUS K33P C/REGULADOR</t>
  </si>
  <si>
    <t>SONDA P/ASPIRACION MUCUS T/K31P C/REG.</t>
  </si>
  <si>
    <t>SONDA P/ASPIRACION MUCUS T/K35P C/REGULADOR</t>
  </si>
  <si>
    <t>TAPON INTERMITENTE TIPO BRAUN in stopper</t>
  </si>
  <si>
    <t>TELA ADHESIVA 2,5 MM X 9,00 MTS TIPO ADHESUR</t>
  </si>
  <si>
    <t>TELA ADHESIVA 5 MM X 9,00 MTS TIPO ADHESUR</t>
  </si>
  <si>
    <t>TELA ADHESIVA HIPOALERGENICA MICROPORE 2,5 CM TIPO 3 M</t>
  </si>
  <si>
    <t>TELA ADHESIVA HIPOALERGENICA TRANSPORE 2,5 CM TIPO 3 M</t>
  </si>
  <si>
    <t>Especificidades Item N° :</t>
  </si>
  <si>
    <t>HOJA DE BISTURI Nº 15</t>
  </si>
  <si>
    <t>2.9.5</t>
  </si>
  <si>
    <t>2.5.1</t>
  </si>
  <si>
    <t xml:space="preserve">Compuestos Quimicos </t>
  </si>
  <si>
    <t>Servicio de Farmacia</t>
  </si>
  <si>
    <t xml:space="preserve">Costo total estimado: Siete millones novecientos cuarenta y ocho mil ciento noventa y dos con 00/100 </t>
  </si>
  <si>
    <t>TOTAL DE PESOS: Siete millones novecientos cuarenta y ocho mil ciento noventa y dos con 00/100</t>
  </si>
  <si>
    <t>ADQUISICION  DESCARTABLES PARA FARMACIA</t>
  </si>
  <si>
    <t>287/2020</t>
  </si>
  <si>
    <t>Para la adquisición de descartables, para ser destinados al Servico de Farmacia de Maternidad Provincial 25 de Mayo.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</si>
</sst>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8"/>
      <name val="Arial"/>
      <family val="2"/>
      <charset val="1"/>
    </font>
    <font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  <charset val="1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13" fillId="0" borderId="43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0" xfId="0" applyFont="1" applyBorder="1"/>
    <xf numFmtId="0" fontId="15" fillId="0" borderId="11" xfId="0" applyFont="1" applyBorder="1"/>
    <xf numFmtId="0" fontId="21" fillId="0" borderId="10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3" xfId="0" applyFont="1" applyBorder="1"/>
    <xf numFmtId="0" fontId="15" fillId="0" borderId="14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1" xfId="0" applyFont="1" applyFill="1" applyBorder="1"/>
    <xf numFmtId="0" fontId="15" fillId="0" borderId="0" xfId="0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166" fontId="0" fillId="0" borderId="49" xfId="3" applyNumberFormat="1" applyFont="1" applyBorder="1" applyAlignment="1" applyProtection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35" xfId="0" applyFont="1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14" fillId="0" borderId="35" xfId="0" applyFont="1" applyBorder="1" applyAlignment="1">
      <alignment horizontal="right" vertical="center"/>
    </xf>
    <xf numFmtId="169" fontId="23" fillId="0" borderId="48" xfId="0" applyNumberFormat="1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4" fillId="0" borderId="50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69" fontId="19" fillId="0" borderId="6" xfId="0" applyNumberFormat="1" applyFont="1" applyBorder="1" applyAlignment="1">
      <alignment horizontal="center" vertical="center" wrapText="1"/>
    </xf>
    <xf numFmtId="169" fontId="26" fillId="0" borderId="6" xfId="0" applyNumberFormat="1" applyFont="1" applyBorder="1" applyAlignment="1">
      <alignment horizontal="center"/>
    </xf>
    <xf numFmtId="0" fontId="0" fillId="0" borderId="52" xfId="0" applyBorder="1"/>
    <xf numFmtId="0" fontId="13" fillId="0" borderId="6" xfId="0" applyFont="1" applyBorder="1" applyAlignment="1">
      <alignment horizontal="left" vertical="center"/>
    </xf>
    <xf numFmtId="0" fontId="15" fillId="0" borderId="11" xfId="0" applyFont="1" applyFill="1" applyBorder="1" applyAlignment="1">
      <alignment horizontal="center" wrapText="1"/>
    </xf>
    <xf numFmtId="0" fontId="14" fillId="0" borderId="6" xfId="0" applyFont="1" applyFill="1" applyBorder="1" applyAlignment="1">
      <alignment horizontal="center" vertical="center"/>
    </xf>
    <xf numFmtId="166" fontId="0" fillId="0" borderId="0" xfId="0" applyNumberFormat="1"/>
    <xf numFmtId="0" fontId="14" fillId="0" borderId="6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center" vertical="center" wrapText="1"/>
    </xf>
    <xf numFmtId="0" fontId="29" fillId="0" borderId="6" xfId="0" applyFont="1" applyBorder="1" applyAlignment="1">
      <alignment vertical="center" wrapText="1"/>
    </xf>
    <xf numFmtId="0" fontId="29" fillId="0" borderId="6" xfId="0" applyFont="1" applyBorder="1" applyAlignment="1">
      <alignment horizontal="left" vertical="center" wrapText="1"/>
    </xf>
    <xf numFmtId="0" fontId="19" fillId="0" borderId="55" xfId="0" applyFont="1" applyBorder="1" applyAlignment="1">
      <alignment horizontal="center" vertical="center" wrapText="1"/>
    </xf>
    <xf numFmtId="0" fontId="0" fillId="0" borderId="54" xfId="0" applyBorder="1" applyAlignment="1">
      <alignment vertical="center"/>
    </xf>
    <xf numFmtId="169" fontId="19" fillId="0" borderId="54" xfId="0" applyNumberFormat="1" applyFont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vertical="center"/>
    </xf>
    <xf numFmtId="2" fontId="0" fillId="0" borderId="6" xfId="0" applyNumberFormat="1" applyFont="1" applyFill="1" applyBorder="1" applyAlignment="1">
      <alignment vertical="center"/>
    </xf>
    <xf numFmtId="0" fontId="20" fillId="0" borderId="54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wrapText="1"/>
    </xf>
    <xf numFmtId="0" fontId="15" fillId="3" borderId="6" xfId="0" applyFont="1" applyFill="1" applyBorder="1" applyAlignment="1">
      <alignment horizontal="left" wrapText="1"/>
    </xf>
    <xf numFmtId="0" fontId="20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/>
    </xf>
    <xf numFmtId="2" fontId="0" fillId="3" borderId="6" xfId="0" applyNumberFormat="1" applyFont="1" applyFill="1" applyBorder="1" applyAlignment="1">
      <alignment vertical="center"/>
    </xf>
    <xf numFmtId="0" fontId="17" fillId="0" borderId="0" xfId="0" applyFont="1" applyBorder="1" applyAlignment="1">
      <alignment horizontal="left" vertical="center" wrapText="1"/>
    </xf>
    <xf numFmtId="0" fontId="15" fillId="0" borderId="11" xfId="0" applyFont="1" applyFill="1" applyBorder="1" applyAlignment="1">
      <alignment horizontal="center" wrapText="1"/>
    </xf>
    <xf numFmtId="0" fontId="15" fillId="0" borderId="11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/>
    </xf>
    <xf numFmtId="0" fontId="27" fillId="0" borderId="19" xfId="0" applyFont="1" applyFill="1" applyBorder="1" applyAlignment="1">
      <alignment horizontal="left" vertical="center" wrapText="1" indent="1"/>
    </xf>
    <xf numFmtId="0" fontId="0" fillId="0" borderId="26" xfId="0" applyFont="1" applyBorder="1" applyAlignment="1">
      <alignment horizontal="center"/>
    </xf>
    <xf numFmtId="3" fontId="9" fillId="0" borderId="27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11" fillId="0" borderId="16" xfId="0" applyFont="1" applyBorder="1" applyAlignment="1">
      <alignment horizontal="left" indent="1"/>
    </xf>
    <xf numFmtId="0" fontId="4" fillId="0" borderId="18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/>
    </xf>
    <xf numFmtId="0" fontId="28" fillId="0" borderId="18" xfId="0" applyFont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11" fillId="0" borderId="29" xfId="0" applyFont="1" applyBorder="1"/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9" fillId="0" borderId="26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1" fillId="0" borderId="43" xfId="0" applyFont="1" applyFill="1" applyBorder="1" applyAlignment="1">
      <alignment horizontal="left" vertical="center" wrapText="1" indent="1"/>
    </xf>
    <xf numFmtId="0" fontId="0" fillId="0" borderId="3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28" xfId="0" applyBorder="1" applyAlignment="1">
      <alignment wrapText="1"/>
    </xf>
    <xf numFmtId="169" fontId="15" fillId="0" borderId="0" xfId="0" applyNumberFormat="1" applyFont="1"/>
    <xf numFmtId="0" fontId="4" fillId="3" borderId="50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166" fontId="4" fillId="3" borderId="24" xfId="1" applyNumberFormat="1" applyFont="1" applyFill="1" applyBorder="1" applyAlignment="1" applyProtection="1">
      <alignment horizontal="right" vertical="center" wrapText="1"/>
    </xf>
    <xf numFmtId="3" fontId="4" fillId="3" borderId="24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left" vertical="center" wrapText="1" indent="1"/>
    </xf>
    <xf numFmtId="167" fontId="7" fillId="3" borderId="19" xfId="0" applyNumberFormat="1" applyFont="1" applyFill="1" applyBorder="1" applyAlignment="1">
      <alignment horizontal="center" vertical="center"/>
    </xf>
    <xf numFmtId="0" fontId="24" fillId="3" borderId="43" xfId="0" applyFont="1" applyFill="1" applyBorder="1" applyAlignment="1">
      <alignment horizontal="left" vertical="center"/>
    </xf>
    <xf numFmtId="166" fontId="0" fillId="3" borderId="49" xfId="3" applyNumberFormat="1" applyFont="1" applyFill="1" applyBorder="1" applyAlignment="1" applyProtection="1">
      <alignment horizontal="center" vertical="center"/>
    </xf>
    <xf numFmtId="49" fontId="6" fillId="3" borderId="16" xfId="0" applyNumberFormat="1" applyFont="1" applyFill="1" applyBorder="1" applyAlignment="1">
      <alignment horizontal="center" vertical="center"/>
    </xf>
    <xf numFmtId="0" fontId="11" fillId="3" borderId="30" xfId="0" applyFont="1" applyFill="1" applyBorder="1" applyAlignment="1">
      <alignment horizontal="left" vertical="center" wrapText="1" inden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1"/>
  <sheetViews>
    <sheetView tabSelected="1" zoomScale="80" zoomScaleNormal="80" workbookViewId="0">
      <selection activeCell="E38" sqref="E38"/>
    </sheetView>
  </sheetViews>
  <sheetFormatPr baseColWidth="10" defaultColWidth="11" defaultRowHeight="12.75" x14ac:dyDescent="0.2"/>
  <cols>
    <col min="1" max="1" width="4.5703125" style="30" customWidth="1"/>
    <col min="2" max="2" width="17.5703125" style="30" customWidth="1"/>
    <col min="3" max="3" width="38.28515625" style="30" customWidth="1"/>
    <col min="4" max="4" width="8.42578125" style="30" customWidth="1"/>
    <col min="5" max="5" width="89" style="30" customWidth="1"/>
    <col min="6" max="6" width="11" style="30"/>
    <col min="7" max="7" width="12.7109375" style="30" customWidth="1"/>
    <col min="8" max="8" width="17.140625" style="30" customWidth="1"/>
    <col min="9" max="9" width="18.5703125" style="30" customWidth="1"/>
    <col min="10" max="11" width="11" style="30"/>
    <col min="12" max="12" width="14.140625" style="30" bestFit="1" customWidth="1"/>
    <col min="13" max="16384" width="11" style="30"/>
  </cols>
  <sheetData>
    <row r="2" spans="1:11" ht="27" x14ac:dyDescent="0.35">
      <c r="B2" s="105" t="s">
        <v>0</v>
      </c>
      <c r="C2" s="105"/>
      <c r="D2" s="105"/>
      <c r="E2" s="105"/>
      <c r="F2" s="105"/>
      <c r="G2" s="105"/>
      <c r="H2" s="105"/>
    </row>
    <row r="4" spans="1:11" ht="18" customHeight="1" x14ac:dyDescent="0.25">
      <c r="A4" s="102" t="s">
        <v>1</v>
      </c>
      <c r="B4" s="102"/>
      <c r="C4" s="106" t="s">
        <v>55</v>
      </c>
      <c r="D4" s="106"/>
      <c r="E4" s="106"/>
      <c r="F4" s="31"/>
      <c r="G4" s="32"/>
      <c r="H4" s="31"/>
    </row>
    <row r="5" spans="1:11" ht="18" customHeight="1" x14ac:dyDescent="0.25">
      <c r="A5" s="102" t="s">
        <v>2</v>
      </c>
      <c r="B5" s="102"/>
      <c r="C5" s="106" t="s">
        <v>56</v>
      </c>
      <c r="D5" s="106"/>
      <c r="E5" s="106"/>
      <c r="F5" s="31"/>
      <c r="G5" s="32"/>
      <c r="H5" s="31"/>
    </row>
    <row r="6" spans="1:11" ht="16.5" customHeight="1" x14ac:dyDescent="0.25">
      <c r="A6" s="102" t="s">
        <v>3</v>
      </c>
      <c r="B6" s="102"/>
      <c r="C6" s="46">
        <v>2020</v>
      </c>
      <c r="D6" s="47"/>
      <c r="E6" s="47"/>
      <c r="F6" s="31"/>
      <c r="G6" s="32"/>
      <c r="H6" s="31"/>
    </row>
    <row r="7" spans="1:11" ht="16.5" customHeight="1" x14ac:dyDescent="0.25">
      <c r="A7" s="102" t="s">
        <v>4</v>
      </c>
      <c r="B7" s="102"/>
      <c r="C7" s="46" t="s">
        <v>65</v>
      </c>
      <c r="D7" s="47"/>
      <c r="E7" s="47"/>
      <c r="F7" s="31"/>
      <c r="G7" s="32"/>
      <c r="H7" s="31"/>
    </row>
    <row r="8" spans="1:11" ht="13.5" thickBot="1" x14ac:dyDescent="0.25">
      <c r="B8" s="31"/>
      <c r="C8" s="32"/>
      <c r="D8" s="31"/>
      <c r="E8" s="31"/>
      <c r="F8" s="31"/>
      <c r="G8" s="32"/>
      <c r="H8" s="31"/>
    </row>
    <row r="9" spans="1:11" ht="42.75" customHeight="1" thickTop="1" thickBot="1" x14ac:dyDescent="0.25">
      <c r="A9" s="33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3" t="s">
        <v>13</v>
      </c>
    </row>
    <row r="10" spans="1:11" ht="30" customHeight="1" x14ac:dyDescent="0.2">
      <c r="A10" s="58">
        <v>1</v>
      </c>
      <c r="B10" s="59"/>
      <c r="C10" s="60" t="s">
        <v>58</v>
      </c>
      <c r="D10" s="57" t="s">
        <v>125</v>
      </c>
      <c r="E10" s="87" t="s">
        <v>68</v>
      </c>
      <c r="F10" s="89" t="s">
        <v>60</v>
      </c>
      <c r="G10" s="90">
        <v>36000</v>
      </c>
      <c r="H10" s="92">
        <v>1.98</v>
      </c>
      <c r="I10" s="91">
        <f>G10*H10</f>
        <v>71280</v>
      </c>
    </row>
    <row r="11" spans="1:11" ht="32.25" customHeight="1" x14ac:dyDescent="0.2">
      <c r="A11" s="84">
        <v>2</v>
      </c>
      <c r="B11" s="86"/>
      <c r="C11" s="85" t="s">
        <v>62</v>
      </c>
      <c r="D11" s="94" t="s">
        <v>125</v>
      </c>
      <c r="E11" s="87" t="s">
        <v>69</v>
      </c>
      <c r="F11" s="51" t="s">
        <v>60</v>
      </c>
      <c r="G11" s="64">
        <v>1000</v>
      </c>
      <c r="H11" s="93">
        <v>198</v>
      </c>
      <c r="I11" s="77">
        <f t="shared" ref="I11:I51" si="0">G11*H11</f>
        <v>198000</v>
      </c>
    </row>
    <row r="12" spans="1:11" ht="33.75" customHeight="1" x14ac:dyDescent="0.2">
      <c r="A12" s="62">
        <v>3</v>
      </c>
      <c r="B12" s="62"/>
      <c r="C12" s="63" t="s">
        <v>58</v>
      </c>
      <c r="D12" s="34" t="s">
        <v>125</v>
      </c>
      <c r="E12" s="87" t="s">
        <v>70</v>
      </c>
      <c r="F12" s="51" t="s">
        <v>60</v>
      </c>
      <c r="G12" s="64">
        <v>1800</v>
      </c>
      <c r="H12" s="93">
        <v>348</v>
      </c>
      <c r="I12" s="77">
        <f t="shared" si="0"/>
        <v>626400</v>
      </c>
    </row>
    <row r="13" spans="1:11" ht="40.5" customHeight="1" x14ac:dyDescent="0.2">
      <c r="A13" s="62">
        <v>4</v>
      </c>
      <c r="B13" s="62"/>
      <c r="C13" s="63" t="s">
        <v>58</v>
      </c>
      <c r="D13" s="34" t="s">
        <v>125</v>
      </c>
      <c r="E13" s="87" t="s">
        <v>71</v>
      </c>
      <c r="F13" s="51" t="s">
        <v>60</v>
      </c>
      <c r="G13" s="64">
        <v>40</v>
      </c>
      <c r="H13" s="93">
        <v>148</v>
      </c>
      <c r="I13" s="77">
        <f t="shared" si="0"/>
        <v>5920</v>
      </c>
    </row>
    <row r="14" spans="1:11" ht="41.25" customHeight="1" x14ac:dyDescent="0.2">
      <c r="A14" s="62">
        <v>5</v>
      </c>
      <c r="B14" s="62"/>
      <c r="C14" s="63" t="s">
        <v>58</v>
      </c>
      <c r="D14" s="34" t="s">
        <v>125</v>
      </c>
      <c r="E14" s="87" t="s">
        <v>72</v>
      </c>
      <c r="F14" s="51" t="s">
        <v>60</v>
      </c>
      <c r="G14" s="64">
        <v>10000</v>
      </c>
      <c r="H14" s="93">
        <v>6.9</v>
      </c>
      <c r="I14" s="77">
        <f t="shared" si="0"/>
        <v>69000</v>
      </c>
      <c r="K14" s="30" t="s">
        <v>61</v>
      </c>
    </row>
    <row r="15" spans="1:11" ht="31.5" x14ac:dyDescent="0.2">
      <c r="A15" s="62">
        <v>6</v>
      </c>
      <c r="B15" s="62"/>
      <c r="C15" s="63" t="s">
        <v>58</v>
      </c>
      <c r="D15" s="34" t="s">
        <v>125</v>
      </c>
      <c r="E15" s="87" t="s">
        <v>73</v>
      </c>
      <c r="F15" s="51" t="s">
        <v>60</v>
      </c>
      <c r="G15" s="64">
        <v>8000</v>
      </c>
      <c r="H15" s="93">
        <v>49</v>
      </c>
      <c r="I15" s="77">
        <f t="shared" si="0"/>
        <v>392000</v>
      </c>
    </row>
    <row r="16" spans="1:11" ht="15.75" x14ac:dyDescent="0.2">
      <c r="A16" s="62">
        <v>7</v>
      </c>
      <c r="B16" s="62"/>
      <c r="C16" s="63" t="s">
        <v>58</v>
      </c>
      <c r="D16" s="34" t="s">
        <v>125</v>
      </c>
      <c r="E16" s="87" t="s">
        <v>74</v>
      </c>
      <c r="F16" s="51" t="s">
        <v>60</v>
      </c>
      <c r="G16" s="64">
        <v>300</v>
      </c>
      <c r="H16" s="93">
        <v>19</v>
      </c>
      <c r="I16" s="77">
        <f t="shared" si="0"/>
        <v>5700</v>
      </c>
    </row>
    <row r="17" spans="1:12" ht="15.75" x14ac:dyDescent="0.2">
      <c r="A17" s="62">
        <v>8</v>
      </c>
      <c r="B17" s="62"/>
      <c r="C17" s="63" t="s">
        <v>58</v>
      </c>
      <c r="D17" s="34" t="s">
        <v>125</v>
      </c>
      <c r="E17" s="87" t="s">
        <v>75</v>
      </c>
      <c r="F17" s="51" t="s">
        <v>60</v>
      </c>
      <c r="G17" s="64">
        <v>300</v>
      </c>
      <c r="H17" s="93">
        <v>22</v>
      </c>
      <c r="I17" s="77">
        <f t="shared" si="0"/>
        <v>6600</v>
      </c>
    </row>
    <row r="18" spans="1:12" ht="15.75" x14ac:dyDescent="0.2">
      <c r="A18" s="62">
        <v>9</v>
      </c>
      <c r="B18" s="62"/>
      <c r="C18" s="63" t="s">
        <v>58</v>
      </c>
      <c r="D18" s="34" t="s">
        <v>125</v>
      </c>
      <c r="E18" s="87" t="s">
        <v>76</v>
      </c>
      <c r="F18" s="51" t="s">
        <v>60</v>
      </c>
      <c r="G18" s="64">
        <v>100</v>
      </c>
      <c r="H18" s="93">
        <v>56</v>
      </c>
      <c r="I18" s="77">
        <f t="shared" si="0"/>
        <v>5600</v>
      </c>
    </row>
    <row r="19" spans="1:12" ht="39" customHeight="1" x14ac:dyDescent="0.2">
      <c r="A19" s="62">
        <v>10</v>
      </c>
      <c r="B19" s="62"/>
      <c r="C19" s="63" t="s">
        <v>58</v>
      </c>
      <c r="D19" s="34" t="s">
        <v>125</v>
      </c>
      <c r="E19" s="87" t="s">
        <v>77</v>
      </c>
      <c r="F19" s="51" t="s">
        <v>60</v>
      </c>
      <c r="G19" s="64">
        <v>6000</v>
      </c>
      <c r="H19" s="93">
        <v>56</v>
      </c>
      <c r="I19" s="77">
        <f t="shared" si="0"/>
        <v>336000</v>
      </c>
    </row>
    <row r="20" spans="1:12" ht="31.5" customHeight="1" x14ac:dyDescent="0.2">
      <c r="A20" s="62">
        <v>11</v>
      </c>
      <c r="B20" s="62"/>
      <c r="C20" s="63" t="s">
        <v>58</v>
      </c>
      <c r="D20" s="34" t="s">
        <v>125</v>
      </c>
      <c r="E20" s="87" t="s">
        <v>78</v>
      </c>
      <c r="F20" s="51" t="s">
        <v>60</v>
      </c>
      <c r="G20" s="64">
        <v>2000</v>
      </c>
      <c r="H20" s="93">
        <v>56</v>
      </c>
      <c r="I20" s="77">
        <f t="shared" si="0"/>
        <v>112000</v>
      </c>
    </row>
    <row r="21" spans="1:12" ht="30" customHeight="1" x14ac:dyDescent="0.2">
      <c r="A21" s="62">
        <v>12</v>
      </c>
      <c r="B21" s="62"/>
      <c r="C21" s="63" t="s">
        <v>58</v>
      </c>
      <c r="D21" s="34" t="s">
        <v>126</v>
      </c>
      <c r="E21" s="87" t="s">
        <v>79</v>
      </c>
      <c r="F21" s="51" t="s">
        <v>60</v>
      </c>
      <c r="G21" s="64">
        <v>720</v>
      </c>
      <c r="H21" s="93">
        <v>623</v>
      </c>
      <c r="I21" s="77">
        <f t="shared" si="0"/>
        <v>448560</v>
      </c>
      <c r="L21" s="155"/>
    </row>
    <row r="22" spans="1:12" ht="33" customHeight="1" x14ac:dyDescent="0.2">
      <c r="A22" s="62">
        <v>13</v>
      </c>
      <c r="B22" s="62"/>
      <c r="C22" s="63" t="s">
        <v>58</v>
      </c>
      <c r="D22" s="34" t="s">
        <v>126</v>
      </c>
      <c r="E22" s="87" t="s">
        <v>80</v>
      </c>
      <c r="F22" s="51" t="s">
        <v>60</v>
      </c>
      <c r="G22" s="64">
        <v>1600</v>
      </c>
      <c r="H22" s="93">
        <v>826</v>
      </c>
      <c r="I22" s="77">
        <f t="shared" si="0"/>
        <v>1321600</v>
      </c>
      <c r="L22" s="155"/>
    </row>
    <row r="23" spans="1:12" ht="34.5" customHeight="1" x14ac:dyDescent="0.2">
      <c r="A23" s="62">
        <v>14</v>
      </c>
      <c r="B23" s="62"/>
      <c r="C23" s="63" t="s">
        <v>58</v>
      </c>
      <c r="D23" s="34" t="s">
        <v>126</v>
      </c>
      <c r="E23" s="87" t="s">
        <v>81</v>
      </c>
      <c r="F23" s="51" t="s">
        <v>60</v>
      </c>
      <c r="G23" s="64">
        <v>72</v>
      </c>
      <c r="H23" s="93">
        <v>1690</v>
      </c>
      <c r="I23" s="77">
        <f t="shared" si="0"/>
        <v>121680</v>
      </c>
      <c r="L23" s="155"/>
    </row>
    <row r="24" spans="1:12" ht="32.25" customHeight="1" x14ac:dyDescent="0.2">
      <c r="A24" s="62">
        <v>15</v>
      </c>
      <c r="B24" s="62"/>
      <c r="C24" s="63" t="s">
        <v>58</v>
      </c>
      <c r="D24" s="34" t="s">
        <v>125</v>
      </c>
      <c r="E24" s="87" t="s">
        <v>82</v>
      </c>
      <c r="F24" s="51" t="s">
        <v>60</v>
      </c>
      <c r="G24" s="64">
        <v>5000</v>
      </c>
      <c r="H24" s="93">
        <v>12</v>
      </c>
      <c r="I24" s="77">
        <f t="shared" si="0"/>
        <v>60000</v>
      </c>
    </row>
    <row r="25" spans="1:12" ht="15.75" x14ac:dyDescent="0.2">
      <c r="A25" s="62">
        <v>16</v>
      </c>
      <c r="B25" s="62"/>
      <c r="C25" s="63" t="s">
        <v>58</v>
      </c>
      <c r="D25" s="34" t="s">
        <v>125</v>
      </c>
      <c r="E25" s="87" t="s">
        <v>83</v>
      </c>
      <c r="F25" s="51" t="s">
        <v>60</v>
      </c>
      <c r="G25" s="64">
        <v>800</v>
      </c>
      <c r="H25" s="93">
        <v>29</v>
      </c>
      <c r="I25" s="77">
        <f t="shared" si="0"/>
        <v>23200</v>
      </c>
    </row>
    <row r="26" spans="1:12" ht="33" customHeight="1" x14ac:dyDescent="0.2">
      <c r="A26" s="62">
        <v>17</v>
      </c>
      <c r="B26" s="62"/>
      <c r="C26" s="63" t="s">
        <v>58</v>
      </c>
      <c r="D26" s="34" t="s">
        <v>125</v>
      </c>
      <c r="E26" s="87" t="s">
        <v>84</v>
      </c>
      <c r="F26" s="51" t="s">
        <v>60</v>
      </c>
      <c r="G26" s="64">
        <v>7000</v>
      </c>
      <c r="H26" s="93">
        <v>31</v>
      </c>
      <c r="I26" s="77">
        <f t="shared" si="0"/>
        <v>217000</v>
      </c>
    </row>
    <row r="27" spans="1:12" ht="32.25" customHeight="1" x14ac:dyDescent="0.2">
      <c r="A27" s="62">
        <v>18</v>
      </c>
      <c r="B27" s="62"/>
      <c r="C27" s="63" t="s">
        <v>58</v>
      </c>
      <c r="D27" s="34" t="s">
        <v>126</v>
      </c>
      <c r="E27" s="87" t="s">
        <v>85</v>
      </c>
      <c r="F27" s="51" t="s">
        <v>60</v>
      </c>
      <c r="G27" s="64">
        <v>180</v>
      </c>
      <c r="H27" s="93">
        <v>256</v>
      </c>
      <c r="I27" s="77">
        <f t="shared" si="0"/>
        <v>46080</v>
      </c>
      <c r="L27" s="155"/>
    </row>
    <row r="28" spans="1:12" ht="32.25" customHeight="1" x14ac:dyDescent="0.2">
      <c r="A28" s="62">
        <v>19</v>
      </c>
      <c r="B28" s="62"/>
      <c r="C28" s="63" t="s">
        <v>58</v>
      </c>
      <c r="D28" s="34" t="s">
        <v>125</v>
      </c>
      <c r="E28" s="87" t="s">
        <v>86</v>
      </c>
      <c r="F28" s="51" t="s">
        <v>60</v>
      </c>
      <c r="G28" s="64">
        <v>1200</v>
      </c>
      <c r="H28" s="93">
        <v>21</v>
      </c>
      <c r="I28" s="77">
        <f t="shared" si="0"/>
        <v>25200</v>
      </c>
    </row>
    <row r="29" spans="1:12" ht="31.5" customHeight="1" x14ac:dyDescent="0.2">
      <c r="A29" s="62">
        <v>20</v>
      </c>
      <c r="B29" s="62"/>
      <c r="C29" s="63" t="s">
        <v>58</v>
      </c>
      <c r="D29" s="34" t="s">
        <v>125</v>
      </c>
      <c r="E29" s="87" t="s">
        <v>87</v>
      </c>
      <c r="F29" s="51" t="s">
        <v>60</v>
      </c>
      <c r="G29" s="64">
        <v>8000</v>
      </c>
      <c r="H29" s="93">
        <v>21</v>
      </c>
      <c r="I29" s="77">
        <f t="shared" si="0"/>
        <v>168000</v>
      </c>
    </row>
    <row r="30" spans="1:12" ht="28.5" customHeight="1" x14ac:dyDescent="0.2">
      <c r="A30" s="62">
        <v>21</v>
      </c>
      <c r="B30" s="62"/>
      <c r="C30" s="63" t="s">
        <v>58</v>
      </c>
      <c r="D30" s="34" t="s">
        <v>125</v>
      </c>
      <c r="E30" s="87" t="s">
        <v>88</v>
      </c>
      <c r="F30" s="51" t="s">
        <v>60</v>
      </c>
      <c r="G30" s="64">
        <v>8000</v>
      </c>
      <c r="H30" s="93">
        <v>21</v>
      </c>
      <c r="I30" s="77">
        <f t="shared" si="0"/>
        <v>168000</v>
      </c>
    </row>
    <row r="31" spans="1:12" ht="15.75" x14ac:dyDescent="0.2">
      <c r="A31" s="62">
        <v>22</v>
      </c>
      <c r="B31" s="62"/>
      <c r="C31" s="63" t="s">
        <v>58</v>
      </c>
      <c r="D31" s="34" t="s">
        <v>125</v>
      </c>
      <c r="E31" s="87" t="s">
        <v>89</v>
      </c>
      <c r="F31" s="51" t="s">
        <v>60</v>
      </c>
      <c r="G31" s="64">
        <v>3500</v>
      </c>
      <c r="H31" s="93">
        <v>20</v>
      </c>
      <c r="I31" s="77">
        <f t="shared" si="0"/>
        <v>70000</v>
      </c>
    </row>
    <row r="32" spans="1:12" ht="31.5" customHeight="1" x14ac:dyDescent="0.2">
      <c r="A32" s="62">
        <v>23</v>
      </c>
      <c r="B32" s="62"/>
      <c r="C32" s="63" t="s">
        <v>58</v>
      </c>
      <c r="D32" s="34" t="s">
        <v>125</v>
      </c>
      <c r="E32" s="88" t="s">
        <v>90</v>
      </c>
      <c r="F32" s="51" t="s">
        <v>60</v>
      </c>
      <c r="G32" s="64">
        <v>252</v>
      </c>
      <c r="H32" s="93">
        <v>456</v>
      </c>
      <c r="I32" s="77">
        <f t="shared" si="0"/>
        <v>114912</v>
      </c>
    </row>
    <row r="33" spans="1:9" ht="33" customHeight="1" x14ac:dyDescent="0.2">
      <c r="A33" s="62">
        <v>24</v>
      </c>
      <c r="B33" s="62"/>
      <c r="C33" s="63" t="s">
        <v>58</v>
      </c>
      <c r="D33" s="34" t="s">
        <v>125</v>
      </c>
      <c r="E33" s="87" t="s">
        <v>91</v>
      </c>
      <c r="F33" s="51" t="s">
        <v>60</v>
      </c>
      <c r="G33" s="64">
        <v>6000</v>
      </c>
      <c r="H33" s="93">
        <v>8</v>
      </c>
      <c r="I33" s="77">
        <f t="shared" si="0"/>
        <v>48000</v>
      </c>
    </row>
    <row r="34" spans="1:9" ht="28.5" customHeight="1" x14ac:dyDescent="0.2">
      <c r="A34" s="62">
        <v>25</v>
      </c>
      <c r="B34" s="62"/>
      <c r="C34" s="63" t="s">
        <v>58</v>
      </c>
      <c r="D34" s="34" t="s">
        <v>125</v>
      </c>
      <c r="E34" s="87" t="s">
        <v>92</v>
      </c>
      <c r="F34" s="51" t="s">
        <v>60</v>
      </c>
      <c r="G34" s="64">
        <v>4000</v>
      </c>
      <c r="H34" s="93">
        <v>6.67</v>
      </c>
      <c r="I34" s="77">
        <f t="shared" si="0"/>
        <v>26680</v>
      </c>
    </row>
    <row r="35" spans="1:9" ht="24" customHeight="1" x14ac:dyDescent="0.2">
      <c r="A35" s="62">
        <v>26</v>
      </c>
      <c r="B35" s="62"/>
      <c r="C35" s="63" t="s">
        <v>58</v>
      </c>
      <c r="D35" s="34" t="s">
        <v>125</v>
      </c>
      <c r="E35" s="87" t="s">
        <v>124</v>
      </c>
      <c r="F35" s="51" t="s">
        <v>60</v>
      </c>
      <c r="G35" s="64">
        <v>4000</v>
      </c>
      <c r="H35" s="93">
        <v>8</v>
      </c>
      <c r="I35" s="77">
        <f t="shared" si="0"/>
        <v>32000</v>
      </c>
    </row>
    <row r="36" spans="1:9" ht="26.25" customHeight="1" x14ac:dyDescent="0.2">
      <c r="A36" s="62">
        <v>27</v>
      </c>
      <c r="B36" s="62"/>
      <c r="C36" s="63" t="s">
        <v>58</v>
      </c>
      <c r="D36" s="34" t="s">
        <v>125</v>
      </c>
      <c r="E36" s="87" t="s">
        <v>93</v>
      </c>
      <c r="F36" s="51" t="s">
        <v>60</v>
      </c>
      <c r="G36" s="64">
        <v>6000</v>
      </c>
      <c r="H36" s="93">
        <v>7.9</v>
      </c>
      <c r="I36" s="77">
        <f t="shared" si="0"/>
        <v>47400</v>
      </c>
    </row>
    <row r="37" spans="1:9" ht="23.25" customHeight="1" x14ac:dyDescent="0.2">
      <c r="A37" s="62">
        <v>28</v>
      </c>
      <c r="B37" s="62"/>
      <c r="C37" s="63" t="s">
        <v>58</v>
      </c>
      <c r="D37" s="34" t="s">
        <v>125</v>
      </c>
      <c r="E37" s="87" t="s">
        <v>94</v>
      </c>
      <c r="F37" s="51" t="s">
        <v>60</v>
      </c>
      <c r="G37" s="64">
        <v>20000</v>
      </c>
      <c r="H37" s="93">
        <v>5.5</v>
      </c>
      <c r="I37" s="77">
        <f t="shared" si="0"/>
        <v>110000</v>
      </c>
    </row>
    <row r="38" spans="1:9" ht="15.75" x14ac:dyDescent="0.2">
      <c r="A38" s="62">
        <v>29</v>
      </c>
      <c r="B38" s="62"/>
      <c r="C38" s="63" t="s">
        <v>58</v>
      </c>
      <c r="D38" s="34" t="s">
        <v>125</v>
      </c>
      <c r="E38" s="87" t="s">
        <v>95</v>
      </c>
      <c r="F38" s="51" t="s">
        <v>60</v>
      </c>
      <c r="G38" s="64">
        <v>8000</v>
      </c>
      <c r="H38" s="93">
        <v>18</v>
      </c>
      <c r="I38" s="77">
        <f t="shared" si="0"/>
        <v>144000</v>
      </c>
    </row>
    <row r="39" spans="1:9" ht="25.5" customHeight="1" x14ac:dyDescent="0.2">
      <c r="A39" s="62">
        <v>30</v>
      </c>
      <c r="B39" s="62"/>
      <c r="C39" s="63" t="s">
        <v>58</v>
      </c>
      <c r="D39" s="34" t="s">
        <v>125</v>
      </c>
      <c r="E39" s="87" t="s">
        <v>96</v>
      </c>
      <c r="F39" s="51" t="s">
        <v>60</v>
      </c>
      <c r="G39" s="64">
        <v>1000</v>
      </c>
      <c r="H39" s="93">
        <v>16</v>
      </c>
      <c r="I39" s="77">
        <f t="shared" si="0"/>
        <v>16000</v>
      </c>
    </row>
    <row r="40" spans="1:9" ht="29.25" customHeight="1" x14ac:dyDescent="0.2">
      <c r="A40" s="62">
        <v>31</v>
      </c>
      <c r="B40" s="62"/>
      <c r="C40" s="63" t="s">
        <v>58</v>
      </c>
      <c r="D40" s="34" t="s">
        <v>125</v>
      </c>
      <c r="E40" s="87" t="s">
        <v>97</v>
      </c>
      <c r="F40" s="51" t="s">
        <v>60</v>
      </c>
      <c r="G40" s="64">
        <v>400</v>
      </c>
      <c r="H40" s="93">
        <v>19</v>
      </c>
      <c r="I40" s="77">
        <f t="shared" si="0"/>
        <v>7600</v>
      </c>
    </row>
    <row r="41" spans="1:9" ht="28.5" customHeight="1" x14ac:dyDescent="0.2">
      <c r="A41" s="62">
        <v>32</v>
      </c>
      <c r="B41" s="62"/>
      <c r="C41" s="63" t="s">
        <v>58</v>
      </c>
      <c r="D41" s="34" t="s">
        <v>125</v>
      </c>
      <c r="E41" s="87" t="s">
        <v>98</v>
      </c>
      <c r="F41" s="51" t="s">
        <v>60</v>
      </c>
      <c r="G41" s="64">
        <v>400</v>
      </c>
      <c r="H41" s="93">
        <v>22</v>
      </c>
      <c r="I41" s="77">
        <f t="shared" si="0"/>
        <v>8800</v>
      </c>
    </row>
    <row r="42" spans="1:9" ht="15.75" x14ac:dyDescent="0.2">
      <c r="A42" s="62">
        <v>33</v>
      </c>
      <c r="B42" s="62"/>
      <c r="C42" s="63" t="s">
        <v>58</v>
      </c>
      <c r="D42" s="34" t="s">
        <v>125</v>
      </c>
      <c r="E42" s="87" t="s">
        <v>99</v>
      </c>
      <c r="F42" s="51" t="s">
        <v>60</v>
      </c>
      <c r="G42" s="64">
        <v>1500</v>
      </c>
      <c r="H42" s="93">
        <v>13</v>
      </c>
      <c r="I42" s="77">
        <f t="shared" si="0"/>
        <v>19500</v>
      </c>
    </row>
    <row r="43" spans="1:9" ht="37.5" customHeight="1" x14ac:dyDescent="0.2">
      <c r="A43" s="62">
        <v>34</v>
      </c>
      <c r="B43" s="62"/>
      <c r="C43" s="63" t="s">
        <v>58</v>
      </c>
      <c r="D43" s="34" t="s">
        <v>125</v>
      </c>
      <c r="E43" s="87" t="s">
        <v>100</v>
      </c>
      <c r="F43" s="51" t="s">
        <v>60</v>
      </c>
      <c r="G43" s="64">
        <v>500</v>
      </c>
      <c r="H43" s="93">
        <v>189</v>
      </c>
      <c r="I43" s="77">
        <f t="shared" si="0"/>
        <v>94500</v>
      </c>
    </row>
    <row r="44" spans="1:9" ht="15.75" x14ac:dyDescent="0.2">
      <c r="A44" s="62">
        <v>35</v>
      </c>
      <c r="B44" s="62"/>
      <c r="C44" s="63" t="s">
        <v>58</v>
      </c>
      <c r="D44" s="34" t="s">
        <v>125</v>
      </c>
      <c r="E44" s="87" t="s">
        <v>101</v>
      </c>
      <c r="F44" s="51" t="s">
        <v>60</v>
      </c>
      <c r="G44" s="64">
        <v>10000</v>
      </c>
      <c r="H44" s="93">
        <v>69</v>
      </c>
      <c r="I44" s="77">
        <f t="shared" si="0"/>
        <v>690000</v>
      </c>
    </row>
    <row r="45" spans="1:9" ht="15.75" x14ac:dyDescent="0.2">
      <c r="A45" s="62">
        <v>36</v>
      </c>
      <c r="B45" s="62"/>
      <c r="C45" s="63" t="s">
        <v>58</v>
      </c>
      <c r="D45" s="34" t="s">
        <v>125</v>
      </c>
      <c r="E45" s="87" t="s">
        <v>102</v>
      </c>
      <c r="F45" s="51" t="s">
        <v>60</v>
      </c>
      <c r="G45" s="64">
        <v>10</v>
      </c>
      <c r="H45" s="93">
        <v>2690</v>
      </c>
      <c r="I45" s="77">
        <f t="shared" si="0"/>
        <v>26900</v>
      </c>
    </row>
    <row r="46" spans="1:9" ht="34.5" customHeight="1" x14ac:dyDescent="0.2">
      <c r="A46" s="62">
        <v>37</v>
      </c>
      <c r="B46" s="62"/>
      <c r="C46" s="63" t="s">
        <v>58</v>
      </c>
      <c r="D46" s="34" t="s">
        <v>125</v>
      </c>
      <c r="E46" s="87" t="s">
        <v>103</v>
      </c>
      <c r="F46" s="51" t="s">
        <v>60</v>
      </c>
      <c r="G46" s="64">
        <v>5</v>
      </c>
      <c r="H46" s="93">
        <v>5980</v>
      </c>
      <c r="I46" s="77">
        <f t="shared" si="0"/>
        <v>29900</v>
      </c>
    </row>
    <row r="47" spans="1:9" ht="19.5" customHeight="1" x14ac:dyDescent="0.2">
      <c r="A47" s="62">
        <v>38</v>
      </c>
      <c r="B47" s="62"/>
      <c r="C47" s="63" t="s">
        <v>58</v>
      </c>
      <c r="D47" s="34" t="s">
        <v>125</v>
      </c>
      <c r="E47" s="87" t="s">
        <v>104</v>
      </c>
      <c r="F47" s="51" t="s">
        <v>60</v>
      </c>
      <c r="G47" s="64">
        <v>5</v>
      </c>
      <c r="H47" s="93">
        <v>5980</v>
      </c>
      <c r="I47" s="77">
        <f t="shared" si="0"/>
        <v>29900</v>
      </c>
    </row>
    <row r="48" spans="1:9" ht="21" customHeight="1" x14ac:dyDescent="0.2">
      <c r="A48" s="62">
        <v>39</v>
      </c>
      <c r="B48" s="62"/>
      <c r="C48" s="63" t="s">
        <v>58</v>
      </c>
      <c r="D48" s="34" t="s">
        <v>125</v>
      </c>
      <c r="E48" s="88" t="s">
        <v>105</v>
      </c>
      <c r="F48" s="51" t="s">
        <v>60</v>
      </c>
      <c r="G48" s="64">
        <v>60</v>
      </c>
      <c r="H48" s="93">
        <v>8980</v>
      </c>
      <c r="I48" s="77">
        <f t="shared" si="0"/>
        <v>538800</v>
      </c>
    </row>
    <row r="49" spans="1:9" ht="21.75" customHeight="1" x14ac:dyDescent="0.2">
      <c r="A49" s="62">
        <v>40</v>
      </c>
      <c r="B49" s="62"/>
      <c r="C49" s="63" t="s">
        <v>58</v>
      </c>
      <c r="D49" s="34" t="s">
        <v>125</v>
      </c>
      <c r="E49" s="87" t="s">
        <v>106</v>
      </c>
      <c r="F49" s="51" t="s">
        <v>60</v>
      </c>
      <c r="G49" s="64">
        <v>100</v>
      </c>
      <c r="H49" s="93">
        <v>1690</v>
      </c>
      <c r="I49" s="77">
        <f t="shared" si="0"/>
        <v>169000</v>
      </c>
    </row>
    <row r="50" spans="1:9" ht="20.25" customHeight="1" x14ac:dyDescent="0.2">
      <c r="A50" s="62">
        <v>41</v>
      </c>
      <c r="B50" s="62"/>
      <c r="C50" s="63" t="s">
        <v>58</v>
      </c>
      <c r="D50" s="34" t="s">
        <v>125</v>
      </c>
      <c r="E50" s="87" t="s">
        <v>107</v>
      </c>
      <c r="F50" s="51" t="s">
        <v>60</v>
      </c>
      <c r="G50" s="64">
        <v>50</v>
      </c>
      <c r="H50" s="93">
        <v>36</v>
      </c>
      <c r="I50" s="77">
        <f t="shared" si="0"/>
        <v>1800</v>
      </c>
    </row>
    <row r="51" spans="1:9" ht="20.25" customHeight="1" x14ac:dyDescent="0.2">
      <c r="A51" s="62">
        <v>42</v>
      </c>
      <c r="B51" s="62"/>
      <c r="C51" s="63" t="s">
        <v>58</v>
      </c>
      <c r="D51" s="34" t="s">
        <v>125</v>
      </c>
      <c r="E51" s="87" t="s">
        <v>108</v>
      </c>
      <c r="F51" s="51" t="s">
        <v>60</v>
      </c>
      <c r="G51" s="64">
        <v>50</v>
      </c>
      <c r="H51" s="93">
        <v>36</v>
      </c>
      <c r="I51" s="77">
        <f t="shared" si="0"/>
        <v>1800</v>
      </c>
    </row>
    <row r="52" spans="1:9" ht="31.5" customHeight="1" x14ac:dyDescent="0.2">
      <c r="A52" s="62">
        <v>43</v>
      </c>
      <c r="B52" s="62"/>
      <c r="C52" s="63" t="s">
        <v>58</v>
      </c>
      <c r="D52" s="34" t="s">
        <v>125</v>
      </c>
      <c r="E52" s="87" t="s">
        <v>109</v>
      </c>
      <c r="F52" s="51" t="s">
        <v>60</v>
      </c>
      <c r="G52" s="64">
        <v>50</v>
      </c>
      <c r="H52" s="93">
        <v>36</v>
      </c>
      <c r="I52" s="77">
        <f t="shared" ref="I52:I59" si="1">G52*H52</f>
        <v>1800</v>
      </c>
    </row>
    <row r="53" spans="1:9" ht="27.75" customHeight="1" x14ac:dyDescent="0.2">
      <c r="A53" s="62">
        <v>44</v>
      </c>
      <c r="B53" s="62"/>
      <c r="C53" s="63" t="s">
        <v>58</v>
      </c>
      <c r="D53" s="34" t="s">
        <v>125</v>
      </c>
      <c r="E53" s="87" t="s">
        <v>110</v>
      </c>
      <c r="F53" s="51" t="s">
        <v>60</v>
      </c>
      <c r="G53" s="64">
        <v>200</v>
      </c>
      <c r="H53" s="93">
        <v>45</v>
      </c>
      <c r="I53" s="76">
        <f t="shared" si="1"/>
        <v>9000</v>
      </c>
    </row>
    <row r="54" spans="1:9" ht="30" customHeight="1" x14ac:dyDescent="0.2">
      <c r="A54" s="62">
        <v>45</v>
      </c>
      <c r="B54" s="62"/>
      <c r="C54" s="63" t="s">
        <v>58</v>
      </c>
      <c r="D54" s="34" t="s">
        <v>125</v>
      </c>
      <c r="E54" s="87" t="s">
        <v>111</v>
      </c>
      <c r="F54" s="51" t="s">
        <v>60</v>
      </c>
      <c r="G54" s="64">
        <v>800</v>
      </c>
      <c r="H54" s="93">
        <v>36</v>
      </c>
      <c r="I54" s="77">
        <f t="shared" si="1"/>
        <v>28800</v>
      </c>
    </row>
    <row r="55" spans="1:9" ht="26.25" customHeight="1" x14ac:dyDescent="0.2">
      <c r="A55" s="62">
        <v>46</v>
      </c>
      <c r="B55" s="62"/>
      <c r="C55" s="63" t="s">
        <v>58</v>
      </c>
      <c r="D55" s="34" t="s">
        <v>125</v>
      </c>
      <c r="E55" s="87" t="s">
        <v>112</v>
      </c>
      <c r="F55" s="51" t="s">
        <v>60</v>
      </c>
      <c r="G55" s="64">
        <v>5400</v>
      </c>
      <c r="H55" s="93">
        <v>36</v>
      </c>
      <c r="I55" s="77">
        <f t="shared" si="1"/>
        <v>194400</v>
      </c>
    </row>
    <row r="56" spans="1:9" ht="35.25" customHeight="1" x14ac:dyDescent="0.2">
      <c r="A56" s="62">
        <v>47</v>
      </c>
      <c r="B56" s="62"/>
      <c r="C56" s="63" t="s">
        <v>58</v>
      </c>
      <c r="D56" s="34" t="s">
        <v>125</v>
      </c>
      <c r="E56" s="87" t="s">
        <v>113</v>
      </c>
      <c r="F56" s="51" t="s">
        <v>60</v>
      </c>
      <c r="G56" s="64">
        <v>4500</v>
      </c>
      <c r="H56" s="93">
        <v>36</v>
      </c>
      <c r="I56" s="77">
        <f t="shared" si="1"/>
        <v>162000</v>
      </c>
    </row>
    <row r="57" spans="1:9" ht="29.25" customHeight="1" x14ac:dyDescent="0.2">
      <c r="A57" s="62">
        <v>48</v>
      </c>
      <c r="B57" s="64"/>
      <c r="C57" s="64" t="s">
        <v>58</v>
      </c>
      <c r="D57" s="34" t="s">
        <v>125</v>
      </c>
      <c r="E57" s="87" t="s">
        <v>114</v>
      </c>
      <c r="F57" s="51" t="s">
        <v>60</v>
      </c>
      <c r="G57" s="64">
        <v>2000</v>
      </c>
      <c r="H57" s="93">
        <v>56</v>
      </c>
      <c r="I57" s="77">
        <f t="shared" si="1"/>
        <v>112000</v>
      </c>
    </row>
    <row r="58" spans="1:9" ht="34.5" customHeight="1" x14ac:dyDescent="0.2">
      <c r="A58" s="62">
        <v>49</v>
      </c>
      <c r="B58" s="64"/>
      <c r="C58" s="64" t="s">
        <v>58</v>
      </c>
      <c r="D58" s="34" t="s">
        <v>125</v>
      </c>
      <c r="E58" s="87" t="s">
        <v>115</v>
      </c>
      <c r="F58" s="51" t="s">
        <v>60</v>
      </c>
      <c r="G58" s="64">
        <v>5400</v>
      </c>
      <c r="H58" s="93">
        <v>38</v>
      </c>
      <c r="I58" s="77">
        <f t="shared" si="1"/>
        <v>205200</v>
      </c>
    </row>
    <row r="59" spans="1:9" ht="26.25" customHeight="1" x14ac:dyDescent="0.2">
      <c r="A59" s="62">
        <v>50</v>
      </c>
      <c r="B59" s="64"/>
      <c r="C59" s="64" t="s">
        <v>58</v>
      </c>
      <c r="D59" s="34" t="s">
        <v>125</v>
      </c>
      <c r="E59" s="87" t="s">
        <v>116</v>
      </c>
      <c r="F59" s="51" t="s">
        <v>60</v>
      </c>
      <c r="G59" s="64">
        <v>2000</v>
      </c>
      <c r="H59" s="93">
        <v>38</v>
      </c>
      <c r="I59" s="77">
        <f t="shared" si="1"/>
        <v>76000</v>
      </c>
    </row>
    <row r="60" spans="1:9" ht="26.25" customHeight="1" x14ac:dyDescent="0.2">
      <c r="A60" s="62">
        <v>51</v>
      </c>
      <c r="B60" s="64"/>
      <c r="C60" s="64" t="s">
        <v>58</v>
      </c>
      <c r="D60" s="34" t="s">
        <v>125</v>
      </c>
      <c r="E60" s="87" t="s">
        <v>117</v>
      </c>
      <c r="F60" s="51" t="s">
        <v>60</v>
      </c>
      <c r="G60" s="64">
        <v>2000</v>
      </c>
      <c r="H60" s="93">
        <v>38</v>
      </c>
      <c r="I60" s="77">
        <f t="shared" ref="I60:I65" si="2">G60*H60</f>
        <v>76000</v>
      </c>
    </row>
    <row r="61" spans="1:9" ht="39.75" customHeight="1" x14ac:dyDescent="0.2">
      <c r="A61" s="62">
        <v>52</v>
      </c>
      <c r="B61" s="95"/>
      <c r="C61" s="96" t="s">
        <v>58</v>
      </c>
      <c r="D61" s="97" t="s">
        <v>125</v>
      </c>
      <c r="E61" s="98" t="s">
        <v>118</v>
      </c>
      <c r="F61" s="99" t="s">
        <v>60</v>
      </c>
      <c r="G61" s="100">
        <v>2000</v>
      </c>
      <c r="H61" s="101">
        <v>18</v>
      </c>
      <c r="I61" s="77">
        <f t="shared" si="2"/>
        <v>36000</v>
      </c>
    </row>
    <row r="62" spans="1:9" ht="39.75" customHeight="1" x14ac:dyDescent="0.2">
      <c r="A62" s="62">
        <v>53</v>
      </c>
      <c r="B62" s="62"/>
      <c r="C62" s="83" t="s">
        <v>58</v>
      </c>
      <c r="D62" s="34" t="s">
        <v>125</v>
      </c>
      <c r="E62" s="88" t="s">
        <v>119</v>
      </c>
      <c r="F62" s="81" t="s">
        <v>67</v>
      </c>
      <c r="G62" s="64">
        <v>1800</v>
      </c>
      <c r="H62" s="93">
        <v>115</v>
      </c>
      <c r="I62" s="77">
        <f t="shared" si="2"/>
        <v>207000</v>
      </c>
    </row>
    <row r="63" spans="1:9" ht="39.75" customHeight="1" x14ac:dyDescent="0.2">
      <c r="A63" s="62">
        <v>54</v>
      </c>
      <c r="B63" s="62"/>
      <c r="C63" s="83" t="s">
        <v>58</v>
      </c>
      <c r="D63" s="34" t="s">
        <v>125</v>
      </c>
      <c r="E63" s="88" t="s">
        <v>120</v>
      </c>
      <c r="F63" s="81" t="s">
        <v>67</v>
      </c>
      <c r="G63" s="64">
        <v>240</v>
      </c>
      <c r="H63" s="93">
        <v>198</v>
      </c>
      <c r="I63" s="77">
        <f t="shared" si="2"/>
        <v>47520</v>
      </c>
    </row>
    <row r="64" spans="1:9" ht="39.75" customHeight="1" x14ac:dyDescent="0.2">
      <c r="A64" s="62">
        <v>55</v>
      </c>
      <c r="B64" s="62"/>
      <c r="C64" s="75" t="s">
        <v>58</v>
      </c>
      <c r="D64" s="34" t="s">
        <v>125</v>
      </c>
      <c r="E64" s="87" t="s">
        <v>121</v>
      </c>
      <c r="F64" s="81" t="s">
        <v>67</v>
      </c>
      <c r="G64" s="64">
        <v>240</v>
      </c>
      <c r="H64" s="93">
        <v>168</v>
      </c>
      <c r="I64" s="77">
        <f t="shared" si="2"/>
        <v>40320</v>
      </c>
    </row>
    <row r="65" spans="1:9" ht="39.75" customHeight="1" x14ac:dyDescent="0.2">
      <c r="A65" s="61">
        <v>56</v>
      </c>
      <c r="B65" s="62"/>
      <c r="C65" s="75" t="s">
        <v>58</v>
      </c>
      <c r="D65" s="34" t="s">
        <v>125</v>
      </c>
      <c r="E65" s="88" t="s">
        <v>122</v>
      </c>
      <c r="F65" s="81" t="s">
        <v>67</v>
      </c>
      <c r="G65" s="64">
        <v>360</v>
      </c>
      <c r="H65" s="93">
        <v>269</v>
      </c>
      <c r="I65" s="77">
        <f t="shared" si="2"/>
        <v>96840</v>
      </c>
    </row>
    <row r="67" spans="1:9" ht="13.5" thickBot="1" x14ac:dyDescent="0.25"/>
    <row r="68" spans="1:9" x14ac:dyDescent="0.2">
      <c r="B68" s="35" t="s">
        <v>123</v>
      </c>
      <c r="C68" s="36"/>
      <c r="D68" s="36"/>
      <c r="E68" s="37"/>
    </row>
    <row r="69" spans="1:9" x14ac:dyDescent="0.2">
      <c r="B69" s="38"/>
      <c r="C69" s="39"/>
      <c r="D69" s="39"/>
      <c r="E69" s="40"/>
    </row>
    <row r="70" spans="1:9" x14ac:dyDescent="0.2">
      <c r="B70" s="41" t="s">
        <v>14</v>
      </c>
      <c r="C70" s="39"/>
      <c r="D70" s="39"/>
      <c r="E70" s="40"/>
    </row>
    <row r="71" spans="1:9" x14ac:dyDescent="0.2">
      <c r="B71" s="41"/>
      <c r="C71" s="107"/>
      <c r="D71" s="107"/>
      <c r="E71" s="108"/>
    </row>
    <row r="72" spans="1:9" x14ac:dyDescent="0.2">
      <c r="B72" s="41" t="s">
        <v>15</v>
      </c>
      <c r="C72" s="48"/>
      <c r="D72" s="48"/>
      <c r="E72" s="49"/>
    </row>
    <row r="73" spans="1:9" x14ac:dyDescent="0.2">
      <c r="B73" s="42"/>
      <c r="C73" s="104"/>
      <c r="D73" s="104"/>
      <c r="E73" s="104"/>
    </row>
    <row r="74" spans="1:9" x14ac:dyDescent="0.2">
      <c r="B74" s="42"/>
      <c r="C74" s="104"/>
      <c r="D74" s="104"/>
      <c r="E74" s="104"/>
    </row>
    <row r="75" spans="1:9" x14ac:dyDescent="0.2">
      <c r="B75" s="41" t="s">
        <v>16</v>
      </c>
      <c r="C75" s="48"/>
      <c r="D75" s="48"/>
      <c r="E75" s="49"/>
    </row>
    <row r="76" spans="1:9" x14ac:dyDescent="0.2">
      <c r="B76" s="42"/>
      <c r="C76" s="103"/>
      <c r="D76" s="103"/>
      <c r="E76" s="103"/>
    </row>
    <row r="77" spans="1:9" x14ac:dyDescent="0.2">
      <c r="B77" s="41" t="s">
        <v>17</v>
      </c>
      <c r="C77" s="50"/>
      <c r="D77" s="50"/>
      <c r="E77" s="80"/>
    </row>
    <row r="78" spans="1:9" x14ac:dyDescent="0.2">
      <c r="B78" s="42"/>
      <c r="C78" s="103"/>
      <c r="D78" s="103"/>
      <c r="E78" s="103"/>
    </row>
    <row r="79" spans="1:9" x14ac:dyDescent="0.2">
      <c r="B79" s="41" t="s">
        <v>18</v>
      </c>
      <c r="C79" s="48"/>
      <c r="D79" s="48"/>
      <c r="E79" s="49"/>
    </row>
    <row r="80" spans="1:9" x14ac:dyDescent="0.2">
      <c r="B80" s="41"/>
      <c r="C80" s="104"/>
      <c r="D80" s="104"/>
      <c r="E80" s="104"/>
    </row>
    <row r="81" spans="2:5" ht="13.5" thickBot="1" x14ac:dyDescent="0.25">
      <c r="B81" s="43"/>
      <c r="C81" s="44"/>
      <c r="D81" s="44"/>
      <c r="E81" s="45"/>
    </row>
  </sheetData>
  <mergeCells count="13">
    <mergeCell ref="A6:B6"/>
    <mergeCell ref="A7:B7"/>
    <mergeCell ref="C78:E78"/>
    <mergeCell ref="C80:E80"/>
    <mergeCell ref="B2:H2"/>
    <mergeCell ref="A4:B4"/>
    <mergeCell ref="C4:E4"/>
    <mergeCell ref="A5:B5"/>
    <mergeCell ref="C5:E5"/>
    <mergeCell ref="C71:E71"/>
    <mergeCell ref="C73:E73"/>
    <mergeCell ref="C74:E74"/>
    <mergeCell ref="C76:E76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8"/>
  <sheetViews>
    <sheetView zoomScale="75" zoomScaleNormal="75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5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0" t="s">
        <v>19</v>
      </c>
      <c r="B1" s="120"/>
      <c r="C1" s="120"/>
      <c r="D1" s="120"/>
      <c r="E1" s="120"/>
      <c r="F1" s="120"/>
      <c r="G1" s="120"/>
      <c r="H1" s="120"/>
      <c r="I1" s="120"/>
      <c r="J1" s="3" t="s">
        <v>20</v>
      </c>
      <c r="K1" s="166" t="s">
        <v>132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1" t="s">
        <v>52</v>
      </c>
      <c r="B3" s="121"/>
      <c r="C3" s="121"/>
      <c r="D3" s="122" t="str">
        <f>'Necesidades Trimestrales'!C4</f>
        <v>42-Ministerio de Salud</v>
      </c>
      <c r="E3" s="122"/>
      <c r="F3" s="122"/>
      <c r="G3" s="122"/>
      <c r="H3" s="122"/>
      <c r="I3" s="122"/>
      <c r="J3" s="122"/>
      <c r="K3" s="122"/>
    </row>
    <row r="4" spans="1:11" ht="18.75" customHeight="1" thickBot="1" x14ac:dyDescent="0.25">
      <c r="A4" s="123" t="s">
        <v>53</v>
      </c>
      <c r="B4" s="123"/>
      <c r="C4" s="123"/>
      <c r="D4" s="122" t="str">
        <f>'Necesidades Trimestrales'!C5</f>
        <v>28- Maternidad Provincial 25 de Mayo</v>
      </c>
      <c r="E4" s="122"/>
      <c r="F4" s="122"/>
      <c r="G4" s="122"/>
      <c r="H4" s="122"/>
      <c r="I4" s="122"/>
      <c r="J4" s="122"/>
      <c r="K4" s="122"/>
    </row>
    <row r="5" spans="1:11" ht="18.75" customHeight="1" thickBot="1" x14ac:dyDescent="0.25">
      <c r="A5" s="123" t="s">
        <v>31</v>
      </c>
      <c r="B5" s="123"/>
      <c r="C5" s="123"/>
      <c r="D5" s="122" t="s">
        <v>66</v>
      </c>
      <c r="E5" s="122"/>
      <c r="F5" s="122"/>
      <c r="G5" s="122"/>
      <c r="H5" s="122"/>
      <c r="I5" s="122"/>
      <c r="J5" s="122"/>
      <c r="K5" s="122"/>
    </row>
    <row r="6" spans="1:11" ht="16.5" customHeight="1" thickBot="1" x14ac:dyDescent="0.25">
      <c r="A6" s="121" t="s">
        <v>54</v>
      </c>
      <c r="B6" s="121"/>
      <c r="C6" s="121"/>
      <c r="D6" s="122" t="s">
        <v>128</v>
      </c>
      <c r="E6" s="122"/>
      <c r="F6" s="122"/>
      <c r="G6" s="122"/>
      <c r="H6" s="122"/>
      <c r="I6" s="122"/>
      <c r="J6" s="122"/>
      <c r="K6" s="122"/>
    </row>
    <row r="7" spans="1:11" ht="16.5" customHeight="1" thickBot="1" x14ac:dyDescent="0.25">
      <c r="A7" s="123" t="s">
        <v>21</v>
      </c>
      <c r="B7" s="123"/>
      <c r="C7" s="123"/>
      <c r="D7" s="124" t="str">
        <f>'Necesidades Trimestrales'!C7 &amp; " - Año " &amp; 'Necesidades Trimestrales'!C6</f>
        <v>4to Trimestre - Año 2020</v>
      </c>
      <c r="E7" s="124"/>
      <c r="F7" s="124"/>
      <c r="G7" s="124"/>
      <c r="H7" s="124"/>
      <c r="I7" s="124"/>
      <c r="J7" s="124"/>
      <c r="K7" s="124"/>
    </row>
    <row r="8" spans="1:11" ht="33.75" customHeight="1" thickBot="1" x14ac:dyDescent="0.25">
      <c r="A8" s="110" t="s">
        <v>64</v>
      </c>
      <c r="B8" s="111"/>
      <c r="C8" s="112"/>
      <c r="D8" s="113" t="s">
        <v>131</v>
      </c>
      <c r="E8" s="114"/>
      <c r="F8" s="114"/>
      <c r="G8" s="114"/>
      <c r="H8" s="114"/>
      <c r="I8" s="114"/>
      <c r="J8" s="114"/>
      <c r="K8" s="115"/>
    </row>
    <row r="9" spans="1:11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16" t="s">
        <v>22</v>
      </c>
      <c r="B10" s="118" t="s">
        <v>23</v>
      </c>
      <c r="C10" s="118" t="s">
        <v>24</v>
      </c>
      <c r="D10" s="118"/>
      <c r="E10" s="118"/>
      <c r="F10" s="118"/>
      <c r="G10" s="118"/>
      <c r="H10" s="118" t="s">
        <v>25</v>
      </c>
      <c r="I10" s="118" t="s">
        <v>26</v>
      </c>
      <c r="J10" s="118" t="s">
        <v>27</v>
      </c>
      <c r="K10" s="119" t="s">
        <v>28</v>
      </c>
    </row>
    <row r="11" spans="1:11" ht="24" customHeight="1" thickBo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9"/>
    </row>
    <row r="12" spans="1:11" ht="31.5" customHeight="1" thickBot="1" x14ac:dyDescent="0.25">
      <c r="A12" s="74">
        <v>1</v>
      </c>
      <c r="B12" s="73">
        <f>'Necesidades Trimestrales'!B10</f>
        <v>0</v>
      </c>
      <c r="C12" s="109" t="str">
        <f>'Necesidades Trimestrales'!E10</f>
        <v>AGUJA DESCARTABLE 40/8</v>
      </c>
      <c r="D12" s="109"/>
      <c r="E12" s="109"/>
      <c r="F12" s="109"/>
      <c r="G12" s="109"/>
      <c r="H12" s="52" t="s">
        <v>59</v>
      </c>
      <c r="I12" s="53" t="str">
        <f>'Necesidades Trimestrales'!F10</f>
        <v>UNIDAD</v>
      </c>
      <c r="J12" s="54">
        <f>'Necesidades Trimestrales'!H10</f>
        <v>1.98</v>
      </c>
      <c r="K12" s="55">
        <f>'Necesidades Trimestrales'!G10</f>
        <v>36000</v>
      </c>
    </row>
    <row r="13" spans="1:11" ht="31.5" customHeight="1" thickBot="1" x14ac:dyDescent="0.25">
      <c r="A13" s="67">
        <v>2</v>
      </c>
      <c r="B13" s="73">
        <f>'Necesidades Trimestrales'!B11</f>
        <v>0</v>
      </c>
      <c r="C13" s="109" t="str">
        <f>'Necesidades Trimestrales'!E11</f>
        <v>AGUJA DESCARTABLE 50/8</v>
      </c>
      <c r="D13" s="109"/>
      <c r="E13" s="109"/>
      <c r="F13" s="109"/>
      <c r="G13" s="109"/>
      <c r="H13" s="56" t="s">
        <v>59</v>
      </c>
      <c r="I13" s="53" t="str">
        <f>'Necesidades Trimestrales'!F11</f>
        <v>UNIDAD</v>
      </c>
      <c r="J13" s="54">
        <f>'Necesidades Trimestrales'!H11</f>
        <v>198</v>
      </c>
      <c r="K13" s="55">
        <f>'Necesidades Trimestrales'!G11</f>
        <v>1000</v>
      </c>
    </row>
    <row r="14" spans="1:11" ht="31.5" customHeight="1" thickBot="1" x14ac:dyDescent="0.25">
      <c r="A14" s="74">
        <v>3</v>
      </c>
      <c r="B14" s="73">
        <f>'Necesidades Trimestrales'!B12</f>
        <v>0</v>
      </c>
      <c r="C14" s="109" t="str">
        <f>'Necesidades Trimestrales'!E12</f>
        <v>ALGODÓN  x 500 GRS.TIPO DONCELLA</v>
      </c>
      <c r="D14" s="109"/>
      <c r="E14" s="109"/>
      <c r="F14" s="109"/>
      <c r="G14" s="109"/>
      <c r="H14" s="56" t="s">
        <v>59</v>
      </c>
      <c r="I14" s="53" t="str">
        <f>'Necesidades Trimestrales'!F12</f>
        <v>UNIDAD</v>
      </c>
      <c r="J14" s="54">
        <f>'Necesidades Trimestrales'!H12</f>
        <v>348</v>
      </c>
      <c r="K14" s="55">
        <f>'Necesidades Trimestrales'!G12</f>
        <v>1800</v>
      </c>
    </row>
    <row r="15" spans="1:11" ht="31.5" customHeight="1" thickBot="1" x14ac:dyDescent="0.25">
      <c r="A15" s="67">
        <v>4</v>
      </c>
      <c r="B15" s="73">
        <f>'Necesidades Trimestrales'!B13</f>
        <v>0</v>
      </c>
      <c r="C15" s="109" t="str">
        <f>'Necesidades Trimestrales'!E13</f>
        <v>BAJALENGUA X 100 UNIDADES</v>
      </c>
      <c r="D15" s="109"/>
      <c r="E15" s="109"/>
      <c r="F15" s="109"/>
      <c r="G15" s="109"/>
      <c r="H15" s="52" t="s">
        <v>59</v>
      </c>
      <c r="I15" s="53" t="str">
        <f>'Necesidades Trimestrales'!F13</f>
        <v>UNIDAD</v>
      </c>
      <c r="J15" s="54">
        <f>'Necesidades Trimestrales'!H13</f>
        <v>148</v>
      </c>
      <c r="K15" s="55">
        <f>'Necesidades Trimestrales'!G13</f>
        <v>40</v>
      </c>
    </row>
    <row r="16" spans="1:11" ht="31.5" customHeight="1" thickBot="1" x14ac:dyDescent="0.25">
      <c r="A16" s="67">
        <v>5</v>
      </c>
      <c r="B16" s="73">
        <f>'Necesidades Trimestrales'!B14</f>
        <v>0</v>
      </c>
      <c r="C16" s="109" t="str">
        <f>'Necesidades Trimestrales'!E14</f>
        <v>BOTAS ALTAS DESCARTABLES DE 30 GRAMOS CON TIRA EL PAR</v>
      </c>
      <c r="D16" s="109"/>
      <c r="E16" s="109"/>
      <c r="F16" s="109"/>
      <c r="G16" s="109"/>
      <c r="H16" s="52" t="s">
        <v>59</v>
      </c>
      <c r="I16" s="53" t="str">
        <f>'Necesidades Trimestrales'!F14</f>
        <v>UNIDAD</v>
      </c>
      <c r="J16" s="54">
        <f>'Necesidades Trimestrales'!H14</f>
        <v>6.9</v>
      </c>
      <c r="K16" s="55">
        <f>'Necesidades Trimestrales'!G14</f>
        <v>10000</v>
      </c>
    </row>
    <row r="17" spans="1:11" ht="31.5" customHeight="1" thickBot="1" x14ac:dyDescent="0.25">
      <c r="A17" s="74">
        <v>6</v>
      </c>
      <c r="B17" s="73">
        <f>'Necesidades Trimestrales'!B15</f>
        <v>0</v>
      </c>
      <c r="C17" s="109" t="str">
        <f>'Necesidades Trimestrales'!E15</f>
        <v>CAMISOLINES DES. SMS CON MANGAS Y PUÑO DE 1,40 MTS. DE LARGO, 30 GRS. COLOR AZUL</v>
      </c>
      <c r="D17" s="109"/>
      <c r="E17" s="109"/>
      <c r="F17" s="109"/>
      <c r="G17" s="109"/>
      <c r="H17" s="56" t="s">
        <v>59</v>
      </c>
      <c r="I17" s="53" t="str">
        <f>'Necesidades Trimestrales'!F15</f>
        <v>UNIDAD</v>
      </c>
      <c r="J17" s="54">
        <f>'Necesidades Trimestrales'!H15</f>
        <v>49</v>
      </c>
      <c r="K17" s="55">
        <f>'Necesidades Trimestrales'!G15</f>
        <v>8000</v>
      </c>
    </row>
    <row r="18" spans="1:11" ht="31.5" customHeight="1" thickBot="1" x14ac:dyDescent="0.25">
      <c r="A18" s="74">
        <v>7</v>
      </c>
      <c r="B18" s="73">
        <f>'Necesidades Trimestrales'!B16</f>
        <v>0</v>
      </c>
      <c r="C18" s="109" t="str">
        <f>'Necesidades Trimestrales'!E16</f>
        <v>CANULAS NASALES PARA OXIGENOTERAPIA -  ADULTOS</v>
      </c>
      <c r="D18" s="109"/>
      <c r="E18" s="109"/>
      <c r="F18" s="109"/>
      <c r="G18" s="109"/>
      <c r="H18" s="56" t="s">
        <v>59</v>
      </c>
      <c r="I18" s="53" t="str">
        <f>'Necesidades Trimestrales'!F16</f>
        <v>UNIDAD</v>
      </c>
      <c r="J18" s="54">
        <f>'Necesidades Trimestrales'!H16</f>
        <v>19</v>
      </c>
      <c r="K18" s="55">
        <f>'Necesidades Trimestrales'!G16</f>
        <v>300</v>
      </c>
    </row>
    <row r="19" spans="1:11" ht="31.5" customHeight="1" thickBot="1" x14ac:dyDescent="0.25">
      <c r="A19" s="67">
        <v>8</v>
      </c>
      <c r="B19" s="73">
        <f>'Necesidades Trimestrales'!B17</f>
        <v>0</v>
      </c>
      <c r="C19" s="109" t="str">
        <f>'Necesidades Trimestrales'!E17</f>
        <v>CANULAS NASALES PARA OXIGENOTERAPIA - NEONATALES</v>
      </c>
      <c r="D19" s="109"/>
      <c r="E19" s="109"/>
      <c r="F19" s="109"/>
      <c r="G19" s="109"/>
      <c r="H19" s="56" t="s">
        <v>59</v>
      </c>
      <c r="I19" s="53" t="str">
        <f>'Necesidades Trimestrales'!F17</f>
        <v>UNIDAD</v>
      </c>
      <c r="J19" s="54">
        <f>'Necesidades Trimestrales'!H17</f>
        <v>22</v>
      </c>
      <c r="K19" s="55">
        <f>'Necesidades Trimestrales'!G17</f>
        <v>300</v>
      </c>
    </row>
    <row r="20" spans="1:11" ht="31.5" customHeight="1" thickBot="1" x14ac:dyDescent="0.25">
      <c r="A20" s="74">
        <v>9</v>
      </c>
      <c r="B20" s="73">
        <f>'Necesidades Trimestrales'!B18</f>
        <v>0</v>
      </c>
      <c r="C20" s="109" t="str">
        <f>'Necesidades Trimestrales'!E18</f>
        <v>CATETER INTRAVENOSO Nº 22 TIPO HOSPIRA/BD</v>
      </c>
      <c r="D20" s="109"/>
      <c r="E20" s="109"/>
      <c r="F20" s="109"/>
      <c r="G20" s="109"/>
      <c r="H20" s="52" t="s">
        <v>59</v>
      </c>
      <c r="I20" s="53" t="str">
        <f>'Necesidades Trimestrales'!F18</f>
        <v>UNIDAD</v>
      </c>
      <c r="J20" s="54">
        <f>'Necesidades Trimestrales'!H18</f>
        <v>56</v>
      </c>
      <c r="K20" s="55">
        <f>'Necesidades Trimestrales'!G18</f>
        <v>100</v>
      </c>
    </row>
    <row r="21" spans="1:11" ht="31.5" customHeight="1" thickBot="1" x14ac:dyDescent="0.25">
      <c r="A21" s="67">
        <v>10</v>
      </c>
      <c r="B21" s="73">
        <f>'Necesidades Trimestrales'!B19</f>
        <v>0</v>
      </c>
      <c r="C21" s="109" t="str">
        <f>'Necesidades Trimestrales'!E19</f>
        <v>CATETER INTRAVENOSO Nº 24 TIPO HOSPIRA/BD</v>
      </c>
      <c r="D21" s="109"/>
      <c r="E21" s="109"/>
      <c r="F21" s="109"/>
      <c r="G21" s="109"/>
      <c r="H21" s="52" t="s">
        <v>59</v>
      </c>
      <c r="I21" s="53" t="str">
        <f>'Necesidades Trimestrales'!F19</f>
        <v>UNIDAD</v>
      </c>
      <c r="J21" s="54">
        <f>'Necesidades Trimestrales'!H19</f>
        <v>56</v>
      </c>
      <c r="K21" s="55">
        <f>'Necesidades Trimestrales'!G19</f>
        <v>6000</v>
      </c>
    </row>
    <row r="22" spans="1:11" ht="31.5" customHeight="1" thickBot="1" x14ac:dyDescent="0.25">
      <c r="A22" s="67">
        <v>11</v>
      </c>
      <c r="B22" s="73">
        <f>'Necesidades Trimestrales'!B20</f>
        <v>0</v>
      </c>
      <c r="C22" s="109" t="str">
        <f>'Necesidades Trimestrales'!E20</f>
        <v>CATETER INTRAVENOSO Nº 26 TIPO HOSPIRA/BD</v>
      </c>
      <c r="D22" s="109"/>
      <c r="E22" s="109"/>
      <c r="F22" s="109"/>
      <c r="G22" s="109"/>
      <c r="H22" s="52" t="s">
        <v>59</v>
      </c>
      <c r="I22" s="53" t="str">
        <f>'Necesidades Trimestrales'!F20</f>
        <v>UNIDAD</v>
      </c>
      <c r="J22" s="54">
        <f>'Necesidades Trimestrales'!H20</f>
        <v>56</v>
      </c>
      <c r="K22" s="55">
        <f>'Necesidades Trimestrales'!G20</f>
        <v>2000</v>
      </c>
    </row>
    <row r="23" spans="1:11" ht="31.5" customHeight="1" thickBot="1" x14ac:dyDescent="0.25">
      <c r="A23" s="74">
        <v>12</v>
      </c>
      <c r="B23" s="73">
        <f>'Necesidades Trimestrales'!B21</f>
        <v>0</v>
      </c>
      <c r="C23" s="109" t="str">
        <f>'Necesidades Trimestrales'!E21</f>
        <v>CLORHEXIDINA 2 % SOLUCION x 250 ml.</v>
      </c>
      <c r="D23" s="109"/>
      <c r="E23" s="109"/>
      <c r="F23" s="109"/>
      <c r="G23" s="109"/>
      <c r="H23" s="52" t="s">
        <v>59</v>
      </c>
      <c r="I23" s="53" t="str">
        <f>'Necesidades Trimestrales'!F21</f>
        <v>UNIDAD</v>
      </c>
      <c r="J23" s="54">
        <f>'Necesidades Trimestrales'!H21</f>
        <v>623</v>
      </c>
      <c r="K23" s="55">
        <f>'Necesidades Trimestrales'!G21</f>
        <v>720</v>
      </c>
    </row>
    <row r="24" spans="1:11" ht="31.5" customHeight="1" thickBot="1" x14ac:dyDescent="0.25">
      <c r="A24" s="74">
        <v>13</v>
      </c>
      <c r="B24" s="73">
        <f>'Necesidades Trimestrales'!B22</f>
        <v>0</v>
      </c>
      <c r="C24" s="109" t="str">
        <f>'Necesidades Trimestrales'!E22</f>
        <v>CLORHEXIDINA 4% JABON x 500 ML CON VALVULA DISPENSADORA TIPO NOVARA</v>
      </c>
      <c r="D24" s="109"/>
      <c r="E24" s="109"/>
      <c r="F24" s="109"/>
      <c r="G24" s="109"/>
      <c r="H24" s="52" t="s">
        <v>59</v>
      </c>
      <c r="I24" s="53" t="str">
        <f>'Necesidades Trimestrales'!F22</f>
        <v>UNIDAD</v>
      </c>
      <c r="J24" s="54">
        <f>'Necesidades Trimestrales'!H22</f>
        <v>826</v>
      </c>
      <c r="K24" s="55">
        <f>'Necesidades Trimestrales'!G22</f>
        <v>1600</v>
      </c>
    </row>
    <row r="25" spans="1:11" ht="31.5" customHeight="1" thickBot="1" x14ac:dyDescent="0.25">
      <c r="A25" s="67">
        <v>14</v>
      </c>
      <c r="B25" s="73">
        <f>'Necesidades Trimestrales'!B23</f>
        <v>0</v>
      </c>
      <c r="C25" s="109" t="str">
        <f>'Necesidades Trimestrales'!E23</f>
        <v>DETERGENTE MULTIENZIMATICO x 5 LITROS TIPO ADOX DM3 PLUS</v>
      </c>
      <c r="D25" s="109"/>
      <c r="E25" s="109"/>
      <c r="F25" s="109"/>
      <c r="G25" s="109"/>
      <c r="H25" s="52" t="s">
        <v>59</v>
      </c>
      <c r="I25" s="53" t="str">
        <f>'Necesidades Trimestrales'!F23</f>
        <v>UNIDAD</v>
      </c>
      <c r="J25" s="54">
        <f>'Necesidades Trimestrales'!H23</f>
        <v>1690</v>
      </c>
      <c r="K25" s="55">
        <f>'Necesidades Trimestrales'!G23</f>
        <v>72</v>
      </c>
    </row>
    <row r="26" spans="1:11" ht="31.5" customHeight="1" thickBot="1" x14ac:dyDescent="0.25">
      <c r="A26" s="74">
        <v>15</v>
      </c>
      <c r="B26" s="73">
        <f>'Necesidades Trimestrales'!B24</f>
        <v>0</v>
      </c>
      <c r="C26" s="109" t="str">
        <f>'Necesidades Trimestrales'!E24</f>
        <v>ELECTRODOS DESCARTABLES ADULTO TIPO 3M</v>
      </c>
      <c r="D26" s="109"/>
      <c r="E26" s="109"/>
      <c r="F26" s="109"/>
      <c r="G26" s="109"/>
      <c r="H26" s="52" t="s">
        <v>59</v>
      </c>
      <c r="I26" s="53" t="str">
        <f>'Necesidades Trimestrales'!F24</f>
        <v>UNIDAD</v>
      </c>
      <c r="J26" s="54">
        <f>'Necesidades Trimestrales'!H24</f>
        <v>12</v>
      </c>
      <c r="K26" s="55">
        <f>'Necesidades Trimestrales'!G24</f>
        <v>5000</v>
      </c>
    </row>
    <row r="27" spans="1:11" ht="31.5" customHeight="1" thickBot="1" x14ac:dyDescent="0.25">
      <c r="A27" s="67">
        <v>16</v>
      </c>
      <c r="B27" s="73">
        <f>'Necesidades Trimestrales'!B25</f>
        <v>0</v>
      </c>
      <c r="C27" s="109" t="str">
        <f>'Necesidades Trimestrales'!E25</f>
        <v xml:space="preserve">EQUIPO PARA ADM. SOLUC. MICROGOTERO TIPO V-17c/ ROLLER  </v>
      </c>
      <c r="D27" s="109"/>
      <c r="E27" s="109"/>
      <c r="F27" s="109"/>
      <c r="G27" s="109"/>
      <c r="H27" s="52" t="s">
        <v>59</v>
      </c>
      <c r="I27" s="53" t="str">
        <f>'Necesidades Trimestrales'!F25</f>
        <v>UNIDAD</v>
      </c>
      <c r="J27" s="54">
        <f>'Necesidades Trimestrales'!H25</f>
        <v>29</v>
      </c>
      <c r="K27" s="55">
        <f>'Necesidades Trimestrales'!G25</f>
        <v>800</v>
      </c>
    </row>
    <row r="28" spans="1:11" ht="31.5" customHeight="1" thickBot="1" x14ac:dyDescent="0.25">
      <c r="A28" s="67">
        <v>17</v>
      </c>
      <c r="B28" s="73">
        <f>'Necesidades Trimestrales'!B26</f>
        <v>0</v>
      </c>
      <c r="C28" s="109" t="str">
        <f>'Necesidades Trimestrales'!E26</f>
        <v>EQUIPO PARA ADMINISTRACION DE SOLUCIONES  MACROGOTERO TIPO V-14 CON ROLLER</v>
      </c>
      <c r="D28" s="109"/>
      <c r="E28" s="109"/>
      <c r="F28" s="109"/>
      <c r="G28" s="109"/>
      <c r="H28" s="52" t="s">
        <v>59</v>
      </c>
      <c r="I28" s="53" t="str">
        <f>'Necesidades Trimestrales'!F26</f>
        <v>UNIDAD</v>
      </c>
      <c r="J28" s="54">
        <f>'Necesidades Trimestrales'!H26</f>
        <v>31</v>
      </c>
      <c r="K28" s="55">
        <f>'Necesidades Trimestrales'!G26</f>
        <v>7000</v>
      </c>
    </row>
    <row r="29" spans="1:11" ht="31.5" customHeight="1" thickBot="1" x14ac:dyDescent="0.25">
      <c r="A29" s="74">
        <v>18</v>
      </c>
      <c r="B29" s="73">
        <f>'Necesidades Trimestrales'!B27</f>
        <v>0</v>
      </c>
      <c r="C29" s="109" t="str">
        <f>'Necesidades Trimestrales'!E27</f>
        <v>GEL BASE PARA ECOGRAFIA  x 1kg</v>
      </c>
      <c r="D29" s="109"/>
      <c r="E29" s="109"/>
      <c r="F29" s="109"/>
      <c r="G29" s="109"/>
      <c r="H29" s="52" t="s">
        <v>59</v>
      </c>
      <c r="I29" s="53" t="str">
        <f>'Necesidades Trimestrales'!F27</f>
        <v>UNIDAD</v>
      </c>
      <c r="J29" s="54">
        <f>'Necesidades Trimestrales'!H27</f>
        <v>256</v>
      </c>
      <c r="K29" s="55">
        <f>'Necesidades Trimestrales'!G27</f>
        <v>180</v>
      </c>
    </row>
    <row r="30" spans="1:11" ht="31.5" customHeight="1" thickBot="1" x14ac:dyDescent="0.25">
      <c r="A30" s="74">
        <v>19</v>
      </c>
      <c r="B30" s="73">
        <f>'Necesidades Trimestrales'!B28</f>
        <v>0</v>
      </c>
      <c r="C30" s="109" t="str">
        <f>'Necesidades Trimestrales'!E28</f>
        <v>GUANTES DE CIRUGIA ESTERIL Nº 6 1/2  ANATOMICOS , CAÑA LARGA SIN TALCO</v>
      </c>
      <c r="D30" s="109"/>
      <c r="E30" s="109"/>
      <c r="F30" s="109"/>
      <c r="G30" s="109"/>
      <c r="H30" s="52" t="s">
        <v>59</v>
      </c>
      <c r="I30" s="53" t="str">
        <f>'Necesidades Trimestrales'!F28</f>
        <v>UNIDAD</v>
      </c>
      <c r="J30" s="54">
        <f>'Necesidades Trimestrales'!H28</f>
        <v>21</v>
      </c>
      <c r="K30" s="55">
        <f>'Necesidades Trimestrales'!G28</f>
        <v>1200</v>
      </c>
    </row>
    <row r="31" spans="1:11" ht="31.5" customHeight="1" thickBot="1" x14ac:dyDescent="0.25">
      <c r="A31" s="67">
        <v>20</v>
      </c>
      <c r="B31" s="73">
        <f>'Necesidades Trimestrales'!B29</f>
        <v>0</v>
      </c>
      <c r="C31" s="109" t="str">
        <f>'Necesidades Trimestrales'!E29</f>
        <v>GUANTES DE CIRUGIA ESTERIL Nº 7   ANATOMICOS , CAÑA LARGA SIN TALCO</v>
      </c>
      <c r="D31" s="109"/>
      <c r="E31" s="109"/>
      <c r="F31" s="109"/>
      <c r="G31" s="109"/>
      <c r="H31" s="52" t="s">
        <v>59</v>
      </c>
      <c r="I31" s="53" t="str">
        <f>'Necesidades Trimestrales'!F29</f>
        <v>UNIDAD</v>
      </c>
      <c r="J31" s="54">
        <f>'Necesidades Trimestrales'!H29</f>
        <v>21</v>
      </c>
      <c r="K31" s="55">
        <f>'Necesidades Trimestrales'!G29</f>
        <v>8000</v>
      </c>
    </row>
    <row r="32" spans="1:11" ht="31.5" customHeight="1" thickBot="1" x14ac:dyDescent="0.25">
      <c r="A32" s="74">
        <v>21</v>
      </c>
      <c r="B32" s="73">
        <f>'Necesidades Trimestrales'!B30</f>
        <v>0</v>
      </c>
      <c r="C32" s="109" t="str">
        <f>'Necesidades Trimestrales'!E30</f>
        <v>GUANTES DE CIRUGIA ESTERIL Nº 7 1/2  ANATOMICOS , CAÑA LARGA SIN TALCO</v>
      </c>
      <c r="D32" s="109"/>
      <c r="E32" s="109"/>
      <c r="F32" s="109"/>
      <c r="G32" s="109"/>
      <c r="H32" s="52" t="s">
        <v>59</v>
      </c>
      <c r="I32" s="53" t="str">
        <f>'Necesidades Trimestrales'!F30</f>
        <v>UNIDAD</v>
      </c>
      <c r="J32" s="54">
        <f>'Necesidades Trimestrales'!H30</f>
        <v>21</v>
      </c>
      <c r="K32" s="55">
        <f>'Necesidades Trimestrales'!G30</f>
        <v>8000</v>
      </c>
    </row>
    <row r="33" spans="1:11" ht="31.5" customHeight="1" thickBot="1" x14ac:dyDescent="0.25">
      <c r="A33" s="67">
        <v>22</v>
      </c>
      <c r="B33" s="73">
        <f>'Necesidades Trimestrales'!B31</f>
        <v>0</v>
      </c>
      <c r="C33" s="109" t="str">
        <f>'Necesidades Trimestrales'!E31</f>
        <v>GUANTES DE CIRUGIA ESTERIL Nº 8   ANATOMICOS , CAÑA LARGA SIN TALCO</v>
      </c>
      <c r="D33" s="109"/>
      <c r="E33" s="109"/>
      <c r="F33" s="109"/>
      <c r="G33" s="109"/>
      <c r="H33" s="52" t="s">
        <v>59</v>
      </c>
      <c r="I33" s="53" t="str">
        <f>'Necesidades Trimestrales'!F31</f>
        <v>UNIDAD</v>
      </c>
      <c r="J33" s="54">
        <f>'Necesidades Trimestrales'!H31</f>
        <v>20</v>
      </c>
      <c r="K33" s="55">
        <f>'Necesidades Trimestrales'!G31</f>
        <v>3500</v>
      </c>
    </row>
    <row r="34" spans="1:11" ht="31.5" customHeight="1" thickBot="1" x14ac:dyDescent="0.25">
      <c r="A34" s="67">
        <v>23</v>
      </c>
      <c r="B34" s="73">
        <f>'Necesidades Trimestrales'!B32</f>
        <v>0</v>
      </c>
      <c r="C34" s="109" t="str">
        <f>'Necesidades Trimestrales'!E32</f>
        <v>HILO DE SUTURA N1 CON AGUJA TIPO VICRYL CODIGO J341</v>
      </c>
      <c r="D34" s="109"/>
      <c r="E34" s="109"/>
      <c r="F34" s="109"/>
      <c r="G34" s="109"/>
      <c r="H34" s="52" t="s">
        <v>59</v>
      </c>
      <c r="I34" s="53" t="str">
        <f>'Necesidades Trimestrales'!F32</f>
        <v>UNIDAD</v>
      </c>
      <c r="J34" s="54">
        <f>'Necesidades Trimestrales'!H32</f>
        <v>456</v>
      </c>
      <c r="K34" s="55">
        <f>'Necesidades Trimestrales'!G32</f>
        <v>252</v>
      </c>
    </row>
    <row r="35" spans="1:11" ht="31.5" customHeight="1" thickBot="1" x14ac:dyDescent="0.25">
      <c r="A35" s="74">
        <v>24</v>
      </c>
      <c r="B35" s="73">
        <f>'Necesidades Trimestrales'!B33</f>
        <v>0</v>
      </c>
      <c r="C35" s="109" t="str">
        <f>'Necesidades Trimestrales'!E33</f>
        <v>HOJA DE BISTURI N° 24</v>
      </c>
      <c r="D35" s="109"/>
      <c r="E35" s="109"/>
      <c r="F35" s="109"/>
      <c r="G35" s="109"/>
      <c r="H35" s="52" t="s">
        <v>59</v>
      </c>
      <c r="I35" s="53" t="str">
        <f>'Necesidades Trimestrales'!F33</f>
        <v>UNIDAD</v>
      </c>
      <c r="J35" s="54">
        <f>'Necesidades Trimestrales'!H33</f>
        <v>8</v>
      </c>
      <c r="K35" s="55">
        <f>'Necesidades Trimestrales'!G33</f>
        <v>6000</v>
      </c>
    </row>
    <row r="36" spans="1:11" ht="31.5" customHeight="1" thickBot="1" x14ac:dyDescent="0.25">
      <c r="A36" s="74">
        <v>25</v>
      </c>
      <c r="B36" s="73">
        <f>'Necesidades Trimestrales'!B34</f>
        <v>0</v>
      </c>
      <c r="C36" s="109" t="str">
        <f>'Necesidades Trimestrales'!E34</f>
        <v>HOJA DE BISTURI Nº 11</v>
      </c>
      <c r="D36" s="109"/>
      <c r="E36" s="109"/>
      <c r="F36" s="109"/>
      <c r="G36" s="109"/>
      <c r="H36" s="52" t="s">
        <v>59</v>
      </c>
      <c r="I36" s="53" t="str">
        <f>'Necesidades Trimestrales'!F34</f>
        <v>UNIDAD</v>
      </c>
      <c r="J36" s="54">
        <f>'Necesidades Trimestrales'!H34</f>
        <v>6.67</v>
      </c>
      <c r="K36" s="55">
        <f>'Necesidades Trimestrales'!G34</f>
        <v>4000</v>
      </c>
    </row>
    <row r="37" spans="1:11" ht="31.5" customHeight="1" thickBot="1" x14ac:dyDescent="0.25">
      <c r="A37" s="67">
        <v>26</v>
      </c>
      <c r="B37" s="73">
        <f>'Necesidades Trimestrales'!B35</f>
        <v>0</v>
      </c>
      <c r="C37" s="109" t="str">
        <f>'Necesidades Trimestrales'!E35</f>
        <v>HOJA DE BISTURI Nº 15</v>
      </c>
      <c r="D37" s="109"/>
      <c r="E37" s="109"/>
      <c r="F37" s="109"/>
      <c r="G37" s="109"/>
      <c r="H37" s="52" t="s">
        <v>59</v>
      </c>
      <c r="I37" s="53" t="str">
        <f>'Necesidades Trimestrales'!F35</f>
        <v>UNIDAD</v>
      </c>
      <c r="J37" s="54">
        <f>'Necesidades Trimestrales'!H35</f>
        <v>8</v>
      </c>
      <c r="K37" s="55">
        <f>'Necesidades Trimestrales'!G35</f>
        <v>4000</v>
      </c>
    </row>
    <row r="38" spans="1:11" ht="31.5" customHeight="1" thickBot="1" x14ac:dyDescent="0.25">
      <c r="A38" s="74">
        <v>27</v>
      </c>
      <c r="B38" s="73">
        <f>'Necesidades Trimestrales'!B36</f>
        <v>0</v>
      </c>
      <c r="C38" s="109" t="str">
        <f>'Necesidades Trimestrales'!E36</f>
        <v>JERINGA P/INSULINA 100 UI CON AGUJA TIPO TERUMO</v>
      </c>
      <c r="D38" s="109"/>
      <c r="E38" s="109"/>
      <c r="F38" s="109"/>
      <c r="G38" s="109"/>
      <c r="H38" s="52" t="s">
        <v>59</v>
      </c>
      <c r="I38" s="53" t="str">
        <f>'Necesidades Trimestrales'!F36</f>
        <v>UNIDAD</v>
      </c>
      <c r="J38" s="54">
        <f>'Necesidades Trimestrales'!H36</f>
        <v>7.9</v>
      </c>
      <c r="K38" s="55">
        <f>'Necesidades Trimestrales'!G36</f>
        <v>6000</v>
      </c>
    </row>
    <row r="39" spans="1:11" ht="31.5" customHeight="1" thickBot="1" x14ac:dyDescent="0.25">
      <c r="A39" s="67">
        <v>28</v>
      </c>
      <c r="B39" s="73">
        <f>'Necesidades Trimestrales'!B37</f>
        <v>0</v>
      </c>
      <c r="C39" s="109" t="str">
        <f>'Necesidades Trimestrales'!E37</f>
        <v>JERINGA TUBERCULINA 1 CC. S/ AGUJA</v>
      </c>
      <c r="D39" s="109"/>
      <c r="E39" s="109"/>
      <c r="F39" s="109"/>
      <c r="G39" s="109"/>
      <c r="H39" s="52" t="s">
        <v>59</v>
      </c>
      <c r="I39" s="53" t="str">
        <f>'Necesidades Trimestrales'!F37</f>
        <v>UNIDAD</v>
      </c>
      <c r="J39" s="54">
        <f>'Necesidades Trimestrales'!H37</f>
        <v>5.5</v>
      </c>
      <c r="K39" s="55">
        <f>'Necesidades Trimestrales'!G37</f>
        <v>20000</v>
      </c>
    </row>
    <row r="40" spans="1:11" ht="31.5" customHeight="1" thickBot="1" x14ac:dyDescent="0.25">
      <c r="A40" s="67">
        <v>29</v>
      </c>
      <c r="B40" s="73">
        <f>'Necesidades Trimestrales'!B38</f>
        <v>0</v>
      </c>
      <c r="C40" s="109" t="str">
        <f>'Necesidades Trimestrales'!E38</f>
        <v>JERINGAS DE 20CC  S/AGUJA</v>
      </c>
      <c r="D40" s="109"/>
      <c r="E40" s="109"/>
      <c r="F40" s="109"/>
      <c r="G40" s="109"/>
      <c r="H40" s="52" t="s">
        <v>59</v>
      </c>
      <c r="I40" s="53" t="str">
        <f>'Necesidades Trimestrales'!F38</f>
        <v>UNIDAD</v>
      </c>
      <c r="J40" s="54">
        <f>'Necesidades Trimestrales'!H38</f>
        <v>18</v>
      </c>
      <c r="K40" s="55">
        <f>'Necesidades Trimestrales'!G38</f>
        <v>8000</v>
      </c>
    </row>
    <row r="41" spans="1:11" ht="31.5" customHeight="1" thickBot="1" x14ac:dyDescent="0.25">
      <c r="A41" s="74">
        <v>30</v>
      </c>
      <c r="B41" s="73">
        <f>'Necesidades Trimestrales'!B39</f>
        <v>0</v>
      </c>
      <c r="C41" s="109" t="str">
        <f>'Necesidades Trimestrales'!E39</f>
        <v>LLAVE 3 VIAS ESTERIL 360° LUERLOCK C/PROLONG. 15CM</v>
      </c>
      <c r="D41" s="109"/>
      <c r="E41" s="109"/>
      <c r="F41" s="109"/>
      <c r="G41" s="109"/>
      <c r="H41" s="52" t="s">
        <v>59</v>
      </c>
      <c r="I41" s="53" t="str">
        <f>'Necesidades Trimestrales'!F39</f>
        <v>UNIDAD</v>
      </c>
      <c r="J41" s="54">
        <f>'Necesidades Trimestrales'!H39</f>
        <v>16</v>
      </c>
      <c r="K41" s="55">
        <f>'Necesidades Trimestrales'!G39</f>
        <v>1000</v>
      </c>
    </row>
    <row r="42" spans="1:11" ht="31.5" customHeight="1" thickBot="1" x14ac:dyDescent="0.25">
      <c r="A42" s="74">
        <v>31</v>
      </c>
      <c r="B42" s="73">
        <f>'Necesidades Trimestrales'!B40</f>
        <v>0</v>
      </c>
      <c r="C42" s="109" t="str">
        <f>'Necesidades Trimestrales'!E40</f>
        <v>LLAVE 3 VIAS ESTERIL 360° LUERLOCK C/PROLONG. 30 CM</v>
      </c>
      <c r="D42" s="109"/>
      <c r="E42" s="109"/>
      <c r="F42" s="109"/>
      <c r="G42" s="109"/>
      <c r="H42" s="52" t="s">
        <v>59</v>
      </c>
      <c r="I42" s="53" t="str">
        <f>'Necesidades Trimestrales'!F40</f>
        <v>UNIDAD</v>
      </c>
      <c r="J42" s="54">
        <f>'Necesidades Trimestrales'!H40</f>
        <v>19</v>
      </c>
      <c r="K42" s="55">
        <f>'Necesidades Trimestrales'!G40</f>
        <v>400</v>
      </c>
    </row>
    <row r="43" spans="1:11" ht="31.5" customHeight="1" thickBot="1" x14ac:dyDescent="0.25">
      <c r="A43" s="67">
        <v>32</v>
      </c>
      <c r="B43" s="73">
        <f>'Necesidades Trimestrales'!B41</f>
        <v>0</v>
      </c>
      <c r="C43" s="109" t="str">
        <f>'Necesidades Trimestrales'!E41</f>
        <v>LLAVE 3 VIAS ESTERIL 360° LUERLOCK C/PROLONG.50 CM</v>
      </c>
      <c r="D43" s="109"/>
      <c r="E43" s="109"/>
      <c r="F43" s="109"/>
      <c r="G43" s="109"/>
      <c r="H43" s="52" t="s">
        <v>59</v>
      </c>
      <c r="I43" s="53" t="str">
        <f>'Necesidades Trimestrales'!F41</f>
        <v>UNIDAD</v>
      </c>
      <c r="J43" s="54">
        <f>'Necesidades Trimestrales'!H41</f>
        <v>22</v>
      </c>
      <c r="K43" s="55">
        <f>'Necesidades Trimestrales'!G41</f>
        <v>400</v>
      </c>
    </row>
    <row r="44" spans="1:11" ht="31.5" customHeight="1" thickBot="1" x14ac:dyDescent="0.25">
      <c r="A44" s="74">
        <v>33</v>
      </c>
      <c r="B44" s="73">
        <f>'Necesidades Trimestrales'!B42</f>
        <v>0</v>
      </c>
      <c r="C44" s="109" t="str">
        <f>'Necesidades Trimestrales'!E42</f>
        <v>LLAVE DE TRES VIA</v>
      </c>
      <c r="D44" s="109"/>
      <c r="E44" s="109"/>
      <c r="F44" s="109"/>
      <c r="G44" s="109"/>
      <c r="H44" s="52" t="s">
        <v>59</v>
      </c>
      <c r="I44" s="53" t="str">
        <f>'Necesidades Trimestrales'!F42</f>
        <v>UNIDAD</v>
      </c>
      <c r="J44" s="54">
        <f>'Necesidades Trimestrales'!H42</f>
        <v>13</v>
      </c>
      <c r="K44" s="55">
        <f>'Necesidades Trimestrales'!G42</f>
        <v>1500</v>
      </c>
    </row>
    <row r="45" spans="1:11" ht="31.5" customHeight="1" thickBot="1" x14ac:dyDescent="0.25">
      <c r="A45" s="67">
        <v>34</v>
      </c>
      <c r="B45" s="73">
        <f>'Necesidades Trimestrales'!B43</f>
        <v>0</v>
      </c>
      <c r="C45" s="109" t="str">
        <f>'Necesidades Trimestrales'!E43</f>
        <v>MASCARA CON BOLSA RESERVORIO</v>
      </c>
      <c r="D45" s="109"/>
      <c r="E45" s="109"/>
      <c r="F45" s="109"/>
      <c r="G45" s="109"/>
      <c r="H45" s="52" t="s">
        <v>59</v>
      </c>
      <c r="I45" s="53" t="str">
        <f>'Necesidades Trimestrales'!F43</f>
        <v>UNIDAD</v>
      </c>
      <c r="J45" s="54">
        <f>'Necesidades Trimestrales'!H43</f>
        <v>189</v>
      </c>
      <c r="K45" s="55">
        <f>'Necesidades Trimestrales'!G43</f>
        <v>500</v>
      </c>
    </row>
    <row r="46" spans="1:11" ht="31.5" customHeight="1" thickBot="1" x14ac:dyDescent="0.25">
      <c r="A46" s="67">
        <v>35</v>
      </c>
      <c r="B46" s="73">
        <f>'Necesidades Trimestrales'!B44</f>
        <v>0</v>
      </c>
      <c r="C46" s="109" t="str">
        <f>'Necesidades Trimestrales'!E44</f>
        <v>PROLONGADOR PVC ESTERIL 2.6MM X1.5M</v>
      </c>
      <c r="D46" s="109"/>
      <c r="E46" s="109"/>
      <c r="F46" s="109"/>
      <c r="G46" s="109"/>
      <c r="H46" s="52" t="s">
        <v>59</v>
      </c>
      <c r="I46" s="53" t="str">
        <f>'Necesidades Trimestrales'!F44</f>
        <v>UNIDAD</v>
      </c>
      <c r="J46" s="54">
        <f>'Necesidades Trimestrales'!H44</f>
        <v>69</v>
      </c>
      <c r="K46" s="55">
        <f>'Necesidades Trimestrales'!G44</f>
        <v>10000</v>
      </c>
    </row>
    <row r="47" spans="1:11" ht="31.5" customHeight="1" thickBot="1" x14ac:dyDescent="0.25">
      <c r="A47" s="74">
        <v>36</v>
      </c>
      <c r="B47" s="73">
        <f>'Necesidades Trimestrales'!B45</f>
        <v>0</v>
      </c>
      <c r="C47" s="109" t="str">
        <f>'Necesidades Trimestrales'!E45</f>
        <v>SET DE VIA CENTRAL DOBLE LUMEN  7 FRENCH TIPO ARROW</v>
      </c>
      <c r="D47" s="109"/>
      <c r="E47" s="109"/>
      <c r="F47" s="109"/>
      <c r="G47" s="109"/>
      <c r="H47" s="52" t="s">
        <v>59</v>
      </c>
      <c r="I47" s="53" t="str">
        <f>'Necesidades Trimestrales'!F45</f>
        <v>UNIDAD</v>
      </c>
      <c r="J47" s="54">
        <f>'Necesidades Trimestrales'!H45</f>
        <v>2690</v>
      </c>
      <c r="K47" s="55">
        <f>'Necesidades Trimestrales'!G45</f>
        <v>10</v>
      </c>
    </row>
    <row r="48" spans="1:11" ht="31.5" customHeight="1" thickBot="1" x14ac:dyDescent="0.25">
      <c r="A48" s="74">
        <v>37</v>
      </c>
      <c r="B48" s="73">
        <f>'Necesidades Trimestrales'!B46</f>
        <v>0</v>
      </c>
      <c r="C48" s="109" t="str">
        <f>'Necesidades Trimestrales'!E46</f>
        <v>SET DE VIA CENTRAL DOBLE LUMEN 4  FRENCH  /13 CM 22/22 G TIPO ARROW</v>
      </c>
      <c r="D48" s="109"/>
      <c r="E48" s="109"/>
      <c r="F48" s="109"/>
      <c r="G48" s="109"/>
      <c r="H48" s="52" t="s">
        <v>59</v>
      </c>
      <c r="I48" s="53" t="str">
        <f>'Necesidades Trimestrales'!F46</f>
        <v>UNIDAD</v>
      </c>
      <c r="J48" s="54">
        <f>'Necesidades Trimestrales'!H46</f>
        <v>5980</v>
      </c>
      <c r="K48" s="55">
        <f>'Necesidades Trimestrales'!G46</f>
        <v>5</v>
      </c>
    </row>
    <row r="49" spans="1:11" ht="31.5" customHeight="1" thickBot="1" x14ac:dyDescent="0.25">
      <c r="A49" s="67">
        <v>38</v>
      </c>
      <c r="B49" s="73">
        <f>'Necesidades Trimestrales'!B47</f>
        <v>0</v>
      </c>
      <c r="C49" s="109" t="str">
        <f>'Necesidades Trimestrales'!E47</f>
        <v>SET DE VIA CENTRAL DOBLE LUMEN 4  FRENCH  /30 CM 22/22 G TIPO ARROW</v>
      </c>
      <c r="D49" s="109"/>
      <c r="E49" s="109"/>
      <c r="F49" s="109"/>
      <c r="G49" s="109"/>
      <c r="H49" s="52" t="s">
        <v>59</v>
      </c>
      <c r="I49" s="53" t="str">
        <f>'Necesidades Trimestrales'!F47</f>
        <v>UNIDAD</v>
      </c>
      <c r="J49" s="54">
        <f>'Necesidades Trimestrales'!H47</f>
        <v>5980</v>
      </c>
      <c r="K49" s="55">
        <f>'Necesidades Trimestrales'!G47</f>
        <v>5</v>
      </c>
    </row>
    <row r="50" spans="1:11" ht="31.5" customHeight="1" thickBot="1" x14ac:dyDescent="0.25">
      <c r="A50" s="74">
        <v>39</v>
      </c>
      <c r="B50" s="73">
        <f>'Necesidades Trimestrales'!B48</f>
        <v>0</v>
      </c>
      <c r="C50" s="109" t="str">
        <f>'Necesidades Trimestrales'!E48</f>
        <v>SET DE VIA CENTRAL SIMPLE LUMEN VIA 7 FRENCH TIPO ARROW</v>
      </c>
      <c r="D50" s="109"/>
      <c r="E50" s="109"/>
      <c r="F50" s="109"/>
      <c r="G50" s="109"/>
      <c r="H50" s="52" t="s">
        <v>59</v>
      </c>
      <c r="I50" s="53" t="str">
        <f>'Necesidades Trimestrales'!F48</f>
        <v>UNIDAD</v>
      </c>
      <c r="J50" s="54">
        <f>'Necesidades Trimestrales'!H48</f>
        <v>8980</v>
      </c>
      <c r="K50" s="55">
        <f>'Necesidades Trimestrales'!G48</f>
        <v>60</v>
      </c>
    </row>
    <row r="51" spans="1:11" ht="31.5" customHeight="1" thickBot="1" x14ac:dyDescent="0.25">
      <c r="A51" s="67">
        <v>40</v>
      </c>
      <c r="B51" s="73">
        <f>'Necesidades Trimestrales'!B49</f>
        <v>0</v>
      </c>
      <c r="C51" s="109" t="str">
        <f>'Necesidades Trimestrales'!E49</f>
        <v>SET PARA NEBULIZAR COMPLETO PIPETA+ MASCARA + TUBULADURA</v>
      </c>
      <c r="D51" s="109"/>
      <c r="E51" s="109"/>
      <c r="F51" s="109"/>
      <c r="G51" s="109"/>
      <c r="H51" s="52" t="s">
        <v>59</v>
      </c>
      <c r="I51" s="53" t="str">
        <f>'Necesidades Trimestrales'!F49</f>
        <v>UNIDAD</v>
      </c>
      <c r="J51" s="54">
        <f>'Necesidades Trimestrales'!H49</f>
        <v>1690</v>
      </c>
      <c r="K51" s="55">
        <f>'Necesidades Trimestrales'!G49</f>
        <v>100</v>
      </c>
    </row>
    <row r="52" spans="1:11" ht="31.5" customHeight="1" thickBot="1" x14ac:dyDescent="0.25">
      <c r="A52" s="67">
        <v>41</v>
      </c>
      <c r="B52" s="73">
        <f>'Necesidades Trimestrales'!B50</f>
        <v>0</v>
      </c>
      <c r="C52" s="109" t="str">
        <f>'Necesidades Trimestrales'!E50</f>
        <v>SONDA INTUB.GASTRICA K 9</v>
      </c>
      <c r="D52" s="109"/>
      <c r="E52" s="109"/>
      <c r="F52" s="109"/>
      <c r="G52" s="109"/>
      <c r="H52" s="52" t="s">
        <v>59</v>
      </c>
      <c r="I52" s="53" t="str">
        <f>'Necesidades Trimestrales'!F50</f>
        <v>UNIDAD</v>
      </c>
      <c r="J52" s="54">
        <f>'Necesidades Trimestrales'!H50</f>
        <v>36</v>
      </c>
      <c r="K52" s="55">
        <f>'Necesidades Trimestrales'!G50</f>
        <v>50</v>
      </c>
    </row>
    <row r="53" spans="1:11" ht="31.5" customHeight="1" thickBot="1" x14ac:dyDescent="0.25">
      <c r="A53" s="74">
        <v>42</v>
      </c>
      <c r="B53" s="73">
        <f>'Necesidades Trimestrales'!B51</f>
        <v>0</v>
      </c>
      <c r="C53" s="109" t="str">
        <f>'Necesidades Trimestrales'!E51</f>
        <v>SONDA INTUB.GASTRICA K10</v>
      </c>
      <c r="D53" s="109"/>
      <c r="E53" s="109"/>
      <c r="F53" s="109"/>
      <c r="G53" s="109"/>
      <c r="H53" s="52" t="s">
        <v>59</v>
      </c>
      <c r="I53" s="53" t="str">
        <f>'Necesidades Trimestrales'!F51</f>
        <v>UNIDAD</v>
      </c>
      <c r="J53" s="54">
        <f>'Necesidades Trimestrales'!H51</f>
        <v>36</v>
      </c>
      <c r="K53" s="55">
        <f>'Necesidades Trimestrales'!G51</f>
        <v>50</v>
      </c>
    </row>
    <row r="54" spans="1:11" ht="31.5" customHeight="1" thickBot="1" x14ac:dyDescent="0.25">
      <c r="A54" s="74">
        <v>43</v>
      </c>
      <c r="B54" s="73">
        <f>'Necesidades Trimestrales'!B52</f>
        <v>0</v>
      </c>
      <c r="C54" s="109" t="str">
        <f>'Necesidades Trimestrales'!E52</f>
        <v>SONDA INTUB.GASTRICA K11</v>
      </c>
      <c r="D54" s="109"/>
      <c r="E54" s="109"/>
      <c r="F54" s="109"/>
      <c r="G54" s="109"/>
      <c r="H54" s="52" t="s">
        <v>59</v>
      </c>
      <c r="I54" s="53" t="str">
        <f>'Necesidades Trimestrales'!F52</f>
        <v>UNIDAD</v>
      </c>
      <c r="J54" s="54">
        <f>'Necesidades Trimestrales'!H52</f>
        <v>36</v>
      </c>
      <c r="K54" s="55">
        <f>'Necesidades Trimestrales'!G52</f>
        <v>50</v>
      </c>
    </row>
    <row r="55" spans="1:11" ht="31.5" customHeight="1" thickBot="1" x14ac:dyDescent="0.25">
      <c r="A55" s="67">
        <v>44</v>
      </c>
      <c r="B55" s="73">
        <f>'Necesidades Trimestrales'!B53</f>
        <v>0</v>
      </c>
      <c r="C55" s="109" t="str">
        <f>'Necesidades Trimestrales'!E53</f>
        <v>SONDA K32 CON REGULADOR</v>
      </c>
      <c r="D55" s="109"/>
      <c r="E55" s="109"/>
      <c r="F55" s="109"/>
      <c r="G55" s="109"/>
      <c r="H55" s="52" t="s">
        <v>59</v>
      </c>
      <c r="I55" s="53" t="str">
        <f>'Necesidades Trimestrales'!F53</f>
        <v>UNIDAD</v>
      </c>
      <c r="J55" s="54">
        <f>'Necesidades Trimestrales'!H53</f>
        <v>45</v>
      </c>
      <c r="K55" s="55">
        <f>'Necesidades Trimestrales'!G53</f>
        <v>200</v>
      </c>
    </row>
    <row r="56" spans="1:11" ht="31.5" customHeight="1" thickBot="1" x14ac:dyDescent="0.25">
      <c r="A56" s="74">
        <v>45</v>
      </c>
      <c r="B56" s="73">
        <f>'Necesidades Trimestrales'!B54</f>
        <v>0</v>
      </c>
      <c r="C56" s="109" t="str">
        <f>'Necesidades Trimestrales'!E54</f>
        <v>SONDA NASOGASTRICA  K31</v>
      </c>
      <c r="D56" s="109"/>
      <c r="E56" s="109"/>
      <c r="F56" s="109"/>
      <c r="G56" s="109"/>
      <c r="H56" s="52" t="s">
        <v>59</v>
      </c>
      <c r="I56" s="53" t="str">
        <f>'Necesidades Trimestrales'!F54</f>
        <v>UNIDAD</v>
      </c>
      <c r="J56" s="54">
        <f>'Necesidades Trimestrales'!H54</f>
        <v>36</v>
      </c>
      <c r="K56" s="55">
        <f>'Necesidades Trimestrales'!G54</f>
        <v>800</v>
      </c>
    </row>
    <row r="57" spans="1:11" ht="31.5" customHeight="1" thickBot="1" x14ac:dyDescent="0.25">
      <c r="A57" s="67">
        <v>46</v>
      </c>
      <c r="B57" s="73">
        <f>'Necesidades Trimestrales'!B55</f>
        <v>0</v>
      </c>
      <c r="C57" s="109" t="str">
        <f>'Necesidades Trimestrales'!E55</f>
        <v>SONDA NASOGASTRICA K 33</v>
      </c>
      <c r="D57" s="109"/>
      <c r="E57" s="109"/>
      <c r="F57" s="109"/>
      <c r="G57" s="109"/>
      <c r="H57" s="52" t="s">
        <v>59</v>
      </c>
      <c r="I57" s="53" t="str">
        <f>'Necesidades Trimestrales'!F55</f>
        <v>UNIDAD</v>
      </c>
      <c r="J57" s="54">
        <f>'Necesidades Trimestrales'!H55</f>
        <v>36</v>
      </c>
      <c r="K57" s="55">
        <f>'Necesidades Trimestrales'!G55</f>
        <v>5400</v>
      </c>
    </row>
    <row r="58" spans="1:11" ht="31.5" customHeight="1" thickBot="1" x14ac:dyDescent="0.25">
      <c r="A58" s="67">
        <v>47</v>
      </c>
      <c r="B58" s="73">
        <f>'Necesidades Trimestrales'!B56</f>
        <v>0</v>
      </c>
      <c r="C58" s="109" t="str">
        <f>'Necesidades Trimestrales'!E56</f>
        <v>SONDA NASOGASTRICA K 35</v>
      </c>
      <c r="D58" s="109"/>
      <c r="E58" s="109"/>
      <c r="F58" s="109"/>
      <c r="G58" s="109"/>
      <c r="H58" s="52" t="s">
        <v>59</v>
      </c>
      <c r="I58" s="53" t="str">
        <f>'Necesidades Trimestrales'!F56</f>
        <v>UNIDAD</v>
      </c>
      <c r="J58" s="54">
        <f>'Necesidades Trimestrales'!H56</f>
        <v>36</v>
      </c>
      <c r="K58" s="55">
        <f>'Necesidades Trimestrales'!G56</f>
        <v>4500</v>
      </c>
    </row>
    <row r="59" spans="1:11" ht="31.5" customHeight="1" thickBot="1" x14ac:dyDescent="0.25">
      <c r="A59" s="74">
        <v>48</v>
      </c>
      <c r="B59" s="73">
        <f>'Necesidades Trimestrales'!B57</f>
        <v>0</v>
      </c>
      <c r="C59" s="109" t="str">
        <f>'Necesidades Trimestrales'!E57</f>
        <v>SONDA NELATON PVC N° 12 T/K93</v>
      </c>
      <c r="D59" s="109"/>
      <c r="E59" s="109"/>
      <c r="F59" s="109"/>
      <c r="G59" s="109"/>
      <c r="H59" s="52" t="s">
        <v>59</v>
      </c>
      <c r="I59" s="53" t="str">
        <f>'Necesidades Trimestrales'!F57</f>
        <v>UNIDAD</v>
      </c>
      <c r="J59" s="54">
        <f>'Necesidades Trimestrales'!H57</f>
        <v>56</v>
      </c>
      <c r="K59" s="55">
        <f>'Necesidades Trimestrales'!G57</f>
        <v>2000</v>
      </c>
    </row>
    <row r="60" spans="1:11" ht="35.25" customHeight="1" thickBot="1" x14ac:dyDescent="0.25">
      <c r="A60" s="74">
        <v>49</v>
      </c>
      <c r="B60" s="73">
        <f>'Necesidades Trimestrales'!B58</f>
        <v>0</v>
      </c>
      <c r="C60" s="109" t="str">
        <f>'Necesidades Trimestrales'!E58</f>
        <v>SONDA P/ASPIRACION MUCUS K33P C/REGULADOR</v>
      </c>
      <c r="D60" s="109"/>
      <c r="E60" s="109"/>
      <c r="F60" s="109"/>
      <c r="G60" s="109"/>
      <c r="H60" s="52" t="s">
        <v>59</v>
      </c>
      <c r="I60" s="53" t="str">
        <f>'Necesidades Trimestrales'!F58</f>
        <v>UNIDAD</v>
      </c>
      <c r="J60" s="54">
        <f>'Necesidades Trimestrales'!H58</f>
        <v>38</v>
      </c>
      <c r="K60" s="55">
        <f>'Necesidades Trimestrales'!G58</f>
        <v>5400</v>
      </c>
    </row>
    <row r="61" spans="1:11" ht="45" customHeight="1" thickBot="1" x14ac:dyDescent="0.25">
      <c r="A61" s="67">
        <v>50</v>
      </c>
      <c r="B61" s="73">
        <f>'Necesidades Trimestrales'!B59</f>
        <v>0</v>
      </c>
      <c r="C61" s="109" t="str">
        <f>'Necesidades Trimestrales'!E59</f>
        <v>SONDA P/ASPIRACION MUCUS T/K31P C/REG.</v>
      </c>
      <c r="D61" s="109"/>
      <c r="E61" s="109"/>
      <c r="F61" s="109"/>
      <c r="G61" s="109"/>
      <c r="H61" s="52" t="s">
        <v>59</v>
      </c>
      <c r="I61" s="53" t="str">
        <f>'Necesidades Trimestrales'!F59</f>
        <v>UNIDAD</v>
      </c>
      <c r="J61" s="54">
        <f>'Necesidades Trimestrales'!H59</f>
        <v>38</v>
      </c>
      <c r="K61" s="55">
        <f>'Necesidades Trimestrales'!G59</f>
        <v>2000</v>
      </c>
    </row>
    <row r="62" spans="1:11" ht="40.5" customHeight="1" thickBot="1" x14ac:dyDescent="0.25">
      <c r="A62" s="74">
        <v>51</v>
      </c>
      <c r="B62" s="73">
        <f>'Necesidades Trimestrales'!B60</f>
        <v>0</v>
      </c>
      <c r="C62" s="109" t="str">
        <f>'Necesidades Trimestrales'!E60</f>
        <v>SONDA P/ASPIRACION MUCUS T/K35P C/REGULADOR</v>
      </c>
      <c r="D62" s="109"/>
      <c r="E62" s="109"/>
      <c r="F62" s="109"/>
      <c r="G62" s="109"/>
      <c r="H62" s="52" t="s">
        <v>59</v>
      </c>
      <c r="I62" s="53" t="str">
        <f>'Necesidades Trimestrales'!F60</f>
        <v>UNIDAD</v>
      </c>
      <c r="J62" s="54">
        <f>'Necesidades Trimestrales'!H60</f>
        <v>38</v>
      </c>
      <c r="K62" s="55">
        <f>'Necesidades Trimestrales'!G60</f>
        <v>2000</v>
      </c>
    </row>
    <row r="63" spans="1:11" ht="40.5" customHeight="1" thickBot="1" x14ac:dyDescent="0.25">
      <c r="A63" s="67">
        <v>52</v>
      </c>
      <c r="B63" s="156">
        <f>'Necesidades Trimestrales'!B61</f>
        <v>0</v>
      </c>
      <c r="C63" s="157" t="str">
        <f>'Necesidades Trimestrales'!E61</f>
        <v>TAPON INTERMITENTE TIPO BRAUN in stopper</v>
      </c>
      <c r="D63" s="157"/>
      <c r="E63" s="157"/>
      <c r="F63" s="157"/>
      <c r="G63" s="157"/>
      <c r="H63" s="158" t="s">
        <v>59</v>
      </c>
      <c r="I63" s="159" t="str">
        <f>'Necesidades Trimestrales'!F61</f>
        <v>UNIDAD</v>
      </c>
      <c r="J63" s="160">
        <f>'Necesidades Trimestrales'!H61</f>
        <v>18</v>
      </c>
      <c r="K63" s="161">
        <f>'Necesidades Trimestrales'!G61</f>
        <v>2000</v>
      </c>
    </row>
    <row r="64" spans="1:11" ht="40.5" customHeight="1" thickBot="1" x14ac:dyDescent="0.25">
      <c r="A64" s="67">
        <v>53</v>
      </c>
      <c r="B64" s="73">
        <f>'Necesidades Trimestrales'!B62</f>
        <v>0</v>
      </c>
      <c r="C64" s="109" t="str">
        <f>'Necesidades Trimestrales'!E62</f>
        <v>TELA ADHESIVA 2,5 MM X 9,00 MTS TIPO ADHESUR</v>
      </c>
      <c r="D64" s="109"/>
      <c r="E64" s="109"/>
      <c r="F64" s="109"/>
      <c r="G64" s="109"/>
      <c r="H64" s="52" t="s">
        <v>59</v>
      </c>
      <c r="I64" s="53" t="str">
        <f>'Necesidades Trimestrales'!F62</f>
        <v>Unidad</v>
      </c>
      <c r="J64" s="54">
        <f>'Necesidades Trimestrales'!H62</f>
        <v>115</v>
      </c>
      <c r="K64" s="55">
        <f>'Necesidades Trimestrales'!G62</f>
        <v>1800</v>
      </c>
    </row>
    <row r="65" spans="1:11" ht="40.5" customHeight="1" thickBot="1" x14ac:dyDescent="0.25">
      <c r="A65" s="74">
        <v>54</v>
      </c>
      <c r="B65" s="73">
        <f>'Necesidades Trimestrales'!B63</f>
        <v>0</v>
      </c>
      <c r="C65" s="109" t="str">
        <f>'Necesidades Trimestrales'!E63</f>
        <v>TELA ADHESIVA 5 MM X 9,00 MTS TIPO ADHESUR</v>
      </c>
      <c r="D65" s="109"/>
      <c r="E65" s="109"/>
      <c r="F65" s="109"/>
      <c r="G65" s="109"/>
      <c r="H65" s="52" t="s">
        <v>59</v>
      </c>
      <c r="I65" s="53" t="str">
        <f>'Necesidades Trimestrales'!F63</f>
        <v>Unidad</v>
      </c>
      <c r="J65" s="54">
        <f>'Necesidades Trimestrales'!H63</f>
        <v>198</v>
      </c>
      <c r="K65" s="55">
        <f>'Necesidades Trimestrales'!G63</f>
        <v>240</v>
      </c>
    </row>
    <row r="66" spans="1:11" ht="40.5" customHeight="1" thickBot="1" x14ac:dyDescent="0.25">
      <c r="A66" s="74">
        <v>55</v>
      </c>
      <c r="B66" s="73">
        <f>'Necesidades Trimestrales'!B64</f>
        <v>0</v>
      </c>
      <c r="C66" s="109" t="str">
        <f>'Necesidades Trimestrales'!E64</f>
        <v>TELA ADHESIVA HIPOALERGENICA MICROPORE 2,5 CM TIPO 3 M</v>
      </c>
      <c r="D66" s="109"/>
      <c r="E66" s="109"/>
      <c r="F66" s="109"/>
      <c r="G66" s="109"/>
      <c r="H66" s="52" t="s">
        <v>59</v>
      </c>
      <c r="I66" s="53" t="str">
        <f>'Necesidades Trimestrales'!F64</f>
        <v>Unidad</v>
      </c>
      <c r="J66" s="54">
        <f>'Necesidades Trimestrales'!H64</f>
        <v>168</v>
      </c>
      <c r="K66" s="55">
        <f>'Necesidades Trimestrales'!G64</f>
        <v>240</v>
      </c>
    </row>
    <row r="67" spans="1:11" ht="40.5" customHeight="1" thickBot="1" x14ac:dyDescent="0.25">
      <c r="A67" s="67">
        <v>56</v>
      </c>
      <c r="B67" s="73">
        <f>'Necesidades Trimestrales'!B65</f>
        <v>0</v>
      </c>
      <c r="C67" s="109" t="str">
        <f>'Necesidades Trimestrales'!E65</f>
        <v>TELA ADHESIVA HIPOALERGENICA TRANSPORE 2,5 CM TIPO 3 M</v>
      </c>
      <c r="D67" s="109"/>
      <c r="E67" s="109"/>
      <c r="F67" s="109"/>
      <c r="G67" s="109"/>
      <c r="H67" s="52" t="s">
        <v>59</v>
      </c>
      <c r="I67" s="53" t="str">
        <f>'Necesidades Trimestrales'!F65</f>
        <v>Unidad</v>
      </c>
      <c r="J67" s="54">
        <f>'Necesidades Trimestrales'!H65</f>
        <v>269</v>
      </c>
      <c r="K67" s="55">
        <f>'Necesidades Trimestrales'!G65</f>
        <v>360</v>
      </c>
    </row>
    <row r="68" spans="1:11" ht="20.25" customHeight="1" thickBot="1" x14ac:dyDescent="0.25">
      <c r="A68" s="162" t="s">
        <v>129</v>
      </c>
      <c r="B68" s="162"/>
      <c r="C68" s="162"/>
      <c r="D68" s="162"/>
      <c r="E68" s="162"/>
      <c r="F68" s="162"/>
      <c r="G68" s="162"/>
      <c r="H68" s="162"/>
      <c r="I68" s="162"/>
      <c r="J68" s="163">
        <f>SUMPRODUCT(J12:J67,K12:K67)</f>
        <v>7948192</v>
      </c>
      <c r="K68" s="163"/>
    </row>
  </sheetData>
  <mergeCells count="78">
    <mergeCell ref="A68:I68"/>
    <mergeCell ref="J68:K68"/>
    <mergeCell ref="C16:G16"/>
    <mergeCell ref="C17:G17"/>
    <mergeCell ref="C18:G18"/>
    <mergeCell ref="C19:G19"/>
    <mergeCell ref="C24:G24"/>
    <mergeCell ref="C64:G64"/>
    <mergeCell ref="C65:G65"/>
    <mergeCell ref="C66:G66"/>
    <mergeCell ref="C67:G67"/>
    <mergeCell ref="C42:G42"/>
    <mergeCell ref="C43:G43"/>
    <mergeCell ref="C29:G29"/>
    <mergeCell ref="C30:G30"/>
    <mergeCell ref="C31:G31"/>
    <mergeCell ref="C12:G12"/>
    <mergeCell ref="C38:G38"/>
    <mergeCell ref="C39:G39"/>
    <mergeCell ref="C40:G40"/>
    <mergeCell ref="C41:G41"/>
    <mergeCell ref="C13:G13"/>
    <mergeCell ref="C14:G14"/>
    <mergeCell ref="C15:G15"/>
    <mergeCell ref="C20:G20"/>
    <mergeCell ref="C21:G21"/>
    <mergeCell ref="C22:G22"/>
    <mergeCell ref="C23:G23"/>
    <mergeCell ref="C25:G25"/>
    <mergeCell ref="C26:G26"/>
    <mergeCell ref="C27:G27"/>
    <mergeCell ref="C28:G2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32:G32"/>
    <mergeCell ref="C52:G52"/>
    <mergeCell ref="C53:G53"/>
    <mergeCell ref="C54:G54"/>
    <mergeCell ref="C55:G55"/>
    <mergeCell ref="C44:G44"/>
    <mergeCell ref="C33:G33"/>
    <mergeCell ref="C36:G36"/>
    <mergeCell ref="C37:G37"/>
    <mergeCell ref="C34:G34"/>
    <mergeCell ref="C35:G35"/>
    <mergeCell ref="C45:G45"/>
    <mergeCell ref="C46:G46"/>
    <mergeCell ref="C47:G47"/>
    <mergeCell ref="C48:G48"/>
    <mergeCell ref="C49:G49"/>
    <mergeCell ref="C50:G50"/>
    <mergeCell ref="C51:G51"/>
    <mergeCell ref="C61:G61"/>
    <mergeCell ref="C63:G63"/>
    <mergeCell ref="C57:G57"/>
    <mergeCell ref="C58:G58"/>
    <mergeCell ref="C59:G59"/>
    <mergeCell ref="C60:G60"/>
    <mergeCell ref="C56:G56"/>
    <mergeCell ref="C62:G6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zoomScale="110" zoomScaleNormal="110" workbookViewId="0">
      <selection activeCell="R24" sqref="R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20" max="20" width="13.42578125" bestFit="1" customWidth="1"/>
  </cols>
  <sheetData>
    <row r="1" spans="1:20" ht="15.75" customHeight="1" x14ac:dyDescent="0.25">
      <c r="A1" s="125" t="s">
        <v>3</v>
      </c>
      <c r="B1" s="125"/>
      <c r="C1" s="125"/>
      <c r="D1" s="126">
        <f>'Necesidades Trimestrales'!C6</f>
        <v>2020</v>
      </c>
      <c r="E1" s="126"/>
      <c r="F1" s="9"/>
      <c r="G1" s="9"/>
      <c r="H1" s="10"/>
      <c r="I1" s="10"/>
      <c r="J1" s="10"/>
      <c r="K1" s="10"/>
      <c r="L1" s="10"/>
      <c r="M1" s="10"/>
      <c r="N1" s="10"/>
      <c r="P1" s="127" t="s">
        <v>29</v>
      </c>
      <c r="Q1" s="127"/>
    </row>
    <row r="2" spans="1:20" ht="15.75" customHeight="1" x14ac:dyDescent="0.2">
      <c r="H2" s="10"/>
      <c r="I2" s="10"/>
      <c r="J2" s="10"/>
      <c r="K2" s="10"/>
      <c r="L2" s="10"/>
      <c r="M2" s="10"/>
      <c r="N2" s="10"/>
      <c r="P2" s="127"/>
      <c r="Q2" s="127"/>
    </row>
    <row r="4" spans="1:20" s="11" customFormat="1" ht="18" customHeight="1" thickBot="1" x14ac:dyDescent="0.25">
      <c r="A4" s="128" t="s">
        <v>30</v>
      </c>
      <c r="B4" s="128"/>
      <c r="C4" s="128"/>
      <c r="D4" s="128"/>
      <c r="E4" s="128"/>
      <c r="F4" s="128"/>
      <c r="G4" s="129" t="str">
        <f>' NotaPedido 249-20'!D3</f>
        <v>42-Ministerio de Salud</v>
      </c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20" s="11" customFormat="1" ht="18" customHeight="1" thickBot="1" x14ac:dyDescent="0.25">
      <c r="A5" s="130" t="s">
        <v>53</v>
      </c>
      <c r="B5" s="131"/>
      <c r="C5" s="131"/>
      <c r="D5" s="131"/>
      <c r="E5" s="131"/>
      <c r="F5" s="132"/>
      <c r="G5" s="129" t="str">
        <f>' NotaPedido 249-20'!D4</f>
        <v>28- Maternidad Provincial 25 de Mayo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20" s="11" customFormat="1" ht="18" customHeight="1" thickBot="1" x14ac:dyDescent="0.25">
      <c r="A6" s="130" t="s">
        <v>31</v>
      </c>
      <c r="B6" s="131"/>
      <c r="C6" s="131"/>
      <c r="D6" s="131"/>
      <c r="E6" s="131"/>
      <c r="F6" s="132"/>
      <c r="G6" s="129" t="str">
        <f>' NotaPedido 249-20'!D5</f>
        <v xml:space="preserve">169- Direccion Asistencial 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20" s="11" customFormat="1" ht="18" customHeight="1" thickBot="1" x14ac:dyDescent="0.25">
      <c r="A7" s="134" t="s">
        <v>54</v>
      </c>
      <c r="B7" s="135"/>
      <c r="C7" s="135"/>
      <c r="D7" s="135"/>
      <c r="E7" s="135"/>
      <c r="F7" s="136"/>
      <c r="G7" s="129" t="str">
        <f>' NotaPedido 249-20'!D6</f>
        <v>Servicio de Farmacia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20" ht="18" customHeight="1" thickBot="1" x14ac:dyDescent="0.25">
      <c r="A8" s="133" t="s">
        <v>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20" ht="18" customHeight="1" x14ac:dyDescent="0.2">
      <c r="A9" s="140" t="s">
        <v>33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12"/>
    </row>
    <row r="10" spans="1:20" ht="54.75" customHeight="1" x14ac:dyDescent="0.2">
      <c r="A10" s="167" t="str">
        <f>"Autorizo la realización de los  trámites correspondientes, a fin de proveer a  este Organismo los bienes y/o servicios que se detallan en Nota  de Pedido N° " &amp; ' NotaPedido 249-20'!K1&amp;",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287/2020,  afectando la erogación resultante a los créditos presupuestarios aprobados a favor de esta Unidad Ejecutora, conforme al siguiente detalle: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20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20" ht="15.75" customHeight="1" thickBot="1" x14ac:dyDescent="0.25">
      <c r="A12" s="141" t="s">
        <v>34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20" ht="15.75" customHeight="1" thickBot="1" x14ac:dyDescent="0.25">
      <c r="A13" s="141" t="s">
        <v>35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36</v>
      </c>
      <c r="P13" s="143"/>
      <c r="Q13" s="145" t="s">
        <v>37</v>
      </c>
    </row>
    <row r="14" spans="1:20" ht="15.75" customHeight="1" x14ac:dyDescent="0.2">
      <c r="A14" s="72" t="s">
        <v>38</v>
      </c>
      <c r="B14" s="72" t="s">
        <v>39</v>
      </c>
      <c r="C14" s="72" t="s">
        <v>40</v>
      </c>
      <c r="D14" s="72" t="s">
        <v>41</v>
      </c>
      <c r="E14" s="72" t="s">
        <v>42</v>
      </c>
      <c r="F14" s="72" t="s">
        <v>43</v>
      </c>
      <c r="G14" s="79" t="s">
        <v>44</v>
      </c>
      <c r="H14" s="72" t="s">
        <v>45</v>
      </c>
      <c r="I14" s="72" t="s">
        <v>46</v>
      </c>
      <c r="J14" s="72" t="s">
        <v>47</v>
      </c>
      <c r="K14" s="72" t="s">
        <v>47</v>
      </c>
      <c r="L14" s="72" t="s">
        <v>48</v>
      </c>
      <c r="M14" s="72" t="s">
        <v>49</v>
      </c>
      <c r="N14" s="72" t="s">
        <v>50</v>
      </c>
      <c r="O14" s="144"/>
      <c r="P14" s="143"/>
      <c r="Q14" s="145"/>
    </row>
    <row r="15" spans="1:20" ht="17.25" customHeight="1" x14ac:dyDescent="0.2">
      <c r="A15" s="78">
        <v>42</v>
      </c>
      <c r="B15" s="17"/>
      <c r="C15" s="17"/>
      <c r="D15" s="78">
        <v>2</v>
      </c>
      <c r="E15" s="17"/>
      <c r="F15" s="78">
        <v>4901</v>
      </c>
      <c r="G15" s="68">
        <v>3</v>
      </c>
      <c r="H15" s="68">
        <v>1</v>
      </c>
      <c r="I15" s="68">
        <v>2</v>
      </c>
      <c r="J15" s="68">
        <v>5</v>
      </c>
      <c r="K15" s="68">
        <v>1</v>
      </c>
      <c r="L15" s="17"/>
      <c r="M15" s="18">
        <v>1</v>
      </c>
      <c r="N15" s="70" t="s">
        <v>57</v>
      </c>
      <c r="O15" s="137" t="s">
        <v>127</v>
      </c>
      <c r="P15" s="138"/>
      <c r="Q15" s="19">
        <v>1937920</v>
      </c>
    </row>
    <row r="16" spans="1:20" ht="29.25" customHeight="1" x14ac:dyDescent="0.2">
      <c r="A16" s="66">
        <v>42</v>
      </c>
      <c r="B16" s="66"/>
      <c r="C16" s="66"/>
      <c r="D16" s="66">
        <v>2</v>
      </c>
      <c r="E16" s="66"/>
      <c r="F16" s="66">
        <v>4901</v>
      </c>
      <c r="G16" s="66">
        <v>3</v>
      </c>
      <c r="H16" s="66">
        <v>1</v>
      </c>
      <c r="I16" s="66">
        <v>2</v>
      </c>
      <c r="J16" s="66">
        <v>9</v>
      </c>
      <c r="K16" s="66">
        <v>5</v>
      </c>
      <c r="L16" s="66"/>
      <c r="M16" s="67">
        <v>1</v>
      </c>
      <c r="N16" s="69" t="s">
        <v>57</v>
      </c>
      <c r="O16" s="139" t="s">
        <v>63</v>
      </c>
      <c r="P16" s="139"/>
      <c r="Q16" s="165">
        <v>6010272</v>
      </c>
      <c r="T16" s="82"/>
    </row>
    <row r="17" spans="1:18" ht="29.25" customHeight="1" x14ac:dyDescent="0.2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7"/>
      <c r="N17" s="69"/>
      <c r="O17" s="146"/>
      <c r="P17" s="146"/>
      <c r="Q17" s="65"/>
    </row>
    <row r="18" spans="1:18" ht="27.75" customHeight="1" x14ac:dyDescent="0.2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7"/>
      <c r="N18" s="69"/>
      <c r="O18" s="146"/>
      <c r="P18" s="146"/>
      <c r="Q18" s="71"/>
    </row>
    <row r="19" spans="1:18" ht="17.25" customHeight="1" x14ac:dyDescent="0.2">
      <c r="A19" s="20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  <c r="M19" s="23"/>
      <c r="N19" s="24"/>
      <c r="O19" s="152"/>
      <c r="P19" s="152"/>
      <c r="Q19" s="19"/>
      <c r="R19" s="1"/>
    </row>
    <row r="20" spans="1:18" ht="17.2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6"/>
      <c r="O20" s="153"/>
      <c r="P20" s="153"/>
      <c r="Q20" s="28"/>
    </row>
    <row r="21" spans="1:18" ht="20.25" customHeight="1" x14ac:dyDescent="0.2">
      <c r="A21" s="164" t="s">
        <v>130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29">
        <f>SUM(Q15:Q20)</f>
        <v>7948192</v>
      </c>
    </row>
    <row r="22" spans="1:18" ht="18" customHeight="1" thickBot="1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 spans="1:18" ht="17.25" customHeight="1" thickBot="1" x14ac:dyDescent="0.25">
      <c r="A23" s="147" t="s">
        <v>51</v>
      </c>
      <c r="B23" s="148"/>
      <c r="C23" s="148"/>
      <c r="D23" s="148"/>
      <c r="E23" s="148"/>
      <c r="F23" s="149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</row>
    <row r="24" spans="1:18" ht="18" customHeight="1" thickBot="1" x14ac:dyDescent="0.25">
      <c r="A24" s="151" t="s">
        <v>133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</row>
    <row r="25" spans="1:18" ht="15" customHeight="1" x14ac:dyDescent="0.2">
      <c r="A25" s="151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</sheetData>
  <mergeCells count="29"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 249-20</vt:lpstr>
      <vt:lpstr>Autor Gastar</vt:lpstr>
      <vt:lpstr>' NotaPedido 249-20'!Área_de_impresión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2020-08-27T14:49:27Z</cp:lastPrinted>
  <dcterms:created xsi:type="dcterms:W3CDTF">2020-07-17T23:44:49Z</dcterms:created>
  <dcterms:modified xsi:type="dcterms:W3CDTF">2020-11-06T11:59:51Z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