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iertos y Fracasados\Equipo de Oficina y Muebles\"/>
    </mc:Choice>
  </mc:AlternateContent>
  <xr:revisionPtr revIDLastSave="0" documentId="13_ncr:1_{D4BAD4AE-A7A6-485B-AEDE-EA5B1C938F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2" i="2"/>
  <c r="C51" i="1"/>
  <c r="I12" i="2" l="1"/>
  <c r="I13" i="2"/>
  <c r="I14" i="2"/>
  <c r="I15" i="2"/>
  <c r="I16" i="2"/>
  <c r="I17" i="2"/>
  <c r="I18" i="2"/>
  <c r="C54" i="1"/>
  <c r="C48" i="1"/>
  <c r="C45" i="1"/>
  <c r="C42" i="1"/>
  <c r="C39" i="1"/>
  <c r="C36" i="1"/>
  <c r="A38" i="3"/>
  <c r="G7" i="3"/>
  <c r="G6" i="3"/>
  <c r="G5" i="3"/>
  <c r="G4" i="3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I16" i="1"/>
  <c r="I15" i="1"/>
  <c r="I14" i="1"/>
  <c r="I13" i="1"/>
  <c r="I12" i="1"/>
  <c r="I11" i="1"/>
  <c r="I10" i="1"/>
  <c r="N18" i="2" l="1"/>
  <c r="M17" i="2"/>
  <c r="N15" i="2"/>
  <c r="N13" i="2"/>
  <c r="N16" i="2"/>
  <c r="J20" i="2"/>
  <c r="N12" i="2"/>
  <c r="N14" i="2"/>
  <c r="I17" i="1"/>
  <c r="M20" i="2" l="1"/>
  <c r="N20" i="2"/>
  <c r="O20" i="2" l="1"/>
  <c r="Q35" i="3"/>
</calcChain>
</file>

<file path=xl/sharedStrings.xml><?xml version="1.0" encoding="utf-8"?>
<sst xmlns="http://schemas.openxmlformats.org/spreadsheetml/2006/main" count="127" uniqueCount="101">
  <si>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</si>
  <si>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</si>
  <si>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</si>
  <si>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</si>
  <si>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</si>
  <si>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</si>
  <si>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</si>
  <si>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</si>
  <si>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</si>
  <si>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</si>
  <si>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</si>
  <si>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</si>
  <si>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</si>
  <si>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</si>
  <si>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</si>
  <si>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</si>
  <si>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EQUIPO DE OFICINA Y MUEBLES</t>
  </si>
  <si>
    <t>UNIDAD</t>
  </si>
  <si>
    <t>4.3.7-2001.22</t>
  </si>
  <si>
    <t>BANQUETAS/TABURETES; TERMINACION: METAL, DIMENSION: 0,6 X 0,3, RESPALDO: SIN, GIRATORIA: NO, APOYABRAZO: SIN, PATAS: 4, ALTURA: REGULABLE, MATERIAL: METAL</t>
  </si>
  <si>
    <t>4.3.7-1404.22</t>
  </si>
  <si>
    <t>ESTANTERIAS; MATERIAL: METAL, DIMENSION: 205 X 60 Cm, ALTURA: 260 Cm, ESTANTES: 6 UN, CAPACIDAD POR ESTANTE: SIN VALOR</t>
  </si>
  <si>
    <t>4.3.7-4500.4</t>
  </si>
  <si>
    <t>GAVETEROS; MATERIAL: METAL, ALTURA: 240 Cm, ANCHO: 110 Cm, PROFUNDIDAD: 36 Cm, TERMINACION: ESMALTE, CANTIDAD DE CAJONES: 32</t>
  </si>
  <si>
    <t>4.3.7-5446.1</t>
  </si>
  <si>
    <t>MESAS P/CAMAS; BASE: ACERO INOXIDABLE, ALTURA: REGULABLE, DIMENSION DE TAPA: 50 X 80 Cm, MATERIAL DE TAPA: LAMINADA EN MELAMINA, SUPERFICIE APOYO: 50 X 80 Cm</t>
  </si>
  <si>
    <t>4.3.7-1880.1</t>
  </si>
  <si>
    <t>RELOJES; TAMAÑO: 30 X 25 Cm, ALIMENTACION: ELECTRICA, MECANISMO: ANALOGICO, TIPO: DE PARED, MATERIAL: PLASTICO</t>
  </si>
  <si>
    <t>ELEMENTOS DE LIMPIEZA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</si>
  <si>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</si>
  <si>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</si>
  <si>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</si>
  <si>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</si>
  <si>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</si>
  <si>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</si>
  <si>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</si>
  <si>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</si>
  <si>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</si>
  <si>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</si>
  <si>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</si>
  <si>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</si>
  <si>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</si>
  <si>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</si>
  <si>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</si>
  <si>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</si>
  <si>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</si>
  <si>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</si>
  <si>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</si>
  <si>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</si>
  <si>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</si>
  <si>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</si>
  <si>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</si>
  <si>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</si>
  <si>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</si>
  <si>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</si>
  <si>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</si>
  <si>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</si>
  <si>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</si>
  <si>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</si>
  <si>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</si>
  <si>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</si>
  <si>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</si>
  <si>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</si>
  <si>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</si>
  <si>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</si>
  <si>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</si>
  <si>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</si>
  <si>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</si>
  <si>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</si>
  <si>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</si>
  <si>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</si>
  <si>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</si>
  <si>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</si>
  <si>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</si>
  <si>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</si>
  <si>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</si>
  <si>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</si>
  <si>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</si>
  <si>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</si>
  <si>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</si>
  <si>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</si>
  <si>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2.9.1-2661.8</t>
  </si>
  <si>
    <t>TACHOS DE RESIDUOS; MATERIAL: PLASTICO, SECCION: CIRCULAR, DIMENSION: 119 L, TAPA: CON</t>
  </si>
  <si>
    <t>veinte (20) dias habiles</t>
  </si>
  <si>
    <t>TERCERO</t>
  </si>
  <si>
    <t>Garantia:</t>
  </si>
  <si>
    <t>un (1) año</t>
  </si>
  <si>
    <t>ESPECIFICIDADES ITEM 5</t>
  </si>
  <si>
    <t>3er TRIMESTRE 2022</t>
  </si>
  <si>
    <t>* ADJUNTAR FOLLETERIA, MANUALES Y/O CUALQUIER OTRA DOCUMENTACION QUE EL PROVEEDOR ESTIME NECESARIO PARA ACLARAR EL BIEN COTIZADO</t>
  </si>
  <si>
    <t>ESPECIFICIDADES ITEM 1</t>
  </si>
  <si>
    <t>ESPECIFICIDADES ITEM 2</t>
  </si>
  <si>
    <t>ESPECIFICIDADES ITEM 3</t>
  </si>
  <si>
    <t>ESPECIFICIDADES ITEM 4</t>
  </si>
  <si>
    <t>ESPECIFICIDADES ITEM 6</t>
  </si>
  <si>
    <t>ESPECIFICIDADES ITEM 7</t>
  </si>
  <si>
    <t>Costo total estimado: PESOS ONCE MILLONES DOSCIENTOS CINCUENTA Y CUATRO MIL CON 00/100.-</t>
  </si>
  <si>
    <t>TOTAL DE PESOS: ONCE MILLONES DOSCIENTOS CINCUENTA Y CUATRO MIL CON 00/100.-</t>
  </si>
  <si>
    <t>ADQUISICION DE DESIERTOS Y FRACASADOS DE EQUIPAMIENTO PARA HOSPITALES DE LA PROVINCIA (ART. DEL HOGAR Y MUEBLES)</t>
  </si>
  <si>
    <t>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</si>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</sst>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C0A]\ * #,##0.00_-;\-[$$-2C0A]\ * #,##0.00_-;_-[$$-2C0A]\ * &quot;-&quot;??_-;_-@"/>
    <numFmt numFmtId="165" formatCode="[$$-2C0A]\ #,##0.00"/>
    <numFmt numFmtId="166" formatCode="dd\-mm\-yy"/>
    <numFmt numFmtId="167" formatCode="_-[$$-2C0A]\ * #,##0.00_-;\-[$$-2C0A]\ * #,##0.00_-;_-[$$-2C0A]\ * &quot;-&quot;??_-;_-@_-"/>
  </numFmts>
  <fonts count="39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12" fillId="0" borderId="18" xfId="0" applyNumberFormat="1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7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0" borderId="14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164" fontId="13" fillId="0" borderId="25" xfId="0" applyNumberFormat="1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0" fillId="0" borderId="1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64" fontId="13" fillId="0" borderId="0" xfId="0" applyNumberFormat="1" applyFont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3" fontId="23" fillId="0" borderId="11" xfId="0" applyNumberFormat="1" applyFont="1" applyBorder="1"/>
    <xf numFmtId="166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14" xfId="0" applyNumberFormat="1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164" fontId="0" fillId="0" borderId="37" xfId="0" applyNumberFormat="1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28" fillId="0" borderId="57" xfId="0" applyNumberFormat="1" applyFont="1" applyBorder="1" applyAlignment="1">
      <alignment horizontal="center" vertical="center"/>
    </xf>
    <xf numFmtId="0" fontId="10" fillId="0" borderId="14" xfId="0" applyFont="1" applyBorder="1"/>
    <xf numFmtId="0" fontId="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0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0" fillId="0" borderId="0" xfId="0" applyFont="1"/>
    <xf numFmtId="0" fontId="34" fillId="0" borderId="19" xfId="0" applyFont="1" applyBorder="1" applyAlignment="1">
      <alignment horizontal="center" vertical="center"/>
    </xf>
    <xf numFmtId="164" fontId="36" fillId="0" borderId="0" xfId="0" applyNumberFormat="1" applyFont="1"/>
    <xf numFmtId="0" fontId="36" fillId="0" borderId="0" xfId="0" applyFont="1"/>
    <xf numFmtId="167" fontId="0" fillId="0" borderId="0" xfId="0" applyNumberFormat="1"/>
    <xf numFmtId="0" fontId="37" fillId="0" borderId="47" xfId="0" applyFont="1" applyBorder="1" applyAlignment="1">
      <alignment horizontal="center" vertical="center"/>
    </xf>
    <xf numFmtId="3" fontId="6" fillId="0" borderId="65" xfId="0" applyNumberFormat="1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 wrapText="1"/>
    </xf>
    <xf numFmtId="3" fontId="22" fillId="0" borderId="69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 wrapText="1"/>
    </xf>
    <xf numFmtId="164" fontId="22" fillId="0" borderId="65" xfId="0" applyNumberFormat="1" applyFont="1" applyBorder="1" applyAlignment="1">
      <alignment horizontal="center" vertical="center" wrapText="1"/>
    </xf>
    <xf numFmtId="3" fontId="22" fillId="0" borderId="80" xfId="0" applyNumberFormat="1" applyFont="1" applyBorder="1" applyAlignment="1">
      <alignment horizontal="center" vertical="center"/>
    </xf>
    <xf numFmtId="164" fontId="0" fillId="0" borderId="82" xfId="0" applyNumberForma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0" fontId="28" fillId="0" borderId="84" xfId="0" applyFont="1" applyBorder="1" applyAlignment="1">
      <alignment horizontal="left" vertical="center"/>
    </xf>
    <xf numFmtId="0" fontId="28" fillId="0" borderId="85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10" fillId="0" borderId="17" xfId="0" applyFont="1" applyBorder="1"/>
    <xf numFmtId="0" fontId="30" fillId="0" borderId="0" xfId="0" applyFont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32" fillId="0" borderId="1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14" xfId="0" applyFont="1" applyBorder="1"/>
    <xf numFmtId="0" fontId="9" fillId="0" borderId="0" xfId="0" applyFont="1" applyAlignment="1">
      <alignment horizontal="center" vertical="center"/>
    </xf>
    <xf numFmtId="0" fontId="33" fillId="0" borderId="59" xfId="0" applyFont="1" applyBorder="1" applyAlignment="1">
      <alignment horizontal="left"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6" fillId="0" borderId="62" xfId="0" applyFont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0" fillId="0" borderId="11" xfId="0" applyFont="1" applyBorder="1"/>
    <xf numFmtId="0" fontId="20" fillId="0" borderId="22" xfId="0" applyFont="1" applyBorder="1" applyAlignment="1">
      <alignment horizontal="left" vertical="center" wrapText="1"/>
    </xf>
    <xf numFmtId="0" fontId="10" fillId="0" borderId="23" xfId="0" applyFont="1" applyBorder="1"/>
    <xf numFmtId="0" fontId="20" fillId="0" borderId="27" xfId="0" applyFont="1" applyBorder="1" applyAlignment="1">
      <alignment horizontal="left" vertical="center" wrapText="1"/>
    </xf>
    <xf numFmtId="0" fontId="10" fillId="0" borderId="28" xfId="0" applyFont="1" applyBorder="1"/>
    <xf numFmtId="0" fontId="22" fillId="0" borderId="6" xfId="0" applyFont="1" applyBorder="1" applyAlignment="1">
      <alignment horizontal="left" vertical="center" wrapText="1"/>
    </xf>
    <xf numFmtId="0" fontId="10" fillId="0" borderId="5" xfId="0" applyFont="1" applyBorder="1"/>
    <xf numFmtId="0" fontId="10" fillId="0" borderId="9" xfId="0" applyFont="1" applyBorder="1"/>
    <xf numFmtId="0" fontId="21" fillId="0" borderId="32" xfId="0" applyFont="1" applyBorder="1" applyAlignment="1">
      <alignment horizontal="center" vertical="center" wrapText="1"/>
    </xf>
    <xf numFmtId="0" fontId="10" fillId="0" borderId="71" xfId="0" applyFont="1" applyBorder="1"/>
    <xf numFmtId="0" fontId="21" fillId="0" borderId="31" xfId="0" applyFont="1" applyBorder="1" applyAlignment="1">
      <alignment horizontal="center" vertical="center"/>
    </xf>
    <xf numFmtId="0" fontId="10" fillId="0" borderId="70" xfId="0" applyFont="1" applyBorder="1"/>
    <xf numFmtId="0" fontId="21" fillId="0" borderId="33" xfId="0" applyFont="1" applyBorder="1" applyAlignment="1">
      <alignment horizontal="center" vertical="center" wrapText="1"/>
    </xf>
    <xf numFmtId="0" fontId="10" fillId="0" borderId="18" xfId="0" applyFont="1" applyBorder="1"/>
    <xf numFmtId="0" fontId="10" fillId="0" borderId="72" xfId="0" applyFont="1" applyBorder="1"/>
    <xf numFmtId="0" fontId="0" fillId="0" borderId="73" xfId="0" applyBorder="1"/>
    <xf numFmtId="0" fontId="10" fillId="0" borderId="74" xfId="0" applyFont="1" applyBorder="1"/>
    <xf numFmtId="0" fontId="20" fillId="0" borderId="24" xfId="0" applyFont="1" applyBorder="1" applyAlignment="1">
      <alignment horizontal="left" vertical="center"/>
    </xf>
    <xf numFmtId="0" fontId="10" fillId="0" borderId="25" xfId="0" applyFont="1" applyBorder="1"/>
    <xf numFmtId="0" fontId="10" fillId="0" borderId="29" xfId="0" applyFont="1" applyBorder="1"/>
    <xf numFmtId="0" fontId="21" fillId="0" borderId="34" xfId="0" applyFont="1" applyBorder="1" applyAlignment="1">
      <alignment horizontal="center" vertical="center" wrapText="1"/>
    </xf>
    <xf numFmtId="0" fontId="10" fillId="0" borderId="75" xfId="0" applyFont="1" applyBorder="1"/>
    <xf numFmtId="164" fontId="21" fillId="0" borderId="32" xfId="0" applyNumberFormat="1" applyFont="1" applyBorder="1" applyAlignment="1">
      <alignment horizontal="center" vertical="center" wrapText="1"/>
    </xf>
    <xf numFmtId="0" fontId="22" fillId="0" borderId="58" xfId="0" applyFont="1" applyBorder="1" applyAlignment="1">
      <alignment horizontal="left" vertical="center" wrapText="1"/>
    </xf>
    <xf numFmtId="0" fontId="10" fillId="0" borderId="67" xfId="0" applyFont="1" applyBorder="1"/>
    <xf numFmtId="0" fontId="10" fillId="0" borderId="68" xfId="0" applyFont="1" applyBorder="1"/>
    <xf numFmtId="165" fontId="1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10" fillId="0" borderId="16" xfId="0" applyFont="1" applyBorder="1"/>
    <xf numFmtId="0" fontId="22" fillId="0" borderId="77" xfId="0" applyFont="1" applyBorder="1" applyAlignment="1">
      <alignment horizontal="center" vertical="center" wrapText="1"/>
    </xf>
    <xf numFmtId="0" fontId="10" fillId="0" borderId="78" xfId="0" applyFont="1" applyBorder="1"/>
    <xf numFmtId="0" fontId="10" fillId="0" borderId="79" xfId="0" applyFont="1" applyBorder="1"/>
    <xf numFmtId="0" fontId="37" fillId="0" borderId="48" xfId="0" applyFont="1" applyBorder="1" applyAlignment="1">
      <alignment horizontal="left" vertical="center"/>
    </xf>
    <xf numFmtId="0" fontId="10" fillId="0" borderId="49" xfId="0" applyFont="1" applyBorder="1"/>
    <xf numFmtId="0" fontId="0" fillId="0" borderId="48" xfId="0" applyBorder="1" applyAlignment="1">
      <alignment horizontal="center" vertical="center"/>
    </xf>
    <xf numFmtId="49" fontId="35" fillId="0" borderId="13" xfId="0" applyNumberFormat="1" applyFont="1" applyBorder="1" applyAlignment="1">
      <alignment horizontal="left" vertical="center" wrapText="1"/>
    </xf>
    <xf numFmtId="0" fontId="28" fillId="0" borderId="27" xfId="0" applyFont="1" applyBorder="1" applyAlignment="1">
      <alignment horizontal="center" vertical="center"/>
    </xf>
    <xf numFmtId="0" fontId="10" fillId="0" borderId="41" xfId="0" applyFont="1" applyBorder="1"/>
    <xf numFmtId="0" fontId="28" fillId="0" borderId="22" xfId="0" applyFont="1" applyBorder="1" applyAlignment="1">
      <alignment horizontal="center" vertical="center"/>
    </xf>
    <xf numFmtId="0" fontId="10" fillId="0" borderId="38" xfId="0" applyFont="1" applyBorder="1"/>
    <xf numFmtId="0" fontId="28" fillId="0" borderId="42" xfId="0" applyFont="1" applyBorder="1" applyAlignment="1">
      <alignment horizontal="center" vertical="center" wrapText="1"/>
    </xf>
    <xf numFmtId="0" fontId="10" fillId="0" borderId="43" xfId="0" applyFont="1" applyBorder="1"/>
    <xf numFmtId="164" fontId="28" fillId="0" borderId="41" xfId="0" applyNumberFormat="1" applyFont="1" applyBorder="1" applyAlignment="1">
      <alignment horizontal="center" vertical="center"/>
    </xf>
    <xf numFmtId="0" fontId="10" fillId="0" borderId="86" xfId="0" applyFont="1" applyBorder="1"/>
    <xf numFmtId="0" fontId="0" fillId="0" borderId="46" xfId="0" applyBorder="1" applyAlignment="1">
      <alignment horizontal="left"/>
    </xf>
    <xf numFmtId="0" fontId="10" fillId="0" borderId="81" xfId="0" applyFont="1" applyBorder="1"/>
    <xf numFmtId="0" fontId="1" fillId="0" borderId="22" xfId="0" applyFont="1" applyBorder="1" applyAlignment="1">
      <alignment horizontal="left" vertical="center" wrapText="1"/>
    </xf>
    <xf numFmtId="0" fontId="25" fillId="0" borderId="22" xfId="0" applyFont="1" applyBorder="1"/>
    <xf numFmtId="0" fontId="26" fillId="0" borderId="27" xfId="0" applyFont="1" applyBorder="1" applyAlignment="1">
      <alignment horizontal="left"/>
    </xf>
    <xf numFmtId="0" fontId="27" fillId="0" borderId="22" xfId="0" applyFont="1" applyBorder="1" applyAlignment="1">
      <alignment horizontal="left"/>
    </xf>
    <xf numFmtId="0" fontId="10" fillId="0" borderId="40" xfId="0" applyFont="1" applyBorder="1"/>
    <xf numFmtId="0" fontId="26" fillId="0" borderId="39" xfId="0" applyFont="1" applyBorder="1" applyAlignment="1">
      <alignment horizontal="left"/>
    </xf>
    <xf numFmtId="0" fontId="0" fillId="0" borderId="24" xfId="0" applyBorder="1" applyAlignment="1">
      <alignment horizontal="center"/>
    </xf>
    <xf numFmtId="3" fontId="23" fillId="0" borderId="25" xfId="0" applyNumberFormat="1" applyFont="1" applyBorder="1" applyAlignment="1">
      <alignment horizontal="center"/>
    </xf>
    <xf numFmtId="0" fontId="10" fillId="0" borderId="26" xfId="0" applyFont="1" applyBorder="1"/>
    <xf numFmtId="0" fontId="24" fillId="0" borderId="33" xfId="0" applyFont="1" applyBorder="1" applyAlignment="1">
      <alignment horizontal="center" vertical="center" wrapText="1"/>
    </xf>
    <xf numFmtId="0" fontId="10" fillId="0" borderId="12" xfId="0" applyFont="1" applyBorder="1"/>
    <xf numFmtId="0" fontId="10" fillId="0" borderId="36" xfId="0" applyFont="1" applyBorder="1"/>
    <xf numFmtId="0" fontId="10" fillId="0" borderId="37" xfId="0" applyFont="1" applyBorder="1"/>
    <xf numFmtId="0" fontId="38" fillId="0" borderId="20" xfId="0" applyFont="1" applyBorder="1" applyAlignment="1">
      <alignment horizontal="left" vertical="center" wrapText="1"/>
    </xf>
    <xf numFmtId="0" fontId="10" fillId="0" borderId="21" xfId="0" applyFont="1" applyBorder="1"/>
    <xf numFmtId="0" fontId="10" fillId="0" borderId="56" xfId="0" applyFont="1" applyBorder="1"/>
    <xf numFmtId="0" fontId="0" fillId="0" borderId="27" xfId="0" applyBorder="1"/>
    <xf numFmtId="0" fontId="23" fillId="0" borderId="24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 wrapText="1"/>
    </xf>
    <xf numFmtId="0" fontId="10" fillId="0" borderId="15" xfId="0" applyFont="1" applyBorder="1"/>
    <xf numFmtId="0" fontId="0" fillId="0" borderId="48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A4" zoomScale="90" zoomScaleNormal="90" workbookViewId="0">
      <selection activeCell="A15" sqref="A15"/>
    </sheetView>
  </sheetViews>
  <sheetFormatPr baseColWidth="10" defaultColWidth="14.42578125" defaultRowHeight="15" customHeight="1" x14ac:dyDescent="0.25"/>
  <cols>
    <col min="1" max="1" width="15.7109375" bestFit="1" customWidth="1"/>
    <col min="2" max="2" width="42.2851562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5703125" customWidth="1"/>
    <col min="8" max="8" width="15.5703125" customWidth="1"/>
    <col min="9" max="9" width="16.7109375" customWidth="1"/>
    <col min="10" max="10" width="4.5703125" customWidth="1"/>
  </cols>
  <sheetData>
    <row r="1" spans="1:9" x14ac:dyDescent="0.25">
      <c r="A1" s="1">
        <v>2022</v>
      </c>
      <c r="B1" s="2"/>
      <c r="C1" s="3"/>
      <c r="D1" s="3"/>
      <c r="E1" s="4"/>
      <c r="F1" s="3"/>
      <c r="G1" s="8"/>
      <c r="H1" s="6"/>
      <c r="I1" s="6"/>
    </row>
    <row r="2" spans="1:9" ht="18.75" x14ac:dyDescent="0.25">
      <c r="A2" s="3"/>
      <c r="B2" s="142" t="s">
        <v>0</v>
      </c>
      <c r="C2" s="143"/>
      <c r="D2" s="143"/>
      <c r="E2" s="143"/>
      <c r="F2" s="143"/>
      <c r="G2" s="143"/>
      <c r="H2" s="143"/>
      <c r="I2" s="6"/>
    </row>
    <row r="3" spans="1:9" x14ac:dyDescent="0.25">
      <c r="A3" s="3"/>
      <c r="B3" s="2"/>
      <c r="C3" s="3"/>
      <c r="D3" s="3"/>
      <c r="E3" s="4"/>
      <c r="F3" s="3"/>
      <c r="G3" s="8"/>
      <c r="H3" s="6"/>
      <c r="I3" s="6"/>
    </row>
    <row r="4" spans="1:9" ht="15" customHeight="1" x14ac:dyDescent="0.25">
      <c r="A4" s="125" t="s">
        <v>1</v>
      </c>
      <c r="B4" s="124" t="s">
        <v>2</v>
      </c>
      <c r="F4" s="11"/>
      <c r="G4" s="8"/>
      <c r="H4" s="6"/>
      <c r="I4" s="6"/>
    </row>
    <row r="5" spans="1:9" ht="25.5" x14ac:dyDescent="0.25">
      <c r="A5" s="125" t="s">
        <v>3</v>
      </c>
      <c r="B5" s="13" t="s">
        <v>4</v>
      </c>
      <c r="F5" s="11"/>
      <c r="G5" s="12"/>
      <c r="H5" s="5"/>
      <c r="I5" s="5"/>
    </row>
    <row r="6" spans="1:9" ht="15" customHeight="1" x14ac:dyDescent="0.25">
      <c r="A6" s="125" t="s">
        <v>5</v>
      </c>
      <c r="B6" s="13">
        <v>2022</v>
      </c>
      <c r="C6" s="10"/>
      <c r="D6" s="13"/>
      <c r="F6" s="11"/>
      <c r="G6" s="12"/>
      <c r="H6" s="5"/>
      <c r="I6" s="5"/>
    </row>
    <row r="7" spans="1:9" ht="15" customHeight="1" x14ac:dyDescent="0.25">
      <c r="A7" s="125" t="s">
        <v>6</v>
      </c>
      <c r="B7" s="97" t="s">
        <v>84</v>
      </c>
      <c r="C7" s="10"/>
      <c r="D7" s="13"/>
      <c r="F7" s="11"/>
      <c r="G7" s="12"/>
      <c r="H7" s="5"/>
      <c r="I7" s="5"/>
    </row>
    <row r="8" spans="1:9" ht="15.75" thickBot="1" x14ac:dyDescent="0.3">
      <c r="A8" s="3"/>
      <c r="B8" s="11"/>
      <c r="C8" s="11"/>
      <c r="D8" s="11"/>
      <c r="E8" s="14"/>
      <c r="F8" s="11"/>
      <c r="G8" s="12"/>
      <c r="H8" s="5"/>
      <c r="I8" s="5"/>
    </row>
    <row r="9" spans="1:9" ht="39" thickBot="1" x14ac:dyDescent="0.3">
      <c r="A9" s="15" t="s">
        <v>7</v>
      </c>
      <c r="B9" s="16" t="s">
        <v>8</v>
      </c>
      <c r="C9" s="17" t="s">
        <v>9</v>
      </c>
      <c r="D9" s="16" t="s">
        <v>10</v>
      </c>
      <c r="E9" s="18" t="s">
        <v>11</v>
      </c>
      <c r="F9" s="17" t="s">
        <v>12</v>
      </c>
      <c r="G9" s="19" t="s">
        <v>13</v>
      </c>
      <c r="H9" s="21" t="s">
        <v>14</v>
      </c>
      <c r="I9" s="20" t="s">
        <v>15</v>
      </c>
    </row>
    <row r="10" spans="1:9" ht="25.5" x14ac:dyDescent="0.25">
      <c r="A10" s="93">
        <v>1</v>
      </c>
      <c r="B10" s="90" t="s">
        <v>18</v>
      </c>
      <c r="C10" s="90" t="s">
        <v>16</v>
      </c>
      <c r="D10" s="90">
        <v>437</v>
      </c>
      <c r="E10" s="91" t="s">
        <v>19</v>
      </c>
      <c r="F10" s="90" t="s">
        <v>17</v>
      </c>
      <c r="G10" s="95">
        <v>10</v>
      </c>
      <c r="H10" s="94">
        <v>15500</v>
      </c>
      <c r="I10" s="92">
        <f t="shared" ref="I10:I16" si="0">+G10*H10</f>
        <v>155000</v>
      </c>
    </row>
    <row r="11" spans="1:9" ht="25.5" x14ac:dyDescent="0.25">
      <c r="A11" s="93">
        <v>2</v>
      </c>
      <c r="B11" s="90" t="s">
        <v>20</v>
      </c>
      <c r="C11" s="90" t="s">
        <v>16</v>
      </c>
      <c r="D11" s="90">
        <v>437</v>
      </c>
      <c r="E11" s="91" t="s">
        <v>21</v>
      </c>
      <c r="F11" s="90" t="s">
        <v>17</v>
      </c>
      <c r="G11" s="95">
        <v>30</v>
      </c>
      <c r="H11" s="94">
        <v>40000</v>
      </c>
      <c r="I11" s="92">
        <f t="shared" si="0"/>
        <v>1200000</v>
      </c>
    </row>
    <row r="12" spans="1:9" ht="25.5" x14ac:dyDescent="0.25">
      <c r="A12" s="93">
        <v>3</v>
      </c>
      <c r="B12" s="90" t="s">
        <v>22</v>
      </c>
      <c r="C12" s="90" t="s">
        <v>16</v>
      </c>
      <c r="D12" s="90">
        <v>437</v>
      </c>
      <c r="E12" s="91" t="s">
        <v>23</v>
      </c>
      <c r="F12" s="90" t="s">
        <v>17</v>
      </c>
      <c r="G12" s="95">
        <v>100</v>
      </c>
      <c r="H12" s="94">
        <v>9000</v>
      </c>
      <c r="I12" s="92">
        <f t="shared" si="0"/>
        <v>900000</v>
      </c>
    </row>
    <row r="13" spans="1:9" ht="25.5" x14ac:dyDescent="0.25">
      <c r="A13" s="93">
        <v>4</v>
      </c>
      <c r="B13" s="90" t="s">
        <v>24</v>
      </c>
      <c r="C13" s="90" t="s">
        <v>16</v>
      </c>
      <c r="D13" s="90">
        <v>437</v>
      </c>
      <c r="E13" s="91" t="s">
        <v>25</v>
      </c>
      <c r="F13" s="90" t="s">
        <v>17</v>
      </c>
      <c r="G13" s="95">
        <v>100</v>
      </c>
      <c r="H13" s="94">
        <v>12000</v>
      </c>
      <c r="I13" s="92">
        <f t="shared" si="0"/>
        <v>1200000</v>
      </c>
    </row>
    <row r="14" spans="1:9" ht="25.5" x14ac:dyDescent="0.25">
      <c r="A14" s="93">
        <v>5</v>
      </c>
      <c r="B14" s="90" t="s">
        <v>26</v>
      </c>
      <c r="C14" s="90" t="s">
        <v>16</v>
      </c>
      <c r="D14" s="90">
        <v>437</v>
      </c>
      <c r="E14" s="91" t="s">
        <v>27</v>
      </c>
      <c r="F14" s="90" t="s">
        <v>17</v>
      </c>
      <c r="G14" s="95">
        <v>30</v>
      </c>
      <c r="H14" s="94">
        <v>2300</v>
      </c>
      <c r="I14" s="92">
        <f t="shared" si="0"/>
        <v>69000</v>
      </c>
    </row>
    <row r="15" spans="1:9" ht="30.75" customHeight="1" x14ac:dyDescent="0.25">
      <c r="A15" s="93">
        <v>6</v>
      </c>
      <c r="B15" s="96" t="s">
        <v>81</v>
      </c>
      <c r="C15" s="90" t="s">
        <v>28</v>
      </c>
      <c r="D15" s="90">
        <v>291</v>
      </c>
      <c r="E15" s="91" t="s">
        <v>82</v>
      </c>
      <c r="F15" s="90" t="s">
        <v>17</v>
      </c>
      <c r="G15" s="95">
        <v>200</v>
      </c>
      <c r="H15" s="94">
        <v>17250</v>
      </c>
      <c r="I15" s="92">
        <f t="shared" si="0"/>
        <v>3450000</v>
      </c>
    </row>
    <row r="16" spans="1:9" ht="46.5" customHeight="1" thickBot="1" x14ac:dyDescent="0.3">
      <c r="A16" s="93">
        <v>7</v>
      </c>
      <c r="B16" s="90" t="s">
        <v>29</v>
      </c>
      <c r="C16" s="90" t="s">
        <v>16</v>
      </c>
      <c r="D16" s="90">
        <v>437</v>
      </c>
      <c r="E16" s="91" t="s">
        <v>30</v>
      </c>
      <c r="F16" s="90" t="s">
        <v>17</v>
      </c>
      <c r="G16" s="106">
        <v>80</v>
      </c>
      <c r="H16" s="94">
        <v>53500</v>
      </c>
      <c r="I16" s="92">
        <f t="shared" si="0"/>
        <v>4280000</v>
      </c>
    </row>
    <row r="17" spans="1:9" ht="15.75" customHeight="1" thickBot="1" x14ac:dyDescent="0.3">
      <c r="A17" s="22"/>
      <c r="B17" s="23"/>
      <c r="C17" s="24"/>
      <c r="D17" s="24"/>
      <c r="E17" s="25" t="s">
        <v>31</v>
      </c>
      <c r="F17" s="24"/>
      <c r="G17" s="27"/>
      <c r="H17" s="26"/>
      <c r="I17" s="28">
        <f>+SUM(I10:I16)</f>
        <v>11254000</v>
      </c>
    </row>
    <row r="18" spans="1:9" ht="15.75" customHeight="1" x14ac:dyDescent="0.25">
      <c r="A18" s="29"/>
      <c r="B18" s="29"/>
      <c r="C18" s="29"/>
      <c r="D18" s="29"/>
      <c r="E18" s="30"/>
      <c r="F18" s="29"/>
      <c r="G18" s="31"/>
      <c r="H18" s="32"/>
      <c r="I18" s="32"/>
    </row>
    <row r="19" spans="1:9" ht="15.75" customHeight="1" thickBot="1" x14ac:dyDescent="0.3">
      <c r="A19" s="29"/>
      <c r="B19" s="29"/>
      <c r="C19" s="29"/>
      <c r="D19" s="29"/>
      <c r="E19" s="30"/>
      <c r="F19" s="29"/>
      <c r="G19" s="31"/>
      <c r="H19" s="32"/>
      <c r="I19" s="32"/>
    </row>
    <row r="20" spans="1:9" ht="29.25" customHeight="1" x14ac:dyDescent="0.25">
      <c r="A20" s="29"/>
      <c r="B20" s="29"/>
      <c r="C20" s="145" t="s">
        <v>32</v>
      </c>
      <c r="D20" s="146"/>
      <c r="E20" s="147"/>
      <c r="F20" s="29"/>
      <c r="G20" s="31"/>
      <c r="H20" s="32"/>
      <c r="I20" s="32"/>
    </row>
    <row r="21" spans="1:9" ht="29.25" customHeight="1" x14ac:dyDescent="0.25">
      <c r="A21" s="29"/>
      <c r="B21" s="29"/>
      <c r="C21" s="130" t="s">
        <v>89</v>
      </c>
      <c r="D21" s="131"/>
      <c r="E21" s="132"/>
      <c r="F21" s="29"/>
      <c r="G21" s="31"/>
      <c r="H21" s="32"/>
      <c r="I21" s="32"/>
    </row>
    <row r="22" spans="1:9" ht="15.75" customHeight="1" x14ac:dyDescent="0.25">
      <c r="A22" s="29"/>
      <c r="B22" s="29"/>
      <c r="C22" s="33"/>
      <c r="D22" s="133"/>
      <c r="E22" s="134"/>
      <c r="F22" s="29"/>
      <c r="G22" s="31"/>
      <c r="H22" s="32"/>
      <c r="I22" s="32"/>
    </row>
    <row r="23" spans="1:9" ht="15.75" customHeight="1" x14ac:dyDescent="0.25">
      <c r="A23" s="29"/>
      <c r="B23" s="29"/>
      <c r="C23" s="33" t="s">
        <v>33</v>
      </c>
      <c r="D23" s="89" t="s">
        <v>83</v>
      </c>
      <c r="E23" s="35"/>
      <c r="F23" s="29"/>
      <c r="G23" s="31"/>
      <c r="H23" s="32"/>
      <c r="I23" s="32"/>
    </row>
    <row r="24" spans="1:9" ht="15.75" customHeight="1" x14ac:dyDescent="0.25">
      <c r="A24" s="29"/>
      <c r="B24" s="29"/>
      <c r="C24" s="33"/>
      <c r="D24" s="135"/>
      <c r="E24" s="134"/>
      <c r="F24" s="29"/>
      <c r="G24" s="31"/>
      <c r="H24" s="32"/>
      <c r="I24" s="32"/>
    </row>
    <row r="25" spans="1:9" ht="15.75" customHeight="1" x14ac:dyDescent="0.25">
      <c r="A25" s="29"/>
      <c r="B25" s="29"/>
      <c r="C25" s="33" t="s">
        <v>34</v>
      </c>
      <c r="D25" s="144" t="s">
        <v>35</v>
      </c>
      <c r="E25" s="134"/>
      <c r="F25" s="29"/>
      <c r="G25" s="31"/>
      <c r="H25" s="32"/>
      <c r="I25" s="32"/>
    </row>
    <row r="26" spans="1:9" ht="15.75" customHeight="1" x14ac:dyDescent="0.25">
      <c r="A26" s="29"/>
      <c r="B26" s="29"/>
      <c r="C26" s="33"/>
      <c r="D26" s="135"/>
      <c r="E26" s="134"/>
      <c r="F26" s="29"/>
      <c r="G26" s="31"/>
      <c r="H26" s="32"/>
      <c r="I26" s="32"/>
    </row>
    <row r="27" spans="1:9" ht="15.75" customHeight="1" x14ac:dyDescent="0.25">
      <c r="A27" s="29"/>
      <c r="B27" s="29"/>
      <c r="C27" s="33" t="s">
        <v>36</v>
      </c>
      <c r="D27" s="135"/>
      <c r="E27" s="134"/>
      <c r="F27" s="29"/>
      <c r="G27" s="31"/>
      <c r="H27" s="32"/>
      <c r="I27" s="32"/>
    </row>
    <row r="28" spans="1:9" ht="15.75" customHeight="1" x14ac:dyDescent="0.25">
      <c r="A28" s="29"/>
      <c r="B28" s="29"/>
      <c r="C28" s="33"/>
      <c r="D28" s="88"/>
      <c r="E28" s="87"/>
      <c r="F28" s="29"/>
      <c r="G28" s="31"/>
      <c r="H28" s="32"/>
      <c r="I28" s="32"/>
    </row>
    <row r="29" spans="1:9" ht="15.75" customHeight="1" x14ac:dyDescent="0.25">
      <c r="A29" s="29"/>
      <c r="B29" s="29"/>
      <c r="C29" s="98" t="s">
        <v>85</v>
      </c>
      <c r="D29" s="128" t="s">
        <v>86</v>
      </c>
      <c r="E29" s="129"/>
      <c r="F29" s="29"/>
      <c r="G29" s="31"/>
      <c r="H29" s="32"/>
      <c r="I29" s="32"/>
    </row>
    <row r="30" spans="1:9" ht="15.75" customHeight="1" x14ac:dyDescent="0.25">
      <c r="A30" s="29"/>
      <c r="B30" s="29"/>
      <c r="C30" s="33"/>
      <c r="D30" s="135"/>
      <c r="E30" s="134"/>
      <c r="F30" s="29"/>
      <c r="G30" s="31"/>
      <c r="H30" s="32"/>
      <c r="I30" s="32"/>
    </row>
    <row r="31" spans="1:9" ht="15.75" customHeight="1" x14ac:dyDescent="0.25">
      <c r="A31" s="29"/>
      <c r="B31" s="29"/>
      <c r="C31" s="33" t="s">
        <v>37</v>
      </c>
      <c r="D31" s="34" t="s">
        <v>38</v>
      </c>
      <c r="E31" s="35"/>
      <c r="F31" s="29"/>
      <c r="G31" s="31"/>
      <c r="H31" s="32"/>
      <c r="I31" s="32"/>
    </row>
    <row r="32" spans="1:9" ht="15.75" customHeight="1" thickBot="1" x14ac:dyDescent="0.3">
      <c r="A32" s="29"/>
      <c r="B32" s="29"/>
      <c r="C32" s="36"/>
      <c r="D32" s="126"/>
      <c r="E32" s="127"/>
      <c r="F32" s="29"/>
      <c r="G32" s="31"/>
      <c r="H32" s="32"/>
      <c r="I32" s="32"/>
    </row>
    <row r="33" spans="1:9" ht="15.75" customHeight="1" x14ac:dyDescent="0.25">
      <c r="A33" s="29"/>
      <c r="B33" s="29"/>
      <c r="C33" s="29"/>
      <c r="D33" s="29"/>
      <c r="E33" s="30"/>
      <c r="F33" s="29"/>
      <c r="G33" s="31"/>
      <c r="H33" s="32"/>
      <c r="I33" s="32"/>
    </row>
    <row r="34" spans="1:9" ht="15.75" customHeight="1" thickBot="1" x14ac:dyDescent="0.3">
      <c r="A34" s="7"/>
      <c r="B34" s="7"/>
      <c r="C34" s="99"/>
      <c r="D34" s="37"/>
      <c r="E34" s="37"/>
      <c r="F34" s="7"/>
      <c r="G34" s="8"/>
      <c r="H34" s="6"/>
      <c r="I34" s="6"/>
    </row>
    <row r="35" spans="1:9" ht="15.75" customHeight="1" x14ac:dyDescent="0.25">
      <c r="A35" s="7"/>
      <c r="B35" s="7"/>
      <c r="C35" s="136" t="s">
        <v>90</v>
      </c>
      <c r="D35" s="137"/>
      <c r="E35" s="138"/>
      <c r="F35" s="7"/>
      <c r="G35" s="8"/>
      <c r="H35" s="6"/>
      <c r="I35" s="6"/>
    </row>
    <row r="36" spans="1:9" ht="25.5" customHeight="1" thickBot="1" x14ac:dyDescent="0.3">
      <c r="A36" s="7"/>
      <c r="B36" s="7"/>
      <c r="C36" s="139" t="e">
        <f>#REF!</f>
        <v>#REF!</v>
      </c>
      <c r="D36" s="140"/>
      <c r="E36" s="141"/>
      <c r="F36" s="7"/>
      <c r="G36" s="8"/>
      <c r="H36" s="6"/>
      <c r="I36" s="6"/>
    </row>
    <row r="37" spans="1:9" ht="15.75" customHeight="1" thickBot="1" x14ac:dyDescent="0.3">
      <c r="A37" s="7"/>
      <c r="B37" s="7"/>
      <c r="C37" s="99"/>
      <c r="D37" s="37"/>
      <c r="E37" s="37"/>
      <c r="F37" s="7"/>
      <c r="G37" s="8"/>
      <c r="H37" s="6"/>
      <c r="I37" s="6"/>
    </row>
    <row r="38" spans="1:9" ht="15" customHeight="1" x14ac:dyDescent="0.25">
      <c r="C38" s="136" t="s">
        <v>91</v>
      </c>
      <c r="D38" s="137"/>
      <c r="E38" s="138"/>
    </row>
    <row r="39" spans="1:9" ht="15" customHeight="1" thickBot="1" x14ac:dyDescent="0.3">
      <c r="C39" s="139" t="e">
        <f>#REF!</f>
        <v>#REF!</v>
      </c>
      <c r="D39" s="140"/>
      <c r="E39" s="141"/>
    </row>
    <row r="40" spans="1:9" ht="15" customHeight="1" thickBot="1" x14ac:dyDescent="0.3">
      <c r="C40" s="30"/>
      <c r="D40" s="30"/>
      <c r="E40" s="30"/>
    </row>
    <row r="41" spans="1:9" ht="15" customHeight="1" x14ac:dyDescent="0.25">
      <c r="C41" s="136" t="s">
        <v>92</v>
      </c>
      <c r="D41" s="137"/>
      <c r="E41" s="138"/>
    </row>
    <row r="42" spans="1:9" ht="15" customHeight="1" thickBot="1" x14ac:dyDescent="0.3">
      <c r="C42" s="139" t="e">
        <f>#REF!</f>
        <v>#REF!</v>
      </c>
      <c r="D42" s="140"/>
      <c r="E42" s="141"/>
    </row>
    <row r="43" spans="1:9" ht="15" customHeight="1" thickBot="1" x14ac:dyDescent="0.3">
      <c r="C43" s="99"/>
      <c r="D43" s="37"/>
      <c r="E43" s="37"/>
    </row>
    <row r="44" spans="1:9" ht="15" customHeight="1" x14ac:dyDescent="0.25">
      <c r="C44" s="136" t="s">
        <v>93</v>
      </c>
      <c r="D44" s="137"/>
      <c r="E44" s="138"/>
    </row>
    <row r="45" spans="1:9" ht="15" customHeight="1" thickBot="1" x14ac:dyDescent="0.3">
      <c r="C45" s="139" t="e">
        <f>#REF!</f>
        <v>#REF!</v>
      </c>
      <c r="D45" s="140"/>
      <c r="E45" s="141"/>
    </row>
    <row r="46" spans="1:9" ht="15" customHeight="1" thickBot="1" x14ac:dyDescent="0.3">
      <c r="C46" s="9"/>
      <c r="D46" s="9"/>
      <c r="E46" s="9"/>
    </row>
    <row r="47" spans="1:9" ht="15" customHeight="1" x14ac:dyDescent="0.25">
      <c r="C47" s="136" t="s">
        <v>87</v>
      </c>
      <c r="D47" s="137"/>
      <c r="E47" s="138"/>
    </row>
    <row r="48" spans="1:9" ht="15" customHeight="1" thickBot="1" x14ac:dyDescent="0.3">
      <c r="C48" s="139" t="e">
        <f>#REF!</f>
        <v>#REF!</v>
      </c>
      <c r="D48" s="140"/>
      <c r="E48" s="141"/>
    </row>
    <row r="49" spans="3:5" ht="15" customHeight="1" thickBot="1" x14ac:dyDescent="0.3">
      <c r="C49" s="9"/>
      <c r="D49" s="9"/>
      <c r="E49" s="9"/>
    </row>
    <row r="50" spans="3:5" ht="15" customHeight="1" x14ac:dyDescent="0.25">
      <c r="C50" s="136" t="s">
        <v>94</v>
      </c>
      <c r="D50" s="137"/>
      <c r="E50" s="138"/>
    </row>
    <row r="51" spans="3:5" ht="15" customHeight="1" thickBot="1" x14ac:dyDescent="0.3">
      <c r="C51" s="139" t="e">
        <f>#REF!</f>
        <v>#REF!</v>
      </c>
      <c r="D51" s="140"/>
      <c r="E51" s="141"/>
    </row>
    <row r="52" spans="3:5" ht="15" customHeight="1" thickBot="1" x14ac:dyDescent="0.3">
      <c r="C52" s="9"/>
      <c r="D52" s="9"/>
      <c r="E52" s="9"/>
    </row>
    <row r="53" spans="3:5" ht="15" customHeight="1" x14ac:dyDescent="0.25">
      <c r="C53" s="136" t="s">
        <v>95</v>
      </c>
      <c r="D53" s="137"/>
      <c r="E53" s="138"/>
    </row>
    <row r="54" spans="3:5" ht="29.25" customHeight="1" thickBot="1" x14ac:dyDescent="0.3">
      <c r="C54" s="139" t="e">
        <f>#REF!</f>
        <v>#REF!</v>
      </c>
      <c r="D54" s="140"/>
      <c r="E54" s="141"/>
    </row>
    <row r="55" spans="3:5" ht="15" customHeight="1" x14ac:dyDescent="0.25">
      <c r="C55" s="9"/>
      <c r="D55" s="9"/>
      <c r="E55" s="9"/>
    </row>
  </sheetData>
  <mergeCells count="25">
    <mergeCell ref="C50:E50"/>
    <mergeCell ref="C51:E51"/>
    <mergeCell ref="C53:E53"/>
    <mergeCell ref="C54:E54"/>
    <mergeCell ref="C44:E44"/>
    <mergeCell ref="C45:E45"/>
    <mergeCell ref="C47:E47"/>
    <mergeCell ref="C48:E48"/>
    <mergeCell ref="C38:E38"/>
    <mergeCell ref="C39:E39"/>
    <mergeCell ref="C41:E41"/>
    <mergeCell ref="C42:E42"/>
    <mergeCell ref="B2:H2"/>
    <mergeCell ref="C36:E36"/>
    <mergeCell ref="C35:E35"/>
    <mergeCell ref="D25:E25"/>
    <mergeCell ref="D24:E24"/>
    <mergeCell ref="C20:E20"/>
    <mergeCell ref="D32:E32"/>
    <mergeCell ref="D29:E29"/>
    <mergeCell ref="C21:E21"/>
    <mergeCell ref="D22:E22"/>
    <mergeCell ref="D26:E26"/>
    <mergeCell ref="D27:E27"/>
    <mergeCell ref="D30:E3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topLeftCell="A7" workbookViewId="0">
      <selection activeCell="K16" sqref="K16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123" customWidth="1"/>
    <col min="13" max="13" width="14.5703125" style="103" customWidth="1"/>
    <col min="14" max="15" width="15.5703125" style="103" customWidth="1"/>
    <col min="16" max="21" width="14.42578125" style="100"/>
  </cols>
  <sheetData>
    <row r="1" spans="1:14" ht="30.75" thickBot="1" x14ac:dyDescent="0.3">
      <c r="A1" s="148" t="s">
        <v>39</v>
      </c>
      <c r="B1" s="149"/>
      <c r="C1" s="149"/>
      <c r="D1" s="149"/>
      <c r="E1" s="149"/>
      <c r="F1" s="149"/>
      <c r="G1" s="149"/>
      <c r="H1" s="149"/>
      <c r="I1" s="149"/>
      <c r="J1" s="38" t="s">
        <v>40</v>
      </c>
      <c r="K1" s="101" t="s">
        <v>99</v>
      </c>
      <c r="M1" s="102"/>
      <c r="N1" s="102"/>
    </row>
    <row r="2" spans="1:14" ht="16.5" thickBot="1" x14ac:dyDescent="0.3">
      <c r="A2" s="39"/>
      <c r="B2" s="40"/>
      <c r="C2" s="41"/>
      <c r="D2" s="42"/>
      <c r="E2" s="42"/>
      <c r="F2" s="42"/>
      <c r="G2" s="42"/>
      <c r="H2" s="42"/>
      <c r="I2" s="42"/>
      <c r="J2" s="43"/>
      <c r="K2" s="44"/>
      <c r="M2" s="102"/>
      <c r="N2" s="102"/>
    </row>
    <row r="3" spans="1:14" ht="16.5" customHeight="1" thickBot="1" x14ac:dyDescent="0.3">
      <c r="A3" s="150" t="s">
        <v>41</v>
      </c>
      <c r="B3" s="151"/>
      <c r="C3" s="151"/>
      <c r="D3" s="45" t="s">
        <v>2</v>
      </c>
      <c r="E3" s="46"/>
      <c r="F3" s="46"/>
      <c r="G3" s="46"/>
      <c r="H3" s="46"/>
      <c r="I3" s="46"/>
      <c r="J3" s="47"/>
      <c r="K3" s="48"/>
      <c r="M3" s="102"/>
      <c r="N3" s="102"/>
    </row>
    <row r="4" spans="1:14" ht="16.5" customHeight="1" thickBot="1" x14ac:dyDescent="0.3">
      <c r="A4" s="152" t="s">
        <v>42</v>
      </c>
      <c r="B4" s="153"/>
      <c r="C4" s="153"/>
      <c r="D4" s="45" t="s">
        <v>43</v>
      </c>
      <c r="E4" s="46"/>
      <c r="F4" s="46"/>
      <c r="G4" s="46"/>
      <c r="H4" s="46"/>
      <c r="I4" s="46"/>
      <c r="J4" s="47"/>
      <c r="K4" s="48"/>
      <c r="M4" s="102"/>
      <c r="N4" s="102"/>
    </row>
    <row r="5" spans="1:14" ht="16.5" thickBot="1" x14ac:dyDescent="0.3">
      <c r="A5" s="152" t="s">
        <v>44</v>
      </c>
      <c r="B5" s="153"/>
      <c r="C5" s="153"/>
      <c r="D5" s="45" t="s">
        <v>45</v>
      </c>
      <c r="E5" s="46"/>
      <c r="F5" s="46"/>
      <c r="G5" s="46"/>
      <c r="H5" s="46"/>
      <c r="I5" s="46"/>
      <c r="J5" s="47"/>
      <c r="K5" s="48"/>
      <c r="M5" s="102"/>
      <c r="N5" s="102"/>
    </row>
    <row r="6" spans="1:14" ht="16.5" thickBot="1" x14ac:dyDescent="0.3">
      <c r="A6" s="150" t="s">
        <v>46</v>
      </c>
      <c r="B6" s="151"/>
      <c r="C6" s="151"/>
      <c r="D6" s="45" t="s">
        <v>45</v>
      </c>
      <c r="E6" s="46"/>
      <c r="F6" s="46"/>
      <c r="G6" s="46"/>
      <c r="H6" s="46"/>
      <c r="I6" s="46"/>
      <c r="J6" s="47"/>
      <c r="K6" s="48"/>
      <c r="M6" s="102"/>
      <c r="N6" s="102"/>
    </row>
    <row r="7" spans="1:14" ht="16.5" thickBot="1" x14ac:dyDescent="0.3">
      <c r="A7" s="152" t="s">
        <v>47</v>
      </c>
      <c r="B7" s="153"/>
      <c r="C7" s="153"/>
      <c r="D7" s="45" t="s">
        <v>88</v>
      </c>
      <c r="E7" s="46"/>
      <c r="F7" s="46"/>
      <c r="G7" s="46"/>
      <c r="H7" s="46"/>
      <c r="I7" s="46"/>
      <c r="J7" s="47"/>
      <c r="K7" s="48"/>
      <c r="M7" s="102"/>
      <c r="N7" s="102"/>
    </row>
    <row r="8" spans="1:14" ht="16.5" customHeight="1" thickBot="1" x14ac:dyDescent="0.3">
      <c r="A8" s="166" t="s">
        <v>48</v>
      </c>
      <c r="B8" s="167"/>
      <c r="C8" s="168"/>
      <c r="D8" s="49" t="s">
        <v>98</v>
      </c>
      <c r="E8" s="46"/>
      <c r="F8" s="46"/>
      <c r="G8" s="46"/>
      <c r="H8" s="46"/>
      <c r="I8" s="46"/>
      <c r="J8" s="47"/>
      <c r="K8" s="48"/>
      <c r="M8" s="102"/>
      <c r="N8" s="102"/>
    </row>
    <row r="9" spans="1:14" ht="16.5" thickBot="1" x14ac:dyDescent="0.3">
      <c r="A9" s="50"/>
      <c r="B9" s="51"/>
      <c r="C9" s="52"/>
      <c r="D9" s="53"/>
      <c r="E9" s="53"/>
      <c r="F9" s="53"/>
      <c r="G9" s="53"/>
      <c r="H9" s="53"/>
      <c r="I9" s="53"/>
      <c r="J9" s="54"/>
      <c r="K9" s="55"/>
      <c r="M9" s="102"/>
      <c r="N9" s="102"/>
    </row>
    <row r="10" spans="1:14" x14ac:dyDescent="0.25">
      <c r="A10" s="159" t="s">
        <v>49</v>
      </c>
      <c r="B10" s="157" t="s">
        <v>50</v>
      </c>
      <c r="C10" s="161" t="s">
        <v>51</v>
      </c>
      <c r="D10" s="149"/>
      <c r="E10" s="149"/>
      <c r="F10" s="149"/>
      <c r="G10" s="162"/>
      <c r="H10" s="157" t="s">
        <v>52</v>
      </c>
      <c r="I10" s="157" t="s">
        <v>53</v>
      </c>
      <c r="J10" s="171" t="s">
        <v>54</v>
      </c>
      <c r="K10" s="169" t="s">
        <v>55</v>
      </c>
      <c r="M10" s="102"/>
      <c r="N10" s="102"/>
    </row>
    <row r="11" spans="1:14" ht="36.75" customHeight="1" thickBot="1" x14ac:dyDescent="0.3">
      <c r="A11" s="160"/>
      <c r="B11" s="158"/>
      <c r="C11" s="163"/>
      <c r="D11" s="164"/>
      <c r="E11" s="164"/>
      <c r="F11" s="164"/>
      <c r="G11" s="165"/>
      <c r="H11" s="158"/>
      <c r="I11" s="158"/>
      <c r="J11" s="158"/>
      <c r="K11" s="170"/>
      <c r="M11" s="103">
        <v>291</v>
      </c>
      <c r="N11" s="103">
        <v>437</v>
      </c>
    </row>
    <row r="12" spans="1:14" ht="32.25" customHeight="1" x14ac:dyDescent="0.25">
      <c r="A12" s="107">
        <v>1</v>
      </c>
      <c r="B12" s="108" t="str">
        <f>'SAF 011 - NECESIDAD TRIMESTRAL'!B10</f>
        <v>4.3.7-2001.22</v>
      </c>
      <c r="C12" s="172" t="str">
        <f>'SAF 011 - NECESIDAD TRIMESTRAL'!E10</f>
        <v>BANQUETAS/TABURETES; TERMINACION: METAL, DIMENSION: 0,6 X 0,3, RESPALDO: SIN, GIRATORIA: NO, APOYABRAZO: SIN, PATAS: 4, ALTURA: REGULABLE, MATERIAL: METAL</v>
      </c>
      <c r="D12" s="173"/>
      <c r="E12" s="173"/>
      <c r="F12" s="173"/>
      <c r="G12" s="174"/>
      <c r="H12" s="108" t="s">
        <v>56</v>
      </c>
      <c r="I12" s="109" t="str">
        <f>'SAF 011 - NECESIDAD TRIMESTRAL'!F10</f>
        <v>UNIDAD</v>
      </c>
      <c r="J12" s="110">
        <v>15500</v>
      </c>
      <c r="K12" s="111">
        <f>+'SAF 011 - NECESIDAD TRIMESTRAL'!G10</f>
        <v>10</v>
      </c>
      <c r="M12" s="102"/>
      <c r="N12" s="102">
        <f t="shared" ref="N12" si="0">+J12*K12</f>
        <v>155000</v>
      </c>
    </row>
    <row r="13" spans="1:14" ht="45" customHeight="1" x14ac:dyDescent="0.25">
      <c r="A13" s="56">
        <v>2</v>
      </c>
      <c r="B13" s="57" t="str">
        <f>'SAF 011 - NECESIDAD TRIMESTRAL'!B11</f>
        <v>4.3.7-1404.22</v>
      </c>
      <c r="C13" s="154" t="str">
        <f>'SAF 011 - NECESIDAD TRIMESTRAL'!E11</f>
        <v>ESTANTERIAS; MATERIAL: METAL, DIMENSION: 205 X 60 Cm, ALTURA: 260 Cm, ESTANTES: 6 UN, CAPACIDAD POR ESTANTE: SIN VALOR</v>
      </c>
      <c r="D13" s="155"/>
      <c r="E13" s="155"/>
      <c r="F13" s="155"/>
      <c r="G13" s="156"/>
      <c r="H13" s="57" t="s">
        <v>56</v>
      </c>
      <c r="I13" s="58" t="str">
        <f>'SAF 011 - NECESIDAD TRIMESTRAL'!F11</f>
        <v>UNIDAD</v>
      </c>
      <c r="J13" s="59">
        <v>40000</v>
      </c>
      <c r="K13" s="111">
        <f>+'SAF 011 - NECESIDAD TRIMESTRAL'!G11</f>
        <v>30</v>
      </c>
      <c r="M13" s="102"/>
      <c r="N13" s="102">
        <f t="shared" ref="N13" si="1">+J13*K13</f>
        <v>1200000</v>
      </c>
    </row>
    <row r="14" spans="1:14" ht="37.5" customHeight="1" x14ac:dyDescent="0.25">
      <c r="A14" s="56">
        <v>3</v>
      </c>
      <c r="B14" s="57" t="str">
        <f>'SAF 011 - NECESIDAD TRIMESTRAL'!B12</f>
        <v>4.3.7-4500.4</v>
      </c>
      <c r="C14" s="154" t="str">
        <f>'SAF 011 - NECESIDAD TRIMESTRAL'!E12</f>
        <v>GAVETEROS; MATERIAL: METAL, ALTURA: 240 Cm, ANCHO: 110 Cm, PROFUNDIDAD: 36 Cm, TERMINACION: ESMALTE, CANTIDAD DE CAJONES: 32</v>
      </c>
      <c r="D14" s="155"/>
      <c r="E14" s="155"/>
      <c r="F14" s="155"/>
      <c r="G14" s="156"/>
      <c r="H14" s="57" t="s">
        <v>56</v>
      </c>
      <c r="I14" s="58" t="str">
        <f>'SAF 011 - NECESIDAD TRIMESTRAL'!F12</f>
        <v>UNIDAD</v>
      </c>
      <c r="J14" s="59">
        <v>9000</v>
      </c>
      <c r="K14" s="111">
        <f>+'SAF 011 - NECESIDAD TRIMESTRAL'!G12</f>
        <v>100</v>
      </c>
      <c r="M14" s="102"/>
      <c r="N14" s="102">
        <f>+J14*K14</f>
        <v>900000</v>
      </c>
    </row>
    <row r="15" spans="1:14" ht="43.5" customHeight="1" x14ac:dyDescent="0.25">
      <c r="A15" s="56">
        <v>4</v>
      </c>
      <c r="B15" s="57" t="str">
        <f>'SAF 011 - NECESIDAD TRIMESTRAL'!B13</f>
        <v>4.3.7-5446.1</v>
      </c>
      <c r="C15" s="154" t="str">
        <f>'SAF 011 - NECESIDAD TRIMESTRAL'!E13</f>
        <v>MESAS P/CAMAS; BASE: ACERO INOXIDABLE, ALTURA: REGULABLE, DIMENSION DE TAPA: 50 X 80 Cm, MATERIAL DE TAPA: LAMINADA EN MELAMINA, SUPERFICIE APOYO: 50 X 80 Cm</v>
      </c>
      <c r="D15" s="155"/>
      <c r="E15" s="155"/>
      <c r="F15" s="155"/>
      <c r="G15" s="156"/>
      <c r="H15" s="57" t="s">
        <v>56</v>
      </c>
      <c r="I15" s="58" t="str">
        <f>'SAF 011 - NECESIDAD TRIMESTRAL'!F13</f>
        <v>UNIDAD</v>
      </c>
      <c r="J15" s="59">
        <v>12000</v>
      </c>
      <c r="K15" s="111">
        <f>+'SAF 011 - NECESIDAD TRIMESTRAL'!G13</f>
        <v>100</v>
      </c>
      <c r="M15" s="102"/>
      <c r="N15" s="102">
        <f t="shared" ref="N15" si="2">+J15*K15</f>
        <v>1200000</v>
      </c>
    </row>
    <row r="16" spans="1:14" ht="39" customHeight="1" x14ac:dyDescent="0.25">
      <c r="A16" s="56">
        <v>5</v>
      </c>
      <c r="B16" s="57" t="str">
        <f>'SAF 011 - NECESIDAD TRIMESTRAL'!B14</f>
        <v>4.3.7-1880.1</v>
      </c>
      <c r="C16" s="154" t="str">
        <f>'SAF 011 - NECESIDAD TRIMESTRAL'!E14</f>
        <v>RELOJES; TAMAÑO: 30 X 25 Cm, ALIMENTACION: ELECTRICA, MECANISMO: ANALOGICO, TIPO: DE PARED, MATERIAL: PLASTICO</v>
      </c>
      <c r="D16" s="155"/>
      <c r="E16" s="155"/>
      <c r="F16" s="155"/>
      <c r="G16" s="156"/>
      <c r="H16" s="57" t="s">
        <v>56</v>
      </c>
      <c r="I16" s="58" t="str">
        <f>'SAF 011 - NECESIDAD TRIMESTRAL'!F14</f>
        <v>UNIDAD</v>
      </c>
      <c r="J16" s="59">
        <v>2300</v>
      </c>
      <c r="K16" s="111">
        <f>+'SAF 011 - NECESIDAD TRIMESTRAL'!G14</f>
        <v>30</v>
      </c>
      <c r="M16" s="102"/>
      <c r="N16" s="102">
        <f>+J16*K16</f>
        <v>69000</v>
      </c>
    </row>
    <row r="17" spans="1:15" ht="33.75" customHeight="1" x14ac:dyDescent="0.25">
      <c r="A17" s="56">
        <v>6</v>
      </c>
      <c r="B17" s="57" t="str">
        <f>'SAF 011 - NECESIDAD TRIMESTRAL'!B15</f>
        <v>2.9.1-2661.8</v>
      </c>
      <c r="C17" s="154" t="str">
        <f>'SAF 011 - NECESIDAD TRIMESTRAL'!E15</f>
        <v>TACHOS DE RESIDUOS; MATERIAL: PLASTICO, SECCION: CIRCULAR, DIMENSION: 119 L, TAPA: CON</v>
      </c>
      <c r="D17" s="155"/>
      <c r="E17" s="155"/>
      <c r="F17" s="155"/>
      <c r="G17" s="156"/>
      <c r="H17" s="57" t="s">
        <v>56</v>
      </c>
      <c r="I17" s="58" t="str">
        <f>'SAF 011 - NECESIDAD TRIMESTRAL'!F15</f>
        <v>UNIDAD</v>
      </c>
      <c r="J17" s="59">
        <v>17250</v>
      </c>
      <c r="K17" s="111">
        <f>+'SAF 011 - NECESIDAD TRIMESTRAL'!G15</f>
        <v>200</v>
      </c>
      <c r="M17" s="102">
        <f t="shared" ref="M17" si="3">+J17*K17</f>
        <v>3450000</v>
      </c>
      <c r="N17" s="102"/>
    </row>
    <row r="18" spans="1:15" ht="45" customHeight="1" x14ac:dyDescent="0.25">
      <c r="A18" s="56">
        <v>7</v>
      </c>
      <c r="B18" s="57" t="str">
        <f>'SAF 011 - NECESIDAD TRIMESTRAL'!B16</f>
        <v>4.3.7-1832.16</v>
      </c>
      <c r="C18" s="154" t="str">
        <f>'SAF 011 - NECESIDAD TRIMESTRAL'!E16</f>
        <v>VITRINAS; ESTRUCTURA: MADERA, ALTURA: 170 Cm, ANCHO: 132 Cm, PROFUNDIDAD: 43 Cm, ESTANTE: CON, MATERIAL ESTRUCTURA: MADERA, PUERTA: 2 DE VIDRIO Y MADERA, PUERTAS: 2 DE VIDRIO Y MADERA</v>
      </c>
      <c r="D18" s="155"/>
      <c r="E18" s="155"/>
      <c r="F18" s="155"/>
      <c r="G18" s="156"/>
      <c r="H18" s="57" t="s">
        <v>56</v>
      </c>
      <c r="I18" s="58" t="str">
        <f>'SAF 011 - NECESIDAD TRIMESTRAL'!F16</f>
        <v>UNIDAD</v>
      </c>
      <c r="J18" s="59">
        <v>53500</v>
      </c>
      <c r="K18" s="111">
        <f>+'SAF 011 - NECESIDAD TRIMESTRAL'!G16</f>
        <v>80</v>
      </c>
      <c r="M18" s="102"/>
      <c r="N18" s="102">
        <f t="shared" ref="N18" si="4">+J18*K18</f>
        <v>4280000</v>
      </c>
    </row>
    <row r="19" spans="1:15" ht="15.75" customHeight="1" thickBot="1" x14ac:dyDescent="0.3">
      <c r="A19" s="112"/>
      <c r="B19" s="113"/>
      <c r="C19" s="178"/>
      <c r="D19" s="179"/>
      <c r="E19" s="179"/>
      <c r="F19" s="179"/>
      <c r="G19" s="180"/>
      <c r="H19" s="113"/>
      <c r="I19" s="114"/>
      <c r="J19" s="115"/>
      <c r="K19" s="116"/>
      <c r="M19" s="102"/>
      <c r="N19" s="102"/>
    </row>
    <row r="20" spans="1:15" ht="29.25" customHeight="1" thickBot="1" x14ac:dyDescent="0.3">
      <c r="A20" s="176" t="s">
        <v>96</v>
      </c>
      <c r="B20" s="177"/>
      <c r="C20" s="177"/>
      <c r="D20" s="177"/>
      <c r="E20" s="177"/>
      <c r="F20" s="177"/>
      <c r="G20" s="177"/>
      <c r="H20" s="177"/>
      <c r="I20" s="127"/>
      <c r="J20" s="175">
        <f>SUMPRODUCT(J12:J18,K12:K18)</f>
        <v>11254000</v>
      </c>
      <c r="K20" s="127"/>
      <c r="M20" s="102">
        <f>SUM(M12:M19)</f>
        <v>3450000</v>
      </c>
      <c r="N20" s="102">
        <f>SUM(N12:N19)</f>
        <v>7804000</v>
      </c>
      <c r="O20" s="102">
        <f>SUM(M20:N20)</f>
        <v>11254000</v>
      </c>
    </row>
    <row r="21" spans="1:15" ht="15.75" customHeight="1" x14ac:dyDescent="0.25">
      <c r="B21" s="61"/>
      <c r="J21" s="60"/>
      <c r="M21" s="102"/>
      <c r="N21" s="102"/>
    </row>
    <row r="22" spans="1:15" ht="15.75" customHeight="1" x14ac:dyDescent="0.25">
      <c r="B22" s="61"/>
      <c r="J22" s="60"/>
      <c r="M22" s="102"/>
      <c r="N22" s="102"/>
    </row>
    <row r="23" spans="1:15" ht="15.75" customHeight="1" x14ac:dyDescent="0.25">
      <c r="B23" s="61"/>
      <c r="J23" s="60"/>
      <c r="M23" s="102"/>
      <c r="N23" s="102"/>
    </row>
    <row r="24" spans="1:15" ht="15.75" customHeight="1" x14ac:dyDescent="0.25">
      <c r="B24" s="61"/>
      <c r="J24" s="60"/>
      <c r="M24" s="102"/>
      <c r="N24" s="102"/>
    </row>
    <row r="25" spans="1:15" ht="15.75" customHeight="1" x14ac:dyDescent="0.25">
      <c r="B25" s="61"/>
      <c r="J25" s="60"/>
      <c r="M25" s="102"/>
      <c r="N25" s="102"/>
    </row>
    <row r="26" spans="1:15" ht="15.75" customHeight="1" x14ac:dyDescent="0.25">
      <c r="B26" s="61"/>
      <c r="J26" s="60"/>
      <c r="M26" s="102"/>
      <c r="N26" s="102"/>
    </row>
    <row r="27" spans="1:15" ht="15.75" customHeight="1" x14ac:dyDescent="0.25">
      <c r="B27" s="61"/>
      <c r="J27" s="60"/>
      <c r="M27" s="102"/>
      <c r="N27" s="102"/>
    </row>
    <row r="28" spans="1:15" ht="15.75" customHeight="1" x14ac:dyDescent="0.25">
      <c r="B28" s="61"/>
      <c r="J28" s="60"/>
      <c r="M28" s="102"/>
      <c r="N28" s="102"/>
    </row>
    <row r="29" spans="1:15" ht="15.75" customHeight="1" x14ac:dyDescent="0.25">
      <c r="B29" s="61"/>
      <c r="J29" s="60"/>
      <c r="M29" s="102"/>
      <c r="N29" s="102"/>
    </row>
    <row r="30" spans="1:15" ht="15.75" customHeight="1" x14ac:dyDescent="0.25">
      <c r="B30" s="61"/>
      <c r="J30" s="60"/>
      <c r="M30" s="102"/>
      <c r="N30" s="102"/>
    </row>
    <row r="31" spans="1:15" ht="15.75" customHeight="1" x14ac:dyDescent="0.25">
      <c r="B31" s="61"/>
      <c r="J31" s="60"/>
      <c r="M31" s="102"/>
      <c r="N31" s="102"/>
    </row>
    <row r="32" spans="1:15" ht="15.75" customHeight="1" x14ac:dyDescent="0.25">
      <c r="B32" s="61"/>
      <c r="J32" s="60"/>
      <c r="M32" s="102"/>
      <c r="N32" s="102"/>
    </row>
    <row r="33" spans="2:14" ht="15.75" customHeight="1" x14ac:dyDescent="0.25">
      <c r="B33" s="61"/>
      <c r="J33" s="60"/>
      <c r="M33" s="102"/>
      <c r="N33" s="102"/>
    </row>
    <row r="34" spans="2:14" ht="15.75" customHeight="1" x14ac:dyDescent="0.25">
      <c r="B34" s="61"/>
      <c r="J34" s="60"/>
      <c r="M34" s="102"/>
      <c r="N34" s="102"/>
    </row>
    <row r="35" spans="2:14" ht="15.75" customHeight="1" x14ac:dyDescent="0.25">
      <c r="B35" s="61"/>
      <c r="J35" s="60"/>
      <c r="M35" s="102"/>
      <c r="N35" s="102"/>
    </row>
    <row r="36" spans="2:14" ht="15.75" customHeight="1" x14ac:dyDescent="0.25">
      <c r="B36" s="61"/>
      <c r="J36" s="60"/>
      <c r="M36" s="102"/>
      <c r="N36" s="102"/>
    </row>
    <row r="37" spans="2:14" ht="15.75" customHeight="1" x14ac:dyDescent="0.25">
      <c r="B37" s="61"/>
      <c r="J37" s="60"/>
      <c r="M37" s="102"/>
      <c r="N37" s="102"/>
    </row>
    <row r="38" spans="2:14" ht="15.75" customHeight="1" x14ac:dyDescent="0.25">
      <c r="B38" s="61"/>
      <c r="J38" s="60"/>
      <c r="M38" s="102"/>
      <c r="N38" s="102"/>
    </row>
    <row r="39" spans="2:14" ht="15.75" customHeight="1" x14ac:dyDescent="0.25">
      <c r="B39" s="61"/>
      <c r="J39" s="60"/>
      <c r="M39" s="102"/>
      <c r="N39" s="102"/>
    </row>
    <row r="40" spans="2:14" ht="15.75" customHeight="1" x14ac:dyDescent="0.25">
      <c r="B40" s="61"/>
      <c r="J40" s="60"/>
      <c r="M40" s="102"/>
      <c r="N40" s="102"/>
    </row>
    <row r="41" spans="2:14" ht="15.75" customHeight="1" x14ac:dyDescent="0.25">
      <c r="B41" s="61"/>
      <c r="J41" s="60"/>
      <c r="M41" s="102"/>
      <c r="N41" s="102"/>
    </row>
    <row r="42" spans="2:14" ht="15.75" customHeight="1" x14ac:dyDescent="0.25">
      <c r="B42" s="61"/>
      <c r="J42" s="60"/>
      <c r="M42" s="102"/>
      <c r="N42" s="102"/>
    </row>
    <row r="43" spans="2:14" ht="15.75" customHeight="1" x14ac:dyDescent="0.25">
      <c r="B43" s="61"/>
      <c r="J43" s="60"/>
      <c r="M43" s="102"/>
      <c r="N43" s="102"/>
    </row>
    <row r="44" spans="2:14" ht="15.75" customHeight="1" x14ac:dyDescent="0.25">
      <c r="B44" s="61"/>
      <c r="J44" s="60"/>
      <c r="M44" s="102"/>
      <c r="N44" s="102"/>
    </row>
    <row r="45" spans="2:14" ht="15.75" customHeight="1" x14ac:dyDescent="0.25">
      <c r="B45" s="61"/>
      <c r="J45" s="60"/>
      <c r="M45" s="102"/>
      <c r="N45" s="102"/>
    </row>
    <row r="46" spans="2:14" ht="15.75" customHeight="1" x14ac:dyDescent="0.25">
      <c r="B46" s="61"/>
      <c r="J46" s="60"/>
      <c r="M46" s="102"/>
      <c r="N46" s="102"/>
    </row>
    <row r="47" spans="2:14" ht="15.75" customHeight="1" x14ac:dyDescent="0.25">
      <c r="B47" s="61"/>
      <c r="J47" s="60"/>
      <c r="M47" s="102"/>
      <c r="N47" s="102"/>
    </row>
    <row r="48" spans="2:14" ht="15.75" customHeight="1" x14ac:dyDescent="0.25">
      <c r="B48" s="61"/>
      <c r="J48" s="60"/>
      <c r="M48" s="102"/>
      <c r="N48" s="102"/>
    </row>
    <row r="49" spans="2:14" ht="15.75" customHeight="1" x14ac:dyDescent="0.25">
      <c r="B49" s="61"/>
      <c r="J49" s="60"/>
      <c r="M49" s="102"/>
      <c r="N49" s="102"/>
    </row>
    <row r="50" spans="2:14" ht="15.75" customHeight="1" x14ac:dyDescent="0.25">
      <c r="B50" s="61"/>
      <c r="J50" s="60"/>
      <c r="M50" s="102"/>
      <c r="N50" s="102"/>
    </row>
    <row r="51" spans="2:14" ht="15.75" customHeight="1" x14ac:dyDescent="0.25">
      <c r="B51" s="61"/>
      <c r="J51" s="60"/>
      <c r="M51" s="102"/>
      <c r="N51" s="102"/>
    </row>
    <row r="52" spans="2:14" ht="15.75" customHeight="1" x14ac:dyDescent="0.25">
      <c r="B52" s="61"/>
      <c r="J52" s="60"/>
      <c r="M52" s="102"/>
      <c r="N52" s="102"/>
    </row>
    <row r="53" spans="2:14" ht="15.75" customHeight="1" x14ac:dyDescent="0.25">
      <c r="B53" s="61"/>
      <c r="J53" s="60"/>
      <c r="M53" s="102"/>
      <c r="N53" s="102"/>
    </row>
    <row r="54" spans="2:14" ht="15.75" customHeight="1" x14ac:dyDescent="0.25">
      <c r="B54" s="61"/>
      <c r="J54" s="60"/>
      <c r="M54" s="102"/>
      <c r="N54" s="102"/>
    </row>
    <row r="55" spans="2:14" ht="15.75" customHeight="1" x14ac:dyDescent="0.25">
      <c r="B55" s="61"/>
      <c r="J55" s="60"/>
      <c r="M55" s="102"/>
      <c r="N55" s="102"/>
    </row>
    <row r="56" spans="2:14" ht="15.75" customHeight="1" x14ac:dyDescent="0.25">
      <c r="B56" s="61"/>
      <c r="J56" s="60"/>
      <c r="M56" s="102"/>
      <c r="N56" s="102"/>
    </row>
    <row r="57" spans="2:14" ht="15.75" customHeight="1" x14ac:dyDescent="0.25">
      <c r="B57" s="61"/>
      <c r="J57" s="60"/>
      <c r="M57" s="102"/>
      <c r="N57" s="102"/>
    </row>
    <row r="58" spans="2:14" ht="15.75" customHeight="1" x14ac:dyDescent="0.25">
      <c r="B58" s="61"/>
      <c r="J58" s="60"/>
      <c r="M58" s="102"/>
      <c r="N58" s="102"/>
    </row>
    <row r="59" spans="2:14" ht="15.75" customHeight="1" x14ac:dyDescent="0.25">
      <c r="B59" s="61"/>
      <c r="J59" s="60"/>
      <c r="M59" s="102"/>
      <c r="N59" s="102"/>
    </row>
    <row r="60" spans="2:14" ht="15.75" customHeight="1" x14ac:dyDescent="0.25">
      <c r="B60" s="61"/>
      <c r="J60" s="60"/>
      <c r="M60" s="102"/>
      <c r="N60" s="102"/>
    </row>
    <row r="61" spans="2:14" ht="15.75" customHeight="1" x14ac:dyDescent="0.25">
      <c r="B61" s="61"/>
      <c r="J61" s="60"/>
      <c r="M61" s="102"/>
      <c r="N61" s="102"/>
    </row>
    <row r="62" spans="2:14" ht="15.75" customHeight="1" x14ac:dyDescent="0.25">
      <c r="B62" s="61"/>
      <c r="J62" s="60"/>
      <c r="M62" s="102"/>
      <c r="N62" s="102"/>
    </row>
    <row r="63" spans="2:14" ht="15.75" customHeight="1" x14ac:dyDescent="0.25">
      <c r="B63" s="61"/>
      <c r="J63" s="60"/>
      <c r="M63" s="102"/>
      <c r="N63" s="102"/>
    </row>
    <row r="64" spans="2:14" ht="15.75" customHeight="1" x14ac:dyDescent="0.25">
      <c r="B64" s="61"/>
      <c r="J64" s="60"/>
      <c r="M64" s="102"/>
      <c r="N64" s="102"/>
    </row>
    <row r="65" spans="2:14" ht="15.75" customHeight="1" x14ac:dyDescent="0.25">
      <c r="B65" s="61"/>
      <c r="J65" s="60"/>
      <c r="M65" s="102"/>
      <c r="N65" s="102"/>
    </row>
    <row r="66" spans="2:14" ht="15.75" customHeight="1" x14ac:dyDescent="0.25">
      <c r="B66" s="61"/>
      <c r="J66" s="60"/>
      <c r="M66" s="102"/>
      <c r="N66" s="102"/>
    </row>
    <row r="67" spans="2:14" ht="15.75" customHeight="1" x14ac:dyDescent="0.25">
      <c r="B67" s="61"/>
      <c r="J67" s="60"/>
      <c r="M67" s="102"/>
      <c r="N67" s="102"/>
    </row>
    <row r="68" spans="2:14" ht="15.75" customHeight="1" x14ac:dyDescent="0.25">
      <c r="B68" s="61"/>
      <c r="J68" s="60"/>
      <c r="M68" s="102"/>
      <c r="N68" s="102"/>
    </row>
    <row r="69" spans="2:14" ht="15.75" customHeight="1" x14ac:dyDescent="0.25">
      <c r="B69" s="61"/>
      <c r="J69" s="60"/>
      <c r="M69" s="102"/>
      <c r="N69" s="102"/>
    </row>
    <row r="70" spans="2:14" ht="15.75" customHeight="1" x14ac:dyDescent="0.25">
      <c r="B70" s="61"/>
      <c r="J70" s="60"/>
      <c r="M70" s="102"/>
      <c r="N70" s="102"/>
    </row>
  </sheetData>
  <mergeCells count="24">
    <mergeCell ref="K10:K11"/>
    <mergeCell ref="J10:J11"/>
    <mergeCell ref="C12:G12"/>
    <mergeCell ref="C15:G15"/>
    <mergeCell ref="J20:K20"/>
    <mergeCell ref="C17:G17"/>
    <mergeCell ref="C16:G16"/>
    <mergeCell ref="A20:I20"/>
    <mergeCell ref="C19:G19"/>
    <mergeCell ref="C18:G18"/>
    <mergeCell ref="A1:I1"/>
    <mergeCell ref="A3:C3"/>
    <mergeCell ref="A4:C4"/>
    <mergeCell ref="C14:G14"/>
    <mergeCell ref="C13:G13"/>
    <mergeCell ref="I10:I11"/>
    <mergeCell ref="H10:H11"/>
    <mergeCell ref="A5:C5"/>
    <mergeCell ref="A10:A11"/>
    <mergeCell ref="B10:B11"/>
    <mergeCell ref="C10:G11"/>
    <mergeCell ref="A6:C6"/>
    <mergeCell ref="A7:C7"/>
    <mergeCell ref="A8:C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7"/>
  <sheetViews>
    <sheetView topLeftCell="A10" workbookViewId="0">
      <selection activeCell="Q15" sqref="Q15:Q16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04" bestFit="1" customWidth="1"/>
  </cols>
  <sheetData>
    <row r="1" spans="1:17" x14ac:dyDescent="0.25">
      <c r="A1" s="201" t="s">
        <v>5</v>
      </c>
      <c r="B1" s="167"/>
      <c r="C1" s="167"/>
      <c r="D1" s="202">
        <v>2022</v>
      </c>
      <c r="E1" s="203"/>
      <c r="F1" s="62"/>
      <c r="G1" s="62"/>
      <c r="H1" s="63"/>
      <c r="I1" s="63"/>
      <c r="J1" s="63"/>
      <c r="K1" s="63"/>
      <c r="L1" s="63"/>
      <c r="M1" s="63"/>
      <c r="N1" s="63"/>
      <c r="O1" s="64"/>
      <c r="P1" s="204" t="s">
        <v>57</v>
      </c>
      <c r="Q1" s="205"/>
    </row>
    <row r="2" spans="1:17" x14ac:dyDescent="0.25">
      <c r="A2" s="65"/>
      <c r="G2" s="66"/>
      <c r="H2" s="67"/>
      <c r="I2" s="67"/>
      <c r="J2" s="67"/>
      <c r="K2" s="67"/>
      <c r="L2" s="67"/>
      <c r="M2" s="67"/>
      <c r="N2" s="67"/>
      <c r="P2" s="206"/>
      <c r="Q2" s="207"/>
    </row>
    <row r="3" spans="1:17" x14ac:dyDescent="0.25">
      <c r="A3" s="65"/>
      <c r="G3" s="66"/>
      <c r="Q3" s="68"/>
    </row>
    <row r="4" spans="1:17" x14ac:dyDescent="0.25">
      <c r="A4" s="196" t="s">
        <v>58</v>
      </c>
      <c r="B4" s="151"/>
      <c r="C4" s="151"/>
      <c r="D4" s="151"/>
      <c r="E4" s="151"/>
      <c r="F4" s="188"/>
      <c r="G4" s="200" t="str">
        <f>NP!D3</f>
        <v>040 - MINISTERIO DE SALUD</v>
      </c>
      <c r="H4" s="151"/>
      <c r="I4" s="151"/>
      <c r="J4" s="151"/>
      <c r="K4" s="151"/>
      <c r="L4" s="151"/>
      <c r="M4" s="151"/>
      <c r="N4" s="151"/>
      <c r="O4" s="151"/>
      <c r="P4" s="151"/>
      <c r="Q4" s="199"/>
    </row>
    <row r="5" spans="1:17" x14ac:dyDescent="0.25">
      <c r="A5" s="195" t="s">
        <v>42</v>
      </c>
      <c r="B5" s="151"/>
      <c r="C5" s="151"/>
      <c r="D5" s="151"/>
      <c r="E5" s="151"/>
      <c r="F5" s="188"/>
      <c r="G5" s="200" t="str">
        <f>NP!D4</f>
        <v>011 - DIRECCION PROVINCIAL DE ADMINISTRACION DEL MINISTERIO DE SALUD</v>
      </c>
      <c r="H5" s="151"/>
      <c r="I5" s="151"/>
      <c r="J5" s="151"/>
      <c r="K5" s="151"/>
      <c r="L5" s="151"/>
      <c r="M5" s="151"/>
      <c r="N5" s="151"/>
      <c r="O5" s="151"/>
      <c r="P5" s="151"/>
      <c r="Q5" s="199"/>
    </row>
    <row r="6" spans="1:17" x14ac:dyDescent="0.25">
      <c r="A6" s="195" t="s">
        <v>44</v>
      </c>
      <c r="B6" s="151"/>
      <c r="C6" s="151"/>
      <c r="D6" s="151"/>
      <c r="E6" s="151"/>
      <c r="F6" s="188"/>
      <c r="G6" s="200" t="str">
        <f>NP!D5</f>
        <v>352 - MINISTERIO DE SALUD</v>
      </c>
      <c r="H6" s="151"/>
      <c r="I6" s="151"/>
      <c r="J6" s="151"/>
      <c r="K6" s="151"/>
      <c r="L6" s="151"/>
      <c r="M6" s="151"/>
      <c r="N6" s="151"/>
      <c r="O6" s="151"/>
      <c r="P6" s="151"/>
      <c r="Q6" s="199"/>
    </row>
    <row r="7" spans="1:17" x14ac:dyDescent="0.25">
      <c r="A7" s="195" t="s">
        <v>46</v>
      </c>
      <c r="B7" s="151"/>
      <c r="C7" s="151"/>
      <c r="D7" s="151"/>
      <c r="E7" s="151"/>
      <c r="F7" s="188"/>
      <c r="G7" s="200" t="str">
        <f>NP!D6</f>
        <v>352 - MINISTERIO DE SALUD</v>
      </c>
      <c r="H7" s="151"/>
      <c r="I7" s="151"/>
      <c r="J7" s="151"/>
      <c r="K7" s="151"/>
      <c r="L7" s="151"/>
      <c r="M7" s="151"/>
      <c r="N7" s="151"/>
      <c r="O7" s="151"/>
      <c r="P7" s="151"/>
      <c r="Q7" s="199"/>
    </row>
    <row r="8" spans="1:17" x14ac:dyDescent="0.25">
      <c r="A8" s="198" t="s">
        <v>59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99"/>
    </row>
    <row r="9" spans="1:17" x14ac:dyDescent="0.25">
      <c r="A9" s="197" t="s">
        <v>60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86"/>
    </row>
    <row r="10" spans="1:17" ht="75" customHeight="1" x14ac:dyDescent="0.25">
      <c r="A10" s="184" t="s">
        <v>100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34"/>
    </row>
    <row r="11" spans="1:17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thickBot="1" x14ac:dyDescent="0.3">
      <c r="A12" s="185" t="s">
        <v>61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86"/>
    </row>
    <row r="13" spans="1:17" ht="15.75" thickBot="1" x14ac:dyDescent="0.3">
      <c r="A13" s="187" t="s">
        <v>62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88"/>
      <c r="O13" s="189" t="s">
        <v>63</v>
      </c>
      <c r="P13" s="190"/>
      <c r="Q13" s="191" t="s">
        <v>64</v>
      </c>
    </row>
    <row r="14" spans="1:17" ht="15.75" thickBot="1" x14ac:dyDescent="0.3">
      <c r="A14" s="118" t="s">
        <v>65</v>
      </c>
      <c r="B14" s="119" t="s">
        <v>66</v>
      </c>
      <c r="C14" s="119" t="s">
        <v>67</v>
      </c>
      <c r="D14" s="119" t="s">
        <v>68</v>
      </c>
      <c r="E14" s="119" t="s">
        <v>69</v>
      </c>
      <c r="F14" s="119" t="s">
        <v>70</v>
      </c>
      <c r="G14" s="120" t="s">
        <v>71</v>
      </c>
      <c r="H14" s="119" t="s">
        <v>72</v>
      </c>
      <c r="I14" s="119" t="s">
        <v>73</v>
      </c>
      <c r="J14" s="119" t="s">
        <v>74</v>
      </c>
      <c r="K14" s="119" t="s">
        <v>74</v>
      </c>
      <c r="L14" s="119" t="s">
        <v>75</v>
      </c>
      <c r="M14" s="121" t="s">
        <v>76</v>
      </c>
      <c r="N14" s="122" t="s">
        <v>77</v>
      </c>
      <c r="O14" s="163"/>
      <c r="P14" s="165"/>
      <c r="Q14" s="192"/>
    </row>
    <row r="15" spans="1:17" x14ac:dyDescent="0.25">
      <c r="A15" s="73">
        <v>1</v>
      </c>
      <c r="B15" s="74"/>
      <c r="C15" s="74"/>
      <c r="D15" s="74">
        <v>1</v>
      </c>
      <c r="E15" s="74"/>
      <c r="F15" s="74">
        <v>4901</v>
      </c>
      <c r="G15" s="74">
        <v>3</v>
      </c>
      <c r="H15" s="74">
        <v>1</v>
      </c>
      <c r="I15" s="74">
        <v>2</v>
      </c>
      <c r="J15" s="74">
        <v>9</v>
      </c>
      <c r="K15" s="74">
        <v>1</v>
      </c>
      <c r="L15" s="74"/>
      <c r="M15" s="75">
        <v>1</v>
      </c>
      <c r="N15" s="74" t="s">
        <v>78</v>
      </c>
      <c r="O15" s="193" t="s">
        <v>28</v>
      </c>
      <c r="P15" s="194"/>
      <c r="Q15" s="117">
        <v>3450000</v>
      </c>
    </row>
    <row r="16" spans="1:17" x14ac:dyDescent="0.25">
      <c r="A16" s="73">
        <v>1</v>
      </c>
      <c r="B16" s="74"/>
      <c r="C16" s="74"/>
      <c r="D16" s="74">
        <v>1</v>
      </c>
      <c r="E16" s="74"/>
      <c r="F16" s="74">
        <v>4901</v>
      </c>
      <c r="G16" s="74">
        <v>3</v>
      </c>
      <c r="H16" s="74">
        <v>1</v>
      </c>
      <c r="I16" s="74">
        <v>4</v>
      </c>
      <c r="J16" s="74">
        <v>3</v>
      </c>
      <c r="K16" s="74">
        <v>7</v>
      </c>
      <c r="L16" s="74"/>
      <c r="M16" s="75">
        <v>1</v>
      </c>
      <c r="N16" s="105" t="s">
        <v>78</v>
      </c>
      <c r="O16" s="181" t="s">
        <v>79</v>
      </c>
      <c r="P16" s="182"/>
      <c r="Q16" s="77">
        <v>7804000</v>
      </c>
    </row>
    <row r="17" spans="1:17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83"/>
      <c r="P17" s="182"/>
      <c r="Q17" s="77"/>
    </row>
    <row r="18" spans="1:17" ht="15.75" customHeight="1" x14ac:dyDescent="0.25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83"/>
      <c r="P18" s="182"/>
      <c r="Q18" s="77"/>
    </row>
    <row r="19" spans="1:17" ht="15.75" customHeight="1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83"/>
      <c r="P19" s="182"/>
      <c r="Q19" s="77"/>
    </row>
    <row r="20" spans="1:17" ht="15.75" customHeight="1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83"/>
      <c r="P20" s="182"/>
      <c r="Q20" s="77"/>
    </row>
    <row r="21" spans="1:17" ht="15.75" customHeight="1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83"/>
      <c r="P21" s="182"/>
      <c r="Q21" s="77"/>
    </row>
    <row r="22" spans="1:17" ht="15.75" customHeigh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83"/>
      <c r="P22" s="182"/>
      <c r="Q22" s="77"/>
    </row>
    <row r="23" spans="1:17" ht="15.75" customHeight="1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83"/>
      <c r="P23" s="182"/>
      <c r="Q23" s="77"/>
    </row>
    <row r="24" spans="1:17" ht="15.75" customHeigh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83"/>
      <c r="P24" s="182"/>
      <c r="Q24" s="77"/>
    </row>
    <row r="25" spans="1:17" ht="15.75" customHeight="1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83"/>
      <c r="P25" s="182"/>
      <c r="Q25" s="77"/>
    </row>
    <row r="26" spans="1:17" ht="15.75" customHeight="1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83"/>
      <c r="P26" s="182"/>
      <c r="Q26" s="77"/>
    </row>
    <row r="27" spans="1:17" ht="15.75" customHeigh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83"/>
      <c r="P27" s="182"/>
      <c r="Q27" s="77"/>
    </row>
    <row r="28" spans="1:17" ht="15.7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83"/>
      <c r="P28" s="182"/>
      <c r="Q28" s="77"/>
    </row>
    <row r="29" spans="1:17" ht="15.75" customHeight="1" x14ac:dyDescent="0.25">
      <c r="A29" s="73"/>
      <c r="B29" s="74"/>
      <c r="C29" s="74"/>
      <c r="D29" s="74"/>
      <c r="E29" s="74"/>
      <c r="F29" s="76"/>
      <c r="G29" s="74"/>
      <c r="H29" s="74"/>
      <c r="I29" s="74"/>
      <c r="J29" s="74"/>
      <c r="K29" s="74"/>
      <c r="L29" s="74"/>
      <c r="M29" s="75"/>
      <c r="N29" s="76"/>
      <c r="O29" s="216"/>
      <c r="P29" s="182"/>
      <c r="Q29" s="77"/>
    </row>
    <row r="30" spans="1:17" ht="15.75" customHeight="1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216"/>
      <c r="P30" s="182"/>
      <c r="Q30" s="77"/>
    </row>
    <row r="31" spans="1:17" ht="15.75" customHeight="1" x14ac:dyDescent="0.25">
      <c r="A31" s="73"/>
      <c r="B31" s="74"/>
      <c r="C31" s="74"/>
      <c r="D31" s="74"/>
      <c r="E31" s="74"/>
      <c r="F31" s="76"/>
      <c r="G31" s="74"/>
      <c r="H31" s="74"/>
      <c r="I31" s="74"/>
      <c r="J31" s="74"/>
      <c r="K31" s="74"/>
      <c r="L31" s="74"/>
      <c r="M31" s="75"/>
      <c r="N31" s="76"/>
      <c r="O31" s="216"/>
      <c r="P31" s="182"/>
      <c r="Q31" s="77"/>
    </row>
    <row r="32" spans="1:17" ht="15.75" customHeight="1" x14ac:dyDescent="0.25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216"/>
      <c r="P32" s="182"/>
      <c r="Q32" s="77"/>
    </row>
    <row r="33" spans="1:17" ht="15.75" customHeight="1" x14ac:dyDescent="0.25">
      <c r="A33" s="78"/>
      <c r="B33" s="79"/>
      <c r="C33" s="79"/>
      <c r="D33" s="79"/>
      <c r="E33" s="79"/>
      <c r="F33" s="76"/>
      <c r="G33" s="79"/>
      <c r="H33" s="79"/>
      <c r="I33" s="79"/>
      <c r="J33" s="79"/>
      <c r="K33" s="79"/>
      <c r="L33" s="79"/>
      <c r="M33" s="80"/>
      <c r="N33" s="81"/>
      <c r="O33" s="216"/>
      <c r="P33" s="182"/>
      <c r="Q33" s="77"/>
    </row>
    <row r="34" spans="1:17" ht="15.75" customHeight="1" x14ac:dyDescent="0.2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  <c r="N34" s="83"/>
      <c r="O34" s="217"/>
      <c r="P34" s="218"/>
      <c r="Q34" s="85"/>
    </row>
    <row r="35" spans="1:17" ht="36" customHeight="1" x14ac:dyDescent="0.25">
      <c r="A35" s="208" t="s">
        <v>97</v>
      </c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10"/>
      <c r="Q35" s="86">
        <f>SUM(Q15:Q34)</f>
        <v>11254000</v>
      </c>
    </row>
    <row r="36" spans="1:17" ht="15.75" customHeight="1" x14ac:dyDescent="0.25">
      <c r="A36" s="211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86"/>
    </row>
    <row r="37" spans="1:17" ht="15.75" customHeight="1" x14ac:dyDescent="0.25">
      <c r="A37" s="212" t="s">
        <v>80</v>
      </c>
      <c r="B37" s="167"/>
      <c r="C37" s="167"/>
      <c r="D37" s="167"/>
      <c r="E37" s="167"/>
      <c r="F37" s="203"/>
      <c r="G37" s="213"/>
      <c r="H37" s="153"/>
      <c r="I37" s="153"/>
      <c r="J37" s="153"/>
      <c r="K37" s="153"/>
      <c r="L37" s="153"/>
      <c r="M37" s="153"/>
      <c r="N37" s="153"/>
      <c r="O37" s="153"/>
      <c r="P37" s="153"/>
      <c r="Q37" s="186"/>
    </row>
    <row r="38" spans="1:17" ht="15.75" customHeight="1" x14ac:dyDescent="0.25">
      <c r="A38" s="214" t="str">
        <f>NP!D8</f>
        <v>ADQUISICION DE DESIERTOS Y FRACASADOS DE EQUIPAMIENTO PARA HOSPITALES DE LA PROVINCIA (ART. DEL HOGAR Y MUEBLES)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34"/>
    </row>
    <row r="39" spans="1:17" ht="15.75" customHeight="1" x14ac:dyDescent="0.25">
      <c r="A39" s="215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27"/>
    </row>
    <row r="40" spans="1:17" ht="15.75" customHeight="1" x14ac:dyDescent="0.25">
      <c r="Q40" s="60"/>
    </row>
    <row r="41" spans="1:17" ht="15.75" customHeight="1" x14ac:dyDescent="0.25">
      <c r="Q41" s="60"/>
    </row>
    <row r="42" spans="1:17" ht="15.75" customHeight="1" x14ac:dyDescent="0.25">
      <c r="Q42" s="60"/>
    </row>
    <row r="43" spans="1:17" ht="15.75" customHeight="1" x14ac:dyDescent="0.25">
      <c r="Q43" s="60"/>
    </row>
    <row r="44" spans="1:17" ht="15.75" customHeight="1" x14ac:dyDescent="0.25">
      <c r="Q44" s="60"/>
    </row>
    <row r="45" spans="1:17" ht="15.75" customHeight="1" x14ac:dyDescent="0.25">
      <c r="Q45" s="60"/>
    </row>
    <row r="46" spans="1:17" ht="15.75" customHeight="1" x14ac:dyDescent="0.25">
      <c r="Q46" s="60"/>
    </row>
    <row r="47" spans="1:17" ht="15.75" customHeight="1" x14ac:dyDescent="0.25">
      <c r="Q47" s="60"/>
    </row>
    <row r="48" spans="1:17" ht="15.75" customHeight="1" x14ac:dyDescent="0.25">
      <c r="Q48" s="60"/>
    </row>
    <row r="49" spans="17:17" ht="15.75" customHeight="1" x14ac:dyDescent="0.25">
      <c r="Q49" s="60"/>
    </row>
    <row r="50" spans="17:17" ht="15.75" customHeight="1" x14ac:dyDescent="0.25">
      <c r="Q50" s="60"/>
    </row>
    <row r="51" spans="17:17" ht="15.75" customHeight="1" x14ac:dyDescent="0.25">
      <c r="Q51" s="60"/>
    </row>
    <row r="52" spans="17:17" ht="15.75" customHeight="1" x14ac:dyDescent="0.25">
      <c r="Q52" s="60"/>
    </row>
    <row r="53" spans="17:17" ht="15.75" customHeight="1" x14ac:dyDescent="0.25">
      <c r="Q53" s="60"/>
    </row>
    <row r="54" spans="17:17" ht="15.75" customHeight="1" x14ac:dyDescent="0.25">
      <c r="Q54" s="60"/>
    </row>
    <row r="55" spans="17:17" ht="15.75" customHeight="1" x14ac:dyDescent="0.25">
      <c r="Q55" s="60"/>
    </row>
    <row r="56" spans="17:17" ht="15.75" customHeight="1" x14ac:dyDescent="0.25">
      <c r="Q56" s="60"/>
    </row>
    <row r="57" spans="17:17" ht="15.75" customHeight="1" x14ac:dyDescent="0.25">
      <c r="Q57" s="60"/>
    </row>
    <row r="58" spans="17:17" ht="15.75" customHeight="1" x14ac:dyDescent="0.25">
      <c r="Q58" s="60"/>
    </row>
    <row r="59" spans="17:17" ht="15.75" customHeight="1" x14ac:dyDescent="0.25">
      <c r="Q59" s="60"/>
    </row>
    <row r="60" spans="17:17" ht="15.75" customHeight="1" x14ac:dyDescent="0.25">
      <c r="Q60" s="60"/>
    </row>
    <row r="61" spans="17:17" ht="15.75" customHeight="1" x14ac:dyDescent="0.25">
      <c r="Q61" s="60"/>
    </row>
    <row r="62" spans="17:17" ht="15.75" customHeight="1" x14ac:dyDescent="0.25">
      <c r="Q62" s="60"/>
    </row>
    <row r="63" spans="17:17" ht="15.75" customHeight="1" x14ac:dyDescent="0.25">
      <c r="Q63" s="60"/>
    </row>
    <row r="64" spans="17:17" ht="15.75" customHeight="1" x14ac:dyDescent="0.25">
      <c r="Q64" s="60"/>
    </row>
    <row r="65" spans="17:17" ht="15.75" customHeight="1" x14ac:dyDescent="0.25">
      <c r="Q65" s="60"/>
    </row>
    <row r="66" spans="17:17" ht="15.75" customHeight="1" x14ac:dyDescent="0.25">
      <c r="Q66" s="60"/>
    </row>
    <row r="67" spans="17:17" ht="15.75" customHeight="1" x14ac:dyDescent="0.25">
      <c r="Q67" s="60"/>
    </row>
    <row r="68" spans="17:17" ht="15.75" customHeight="1" x14ac:dyDescent="0.25">
      <c r="Q68" s="60"/>
    </row>
    <row r="69" spans="17:17" ht="15.75" customHeight="1" x14ac:dyDescent="0.25">
      <c r="Q69" s="60"/>
    </row>
    <row r="70" spans="17:17" ht="15.75" customHeight="1" x14ac:dyDescent="0.25">
      <c r="Q70" s="60"/>
    </row>
    <row r="71" spans="17:17" ht="15.75" customHeight="1" x14ac:dyDescent="0.25">
      <c r="Q71" s="60"/>
    </row>
    <row r="72" spans="17:17" ht="15.75" customHeight="1" x14ac:dyDescent="0.25">
      <c r="Q72" s="60"/>
    </row>
    <row r="73" spans="17:17" ht="15.75" customHeight="1" x14ac:dyDescent="0.25">
      <c r="Q73" s="60"/>
    </row>
    <row r="74" spans="17:17" ht="15.75" customHeight="1" x14ac:dyDescent="0.25">
      <c r="Q74" s="60"/>
    </row>
    <row r="75" spans="17:17" ht="15.75" customHeight="1" x14ac:dyDescent="0.25">
      <c r="Q75" s="60"/>
    </row>
    <row r="76" spans="17:17" ht="15.75" customHeight="1" x14ac:dyDescent="0.25">
      <c r="Q76" s="60"/>
    </row>
    <row r="77" spans="17:17" ht="15.75" customHeight="1" x14ac:dyDescent="0.25">
      <c r="Q77" s="60"/>
    </row>
    <row r="78" spans="17:17" ht="15.75" customHeight="1" x14ac:dyDescent="0.25">
      <c r="Q78" s="60"/>
    </row>
    <row r="79" spans="17:17" ht="15.75" customHeight="1" x14ac:dyDescent="0.25">
      <c r="Q79" s="60"/>
    </row>
    <row r="80" spans="17:17" ht="15.75" customHeight="1" x14ac:dyDescent="0.25">
      <c r="Q80" s="60"/>
    </row>
    <row r="81" spans="17:17" ht="15.75" customHeight="1" x14ac:dyDescent="0.25">
      <c r="Q81" s="60"/>
    </row>
    <row r="82" spans="17:17" ht="15.75" customHeight="1" x14ac:dyDescent="0.25">
      <c r="Q82" s="60"/>
    </row>
    <row r="83" spans="17:17" ht="15.75" customHeight="1" x14ac:dyDescent="0.25">
      <c r="Q83" s="60"/>
    </row>
    <row r="84" spans="17:17" ht="15.75" customHeight="1" x14ac:dyDescent="0.25">
      <c r="Q84" s="60"/>
    </row>
    <row r="85" spans="17:17" ht="15.75" customHeight="1" x14ac:dyDescent="0.25">
      <c r="Q85" s="60"/>
    </row>
    <row r="86" spans="17:17" ht="15.75" customHeight="1" x14ac:dyDescent="0.25">
      <c r="Q86" s="60"/>
    </row>
    <row r="87" spans="17:17" ht="15.75" customHeight="1" x14ac:dyDescent="0.25">
      <c r="Q87" s="60"/>
    </row>
    <row r="88" spans="17:17" ht="15.75" customHeight="1" x14ac:dyDescent="0.25">
      <c r="Q88" s="60"/>
    </row>
    <row r="89" spans="17:17" ht="15.75" customHeight="1" x14ac:dyDescent="0.25">
      <c r="Q89" s="60"/>
    </row>
    <row r="90" spans="17:17" ht="15.75" customHeight="1" x14ac:dyDescent="0.25">
      <c r="Q90" s="60"/>
    </row>
    <row r="91" spans="17:17" ht="15.75" customHeight="1" x14ac:dyDescent="0.25">
      <c r="Q91" s="60"/>
    </row>
    <row r="92" spans="17:17" ht="15.75" customHeight="1" x14ac:dyDescent="0.25">
      <c r="Q92" s="60"/>
    </row>
    <row r="93" spans="17:17" ht="15.75" customHeight="1" x14ac:dyDescent="0.25">
      <c r="Q93" s="60"/>
    </row>
    <row r="94" spans="17:17" ht="15.75" customHeight="1" x14ac:dyDescent="0.25">
      <c r="Q94" s="60"/>
    </row>
    <row r="95" spans="17:17" ht="15.75" customHeight="1" x14ac:dyDescent="0.25">
      <c r="Q95" s="60"/>
    </row>
    <row r="96" spans="17:17" ht="15.75" customHeight="1" x14ac:dyDescent="0.25">
      <c r="Q96" s="60"/>
    </row>
    <row r="97" spans="17:17" ht="15.75" customHeight="1" x14ac:dyDescent="0.25">
      <c r="Q97" s="60"/>
    </row>
  </sheetData>
  <mergeCells count="43">
    <mergeCell ref="O20:P20"/>
    <mergeCell ref="O21:P21"/>
    <mergeCell ref="O22:P22"/>
    <mergeCell ref="O23:P23"/>
    <mergeCell ref="O24:P24"/>
    <mergeCell ref="O31:P31"/>
    <mergeCell ref="O32:P32"/>
    <mergeCell ref="O33:P33"/>
    <mergeCell ref="O34:P34"/>
    <mergeCell ref="O25:P25"/>
    <mergeCell ref="O26:P26"/>
    <mergeCell ref="O27:P27"/>
    <mergeCell ref="O28:P28"/>
    <mergeCell ref="O30:P30"/>
    <mergeCell ref="O29:P29"/>
    <mergeCell ref="A35:P35"/>
    <mergeCell ref="A36:Q36"/>
    <mergeCell ref="A37:F37"/>
    <mergeCell ref="G37:Q37"/>
    <mergeCell ref="A38:Q39"/>
    <mergeCell ref="A1:C1"/>
    <mergeCell ref="D1:E1"/>
    <mergeCell ref="P1:Q2"/>
    <mergeCell ref="G4:Q4"/>
    <mergeCell ref="G5:Q5"/>
    <mergeCell ref="A5:F5"/>
    <mergeCell ref="A6:F6"/>
    <mergeCell ref="A4:F4"/>
    <mergeCell ref="A7:F7"/>
    <mergeCell ref="A9:Q9"/>
    <mergeCell ref="A8:Q8"/>
    <mergeCell ref="G6:Q6"/>
    <mergeCell ref="G7:Q7"/>
    <mergeCell ref="O16:P16"/>
    <mergeCell ref="O17:P17"/>
    <mergeCell ref="O19:P19"/>
    <mergeCell ref="O18:P18"/>
    <mergeCell ref="A10:Q10"/>
    <mergeCell ref="A12:Q12"/>
    <mergeCell ref="A13:N13"/>
    <mergeCell ref="O13:P14"/>
    <mergeCell ref="Q13:Q14"/>
    <mergeCell ref="O15:P1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2022-08-18T14:06:56Z</dcterms:modified>
</cp:coreProperties>
</file>