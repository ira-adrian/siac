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 l="1"/>
  <c r="I11" i="1" s="1"/>
  <c r="G5" i="3" l="1"/>
  <c r="G4" i="3"/>
  <c r="D1" i="3"/>
  <c r="D7" i="2" l="1"/>
  <c r="D3" i="2"/>
  <c r="D4" i="2"/>
  <c r="K12" i="2" l="1"/>
  <c r="J13" i="2" s="1"/>
  <c r="Q15" i="3" s="1"/>
  <c r="Q16" i="3" s="1"/>
  <c r="J12" i="2"/>
  <c r="I12" i="2"/>
  <c r="C12" i="2"/>
  <c r="B12" i="2"/>
</calcChain>
</file>

<file path=xl/sharedStrings.xml><?xml version="1.0" encoding="utf-8"?>
<sst xmlns="http://schemas.openxmlformats.org/spreadsheetml/2006/main" count="87" uniqueCount="79">
  <si>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</si>
  <si>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</si>
  <si>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</si>
  <si>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</si>
  <si>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</si>
  <si>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</si>
  <si>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</si>
  <si>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</si>
  <si>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</si>
  <si>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</si>
  <si>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</si>
  <si>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</si>
  <si>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</si>
  <si>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</si>
  <si>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</si>
  <si>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</si>
  <si>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</si>
  <si>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</si>
  <si>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</si>
  <si>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</si>
  <si>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</si>
  <si>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</si>
  <si>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</si>
  <si>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</si>
  <si>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</si>
  <si>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</si>
  <si>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</si>
  <si>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</si>
  <si>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</si>
  <si>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</si>
  <si>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</si>
  <si>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</si>
  <si>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</si>
  <si>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</si>
  <si>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</si>
  <si>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</si>
  <si>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90- Ministerio de Seguridad</t>
  </si>
  <si>
    <t>División Transporte - Dpto. Logística</t>
  </si>
  <si>
    <t>GARANTÍA mínima de cinco años o 150.000 Km lo que ocurra primero, estableciendo claramente que partes mecánicas y/o electrónicas alcanzan dicha Garantía</t>
  </si>
  <si>
    <t>30 días</t>
  </si>
  <si>
    <t>7 - Dirección Provincial de Administración de la Policía de la Provincia de Catamarca</t>
  </si>
  <si>
    <t>Adquisición de unidades móviles destinadas a la Policía de la Provincia de Catamarca</t>
  </si>
  <si>
    <t>4.3.2.</t>
  </si>
  <si>
    <t>Descripción</t>
  </si>
  <si>
    <t>Que cumpla con lo solicitado.</t>
  </si>
  <si>
    <t>AUTORIZACION PARA GASTAR</t>
  </si>
  <si>
    <t>JURISDICCIÓN: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</si>
  <si>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</si>
  <si>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</si>
  <si>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</si>
  <si>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</si>
  <si>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</si>
  <si>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</si>
  <si>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</si>
  <si>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</si>
  <si>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</si>
  <si>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</si>
  <si>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</si>
  <si>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</si>
  <si>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</si>
  <si>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</si>
  <si>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</si>
  <si>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</si>
  <si>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</si>
  <si>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</si>
  <si>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</si>
  <si>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</si>
  <si>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Para la adquisición de de unidades móviles destinadas a la Policia de la Provincia de Catamarca correspondientes al 4to cuatrimestre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</si>
  <si>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</si>
  <si>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>AUTORIZACIÓN</t>
    </r>
    <r>
      <rPr>
        <b/>
        <sz val="10"/>
        <rFont val="Century Gothic"/>
        <family val="2"/>
      </rPr>
      <t>:</t>
    </r>
  </si>
  <si>
    <t>4.4.0-9112.248</t>
  </si>
  <si>
    <t xml:space="preserve">EQUIPO MILITAR Y DE SEGURIDAD </t>
  </si>
  <si>
    <t>VEHICULOS P/FUERZA SEGURIDAD; TIPO: MOTOCICLETA, MOTOR:NAFTERO, POTENCIA: MAXIMA 13,6 CV, AÑO: SEGUN PLIEGO, CAJA DE VELOCIDAD: 5, CILINDRADA: 197 CM3</t>
  </si>
  <si>
    <r>
      <t>CARACTERÍSTICAS:</t>
    </r>
    <r>
      <rPr>
        <sz val="10"/>
        <rFont val="Century Gothic"/>
        <family val="2"/>
      </rPr>
      <t xml:space="preserve">  Motocicleta tipo todo terreno, Año: 2021. Cilindrada entre 150 y 250 cc . Alimentación: carburador o Inyección Electrónica –TIPO MOTOR: cg 4t con balanceador interno, refrigerado por aire, POTENCIA MINIMA :  cg 4t con balanceador interno, refrigerado por aire , Combustible: Nafta, Frenos: Delanteros a disco  y  traseros cinta Neumáticos: delanteros 90/90-19, traseros: 120/90-18.  Suspensión: Delantera a horquilla independiente, s. trasera Monoshock. Arranque: AA  Trasmisión: 5 vel. de engrane constante.  GARANTIA TÉCNICA MOTO: vigente por TRES AÑOS 0 36.000 kms. ---------------------------------
</t>
    </r>
    <r>
      <rPr>
        <b/>
        <u/>
        <sz val="10"/>
        <rFont val="Century Gothic"/>
        <family val="2"/>
      </rPr>
      <t>DEBERÁ CONTAR  CON</t>
    </r>
    <r>
      <rPr>
        <sz val="10"/>
        <rFont val="Century Gothic"/>
        <family val="2"/>
      </rPr>
      <t xml:space="preserve">: </t>
    </r>
    <r>
      <rPr>
        <b/>
        <sz val="10"/>
        <rFont val="Century Gothic"/>
        <family val="2"/>
      </rPr>
      <t>1)</t>
    </r>
    <r>
      <rPr>
        <sz val="10"/>
        <rFont val="Century Gothic"/>
        <family val="2"/>
      </rPr>
      <t xml:space="preserve">.Equipamiento Policial: Estructura metálica “mata perros”; Balizas para motocicletas, compuesto por luz trasera central sobre cola con iluminación de 360° de LED, diámetro de 12 a 17cm, luces delanteras dos (02), distribuidas una (01) en cada lado del manillar, mínimo 6 posiciones, destello en combinación una con otra incluyendo la trasera, Sirena para uso exterior con potencia de salida de 12V mínimo 25W, combinado sirena y speaker (alta voz) incluirá micrófono alojado en el manillar, de alto impacto y tamaño reducido, deberá poseer mínimo 5 tonos y uno de pedido de paso. Comando de luces y sirenas deberá colocarse en el manillar del lado contrario del acelerador, de luces y sirenas y un pulsador para toques cortos.  Sistema electrónico y cableado de última generación deberá incluir instalación con material, porta fusible de protección, soporte de faros y sirenas. </t>
    </r>
    <r>
      <rPr>
        <b/>
        <sz val="10"/>
        <rFont val="Century Gothic"/>
        <family val="2"/>
      </rPr>
      <t>2)</t>
    </r>
    <r>
      <rPr>
        <sz val="10"/>
        <rFont val="Century Gothic"/>
        <family val="2"/>
      </rPr>
      <t xml:space="preserve"> Garantía de los elementos por el término mínimo de 12 meses   </t>
    </r>
    <r>
      <rPr>
        <b/>
        <sz val="10"/>
        <rFont val="Century Gothic"/>
        <family val="2"/>
      </rPr>
      <t>3).</t>
    </r>
    <r>
      <rPr>
        <sz val="10"/>
        <rFont val="Century Gothic"/>
        <family val="2"/>
      </rPr>
      <t xml:space="preserve"> Casco de protección homologado, color negro, tipo integral, con mentonera rebatible. </t>
    </r>
    <r>
      <rPr>
        <b/>
        <sz val="10"/>
        <rFont val="Century Gothic"/>
        <family val="2"/>
      </rPr>
      <t>4)</t>
    </r>
    <r>
      <rPr>
        <sz val="10"/>
        <rFont val="Century Gothic"/>
        <family val="2"/>
      </rPr>
      <t xml:space="preserve">. Ploteo de acuerdo a modelo de móvil policial. Al momento de ser entregadas deberán estar PATENTADAS a nombre de “POLICIA DE CATAMARCA”, como así también tener cobertura de seguros de responsabilidad civil contra terceros y terceros transportados por el término de sesenta  (60) días contados a partir de la recepción definitiva de los móviles.-------------------------------------------------------------------------------------------------------------
</t>
    </r>
    <r>
      <rPr>
        <b/>
        <u/>
        <sz val="10"/>
        <rFont val="Century Gothic"/>
        <family val="2"/>
      </rPr>
      <t xml:space="preserve">Deberá especificar: </t>
    </r>
    <r>
      <rPr>
        <b/>
        <sz val="10"/>
        <rFont val="Century Gothic"/>
        <family val="2"/>
      </rPr>
      <t>1</t>
    </r>
    <r>
      <rPr>
        <sz val="10"/>
        <rFont val="Century Gothic"/>
        <family val="2"/>
      </rPr>
      <t xml:space="preserve">) SERVICIOS que cubre la concesionaria sin cargo y cuáles no (indicando progresivamente cada service); </t>
    </r>
    <r>
      <rPr>
        <b/>
        <sz val="10"/>
        <rFont val="Century Gothic"/>
        <family val="2"/>
      </rPr>
      <t>2)</t>
    </r>
    <r>
      <rPr>
        <sz val="10"/>
        <rFont val="Century Gothic"/>
        <family val="2"/>
      </rPr>
      <t xml:space="preserve"> CURSO DE CAPACITACIÓN para el personal de mantenimiento; </t>
    </r>
    <r>
      <rPr>
        <b/>
        <sz val="10"/>
        <rFont val="Century Gothic"/>
        <family val="2"/>
      </rPr>
      <t>3</t>
    </r>
    <r>
      <rPr>
        <sz val="10"/>
        <rFont val="Century Gothic"/>
        <family val="2"/>
      </rPr>
      <t xml:space="preserve">)Manual de información y reseteo del vehículo; </t>
    </r>
    <r>
      <rPr>
        <b/>
        <sz val="10"/>
        <rFont val="Century Gothic"/>
        <family val="2"/>
      </rPr>
      <t>4)</t>
    </r>
    <r>
      <rPr>
        <sz val="10"/>
        <rFont val="Century Gothic"/>
        <family val="2"/>
      </rPr>
      <t xml:space="preserve"> PATENTAMIENTO a nombre de “POLICIA DE LA PROVINCIA DE CATAMARCA” – </t>
    </r>
    <r>
      <rPr>
        <b/>
        <sz val="10"/>
        <rFont val="Century Gothic"/>
        <family val="2"/>
      </rPr>
      <t>5)</t>
    </r>
    <r>
      <rPr>
        <sz val="10"/>
        <rFont val="Century Gothic"/>
        <family val="2"/>
      </rPr>
      <t xml:space="preserve">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-----------------------------------------------------------------------------------------------------------------------------------------------------------------------------------</t>
    </r>
  </si>
  <si>
    <t>146/2020</t>
  </si>
  <si>
    <t>Costo total estimado: PESOS DOS MILLONES NOVECIENTOS OCHENTA Y TRES MIL CUATROCIENTOS CON 00/100</t>
  </si>
  <si>
    <t xml:space="preserve">Autorizo la realizacion de los trámites correspondientes, a fin de proveer a este Organismo los bienes y/o servicios que se detallan en Nota de Pedido N° 146/2020, afectando la erogacion resulatante a los créditos presupuestarios aprobados a favor de esta Unidad Ejecutora, conforme al siguiente detalle: </t>
  </si>
  <si>
    <t>TOTAL DE PESOS: DOS MILLONES NOVECIENTOS OCHENTA Y TRES MIL CUATROCIENTOS CON 00/100</t>
  </si>
  <si>
    <t>Secretaria de Compra Y Abastecimiento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</si>
</sst>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4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32">
    <xf numFmtId="0" fontId="0" fillId="0" borderId="0" xfId="0"/>
    <xf numFmtId="0" fontId="5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8" fillId="0" borderId="0" xfId="0" applyFont="1" applyFill="1" applyAlignment="1">
      <alignment horizontal="left" wrapText="1" indent="1"/>
    </xf>
    <xf numFmtId="0" fontId="10" fillId="0" borderId="0" xfId="0" applyFont="1" applyFill="1" applyAlignment="1">
      <alignment horizontal="left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3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18" fillId="0" borderId="10" xfId="0" applyFont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 wrapText="1"/>
    </xf>
    <xf numFmtId="165" fontId="5" fillId="0" borderId="19" xfId="1" applyNumberFormat="1" applyFont="1" applyFill="1" applyBorder="1" applyAlignment="1" applyProtection="1">
      <alignment horizontal="right" vertical="center" wrapText="1"/>
    </xf>
    <xf numFmtId="3" fontId="5" fillId="0" borderId="19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/>
    <xf numFmtId="0" fontId="11" fillId="0" borderId="43" xfId="0" applyFont="1" applyBorder="1" applyAlignment="1">
      <alignment vertical="center"/>
    </xf>
    <xf numFmtId="0" fontId="5" fillId="0" borderId="44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12" fillId="0" borderId="44" xfId="0" applyFont="1" applyBorder="1" applyAlignment="1">
      <alignment vertical="center" wrapText="1"/>
    </xf>
    <xf numFmtId="0" fontId="5" fillId="0" borderId="44" xfId="0" applyNumberFormat="1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165" fontId="11" fillId="0" borderId="44" xfId="1" applyNumberFormat="1" applyFont="1" applyFill="1" applyBorder="1" applyAlignment="1" applyProtection="1">
      <alignment vertical="center" wrapText="1"/>
    </xf>
    <xf numFmtId="165" fontId="11" fillId="0" borderId="46" xfId="1" applyNumberFormat="1" applyFont="1" applyFill="1" applyBorder="1" applyAlignment="1" applyProtection="1">
      <alignment vertical="center" wrapText="1"/>
    </xf>
    <xf numFmtId="0" fontId="5" fillId="0" borderId="0" xfId="0" applyFont="1" applyAlignment="1">
      <alignment vertical="center"/>
    </xf>
    <xf numFmtId="165" fontId="15" fillId="0" borderId="14" xfId="0" applyNumberFormat="1" applyFont="1" applyBorder="1"/>
    <xf numFmtId="0" fontId="21" fillId="0" borderId="0" xfId="0" applyFont="1"/>
    <xf numFmtId="3" fontId="19" fillId="3" borderId="0" xfId="0" applyNumberFormat="1" applyFont="1" applyFill="1" applyBorder="1" applyAlignment="1"/>
    <xf numFmtId="167" fontId="5" fillId="3" borderId="0" xfId="0" applyNumberFormat="1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20" fillId="3" borderId="29" xfId="0" applyNumberFormat="1" applyFont="1" applyFill="1" applyBorder="1" applyAlignment="1">
      <alignment vertical="center" wrapText="1"/>
    </xf>
    <xf numFmtId="0" fontId="20" fillId="3" borderId="0" xfId="0" applyFont="1" applyFill="1"/>
    <xf numFmtId="0" fontId="5" fillId="3" borderId="31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32" xfId="0" applyFont="1" applyFill="1" applyBorder="1"/>
    <xf numFmtId="0" fontId="15" fillId="3" borderId="35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left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165" fontId="5" fillId="3" borderId="14" xfId="4" applyNumberFormat="1" applyFont="1" applyFill="1" applyBorder="1" applyAlignment="1" applyProtection="1">
      <alignment horizontal="center" vertical="center"/>
    </xf>
    <xf numFmtId="165" fontId="15" fillId="3" borderId="32" xfId="0" applyNumberFormat="1" applyFont="1" applyFill="1" applyBorder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justify" vertical="top" wrapText="1"/>
    </xf>
    <xf numFmtId="0" fontId="5" fillId="0" borderId="6" xfId="0" applyFont="1" applyFill="1" applyBorder="1" applyAlignment="1">
      <alignment horizontal="justify" vertical="top" wrapText="1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left" wrapText="1" indent="1"/>
    </xf>
    <xf numFmtId="0" fontId="17" fillId="0" borderId="14" xfId="0" applyFont="1" applyBorder="1" applyAlignment="1">
      <alignment horizontal="left" vertical="center" wrapText="1" indent="1"/>
    </xf>
    <xf numFmtId="166" fontId="17" fillId="0" borderId="14" xfId="0" applyNumberFormat="1" applyFont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 wrapText="1" indent="1"/>
    </xf>
    <xf numFmtId="0" fontId="19" fillId="0" borderId="1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left" indent="1"/>
    </xf>
    <xf numFmtId="0" fontId="5" fillId="3" borderId="20" xfId="0" applyFont="1" applyFill="1" applyBorder="1" applyAlignment="1">
      <alignment horizontal="center"/>
    </xf>
    <xf numFmtId="3" fontId="19" fillId="3" borderId="26" xfId="0" applyNumberFormat="1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20" fillId="3" borderId="20" xfId="0" applyNumberFormat="1" applyFont="1" applyFill="1" applyBorder="1" applyAlignment="1">
      <alignment horizontal="left" vertical="center" wrapText="1"/>
    </xf>
    <xf numFmtId="0" fontId="20" fillId="3" borderId="45" xfId="0" applyNumberFormat="1" applyFont="1" applyFill="1" applyBorder="1" applyAlignment="1">
      <alignment horizontal="left" vertical="center" wrapText="1"/>
    </xf>
    <xf numFmtId="0" fontId="20" fillId="3" borderId="8" xfId="0" applyNumberFormat="1" applyFont="1" applyFill="1" applyBorder="1" applyAlignment="1">
      <alignment horizontal="left" vertical="center" wrapText="1"/>
    </xf>
    <xf numFmtId="0" fontId="20" fillId="3" borderId="9" xfId="0" applyNumberFormat="1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left"/>
    </xf>
    <xf numFmtId="0" fontId="20" fillId="3" borderId="20" xfId="0" applyFont="1" applyFill="1" applyBorder="1"/>
    <xf numFmtId="0" fontId="20" fillId="3" borderId="39" xfId="0" applyFont="1" applyFill="1" applyBorder="1"/>
    <xf numFmtId="0" fontId="20" fillId="3" borderId="17" xfId="0" applyFont="1" applyFill="1" applyBorder="1"/>
    <xf numFmtId="0" fontId="15" fillId="3" borderId="33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left" vertical="center" wrapText="1"/>
    </xf>
    <xf numFmtId="0" fontId="5" fillId="3" borderId="42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horizontal="left" vertical="center" wrapText="1"/>
    </xf>
    <xf numFmtId="0" fontId="5" fillId="3" borderId="30" xfId="0" applyFont="1" applyFill="1" applyBorder="1"/>
    <xf numFmtId="0" fontId="5" fillId="3" borderId="33" xfId="0" applyFont="1" applyFill="1" applyBorder="1"/>
    <xf numFmtId="0" fontId="19" fillId="3" borderId="20" xfId="0" applyFont="1" applyFill="1" applyBorder="1" applyAlignment="1">
      <alignment vertical="center" wrapText="1"/>
    </xf>
    <xf numFmtId="0" fontId="19" fillId="3" borderId="39" xfId="0" applyFont="1" applyFill="1" applyBorder="1" applyAlignment="1">
      <alignment vertical="center" wrapText="1"/>
    </xf>
    <xf numFmtId="0" fontId="19" fillId="3" borderId="17" xfId="0" applyFont="1" applyFill="1" applyBorder="1" applyAlignment="1">
      <alignment vertical="center" wrapText="1"/>
    </xf>
    <xf numFmtId="0" fontId="20" fillId="3" borderId="34" xfId="0" applyFont="1" applyFill="1" applyBorder="1" applyAlignment="1">
      <alignment vertical="center" wrapText="1"/>
    </xf>
    <xf numFmtId="0" fontId="20" fillId="3" borderId="38" xfId="0" applyFont="1" applyFill="1" applyBorder="1" applyAlignment="1">
      <alignment horizontal="left" vertical="center" wrapText="1" indent="1"/>
    </xf>
  </cellXfs>
  <cellStyles count="5">
    <cellStyle name="Encabezado 1" xfId="2"/>
    <cellStyle name="Moneda" xfId="1" builtinId="4"/>
    <cellStyle name="Moneda_AUTORIZACION Y NOTA DE PEDIDO" xf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/Documentos/A&#209;O%202020/NOTAS%20DE%20PEDIDO%20NUEVO%20SISTEMA/FORMULARIO%20BASE%20NOTA%20DE%20PEDIDO%20Y%20AUTORIZACION%20PARA%20GA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2020</v>
          </cell>
        </row>
      </sheetData>
      <sheetData sheetId="1">
        <row r="3">
          <cell r="D3" t="str">
            <v>90 - Ministerio de Seguridad</v>
          </cell>
        </row>
        <row r="4">
          <cell r="D4" t="str">
            <v>7- Dirección Provincial de Administración de la Policía de la Provincia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opLeftCell="A7" zoomScale="90" zoomScaleNormal="90" workbookViewId="0">
      <selection activeCell="F16" sqref="F16"/>
    </sheetView>
  </sheetViews>
  <sheetFormatPr baseColWidth="10" defaultColWidth="11" defaultRowHeight="13.5" x14ac:dyDescent="0.25"/>
  <cols>
    <col min="1" max="1" width="4.5703125" style="1" customWidth="1"/>
    <col min="2" max="2" width="13.57031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0" t="s">
        <v>1</v>
      </c>
      <c r="B4" s="80"/>
      <c r="C4" s="87" t="s">
        <v>36</v>
      </c>
      <c r="D4" s="87"/>
      <c r="E4" s="87"/>
      <c r="F4" s="2"/>
      <c r="G4" s="3"/>
      <c r="H4" s="2"/>
    </row>
    <row r="5" spans="1:9" ht="18" customHeight="1" x14ac:dyDescent="0.25">
      <c r="A5" s="80" t="s">
        <v>2</v>
      </c>
      <c r="B5" s="80"/>
      <c r="C5" s="87" t="s">
        <v>40</v>
      </c>
      <c r="D5" s="87"/>
      <c r="E5" s="87"/>
      <c r="F5" s="2"/>
      <c r="G5" s="3"/>
      <c r="H5" s="2"/>
    </row>
    <row r="6" spans="1:9" ht="16.5" customHeight="1" x14ac:dyDescent="0.25">
      <c r="A6" s="80" t="s">
        <v>3</v>
      </c>
      <c r="B6" s="80"/>
      <c r="C6" s="4">
        <v>2020</v>
      </c>
      <c r="D6" s="5"/>
      <c r="E6" s="5"/>
      <c r="F6" s="2"/>
      <c r="G6" s="3"/>
      <c r="H6" s="2"/>
    </row>
    <row r="7" spans="1:9" ht="16.5" customHeight="1" x14ac:dyDescent="0.25">
      <c r="A7" s="80" t="s">
        <v>4</v>
      </c>
      <c r="B7" s="80"/>
      <c r="C7" s="4">
        <v>4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" thickBot="1" x14ac:dyDescent="0.3">
      <c r="A9" s="6" t="s">
        <v>5</v>
      </c>
      <c r="B9" s="7" t="s">
        <v>6</v>
      </c>
      <c r="C9" s="8" t="s">
        <v>7</v>
      </c>
      <c r="D9" s="9" t="s">
        <v>8</v>
      </c>
      <c r="E9" s="10" t="s">
        <v>9</v>
      </c>
      <c r="F9" s="11" t="s">
        <v>10</v>
      </c>
      <c r="G9" s="8" t="s">
        <v>11</v>
      </c>
      <c r="H9" s="8" t="s">
        <v>12</v>
      </c>
      <c r="I9" s="12" t="s">
        <v>13</v>
      </c>
    </row>
    <row r="10" spans="1:9" s="48" customFormat="1" ht="62.25" customHeight="1" thickBot="1" x14ac:dyDescent="0.25">
      <c r="A10" s="40">
        <v>1</v>
      </c>
      <c r="B10" s="41" t="s">
        <v>70</v>
      </c>
      <c r="C10" s="42" t="s">
        <v>71</v>
      </c>
      <c r="D10" s="43" t="s">
        <v>42</v>
      </c>
      <c r="E10" s="44" t="s">
        <v>72</v>
      </c>
      <c r="F10" s="45" t="s">
        <v>14</v>
      </c>
      <c r="G10" s="45">
        <v>14</v>
      </c>
      <c r="H10" s="46">
        <v>213100</v>
      </c>
      <c r="I10" s="47">
        <f>H10*G10</f>
        <v>2983400</v>
      </c>
    </row>
    <row r="11" spans="1:9" ht="14.25" thickBot="1" x14ac:dyDescent="0.3">
      <c r="I11" s="49">
        <f>I10</f>
        <v>2983400</v>
      </c>
    </row>
    <row r="12" spans="1:9" ht="14.25" thickBot="1" x14ac:dyDescent="0.3"/>
    <row r="13" spans="1:9" x14ac:dyDescent="0.25">
      <c r="B13" s="13" t="s">
        <v>15</v>
      </c>
      <c r="C13" s="14"/>
      <c r="D13" s="14"/>
      <c r="E13" s="15"/>
    </row>
    <row r="14" spans="1:9" ht="5.25" customHeight="1" x14ac:dyDescent="0.25">
      <c r="B14" s="16"/>
      <c r="C14" s="17"/>
      <c r="D14" s="17"/>
      <c r="E14" s="18"/>
    </row>
    <row r="15" spans="1:9" x14ac:dyDescent="0.25">
      <c r="B15" s="19" t="s">
        <v>43</v>
      </c>
      <c r="C15" s="17"/>
      <c r="D15" s="17"/>
      <c r="E15" s="18"/>
    </row>
    <row r="16" spans="1:9" ht="335.25" customHeight="1" x14ac:dyDescent="0.25">
      <c r="B16" s="19"/>
      <c r="C16" s="81" t="s">
        <v>73</v>
      </c>
      <c r="D16" s="81"/>
      <c r="E16" s="82"/>
    </row>
    <row r="17" spans="1:6" ht="24" customHeight="1" x14ac:dyDescent="0.25">
      <c r="B17" s="19" t="s">
        <v>16</v>
      </c>
      <c r="C17" s="17"/>
      <c r="D17" s="17"/>
      <c r="E17" s="18"/>
    </row>
    <row r="18" spans="1:6" ht="111.75" customHeight="1" x14ac:dyDescent="0.25">
      <c r="B18" s="20"/>
      <c r="C18" s="83" t="s">
        <v>68</v>
      </c>
      <c r="D18" s="83"/>
      <c r="E18" s="84"/>
    </row>
    <row r="19" spans="1:6" x14ac:dyDescent="0.25">
      <c r="B19" s="20"/>
      <c r="C19" s="85"/>
      <c r="D19" s="85"/>
      <c r="E19" s="85"/>
    </row>
    <row r="20" spans="1:6" x14ac:dyDescent="0.25">
      <c r="B20" s="19" t="s">
        <v>17</v>
      </c>
      <c r="C20" s="17"/>
      <c r="D20" s="17"/>
      <c r="E20" s="18"/>
    </row>
    <row r="21" spans="1:6" ht="26.25" customHeight="1" x14ac:dyDescent="0.25">
      <c r="B21" s="20"/>
      <c r="C21" s="74" t="s">
        <v>44</v>
      </c>
      <c r="D21" s="74"/>
      <c r="E21" s="75"/>
    </row>
    <row r="22" spans="1:6" x14ac:dyDescent="0.25">
      <c r="B22" s="19" t="s">
        <v>18</v>
      </c>
      <c r="C22" s="21"/>
      <c r="D22" s="21"/>
      <c r="E22" s="22"/>
    </row>
    <row r="23" spans="1:6" ht="26.25" customHeight="1" x14ac:dyDescent="0.25">
      <c r="B23" s="20"/>
      <c r="C23" s="76" t="s">
        <v>39</v>
      </c>
      <c r="D23" s="76"/>
      <c r="E23" s="77"/>
    </row>
    <row r="24" spans="1:6" x14ac:dyDescent="0.25">
      <c r="B24" s="19" t="s">
        <v>19</v>
      </c>
      <c r="C24" s="17"/>
      <c r="D24" s="17"/>
      <c r="E24" s="18"/>
    </row>
    <row r="25" spans="1:6" ht="40.5" customHeight="1" x14ac:dyDescent="0.25">
      <c r="B25" s="19"/>
      <c r="C25" s="78" t="s">
        <v>38</v>
      </c>
      <c r="D25" s="78"/>
      <c r="E25" s="79"/>
    </row>
    <row r="26" spans="1:6" ht="14.25" thickBot="1" x14ac:dyDescent="0.3">
      <c r="B26" s="23"/>
      <c r="C26" s="24"/>
      <c r="D26" s="24"/>
      <c r="E26" s="25"/>
    </row>
    <row r="28" spans="1:6" x14ac:dyDescent="0.25">
      <c r="A28" s="50"/>
      <c r="B28" s="50"/>
      <c r="C28" s="50"/>
      <c r="D28" s="50"/>
      <c r="E28" s="50"/>
      <c r="F28" s="50"/>
    </row>
    <row r="29" spans="1:6" x14ac:dyDescent="0.25">
      <c r="A29" s="50"/>
      <c r="B29" s="50"/>
      <c r="C29" s="50"/>
      <c r="D29" s="50"/>
      <c r="E29" s="50"/>
      <c r="F29" s="50"/>
    </row>
    <row r="30" spans="1:6" x14ac:dyDescent="0.25">
      <c r="A30" s="50"/>
      <c r="B30" s="50"/>
      <c r="C30" s="50"/>
      <c r="D30" s="50"/>
      <c r="E30" s="50"/>
      <c r="F30" s="50"/>
    </row>
    <row r="31" spans="1:6" x14ac:dyDescent="0.25">
      <c r="A31" s="50"/>
      <c r="B31" s="50"/>
      <c r="C31" s="50"/>
      <c r="D31" s="50"/>
      <c r="E31" s="50"/>
      <c r="F31" s="50"/>
    </row>
    <row r="32" spans="1:6" x14ac:dyDescent="0.25">
      <c r="A32" s="50"/>
      <c r="B32" s="50"/>
      <c r="C32" s="50"/>
      <c r="D32" s="50"/>
      <c r="E32" s="50"/>
      <c r="F32" s="50"/>
    </row>
    <row r="33" spans="1:6" x14ac:dyDescent="0.25">
      <c r="A33" s="50"/>
      <c r="B33" s="50"/>
      <c r="D33" s="50"/>
      <c r="E33" s="50"/>
      <c r="F33" s="50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85" zoomScaleNormal="85" workbookViewId="0">
      <selection activeCell="M7" sqref="M7"/>
    </sheetView>
  </sheetViews>
  <sheetFormatPr baseColWidth="10" defaultColWidth="9.140625" defaultRowHeight="13.5" x14ac:dyDescent="0.25"/>
  <cols>
    <col min="1" max="1" width="5.5703125" style="28" customWidth="1"/>
    <col min="2" max="2" width="15.140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42" style="28" customWidth="1"/>
    <col min="8" max="8" width="9.28515625" style="28" customWidth="1"/>
    <col min="9" max="9" width="15.5703125" style="28" customWidth="1"/>
    <col min="10" max="10" width="14.7109375" style="28" customWidth="1"/>
    <col min="11" max="11" width="15.570312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96" t="s">
        <v>20</v>
      </c>
      <c r="B1" s="96"/>
      <c r="C1" s="96"/>
      <c r="D1" s="96"/>
      <c r="E1" s="96"/>
      <c r="F1" s="96"/>
      <c r="G1" s="96"/>
      <c r="H1" s="96"/>
      <c r="I1" s="96"/>
      <c r="J1" s="26" t="s">
        <v>21</v>
      </c>
      <c r="K1" s="27" t="s">
        <v>74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97" t="s">
        <v>33</v>
      </c>
      <c r="B3" s="97"/>
      <c r="C3" s="97"/>
      <c r="D3" s="98" t="str">
        <f>'Necesidades Trimestrales'!C4</f>
        <v>90- Ministerio de Seguridad</v>
      </c>
      <c r="E3" s="98"/>
      <c r="F3" s="98"/>
      <c r="G3" s="98"/>
      <c r="H3" s="98"/>
      <c r="I3" s="98"/>
      <c r="J3" s="98"/>
      <c r="K3" s="98"/>
    </row>
    <row r="4" spans="1:1024" ht="18.75" customHeight="1" thickBot="1" x14ac:dyDescent="0.3">
      <c r="A4" s="99" t="s">
        <v>34</v>
      </c>
      <c r="B4" s="99"/>
      <c r="C4" s="99"/>
      <c r="D4" s="98" t="str">
        <f>'Necesidades Trimestrales'!C5</f>
        <v>7 - Dirección Provincial de Administración de la Policía de la Provincia de Catamarca</v>
      </c>
      <c r="E4" s="98"/>
      <c r="F4" s="98"/>
      <c r="G4" s="98"/>
      <c r="H4" s="98"/>
      <c r="I4" s="98"/>
      <c r="J4" s="98"/>
      <c r="K4" s="98"/>
    </row>
    <row r="5" spans="1:1024" ht="18.75" customHeight="1" thickBot="1" x14ac:dyDescent="0.3">
      <c r="A5" s="99" t="s">
        <v>32</v>
      </c>
      <c r="B5" s="99"/>
      <c r="C5" s="99"/>
      <c r="D5" s="98" t="s">
        <v>78</v>
      </c>
      <c r="E5" s="98"/>
      <c r="F5" s="98"/>
      <c r="G5" s="98"/>
      <c r="H5" s="98"/>
      <c r="I5" s="98"/>
      <c r="J5" s="98"/>
      <c r="K5" s="98"/>
    </row>
    <row r="6" spans="1:1024" ht="16.5" customHeight="1" thickBot="1" x14ac:dyDescent="0.3">
      <c r="A6" s="97" t="s">
        <v>35</v>
      </c>
      <c r="B6" s="97"/>
      <c r="C6" s="97"/>
      <c r="D6" s="98" t="s">
        <v>37</v>
      </c>
      <c r="E6" s="98"/>
      <c r="F6" s="98"/>
      <c r="G6" s="98"/>
      <c r="H6" s="98"/>
      <c r="I6" s="98"/>
      <c r="J6" s="98"/>
      <c r="K6" s="98"/>
    </row>
    <row r="7" spans="1:1024" ht="16.5" customHeight="1" x14ac:dyDescent="0.25">
      <c r="A7" s="99" t="s">
        <v>22</v>
      </c>
      <c r="B7" s="99"/>
      <c r="C7" s="99"/>
      <c r="D7" s="98" t="str">
        <f>'Necesidades Trimestrales'!C7 &amp; "° Trimestre - Año " &amp; 'Necesidades Trimestrales'!C6</f>
        <v>4° Trimestre - Año 2020</v>
      </c>
      <c r="E7" s="98"/>
      <c r="F7" s="98"/>
      <c r="G7" s="98"/>
      <c r="H7" s="98"/>
      <c r="I7" s="98"/>
      <c r="J7" s="98"/>
      <c r="K7" s="98"/>
    </row>
    <row r="8" spans="1:1024" ht="16.5" customHeight="1" x14ac:dyDescent="0.25">
      <c r="A8" s="91" t="s">
        <v>23</v>
      </c>
      <c r="B8" s="91"/>
      <c r="C8" s="91"/>
      <c r="D8" s="92" t="s">
        <v>41</v>
      </c>
      <c r="E8" s="92"/>
      <c r="F8" s="92"/>
      <c r="G8" s="92"/>
      <c r="H8" s="92"/>
      <c r="I8" s="92"/>
      <c r="J8" s="92"/>
      <c r="K8" s="92"/>
    </row>
    <row r="9" spans="1:1024" ht="17.25" x14ac:dyDescent="0.25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8.75" customHeight="1" x14ac:dyDescent="0.25">
      <c r="A10" s="93" t="s">
        <v>24</v>
      </c>
      <c r="B10" s="94" t="s">
        <v>25</v>
      </c>
      <c r="C10" s="94" t="s">
        <v>26</v>
      </c>
      <c r="D10" s="94"/>
      <c r="E10" s="94"/>
      <c r="F10" s="94"/>
      <c r="G10" s="94"/>
      <c r="H10" s="94" t="s">
        <v>27</v>
      </c>
      <c r="I10" s="94" t="s">
        <v>28</v>
      </c>
      <c r="J10" s="94" t="s">
        <v>29</v>
      </c>
      <c r="K10" s="95" t="s">
        <v>30</v>
      </c>
    </row>
    <row r="11" spans="1:1024" ht="24" customHeigh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024" s="39" customFormat="1" ht="93.75" customHeight="1" thickBot="1" x14ac:dyDescent="0.3">
      <c r="A12" s="33">
        <v>1</v>
      </c>
      <c r="B12" s="34" t="str">
        <f>'Necesidades Trimestrales'!B10</f>
        <v>4.4.0-9112.248</v>
      </c>
      <c r="C12" s="90" t="str">
        <f>'Necesidades Trimestrales'!E10</f>
        <v>VEHICULOS P/FUERZA SEGURIDAD; TIPO: MOTOCICLETA, MOTOR:NAFTERO, POTENCIA: MAXIMA 13,6 CV, AÑO: SEGUN PLIEGO, CAJA DE VELOCIDAD: 5, CILINDRADA: 197 CM3</v>
      </c>
      <c r="D12" s="90"/>
      <c r="E12" s="90"/>
      <c r="F12" s="90"/>
      <c r="G12" s="90"/>
      <c r="H12" s="33" t="s">
        <v>31</v>
      </c>
      <c r="I12" s="35" t="str">
        <f>'Necesidades Trimestrales'!F10</f>
        <v>UNIDAD</v>
      </c>
      <c r="J12" s="36">
        <f>'Necesidades Trimestrales'!H10</f>
        <v>213100</v>
      </c>
      <c r="K12" s="37">
        <f>'Necesidades Trimestrales'!G10</f>
        <v>14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</row>
    <row r="13" spans="1:1024" ht="20.25" customHeight="1" thickBot="1" x14ac:dyDescent="0.3">
      <c r="A13" s="88" t="s">
        <v>75</v>
      </c>
      <c r="B13" s="88"/>
      <c r="C13" s="88"/>
      <c r="D13" s="88"/>
      <c r="E13" s="88"/>
      <c r="F13" s="88"/>
      <c r="G13" s="88"/>
      <c r="H13" s="88"/>
      <c r="I13" s="88"/>
      <c r="J13" s="89">
        <f>SUMPRODUCT(J12:J12,K12:K12)</f>
        <v>2983400</v>
      </c>
      <c r="K13" s="89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activeCell="S11" sqref="S11"/>
    </sheetView>
  </sheetViews>
  <sheetFormatPr baseColWidth="10" defaultColWidth="11" defaultRowHeight="13.5" x14ac:dyDescent="0.25"/>
  <cols>
    <col min="1" max="6" width="4.42578125" style="53" customWidth="1"/>
    <col min="7" max="7" width="4.42578125" style="54" customWidth="1"/>
    <col min="8" max="14" width="4.42578125" style="53" customWidth="1"/>
    <col min="15" max="15" width="14.85546875" style="53" customWidth="1"/>
    <col min="16" max="16" width="21.5703125" style="53" customWidth="1"/>
    <col min="17" max="17" width="24.7109375" style="53" customWidth="1"/>
    <col min="18" max="16384" width="11" style="53"/>
  </cols>
  <sheetData>
    <row r="1" spans="1:18" ht="15.75" customHeight="1" thickBot="1" x14ac:dyDescent="0.3">
      <c r="A1" s="104" t="s">
        <v>3</v>
      </c>
      <c r="B1" s="104"/>
      <c r="C1" s="104"/>
      <c r="D1" s="105">
        <f>'[1]Necesidades Trimestrales'!C6</f>
        <v>2020</v>
      </c>
      <c r="E1" s="105"/>
      <c r="F1" s="51"/>
      <c r="G1" s="51"/>
      <c r="H1" s="52"/>
      <c r="I1" s="52"/>
      <c r="J1" s="52"/>
      <c r="K1" s="52"/>
      <c r="L1" s="52"/>
      <c r="M1" s="52"/>
      <c r="N1" s="52"/>
      <c r="P1" s="106" t="s">
        <v>45</v>
      </c>
      <c r="Q1" s="106"/>
    </row>
    <row r="2" spans="1:18" ht="15.75" customHeight="1" thickBot="1" x14ac:dyDescent="0.3">
      <c r="H2" s="52"/>
      <c r="I2" s="52"/>
      <c r="J2" s="52"/>
      <c r="K2" s="52"/>
      <c r="L2" s="52"/>
      <c r="M2" s="52"/>
      <c r="N2" s="52"/>
      <c r="P2" s="106"/>
      <c r="Q2" s="106"/>
    </row>
    <row r="3" spans="1:18" ht="14.25" thickBot="1" x14ac:dyDescent="0.3"/>
    <row r="4" spans="1:18" ht="18" customHeight="1" thickBot="1" x14ac:dyDescent="0.35">
      <c r="A4" s="107" t="s">
        <v>46</v>
      </c>
      <c r="B4" s="107"/>
      <c r="C4" s="107"/>
      <c r="D4" s="107"/>
      <c r="E4" s="107"/>
      <c r="F4" s="107"/>
      <c r="G4" s="103" t="str">
        <f>'[1] NotaPedido'!D3</f>
        <v>90 - Ministerio de Seguridad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8" ht="18" customHeight="1" thickBot="1" x14ac:dyDescent="0.35">
      <c r="A5" s="100" t="s">
        <v>34</v>
      </c>
      <c r="B5" s="101"/>
      <c r="C5" s="101"/>
      <c r="D5" s="101"/>
      <c r="E5" s="101"/>
      <c r="F5" s="102"/>
      <c r="G5" s="103" t="str">
        <f>'[1] NotaPedido'!D4</f>
        <v>7- Dirección Provincial de Administración de la Policía de la Provincia de Catamarca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8" ht="18" customHeight="1" thickBot="1" x14ac:dyDescent="0.35">
      <c r="A6" s="100" t="s">
        <v>32</v>
      </c>
      <c r="B6" s="101"/>
      <c r="C6" s="101"/>
      <c r="D6" s="101"/>
      <c r="E6" s="101"/>
      <c r="F6" s="102"/>
      <c r="G6" s="103" t="s">
        <v>78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8" ht="18" customHeight="1" thickBot="1" x14ac:dyDescent="0.35">
      <c r="A7" s="100" t="s">
        <v>35</v>
      </c>
      <c r="B7" s="101"/>
      <c r="C7" s="101"/>
      <c r="D7" s="101"/>
      <c r="E7" s="101"/>
      <c r="F7" s="102"/>
      <c r="G7" s="103" t="s">
        <v>37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8" ht="18" customHeight="1" thickBot="1" x14ac:dyDescent="0.3">
      <c r="A8" s="112" t="s">
        <v>69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8" ht="21" customHeight="1" thickBot="1" x14ac:dyDescent="0.35">
      <c r="A9" s="113" t="s">
        <v>47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5"/>
      <c r="O9" s="71"/>
      <c r="P9" s="72"/>
      <c r="Q9" s="73"/>
    </row>
    <row r="10" spans="1:18" ht="66.75" customHeight="1" thickBot="1" x14ac:dyDescent="0.35">
      <c r="A10" s="55"/>
      <c r="B10" s="108" t="s">
        <v>76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10"/>
      <c r="P10" s="110"/>
      <c r="Q10" s="111"/>
      <c r="R10" s="56"/>
    </row>
    <row r="11" spans="1:18" ht="9" customHeight="1" thickBot="1" x14ac:dyDescent="0.3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0"/>
    </row>
    <row r="12" spans="1:18" ht="15.75" customHeight="1" thickBot="1" x14ac:dyDescent="0.3">
      <c r="A12" s="116" t="s">
        <v>48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8" ht="15.75" customHeight="1" thickBot="1" x14ac:dyDescent="0.3">
      <c r="A13" s="117" t="s">
        <v>49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50</v>
      </c>
      <c r="P13" s="118"/>
      <c r="Q13" s="119" t="s">
        <v>51</v>
      </c>
    </row>
    <row r="14" spans="1:18" ht="15.75" customHeight="1" thickBot="1" x14ac:dyDescent="0.3">
      <c r="A14" s="61" t="s">
        <v>52</v>
      </c>
      <c r="B14" s="62" t="s">
        <v>53</v>
      </c>
      <c r="C14" s="62" t="s">
        <v>54</v>
      </c>
      <c r="D14" s="62" t="s">
        <v>55</v>
      </c>
      <c r="E14" s="62" t="s">
        <v>56</v>
      </c>
      <c r="F14" s="62" t="s">
        <v>57</v>
      </c>
      <c r="G14" s="63" t="s">
        <v>58</v>
      </c>
      <c r="H14" s="62" t="s">
        <v>59</v>
      </c>
      <c r="I14" s="62" t="s">
        <v>60</v>
      </c>
      <c r="J14" s="62" t="s">
        <v>61</v>
      </c>
      <c r="K14" s="62" t="s">
        <v>61</v>
      </c>
      <c r="L14" s="62" t="s">
        <v>62</v>
      </c>
      <c r="M14" s="64" t="s">
        <v>63</v>
      </c>
      <c r="N14" s="65" t="s">
        <v>64</v>
      </c>
      <c r="O14" s="118"/>
      <c r="P14" s="118"/>
      <c r="Q14" s="119"/>
    </row>
    <row r="15" spans="1:18" ht="24.75" customHeight="1" thickBot="1" x14ac:dyDescent="0.3">
      <c r="A15" s="66">
        <v>16</v>
      </c>
      <c r="B15" s="67">
        <v>0</v>
      </c>
      <c r="C15" s="67">
        <v>0</v>
      </c>
      <c r="D15" s="67">
        <v>1</v>
      </c>
      <c r="E15" s="67"/>
      <c r="F15" s="67">
        <v>10</v>
      </c>
      <c r="G15" s="67">
        <v>2</v>
      </c>
      <c r="H15" s="67">
        <v>1</v>
      </c>
      <c r="I15" s="67">
        <v>4</v>
      </c>
      <c r="J15" s="67">
        <v>4</v>
      </c>
      <c r="K15" s="67">
        <v>0</v>
      </c>
      <c r="L15" s="67">
        <v>0</v>
      </c>
      <c r="M15" s="68">
        <v>1</v>
      </c>
      <c r="N15" s="67" t="s">
        <v>66</v>
      </c>
      <c r="O15" s="120" t="s">
        <v>71</v>
      </c>
      <c r="P15" s="121"/>
      <c r="Q15" s="69">
        <f>' NotaPedido'!J13</f>
        <v>2983400</v>
      </c>
    </row>
    <row r="16" spans="1:18" ht="38.25" customHeight="1" thickBot="1" x14ac:dyDescent="0.3">
      <c r="A16" s="122" t="s">
        <v>77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  <c r="Q16" s="70">
        <f>SUM(Q15:Q15)</f>
        <v>2983400</v>
      </c>
    </row>
    <row r="17" spans="1:17" ht="18" customHeight="1" thickBot="1" x14ac:dyDescent="0.3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6"/>
    </row>
    <row r="18" spans="1:17" ht="17.25" customHeight="1" thickBot="1" x14ac:dyDescent="0.3">
      <c r="A18" s="127" t="s">
        <v>65</v>
      </c>
      <c r="B18" s="128"/>
      <c r="C18" s="128"/>
      <c r="D18" s="128"/>
      <c r="E18" s="128"/>
      <c r="F18" s="129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r="19" spans="1:17" ht="18" customHeight="1" thickBot="1" x14ac:dyDescent="0.3">
      <c r="A19" s="131" t="s">
        <v>67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</row>
    <row r="20" spans="1:17" ht="21" customHeight="1" thickBot="1" x14ac:dyDescent="0.3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</row>
  </sheetData>
  <mergeCells count="24">
    <mergeCell ref="A16:P16"/>
    <mergeCell ref="A17:Q17"/>
    <mergeCell ref="A18:F18"/>
    <mergeCell ref="G18:Q18"/>
    <mergeCell ref="A19:Q20"/>
    <mergeCell ref="A12:Q12"/>
    <mergeCell ref="A13:N13"/>
    <mergeCell ref="O13:P14"/>
    <mergeCell ref="Q13:Q14"/>
    <mergeCell ref="O15:P15"/>
    <mergeCell ref="B10:Q10"/>
    <mergeCell ref="A6:F6"/>
    <mergeCell ref="G6:Q6"/>
    <mergeCell ref="A7:F7"/>
    <mergeCell ref="G7:Q7"/>
    <mergeCell ref="A8:Q8"/>
    <mergeCell ref="A9:N9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 Gastar</vt:lpstr>
      <vt:lpstr>' NotaPedido'!Área_de_impresión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</cp:lastModifiedBy>
  <cp:revision>2</cp:revision>
  <cp:lastPrinted>2020-07-17T22:18:48Z</cp:lastPrinted>
  <dcterms:created xsi:type="dcterms:W3CDTF">2020-07-17T23:44:49Z</dcterms:created>
  <dcterms:modified xsi:type="dcterms:W3CDTF">2020-12-23T12:50:34Z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