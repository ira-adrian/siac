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9609AF29-8835-4C1D-9FA5-79E509A7B74D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Trimestrales'!$A$9:$I$51</definedName>
    <definedName name="_xlnm.Print_Area" localSheetId="2">'Autor Gastar'!$A$1:$Q$26</definedName>
    <definedName name="_xlnm.Print_Area" localSheetId="1">NotaPedido!$A$1:$K$54</definedName>
  </definedNames>
  <calcPr calcId="181029"/>
</workbook>
</file>

<file path=xl/calcChain.xml><?xml version="1.0" encoding="utf-8"?>
<calcChain xmlns="http://schemas.openxmlformats.org/spreadsheetml/2006/main">
  <c r="Q22" i="3" l="1"/>
  <c r="C50" i="2"/>
  <c r="C51" i="2"/>
  <c r="C52" i="2"/>
  <c r="C53" i="2"/>
  <c r="J51" i="2"/>
  <c r="J52" i="2"/>
  <c r="J53" i="2"/>
  <c r="K53" i="2"/>
  <c r="I53" i="2"/>
  <c r="K52" i="2"/>
  <c r="I52" i="2"/>
  <c r="K51" i="2"/>
  <c r="I51" i="2"/>
  <c r="I51" i="1"/>
  <c r="I50" i="1"/>
  <c r="I49" i="1"/>
  <c r="D49" i="1"/>
  <c r="D50" i="1"/>
  <c r="D51" i="1"/>
  <c r="A49" i="2" l="1"/>
  <c r="K49" i="2"/>
  <c r="J49" i="2"/>
  <c r="I49" i="2"/>
  <c r="C49" i="2"/>
  <c r="B49" i="2"/>
  <c r="I47" i="1"/>
  <c r="D47" i="1"/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50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50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6" i="2"/>
  <c r="J47" i="2"/>
  <c r="J48" i="2"/>
  <c r="J50" i="2"/>
  <c r="B13" i="2" l="1"/>
  <c r="C13" i="2"/>
  <c r="J12" i="2" l="1"/>
  <c r="I12" i="2"/>
  <c r="K12" i="2"/>
  <c r="J54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50" i="2"/>
  <c r="C12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B12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50" i="2"/>
  <c r="A12" i="2"/>
  <c r="I48" i="1" l="1"/>
  <c r="I27" i="1" l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34" i="1" l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D48" i="1"/>
  <c r="I46" i="1"/>
  <c r="D46" i="1"/>
  <c r="I45" i="1"/>
  <c r="D45" i="1"/>
  <c r="I44" i="1"/>
  <c r="D44" i="1"/>
  <c r="I43" i="1"/>
  <c r="D43" i="1"/>
  <c r="I42" i="1"/>
  <c r="D42" i="1"/>
  <c r="A25" i="3" l="1"/>
  <c r="A10" i="3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<sst xmlns="http://schemas.openxmlformats.org/spreadsheetml/2006/main" count="361" uniqueCount="184">
  <si>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</si>
  <si>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</si>
  <si>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</si>
  <si>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</si>
  <si>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</si>
  <si>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</si>
  <si>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</si>
  <si>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</si>
  <si>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</si>
  <si>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</si>
  <si>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</si>
  <si>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</si>
  <si>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</si>
  <si>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</si>
  <si>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</si>
  <si>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</si>
  <si>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</si>
  <si>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</si>
  <si>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</si>
  <si>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</si>
  <si>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</si>
  <si>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</si>
  <si>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</si>
  <si>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</si>
  <si>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</si>
  <si>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</si>
  <si>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</si>
  <si>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</si>
  <si>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</si>
  <si>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</si>
  <si>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</si>
  <si>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</si>
  <si>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</si>
  <si>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</si>
  <si>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</si>
  <si>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</si>
  <si>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</si>
  <si>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</si>
  <si>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</si>
  <si>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</si>
  <si>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</si>
  <si>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</si>
  <si>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</si>
  <si>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</si>
  <si>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</si>
  <si>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</si>
  <si>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</si>
  <si>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</si>
  <si>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</si>
  <si>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</si>
  <si>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</si>
  <si>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</si>
  <si>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</si>
  <si>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</si>
  <si>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</si>
  <si>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unidad</t>
  </si>
  <si>
    <t>caja</t>
  </si>
  <si>
    <t>2.9.2-262.40</t>
  </si>
  <si>
    <t>2.9.2-317.1</t>
  </si>
  <si>
    <t>2.9.2-317.5</t>
  </si>
  <si>
    <t>2.9.2-317.17</t>
  </si>
  <si>
    <t>2.9.2-317.32</t>
  </si>
  <si>
    <t>2.9.2-700.2</t>
  </si>
  <si>
    <t>2.9.2-700.56</t>
  </si>
  <si>
    <t>2.9.2-6873.6</t>
  </si>
  <si>
    <t>2.9.2-1153.19</t>
  </si>
  <si>
    <t>2.9.2-1153.166</t>
  </si>
  <si>
    <t>2.9.2-660.7</t>
  </si>
  <si>
    <t>2.9.2-660.31</t>
  </si>
  <si>
    <t>2.9.2-323.4</t>
  </si>
  <si>
    <t>2.9.2-790.13</t>
  </si>
  <si>
    <t>2.9.2-1611.22</t>
  </si>
  <si>
    <t>2.9.2-1611.23</t>
  </si>
  <si>
    <t>2.9.2-848.20</t>
  </si>
  <si>
    <t>2.9.2-1616.83</t>
  </si>
  <si>
    <t>2.9.2-1616.85</t>
  </si>
  <si>
    <t>2.9.2-1616.118</t>
  </si>
  <si>
    <t>2.9.2-1616.122</t>
  </si>
  <si>
    <t>2.3.1-6563.129</t>
  </si>
  <si>
    <t>2.3.1-6563.131</t>
  </si>
  <si>
    <t>2.3.1-6563.882</t>
  </si>
  <si>
    <t>2.3.1-6563.938</t>
  </si>
  <si>
    <t>2.3.1-6587.139</t>
  </si>
  <si>
    <t>2.3.1-6587.346</t>
  </si>
  <si>
    <t>2.9.2-674.9</t>
  </si>
  <si>
    <t>2.9.2-1354.18</t>
  </si>
  <si>
    <t>2.9.2-1354.28</t>
  </si>
  <si>
    <t>2.9.2-1354.29</t>
  </si>
  <si>
    <t>2.3.1-6590.476</t>
  </si>
  <si>
    <t>2.3.1-6590.539</t>
  </si>
  <si>
    <t>2.3.1-6590.558</t>
  </si>
  <si>
    <t>LIBRERIA,PAP. Y UTILES OFICINA</t>
  </si>
  <si>
    <t>ADHESIVOS P/PAPEL; PRESENTACION: 50 mL, TIPO: SINTETICO TRANSPARENTE</t>
  </si>
  <si>
    <t xml:space="preserve">BOLIGRAFOS; COLOR TINTA: AZUL, TRAZO: 0,7 mm </t>
  </si>
  <si>
    <t>BOLIGRAFOS; TRAZO 1,0mm</t>
  </si>
  <si>
    <t>BOLIGRAFOS; TRAZO: GRUESO, COLOR TINTA: NEGRO</t>
  </si>
  <si>
    <t>BOLIGRAFOS; TRAZO: 0,8 mm</t>
  </si>
  <si>
    <t>BROCHES P/ABROCHADORA; NUMERO: 21/6, PRESENTACION: CAJA X 1000 UNIDADES</t>
  </si>
  <si>
    <t>BROCHES P/ABROCHADORA; NUMERO: 10/50, PRESENTACION: CAJA X 2000 UN</t>
  </si>
  <si>
    <t>BROCHES PLASTICOS; TIPO: NEPACO, TAMAÑO: Nº 2, PRESENTACION: CAJA X 50 UN</t>
  </si>
  <si>
    <t>CINTAS ADHESIVAS; TIPO: DE ENMASCARAR, ANCHO: 24 mm, LARGO ROLLO: 50 M, ACCESORIO: SIN, MATERIAL: PAPEL, LARGO: 50 M</t>
  </si>
  <si>
    <t>CINTAS ADHESIVAS; TIPO: P/EMBALAR, ANCHO: 48 mm, LARGO: 40 M, MATERIAL: TRANSPARENTE, ACCESORIO: SIN</t>
  </si>
  <si>
    <t>CLIPS P/PAPEL; NUMERO: 5, MATERIAL: METAL, CANT. X CAJA: 50, PRESENTACION: CAJA X 50</t>
  </si>
  <si>
    <t>CLIPS P/PAPEL; NUMERO: 8, MATERIAL: METAL, CANT. X CAJA: 100 UN, PRESENTACION: CAJA X 100 UN</t>
  </si>
  <si>
    <t>CORRECTORES DE ESCRITURA; CAPACIDAD: 7 mL, ENVASE: LAPIZ (PUNTA METAL), PRESENTACION: LAPIZ (PUNTA METAL) X 7 mL</t>
  </si>
  <si>
    <t>CUTER; TIPO HOJA: MOVIL SECCIONABLE, MATERIAL MANGO: PLASTICO, ANCHO HOJA: 18 mm, TIPO DE HOJA: MOVIL SECCIONABLE, ANCHO DE HOJA: 18 mm</t>
  </si>
  <si>
    <t>FOLIOS TRANSPARENTES; TAMAÑO: OFICIO, PERFORACIONES: 11, MATERIAL: POLIPROPILENO</t>
  </si>
  <si>
    <t>FOLIOS TRANSPARENTES; TAMAÑO: A4, PERFORACIONES: 11, MATERIAL: POLIPROPILENO</t>
  </si>
  <si>
    <t>LAPIZ; TIPO: 2HB, COLOR: NEGRO</t>
  </si>
  <si>
    <t>MARCADORES; TIPO: INDELEBLE, PUNTA: FINA, COLOR: ROJO, RECARGABLE: SI, TRAZO: 0,5 mm</t>
  </si>
  <si>
    <t>MARCADORES; TIPO: INDELEBLE, TRAZO: MEDIO, COLOR: NEGRO, RECARGABLE: SI, PUNTA: REDONDA</t>
  </si>
  <si>
    <t>MARCADORES; TIPO: INDELEBLE, TRAZO: FINO, PUNTA: REDONDA, COLOR: NEGRO, RECARGABLE: NO</t>
  </si>
  <si>
    <t>MARCADORES; TIPO: AL AGUA, TRAZO: MEDIO, PUNTA: REDONDA, COLOR: NEGRO, RECARGABLE: NO</t>
  </si>
  <si>
    <t>PAPELES EN HOJA; TIPO PAPEL: PAPEL OBRA, DIMENSION: 21 X 29,7 Cm, GRAMAJE: 80 GR/M, PRESENTACION: RESMA X 500 HOJAS, TIPO DE PAPEL: PAPEL OBRA</t>
  </si>
  <si>
    <t>PAPELES EN HOJA; TIPO PAPEL: PAPEL OBRA, DIMENSION: 21,59 X 35,56 Cm, GRAMAJE: 80 GR/M2, PRESENTACION: RESMA X 500 HOJAS, TIPO DE PAPEL: PAPEL OBRA</t>
  </si>
  <si>
    <t>PAPELES EN HOJA; TIPO DE PAPEL: CARTULINA, DIMENSION: 45 X 63 Cm, GRAMAJE: 115/125 GR/M2, PRESENTACION: UNIDAD, CERTIFICADO FORESTAL (GFS): SIN, PORC. FIBRAS RECICLADAS: SIN, CERT. FIBRA ALTERNATIVA (FCA): SIN</t>
  </si>
  <si>
    <t>PAPELES EN HOJA; TIPO DE PAPEL: P/FORRAR, DIMENSION: 48 X 80 Cm, GRAMAJE: NO CORRESPONDE, PRESENTACION: UNIDAD, CERTIFICADO FORESTAL (GFS): SIN, PORC. FIBRAS RECICLADAS: 0 %, CERT. FIBRA ALTERNATIVA (FCA): SIN</t>
  </si>
  <si>
    <t>PAPELES ENCUADERNADOS; CANT. DE HOJAS: 100, TAMAÑO: 23 X 35 Cm, TIPO: LIBRO DE ACTAS</t>
  </si>
  <si>
    <t>PAPELES ENCUADERNADOS; CANT. DE HOJAS: 100, TAMAÑO: A4, TIPO: CUADERNO ESPIRALADO TAPA DURA, CERTIFICADO FORESTAL (GFS): SIN, PORC. FIBRAS RECICLADAS: 0 %, CERT. FIBRA ALTERNATIVA (FCA): SIN</t>
  </si>
  <si>
    <t>REGLAS GRADUADAS; TIPO: PLANA, MATERIAL: PLASTICO, LONG.DE CUERPO: 30 Cm</t>
  </si>
  <si>
    <t>RESALTADORES; PUNTA: FINA, ACCESORIO: SIN VALOR, COLOR: AZUL, TIPO PUNTA: FINA</t>
  </si>
  <si>
    <t>RESALTADORES; PUNTA: FINA, ACCESORIO: SIN, COLOR: AMARILLO, TIPO PUNTA: FINA</t>
  </si>
  <si>
    <t>RESALTADORES; PUNTA: FINA, ACCESORIO: SIN, COLOR: VERDE, TIPO PUNTA: FINA</t>
  </si>
  <si>
    <t>SOBRES DE PAPEL; TIPO: MANILA, TAMAÑO: 30 X 40 Cm, GRAMAJE: 80 GR/M2, PRESENTACION: ENVASE X 250 UN, CERTIFICADO FORESTAL (GFS): SIN, PORC. FIBRAS RECICLADAS: SIN VALOR</t>
  </si>
  <si>
    <t>SOBRES DE PAPEL; TIPO: MANILA, TAMAÑO: 24 X 30 Cm, GRAMAJE: 80 GR/CM2, PRESENTACION: ENVSE X 250, CERTIFICADO FORESTAL (GFS): SIN, PORC. FIBRAS RECICLADAS: 0 %, CERT. FIBRA ALTERNATIVA (FCA): SIN</t>
  </si>
  <si>
    <t>SOBRES DE PAPEL; TIPO: BLANCO, TAMAÑO: 12,5 X 19 Cm, GRAMAJE: 80 GR/M2, PRESENTACION: UNIDAD, CERTIFICADO FORESTAL (GFS): SIN, PORC. FIBRAS RECICLADAS: 0 %, CERT. FIBRA ALTERNATIVA (FCA): SIN</t>
  </si>
  <si>
    <t xml:space="preserve">Economato,  Esterilizacion y nutricion </t>
  </si>
  <si>
    <t>Papel de Escritorio y Cartón</t>
  </si>
  <si>
    <t>Utiles de Escritorio, Oficina y Enseñanza</t>
  </si>
  <si>
    <t>FICHAS P/ARCHIVOS; MATERIAL: CARTULINA, IMPRESION: RAYADA, DIMENSION: 14,8 X 21 Cm, PAQUETE: X 100 HOJAS, FONDO: BLANCO</t>
  </si>
  <si>
    <t>Descripción técnica</t>
  </si>
  <si>
    <t>BOLIGRAFOS; TRAZO 1,0mm TINTA COLOR AZUL. TIPO BIG</t>
  </si>
  <si>
    <t>MATERNIDAD PROVINCIAL 25 DE MAYO , HERNADO DE PEDRAZA 1650-SECTOR ECONOMATO</t>
  </si>
  <si>
    <t>Calidad Minima esperada</t>
  </si>
  <si>
    <t>Mantenimiento</t>
  </si>
  <si>
    <t>Garantia</t>
  </si>
  <si>
    <t>BOLIGRAFOS; TRAZO: 0,8 mm TINTA COLOR NEGRA . TIPO BIG</t>
  </si>
  <si>
    <t>Especificidades Item N° 3:</t>
  </si>
  <si>
    <t>2.9.2-1428.14</t>
  </si>
  <si>
    <t>BANDAS ELASTICAS; DIAMETRO: 5 Cm, PRESENTACION: CAJA DE 50 GR, ESPESOR: 2 mm</t>
  </si>
  <si>
    <t>2.9.2-674.8</t>
  </si>
  <si>
    <t>REGLAS GRADUADAS; LONG.DE CUERPO: 20 Cm, TIPO: PLANA, MATERIAL: PLASTICO</t>
  </si>
  <si>
    <t>2.9.2-696.15</t>
  </si>
  <si>
    <t>SACAPUNTAS; MATERIAL: METALICO, FIJACION: SIN VALOR, N° CARACTERISTICO: SIN VALOR, N° BOCAS: 1, TIPO: ESCOLAR, NUMERO: SIN VALOR, CANTIDAD DE BOCAS: 1</t>
  </si>
  <si>
    <t>Nº 25</t>
  </si>
  <si>
    <t>si</t>
  </si>
  <si>
    <t>Plazos de entrega</t>
  </si>
  <si>
    <t>10 Dias habiles desde la firma del instrumento contractual</t>
  </si>
  <si>
    <t>Lugar de Entrega :</t>
  </si>
  <si>
    <t>Hora de entrega:</t>
  </si>
  <si>
    <t>8 a 12 Hs</t>
  </si>
  <si>
    <t>Lugar de entrega:</t>
  </si>
  <si>
    <t>Especificidades Item N°  4</t>
  </si>
  <si>
    <t>Especificidades Item N° 6:</t>
  </si>
  <si>
    <t>Plazos  de entrega:</t>
  </si>
  <si>
    <t>Lugar de entrega</t>
  </si>
  <si>
    <t>Especificidades Item N° 26:</t>
  </si>
  <si>
    <t xml:space="preserve">Adquisición de Articulos de librería y papeleria </t>
  </si>
  <si>
    <t xml:space="preserve">171-Direccion de Admisnitracion </t>
  </si>
  <si>
    <t>2.5.8-5590.58</t>
  </si>
  <si>
    <t>FILMS DE POLIETILENO; ESPESOR: 30 Mn, ANCHO: 38 Cm, PRESENTACION: ENVASE X 150 M, USO: ALIMENTARIO</t>
  </si>
  <si>
    <t>ROLLO</t>
  </si>
  <si>
    <t>10 Dias Habiles desde la firma del instrumento contractual</t>
  </si>
  <si>
    <t>Hora de Entrega:</t>
  </si>
  <si>
    <t>8 hs a 11 hs, previa coordinacion con los encargados del servicio.</t>
  </si>
  <si>
    <t>Especificidades Item N° 38:</t>
  </si>
  <si>
    <t>30 dias</t>
  </si>
  <si>
    <t xml:space="preserve">Productos de material plastico </t>
  </si>
  <si>
    <t>2.9.2-758.31</t>
  </si>
  <si>
    <t>TIJERAS P/CORTAR PAPELES; LONG.DE CUERPO: 17 Cm, MATERIAL: METAL, CUCHILLA: PUNTIAGUDA, MANGO: PLASTICO</t>
  </si>
  <si>
    <t>2.9.2-758.25</t>
  </si>
  <si>
    <t>TIJERAS P/CORTAR PAPELES; LONG.DE CUERPO: 22 Cm, MATERIAL: ACERO INOXIDABLE, CUCHILLA: REDONDEADAS, MANGO: ERGONOMETRICO DE PLASTICO</t>
  </si>
  <si>
    <t>CARPETAS; COLOR: AZUL, TIPO: TAPA TRANSPARENTE, PRESENTACION: UNIDAD, SUJECION: BROCHE TIPO NEPACO, MEMBRETE: SIN, LENGÜETA: SIN, MATERIAL: PVC, TAMAÑO: CARTA</t>
  </si>
  <si>
    <t>2.9.2-1358.83</t>
  </si>
  <si>
    <t xml:space="preserve">CARTULINA COLOR AMARILLO </t>
  </si>
  <si>
    <t>PAPEL DE FORRAR COLOR BLANCO</t>
  </si>
  <si>
    <t>ROLLO PAPEL FILM  ADHERENTE APTO PARA HORNO - TIPO ROLOPACK O BANDEX</t>
  </si>
  <si>
    <t>Especificidades Item N° 1 al 42</t>
  </si>
  <si>
    <t>Costo total estimado:  UN MILLON SETECIENTOS  DOCE MIL NOVECIENTOS TREINTA Y UNO CON 00/100 CENTAVOS.</t>
  </si>
  <si>
    <t>PAQUETE</t>
  </si>
  <si>
    <t>2.3.1-860.19</t>
  </si>
  <si>
    <t>SI</t>
  </si>
  <si>
    <t>07/22</t>
  </si>
  <si>
    <t>TOTAL DE PESOS: UN MILLON SETECIENTOS  DOCE MIL NOVECIENTOS TREINTA Y UNO CON 00/100 CENTAVOS.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</si>
</sst>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u/>
      <sz val="1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sz val="18"/>
      <name val="Times New Roman"/>
      <family val="1"/>
      <charset val="1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20" fillId="0" borderId="0" applyBorder="0" applyProtection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0" fontId="6" fillId="5" borderId="0" applyNumberFormat="0" applyBorder="0" applyAlignment="0" applyProtection="0"/>
    <xf numFmtId="0" fontId="30" fillId="0" borderId="51" applyNumberFormat="0" applyFill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3" fillId="0" borderId="0"/>
    <xf numFmtId="0" fontId="35" fillId="8" borderId="0" applyNumberFormat="0" applyBorder="0" applyAlignment="0" applyProtection="0"/>
  </cellStyleXfs>
  <cellXfs count="224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11" fillId="0" borderId="5" xfId="0" applyFont="1" applyBorder="1" applyAlignment="1">
      <alignment horizontal="right" vertical="center"/>
    </xf>
    <xf numFmtId="0" fontId="11" fillId="0" borderId="7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0" fontId="10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5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21" fillId="0" borderId="0" xfId="0" applyFont="1"/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center" wrapText="1"/>
    </xf>
    <xf numFmtId="0" fontId="21" fillId="0" borderId="0" xfId="0" applyFont="1" applyBorder="1"/>
    <xf numFmtId="0" fontId="25" fillId="0" borderId="9" xfId="0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/>
    </xf>
    <xf numFmtId="3" fontId="10" fillId="4" borderId="1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25" fillId="0" borderId="40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166" fontId="10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46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166" fontId="29" fillId="3" borderId="14" xfId="1" applyNumberFormat="1" applyFont="1" applyFill="1" applyBorder="1" applyAlignment="1" applyProtection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166" fontId="29" fillId="3" borderId="44" xfId="1" applyNumberFormat="1" applyFont="1" applyFill="1" applyBorder="1" applyAlignment="1" applyProtection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indent="3"/>
    </xf>
    <xf numFmtId="0" fontId="26" fillId="3" borderId="0" xfId="0" applyFont="1" applyFill="1" applyAlignment="1">
      <alignment horizontal="left" wrapText="1" indent="1"/>
    </xf>
    <xf numFmtId="0" fontId="25" fillId="4" borderId="0" xfId="0" applyFont="1" applyFill="1" applyAlignment="1">
      <alignment horizontal="left" wrapText="1"/>
    </xf>
    <xf numFmtId="167" fontId="0" fillId="0" borderId="0" xfId="0" applyNumberFormat="1"/>
    <xf numFmtId="0" fontId="0" fillId="0" borderId="39" xfId="0" applyBorder="1" applyAlignment="1">
      <alignment horizontal="center" vertical="center"/>
    </xf>
    <xf numFmtId="0" fontId="6" fillId="4" borderId="39" xfId="5" applyFill="1" applyBorder="1" applyAlignment="1">
      <alignment horizontal="center" vertical="center" wrapText="1"/>
    </xf>
    <xf numFmtId="0" fontId="6" fillId="4" borderId="39" xfId="5" applyFill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5" fillId="4" borderId="39" xfId="7" applyFill="1" applyBorder="1" applyAlignment="1">
      <alignment horizontal="center" vertical="center" wrapText="1"/>
    </xf>
    <xf numFmtId="0" fontId="5" fillId="4" borderId="39" xfId="7" applyFill="1" applyBorder="1" applyAlignment="1">
      <alignment horizontal="center" vertical="center"/>
    </xf>
    <xf numFmtId="0" fontId="5" fillId="4" borderId="50" xfId="7" applyFill="1" applyBorder="1" applyAlignment="1">
      <alignment horizontal="center" vertical="center"/>
    </xf>
    <xf numFmtId="0" fontId="5" fillId="4" borderId="39" xfId="6" applyFont="1" applyFill="1" applyBorder="1" applyAlignment="1">
      <alignment horizontal="center" vertical="center"/>
    </xf>
    <xf numFmtId="0" fontId="5" fillId="4" borderId="52" xfId="7" applyFill="1" applyBorder="1" applyAlignment="1">
      <alignment horizontal="center" vertical="center"/>
    </xf>
    <xf numFmtId="0" fontId="5" fillId="4" borderId="43" xfId="7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0" fontId="4" fillId="4" borderId="39" xfId="8" applyFont="1" applyFill="1" applyBorder="1" applyAlignment="1">
      <alignment horizontal="center" vertical="center" wrapText="1"/>
    </xf>
    <xf numFmtId="0" fontId="31" fillId="0" borderId="2" xfId="0" applyFont="1" applyBorder="1"/>
    <xf numFmtId="0" fontId="21" fillId="0" borderId="3" xfId="0" applyFont="1" applyBorder="1"/>
    <xf numFmtId="0" fontId="21" fillId="0" borderId="4" xfId="0" applyFont="1" applyBorder="1"/>
    <xf numFmtId="0" fontId="21" fillId="0" borderId="56" xfId="0" applyFont="1" applyBorder="1"/>
    <xf numFmtId="0" fontId="21" fillId="0" borderId="57" xfId="0" applyFont="1" applyBorder="1"/>
    <xf numFmtId="0" fontId="31" fillId="0" borderId="56" xfId="0" applyFont="1" applyBorder="1" applyAlignment="1">
      <alignment horizontal="left" indent="3"/>
    </xf>
    <xf numFmtId="0" fontId="21" fillId="0" borderId="0" xfId="0" applyFont="1" applyFill="1" applyBorder="1"/>
    <xf numFmtId="0" fontId="21" fillId="0" borderId="57" xfId="0" applyFont="1" applyFill="1" applyBorder="1"/>
    <xf numFmtId="0" fontId="21" fillId="0" borderId="56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 wrapText="1"/>
    </xf>
    <xf numFmtId="0" fontId="21" fillId="0" borderId="57" xfId="0" applyFont="1" applyFill="1" applyBorder="1" applyAlignment="1">
      <alignment horizontal="center" wrapText="1"/>
    </xf>
    <xf numFmtId="0" fontId="21" fillId="0" borderId="58" xfId="0" applyFont="1" applyBorder="1" applyAlignment="1">
      <alignment horizontal="left" indent="3"/>
    </xf>
    <xf numFmtId="0" fontId="21" fillId="0" borderId="59" xfId="0" applyFont="1" applyBorder="1"/>
    <xf numFmtId="0" fontId="21" fillId="0" borderId="60" xfId="0" applyFont="1" applyBorder="1"/>
    <xf numFmtId="0" fontId="21" fillId="0" borderId="0" xfId="0" applyFont="1" applyFill="1" applyBorder="1" applyAlignment="1">
      <alignment horizontal="center" wrapText="1"/>
    </xf>
    <xf numFmtId="0" fontId="21" fillId="0" borderId="57" xfId="0" applyFont="1" applyFill="1" applyBorder="1" applyAlignment="1">
      <alignment horizontal="center" wrapText="1"/>
    </xf>
    <xf numFmtId="0" fontId="0" fillId="4" borderId="0" xfId="0" applyFill="1"/>
    <xf numFmtId="0" fontId="20" fillId="4" borderId="61" xfId="0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32" fillId="4" borderId="39" xfId="0" applyFont="1" applyFill="1" applyBorder="1" applyAlignment="1">
      <alignment horizontal="left"/>
    </xf>
    <xf numFmtId="0" fontId="33" fillId="4" borderId="39" xfId="0" applyFont="1" applyFill="1" applyBorder="1"/>
    <xf numFmtId="0" fontId="0" fillId="4" borderId="0" xfId="0" applyFill="1" applyAlignment="1">
      <alignment wrapText="1"/>
    </xf>
    <xf numFmtId="0" fontId="33" fillId="4" borderId="39" xfId="0" applyFont="1" applyFill="1" applyBorder="1" applyAlignment="1">
      <alignment wrapText="1"/>
    </xf>
    <xf numFmtId="0" fontId="34" fillId="3" borderId="14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wrapText="1"/>
    </xf>
    <xf numFmtId="0" fontId="29" fillId="0" borderId="57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/>
    </xf>
    <xf numFmtId="0" fontId="21" fillId="0" borderId="57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 wrapText="1"/>
    </xf>
    <xf numFmtId="0" fontId="21" fillId="0" borderId="57" xfId="0" applyFont="1" applyFill="1" applyBorder="1" applyAlignment="1">
      <alignment horizontal="center" wrapText="1"/>
    </xf>
    <xf numFmtId="0" fontId="28" fillId="0" borderId="0" xfId="0" applyFont="1" applyBorder="1" applyAlignment="1">
      <alignment horizontal="center" vertical="center" wrapText="1"/>
    </xf>
    <xf numFmtId="0" fontId="6" fillId="4" borderId="0" xfId="5" applyFill="1" applyBorder="1" applyAlignment="1">
      <alignment horizontal="center" vertical="center" wrapText="1"/>
    </xf>
    <xf numFmtId="0" fontId="4" fillId="4" borderId="0" xfId="8" applyFont="1" applyFill="1" applyBorder="1" applyAlignment="1">
      <alignment horizontal="center" vertical="center" wrapText="1"/>
    </xf>
    <xf numFmtId="166" fontId="29" fillId="3" borderId="0" xfId="1" applyNumberFormat="1" applyFont="1" applyFill="1" applyBorder="1" applyAlignment="1" applyProtection="1">
      <alignment horizontal="center" vertical="center" wrapText="1"/>
    </xf>
    <xf numFmtId="0" fontId="21" fillId="0" borderId="56" xfId="0" applyFont="1" applyBorder="1" applyAlignment="1"/>
    <xf numFmtId="0" fontId="31" fillId="0" borderId="56" xfId="0" applyFont="1" applyBorder="1" applyAlignment="1"/>
    <xf numFmtId="0" fontId="21" fillId="0" borderId="56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31" fillId="0" borderId="56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31" fillId="0" borderId="2" xfId="0" applyFont="1" applyFill="1" applyBorder="1"/>
    <xf numFmtId="0" fontId="21" fillId="0" borderId="3" xfId="0" applyFont="1" applyFill="1" applyBorder="1" applyAlignment="1">
      <alignment horizontal="left" vertical="center"/>
    </xf>
    <xf numFmtId="0" fontId="21" fillId="0" borderId="3" xfId="0" applyFont="1" applyFill="1" applyBorder="1" applyAlignment="1">
      <alignment horizontal="left"/>
    </xf>
    <xf numFmtId="0" fontId="21" fillId="0" borderId="4" xfId="0" applyFont="1" applyFill="1" applyBorder="1" applyAlignment="1">
      <alignment horizontal="left" vertical="center" wrapText="1"/>
    </xf>
    <xf numFmtId="0" fontId="31" fillId="0" borderId="56" xfId="0" applyFont="1" applyFill="1" applyBorder="1"/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/>
    </xf>
    <xf numFmtId="0" fontId="21" fillId="0" borderId="57" xfId="0" applyFont="1" applyFill="1" applyBorder="1" applyAlignment="1">
      <alignment horizontal="left" vertical="center" wrapText="1"/>
    </xf>
    <xf numFmtId="0" fontId="0" fillId="0" borderId="56" xfId="0" applyFill="1" applyBorder="1"/>
    <xf numFmtId="0" fontId="21" fillId="0" borderId="0" xfId="0" applyFont="1" applyFill="1" applyBorder="1" applyAlignment="1">
      <alignment horizontal="left" wrapText="1"/>
    </xf>
    <xf numFmtId="0" fontId="21" fillId="0" borderId="57" xfId="0" applyFont="1" applyFill="1" applyBorder="1" applyAlignment="1">
      <alignment horizontal="left" wrapText="1"/>
    </xf>
    <xf numFmtId="0" fontId="21" fillId="0" borderId="0" xfId="0" applyFont="1" applyBorder="1" applyAlignment="1">
      <alignment vertical="center"/>
    </xf>
    <xf numFmtId="0" fontId="21" fillId="0" borderId="57" xfId="0" applyFont="1" applyFill="1" applyBorder="1" applyAlignment="1">
      <alignment vertical="center" wrapText="1"/>
    </xf>
    <xf numFmtId="0" fontId="31" fillId="0" borderId="56" xfId="0" applyFont="1" applyFill="1" applyBorder="1" applyAlignment="1">
      <alignment horizontal="left" indent="3"/>
    </xf>
    <xf numFmtId="0" fontId="21" fillId="0" borderId="56" xfId="0" applyFont="1" applyFill="1" applyBorder="1" applyAlignment="1">
      <alignment horizontal="left" indent="3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wrapText="1"/>
    </xf>
    <xf numFmtId="0" fontId="21" fillId="0" borderId="57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/>
    </xf>
    <xf numFmtId="0" fontId="31" fillId="0" borderId="58" xfId="0" applyFont="1" applyFill="1" applyBorder="1" applyAlignment="1">
      <alignment horizontal="left" indent="3"/>
    </xf>
    <xf numFmtId="0" fontId="3" fillId="0" borderId="62" xfId="9" applyFill="1" applyBorder="1"/>
    <xf numFmtId="0" fontId="31" fillId="0" borderId="62" xfId="0" applyFont="1" applyFill="1" applyBorder="1" applyAlignment="1"/>
    <xf numFmtId="0" fontId="31" fillId="0" borderId="62" xfId="0" applyFont="1" applyFill="1" applyBorder="1" applyAlignment="1">
      <alignment horizontal="left" indent="3"/>
    </xf>
    <xf numFmtId="0" fontId="21" fillId="0" borderId="62" xfId="0" applyFont="1" applyFill="1" applyBorder="1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4" borderId="39" xfId="0" applyFill="1" applyBorder="1" applyAlignment="1">
      <alignment horizontal="center" vertical="center" wrapText="1"/>
    </xf>
    <xf numFmtId="0" fontId="0" fillId="4" borderId="44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4" borderId="63" xfId="0" applyFill="1" applyBorder="1" applyAlignment="1">
      <alignment horizontal="center" vertical="center"/>
    </xf>
    <xf numFmtId="0" fontId="21" fillId="4" borderId="44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166" fontId="19" fillId="0" borderId="35" xfId="0" applyNumberFormat="1" applyFont="1" applyBorder="1" applyAlignment="1">
      <alignment horizontal="center" vertical="center"/>
    </xf>
    <xf numFmtId="166" fontId="21" fillId="0" borderId="0" xfId="0" applyNumberFormat="1" applyFont="1"/>
    <xf numFmtId="0" fontId="2" fillId="4" borderId="39" xfId="7" applyFont="1" applyFill="1" applyBorder="1" applyAlignment="1">
      <alignment horizontal="center" vertical="center"/>
    </xf>
    <xf numFmtId="49" fontId="12" fillId="0" borderId="6" xfId="0" applyNumberFormat="1" applyFont="1" applyFill="1" applyBorder="1" applyAlignment="1">
      <alignment horizontal="center" vertical="center"/>
    </xf>
    <xf numFmtId="0" fontId="1" fillId="4" borderId="39" xfId="5" applyFont="1" applyFill="1" applyBorder="1" applyAlignment="1">
      <alignment horizontal="center" vertical="center" wrapText="1"/>
    </xf>
    <xf numFmtId="0" fontId="36" fillId="0" borderId="0" xfId="0" applyFont="1" applyFill="1" applyAlignment="1">
      <alignment horizontal="left" wrapText="1"/>
    </xf>
    <xf numFmtId="0" fontId="37" fillId="0" borderId="2" xfId="0" applyFont="1" applyFill="1" applyBorder="1" applyAlignment="1">
      <alignment horizontal="center" vertical="center" wrapText="1"/>
    </xf>
    <xf numFmtId="167" fontId="1" fillId="0" borderId="39" xfId="10" applyNumberFormat="1" applyFont="1" applyFill="1" applyBorder="1" applyAlignment="1">
      <alignment horizontal="center" vertical="center"/>
    </xf>
    <xf numFmtId="167" fontId="36" fillId="0" borderId="39" xfId="0" applyNumberFormat="1" applyFont="1" applyFill="1" applyBorder="1" applyAlignment="1">
      <alignment horizontal="center" vertical="center"/>
    </xf>
    <xf numFmtId="167" fontId="1" fillId="0" borderId="50" xfId="10" applyNumberFormat="1" applyFont="1" applyFill="1" applyBorder="1" applyAlignment="1">
      <alignment horizontal="center" vertical="center"/>
    </xf>
    <xf numFmtId="167" fontId="1" fillId="0" borderId="52" xfId="10" applyNumberFormat="1" applyFont="1" applyFill="1" applyBorder="1" applyAlignment="1">
      <alignment horizontal="center" vertical="center"/>
    </xf>
    <xf numFmtId="167" fontId="3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/>
    <xf numFmtId="0" fontId="21" fillId="0" borderId="0" xfId="0" applyFont="1" applyFill="1" applyBorder="1" applyAlignment="1">
      <alignment horizontal="center"/>
    </xf>
    <xf numFmtId="0" fontId="21" fillId="0" borderId="57" xfId="0" applyFont="1" applyFill="1" applyBorder="1" applyAlignment="1">
      <alignment horizontal="center"/>
    </xf>
    <xf numFmtId="0" fontId="21" fillId="0" borderId="56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31" fillId="0" borderId="56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29" fillId="0" borderId="0" xfId="0" applyFont="1" applyFill="1" applyBorder="1" applyAlignment="1">
      <alignment horizontal="center" wrapText="1"/>
    </xf>
    <xf numFmtId="0" fontId="29" fillId="0" borderId="57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57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center"/>
    </xf>
    <xf numFmtId="0" fontId="26" fillId="3" borderId="0" xfId="0" applyFont="1" applyFill="1" applyBorder="1" applyAlignment="1">
      <alignment horizontal="left" wrapText="1" indent="1"/>
    </xf>
    <xf numFmtId="0" fontId="29" fillId="0" borderId="0" xfId="0" applyFont="1" applyFill="1" applyBorder="1" applyAlignment="1">
      <alignment horizontal="center" vertical="center" wrapText="1"/>
    </xf>
    <xf numFmtId="0" fontId="29" fillId="0" borderId="57" xfId="0" applyFont="1" applyFill="1" applyBorder="1" applyAlignment="1">
      <alignment horizontal="center" vertical="center" wrapText="1"/>
    </xf>
    <xf numFmtId="0" fontId="21" fillId="0" borderId="60" xfId="0" applyFont="1" applyFill="1" applyBorder="1" applyAlignment="1">
      <alignment horizontal="center"/>
    </xf>
    <xf numFmtId="0" fontId="21" fillId="0" borderId="57" xfId="0" applyFont="1" applyFill="1" applyBorder="1" applyAlignment="1">
      <alignment horizontal="left" wrapText="1"/>
    </xf>
    <xf numFmtId="0" fontId="21" fillId="0" borderId="0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21" fillId="0" borderId="57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 indent="1"/>
    </xf>
    <xf numFmtId="167" fontId="27" fillId="4" borderId="9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center" wrapText="1" indent="1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5" fillId="0" borderId="15" xfId="0" applyFont="1" applyBorder="1" applyAlignment="1">
      <alignment vertical="center" wrapText="1"/>
    </xf>
    <xf numFmtId="0" fontId="15" fillId="0" borderId="36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17" fillId="3" borderId="35" xfId="0" applyFont="1" applyFill="1" applyBorder="1" applyAlignment="1">
      <alignment horizontal="left" vertical="center" wrapText="1" indent="1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9" fillId="0" borderId="35" xfId="0" applyFont="1" applyBorder="1" applyAlignment="1">
      <alignment horizontal="left" vertical="center" wrapText="1"/>
    </xf>
    <xf numFmtId="0" fontId="0" fillId="0" borderId="17" xfId="0" applyBorder="1"/>
    <xf numFmtId="0" fontId="20" fillId="0" borderId="53" xfId="0" applyFont="1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20" fillId="0" borderId="53" xfId="0" applyFont="1" applyBorder="1" applyAlignment="1">
      <alignment horizontal="center" vertical="center" wrapText="1"/>
    </xf>
    <xf numFmtId="0" fontId="17" fillId="0" borderId="18" xfId="0" applyFont="1" applyBorder="1"/>
    <xf numFmtId="0" fontId="17" fillId="0" borderId="19" xfId="0" applyFont="1" applyFill="1" applyBorder="1" applyAlignment="1">
      <alignment horizontal="left" vertical="center" wrapText="1" indent="1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17" fillId="4" borderId="6" xfId="0" applyFont="1" applyFill="1" applyBorder="1" applyAlignment="1">
      <alignment horizontal="left" indent="1"/>
    </xf>
    <xf numFmtId="0" fontId="18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1" fontId="15" fillId="0" borderId="16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8" fillId="0" borderId="6" xfId="0" applyFont="1" applyBorder="1"/>
  </cellXfs>
  <cellStyles count="11">
    <cellStyle name="20% - Énfasis4" xfId="5" builtinId="42"/>
    <cellStyle name="20% - Énfasis5" xfId="7" builtinId="46"/>
    <cellStyle name="20% - Énfasis6" xfId="8" builtinId="50"/>
    <cellStyle name="Bueno" xfId="10" builtinId="26"/>
    <cellStyle name="Encabezado 1" xfId="2" xr:uid="{00000000-0005-0000-0000-000004000000}"/>
    <cellStyle name="Moneda" xfId="1" builtinId="4"/>
    <cellStyle name="Moneda_AUTORIZACION Y NOTA DE PEDIDO" xfId="3" xr:uid="{00000000-0005-0000-0000-000006000000}"/>
    <cellStyle name="Neutral 1" xfId="4" xr:uid="{00000000-0005-0000-0000-000007000000}"/>
    <cellStyle name="Normal" xfId="0" builtinId="0"/>
    <cellStyle name="Normal 2" xfId="9" xr:uid="{00000000-0005-0000-0000-000009000000}"/>
    <cellStyle name="Total" xfId="6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0"/>
  <sheetViews>
    <sheetView topLeftCell="A42" zoomScale="80" zoomScaleNormal="80" workbookViewId="0">
      <selection activeCell="E48" sqref="E48"/>
    </sheetView>
  </sheetViews>
  <sheetFormatPr baseColWidth="10" defaultColWidth="11" defaultRowHeight="12.75" x14ac:dyDescent="0.2"/>
  <cols>
    <col min="1" max="1" width="4.5703125" style="37" customWidth="1"/>
    <col min="2" max="2" width="14" style="37" customWidth="1"/>
    <col min="3" max="3" width="21.710937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163" customWidth="1"/>
    <col min="9" max="9" width="18.5703125" style="37" customWidth="1"/>
    <col min="10" max="10" width="12.42578125" style="37" bestFit="1" customWidth="1"/>
    <col min="11" max="16384" width="11" style="37"/>
  </cols>
  <sheetData>
    <row r="2" spans="1:9" ht="27" x14ac:dyDescent="0.35">
      <c r="B2" s="175" t="s">
        <v>0</v>
      </c>
      <c r="C2" s="175"/>
      <c r="D2" s="175"/>
      <c r="E2" s="175"/>
      <c r="F2" s="175"/>
      <c r="G2" s="175"/>
      <c r="H2" s="175"/>
    </row>
    <row r="4" spans="1:9" ht="18" customHeight="1" x14ac:dyDescent="0.25">
      <c r="A4" s="174" t="s">
        <v>1</v>
      </c>
      <c r="B4" s="174"/>
      <c r="C4" s="176" t="s">
        <v>52</v>
      </c>
      <c r="D4" s="176"/>
      <c r="E4" s="176"/>
      <c r="F4" s="38"/>
      <c r="G4" s="39"/>
      <c r="H4" s="156"/>
    </row>
    <row r="5" spans="1:9" ht="18" customHeight="1" x14ac:dyDescent="0.25">
      <c r="A5" s="174" t="s">
        <v>2</v>
      </c>
      <c r="B5" s="174"/>
      <c r="C5" s="176" t="s">
        <v>54</v>
      </c>
      <c r="D5" s="176"/>
      <c r="E5" s="176"/>
      <c r="F5" s="38"/>
      <c r="G5" s="39"/>
      <c r="H5" s="156"/>
    </row>
    <row r="6" spans="1:9" ht="16.5" customHeight="1" x14ac:dyDescent="0.25">
      <c r="A6" s="174" t="s">
        <v>3</v>
      </c>
      <c r="B6" s="174"/>
      <c r="C6" s="61">
        <v>2022</v>
      </c>
      <c r="D6" s="62"/>
      <c r="E6" s="62"/>
      <c r="F6" s="38"/>
      <c r="G6" s="39"/>
      <c r="H6" s="156"/>
    </row>
    <row r="7" spans="1:9" ht="16.5" customHeight="1" x14ac:dyDescent="0.25">
      <c r="A7" s="174" t="s">
        <v>4</v>
      </c>
      <c r="B7" s="174"/>
      <c r="C7" s="61">
        <v>1</v>
      </c>
      <c r="D7" s="62"/>
      <c r="E7" s="62"/>
      <c r="F7" s="38"/>
      <c r="G7" s="39"/>
      <c r="H7" s="156"/>
    </row>
    <row r="8" spans="1:9" ht="13.5" thickBot="1" x14ac:dyDescent="0.25">
      <c r="B8" s="38"/>
      <c r="C8" s="39"/>
      <c r="D8" s="38"/>
      <c r="E8" s="38"/>
      <c r="F8" s="38"/>
      <c r="G8" s="39"/>
      <c r="H8" s="156"/>
    </row>
    <row r="9" spans="1:9" ht="39" thickBot="1" x14ac:dyDescent="0.25">
      <c r="A9" s="41" t="s">
        <v>5</v>
      </c>
      <c r="B9" s="58" t="s">
        <v>6</v>
      </c>
      <c r="C9" s="41" t="s">
        <v>7</v>
      </c>
      <c r="D9" s="48" t="s">
        <v>8</v>
      </c>
      <c r="E9" s="46" t="s">
        <v>9</v>
      </c>
      <c r="F9" s="47" t="s">
        <v>10</v>
      </c>
      <c r="G9" s="46" t="s">
        <v>11</v>
      </c>
      <c r="H9" s="157" t="s">
        <v>12</v>
      </c>
      <c r="I9" s="46" t="s">
        <v>13</v>
      </c>
    </row>
    <row r="10" spans="1:9" ht="31.9" customHeight="1" x14ac:dyDescent="0.2">
      <c r="A10" s="56">
        <v>1</v>
      </c>
      <c r="B10" s="54" t="s">
        <v>57</v>
      </c>
      <c r="C10" s="53" t="s">
        <v>91</v>
      </c>
      <c r="D10" s="54" t="str">
        <f t="shared" ref="D10:D27" si="0">LEFT(B10,5)</f>
        <v>2.9.2</v>
      </c>
      <c r="E10" s="65" t="s">
        <v>92</v>
      </c>
      <c r="F10" s="68" t="s">
        <v>55</v>
      </c>
      <c r="G10" s="66">
        <v>250</v>
      </c>
      <c r="H10" s="158">
        <v>115</v>
      </c>
      <c r="I10" s="57">
        <f t="shared" ref="I10:I27" si="1">G10*H10</f>
        <v>28750</v>
      </c>
    </row>
    <row r="11" spans="1:9" ht="31.9" customHeight="1" x14ac:dyDescent="0.2">
      <c r="A11" s="56">
        <v>2</v>
      </c>
      <c r="B11" s="54" t="s">
        <v>138</v>
      </c>
      <c r="C11" s="53" t="s">
        <v>91</v>
      </c>
      <c r="D11" s="54" t="str">
        <f t="shared" si="0"/>
        <v>2.9.2</v>
      </c>
      <c r="E11" s="97" t="s">
        <v>139</v>
      </c>
      <c r="F11" s="95" t="s">
        <v>56</v>
      </c>
      <c r="G11" s="96">
        <v>150</v>
      </c>
      <c r="H11" s="158">
        <v>415</v>
      </c>
      <c r="I11" s="57">
        <f t="shared" si="1"/>
        <v>62250</v>
      </c>
    </row>
    <row r="12" spans="1:9" ht="31.9" customHeight="1" x14ac:dyDescent="0.2">
      <c r="A12" s="56">
        <v>3</v>
      </c>
      <c r="B12" s="54" t="s">
        <v>58</v>
      </c>
      <c r="C12" s="53" t="s">
        <v>91</v>
      </c>
      <c r="D12" s="54" t="str">
        <f t="shared" si="0"/>
        <v>2.9.2</v>
      </c>
      <c r="E12" s="65" t="s">
        <v>93</v>
      </c>
      <c r="F12" s="68" t="s">
        <v>55</v>
      </c>
      <c r="G12" s="65">
        <v>300</v>
      </c>
      <c r="H12" s="159">
        <v>48</v>
      </c>
      <c r="I12" s="57">
        <f t="shared" si="1"/>
        <v>14400</v>
      </c>
    </row>
    <row r="13" spans="1:9" ht="31.9" customHeight="1" thickBot="1" x14ac:dyDescent="0.25">
      <c r="A13" s="56">
        <v>4</v>
      </c>
      <c r="B13" s="54" t="s">
        <v>59</v>
      </c>
      <c r="C13" s="53" t="s">
        <v>91</v>
      </c>
      <c r="D13" s="54" t="str">
        <f t="shared" si="0"/>
        <v>2.9.2</v>
      </c>
      <c r="E13" s="65" t="s">
        <v>94</v>
      </c>
      <c r="F13" s="68" t="s">
        <v>55</v>
      </c>
      <c r="G13" s="65">
        <v>300</v>
      </c>
      <c r="H13" s="159">
        <v>35</v>
      </c>
      <c r="I13" s="57">
        <f t="shared" si="1"/>
        <v>10500</v>
      </c>
    </row>
    <row r="14" spans="1:9" ht="45.75" customHeight="1" x14ac:dyDescent="0.2">
      <c r="A14" s="56">
        <v>5</v>
      </c>
      <c r="B14" s="59" t="s">
        <v>60</v>
      </c>
      <c r="C14" s="53" t="s">
        <v>91</v>
      </c>
      <c r="D14" s="54" t="str">
        <f t="shared" si="0"/>
        <v>2.9.2</v>
      </c>
      <c r="E14" s="65" t="s">
        <v>95</v>
      </c>
      <c r="F14" s="68" t="s">
        <v>55</v>
      </c>
      <c r="G14" s="65">
        <v>300</v>
      </c>
      <c r="H14" s="158">
        <v>45</v>
      </c>
      <c r="I14" s="55">
        <f t="shared" si="1"/>
        <v>13500</v>
      </c>
    </row>
    <row r="15" spans="1:9" ht="31.9" customHeight="1" x14ac:dyDescent="0.2">
      <c r="A15" s="56">
        <v>6</v>
      </c>
      <c r="B15" s="54" t="s">
        <v>61</v>
      </c>
      <c r="C15" s="53" t="s">
        <v>91</v>
      </c>
      <c r="D15" s="54" t="str">
        <f t="shared" si="0"/>
        <v>2.9.2</v>
      </c>
      <c r="E15" s="65" t="s">
        <v>96</v>
      </c>
      <c r="F15" s="68" t="s">
        <v>55</v>
      </c>
      <c r="G15" s="65">
        <v>300</v>
      </c>
      <c r="H15" s="159">
        <v>48</v>
      </c>
      <c r="I15" s="57">
        <f t="shared" si="1"/>
        <v>14400</v>
      </c>
    </row>
    <row r="16" spans="1:9" ht="31.9" customHeight="1" x14ac:dyDescent="0.2">
      <c r="A16" s="56">
        <v>7</v>
      </c>
      <c r="B16" s="54" t="s">
        <v>62</v>
      </c>
      <c r="C16" s="53" t="s">
        <v>91</v>
      </c>
      <c r="D16" s="54" t="str">
        <f t="shared" si="0"/>
        <v>2.9.2</v>
      </c>
      <c r="E16" s="65" t="s">
        <v>97</v>
      </c>
      <c r="F16" s="68" t="s">
        <v>56</v>
      </c>
      <c r="G16" s="65">
        <v>200</v>
      </c>
      <c r="H16" s="158">
        <v>128</v>
      </c>
      <c r="I16" s="57">
        <f t="shared" si="1"/>
        <v>25600</v>
      </c>
    </row>
    <row r="17" spans="1:10" ht="31.9" customHeight="1" x14ac:dyDescent="0.2">
      <c r="A17" s="56">
        <v>8</v>
      </c>
      <c r="B17" s="54" t="s">
        <v>63</v>
      </c>
      <c r="C17" s="53" t="s">
        <v>91</v>
      </c>
      <c r="D17" s="54" t="str">
        <f t="shared" si="0"/>
        <v>2.9.2</v>
      </c>
      <c r="E17" s="65" t="s">
        <v>98</v>
      </c>
      <c r="F17" s="68" t="s">
        <v>56</v>
      </c>
      <c r="G17" s="65">
        <v>200</v>
      </c>
      <c r="H17" s="158">
        <v>160</v>
      </c>
      <c r="I17" s="57">
        <f t="shared" si="1"/>
        <v>32000</v>
      </c>
    </row>
    <row r="18" spans="1:10" ht="31.9" customHeight="1" thickBot="1" x14ac:dyDescent="0.25">
      <c r="A18" s="56">
        <v>9</v>
      </c>
      <c r="B18" s="54" t="s">
        <v>64</v>
      </c>
      <c r="C18" s="53" t="s">
        <v>91</v>
      </c>
      <c r="D18" s="54" t="str">
        <f t="shared" si="0"/>
        <v>2.9.2</v>
      </c>
      <c r="E18" s="65" t="s">
        <v>99</v>
      </c>
      <c r="F18" s="68" t="s">
        <v>56</v>
      </c>
      <c r="G18" s="65">
        <v>300</v>
      </c>
      <c r="H18" s="158">
        <v>198</v>
      </c>
      <c r="I18" s="57">
        <f t="shared" si="1"/>
        <v>59400</v>
      </c>
    </row>
    <row r="19" spans="1:10" ht="45.75" customHeight="1" x14ac:dyDescent="0.2">
      <c r="A19" s="56">
        <v>10</v>
      </c>
      <c r="B19" s="59" t="s">
        <v>65</v>
      </c>
      <c r="C19" s="53" t="s">
        <v>91</v>
      </c>
      <c r="D19" s="54" t="str">
        <f t="shared" si="0"/>
        <v>2.9.2</v>
      </c>
      <c r="E19" s="65" t="s">
        <v>100</v>
      </c>
      <c r="F19" s="68" t="s">
        <v>55</v>
      </c>
      <c r="G19" s="65">
        <v>550</v>
      </c>
      <c r="H19" s="158">
        <v>288</v>
      </c>
      <c r="I19" s="55">
        <f t="shared" si="1"/>
        <v>158400</v>
      </c>
    </row>
    <row r="20" spans="1:10" ht="31.9" customHeight="1" x14ac:dyDescent="0.2">
      <c r="A20" s="56">
        <v>11</v>
      </c>
      <c r="B20" s="54" t="s">
        <v>66</v>
      </c>
      <c r="C20" s="53" t="s">
        <v>91</v>
      </c>
      <c r="D20" s="54" t="str">
        <f t="shared" si="0"/>
        <v>2.9.2</v>
      </c>
      <c r="E20" s="65" t="s">
        <v>101</v>
      </c>
      <c r="F20" s="68" t="s">
        <v>55</v>
      </c>
      <c r="G20" s="65">
        <v>150</v>
      </c>
      <c r="H20" s="158">
        <v>145</v>
      </c>
      <c r="I20" s="57">
        <f t="shared" si="1"/>
        <v>21750</v>
      </c>
    </row>
    <row r="21" spans="1:10" ht="31.9" customHeight="1" x14ac:dyDescent="0.2">
      <c r="A21" s="56">
        <v>12</v>
      </c>
      <c r="B21" s="54" t="s">
        <v>67</v>
      </c>
      <c r="C21" s="53" t="s">
        <v>91</v>
      </c>
      <c r="D21" s="54" t="str">
        <f t="shared" si="0"/>
        <v>2.9.2</v>
      </c>
      <c r="E21" s="65" t="s">
        <v>102</v>
      </c>
      <c r="F21" s="68" t="s">
        <v>56</v>
      </c>
      <c r="G21" s="65">
        <v>100</v>
      </c>
      <c r="H21" s="159">
        <v>90</v>
      </c>
      <c r="I21" s="57">
        <f t="shared" si="1"/>
        <v>9000</v>
      </c>
    </row>
    <row r="22" spans="1:10" ht="31.9" customHeight="1" x14ac:dyDescent="0.2">
      <c r="A22" s="56">
        <v>13</v>
      </c>
      <c r="B22" s="54" t="s">
        <v>68</v>
      </c>
      <c r="C22" s="53" t="s">
        <v>91</v>
      </c>
      <c r="D22" s="54" t="str">
        <f t="shared" si="0"/>
        <v>2.9.2</v>
      </c>
      <c r="E22" s="65" t="s">
        <v>103</v>
      </c>
      <c r="F22" s="68" t="s">
        <v>56</v>
      </c>
      <c r="G22" s="65">
        <v>80</v>
      </c>
      <c r="H22" s="158">
        <v>510</v>
      </c>
      <c r="I22" s="57">
        <f t="shared" si="1"/>
        <v>40800</v>
      </c>
    </row>
    <row r="23" spans="1:10" ht="31.9" customHeight="1" x14ac:dyDescent="0.2">
      <c r="A23" s="56">
        <v>14</v>
      </c>
      <c r="B23" s="54" t="s">
        <v>69</v>
      </c>
      <c r="C23" s="53" t="s">
        <v>91</v>
      </c>
      <c r="D23" s="54" t="str">
        <f t="shared" si="0"/>
        <v>2.9.2</v>
      </c>
      <c r="E23" s="65" t="s">
        <v>104</v>
      </c>
      <c r="F23" s="68" t="s">
        <v>55</v>
      </c>
      <c r="G23" s="65">
        <v>200</v>
      </c>
      <c r="H23" s="158">
        <v>62</v>
      </c>
      <c r="I23" s="57">
        <f t="shared" si="1"/>
        <v>12400</v>
      </c>
    </row>
    <row r="24" spans="1:10" ht="31.9" customHeight="1" x14ac:dyDescent="0.2">
      <c r="A24" s="56">
        <v>15</v>
      </c>
      <c r="B24" s="54" t="s">
        <v>70</v>
      </c>
      <c r="C24" s="53" t="s">
        <v>91</v>
      </c>
      <c r="D24" s="54" t="str">
        <f t="shared" si="0"/>
        <v>2.9.2</v>
      </c>
      <c r="E24" s="65" t="s">
        <v>105</v>
      </c>
      <c r="F24" s="68" t="s">
        <v>55</v>
      </c>
      <c r="G24" s="65">
        <v>50</v>
      </c>
      <c r="H24" s="158">
        <v>143</v>
      </c>
      <c r="I24" s="57">
        <f t="shared" si="1"/>
        <v>7150</v>
      </c>
    </row>
    <row r="25" spans="1:10" ht="31.9" customHeight="1" thickBot="1" x14ac:dyDescent="0.25">
      <c r="A25" s="56">
        <v>16</v>
      </c>
      <c r="B25" s="54" t="s">
        <v>71</v>
      </c>
      <c r="C25" s="53" t="s">
        <v>91</v>
      </c>
      <c r="D25" s="54" t="str">
        <f t="shared" si="0"/>
        <v>2.9.2</v>
      </c>
      <c r="E25" s="65" t="s">
        <v>106</v>
      </c>
      <c r="F25" s="68" t="s">
        <v>55</v>
      </c>
      <c r="G25" s="65">
        <v>500</v>
      </c>
      <c r="H25" s="159">
        <v>10</v>
      </c>
      <c r="I25" s="57">
        <f t="shared" si="1"/>
        <v>5000</v>
      </c>
    </row>
    <row r="26" spans="1:10" ht="31.9" customHeight="1" x14ac:dyDescent="0.2">
      <c r="A26" s="56">
        <v>17</v>
      </c>
      <c r="B26" s="59" t="s">
        <v>72</v>
      </c>
      <c r="C26" s="53" t="s">
        <v>91</v>
      </c>
      <c r="D26" s="54" t="str">
        <f t="shared" si="0"/>
        <v>2.9.2</v>
      </c>
      <c r="E26" s="65" t="s">
        <v>107</v>
      </c>
      <c r="F26" s="68" t="s">
        <v>55</v>
      </c>
      <c r="G26" s="65">
        <v>300</v>
      </c>
      <c r="H26" s="159">
        <v>9</v>
      </c>
      <c r="I26" s="55">
        <f t="shared" si="1"/>
        <v>2700</v>
      </c>
    </row>
    <row r="27" spans="1:10" ht="30.75" thickBot="1" x14ac:dyDescent="0.25">
      <c r="A27" s="56">
        <v>18</v>
      </c>
      <c r="B27" s="54" t="s">
        <v>73</v>
      </c>
      <c r="C27" s="53" t="s">
        <v>91</v>
      </c>
      <c r="D27" s="54" t="str">
        <f t="shared" si="0"/>
        <v>2.9.2</v>
      </c>
      <c r="E27" s="66" t="s">
        <v>108</v>
      </c>
      <c r="F27" s="68" t="s">
        <v>55</v>
      </c>
      <c r="G27" s="66">
        <v>100</v>
      </c>
      <c r="H27" s="158">
        <v>32</v>
      </c>
      <c r="I27" s="57">
        <f t="shared" si="1"/>
        <v>3200</v>
      </c>
    </row>
    <row r="28" spans="1:10" ht="30" x14ac:dyDescent="0.2">
      <c r="A28" s="56">
        <v>19</v>
      </c>
      <c r="B28" s="59" t="s">
        <v>74</v>
      </c>
      <c r="C28" s="53" t="s">
        <v>91</v>
      </c>
      <c r="D28" s="54" t="str">
        <f t="shared" ref="D28:D34" si="2">LEFT(B28,5)</f>
        <v>2.9.2</v>
      </c>
      <c r="E28" s="65" t="s">
        <v>109</v>
      </c>
      <c r="F28" s="68" t="s">
        <v>55</v>
      </c>
      <c r="G28" s="65">
        <v>50</v>
      </c>
      <c r="H28" s="158">
        <v>88</v>
      </c>
      <c r="I28" s="55">
        <f t="shared" ref="I28:I34" si="3">G28*H28</f>
        <v>4400</v>
      </c>
    </row>
    <row r="29" spans="1:10" ht="30" x14ac:dyDescent="0.2">
      <c r="A29" s="56">
        <v>20</v>
      </c>
      <c r="B29" s="54" t="s">
        <v>75</v>
      </c>
      <c r="C29" s="53" t="s">
        <v>91</v>
      </c>
      <c r="D29" s="54" t="str">
        <f t="shared" si="2"/>
        <v>2.9.2</v>
      </c>
      <c r="E29" s="65" t="s">
        <v>110</v>
      </c>
      <c r="F29" s="68" t="s">
        <v>55</v>
      </c>
      <c r="G29" s="65">
        <v>100</v>
      </c>
      <c r="H29" s="158">
        <v>88</v>
      </c>
      <c r="I29" s="57">
        <f t="shared" si="3"/>
        <v>8800</v>
      </c>
    </row>
    <row r="30" spans="1:10" ht="30" x14ac:dyDescent="0.2">
      <c r="A30" s="56">
        <v>21</v>
      </c>
      <c r="B30" s="54" t="s">
        <v>76</v>
      </c>
      <c r="C30" s="53" t="s">
        <v>91</v>
      </c>
      <c r="D30" s="54" t="str">
        <f t="shared" si="2"/>
        <v>2.9.2</v>
      </c>
      <c r="E30" s="65" t="s">
        <v>111</v>
      </c>
      <c r="F30" s="68" t="s">
        <v>55</v>
      </c>
      <c r="G30" s="66">
        <v>200</v>
      </c>
      <c r="H30" s="158">
        <v>155</v>
      </c>
      <c r="I30" s="57">
        <f t="shared" si="3"/>
        <v>31000</v>
      </c>
    </row>
    <row r="31" spans="1:10" ht="30" x14ac:dyDescent="0.2">
      <c r="A31" s="56">
        <v>22</v>
      </c>
      <c r="B31" s="54" t="s">
        <v>77</v>
      </c>
      <c r="C31" s="53" t="s">
        <v>91</v>
      </c>
      <c r="D31" s="54" t="str">
        <f t="shared" si="2"/>
        <v>2.9.2</v>
      </c>
      <c r="E31" s="65" t="s">
        <v>112</v>
      </c>
      <c r="F31" s="69" t="s">
        <v>55</v>
      </c>
      <c r="G31" s="65">
        <v>150</v>
      </c>
      <c r="H31" s="158">
        <v>88</v>
      </c>
      <c r="I31" s="57">
        <f t="shared" si="3"/>
        <v>13200</v>
      </c>
      <c r="J31" s="152"/>
    </row>
    <row r="32" spans="1:10" ht="30" x14ac:dyDescent="0.2">
      <c r="A32" s="56">
        <v>23</v>
      </c>
      <c r="B32" s="54" t="s">
        <v>78</v>
      </c>
      <c r="C32" s="53" t="s">
        <v>91</v>
      </c>
      <c r="D32" s="54" t="str">
        <f t="shared" si="2"/>
        <v>2.3.1</v>
      </c>
      <c r="E32" s="65" t="s">
        <v>113</v>
      </c>
      <c r="F32" s="69" t="s">
        <v>55</v>
      </c>
      <c r="G32" s="65">
        <v>400</v>
      </c>
      <c r="H32" s="158">
        <v>710</v>
      </c>
      <c r="I32" s="57">
        <f t="shared" si="3"/>
        <v>284000</v>
      </c>
    </row>
    <row r="33" spans="1:10" ht="30" x14ac:dyDescent="0.2">
      <c r="A33" s="56">
        <v>24</v>
      </c>
      <c r="B33" s="54" t="s">
        <v>79</v>
      </c>
      <c r="C33" s="53" t="s">
        <v>91</v>
      </c>
      <c r="D33" s="54" t="str">
        <f t="shared" si="2"/>
        <v>2.3.1</v>
      </c>
      <c r="E33" s="65" t="s">
        <v>114</v>
      </c>
      <c r="F33" s="69" t="s">
        <v>55</v>
      </c>
      <c r="G33" s="65">
        <v>400</v>
      </c>
      <c r="H33" s="158">
        <v>840</v>
      </c>
      <c r="I33" s="57">
        <f t="shared" si="3"/>
        <v>336000</v>
      </c>
    </row>
    <row r="34" spans="1:10" ht="56.25" customHeight="1" thickBot="1" x14ac:dyDescent="0.25">
      <c r="A34" s="56">
        <v>25</v>
      </c>
      <c r="B34" s="54" t="s">
        <v>80</v>
      </c>
      <c r="C34" s="53" t="s">
        <v>91</v>
      </c>
      <c r="D34" s="54" t="str">
        <f t="shared" si="2"/>
        <v>2.3.1</v>
      </c>
      <c r="E34" s="65" t="s">
        <v>115</v>
      </c>
      <c r="F34" s="69" t="s">
        <v>55</v>
      </c>
      <c r="G34" s="65">
        <v>5000</v>
      </c>
      <c r="H34" s="158">
        <v>28</v>
      </c>
      <c r="I34" s="57">
        <f t="shared" si="3"/>
        <v>140000</v>
      </c>
    </row>
    <row r="35" spans="1:10" ht="45" x14ac:dyDescent="0.2">
      <c r="A35" s="56">
        <v>26</v>
      </c>
      <c r="B35" s="59" t="s">
        <v>81</v>
      </c>
      <c r="C35" s="53" t="s">
        <v>91</v>
      </c>
      <c r="D35" s="54" t="str">
        <f t="shared" ref="D35:D41" si="4">LEFT(B35,5)</f>
        <v>2.3.1</v>
      </c>
      <c r="E35" s="65" t="s">
        <v>116</v>
      </c>
      <c r="F35" s="69" t="s">
        <v>55</v>
      </c>
      <c r="G35" s="65">
        <v>100</v>
      </c>
      <c r="H35" s="158">
        <v>45</v>
      </c>
      <c r="I35" s="55">
        <f t="shared" ref="I35:I41" si="5">G35*H35</f>
        <v>4500</v>
      </c>
    </row>
    <row r="36" spans="1:10" ht="30" x14ac:dyDescent="0.2">
      <c r="A36" s="56">
        <v>27</v>
      </c>
      <c r="B36" s="54" t="s">
        <v>82</v>
      </c>
      <c r="C36" s="53" t="s">
        <v>91</v>
      </c>
      <c r="D36" s="54" t="str">
        <f t="shared" si="4"/>
        <v>2.3.1</v>
      </c>
      <c r="E36" s="65" t="s">
        <v>117</v>
      </c>
      <c r="F36" s="69" t="s">
        <v>55</v>
      </c>
      <c r="G36" s="65">
        <v>200</v>
      </c>
      <c r="H36" s="158">
        <v>525</v>
      </c>
      <c r="I36" s="57">
        <f t="shared" si="5"/>
        <v>105000</v>
      </c>
      <c r="J36" s="152"/>
    </row>
    <row r="37" spans="1:10" ht="45" x14ac:dyDescent="0.2">
      <c r="A37" s="56">
        <v>28</v>
      </c>
      <c r="B37" s="54" t="s">
        <v>83</v>
      </c>
      <c r="C37" s="53" t="s">
        <v>91</v>
      </c>
      <c r="D37" s="54" t="str">
        <f t="shared" si="4"/>
        <v>2.3.1</v>
      </c>
      <c r="E37" s="65" t="s">
        <v>118</v>
      </c>
      <c r="F37" s="69" t="s">
        <v>55</v>
      </c>
      <c r="G37" s="65">
        <v>200</v>
      </c>
      <c r="H37" s="158">
        <v>586</v>
      </c>
      <c r="I37" s="57">
        <f t="shared" si="5"/>
        <v>117200</v>
      </c>
    </row>
    <row r="38" spans="1:10" ht="30" x14ac:dyDescent="0.25">
      <c r="A38" s="56">
        <v>29</v>
      </c>
      <c r="B38" s="94" t="s">
        <v>140</v>
      </c>
      <c r="C38" s="53" t="s">
        <v>91</v>
      </c>
      <c r="D38" s="54" t="str">
        <f t="shared" si="4"/>
        <v>2.9.2</v>
      </c>
      <c r="E38" s="98" t="s">
        <v>141</v>
      </c>
      <c r="F38" s="69" t="s">
        <v>55</v>
      </c>
      <c r="G38" s="65">
        <v>50</v>
      </c>
      <c r="H38" s="159">
        <v>50</v>
      </c>
      <c r="I38" s="57">
        <f t="shared" si="5"/>
        <v>2500</v>
      </c>
    </row>
    <row r="39" spans="1:10" ht="30" x14ac:dyDescent="0.2">
      <c r="A39" s="56">
        <v>30</v>
      </c>
      <c r="B39" s="54" t="s">
        <v>84</v>
      </c>
      <c r="C39" s="53" t="s">
        <v>91</v>
      </c>
      <c r="D39" s="54" t="str">
        <f t="shared" si="4"/>
        <v>2.9.2</v>
      </c>
      <c r="E39" s="65" t="s">
        <v>119</v>
      </c>
      <c r="F39" s="70" t="s">
        <v>55</v>
      </c>
      <c r="G39" s="65">
        <v>50</v>
      </c>
      <c r="H39" s="160">
        <v>45</v>
      </c>
      <c r="I39" s="57">
        <f t="shared" si="5"/>
        <v>2250</v>
      </c>
    </row>
    <row r="40" spans="1:10" ht="30" x14ac:dyDescent="0.2">
      <c r="A40" s="56">
        <v>31</v>
      </c>
      <c r="B40" s="54" t="s">
        <v>85</v>
      </c>
      <c r="C40" s="53" t="s">
        <v>91</v>
      </c>
      <c r="D40" s="54" t="str">
        <f t="shared" si="4"/>
        <v>2.9.2</v>
      </c>
      <c r="E40" s="65" t="s">
        <v>120</v>
      </c>
      <c r="F40" s="71" t="s">
        <v>55</v>
      </c>
      <c r="G40" s="65">
        <v>30</v>
      </c>
      <c r="H40" s="158">
        <v>75</v>
      </c>
      <c r="I40" s="57">
        <f t="shared" si="5"/>
        <v>2250</v>
      </c>
    </row>
    <row r="41" spans="1:10" ht="30.75" thickBot="1" x14ac:dyDescent="0.25">
      <c r="A41" s="56">
        <v>32</v>
      </c>
      <c r="B41" s="54" t="s">
        <v>86</v>
      </c>
      <c r="C41" s="53" t="s">
        <v>91</v>
      </c>
      <c r="D41" s="54" t="str">
        <f t="shared" si="4"/>
        <v>2.9.2</v>
      </c>
      <c r="E41" s="65" t="s">
        <v>121</v>
      </c>
      <c r="F41" s="72" t="s">
        <v>55</v>
      </c>
      <c r="G41" s="65">
        <v>150</v>
      </c>
      <c r="H41" s="161">
        <v>75</v>
      </c>
      <c r="I41" s="57">
        <f t="shared" si="5"/>
        <v>11250</v>
      </c>
    </row>
    <row r="42" spans="1:10" ht="30" x14ac:dyDescent="0.2">
      <c r="A42" s="56">
        <v>33</v>
      </c>
      <c r="B42" s="59" t="s">
        <v>87</v>
      </c>
      <c r="C42" s="53" t="s">
        <v>91</v>
      </c>
      <c r="D42" s="54" t="str">
        <f t="shared" ref="D42:D48" si="6">LEFT(B42,5)</f>
        <v>2.9.2</v>
      </c>
      <c r="E42" s="65" t="s">
        <v>122</v>
      </c>
      <c r="F42" s="69" t="s">
        <v>55</v>
      </c>
      <c r="G42" s="65">
        <v>80</v>
      </c>
      <c r="H42" s="158">
        <v>75</v>
      </c>
      <c r="I42" s="55">
        <f t="shared" ref="I42:I51" si="7">G42*H42</f>
        <v>6000</v>
      </c>
    </row>
    <row r="43" spans="1:10" ht="30" x14ac:dyDescent="0.25">
      <c r="A43" s="56">
        <v>34</v>
      </c>
      <c r="B43" s="99" t="s">
        <v>142</v>
      </c>
      <c r="C43" s="53" t="s">
        <v>91</v>
      </c>
      <c r="D43" s="54" t="str">
        <f t="shared" si="6"/>
        <v>2.9.2</v>
      </c>
      <c r="E43" s="100" t="s">
        <v>143</v>
      </c>
      <c r="F43" s="69" t="s">
        <v>55</v>
      </c>
      <c r="G43" s="65">
        <v>50</v>
      </c>
      <c r="H43" s="159">
        <v>70</v>
      </c>
      <c r="I43" s="57">
        <f t="shared" si="7"/>
        <v>3500</v>
      </c>
      <c r="J43" s="152"/>
    </row>
    <row r="44" spans="1:10" ht="45" x14ac:dyDescent="0.2">
      <c r="A44" s="56">
        <v>35</v>
      </c>
      <c r="B44" s="54" t="s">
        <v>88</v>
      </c>
      <c r="C44" s="53" t="s">
        <v>91</v>
      </c>
      <c r="D44" s="54" t="str">
        <f t="shared" si="6"/>
        <v>2.3.1</v>
      </c>
      <c r="E44" s="65" t="s">
        <v>123</v>
      </c>
      <c r="F44" s="153" t="s">
        <v>179</v>
      </c>
      <c r="G44" s="65">
        <v>2</v>
      </c>
      <c r="H44" s="158">
        <v>4008</v>
      </c>
      <c r="I44" s="57">
        <f t="shared" si="7"/>
        <v>8016</v>
      </c>
    </row>
    <row r="45" spans="1:10" ht="45" x14ac:dyDescent="0.2">
      <c r="A45" s="56">
        <v>36</v>
      </c>
      <c r="B45" s="54" t="s">
        <v>89</v>
      </c>
      <c r="C45" s="53" t="s">
        <v>91</v>
      </c>
      <c r="D45" s="54" t="str">
        <f t="shared" si="6"/>
        <v>2.3.1</v>
      </c>
      <c r="E45" s="65" t="s">
        <v>124</v>
      </c>
      <c r="F45" s="153" t="s">
        <v>179</v>
      </c>
      <c r="G45" s="65">
        <v>4</v>
      </c>
      <c r="H45" s="158">
        <v>2625</v>
      </c>
      <c r="I45" s="57">
        <f t="shared" si="7"/>
        <v>10500</v>
      </c>
    </row>
    <row r="46" spans="1:10" ht="45.75" thickBot="1" x14ac:dyDescent="0.25">
      <c r="A46" s="56">
        <v>37</v>
      </c>
      <c r="B46" s="54" t="s">
        <v>90</v>
      </c>
      <c r="C46" s="53" t="s">
        <v>91</v>
      </c>
      <c r="D46" s="54" t="str">
        <f t="shared" si="6"/>
        <v>2.3.1</v>
      </c>
      <c r="E46" s="65" t="s">
        <v>125</v>
      </c>
      <c r="F46" s="73" t="s">
        <v>55</v>
      </c>
      <c r="G46" s="65">
        <v>50</v>
      </c>
      <c r="H46" s="158">
        <v>7.5</v>
      </c>
      <c r="I46" s="57">
        <f t="shared" si="7"/>
        <v>375</v>
      </c>
      <c r="J46" s="152"/>
    </row>
    <row r="47" spans="1:10" ht="30" x14ac:dyDescent="0.2">
      <c r="A47" s="56">
        <v>38</v>
      </c>
      <c r="B47" s="54" t="s">
        <v>159</v>
      </c>
      <c r="C47" s="53" t="s">
        <v>91</v>
      </c>
      <c r="D47" s="54" t="str">
        <f t="shared" si="6"/>
        <v>2.5.8</v>
      </c>
      <c r="E47" s="65" t="s">
        <v>160</v>
      </c>
      <c r="F47" s="70" t="s">
        <v>161</v>
      </c>
      <c r="G47" s="65">
        <v>27</v>
      </c>
      <c r="H47" s="158">
        <v>2020</v>
      </c>
      <c r="I47" s="57">
        <f t="shared" si="7"/>
        <v>54540</v>
      </c>
    </row>
    <row r="48" spans="1:10" ht="30" x14ac:dyDescent="0.2">
      <c r="A48" s="56">
        <v>39</v>
      </c>
      <c r="B48" t="s">
        <v>180</v>
      </c>
      <c r="C48" s="53" t="s">
        <v>91</v>
      </c>
      <c r="D48" s="54" t="str">
        <f t="shared" si="6"/>
        <v>2.3.1</v>
      </c>
      <c r="E48" s="155" t="s">
        <v>129</v>
      </c>
      <c r="F48" s="77" t="s">
        <v>55</v>
      </c>
      <c r="G48" s="65">
        <v>50</v>
      </c>
      <c r="H48" s="158">
        <v>189</v>
      </c>
      <c r="I48" s="57">
        <f t="shared" si="7"/>
        <v>9450</v>
      </c>
    </row>
    <row r="49" spans="1:10" ht="30" x14ac:dyDescent="0.2">
      <c r="A49" s="56">
        <v>40</v>
      </c>
      <c r="B49" s="142" t="s">
        <v>168</v>
      </c>
      <c r="C49" s="53" t="s">
        <v>91</v>
      </c>
      <c r="D49" s="54" t="str">
        <f t="shared" ref="D49:D51" si="8">LEFT(B49,5)</f>
        <v>2.9.2</v>
      </c>
      <c r="E49" s="143" t="s">
        <v>169</v>
      </c>
      <c r="F49" s="77" t="s">
        <v>55</v>
      </c>
      <c r="G49" s="65">
        <v>30</v>
      </c>
      <c r="H49" s="159">
        <v>200</v>
      </c>
      <c r="I49" s="57">
        <f t="shared" si="7"/>
        <v>6000</v>
      </c>
      <c r="J49" s="152"/>
    </row>
    <row r="50" spans="1:10" ht="30" x14ac:dyDescent="0.2">
      <c r="A50" s="56">
        <v>41</v>
      </c>
      <c r="B50" s="144" t="s">
        <v>170</v>
      </c>
      <c r="C50" s="53" t="s">
        <v>91</v>
      </c>
      <c r="D50" s="54" t="str">
        <f t="shared" si="8"/>
        <v>2.9.2</v>
      </c>
      <c r="E50" s="143" t="s">
        <v>171</v>
      </c>
      <c r="F50" s="77" t="s">
        <v>55</v>
      </c>
      <c r="G50" s="65">
        <v>50</v>
      </c>
      <c r="H50" s="159">
        <v>300</v>
      </c>
      <c r="I50" s="57">
        <f t="shared" si="7"/>
        <v>15000</v>
      </c>
    </row>
    <row r="51" spans="1:10" ht="38.25" x14ac:dyDescent="0.2">
      <c r="A51" s="56">
        <v>42</v>
      </c>
      <c r="B51" s="146" t="s">
        <v>173</v>
      </c>
      <c r="C51" s="53" t="s">
        <v>91</v>
      </c>
      <c r="D51" s="54" t="str">
        <f t="shared" si="8"/>
        <v>2.9.2</v>
      </c>
      <c r="E51" s="145" t="s">
        <v>172</v>
      </c>
      <c r="F51" s="77" t="s">
        <v>55</v>
      </c>
      <c r="G51" s="65">
        <v>200</v>
      </c>
      <c r="H51" s="159">
        <v>80</v>
      </c>
      <c r="I51" s="57">
        <f t="shared" si="7"/>
        <v>16000</v>
      </c>
    </row>
    <row r="52" spans="1:10" ht="15" x14ac:dyDescent="0.2">
      <c r="A52" s="108"/>
      <c r="B52" s="108"/>
      <c r="C52" s="108"/>
      <c r="D52" s="108"/>
      <c r="E52" s="109"/>
      <c r="F52" s="110"/>
      <c r="G52" s="109"/>
      <c r="H52" s="162"/>
      <c r="I52" s="111"/>
    </row>
    <row r="53" spans="1:10" ht="15" x14ac:dyDescent="0.2">
      <c r="A53" s="108"/>
      <c r="B53" s="108"/>
      <c r="C53" s="108"/>
      <c r="D53" s="108"/>
      <c r="E53" s="109"/>
      <c r="F53" s="110"/>
      <c r="G53" s="109"/>
      <c r="H53" s="162"/>
      <c r="I53" s="111"/>
    </row>
    <row r="54" spans="1:10" ht="15" x14ac:dyDescent="0.2">
      <c r="A54" s="108"/>
      <c r="B54" s="108"/>
      <c r="C54" s="108"/>
      <c r="D54" s="108"/>
      <c r="E54" s="109"/>
      <c r="F54" s="110"/>
      <c r="G54" s="109"/>
      <c r="H54" s="162"/>
      <c r="I54" s="111"/>
    </row>
    <row r="55" spans="1:10" ht="15" x14ac:dyDescent="0.2">
      <c r="A55" s="108"/>
      <c r="B55" s="108"/>
      <c r="C55" s="108"/>
      <c r="D55" s="108"/>
      <c r="E55" s="109"/>
      <c r="F55" s="110"/>
      <c r="G55" s="109"/>
      <c r="H55" s="162"/>
      <c r="I55" s="111"/>
    </row>
    <row r="56" spans="1:10" ht="15.75" thickBot="1" x14ac:dyDescent="0.25">
      <c r="A56" s="108"/>
      <c r="B56" s="108"/>
      <c r="C56" s="108"/>
      <c r="D56" s="108"/>
      <c r="E56" s="109"/>
      <c r="F56" s="110"/>
      <c r="G56" s="109"/>
      <c r="H56" s="162"/>
      <c r="I56" s="111"/>
    </row>
    <row r="57" spans="1:10" ht="15" x14ac:dyDescent="0.2">
      <c r="A57" s="108"/>
      <c r="B57" s="78" t="s">
        <v>177</v>
      </c>
      <c r="C57" s="79"/>
      <c r="D57" s="79"/>
      <c r="E57" s="80"/>
      <c r="F57" s="110"/>
      <c r="G57" s="109"/>
      <c r="H57" s="162"/>
      <c r="I57" s="111"/>
    </row>
    <row r="58" spans="1:10" ht="15" x14ac:dyDescent="0.2">
      <c r="A58" s="108"/>
      <c r="B58" s="81"/>
      <c r="C58" s="40"/>
      <c r="D58" s="40"/>
      <c r="E58" s="82"/>
      <c r="F58" s="110"/>
      <c r="G58" s="109"/>
      <c r="H58" s="162"/>
      <c r="I58" s="111"/>
    </row>
    <row r="59" spans="1:10" ht="15" x14ac:dyDescent="0.2">
      <c r="A59" s="108"/>
      <c r="B59" s="83" t="s">
        <v>130</v>
      </c>
      <c r="C59" s="40"/>
      <c r="D59" s="40"/>
      <c r="E59" s="82"/>
      <c r="F59" s="110"/>
      <c r="G59" s="109"/>
      <c r="H59" s="162"/>
      <c r="I59" s="111"/>
    </row>
    <row r="60" spans="1:10" ht="15" x14ac:dyDescent="0.25">
      <c r="A60" s="108"/>
      <c r="B60" s="83"/>
      <c r="C60" s="170"/>
      <c r="D60" s="170"/>
      <c r="E60" s="171"/>
      <c r="F60" s="110"/>
      <c r="G60" s="109"/>
      <c r="H60" s="162"/>
      <c r="I60" s="111"/>
    </row>
    <row r="61" spans="1:10" ht="15" x14ac:dyDescent="0.2">
      <c r="A61" s="108"/>
      <c r="B61" s="113" t="s">
        <v>146</v>
      </c>
      <c r="C61" s="84"/>
      <c r="D61" s="164" t="s">
        <v>147</v>
      </c>
      <c r="E61" s="165"/>
      <c r="F61" s="110"/>
      <c r="G61" s="109"/>
      <c r="H61" s="162"/>
      <c r="I61" s="111"/>
    </row>
    <row r="62" spans="1:10" ht="15" x14ac:dyDescent="0.2">
      <c r="A62" s="108"/>
      <c r="B62" s="83"/>
      <c r="C62" s="84"/>
      <c r="D62" s="104"/>
      <c r="E62" s="105"/>
      <c r="F62" s="110"/>
      <c r="G62" s="109"/>
      <c r="H62" s="162"/>
      <c r="I62" s="111"/>
    </row>
    <row r="63" spans="1:10" ht="15" x14ac:dyDescent="0.2">
      <c r="A63" s="108"/>
      <c r="B63" s="112" t="s">
        <v>148</v>
      </c>
      <c r="C63" s="164" t="s">
        <v>132</v>
      </c>
      <c r="D63" s="164"/>
      <c r="E63" s="165"/>
      <c r="F63" s="110"/>
      <c r="G63" s="109"/>
      <c r="H63" s="162"/>
      <c r="I63" s="111"/>
    </row>
    <row r="64" spans="1:10" ht="15" x14ac:dyDescent="0.2">
      <c r="A64" s="108"/>
      <c r="B64" s="86"/>
      <c r="C64" s="164"/>
      <c r="D64" s="164"/>
      <c r="E64" s="165"/>
      <c r="F64" s="110"/>
      <c r="G64" s="109"/>
      <c r="H64" s="162"/>
      <c r="I64" s="111"/>
    </row>
    <row r="65" spans="1:9" ht="15" x14ac:dyDescent="0.2">
      <c r="A65" s="108"/>
      <c r="B65" s="166" t="s">
        <v>149</v>
      </c>
      <c r="C65" s="167"/>
      <c r="D65" s="164" t="s">
        <v>150</v>
      </c>
      <c r="E65" s="165"/>
      <c r="F65" s="110"/>
      <c r="G65" s="109"/>
      <c r="H65" s="162"/>
      <c r="I65" s="111"/>
    </row>
    <row r="66" spans="1:9" ht="15" x14ac:dyDescent="0.2">
      <c r="A66" s="108"/>
      <c r="B66" s="114"/>
      <c r="C66" s="115"/>
      <c r="D66" s="104"/>
      <c r="E66" s="105"/>
      <c r="F66" s="110"/>
      <c r="G66" s="109"/>
      <c r="H66" s="162"/>
      <c r="I66" s="111"/>
    </row>
    <row r="67" spans="1:9" ht="15" x14ac:dyDescent="0.2">
      <c r="A67" s="108"/>
      <c r="B67" s="83" t="s">
        <v>133</v>
      </c>
      <c r="C67" s="84"/>
      <c r="D67" s="84"/>
      <c r="E67" s="85"/>
      <c r="F67" s="110"/>
      <c r="G67" s="109"/>
      <c r="H67" s="162"/>
      <c r="I67" s="111"/>
    </row>
    <row r="68" spans="1:9" ht="15" x14ac:dyDescent="0.2">
      <c r="A68" s="108"/>
      <c r="B68" s="86"/>
      <c r="C68" s="172"/>
      <c r="D68" s="172"/>
      <c r="E68" s="173"/>
      <c r="F68" s="110"/>
      <c r="G68" s="109"/>
      <c r="H68" s="162"/>
      <c r="I68" s="111"/>
    </row>
    <row r="69" spans="1:9" ht="15" x14ac:dyDescent="0.2">
      <c r="A69" s="108"/>
      <c r="B69" s="83" t="s">
        <v>134</v>
      </c>
      <c r="C69" s="106"/>
      <c r="D69" s="106"/>
      <c r="E69" s="107"/>
      <c r="F69" s="110"/>
      <c r="G69" s="109"/>
      <c r="H69" s="162"/>
      <c r="I69" s="111"/>
    </row>
    <row r="70" spans="1:9" ht="15" x14ac:dyDescent="0.2">
      <c r="A70" s="108"/>
      <c r="B70" s="86"/>
      <c r="C70" s="172" t="s">
        <v>166</v>
      </c>
      <c r="D70" s="172"/>
      <c r="E70" s="173"/>
      <c r="F70" s="110"/>
      <c r="G70" s="109"/>
      <c r="H70" s="162"/>
      <c r="I70" s="111"/>
    </row>
    <row r="71" spans="1:9" ht="15" x14ac:dyDescent="0.2">
      <c r="A71" s="108"/>
      <c r="B71" s="83" t="s">
        <v>135</v>
      </c>
      <c r="C71" s="84"/>
      <c r="D71" s="84"/>
      <c r="E71" s="85"/>
      <c r="F71" s="110"/>
      <c r="G71" s="109"/>
      <c r="H71" s="162"/>
      <c r="I71" s="111"/>
    </row>
    <row r="72" spans="1:9" ht="15" x14ac:dyDescent="0.2">
      <c r="A72" s="108"/>
      <c r="B72" s="83"/>
      <c r="C72" s="164"/>
      <c r="D72" s="164"/>
      <c r="E72" s="165"/>
      <c r="F72" s="110"/>
      <c r="G72" s="109"/>
      <c r="H72" s="162"/>
      <c r="I72" s="111"/>
    </row>
    <row r="73" spans="1:9" ht="15.75" thickBot="1" x14ac:dyDescent="0.25">
      <c r="A73" s="108"/>
      <c r="B73" s="89"/>
      <c r="C73" s="90"/>
      <c r="D73" s="90"/>
      <c r="E73" s="91"/>
      <c r="F73" s="110"/>
      <c r="G73" s="109"/>
      <c r="H73" s="162"/>
      <c r="I73" s="111"/>
    </row>
    <row r="74" spans="1:9" ht="15" x14ac:dyDescent="0.2">
      <c r="A74" s="108"/>
      <c r="B74" s="108"/>
      <c r="C74" s="108"/>
      <c r="D74" s="108"/>
      <c r="E74" s="109"/>
      <c r="F74" s="110"/>
      <c r="G74" s="109"/>
      <c r="H74" s="162"/>
      <c r="I74" s="111"/>
    </row>
    <row r="75" spans="1:9" ht="15" x14ac:dyDescent="0.2">
      <c r="A75" s="108"/>
      <c r="B75" s="108"/>
      <c r="C75" s="108"/>
      <c r="D75" s="108"/>
      <c r="E75" s="109"/>
      <c r="F75" s="110"/>
      <c r="G75" s="109"/>
      <c r="H75" s="162"/>
      <c r="I75" s="111"/>
    </row>
    <row r="76" spans="1:9" ht="13.5" thickBot="1" x14ac:dyDescent="0.25">
      <c r="B76" s="60"/>
      <c r="C76" s="40"/>
      <c r="D76" s="40"/>
      <c r="E76" s="40"/>
    </row>
    <row r="77" spans="1:9" x14ac:dyDescent="0.2">
      <c r="B77" s="78" t="s">
        <v>152</v>
      </c>
      <c r="C77" s="79"/>
      <c r="D77" s="79"/>
      <c r="E77" s="80"/>
    </row>
    <row r="78" spans="1:9" ht="5.25" customHeight="1" x14ac:dyDescent="0.2">
      <c r="B78" s="81"/>
      <c r="C78" s="40"/>
      <c r="D78" s="40"/>
      <c r="E78" s="82"/>
    </row>
    <row r="79" spans="1:9" x14ac:dyDescent="0.2">
      <c r="B79" s="83" t="s">
        <v>130</v>
      </c>
      <c r="C79" s="40"/>
      <c r="D79" s="40"/>
      <c r="E79" s="82"/>
    </row>
    <row r="80" spans="1:9" ht="41.25" customHeight="1" x14ac:dyDescent="0.25">
      <c r="B80" s="83"/>
      <c r="C80" s="170" t="s">
        <v>131</v>
      </c>
      <c r="D80" s="170"/>
      <c r="E80" s="171"/>
    </row>
    <row r="81" spans="2:5" ht="41.25" customHeight="1" x14ac:dyDescent="0.25">
      <c r="B81" s="83"/>
      <c r="C81" s="102"/>
      <c r="D81" s="102"/>
      <c r="E81" s="103"/>
    </row>
    <row r="82" spans="2:5" x14ac:dyDescent="0.2">
      <c r="B82" s="113" t="s">
        <v>146</v>
      </c>
      <c r="C82" s="164" t="s">
        <v>147</v>
      </c>
      <c r="D82" s="164"/>
      <c r="E82" s="165"/>
    </row>
    <row r="83" spans="2:5" x14ac:dyDescent="0.2">
      <c r="B83" s="113"/>
      <c r="C83" s="104"/>
      <c r="D83" s="104"/>
      <c r="E83" s="105"/>
    </row>
    <row r="84" spans="2:5" x14ac:dyDescent="0.2">
      <c r="B84" s="113" t="s">
        <v>151</v>
      </c>
      <c r="C84" s="164" t="s">
        <v>132</v>
      </c>
      <c r="D84" s="164"/>
      <c r="E84" s="165"/>
    </row>
    <row r="85" spans="2:5" x14ac:dyDescent="0.2">
      <c r="B85" s="86"/>
      <c r="C85" s="164"/>
      <c r="D85" s="164"/>
      <c r="E85" s="165"/>
    </row>
    <row r="86" spans="2:5" x14ac:dyDescent="0.2">
      <c r="B86" s="168" t="s">
        <v>149</v>
      </c>
      <c r="C86" s="169"/>
      <c r="D86" s="164" t="s">
        <v>150</v>
      </c>
      <c r="E86" s="165"/>
    </row>
    <row r="87" spans="2:5" x14ac:dyDescent="0.2">
      <c r="B87" s="116"/>
      <c r="C87" s="117"/>
      <c r="D87" s="104"/>
      <c r="E87" s="105"/>
    </row>
    <row r="88" spans="2:5" x14ac:dyDescent="0.2">
      <c r="B88" s="83" t="s">
        <v>133</v>
      </c>
      <c r="C88" s="84"/>
      <c r="D88" s="84"/>
      <c r="E88" s="85"/>
    </row>
    <row r="89" spans="2:5" ht="26.25" customHeight="1" x14ac:dyDescent="0.2">
      <c r="B89" s="86"/>
      <c r="C89" s="172"/>
      <c r="D89" s="172"/>
      <c r="E89" s="173"/>
    </row>
    <row r="90" spans="2:5" x14ac:dyDescent="0.2">
      <c r="B90" s="83" t="s">
        <v>134</v>
      </c>
      <c r="C90" s="87"/>
      <c r="D90" s="87"/>
      <c r="E90" s="88"/>
    </row>
    <row r="91" spans="2:5" ht="26.25" customHeight="1" x14ac:dyDescent="0.2">
      <c r="B91" s="86"/>
      <c r="C91" s="172" t="s">
        <v>166</v>
      </c>
      <c r="D91" s="172"/>
      <c r="E91" s="173"/>
    </row>
    <row r="92" spans="2:5" x14ac:dyDescent="0.2">
      <c r="B92" s="83" t="s">
        <v>135</v>
      </c>
      <c r="C92" s="84"/>
      <c r="D92" s="84"/>
      <c r="E92" s="85"/>
    </row>
    <row r="93" spans="2:5" ht="23.25" customHeight="1" x14ac:dyDescent="0.2">
      <c r="B93" s="83"/>
      <c r="C93" s="164"/>
      <c r="D93" s="164"/>
      <c r="E93" s="165"/>
    </row>
    <row r="94" spans="2:5" ht="13.5" thickBot="1" x14ac:dyDescent="0.25">
      <c r="B94" s="89"/>
      <c r="C94" s="90"/>
      <c r="D94" s="90"/>
      <c r="E94" s="91"/>
    </row>
    <row r="95" spans="2:5" ht="13.5" thickBot="1" x14ac:dyDescent="0.25"/>
    <row r="96" spans="2:5" x14ac:dyDescent="0.2">
      <c r="B96" s="78" t="s">
        <v>153</v>
      </c>
      <c r="C96" s="79"/>
      <c r="D96" s="79"/>
      <c r="E96" s="80"/>
    </row>
    <row r="97" spans="2:5" ht="7.5" customHeight="1" x14ac:dyDescent="0.2">
      <c r="B97" s="81"/>
      <c r="C97" s="40"/>
      <c r="D97" s="40"/>
      <c r="E97" s="82"/>
    </row>
    <row r="98" spans="2:5" x14ac:dyDescent="0.2">
      <c r="B98" s="83" t="s">
        <v>130</v>
      </c>
      <c r="C98" s="40"/>
      <c r="D98" s="40"/>
      <c r="E98" s="82"/>
    </row>
    <row r="99" spans="2:5" ht="39" customHeight="1" x14ac:dyDescent="0.25">
      <c r="B99" s="83"/>
      <c r="C99" s="170" t="s">
        <v>136</v>
      </c>
      <c r="D99" s="170"/>
      <c r="E99" s="171"/>
    </row>
    <row r="100" spans="2:5" ht="15" customHeight="1" x14ac:dyDescent="0.25">
      <c r="B100" s="83"/>
      <c r="C100" s="102"/>
      <c r="D100" s="102"/>
      <c r="E100" s="103"/>
    </row>
    <row r="101" spans="2:5" x14ac:dyDescent="0.2">
      <c r="B101" s="113" t="s">
        <v>154</v>
      </c>
      <c r="C101" s="84"/>
      <c r="D101" s="164" t="s">
        <v>147</v>
      </c>
      <c r="E101" s="165"/>
    </row>
    <row r="102" spans="2:5" x14ac:dyDescent="0.2">
      <c r="B102" s="113"/>
      <c r="C102" s="164"/>
      <c r="D102" s="164"/>
      <c r="E102" s="165"/>
    </row>
    <row r="103" spans="2:5" x14ac:dyDescent="0.2">
      <c r="B103" s="113" t="s">
        <v>155</v>
      </c>
      <c r="C103" s="164" t="s">
        <v>132</v>
      </c>
      <c r="D103" s="164"/>
      <c r="E103" s="165"/>
    </row>
    <row r="104" spans="2:5" x14ac:dyDescent="0.2">
      <c r="B104" s="113"/>
      <c r="C104" s="104"/>
      <c r="D104" s="104"/>
      <c r="E104" s="105"/>
    </row>
    <row r="105" spans="2:5" x14ac:dyDescent="0.2">
      <c r="B105" s="113" t="s">
        <v>149</v>
      </c>
      <c r="C105" s="164" t="s">
        <v>150</v>
      </c>
      <c r="D105" s="164"/>
      <c r="E105" s="165"/>
    </row>
    <row r="106" spans="2:5" x14ac:dyDescent="0.2">
      <c r="B106" s="113"/>
      <c r="C106" s="104"/>
      <c r="D106" s="104"/>
      <c r="E106" s="105"/>
    </row>
    <row r="107" spans="2:5" x14ac:dyDescent="0.2">
      <c r="B107" s="83" t="s">
        <v>133</v>
      </c>
      <c r="C107" s="84"/>
      <c r="D107" s="84"/>
      <c r="E107" s="85"/>
    </row>
    <row r="108" spans="2:5" x14ac:dyDescent="0.2">
      <c r="B108" s="86"/>
      <c r="C108" s="172"/>
      <c r="D108" s="172"/>
      <c r="E108" s="173"/>
    </row>
    <row r="109" spans="2:5" x14ac:dyDescent="0.2">
      <c r="B109" s="83" t="s">
        <v>134</v>
      </c>
      <c r="C109" s="87"/>
      <c r="D109" s="87"/>
      <c r="E109" s="88"/>
    </row>
    <row r="110" spans="2:5" x14ac:dyDescent="0.2">
      <c r="B110" s="86"/>
      <c r="C110" s="172" t="s">
        <v>166</v>
      </c>
      <c r="D110" s="172"/>
      <c r="E110" s="173"/>
    </row>
    <row r="111" spans="2:5" x14ac:dyDescent="0.2">
      <c r="B111" s="83" t="s">
        <v>135</v>
      </c>
      <c r="C111" s="84"/>
      <c r="D111" s="84"/>
      <c r="E111" s="85"/>
    </row>
    <row r="112" spans="2:5" x14ac:dyDescent="0.2">
      <c r="B112" s="83"/>
      <c r="C112" s="164"/>
      <c r="D112" s="164"/>
      <c r="E112" s="165"/>
    </row>
    <row r="113" spans="2:5" ht="13.5" thickBot="1" x14ac:dyDescent="0.25">
      <c r="B113" s="89"/>
      <c r="C113" s="90"/>
      <c r="D113" s="90"/>
      <c r="E113" s="91"/>
    </row>
    <row r="114" spans="2:5" ht="13.5" thickBot="1" x14ac:dyDescent="0.25"/>
    <row r="115" spans="2:5" x14ac:dyDescent="0.2">
      <c r="B115" s="78" t="s">
        <v>137</v>
      </c>
      <c r="C115" s="79" t="s">
        <v>144</v>
      </c>
      <c r="D115" s="79"/>
      <c r="E115" s="80"/>
    </row>
    <row r="116" spans="2:5" ht="5.25" customHeight="1" x14ac:dyDescent="0.2">
      <c r="B116" s="81"/>
      <c r="C116" s="40"/>
      <c r="D116" s="40"/>
      <c r="E116" s="82"/>
    </row>
    <row r="117" spans="2:5" x14ac:dyDescent="0.2">
      <c r="B117" s="83" t="s">
        <v>130</v>
      </c>
      <c r="C117" s="40"/>
      <c r="D117" s="40"/>
      <c r="E117" s="82"/>
    </row>
    <row r="118" spans="2:5" ht="59.25" customHeight="1" x14ac:dyDescent="0.25">
      <c r="B118" s="83"/>
      <c r="C118" s="170" t="s">
        <v>174</v>
      </c>
      <c r="D118" s="170"/>
      <c r="E118" s="171"/>
    </row>
    <row r="119" spans="2:5" x14ac:dyDescent="0.2">
      <c r="B119" s="113" t="s">
        <v>154</v>
      </c>
      <c r="C119" s="164" t="s">
        <v>147</v>
      </c>
      <c r="D119" s="164"/>
      <c r="E119" s="165"/>
    </row>
    <row r="120" spans="2:5" x14ac:dyDescent="0.2">
      <c r="B120" s="86"/>
      <c r="C120" s="164"/>
      <c r="D120" s="164"/>
      <c r="E120" s="165"/>
    </row>
    <row r="121" spans="2:5" x14ac:dyDescent="0.2">
      <c r="B121" s="113" t="s">
        <v>155</v>
      </c>
      <c r="C121" s="164" t="s">
        <v>132</v>
      </c>
      <c r="D121" s="164"/>
      <c r="E121" s="165"/>
    </row>
    <row r="122" spans="2:5" x14ac:dyDescent="0.2">
      <c r="B122" s="113"/>
      <c r="C122" s="104"/>
      <c r="D122" s="104"/>
      <c r="E122" s="105"/>
    </row>
    <row r="123" spans="2:5" x14ac:dyDescent="0.2">
      <c r="B123" s="113" t="s">
        <v>149</v>
      </c>
      <c r="C123" s="164" t="s">
        <v>150</v>
      </c>
      <c r="D123" s="164"/>
      <c r="E123" s="165"/>
    </row>
    <row r="124" spans="2:5" x14ac:dyDescent="0.2">
      <c r="B124" s="113"/>
      <c r="C124" s="104"/>
      <c r="D124" s="104"/>
      <c r="E124" s="105"/>
    </row>
    <row r="125" spans="2:5" x14ac:dyDescent="0.2">
      <c r="B125" s="83" t="s">
        <v>133</v>
      </c>
      <c r="C125" s="84"/>
      <c r="D125" s="84"/>
      <c r="E125" s="85"/>
    </row>
    <row r="126" spans="2:5" ht="26.25" customHeight="1" x14ac:dyDescent="0.2">
      <c r="B126" s="86"/>
      <c r="C126" s="172"/>
      <c r="D126" s="172"/>
      <c r="E126" s="173"/>
    </row>
    <row r="127" spans="2:5" x14ac:dyDescent="0.2">
      <c r="B127" s="83" t="s">
        <v>134</v>
      </c>
      <c r="C127" s="87"/>
      <c r="D127" s="87"/>
      <c r="E127" s="88"/>
    </row>
    <row r="128" spans="2:5" ht="26.25" customHeight="1" x14ac:dyDescent="0.2">
      <c r="B128" s="86"/>
      <c r="C128" s="172" t="s">
        <v>166</v>
      </c>
      <c r="D128" s="172"/>
      <c r="E128" s="173"/>
    </row>
    <row r="129" spans="2:5" x14ac:dyDescent="0.2">
      <c r="B129" s="83" t="s">
        <v>135</v>
      </c>
      <c r="C129" s="84"/>
      <c r="D129" s="84"/>
      <c r="E129" s="85"/>
    </row>
    <row r="130" spans="2:5" ht="23.25" customHeight="1" x14ac:dyDescent="0.2">
      <c r="B130" s="83"/>
      <c r="C130" s="164"/>
      <c r="D130" s="164"/>
      <c r="E130" s="165"/>
    </row>
    <row r="131" spans="2:5" ht="13.5" thickBot="1" x14ac:dyDescent="0.25">
      <c r="B131" s="89"/>
      <c r="C131" s="90"/>
      <c r="D131" s="90"/>
      <c r="E131" s="91"/>
    </row>
    <row r="133" spans="2:5" ht="13.5" thickBot="1" x14ac:dyDescent="0.25"/>
    <row r="134" spans="2:5" x14ac:dyDescent="0.2">
      <c r="B134" s="78" t="s">
        <v>156</v>
      </c>
      <c r="C134" s="79"/>
      <c r="D134" s="79"/>
      <c r="E134" s="80"/>
    </row>
    <row r="135" spans="2:5" x14ac:dyDescent="0.2">
      <c r="B135" s="81"/>
      <c r="C135" s="40"/>
      <c r="D135" s="40"/>
      <c r="E135" s="82"/>
    </row>
    <row r="136" spans="2:5" x14ac:dyDescent="0.2">
      <c r="B136" s="83" t="s">
        <v>130</v>
      </c>
      <c r="C136" s="40"/>
      <c r="D136" s="40"/>
      <c r="E136" s="82"/>
    </row>
    <row r="137" spans="2:5" ht="12.75" customHeight="1" x14ac:dyDescent="0.2">
      <c r="B137" s="83"/>
      <c r="C137" s="177" t="s">
        <v>175</v>
      </c>
      <c r="D137" s="177"/>
      <c r="E137" s="178"/>
    </row>
    <row r="138" spans="2:5" ht="12.75" customHeight="1" x14ac:dyDescent="0.2">
      <c r="B138" s="83"/>
      <c r="C138" s="177"/>
      <c r="D138" s="177"/>
      <c r="E138" s="178"/>
    </row>
    <row r="139" spans="2:5" ht="37.5" customHeight="1" x14ac:dyDescent="0.2">
      <c r="B139" s="83"/>
      <c r="C139" s="177"/>
      <c r="D139" s="177"/>
      <c r="E139" s="178"/>
    </row>
    <row r="140" spans="2:5" x14ac:dyDescent="0.2">
      <c r="B140" s="113" t="s">
        <v>154</v>
      </c>
      <c r="C140" s="164" t="s">
        <v>147</v>
      </c>
      <c r="D140" s="164"/>
      <c r="E140" s="165"/>
    </row>
    <row r="141" spans="2:5" x14ac:dyDescent="0.2">
      <c r="B141" s="113"/>
      <c r="C141" s="104"/>
      <c r="D141" s="104"/>
      <c r="E141" s="105"/>
    </row>
    <row r="142" spans="2:5" x14ac:dyDescent="0.2">
      <c r="B142" s="113" t="s">
        <v>155</v>
      </c>
      <c r="C142" s="164" t="s">
        <v>132</v>
      </c>
      <c r="D142" s="164"/>
      <c r="E142" s="165"/>
    </row>
    <row r="143" spans="2:5" x14ac:dyDescent="0.2">
      <c r="B143" s="113"/>
      <c r="C143" s="104"/>
      <c r="D143" s="104"/>
      <c r="E143" s="105"/>
    </row>
    <row r="144" spans="2:5" x14ac:dyDescent="0.2">
      <c r="B144" s="113" t="s">
        <v>149</v>
      </c>
      <c r="C144" s="164" t="s">
        <v>150</v>
      </c>
      <c r="D144" s="164"/>
      <c r="E144" s="165"/>
    </row>
    <row r="145" spans="2:5" x14ac:dyDescent="0.2">
      <c r="B145" s="113"/>
      <c r="C145" s="104"/>
      <c r="D145" s="104"/>
      <c r="E145" s="105"/>
    </row>
    <row r="146" spans="2:5" x14ac:dyDescent="0.2">
      <c r="B146" s="83" t="s">
        <v>133</v>
      </c>
      <c r="C146" s="84"/>
      <c r="D146" s="84"/>
      <c r="E146" s="85"/>
    </row>
    <row r="147" spans="2:5" x14ac:dyDescent="0.2">
      <c r="B147" s="86"/>
      <c r="C147" s="172"/>
      <c r="D147" s="172"/>
      <c r="E147" s="173"/>
    </row>
    <row r="148" spans="2:5" x14ac:dyDescent="0.2">
      <c r="B148" s="83" t="s">
        <v>134</v>
      </c>
      <c r="C148" s="92"/>
      <c r="D148" s="92"/>
      <c r="E148" s="93"/>
    </row>
    <row r="149" spans="2:5" x14ac:dyDescent="0.2">
      <c r="B149" s="86"/>
      <c r="C149" s="172" t="s">
        <v>166</v>
      </c>
      <c r="D149" s="172"/>
      <c r="E149" s="173"/>
    </row>
    <row r="150" spans="2:5" x14ac:dyDescent="0.2">
      <c r="B150" s="83" t="s">
        <v>135</v>
      </c>
      <c r="C150" s="84"/>
      <c r="D150" s="84"/>
      <c r="E150" s="85"/>
    </row>
    <row r="151" spans="2:5" x14ac:dyDescent="0.2">
      <c r="B151" s="83"/>
      <c r="C151" s="164"/>
      <c r="D151" s="164"/>
      <c r="E151" s="165"/>
    </row>
    <row r="152" spans="2:5" ht="13.5" thickBot="1" x14ac:dyDescent="0.25">
      <c r="B152" s="89"/>
      <c r="C152" s="90"/>
      <c r="D152" s="90"/>
      <c r="E152" s="91"/>
    </row>
    <row r="153" spans="2:5" ht="13.5" thickBot="1" x14ac:dyDescent="0.25"/>
    <row r="154" spans="2:5" x14ac:dyDescent="0.2">
      <c r="B154" s="118" t="s">
        <v>165</v>
      </c>
      <c r="C154" s="119"/>
      <c r="D154" s="120"/>
      <c r="E154" s="121"/>
    </row>
    <row r="155" spans="2:5" x14ac:dyDescent="0.2">
      <c r="B155" s="122"/>
      <c r="C155" s="123"/>
      <c r="D155" s="124"/>
      <c r="E155" s="125"/>
    </row>
    <row r="156" spans="2:5" x14ac:dyDescent="0.2">
      <c r="B156" s="122" t="s">
        <v>130</v>
      </c>
      <c r="C156" s="123"/>
      <c r="D156" s="124"/>
      <c r="E156" s="125"/>
    </row>
    <row r="157" spans="2:5" x14ac:dyDescent="0.2">
      <c r="B157" s="126"/>
      <c r="C157" s="180" t="s">
        <v>176</v>
      </c>
      <c r="D157" s="180"/>
      <c r="E157" s="180"/>
    </row>
    <row r="158" spans="2:5" ht="15" x14ac:dyDescent="0.25">
      <c r="B158" s="138"/>
      <c r="C158" s="127"/>
      <c r="D158" s="127"/>
      <c r="E158" s="128"/>
    </row>
    <row r="159" spans="2:5" ht="15" x14ac:dyDescent="0.25">
      <c r="B159" s="138"/>
      <c r="C159" s="127"/>
      <c r="D159" s="127"/>
      <c r="E159" s="128"/>
    </row>
    <row r="160" spans="2:5" x14ac:dyDescent="0.2">
      <c r="B160" s="139" t="s">
        <v>146</v>
      </c>
      <c r="C160" s="181" t="s">
        <v>162</v>
      </c>
      <c r="D160" s="181"/>
      <c r="E160" s="182"/>
    </row>
    <row r="161" spans="2:5" x14ac:dyDescent="0.2">
      <c r="B161" s="140"/>
      <c r="C161" s="129"/>
      <c r="D161" s="40"/>
      <c r="E161" s="130"/>
    </row>
    <row r="162" spans="2:5" ht="12.75" customHeight="1" x14ac:dyDescent="0.2">
      <c r="B162" s="139" t="s">
        <v>148</v>
      </c>
      <c r="C162" s="164" t="s">
        <v>132</v>
      </c>
      <c r="D162" s="164"/>
      <c r="E162" s="165"/>
    </row>
    <row r="163" spans="2:5" x14ac:dyDescent="0.2">
      <c r="B163" s="141"/>
      <c r="C163" s="172"/>
      <c r="D163" s="172"/>
      <c r="E163" s="173"/>
    </row>
    <row r="164" spans="2:5" x14ac:dyDescent="0.2">
      <c r="B164" s="141" t="s">
        <v>163</v>
      </c>
      <c r="C164" s="183" t="s">
        <v>164</v>
      </c>
      <c r="D164" s="183"/>
      <c r="E164" s="184"/>
    </row>
    <row r="165" spans="2:5" x14ac:dyDescent="0.2">
      <c r="B165" s="131" t="s">
        <v>133</v>
      </c>
      <c r="C165" s="129"/>
      <c r="D165" s="40"/>
      <c r="E165" s="130"/>
    </row>
    <row r="166" spans="2:5" x14ac:dyDescent="0.2">
      <c r="B166" s="132"/>
      <c r="C166" s="173"/>
      <c r="D166" s="173"/>
      <c r="E166" s="173"/>
    </row>
    <row r="167" spans="2:5" x14ac:dyDescent="0.2">
      <c r="B167" s="131" t="s">
        <v>134</v>
      </c>
      <c r="C167" s="133"/>
      <c r="D167" s="134"/>
      <c r="E167" s="135"/>
    </row>
    <row r="168" spans="2:5" x14ac:dyDescent="0.2">
      <c r="B168" s="132"/>
      <c r="C168" s="172" t="s">
        <v>166</v>
      </c>
      <c r="D168" s="172"/>
      <c r="E168" s="173"/>
    </row>
    <row r="169" spans="2:5" x14ac:dyDescent="0.2">
      <c r="B169" s="131" t="s">
        <v>135</v>
      </c>
      <c r="C169" s="136"/>
      <c r="D169" s="84"/>
      <c r="E169" s="130"/>
    </row>
    <row r="170" spans="2:5" ht="13.5" thickBot="1" x14ac:dyDescent="0.25">
      <c r="B170" s="137"/>
      <c r="C170" s="179"/>
      <c r="D170" s="179"/>
      <c r="E170" s="179"/>
    </row>
  </sheetData>
  <autoFilter ref="A9:I51" xr:uid="{00000000-0009-0000-0000-000000000000}"/>
  <mergeCells count="56">
    <mergeCell ref="C166:E166"/>
    <mergeCell ref="C168:E168"/>
    <mergeCell ref="C170:E170"/>
    <mergeCell ref="C157:E157"/>
    <mergeCell ref="C160:E160"/>
    <mergeCell ref="C162:E162"/>
    <mergeCell ref="C163:E163"/>
    <mergeCell ref="C164:E164"/>
    <mergeCell ref="C151:E151"/>
    <mergeCell ref="C137:E139"/>
    <mergeCell ref="C142:E142"/>
    <mergeCell ref="C144:E144"/>
    <mergeCell ref="C147:E147"/>
    <mergeCell ref="C149:E149"/>
    <mergeCell ref="C140:E140"/>
    <mergeCell ref="C128:E128"/>
    <mergeCell ref="C130:E130"/>
    <mergeCell ref="C110:E110"/>
    <mergeCell ref="C112:E112"/>
    <mergeCell ref="C118:E118"/>
    <mergeCell ref="C120:E120"/>
    <mergeCell ref="C121:E121"/>
    <mergeCell ref="C119:E119"/>
    <mergeCell ref="C123:E123"/>
    <mergeCell ref="C103:E103"/>
    <mergeCell ref="C108:E108"/>
    <mergeCell ref="D101:E101"/>
    <mergeCell ref="C105:E105"/>
    <mergeCell ref="C126:E126"/>
    <mergeCell ref="C89:E89"/>
    <mergeCell ref="C91:E91"/>
    <mergeCell ref="C93:E93"/>
    <mergeCell ref="C99:E99"/>
    <mergeCell ref="C102:E102"/>
    <mergeCell ref="A6:B6"/>
    <mergeCell ref="A7:B7"/>
    <mergeCell ref="B2:H2"/>
    <mergeCell ref="A4:B4"/>
    <mergeCell ref="C4:E4"/>
    <mergeCell ref="A5:B5"/>
    <mergeCell ref="C5:E5"/>
    <mergeCell ref="C60:E60"/>
    <mergeCell ref="C63:E63"/>
    <mergeCell ref="C64:E64"/>
    <mergeCell ref="C68:E68"/>
    <mergeCell ref="C70:E70"/>
    <mergeCell ref="C72:E72"/>
    <mergeCell ref="D61:E61"/>
    <mergeCell ref="B65:C65"/>
    <mergeCell ref="D65:E65"/>
    <mergeCell ref="B86:C86"/>
    <mergeCell ref="D86:E86"/>
    <mergeCell ref="C82:E82"/>
    <mergeCell ref="C80:E80"/>
    <mergeCell ref="C84:E84"/>
    <mergeCell ref="C85:E8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4"/>
  <sheetViews>
    <sheetView topLeftCell="A41" zoomScale="80" zoomScaleNormal="80" workbookViewId="0">
      <selection activeCell="A54" sqref="A54:I5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93" t="s">
        <v>14</v>
      </c>
      <c r="B1" s="193"/>
      <c r="C1" s="193"/>
      <c r="D1" s="193"/>
      <c r="E1" s="193"/>
      <c r="F1" s="193"/>
      <c r="G1" s="193"/>
      <c r="H1" s="193"/>
      <c r="I1" s="193"/>
      <c r="J1" s="3" t="s">
        <v>15</v>
      </c>
      <c r="K1" s="154" t="s">
        <v>182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194" t="s">
        <v>48</v>
      </c>
      <c r="B3" s="194"/>
      <c r="C3" s="194"/>
      <c r="D3" s="186" t="str">
        <f>'Necesidades Trimestrales'!C4</f>
        <v>40 - Ministerio de Salud</v>
      </c>
      <c r="E3" s="186"/>
      <c r="F3" s="186"/>
      <c r="G3" s="186"/>
      <c r="H3" s="186"/>
      <c r="I3" s="186"/>
      <c r="J3" s="186"/>
      <c r="K3" s="186"/>
    </row>
    <row r="4" spans="1:1024" ht="18.75" customHeight="1" thickBot="1" x14ac:dyDescent="0.25">
      <c r="A4" s="195" t="s">
        <v>49</v>
      </c>
      <c r="B4" s="195"/>
      <c r="C4" s="195"/>
      <c r="D4" s="186" t="str">
        <f>'Necesidades Trimestrales'!C5</f>
        <v>28 - MATERNIDAD PROVINCIAL 25 DE MAYO</v>
      </c>
      <c r="E4" s="186"/>
      <c r="F4" s="186"/>
      <c r="G4" s="186"/>
      <c r="H4" s="186"/>
      <c r="I4" s="186"/>
      <c r="J4" s="186"/>
      <c r="K4" s="186"/>
    </row>
    <row r="5" spans="1:1024" ht="18.75" customHeight="1" thickBot="1" x14ac:dyDescent="0.25">
      <c r="A5" s="195" t="s">
        <v>27</v>
      </c>
      <c r="B5" s="195"/>
      <c r="C5" s="195"/>
      <c r="D5" s="186" t="s">
        <v>158</v>
      </c>
      <c r="E5" s="186"/>
      <c r="F5" s="186"/>
      <c r="G5" s="186"/>
      <c r="H5" s="186"/>
      <c r="I5" s="186"/>
      <c r="J5" s="186"/>
      <c r="K5" s="186"/>
    </row>
    <row r="6" spans="1:1024" ht="16.5" customHeight="1" thickBot="1" x14ac:dyDescent="0.25">
      <c r="A6" s="194" t="s">
        <v>50</v>
      </c>
      <c r="B6" s="194"/>
      <c r="C6" s="194"/>
      <c r="D6" s="186" t="s">
        <v>126</v>
      </c>
      <c r="E6" s="186"/>
      <c r="F6" s="186"/>
      <c r="G6" s="186"/>
      <c r="H6" s="186"/>
      <c r="I6" s="186"/>
      <c r="J6" s="186"/>
      <c r="K6" s="186"/>
    </row>
    <row r="7" spans="1:1024" ht="16.5" customHeight="1" x14ac:dyDescent="0.2">
      <c r="A7" s="195" t="s">
        <v>16</v>
      </c>
      <c r="B7" s="195"/>
      <c r="C7" s="195"/>
      <c r="D7" s="186" t="str">
        <f>'Necesidades Trimestrales'!C7 &amp; "° Trimestre - Año " &amp; 'Necesidades Trimestrales'!C6</f>
        <v>1° Trimestre - Año 2022</v>
      </c>
      <c r="E7" s="186"/>
      <c r="F7" s="186"/>
      <c r="G7" s="186"/>
      <c r="H7" s="186"/>
      <c r="I7" s="186"/>
      <c r="J7" s="186"/>
      <c r="K7" s="186"/>
    </row>
    <row r="8" spans="1:1024" ht="16.5" customHeight="1" x14ac:dyDescent="0.2">
      <c r="A8" s="188" t="s">
        <v>17</v>
      </c>
      <c r="B8" s="188"/>
      <c r="C8" s="188"/>
      <c r="D8" s="189" t="s">
        <v>157</v>
      </c>
      <c r="E8" s="189"/>
      <c r="F8" s="189"/>
      <c r="G8" s="189"/>
      <c r="H8" s="189"/>
      <c r="I8" s="189"/>
      <c r="J8" s="189"/>
      <c r="K8" s="189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190" t="s">
        <v>18</v>
      </c>
      <c r="B10" s="191" t="s">
        <v>19</v>
      </c>
      <c r="C10" s="191" t="s">
        <v>20</v>
      </c>
      <c r="D10" s="191"/>
      <c r="E10" s="191"/>
      <c r="F10" s="191"/>
      <c r="G10" s="191"/>
      <c r="H10" s="191" t="s">
        <v>21</v>
      </c>
      <c r="I10" s="191" t="s">
        <v>22</v>
      </c>
      <c r="J10" s="191" t="s">
        <v>23</v>
      </c>
      <c r="K10" s="192" t="s">
        <v>24</v>
      </c>
    </row>
    <row r="11" spans="1:1024" ht="24" customHeight="1" thickBot="1" x14ac:dyDescent="0.25">
      <c r="A11" s="190"/>
      <c r="B11" s="191"/>
      <c r="C11" s="191"/>
      <c r="D11" s="191"/>
      <c r="E11" s="191"/>
      <c r="F11" s="191"/>
      <c r="G11" s="191"/>
      <c r="H11" s="191"/>
      <c r="I11" s="191"/>
      <c r="J11" s="191"/>
      <c r="K11" s="192"/>
    </row>
    <row r="12" spans="1:1024" ht="30" customHeight="1" thickBot="1" x14ac:dyDescent="0.25">
      <c r="A12" s="8">
        <f>'Necesidades Trimestrales'!A10</f>
        <v>1</v>
      </c>
      <c r="B12" s="49" t="str">
        <f>'Necesidades Trimestrales'!B10</f>
        <v>2.9.2-262.40</v>
      </c>
      <c r="C12" s="185" t="str">
        <f>'Necesidades Trimestrales'!E10</f>
        <v>ADHESIVOS P/PAPEL; PRESENTACION: 50 mL, TIPO: SINTETICO TRANSPARENTE</v>
      </c>
      <c r="D12" s="185"/>
      <c r="E12" s="185"/>
      <c r="F12" s="185"/>
      <c r="G12" s="185"/>
      <c r="H12" s="42" t="s">
        <v>51</v>
      </c>
      <c r="I12" s="43" t="str">
        <f>'Necesidades Trimestrales'!F10</f>
        <v>unidad</v>
      </c>
      <c r="J12" s="50">
        <f>'Necesidades Trimestrales'!H10</f>
        <v>115</v>
      </c>
      <c r="K12" s="44">
        <f>'Necesidades Trimestrales'!G10</f>
        <v>250</v>
      </c>
    </row>
    <row r="13" spans="1:1024" ht="30" customHeight="1" thickBot="1" x14ac:dyDescent="0.25">
      <c r="A13" s="8">
        <f>'Necesidades Trimestrales'!A11</f>
        <v>2</v>
      </c>
      <c r="B13" s="49" t="str">
        <f>'Necesidades Trimestrales'!B11</f>
        <v>2.9.2-1428.14</v>
      </c>
      <c r="C13" s="185" t="str">
        <f>'Necesidades Trimestrales'!E11</f>
        <v>BANDAS ELASTICAS; DIAMETRO: 5 Cm, PRESENTACION: CAJA DE 50 GR, ESPESOR: 2 mm</v>
      </c>
      <c r="D13" s="185"/>
      <c r="E13" s="185"/>
      <c r="F13" s="185"/>
      <c r="G13" s="185"/>
      <c r="H13" s="42" t="s">
        <v>51</v>
      </c>
      <c r="I13" s="43" t="str">
        <f>'Necesidades Trimestrales'!F11</f>
        <v>caja</v>
      </c>
      <c r="J13" s="50">
        <f>'Necesidades Trimestrales'!H11</f>
        <v>415</v>
      </c>
      <c r="K13" s="44">
        <f>'Necesidades Trimestrales'!G11</f>
        <v>150</v>
      </c>
    </row>
    <row r="14" spans="1:1024" ht="30" customHeight="1" thickBot="1" x14ac:dyDescent="0.25">
      <c r="A14" s="8">
        <f>'Necesidades Trimestrales'!A12</f>
        <v>3</v>
      </c>
      <c r="B14" s="49" t="str">
        <f>'Necesidades Trimestrales'!B12</f>
        <v>2.9.2-317.1</v>
      </c>
      <c r="C14" s="185" t="str">
        <f>'Necesidades Trimestrales'!E12</f>
        <v xml:space="preserve">BOLIGRAFOS; COLOR TINTA: AZUL, TRAZO: 0,7 mm </v>
      </c>
      <c r="D14" s="185"/>
      <c r="E14" s="185"/>
      <c r="F14" s="185"/>
      <c r="G14" s="185"/>
      <c r="H14" s="42" t="s">
        <v>51</v>
      </c>
      <c r="I14" s="43" t="str">
        <f>'Necesidades Trimestrales'!F12</f>
        <v>unidad</v>
      </c>
      <c r="J14" s="50">
        <f>'Necesidades Trimestrales'!H12</f>
        <v>48</v>
      </c>
      <c r="K14" s="44">
        <f>'Necesidades Trimestrales'!G12</f>
        <v>300</v>
      </c>
    </row>
    <row r="15" spans="1:1024" ht="30" customHeight="1" thickBot="1" x14ac:dyDescent="0.25">
      <c r="A15" s="8">
        <f>'Necesidades Trimestrales'!A13</f>
        <v>4</v>
      </c>
      <c r="B15" s="49" t="str">
        <f>'Necesidades Trimestrales'!B13</f>
        <v>2.9.2-317.5</v>
      </c>
      <c r="C15" s="185" t="str">
        <f>'Necesidades Trimestrales'!E13</f>
        <v>BOLIGRAFOS; TRAZO 1,0mm</v>
      </c>
      <c r="D15" s="185"/>
      <c r="E15" s="185"/>
      <c r="F15" s="185"/>
      <c r="G15" s="185"/>
      <c r="H15" s="101" t="s">
        <v>145</v>
      </c>
      <c r="I15" s="43" t="str">
        <f>'Necesidades Trimestrales'!F13</f>
        <v>unidad</v>
      </c>
      <c r="J15" s="50">
        <f>'Necesidades Trimestrales'!H13</f>
        <v>35</v>
      </c>
      <c r="K15" s="44">
        <f>'Necesidades Trimestrales'!G13</f>
        <v>300</v>
      </c>
    </row>
    <row r="16" spans="1:1024" ht="30" customHeight="1" thickBot="1" x14ac:dyDescent="0.25">
      <c r="A16" s="8">
        <f>'Necesidades Trimestrales'!A14</f>
        <v>5</v>
      </c>
      <c r="B16" s="49" t="str">
        <f>'Necesidades Trimestrales'!B14</f>
        <v>2.9.2-317.17</v>
      </c>
      <c r="C16" s="185" t="str">
        <f>'Necesidades Trimestrales'!E14</f>
        <v>BOLIGRAFOS; TRAZO: GRUESO, COLOR TINTA: NEGRO</v>
      </c>
      <c r="D16" s="185"/>
      <c r="E16" s="185"/>
      <c r="F16" s="185"/>
      <c r="G16" s="185"/>
      <c r="H16" s="42" t="s">
        <v>51</v>
      </c>
      <c r="I16" s="43" t="str">
        <f>'Necesidades Trimestrales'!F14</f>
        <v>unidad</v>
      </c>
      <c r="J16" s="50">
        <f>'Necesidades Trimestrales'!H14</f>
        <v>45</v>
      </c>
      <c r="K16" s="44">
        <f>'Necesidades Trimestrales'!G14</f>
        <v>300</v>
      </c>
      <c r="L16"/>
      <c r="M16"/>
      <c r="N16"/>
      <c r="P16"/>
      <c r="Q16"/>
      <c r="R16"/>
      <c r="S16"/>
      <c r="T16" s="63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1" ht="30" customHeight="1" thickBot="1" x14ac:dyDescent="0.25">
      <c r="A17" s="8">
        <f>'Necesidades Trimestrales'!A15</f>
        <v>6</v>
      </c>
      <c r="B17" s="49" t="str">
        <f>'Necesidades Trimestrales'!B15</f>
        <v>2.9.2-317.32</v>
      </c>
      <c r="C17" s="185" t="str">
        <f>'Necesidades Trimestrales'!E15</f>
        <v>BOLIGRAFOS; TRAZO: 0,8 mm</v>
      </c>
      <c r="D17" s="185"/>
      <c r="E17" s="185"/>
      <c r="F17" s="185"/>
      <c r="G17" s="185"/>
      <c r="H17" s="101" t="s">
        <v>145</v>
      </c>
      <c r="I17" s="43" t="str">
        <f>'Necesidades Trimestrales'!F15</f>
        <v>unidad</v>
      </c>
      <c r="J17" s="50">
        <f>'Necesidades Trimestrales'!H15</f>
        <v>48</v>
      </c>
      <c r="K17" s="44">
        <f>'Necesidades Trimestrales'!G15</f>
        <v>300</v>
      </c>
    </row>
    <row r="18" spans="1:11" ht="30" customHeight="1" thickBot="1" x14ac:dyDescent="0.25">
      <c r="A18" s="8">
        <f>'Necesidades Trimestrales'!A16</f>
        <v>7</v>
      </c>
      <c r="B18" s="49" t="str">
        <f>'Necesidades Trimestrales'!B16</f>
        <v>2.9.2-700.2</v>
      </c>
      <c r="C18" s="185" t="str">
        <f>'Necesidades Trimestrales'!E16</f>
        <v>BROCHES P/ABROCHADORA; NUMERO: 21/6, PRESENTACION: CAJA X 1000 UNIDADES</v>
      </c>
      <c r="D18" s="185"/>
      <c r="E18" s="185"/>
      <c r="F18" s="185"/>
      <c r="G18" s="185"/>
      <c r="H18" s="42" t="s">
        <v>51</v>
      </c>
      <c r="I18" s="43" t="str">
        <f>'Necesidades Trimestrales'!F16</f>
        <v>caja</v>
      </c>
      <c r="J18" s="50">
        <f>'Necesidades Trimestrales'!H16</f>
        <v>128</v>
      </c>
      <c r="K18" s="44">
        <f>'Necesidades Trimestrales'!G16</f>
        <v>200</v>
      </c>
    </row>
    <row r="19" spans="1:11" ht="30" customHeight="1" thickBot="1" x14ac:dyDescent="0.25">
      <c r="A19" s="8">
        <f>'Necesidades Trimestrales'!A17</f>
        <v>8</v>
      </c>
      <c r="B19" s="49" t="str">
        <f>'Necesidades Trimestrales'!B17</f>
        <v>2.9.2-700.56</v>
      </c>
      <c r="C19" s="185" t="str">
        <f>'Necesidades Trimestrales'!E17</f>
        <v>BROCHES P/ABROCHADORA; NUMERO: 10/50, PRESENTACION: CAJA X 2000 UN</v>
      </c>
      <c r="D19" s="185"/>
      <c r="E19" s="185"/>
      <c r="F19" s="185"/>
      <c r="G19" s="185"/>
      <c r="H19" s="42" t="s">
        <v>51</v>
      </c>
      <c r="I19" s="43" t="str">
        <f>'Necesidades Trimestrales'!F17</f>
        <v>caja</v>
      </c>
      <c r="J19" s="50">
        <f>'Necesidades Trimestrales'!H17</f>
        <v>160</v>
      </c>
      <c r="K19" s="44">
        <f>'Necesidades Trimestrales'!G17</f>
        <v>200</v>
      </c>
    </row>
    <row r="20" spans="1:11" ht="30" customHeight="1" thickBot="1" x14ac:dyDescent="0.25">
      <c r="A20" s="8">
        <f>'Necesidades Trimestrales'!A18</f>
        <v>9</v>
      </c>
      <c r="B20" s="49" t="str">
        <f>'Necesidades Trimestrales'!B18</f>
        <v>2.9.2-6873.6</v>
      </c>
      <c r="C20" s="185" t="str">
        <f>'Necesidades Trimestrales'!E18</f>
        <v>BROCHES PLASTICOS; TIPO: NEPACO, TAMAÑO: Nº 2, PRESENTACION: CAJA X 50 UN</v>
      </c>
      <c r="D20" s="185"/>
      <c r="E20" s="185"/>
      <c r="F20" s="185"/>
      <c r="G20" s="185"/>
      <c r="H20" s="42" t="s">
        <v>51</v>
      </c>
      <c r="I20" s="43" t="str">
        <f>'Necesidades Trimestrales'!F18</f>
        <v>caja</v>
      </c>
      <c r="J20" s="50">
        <f>'Necesidades Trimestrales'!H18</f>
        <v>198</v>
      </c>
      <c r="K20" s="44">
        <f>'Necesidades Trimestrales'!G18</f>
        <v>300</v>
      </c>
    </row>
    <row r="21" spans="1:11" ht="30" customHeight="1" thickBot="1" x14ac:dyDescent="0.25">
      <c r="A21" s="8">
        <f>'Necesidades Trimestrales'!A19</f>
        <v>10</v>
      </c>
      <c r="B21" s="49" t="str">
        <f>'Necesidades Trimestrales'!B19</f>
        <v>2.9.2-1153.19</v>
      </c>
      <c r="C21" s="185" t="str">
        <f>'Necesidades Trimestrales'!E19</f>
        <v>CINTAS ADHESIVAS; TIPO: DE ENMASCARAR, ANCHO: 24 mm, LARGO ROLLO: 50 M, ACCESORIO: SIN, MATERIAL: PAPEL, LARGO: 50 M</v>
      </c>
      <c r="D21" s="185"/>
      <c r="E21" s="185"/>
      <c r="F21" s="185"/>
      <c r="G21" s="185"/>
      <c r="H21" s="42" t="s">
        <v>51</v>
      </c>
      <c r="I21" s="43" t="str">
        <f>'Necesidades Trimestrales'!F19</f>
        <v>unidad</v>
      </c>
      <c r="J21" s="50">
        <f>'Necesidades Trimestrales'!H19</f>
        <v>288</v>
      </c>
      <c r="K21" s="44">
        <f>'Necesidades Trimestrales'!G19</f>
        <v>550</v>
      </c>
    </row>
    <row r="22" spans="1:11" ht="30" customHeight="1" thickBot="1" x14ac:dyDescent="0.25">
      <c r="A22" s="8">
        <f>'Necesidades Trimestrales'!A20</f>
        <v>11</v>
      </c>
      <c r="B22" s="49" t="str">
        <f>'Necesidades Trimestrales'!B20</f>
        <v>2.9.2-1153.166</v>
      </c>
      <c r="C22" s="185" t="str">
        <f>'Necesidades Trimestrales'!E20</f>
        <v>CINTAS ADHESIVAS; TIPO: P/EMBALAR, ANCHO: 48 mm, LARGO: 40 M, MATERIAL: TRANSPARENTE, ACCESORIO: SIN</v>
      </c>
      <c r="D22" s="185"/>
      <c r="E22" s="185"/>
      <c r="F22" s="185"/>
      <c r="G22" s="185"/>
      <c r="H22" s="42" t="s">
        <v>51</v>
      </c>
      <c r="I22" s="43" t="str">
        <f>'Necesidades Trimestrales'!F20</f>
        <v>unidad</v>
      </c>
      <c r="J22" s="50">
        <f>'Necesidades Trimestrales'!H20</f>
        <v>145</v>
      </c>
      <c r="K22" s="44">
        <f>'Necesidades Trimestrales'!G20</f>
        <v>150</v>
      </c>
    </row>
    <row r="23" spans="1:11" ht="30" customHeight="1" thickBot="1" x14ac:dyDescent="0.25">
      <c r="A23" s="8">
        <f>'Necesidades Trimestrales'!A21</f>
        <v>12</v>
      </c>
      <c r="B23" s="49" t="str">
        <f>'Necesidades Trimestrales'!B21</f>
        <v>2.9.2-660.7</v>
      </c>
      <c r="C23" s="185" t="str">
        <f>'Necesidades Trimestrales'!E21</f>
        <v>CLIPS P/PAPEL; NUMERO: 5, MATERIAL: METAL, CANT. X CAJA: 50, PRESENTACION: CAJA X 50</v>
      </c>
      <c r="D23" s="185"/>
      <c r="E23" s="185"/>
      <c r="F23" s="185"/>
      <c r="G23" s="185"/>
      <c r="H23" s="42" t="s">
        <v>51</v>
      </c>
      <c r="I23" s="43" t="str">
        <f>'Necesidades Trimestrales'!F21</f>
        <v>caja</v>
      </c>
      <c r="J23" s="50">
        <f>'Necesidades Trimestrales'!H21</f>
        <v>90</v>
      </c>
      <c r="K23" s="44">
        <f>'Necesidades Trimestrales'!G21</f>
        <v>100</v>
      </c>
    </row>
    <row r="24" spans="1:11" ht="30" customHeight="1" thickBot="1" x14ac:dyDescent="0.25">
      <c r="A24" s="8">
        <f>'Necesidades Trimestrales'!A22</f>
        <v>13</v>
      </c>
      <c r="B24" s="49" t="str">
        <f>'Necesidades Trimestrales'!B22</f>
        <v>2.9.2-660.31</v>
      </c>
      <c r="C24" s="185" t="str">
        <f>'Necesidades Trimestrales'!E22</f>
        <v>CLIPS P/PAPEL; NUMERO: 8, MATERIAL: METAL, CANT. X CAJA: 100 UN, PRESENTACION: CAJA X 100 UN</v>
      </c>
      <c r="D24" s="185"/>
      <c r="E24" s="185"/>
      <c r="F24" s="185"/>
      <c r="G24" s="185"/>
      <c r="H24" s="42" t="s">
        <v>51</v>
      </c>
      <c r="I24" s="43" t="str">
        <f>'Necesidades Trimestrales'!F22</f>
        <v>caja</v>
      </c>
      <c r="J24" s="50">
        <f>'Necesidades Trimestrales'!H22</f>
        <v>510</v>
      </c>
      <c r="K24" s="44">
        <f>'Necesidades Trimestrales'!G22</f>
        <v>80</v>
      </c>
    </row>
    <row r="25" spans="1:11" ht="30" customHeight="1" thickBot="1" x14ac:dyDescent="0.25">
      <c r="A25" s="8">
        <f>'Necesidades Trimestrales'!A23</f>
        <v>14</v>
      </c>
      <c r="B25" s="49" t="str">
        <f>'Necesidades Trimestrales'!B23</f>
        <v>2.9.2-323.4</v>
      </c>
      <c r="C25" s="185" t="str">
        <f>'Necesidades Trimestrales'!E23</f>
        <v>CORRECTORES DE ESCRITURA; CAPACIDAD: 7 mL, ENVASE: LAPIZ (PUNTA METAL), PRESENTACION: LAPIZ (PUNTA METAL) X 7 mL</v>
      </c>
      <c r="D25" s="185"/>
      <c r="E25" s="185"/>
      <c r="F25" s="185"/>
      <c r="G25" s="185"/>
      <c r="H25" s="42" t="s">
        <v>51</v>
      </c>
      <c r="I25" s="43" t="str">
        <f>'Necesidades Trimestrales'!F23</f>
        <v>unidad</v>
      </c>
      <c r="J25" s="50">
        <f>'Necesidades Trimestrales'!H23</f>
        <v>62</v>
      </c>
      <c r="K25" s="44">
        <f>'Necesidades Trimestrales'!G23</f>
        <v>200</v>
      </c>
    </row>
    <row r="26" spans="1:11" ht="30" customHeight="1" thickBot="1" x14ac:dyDescent="0.25">
      <c r="A26" s="8">
        <f>'Necesidades Trimestrales'!A24</f>
        <v>15</v>
      </c>
      <c r="B26" s="49" t="str">
        <f>'Necesidades Trimestrales'!B24</f>
        <v>2.9.2-790.13</v>
      </c>
      <c r="C26" s="185" t="str">
        <f>'Necesidades Trimestrales'!E24</f>
        <v>CUTER; TIPO HOJA: MOVIL SECCIONABLE, MATERIAL MANGO: PLASTICO, ANCHO HOJA: 18 mm, TIPO DE HOJA: MOVIL SECCIONABLE, ANCHO DE HOJA: 18 mm</v>
      </c>
      <c r="D26" s="185"/>
      <c r="E26" s="185"/>
      <c r="F26" s="185"/>
      <c r="G26" s="185"/>
      <c r="H26" s="42" t="s">
        <v>51</v>
      </c>
      <c r="I26" s="43" t="str">
        <f>'Necesidades Trimestrales'!F24</f>
        <v>unidad</v>
      </c>
      <c r="J26" s="50">
        <f>'Necesidades Trimestrales'!H24</f>
        <v>143</v>
      </c>
      <c r="K26" s="44">
        <f>'Necesidades Trimestrales'!G24</f>
        <v>50</v>
      </c>
    </row>
    <row r="27" spans="1:11" ht="30" customHeight="1" thickBot="1" x14ac:dyDescent="0.25">
      <c r="A27" s="8">
        <f>'Necesidades Trimestrales'!A25</f>
        <v>16</v>
      </c>
      <c r="B27" s="49" t="str">
        <f>'Necesidades Trimestrales'!B25</f>
        <v>2.9.2-1611.22</v>
      </c>
      <c r="C27" s="185" t="str">
        <f>'Necesidades Trimestrales'!E25</f>
        <v>FOLIOS TRANSPARENTES; TAMAÑO: OFICIO, PERFORACIONES: 11, MATERIAL: POLIPROPILENO</v>
      </c>
      <c r="D27" s="185"/>
      <c r="E27" s="185"/>
      <c r="F27" s="185"/>
      <c r="G27" s="185"/>
      <c r="H27" s="42" t="s">
        <v>51</v>
      </c>
      <c r="I27" s="43" t="str">
        <f>'Necesidades Trimestrales'!F25</f>
        <v>unidad</v>
      </c>
      <c r="J27" s="50">
        <f>'Necesidades Trimestrales'!H25</f>
        <v>10</v>
      </c>
      <c r="K27" s="44">
        <f>'Necesidades Trimestrales'!G25</f>
        <v>500</v>
      </c>
    </row>
    <row r="28" spans="1:11" ht="30" customHeight="1" thickBot="1" x14ac:dyDescent="0.25">
      <c r="A28" s="8">
        <f>'Necesidades Trimestrales'!A26</f>
        <v>17</v>
      </c>
      <c r="B28" s="49" t="str">
        <f>'Necesidades Trimestrales'!B26</f>
        <v>2.9.2-1611.23</v>
      </c>
      <c r="C28" s="185" t="str">
        <f>'Necesidades Trimestrales'!E26</f>
        <v>FOLIOS TRANSPARENTES; TAMAÑO: A4, PERFORACIONES: 11, MATERIAL: POLIPROPILENO</v>
      </c>
      <c r="D28" s="185"/>
      <c r="E28" s="185"/>
      <c r="F28" s="185"/>
      <c r="G28" s="185"/>
      <c r="H28" s="42" t="s">
        <v>51</v>
      </c>
      <c r="I28" s="43" t="str">
        <f>'Necesidades Trimestrales'!F26</f>
        <v>unidad</v>
      </c>
      <c r="J28" s="50">
        <f>'Necesidades Trimestrales'!H26</f>
        <v>9</v>
      </c>
      <c r="K28" s="44">
        <f>'Necesidades Trimestrales'!G26</f>
        <v>300</v>
      </c>
    </row>
    <row r="29" spans="1:11" ht="30" customHeight="1" thickBot="1" x14ac:dyDescent="0.25">
      <c r="A29" s="8">
        <f>'Necesidades Trimestrales'!A27</f>
        <v>18</v>
      </c>
      <c r="B29" s="49" t="str">
        <f>'Necesidades Trimestrales'!B27</f>
        <v>2.9.2-848.20</v>
      </c>
      <c r="C29" s="185" t="str">
        <f>'Necesidades Trimestrales'!E27</f>
        <v>LAPIZ; TIPO: 2HB, COLOR: NEGRO</v>
      </c>
      <c r="D29" s="185"/>
      <c r="E29" s="185"/>
      <c r="F29" s="185"/>
      <c r="G29" s="185"/>
      <c r="H29" s="42" t="s">
        <v>51</v>
      </c>
      <c r="I29" s="43" t="str">
        <f>'Necesidades Trimestrales'!F27</f>
        <v>unidad</v>
      </c>
      <c r="J29" s="50">
        <f>'Necesidades Trimestrales'!H27</f>
        <v>32</v>
      </c>
      <c r="K29" s="44">
        <f>'Necesidades Trimestrales'!G27</f>
        <v>100</v>
      </c>
    </row>
    <row r="30" spans="1:11" ht="30" customHeight="1" thickBot="1" x14ac:dyDescent="0.25">
      <c r="A30" s="8">
        <f>'Necesidades Trimestrales'!A28</f>
        <v>19</v>
      </c>
      <c r="B30" s="49" t="str">
        <f>'Necesidades Trimestrales'!B28</f>
        <v>2.9.2-1616.83</v>
      </c>
      <c r="C30" s="185" t="str">
        <f>'Necesidades Trimestrales'!E28</f>
        <v>MARCADORES; TIPO: INDELEBLE, PUNTA: FINA, COLOR: ROJO, RECARGABLE: SI, TRAZO: 0,5 mm</v>
      </c>
      <c r="D30" s="185"/>
      <c r="E30" s="185"/>
      <c r="F30" s="185"/>
      <c r="G30" s="185"/>
      <c r="H30" s="42" t="s">
        <v>51</v>
      </c>
      <c r="I30" s="43" t="str">
        <f>'Necesidades Trimestrales'!F28</f>
        <v>unidad</v>
      </c>
      <c r="J30" s="50">
        <f>'Necesidades Trimestrales'!H28</f>
        <v>88</v>
      </c>
      <c r="K30" s="44">
        <f>'Necesidades Trimestrales'!G28</f>
        <v>50</v>
      </c>
    </row>
    <row r="31" spans="1:11" ht="30" customHeight="1" thickBot="1" x14ac:dyDescent="0.25">
      <c r="A31" s="8">
        <f>'Necesidades Trimestrales'!A29</f>
        <v>20</v>
      </c>
      <c r="B31" s="49" t="str">
        <f>'Necesidades Trimestrales'!B29</f>
        <v>2.9.2-1616.85</v>
      </c>
      <c r="C31" s="185" t="str">
        <f>'Necesidades Trimestrales'!E29</f>
        <v>MARCADORES; TIPO: INDELEBLE, TRAZO: MEDIO, COLOR: NEGRO, RECARGABLE: SI, PUNTA: REDONDA</v>
      </c>
      <c r="D31" s="185"/>
      <c r="E31" s="185"/>
      <c r="F31" s="185"/>
      <c r="G31" s="185"/>
      <c r="H31" s="42" t="s">
        <v>51</v>
      </c>
      <c r="I31" s="43" t="str">
        <f>'Necesidades Trimestrales'!F29</f>
        <v>unidad</v>
      </c>
      <c r="J31" s="50">
        <f>'Necesidades Trimestrales'!H29</f>
        <v>88</v>
      </c>
      <c r="K31" s="44">
        <f>'Necesidades Trimestrales'!G29</f>
        <v>100</v>
      </c>
    </row>
    <row r="32" spans="1:11" ht="30" customHeight="1" thickBot="1" x14ac:dyDescent="0.25">
      <c r="A32" s="8">
        <f>'Necesidades Trimestrales'!A30</f>
        <v>21</v>
      </c>
      <c r="B32" s="49" t="str">
        <f>'Necesidades Trimestrales'!B30</f>
        <v>2.9.2-1616.118</v>
      </c>
      <c r="C32" s="185" t="str">
        <f>'Necesidades Trimestrales'!E30</f>
        <v>MARCADORES; TIPO: INDELEBLE, TRAZO: FINO, PUNTA: REDONDA, COLOR: NEGRO, RECARGABLE: NO</v>
      </c>
      <c r="D32" s="185"/>
      <c r="E32" s="185"/>
      <c r="F32" s="185"/>
      <c r="G32" s="185"/>
      <c r="H32" s="42" t="s">
        <v>51</v>
      </c>
      <c r="I32" s="43" t="str">
        <f>'Necesidades Trimestrales'!F30</f>
        <v>unidad</v>
      </c>
      <c r="J32" s="50">
        <f>'Necesidades Trimestrales'!H30</f>
        <v>155</v>
      </c>
      <c r="K32" s="44">
        <f>'Necesidades Trimestrales'!G30</f>
        <v>200</v>
      </c>
    </row>
    <row r="33" spans="1:11" ht="30" customHeight="1" thickBot="1" x14ac:dyDescent="0.25">
      <c r="A33" s="8">
        <f>'Necesidades Trimestrales'!A31</f>
        <v>22</v>
      </c>
      <c r="B33" s="49" t="str">
        <f>'Necesidades Trimestrales'!B31</f>
        <v>2.9.2-1616.122</v>
      </c>
      <c r="C33" s="185" t="str">
        <f>'Necesidades Trimestrales'!E31</f>
        <v>MARCADORES; TIPO: AL AGUA, TRAZO: MEDIO, PUNTA: REDONDA, COLOR: NEGRO, RECARGABLE: NO</v>
      </c>
      <c r="D33" s="185"/>
      <c r="E33" s="185"/>
      <c r="F33" s="185"/>
      <c r="G33" s="185"/>
      <c r="H33" s="42" t="s">
        <v>51</v>
      </c>
      <c r="I33" s="43" t="str">
        <f>'Necesidades Trimestrales'!F31</f>
        <v>unidad</v>
      </c>
      <c r="J33" s="50">
        <f>'Necesidades Trimestrales'!H31</f>
        <v>88</v>
      </c>
      <c r="K33" s="44">
        <f>'Necesidades Trimestrales'!G31</f>
        <v>150</v>
      </c>
    </row>
    <row r="34" spans="1:11" ht="36" customHeight="1" thickBot="1" x14ac:dyDescent="0.25">
      <c r="A34" s="8">
        <f>'Necesidades Trimestrales'!A32</f>
        <v>23</v>
      </c>
      <c r="B34" s="49" t="str">
        <f>'Necesidades Trimestrales'!B32</f>
        <v>2.3.1-6563.129</v>
      </c>
      <c r="C34" s="185" t="str">
        <f>'Necesidades Trimestrales'!E32</f>
        <v>PAPELES EN HOJA; TIPO PAPEL: PAPEL OBRA, DIMENSION: 21 X 29,7 Cm, GRAMAJE: 80 GR/M, PRESENTACION: RESMA X 500 HOJAS, TIPO DE PAPEL: PAPEL OBRA</v>
      </c>
      <c r="D34" s="185"/>
      <c r="E34" s="185"/>
      <c r="F34" s="185"/>
      <c r="G34" s="185"/>
      <c r="H34" s="42" t="s">
        <v>51</v>
      </c>
      <c r="I34" s="43" t="str">
        <f>'Necesidades Trimestrales'!F32</f>
        <v>unidad</v>
      </c>
      <c r="J34" s="50">
        <f>'Necesidades Trimestrales'!H32</f>
        <v>710</v>
      </c>
      <c r="K34" s="44">
        <f>'Necesidades Trimestrales'!G32</f>
        <v>400</v>
      </c>
    </row>
    <row r="35" spans="1:11" ht="38.25" customHeight="1" thickBot="1" x14ac:dyDescent="0.25">
      <c r="A35" s="8">
        <f>'Necesidades Trimestrales'!A33</f>
        <v>24</v>
      </c>
      <c r="B35" s="49" t="str">
        <f>'Necesidades Trimestrales'!B33</f>
        <v>2.3.1-6563.131</v>
      </c>
      <c r="C35" s="185" t="str">
        <f>'Necesidades Trimestrales'!E33</f>
        <v>PAPELES EN HOJA; TIPO PAPEL: PAPEL OBRA, DIMENSION: 21,59 X 35,56 Cm, GRAMAJE: 80 GR/M2, PRESENTACION: RESMA X 500 HOJAS, TIPO DE PAPEL: PAPEL OBRA</v>
      </c>
      <c r="D35" s="185"/>
      <c r="E35" s="185"/>
      <c r="F35" s="185"/>
      <c r="G35" s="185"/>
      <c r="H35" s="42" t="s">
        <v>51</v>
      </c>
      <c r="I35" s="43" t="str">
        <f>'Necesidades Trimestrales'!F33</f>
        <v>unidad</v>
      </c>
      <c r="J35" s="50">
        <f>'Necesidades Trimestrales'!H33</f>
        <v>840</v>
      </c>
      <c r="K35" s="44">
        <f>'Necesidades Trimestrales'!G33</f>
        <v>400</v>
      </c>
    </row>
    <row r="36" spans="1:11" ht="42.75" customHeight="1" thickBot="1" x14ac:dyDescent="0.25">
      <c r="A36" s="8">
        <f>'Necesidades Trimestrales'!A34</f>
        <v>25</v>
      </c>
      <c r="B36" s="49" t="str">
        <f>'Necesidades Trimestrales'!B34</f>
        <v>2.3.1-6563.882</v>
      </c>
      <c r="C36" s="185" t="str">
        <f>'Necesidades Trimestrales'!E34</f>
        <v>PAPELES EN HOJA; TIPO DE PAPEL: CARTULINA, DIMENSION: 45 X 63 Cm, GRAMAJE: 115/125 GR/M2, PRESENTACION: UNIDAD, CERTIFICADO FORESTAL (GFS): SIN, PORC. FIBRAS RECICLADAS: SIN, CERT. FIBRA ALTERNATIVA (FCA): SIN</v>
      </c>
      <c r="D36" s="185"/>
      <c r="E36" s="185"/>
      <c r="F36" s="185"/>
      <c r="G36" s="185"/>
      <c r="H36" s="101" t="s">
        <v>145</v>
      </c>
      <c r="I36" s="43" t="str">
        <f>'Necesidades Trimestrales'!F34</f>
        <v>unidad</v>
      </c>
      <c r="J36" s="50">
        <f>'Necesidades Trimestrales'!H34</f>
        <v>28</v>
      </c>
      <c r="K36" s="44">
        <f>'Necesidades Trimestrales'!G34</f>
        <v>5000</v>
      </c>
    </row>
    <row r="37" spans="1:11" ht="38.25" customHeight="1" thickBot="1" x14ac:dyDescent="0.25">
      <c r="A37" s="8">
        <f>'Necesidades Trimestrales'!A35</f>
        <v>26</v>
      </c>
      <c r="B37" s="49" t="str">
        <f>'Necesidades Trimestrales'!B35</f>
        <v>2.3.1-6563.938</v>
      </c>
      <c r="C37" s="185" t="str">
        <f>'Necesidades Trimestrales'!E35</f>
        <v>PAPELES EN HOJA; TIPO DE PAPEL: P/FORRAR, DIMENSION: 48 X 80 Cm, GRAMAJE: NO CORRESPONDE, PRESENTACION: UNIDAD, CERTIFICADO FORESTAL (GFS): SIN, PORC. FIBRAS RECICLADAS: 0 %, CERT. FIBRA ALTERNATIVA (FCA): SIN</v>
      </c>
      <c r="D37" s="185"/>
      <c r="E37" s="185"/>
      <c r="F37" s="185"/>
      <c r="G37" s="185"/>
      <c r="H37" s="101" t="s">
        <v>145</v>
      </c>
      <c r="I37" s="43" t="str">
        <f>'Necesidades Trimestrales'!F35</f>
        <v>unidad</v>
      </c>
      <c r="J37" s="50">
        <f>'Necesidades Trimestrales'!H35</f>
        <v>45</v>
      </c>
      <c r="K37" s="44">
        <f>'Necesidades Trimestrales'!G35</f>
        <v>100</v>
      </c>
    </row>
    <row r="38" spans="1:11" ht="30" customHeight="1" thickBot="1" x14ac:dyDescent="0.25">
      <c r="A38" s="8">
        <f>'Necesidades Trimestrales'!A36</f>
        <v>27</v>
      </c>
      <c r="B38" s="49" t="str">
        <f>'Necesidades Trimestrales'!B36</f>
        <v>2.3.1-6587.139</v>
      </c>
      <c r="C38" s="185" t="str">
        <f>'Necesidades Trimestrales'!E36</f>
        <v>PAPELES ENCUADERNADOS; CANT. DE HOJAS: 100, TAMAÑO: 23 X 35 Cm, TIPO: LIBRO DE ACTAS</v>
      </c>
      <c r="D38" s="185"/>
      <c r="E38" s="185"/>
      <c r="F38" s="185"/>
      <c r="G38" s="185"/>
      <c r="H38" s="42" t="s">
        <v>51</v>
      </c>
      <c r="I38" s="43" t="str">
        <f>'Necesidades Trimestrales'!F36</f>
        <v>unidad</v>
      </c>
      <c r="J38" s="50">
        <f>'Necesidades Trimestrales'!H36</f>
        <v>525</v>
      </c>
      <c r="K38" s="44">
        <f>'Necesidades Trimestrales'!G36</f>
        <v>200</v>
      </c>
    </row>
    <row r="39" spans="1:11" ht="42" customHeight="1" thickBot="1" x14ac:dyDescent="0.25">
      <c r="A39" s="8">
        <f>'Necesidades Trimestrales'!A37</f>
        <v>28</v>
      </c>
      <c r="B39" s="49" t="str">
        <f>'Necesidades Trimestrales'!B37</f>
        <v>2.3.1-6587.346</v>
      </c>
      <c r="C39" s="185" t="str">
        <f>'Necesidades Trimestrales'!E37</f>
        <v>PAPELES ENCUADERNADOS; CANT. DE HOJAS: 100, TAMAÑO: A4, TIPO: CUADERNO ESPIRALADO TAPA DURA, CERTIFICADO FORESTAL (GFS): SIN, PORC. FIBRAS RECICLADAS: 0 %, CERT. FIBRA ALTERNATIVA (FCA): SIN</v>
      </c>
      <c r="D39" s="185"/>
      <c r="E39" s="185"/>
      <c r="F39" s="185"/>
      <c r="G39" s="185"/>
      <c r="H39" s="42" t="s">
        <v>51</v>
      </c>
      <c r="I39" s="43" t="str">
        <f>'Necesidades Trimestrales'!F37</f>
        <v>unidad</v>
      </c>
      <c r="J39" s="50">
        <f>'Necesidades Trimestrales'!H37</f>
        <v>586</v>
      </c>
      <c r="K39" s="44">
        <f>'Necesidades Trimestrales'!G37</f>
        <v>200</v>
      </c>
    </row>
    <row r="40" spans="1:11" ht="30" customHeight="1" thickBot="1" x14ac:dyDescent="0.25">
      <c r="A40" s="8">
        <f>'Necesidades Trimestrales'!A38</f>
        <v>29</v>
      </c>
      <c r="B40" s="49" t="str">
        <f>'Necesidades Trimestrales'!B38</f>
        <v>2.9.2-674.8</v>
      </c>
      <c r="C40" s="185" t="str">
        <f>'Necesidades Trimestrales'!E38</f>
        <v>REGLAS GRADUADAS; LONG.DE CUERPO: 20 Cm, TIPO: PLANA, MATERIAL: PLASTICO</v>
      </c>
      <c r="D40" s="185"/>
      <c r="E40" s="185"/>
      <c r="F40" s="185"/>
      <c r="G40" s="185"/>
      <c r="H40" s="42" t="s">
        <v>51</v>
      </c>
      <c r="I40" s="43" t="str">
        <f>'Necesidades Trimestrales'!F38</f>
        <v>unidad</v>
      </c>
      <c r="J40" s="50">
        <f>'Necesidades Trimestrales'!H38</f>
        <v>50</v>
      </c>
      <c r="K40" s="44">
        <f>'Necesidades Trimestrales'!G38</f>
        <v>50</v>
      </c>
    </row>
    <row r="41" spans="1:11" ht="30" customHeight="1" thickBot="1" x14ac:dyDescent="0.25">
      <c r="A41" s="8">
        <f>'Necesidades Trimestrales'!A39</f>
        <v>30</v>
      </c>
      <c r="B41" s="49" t="str">
        <f>'Necesidades Trimestrales'!B39</f>
        <v>2.9.2-674.9</v>
      </c>
      <c r="C41" s="185" t="str">
        <f>'Necesidades Trimestrales'!E39</f>
        <v>REGLAS GRADUADAS; TIPO: PLANA, MATERIAL: PLASTICO, LONG.DE CUERPO: 30 Cm</v>
      </c>
      <c r="D41" s="185"/>
      <c r="E41" s="185"/>
      <c r="F41" s="185"/>
      <c r="G41" s="185"/>
      <c r="H41" s="42" t="s">
        <v>51</v>
      </c>
      <c r="I41" s="43" t="str">
        <f>'Necesidades Trimestrales'!F39</f>
        <v>unidad</v>
      </c>
      <c r="J41" s="50">
        <f>'Necesidades Trimestrales'!H39</f>
        <v>45</v>
      </c>
      <c r="K41" s="44">
        <f>'Necesidades Trimestrales'!G39</f>
        <v>50</v>
      </c>
    </row>
    <row r="42" spans="1:11" ht="30" customHeight="1" thickBot="1" x14ac:dyDescent="0.25">
      <c r="A42" s="8">
        <f>'Necesidades Trimestrales'!A40</f>
        <v>31</v>
      </c>
      <c r="B42" s="49" t="str">
        <f>'Necesidades Trimestrales'!B40</f>
        <v>2.9.2-1354.18</v>
      </c>
      <c r="C42" s="185" t="str">
        <f>'Necesidades Trimestrales'!E40</f>
        <v>RESALTADORES; PUNTA: FINA, ACCESORIO: SIN VALOR, COLOR: AZUL, TIPO PUNTA: FINA</v>
      </c>
      <c r="D42" s="185"/>
      <c r="E42" s="185"/>
      <c r="F42" s="185"/>
      <c r="G42" s="185"/>
      <c r="H42" s="42" t="s">
        <v>51</v>
      </c>
      <c r="I42" s="43" t="str">
        <f>'Necesidades Trimestrales'!F40</f>
        <v>unidad</v>
      </c>
      <c r="J42" s="50">
        <f>'Necesidades Trimestrales'!H40</f>
        <v>75</v>
      </c>
      <c r="K42" s="44">
        <f>'Necesidades Trimestrales'!G40</f>
        <v>30</v>
      </c>
    </row>
    <row r="43" spans="1:11" ht="30" customHeight="1" thickBot="1" x14ac:dyDescent="0.25">
      <c r="A43" s="8">
        <f>'Necesidades Trimestrales'!A41</f>
        <v>32</v>
      </c>
      <c r="B43" s="49" t="str">
        <f>'Necesidades Trimestrales'!B41</f>
        <v>2.9.2-1354.28</v>
      </c>
      <c r="C43" s="185" t="str">
        <f>'Necesidades Trimestrales'!E41</f>
        <v>RESALTADORES; PUNTA: FINA, ACCESORIO: SIN, COLOR: AMARILLO, TIPO PUNTA: FINA</v>
      </c>
      <c r="D43" s="185"/>
      <c r="E43" s="185"/>
      <c r="F43" s="185"/>
      <c r="G43" s="185"/>
      <c r="H43" s="42" t="s">
        <v>51</v>
      </c>
      <c r="I43" s="43" t="str">
        <f>'Necesidades Trimestrales'!F41</f>
        <v>unidad</v>
      </c>
      <c r="J43" s="50">
        <f>'Necesidades Trimestrales'!H41</f>
        <v>75</v>
      </c>
      <c r="K43" s="44">
        <f>'Necesidades Trimestrales'!G41</f>
        <v>150</v>
      </c>
    </row>
    <row r="44" spans="1:11" ht="30" customHeight="1" thickBot="1" x14ac:dyDescent="0.25">
      <c r="A44" s="8">
        <f>'Necesidades Trimestrales'!A42</f>
        <v>33</v>
      </c>
      <c r="B44" s="49" t="str">
        <f>'Necesidades Trimestrales'!B42</f>
        <v>2.9.2-1354.29</v>
      </c>
      <c r="C44" s="185" t="str">
        <f>'Necesidades Trimestrales'!E42</f>
        <v>RESALTADORES; PUNTA: FINA, ACCESORIO: SIN, COLOR: VERDE, TIPO PUNTA: FINA</v>
      </c>
      <c r="D44" s="185"/>
      <c r="E44" s="185"/>
      <c r="F44" s="185"/>
      <c r="G44" s="185"/>
      <c r="H44" s="42" t="s">
        <v>51</v>
      </c>
      <c r="I44" s="43" t="str">
        <f>'Necesidades Trimestrales'!F42</f>
        <v>unidad</v>
      </c>
      <c r="J44" s="50">
        <f>'Necesidades Trimestrales'!H42</f>
        <v>75</v>
      </c>
      <c r="K44" s="44">
        <f>'Necesidades Trimestrales'!G42</f>
        <v>80</v>
      </c>
    </row>
    <row r="45" spans="1:11" ht="36.75" customHeight="1" thickBot="1" x14ac:dyDescent="0.25">
      <c r="A45" s="8">
        <f>'Necesidades Trimestrales'!A43</f>
        <v>34</v>
      </c>
      <c r="B45" s="49" t="str">
        <f>'Necesidades Trimestrales'!B43</f>
        <v>2.9.2-696.15</v>
      </c>
      <c r="C45" s="185" t="str">
        <f>'Necesidades Trimestrales'!E43</f>
        <v>SACAPUNTAS; MATERIAL: METALICO, FIJACION: SIN VALOR, N° CARACTERISTICO: SIN VALOR, N° BOCAS: 1, TIPO: ESCOLAR, NUMERO: SIN VALOR, CANTIDAD DE BOCAS: 1</v>
      </c>
      <c r="D45" s="185"/>
      <c r="E45" s="185"/>
      <c r="F45" s="185"/>
      <c r="G45" s="185"/>
      <c r="H45" s="42" t="s">
        <v>51</v>
      </c>
      <c r="I45" s="43" t="str">
        <f>'Necesidades Trimestrales'!F43</f>
        <v>unidad</v>
      </c>
      <c r="J45" s="50">
        <v>70</v>
      </c>
      <c r="K45" s="44">
        <f>'Necesidades Trimestrales'!G43</f>
        <v>50</v>
      </c>
    </row>
    <row r="46" spans="1:11" ht="36" customHeight="1" thickBot="1" x14ac:dyDescent="0.25">
      <c r="A46" s="8">
        <f>'Necesidades Trimestrales'!A44</f>
        <v>35</v>
      </c>
      <c r="B46" s="49" t="str">
        <f>'Necesidades Trimestrales'!B44</f>
        <v>2.3.1-6590.476</v>
      </c>
      <c r="C46" s="185" t="str">
        <f>'Necesidades Trimestrales'!E44</f>
        <v>SOBRES DE PAPEL; TIPO: MANILA, TAMAÑO: 30 X 40 Cm, GRAMAJE: 80 GR/M2, PRESENTACION: ENVASE X 250 UN, CERTIFICADO FORESTAL (GFS): SIN, PORC. FIBRAS RECICLADAS: SIN VALOR</v>
      </c>
      <c r="D46" s="185"/>
      <c r="E46" s="185"/>
      <c r="F46" s="185"/>
      <c r="G46" s="185"/>
      <c r="H46" s="42" t="s">
        <v>51</v>
      </c>
      <c r="I46" s="43" t="str">
        <f>'Necesidades Trimestrales'!F44</f>
        <v>PAQUETE</v>
      </c>
      <c r="J46" s="50">
        <f>'Necesidades Trimestrales'!H44</f>
        <v>4008</v>
      </c>
      <c r="K46" s="44">
        <f>'Necesidades Trimestrales'!G44</f>
        <v>2</v>
      </c>
    </row>
    <row r="47" spans="1:11" ht="39.75" customHeight="1" thickBot="1" x14ac:dyDescent="0.25">
      <c r="A47" s="8">
        <f>'Necesidades Trimestrales'!A45</f>
        <v>36</v>
      </c>
      <c r="B47" s="49" t="str">
        <f>'Necesidades Trimestrales'!B45</f>
        <v>2.3.1-6590.539</v>
      </c>
      <c r="C47" s="185" t="str">
        <f>'Necesidades Trimestrales'!E45</f>
        <v>SOBRES DE PAPEL; TIPO: MANILA, TAMAÑO: 24 X 30 Cm, GRAMAJE: 80 GR/CM2, PRESENTACION: ENVSE X 250, CERTIFICADO FORESTAL (GFS): SIN, PORC. FIBRAS RECICLADAS: 0 %, CERT. FIBRA ALTERNATIVA (FCA): SIN</v>
      </c>
      <c r="D47" s="185"/>
      <c r="E47" s="185"/>
      <c r="F47" s="185"/>
      <c r="G47" s="185"/>
      <c r="H47" s="42" t="s">
        <v>51</v>
      </c>
      <c r="I47" s="43" t="str">
        <f>'Necesidades Trimestrales'!F45</f>
        <v>PAQUETE</v>
      </c>
      <c r="J47" s="50">
        <f>'Necesidades Trimestrales'!H45</f>
        <v>2625</v>
      </c>
      <c r="K47" s="44">
        <f>'Necesidades Trimestrales'!G45</f>
        <v>4</v>
      </c>
    </row>
    <row r="48" spans="1:11" ht="37.5" customHeight="1" thickBot="1" x14ac:dyDescent="0.25">
      <c r="A48" s="8">
        <f>'Necesidades Trimestrales'!A46</f>
        <v>37</v>
      </c>
      <c r="B48" s="49" t="str">
        <f>'Necesidades Trimestrales'!B46</f>
        <v>2.3.1-6590.558</v>
      </c>
      <c r="C48" s="185" t="str">
        <f>'Necesidades Trimestrales'!E46</f>
        <v>SOBRES DE PAPEL; TIPO: BLANCO, TAMAÑO: 12,5 X 19 Cm, GRAMAJE: 80 GR/M2, PRESENTACION: UNIDAD, CERTIFICADO FORESTAL (GFS): SIN, PORC. FIBRAS RECICLADAS: 0 %, CERT. FIBRA ALTERNATIVA (FCA): SIN</v>
      </c>
      <c r="D48" s="185"/>
      <c r="E48" s="185"/>
      <c r="F48" s="185"/>
      <c r="G48" s="185"/>
      <c r="H48" s="42" t="s">
        <v>51</v>
      </c>
      <c r="I48" s="43" t="str">
        <f>'Necesidades Trimestrales'!F46</f>
        <v>unidad</v>
      </c>
      <c r="J48" s="50">
        <f>'Necesidades Trimestrales'!H46</f>
        <v>7.5</v>
      </c>
      <c r="K48" s="44">
        <f>'Necesidades Trimestrales'!G46</f>
        <v>50</v>
      </c>
    </row>
    <row r="49" spans="1:11" ht="37.5" customHeight="1" thickBot="1" x14ac:dyDescent="0.25">
      <c r="A49" s="8">
        <f>'Necesidades Trimestrales'!A47</f>
        <v>38</v>
      </c>
      <c r="B49" s="49" t="str">
        <f>'Necesidades Trimestrales'!B47</f>
        <v>2.5.8-5590.58</v>
      </c>
      <c r="C49" s="185" t="str">
        <f>'Necesidades Trimestrales'!E47</f>
        <v>FILMS DE POLIETILENO; ESPESOR: 30 Mn, ANCHO: 38 Cm, PRESENTACION: ENVASE X 150 M, USO: ALIMENTARIO</v>
      </c>
      <c r="D49" s="185"/>
      <c r="E49" s="185"/>
      <c r="F49" s="185"/>
      <c r="G49" s="185"/>
      <c r="H49" s="42" t="s">
        <v>181</v>
      </c>
      <c r="I49" s="43" t="str">
        <f>'Necesidades Trimestrales'!F47</f>
        <v>ROLLO</v>
      </c>
      <c r="J49" s="50">
        <f>'Necesidades Trimestrales'!H47</f>
        <v>2020</v>
      </c>
      <c r="K49" s="44">
        <f>'Necesidades Trimestrales'!G47</f>
        <v>27</v>
      </c>
    </row>
    <row r="50" spans="1:11" ht="30" customHeight="1" thickBot="1" x14ac:dyDescent="0.25">
      <c r="A50" s="8">
        <f>'Necesidades Trimestrales'!A48</f>
        <v>39</v>
      </c>
      <c r="B50" s="49" t="str">
        <f>'Necesidades Trimestrales'!B48</f>
        <v>2.3.1-860.19</v>
      </c>
      <c r="C50" s="185" t="str">
        <f>'Necesidades Trimestrales'!E48</f>
        <v>FICHAS P/ARCHIVOS; MATERIAL: CARTULINA, IMPRESION: RAYADA, DIMENSION: 14,8 X 21 Cm, PAQUETE: X 100 HOJAS, FONDO: BLANCO</v>
      </c>
      <c r="D50" s="185"/>
      <c r="E50" s="185"/>
      <c r="F50" s="185"/>
      <c r="G50" s="185"/>
      <c r="H50" s="42" t="s">
        <v>51</v>
      </c>
      <c r="I50" s="43" t="str">
        <f>'Necesidades Trimestrales'!F48</f>
        <v>unidad</v>
      </c>
      <c r="J50" s="50">
        <f>'Necesidades Trimestrales'!H48</f>
        <v>189</v>
      </c>
      <c r="K50" s="44">
        <f>'Necesidades Trimestrales'!G48</f>
        <v>50</v>
      </c>
    </row>
    <row r="51" spans="1:11" ht="24.75" customHeight="1" thickBot="1" x14ac:dyDescent="0.25">
      <c r="A51" s="149">
        <v>40</v>
      </c>
      <c r="B51" s="147" t="s">
        <v>168</v>
      </c>
      <c r="C51" s="185" t="str">
        <f>'Necesidades Trimestrales'!E49</f>
        <v>TIJERAS P/CORTAR PAPELES; LONG.DE CUERPO: 17 Cm, MATERIAL: METAL, CUCHILLA: PUNTIAGUDA, MANGO: PLASTICO</v>
      </c>
      <c r="D51" s="185"/>
      <c r="E51" s="185"/>
      <c r="F51" s="185"/>
      <c r="G51" s="185"/>
      <c r="H51" s="42" t="s">
        <v>51</v>
      </c>
      <c r="I51" s="43" t="str">
        <f>'Necesidades Trimestrales'!F49</f>
        <v>unidad</v>
      </c>
      <c r="J51" s="50">
        <f>'Necesidades Trimestrales'!H49</f>
        <v>200</v>
      </c>
      <c r="K51" s="44">
        <f>'Necesidades Trimestrales'!G49</f>
        <v>30</v>
      </c>
    </row>
    <row r="52" spans="1:11" ht="25.5" customHeight="1" thickBot="1" x14ac:dyDescent="0.25">
      <c r="A52" s="150">
        <v>41</v>
      </c>
      <c r="B52" s="147" t="s">
        <v>170</v>
      </c>
      <c r="C52" s="185" t="str">
        <f>'Necesidades Trimestrales'!E50</f>
        <v>TIJERAS P/CORTAR PAPELES; LONG.DE CUERPO: 22 Cm, MATERIAL: ACERO INOXIDABLE, CUCHILLA: REDONDEADAS, MANGO: ERGONOMETRICO DE PLASTICO</v>
      </c>
      <c r="D52" s="185"/>
      <c r="E52" s="185"/>
      <c r="F52" s="185"/>
      <c r="G52" s="185"/>
      <c r="H52" s="42" t="s">
        <v>51</v>
      </c>
      <c r="I52" s="43" t="str">
        <f>'Necesidades Trimestrales'!F50</f>
        <v>unidad</v>
      </c>
      <c r="J52" s="50">
        <f>'Necesidades Trimestrales'!H50</f>
        <v>300</v>
      </c>
      <c r="K52" s="44">
        <f>'Necesidades Trimestrales'!G50</f>
        <v>50</v>
      </c>
    </row>
    <row r="53" spans="1:11" ht="26.25" customHeight="1" thickBot="1" x14ac:dyDescent="0.25">
      <c r="A53" s="150">
        <v>42</v>
      </c>
      <c r="B53" s="148" t="s">
        <v>173</v>
      </c>
      <c r="C53" s="185" t="str">
        <f>'Necesidades Trimestrales'!E51</f>
        <v>CARPETAS; COLOR: AZUL, TIPO: TAPA TRANSPARENTE, PRESENTACION: UNIDAD, SUJECION: BROCHE TIPO NEPACO, MEMBRETE: SIN, LENGÜETA: SIN, MATERIAL: PVC, TAMAÑO: CARTA</v>
      </c>
      <c r="D53" s="185"/>
      <c r="E53" s="185"/>
      <c r="F53" s="185"/>
      <c r="G53" s="185"/>
      <c r="H53" s="42" t="s">
        <v>51</v>
      </c>
      <c r="I53" s="43" t="str">
        <f>'Necesidades Trimestrales'!F51</f>
        <v>unidad</v>
      </c>
      <c r="J53" s="50">
        <f>'Necesidades Trimestrales'!H51</f>
        <v>80</v>
      </c>
      <c r="K53" s="44">
        <f>'Necesidades Trimestrales'!G51</f>
        <v>200</v>
      </c>
    </row>
    <row r="54" spans="1:11" ht="16.5" thickBot="1" x14ac:dyDescent="0.25">
      <c r="A54" s="186" t="s">
        <v>178</v>
      </c>
      <c r="B54" s="186"/>
      <c r="C54" s="186"/>
      <c r="D54" s="186"/>
      <c r="E54" s="186"/>
      <c r="F54" s="186"/>
      <c r="G54" s="186"/>
      <c r="H54" s="186"/>
      <c r="I54" s="186"/>
      <c r="J54" s="187">
        <f>SUMPRODUCT(J12:J53,K12:K53)</f>
        <v>1712931</v>
      </c>
      <c r="K54" s="187"/>
    </row>
  </sheetData>
  <mergeCells count="64">
    <mergeCell ref="C29:G29"/>
    <mergeCell ref="C23:G23"/>
    <mergeCell ref="C24:G24"/>
    <mergeCell ref="C25:G25"/>
    <mergeCell ref="C26:G26"/>
    <mergeCell ref="C27:G2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4:I54"/>
    <mergeCell ref="J54:K54"/>
    <mergeCell ref="C48:G48"/>
    <mergeCell ref="C50:G50"/>
    <mergeCell ref="C46:G46"/>
    <mergeCell ref="C47:G47"/>
    <mergeCell ref="C49:G49"/>
    <mergeCell ref="C51:G51"/>
    <mergeCell ref="C52:G52"/>
    <mergeCell ref="C53:G53"/>
    <mergeCell ref="C34:G34"/>
    <mergeCell ref="C35:G35"/>
    <mergeCell ref="C36:G36"/>
    <mergeCell ref="C42:G42"/>
    <mergeCell ref="C43:G43"/>
    <mergeCell ref="C44:G44"/>
    <mergeCell ref="C45:G45"/>
    <mergeCell ref="C37:G37"/>
    <mergeCell ref="C38:G38"/>
    <mergeCell ref="C39:G39"/>
    <mergeCell ref="C40:G40"/>
    <mergeCell ref="C41:G41"/>
    <mergeCell ref="C30:G30"/>
    <mergeCell ref="C31:G31"/>
    <mergeCell ref="C32:G32"/>
    <mergeCell ref="C33:G3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8:G28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abSelected="1" zoomScale="90" zoomScaleNormal="90" workbookViewId="0">
      <selection activeCell="Q16" sqref="Q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57031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220" t="s">
        <v>3</v>
      </c>
      <c r="B1" s="220"/>
      <c r="C1" s="220"/>
      <c r="D1" s="221">
        <f>'Necesidades Trimestrales'!C6</f>
        <v>2022</v>
      </c>
      <c r="E1" s="221"/>
      <c r="F1" s="10"/>
      <c r="G1" s="10"/>
      <c r="H1" s="11"/>
      <c r="I1" s="11"/>
      <c r="J1" s="11"/>
      <c r="K1" s="11"/>
      <c r="L1" s="11"/>
      <c r="M1" s="11"/>
      <c r="N1" s="11"/>
      <c r="P1" s="222" t="s">
        <v>25</v>
      </c>
      <c r="Q1" s="222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222"/>
      <c r="Q2" s="222"/>
    </row>
    <row r="4" spans="1:19" s="12" customFormat="1" ht="18" customHeight="1" thickBot="1" x14ac:dyDescent="0.25">
      <c r="A4" s="223" t="s">
        <v>26</v>
      </c>
      <c r="B4" s="223"/>
      <c r="C4" s="223"/>
      <c r="D4" s="223"/>
      <c r="E4" s="223"/>
      <c r="F4" s="223"/>
      <c r="G4" s="218" t="str">
        <f>NotaPedido!D3</f>
        <v>40 - Ministerio de Salud</v>
      </c>
      <c r="H4" s="218"/>
      <c r="I4" s="218"/>
      <c r="J4" s="218"/>
      <c r="K4" s="218"/>
      <c r="L4" s="218"/>
      <c r="M4" s="218"/>
      <c r="N4" s="218"/>
      <c r="O4" s="218"/>
      <c r="P4" s="218"/>
      <c r="Q4" s="218"/>
    </row>
    <row r="5" spans="1:19" s="12" customFormat="1" ht="18" customHeight="1" thickBot="1" x14ac:dyDescent="0.25">
      <c r="A5" s="215" t="s">
        <v>49</v>
      </c>
      <c r="B5" s="216"/>
      <c r="C5" s="216"/>
      <c r="D5" s="216"/>
      <c r="E5" s="216"/>
      <c r="F5" s="217"/>
      <c r="G5" s="218" t="str">
        <f>NotaPedido!D4</f>
        <v>28 - MATERNIDAD PROVINCIAL 25 DE MAYO</v>
      </c>
      <c r="H5" s="218"/>
      <c r="I5" s="218"/>
      <c r="J5" s="218"/>
      <c r="K5" s="218"/>
      <c r="L5" s="218"/>
      <c r="M5" s="218"/>
      <c r="N5" s="218"/>
      <c r="O5" s="218"/>
      <c r="P5" s="218"/>
      <c r="Q5" s="218"/>
    </row>
    <row r="6" spans="1:19" s="12" customFormat="1" ht="18" customHeight="1" thickBot="1" x14ac:dyDescent="0.25">
      <c r="A6" s="215" t="s">
        <v>27</v>
      </c>
      <c r="B6" s="216"/>
      <c r="C6" s="216"/>
      <c r="D6" s="216"/>
      <c r="E6" s="216"/>
      <c r="F6" s="217"/>
      <c r="G6" s="218" t="str">
        <f>NotaPedido!D5</f>
        <v xml:space="preserve">171-Direccion de Admisnitracion </v>
      </c>
      <c r="H6" s="218"/>
      <c r="I6" s="218"/>
      <c r="J6" s="218"/>
      <c r="K6" s="218"/>
      <c r="L6" s="218"/>
      <c r="M6" s="218"/>
      <c r="N6" s="218"/>
      <c r="O6" s="218"/>
      <c r="P6" s="218"/>
      <c r="Q6" s="218"/>
    </row>
    <row r="7" spans="1:19" s="12" customFormat="1" ht="18" customHeight="1" thickBot="1" x14ac:dyDescent="0.25">
      <c r="A7" s="215" t="s">
        <v>50</v>
      </c>
      <c r="B7" s="216"/>
      <c r="C7" s="216"/>
      <c r="D7" s="216"/>
      <c r="E7" s="216"/>
      <c r="F7" s="217"/>
      <c r="G7" s="218" t="str">
        <f>NotaPedido!D6</f>
        <v xml:space="preserve">Economato,  Esterilizacion y nutricion </v>
      </c>
      <c r="H7" s="218"/>
      <c r="I7" s="218"/>
      <c r="J7" s="218"/>
      <c r="K7" s="218"/>
      <c r="L7" s="218"/>
      <c r="M7" s="218"/>
      <c r="N7" s="218"/>
      <c r="O7" s="218"/>
      <c r="P7" s="218"/>
      <c r="Q7" s="218"/>
    </row>
    <row r="8" spans="1:19" ht="18" customHeight="1" thickBot="1" x14ac:dyDescent="0.25">
      <c r="A8" s="219" t="s">
        <v>28</v>
      </c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</row>
    <row r="9" spans="1:19" ht="18" customHeight="1" x14ac:dyDescent="0.2">
      <c r="A9" s="209" t="s">
        <v>29</v>
      </c>
      <c r="B9" s="209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1"/>
      <c r="P9" s="1"/>
      <c r="Q9" s="13"/>
    </row>
    <row r="10" spans="1:19" ht="54.75" customHeight="1" x14ac:dyDescent="0.2">
      <c r="A10" s="21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07/22,  afectando la erogación resultante a los créditos presupuestarios aprobados a favor de esta Unidad Ejecutora, conforme al siguiente detalle: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211" t="s">
        <v>30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</row>
    <row r="13" spans="1:19" ht="15.75" customHeight="1" x14ac:dyDescent="0.2">
      <c r="A13" s="212" t="s">
        <v>31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3" t="s">
        <v>32</v>
      </c>
      <c r="P13" s="213"/>
      <c r="Q13" s="214" t="s">
        <v>33</v>
      </c>
    </row>
    <row r="14" spans="1:19" ht="15.75" customHeight="1" thickBot="1" x14ac:dyDescent="0.25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213"/>
      <c r="P14" s="213"/>
      <c r="Q14" s="214"/>
    </row>
    <row r="15" spans="1:19" ht="29.25" customHeight="1" thickBot="1" x14ac:dyDescent="0.25">
      <c r="A15" s="51">
        <v>42</v>
      </c>
      <c r="B15" s="52"/>
      <c r="C15" s="52"/>
      <c r="D15" s="52">
        <v>3</v>
      </c>
      <c r="E15" s="52"/>
      <c r="F15" s="52">
        <v>4901</v>
      </c>
      <c r="G15" s="52">
        <v>1</v>
      </c>
      <c r="H15" s="52">
        <v>6</v>
      </c>
      <c r="I15" s="24">
        <v>2</v>
      </c>
      <c r="J15" s="24">
        <v>3</v>
      </c>
      <c r="K15" s="24">
        <v>1</v>
      </c>
      <c r="L15" s="25"/>
      <c r="M15" s="64">
        <v>1</v>
      </c>
      <c r="N15" s="67" t="s">
        <v>53</v>
      </c>
      <c r="O15" s="201" t="s">
        <v>127</v>
      </c>
      <c r="P15" s="201"/>
      <c r="Q15" s="27">
        <v>1015041</v>
      </c>
    </row>
    <row r="16" spans="1:19" ht="36" customHeight="1" thickBot="1" x14ac:dyDescent="0.25">
      <c r="A16" s="51">
        <v>42</v>
      </c>
      <c r="B16" s="52"/>
      <c r="C16" s="52"/>
      <c r="D16" s="52">
        <v>3</v>
      </c>
      <c r="E16" s="52"/>
      <c r="F16" s="52">
        <v>4901</v>
      </c>
      <c r="G16" s="52">
        <v>1</v>
      </c>
      <c r="H16" s="52">
        <v>6</v>
      </c>
      <c r="I16" s="74">
        <v>2</v>
      </c>
      <c r="J16" s="74">
        <v>5</v>
      </c>
      <c r="K16" s="74">
        <v>8</v>
      </c>
      <c r="L16" s="74"/>
      <c r="M16" s="75">
        <v>1</v>
      </c>
      <c r="N16" s="74" t="s">
        <v>53</v>
      </c>
      <c r="O16" s="206" t="s">
        <v>167</v>
      </c>
      <c r="P16" s="207"/>
      <c r="Q16" s="76">
        <v>54540</v>
      </c>
      <c r="S16" s="45"/>
    </row>
    <row r="17" spans="1:18" ht="22.5" customHeight="1" x14ac:dyDescent="0.2">
      <c r="A17" s="51">
        <v>42</v>
      </c>
      <c r="B17" s="52"/>
      <c r="C17" s="52"/>
      <c r="D17" s="52">
        <v>3</v>
      </c>
      <c r="E17" s="52"/>
      <c r="F17" s="52">
        <v>4901</v>
      </c>
      <c r="G17" s="52">
        <v>1</v>
      </c>
      <c r="H17" s="52">
        <v>6</v>
      </c>
      <c r="I17" s="74">
        <v>2</v>
      </c>
      <c r="J17" s="74">
        <v>9</v>
      </c>
      <c r="K17" s="74">
        <v>2</v>
      </c>
      <c r="L17" s="74"/>
      <c r="M17" s="75">
        <v>1</v>
      </c>
      <c r="N17" s="74" t="s">
        <v>53</v>
      </c>
      <c r="O17" s="208" t="s">
        <v>128</v>
      </c>
      <c r="P17" s="208"/>
      <c r="Q17" s="76">
        <v>643350</v>
      </c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201"/>
      <c r="P18" s="201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201"/>
      <c r="P19" s="201"/>
      <c r="Q19" s="27"/>
    </row>
    <row r="20" spans="1:18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202"/>
      <c r="P20" s="202"/>
      <c r="Q20" s="27"/>
      <c r="R20" s="1"/>
    </row>
    <row r="21" spans="1:18" ht="17.25" customHeight="1" thickBot="1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203"/>
      <c r="P21" s="203"/>
      <c r="Q21" s="36"/>
    </row>
    <row r="22" spans="1:18" ht="34.5" customHeight="1" thickBot="1" x14ac:dyDescent="0.25">
      <c r="A22" s="204" t="s">
        <v>183</v>
      </c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151">
        <f>SUM(Q15:Q21)</f>
        <v>1712931</v>
      </c>
    </row>
    <row r="23" spans="1:18" ht="18" customHeight="1" thickBot="1" x14ac:dyDescent="0.25">
      <c r="A23" s="205"/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</row>
    <row r="24" spans="1:18" ht="17.25" customHeight="1" thickBot="1" x14ac:dyDescent="0.25">
      <c r="A24" s="196" t="s">
        <v>47</v>
      </c>
      <c r="B24" s="197"/>
      <c r="C24" s="197"/>
      <c r="D24" s="197"/>
      <c r="E24" s="197"/>
      <c r="F24" s="198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</row>
    <row r="25" spans="1:18" ht="18" customHeight="1" thickBot="1" x14ac:dyDescent="0.25">
      <c r="A25" s="200" t="str">
        <f>"Para la "&amp; NotaPedido!D8 &amp;" para ser destinados a " &amp; NotaPedido!D6 &amp;"  de la Maternidad Provincial 25 de Mayo del Ministerio de Salud."</f>
        <v>Para la Adquisición de Articulos de librería y papeleria  para ser destinados a Economato,  Esterilizacion y nutricion   de la Maternidad Provincial 25 de Mayo del Ministerio de Salud.</v>
      </c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5" customHeight="1" x14ac:dyDescent="0.2">
      <c r="A26" s="200"/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RODOLFO SARTOR</cp:lastModifiedBy>
  <cp:revision>2</cp:revision>
  <cp:lastPrinted>2021-02-02T14:16:25Z</cp:lastPrinted>
  <dcterms:created xsi:type="dcterms:W3CDTF">2020-07-17T23:44:49Z</dcterms:created>
  <dcterms:modified xsi:type="dcterms:W3CDTF">2022-02-03T12:51:30Z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