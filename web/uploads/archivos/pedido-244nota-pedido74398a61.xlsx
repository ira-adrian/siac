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8800" windowHeight="11430" tabRatio="500"/>
  </bookViews>
  <sheets>
    <sheet name="Necesidades Trimestrales" sheetId="1" r:id="rId1"/>
  </sheets>
  <calcPr calcId="124519"/>
</workbook>
</file>

<file path=xl/calcChain.xml><?xml version="1.0" encoding="utf-8"?>
<calcChain xmlns="http://schemas.openxmlformats.org/spreadsheetml/2006/main">
  <c r="I13" i="1"/>
  <c r="D11"/>
  <c r="D12"/>
  <c r="D13"/>
  <c r="D10"/>
  <c r="I11"/>
  <c r="I12"/>
  <c r="I10"/>
</calcChain>
</file>

<file path=xl/sharedStrings.xml><?xml version="1.0" encoding="utf-8"?>
<sst xmlns="http://schemas.openxmlformats.org/spreadsheetml/2006/main" count="51" uniqueCount="37">
  <si>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</si>
  <si>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</si>
  <si>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</si>
  <si>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</si>
  <si>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</si>
  <si>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</si>
  <si>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</si>
  <si>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</si>
  <si>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</si>
  <si>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</si>
  <si>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</si>
  <si>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</si>
  <si>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</si>
  <si>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</si>
  <si>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</si>
  <si>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Descripción técnica</t>
  </si>
  <si>
    <t>Doce (12) meses.</t>
  </si>
  <si>
    <t>Especificidades Item N° 1:</t>
  </si>
  <si>
    <t>Plazo de Mantenimiento de oferta</t>
  </si>
  <si>
    <t xml:space="preserve">                                                                                 </t>
  </si>
  <si>
    <t>30 - MINISTERIO DE ECONOMIA</t>
  </si>
  <si>
    <t>4.3.8-9360.3</t>
  </si>
  <si>
    <t>REFLECTOMETROS OPTICOS; RANGO DINAMICO: 32/30 db, TIPO:
1310/1550 nM, ZONA CORTA: 0,1 M a 5M</t>
  </si>
  <si>
    <t>EQUIPOS</t>
  </si>
  <si>
    <t>2.9.6-9912.29</t>
  </si>
  <si>
    <t>REP. Y ACC. P/INSTR. MEDICION; EQUIPO: REFLECTOMETROS OPTICOS OTDR, MARCA EQUIPO: SIN VALOR, MODELO EQUIPO: BOBINA DE LANZAMIENTO DE 1000M, CONECTOR DE ENTRADA: SC, SALIDA: APC, ELEMENTO: BOBINA DE LANZAMIENTO OTDR</t>
  </si>
  <si>
    <t>REPUESTOS</t>
  </si>
  <si>
    <t>UNIDAD</t>
  </si>
  <si>
    <t>Garantia de buen funcionamiento:</t>
  </si>
  <si>
    <t>Especificidades Item N° 2:</t>
  </si>
  <si>
    <t>SAF 9 - DIRECCION PROVINCIAL DE ADMINISTRACION DE LA SECRETARIA DE FINANZAS PUBLICAS</t>
  </si>
  <si>
    <t>Treinta (30) días habiles.</t>
  </si>
  <si>
    <t>NO-2022-00194156-CAT-SME#MEC</t>
  </si>
  <si>
    <t>Primera calidad</t>
  </si>
  <si>
    <r>
      <rPr>
        <u/>
        <sz val="10"/>
        <rFont val="Times New Roman"/>
        <family val="1"/>
      </rPr>
      <t>Calidad exigida del bien:</t>
    </r>
    <r>
      <rPr>
        <sz val="10"/>
        <rFont val="Times New Roman"/>
        <family val="1"/>
      </rPr>
      <t xml:space="preserve"> </t>
    </r>
  </si>
  <si>
    <t xml:space="preserve">Calidad exigida del bien: </t>
  </si>
  <si>
    <t>Quince (15) días habiles a partir del perfeccionamiento del documento contractual en la Secretaria de Modernización del Ministerio de Economia, sito en Av. Venezuela S/N° - C.A.P.E. Pabellón N° 21, San Fernando del Valle de Catamarca .</t>
  </si>
</sst>
</file>

<file path=xl/styles.xml><?xml version="1.0" encoding="utf-8"?>
<styleSheet xmlns="http://schemas.openxmlformats.org/spreadsheetml/2006/main">
  <numFmts count="2">
    <numFmt numFmtId="44" formatCode="_-&quot;$&quot;\ * #,##0.00_-;\-&quot;$&quot;\ * #,##0.00_-;_-&quot;$&quot;\ * &quot;-&quot;??_-;_-@_-"/>
    <numFmt numFmtId="164" formatCode="&quot;$&quot;\ #,##0.00;[Red]&quot;$&quot;\ #,##0.00"/>
  </numFmts>
  <fonts count="18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1"/>
      <color rgb="FF333333"/>
      <name val="Arial"/>
      <family val="2"/>
    </font>
    <font>
      <sz val="10"/>
      <name val="Arial"/>
      <charset val="1"/>
    </font>
    <font>
      <sz val="11"/>
      <name val="Times New Roman"/>
      <family val="1"/>
    </font>
    <font>
      <sz val="1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1" applyProtection="0"/>
    <xf numFmtId="0" fontId="2" fillId="2" borderId="0" applyBorder="0" applyProtection="0"/>
    <xf numFmtId="44" fontId="14" fillId="0" borderId="0" applyFont="0" applyFill="0" applyBorder="0" applyAlignment="0" applyProtection="0"/>
  </cellStyleXfs>
  <cellXfs count="70">
    <xf numFmtId="0" fontId="0" fillId="0" borderId="0" xfId="0"/>
    <xf numFmtId="0" fontId="4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0" xfId="0" applyFont="1" applyBorder="1"/>
    <xf numFmtId="0" fontId="4" fillId="0" borderId="6" xfId="0" applyFont="1" applyBorder="1"/>
    <xf numFmtId="0" fontId="4" fillId="0" borderId="5" xfId="0" applyFont="1" applyBorder="1" applyAlignment="1">
      <alignment horizontal="left" indent="3"/>
    </xf>
    <xf numFmtId="0" fontId="4" fillId="0" borderId="7" xfId="0" applyFont="1" applyBorder="1" applyAlignment="1">
      <alignment horizontal="left" indent="3"/>
    </xf>
    <xf numFmtId="0" fontId="8" fillId="0" borderId="0" xfId="0" applyFont="1" applyAlignment="1">
      <alignment horizontal="left" wrapText="1"/>
    </xf>
    <xf numFmtId="0" fontId="11" fillId="0" borderId="0" xfId="0" applyFont="1" applyFill="1" applyAlignment="1">
      <alignment horizontal="left" wrapText="1" indent="1"/>
    </xf>
    <xf numFmtId="0" fontId="4" fillId="0" borderId="0" xfId="0" applyFont="1" applyFill="1" applyBorder="1"/>
    <xf numFmtId="0" fontId="4" fillId="0" borderId="6" xfId="0" applyFont="1" applyFill="1" applyBorder="1"/>
    <xf numFmtId="0" fontId="4" fillId="0" borderId="8" xfId="0" applyFont="1" applyFill="1" applyBorder="1"/>
    <xf numFmtId="0" fontId="4" fillId="0" borderId="9" xfId="0" applyFont="1" applyFill="1" applyBorder="1"/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0" borderId="5" xfId="0" applyFont="1" applyBorder="1"/>
    <xf numFmtId="0" fontId="10" fillId="0" borderId="5" xfId="0" applyFont="1" applyBorder="1" applyAlignment="1"/>
    <xf numFmtId="0" fontId="4" fillId="0" borderId="0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wrapText="1"/>
    </xf>
    <xf numFmtId="0" fontId="12" fillId="0" borderId="2" xfId="0" applyFont="1" applyBorder="1"/>
    <xf numFmtId="0" fontId="12" fillId="0" borderId="0" xfId="0" applyFont="1" applyBorder="1" applyAlignment="1">
      <alignment horizontal="center" vertical="top" wrapText="1"/>
    </xf>
    <xf numFmtId="0" fontId="4" fillId="0" borderId="0" xfId="0" applyFont="1" applyFill="1" applyBorder="1" applyAlignment="1">
      <alignment vertical="center" wrapText="1"/>
    </xf>
    <xf numFmtId="0" fontId="13" fillId="0" borderId="15" xfId="0" applyFont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wrapText="1"/>
    </xf>
    <xf numFmtId="0" fontId="15" fillId="0" borderId="0" xfId="0" applyFont="1"/>
    <xf numFmtId="0" fontId="9" fillId="0" borderId="18" xfId="0" applyFont="1" applyFill="1" applyBorder="1" applyAlignment="1">
      <alignment horizontal="center" vertical="center" wrapText="1"/>
    </xf>
    <xf numFmtId="0" fontId="17" fillId="0" borderId="20" xfId="0" applyFont="1" applyFill="1" applyBorder="1" applyAlignment="1">
      <alignment horizontal="center" vertical="center" wrapText="1"/>
    </xf>
    <xf numFmtId="0" fontId="16" fillId="0" borderId="20" xfId="0" applyFont="1" applyFill="1" applyBorder="1" applyAlignment="1">
      <alignment wrapText="1"/>
    </xf>
    <xf numFmtId="0" fontId="16" fillId="0" borderId="20" xfId="0" applyFont="1" applyBorder="1" applyAlignment="1">
      <alignment horizontal="center" vertical="center"/>
    </xf>
    <xf numFmtId="44" fontId="16" fillId="0" borderId="20" xfId="3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5" xfId="0" applyFont="1" applyBorder="1" applyAlignment="1">
      <alignment vertical="center"/>
    </xf>
    <xf numFmtId="0" fontId="16" fillId="0" borderId="14" xfId="0" applyFont="1" applyFill="1" applyBorder="1" applyAlignment="1">
      <alignment horizontal="center" vertical="center"/>
    </xf>
    <xf numFmtId="3" fontId="16" fillId="0" borderId="15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5" xfId="0" applyFont="1" applyBorder="1" applyAlignment="1"/>
    <xf numFmtId="0" fontId="4" fillId="0" borderId="0" xfId="0" applyFont="1" applyFill="1" applyBorder="1" applyAlignment="1">
      <alignment wrapText="1"/>
    </xf>
    <xf numFmtId="0" fontId="4" fillId="0" borderId="6" xfId="0" applyFont="1" applyFill="1" applyBorder="1" applyAlignment="1">
      <alignment wrapText="1"/>
    </xf>
    <xf numFmtId="0" fontId="4" fillId="0" borderId="0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wrapText="1"/>
    </xf>
    <xf numFmtId="0" fontId="4" fillId="0" borderId="6" xfId="0" applyFont="1" applyFill="1" applyBorder="1" applyAlignment="1">
      <alignment wrapText="1"/>
    </xf>
    <xf numFmtId="0" fontId="6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/>
    </xf>
    <xf numFmtId="0" fontId="11" fillId="0" borderId="0" xfId="0" applyFont="1" applyFill="1" applyBorder="1" applyAlignment="1">
      <alignment horizontal="left" wrapText="1" indent="1"/>
    </xf>
    <xf numFmtId="0" fontId="17" fillId="0" borderId="15" xfId="0" applyFont="1" applyFill="1" applyBorder="1" applyAlignment="1">
      <alignment horizontal="center" vertical="center" wrapText="1"/>
    </xf>
    <xf numFmtId="44" fontId="16" fillId="0" borderId="15" xfId="3" applyFont="1" applyBorder="1" applyAlignment="1">
      <alignment horizontal="center" vertical="center"/>
    </xf>
    <xf numFmtId="44" fontId="16" fillId="0" borderId="17" xfId="3" applyFont="1" applyBorder="1" applyAlignment="1">
      <alignment horizontal="center" vertical="center"/>
    </xf>
    <xf numFmtId="44" fontId="15" fillId="0" borderId="0" xfId="3" applyFont="1"/>
    <xf numFmtId="44" fontId="16" fillId="0" borderId="13" xfId="3" applyFont="1" applyBorder="1" applyAlignment="1">
      <alignment horizontal="center" vertical="center"/>
    </xf>
    <xf numFmtId="44" fontId="16" fillId="0" borderId="19" xfId="3" applyFont="1" applyBorder="1" applyAlignment="1">
      <alignment horizontal="center" vertical="center"/>
    </xf>
    <xf numFmtId="44" fontId="16" fillId="0" borderId="22" xfId="3" applyFont="1" applyBorder="1" applyAlignment="1">
      <alignment horizontal="center" vertical="center"/>
    </xf>
    <xf numFmtId="44" fontId="4" fillId="0" borderId="0" xfId="0" applyNumberFormat="1" applyFont="1" applyAlignment="1">
      <alignment horizontal="left" vertical="center"/>
    </xf>
  </cellXfs>
  <cellStyles count="4">
    <cellStyle name="Encabezado 1" xfId="1"/>
    <cellStyle name="Moneda" xfId="3" builtinId="4"/>
    <cellStyle name="Neutral 1" xfId="2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52"/>
  <sheetViews>
    <sheetView tabSelected="1" zoomScaleSheetLayoutView="80" workbookViewId="0">
      <selection activeCell="H17" sqref="H17"/>
    </sheetView>
  </sheetViews>
  <sheetFormatPr baseColWidth="10" defaultColWidth="11" defaultRowHeight="12.75"/>
  <cols>
    <col min="1" max="1" width="4.5703125" style="1" customWidth="1"/>
    <col min="2" max="2" width="13.7109375" style="1" customWidth="1"/>
    <col min="3" max="3" width="28.285156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5.42578125" style="1" customWidth="1"/>
    <col min="9" max="9" width="18.5703125" style="1" customWidth="1"/>
    <col min="10" max="10" width="11" style="18"/>
    <col min="11" max="11" width="11" style="17"/>
    <col min="12" max="12" width="11.140625" style="17" bestFit="1" customWidth="1"/>
    <col min="13" max="14" width="11" style="17"/>
    <col min="15" max="16384" width="11" style="1"/>
  </cols>
  <sheetData>
    <row r="2" spans="1:12" ht="27">
      <c r="B2" s="60" t="s">
        <v>0</v>
      </c>
      <c r="C2" s="60"/>
      <c r="D2" s="60"/>
      <c r="E2" s="60"/>
      <c r="F2" s="60"/>
      <c r="G2" s="60"/>
      <c r="H2" s="60"/>
    </row>
    <row r="4" spans="1:12" ht="18" customHeight="1">
      <c r="A4" s="59" t="s">
        <v>1</v>
      </c>
      <c r="B4" s="59"/>
      <c r="C4" s="61" t="s">
        <v>20</v>
      </c>
      <c r="D4" s="61"/>
      <c r="E4" s="61"/>
      <c r="F4" s="2"/>
      <c r="G4" s="3"/>
      <c r="H4" s="2"/>
    </row>
    <row r="5" spans="1:12" ht="18" customHeight="1">
      <c r="A5" s="59" t="s">
        <v>2</v>
      </c>
      <c r="B5" s="59"/>
      <c r="C5" s="61" t="s">
        <v>30</v>
      </c>
      <c r="D5" s="61"/>
      <c r="E5" s="61"/>
      <c r="F5" s="2"/>
      <c r="G5" s="3"/>
      <c r="H5" s="2"/>
    </row>
    <row r="6" spans="1:12" ht="16.5" customHeight="1">
      <c r="A6" s="59" t="s">
        <v>3</v>
      </c>
      <c r="B6" s="59"/>
      <c r="C6" s="12">
        <v>2022</v>
      </c>
      <c r="D6" s="11"/>
      <c r="E6" s="11"/>
      <c r="F6" s="2"/>
      <c r="G6" s="3"/>
      <c r="H6" s="2"/>
    </row>
    <row r="7" spans="1:12" ht="16.5" customHeight="1">
      <c r="A7" s="59" t="s">
        <v>4</v>
      </c>
      <c r="B7" s="59"/>
      <c r="C7" s="12">
        <v>2</v>
      </c>
      <c r="D7" s="11"/>
      <c r="E7" s="11"/>
      <c r="F7" s="2"/>
      <c r="G7" s="3"/>
      <c r="H7" s="2"/>
    </row>
    <row r="8" spans="1:12" ht="13.5" thickBot="1">
      <c r="B8" s="2"/>
      <c r="C8" s="3"/>
      <c r="D8" s="2"/>
      <c r="E8" s="2"/>
      <c r="F8" s="2"/>
      <c r="G8" s="3"/>
      <c r="H8" s="2"/>
    </row>
    <row r="9" spans="1:12" ht="39" thickBot="1">
      <c r="A9" s="19" t="s">
        <v>5</v>
      </c>
      <c r="B9" s="20" t="s">
        <v>6</v>
      </c>
      <c r="C9" s="20" t="s">
        <v>7</v>
      </c>
      <c r="D9" s="20" t="s">
        <v>8</v>
      </c>
      <c r="E9" s="20" t="s">
        <v>9</v>
      </c>
      <c r="F9" s="20" t="s">
        <v>10</v>
      </c>
      <c r="G9" s="20" t="s">
        <v>11</v>
      </c>
      <c r="H9" s="20" t="s">
        <v>12</v>
      </c>
      <c r="I9" s="21" t="s">
        <v>13</v>
      </c>
    </row>
    <row r="10" spans="1:12" ht="56.25" customHeight="1" thickBot="1">
      <c r="A10" s="43">
        <v>1</v>
      </c>
      <c r="B10" s="42" t="s">
        <v>21</v>
      </c>
      <c r="C10" s="29" t="s">
        <v>23</v>
      </c>
      <c r="D10" s="62" t="str">
        <f>LEFT(B10,5)</f>
        <v>4.3.8</v>
      </c>
      <c r="E10" s="31" t="s">
        <v>22</v>
      </c>
      <c r="F10" s="32" t="s">
        <v>27</v>
      </c>
      <c r="G10" s="44">
        <v>1</v>
      </c>
      <c r="H10" s="63">
        <v>371801</v>
      </c>
      <c r="I10" s="64">
        <f>H10*G10</f>
        <v>371801</v>
      </c>
    </row>
    <row r="11" spans="1:12" ht="15.75" hidden="1" thickBot="1">
      <c r="B11" s="9"/>
      <c r="C11" s="24"/>
      <c r="D11" s="30" t="str">
        <f t="shared" ref="D11:D13" si="0">LEFT(B11,5)</f>
        <v/>
      </c>
      <c r="E11" s="25"/>
      <c r="F11" s="32" t="s">
        <v>27</v>
      </c>
      <c r="G11" s="35"/>
      <c r="H11" s="65"/>
      <c r="I11" s="66">
        <f t="shared" ref="I11:I12" si="1">H11*G11</f>
        <v>0</v>
      </c>
    </row>
    <row r="12" spans="1:12" ht="15.75" hidden="1" thickBot="1">
      <c r="B12" s="9"/>
      <c r="C12" s="13"/>
      <c r="D12" s="36" t="str">
        <f t="shared" si="0"/>
        <v/>
      </c>
      <c r="E12" s="14"/>
      <c r="F12" s="32" t="s">
        <v>27</v>
      </c>
      <c r="G12" s="35"/>
      <c r="H12" s="65"/>
      <c r="I12" s="67">
        <f t="shared" si="1"/>
        <v>0</v>
      </c>
    </row>
    <row r="13" spans="1:12" ht="63.75" customHeight="1" thickBot="1">
      <c r="A13" s="41">
        <v>2</v>
      </c>
      <c r="B13" s="39" t="s">
        <v>24</v>
      </c>
      <c r="C13" s="39" t="s">
        <v>26</v>
      </c>
      <c r="D13" s="37" t="str">
        <f t="shared" si="0"/>
        <v>2.9.6</v>
      </c>
      <c r="E13" s="38" t="s">
        <v>25</v>
      </c>
      <c r="F13" s="32" t="s">
        <v>27</v>
      </c>
      <c r="G13" s="39">
        <v>1</v>
      </c>
      <c r="H13" s="40">
        <v>34900</v>
      </c>
      <c r="I13" s="68">
        <f>H13</f>
        <v>34900</v>
      </c>
      <c r="L13" s="69"/>
    </row>
    <row r="16" spans="1:12" ht="13.5" thickBot="1"/>
    <row r="17" spans="2:5">
      <c r="B17" s="26" t="s">
        <v>17</v>
      </c>
      <c r="C17" s="4"/>
      <c r="D17" s="4"/>
      <c r="E17" s="5"/>
    </row>
    <row r="18" spans="2:5">
      <c r="B18" s="22"/>
      <c r="C18" s="7"/>
      <c r="D18" s="7"/>
      <c r="E18" s="8"/>
    </row>
    <row r="19" spans="2:5">
      <c r="B19" s="22" t="s">
        <v>15</v>
      </c>
      <c r="C19" s="7"/>
      <c r="D19" s="7"/>
      <c r="E19" s="8"/>
    </row>
    <row r="20" spans="2:5" ht="22.5" customHeight="1">
      <c r="B20" s="6"/>
      <c r="C20" s="27"/>
      <c r="D20" s="50" t="s">
        <v>32</v>
      </c>
      <c r="E20" s="51"/>
    </row>
    <row r="21" spans="2:5">
      <c r="B21" s="52"/>
      <c r="C21" s="53"/>
      <c r="D21" s="53"/>
      <c r="E21" s="54"/>
    </row>
    <row r="22" spans="2:5">
      <c r="B22" s="23" t="s">
        <v>14</v>
      </c>
      <c r="C22" s="13"/>
      <c r="D22" s="13"/>
      <c r="E22" s="14"/>
    </row>
    <row r="23" spans="2:5" ht="40.5" customHeight="1">
      <c r="B23" s="9"/>
      <c r="C23" s="28"/>
      <c r="D23" s="55" t="s">
        <v>36</v>
      </c>
      <c r="E23" s="56"/>
    </row>
    <row r="24" spans="2:5">
      <c r="B24" s="23"/>
      <c r="C24" s="13"/>
      <c r="D24" s="13"/>
      <c r="E24" s="14"/>
    </row>
    <row r="25" spans="2:5">
      <c r="B25" s="23" t="s">
        <v>18</v>
      </c>
      <c r="C25" s="33"/>
      <c r="D25" s="33"/>
      <c r="E25" s="34"/>
    </row>
    <row r="26" spans="2:5" ht="18" customHeight="1">
      <c r="B26" s="23"/>
      <c r="C26" s="33"/>
      <c r="D26" s="55" t="s">
        <v>31</v>
      </c>
      <c r="E26" s="56"/>
    </row>
    <row r="27" spans="2:5" ht="11.25" customHeight="1">
      <c r="B27" s="23"/>
      <c r="C27" s="33"/>
      <c r="D27" s="45"/>
      <c r="E27" s="46"/>
    </row>
    <row r="28" spans="2:5" ht="12.75" customHeight="1">
      <c r="B28" s="47" t="s">
        <v>34</v>
      </c>
      <c r="C28" s="33"/>
      <c r="D28" s="7"/>
      <c r="E28" s="8"/>
    </row>
    <row r="29" spans="2:5" ht="13.5" customHeight="1">
      <c r="B29" s="9"/>
      <c r="C29" s="28" t="s">
        <v>19</v>
      </c>
      <c r="D29" s="57" t="s">
        <v>33</v>
      </c>
      <c r="E29" s="58"/>
    </row>
    <row r="30" spans="2:5" ht="13.5" customHeight="1">
      <c r="B30" s="9"/>
      <c r="C30" s="28"/>
      <c r="D30" s="48"/>
      <c r="E30" s="49"/>
    </row>
    <row r="31" spans="2:5">
      <c r="B31" s="23" t="s">
        <v>28</v>
      </c>
      <c r="C31" s="33"/>
      <c r="D31" s="7"/>
      <c r="E31" s="8"/>
    </row>
    <row r="32" spans="2:5" ht="18" customHeight="1">
      <c r="B32" s="23"/>
      <c r="C32" s="33"/>
      <c r="D32" s="55" t="s">
        <v>16</v>
      </c>
      <c r="E32" s="56"/>
    </row>
    <row r="33" spans="2:5" ht="13.5" thickBot="1">
      <c r="B33" s="10"/>
      <c r="C33" s="15"/>
      <c r="D33" s="15"/>
      <c r="E33" s="16"/>
    </row>
    <row r="35" spans="2:5" ht="13.5" thickBot="1"/>
    <row r="36" spans="2:5">
      <c r="B36" s="26" t="s">
        <v>29</v>
      </c>
      <c r="C36" s="4"/>
      <c r="D36" s="4"/>
      <c r="E36" s="5"/>
    </row>
    <row r="37" spans="2:5">
      <c r="B37" s="22"/>
      <c r="C37" s="7"/>
      <c r="D37" s="7"/>
      <c r="E37" s="8"/>
    </row>
    <row r="38" spans="2:5" ht="23.25" customHeight="1">
      <c r="B38" s="22" t="s">
        <v>15</v>
      </c>
      <c r="C38" s="7"/>
      <c r="D38" s="7"/>
      <c r="E38" s="8"/>
    </row>
    <row r="39" spans="2:5">
      <c r="B39" s="6"/>
      <c r="C39" s="27"/>
      <c r="D39" s="50" t="s">
        <v>32</v>
      </c>
      <c r="E39" s="51"/>
    </row>
    <row r="40" spans="2:5">
      <c r="B40" s="52"/>
      <c r="C40" s="53"/>
      <c r="D40" s="53"/>
      <c r="E40" s="54"/>
    </row>
    <row r="41" spans="2:5" ht="24.75" customHeight="1">
      <c r="B41" s="23" t="s">
        <v>14</v>
      </c>
      <c r="C41" s="13"/>
      <c r="D41" s="13"/>
      <c r="E41" s="14"/>
    </row>
    <row r="42" spans="2:5" ht="46.5" customHeight="1">
      <c r="B42" s="9"/>
      <c r="C42" s="28"/>
      <c r="D42" s="55" t="s">
        <v>36</v>
      </c>
      <c r="E42" s="56"/>
    </row>
    <row r="43" spans="2:5" ht="8.25" customHeight="1">
      <c r="B43" s="23"/>
      <c r="C43" s="13"/>
      <c r="D43" s="13"/>
      <c r="E43" s="14"/>
    </row>
    <row r="44" spans="2:5" ht="18" customHeight="1">
      <c r="B44" s="23" t="s">
        <v>18</v>
      </c>
      <c r="C44" s="33"/>
      <c r="D44" s="33"/>
      <c r="E44" s="34"/>
    </row>
    <row r="45" spans="2:5" ht="12.75" customHeight="1">
      <c r="B45" s="23"/>
      <c r="C45" s="33"/>
      <c r="D45" s="55" t="s">
        <v>31</v>
      </c>
      <c r="E45" s="56"/>
    </row>
    <row r="46" spans="2:5" ht="13.5" customHeight="1">
      <c r="B46" s="9"/>
      <c r="C46" s="28" t="s">
        <v>19</v>
      </c>
      <c r="D46" s="7"/>
      <c r="E46" s="8"/>
    </row>
    <row r="47" spans="2:5" ht="12.75" customHeight="1">
      <c r="B47" s="23" t="s">
        <v>35</v>
      </c>
      <c r="C47" s="33"/>
      <c r="D47" s="7"/>
      <c r="E47" s="8"/>
    </row>
    <row r="48" spans="2:5" ht="13.5" customHeight="1">
      <c r="B48" s="9"/>
      <c r="C48" s="28" t="s">
        <v>19</v>
      </c>
      <c r="D48" s="57" t="s">
        <v>33</v>
      </c>
      <c r="E48" s="58"/>
    </row>
    <row r="49" spans="2:5" ht="13.5" customHeight="1">
      <c r="B49" s="9"/>
      <c r="C49" s="28"/>
      <c r="D49" s="48"/>
      <c r="E49" s="49"/>
    </row>
    <row r="50" spans="2:5">
      <c r="B50" s="23" t="s">
        <v>28</v>
      </c>
      <c r="C50" s="33"/>
      <c r="D50" s="7"/>
      <c r="E50" s="8"/>
    </row>
    <row r="51" spans="2:5" ht="18" customHeight="1">
      <c r="B51" s="23"/>
      <c r="C51" s="33"/>
      <c r="D51" s="55" t="s">
        <v>16</v>
      </c>
      <c r="E51" s="56"/>
    </row>
    <row r="52" spans="2:5" ht="13.5" thickBot="1">
      <c r="B52" s="10"/>
      <c r="C52" s="15"/>
      <c r="D52" s="15"/>
      <c r="E52" s="16"/>
    </row>
  </sheetData>
  <mergeCells count="19">
    <mergeCell ref="A6:B6"/>
    <mergeCell ref="A7:B7"/>
    <mergeCell ref="B2:H2"/>
    <mergeCell ref="A4:B4"/>
    <mergeCell ref="C4:E4"/>
    <mergeCell ref="A5:B5"/>
    <mergeCell ref="C5:E5"/>
    <mergeCell ref="D51:E51"/>
    <mergeCell ref="D32:E32"/>
    <mergeCell ref="D20:E20"/>
    <mergeCell ref="D23:E23"/>
    <mergeCell ref="D26:E26"/>
    <mergeCell ref="B21:E21"/>
    <mergeCell ref="D29:E29"/>
    <mergeCell ref="D39:E39"/>
    <mergeCell ref="B40:E40"/>
    <mergeCell ref="D42:E42"/>
    <mergeCell ref="D45:E45"/>
    <mergeCell ref="D48:E48"/>
  </mergeCells>
  <pageMargins left="0.70866141732283472" right="0.70866141732283472" top="0.35433070866141736" bottom="0.35433070866141736" header="0.51181102362204722" footer="0.51181102362204722"/>
  <pageSetup paperSize="5" scale="5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SAMUEL</cp:lastModifiedBy>
  <cp:revision>2</cp:revision>
  <cp:lastPrinted>2021-11-16T10:46:20Z</cp:lastPrinted>
  <dcterms:created xsi:type="dcterms:W3CDTF">2020-07-17T23:44:49Z</dcterms:created>
  <dcterms:modified xsi:type="dcterms:W3CDTF">2022-05-09T11:49:55Z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