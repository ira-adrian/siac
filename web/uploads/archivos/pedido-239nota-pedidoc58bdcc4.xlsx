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C:\Users\COMPRAS\Downloads\"/>
    </mc:Choice>
  </mc:AlternateContent>
  <xr:revisionPtr revIDLastSave="0" documentId="8_{6EA61DF7-720A-45EE-B3D5-A710D8603976}" xr6:coauthVersionLast="46" xr6:coauthVersionMax="46" xr10:uidLastSave="{00000000-0000-0000-0000-000000000000}"/>
  <bookViews>
    <workbookView xWindow="-120" yWindow="-120" windowWidth="29040" windowHeight="15840" tabRatio="500" xr2:uid="{00000000-000D-0000-FFFF-FFFF00000000}"/>
  </bookViews>
  <sheets>
    <sheet name="Necesidades Trimestrales" sheetId="1" r:id="rId1"/>
    <sheet name=" NotaPedido" sheetId="2" r:id="rId2"/>
    <sheet name="Autor Gastar" sheetId="3" r:id="rId3"/>
  </sheets>
  <definedNames>
    <definedName name="_xlnm.Print_Area" localSheetId="1">' NotaPedido'!$A$1:$K$18</definedName>
    <definedName name="_xlnm.Print_Area" localSheetId="2">'Autor Gastar'!$A$1:$Q$24</definedName>
  </definedNames>
  <calcPr calcId="181029"/>
</workbook>
</file>

<file path=xl/calcChain.xml><?xml version="1.0" encoding="utf-8"?>
<calcChain xmlns="http://schemas.openxmlformats.org/spreadsheetml/2006/main">
  <c r="Q15" i="3" l="1"/>
  <c r="I10" i="1" l="1"/>
  <c r="Q20" i="3" l="1"/>
  <c r="D10" i="1"/>
  <c r="D7" i="2" l="1"/>
  <c r="D3" i="2"/>
  <c r="G4" i="3" s="1"/>
  <c r="D4" i="2"/>
  <c r="G5" i="3" s="1"/>
  <c r="A10" i="3" l="1"/>
  <c r="D1" i="3"/>
  <c r="K12" i="2"/>
  <c r="J12" i="2"/>
  <c r="I12" i="2"/>
  <c r="C12" i="2"/>
  <c r="B12" i="2"/>
  <c r="I15" i="3"/>
  <c r="J18" i="2" l="1"/>
</calcChain>
</file>

<file path=xl/sharedStrings.xml><?xml version="1.0" encoding="utf-8"?>
<sst xmlns="http://schemas.openxmlformats.org/spreadsheetml/2006/main" count="84" uniqueCount="77">
  <si>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</si>
  <si>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</si>
  <si>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</si>
  <si>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</si>
  <si>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</si>
  <si>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</si>
  <si>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</si>
  <si>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</si>
  <si>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</si>
  <si>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</si>
  <si>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</si>
  <si>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</si>
  <si>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</si>
  <si>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</si>
  <si>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</si>
  <si>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</si>
  <si>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</si>
  <si>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</si>
  <si>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</si>
  <si>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</si>
  <si>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</si>
  <si>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</si>
  <si>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</si>
  <si>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</si>
  <si>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</si>
  <si>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</si>
  <si>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</si>
  <si>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</si>
  <si>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</si>
  <si>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</si>
  <si>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</si>
  <si>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</si>
  <si>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</si>
  <si>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</si>
  <si>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</si>
  <si>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</si>
  <si>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</si>
  <si>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</si>
  <si>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</si>
  <si>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</si>
  <si>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</si>
  <si>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</si>
  <si>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</si>
  <si>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</si>
  <si>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</si>
  <si>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</si>
  <si>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</si>
  <si>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</si>
  <si>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</si>
  <si>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</si>
  <si>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</si>
  <si>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</si>
  <si>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</si>
  <si>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</si>
  <si>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</si>
  <si>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</si>
  <si>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</si>
  <si>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Combustibles y Lubricantes</t>
  </si>
  <si>
    <t>COMBUSTIBLES Y LUBRICANTES</t>
  </si>
  <si>
    <t>LITROS</t>
  </si>
  <si>
    <t>Adquisición de COMBUSTIBLE para el normal funcionamiento de las distintas dependencias del Ministerio de Desarrollo Social y Deporte.</t>
  </si>
  <si>
    <t>45- Ministerio de Desarrollo Social y Deporte</t>
  </si>
  <si>
    <t>25- Direccion Provincial de Gestion Administrativa y RRHH</t>
  </si>
  <si>
    <t>Media</t>
  </si>
  <si>
    <t>Plazo de Mantinimiento 30 dias</t>
  </si>
  <si>
    <t>NO</t>
  </si>
  <si>
    <r>
      <rPr>
        <u/>
        <sz val="10"/>
        <rFont val="Times New Roman"/>
        <family val="1"/>
      </rPr>
      <t xml:space="preserve">Plazo de Entrega: </t>
    </r>
    <r>
      <rPr>
        <sz val="10"/>
        <rFont val="Times New Roman"/>
        <family val="1"/>
      </rPr>
      <t>Dentro de los 05 (cinco) dias de Notificada la Orden de Compra</t>
    </r>
  </si>
  <si>
    <r>
      <rPr>
        <u/>
        <sz val="10"/>
        <rFont val="Times New Roman"/>
        <family val="1"/>
      </rPr>
      <t>Boca de Expendio:</t>
    </r>
    <r>
      <rPr>
        <sz val="10"/>
        <rFont val="Times New Roman"/>
        <family val="1"/>
      </rPr>
      <t xml:space="preserve"> San Fernanod del Valle de Catamaraca (CP 4700)</t>
    </r>
  </si>
  <si>
    <r>
      <rPr>
        <u/>
        <sz val="10"/>
        <rFont val="Times New Roman"/>
        <family val="1"/>
      </rPr>
      <t>Lugar y Forma de Entrega:</t>
    </r>
    <r>
      <rPr>
        <sz val="10"/>
        <rFont val="Times New Roman"/>
        <family val="1"/>
      </rPr>
      <t xml:space="preserve"> Se Entregara en el Pabellon 25 CAPE Av. Venezuela S/N- San Fernando del Valle de Catamarca (CP 4700) en las oficinas del Ministerio de Desarrollo Social y Deporte. Fraccionado bajo la forma de vales de 10Lts. cada uno, (cuando la cantidad adjudicada no permita la confeccion de dichos vales, para completar se emitara uno por una cantidad menor) corriendo los gastos de flete, acarreo, carga, descarga y seguros por cuenta del adjudicatario.-</t>
    </r>
  </si>
  <si>
    <t>01- Ministerio de Desarrollo Social y Deporte</t>
  </si>
  <si>
    <t>01- Actividad Central</t>
  </si>
  <si>
    <t>433/2021</t>
  </si>
  <si>
    <t>Costo total estimado: UN MILLON CUATROCIENTOS NOVENTA Y NUEVE MIL NOVECIENTOS SESENTA Y SEIS CON 60/100.-</t>
  </si>
  <si>
    <t>TOTAL DE PESOS: UN MILLON CUATROCIENTOS NOVENTA Y NUEVE MIL NOVECIENTOS SESENTA Y SEIS CON 60/100.-</t>
  </si>
  <si>
    <t>01- Ministerio de Desarrollo Social y Deportes</t>
  </si>
  <si>
    <t>GAS OIL; PRESENTACION: POR LITRO, USO: MOTORES DIESEL, COMERCIALIZACION: GRADO 2, DESTINO: DPTO. S.F.V. DE CATAMARCA</t>
  </si>
  <si>
    <t>2.5.6-793.46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</si>
</sst>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27"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charset val="1"/>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2"/>
      <name val="Times New Roman"/>
      <family val="1"/>
    </font>
    <font>
      <sz val="10"/>
      <name val="Arial"/>
      <family val="2"/>
    </font>
  </fonts>
  <fills count="3">
    <fill>
      <patternFill patternType="none"/>
    </fill>
    <fill>
      <patternFill patternType="gray125"/>
    </fill>
    <fill>
      <patternFill patternType="solid">
        <fgColor rgb="FFFFFF99"/>
        <bgColor rgb="FFFFFFCC"/>
      </patternFill>
    </fill>
  </fills>
  <borders count="71">
    <border>
      <left/>
      <right/>
      <top/>
      <bottom/>
      <diagonal/>
    </border>
    <border>
      <left/>
      <right/>
      <top/>
      <bottom style="thick">
        <color rgb="FF33CCCC"/>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right style="thick">
        <color auto="1"/>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thin">
        <color auto="1"/>
      </left>
      <right/>
      <top style="thin">
        <color auto="1"/>
      </top>
      <bottom style="medium">
        <color indexed="64"/>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rgb="FF3D3D3D"/>
      </left>
      <right style="thin">
        <color rgb="FF3D3D3D"/>
      </right>
      <top style="thin">
        <color indexed="64"/>
      </top>
      <bottom style="thin">
        <color rgb="FF3D3D3D"/>
      </bottom>
      <diagonal/>
    </border>
    <border>
      <left style="medium">
        <color rgb="FF3D3D3D"/>
      </left>
      <right style="thin">
        <color rgb="FF3D3D3D"/>
      </right>
      <top style="medium">
        <color rgb="FF3D3D3D"/>
      </top>
      <bottom/>
      <diagonal/>
    </border>
    <border>
      <left style="thin">
        <color rgb="FF3D3D3D"/>
      </left>
      <right style="thin">
        <color rgb="FF3D3D3D"/>
      </right>
      <top style="medium">
        <color rgb="FF3D3D3D"/>
      </top>
      <bottom/>
      <diagonal/>
    </border>
    <border>
      <left style="thin">
        <color rgb="FF3D3D3D"/>
      </left>
      <right/>
      <top style="medium">
        <color rgb="FF3D3D3D"/>
      </top>
      <bottom/>
      <diagonal/>
    </border>
    <border>
      <left style="thin">
        <color rgb="FF3D3D3D"/>
      </left>
      <right style="thin">
        <color rgb="FF3D3D3D"/>
      </right>
      <top style="thin">
        <color indexed="64"/>
      </top>
      <bottom style="thin">
        <color rgb="FF3D3D3D"/>
      </bottom>
      <diagonal/>
    </border>
    <border>
      <left style="thin">
        <color rgb="FF3D3D3D"/>
      </left>
      <right/>
      <top style="thin">
        <color indexed="64"/>
      </top>
      <bottom style="thin">
        <color rgb="FF3D3D3D"/>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51">
    <xf numFmtId="0" fontId="0" fillId="0" borderId="0" xfId="0"/>
    <xf numFmtId="0" fontId="0" fillId="0" borderId="0" xfId="0" applyBorder="1"/>
    <xf numFmtId="0" fontId="2" fillId="0" borderId="0" xfId="0" applyFont="1" applyBorder="1" applyAlignment="1">
      <alignment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7" xfId="0" applyBorder="1"/>
    <xf numFmtId="0" fontId="0" fillId="0" borderId="33" xfId="0" applyBorder="1"/>
    <xf numFmtId="0" fontId="0" fillId="0" borderId="19" xfId="0" applyBorder="1"/>
    <xf numFmtId="0" fontId="0" fillId="0" borderId="19" xfId="0" applyBorder="1" applyAlignment="1">
      <alignment horizontal="left"/>
    </xf>
    <xf numFmtId="0" fontId="0" fillId="0" borderId="34" xfId="0" applyBorder="1"/>
    <xf numFmtId="0" fontId="14" fillId="0" borderId="36" xfId="0" applyFont="1" applyBorder="1" applyAlignment="1">
      <alignment horizontal="center" vertical="center"/>
    </xf>
    <xf numFmtId="0" fontId="14" fillId="0" borderId="37" xfId="0" applyFont="1" applyBorder="1" applyAlignment="1">
      <alignment horizontal="center" vertical="center"/>
    </xf>
    <xf numFmtId="0" fontId="14" fillId="0" borderId="37" xfId="0" applyFont="1" applyBorder="1" applyAlignment="1">
      <alignment horizontal="left" vertical="center"/>
    </xf>
    <xf numFmtId="0" fontId="14" fillId="0" borderId="38" xfId="0" applyFont="1" applyBorder="1" applyAlignment="1">
      <alignment horizontal="center" vertical="center"/>
    </xf>
    <xf numFmtId="0" fontId="14" fillId="0" borderId="32" xfId="0" applyFont="1" applyBorder="1" applyAlignment="1">
      <alignment horizontal="center" vertical="center"/>
    </xf>
    <xf numFmtId="166" fontId="0" fillId="0" borderId="39" xfId="3" applyNumberFormat="1" applyFont="1" applyBorder="1" applyAlignment="1" applyProtection="1">
      <alignment horizontal="center" vertical="center"/>
    </xf>
    <xf numFmtId="0" fontId="0" fillId="0" borderId="40" xfId="0" applyFont="1" applyBorder="1" applyAlignment="1">
      <alignment horizontal="center" vertical="center"/>
    </xf>
    <xf numFmtId="0" fontId="0" fillId="0" borderId="41" xfId="0" applyFont="1" applyBorder="1" applyAlignment="1">
      <alignment horizontal="center" vertical="center"/>
    </xf>
    <xf numFmtId="0" fontId="0" fillId="0" borderId="42" xfId="0" applyFont="1" applyBorder="1" applyAlignment="1">
      <alignment horizontal="center" vertical="center"/>
    </xf>
    <xf numFmtId="0" fontId="0" fillId="0" borderId="43" xfId="0" applyFont="1" applyBorder="1" applyAlignment="1">
      <alignment horizontal="center" vertical="center"/>
    </xf>
    <xf numFmtId="166" fontId="0" fillId="0" borderId="44" xfId="3" applyNumberFormat="1" applyFont="1" applyBorder="1" applyAlignment="1" applyProtection="1">
      <alignment horizontal="center" vertical="center"/>
    </xf>
    <xf numFmtId="0" fontId="12" fillId="0" borderId="40" xfId="0" applyFont="1" applyBorder="1" applyAlignment="1">
      <alignment horizontal="center" vertical="center"/>
    </xf>
    <xf numFmtId="0" fontId="12" fillId="0" borderId="41" xfId="0" applyFont="1" applyBorder="1" applyAlignment="1">
      <alignment horizontal="center" vertical="center"/>
    </xf>
    <xf numFmtId="0" fontId="0" fillId="0" borderId="43" xfId="0" applyBorder="1" applyAlignment="1">
      <alignment horizontal="center" vertical="center"/>
    </xf>
    <xf numFmtId="0" fontId="12" fillId="0" borderId="42" xfId="0" applyFont="1" applyBorder="1" applyAlignment="1">
      <alignment horizontal="center" vertical="center"/>
    </xf>
    <xf numFmtId="0" fontId="12" fillId="0" borderId="43" xfId="0"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166" fontId="0" fillId="0" borderId="48" xfId="3" applyNumberFormat="1" applyFont="1" applyBorder="1" applyAlignment="1" applyProtection="1">
      <alignment horizontal="center" vertical="center"/>
    </xf>
    <xf numFmtId="166" fontId="14" fillId="0" borderId="49" xfId="0" applyNumberFormat="1" applyFont="1" applyBorder="1" applyAlignment="1">
      <alignment horizontal="center" vertical="center"/>
    </xf>
    <xf numFmtId="0" fontId="16" fillId="0" borderId="0" xfId="0" applyFont="1"/>
    <xf numFmtId="167" fontId="0" fillId="0" borderId="0" xfId="0" applyNumberFormat="1"/>
    <xf numFmtId="0" fontId="0" fillId="0" borderId="66" xfId="0" applyFont="1" applyFill="1" applyBorder="1" applyAlignment="1">
      <alignment horizontal="center" vertical="center"/>
    </xf>
    <xf numFmtId="0" fontId="0" fillId="0" borderId="67" xfId="0" applyFont="1" applyFill="1" applyBorder="1" applyAlignment="1">
      <alignment horizontal="center" vertical="center"/>
    </xf>
    <xf numFmtId="0" fontId="0" fillId="0" borderId="68" xfId="0" applyFont="1" applyFill="1" applyBorder="1" applyAlignment="1">
      <alignment horizontal="center" vertical="center"/>
    </xf>
    <xf numFmtId="0" fontId="0" fillId="0" borderId="65" xfId="0" applyFont="1" applyFill="1" applyBorder="1" applyAlignment="1">
      <alignment horizontal="center" vertical="center"/>
    </xf>
    <xf numFmtId="0" fontId="0" fillId="0" borderId="69" xfId="0" applyFont="1" applyFill="1" applyBorder="1" applyAlignment="1">
      <alignment horizontal="center" vertical="center"/>
    </xf>
    <xf numFmtId="0" fontId="0" fillId="0" borderId="70" xfId="0" applyFont="1" applyFill="1" applyBorder="1" applyAlignment="1">
      <alignment horizontal="center" vertical="center"/>
    </xf>
    <xf numFmtId="0" fontId="4" fillId="0" borderId="26" xfId="0" applyFont="1" applyFill="1" applyBorder="1" applyAlignment="1">
      <alignment horizontal="left" vertical="center"/>
    </xf>
    <xf numFmtId="0" fontId="4" fillId="0" borderId="26" xfId="0" applyFont="1" applyFill="1" applyBorder="1" applyAlignment="1">
      <alignment horizontal="center" vertical="center"/>
    </xf>
    <xf numFmtId="0" fontId="4" fillId="0" borderId="26" xfId="0" applyFont="1" applyFill="1" applyBorder="1" applyAlignment="1">
      <alignment horizontal="center" vertical="center" wrapText="1"/>
    </xf>
    <xf numFmtId="166" fontId="4" fillId="0" borderId="26" xfId="1" applyNumberFormat="1" applyFont="1" applyFill="1" applyBorder="1" applyAlignment="1" applyProtection="1">
      <alignment horizontal="right" vertical="center" wrapText="1"/>
    </xf>
    <xf numFmtId="3" fontId="4" fillId="0" borderId="26" xfId="0" applyNumberFormat="1" applyFont="1" applyFill="1" applyBorder="1" applyAlignment="1">
      <alignment horizontal="center" vertical="center"/>
    </xf>
    <xf numFmtId="0" fontId="5" fillId="0" borderId="17" xfId="0" applyFont="1" applyFill="1" applyBorder="1" applyAlignment="1">
      <alignment horizontal="right" vertical="center"/>
    </xf>
    <xf numFmtId="0" fontId="6" fillId="0" borderId="18" xfId="0" applyFont="1" applyFill="1" applyBorder="1" applyAlignment="1">
      <alignment horizontal="center" vertical="center"/>
    </xf>
    <xf numFmtId="0" fontId="5" fillId="0" borderId="19" xfId="0" applyFont="1" applyFill="1" applyBorder="1" applyAlignment="1">
      <alignment vertical="center"/>
    </xf>
    <xf numFmtId="0" fontId="5" fillId="0" borderId="0" xfId="0" applyFont="1" applyFill="1" applyBorder="1" applyAlignment="1">
      <alignment vertical="center"/>
    </xf>
    <xf numFmtId="0" fontId="7" fillId="0" borderId="0" xfId="0" applyFont="1" applyFill="1" applyBorder="1" applyAlignment="1">
      <alignment horizontal="left" vertical="center"/>
    </xf>
    <xf numFmtId="0" fontId="6" fillId="0" borderId="0" xfId="0" applyFont="1" applyFill="1" applyBorder="1" applyAlignment="1">
      <alignment horizontal="left" vertical="center" wrapText="1" indent="1"/>
    </xf>
    <xf numFmtId="0" fontId="9" fillId="0" borderId="27" xfId="0" applyFont="1" applyFill="1" applyBorder="1" applyAlignment="1">
      <alignment horizontal="center" vertical="center"/>
    </xf>
    <xf numFmtId="0" fontId="16" fillId="0" borderId="0" xfId="0" applyFont="1" applyFill="1"/>
    <xf numFmtId="0" fontId="19" fillId="0" borderId="0" xfId="0" applyFont="1" applyFill="1" applyAlignment="1">
      <alignment horizontal="left" wrapText="1"/>
    </xf>
    <xf numFmtId="0" fontId="19" fillId="0" borderId="0" xfId="0" applyFont="1" applyFill="1" applyAlignment="1">
      <alignment horizontal="center" wrapText="1"/>
    </xf>
    <xf numFmtId="0" fontId="24" fillId="0" borderId="0" xfId="0" applyFont="1" applyFill="1" applyAlignment="1">
      <alignment horizontal="left" wrapText="1" indent="1"/>
    </xf>
    <xf numFmtId="0" fontId="20" fillId="0" borderId="0" xfId="0" applyFont="1" applyFill="1" applyAlignment="1">
      <alignment horizontal="left" wrapText="1"/>
    </xf>
    <xf numFmtId="0" fontId="20" fillId="0" borderId="9" xfId="0" applyFont="1" applyFill="1" applyBorder="1" applyAlignment="1">
      <alignment horizontal="center" vertical="center" wrapText="1"/>
    </xf>
    <xf numFmtId="0" fontId="20" fillId="0" borderId="21" xfId="0" applyFont="1" applyFill="1" applyBorder="1" applyAlignment="1">
      <alignment horizontal="center" vertical="center" wrapText="1"/>
    </xf>
    <xf numFmtId="0" fontId="20" fillId="0" borderId="10" xfId="0" applyFont="1" applyFill="1" applyBorder="1" applyAlignment="1">
      <alignment horizontal="center" vertical="center" wrapText="1"/>
    </xf>
    <xf numFmtId="0" fontId="20" fillId="0" borderId="57" xfId="0" applyFont="1" applyFill="1" applyBorder="1" applyAlignment="1">
      <alignment horizontal="center" vertical="center" wrapText="1"/>
    </xf>
    <xf numFmtId="0" fontId="20" fillId="0" borderId="58" xfId="0" applyFont="1" applyFill="1" applyBorder="1" applyAlignment="1">
      <alignment horizontal="center" vertical="center" wrapText="1"/>
    </xf>
    <xf numFmtId="0" fontId="20" fillId="0" borderId="59" xfId="0" applyFont="1" applyFill="1" applyBorder="1" applyAlignment="1">
      <alignment horizontal="center" vertical="center" wrapText="1"/>
    </xf>
    <xf numFmtId="0" fontId="21" fillId="0" borderId="2" xfId="0" applyFont="1" applyFill="1" applyBorder="1" applyAlignment="1">
      <alignment horizontal="center" vertical="center"/>
    </xf>
    <xf numFmtId="0" fontId="0" fillId="0" borderId="5" xfId="0" applyFill="1" applyBorder="1"/>
    <xf numFmtId="0" fontId="22" fillId="0" borderId="3" xfId="0" applyFont="1" applyFill="1" applyBorder="1" applyAlignment="1">
      <alignment horizontal="center" vertical="center" wrapText="1"/>
    </xf>
    <xf numFmtId="0" fontId="22" fillId="0" borderId="61" xfId="0" applyFont="1" applyFill="1" applyBorder="1" applyAlignment="1">
      <alignment horizontal="center" vertical="center" wrapText="1"/>
    </xf>
    <xf numFmtId="166" fontId="21" fillId="0" borderId="61" xfId="1" applyNumberFormat="1" applyFont="1" applyFill="1" applyBorder="1" applyAlignment="1" applyProtection="1">
      <alignment horizontal="right" vertical="center" wrapText="1"/>
    </xf>
    <xf numFmtId="166" fontId="21" fillId="0" borderId="62" xfId="1" applyNumberFormat="1" applyFont="1" applyFill="1" applyBorder="1" applyAlignment="1" applyProtection="1">
      <alignment horizontal="right" vertical="center" wrapText="1"/>
    </xf>
    <xf numFmtId="0" fontId="21" fillId="0" borderId="4" xfId="0" applyFont="1" applyFill="1" applyBorder="1" applyAlignment="1">
      <alignment horizontal="center" vertical="center"/>
    </xf>
    <xf numFmtId="0" fontId="0" fillId="0" borderId="0" xfId="0" applyFill="1" applyBorder="1"/>
    <xf numFmtId="0" fontId="22" fillId="0" borderId="55" xfId="0" applyFont="1" applyFill="1" applyBorder="1" applyAlignment="1">
      <alignment horizontal="center" vertical="center" wrapText="1"/>
    </xf>
    <xf numFmtId="0" fontId="22" fillId="0" borderId="5" xfId="0" applyFont="1" applyFill="1" applyBorder="1" applyAlignment="1">
      <alignment horizontal="center" vertical="center" wrapText="1"/>
    </xf>
    <xf numFmtId="0" fontId="19" fillId="0" borderId="5" xfId="0" applyFont="1" applyFill="1" applyBorder="1" applyAlignment="1">
      <alignment horizontal="center" wrapText="1"/>
    </xf>
    <xf numFmtId="166" fontId="21" fillId="0" borderId="5" xfId="1" applyNumberFormat="1" applyFont="1" applyFill="1" applyBorder="1" applyAlignment="1" applyProtection="1">
      <alignment horizontal="right" vertical="center" wrapText="1"/>
    </xf>
    <xf numFmtId="166" fontId="21" fillId="0" borderId="6" xfId="1" applyNumberFormat="1" applyFont="1" applyFill="1" applyBorder="1" applyAlignment="1" applyProtection="1">
      <alignment horizontal="right" vertical="center" wrapText="1"/>
    </xf>
    <xf numFmtId="0" fontId="0" fillId="0" borderId="54" xfId="0" applyFill="1" applyBorder="1"/>
    <xf numFmtId="0" fontId="19" fillId="0" borderId="53" xfId="0" applyFont="1" applyFill="1" applyBorder="1" applyAlignment="1">
      <alignment horizontal="center" wrapText="1"/>
    </xf>
    <xf numFmtId="0" fontId="21" fillId="0" borderId="7" xfId="0" applyFont="1" applyFill="1" applyBorder="1" applyAlignment="1">
      <alignment horizontal="center" vertical="center"/>
    </xf>
    <xf numFmtId="0" fontId="0" fillId="0" borderId="60" xfId="0" applyFill="1" applyBorder="1"/>
    <xf numFmtId="0" fontId="0" fillId="0" borderId="8" xfId="0" applyFill="1" applyBorder="1"/>
    <xf numFmtId="0" fontId="22" fillId="0" borderId="56" xfId="0" applyFont="1" applyFill="1" applyBorder="1" applyAlignment="1">
      <alignment horizontal="center" vertical="center" wrapText="1"/>
    </xf>
    <xf numFmtId="0" fontId="22" fillId="0" borderId="8" xfId="0" applyFont="1" applyFill="1" applyBorder="1" applyAlignment="1">
      <alignment horizontal="center" vertical="center" wrapText="1"/>
    </xf>
    <xf numFmtId="0" fontId="19" fillId="0" borderId="8" xfId="0" applyFont="1" applyFill="1" applyBorder="1" applyAlignment="1">
      <alignment horizontal="center" wrapText="1"/>
    </xf>
    <xf numFmtId="166" fontId="21" fillId="0" borderId="63" xfId="1" applyNumberFormat="1" applyFont="1" applyFill="1" applyBorder="1" applyAlignment="1" applyProtection="1">
      <alignment horizontal="right" vertical="center" wrapText="1"/>
    </xf>
    <xf numFmtId="166" fontId="21" fillId="0" borderId="64" xfId="1" applyNumberFormat="1" applyFont="1" applyFill="1" applyBorder="1" applyAlignment="1" applyProtection="1">
      <alignment horizontal="right" vertical="center" wrapText="1"/>
    </xf>
    <xf numFmtId="0" fontId="23" fillId="0" borderId="9" xfId="0" applyFont="1" applyFill="1" applyBorder="1"/>
    <xf numFmtId="0" fontId="16" fillId="0" borderId="10" xfId="0" applyFont="1" applyFill="1" applyBorder="1"/>
    <xf numFmtId="0" fontId="16" fillId="0" borderId="11" xfId="0" applyFont="1" applyFill="1" applyBorder="1"/>
    <xf numFmtId="0" fontId="16" fillId="0" borderId="12" xfId="0" applyFont="1" applyFill="1" applyBorder="1"/>
    <xf numFmtId="0" fontId="16" fillId="0" borderId="0" xfId="0" applyFont="1" applyFill="1" applyBorder="1"/>
    <xf numFmtId="0" fontId="16" fillId="0" borderId="13" xfId="0" applyFont="1" applyFill="1" applyBorder="1"/>
    <xf numFmtId="0" fontId="23" fillId="0" borderId="12" xfId="0" applyFont="1" applyFill="1" applyBorder="1" applyAlignment="1">
      <alignment horizontal="left" indent="3"/>
    </xf>
    <xf numFmtId="0" fontId="16" fillId="0" borderId="12" xfId="0" applyFont="1" applyFill="1" applyBorder="1" applyAlignment="1">
      <alignment horizontal="left" indent="3"/>
    </xf>
    <xf numFmtId="0" fontId="16" fillId="0" borderId="0" xfId="0" applyFont="1" applyFill="1" applyBorder="1" applyAlignment="1">
      <alignment horizontal="left"/>
    </xf>
    <xf numFmtId="0" fontId="16" fillId="0" borderId="13" xfId="0" applyFont="1" applyFill="1" applyBorder="1" applyAlignment="1">
      <alignment horizontal="left"/>
    </xf>
    <xf numFmtId="0" fontId="16" fillId="0" borderId="0" xfId="0" applyFont="1" applyFill="1" applyBorder="1" applyAlignment="1">
      <alignment horizontal="center" wrapText="1"/>
    </xf>
    <xf numFmtId="0" fontId="16" fillId="0" borderId="13" xfId="0" applyFont="1" applyFill="1" applyBorder="1" applyAlignment="1">
      <alignment horizontal="center" wrapText="1"/>
    </xf>
    <xf numFmtId="0" fontId="16" fillId="0" borderId="14" xfId="0" applyFont="1" applyFill="1" applyBorder="1" applyAlignment="1">
      <alignment horizontal="left" indent="3"/>
    </xf>
    <xf numFmtId="0" fontId="16" fillId="0" borderId="15" xfId="0" applyFont="1" applyFill="1" applyBorder="1"/>
    <xf numFmtId="0" fontId="16" fillId="0" borderId="16" xfId="0" applyFont="1" applyFill="1" applyBorder="1"/>
    <xf numFmtId="0" fontId="17" fillId="0" borderId="0" xfId="0" applyFont="1" applyFill="1" applyBorder="1" applyAlignment="1">
      <alignment horizontal="center"/>
    </xf>
    <xf numFmtId="0" fontId="18" fillId="0" borderId="0" xfId="0" applyFont="1" applyFill="1" applyBorder="1" applyAlignment="1">
      <alignment horizontal="left" vertical="center" wrapText="1"/>
    </xf>
    <xf numFmtId="0" fontId="24" fillId="0" borderId="0" xfId="0" applyFont="1" applyFill="1" applyBorder="1" applyAlignment="1">
      <alignment horizontal="left" wrapText="1" indent="1"/>
    </xf>
    <xf numFmtId="0" fontId="16" fillId="0" borderId="13" xfId="0" applyFont="1" applyFill="1" applyBorder="1" applyAlignment="1">
      <alignment horizontal="center" wrapText="1"/>
    </xf>
    <xf numFmtId="0" fontId="16" fillId="0" borderId="13" xfId="0" applyFont="1" applyFill="1" applyBorder="1" applyAlignment="1">
      <alignment horizontal="center"/>
    </xf>
    <xf numFmtId="0" fontId="16" fillId="0" borderId="0" xfId="0" applyFont="1" applyFill="1" applyBorder="1" applyAlignment="1">
      <alignment horizontal="left"/>
    </xf>
    <xf numFmtId="0" fontId="16" fillId="0" borderId="13" xfId="0" applyFont="1" applyFill="1" applyBorder="1" applyAlignment="1">
      <alignment horizontal="left"/>
    </xf>
    <xf numFmtId="0" fontId="16" fillId="0" borderId="0" xfId="0" applyFont="1" applyFill="1" applyBorder="1" applyAlignment="1">
      <alignment horizontal="left" vertical="center" wrapText="1"/>
    </xf>
    <xf numFmtId="0" fontId="16" fillId="0" borderId="13" xfId="0" applyFont="1" applyFill="1" applyBorder="1" applyAlignment="1">
      <alignment horizontal="left" vertical="center" wrapText="1"/>
    </xf>
    <xf numFmtId="0" fontId="5" fillId="0" borderId="0" xfId="0" applyFont="1" applyFill="1" applyBorder="1" applyAlignment="1">
      <alignment horizontal="center" vertical="center"/>
    </xf>
    <xf numFmtId="0" fontId="7" fillId="0" borderId="20" xfId="0" applyFont="1" applyFill="1" applyBorder="1" applyAlignment="1">
      <alignment horizontal="left" vertical="center" wrapText="1"/>
    </xf>
    <xf numFmtId="0" fontId="6" fillId="0" borderId="21" xfId="0" applyFont="1" applyFill="1" applyBorder="1" applyAlignment="1">
      <alignment horizontal="left" vertical="center" wrapText="1" indent="1"/>
    </xf>
    <xf numFmtId="0" fontId="7" fillId="0" borderId="22" xfId="0" applyFont="1" applyFill="1" applyBorder="1" applyAlignment="1">
      <alignment horizontal="left" vertical="center" wrapText="1"/>
    </xf>
    <xf numFmtId="0" fontId="7" fillId="0" borderId="23" xfId="0" applyFont="1" applyFill="1" applyBorder="1" applyAlignment="1">
      <alignment horizontal="left" vertical="center"/>
    </xf>
    <xf numFmtId="0" fontId="6" fillId="0" borderId="24" xfId="0" applyFont="1" applyFill="1" applyBorder="1" applyAlignment="1">
      <alignment horizontal="left" vertical="center" wrapText="1" indent="1"/>
    </xf>
    <xf numFmtId="0" fontId="8" fillId="0" borderId="23" xfId="0" applyFont="1" applyFill="1" applyBorder="1" applyAlignment="1">
      <alignment horizontal="center" vertical="center"/>
    </xf>
    <xf numFmtId="0" fontId="8" fillId="0" borderId="25" xfId="0" applyFont="1" applyFill="1" applyBorder="1" applyAlignment="1">
      <alignment horizontal="center" vertical="center" wrapText="1"/>
    </xf>
    <xf numFmtId="0" fontId="8" fillId="0" borderId="24" xfId="0" applyFont="1" applyFill="1" applyBorder="1" applyAlignment="1">
      <alignment horizontal="center" vertical="center" wrapText="1"/>
    </xf>
    <xf numFmtId="167" fontId="25" fillId="0" borderId="21" xfId="0" applyNumberFormat="1" applyFont="1" applyFill="1" applyBorder="1" applyAlignment="1">
      <alignment horizontal="center" vertical="center"/>
    </xf>
    <xf numFmtId="0" fontId="4" fillId="0" borderId="26" xfId="0" applyFont="1" applyFill="1" applyBorder="1" applyAlignment="1">
      <alignment horizontal="left" vertical="center" wrapText="1"/>
    </xf>
    <xf numFmtId="0" fontId="0" fillId="0" borderId="28" xfId="0" applyFont="1" applyBorder="1" applyAlignment="1">
      <alignment horizontal="center"/>
    </xf>
    <xf numFmtId="3" fontId="10" fillId="0" borderId="29" xfId="0" applyNumberFormat="1" applyFont="1" applyBorder="1" applyAlignment="1">
      <alignment horizontal="center"/>
    </xf>
    <xf numFmtId="0" fontId="11" fillId="0" borderId="18" xfId="0" applyFont="1" applyBorder="1" applyAlignment="1">
      <alignment horizontal="center" vertical="center" wrapText="1"/>
    </xf>
    <xf numFmtId="0" fontId="2" fillId="0" borderId="18" xfId="0" applyFont="1" applyBorder="1"/>
    <xf numFmtId="0" fontId="12" fillId="0" borderId="18" xfId="0" applyFont="1" applyBorder="1" applyAlignment="1">
      <alignment horizontal="left" indent="1"/>
    </xf>
    <xf numFmtId="0" fontId="4" fillId="0" borderId="20" xfId="0" applyFont="1" applyBorder="1" applyAlignment="1">
      <alignment horizontal="left" vertical="center" wrapText="1"/>
    </xf>
    <xf numFmtId="0" fontId="4" fillId="0" borderId="51" xfId="0" applyFont="1" applyBorder="1" applyAlignment="1">
      <alignment horizontal="left" vertical="center" wrapText="1"/>
    </xf>
    <xf numFmtId="0" fontId="4" fillId="0" borderId="52" xfId="0" applyFont="1" applyBorder="1" applyAlignment="1">
      <alignment horizontal="left" vertical="center" wrapText="1"/>
    </xf>
    <xf numFmtId="0" fontId="13" fillId="0" borderId="18" xfId="0" applyFont="1" applyBorder="1" applyAlignment="1">
      <alignment horizontal="left"/>
    </xf>
    <xf numFmtId="0" fontId="26" fillId="0" borderId="67" xfId="0" applyFont="1" applyBorder="1" applyAlignment="1">
      <alignment horizontal="left" vertical="center" wrapText="1"/>
    </xf>
    <xf numFmtId="0" fontId="0" fillId="0" borderId="67" xfId="0" applyFont="1" applyBorder="1" applyAlignment="1">
      <alignment horizontal="left" vertical="center" wrapText="1"/>
    </xf>
    <xf numFmtId="0" fontId="26" fillId="0" borderId="69" xfId="0" applyFont="1" applyBorder="1" applyAlignment="1">
      <alignment horizontal="left" vertical="center" wrapText="1"/>
    </xf>
    <xf numFmtId="0" fontId="0" fillId="0" borderId="69" xfId="0" applyFont="1" applyBorder="1" applyAlignment="1">
      <alignment horizontal="left" vertical="center" wrapText="1"/>
    </xf>
    <xf numFmtId="0" fontId="0" fillId="0" borderId="43" xfId="0" applyFont="1" applyBorder="1" applyAlignment="1">
      <alignment horizontal="left" vertical="center"/>
    </xf>
    <xf numFmtId="0" fontId="12" fillId="0" borderId="31" xfId="0" applyFont="1" applyBorder="1"/>
    <xf numFmtId="0" fontId="12" fillId="0" borderId="32" xfId="0" applyFont="1" applyBorder="1" applyAlignment="1">
      <alignment horizontal="left" vertical="center" wrapText="1" indent="1"/>
    </xf>
    <xf numFmtId="0" fontId="14" fillId="0" borderId="30" xfId="0" applyFont="1" applyBorder="1" applyAlignment="1">
      <alignment horizontal="center" vertical="center"/>
    </xf>
    <xf numFmtId="0" fontId="14" fillId="0" borderId="18" xfId="0" applyFont="1" applyBorder="1" applyAlignment="1">
      <alignment horizontal="center" vertical="center"/>
    </xf>
    <xf numFmtId="0" fontId="14" fillId="0" borderId="30" xfId="0" applyFont="1" applyBorder="1" applyAlignment="1">
      <alignment horizontal="center" vertical="center" wrapText="1"/>
    </xf>
    <xf numFmtId="0" fontId="14" fillId="0" borderId="35" xfId="0" applyFont="1" applyBorder="1" applyAlignment="1">
      <alignment horizontal="center" vertical="center"/>
    </xf>
    <xf numFmtId="0" fontId="10" fillId="0" borderId="28" xfId="0" applyFont="1" applyBorder="1" applyAlignment="1">
      <alignment vertical="center" wrapText="1"/>
    </xf>
    <xf numFmtId="0" fontId="10" fillId="0" borderId="50" xfId="0" applyFont="1" applyBorder="1" applyAlignment="1">
      <alignment vertical="center" wrapText="1"/>
    </xf>
    <xf numFmtId="0" fontId="10" fillId="0" borderId="24" xfId="0" applyFont="1" applyBorder="1" applyAlignment="1">
      <alignment vertical="center" wrapText="1"/>
    </xf>
    <xf numFmtId="0" fontId="12" fillId="0" borderId="35" xfId="0" applyFont="1" applyBorder="1" applyAlignment="1">
      <alignment vertical="center" wrapText="1"/>
    </xf>
    <xf numFmtId="0" fontId="12" fillId="0" borderId="49" xfId="0" applyFont="1" applyFill="1" applyBorder="1" applyAlignment="1">
      <alignment horizontal="left" vertical="center" wrapText="1" indent="1"/>
    </xf>
    <xf numFmtId="0" fontId="0" fillId="0" borderId="43" xfId="0" applyBorder="1" applyAlignment="1">
      <alignment horizontal="left" vertical="center"/>
    </xf>
    <xf numFmtId="0" fontId="0" fillId="0" borderId="46" xfId="0" applyBorder="1" applyAlignment="1">
      <alignment horizontal="left" vertical="center"/>
    </xf>
    <xf numFmtId="0" fontId="10" fillId="0" borderId="49" xfId="0" applyFont="1" applyBorder="1" applyAlignment="1">
      <alignment horizontal="left" vertical="center" wrapText="1"/>
    </xf>
    <xf numFmtId="0" fontId="0" fillId="0" borderId="30" xfId="0" applyBorder="1"/>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9"/>
  <sheetViews>
    <sheetView tabSelected="1" zoomScaleNormal="100" workbookViewId="0">
      <selection activeCell="G23" sqref="G23"/>
    </sheetView>
  </sheetViews>
  <sheetFormatPr baseColWidth="10" defaultColWidth="11" defaultRowHeight="12.75" x14ac:dyDescent="0.2"/>
  <cols>
    <col min="1" max="1" width="4.5703125" style="33" customWidth="1"/>
    <col min="2" max="2" width="21.7109375" style="33" customWidth="1"/>
    <col min="3" max="3" width="32.42578125" style="33" customWidth="1"/>
    <col min="4" max="4" width="8.42578125" style="33" customWidth="1"/>
    <col min="5" max="5" width="129.42578125" style="33" customWidth="1"/>
    <col min="6" max="6" width="11" style="33"/>
    <col min="7" max="8" width="10.42578125" style="33" bestFit="1" customWidth="1"/>
    <col min="9" max="9" width="15.7109375" style="33" bestFit="1" customWidth="1"/>
    <col min="10" max="16384" width="11" style="33"/>
  </cols>
  <sheetData>
    <row r="2" spans="1:9" ht="27" x14ac:dyDescent="0.35">
      <c r="A2" s="53"/>
      <c r="B2" s="102" t="s">
        <v>0</v>
      </c>
      <c r="C2" s="102"/>
      <c r="D2" s="102"/>
      <c r="E2" s="102"/>
      <c r="F2" s="102"/>
      <c r="G2" s="102"/>
      <c r="H2" s="102"/>
      <c r="I2" s="53"/>
    </row>
    <row r="3" spans="1:9" x14ac:dyDescent="0.2">
      <c r="A3" s="53"/>
      <c r="B3" s="53"/>
      <c r="C3" s="53"/>
      <c r="D3" s="53"/>
      <c r="E3" s="53"/>
      <c r="F3" s="53"/>
      <c r="G3" s="53"/>
      <c r="H3" s="53"/>
      <c r="I3" s="53"/>
    </row>
    <row r="4" spans="1:9" ht="18" customHeight="1" x14ac:dyDescent="0.25">
      <c r="A4" s="103" t="s">
        <v>1</v>
      </c>
      <c r="B4" s="103"/>
      <c r="C4" s="104" t="s">
        <v>61</v>
      </c>
      <c r="D4" s="104"/>
      <c r="E4" s="104"/>
      <c r="F4" s="54"/>
      <c r="G4" s="55"/>
      <c r="H4" s="54"/>
      <c r="I4" s="53"/>
    </row>
    <row r="5" spans="1:9" ht="18" customHeight="1" x14ac:dyDescent="0.25">
      <c r="A5" s="103" t="s">
        <v>2</v>
      </c>
      <c r="B5" s="103"/>
      <c r="C5" s="104" t="s">
        <v>62</v>
      </c>
      <c r="D5" s="104"/>
      <c r="E5" s="104"/>
      <c r="F5" s="54"/>
      <c r="G5" s="55"/>
      <c r="H5" s="54"/>
      <c r="I5" s="53"/>
    </row>
    <row r="6" spans="1:9" ht="16.5" customHeight="1" x14ac:dyDescent="0.25">
      <c r="A6" s="103" t="s">
        <v>3</v>
      </c>
      <c r="B6" s="103"/>
      <c r="C6" s="56">
        <v>2021</v>
      </c>
      <c r="D6" s="57"/>
      <c r="E6" s="57"/>
      <c r="F6" s="54"/>
      <c r="G6" s="55"/>
      <c r="H6" s="54"/>
      <c r="I6" s="53"/>
    </row>
    <row r="7" spans="1:9" ht="16.5" customHeight="1" x14ac:dyDescent="0.25">
      <c r="A7" s="103" t="s">
        <v>4</v>
      </c>
      <c r="B7" s="103"/>
      <c r="C7" s="56">
        <v>2</v>
      </c>
      <c r="D7" s="57"/>
      <c r="E7" s="57"/>
      <c r="F7" s="54"/>
      <c r="G7" s="55"/>
      <c r="H7" s="54"/>
      <c r="I7" s="53"/>
    </row>
    <row r="8" spans="1:9" ht="13.5" thickBot="1" x14ac:dyDescent="0.25">
      <c r="A8" s="53"/>
      <c r="B8" s="54"/>
      <c r="C8" s="55"/>
      <c r="D8" s="54"/>
      <c r="E8" s="54"/>
      <c r="F8" s="54"/>
      <c r="G8" s="55"/>
      <c r="H8" s="54"/>
      <c r="I8" s="53"/>
    </row>
    <row r="9" spans="1:9" ht="39" thickBot="1" x14ac:dyDescent="0.25">
      <c r="A9" s="58" t="s">
        <v>5</v>
      </c>
      <c r="B9" s="59" t="s">
        <v>6</v>
      </c>
      <c r="C9" s="59" t="s">
        <v>7</v>
      </c>
      <c r="D9" s="60" t="s">
        <v>8</v>
      </c>
      <c r="E9" s="59" t="s">
        <v>9</v>
      </c>
      <c r="F9" s="61" t="s">
        <v>10</v>
      </c>
      <c r="G9" s="62" t="s">
        <v>11</v>
      </c>
      <c r="H9" s="62" t="s">
        <v>12</v>
      </c>
      <c r="I9" s="63" t="s">
        <v>13</v>
      </c>
    </row>
    <row r="10" spans="1:9" x14ac:dyDescent="0.2">
      <c r="A10" s="64">
        <v>1</v>
      </c>
      <c r="B10" s="65" t="s">
        <v>76</v>
      </c>
      <c r="C10" s="65" t="s">
        <v>58</v>
      </c>
      <c r="D10" s="66" t="str">
        <f>LEFT(B10,5)</f>
        <v>2.5.6</v>
      </c>
      <c r="E10" s="65" t="s">
        <v>75</v>
      </c>
      <c r="F10" s="67" t="s">
        <v>59</v>
      </c>
      <c r="G10" s="66">
        <v>18337</v>
      </c>
      <c r="H10" s="68">
        <v>81.8</v>
      </c>
      <c r="I10" s="69">
        <f>+H10*G10</f>
        <v>1499966.5999999999</v>
      </c>
    </row>
    <row r="11" spans="1:9" x14ac:dyDescent="0.2">
      <c r="A11" s="70">
        <v>2</v>
      </c>
      <c r="B11" s="71"/>
      <c r="C11" s="65"/>
      <c r="D11" s="72"/>
      <c r="E11" s="71"/>
      <c r="F11" s="73"/>
      <c r="G11" s="74"/>
      <c r="H11" s="75"/>
      <c r="I11" s="76"/>
    </row>
    <row r="12" spans="1:9" x14ac:dyDescent="0.2">
      <c r="A12" s="70">
        <v>3</v>
      </c>
      <c r="B12" s="77"/>
      <c r="C12" s="65"/>
      <c r="D12" s="72"/>
      <c r="E12" s="65"/>
      <c r="F12" s="73"/>
      <c r="G12" s="74"/>
      <c r="H12" s="75"/>
      <c r="I12" s="76"/>
    </row>
    <row r="13" spans="1:9" x14ac:dyDescent="0.2">
      <c r="A13" s="70">
        <v>4</v>
      </c>
      <c r="B13" s="77"/>
      <c r="C13" s="65"/>
      <c r="D13" s="72"/>
      <c r="E13" s="65"/>
      <c r="F13" s="73"/>
      <c r="G13" s="74"/>
      <c r="H13" s="75"/>
      <c r="I13" s="76"/>
    </row>
    <row r="14" spans="1:9" x14ac:dyDescent="0.2">
      <c r="A14" s="70">
        <v>5</v>
      </c>
      <c r="B14" s="77"/>
      <c r="C14" s="65"/>
      <c r="D14" s="72"/>
      <c r="E14" s="65"/>
      <c r="F14" s="73"/>
      <c r="G14" s="78"/>
      <c r="H14" s="75"/>
      <c r="I14" s="76"/>
    </row>
    <row r="15" spans="1:9" ht="13.5" thickBot="1" x14ac:dyDescent="0.25">
      <c r="A15" s="79">
        <v>6</v>
      </c>
      <c r="B15" s="80"/>
      <c r="C15" s="81"/>
      <c r="D15" s="82"/>
      <c r="E15" s="81"/>
      <c r="F15" s="83"/>
      <c r="G15" s="84"/>
      <c r="H15" s="85"/>
      <c r="I15" s="86"/>
    </row>
    <row r="16" spans="1:9" x14ac:dyDescent="0.2">
      <c r="A16" s="53"/>
      <c r="B16" s="53"/>
      <c r="C16" s="53"/>
      <c r="D16" s="53"/>
      <c r="E16" s="53"/>
      <c r="F16" s="53"/>
      <c r="G16" s="53"/>
      <c r="H16" s="53"/>
      <c r="I16" s="53"/>
    </row>
    <row r="17" spans="1:9" x14ac:dyDescent="0.2">
      <c r="A17" s="53"/>
      <c r="B17" s="53"/>
      <c r="C17" s="53"/>
      <c r="D17" s="53"/>
      <c r="E17" s="53"/>
      <c r="F17" s="53"/>
      <c r="G17" s="53"/>
      <c r="H17" s="53"/>
      <c r="I17" s="53"/>
    </row>
    <row r="18" spans="1:9" x14ac:dyDescent="0.2">
      <c r="A18" s="53"/>
      <c r="B18" s="87" t="s">
        <v>14</v>
      </c>
      <c r="C18" s="88"/>
      <c r="D18" s="88"/>
      <c r="E18" s="89"/>
      <c r="F18" s="53"/>
      <c r="G18" s="53"/>
      <c r="H18" s="53"/>
      <c r="I18" s="53"/>
    </row>
    <row r="19" spans="1:9" ht="5.25" customHeight="1" x14ac:dyDescent="0.2">
      <c r="A19" s="53"/>
      <c r="B19" s="90"/>
      <c r="C19" s="91"/>
      <c r="D19" s="91"/>
      <c r="E19" s="92"/>
      <c r="F19" s="53"/>
      <c r="G19" s="53"/>
      <c r="H19" s="53"/>
      <c r="I19" s="53"/>
    </row>
    <row r="20" spans="1:9" x14ac:dyDescent="0.2">
      <c r="A20" s="53"/>
      <c r="B20" s="93" t="s">
        <v>15</v>
      </c>
      <c r="C20" s="91"/>
      <c r="D20" s="91"/>
      <c r="E20" s="92"/>
      <c r="F20" s="53"/>
      <c r="G20" s="53"/>
      <c r="H20" s="53"/>
      <c r="I20" s="53"/>
    </row>
    <row r="21" spans="1:9" ht="41.25" customHeight="1" x14ac:dyDescent="0.2">
      <c r="A21" s="53"/>
      <c r="B21" s="93"/>
      <c r="C21" s="105"/>
      <c r="D21" s="105"/>
      <c r="E21" s="105"/>
      <c r="F21" s="53"/>
      <c r="G21" s="53"/>
      <c r="H21" s="53"/>
      <c r="I21" s="53"/>
    </row>
    <row r="22" spans="1:9" x14ac:dyDescent="0.2">
      <c r="A22" s="53"/>
      <c r="B22" s="93" t="s">
        <v>16</v>
      </c>
      <c r="C22" s="91"/>
      <c r="D22" s="91"/>
      <c r="E22" s="92"/>
      <c r="F22" s="53"/>
      <c r="G22" s="53"/>
      <c r="H22" s="53"/>
      <c r="I22" s="53"/>
    </row>
    <row r="23" spans="1:9" x14ac:dyDescent="0.2">
      <c r="A23" s="53"/>
      <c r="B23" s="94"/>
      <c r="C23" s="107" t="s">
        <v>66</v>
      </c>
      <c r="D23" s="107"/>
      <c r="E23" s="108"/>
      <c r="F23" s="53"/>
      <c r="G23" s="53"/>
      <c r="H23" s="53"/>
      <c r="I23" s="53"/>
    </row>
    <row r="24" spans="1:9" ht="50.25" customHeight="1" x14ac:dyDescent="0.2">
      <c r="A24" s="53"/>
      <c r="B24" s="94"/>
      <c r="C24" s="109" t="s">
        <v>68</v>
      </c>
      <c r="D24" s="109"/>
      <c r="E24" s="110"/>
      <c r="F24" s="53"/>
      <c r="G24" s="53"/>
      <c r="H24" s="53"/>
      <c r="I24" s="53"/>
    </row>
    <row r="25" spans="1:9" x14ac:dyDescent="0.2">
      <c r="A25" s="53"/>
      <c r="B25" s="94"/>
      <c r="C25" s="95" t="s">
        <v>67</v>
      </c>
      <c r="D25" s="95"/>
      <c r="E25" s="96"/>
      <c r="F25" s="53"/>
      <c r="G25" s="53"/>
      <c r="H25" s="53"/>
      <c r="I25" s="53"/>
    </row>
    <row r="26" spans="1:9" x14ac:dyDescent="0.2">
      <c r="A26" s="53"/>
      <c r="B26" s="93" t="s">
        <v>17</v>
      </c>
      <c r="C26" s="91"/>
      <c r="D26" s="91"/>
      <c r="E26" s="92"/>
      <c r="F26" s="53"/>
      <c r="G26" s="53"/>
      <c r="H26" s="53"/>
      <c r="I26" s="53"/>
    </row>
    <row r="27" spans="1:9" ht="26.25" customHeight="1" x14ac:dyDescent="0.2">
      <c r="A27" s="53"/>
      <c r="B27" s="94"/>
      <c r="C27" s="105" t="s">
        <v>63</v>
      </c>
      <c r="D27" s="105"/>
      <c r="E27" s="105"/>
      <c r="F27" s="53"/>
      <c r="G27" s="53"/>
      <c r="H27" s="53"/>
      <c r="I27" s="53"/>
    </row>
    <row r="28" spans="1:9" x14ac:dyDescent="0.2">
      <c r="A28" s="53"/>
      <c r="B28" s="93" t="s">
        <v>18</v>
      </c>
      <c r="C28" s="97"/>
      <c r="D28" s="97"/>
      <c r="E28" s="98"/>
      <c r="F28" s="53"/>
      <c r="G28" s="53"/>
      <c r="H28" s="53"/>
      <c r="I28" s="53"/>
    </row>
    <row r="29" spans="1:9" ht="26.25" customHeight="1" x14ac:dyDescent="0.2">
      <c r="A29" s="53"/>
      <c r="B29" s="94"/>
      <c r="C29" s="105" t="s">
        <v>64</v>
      </c>
      <c r="D29" s="105"/>
      <c r="E29" s="105"/>
      <c r="F29" s="53"/>
      <c r="G29" s="53"/>
      <c r="H29" s="53"/>
      <c r="I29" s="53"/>
    </row>
    <row r="30" spans="1:9" x14ac:dyDescent="0.2">
      <c r="A30" s="53"/>
      <c r="B30" s="93" t="s">
        <v>19</v>
      </c>
      <c r="C30" s="91"/>
      <c r="D30" s="91"/>
      <c r="E30" s="92"/>
      <c r="F30" s="53"/>
      <c r="G30" s="53"/>
      <c r="H30" s="53"/>
      <c r="I30" s="53"/>
    </row>
    <row r="31" spans="1:9" ht="23.25" customHeight="1" x14ac:dyDescent="0.2">
      <c r="A31" s="53"/>
      <c r="B31" s="93"/>
      <c r="C31" s="106"/>
      <c r="D31" s="106"/>
      <c r="E31" s="106"/>
      <c r="F31" s="53"/>
      <c r="G31" s="53"/>
      <c r="H31" s="53"/>
      <c r="I31" s="53"/>
    </row>
    <row r="32" spans="1:9" x14ac:dyDescent="0.2">
      <c r="A32" s="53"/>
      <c r="B32" s="99"/>
      <c r="C32" s="100"/>
      <c r="D32" s="100"/>
      <c r="E32" s="101"/>
      <c r="F32" s="53"/>
      <c r="G32" s="53"/>
      <c r="H32" s="53"/>
      <c r="I32" s="53"/>
    </row>
    <row r="33" spans="1:9" x14ac:dyDescent="0.2">
      <c r="A33" s="53"/>
      <c r="B33" s="53"/>
      <c r="C33" s="53"/>
      <c r="D33" s="53"/>
      <c r="E33" s="53"/>
      <c r="F33" s="53"/>
      <c r="G33" s="53"/>
      <c r="H33" s="53"/>
      <c r="I33" s="53"/>
    </row>
    <row r="34" spans="1:9" x14ac:dyDescent="0.2">
      <c r="A34" s="53"/>
      <c r="B34" s="53"/>
      <c r="C34" s="53"/>
      <c r="D34" s="53"/>
      <c r="E34" s="53"/>
      <c r="F34" s="53"/>
      <c r="G34" s="53"/>
      <c r="H34" s="53"/>
      <c r="I34" s="53"/>
    </row>
    <row r="35" spans="1:9" x14ac:dyDescent="0.2">
      <c r="A35" s="53"/>
      <c r="B35" s="53"/>
      <c r="C35" s="53"/>
      <c r="D35" s="53"/>
      <c r="E35" s="53"/>
      <c r="F35" s="53"/>
      <c r="G35" s="53"/>
      <c r="H35" s="53"/>
      <c r="I35" s="53"/>
    </row>
    <row r="36" spans="1:9" x14ac:dyDescent="0.2">
      <c r="A36" s="53"/>
      <c r="B36" s="53"/>
      <c r="C36" s="53"/>
      <c r="D36" s="53"/>
      <c r="E36" s="53"/>
      <c r="F36" s="53"/>
      <c r="G36" s="53"/>
      <c r="H36" s="53"/>
      <c r="I36" s="53"/>
    </row>
    <row r="37" spans="1:9" x14ac:dyDescent="0.2">
      <c r="A37" s="53"/>
      <c r="B37" s="53"/>
      <c r="C37" s="53"/>
      <c r="D37" s="53"/>
      <c r="E37" s="53"/>
      <c r="F37" s="53"/>
      <c r="G37" s="53"/>
      <c r="H37" s="53"/>
      <c r="I37" s="53"/>
    </row>
    <row r="38" spans="1:9" x14ac:dyDescent="0.2">
      <c r="A38" s="53"/>
      <c r="B38" s="53"/>
      <c r="C38" s="53"/>
      <c r="D38" s="53"/>
      <c r="E38" s="53"/>
      <c r="F38" s="53"/>
      <c r="G38" s="53"/>
      <c r="H38" s="53"/>
      <c r="I38" s="53"/>
    </row>
    <row r="39" spans="1:9" x14ac:dyDescent="0.2">
      <c r="A39" s="53"/>
      <c r="B39" s="53"/>
      <c r="C39" s="53"/>
      <c r="D39" s="53"/>
      <c r="E39" s="53"/>
      <c r="F39" s="53"/>
      <c r="G39" s="53"/>
      <c r="H39" s="53"/>
      <c r="I39" s="53"/>
    </row>
  </sheetData>
  <mergeCells count="13">
    <mergeCell ref="C27:E27"/>
    <mergeCell ref="C29:E29"/>
    <mergeCell ref="C31:E31"/>
    <mergeCell ref="A6:B6"/>
    <mergeCell ref="A7:B7"/>
    <mergeCell ref="C21:E21"/>
    <mergeCell ref="C23:E23"/>
    <mergeCell ref="C24:E24"/>
    <mergeCell ref="B2:H2"/>
    <mergeCell ref="A4:B4"/>
    <mergeCell ref="C4:E4"/>
    <mergeCell ref="A5:B5"/>
    <mergeCell ref="C5:E5"/>
  </mergeCells>
  <pageMargins left="0" right="0" top="0.74803149606299213" bottom="0" header="0.51181102362204722" footer="0.51181102362204722"/>
  <pageSetup paperSize="5" scale="85" firstPageNumber="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8"/>
  <sheetViews>
    <sheetView topLeftCell="A4" zoomScale="110" zoomScaleNormal="110" workbookViewId="0">
      <selection activeCell="E23" sqref="E23"/>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111" t="s">
        <v>20</v>
      </c>
      <c r="B1" s="111"/>
      <c r="C1" s="111"/>
      <c r="D1" s="111"/>
      <c r="E1" s="111"/>
      <c r="F1" s="111"/>
      <c r="G1" s="111"/>
      <c r="H1" s="111"/>
      <c r="I1" s="111"/>
      <c r="J1" s="46" t="s">
        <v>21</v>
      </c>
      <c r="K1" s="47" t="s">
        <v>71</v>
      </c>
    </row>
    <row r="2" spans="1:11" ht="18.75" customHeight="1" thickBot="1" x14ac:dyDescent="0.25">
      <c r="A2" s="48"/>
      <c r="B2" s="48"/>
      <c r="C2" s="48"/>
      <c r="D2" s="49"/>
      <c r="E2" s="49"/>
      <c r="F2" s="49"/>
      <c r="G2" s="49"/>
      <c r="H2" s="49"/>
      <c r="I2" s="49"/>
      <c r="J2" s="49"/>
      <c r="K2" s="49"/>
    </row>
    <row r="3" spans="1:11" ht="18.75" customHeight="1" thickBot="1" x14ac:dyDescent="0.25">
      <c r="A3" s="112" t="s">
        <v>54</v>
      </c>
      <c r="B3" s="112"/>
      <c r="C3" s="112"/>
      <c r="D3" s="113" t="str">
        <f>'Necesidades Trimestrales'!C4</f>
        <v>45- Ministerio de Desarrollo Social y Deporte</v>
      </c>
      <c r="E3" s="113"/>
      <c r="F3" s="113"/>
      <c r="G3" s="113"/>
      <c r="H3" s="113"/>
      <c r="I3" s="113"/>
      <c r="J3" s="113"/>
      <c r="K3" s="113"/>
    </row>
    <row r="4" spans="1:11" ht="18.75" customHeight="1" thickBot="1" x14ac:dyDescent="0.25">
      <c r="A4" s="114" t="s">
        <v>55</v>
      </c>
      <c r="B4" s="114"/>
      <c r="C4" s="114"/>
      <c r="D4" s="113" t="str">
        <f>'Necesidades Trimestrales'!C5</f>
        <v>25- Direccion Provincial de Gestion Administrativa y RRHH</v>
      </c>
      <c r="E4" s="113"/>
      <c r="F4" s="113"/>
      <c r="G4" s="113"/>
      <c r="H4" s="113"/>
      <c r="I4" s="113"/>
      <c r="J4" s="113"/>
      <c r="K4" s="113"/>
    </row>
    <row r="5" spans="1:11" ht="18.75" customHeight="1" thickBot="1" x14ac:dyDescent="0.25">
      <c r="A5" s="114" t="s">
        <v>33</v>
      </c>
      <c r="B5" s="114"/>
      <c r="C5" s="114"/>
      <c r="D5" s="113" t="s">
        <v>69</v>
      </c>
      <c r="E5" s="113"/>
      <c r="F5" s="113"/>
      <c r="G5" s="113"/>
      <c r="H5" s="113"/>
      <c r="I5" s="113"/>
      <c r="J5" s="113"/>
      <c r="K5" s="113"/>
    </row>
    <row r="6" spans="1:11" ht="16.5" customHeight="1" thickBot="1" x14ac:dyDescent="0.25">
      <c r="A6" s="112" t="s">
        <v>56</v>
      </c>
      <c r="B6" s="112"/>
      <c r="C6" s="112"/>
      <c r="D6" s="113" t="s">
        <v>70</v>
      </c>
      <c r="E6" s="113"/>
      <c r="F6" s="113"/>
      <c r="G6" s="113"/>
      <c r="H6" s="113"/>
      <c r="I6" s="113"/>
      <c r="J6" s="113"/>
      <c r="K6" s="113"/>
    </row>
    <row r="7" spans="1:11" ht="16.5" customHeight="1" x14ac:dyDescent="0.2">
      <c r="A7" s="114" t="s">
        <v>22</v>
      </c>
      <c r="B7" s="114"/>
      <c r="C7" s="114"/>
      <c r="D7" s="113" t="str">
        <f>'Necesidades Trimestrales'!C7 &amp; "° Trimestre - Año " &amp; 'Necesidades Trimestrales'!C6</f>
        <v>2° Trimestre - Año 2021</v>
      </c>
      <c r="E7" s="113"/>
      <c r="F7" s="113"/>
      <c r="G7" s="113"/>
      <c r="H7" s="113"/>
      <c r="I7" s="113"/>
      <c r="J7" s="113"/>
      <c r="K7" s="113"/>
    </row>
    <row r="8" spans="1:11" ht="35.25" customHeight="1" x14ac:dyDescent="0.2">
      <c r="A8" s="115" t="s">
        <v>23</v>
      </c>
      <c r="B8" s="115"/>
      <c r="C8" s="115"/>
      <c r="D8" s="116" t="s">
        <v>60</v>
      </c>
      <c r="E8" s="116"/>
      <c r="F8" s="116"/>
      <c r="G8" s="116"/>
      <c r="H8" s="116"/>
      <c r="I8" s="116"/>
      <c r="J8" s="116"/>
      <c r="K8" s="116"/>
    </row>
    <row r="9" spans="1:11" ht="15.75" x14ac:dyDescent="0.2">
      <c r="A9" s="50"/>
      <c r="B9" s="50"/>
      <c r="C9" s="50"/>
      <c r="D9" s="51"/>
      <c r="E9" s="51"/>
      <c r="F9" s="51"/>
      <c r="G9" s="51"/>
      <c r="H9" s="51"/>
      <c r="I9" s="51"/>
      <c r="J9" s="51"/>
      <c r="K9" s="51"/>
    </row>
    <row r="10" spans="1:11" ht="18.75" customHeight="1" x14ac:dyDescent="0.2">
      <c r="A10" s="117" t="s">
        <v>24</v>
      </c>
      <c r="B10" s="118" t="s">
        <v>25</v>
      </c>
      <c r="C10" s="118" t="s">
        <v>26</v>
      </c>
      <c r="D10" s="118"/>
      <c r="E10" s="118"/>
      <c r="F10" s="118"/>
      <c r="G10" s="118"/>
      <c r="H10" s="118" t="s">
        <v>27</v>
      </c>
      <c r="I10" s="118" t="s">
        <v>28</v>
      </c>
      <c r="J10" s="118" t="s">
        <v>29</v>
      </c>
      <c r="K10" s="119" t="s">
        <v>30</v>
      </c>
    </row>
    <row r="11" spans="1:11" ht="24" customHeight="1" x14ac:dyDescent="0.2">
      <c r="A11" s="117"/>
      <c r="B11" s="118"/>
      <c r="C11" s="118"/>
      <c r="D11" s="118"/>
      <c r="E11" s="118"/>
      <c r="F11" s="118"/>
      <c r="G11" s="118"/>
      <c r="H11" s="118"/>
      <c r="I11" s="118"/>
      <c r="J11" s="118"/>
      <c r="K11" s="119"/>
    </row>
    <row r="12" spans="1:11" ht="31.5" customHeight="1" thickBot="1" x14ac:dyDescent="0.25">
      <c r="A12" s="42">
        <v>1</v>
      </c>
      <c r="B12" s="41" t="str">
        <f>'Necesidades Trimestrales'!B10</f>
        <v>2.5.6-793.46</v>
      </c>
      <c r="C12" s="121" t="str">
        <f>'Necesidades Trimestrales'!E10</f>
        <v>GAS OIL; PRESENTACION: POR LITRO, USO: MOTORES DIESEL, COMERCIALIZACION: GRADO 2, DESTINO: DPTO. S.F.V. DE CATAMARCA</v>
      </c>
      <c r="D12" s="121"/>
      <c r="E12" s="121"/>
      <c r="F12" s="121"/>
      <c r="G12" s="121"/>
      <c r="H12" s="42" t="s">
        <v>65</v>
      </c>
      <c r="I12" s="43" t="str">
        <f>'Necesidades Trimestrales'!F10</f>
        <v>LITROS</v>
      </c>
      <c r="J12" s="44">
        <f>'Necesidades Trimestrales'!H10</f>
        <v>81.8</v>
      </c>
      <c r="K12" s="45">
        <f>'Necesidades Trimestrales'!G10</f>
        <v>18337</v>
      </c>
    </row>
    <row r="13" spans="1:11" ht="36" customHeight="1" thickBot="1" x14ac:dyDescent="0.25">
      <c r="A13" s="52">
        <v>2</v>
      </c>
      <c r="B13" s="41"/>
      <c r="C13" s="121"/>
      <c r="D13" s="121"/>
      <c r="E13" s="121"/>
      <c r="F13" s="121"/>
      <c r="G13" s="121"/>
      <c r="H13" s="42"/>
      <c r="I13" s="43"/>
      <c r="J13" s="44"/>
      <c r="K13" s="45"/>
    </row>
    <row r="14" spans="1:11" ht="33.75" customHeight="1" thickBot="1" x14ac:dyDescent="0.25">
      <c r="A14" s="52">
        <v>3</v>
      </c>
      <c r="B14" s="41"/>
      <c r="C14" s="121"/>
      <c r="D14" s="121"/>
      <c r="E14" s="121"/>
      <c r="F14" s="121"/>
      <c r="G14" s="121"/>
      <c r="H14" s="42"/>
      <c r="I14" s="43"/>
      <c r="J14" s="44"/>
      <c r="K14" s="45"/>
    </row>
    <row r="15" spans="1:11" ht="20.25" customHeight="1" thickBot="1" x14ac:dyDescent="0.25">
      <c r="A15" s="52"/>
      <c r="B15" s="41"/>
      <c r="C15" s="121"/>
      <c r="D15" s="121"/>
      <c r="E15" s="121"/>
      <c r="F15" s="121"/>
      <c r="G15" s="121"/>
      <c r="H15" s="42"/>
      <c r="I15" s="43"/>
      <c r="J15" s="44"/>
      <c r="K15" s="45"/>
    </row>
    <row r="16" spans="1:11" ht="26.25" customHeight="1" thickBot="1" x14ac:dyDescent="0.25">
      <c r="A16" s="52"/>
      <c r="B16" s="41"/>
      <c r="C16" s="121"/>
      <c r="D16" s="121"/>
      <c r="E16" s="121"/>
      <c r="F16" s="121"/>
      <c r="G16" s="121"/>
      <c r="H16" s="42"/>
      <c r="I16" s="43"/>
      <c r="J16" s="44"/>
      <c r="K16" s="45"/>
    </row>
    <row r="17" spans="1:11" ht="27.75" customHeight="1" thickBot="1" x14ac:dyDescent="0.25">
      <c r="A17" s="52"/>
      <c r="B17" s="41"/>
      <c r="C17" s="121"/>
      <c r="D17" s="121"/>
      <c r="E17" s="121"/>
      <c r="F17" s="121"/>
      <c r="G17" s="121"/>
      <c r="H17" s="42"/>
      <c r="I17" s="43"/>
      <c r="J17" s="44"/>
      <c r="K17" s="45"/>
    </row>
    <row r="18" spans="1:11" ht="26.25" customHeight="1" thickBot="1" x14ac:dyDescent="0.25">
      <c r="A18" s="113" t="s">
        <v>72</v>
      </c>
      <c r="B18" s="113"/>
      <c r="C18" s="113"/>
      <c r="D18" s="113"/>
      <c r="E18" s="113"/>
      <c r="F18" s="113"/>
      <c r="G18" s="113"/>
      <c r="H18" s="113"/>
      <c r="I18" s="113"/>
      <c r="J18" s="120">
        <f>+K12*J12</f>
        <v>1499966.5999999999</v>
      </c>
      <c r="K18" s="120"/>
    </row>
  </sheetData>
  <mergeCells count="28">
    <mergeCell ref="A18:I18"/>
    <mergeCell ref="J18:K18"/>
    <mergeCell ref="C12:G12"/>
    <mergeCell ref="C13:G13"/>
    <mergeCell ref="C14:G14"/>
    <mergeCell ref="C15:G15"/>
    <mergeCell ref="C16:G16"/>
    <mergeCell ref="C17:G17"/>
    <mergeCell ref="A8:C8"/>
    <mergeCell ref="D8:K8"/>
    <mergeCell ref="A10:A11"/>
    <mergeCell ref="B10:B11"/>
    <mergeCell ref="C10:G11"/>
    <mergeCell ref="H10:H11"/>
    <mergeCell ref="I10:I11"/>
    <mergeCell ref="J10:J11"/>
    <mergeCell ref="K10:K11"/>
    <mergeCell ref="A1:I1"/>
    <mergeCell ref="A6:C6"/>
    <mergeCell ref="D6:K6"/>
    <mergeCell ref="A7:C7"/>
    <mergeCell ref="D7:K7"/>
    <mergeCell ref="A3:C3"/>
    <mergeCell ref="D3:K3"/>
    <mergeCell ref="A4:C4"/>
    <mergeCell ref="D4:K4"/>
    <mergeCell ref="A5:C5"/>
    <mergeCell ref="D5:K5"/>
  </mergeCells>
  <printOptions horizontalCentered="1"/>
  <pageMargins left="0.19685039370078741" right="0.19685039370078741" top="0.98425196850393704" bottom="0.98425196850393704" header="0.51181102362204722" footer="0.51181102362204722"/>
  <pageSetup paperSize="5" scale="90" firstPageNumber="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4"/>
  <sheetViews>
    <sheetView zoomScale="130" zoomScaleNormal="130" workbookViewId="0">
      <selection activeCell="A8" sqref="A8:Q8"/>
    </sheetView>
  </sheetViews>
  <sheetFormatPr baseColWidth="10" defaultColWidth="11" defaultRowHeight="12.75" x14ac:dyDescent="0.2"/>
  <cols>
    <col min="1" max="4" width="4.42578125" customWidth="1"/>
    <col min="5" max="5" width="3.7109375" bestFit="1" customWidth="1"/>
    <col min="6" max="6" width="5" bestFit="1" customWidth="1"/>
    <col min="7" max="7" width="4.42578125" style="3" customWidth="1"/>
    <col min="8" max="11" width="4.42578125" customWidth="1"/>
    <col min="12" max="12" width="5.85546875" bestFit="1" customWidth="1"/>
    <col min="13" max="14" width="4.42578125" customWidth="1"/>
    <col min="15" max="16" width="14.85546875" customWidth="1"/>
    <col min="17" max="17" width="13.28515625" bestFit="1" customWidth="1"/>
  </cols>
  <sheetData>
    <row r="1" spans="1:18" ht="15.75" customHeight="1" x14ac:dyDescent="0.25">
      <c r="A1" s="122" t="s">
        <v>3</v>
      </c>
      <c r="B1" s="122"/>
      <c r="C1" s="122"/>
      <c r="D1" s="123">
        <f>'Necesidades Trimestrales'!C6</f>
        <v>2021</v>
      </c>
      <c r="E1" s="123"/>
      <c r="F1" s="4"/>
      <c r="G1" s="4"/>
      <c r="H1" s="5"/>
      <c r="I1" s="5"/>
      <c r="J1" s="5"/>
      <c r="K1" s="5"/>
      <c r="L1" s="5"/>
      <c r="M1" s="5"/>
      <c r="N1" s="5"/>
      <c r="P1" s="124" t="s">
        <v>31</v>
      </c>
      <c r="Q1" s="124"/>
    </row>
    <row r="2" spans="1:18" ht="15.75" customHeight="1" x14ac:dyDescent="0.2">
      <c r="H2" s="5"/>
      <c r="I2" s="5"/>
      <c r="J2" s="5"/>
      <c r="K2" s="5"/>
      <c r="L2" s="5"/>
      <c r="M2" s="5"/>
      <c r="N2" s="5"/>
      <c r="P2" s="124"/>
      <c r="Q2" s="124"/>
    </row>
    <row r="4" spans="1:18" s="6" customFormat="1" ht="18" customHeight="1" thickBot="1" x14ac:dyDescent="0.25">
      <c r="A4" s="125" t="s">
        <v>32</v>
      </c>
      <c r="B4" s="125"/>
      <c r="C4" s="125"/>
      <c r="D4" s="125"/>
      <c r="E4" s="125"/>
      <c r="F4" s="125"/>
      <c r="G4" s="126" t="str">
        <f>' NotaPedido'!D3</f>
        <v>45- Ministerio de Desarrollo Social y Deporte</v>
      </c>
      <c r="H4" s="126"/>
      <c r="I4" s="126"/>
      <c r="J4" s="126"/>
      <c r="K4" s="126"/>
      <c r="L4" s="126"/>
      <c r="M4" s="126"/>
      <c r="N4" s="126"/>
      <c r="O4" s="126"/>
      <c r="P4" s="126"/>
      <c r="Q4" s="126"/>
    </row>
    <row r="5" spans="1:18" s="6" customFormat="1" ht="18" customHeight="1" thickBot="1" x14ac:dyDescent="0.25">
      <c r="A5" s="127" t="s">
        <v>55</v>
      </c>
      <c r="B5" s="128"/>
      <c r="C5" s="128"/>
      <c r="D5" s="128"/>
      <c r="E5" s="128"/>
      <c r="F5" s="129"/>
      <c r="G5" s="126" t="str">
        <f>' NotaPedido'!D4</f>
        <v>25- Direccion Provincial de Gestion Administrativa y RRHH</v>
      </c>
      <c r="H5" s="126"/>
      <c r="I5" s="126"/>
      <c r="J5" s="126"/>
      <c r="K5" s="126"/>
      <c r="L5" s="126"/>
      <c r="M5" s="126"/>
      <c r="N5" s="126"/>
      <c r="O5" s="126"/>
      <c r="P5" s="126"/>
      <c r="Q5" s="126"/>
    </row>
    <row r="6" spans="1:18" s="6" customFormat="1" ht="18" customHeight="1" thickBot="1" x14ac:dyDescent="0.25">
      <c r="A6" s="127" t="s">
        <v>33</v>
      </c>
      <c r="B6" s="128"/>
      <c r="C6" s="128"/>
      <c r="D6" s="128"/>
      <c r="E6" s="128"/>
      <c r="F6" s="129"/>
      <c r="G6" s="126" t="s">
        <v>74</v>
      </c>
      <c r="H6" s="126"/>
      <c r="I6" s="126"/>
      <c r="J6" s="126"/>
      <c r="K6" s="126"/>
      <c r="L6" s="126"/>
      <c r="M6" s="126"/>
      <c r="N6" s="126"/>
      <c r="O6" s="126"/>
      <c r="P6" s="126"/>
      <c r="Q6" s="126"/>
    </row>
    <row r="7" spans="1:18" s="6" customFormat="1" ht="18" customHeight="1" thickBot="1" x14ac:dyDescent="0.25">
      <c r="A7" s="127" t="s">
        <v>56</v>
      </c>
      <c r="B7" s="128"/>
      <c r="C7" s="128"/>
      <c r="D7" s="128"/>
      <c r="E7" s="128"/>
      <c r="F7" s="129"/>
      <c r="G7" s="126" t="s">
        <v>70</v>
      </c>
      <c r="H7" s="126"/>
      <c r="I7" s="126"/>
      <c r="J7" s="126"/>
      <c r="K7" s="126"/>
      <c r="L7" s="126"/>
      <c r="M7" s="126"/>
      <c r="N7" s="126"/>
      <c r="O7" s="126"/>
      <c r="P7" s="126"/>
      <c r="Q7" s="126"/>
    </row>
    <row r="8" spans="1:18" ht="18" customHeight="1" thickBot="1" x14ac:dyDescent="0.25">
      <c r="A8" s="130" t="s">
        <v>34</v>
      </c>
      <c r="B8" s="130"/>
      <c r="C8" s="130"/>
      <c r="D8" s="130"/>
      <c r="E8" s="130"/>
      <c r="F8" s="130"/>
      <c r="G8" s="130"/>
      <c r="H8" s="130"/>
      <c r="I8" s="130"/>
      <c r="J8" s="130"/>
      <c r="K8" s="130"/>
      <c r="L8" s="130"/>
      <c r="M8" s="130"/>
      <c r="N8" s="130"/>
      <c r="O8" s="130"/>
      <c r="P8" s="130"/>
      <c r="Q8" s="130"/>
    </row>
    <row r="9" spans="1:18" ht="18" customHeight="1" x14ac:dyDescent="0.2">
      <c r="A9" s="136" t="s">
        <v>35</v>
      </c>
      <c r="B9" s="136"/>
      <c r="C9" s="136"/>
      <c r="D9" s="136"/>
      <c r="E9" s="136"/>
      <c r="F9" s="136"/>
      <c r="G9" s="136"/>
      <c r="H9" s="136"/>
      <c r="I9" s="136"/>
      <c r="J9" s="136"/>
      <c r="K9" s="136"/>
      <c r="L9" s="136"/>
      <c r="M9" s="136"/>
      <c r="N9" s="136"/>
      <c r="O9" s="1"/>
      <c r="P9" s="1"/>
      <c r="Q9" s="7"/>
    </row>
    <row r="10" spans="1:18" ht="54.75" customHeight="1" x14ac:dyDescent="0.2">
      <c r="A10" s="137"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433/2021,  afectando la erogación resultante a los créditos presupuestarios aprobados a favor de esta Unidad Ejecutora, conforme al siguiente detalle:</v>
      </c>
      <c r="B10" s="137"/>
      <c r="C10" s="137"/>
      <c r="D10" s="137"/>
      <c r="E10" s="137"/>
      <c r="F10" s="137"/>
      <c r="G10" s="137"/>
      <c r="H10" s="137"/>
      <c r="I10" s="137"/>
      <c r="J10" s="137"/>
      <c r="K10" s="137"/>
      <c r="L10" s="137"/>
      <c r="M10" s="137"/>
      <c r="N10" s="137"/>
      <c r="O10" s="137"/>
      <c r="P10" s="137"/>
      <c r="Q10" s="137"/>
    </row>
    <row r="11" spans="1:18" ht="9" customHeight="1" x14ac:dyDescent="0.2">
      <c r="A11" s="8"/>
      <c r="B11" s="9"/>
      <c r="C11" s="9"/>
      <c r="D11" s="9"/>
      <c r="E11" s="9"/>
      <c r="F11" s="9"/>
      <c r="G11" s="10"/>
      <c r="H11" s="9"/>
      <c r="I11" s="9"/>
      <c r="J11" s="9"/>
      <c r="K11" s="9"/>
      <c r="L11" s="9"/>
      <c r="M11" s="9"/>
      <c r="N11" s="9"/>
      <c r="O11" s="9"/>
      <c r="P11" s="9"/>
      <c r="Q11" s="11"/>
    </row>
    <row r="12" spans="1:18" ht="15.75" customHeight="1" x14ac:dyDescent="0.2">
      <c r="A12" s="138" t="s">
        <v>36</v>
      </c>
      <c r="B12" s="138"/>
      <c r="C12" s="138"/>
      <c r="D12" s="138"/>
      <c r="E12" s="138"/>
      <c r="F12" s="138"/>
      <c r="G12" s="138"/>
      <c r="H12" s="138"/>
      <c r="I12" s="138"/>
      <c r="J12" s="138"/>
      <c r="K12" s="138"/>
      <c r="L12" s="138"/>
      <c r="M12" s="138"/>
      <c r="N12" s="138"/>
      <c r="O12" s="138"/>
      <c r="P12" s="138"/>
      <c r="Q12" s="138"/>
    </row>
    <row r="13" spans="1:18" ht="15.75" customHeight="1" x14ac:dyDescent="0.2">
      <c r="A13" s="139" t="s">
        <v>37</v>
      </c>
      <c r="B13" s="139"/>
      <c r="C13" s="139"/>
      <c r="D13" s="139"/>
      <c r="E13" s="139"/>
      <c r="F13" s="139"/>
      <c r="G13" s="139"/>
      <c r="H13" s="139"/>
      <c r="I13" s="139"/>
      <c r="J13" s="139"/>
      <c r="K13" s="139"/>
      <c r="L13" s="139"/>
      <c r="M13" s="139"/>
      <c r="N13" s="139"/>
      <c r="O13" s="140" t="s">
        <v>38</v>
      </c>
      <c r="P13" s="140"/>
      <c r="Q13" s="141" t="s">
        <v>39</v>
      </c>
    </row>
    <row r="14" spans="1:18" ht="15.75" customHeight="1" x14ac:dyDescent="0.2">
      <c r="A14" s="12" t="s">
        <v>40</v>
      </c>
      <c r="B14" s="13" t="s">
        <v>41</v>
      </c>
      <c r="C14" s="13" t="s">
        <v>42</v>
      </c>
      <c r="D14" s="13" t="s">
        <v>43</v>
      </c>
      <c r="E14" s="13" t="s">
        <v>44</v>
      </c>
      <c r="F14" s="13" t="s">
        <v>45</v>
      </c>
      <c r="G14" s="14" t="s">
        <v>46</v>
      </c>
      <c r="H14" s="13" t="s">
        <v>47</v>
      </c>
      <c r="I14" s="13" t="s">
        <v>48</v>
      </c>
      <c r="J14" s="13" t="s">
        <v>49</v>
      </c>
      <c r="K14" s="13" t="s">
        <v>49</v>
      </c>
      <c r="L14" s="13" t="s">
        <v>50</v>
      </c>
      <c r="M14" s="15" t="s">
        <v>51</v>
      </c>
      <c r="N14" s="16" t="s">
        <v>52</v>
      </c>
      <c r="O14" s="140"/>
      <c r="P14" s="140"/>
      <c r="Q14" s="141"/>
    </row>
    <row r="15" spans="1:18" ht="17.25" customHeight="1" x14ac:dyDescent="0.2">
      <c r="A15" s="35">
        <v>1</v>
      </c>
      <c r="B15" s="36"/>
      <c r="C15" s="36"/>
      <c r="D15" s="36">
        <v>1</v>
      </c>
      <c r="E15" s="36"/>
      <c r="F15" s="36">
        <v>4901</v>
      </c>
      <c r="G15" s="36">
        <v>1</v>
      </c>
      <c r="H15" s="36">
        <v>4</v>
      </c>
      <c r="I15" s="36" t="str">
        <f>LEFT('Necesidades Trimestrales'!D10,1)</f>
        <v>2</v>
      </c>
      <c r="J15" s="36">
        <v>5</v>
      </c>
      <c r="K15" s="36">
        <v>6</v>
      </c>
      <c r="L15" s="36"/>
      <c r="M15" s="37">
        <v>1</v>
      </c>
      <c r="N15" s="36">
        <v>1.1000000000000001</v>
      </c>
      <c r="O15" s="131" t="s">
        <v>57</v>
      </c>
      <c r="P15" s="132"/>
      <c r="Q15" s="17">
        <f>81.8*18337</f>
        <v>1499966.5999999999</v>
      </c>
      <c r="R15" s="34"/>
    </row>
    <row r="16" spans="1:18" ht="17.25" customHeight="1" x14ac:dyDescent="0.2">
      <c r="A16" s="38"/>
      <c r="B16" s="39"/>
      <c r="C16" s="39"/>
      <c r="D16" s="39"/>
      <c r="E16" s="39"/>
      <c r="F16" s="39"/>
      <c r="G16" s="39"/>
      <c r="H16" s="39"/>
      <c r="I16" s="39"/>
      <c r="J16" s="39"/>
      <c r="K16" s="39"/>
      <c r="L16" s="39"/>
      <c r="M16" s="40"/>
      <c r="N16" s="39"/>
      <c r="O16" s="133"/>
      <c r="P16" s="134"/>
      <c r="Q16" s="22"/>
    </row>
    <row r="17" spans="1:18" ht="17.25" customHeight="1" x14ac:dyDescent="0.2">
      <c r="A17" s="18"/>
      <c r="B17" s="19"/>
      <c r="C17" s="19"/>
      <c r="D17" s="19"/>
      <c r="E17" s="19"/>
      <c r="F17" s="21"/>
      <c r="G17" s="19"/>
      <c r="H17" s="19"/>
      <c r="I17" s="19"/>
      <c r="J17" s="19"/>
      <c r="K17" s="19"/>
      <c r="L17" s="19"/>
      <c r="M17" s="20"/>
      <c r="N17" s="21"/>
      <c r="O17" s="135"/>
      <c r="P17" s="135"/>
      <c r="Q17" s="22"/>
    </row>
    <row r="18" spans="1:18" ht="17.25" customHeight="1" x14ac:dyDescent="0.2">
      <c r="A18" s="23"/>
      <c r="B18" s="24"/>
      <c r="C18" s="24"/>
      <c r="D18" s="24"/>
      <c r="E18" s="24"/>
      <c r="F18" s="25"/>
      <c r="G18" s="24"/>
      <c r="H18" s="24"/>
      <c r="I18" s="24"/>
      <c r="J18" s="24"/>
      <c r="K18" s="24"/>
      <c r="L18" s="24"/>
      <c r="M18" s="26"/>
      <c r="N18" s="27"/>
      <c r="O18" s="147"/>
      <c r="P18" s="147"/>
      <c r="Q18" s="22"/>
      <c r="R18" s="1"/>
    </row>
    <row r="19" spans="1:18" ht="17.25" customHeight="1" x14ac:dyDescent="0.2">
      <c r="A19" s="28"/>
      <c r="B19" s="29"/>
      <c r="C19" s="29"/>
      <c r="D19" s="29"/>
      <c r="E19" s="29"/>
      <c r="F19" s="29"/>
      <c r="G19" s="29"/>
      <c r="H19" s="29"/>
      <c r="I19" s="29"/>
      <c r="J19" s="29"/>
      <c r="K19" s="29"/>
      <c r="L19" s="29"/>
      <c r="M19" s="30"/>
      <c r="N19" s="29"/>
      <c r="O19" s="148"/>
      <c r="P19" s="148"/>
      <c r="Q19" s="31"/>
    </row>
    <row r="20" spans="1:18" ht="30" customHeight="1" x14ac:dyDescent="0.2">
      <c r="A20" s="149" t="s">
        <v>73</v>
      </c>
      <c r="B20" s="149"/>
      <c r="C20" s="149"/>
      <c r="D20" s="149"/>
      <c r="E20" s="149"/>
      <c r="F20" s="149"/>
      <c r="G20" s="149"/>
      <c r="H20" s="149"/>
      <c r="I20" s="149"/>
      <c r="J20" s="149"/>
      <c r="K20" s="149"/>
      <c r="L20" s="149"/>
      <c r="M20" s="149"/>
      <c r="N20" s="149"/>
      <c r="O20" s="149"/>
      <c r="P20" s="149"/>
      <c r="Q20" s="32">
        <f>SUM(Q15:Q19)</f>
        <v>1499966.5999999999</v>
      </c>
    </row>
    <row r="21" spans="1:18" ht="18" customHeight="1" thickBot="1" x14ac:dyDescent="0.25">
      <c r="A21" s="150"/>
      <c r="B21" s="150"/>
      <c r="C21" s="150"/>
      <c r="D21" s="150"/>
      <c r="E21" s="150"/>
      <c r="F21" s="150"/>
      <c r="G21" s="150"/>
      <c r="H21" s="150"/>
      <c r="I21" s="150"/>
      <c r="J21" s="150"/>
      <c r="K21" s="150"/>
      <c r="L21" s="150"/>
      <c r="M21" s="150"/>
      <c r="N21" s="150"/>
      <c r="O21" s="150"/>
      <c r="P21" s="150"/>
      <c r="Q21" s="150"/>
    </row>
    <row r="22" spans="1:18" ht="17.25" customHeight="1" thickBot="1" x14ac:dyDescent="0.25">
      <c r="A22" s="142" t="s">
        <v>53</v>
      </c>
      <c r="B22" s="143"/>
      <c r="C22" s="143"/>
      <c r="D22" s="143"/>
      <c r="E22" s="143"/>
      <c r="F22" s="144"/>
      <c r="G22" s="145"/>
      <c r="H22" s="145"/>
      <c r="I22" s="145"/>
      <c r="J22" s="145"/>
      <c r="K22" s="145"/>
      <c r="L22" s="145"/>
      <c r="M22" s="145"/>
      <c r="N22" s="145"/>
      <c r="O22" s="145"/>
      <c r="P22" s="145"/>
      <c r="Q22" s="145"/>
    </row>
    <row r="23" spans="1:18" ht="18" customHeight="1" thickBot="1" x14ac:dyDescent="0.25">
      <c r="A23" s="146" t="s">
        <v>60</v>
      </c>
      <c r="B23" s="146"/>
      <c r="C23" s="146"/>
      <c r="D23" s="146"/>
      <c r="E23" s="146"/>
      <c r="F23" s="146"/>
      <c r="G23" s="146"/>
      <c r="H23" s="146"/>
      <c r="I23" s="146"/>
      <c r="J23" s="146"/>
      <c r="K23" s="146"/>
      <c r="L23" s="146"/>
      <c r="M23" s="146"/>
      <c r="N23" s="146"/>
      <c r="O23" s="146"/>
      <c r="P23" s="146"/>
      <c r="Q23" s="146"/>
    </row>
    <row r="24" spans="1:18" ht="15" customHeight="1" x14ac:dyDescent="0.2">
      <c r="A24" s="146"/>
      <c r="B24" s="146"/>
      <c r="C24" s="146"/>
      <c r="D24" s="146"/>
      <c r="E24" s="146"/>
      <c r="F24" s="146"/>
      <c r="G24" s="146"/>
      <c r="H24" s="146"/>
      <c r="I24" s="146"/>
      <c r="J24" s="146"/>
      <c r="K24" s="146"/>
      <c r="L24" s="146"/>
      <c r="M24" s="146"/>
      <c r="N24" s="146"/>
      <c r="O24" s="146"/>
      <c r="P24" s="146"/>
      <c r="Q24" s="146"/>
    </row>
  </sheetData>
  <mergeCells count="28">
    <mergeCell ref="A22:F22"/>
    <mergeCell ref="G22:Q22"/>
    <mergeCell ref="A23:Q24"/>
    <mergeCell ref="O18:P18"/>
    <mergeCell ref="O19:P19"/>
    <mergeCell ref="A20:P20"/>
    <mergeCell ref="A21:Q21"/>
    <mergeCell ref="O15:P15"/>
    <mergeCell ref="O16:P16"/>
    <mergeCell ref="O17:P17"/>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0078740157483" right="0.39370078740157483" top="0.98425196850393704" bottom="0.98425196850393704" header="0.51181102362204722" footer="0.51181102362204722"/>
  <pageSetup paperSize="5" scale="90" firstPageNumber="0" orientation="portrait"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COMPRAS</cp:lastModifiedBy>
  <cp:revision>2</cp:revision>
  <cp:lastPrinted>2020-12-03T14:55:30Z</cp:lastPrinted>
  <dcterms:created xsi:type="dcterms:W3CDTF">2020-07-17T23:44:49Z</dcterms:created>
  <dcterms:modified xsi:type="dcterms:W3CDTF">2021-08-13T11:50:58Z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