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3 TRIMESTRE 2022\MATERNIDAD PROV 25 DE MAYO\tracto\"/>
    </mc:Choice>
  </mc:AlternateContent>
  <xr:revisionPtr revIDLastSave="0" documentId="8_{A08CE10A-C3FA-49B4-B74B-26E62E71C0E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NotaPedido'!$A$10:$K$27</definedName>
    <definedName name="_xlnm._FilterDatabase" localSheetId="0" hidden="1">'Necesidades Trimestrales'!$A$9:$I$24</definedName>
    <definedName name="_xlnm.Print_Area" localSheetId="1">' NotaPedido'!$A$1:$K$27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12" i="2"/>
  <c r="Q18" i="3"/>
  <c r="I24" i="1" l="1"/>
  <c r="I23" i="1"/>
  <c r="I22" i="1"/>
  <c r="I21" i="1"/>
  <c r="I19" i="1" l="1"/>
  <c r="I18" i="1"/>
  <c r="I15" i="1"/>
  <c r="I12" i="1"/>
  <c r="J27" i="2" l="1"/>
  <c r="I16" i="1" l="1"/>
  <c r="I17" i="1"/>
  <c r="I20" i="1"/>
  <c r="I10" i="1"/>
  <c r="I13" i="1"/>
  <c r="I11" i="1"/>
  <c r="I14" i="1"/>
  <c r="G6" i="3" l="1"/>
  <c r="G7" i="3"/>
  <c r="G4" i="3"/>
  <c r="G5" i="3"/>
</calcChain>
</file>

<file path=xl/sharedStrings.xml><?xml version="1.0" encoding="utf-8"?>
<sst xmlns="http://schemas.openxmlformats.org/spreadsheetml/2006/main" count="158" uniqueCount="115">
  <si>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</si>
  <si>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</si>
  <si>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</si>
  <si>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</si>
  <si>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</si>
  <si>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</si>
  <si>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</si>
  <si>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</si>
  <si>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</si>
  <si>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</si>
  <si>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</si>
  <si>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</si>
  <si>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</si>
  <si>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</si>
  <si>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</si>
  <si>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</si>
  <si>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</si>
  <si>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</si>
  <si>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</si>
  <si>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</si>
  <si>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</si>
  <si>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</si>
  <si>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</si>
  <si>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</si>
  <si>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</si>
  <si>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</si>
  <si>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</si>
  <si>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</si>
  <si>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</si>
  <si>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</si>
  <si>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</si>
  <si>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</si>
  <si>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</si>
  <si>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</si>
  <si>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</si>
  <si>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</si>
  <si>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</si>
  <si>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</si>
  <si>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</si>
  <si>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</si>
  <si>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</si>
  <si>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</si>
  <si>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</si>
  <si>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</si>
  <si>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</si>
  <si>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</si>
  <si>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</si>
  <si>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</si>
  <si>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</si>
  <si>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</si>
  <si>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</si>
  <si>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</si>
  <si>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</si>
  <si>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</si>
  <si>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</si>
  <si>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</si>
  <si>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</si>
  <si>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</si>
  <si>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</si>
  <si>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</si>
  <si>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</si>
  <si>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</si>
  <si>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</si>
  <si>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Servicio de Farmacia </t>
  </si>
  <si>
    <t>SEMESTRAL</t>
  </si>
  <si>
    <t xml:space="preserve"> Adquisición de Productos Medicos TRACTO ALIMENTARIO Y METABOLISMO / VITAMINAS Y OTROS /ANTIDIABETICOS E INSULINAS </t>
  </si>
  <si>
    <t>Para la adquisición de Adquisición de Productos Medicos TRACTO ALIMENTARIO Y METABOLISMO / VITAMINAS Y OTROS /ANTIDIABETICOS E INSULINAS , para ser destinados Servicio de Farmacia, de  la Maternidad Provincial 25 de Mayo.-</t>
  </si>
  <si>
    <t>COMPRIMIDO</t>
  </si>
  <si>
    <t>AMPOLLA</t>
  </si>
  <si>
    <t>FRASCO</t>
  </si>
  <si>
    <t>FRASCO AMPOLLA</t>
  </si>
  <si>
    <t>CAPSULA</t>
  </si>
  <si>
    <t>2.5.2-3259.11</t>
  </si>
  <si>
    <t>PROD. MEDICO/FARMACEUTICOS/LAB</t>
  </si>
  <si>
    <t>DIGESTIVOS; TIPO: MONODROGA, DROGA GENERICA: ACIDO URSODESOXICOLICO, FORMA FARMACEUTICA: COMPRIMIDO, PRESENTACION: 150 MGR</t>
  </si>
  <si>
    <t>2.5.2-1843.63</t>
  </si>
  <si>
    <t>ANTIESPASMODICOS; TIPO: MONODROGA, DROGA GENERICA: ATROPINA 1%, FORMA FARMACEUTICA: AMPOLLA, PRESENTACION: ENVASE X 1 mL</t>
  </si>
  <si>
    <t>2.5.2-1843.1</t>
  </si>
  <si>
    <t>ANTIESPASMODICOS; TIPO: MONODROGA, PRESENTACION: 10 mGr, FORMA FARMACEUTICA: COMPRIMIDO, DROGA GENERICA: HIOSCINA N-BUTILBROMURO</t>
  </si>
  <si>
    <t>2.5.2-1843.51</t>
  </si>
  <si>
    <t>ANTIESPASMODICOS; TIPO: MONODROGA, DROGA GENERICA: HIOSCINA N-BUTILBROMURO 20 MG, FORMA FARMACEUTICA: AMPOLLA, PRESENTACION: 1 ML</t>
  </si>
  <si>
    <t>2.5.2-1861.33</t>
  </si>
  <si>
    <t>HIPOGLUCEMIANTES INYECTABLES; TIPO: MONODROGA, DROGA GENERICA: INSULINA CTE, FORMA FARMACEUTICA: AMPOLLA, PRESENTACION: ENVASE X 10 mL</t>
  </si>
  <si>
    <t>2.5.2-6910.6</t>
  </si>
  <si>
    <t>ANTIEMETICOS; TIPO: MONODROGA, DROGA GENERICA: METOCLOPRAMIDA, FORMA FARMACEUTICA: AMPOLLA, PRESENTACION: 2 mL</t>
  </si>
  <si>
    <t>2.5.2-1823.46</t>
  </si>
  <si>
    <t>ANTIMICOTICOS; TIPO: MONODROGA, DROGA GENERICA: NISTATINA 100000 UI/ML, FORMA FARMACEUTICA: SUSPENSION, PRESENTACION: ENVASE X 60 mL</t>
  </si>
  <si>
    <t>2.5.2-1849.3</t>
  </si>
  <si>
    <t>ANTIULCEROSOS; TIPO: MONODROGA, DROGA GENERICA: OMEPRAZOL, FORMA FARMACEUTICA: CAPSULA, PRESENTACION: 20 mGr</t>
  </si>
  <si>
    <t>2.5.2-1849.19</t>
  </si>
  <si>
    <t>ANTIULCEROSOS; TIPO: MONODROGA, DROGA GENERICA: OMEPRAZOL 40 mGr, FORMA FARMACEUTICA: AMPOLLA, PRESENTACION: UNIDAD</t>
  </si>
  <si>
    <t>2.5.2-6910.13</t>
  </si>
  <si>
    <t>ANTIEMETICOS; TIPO: MONODROGA, DROGA GENERICA: ONDANSETRON X 8 mGr, FORMA FARMACEUTICA: AMPOLLA, PRESENTACION: ENVASE X 1 UN</t>
  </si>
  <si>
    <t>2.5.2-1901.127</t>
  </si>
  <si>
    <t>VITAMINAS; TIPO: ASOCIACION, DROGA GENERICA: VIT.A +D+C, FORMA FARMACEUTICA: GOTA, PRESENTACION: 30 ML</t>
  </si>
  <si>
    <t>2.5.2-1841.17</t>
  </si>
  <si>
    <t>ANTIACIDOS; TIPO: MONODROGA, DROGA GENERICA: RANITIDINA, FORMA FARMACEUTICA: AMPOLLA, PRESENTACION: UNIDAD</t>
  </si>
  <si>
    <t>2.5.2-5520.5</t>
  </si>
  <si>
    <t>VASELINA; TIPO: LIQUIDA, PRESENTACION: ENVASE X 1000 mL</t>
  </si>
  <si>
    <t>2.5.2-1901.130</t>
  </si>
  <si>
    <t>VITAMINAS; TIPO: MONODROGA, DROGA GENERICA: VITAMINA D3 2000 UI/ML, FORMA FARMACEUTICA: SOLUCION, PRESENTACION: 2 ML</t>
  </si>
  <si>
    <t>Especificidades Item N° : 6</t>
  </si>
  <si>
    <t xml:space="preserve">INSULINA CORRIENTE HUMANA 100 UI FCO AMP 10 ML
</t>
  </si>
  <si>
    <t>3°</t>
  </si>
  <si>
    <t>N° /2022</t>
  </si>
  <si>
    <t>2.5.2-3563.16</t>
  </si>
  <si>
    <t>POLIVITAMINICOS; TIPO: ASOCIACION, DROGA GENERICA: VIT.B1+B2+B5+B6+PP, PRESENTACION: ENVASE X 2 mL, FORMA FARMACEUTICA: AMPOLLA</t>
  </si>
  <si>
    <t>10(DIEZ) DIAS HABILES</t>
  </si>
  <si>
    <t>30(TREINTA) DIAS HABILES</t>
  </si>
  <si>
    <t>SI</t>
  </si>
  <si>
    <t>"Autorizo la realización de los  trámites correspondientes, a fin de proveer a  este Organismo los bienes y/o servicios que se detallan en Nota  de Pedido N° /2022 ,  afectando la erogación resultante a los créditos presupuestarios aprobados a favor de esta Unidad Ejecutora, conforme al siguiente detalle:"</t>
  </si>
  <si>
    <t>Productos Medicos, Farmaceuticos y Medicinales</t>
  </si>
  <si>
    <t>Costo total estimado: SETECIENTOS MIL SETECIENTOS CINCUENTA Y OCHO CON 80/100</t>
  </si>
  <si>
    <t>TOTAL DE PESOS:  SETECIENTOS MIL SETECIENTOS CINCUENTA Y OCHO CON 80/100</t>
  </si>
  <si>
    <t>2.5.2-1901.7 ( con especificacion) -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</si>
</sst>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3" fillId="0" borderId="0"/>
  </cellStyleXfs>
  <cellXfs count="182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5" fontId="18" fillId="0" borderId="0" xfId="4"/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47" xfId="0" applyFont="1" applyBorder="1"/>
    <xf numFmtId="0" fontId="19" fillId="0" borderId="0" xfId="0" applyFont="1" applyAlignment="1">
      <alignment vertical="center"/>
    </xf>
    <xf numFmtId="0" fontId="19" fillId="0" borderId="41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2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0" xfId="0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center" vertical="center" wrapText="1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169" fontId="7" fillId="3" borderId="33" xfId="7" applyNumberFormat="1" applyFont="1" applyFill="1" applyBorder="1" applyAlignment="1">
      <alignment horizontal="center" vertical="center" wrapText="1"/>
    </xf>
    <xf numFmtId="170" fontId="29" fillId="0" borderId="54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39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49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19" fillId="0" borderId="47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0" fontId="5" fillId="3" borderId="32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1" xfId="0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19" fillId="0" borderId="0" xfId="0" applyFont="1" applyFill="1"/>
    <xf numFmtId="0" fontId="0" fillId="0" borderId="0" xfId="0" applyFill="1"/>
    <xf numFmtId="0" fontId="19" fillId="0" borderId="45" xfId="0" applyFont="1" applyFill="1" applyBorder="1" applyAlignment="1">
      <alignment vertical="center"/>
    </xf>
    <xf numFmtId="0" fontId="19" fillId="0" borderId="45" xfId="0" applyFont="1" applyFill="1" applyBorder="1" applyAlignment="1"/>
    <xf numFmtId="0" fontId="19" fillId="0" borderId="45" xfId="0" applyFont="1" applyFill="1" applyBorder="1" applyAlignment="1">
      <alignment wrapText="1"/>
    </xf>
    <xf numFmtId="0" fontId="19" fillId="0" borderId="45" xfId="0" applyFont="1" applyFill="1" applyBorder="1" applyAlignment="1">
      <alignment horizontal="center" vertical="center" wrapText="1"/>
    </xf>
    <xf numFmtId="0" fontId="19" fillId="0" borderId="48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18" fillId="3" borderId="3" xfId="0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166" fontId="10" fillId="0" borderId="0" xfId="0" applyNumberFormat="1" applyFont="1" applyBorder="1" applyAlignment="1">
      <alignment vertical="center"/>
    </xf>
    <xf numFmtId="0" fontId="2" fillId="3" borderId="3" xfId="7" applyFont="1" applyFill="1" applyBorder="1" applyAlignment="1">
      <alignment horizontal="center" vertical="center" wrapText="1"/>
    </xf>
    <xf numFmtId="0" fontId="33" fillId="0" borderId="53" xfId="0" applyFont="1" applyFill="1" applyBorder="1" applyAlignment="1">
      <alignment horizontal="right" vertical="center"/>
    </xf>
    <xf numFmtId="0" fontId="1" fillId="3" borderId="3" xfId="7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/>
    </xf>
    <xf numFmtId="0" fontId="45" fillId="0" borderId="41" xfId="0" applyFont="1" applyBorder="1" applyAlignment="1">
      <alignment horizontal="center" vertical="center" wrapText="1"/>
    </xf>
    <xf numFmtId="0" fontId="19" fillId="0" borderId="0" xfId="0" applyFont="1" applyBorder="1" applyAlignment="1">
      <alignment wrapText="1"/>
    </xf>
    <xf numFmtId="0" fontId="19" fillId="0" borderId="0" xfId="0" applyFont="1" applyBorder="1" applyAlignment="1"/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68" fontId="0" fillId="3" borderId="3" xfId="0" applyNumberFormat="1" applyFill="1" applyBorder="1" applyAlignment="1">
      <alignment horizontal="center" vertical="center"/>
    </xf>
    <xf numFmtId="0" fontId="40" fillId="3" borderId="0" xfId="8" applyFont="1" applyFill="1" applyAlignment="1">
      <alignment horizontal="center" vertical="center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19" fillId="0" borderId="0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top" wrapText="1"/>
    </xf>
    <xf numFmtId="0" fontId="46" fillId="0" borderId="45" xfId="0" applyFont="1" applyBorder="1" applyAlignment="1">
      <alignment horizontal="center" vertical="top" wrapText="1"/>
    </xf>
    <xf numFmtId="0" fontId="19" fillId="0" borderId="41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31" fillId="3" borderId="3" xfId="5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33" fillId="3" borderId="55" xfId="0" applyFont="1" applyFill="1" applyBorder="1" applyAlignment="1">
      <alignment horizontal="left" vertical="center" wrapText="1" indent="1"/>
    </xf>
    <xf numFmtId="0" fontId="33" fillId="3" borderId="56" xfId="0" applyFont="1" applyFill="1" applyBorder="1" applyAlignment="1">
      <alignment horizontal="left" vertical="center" wrapText="1" indent="1"/>
    </xf>
    <xf numFmtId="0" fontId="33" fillId="3" borderId="57" xfId="0" applyFont="1" applyFill="1" applyBorder="1" applyAlignment="1">
      <alignment horizontal="left" vertical="center" wrapText="1" indent="1"/>
    </xf>
    <xf numFmtId="166" fontId="36" fillId="3" borderId="39" xfId="0" applyNumberFormat="1" applyFont="1" applyFill="1" applyBorder="1" applyAlignment="1">
      <alignment horizontal="center" vertical="center"/>
    </xf>
    <xf numFmtId="166" fontId="36" fillId="3" borderId="38" xfId="0" applyNumberFormat="1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2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5" fillId="0" borderId="6" xfId="0" applyFont="1" applyBorder="1" applyAlignment="1">
      <alignment horizontal="left" indent="1"/>
    </xf>
    <xf numFmtId="0" fontId="15" fillId="0" borderId="17" xfId="0" applyFont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/>
    </xf>
    <xf numFmtId="0" fontId="28" fillId="8" borderId="2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8" borderId="3" xfId="7" applyFont="1" applyFill="1" applyBorder="1" applyAlignment="1">
      <alignment horizontal="center" vertical="center" wrapText="1"/>
    </xf>
    <xf numFmtId="0" fontId="5" fillId="8" borderId="32" xfId="6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7" fillId="8" borderId="3" xfId="7" applyFont="1" applyFill="1" applyBorder="1" applyAlignment="1">
      <alignment horizontal="center" vertical="center" wrapText="1"/>
    </xf>
    <xf numFmtId="1" fontId="31" fillId="8" borderId="39" xfId="5" applyNumberFormat="1" applyFont="1" applyFill="1" applyBorder="1" applyAlignment="1">
      <alignment horizontal="center" vertical="center" wrapText="1"/>
    </xf>
    <xf numFmtId="168" fontId="0" fillId="8" borderId="3" xfId="0" applyNumberFormat="1" applyFill="1" applyBorder="1" applyAlignment="1">
      <alignment horizontal="center" vertical="center"/>
    </xf>
    <xf numFmtId="169" fontId="7" fillId="8" borderId="33" xfId="7" applyNumberFormat="1" applyFont="1" applyFill="1" applyBorder="1" applyAlignment="1">
      <alignment horizontal="center" vertical="center" wrapText="1"/>
    </xf>
    <xf numFmtId="0" fontId="7" fillId="3" borderId="39" xfId="7" applyFont="1" applyFill="1" applyBorder="1" applyAlignment="1">
      <alignment horizontal="center" vertical="center" wrapText="1"/>
    </xf>
    <xf numFmtId="0" fontId="28" fillId="0" borderId="49" xfId="0" applyFont="1" applyFill="1" applyBorder="1" applyAlignment="1">
      <alignment horizontal="center" vertical="center"/>
    </xf>
    <xf numFmtId="0" fontId="2" fillId="0" borderId="3" xfId="7" applyFont="1" applyFill="1" applyBorder="1" applyAlignment="1">
      <alignment horizontal="center" vertical="center" wrapText="1"/>
    </xf>
    <xf numFmtId="0" fontId="5" fillId="0" borderId="32" xfId="6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4" fillId="0" borderId="3" xfId="7" applyFont="1" applyFill="1" applyBorder="1" applyAlignment="1">
      <alignment horizontal="center" vertical="center" wrapText="1"/>
    </xf>
    <xf numFmtId="1" fontId="31" fillId="0" borderId="39" xfId="5" applyNumberFormat="1" applyFont="1" applyFill="1" applyBorder="1" applyAlignment="1">
      <alignment horizontal="center" vertical="center" wrapText="1"/>
    </xf>
    <xf numFmtId="168" fontId="0" fillId="0" borderId="3" xfId="0" applyNumberFormat="1" applyFill="1" applyBorder="1" applyAlignment="1">
      <alignment horizontal="center" vertical="center"/>
    </xf>
    <xf numFmtId="169" fontId="7" fillId="0" borderId="33" xfId="7" applyNumberFormat="1" applyFont="1" applyFill="1" applyBorder="1" applyAlignment="1">
      <alignment horizontal="center" vertical="center" wrapText="1"/>
    </xf>
    <xf numFmtId="0" fontId="46" fillId="0" borderId="0" xfId="0" applyFont="1" applyFill="1" applyAlignment="1">
      <alignment wrapText="1"/>
    </xf>
    <xf numFmtId="0" fontId="29" fillId="0" borderId="0" xfId="0" applyFont="1" applyAlignment="1">
      <alignment horizontal="center" vertical="center"/>
    </xf>
  </cellXfs>
  <cellStyles count="10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5" xfId="9" xr:uid="{00000000-0005-0000-0000-00000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1"/>
  <sheetViews>
    <sheetView tabSelected="1" topLeftCell="A7" zoomScale="80" zoomScaleNormal="80" workbookViewId="0">
      <selection activeCell="J15" sqref="J15"/>
    </sheetView>
  </sheetViews>
  <sheetFormatPr baseColWidth="10" defaultColWidth="11" defaultRowHeight="12.75" x14ac:dyDescent="0.2"/>
  <cols>
    <col min="1" max="1" width="7" style="63" customWidth="1"/>
    <col min="2" max="2" width="18.42578125" style="24" customWidth="1"/>
    <col min="3" max="3" width="25" style="69" customWidth="1"/>
    <col min="4" max="4" width="12.140625" style="24" customWidth="1"/>
    <col min="5" max="5" width="79" style="87" customWidth="1"/>
    <col min="6" max="6" width="17.85546875" style="24" bestFit="1" customWidth="1"/>
    <col min="7" max="7" width="12.7109375" style="63" customWidth="1"/>
    <col min="8" max="8" width="13.85546875" style="55" customWidth="1"/>
    <col min="9" max="9" width="30" style="67" customWidth="1"/>
    <col min="10" max="10" width="45.42578125" style="18" customWidth="1"/>
    <col min="11" max="16384" width="11" style="18"/>
  </cols>
  <sheetData>
    <row r="2" spans="1:10" ht="27" x14ac:dyDescent="0.35">
      <c r="E2" s="74" t="s">
        <v>0</v>
      </c>
      <c r="F2" s="28"/>
      <c r="G2" s="59"/>
      <c r="I2" s="66"/>
    </row>
    <row r="4" spans="1:10" ht="18" customHeight="1" x14ac:dyDescent="0.25">
      <c r="A4" s="106" t="s">
        <v>1</v>
      </c>
      <c r="B4" s="106"/>
      <c r="C4" s="106"/>
      <c r="D4" s="106"/>
      <c r="E4" s="107" t="s">
        <v>57</v>
      </c>
      <c r="F4" s="107"/>
      <c r="G4" s="107"/>
    </row>
    <row r="5" spans="1:10" ht="18" customHeight="1" x14ac:dyDescent="0.25">
      <c r="A5" s="106" t="s">
        <v>2</v>
      </c>
      <c r="B5" s="106"/>
      <c r="C5" s="106"/>
      <c r="D5" s="106"/>
      <c r="E5" s="107" t="s">
        <v>52</v>
      </c>
      <c r="F5" s="107"/>
      <c r="G5" s="107"/>
    </row>
    <row r="6" spans="1:10" ht="16.5" customHeight="1" x14ac:dyDescent="0.25">
      <c r="A6" s="106" t="s">
        <v>3</v>
      </c>
      <c r="B6" s="106"/>
      <c r="C6" s="106"/>
      <c r="D6" s="106"/>
      <c r="E6" s="75">
        <v>2022</v>
      </c>
      <c r="F6" s="27"/>
      <c r="G6" s="60"/>
    </row>
    <row r="7" spans="1:10" ht="16.5" customHeight="1" x14ac:dyDescent="0.25">
      <c r="A7" s="106" t="s">
        <v>62</v>
      </c>
      <c r="B7" s="106"/>
      <c r="C7" s="106"/>
      <c r="D7" s="106"/>
      <c r="E7" s="75" t="s">
        <v>103</v>
      </c>
      <c r="F7" s="27"/>
      <c r="G7" s="60"/>
    </row>
    <row r="8" spans="1:10" ht="13.5" thickBot="1" x14ac:dyDescent="0.25">
      <c r="E8" s="76"/>
      <c r="F8" s="25"/>
      <c r="G8" s="61"/>
    </row>
    <row r="9" spans="1:10" ht="39" thickBot="1" x14ac:dyDescent="0.25">
      <c r="A9" s="51" t="s">
        <v>4</v>
      </c>
      <c r="B9" s="52" t="s">
        <v>5</v>
      </c>
      <c r="C9" s="52" t="s">
        <v>50</v>
      </c>
      <c r="D9" s="52" t="s">
        <v>51</v>
      </c>
      <c r="E9" s="77" t="s">
        <v>6</v>
      </c>
      <c r="F9" s="52" t="s">
        <v>7</v>
      </c>
      <c r="G9" s="53" t="s">
        <v>8</v>
      </c>
      <c r="H9" s="57" t="s">
        <v>9</v>
      </c>
      <c r="I9" s="54" t="s">
        <v>10</v>
      </c>
    </row>
    <row r="10" spans="1:10" s="22" customFormat="1" ht="45.75" thickBot="1" x14ac:dyDescent="0.25">
      <c r="A10" s="64">
        <v>1</v>
      </c>
      <c r="B10" s="26" t="s">
        <v>72</v>
      </c>
      <c r="C10" s="91" t="s">
        <v>73</v>
      </c>
      <c r="D10" s="73">
        <v>252</v>
      </c>
      <c r="E10" s="93" t="s">
        <v>74</v>
      </c>
      <c r="F10" s="26" t="s">
        <v>67</v>
      </c>
      <c r="G10" s="62">
        <v>300</v>
      </c>
      <c r="H10" s="104">
        <v>58.5</v>
      </c>
      <c r="I10" s="56">
        <f t="shared" ref="I10:I20" si="0">G10*H10</f>
        <v>17550</v>
      </c>
    </row>
    <row r="11" spans="1:10" ht="45.75" thickBot="1" x14ac:dyDescent="0.25">
      <c r="A11" s="64">
        <v>2</v>
      </c>
      <c r="B11" s="26" t="s">
        <v>75</v>
      </c>
      <c r="C11" s="91" t="s">
        <v>73</v>
      </c>
      <c r="D11" s="73">
        <v>252</v>
      </c>
      <c r="E11" s="93" t="s">
        <v>76</v>
      </c>
      <c r="F11" s="26" t="s">
        <v>68</v>
      </c>
      <c r="G11" s="62">
        <v>300</v>
      </c>
      <c r="H11" s="104">
        <v>50.4</v>
      </c>
      <c r="I11" s="56">
        <f t="shared" si="0"/>
        <v>15120</v>
      </c>
    </row>
    <row r="12" spans="1:10" ht="45.75" thickBot="1" x14ac:dyDescent="0.25">
      <c r="A12" s="64">
        <v>3</v>
      </c>
      <c r="B12" s="26" t="s">
        <v>79</v>
      </c>
      <c r="C12" s="91" t="s">
        <v>73</v>
      </c>
      <c r="D12" s="73">
        <v>252</v>
      </c>
      <c r="E12" s="93" t="s">
        <v>80</v>
      </c>
      <c r="F12" s="26" t="s">
        <v>68</v>
      </c>
      <c r="G12" s="62">
        <v>2400</v>
      </c>
      <c r="H12" s="104">
        <v>65</v>
      </c>
      <c r="I12" s="56">
        <f t="shared" si="0"/>
        <v>156000</v>
      </c>
    </row>
    <row r="13" spans="1:10" ht="45.75" thickBot="1" x14ac:dyDescent="0.25">
      <c r="A13" s="64">
        <v>4</v>
      </c>
      <c r="B13" s="26" t="s">
        <v>77</v>
      </c>
      <c r="C13" s="91" t="s">
        <v>73</v>
      </c>
      <c r="D13" s="73">
        <v>252</v>
      </c>
      <c r="E13" s="26" t="s">
        <v>78</v>
      </c>
      <c r="F13" s="26" t="s">
        <v>67</v>
      </c>
      <c r="G13" s="62">
        <v>800</v>
      </c>
      <c r="H13" s="104">
        <v>11</v>
      </c>
      <c r="I13" s="56">
        <f t="shared" si="0"/>
        <v>8800</v>
      </c>
    </row>
    <row r="14" spans="1:10" ht="52.5" customHeight="1" thickBot="1" x14ac:dyDescent="0.25">
      <c r="A14" s="162">
        <v>5</v>
      </c>
      <c r="B14" s="163" t="s">
        <v>105</v>
      </c>
      <c r="C14" s="164" t="s">
        <v>73</v>
      </c>
      <c r="D14" s="165">
        <v>252</v>
      </c>
      <c r="E14" s="166" t="s">
        <v>106</v>
      </c>
      <c r="F14" s="167" t="s">
        <v>68</v>
      </c>
      <c r="G14" s="168">
        <v>180</v>
      </c>
      <c r="H14" s="169">
        <v>145.16</v>
      </c>
      <c r="I14" s="170">
        <f t="shared" si="0"/>
        <v>26128.799999999999</v>
      </c>
      <c r="J14" s="181" t="s">
        <v>114</v>
      </c>
    </row>
    <row r="15" spans="1:10" ht="45.75" thickBot="1" x14ac:dyDescent="0.25">
      <c r="A15" s="172">
        <v>6</v>
      </c>
      <c r="B15" s="78" t="s">
        <v>81</v>
      </c>
      <c r="C15" s="173" t="s">
        <v>73</v>
      </c>
      <c r="D15" s="174">
        <v>252</v>
      </c>
      <c r="E15" s="175" t="s">
        <v>82</v>
      </c>
      <c r="F15" s="176" t="s">
        <v>70</v>
      </c>
      <c r="G15" s="177">
        <v>100</v>
      </c>
      <c r="H15" s="178">
        <v>1675</v>
      </c>
      <c r="I15" s="179">
        <f t="shared" si="0"/>
        <v>167500</v>
      </c>
      <c r="J15" s="180"/>
    </row>
    <row r="16" spans="1:10" ht="45.75" thickBot="1" x14ac:dyDescent="0.25">
      <c r="A16" s="64">
        <v>7</v>
      </c>
      <c r="B16" s="26" t="s">
        <v>83</v>
      </c>
      <c r="C16" s="91" t="s">
        <v>73</v>
      </c>
      <c r="D16" s="73">
        <v>252</v>
      </c>
      <c r="E16" s="93" t="s">
        <v>84</v>
      </c>
      <c r="F16" s="26" t="s">
        <v>68</v>
      </c>
      <c r="G16" s="62">
        <v>1200</v>
      </c>
      <c r="H16" s="104">
        <v>35.799999999999997</v>
      </c>
      <c r="I16" s="56">
        <f t="shared" si="0"/>
        <v>42960</v>
      </c>
    </row>
    <row r="17" spans="1:9" ht="45.75" thickBot="1" x14ac:dyDescent="0.25">
      <c r="A17" s="64">
        <v>8</v>
      </c>
      <c r="B17" s="26" t="s">
        <v>85</v>
      </c>
      <c r="C17" s="91" t="s">
        <v>73</v>
      </c>
      <c r="D17" s="73">
        <v>252</v>
      </c>
      <c r="E17" s="93" t="s">
        <v>86</v>
      </c>
      <c r="F17" s="26" t="s">
        <v>69</v>
      </c>
      <c r="G17" s="62">
        <v>10</v>
      </c>
      <c r="H17" s="104">
        <v>285</v>
      </c>
      <c r="I17" s="56">
        <f t="shared" si="0"/>
        <v>2850</v>
      </c>
    </row>
    <row r="18" spans="1:9" ht="45.75" thickBot="1" x14ac:dyDescent="0.25">
      <c r="A18" s="64">
        <v>9</v>
      </c>
      <c r="B18" s="26" t="s">
        <v>87</v>
      </c>
      <c r="C18" s="91" t="s">
        <v>73</v>
      </c>
      <c r="D18" s="73">
        <v>252</v>
      </c>
      <c r="E18" s="88" t="s">
        <v>88</v>
      </c>
      <c r="F18" s="89" t="s">
        <v>71</v>
      </c>
      <c r="G18" s="62">
        <v>300</v>
      </c>
      <c r="H18" s="104">
        <v>2.2999999999999998</v>
      </c>
      <c r="I18" s="56">
        <f t="shared" si="0"/>
        <v>690</v>
      </c>
    </row>
    <row r="19" spans="1:9" ht="45.75" thickBot="1" x14ac:dyDescent="0.25">
      <c r="A19" s="65">
        <v>10</v>
      </c>
      <c r="B19" s="26" t="s">
        <v>89</v>
      </c>
      <c r="C19" s="91" t="s">
        <v>73</v>
      </c>
      <c r="D19" s="73">
        <v>252</v>
      </c>
      <c r="E19" s="94" t="s">
        <v>90</v>
      </c>
      <c r="F19" s="89" t="s">
        <v>68</v>
      </c>
      <c r="G19" s="62">
        <v>20</v>
      </c>
      <c r="H19" s="104">
        <v>550</v>
      </c>
      <c r="I19" s="56">
        <f t="shared" si="0"/>
        <v>11000</v>
      </c>
    </row>
    <row r="20" spans="1:9" ht="45.75" thickBot="1" x14ac:dyDescent="0.25">
      <c r="A20" s="64">
        <v>11</v>
      </c>
      <c r="B20" s="26" t="s">
        <v>91</v>
      </c>
      <c r="C20" s="91" t="s">
        <v>73</v>
      </c>
      <c r="D20" s="73">
        <v>252</v>
      </c>
      <c r="E20" s="93" t="s">
        <v>92</v>
      </c>
      <c r="F20" s="26" t="s">
        <v>68</v>
      </c>
      <c r="G20" s="62">
        <v>100</v>
      </c>
      <c r="H20" s="104">
        <v>106.8</v>
      </c>
      <c r="I20" s="56">
        <f t="shared" si="0"/>
        <v>10680</v>
      </c>
    </row>
    <row r="21" spans="1:9" ht="45.75" thickBot="1" x14ac:dyDescent="0.25">
      <c r="A21" s="64">
        <v>12</v>
      </c>
      <c r="B21" s="26" t="s">
        <v>93</v>
      </c>
      <c r="C21" s="91" t="s">
        <v>73</v>
      </c>
      <c r="D21" s="73">
        <v>252</v>
      </c>
      <c r="E21" s="26" t="s">
        <v>94</v>
      </c>
      <c r="F21" s="26" t="s">
        <v>69</v>
      </c>
      <c r="G21" s="62">
        <v>150</v>
      </c>
      <c r="H21" s="104">
        <v>210</v>
      </c>
      <c r="I21" s="56">
        <f t="shared" ref="I21:I24" si="1">G21*H21</f>
        <v>31500</v>
      </c>
    </row>
    <row r="22" spans="1:9" ht="45.75" thickBot="1" x14ac:dyDescent="0.25">
      <c r="A22" s="64">
        <v>13</v>
      </c>
      <c r="B22" s="26" t="s">
        <v>95</v>
      </c>
      <c r="C22" s="91" t="s">
        <v>73</v>
      </c>
      <c r="D22" s="73">
        <v>252</v>
      </c>
      <c r="E22" s="171" t="s">
        <v>96</v>
      </c>
      <c r="F22" s="26" t="s">
        <v>68</v>
      </c>
      <c r="G22" s="62">
        <v>3600</v>
      </c>
      <c r="H22" s="104">
        <v>47.5</v>
      </c>
      <c r="I22" s="56">
        <f t="shared" si="1"/>
        <v>171000</v>
      </c>
    </row>
    <row r="23" spans="1:9" ht="45.75" thickBot="1" x14ac:dyDescent="0.25">
      <c r="A23" s="64">
        <v>14</v>
      </c>
      <c r="B23" s="26" t="s">
        <v>97</v>
      </c>
      <c r="C23" s="91" t="s">
        <v>73</v>
      </c>
      <c r="D23" s="73">
        <v>252</v>
      </c>
      <c r="E23" s="171" t="s">
        <v>98</v>
      </c>
      <c r="F23" s="26" t="s">
        <v>69</v>
      </c>
      <c r="G23" s="62">
        <v>30</v>
      </c>
      <c r="H23" s="104">
        <v>980</v>
      </c>
      <c r="I23" s="56">
        <f t="shared" si="1"/>
        <v>29400</v>
      </c>
    </row>
    <row r="24" spans="1:9" ht="45" x14ac:dyDescent="0.2">
      <c r="A24" s="65">
        <v>15</v>
      </c>
      <c r="B24" s="26" t="s">
        <v>99</v>
      </c>
      <c r="C24" s="91" t="s">
        <v>73</v>
      </c>
      <c r="D24" s="73">
        <v>252</v>
      </c>
      <c r="E24" s="171" t="s">
        <v>100</v>
      </c>
      <c r="F24" s="26" t="s">
        <v>69</v>
      </c>
      <c r="G24" s="62">
        <v>10</v>
      </c>
      <c r="H24" s="104">
        <v>958</v>
      </c>
      <c r="I24" s="56">
        <f t="shared" si="1"/>
        <v>9580</v>
      </c>
    </row>
    <row r="25" spans="1:9" x14ac:dyDescent="0.2">
      <c r="A25" s="30"/>
      <c r="B25" s="18"/>
      <c r="D25" s="18"/>
      <c r="E25" s="79"/>
      <c r="F25" s="18"/>
      <c r="I25" s="68"/>
    </row>
    <row r="26" spans="1:9" ht="13.5" customHeight="1" x14ac:dyDescent="0.2">
      <c r="A26" s="30"/>
      <c r="B26" s="58"/>
      <c r="C26" s="102"/>
      <c r="D26" s="103"/>
      <c r="E26" s="80"/>
      <c r="F26" s="18"/>
      <c r="G26" s="105"/>
      <c r="H26" s="18"/>
      <c r="I26" s="18"/>
    </row>
    <row r="27" spans="1:9" ht="12.75" customHeight="1" thickBot="1" x14ac:dyDescent="0.25">
      <c r="A27" s="30"/>
      <c r="B27" s="58"/>
      <c r="C27" s="71"/>
      <c r="D27" s="72"/>
      <c r="E27" s="86"/>
      <c r="F27" s="18"/>
      <c r="G27" s="105"/>
      <c r="H27" s="18"/>
      <c r="I27" s="18"/>
    </row>
    <row r="28" spans="1:9" ht="15.75" x14ac:dyDescent="0.2">
      <c r="B28" s="110" t="s">
        <v>101</v>
      </c>
      <c r="C28" s="111"/>
      <c r="D28" s="111"/>
      <c r="E28" s="112"/>
      <c r="I28" s="68"/>
    </row>
    <row r="29" spans="1:9" x14ac:dyDescent="0.2">
      <c r="B29" s="31"/>
      <c r="C29" s="71"/>
      <c r="D29" s="72"/>
      <c r="E29" s="81"/>
      <c r="I29" s="68"/>
    </row>
    <row r="30" spans="1:9" x14ac:dyDescent="0.2">
      <c r="B30" s="96" t="s">
        <v>53</v>
      </c>
      <c r="C30" s="71"/>
      <c r="D30" s="72"/>
      <c r="E30" s="81"/>
      <c r="I30" s="68"/>
    </row>
    <row r="31" spans="1:9" x14ac:dyDescent="0.2">
      <c r="B31" s="32"/>
      <c r="C31" s="113" t="s">
        <v>102</v>
      </c>
      <c r="D31" s="113"/>
      <c r="E31" s="114"/>
      <c r="I31" s="68"/>
    </row>
    <row r="32" spans="1:9" x14ac:dyDescent="0.2">
      <c r="B32" s="96"/>
      <c r="C32" s="108"/>
      <c r="D32" s="108"/>
      <c r="E32" s="109"/>
      <c r="I32" s="68"/>
    </row>
    <row r="33" spans="2:9" x14ac:dyDescent="0.2">
      <c r="B33" s="96"/>
      <c r="C33" s="100"/>
      <c r="D33" s="100"/>
      <c r="E33" s="95"/>
      <c r="I33" s="68"/>
    </row>
    <row r="34" spans="2:9" ht="38.25" customHeight="1" x14ac:dyDescent="0.2">
      <c r="B34" s="96" t="s">
        <v>59</v>
      </c>
      <c r="C34" s="100"/>
      <c r="D34" s="108" t="s">
        <v>107</v>
      </c>
      <c r="E34" s="109"/>
      <c r="I34" s="68"/>
    </row>
    <row r="35" spans="2:9" ht="27" customHeight="1" x14ac:dyDescent="0.2">
      <c r="B35" s="115"/>
      <c r="C35" s="116"/>
      <c r="D35" s="116"/>
      <c r="E35" s="117"/>
      <c r="I35" s="68"/>
    </row>
    <row r="36" spans="2:9" ht="23.25" customHeight="1" x14ac:dyDescent="0.2">
      <c r="B36" s="96" t="s">
        <v>60</v>
      </c>
      <c r="C36" s="108" t="s">
        <v>61</v>
      </c>
      <c r="D36" s="108"/>
      <c r="E36" s="109"/>
      <c r="I36" s="68"/>
    </row>
    <row r="37" spans="2:9" x14ac:dyDescent="0.2">
      <c r="B37" s="31"/>
      <c r="C37" s="98"/>
      <c r="D37" s="99"/>
      <c r="E37" s="82"/>
      <c r="I37" s="68"/>
    </row>
    <row r="38" spans="2:9" ht="25.5" x14ac:dyDescent="0.2">
      <c r="B38" s="97" t="s">
        <v>54</v>
      </c>
      <c r="C38" s="108"/>
      <c r="D38" s="108"/>
      <c r="E38" s="109"/>
      <c r="I38" s="68"/>
    </row>
    <row r="39" spans="2:9" x14ac:dyDescent="0.2">
      <c r="B39" s="31"/>
      <c r="C39" s="98"/>
      <c r="D39" s="98"/>
      <c r="E39" s="83"/>
      <c r="I39" s="68"/>
    </row>
    <row r="40" spans="2:9" x14ac:dyDescent="0.2">
      <c r="B40" s="96" t="s">
        <v>55</v>
      </c>
      <c r="C40" s="100"/>
      <c r="D40" s="101"/>
      <c r="E40" s="84" t="s">
        <v>108</v>
      </c>
      <c r="I40" s="68"/>
    </row>
    <row r="41" spans="2:9" x14ac:dyDescent="0.2">
      <c r="B41" s="31"/>
      <c r="C41" s="98"/>
      <c r="D41" s="98"/>
      <c r="E41" s="83"/>
      <c r="I41" s="68"/>
    </row>
    <row r="42" spans="2:9" x14ac:dyDescent="0.2">
      <c r="B42" s="96" t="s">
        <v>56</v>
      </c>
      <c r="C42" s="71"/>
      <c r="D42" s="72"/>
      <c r="E42" s="81"/>
      <c r="I42" s="68"/>
    </row>
    <row r="43" spans="2:9" x14ac:dyDescent="0.2">
      <c r="B43" s="32"/>
      <c r="C43" s="98"/>
      <c r="D43" s="99"/>
      <c r="E43" s="82"/>
      <c r="I43" s="68"/>
    </row>
    <row r="44" spans="2:9" ht="13.5" thickBot="1" x14ac:dyDescent="0.25">
      <c r="B44" s="33"/>
      <c r="C44" s="70"/>
      <c r="D44" s="29"/>
      <c r="E44" s="85"/>
      <c r="I44" s="68"/>
    </row>
    <row r="45" spans="2:9" x14ac:dyDescent="0.2">
      <c r="I45" s="68"/>
    </row>
    <row r="46" spans="2:9" x14ac:dyDescent="0.2">
      <c r="I46" s="68"/>
    </row>
    <row r="47" spans="2:9" x14ac:dyDescent="0.2">
      <c r="I47" s="68"/>
    </row>
    <row r="48" spans="2:9" x14ac:dyDescent="0.2">
      <c r="I48" s="68"/>
    </row>
    <row r="49" spans="9:9" x14ac:dyDescent="0.2">
      <c r="I49" s="68"/>
    </row>
    <row r="50" spans="9:9" x14ac:dyDescent="0.2">
      <c r="I50" s="68"/>
    </row>
    <row r="51" spans="9:9" x14ac:dyDescent="0.2">
      <c r="I51" s="68"/>
    </row>
    <row r="52" spans="9:9" x14ac:dyDescent="0.2">
      <c r="I52" s="68"/>
    </row>
    <row r="53" spans="9:9" x14ac:dyDescent="0.2">
      <c r="I53" s="68"/>
    </row>
    <row r="54" spans="9:9" x14ac:dyDescent="0.2">
      <c r="I54" s="68"/>
    </row>
    <row r="55" spans="9:9" x14ac:dyDescent="0.2">
      <c r="I55" s="68"/>
    </row>
    <row r="56" spans="9:9" x14ac:dyDescent="0.2">
      <c r="I56" s="68"/>
    </row>
    <row r="57" spans="9:9" x14ac:dyDescent="0.2">
      <c r="I57" s="68"/>
    </row>
    <row r="58" spans="9:9" x14ac:dyDescent="0.2">
      <c r="I58" s="68"/>
    </row>
    <row r="59" spans="9:9" x14ac:dyDescent="0.2">
      <c r="I59" s="68"/>
    </row>
    <row r="60" spans="9:9" x14ac:dyDescent="0.2">
      <c r="I60" s="68"/>
    </row>
    <row r="61" spans="9:9" x14ac:dyDescent="0.2">
      <c r="I61" s="68"/>
    </row>
    <row r="62" spans="9:9" x14ac:dyDescent="0.2">
      <c r="I62" s="68"/>
    </row>
    <row r="63" spans="9:9" x14ac:dyDescent="0.2">
      <c r="I63" s="68"/>
    </row>
    <row r="64" spans="9:9" x14ac:dyDescent="0.2">
      <c r="I64" s="68"/>
    </row>
    <row r="65" spans="9:9" x14ac:dyDescent="0.2">
      <c r="I65" s="68"/>
    </row>
    <row r="66" spans="9:9" x14ac:dyDescent="0.2">
      <c r="I66" s="68"/>
    </row>
    <row r="67" spans="9:9" x14ac:dyDescent="0.2">
      <c r="I67" s="68"/>
    </row>
    <row r="68" spans="9:9" x14ac:dyDescent="0.2">
      <c r="I68" s="68"/>
    </row>
    <row r="69" spans="9:9" x14ac:dyDescent="0.2">
      <c r="I69" s="68"/>
    </row>
    <row r="70" spans="9:9" x14ac:dyDescent="0.2">
      <c r="I70" s="68"/>
    </row>
    <row r="71" spans="9:9" x14ac:dyDescent="0.2">
      <c r="I71" s="68"/>
    </row>
    <row r="72" spans="9:9" x14ac:dyDescent="0.2">
      <c r="I72" s="68"/>
    </row>
    <row r="73" spans="9:9" x14ac:dyDescent="0.2">
      <c r="I73" s="68"/>
    </row>
    <row r="74" spans="9:9" x14ac:dyDescent="0.2">
      <c r="I74" s="68"/>
    </row>
    <row r="75" spans="9:9" x14ac:dyDescent="0.2">
      <c r="I75" s="68"/>
    </row>
    <row r="76" spans="9:9" x14ac:dyDescent="0.2">
      <c r="I76" s="68"/>
    </row>
    <row r="77" spans="9:9" x14ac:dyDescent="0.2">
      <c r="I77" s="68"/>
    </row>
    <row r="78" spans="9:9" x14ac:dyDescent="0.2">
      <c r="I78" s="68"/>
    </row>
    <row r="79" spans="9:9" x14ac:dyDescent="0.2">
      <c r="I79" s="68"/>
    </row>
    <row r="80" spans="9:9" x14ac:dyDescent="0.2">
      <c r="I80" s="68"/>
    </row>
    <row r="81" spans="9:9" x14ac:dyDescent="0.2">
      <c r="I81" s="68"/>
    </row>
    <row r="82" spans="9:9" x14ac:dyDescent="0.2">
      <c r="I82" s="68"/>
    </row>
    <row r="83" spans="9:9" x14ac:dyDescent="0.2">
      <c r="I83" s="68"/>
    </row>
    <row r="84" spans="9:9" x14ac:dyDescent="0.2">
      <c r="I84" s="68"/>
    </row>
    <row r="85" spans="9:9" x14ac:dyDescent="0.2">
      <c r="I85" s="68"/>
    </row>
    <row r="86" spans="9:9" x14ac:dyDescent="0.2">
      <c r="I86" s="68"/>
    </row>
    <row r="87" spans="9:9" x14ac:dyDescent="0.2">
      <c r="I87" s="68"/>
    </row>
    <row r="88" spans="9:9" x14ac:dyDescent="0.2">
      <c r="I88" s="68"/>
    </row>
    <row r="89" spans="9:9" x14ac:dyDescent="0.2">
      <c r="I89" s="68"/>
    </row>
    <row r="90" spans="9:9" x14ac:dyDescent="0.2">
      <c r="I90" s="68"/>
    </row>
    <row r="91" spans="9:9" x14ac:dyDescent="0.2">
      <c r="I91" s="68"/>
    </row>
    <row r="92" spans="9:9" x14ac:dyDescent="0.2">
      <c r="I92" s="68"/>
    </row>
    <row r="93" spans="9:9" x14ac:dyDescent="0.2">
      <c r="I93" s="68"/>
    </row>
    <row r="94" spans="9:9" x14ac:dyDescent="0.2">
      <c r="I94" s="68"/>
    </row>
    <row r="95" spans="9:9" x14ac:dyDescent="0.2">
      <c r="I95" s="68"/>
    </row>
    <row r="96" spans="9:9" x14ac:dyDescent="0.2">
      <c r="I96" s="68"/>
    </row>
    <row r="97" spans="9:9" x14ac:dyDescent="0.2">
      <c r="I97" s="68"/>
    </row>
    <row r="98" spans="9:9" x14ac:dyDescent="0.2">
      <c r="I98" s="68"/>
    </row>
    <row r="99" spans="9:9" x14ac:dyDescent="0.2">
      <c r="I99" s="68"/>
    </row>
    <row r="100" spans="9:9" x14ac:dyDescent="0.2">
      <c r="I100" s="68"/>
    </row>
    <row r="101" spans="9:9" x14ac:dyDescent="0.2">
      <c r="I101" s="68"/>
    </row>
    <row r="102" spans="9:9" x14ac:dyDescent="0.2">
      <c r="I102" s="68"/>
    </row>
    <row r="103" spans="9:9" x14ac:dyDescent="0.2">
      <c r="I103" s="68"/>
    </row>
    <row r="104" spans="9:9" x14ac:dyDescent="0.2">
      <c r="I104" s="68"/>
    </row>
    <row r="105" spans="9:9" x14ac:dyDescent="0.2">
      <c r="I105" s="68"/>
    </row>
    <row r="106" spans="9:9" x14ac:dyDescent="0.2">
      <c r="I106" s="68"/>
    </row>
    <row r="107" spans="9:9" x14ac:dyDescent="0.2">
      <c r="I107" s="68"/>
    </row>
    <row r="108" spans="9:9" x14ac:dyDescent="0.2">
      <c r="I108" s="68"/>
    </row>
    <row r="109" spans="9:9" x14ac:dyDescent="0.2">
      <c r="I109" s="68"/>
    </row>
    <row r="110" spans="9:9" x14ac:dyDescent="0.2">
      <c r="I110" s="68"/>
    </row>
    <row r="111" spans="9:9" x14ac:dyDescent="0.2">
      <c r="I111" s="68"/>
    </row>
    <row r="112" spans="9:9" x14ac:dyDescent="0.2">
      <c r="I112" s="68"/>
    </row>
    <row r="113" spans="9:9" x14ac:dyDescent="0.2">
      <c r="I113" s="68"/>
    </row>
    <row r="114" spans="9:9" x14ac:dyDescent="0.2">
      <c r="I114" s="68"/>
    </row>
    <row r="115" spans="9:9" x14ac:dyDescent="0.2">
      <c r="I115" s="68"/>
    </row>
    <row r="116" spans="9:9" x14ac:dyDescent="0.2">
      <c r="I116" s="68"/>
    </row>
    <row r="117" spans="9:9" x14ac:dyDescent="0.2">
      <c r="I117" s="68"/>
    </row>
    <row r="118" spans="9:9" x14ac:dyDescent="0.2">
      <c r="I118" s="68"/>
    </row>
    <row r="119" spans="9:9" x14ac:dyDescent="0.2">
      <c r="I119" s="68"/>
    </row>
    <row r="120" spans="9:9" x14ac:dyDescent="0.2">
      <c r="I120" s="68"/>
    </row>
    <row r="121" spans="9:9" x14ac:dyDescent="0.2">
      <c r="I121" s="68"/>
    </row>
    <row r="122" spans="9:9" x14ac:dyDescent="0.2">
      <c r="I122" s="68"/>
    </row>
    <row r="123" spans="9:9" x14ac:dyDescent="0.2">
      <c r="I123" s="68"/>
    </row>
    <row r="124" spans="9:9" x14ac:dyDescent="0.2">
      <c r="I124" s="68"/>
    </row>
    <row r="125" spans="9:9" x14ac:dyDescent="0.2">
      <c r="I125" s="68"/>
    </row>
    <row r="126" spans="9:9" x14ac:dyDescent="0.2">
      <c r="I126" s="68"/>
    </row>
    <row r="127" spans="9:9" x14ac:dyDescent="0.2">
      <c r="I127" s="68"/>
    </row>
    <row r="128" spans="9:9" x14ac:dyDescent="0.2">
      <c r="I128" s="68"/>
    </row>
    <row r="129" spans="9:9" x14ac:dyDescent="0.2">
      <c r="I129" s="68"/>
    </row>
    <row r="130" spans="9:9" x14ac:dyDescent="0.2">
      <c r="I130" s="68"/>
    </row>
    <row r="131" spans="9:9" x14ac:dyDescent="0.2">
      <c r="I131" s="68"/>
    </row>
    <row r="132" spans="9:9" x14ac:dyDescent="0.2">
      <c r="I132" s="68"/>
    </row>
    <row r="133" spans="9:9" x14ac:dyDescent="0.2">
      <c r="I133" s="68"/>
    </row>
    <row r="134" spans="9:9" x14ac:dyDescent="0.2">
      <c r="I134" s="68"/>
    </row>
    <row r="135" spans="9:9" x14ac:dyDescent="0.2">
      <c r="I135" s="68"/>
    </row>
    <row r="136" spans="9:9" x14ac:dyDescent="0.2">
      <c r="I136" s="68"/>
    </row>
    <row r="137" spans="9:9" x14ac:dyDescent="0.2">
      <c r="I137" s="68"/>
    </row>
    <row r="138" spans="9:9" x14ac:dyDescent="0.2">
      <c r="I138" s="68"/>
    </row>
    <row r="139" spans="9:9" x14ac:dyDescent="0.2">
      <c r="I139" s="68"/>
    </row>
    <row r="140" spans="9:9" x14ac:dyDescent="0.2">
      <c r="I140" s="68"/>
    </row>
    <row r="141" spans="9:9" x14ac:dyDescent="0.2">
      <c r="I141" s="68"/>
    </row>
    <row r="142" spans="9:9" x14ac:dyDescent="0.2">
      <c r="I142" s="68"/>
    </row>
    <row r="143" spans="9:9" x14ac:dyDescent="0.2">
      <c r="I143" s="68"/>
    </row>
    <row r="144" spans="9:9" x14ac:dyDescent="0.2">
      <c r="I144" s="68"/>
    </row>
    <row r="145" spans="9:9" x14ac:dyDescent="0.2">
      <c r="I145" s="68"/>
    </row>
    <row r="146" spans="9:9" x14ac:dyDescent="0.2">
      <c r="I146" s="68"/>
    </row>
    <row r="147" spans="9:9" x14ac:dyDescent="0.2">
      <c r="I147" s="68"/>
    </row>
    <row r="148" spans="9:9" x14ac:dyDescent="0.2">
      <c r="I148" s="68"/>
    </row>
    <row r="149" spans="9:9" x14ac:dyDescent="0.2">
      <c r="I149" s="68"/>
    </row>
    <row r="150" spans="9:9" x14ac:dyDescent="0.2">
      <c r="I150" s="68"/>
    </row>
    <row r="151" spans="9:9" x14ac:dyDescent="0.2">
      <c r="I151" s="68"/>
    </row>
  </sheetData>
  <mergeCells count="14">
    <mergeCell ref="C38:E38"/>
    <mergeCell ref="B28:E28"/>
    <mergeCell ref="C31:E31"/>
    <mergeCell ref="C32:E32"/>
    <mergeCell ref="B35:E35"/>
    <mergeCell ref="C36:E36"/>
    <mergeCell ref="D34:E34"/>
    <mergeCell ref="G26:G27"/>
    <mergeCell ref="A4:D4"/>
    <mergeCell ref="A5:D5"/>
    <mergeCell ref="A6:D6"/>
    <mergeCell ref="A7:D7"/>
    <mergeCell ref="E4:G4"/>
    <mergeCell ref="E5:G5"/>
  </mergeCells>
  <phoneticPr fontId="24" type="noConversion"/>
  <conditionalFormatting sqref="L6">
    <cfRule type="duplicateValues" dxfId="5" priority="8"/>
  </conditionalFormatting>
  <conditionalFormatting sqref="E45:E1048576 E13:E20 E1:E9 E22:E27">
    <cfRule type="duplicateValues" dxfId="4" priority="7"/>
  </conditionalFormatting>
  <conditionalFormatting sqref="E11:E12">
    <cfRule type="duplicateValues" dxfId="3" priority="4"/>
  </conditionalFormatting>
  <conditionalFormatting sqref="E21">
    <cfRule type="duplicateValues" dxfId="2" priority="3"/>
  </conditionalFormatting>
  <conditionalFormatting sqref="E10">
    <cfRule type="duplicateValues" dxfId="1" priority="11"/>
  </conditionalFormatting>
  <conditionalFormatting sqref="E28:E33 E35:E44">
    <cfRule type="duplicateValues" dxfId="0" priority="1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34"/>
  <sheetViews>
    <sheetView topLeftCell="A4" zoomScale="68" zoomScaleNormal="68" workbookViewId="0">
      <selection activeCell="V15" sqref="V15"/>
    </sheetView>
  </sheetViews>
  <sheetFormatPr baseColWidth="10" defaultColWidth="9.140625" defaultRowHeight="12.75" x14ac:dyDescent="0.2"/>
  <cols>
    <col min="1" max="1" width="13.140625" style="43" customWidth="1"/>
    <col min="2" max="2" width="19.57031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42" style="43" customWidth="1"/>
    <col min="8" max="8" width="9.28515625" style="43" customWidth="1"/>
    <col min="9" max="9" width="15.5703125" style="43" customWidth="1"/>
    <col min="10" max="10" width="20.42578125" style="43" customWidth="1"/>
    <col min="11" max="11" width="30.42578125" style="50" customWidth="1"/>
    <col min="12" max="13" width="9.140625" style="2"/>
    <col min="14" max="14" width="14.5703125" style="2" customWidth="1"/>
    <col min="15" max="15" width="13.5703125" style="2" customWidth="1"/>
    <col min="16" max="1013" width="9.140625" style="2"/>
  </cols>
  <sheetData>
    <row r="1" spans="1:1013" ht="18" customHeight="1" x14ac:dyDescent="0.2">
      <c r="A1" s="133" t="s">
        <v>11</v>
      </c>
      <c r="B1" s="133"/>
      <c r="C1" s="133"/>
      <c r="D1" s="133"/>
      <c r="E1" s="133"/>
      <c r="F1" s="133"/>
      <c r="G1" s="133"/>
      <c r="H1" s="133"/>
      <c r="I1" s="133"/>
      <c r="J1" s="34"/>
      <c r="K1" s="92" t="s">
        <v>104</v>
      </c>
    </row>
    <row r="2" spans="1:1013" ht="18.75" customHeight="1" thickBot="1" x14ac:dyDescent="0.25">
      <c r="A2" s="35"/>
      <c r="B2" s="35"/>
      <c r="C2" s="35"/>
      <c r="D2" s="36"/>
      <c r="E2" s="36"/>
      <c r="F2" s="36"/>
      <c r="G2" s="36"/>
      <c r="H2" s="36"/>
      <c r="I2" s="36"/>
      <c r="J2" s="36"/>
      <c r="K2" s="47"/>
    </row>
    <row r="3" spans="1:1013" ht="18.75" customHeight="1" thickBot="1" x14ac:dyDescent="0.25">
      <c r="A3" s="134" t="s">
        <v>12</v>
      </c>
      <c r="B3" s="134"/>
      <c r="C3" s="134"/>
      <c r="D3" s="135" t="s">
        <v>58</v>
      </c>
      <c r="E3" s="135"/>
      <c r="F3" s="135"/>
      <c r="G3" s="135"/>
      <c r="H3" s="135"/>
      <c r="I3" s="135"/>
      <c r="J3" s="135"/>
      <c r="K3" s="135"/>
    </row>
    <row r="4" spans="1:1013" ht="18.75" customHeight="1" thickBot="1" x14ac:dyDescent="0.25">
      <c r="A4" s="136" t="s">
        <v>13</v>
      </c>
      <c r="B4" s="136"/>
      <c r="C4" s="136"/>
      <c r="D4" s="135" t="s">
        <v>52</v>
      </c>
      <c r="E4" s="135"/>
      <c r="F4" s="135"/>
      <c r="G4" s="135"/>
      <c r="H4" s="135"/>
      <c r="I4" s="135"/>
      <c r="J4" s="135"/>
      <c r="K4" s="135"/>
    </row>
    <row r="5" spans="1:1013" ht="18.75" customHeight="1" thickBot="1" x14ac:dyDescent="0.25">
      <c r="A5" s="136" t="s">
        <v>14</v>
      </c>
      <c r="B5" s="136"/>
      <c r="C5" s="136"/>
      <c r="D5" s="135" t="s">
        <v>49</v>
      </c>
      <c r="E5" s="135"/>
      <c r="F5" s="135"/>
      <c r="G5" s="135"/>
      <c r="H5" s="135"/>
      <c r="I5" s="135"/>
      <c r="J5" s="135"/>
      <c r="K5" s="135"/>
    </row>
    <row r="6" spans="1:1013" ht="16.5" customHeight="1" thickBot="1" x14ac:dyDescent="0.25">
      <c r="A6" s="134" t="s">
        <v>15</v>
      </c>
      <c r="B6" s="134"/>
      <c r="C6" s="134"/>
      <c r="D6" s="135" t="s">
        <v>63</v>
      </c>
      <c r="E6" s="135"/>
      <c r="F6" s="135"/>
      <c r="G6" s="135"/>
      <c r="H6" s="135"/>
      <c r="I6" s="135"/>
      <c r="J6" s="135"/>
      <c r="K6" s="135"/>
    </row>
    <row r="7" spans="1:1013" ht="16.5" customHeight="1" thickBot="1" x14ac:dyDescent="0.25">
      <c r="A7" s="136" t="s">
        <v>16</v>
      </c>
      <c r="B7" s="136"/>
      <c r="C7" s="136"/>
      <c r="D7" s="135" t="s">
        <v>64</v>
      </c>
      <c r="E7" s="135"/>
      <c r="F7" s="135"/>
      <c r="G7" s="135"/>
      <c r="H7" s="135"/>
      <c r="I7" s="135"/>
      <c r="J7" s="135"/>
      <c r="K7" s="135"/>
    </row>
    <row r="8" spans="1:1013" ht="36" customHeight="1" thickBot="1" x14ac:dyDescent="0.25">
      <c r="A8" s="125" t="s">
        <v>17</v>
      </c>
      <c r="B8" s="125"/>
      <c r="C8" s="125"/>
      <c r="D8" s="126" t="s">
        <v>65</v>
      </c>
      <c r="E8" s="126"/>
      <c r="F8" s="126"/>
      <c r="G8" s="126"/>
      <c r="H8" s="126"/>
      <c r="I8" s="126"/>
      <c r="J8" s="126"/>
      <c r="K8" s="126"/>
    </row>
    <row r="9" spans="1:1013" ht="16.5" thickBot="1" x14ac:dyDescent="0.25">
      <c r="A9" s="37"/>
      <c r="B9" s="37"/>
      <c r="C9" s="37"/>
      <c r="D9" s="38"/>
      <c r="E9" s="38"/>
      <c r="F9" s="38"/>
      <c r="G9" s="38"/>
      <c r="H9" s="38"/>
      <c r="I9" s="38"/>
      <c r="J9" s="38"/>
      <c r="K9" s="48"/>
    </row>
    <row r="10" spans="1:1013" ht="18.75" customHeight="1" thickBot="1" x14ac:dyDescent="0.25">
      <c r="A10" s="127" t="s">
        <v>18</v>
      </c>
      <c r="B10" s="129" t="s">
        <v>19</v>
      </c>
      <c r="C10" s="129" t="s">
        <v>20</v>
      </c>
      <c r="D10" s="129"/>
      <c r="E10" s="129"/>
      <c r="F10" s="129"/>
      <c r="G10" s="129"/>
      <c r="H10" s="129" t="s">
        <v>21</v>
      </c>
      <c r="I10" s="129" t="s">
        <v>22</v>
      </c>
      <c r="J10" s="129" t="s">
        <v>23</v>
      </c>
      <c r="K10" s="131" t="s">
        <v>24</v>
      </c>
    </row>
    <row r="11" spans="1:1013" ht="24" customHeight="1" thickBot="1" x14ac:dyDescent="0.25">
      <c r="A11" s="128"/>
      <c r="B11" s="130"/>
      <c r="C11" s="130"/>
      <c r="D11" s="130"/>
      <c r="E11" s="130"/>
      <c r="F11" s="130"/>
      <c r="G11" s="130"/>
      <c r="H11" s="130"/>
      <c r="I11" s="130"/>
      <c r="J11" s="130"/>
      <c r="K11" s="132"/>
      <c r="ALW11"/>
      <c r="ALX11"/>
      <c r="ALY11"/>
    </row>
    <row r="12" spans="1:1013" ht="51" customHeight="1" thickBot="1" x14ac:dyDescent="0.3">
      <c r="A12" s="39">
        <f>+'Necesidades Trimestrales'!A10</f>
        <v>1</v>
      </c>
      <c r="B12" s="42" t="str">
        <f>+'Necesidades Trimestrales'!B10</f>
        <v>2.5.2-3259.11</v>
      </c>
      <c r="C12" s="118" t="str">
        <f>+'Necesidades Trimestrales'!E10</f>
        <v>DIGESTIVOS; TIPO: MONODROGA, DROGA GENERICA: ACIDO URSODESOXICOLICO, FORMA FARMACEUTICA: COMPRIMIDO, PRESENTACION: 150 MGR</v>
      </c>
      <c r="D12" s="118"/>
      <c r="E12" s="118"/>
      <c r="F12" s="118"/>
      <c r="G12" s="118"/>
      <c r="H12" s="40" t="s">
        <v>25</v>
      </c>
      <c r="I12" s="41" t="str">
        <f>+'Necesidades Trimestrales'!F10</f>
        <v>COMPRIMIDO</v>
      </c>
      <c r="J12" s="46">
        <f>+'Necesidades Trimestrales'!H10</f>
        <v>58.5</v>
      </c>
      <c r="K12" s="49">
        <f>+'Necesidades Trimestrales'!G10</f>
        <v>300</v>
      </c>
      <c r="M12" s="90"/>
      <c r="N12" s="90"/>
      <c r="Q12" s="90"/>
    </row>
    <row r="13" spans="1:1013" ht="52.5" customHeight="1" thickBot="1" x14ac:dyDescent="0.3">
      <c r="A13" s="39">
        <f>+'Necesidades Trimestrales'!A11</f>
        <v>2</v>
      </c>
      <c r="B13" s="42" t="str">
        <f>+'Necesidades Trimestrales'!B11</f>
        <v>2.5.2-1843.63</v>
      </c>
      <c r="C13" s="118" t="str">
        <f>+'Necesidades Trimestrales'!E11</f>
        <v>ANTIESPASMODICOS; TIPO: MONODROGA, DROGA GENERICA: ATROPINA 1%, FORMA FARMACEUTICA: AMPOLLA, PRESENTACION: ENVASE X 1 mL</v>
      </c>
      <c r="D13" s="118"/>
      <c r="E13" s="118"/>
      <c r="F13" s="118"/>
      <c r="G13" s="118"/>
      <c r="H13" s="40" t="s">
        <v>25</v>
      </c>
      <c r="I13" s="41" t="str">
        <f>+'Necesidades Trimestrales'!F11</f>
        <v>AMPOLLA</v>
      </c>
      <c r="J13" s="46">
        <f>+'Necesidades Trimestrales'!H11</f>
        <v>50.4</v>
      </c>
      <c r="K13" s="49">
        <f>+'Necesidades Trimestrales'!G11</f>
        <v>300</v>
      </c>
      <c r="M13" s="90"/>
      <c r="N13" s="90"/>
    </row>
    <row r="14" spans="1:1013" ht="48.75" customHeight="1" thickBot="1" x14ac:dyDescent="0.3">
      <c r="A14" s="39">
        <f>+'Necesidades Trimestrales'!A12</f>
        <v>3</v>
      </c>
      <c r="B14" s="42" t="str">
        <f>+'Necesidades Trimestrales'!B12</f>
        <v>2.5.2-1843.51</v>
      </c>
      <c r="C14" s="118" t="str">
        <f>+'Necesidades Trimestrales'!E12</f>
        <v>ANTIESPASMODICOS; TIPO: MONODROGA, DROGA GENERICA: HIOSCINA N-BUTILBROMURO 20 MG, FORMA FARMACEUTICA: AMPOLLA, PRESENTACION: 1 ML</v>
      </c>
      <c r="D14" s="118"/>
      <c r="E14" s="118"/>
      <c r="F14" s="118"/>
      <c r="G14" s="118"/>
      <c r="H14" s="40" t="s">
        <v>25</v>
      </c>
      <c r="I14" s="41" t="str">
        <f>+'Necesidades Trimestrales'!F12</f>
        <v>AMPOLLA</v>
      </c>
      <c r="J14" s="46">
        <f>+'Necesidades Trimestrales'!H12</f>
        <v>65</v>
      </c>
      <c r="K14" s="49">
        <f>+'Necesidades Trimestrales'!G12</f>
        <v>2400</v>
      </c>
      <c r="M14" s="90"/>
      <c r="N14" s="90"/>
    </row>
    <row r="15" spans="1:1013" ht="51" customHeight="1" thickBot="1" x14ac:dyDescent="0.3">
      <c r="A15" s="39">
        <f>+'Necesidades Trimestrales'!A13</f>
        <v>4</v>
      </c>
      <c r="B15" s="42" t="str">
        <f>+'Necesidades Trimestrales'!B13</f>
        <v>2.5.2-1843.1</v>
      </c>
      <c r="C15" s="118" t="str">
        <f>+'Necesidades Trimestrales'!E13</f>
        <v>ANTIESPASMODICOS; TIPO: MONODROGA, PRESENTACION: 10 mGr, FORMA FARMACEUTICA: COMPRIMIDO, DROGA GENERICA: HIOSCINA N-BUTILBROMURO</v>
      </c>
      <c r="D15" s="118"/>
      <c r="E15" s="118"/>
      <c r="F15" s="118"/>
      <c r="G15" s="118"/>
      <c r="H15" s="40" t="s">
        <v>25</v>
      </c>
      <c r="I15" s="41" t="str">
        <f>+'Necesidades Trimestrales'!F13</f>
        <v>COMPRIMIDO</v>
      </c>
      <c r="J15" s="46">
        <f>+'Necesidades Trimestrales'!H13</f>
        <v>11</v>
      </c>
      <c r="K15" s="49">
        <f>+'Necesidades Trimestrales'!G13</f>
        <v>800</v>
      </c>
      <c r="M15" s="90"/>
      <c r="N15" s="90"/>
    </row>
    <row r="16" spans="1:1013" ht="52.5" customHeight="1" thickBot="1" x14ac:dyDescent="0.3">
      <c r="A16" s="39">
        <f>+'Necesidades Trimestrales'!A14</f>
        <v>5</v>
      </c>
      <c r="B16" s="42" t="str">
        <f>+'Necesidades Trimestrales'!B14</f>
        <v>2.5.2-3563.16</v>
      </c>
      <c r="C16" s="118" t="str">
        <f>+'Necesidades Trimestrales'!E14</f>
        <v>POLIVITAMINICOS; TIPO: ASOCIACION, DROGA GENERICA: VIT.B1+B2+B5+B6+PP, PRESENTACION: ENVASE X 2 mL, FORMA FARMACEUTICA: AMPOLLA</v>
      </c>
      <c r="D16" s="118"/>
      <c r="E16" s="118"/>
      <c r="F16" s="118"/>
      <c r="G16" s="118"/>
      <c r="H16" s="40" t="s">
        <v>25</v>
      </c>
      <c r="I16" s="41" t="str">
        <f>+'Necesidades Trimestrales'!F14</f>
        <v>AMPOLLA</v>
      </c>
      <c r="J16" s="46">
        <f>+'Necesidades Trimestrales'!H14</f>
        <v>145.16</v>
      </c>
      <c r="K16" s="49">
        <f>+'Necesidades Trimestrales'!G14</f>
        <v>180</v>
      </c>
      <c r="M16" s="90"/>
      <c r="N16" s="90"/>
    </row>
    <row r="17" spans="1:14" ht="53.25" customHeight="1" thickBot="1" x14ac:dyDescent="0.3">
      <c r="A17" s="39">
        <f>+'Necesidades Trimestrales'!A15</f>
        <v>6</v>
      </c>
      <c r="B17" s="42" t="str">
        <f>+'Necesidades Trimestrales'!B15</f>
        <v>2.5.2-1861.33</v>
      </c>
      <c r="C17" s="118" t="str">
        <f>+'Necesidades Trimestrales'!E15</f>
        <v>HIPOGLUCEMIANTES INYECTABLES; TIPO: MONODROGA, DROGA GENERICA: INSULINA CTE, FORMA FARMACEUTICA: AMPOLLA, PRESENTACION: ENVASE X 10 mL</v>
      </c>
      <c r="D17" s="118"/>
      <c r="E17" s="118"/>
      <c r="F17" s="118"/>
      <c r="G17" s="118"/>
      <c r="H17" s="40" t="s">
        <v>109</v>
      </c>
      <c r="I17" s="41" t="str">
        <f>+'Necesidades Trimestrales'!F15</f>
        <v>FRASCO AMPOLLA</v>
      </c>
      <c r="J17" s="46">
        <f>+'Necesidades Trimestrales'!H15</f>
        <v>1675</v>
      </c>
      <c r="K17" s="49">
        <f>+'Necesidades Trimestrales'!G15</f>
        <v>100</v>
      </c>
      <c r="M17" s="90"/>
      <c r="N17" s="90"/>
    </row>
    <row r="18" spans="1:14" ht="52.5" customHeight="1" thickBot="1" x14ac:dyDescent="0.3">
      <c r="A18" s="39">
        <f>+'Necesidades Trimestrales'!A16</f>
        <v>7</v>
      </c>
      <c r="B18" s="42" t="str">
        <f>+'Necesidades Trimestrales'!B16</f>
        <v>2.5.2-6910.6</v>
      </c>
      <c r="C18" s="118" t="str">
        <f>+'Necesidades Trimestrales'!E16</f>
        <v>ANTIEMETICOS; TIPO: MONODROGA, DROGA GENERICA: METOCLOPRAMIDA, FORMA FARMACEUTICA: AMPOLLA, PRESENTACION: 2 mL</v>
      </c>
      <c r="D18" s="118"/>
      <c r="E18" s="118"/>
      <c r="F18" s="118"/>
      <c r="G18" s="118"/>
      <c r="H18" s="40" t="s">
        <v>25</v>
      </c>
      <c r="I18" s="41" t="str">
        <f>+'Necesidades Trimestrales'!F16</f>
        <v>AMPOLLA</v>
      </c>
      <c r="J18" s="46">
        <f>+'Necesidades Trimestrales'!H16</f>
        <v>35.799999999999997</v>
      </c>
      <c r="K18" s="49">
        <f>+'Necesidades Trimestrales'!G16</f>
        <v>1200</v>
      </c>
      <c r="M18" s="90"/>
      <c r="N18" s="90"/>
    </row>
    <row r="19" spans="1:14" ht="52.5" customHeight="1" thickBot="1" x14ac:dyDescent="0.3">
      <c r="A19" s="39">
        <f>+'Necesidades Trimestrales'!A17</f>
        <v>8</v>
      </c>
      <c r="B19" s="42" t="str">
        <f>+'Necesidades Trimestrales'!B17</f>
        <v>2.5.2-1823.46</v>
      </c>
      <c r="C19" s="118" t="str">
        <f>+'Necesidades Trimestrales'!E17</f>
        <v>ANTIMICOTICOS; TIPO: MONODROGA, DROGA GENERICA: NISTATINA 100000 UI/ML, FORMA FARMACEUTICA: SUSPENSION, PRESENTACION: ENVASE X 60 mL</v>
      </c>
      <c r="D19" s="118"/>
      <c r="E19" s="118"/>
      <c r="F19" s="118"/>
      <c r="G19" s="118"/>
      <c r="H19" s="40" t="s">
        <v>25</v>
      </c>
      <c r="I19" s="41" t="str">
        <f>+'Necesidades Trimestrales'!F17</f>
        <v>FRASCO</v>
      </c>
      <c r="J19" s="46">
        <f>+'Necesidades Trimestrales'!H17</f>
        <v>285</v>
      </c>
      <c r="K19" s="49">
        <f>+'Necesidades Trimestrales'!G17</f>
        <v>10</v>
      </c>
      <c r="M19" s="90"/>
      <c r="N19" s="90"/>
    </row>
    <row r="20" spans="1:14" ht="52.5" customHeight="1" thickBot="1" x14ac:dyDescent="0.3">
      <c r="A20" s="39">
        <f>+'Necesidades Trimestrales'!A18</f>
        <v>9</v>
      </c>
      <c r="B20" s="42" t="str">
        <f>+'Necesidades Trimestrales'!B18</f>
        <v>2.5.2-1849.3</v>
      </c>
      <c r="C20" s="118" t="str">
        <f>+'Necesidades Trimestrales'!E18</f>
        <v>ANTIULCEROSOS; TIPO: MONODROGA, DROGA GENERICA: OMEPRAZOL, FORMA FARMACEUTICA: CAPSULA, PRESENTACION: 20 mGr</v>
      </c>
      <c r="D20" s="118"/>
      <c r="E20" s="118"/>
      <c r="F20" s="118"/>
      <c r="G20" s="118"/>
      <c r="H20" s="40" t="s">
        <v>25</v>
      </c>
      <c r="I20" s="41" t="str">
        <f>+'Necesidades Trimestrales'!F18</f>
        <v>CAPSULA</v>
      </c>
      <c r="J20" s="46">
        <f>+'Necesidades Trimestrales'!H18</f>
        <v>2.2999999999999998</v>
      </c>
      <c r="K20" s="49">
        <f>+'Necesidades Trimestrales'!G18</f>
        <v>300</v>
      </c>
      <c r="M20" s="90"/>
      <c r="N20" s="90"/>
    </row>
    <row r="21" spans="1:14" ht="48" customHeight="1" thickBot="1" x14ac:dyDescent="0.3">
      <c r="A21" s="39">
        <f>+'Necesidades Trimestrales'!A19</f>
        <v>10</v>
      </c>
      <c r="B21" s="42" t="str">
        <f>+'Necesidades Trimestrales'!B19</f>
        <v>2.5.2-1849.19</v>
      </c>
      <c r="C21" s="118" t="str">
        <f>+'Necesidades Trimestrales'!E19</f>
        <v>ANTIULCEROSOS; TIPO: MONODROGA, DROGA GENERICA: OMEPRAZOL 40 mGr, FORMA FARMACEUTICA: AMPOLLA, PRESENTACION: UNIDAD</v>
      </c>
      <c r="D21" s="118"/>
      <c r="E21" s="118"/>
      <c r="F21" s="118"/>
      <c r="G21" s="118"/>
      <c r="H21" s="40" t="s">
        <v>25</v>
      </c>
      <c r="I21" s="41" t="str">
        <f>+'Necesidades Trimestrales'!F19</f>
        <v>AMPOLLA</v>
      </c>
      <c r="J21" s="46">
        <f>+'Necesidades Trimestrales'!H19</f>
        <v>550</v>
      </c>
      <c r="K21" s="49">
        <f>+'Necesidades Trimestrales'!G19</f>
        <v>20</v>
      </c>
      <c r="M21" s="90"/>
      <c r="N21" s="90"/>
    </row>
    <row r="22" spans="1:14" ht="54.75" customHeight="1" thickBot="1" x14ac:dyDescent="0.3">
      <c r="A22" s="39">
        <f>+'Necesidades Trimestrales'!A20</f>
        <v>11</v>
      </c>
      <c r="B22" s="42" t="str">
        <f>+'Necesidades Trimestrales'!B20</f>
        <v>2.5.2-6910.13</v>
      </c>
      <c r="C22" s="118" t="str">
        <f>+'Necesidades Trimestrales'!E20</f>
        <v>ANTIEMETICOS; TIPO: MONODROGA, DROGA GENERICA: ONDANSETRON X 8 mGr, FORMA FARMACEUTICA: AMPOLLA, PRESENTACION: ENVASE X 1 UN</v>
      </c>
      <c r="D22" s="118"/>
      <c r="E22" s="118"/>
      <c r="F22" s="118"/>
      <c r="G22" s="118"/>
      <c r="H22" s="40" t="s">
        <v>25</v>
      </c>
      <c r="I22" s="41" t="str">
        <f>+'Necesidades Trimestrales'!F20</f>
        <v>AMPOLLA</v>
      </c>
      <c r="J22" s="46">
        <f>+'Necesidades Trimestrales'!H20</f>
        <v>106.8</v>
      </c>
      <c r="K22" s="49">
        <f>+'Necesidades Trimestrales'!G20</f>
        <v>100</v>
      </c>
      <c r="M22" s="90"/>
      <c r="N22" s="90"/>
    </row>
    <row r="23" spans="1:14" ht="48" customHeight="1" thickBot="1" x14ac:dyDescent="0.3">
      <c r="A23" s="39">
        <f>+'Necesidades Trimestrales'!A21</f>
        <v>12</v>
      </c>
      <c r="B23" s="42" t="str">
        <f>+'Necesidades Trimestrales'!B21</f>
        <v>2.5.2-1901.127</v>
      </c>
      <c r="C23" s="118" t="str">
        <f>+'Necesidades Trimestrales'!E21</f>
        <v>VITAMINAS; TIPO: ASOCIACION, DROGA GENERICA: VIT.A +D+C, FORMA FARMACEUTICA: GOTA, PRESENTACION: 30 ML</v>
      </c>
      <c r="D23" s="118"/>
      <c r="E23" s="118"/>
      <c r="F23" s="118"/>
      <c r="G23" s="118"/>
      <c r="H23" s="40" t="s">
        <v>25</v>
      </c>
      <c r="I23" s="41" t="str">
        <f>+'Necesidades Trimestrales'!F21</f>
        <v>FRASCO</v>
      </c>
      <c r="J23" s="46">
        <f>+'Necesidades Trimestrales'!H21</f>
        <v>210</v>
      </c>
      <c r="K23" s="49">
        <f>+'Necesidades Trimestrales'!G21</f>
        <v>150</v>
      </c>
      <c r="M23" s="90"/>
      <c r="N23" s="90"/>
    </row>
    <row r="24" spans="1:14" ht="50.25" customHeight="1" thickBot="1" x14ac:dyDescent="0.3">
      <c r="A24" s="39">
        <f>+'Necesidades Trimestrales'!A22</f>
        <v>13</v>
      </c>
      <c r="B24" s="42" t="str">
        <f>+'Necesidades Trimestrales'!B22</f>
        <v>2.5.2-1841.17</v>
      </c>
      <c r="C24" s="118" t="str">
        <f>+'Necesidades Trimestrales'!E22</f>
        <v>ANTIACIDOS; TIPO: MONODROGA, DROGA GENERICA: RANITIDINA, FORMA FARMACEUTICA: AMPOLLA, PRESENTACION: UNIDAD</v>
      </c>
      <c r="D24" s="118"/>
      <c r="E24" s="118"/>
      <c r="F24" s="118"/>
      <c r="G24" s="118"/>
      <c r="H24" s="40" t="s">
        <v>25</v>
      </c>
      <c r="I24" s="41" t="str">
        <f>+'Necesidades Trimestrales'!F22</f>
        <v>AMPOLLA</v>
      </c>
      <c r="J24" s="46">
        <f>+'Necesidades Trimestrales'!H22</f>
        <v>47.5</v>
      </c>
      <c r="K24" s="49">
        <f>+'Necesidades Trimestrales'!G22</f>
        <v>3600</v>
      </c>
      <c r="M24" s="90"/>
      <c r="N24" s="90"/>
    </row>
    <row r="25" spans="1:14" ht="43.5" customHeight="1" thickBot="1" x14ac:dyDescent="0.3">
      <c r="A25" s="39">
        <f>+'Necesidades Trimestrales'!A23</f>
        <v>14</v>
      </c>
      <c r="B25" s="42" t="str">
        <f>+'Necesidades Trimestrales'!B23</f>
        <v>2.5.2-5520.5</v>
      </c>
      <c r="C25" s="118" t="str">
        <f>+'Necesidades Trimestrales'!E23</f>
        <v>VASELINA; TIPO: LIQUIDA, PRESENTACION: ENVASE X 1000 mL</v>
      </c>
      <c r="D25" s="118"/>
      <c r="E25" s="118"/>
      <c r="F25" s="118"/>
      <c r="G25" s="118"/>
      <c r="H25" s="40" t="s">
        <v>25</v>
      </c>
      <c r="I25" s="41" t="str">
        <f>+'Necesidades Trimestrales'!F23</f>
        <v>FRASCO</v>
      </c>
      <c r="J25" s="46">
        <f>+'Necesidades Trimestrales'!H23</f>
        <v>980</v>
      </c>
      <c r="K25" s="49">
        <f>+'Necesidades Trimestrales'!G23</f>
        <v>30</v>
      </c>
      <c r="M25" s="90"/>
      <c r="N25" s="90"/>
    </row>
    <row r="26" spans="1:14" ht="43.5" customHeight="1" x14ac:dyDescent="0.25">
      <c r="A26" s="39">
        <f>+'Necesidades Trimestrales'!A24</f>
        <v>15</v>
      </c>
      <c r="B26" s="42" t="str">
        <f>+'Necesidades Trimestrales'!B24</f>
        <v>2.5.2-1901.130</v>
      </c>
      <c r="C26" s="118" t="str">
        <f>+'Necesidades Trimestrales'!E24</f>
        <v>VITAMINAS; TIPO: MONODROGA, DROGA GENERICA: VITAMINA D3 2000 UI/ML, FORMA FARMACEUTICA: SOLUCION, PRESENTACION: 2 ML</v>
      </c>
      <c r="D26" s="118"/>
      <c r="E26" s="118"/>
      <c r="F26" s="118"/>
      <c r="G26" s="118"/>
      <c r="H26" s="40" t="s">
        <v>25</v>
      </c>
      <c r="I26" s="41" t="str">
        <f>+'Necesidades Trimestrales'!F24</f>
        <v>FRASCO</v>
      </c>
      <c r="J26" s="46">
        <f>+'Necesidades Trimestrales'!H24</f>
        <v>958</v>
      </c>
      <c r="K26" s="49">
        <f>+'Necesidades Trimestrales'!G24</f>
        <v>10</v>
      </c>
      <c r="M26" s="90"/>
      <c r="N26" s="90"/>
    </row>
    <row r="27" spans="1:14" ht="41.25" customHeight="1" thickBot="1" x14ac:dyDescent="0.25">
      <c r="A27" s="120" t="s">
        <v>112</v>
      </c>
      <c r="B27" s="121"/>
      <c r="C27" s="121"/>
      <c r="D27" s="121"/>
      <c r="E27" s="121"/>
      <c r="F27" s="121"/>
      <c r="G27" s="121"/>
      <c r="H27" s="121"/>
      <c r="I27" s="122"/>
      <c r="J27" s="123">
        <f>SUMPRODUCT(J12:J26*K12:K26)</f>
        <v>700758.8</v>
      </c>
      <c r="K27" s="124"/>
    </row>
    <row r="28" spans="1:14" ht="12.75" customHeight="1" x14ac:dyDescent="0.2"/>
    <row r="30" spans="1:14" ht="12.75" customHeight="1" x14ac:dyDescent="0.2">
      <c r="J30" s="119"/>
      <c r="K30" s="119"/>
    </row>
    <row r="31" spans="1:14" ht="12.75" customHeight="1" x14ac:dyDescent="0.2">
      <c r="D31" s="44"/>
      <c r="E31" s="44"/>
      <c r="F31" s="44"/>
      <c r="G31" s="44"/>
      <c r="H31" s="44"/>
      <c r="I31" s="44"/>
    </row>
    <row r="32" spans="1:14" ht="15" x14ac:dyDescent="0.2">
      <c r="D32" s="44"/>
      <c r="E32" s="44"/>
      <c r="F32" s="44"/>
      <c r="G32" s="44"/>
      <c r="H32" s="44"/>
      <c r="I32" s="44"/>
    </row>
    <row r="33" spans="4:9" ht="30" customHeight="1" x14ac:dyDescent="0.2">
      <c r="D33" s="44"/>
      <c r="E33" s="44"/>
      <c r="F33" s="44"/>
      <c r="G33" s="44"/>
      <c r="H33" s="44"/>
      <c r="I33" s="44"/>
    </row>
    <row r="34" spans="4:9" ht="15" customHeight="1" x14ac:dyDescent="0.2">
      <c r="D34" s="45"/>
      <c r="E34" s="44"/>
      <c r="F34" s="44"/>
      <c r="G34" s="44"/>
      <c r="H34" s="44"/>
      <c r="I34" s="44"/>
    </row>
  </sheetData>
  <mergeCells count="3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30:K30"/>
    <mergeCell ref="A27:I27"/>
    <mergeCell ref="J27:K27"/>
    <mergeCell ref="C14:G14"/>
    <mergeCell ref="C22:G22"/>
    <mergeCell ref="C23:G23"/>
    <mergeCell ref="C24:G24"/>
    <mergeCell ref="C25:G25"/>
    <mergeCell ref="C26:G26"/>
    <mergeCell ref="C13:G13"/>
    <mergeCell ref="C20:G20"/>
    <mergeCell ref="C21:G21"/>
    <mergeCell ref="C15:G15"/>
    <mergeCell ref="C16:G16"/>
    <mergeCell ref="C19:G19"/>
    <mergeCell ref="C18:G18"/>
    <mergeCell ref="C17:G17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selection activeCell="S12" sqref="S1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0" t="s">
        <v>3</v>
      </c>
      <c r="B1" s="150"/>
      <c r="C1" s="150"/>
      <c r="D1" s="151">
        <v>2022</v>
      </c>
      <c r="E1" s="151"/>
      <c r="F1" s="4"/>
      <c r="G1" s="4"/>
      <c r="H1" s="5"/>
      <c r="I1" s="5"/>
      <c r="J1" s="5"/>
      <c r="K1" s="5"/>
      <c r="L1" s="5"/>
      <c r="M1" s="5"/>
      <c r="N1" s="5"/>
      <c r="P1" s="152" t="s">
        <v>26</v>
      </c>
      <c r="Q1" s="152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2"/>
      <c r="Q2" s="152"/>
    </row>
    <row r="4" spans="1:17" s="6" customFormat="1" ht="18" customHeight="1" thickBot="1" x14ac:dyDescent="0.25">
      <c r="A4" s="153" t="s">
        <v>27</v>
      </c>
      <c r="B4" s="153"/>
      <c r="C4" s="153"/>
      <c r="D4" s="153"/>
      <c r="E4" s="153"/>
      <c r="F4" s="153"/>
      <c r="G4" s="154" t="str">
        <f>' NotaPedido'!D3</f>
        <v>40- Ministerio de Salud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spans="1:17" s="6" customFormat="1" ht="18" customHeight="1" thickBot="1" x14ac:dyDescent="0.25">
      <c r="A5" s="158" t="s">
        <v>13</v>
      </c>
      <c r="B5" s="159"/>
      <c r="C5" s="159"/>
      <c r="D5" s="159"/>
      <c r="E5" s="159"/>
      <c r="F5" s="160"/>
      <c r="G5" s="154" t="str">
        <f>' NotaPedido'!D4</f>
        <v>28- Maternidad Provincial 25 de Mayo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7" s="6" customFormat="1" ht="18" customHeight="1" thickBot="1" x14ac:dyDescent="0.25">
      <c r="A6" s="158" t="s">
        <v>14</v>
      </c>
      <c r="B6" s="159"/>
      <c r="C6" s="159"/>
      <c r="D6" s="159"/>
      <c r="E6" s="159"/>
      <c r="F6" s="160"/>
      <c r="G6" s="154" t="str">
        <f>' NotaPedido'!D5</f>
        <v xml:space="preserve">169- Direccion Asistencial 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7" s="6" customFormat="1" ht="18" customHeight="1" thickBot="1" x14ac:dyDescent="0.25">
      <c r="A7" s="158" t="s">
        <v>15</v>
      </c>
      <c r="B7" s="159"/>
      <c r="C7" s="159"/>
      <c r="D7" s="159"/>
      <c r="E7" s="159"/>
      <c r="F7" s="160"/>
      <c r="G7" s="154" t="str">
        <f>' NotaPedido'!D6</f>
        <v xml:space="preserve">Servicio de Farmacia 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7" ht="18" customHeight="1" thickBot="1" x14ac:dyDescent="0.25">
      <c r="A8" s="161" t="s">
        <v>28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2">
      <c r="A9" s="155" t="s">
        <v>29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"/>
      <c r="P9" s="1"/>
      <c r="Q9" s="7"/>
    </row>
    <row r="10" spans="1:17" ht="54.75" customHeight="1" x14ac:dyDescent="0.2">
      <c r="A10" s="156" t="s">
        <v>110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7" t="s">
        <v>30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thickBot="1" x14ac:dyDescent="0.25">
      <c r="A13" s="137" t="s">
        <v>31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32</v>
      </c>
      <c r="P13" s="138"/>
      <c r="Q13" s="139" t="s">
        <v>33</v>
      </c>
    </row>
    <row r="14" spans="1:17" ht="15.75" customHeight="1" thickBot="1" x14ac:dyDescent="0.25">
      <c r="A14" s="12" t="s">
        <v>34</v>
      </c>
      <c r="B14" s="13" t="s">
        <v>35</v>
      </c>
      <c r="C14" s="13" t="s">
        <v>36</v>
      </c>
      <c r="D14" s="13" t="s">
        <v>37</v>
      </c>
      <c r="E14" s="13" t="s">
        <v>38</v>
      </c>
      <c r="F14" s="13" t="s">
        <v>39</v>
      </c>
      <c r="G14" s="14" t="s">
        <v>40</v>
      </c>
      <c r="H14" s="13" t="s">
        <v>41</v>
      </c>
      <c r="I14" s="13" t="s">
        <v>42</v>
      </c>
      <c r="J14" s="13" t="s">
        <v>43</v>
      </c>
      <c r="K14" s="13" t="s">
        <v>43</v>
      </c>
      <c r="L14" s="13" t="s">
        <v>44</v>
      </c>
      <c r="M14" s="15" t="s">
        <v>45</v>
      </c>
      <c r="N14" s="16" t="s">
        <v>46</v>
      </c>
      <c r="O14" s="138"/>
      <c r="P14" s="138"/>
      <c r="Q14" s="139"/>
    </row>
    <row r="15" spans="1:17" ht="27" customHeight="1" thickBot="1" x14ac:dyDescent="0.25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0">
        <v>1</v>
      </c>
      <c r="I15" s="20">
        <v>2</v>
      </c>
      <c r="J15" s="20">
        <v>5</v>
      </c>
      <c r="K15" s="20">
        <v>2</v>
      </c>
      <c r="L15" s="20"/>
      <c r="M15" s="21">
        <v>1</v>
      </c>
      <c r="N15" s="20" t="s">
        <v>47</v>
      </c>
      <c r="O15" s="140" t="s">
        <v>111</v>
      </c>
      <c r="P15" s="141"/>
      <c r="Q15" s="23">
        <v>700758.8</v>
      </c>
    </row>
    <row r="16" spans="1:17" ht="28.5" customHeight="1" thickBo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0"/>
      <c r="O16" s="140"/>
      <c r="P16" s="141"/>
      <c r="Q16" s="23"/>
    </row>
    <row r="17" spans="1:17" ht="28.5" customHeight="1" x14ac:dyDescent="0.2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0"/>
      <c r="O17" s="140"/>
      <c r="P17" s="141"/>
      <c r="Q17" s="23"/>
    </row>
    <row r="18" spans="1:17" ht="31.5" customHeight="1" thickBot="1" x14ac:dyDescent="0.25">
      <c r="A18" s="143" t="s">
        <v>113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7">
        <f>SUM(Q15:Q17)</f>
        <v>700758.8</v>
      </c>
    </row>
    <row r="19" spans="1:17" ht="18" customHeight="1" thickBot="1" x14ac:dyDescent="0.25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</row>
    <row r="20" spans="1:17" ht="17.25" customHeight="1" thickBot="1" x14ac:dyDescent="0.25">
      <c r="A20" s="146" t="s">
        <v>48</v>
      </c>
      <c r="B20" s="147"/>
      <c r="C20" s="147"/>
      <c r="D20" s="147"/>
      <c r="E20" s="147"/>
      <c r="F20" s="148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</row>
    <row r="21" spans="1:17" ht="18" customHeight="1" thickBot="1" x14ac:dyDescent="0.25">
      <c r="A21" s="142" t="s">
        <v>66</v>
      </c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</row>
    <row r="22" spans="1:17" ht="39.75" customHeight="1" thickBot="1" x14ac:dyDescent="0.25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2022-07-05T16:02:22Z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