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COMPRAS\Downloads\"/>
    </mc:Choice>
  </mc:AlternateContent>
  <xr:revisionPtr revIDLastSave="0" documentId="8_{4A100B70-DE8A-4D43-9606-BE7F1F04A3C7}" xr6:coauthVersionLast="46" xr6:coauthVersionMax="46" xr10:uidLastSave="{00000000-0000-0000-0000-000000000000}"/>
  <bookViews>
    <workbookView xWindow="-120" yWindow="-120" windowWidth="29040" windowHeight="15840" xr2:uid="{3CF3A369-8ADC-4DBC-AAF8-C97319F3BC7D}"/>
  </bookViews>
  <sheets>
    <sheet name="HSJB"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 r="I11" i="1"/>
  <c r="I12" i="1"/>
  <c r="I13" i="1"/>
  <c r="I14" i="1"/>
  <c r="I15" i="1"/>
  <c r="I16" i="1"/>
  <c r="I17" i="1"/>
  <c r="I18" i="1"/>
  <c r="I19" i="1"/>
  <c r="I20" i="1"/>
  <c r="I21" i="1"/>
  <c r="I22" i="1"/>
  <c r="I23" i="1"/>
  <c r="I24" i="1"/>
  <c r="I25" i="1"/>
  <c r="I26" i="1"/>
  <c r="I27" i="1"/>
  <c r="I28" i="1"/>
  <c r="A2" i="1" l="1"/>
</calcChain>
</file>

<file path=xl/sharedStrings.xml><?xml version="1.0" encoding="utf-8"?>
<sst xmlns="http://schemas.openxmlformats.org/spreadsheetml/2006/main" count="101" uniqueCount="47">
  <si>
    <t>Garantia</t>
  </si>
  <si>
    <t xml:space="preserve">45 dias habiles </t>
  </si>
  <si>
    <t>Mantenimiento</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</si>
  <si>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</si>
  <si>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Calidad Minima esperada</t>
  </si>
  <si>
    <t>10 dias - Servicio de Farmacia del HISJB - Avda. Illia y Mariano Moreno</t>
  </si>
  <si>
    <t>Plazos y lugares de entrega</t>
  </si>
  <si>
    <t>Descripción técnica</t>
  </si>
  <si>
    <t>Especificidades Item N° 1:</t>
  </si>
  <si>
    <t>UNIDAD</t>
  </si>
  <si>
    <t>TUBO ENDOTRAQUEAL CON BALON Nº 81/2</t>
  </si>
  <si>
    <t>2.9.5</t>
  </si>
  <si>
    <t>Ut. Menores Med. Quirurg. Y de Laboratorio</t>
  </si>
  <si>
    <t>TUBO ENDOTRAQUEAL CON BALON Nº 71/2</t>
  </si>
  <si>
    <t>SONDA PARA INTUBACION GASTRICA K11</t>
  </si>
  <si>
    <t>SONDA PARA INTUBACION GASTRICA K10</t>
  </si>
  <si>
    <t>SONDA PARA ASPIRACION MUCUS  K32P CON REGULADOR</t>
  </si>
  <si>
    <t>SONDA FOLEY DOBLE VIA DE LATEX RECUBIERTA CON SILICONA Nº 18</t>
  </si>
  <si>
    <t>SONDA FOLEY DOBLE VIA DE LATEX RECUBIERTA CON SILICONA  Nº 16</t>
  </si>
  <si>
    <t>REGULADOR DE FLUJO TIPO T/2763</t>
  </si>
  <si>
    <t>MASCARA CON BOLSA RESERVORIO</t>
  </si>
  <si>
    <t>LLAVE DE TRES VIAS</t>
  </si>
  <si>
    <t>EQUIPO PARA ADMINISTRACION DE SOLUCIONES  MACROGOTERO TIPO V-14 CON ROLLER (Perfus 1)</t>
  </si>
  <si>
    <t>EQ.P/ADM.SOL.FOTOSENCIBLES C/MACRO</t>
  </si>
  <si>
    <t>EQ.P/ADM.SANGRE O PLASMA V-18-20 (T/PERFUS Nº4)</t>
  </si>
  <si>
    <t>CANULA NASAL PARA OXIGENOTERAPIA ADULTO</t>
  </si>
  <si>
    <t>BUTERFLY Nº 21</t>
  </si>
  <si>
    <t>BUTERFLY Nº 19</t>
  </si>
  <si>
    <t>BOLSA COLECTORA DE ORINA x 2000 ml</t>
  </si>
  <si>
    <t>AGUJA PARA FISTULA Nº 16</t>
  </si>
  <si>
    <t>AGUJA PARA FISTULA N° 17</t>
  </si>
  <si>
    <t xml:space="preserve">IMPORTE TOTAL ESTIMADO </t>
  </si>
  <si>
    <t>PRECIO UNITARIO ESTIMADO</t>
  </si>
  <si>
    <t>CANTIDAD</t>
  </si>
  <si>
    <t>UNIDAD DE MEDIDA</t>
  </si>
  <si>
    <t>DESCRIPCION</t>
  </si>
  <si>
    <t xml:space="preserve">I.P.P. </t>
  </si>
  <si>
    <t>RUBRO DE COMPRA</t>
  </si>
  <si>
    <t>CODIGO ITEM</t>
  </si>
  <si>
    <t>ID</t>
  </si>
  <si>
    <t>TRIMESTRE:</t>
  </si>
  <si>
    <t>EJERCICIO:</t>
  </si>
  <si>
    <t>23 - Hospital Interzonal San Juan Bautista</t>
  </si>
  <si>
    <t xml:space="preserve">SAF N°: </t>
  </si>
  <si>
    <t>40 - Ministerio de Salud</t>
  </si>
  <si>
    <t>JURISDICCION:</t>
  </si>
  <si>
    <t>Pedido de Necesidades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</si>
</sst>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quot;$&quot;\ #,##0.00"/>
    <numFmt numFmtId="165" formatCode="[$$-2C0A]\ #,##0.00;[$$-2C0A]&quot; -&quot;#,##0.00"/>
  </numFmts>
  <fonts count="12" x14ac:knownFonts="1">
    <font>
      <sz val="11"/>
      <color theme="1"/>
      <name val="Calibri"/>
      <family val="2"/>
      <scheme val="minor"/>
    </font>
    <font>
      <sz val="11"/>
      <color theme="1"/>
      <name val="Calibri"/>
      <family val="2"/>
      <scheme val="minor"/>
    </font>
    <font>
      <sz val="10"/>
      <name val="Times New Roman"/>
      <family val="1"/>
    </font>
    <font>
      <u/>
      <sz val="10"/>
      <name val="Times New Roman"/>
      <family val="1"/>
    </font>
    <font>
      <sz val="9"/>
      <name val="Times New Roman"/>
      <family val="1"/>
    </font>
    <font>
      <sz val="10"/>
      <color theme="1"/>
      <name val="Arial"/>
      <family val="2"/>
    </font>
    <font>
      <sz val="9"/>
      <color rgb="FF000000"/>
      <name val="Times New Roman"/>
      <family val="1"/>
    </font>
    <font>
      <b/>
      <sz val="10"/>
      <color rgb="FF000000"/>
      <name val="Times New Roman"/>
      <family val="1"/>
    </font>
    <font>
      <sz val="10"/>
      <color rgb="FF000000"/>
      <name val="Times New Roman"/>
      <family val="1"/>
    </font>
    <font>
      <b/>
      <sz val="12"/>
      <color rgb="FF000000"/>
      <name val="Times New Roman"/>
      <family val="1"/>
    </font>
    <font>
      <b/>
      <sz val="11"/>
      <color rgb="FF000000"/>
      <name val="Times New Roman"/>
      <family val="1"/>
    </font>
    <font>
      <b/>
      <sz val="22"/>
      <name val="Times New Roman"/>
      <family val="1"/>
    </font>
  </fonts>
  <fills count="5">
    <fill>
      <patternFill patternType="none"/>
    </fill>
    <fill>
      <patternFill patternType="gray125"/>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10">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2" fillId="0" borderId="0" xfId="0" applyFont="1"/>
    <xf numFmtId="0" fontId="2" fillId="0" borderId="1" xfId="0" applyFont="1" applyBorder="1"/>
    <xf numFmtId="0" fontId="2" fillId="0" borderId="2" xfId="0" applyFont="1" applyBorder="1"/>
    <xf numFmtId="0" fontId="2" fillId="0" borderId="3" xfId="0" applyFont="1" applyBorder="1" applyAlignment="1">
      <alignment horizontal="left" indent="3"/>
    </xf>
    <xf numFmtId="0" fontId="2" fillId="2" borderId="4" xfId="0" applyFont="1" applyFill="1" applyBorder="1" applyAlignment="1">
      <alignment horizontal="center"/>
    </xf>
    <xf numFmtId="0" fontId="3" fillId="0" borderId="5" xfId="0" applyFont="1" applyBorder="1" applyAlignment="1">
      <alignment horizontal="left" indent="3"/>
    </xf>
    <xf numFmtId="0" fontId="2" fillId="0" borderId="4" xfId="0" applyFont="1" applyBorder="1"/>
    <xf numFmtId="0" fontId="2" fillId="3" borderId="4" xfId="0" applyFont="1" applyFill="1" applyBorder="1" applyAlignment="1">
      <alignment horizontal="left" wrapText="1"/>
    </xf>
    <xf numFmtId="0" fontId="2" fillId="0" borderId="5" xfId="0" applyFont="1" applyBorder="1" applyAlignment="1">
      <alignment horizontal="left" indent="3"/>
    </xf>
    <xf numFmtId="0" fontId="2" fillId="0" borderId="4" xfId="0" applyFont="1" applyBorder="1" applyAlignment="1">
      <alignment horizontal="center" wrapText="1"/>
    </xf>
    <xf numFmtId="0" fontId="2" fillId="0" borderId="0" xfId="0" applyFont="1" applyAlignment="1">
      <alignment horizontal="center" wrapText="1"/>
    </xf>
    <xf numFmtId="0" fontId="2" fillId="2" borderId="4" xfId="0" applyFont="1" applyFill="1" applyBorder="1" applyAlignment="1">
      <alignment horizontal="center" wrapText="1"/>
    </xf>
    <xf numFmtId="0" fontId="2" fillId="3" borderId="4" xfId="0" applyFont="1" applyFill="1" applyBorder="1" applyAlignment="1">
      <alignment horizontal="center"/>
    </xf>
    <xf numFmtId="0" fontId="2" fillId="3" borderId="4" xfId="0" applyFont="1" applyFill="1" applyBorder="1" applyAlignment="1">
      <alignment horizontal="left"/>
    </xf>
    <xf numFmtId="0" fontId="2" fillId="0" borderId="5" xfId="0" applyFont="1" applyBorder="1"/>
    <xf numFmtId="0" fontId="2" fillId="0" borderId="6" xfId="0" applyFont="1" applyBorder="1"/>
    <xf numFmtId="0" fontId="2" fillId="0" borderId="7" xfId="0" applyFont="1" applyBorder="1"/>
    <xf numFmtId="0" fontId="3" fillId="0" borderId="8" xfId="0" applyFont="1" applyBorder="1"/>
    <xf numFmtId="164" fontId="0" fillId="0" borderId="0" xfId="0" applyNumberFormat="1"/>
    <xf numFmtId="165" fontId="4" fillId="3" borderId="9" xfId="1" applyNumberFormat="1" applyFont="1" applyFill="1" applyBorder="1" applyAlignment="1" applyProtection="1">
      <alignment horizontal="right" vertical="center" wrapText="1"/>
    </xf>
    <xf numFmtId="164" fontId="5" fillId="4" borderId="9" xfId="0" applyNumberFormat="1" applyFont="1" applyFill="1" applyBorder="1" applyAlignment="1">
      <alignment horizontal="center" vertical="center"/>
    </xf>
    <xf numFmtId="0" fontId="5" fillId="4" borderId="9" xfId="0" applyFont="1" applyFill="1" applyBorder="1" applyAlignment="1">
      <alignment horizontal="center" vertical="center"/>
    </xf>
    <xf numFmtId="0" fontId="6" fillId="3" borderId="9" xfId="0" applyFont="1" applyFill="1" applyBorder="1" applyAlignment="1">
      <alignment horizontal="center" vertical="center" wrapText="1"/>
    </xf>
    <xf numFmtId="0" fontId="5" fillId="4" borderId="9" xfId="0" applyFont="1" applyFill="1" applyBorder="1" applyAlignment="1">
      <alignment vertical="center"/>
    </xf>
    <xf numFmtId="0" fontId="6" fillId="0" borderId="9" xfId="0" applyFont="1" applyBorder="1" applyAlignment="1">
      <alignment horizontal="center" vertical="center" wrapText="1"/>
    </xf>
    <xf numFmtId="0" fontId="6" fillId="0" borderId="9" xfId="0" applyFont="1" applyBorder="1" applyAlignment="1">
      <alignment horizontal="left" vertical="center" wrapText="1"/>
    </xf>
    <xf numFmtId="0" fontId="4" fillId="0" borderId="9" xfId="0" applyFont="1" applyBorder="1" applyAlignment="1">
      <alignment horizontal="center" vertical="center"/>
    </xf>
    <xf numFmtId="0" fontId="5" fillId="4" borderId="9" xfId="0" applyFont="1" applyFill="1" applyBorder="1" applyAlignment="1">
      <alignment vertical="center" wrapText="1"/>
    </xf>
    <xf numFmtId="0" fontId="7" fillId="0" borderId="9" xfId="0" applyFont="1" applyBorder="1" applyAlignment="1">
      <alignment horizontal="center" vertical="center" wrapText="1"/>
    </xf>
    <xf numFmtId="0" fontId="8" fillId="0" borderId="0" xfId="0" applyFont="1" applyAlignment="1">
      <alignment horizontal="left" wrapText="1"/>
    </xf>
    <xf numFmtId="0" fontId="8" fillId="0" borderId="0" xfId="0" applyFont="1" applyAlignment="1">
      <alignment horizontal="center" wrapText="1"/>
    </xf>
    <xf numFmtId="0" fontId="7" fillId="4" borderId="0" xfId="0" applyFont="1" applyFill="1" applyAlignment="1">
      <alignment horizontal="left" wrapText="1"/>
    </xf>
    <xf numFmtId="0" fontId="9" fillId="3" borderId="0" xfId="0" applyFont="1" applyFill="1" applyAlignment="1">
      <alignment horizontal="left" wrapText="1" indent="1"/>
    </xf>
    <xf numFmtId="0" fontId="10" fillId="0" borderId="0" xfId="0" applyFont="1" applyAlignment="1">
      <alignment horizontal="left" vertical="center" wrapText="1"/>
    </xf>
    <xf numFmtId="0" fontId="9" fillId="3" borderId="0" xfId="0" applyFont="1" applyFill="1" applyAlignment="1">
      <alignment horizontal="left" wrapText="1" indent="1"/>
    </xf>
    <xf numFmtId="0" fontId="11" fillId="0" borderId="0" xfId="0" applyFont="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20A5-17AD-4F24-982F-B63A63CEFD84}">
  <dimension ref="A1:K48"/>
  <sheetViews>
    <sheetView tabSelected="1" workbookViewId="0">
      <selection activeCell="G10" sqref="G10:G31"/>
    </sheetView>
  </sheetViews>
  <sheetFormatPr baseColWidth="10" defaultRowHeight="15" x14ac:dyDescent="0.25"/>
  <cols>
    <col min="1" max="1" width="4.5703125" customWidth="1"/>
    <col min="2" max="2" width="12.85546875" customWidth="1"/>
    <col min="3" max="3" width="32.42578125" customWidth="1"/>
    <col min="4" max="4" width="8.42578125" customWidth="1"/>
    <col min="5" max="5" width="79" customWidth="1"/>
    <col min="7" max="7" width="12.7109375" customWidth="1"/>
    <col min="8" max="8" width="13.85546875" customWidth="1"/>
    <col min="9" max="9" width="18.5703125" customWidth="1"/>
  </cols>
  <sheetData>
    <row r="1" spans="1:11" x14ac:dyDescent="0.25">
      <c r="A1" s="1"/>
      <c r="B1" s="1"/>
      <c r="C1" s="1"/>
      <c r="D1" s="1"/>
      <c r="E1" s="1"/>
      <c r="F1" s="1"/>
      <c r="G1" s="1"/>
      <c r="H1" s="1"/>
      <c r="I1" s="1"/>
    </row>
    <row r="2" spans="1:11" ht="27" x14ac:dyDescent="0.35">
      <c r="A2" s="1">
        <f ca="1">A2:J54</f>
        <v>0</v>
      </c>
      <c r="B2" s="36" t="s">
        <v>46</v>
      </c>
      <c r="C2" s="36"/>
      <c r="D2" s="36"/>
      <c r="E2" s="36"/>
      <c r="F2" s="36"/>
      <c r="G2" s="36"/>
      <c r="H2" s="36"/>
      <c r="I2" s="1"/>
    </row>
    <row r="3" spans="1:11" x14ac:dyDescent="0.25">
      <c r="A3" s="1"/>
      <c r="B3" s="1"/>
      <c r="C3" s="1"/>
      <c r="D3" s="1"/>
      <c r="E3" s="1"/>
      <c r="F3" s="1"/>
      <c r="G3" s="1"/>
      <c r="H3" s="1"/>
      <c r="I3" s="1"/>
    </row>
    <row r="4" spans="1:11" ht="15.75" x14ac:dyDescent="0.25">
      <c r="A4" s="34" t="s">
        <v>45</v>
      </c>
      <c r="B4" s="34"/>
      <c r="C4" s="35" t="s">
        <v>44</v>
      </c>
      <c r="D4" s="35"/>
      <c r="E4" s="35"/>
      <c r="F4" s="30"/>
      <c r="G4" s="31"/>
      <c r="H4" s="30"/>
      <c r="I4" s="1"/>
    </row>
    <row r="5" spans="1:11" ht="15.75" x14ac:dyDescent="0.25">
      <c r="A5" s="34" t="s">
        <v>43</v>
      </c>
      <c r="B5" s="34"/>
      <c r="C5" s="35" t="s">
        <v>42</v>
      </c>
      <c r="D5" s="35"/>
      <c r="E5" s="35"/>
      <c r="F5" s="30"/>
      <c r="G5" s="31"/>
      <c r="H5" s="30"/>
      <c r="I5" s="1"/>
    </row>
    <row r="6" spans="1:11" ht="15.75" x14ac:dyDescent="0.25">
      <c r="A6" s="34" t="s">
        <v>41</v>
      </c>
      <c r="B6" s="34"/>
      <c r="C6" s="33">
        <v>2021</v>
      </c>
      <c r="D6" s="32"/>
      <c r="E6" s="32"/>
      <c r="F6" s="30"/>
      <c r="G6" s="31"/>
      <c r="H6" s="30"/>
      <c r="I6" s="1"/>
    </row>
    <row r="7" spans="1:11" ht="15.75" x14ac:dyDescent="0.25">
      <c r="A7" s="34" t="s">
        <v>40</v>
      </c>
      <c r="B7" s="34"/>
      <c r="C7" s="33">
        <v>2</v>
      </c>
      <c r="D7" s="32"/>
      <c r="E7" s="32"/>
      <c r="F7" s="30"/>
      <c r="G7" s="31"/>
      <c r="H7" s="30"/>
      <c r="I7" s="1"/>
    </row>
    <row r="8" spans="1:11" ht="15.75" thickBot="1" x14ac:dyDescent="0.3">
      <c r="A8" s="1"/>
      <c r="B8" s="30"/>
      <c r="C8" s="31"/>
      <c r="D8" s="30"/>
      <c r="E8" s="30"/>
      <c r="F8" s="30"/>
      <c r="G8" s="31"/>
      <c r="H8" s="30"/>
      <c r="I8" s="1"/>
    </row>
    <row r="9" spans="1:11" ht="39" thickBot="1" x14ac:dyDescent="0.3">
      <c r="A9" s="29" t="s">
        <v>39</v>
      </c>
      <c r="B9" s="29" t="s">
        <v>38</v>
      </c>
      <c r="C9" s="29" t="s">
        <v>37</v>
      </c>
      <c r="D9" s="29" t="s">
        <v>36</v>
      </c>
      <c r="E9" s="29" t="s">
        <v>35</v>
      </c>
      <c r="F9" s="29" t="s">
        <v>34</v>
      </c>
      <c r="G9" s="29" t="s">
        <v>33</v>
      </c>
      <c r="H9" s="29" t="s">
        <v>32</v>
      </c>
      <c r="I9" s="29" t="s">
        <v>31</v>
      </c>
    </row>
    <row r="10" spans="1:11" ht="24.75" thickBot="1" x14ac:dyDescent="0.3">
      <c r="A10" s="27">
        <v>1</v>
      </c>
      <c r="B10" s="23"/>
      <c r="C10" s="26" t="s">
        <v>12</v>
      </c>
      <c r="D10" s="25" t="s">
        <v>11</v>
      </c>
      <c r="E10" s="24" t="s">
        <v>30</v>
      </c>
      <c r="F10" s="23" t="s">
        <v>9</v>
      </c>
      <c r="G10" s="22">
        <v>8000</v>
      </c>
      <c r="H10" s="21">
        <v>41.8</v>
      </c>
      <c r="I10" s="20">
        <f>G10*H10</f>
        <v>334400</v>
      </c>
      <c r="K10" s="19"/>
    </row>
    <row r="11" spans="1:11" ht="24.75" thickBot="1" x14ac:dyDescent="0.3">
      <c r="A11" s="27">
        <v>2</v>
      </c>
      <c r="B11" s="23"/>
      <c r="C11" s="26" t="s">
        <v>12</v>
      </c>
      <c r="D11" s="25" t="s">
        <v>11</v>
      </c>
      <c r="E11" s="24" t="s">
        <v>29</v>
      </c>
      <c r="F11" s="23" t="s">
        <v>9</v>
      </c>
      <c r="G11" s="22">
        <v>15000</v>
      </c>
      <c r="H11" s="21">
        <v>41.8</v>
      </c>
      <c r="I11" s="20">
        <f>G11*H11</f>
        <v>627000</v>
      </c>
      <c r="K11" s="19"/>
    </row>
    <row r="12" spans="1:11" ht="24.75" thickBot="1" x14ac:dyDescent="0.3">
      <c r="A12" s="27">
        <v>3</v>
      </c>
      <c r="B12" s="23"/>
      <c r="C12" s="26" t="s">
        <v>12</v>
      </c>
      <c r="D12" s="25" t="s">
        <v>11</v>
      </c>
      <c r="E12" s="24" t="s">
        <v>28</v>
      </c>
      <c r="F12" s="23" t="s">
        <v>9</v>
      </c>
      <c r="G12" s="22">
        <v>5000</v>
      </c>
      <c r="H12" s="21">
        <v>270</v>
      </c>
      <c r="I12" s="20">
        <f>G12*H12</f>
        <v>1350000</v>
      </c>
      <c r="K12" s="19"/>
    </row>
    <row r="13" spans="1:11" ht="24.75" thickBot="1" x14ac:dyDescent="0.3">
      <c r="A13" s="27">
        <v>4</v>
      </c>
      <c r="B13" s="23"/>
      <c r="C13" s="26" t="s">
        <v>12</v>
      </c>
      <c r="D13" s="25" t="s">
        <v>11</v>
      </c>
      <c r="E13" s="24" t="s">
        <v>27</v>
      </c>
      <c r="F13" s="23" t="s">
        <v>9</v>
      </c>
      <c r="G13" s="22">
        <v>1200</v>
      </c>
      <c r="H13" s="21">
        <v>4.1900000000000004</v>
      </c>
      <c r="I13" s="20">
        <f>G13*H13</f>
        <v>5028.0000000000009</v>
      </c>
      <c r="K13" s="19"/>
    </row>
    <row r="14" spans="1:11" ht="24.75" thickBot="1" x14ac:dyDescent="0.3">
      <c r="A14" s="27">
        <v>5</v>
      </c>
      <c r="B14" s="23"/>
      <c r="C14" s="26" t="s">
        <v>12</v>
      </c>
      <c r="D14" s="25" t="s">
        <v>11</v>
      </c>
      <c r="E14" s="24" t="s">
        <v>26</v>
      </c>
      <c r="F14" s="23" t="s">
        <v>9</v>
      </c>
      <c r="G14" s="22">
        <v>1200</v>
      </c>
      <c r="H14" s="21">
        <v>4.95</v>
      </c>
      <c r="I14" s="20">
        <f>G14*H14</f>
        <v>5940</v>
      </c>
      <c r="K14" s="19"/>
    </row>
    <row r="15" spans="1:11" ht="24.75" thickBot="1" x14ac:dyDescent="0.3">
      <c r="A15" s="27">
        <v>6</v>
      </c>
      <c r="B15" s="23"/>
      <c r="C15" s="26" t="s">
        <v>12</v>
      </c>
      <c r="D15" s="25" t="s">
        <v>11</v>
      </c>
      <c r="E15" s="24" t="s">
        <v>25</v>
      </c>
      <c r="F15" s="23" t="s">
        <v>9</v>
      </c>
      <c r="G15" s="22">
        <v>2500</v>
      </c>
      <c r="H15" s="21">
        <v>96.9</v>
      </c>
      <c r="I15" s="20">
        <f>G15*H15</f>
        <v>242250</v>
      </c>
      <c r="K15" s="19"/>
    </row>
    <row r="16" spans="1:11" ht="24.75" thickBot="1" x14ac:dyDescent="0.3">
      <c r="A16" s="27">
        <v>7</v>
      </c>
      <c r="B16" s="23"/>
      <c r="C16" s="26" t="s">
        <v>12</v>
      </c>
      <c r="D16" s="25" t="s">
        <v>11</v>
      </c>
      <c r="E16" s="24" t="s">
        <v>24</v>
      </c>
      <c r="F16" s="23" t="s">
        <v>9</v>
      </c>
      <c r="G16" s="22">
        <v>7200</v>
      </c>
      <c r="H16" s="21">
        <v>55.5</v>
      </c>
      <c r="I16" s="20">
        <f>G16*H16</f>
        <v>399600</v>
      </c>
      <c r="K16" s="19"/>
    </row>
    <row r="17" spans="1:11" ht="24.75" thickBot="1" x14ac:dyDescent="0.3">
      <c r="A17" s="27">
        <v>8</v>
      </c>
      <c r="B17" s="23"/>
      <c r="C17" s="26" t="s">
        <v>12</v>
      </c>
      <c r="D17" s="25" t="s">
        <v>11</v>
      </c>
      <c r="E17" s="24" t="s">
        <v>23</v>
      </c>
      <c r="F17" s="23" t="s">
        <v>9</v>
      </c>
      <c r="G17" s="22">
        <v>360</v>
      </c>
      <c r="H17" s="21">
        <v>362.1</v>
      </c>
      <c r="I17" s="20">
        <f>G17*H17</f>
        <v>130356.00000000001</v>
      </c>
      <c r="K17" s="19"/>
    </row>
    <row r="18" spans="1:11" ht="26.25" thickBot="1" x14ac:dyDescent="0.3">
      <c r="A18" s="27">
        <v>9</v>
      </c>
      <c r="B18" s="23"/>
      <c r="C18" s="26" t="s">
        <v>12</v>
      </c>
      <c r="D18" s="25" t="s">
        <v>11</v>
      </c>
      <c r="E18" s="28" t="s">
        <v>22</v>
      </c>
      <c r="F18" s="23" t="s">
        <v>9</v>
      </c>
      <c r="G18" s="22">
        <v>20000</v>
      </c>
      <c r="H18" s="21">
        <v>19.600000000000001</v>
      </c>
      <c r="I18" s="20">
        <f>G18*H18</f>
        <v>392000</v>
      </c>
      <c r="K18" s="19"/>
    </row>
    <row r="19" spans="1:11" ht="24.75" thickBot="1" x14ac:dyDescent="0.3">
      <c r="A19" s="27">
        <v>10</v>
      </c>
      <c r="B19" s="23"/>
      <c r="C19" s="26" t="s">
        <v>12</v>
      </c>
      <c r="D19" s="25" t="s">
        <v>11</v>
      </c>
      <c r="E19" s="24" t="s">
        <v>21</v>
      </c>
      <c r="F19" s="23" t="s">
        <v>9</v>
      </c>
      <c r="G19" s="22">
        <v>3600</v>
      </c>
      <c r="H19" s="21">
        <v>25.74</v>
      </c>
      <c r="I19" s="20">
        <f>G19*H19</f>
        <v>92664</v>
      </c>
      <c r="K19" s="19"/>
    </row>
    <row r="20" spans="1:11" ht="24.75" thickBot="1" x14ac:dyDescent="0.3">
      <c r="A20" s="27">
        <v>11</v>
      </c>
      <c r="B20" s="23"/>
      <c r="C20" s="26" t="s">
        <v>12</v>
      </c>
      <c r="D20" s="25" t="s">
        <v>11</v>
      </c>
      <c r="E20" s="24" t="s">
        <v>20</v>
      </c>
      <c r="F20" s="23" t="s">
        <v>9</v>
      </c>
      <c r="G20" s="22">
        <v>1500</v>
      </c>
      <c r="H20" s="21">
        <v>246.5</v>
      </c>
      <c r="I20" s="20">
        <f>G20*H20</f>
        <v>369750</v>
      </c>
      <c r="K20" s="19"/>
    </row>
    <row r="21" spans="1:11" ht="24.75" thickBot="1" x14ac:dyDescent="0.3">
      <c r="A21" s="27">
        <v>12</v>
      </c>
      <c r="B21" s="23"/>
      <c r="C21" s="26" t="s">
        <v>12</v>
      </c>
      <c r="D21" s="25" t="s">
        <v>11</v>
      </c>
      <c r="E21" s="24" t="s">
        <v>19</v>
      </c>
      <c r="F21" s="23" t="s">
        <v>9</v>
      </c>
      <c r="G21" s="22">
        <v>2000</v>
      </c>
      <c r="H21" s="21">
        <v>138</v>
      </c>
      <c r="I21" s="20">
        <f>G21*H21</f>
        <v>276000</v>
      </c>
      <c r="K21" s="19"/>
    </row>
    <row r="22" spans="1:11" ht="24.75" thickBot="1" x14ac:dyDescent="0.3">
      <c r="A22" s="27">
        <v>13</v>
      </c>
      <c r="B22" s="23"/>
      <c r="C22" s="26" t="s">
        <v>12</v>
      </c>
      <c r="D22" s="25" t="s">
        <v>11</v>
      </c>
      <c r="E22" s="24" t="s">
        <v>18</v>
      </c>
      <c r="F22" s="23" t="s">
        <v>9</v>
      </c>
      <c r="G22" s="22">
        <v>30</v>
      </c>
      <c r="H22" s="21">
        <v>654.1</v>
      </c>
      <c r="I22" s="20">
        <f>G22*H22</f>
        <v>19623</v>
      </c>
      <c r="K22" s="19"/>
    </row>
    <row r="23" spans="1:11" ht="24.75" thickBot="1" x14ac:dyDescent="0.3">
      <c r="A23" s="27">
        <v>14</v>
      </c>
      <c r="B23" s="23"/>
      <c r="C23" s="26" t="s">
        <v>12</v>
      </c>
      <c r="D23" s="25" t="s">
        <v>11</v>
      </c>
      <c r="E23" s="24" t="s">
        <v>17</v>
      </c>
      <c r="F23" s="23" t="s">
        <v>9</v>
      </c>
      <c r="G23" s="22">
        <v>240</v>
      </c>
      <c r="H23" s="21">
        <v>698</v>
      </c>
      <c r="I23" s="20">
        <f>G23*H23</f>
        <v>167520</v>
      </c>
      <c r="K23" s="19"/>
    </row>
    <row r="24" spans="1:11" ht="24.75" thickBot="1" x14ac:dyDescent="0.3">
      <c r="A24" s="27">
        <v>15</v>
      </c>
      <c r="B24" s="23"/>
      <c r="C24" s="26" t="s">
        <v>12</v>
      </c>
      <c r="D24" s="25" t="s">
        <v>11</v>
      </c>
      <c r="E24" s="24" t="s">
        <v>16</v>
      </c>
      <c r="F24" s="23" t="s">
        <v>9</v>
      </c>
      <c r="G24" s="22">
        <v>18000</v>
      </c>
      <c r="H24" s="21">
        <v>63.34</v>
      </c>
      <c r="I24" s="20">
        <f>G24*H24</f>
        <v>1140120</v>
      </c>
      <c r="K24" s="19"/>
    </row>
    <row r="25" spans="1:11" ht="24.75" thickBot="1" x14ac:dyDescent="0.3">
      <c r="A25" s="27">
        <v>16</v>
      </c>
      <c r="B25" s="23"/>
      <c r="C25" s="26" t="s">
        <v>12</v>
      </c>
      <c r="D25" s="25" t="s">
        <v>11</v>
      </c>
      <c r="E25" s="24" t="s">
        <v>15</v>
      </c>
      <c r="F25" s="23" t="s">
        <v>9</v>
      </c>
      <c r="G25" s="22">
        <v>900</v>
      </c>
      <c r="H25" s="21">
        <v>56.1</v>
      </c>
      <c r="I25" s="20">
        <f>G25*H25</f>
        <v>50490</v>
      </c>
      <c r="K25" s="19"/>
    </row>
    <row r="26" spans="1:11" ht="24.75" thickBot="1" x14ac:dyDescent="0.3">
      <c r="A26" s="27">
        <v>17</v>
      </c>
      <c r="B26" s="23"/>
      <c r="C26" s="26" t="s">
        <v>12</v>
      </c>
      <c r="D26" s="25" t="s">
        <v>11</v>
      </c>
      <c r="E26" s="24" t="s">
        <v>14</v>
      </c>
      <c r="F26" s="23" t="s">
        <v>9</v>
      </c>
      <c r="G26" s="22">
        <v>120</v>
      </c>
      <c r="H26" s="21">
        <v>58.2</v>
      </c>
      <c r="I26" s="20">
        <f>G26*H26</f>
        <v>6984</v>
      </c>
      <c r="K26" s="19"/>
    </row>
    <row r="27" spans="1:11" ht="24.75" thickBot="1" x14ac:dyDescent="0.3">
      <c r="A27" s="27">
        <v>18</v>
      </c>
      <c r="B27" s="23"/>
      <c r="C27" s="26" t="s">
        <v>12</v>
      </c>
      <c r="D27" s="25" t="s">
        <v>11</v>
      </c>
      <c r="E27" s="24" t="s">
        <v>13</v>
      </c>
      <c r="F27" s="23" t="s">
        <v>9</v>
      </c>
      <c r="G27" s="22">
        <v>300</v>
      </c>
      <c r="H27" s="21">
        <v>94.4</v>
      </c>
      <c r="I27" s="20">
        <f>G27*H27</f>
        <v>28320</v>
      </c>
      <c r="K27" s="19"/>
    </row>
    <row r="28" spans="1:11" ht="24.75" thickBot="1" x14ac:dyDescent="0.3">
      <c r="A28" s="27">
        <v>19</v>
      </c>
      <c r="B28" s="23"/>
      <c r="C28" s="26" t="s">
        <v>12</v>
      </c>
      <c r="D28" s="25" t="s">
        <v>11</v>
      </c>
      <c r="E28" s="24" t="s">
        <v>10</v>
      </c>
      <c r="F28" s="23" t="s">
        <v>9</v>
      </c>
      <c r="G28" s="22">
        <v>50</v>
      </c>
      <c r="H28" s="21">
        <v>105</v>
      </c>
      <c r="I28" s="20">
        <f>G28*H28</f>
        <v>5250</v>
      </c>
      <c r="K28" s="19"/>
    </row>
    <row r="29" spans="1:11" x14ac:dyDescent="0.25">
      <c r="A29" s="1"/>
      <c r="B29" s="1"/>
      <c r="C29" s="1"/>
      <c r="D29" s="1"/>
      <c r="E29" s="1"/>
      <c r="F29" s="1"/>
      <c r="G29" s="1"/>
      <c r="H29" s="1"/>
      <c r="I29" s="1"/>
    </row>
    <row r="30" spans="1:11" ht="15.75" thickBot="1" x14ac:dyDescent="0.3">
      <c r="A30" s="1"/>
      <c r="B30" s="1"/>
      <c r="C30" s="1"/>
      <c r="D30" s="1"/>
      <c r="E30" s="1"/>
      <c r="F30" s="1"/>
      <c r="G30" s="1"/>
      <c r="H30" s="1"/>
      <c r="I30" s="1"/>
    </row>
    <row r="31" spans="1:11" x14ac:dyDescent="0.25">
      <c r="A31" s="1"/>
      <c r="B31" s="18" t="s">
        <v>8</v>
      </c>
      <c r="C31" s="17"/>
      <c r="D31" s="17"/>
      <c r="E31" s="16"/>
      <c r="F31" s="1"/>
      <c r="G31" s="1"/>
      <c r="H31" s="1"/>
      <c r="I31" s="1"/>
    </row>
    <row r="32" spans="1:11" x14ac:dyDescent="0.25">
      <c r="A32" s="1"/>
      <c r="B32" s="15"/>
      <c r="C32" s="1"/>
      <c r="D32" s="1"/>
      <c r="E32" s="7"/>
      <c r="F32" s="1"/>
      <c r="G32" s="1"/>
      <c r="H32" s="1"/>
      <c r="I32" s="1"/>
    </row>
    <row r="33" spans="1:9" x14ac:dyDescent="0.25">
      <c r="A33" s="1"/>
      <c r="B33" s="6" t="s">
        <v>7</v>
      </c>
      <c r="C33" s="1"/>
      <c r="D33" s="1"/>
      <c r="E33" s="7"/>
      <c r="F33" s="1"/>
      <c r="G33" s="1"/>
      <c r="H33" s="1"/>
      <c r="I33" s="1"/>
    </row>
    <row r="34" spans="1:9" x14ac:dyDescent="0.25">
      <c r="A34" s="1"/>
      <c r="B34" s="6"/>
      <c r="C34" s="12"/>
      <c r="D34" s="12"/>
      <c r="E34" s="12"/>
      <c r="F34" s="1"/>
      <c r="G34" s="1"/>
      <c r="H34" s="1"/>
      <c r="I34" s="1"/>
    </row>
    <row r="35" spans="1:9" x14ac:dyDescent="0.25">
      <c r="A35" s="1"/>
      <c r="B35" s="6" t="s">
        <v>6</v>
      </c>
      <c r="C35" s="1"/>
      <c r="D35" s="1"/>
      <c r="E35" s="7"/>
      <c r="F35" s="1"/>
      <c r="G35" s="1"/>
      <c r="H35" s="1"/>
      <c r="I35" s="1"/>
    </row>
    <row r="36" spans="1:9" x14ac:dyDescent="0.25">
      <c r="A36" s="1"/>
      <c r="B36" s="9"/>
      <c r="C36" s="14" t="s">
        <v>5</v>
      </c>
      <c r="D36" s="14"/>
      <c r="E36" s="14"/>
      <c r="F36" s="1"/>
      <c r="G36" s="1"/>
      <c r="H36" s="1"/>
      <c r="I36" s="1"/>
    </row>
    <row r="37" spans="1:9" x14ac:dyDescent="0.25">
      <c r="A37" s="1"/>
      <c r="B37" s="9"/>
      <c r="C37" s="13"/>
      <c r="D37" s="13"/>
      <c r="E37" s="13"/>
      <c r="F37" s="1"/>
      <c r="G37" s="1"/>
      <c r="H37" s="1"/>
      <c r="I37" s="1"/>
    </row>
    <row r="38" spans="1:9" x14ac:dyDescent="0.25">
      <c r="A38" s="1"/>
      <c r="B38" s="6" t="s">
        <v>4</v>
      </c>
      <c r="C38" s="1"/>
      <c r="D38" s="1"/>
      <c r="E38" s="7"/>
      <c r="F38" s="1"/>
      <c r="G38" s="1"/>
      <c r="H38" s="1"/>
      <c r="I38" s="1"/>
    </row>
    <row r="39" spans="1:9" ht="109.5" customHeight="1" x14ac:dyDescent="0.25">
      <c r="A39" s="1"/>
      <c r="B39" s="9"/>
      <c r="C39" s="12" t="s">
        <v>3</v>
      </c>
      <c r="D39" s="12"/>
      <c r="E39" s="12"/>
      <c r="F39" s="1"/>
      <c r="G39" s="1"/>
      <c r="H39" s="1"/>
      <c r="I39" s="1"/>
    </row>
    <row r="40" spans="1:9" x14ac:dyDescent="0.25">
      <c r="A40" s="1"/>
      <c r="B40" s="6" t="s">
        <v>2</v>
      </c>
      <c r="C40" s="11"/>
      <c r="D40" s="11"/>
      <c r="E40" s="10"/>
      <c r="F40" s="1"/>
      <c r="G40" s="1"/>
      <c r="H40" s="1"/>
      <c r="I40" s="1"/>
    </row>
    <row r="41" spans="1:9" x14ac:dyDescent="0.25">
      <c r="A41" s="1"/>
      <c r="B41" s="9"/>
      <c r="C41" s="8" t="s">
        <v>1</v>
      </c>
      <c r="D41" s="8"/>
      <c r="E41" s="8"/>
      <c r="F41" s="1"/>
      <c r="G41" s="1"/>
      <c r="H41" s="1"/>
      <c r="I41" s="1"/>
    </row>
    <row r="42" spans="1:9" x14ac:dyDescent="0.25">
      <c r="A42" s="1"/>
      <c r="B42" s="6" t="s">
        <v>0</v>
      </c>
      <c r="C42" s="1"/>
      <c r="D42" s="1"/>
      <c r="E42" s="7"/>
      <c r="F42" s="1"/>
      <c r="G42" s="1"/>
      <c r="H42" s="1"/>
      <c r="I42" s="1"/>
    </row>
    <row r="43" spans="1:9" x14ac:dyDescent="0.25">
      <c r="A43" s="1"/>
      <c r="B43" s="6"/>
      <c r="C43" s="5"/>
      <c r="D43" s="5"/>
      <c r="E43" s="5"/>
      <c r="F43" s="1"/>
      <c r="G43" s="1"/>
      <c r="H43" s="1"/>
      <c r="I43" s="1"/>
    </row>
    <row r="44" spans="1:9" ht="15.75" thickBot="1" x14ac:dyDescent="0.3">
      <c r="A44" s="1"/>
      <c r="B44" s="4"/>
      <c r="C44" s="3"/>
      <c r="D44" s="3"/>
      <c r="E44" s="2"/>
      <c r="F44" s="1"/>
      <c r="G44" s="1"/>
      <c r="H44" s="1"/>
      <c r="I44" s="1"/>
    </row>
    <row r="45" spans="1:9" x14ac:dyDescent="0.25">
      <c r="A45" s="1"/>
      <c r="B45" s="1"/>
      <c r="C45" s="1"/>
      <c r="D45" s="1"/>
      <c r="E45" s="1"/>
      <c r="F45" s="1"/>
      <c r="G45" s="1"/>
      <c r="H45" s="1"/>
      <c r="I45" s="1"/>
    </row>
    <row r="46" spans="1:9" x14ac:dyDescent="0.25">
      <c r="A46" s="1"/>
      <c r="B46" s="1"/>
      <c r="C46" s="1"/>
      <c r="D46" s="1"/>
      <c r="E46" s="1"/>
      <c r="F46" s="1"/>
      <c r="G46" s="1"/>
      <c r="H46" s="1"/>
      <c r="I46" s="1"/>
    </row>
    <row r="47" spans="1:9" x14ac:dyDescent="0.25">
      <c r="A47" s="1"/>
      <c r="B47" s="1"/>
      <c r="C47" s="1"/>
      <c r="D47" s="1"/>
      <c r="E47" s="1"/>
      <c r="F47" s="1"/>
      <c r="G47" s="1"/>
      <c r="H47" s="1"/>
      <c r="I47" s="1"/>
    </row>
    <row r="48" spans="1:9" x14ac:dyDescent="0.25">
      <c r="A48" s="1"/>
      <c r="B48" s="1"/>
      <c r="C48" s="1"/>
      <c r="D48" s="1"/>
      <c r="E48" s="1"/>
      <c r="F48" s="1"/>
      <c r="G48" s="1"/>
      <c r="H48" s="1"/>
      <c r="I48" s="1"/>
    </row>
  </sheetData>
  <mergeCells count="13">
    <mergeCell ref="C43:E43"/>
    <mergeCell ref="A7:B7"/>
    <mergeCell ref="C34:E34"/>
    <mergeCell ref="C37:E37"/>
    <mergeCell ref="C39:E39"/>
    <mergeCell ref="C41:E41"/>
    <mergeCell ref="C36:E36"/>
    <mergeCell ref="A6:B6"/>
    <mergeCell ref="A5:B5"/>
    <mergeCell ref="A4:B4"/>
    <mergeCell ref="C4:E4"/>
    <mergeCell ref="B2:H2"/>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HSJB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2021-08-12T15:56:33Z</dcterms:created>
  <dcterms:modified xsi:type="dcterms:W3CDTF">2021-08-12T15:56:51Z</dcterms:modified>
</cp:coreProperties>
</file>