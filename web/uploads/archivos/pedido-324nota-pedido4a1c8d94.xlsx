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Gastar'!$A$1:$Q$26</definedName>
    <definedName name="_xlnm.Print_Area" localSheetId="0">'Necesidades Trimestrales'!$E$9:$E$12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2" l="1"/>
  <c r="B14" i="2"/>
  <c r="K13" i="2"/>
  <c r="K14" i="2"/>
  <c r="J13" i="2"/>
  <c r="J14" i="2"/>
  <c r="K15" i="3" l="1"/>
  <c r="I15" i="3"/>
  <c r="A10" i="3" l="1"/>
  <c r="C14" i="2" l="1"/>
  <c r="I14" i="2"/>
  <c r="I13" i="2"/>
  <c r="C13" i="2"/>
  <c r="I12" i="1" l="1"/>
  <c r="I11" i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Q22" i="3" l="1"/>
  <c r="J15" i="2"/>
</calcChain>
</file>

<file path=xl/sharedStrings.xml><?xml version="1.0" encoding="utf-8"?>
<sst xmlns="http://schemas.openxmlformats.org/spreadsheetml/2006/main" count="97" uniqueCount="77">
  <si>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</si>
  <si>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</si>
  <si>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</si>
  <si>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</si>
  <si>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</si>
  <si>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</si>
  <si>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</si>
  <si>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</si>
  <si>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</si>
  <si>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</si>
  <si>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</si>
  <si>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</si>
  <si>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</si>
  <si>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</si>
  <si>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</si>
  <si>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</si>
  <si>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</si>
  <si>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</si>
  <si>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</si>
  <si>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</si>
  <si>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</si>
  <si>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</si>
  <si>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</si>
  <si>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</si>
  <si>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</si>
  <si>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</si>
  <si>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</si>
  <si>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</si>
  <si>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</si>
  <si>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</si>
  <si>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</si>
  <si>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</si>
  <si>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</si>
  <si>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</si>
  <si>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</si>
  <si>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</si>
  <si>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</si>
  <si>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</si>
  <si>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</si>
  <si>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</si>
  <si>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</si>
  <si>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</si>
  <si>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</si>
  <si>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</si>
  <si>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</si>
  <si>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</si>
  <si>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</si>
  <si>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</si>
  <si>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</si>
  <si>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</si>
  <si>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</si>
  <si>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</si>
  <si>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</si>
  <si>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</si>
  <si>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3.2.2-8698.1</t>
  </si>
  <si>
    <t>ALQUILER</t>
  </si>
  <si>
    <t>ALQ. EQ. DE LABORATORIO; DESCRIPCION: ALQUILER EQUIPO DE LABORATORIO</t>
  </si>
  <si>
    <t>MES</t>
  </si>
  <si>
    <r>
      <t>Mantenimiento</t>
    </r>
    <r>
      <rPr>
        <sz val="10"/>
        <rFont val="Times New Roman"/>
        <family val="1"/>
      </rPr>
      <t>: treinta (30) dias corridos.</t>
    </r>
  </si>
  <si>
    <t>Especificidades Item N° 1:</t>
  </si>
  <si>
    <t>Especificidades Item N° 3:</t>
  </si>
  <si>
    <t>Especificidades Item N° 2:</t>
  </si>
  <si>
    <t>SI</t>
  </si>
  <si>
    <r>
      <t>Descripción técnica:</t>
    </r>
    <r>
      <rPr>
        <sz val="10"/>
        <rFont val="Times New Roman"/>
        <family val="1"/>
      </rPr>
      <t xml:space="preserve"> AUTOANALIZADOR DE QUIMICA CLINICA (MODELO COBAS C 311 - MARCA ROCHE) INCLUYE SERVICIO TECNICO LAS 24 HS. LOS 365 DIAS DEL AÑO.
CONTRATACION POR TRES (3) MESES CON UNA OPCION A PRORROGA POR EL MISMO PERIODO</t>
    </r>
  </si>
  <si>
    <r>
      <t>Descripción técnica:</t>
    </r>
    <r>
      <rPr>
        <sz val="10"/>
        <rFont val="Times New Roman"/>
        <family val="1"/>
      </rPr>
      <t xml:space="preserve"> AUTOANALIZADOR DE ALTA COMPLEJIDAD (MODELO COBAS E 411 - MARCA ROCHE) INCLUYE SERVICIO TECNICO LAS 24 HS. LOS 365 DIAS DEL AÑO.
CONTRATACION POR TRES (3) MESES CON UNA OPCION A PRORROGA POR EL MISMO PERIODO</t>
    </r>
  </si>
  <si>
    <r>
      <t>Descripción técnica:</t>
    </r>
    <r>
      <rPr>
        <sz val="10"/>
        <rFont val="Times New Roman"/>
        <family val="1"/>
      </rPr>
      <t xml:space="preserve"> AUTOANALIZADOR DE GASES EN SANGRE (MODELO COBAS B 211 - MARCA ROCHE) INCLUYE SERVICIO TECNICO LAS 24 HS. LOS 365 DIAS DEL AÑO.
CONTRATACION POR TRES (3) MESES CON UNA OPCION A PRORROGA POR EL MISMO PERIODO</t>
    </r>
  </si>
  <si>
    <t>Servicio de Laboratorio</t>
  </si>
  <si>
    <t>Alquiler de Maquinaria, Equipos y Medios de Transporte.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</si>
  <si>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</si>
  <si>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Alquiler de Equipamiento de Laboratorio</t>
  </si>
  <si>
    <t>Costo total estimado: Un Millon Ciento Setenta y Un Mil Ochocientos con 00/100.</t>
  </si>
  <si>
    <t>TOTAL DE PESOS: UN MILLON CIENTO SETENTA Y UN MIL OCHOCIENTOS CON 00/100.</t>
  </si>
  <si>
    <t>Para la adquisición del servicio de alquiler de equipos de laboratorio destinados al servico de Laboratorio del Hospital Interzonal de Niños Eva Peron, para el normal funcionamiento del organismo.</t>
  </si>
  <si>
    <t>60/2021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</si>
  <si>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siete (7) días corridos desde la firma del documento contractual.                 A  los fines de garantizar la Atención  y  el Funcionamiento Integro de los servicio de Salud  que surgen originadas principalmente en las Urgencias,  en el rol de Servicio Esencial por la situación de Pandemia Covid-19.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</si>
  <si>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siete (7) días corridos desde la firma del documento contractual.              A  los fines de garantizar la Atención  y  el Funcionamiento Integro de los servicio de Salud  que surgen originadas principalmente en las Urgencias,  en el rol de Servicio Esencial por la situación de Pandemia Covid-19.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</si>
  <si>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siete (7) días corridos desde la firma del documento contractual.                  A  los fines de garantizar la Atención  y  el Funcionamiento Integro de los servicio de Salud  que surgen originadas principalmente en las Urgencias,  en el rol de Servicio Esencial por la situación de Pandemia Covid-19.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</si>
</sst>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166" fontId="13" fillId="0" borderId="4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2" fillId="0" borderId="7" xfId="0" applyFont="1" applyBorder="1" applyAlignment="1">
      <alignment horizontal="left" indent="3"/>
    </xf>
    <xf numFmtId="166" fontId="15" fillId="0" borderId="0" xfId="0" applyNumberFormat="1" applyFont="1"/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21" fillId="4" borderId="2" xfId="0" applyFont="1" applyFill="1" applyBorder="1" applyAlignment="1">
      <alignment horizontal="center" vertical="center" wrapText="1"/>
    </xf>
    <xf numFmtId="166" fontId="20" fillId="4" borderId="2" xfId="1" applyNumberFormat="1" applyFont="1" applyFill="1" applyBorder="1" applyAlignment="1" applyProtection="1">
      <alignment horizontal="right" vertical="center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0" fontId="20" fillId="0" borderId="4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 wrapText="1"/>
    </xf>
    <xf numFmtId="0" fontId="21" fillId="4" borderId="45" xfId="0" applyFont="1" applyFill="1" applyBorder="1" applyAlignment="1">
      <alignment horizontal="center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166" fontId="20" fillId="4" borderId="48" xfId="1" applyNumberFormat="1" applyFont="1" applyFill="1" applyBorder="1" applyAlignment="1" applyProtection="1">
      <alignment horizontal="right" vertical="center" wrapText="1"/>
    </xf>
    <xf numFmtId="0" fontId="0" fillId="4" borderId="49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50" xfId="0" applyFont="1" applyFill="1" applyBorder="1" applyAlignment="1">
      <alignment horizontal="center" vertical="center"/>
    </xf>
    <xf numFmtId="0" fontId="0" fillId="3" borderId="50" xfId="0" applyFont="1" applyFill="1" applyBorder="1" applyAlignment="1">
      <alignment horizontal="center" vertical="center"/>
    </xf>
    <xf numFmtId="169" fontId="15" fillId="0" borderId="0" xfId="0" applyNumberFormat="1" applyFont="1"/>
    <xf numFmtId="0" fontId="22" fillId="0" borderId="7" xfId="0" applyFont="1" applyBorder="1" applyAlignment="1"/>
    <xf numFmtId="0" fontId="15" fillId="0" borderId="10" xfId="0" applyFont="1" applyBorder="1"/>
    <xf numFmtId="0" fontId="15" fillId="0" borderId="11" xfId="0" applyFont="1" applyBorder="1"/>
    <xf numFmtId="0" fontId="15" fillId="0" borderId="5" xfId="0" applyFont="1" applyFill="1" applyBorder="1"/>
    <xf numFmtId="0" fontId="19" fillId="0" borderId="16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166" fontId="20" fillId="4" borderId="53" xfId="1" applyNumberFormat="1" applyFont="1" applyFill="1" applyBorder="1" applyAlignment="1" applyProtection="1">
      <alignment horizontal="right" vertical="center" wrapText="1"/>
    </xf>
    <xf numFmtId="0" fontId="0" fillId="0" borderId="52" xfId="0" applyBorder="1" applyAlignment="1">
      <alignment wrapText="1"/>
    </xf>
    <xf numFmtId="0" fontId="4" fillId="3" borderId="4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6" fontId="4" fillId="3" borderId="2" xfId="1" applyNumberFormat="1" applyFont="1" applyFill="1" applyBorder="1" applyAlignment="1" applyProtection="1">
      <alignment horizontal="right" vertical="center" wrapText="1"/>
    </xf>
    <xf numFmtId="3" fontId="4" fillId="3" borderId="3" xfId="0" applyNumberFormat="1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left" vertical="center"/>
    </xf>
    <xf numFmtId="0" fontId="4" fillId="4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 wrapText="1"/>
    </xf>
    <xf numFmtId="166" fontId="4" fillId="3" borderId="45" xfId="1" applyNumberFormat="1" applyFont="1" applyFill="1" applyBorder="1" applyAlignment="1" applyProtection="1">
      <alignment horizontal="right" vertical="center" wrapText="1"/>
    </xf>
    <xf numFmtId="3" fontId="4" fillId="3" borderId="48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45" xfId="0" applyBorder="1" applyAlignment="1">
      <alignment wrapText="1"/>
    </xf>
    <xf numFmtId="0" fontId="15" fillId="4" borderId="7" xfId="5" applyFont="1" applyFill="1" applyBorder="1" applyAlignment="1">
      <alignment wrapText="1"/>
    </xf>
    <xf numFmtId="0" fontId="15" fillId="4" borderId="0" xfId="5" applyFont="1" applyFill="1" applyBorder="1" applyAlignment="1">
      <alignment wrapText="1"/>
    </xf>
    <xf numFmtId="0" fontId="15" fillId="4" borderId="8" xfId="5" applyFont="1" applyFill="1" applyBorder="1" applyAlignment="1">
      <alignment wrapText="1"/>
    </xf>
    <xf numFmtId="0" fontId="22" fillId="0" borderId="9" xfId="0" applyFont="1" applyBorder="1" applyAlignment="1">
      <alignment horizontal="left" indent="3"/>
    </xf>
    <xf numFmtId="0" fontId="17" fillId="0" borderId="0" xfId="0" applyFont="1" applyBorder="1" applyAlignment="1">
      <alignment horizontal="left" vertical="center" wrapText="1"/>
    </xf>
    <xf numFmtId="0" fontId="15" fillId="4" borderId="7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22" fillId="0" borderId="7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45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1" xfId="0" applyFont="1" applyFill="1" applyBorder="1" applyAlignment="1">
      <alignment horizontal="left" vertical="center" wrapText="1" indent="1"/>
    </xf>
    <xf numFmtId="0" fontId="0" fillId="0" borderId="35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9" fillId="0" borderId="41" xfId="0" applyFont="1" applyBorder="1" applyAlignment="1">
      <alignment horizontal="left" vertical="center" wrapText="1"/>
    </xf>
    <xf numFmtId="0" fontId="0" fillId="0" borderId="23" xfId="0" applyBorder="1"/>
    <xf numFmtId="0" fontId="14" fillId="0" borderId="54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5"/>
  <sheetViews>
    <sheetView tabSelected="1" zoomScale="89" zoomScaleNormal="89" workbookViewId="0">
      <selection activeCell="F42" sqref="F42"/>
    </sheetView>
  </sheetViews>
  <sheetFormatPr baseColWidth="10" defaultColWidth="11" defaultRowHeight="12.75" x14ac:dyDescent="0.2"/>
  <cols>
    <col min="1" max="1" width="4.5703125" style="31" customWidth="1"/>
    <col min="2" max="2" width="14" style="31" customWidth="1"/>
    <col min="3" max="3" width="13.28515625" style="31" customWidth="1"/>
    <col min="4" max="4" width="8.42578125" style="31" customWidth="1"/>
    <col min="5" max="5" width="44.28515625" style="31" customWidth="1"/>
    <col min="6" max="6" width="11" style="31"/>
    <col min="7" max="7" width="11.5703125" style="31" customWidth="1"/>
    <col min="8" max="8" width="13.85546875" style="31" customWidth="1"/>
    <col min="9" max="9" width="18.5703125" style="31" customWidth="1"/>
    <col min="10" max="11" width="11" style="31"/>
    <col min="12" max="12" width="12.7109375" style="31" bestFit="1" customWidth="1"/>
    <col min="13" max="16384" width="11" style="31"/>
  </cols>
  <sheetData>
    <row r="2" spans="1:14" ht="27" x14ac:dyDescent="0.35">
      <c r="B2" s="107" t="s">
        <v>0</v>
      </c>
      <c r="C2" s="107"/>
      <c r="D2" s="107"/>
      <c r="E2" s="107"/>
      <c r="F2" s="107"/>
      <c r="G2" s="107"/>
      <c r="H2" s="107"/>
    </row>
    <row r="3" spans="1:14" ht="12" customHeight="1" x14ac:dyDescent="0.2"/>
    <row r="4" spans="1:14" ht="18" customHeight="1" x14ac:dyDescent="0.25">
      <c r="A4" s="103" t="s">
        <v>1</v>
      </c>
      <c r="B4" s="103"/>
      <c r="C4" s="108" t="s">
        <v>52</v>
      </c>
      <c r="D4" s="108"/>
      <c r="E4" s="108"/>
      <c r="F4" s="32"/>
      <c r="G4" s="33"/>
      <c r="H4" s="32"/>
    </row>
    <row r="5" spans="1:14" ht="18" customHeight="1" x14ac:dyDescent="0.25">
      <c r="A5" s="103" t="s">
        <v>2</v>
      </c>
      <c r="B5" s="103"/>
      <c r="C5" s="108" t="s">
        <v>51</v>
      </c>
      <c r="D5" s="108"/>
      <c r="E5" s="108"/>
      <c r="F5" s="32"/>
      <c r="G5" s="33"/>
      <c r="H5" s="32"/>
    </row>
    <row r="6" spans="1:14" ht="16.5" customHeight="1" x14ac:dyDescent="0.25">
      <c r="A6" s="103" t="s">
        <v>3</v>
      </c>
      <c r="B6" s="103"/>
      <c r="C6" s="50">
        <v>2021</v>
      </c>
      <c r="D6" s="51"/>
      <c r="E6" s="51"/>
      <c r="F6" s="32"/>
      <c r="G6" s="33"/>
      <c r="H6" s="32"/>
    </row>
    <row r="7" spans="1:14" ht="16.5" customHeight="1" x14ac:dyDescent="0.25">
      <c r="A7" s="103" t="s">
        <v>4</v>
      </c>
      <c r="B7" s="103"/>
      <c r="C7" s="50">
        <v>2</v>
      </c>
      <c r="D7" s="51"/>
      <c r="E7" s="51"/>
      <c r="F7" s="32"/>
      <c r="G7" s="33"/>
      <c r="H7" s="32"/>
    </row>
    <row r="8" spans="1:14" ht="13.5" thickBot="1" x14ac:dyDescent="0.25">
      <c r="B8" s="32"/>
      <c r="C8" s="33"/>
      <c r="D8" s="32"/>
      <c r="E8" s="32"/>
      <c r="F8" s="32"/>
      <c r="G8" s="33"/>
      <c r="H8" s="32"/>
    </row>
    <row r="9" spans="1:14" ht="39" thickBot="1" x14ac:dyDescent="0.25">
      <c r="A9" s="75" t="s">
        <v>5</v>
      </c>
      <c r="B9" s="75" t="s">
        <v>6</v>
      </c>
      <c r="C9" s="75" t="s">
        <v>7</v>
      </c>
      <c r="D9" s="75" t="s">
        <v>8</v>
      </c>
      <c r="E9" s="75" t="s">
        <v>9</v>
      </c>
      <c r="F9" s="75" t="s">
        <v>10</v>
      </c>
      <c r="G9" s="75" t="s">
        <v>11</v>
      </c>
      <c r="H9" s="75" t="s">
        <v>12</v>
      </c>
      <c r="I9" s="75" t="s">
        <v>13</v>
      </c>
    </row>
    <row r="10" spans="1:14" ht="25.5" x14ac:dyDescent="0.2">
      <c r="A10" s="55">
        <v>1</v>
      </c>
      <c r="B10" s="94" t="s">
        <v>54</v>
      </c>
      <c r="C10" s="94" t="s">
        <v>55</v>
      </c>
      <c r="D10" s="56">
        <v>322</v>
      </c>
      <c r="E10" s="97" t="s">
        <v>56</v>
      </c>
      <c r="F10" s="52" t="s">
        <v>57</v>
      </c>
      <c r="G10" s="52">
        <v>3</v>
      </c>
      <c r="H10" s="53">
        <v>152000</v>
      </c>
      <c r="I10" s="54">
        <f>H10*G10</f>
        <v>456000</v>
      </c>
      <c r="L10" s="41"/>
    </row>
    <row r="11" spans="1:14" ht="25.5" x14ac:dyDescent="0.2">
      <c r="A11" s="57">
        <v>2</v>
      </c>
      <c r="B11" s="95" t="s">
        <v>54</v>
      </c>
      <c r="C11" s="95" t="s">
        <v>55</v>
      </c>
      <c r="D11" s="58">
        <v>322</v>
      </c>
      <c r="E11" s="98" t="s">
        <v>56</v>
      </c>
      <c r="F11" s="59" t="s">
        <v>57</v>
      </c>
      <c r="G11" s="59">
        <v>3</v>
      </c>
      <c r="H11" s="60">
        <v>124000</v>
      </c>
      <c r="I11" s="61">
        <f>G11*H11</f>
        <v>372000</v>
      </c>
      <c r="L11" s="70"/>
      <c r="N11" s="70"/>
    </row>
    <row r="12" spans="1:14" ht="26.25" thickBot="1" x14ac:dyDescent="0.25">
      <c r="A12" s="76">
        <v>3</v>
      </c>
      <c r="B12" s="96" t="s">
        <v>54</v>
      </c>
      <c r="C12" s="96" t="s">
        <v>55</v>
      </c>
      <c r="D12" s="77">
        <v>322</v>
      </c>
      <c r="E12" s="81" t="s">
        <v>56</v>
      </c>
      <c r="F12" s="78" t="s">
        <v>57</v>
      </c>
      <c r="G12" s="78">
        <v>3</v>
      </c>
      <c r="H12" s="79">
        <v>114600</v>
      </c>
      <c r="I12" s="80">
        <f t="shared" ref="I12" si="0">G12*H12</f>
        <v>343800</v>
      </c>
      <c r="L12" s="41"/>
      <c r="N12" s="70"/>
    </row>
    <row r="13" spans="1:14" ht="13.5" thickBot="1" x14ac:dyDescent="0.25">
      <c r="I13" s="41"/>
    </row>
    <row r="14" spans="1:14" x14ac:dyDescent="0.2">
      <c r="B14" s="34" t="s">
        <v>59</v>
      </c>
      <c r="C14" s="35"/>
      <c r="D14" s="35"/>
      <c r="E14" s="36"/>
    </row>
    <row r="15" spans="1:14" ht="5.25" customHeight="1" x14ac:dyDescent="0.2">
      <c r="B15" s="37"/>
      <c r="C15" s="38"/>
      <c r="D15" s="38"/>
      <c r="E15" s="39"/>
    </row>
    <row r="16" spans="1:14" ht="62.25" customHeight="1" x14ac:dyDescent="0.2">
      <c r="B16" s="109" t="s">
        <v>63</v>
      </c>
      <c r="C16" s="110"/>
      <c r="D16" s="110"/>
      <c r="E16" s="111"/>
    </row>
    <row r="17" spans="2:5" x14ac:dyDescent="0.2">
      <c r="B17" s="40"/>
      <c r="C17" s="38"/>
      <c r="D17" s="38"/>
      <c r="E17" s="39"/>
    </row>
    <row r="18" spans="2:5" ht="62.25" customHeight="1" x14ac:dyDescent="0.2">
      <c r="B18" s="104" t="s">
        <v>74</v>
      </c>
      <c r="C18" s="105"/>
      <c r="D18" s="105"/>
      <c r="E18" s="106"/>
    </row>
    <row r="19" spans="2:5" x14ac:dyDescent="0.2">
      <c r="B19" s="40"/>
      <c r="C19" s="38"/>
      <c r="D19" s="38"/>
      <c r="E19" s="39"/>
    </row>
    <row r="20" spans="2:5" ht="56.25" customHeight="1" x14ac:dyDescent="0.2">
      <c r="B20" s="104" t="s">
        <v>68</v>
      </c>
      <c r="C20" s="105"/>
      <c r="D20" s="105"/>
      <c r="E20" s="106"/>
    </row>
    <row r="21" spans="2:5" x14ac:dyDescent="0.2">
      <c r="B21" s="99"/>
      <c r="C21" s="100"/>
      <c r="D21" s="100"/>
      <c r="E21" s="101"/>
    </row>
    <row r="22" spans="2:5" x14ac:dyDescent="0.2">
      <c r="B22" s="71" t="s">
        <v>58</v>
      </c>
      <c r="C22" s="38"/>
      <c r="D22" s="38"/>
      <c r="E22" s="39"/>
    </row>
    <row r="23" spans="2:5" ht="13.5" thickBot="1" x14ac:dyDescent="0.25">
      <c r="B23" s="40"/>
      <c r="C23" s="38"/>
      <c r="D23" s="38"/>
      <c r="E23" s="39"/>
    </row>
    <row r="24" spans="2:5" ht="13.5" thickBot="1" x14ac:dyDescent="0.25">
      <c r="B24" s="35"/>
      <c r="C24" s="74"/>
      <c r="D24" s="74"/>
      <c r="E24" s="74"/>
    </row>
    <row r="25" spans="2:5" x14ac:dyDescent="0.2">
      <c r="B25" s="34" t="s">
        <v>61</v>
      </c>
      <c r="C25" s="35"/>
      <c r="D25" s="35"/>
      <c r="E25" s="36"/>
    </row>
    <row r="26" spans="2:5" x14ac:dyDescent="0.2">
      <c r="B26" s="37"/>
      <c r="C26" s="38"/>
      <c r="D26" s="38"/>
      <c r="E26" s="39"/>
    </row>
    <row r="27" spans="2:5" ht="57.75" customHeight="1" x14ac:dyDescent="0.2">
      <c r="B27" s="109" t="s">
        <v>64</v>
      </c>
      <c r="C27" s="110"/>
      <c r="D27" s="110"/>
      <c r="E27" s="111"/>
    </row>
    <row r="28" spans="2:5" x14ac:dyDescent="0.2">
      <c r="B28" s="40"/>
      <c r="C28" s="38"/>
      <c r="D28" s="38"/>
      <c r="E28" s="39"/>
    </row>
    <row r="29" spans="2:5" ht="54.75" customHeight="1" x14ac:dyDescent="0.2">
      <c r="B29" s="104" t="s">
        <v>75</v>
      </c>
      <c r="C29" s="105"/>
      <c r="D29" s="105"/>
      <c r="E29" s="106"/>
    </row>
    <row r="30" spans="2:5" x14ac:dyDescent="0.2">
      <c r="B30" s="40"/>
      <c r="C30" s="38"/>
      <c r="D30" s="38"/>
      <c r="E30" s="39"/>
    </row>
    <row r="31" spans="2:5" ht="54.75" customHeight="1" x14ac:dyDescent="0.2">
      <c r="B31" s="104" t="s">
        <v>68</v>
      </c>
      <c r="C31" s="105"/>
      <c r="D31" s="105"/>
      <c r="E31" s="106"/>
    </row>
    <row r="32" spans="2:5" x14ac:dyDescent="0.2">
      <c r="B32" s="99"/>
      <c r="C32" s="100"/>
      <c r="D32" s="100"/>
      <c r="E32" s="101"/>
    </row>
    <row r="33" spans="2:5" x14ac:dyDescent="0.2">
      <c r="B33" s="71" t="s">
        <v>58</v>
      </c>
      <c r="C33" s="38"/>
      <c r="D33" s="38"/>
      <c r="E33" s="39"/>
    </row>
    <row r="34" spans="2:5" ht="13.5" thickBot="1" x14ac:dyDescent="0.25">
      <c r="B34" s="102"/>
      <c r="C34" s="72"/>
      <c r="D34" s="72"/>
      <c r="E34" s="73"/>
    </row>
    <row r="35" spans="2:5" ht="13.5" thickBot="1" x14ac:dyDescent="0.25"/>
    <row r="36" spans="2:5" x14ac:dyDescent="0.2">
      <c r="B36" s="34" t="s">
        <v>60</v>
      </c>
      <c r="C36" s="35"/>
      <c r="D36" s="35"/>
      <c r="E36" s="36"/>
    </row>
    <row r="37" spans="2:5" x14ac:dyDescent="0.2">
      <c r="B37" s="37"/>
      <c r="C37" s="38"/>
      <c r="D37" s="38"/>
      <c r="E37" s="39"/>
    </row>
    <row r="38" spans="2:5" ht="56.25" customHeight="1" x14ac:dyDescent="0.2">
      <c r="B38" s="109" t="s">
        <v>65</v>
      </c>
      <c r="C38" s="110"/>
      <c r="D38" s="110"/>
      <c r="E38" s="111"/>
    </row>
    <row r="39" spans="2:5" x14ac:dyDescent="0.2">
      <c r="B39" s="40"/>
      <c r="C39" s="38"/>
      <c r="D39" s="38"/>
      <c r="E39" s="39"/>
    </row>
    <row r="40" spans="2:5" ht="51" customHeight="1" x14ac:dyDescent="0.2">
      <c r="B40" s="104" t="s">
        <v>76</v>
      </c>
      <c r="C40" s="105"/>
      <c r="D40" s="105"/>
      <c r="E40" s="106"/>
    </row>
    <row r="41" spans="2:5" x14ac:dyDescent="0.2">
      <c r="B41" s="40"/>
      <c r="C41" s="38"/>
      <c r="D41" s="38"/>
      <c r="E41" s="39"/>
    </row>
    <row r="42" spans="2:5" ht="52.5" customHeight="1" x14ac:dyDescent="0.2">
      <c r="B42" s="104" t="s">
        <v>68</v>
      </c>
      <c r="C42" s="105"/>
      <c r="D42" s="105"/>
      <c r="E42" s="106"/>
    </row>
    <row r="43" spans="2:5" x14ac:dyDescent="0.2">
      <c r="B43" s="99"/>
      <c r="C43" s="100"/>
      <c r="D43" s="100"/>
      <c r="E43" s="101"/>
    </row>
    <row r="44" spans="2:5" x14ac:dyDescent="0.2">
      <c r="B44" s="71" t="s">
        <v>58</v>
      </c>
      <c r="C44" s="38"/>
      <c r="D44" s="38"/>
      <c r="E44" s="39"/>
    </row>
    <row r="45" spans="2:5" ht="13.5" thickBot="1" x14ac:dyDescent="0.25">
      <c r="B45" s="102"/>
      <c r="C45" s="72"/>
      <c r="D45" s="72"/>
      <c r="E45" s="73"/>
    </row>
  </sheetData>
  <mergeCells count="16">
    <mergeCell ref="B40:E40"/>
    <mergeCell ref="B42:E42"/>
    <mergeCell ref="B16:E16"/>
    <mergeCell ref="B27:E27"/>
    <mergeCell ref="B38:E38"/>
    <mergeCell ref="B31:E31"/>
    <mergeCell ref="B2:H2"/>
    <mergeCell ref="A4:B4"/>
    <mergeCell ref="C4:E4"/>
    <mergeCell ref="A5:B5"/>
    <mergeCell ref="C5:E5"/>
    <mergeCell ref="A6:B6"/>
    <mergeCell ref="A7:B7"/>
    <mergeCell ref="B18:E18"/>
    <mergeCell ref="B20:E20"/>
    <mergeCell ref="B29:E2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"/>
  <sheetViews>
    <sheetView topLeftCell="A10" zoomScale="110" zoomScaleNormal="110" workbookViewId="0">
      <selection activeCell="O8" sqref="O8"/>
    </sheetView>
  </sheetViews>
  <sheetFormatPr baseColWidth="10" defaultColWidth="9.140625" defaultRowHeight="12.75" x14ac:dyDescent="0.2"/>
  <cols>
    <col min="1" max="1" width="5.5703125" style="44" customWidth="1"/>
    <col min="2" max="2" width="15.140625" style="44" customWidth="1"/>
    <col min="3" max="3" width="14.140625" style="44" customWidth="1"/>
    <col min="4" max="4" width="26" style="44" customWidth="1"/>
    <col min="5" max="5" width="5" style="44" customWidth="1"/>
    <col min="6" max="6" width="7.85546875" style="44" hidden="1" customWidth="1"/>
    <col min="7" max="7" width="48.5703125" style="44" hidden="1" customWidth="1"/>
    <col min="8" max="8" width="9.28515625" style="44" customWidth="1"/>
    <col min="9" max="9" width="15.5703125" style="44" customWidth="1"/>
    <col min="10" max="10" width="14.7109375" style="44" customWidth="1"/>
    <col min="11" max="11" width="15.5703125" style="44" customWidth="1"/>
    <col min="12" max="12" width="0.28515625" style="44" customWidth="1"/>
    <col min="13" max="14" width="5.85546875" style="44" customWidth="1"/>
    <col min="15" max="15" width="12.5703125" style="44" customWidth="1"/>
    <col min="16" max="1024" width="9.140625" style="44"/>
    <col min="1025" max="16384" width="9.140625" style="45"/>
  </cols>
  <sheetData>
    <row r="1" spans="1:12" ht="18" customHeight="1" x14ac:dyDescent="0.2">
      <c r="A1" s="121" t="s">
        <v>14</v>
      </c>
      <c r="B1" s="121"/>
      <c r="C1" s="121"/>
      <c r="D1" s="121"/>
      <c r="E1" s="121"/>
      <c r="F1" s="121"/>
      <c r="G1" s="121"/>
      <c r="H1" s="121"/>
      <c r="I1" s="121"/>
      <c r="J1" s="42" t="s">
        <v>15</v>
      </c>
      <c r="K1" s="43" t="s">
        <v>73</v>
      </c>
    </row>
    <row r="2" spans="1:12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2" ht="18.75" customHeight="1" thickBot="1" x14ac:dyDescent="0.25">
      <c r="A3" s="122" t="s">
        <v>48</v>
      </c>
      <c r="B3" s="122"/>
      <c r="C3" s="122"/>
      <c r="D3" s="112" t="str">
        <f>'Necesidades Trimestrales'!C4</f>
        <v>040 - Ministerio de Salud</v>
      </c>
      <c r="E3" s="112"/>
      <c r="F3" s="112"/>
      <c r="G3" s="112"/>
      <c r="H3" s="112"/>
      <c r="I3" s="112"/>
      <c r="J3" s="112"/>
      <c r="K3" s="112"/>
    </row>
    <row r="4" spans="1:12" ht="18.75" customHeight="1" thickBot="1" x14ac:dyDescent="0.25">
      <c r="A4" s="123" t="s">
        <v>49</v>
      </c>
      <c r="B4" s="123"/>
      <c r="C4" s="123"/>
      <c r="D4" s="112" t="str">
        <f>'Necesidades Trimestrales'!C5</f>
        <v>024 - Hospital Interzonal de Niños</v>
      </c>
      <c r="E4" s="112"/>
      <c r="F4" s="112"/>
      <c r="G4" s="112"/>
      <c r="H4" s="112"/>
      <c r="I4" s="112"/>
      <c r="J4" s="112"/>
      <c r="K4" s="112"/>
    </row>
    <row r="5" spans="1:12" ht="18.75" customHeight="1" thickBot="1" x14ac:dyDescent="0.25">
      <c r="A5" s="123" t="s">
        <v>27</v>
      </c>
      <c r="B5" s="123"/>
      <c r="C5" s="123"/>
      <c r="D5" s="112" t="s">
        <v>51</v>
      </c>
      <c r="E5" s="112"/>
      <c r="F5" s="112"/>
      <c r="G5" s="112"/>
      <c r="H5" s="112"/>
      <c r="I5" s="112"/>
      <c r="J5" s="112"/>
      <c r="K5" s="112"/>
    </row>
    <row r="6" spans="1:12" ht="16.5" customHeight="1" thickBot="1" x14ac:dyDescent="0.25">
      <c r="A6" s="122" t="s">
        <v>50</v>
      </c>
      <c r="B6" s="122"/>
      <c r="C6" s="122"/>
      <c r="D6" s="112" t="s">
        <v>66</v>
      </c>
      <c r="E6" s="112"/>
      <c r="F6" s="112"/>
      <c r="G6" s="112"/>
      <c r="H6" s="112"/>
      <c r="I6" s="112"/>
      <c r="J6" s="112"/>
      <c r="K6" s="112"/>
    </row>
    <row r="7" spans="1:12" ht="16.5" customHeight="1" x14ac:dyDescent="0.2">
      <c r="A7" s="123" t="s">
        <v>16</v>
      </c>
      <c r="B7" s="123"/>
      <c r="C7" s="123"/>
      <c r="D7" s="112" t="str">
        <f>'Necesidades Trimestrales'!C7 &amp; "° Trimestre - Año " &amp; 'Necesidades Trimestrales'!C6</f>
        <v>2° Trimestre - Año 2021</v>
      </c>
      <c r="E7" s="112"/>
      <c r="F7" s="112"/>
      <c r="G7" s="112"/>
      <c r="H7" s="112"/>
      <c r="I7" s="112"/>
      <c r="J7" s="112"/>
      <c r="K7" s="112"/>
    </row>
    <row r="8" spans="1:12" ht="16.5" customHeight="1" x14ac:dyDescent="0.2">
      <c r="A8" s="116" t="s">
        <v>17</v>
      </c>
      <c r="B8" s="116"/>
      <c r="C8" s="116"/>
      <c r="D8" s="117" t="s">
        <v>69</v>
      </c>
      <c r="E8" s="117"/>
      <c r="F8" s="117"/>
      <c r="G8" s="117"/>
      <c r="H8" s="117"/>
      <c r="I8" s="117"/>
      <c r="J8" s="117"/>
      <c r="K8" s="117"/>
    </row>
    <row r="9" spans="1:12" ht="15.75" x14ac:dyDescent="0.2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2" ht="18.75" customHeight="1" x14ac:dyDescent="0.2">
      <c r="A10" s="118" t="s">
        <v>18</v>
      </c>
      <c r="B10" s="119" t="s">
        <v>19</v>
      </c>
      <c r="C10" s="119" t="s">
        <v>20</v>
      </c>
      <c r="D10" s="119"/>
      <c r="E10" s="119"/>
      <c r="F10" s="119"/>
      <c r="G10" s="119"/>
      <c r="H10" s="119" t="s">
        <v>21</v>
      </c>
      <c r="I10" s="119" t="s">
        <v>22</v>
      </c>
      <c r="J10" s="119" t="s">
        <v>23</v>
      </c>
      <c r="K10" s="120" t="s">
        <v>24</v>
      </c>
    </row>
    <row r="11" spans="1:12" ht="24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2" ht="27.75" customHeight="1" x14ac:dyDescent="0.2">
      <c r="A12" s="82">
        <v>1</v>
      </c>
      <c r="B12" s="83" t="str">
        <f>'Necesidades Trimestrales'!B10</f>
        <v>3.2.2-8698.1</v>
      </c>
      <c r="C12" s="114" t="str">
        <f>'Necesidades Trimestrales'!E10</f>
        <v>ALQ. EQ. DE LABORATORIO; DESCRIPCION: ALQUILER EQUIPO DE LABORATORIO</v>
      </c>
      <c r="D12" s="114"/>
      <c r="E12" s="114"/>
      <c r="F12" s="114"/>
      <c r="G12" s="114"/>
      <c r="H12" s="84" t="s">
        <v>62</v>
      </c>
      <c r="I12" s="85" t="str">
        <f>'Necesidades Trimestrales'!F10</f>
        <v>MES</v>
      </c>
      <c r="J12" s="86">
        <f>'Necesidades Trimestrales'!H10</f>
        <v>152000</v>
      </c>
      <c r="K12" s="87">
        <f>'Necesidades Trimestrales'!G10</f>
        <v>3</v>
      </c>
      <c r="L12"/>
    </row>
    <row r="13" spans="1:12" ht="39.75" customHeight="1" x14ac:dyDescent="0.2">
      <c r="A13" s="88">
        <v>2</v>
      </c>
      <c r="B13" s="89" t="str">
        <f>'Necesidades Trimestrales'!B11</f>
        <v>3.2.2-8698.1</v>
      </c>
      <c r="C13" s="115" t="str">
        <f>'Necesidades Trimestrales'!E11</f>
        <v>ALQ. EQ. DE LABORATORIO; DESCRIPCION: ALQUILER EQUIPO DE LABORATORIO</v>
      </c>
      <c r="D13" s="115"/>
      <c r="E13" s="115"/>
      <c r="F13" s="115"/>
      <c r="G13" s="115"/>
      <c r="H13" s="90" t="s">
        <v>62</v>
      </c>
      <c r="I13" s="91" t="str">
        <f>'Necesidades Trimestrales'!F11</f>
        <v>MES</v>
      </c>
      <c r="J13" s="92">
        <f>'Necesidades Trimestrales'!H11</f>
        <v>124000</v>
      </c>
      <c r="K13" s="93">
        <f>'Necesidades Trimestrales'!G11</f>
        <v>3</v>
      </c>
      <c r="L13"/>
    </row>
    <row r="14" spans="1:12" ht="42.75" customHeight="1" thickBot="1" x14ac:dyDescent="0.25">
      <c r="A14" s="88">
        <v>3</v>
      </c>
      <c r="B14" s="89" t="str">
        <f>'Necesidades Trimestrales'!B12</f>
        <v>3.2.2-8698.1</v>
      </c>
      <c r="C14" s="115" t="str">
        <f>'Necesidades Trimestrales'!E12</f>
        <v>ALQ. EQ. DE LABORATORIO; DESCRIPCION: ALQUILER EQUIPO DE LABORATORIO</v>
      </c>
      <c r="D14" s="115"/>
      <c r="E14" s="115"/>
      <c r="F14" s="115"/>
      <c r="G14" s="115"/>
      <c r="H14" s="90" t="s">
        <v>62</v>
      </c>
      <c r="I14" s="91" t="str">
        <f>'Necesidades Trimestrales'!F12</f>
        <v>MES</v>
      </c>
      <c r="J14" s="92">
        <f>'Necesidades Trimestrales'!H12</f>
        <v>114600</v>
      </c>
      <c r="K14" s="93">
        <f>'Necesidades Trimestrales'!G12</f>
        <v>3</v>
      </c>
      <c r="L14"/>
    </row>
    <row r="15" spans="1:12" ht="31.5" customHeight="1" thickBot="1" x14ac:dyDescent="0.25">
      <c r="A15" s="112" t="s">
        <v>70</v>
      </c>
      <c r="B15" s="112"/>
      <c r="C15" s="112"/>
      <c r="D15" s="112"/>
      <c r="E15" s="112"/>
      <c r="F15" s="112"/>
      <c r="G15" s="112"/>
      <c r="H15" s="112"/>
      <c r="I15" s="112"/>
      <c r="J15" s="113">
        <f>SUMPRODUCT(J12:J14,K12:K14)</f>
        <v>1171800</v>
      </c>
      <c r="K15" s="113"/>
      <c r="L15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="130" zoomScaleNormal="130" workbookViewId="0">
      <selection activeCell="A27" sqref="A2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9" t="s">
        <v>3</v>
      </c>
      <c r="B1" s="149"/>
      <c r="C1" s="149"/>
      <c r="D1" s="150">
        <f>'Necesidades Trimestrales'!C6</f>
        <v>2021</v>
      </c>
      <c r="E1" s="150"/>
      <c r="F1" s="3"/>
      <c r="G1" s="3"/>
      <c r="H1" s="4"/>
      <c r="I1" s="4"/>
      <c r="J1" s="4"/>
      <c r="K1" s="4"/>
      <c r="L1" s="4"/>
      <c r="M1" s="4"/>
      <c r="N1" s="4"/>
      <c r="P1" s="151" t="s">
        <v>25</v>
      </c>
      <c r="Q1" s="15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1"/>
      <c r="Q2" s="151"/>
    </row>
    <row r="4" spans="1:17" s="5" customFormat="1" ht="18" customHeight="1" thickBot="1" x14ac:dyDescent="0.25">
      <c r="A4" s="152" t="s">
        <v>26</v>
      </c>
      <c r="B4" s="152"/>
      <c r="C4" s="152"/>
      <c r="D4" s="152"/>
      <c r="E4" s="152"/>
      <c r="F4" s="152"/>
      <c r="G4" s="147" t="str">
        <f>' NotaPedido'!D3</f>
        <v>040 - Ministerio de Salud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</row>
    <row r="5" spans="1:17" s="5" customFormat="1" ht="18" customHeight="1" thickBot="1" x14ac:dyDescent="0.25">
      <c r="A5" s="144" t="s">
        <v>49</v>
      </c>
      <c r="B5" s="145"/>
      <c r="C5" s="145"/>
      <c r="D5" s="145"/>
      <c r="E5" s="145"/>
      <c r="F5" s="146"/>
      <c r="G5" s="147" t="str">
        <f>' NotaPedido'!D4</f>
        <v>024 - Hospital Interzonal de Niños</v>
      </c>
      <c r="H5" s="147"/>
      <c r="I5" s="147"/>
      <c r="J5" s="147"/>
      <c r="K5" s="147"/>
      <c r="L5" s="147"/>
      <c r="M5" s="147"/>
      <c r="N5" s="147"/>
      <c r="O5" s="147"/>
      <c r="P5" s="147"/>
      <c r="Q5" s="147"/>
    </row>
    <row r="6" spans="1:17" s="5" customFormat="1" ht="18" customHeight="1" thickBot="1" x14ac:dyDescent="0.25">
      <c r="A6" s="144" t="s">
        <v>27</v>
      </c>
      <c r="B6" s="145"/>
      <c r="C6" s="145"/>
      <c r="D6" s="145"/>
      <c r="E6" s="145"/>
      <c r="F6" s="146"/>
      <c r="G6" s="147" t="str">
        <f>' NotaPedido'!D5</f>
        <v>024 - Hospital Interzonal de Niños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</row>
    <row r="7" spans="1:17" s="5" customFormat="1" ht="18" customHeight="1" thickBot="1" x14ac:dyDescent="0.25">
      <c r="A7" s="144" t="s">
        <v>50</v>
      </c>
      <c r="B7" s="145"/>
      <c r="C7" s="145"/>
      <c r="D7" s="145"/>
      <c r="E7" s="145"/>
      <c r="F7" s="146"/>
      <c r="G7" s="147" t="str">
        <f>' NotaPedido'!D6</f>
        <v>Servicio de Laboratorio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</row>
    <row r="8" spans="1:17" ht="18" customHeight="1" thickBot="1" x14ac:dyDescent="0.25">
      <c r="A8" s="148" t="s">
        <v>28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</row>
    <row r="9" spans="1:17" ht="18" customHeight="1" x14ac:dyDescent="0.2">
      <c r="A9" s="138" t="s">
        <v>29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"/>
      <c r="P9" s="1"/>
      <c r="Q9" s="6"/>
    </row>
    <row r="10" spans="1:17" ht="54.75" customHeight="1" x14ac:dyDescent="0.2">
      <c r="A10" s="13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60/2021,  afectando la erogación resultante a los créditos presupuestarios aprobados a favor de esta Unidad Ejecutora, conforme al siguiente detalle: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0" t="s">
        <v>30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</row>
    <row r="13" spans="1:17" ht="15.75" customHeight="1" x14ac:dyDescent="0.2">
      <c r="A13" s="141" t="s">
        <v>31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2" t="s">
        <v>32</v>
      </c>
      <c r="P13" s="142"/>
      <c r="Q13" s="143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2"/>
      <c r="P14" s="142"/>
      <c r="Q14" s="143"/>
    </row>
    <row r="15" spans="1:17" ht="24.75" customHeight="1" x14ac:dyDescent="0.2">
      <c r="A15" s="62">
        <v>36</v>
      </c>
      <c r="B15" s="68"/>
      <c r="C15" s="68"/>
      <c r="D15" s="68">
        <v>1</v>
      </c>
      <c r="E15" s="68"/>
      <c r="F15" s="68">
        <v>4901</v>
      </c>
      <c r="G15" s="68">
        <v>3</v>
      </c>
      <c r="H15" s="68">
        <v>310</v>
      </c>
      <c r="I15" s="69" t="str">
        <f>LEFT('Necesidades Trimestrales'!D11,1)</f>
        <v>3</v>
      </c>
      <c r="J15" s="69">
        <v>3</v>
      </c>
      <c r="K15" s="69" t="str">
        <f>RIGHT('Necesidades Trimestrales'!D11,1)</f>
        <v>2</v>
      </c>
      <c r="L15" s="68"/>
      <c r="M15" s="63">
        <v>1</v>
      </c>
      <c r="N15" s="64" t="s">
        <v>53</v>
      </c>
      <c r="O15" s="134" t="s">
        <v>67</v>
      </c>
      <c r="P15" s="135"/>
      <c r="Q15" s="20">
        <v>1171800</v>
      </c>
    </row>
    <row r="16" spans="1:17" ht="17.25" customHeight="1" x14ac:dyDescent="0.2">
      <c r="A16" s="62"/>
      <c r="B16" s="66"/>
      <c r="C16" s="66"/>
      <c r="D16" s="66"/>
      <c r="E16" s="66"/>
      <c r="F16" s="66"/>
      <c r="G16" s="66"/>
      <c r="H16" s="66"/>
      <c r="I16" s="67"/>
      <c r="J16" s="67"/>
      <c r="K16" s="67"/>
      <c r="L16" s="66"/>
      <c r="M16" s="63"/>
      <c r="N16" s="64"/>
      <c r="O16" s="136"/>
      <c r="P16" s="129"/>
      <c r="Q16" s="20"/>
    </row>
    <row r="17" spans="1:18" ht="17.25" customHeight="1" x14ac:dyDescent="0.2">
      <c r="A17" s="62"/>
      <c r="B17" s="63"/>
      <c r="C17" s="63"/>
      <c r="D17" s="63"/>
      <c r="E17" s="63"/>
      <c r="F17" s="63"/>
      <c r="G17" s="63"/>
      <c r="H17" s="63"/>
      <c r="I17" s="65"/>
      <c r="J17" s="65"/>
      <c r="K17" s="65"/>
      <c r="L17" s="63"/>
      <c r="M17" s="63"/>
      <c r="N17" s="64"/>
      <c r="O17" s="136"/>
      <c r="P17" s="129"/>
      <c r="Q17" s="20"/>
    </row>
    <row r="18" spans="1:18" ht="23.25" customHeight="1" x14ac:dyDescent="0.2">
      <c r="A18" s="62"/>
      <c r="B18" s="63"/>
      <c r="C18" s="63"/>
      <c r="D18" s="63"/>
      <c r="E18" s="63"/>
      <c r="F18" s="63"/>
      <c r="G18" s="63"/>
      <c r="H18" s="63"/>
      <c r="I18" s="65"/>
      <c r="J18" s="65"/>
      <c r="K18" s="65"/>
      <c r="L18" s="63"/>
      <c r="M18" s="63"/>
      <c r="N18" s="64"/>
      <c r="O18" s="137"/>
      <c r="P18" s="129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29"/>
      <c r="P19" s="129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30"/>
      <c r="P20" s="130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31"/>
      <c r="P21" s="131"/>
      <c r="Q21" s="29"/>
    </row>
    <row r="22" spans="1:18" ht="29.25" customHeight="1" x14ac:dyDescent="0.2">
      <c r="A22" s="132" t="s">
        <v>71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30">
        <f>SUM(Q15:Q21)</f>
        <v>1171800</v>
      </c>
    </row>
    <row r="23" spans="1:18" ht="18" customHeight="1" thickBot="1" x14ac:dyDescent="0.25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</row>
    <row r="24" spans="1:18" ht="17.25" customHeight="1" thickBot="1" x14ac:dyDescent="0.25">
      <c r="A24" s="124" t="s">
        <v>47</v>
      </c>
      <c r="B24" s="125"/>
      <c r="C24" s="125"/>
      <c r="D24" s="125"/>
      <c r="E24" s="125"/>
      <c r="F24" s="126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8" ht="18" customHeight="1" thickBot="1" x14ac:dyDescent="0.25">
      <c r="A25" s="128" t="s">
        <v>72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spans="1:18" ht="15" customHeight="1" x14ac:dyDescent="0.2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2020-09-28T12:27:35Z</cp:lastPrinted>
  <dcterms:created xsi:type="dcterms:W3CDTF">2020-07-17T23:44:49Z</dcterms:created>
  <dcterms:modified xsi:type="dcterms:W3CDTF">2021-04-06T12:15:13Z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