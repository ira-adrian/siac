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terapia respiratoria\HNEP\nuevo\"/>
    </mc:Choice>
  </mc:AlternateContent>
  <xr:revisionPtr revIDLastSave="0" documentId="13_ncr:1_{A16F407F-E2C9-4FFC-9B4A-31B4BB47E809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Hoja1" sheetId="4" r:id="rId1"/>
  </sheets>
  <calcPr calcId="181029"/>
</workbook>
</file>

<file path=xl/calcChain.xml><?xml version="1.0" encoding="utf-8"?>
<calcChain xmlns="http://schemas.openxmlformats.org/spreadsheetml/2006/main">
  <c r="I50" i="4" l="1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52" i="4" s="1"/>
  <c r="I9" i="4"/>
</calcChain>
</file>

<file path=xl/sharedStrings.xml><?xml version="1.0" encoding="utf-8"?>
<sst xmlns="http://schemas.openxmlformats.org/spreadsheetml/2006/main" count="146" uniqueCount="63">
  <si>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</si>
  <si>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</si>
  <si>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</si>
  <si>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</si>
  <si>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</si>
  <si>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</si>
  <si>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</si>
  <si>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</si>
  <si>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</si>
  <si>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</si>
  <si>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</si>
  <si>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</si>
  <si>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</si>
  <si>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</si>
  <si>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040 - Ministerio de Salud</t>
  </si>
  <si>
    <t xml:space="preserve"> </t>
  </si>
  <si>
    <t>PROD. MEDICO/ FARMACEUTICOS/LAB</t>
  </si>
  <si>
    <t>UNIDAD</t>
  </si>
  <si>
    <t>CANULA NASAL PARA OXIGENOTERAPIA ADULTO</t>
  </si>
  <si>
    <t>CANULA NASAL PARA OXIGENOTERAPIA NEONATAL</t>
  </si>
  <si>
    <t>CANULA NASAL PARA OXIGENOTERAPIA PEDIATRICO</t>
  </si>
  <si>
    <t>CIRCUITO CERRADO P/ASPIRACION 7 FR</t>
  </si>
  <si>
    <t>FILTRO HME BACTERIAL VIRAL PARA CIRCUITO RESPIRADOR</t>
  </si>
  <si>
    <t>MASCARA CON BOLSA RESERVORIO PEDIATRICA</t>
  </si>
  <si>
    <t>MASCARA PARA NEBULIZAR PEDIATRICA COMPLETA MASCARA+PIPETA+TUBULADURA</t>
  </si>
  <si>
    <t>MASCARA PERFOMAX TOTAL FACE  TALLE G PARA VNI</t>
  </si>
  <si>
    <t>MASCARA PERFOMAX TOTAL FACE  TALLE XG PARA VNI</t>
  </si>
  <si>
    <t>RESUCITADOR MANUAL ADULTO REUTILIZABLE</t>
  </si>
  <si>
    <t xml:space="preserve">RESUCITADOR MANUAL PEDIATRICO REUTILIZABLE </t>
  </si>
  <si>
    <t>BOLSA DE ASPIRACION X 1 LTS SIN VALVULA TIPO ECOVAC</t>
  </si>
  <si>
    <t>BOLSA DE ASPIRACION X 2 LTS SIN VALVULA TIPO ECOVAC</t>
  </si>
  <si>
    <t>CANULA NASAL DE ALTO FLUJO TIPO OPTIFLOW INFANTIL F&amp;P OPT 316</t>
  </si>
  <si>
    <t xml:space="preserve">CANULA NASAL PARA ALTO FLUJO TIPO GGM  NEO  3.5 mm 4828 r1v </t>
  </si>
  <si>
    <t xml:space="preserve">CANULA NASAL PARA ALTO FLUJO TIPO GGM  PEDIATRICA 4mm 4824R1V </t>
  </si>
  <si>
    <t>CANULA PARA TRAQUEOSTOMIA  N°6  CON BALON</t>
  </si>
  <si>
    <t>CANULA PARA TRAQUEOSTOMIA  Nº 4  CON BALON</t>
  </si>
  <si>
    <t>CANULA PARA TRAQUEOSTOMIA  Nº 4  SIN BALON</t>
  </si>
  <si>
    <t>CANULA PARA TRAQUEOSTOMIA  Nº 41/2 CON BALON</t>
  </si>
  <si>
    <t>CANULA PARA TRAQUEOSTOMIA  Nº 41/2 SIN BALON</t>
  </si>
  <si>
    <t>CANULA PARA TRAQUEOSTOMIA N°3  CON BALON</t>
  </si>
  <si>
    <t>CANULA PARA TRAQUEOSTOMIA N°3  SIN BALON</t>
  </si>
  <si>
    <t>CANULA PARA TRAQUEOSTOMIA N°3,5 SIN  BALON</t>
  </si>
  <si>
    <t>CANULA PARA TRAQUEOSTOMIA N°5-5  CON BALON</t>
  </si>
  <si>
    <t>CANULA PARA TRAQUEOSTOMIA N°5-5  SIN BALON</t>
  </si>
  <si>
    <t>CANULA PARA TRAQUEOSTOMIA Nº 5 SIN BALON</t>
  </si>
  <si>
    <t>CANULA PARA TRAQUEOTOMIA  Nº 5 CON BALON</t>
  </si>
  <si>
    <t>CIRCUITO CERRADO P/ASPIRACION 6 FR</t>
  </si>
  <si>
    <t>CIRCUITO PARA ALTO FLUJO TIPO  FISHER PAYKEL PEDIATRICO/ADULTO  AIRVO</t>
  </si>
  <si>
    <t>CIRCUITO PARA ALTO FLUJO TIPO  HUMIDOFLO  PEDIATRICO/ADULTO</t>
  </si>
  <si>
    <t>CIRCUITO RESPIRATORIO PARA LACTANTES DE DOBLE RAMA SIN CAMARA CON COLECTOR DE AGUA ESPIRATORIA Y LINEA DE PRESION ( CAUDAL MAYOR 4 L/ MIN ) TIPO RT 125 FISCHER PAYKEL</t>
  </si>
  <si>
    <t>KIT DE CIRCUITOS RESPIRATORIOS PARA ADULTOS DE DOBLE RAMAL CON COLECTOR DE AGUA ESPIRATORIA Y LINEA DE PRESION CON CAMARA DE AUTOLLENADO TIPO FISHER PAYKEL RT 206</t>
  </si>
  <si>
    <t>MASCARA DE OXIGENO CON REGULADORES</t>
  </si>
  <si>
    <t>OXIMETRO DE PULSO PORTATIL</t>
  </si>
  <si>
    <t>RESUCITADOR MANUAL ADULTO DESCARTABLE</t>
  </si>
  <si>
    <t>RESUCITADOR MANUAL NEONATAL  DESCARTABLE</t>
  </si>
  <si>
    <t>RESUCITADOR MANUAL NEONATAL  REUTILIZABLE</t>
  </si>
  <si>
    <t>RESUCITADOR MANUAL PEDIATRICO DESCARTABLE</t>
  </si>
  <si>
    <t>TUBO MAYO GUEDEL N°4 X 30 UNIDADES</t>
  </si>
  <si>
    <t>BOLSA</t>
  </si>
  <si>
    <t>024 - Direccion de Administracion del Hospital Interzonal de Niños Eva Peron</t>
  </si>
  <si>
    <t xml:space="preserve">CAMARA HUMIDIFICADORA DESCARTABLE TIPO FISHER PAIKEL </t>
  </si>
  <si>
    <t xml:space="preserve">CANULA NASAL PARA ALTO FLUJO TIPO GGM NEO 2,5 mm 4827R1V </t>
  </si>
  <si>
    <t>CANULA NASAL DE ALTO FLUJO TIPO OPTIFLOW NEONATAL OPT 314 FISHER PAIKEL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</si>
</sst>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* #,##0.00&quot; €&quot;_-;\-* #,##0.00&quot; €&quot;_-;_-* \-??&quot; €&quot;_-;_-@_-"/>
    <numFmt numFmtId="166" formatCode="[$$-2C0A]\ #,##0.00;[$$-2C0A]&quot; -&quot;#,##0.00"/>
    <numFmt numFmtId="167" formatCode="&quot;$&quot;\ #,##0.00"/>
  </numFmts>
  <fonts count="1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2D69B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8">
    <xf numFmtId="0" fontId="0" fillId="0" borderId="0"/>
    <xf numFmtId="165" fontId="6" fillId="0" borderId="0" applyBorder="0" applyProtection="0"/>
    <xf numFmtId="0" fontId="4" fillId="0" borderId="1" applyProtection="0"/>
    <xf numFmtId="0" fontId="5" fillId="2" borderId="0" applyBorder="0" applyProtection="0"/>
    <xf numFmtId="0" fontId="6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51">
    <xf numFmtId="0" fontId="0" fillId="0" borderId="0" xfId="0"/>
    <xf numFmtId="0" fontId="7" fillId="0" borderId="0" xfId="0" applyFont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15" fillId="4" borderId="0" xfId="0" applyFont="1" applyFill="1" applyAlignment="1">
      <alignment horizontal="left" wrapText="1" indent="1"/>
    </xf>
    <xf numFmtId="0" fontId="11" fillId="3" borderId="0" xfId="0" applyFont="1" applyFill="1" applyAlignment="1">
      <alignment horizontal="left" wrapText="1"/>
    </xf>
    <xf numFmtId="167" fontId="12" fillId="0" borderId="0" xfId="0" applyNumberFormat="1" applyFont="1"/>
    <xf numFmtId="167" fontId="13" fillId="0" borderId="0" xfId="0" applyNumberFormat="1" applyFont="1" applyAlignment="1">
      <alignment horizontal="left" wrapText="1"/>
    </xf>
    <xf numFmtId="0" fontId="0" fillId="0" borderId="4" xfId="0" applyBorder="1"/>
    <xf numFmtId="0" fontId="12" fillId="0" borderId="5" xfId="0" applyFont="1" applyBorder="1" applyAlignment="1">
      <alignment horizontal="center" vertical="center"/>
    </xf>
    <xf numFmtId="166" fontId="12" fillId="4" borderId="6" xfId="1" applyNumberFormat="1" applyFont="1" applyFill="1" applyBorder="1" applyAlignment="1" applyProtection="1">
      <alignment horizontal="right" vertical="center" wrapText="1"/>
    </xf>
    <xf numFmtId="0" fontId="11" fillId="0" borderId="2" xfId="0" applyFont="1" applyBorder="1" applyAlignment="1">
      <alignment horizontal="center" vertical="center" wrapText="1"/>
    </xf>
    <xf numFmtId="167" fontId="16" fillId="0" borderId="2" xfId="0" applyNumberFormat="1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3" fontId="6" fillId="3" borderId="4" xfId="0" applyNumberFormat="1" applyFont="1" applyFill="1" applyBorder="1" applyAlignment="1">
      <alignment horizontal="center" vertical="center"/>
    </xf>
    <xf numFmtId="44" fontId="6" fillId="3" borderId="4" xfId="1" applyNumberFormat="1" applyFont="1" applyFill="1" applyBorder="1" applyAlignment="1">
      <alignment horizontal="center"/>
    </xf>
    <xf numFmtId="0" fontId="17" fillId="5" borderId="9" xfId="0" applyFont="1" applyFill="1" applyBorder="1" applyAlignment="1">
      <alignment vertical="center" wrapText="1"/>
    </xf>
    <xf numFmtId="44" fontId="6" fillId="3" borderId="4" xfId="1" applyNumberFormat="1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vertical="center" wrapText="1"/>
    </xf>
    <xf numFmtId="0" fontId="17" fillId="5" borderId="10" xfId="0" applyFont="1" applyFill="1" applyBorder="1" applyAlignment="1">
      <alignment vertical="center" wrapText="1"/>
    </xf>
    <xf numFmtId="0" fontId="0" fillId="5" borderId="10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44" fontId="6" fillId="0" borderId="4" xfId="1" applyNumberFormat="1" applyFont="1" applyFill="1" applyBorder="1" applyAlignment="1">
      <alignment horizontal="center"/>
    </xf>
    <xf numFmtId="0" fontId="7" fillId="0" borderId="11" xfId="0" applyFont="1" applyBorder="1"/>
    <xf numFmtId="0" fontId="6" fillId="3" borderId="4" xfId="0" applyFont="1" applyFill="1" applyBorder="1" applyAlignment="1">
      <alignment wrapText="1"/>
    </xf>
    <xf numFmtId="166" fontId="12" fillId="0" borderId="6" xfId="1" applyNumberFormat="1" applyFont="1" applyFill="1" applyBorder="1" applyAlignment="1" applyProtection="1">
      <alignment horizontal="right" vertical="center" wrapText="1"/>
    </xf>
    <xf numFmtId="0" fontId="17" fillId="0" borderId="9" xfId="0" applyFont="1" applyFill="1" applyBorder="1" applyAlignment="1">
      <alignment vertical="center" wrapText="1"/>
    </xf>
    <xf numFmtId="44" fontId="6" fillId="0" borderId="4" xfId="1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0" fillId="0" borderId="7" xfId="0" applyBorder="1"/>
    <xf numFmtId="0" fontId="6" fillId="3" borderId="7" xfId="0" applyFont="1" applyFill="1" applyBorder="1" applyAlignment="1">
      <alignment wrapText="1"/>
    </xf>
    <xf numFmtId="0" fontId="7" fillId="3" borderId="7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  <xf numFmtId="44" fontId="6" fillId="3" borderId="7" xfId="1" applyNumberFormat="1" applyFont="1" applyFill="1" applyBorder="1" applyAlignment="1">
      <alignment horizontal="center"/>
    </xf>
    <xf numFmtId="166" fontId="12" fillId="4" borderId="14" xfId="1" applyNumberFormat="1" applyFont="1" applyFill="1" applyBorder="1" applyAlignment="1" applyProtection="1">
      <alignment horizontal="right" vertical="center" wrapText="1"/>
    </xf>
    <xf numFmtId="0" fontId="17" fillId="5" borderId="7" xfId="0" applyFont="1" applyFill="1" applyBorder="1" applyAlignment="1">
      <alignment vertical="center" wrapText="1"/>
    </xf>
    <xf numFmtId="166" fontId="12" fillId="4" borderId="7" xfId="1" applyNumberFormat="1" applyFont="1" applyFill="1" applyBorder="1" applyAlignment="1" applyProtection="1">
      <alignment horizontal="right" vertical="center" wrapText="1"/>
    </xf>
    <xf numFmtId="0" fontId="14" fillId="0" borderId="11" xfId="0" applyFont="1" applyBorder="1"/>
    <xf numFmtId="167" fontId="12" fillId="0" borderId="11" xfId="0" applyNumberFormat="1" applyFont="1" applyBorder="1"/>
    <xf numFmtId="166" fontId="7" fillId="0" borderId="3" xfId="0" applyNumberFormat="1" applyFont="1" applyBorder="1"/>
    <xf numFmtId="0" fontId="17" fillId="5" borderId="9" xfId="0" applyFont="1" applyFill="1" applyBorder="1" applyAlignment="1">
      <alignment horizontal="left" vertical="center" wrapText="1"/>
    </xf>
    <xf numFmtId="0" fontId="17" fillId="0" borderId="9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/>
    </xf>
    <xf numFmtId="0" fontId="15" fillId="4" borderId="0" xfId="0" applyFont="1" applyFill="1" applyBorder="1" applyAlignment="1">
      <alignment horizontal="left" wrapText="1" indent="1"/>
    </xf>
    <xf numFmtId="0" fontId="7" fillId="0" borderId="15" xfId="0" applyFont="1" applyBorder="1"/>
    <xf numFmtId="0" fontId="12" fillId="0" borderId="4" xfId="0" applyFont="1" applyBorder="1" applyAlignment="1">
      <alignment horizontal="center" vertical="center"/>
    </xf>
  </cellXfs>
  <cellStyles count="8">
    <cellStyle name="Encabezado 1" xfId="2" xr:uid="{00000000-0005-0000-0000-000000000000}"/>
    <cellStyle name="Millares 2" xfId="5" xr:uid="{00000000-0005-0000-0000-000001000000}"/>
    <cellStyle name="Moneda" xfId="1" builtinId="4"/>
    <cellStyle name="Neutral 1" xfId="3" xr:uid="{00000000-0005-0000-0000-000004000000}"/>
    <cellStyle name="Normal" xfId="0" builtinId="0"/>
    <cellStyle name="Normal 2 3" xfId="4" xr:uid="{00000000-0005-0000-0000-000006000000}"/>
    <cellStyle name="Normal 3" xfId="6" xr:uid="{00000000-0005-0000-0000-000007000000}"/>
    <cellStyle name="Normal 4" xfId="7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DBE9-681D-4DA2-8426-C918413F7AC2}">
  <dimension ref="A1:I52"/>
  <sheetViews>
    <sheetView tabSelected="1" topLeftCell="A43" workbookViewId="0">
      <selection activeCell="I52" sqref="I52"/>
    </sheetView>
  </sheetViews>
  <sheetFormatPr baseColWidth="10" defaultRowHeight="12.75" x14ac:dyDescent="0.2"/>
  <cols>
    <col min="3" max="3" width="16.140625" customWidth="1"/>
    <col min="5" max="5" width="46" customWidth="1"/>
    <col min="8" max="8" width="22.7109375" customWidth="1"/>
  </cols>
  <sheetData>
    <row r="1" spans="1:9" ht="27" x14ac:dyDescent="0.35">
      <c r="A1" s="1"/>
      <c r="B1" s="47" t="s">
        <v>0</v>
      </c>
      <c r="C1" s="47"/>
      <c r="D1" s="47"/>
      <c r="E1" s="47"/>
      <c r="F1" s="47"/>
      <c r="G1" s="47"/>
      <c r="H1" s="47"/>
      <c r="I1" s="1"/>
    </row>
    <row r="2" spans="1:9" x14ac:dyDescent="0.2">
      <c r="A2" s="1"/>
      <c r="B2" s="1"/>
      <c r="C2" s="1"/>
      <c r="D2" s="1"/>
      <c r="E2" s="1"/>
      <c r="F2" s="1"/>
      <c r="G2" s="1"/>
      <c r="H2" s="6"/>
      <c r="I2" s="1"/>
    </row>
    <row r="3" spans="1:9" ht="15.75" x14ac:dyDescent="0.25">
      <c r="A3" s="46" t="s">
        <v>1</v>
      </c>
      <c r="B3" s="46"/>
      <c r="C3" s="48" t="s">
        <v>14</v>
      </c>
      <c r="D3" s="48"/>
      <c r="E3" s="48"/>
      <c r="F3" s="2"/>
      <c r="G3" s="3"/>
      <c r="H3" s="7"/>
      <c r="I3" s="1"/>
    </row>
    <row r="4" spans="1:9" ht="15.75" x14ac:dyDescent="0.25">
      <c r="A4" s="46" t="s">
        <v>2</v>
      </c>
      <c r="B4" s="46"/>
      <c r="C4" s="48" t="s">
        <v>59</v>
      </c>
      <c r="D4" s="48"/>
      <c r="E4" s="48"/>
      <c r="F4" s="2"/>
      <c r="G4" s="3" t="s">
        <v>15</v>
      </c>
      <c r="H4" s="7"/>
      <c r="I4" s="1"/>
    </row>
    <row r="5" spans="1:9" ht="15.75" x14ac:dyDescent="0.25">
      <c r="A5" s="46" t="s">
        <v>3</v>
      </c>
      <c r="B5" s="46"/>
      <c r="C5" s="4">
        <v>2022</v>
      </c>
      <c r="D5" s="5"/>
      <c r="E5" s="5"/>
      <c r="F5" s="2"/>
      <c r="G5" s="3"/>
      <c r="H5" s="7"/>
      <c r="I5" s="1"/>
    </row>
    <row r="6" spans="1:9" ht="15.75" x14ac:dyDescent="0.25">
      <c r="A6" s="46" t="s">
        <v>4</v>
      </c>
      <c r="B6" s="46"/>
      <c r="C6" s="4">
        <v>2</v>
      </c>
      <c r="D6" s="5"/>
      <c r="E6" s="5"/>
      <c r="F6" s="2"/>
      <c r="G6" s="3"/>
      <c r="H6" s="7"/>
      <c r="I6" s="1"/>
    </row>
    <row r="7" spans="1:9" ht="13.5" thickBot="1" x14ac:dyDescent="0.25">
      <c r="A7" s="1"/>
      <c r="B7" s="2"/>
      <c r="C7" s="3"/>
      <c r="D7" s="2"/>
      <c r="E7" s="2"/>
      <c r="F7" s="2"/>
      <c r="G7" s="3"/>
      <c r="H7" s="7"/>
      <c r="I7" s="1"/>
    </row>
    <row r="8" spans="1:9" ht="39" thickBot="1" x14ac:dyDescent="0.25">
      <c r="A8" s="11" t="s">
        <v>5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2" t="s">
        <v>12</v>
      </c>
      <c r="I8" s="11" t="s">
        <v>13</v>
      </c>
    </row>
    <row r="9" spans="1:9" ht="38.25" x14ac:dyDescent="0.2">
      <c r="A9" s="9">
        <v>1</v>
      </c>
      <c r="B9" s="8"/>
      <c r="C9" s="26" t="s">
        <v>16</v>
      </c>
      <c r="D9" s="13">
        <v>295</v>
      </c>
      <c r="E9" s="17" t="s">
        <v>29</v>
      </c>
      <c r="F9" s="14" t="s">
        <v>17</v>
      </c>
      <c r="G9" s="15">
        <v>10</v>
      </c>
      <c r="H9" s="16">
        <v>280</v>
      </c>
      <c r="I9" s="10">
        <f t="shared" ref="I9:I50" si="0">+G9*H9</f>
        <v>2800</v>
      </c>
    </row>
    <row r="10" spans="1:9" ht="38.25" x14ac:dyDescent="0.2">
      <c r="A10" s="9">
        <v>2</v>
      </c>
      <c r="B10" s="8"/>
      <c r="C10" s="26" t="s">
        <v>16</v>
      </c>
      <c r="D10" s="13">
        <v>295</v>
      </c>
      <c r="E10" s="17" t="s">
        <v>30</v>
      </c>
      <c r="F10" s="14" t="s">
        <v>17</v>
      </c>
      <c r="G10" s="15">
        <v>10</v>
      </c>
      <c r="H10" s="16">
        <v>360</v>
      </c>
      <c r="I10" s="10">
        <f t="shared" si="0"/>
        <v>3600</v>
      </c>
    </row>
    <row r="11" spans="1:9" ht="38.25" x14ac:dyDescent="0.2">
      <c r="A11" s="9">
        <v>3</v>
      </c>
      <c r="B11" s="8"/>
      <c r="C11" s="26" t="s">
        <v>16</v>
      </c>
      <c r="D11" s="13">
        <v>295</v>
      </c>
      <c r="E11" s="44" t="s">
        <v>60</v>
      </c>
      <c r="F11" s="14" t="s">
        <v>17</v>
      </c>
      <c r="G11" s="15">
        <v>500</v>
      </c>
      <c r="H11" s="16">
        <v>2800</v>
      </c>
      <c r="I11" s="10">
        <f t="shared" si="0"/>
        <v>1400000</v>
      </c>
    </row>
    <row r="12" spans="1:9" ht="38.25" x14ac:dyDescent="0.2">
      <c r="A12" s="9">
        <v>4</v>
      </c>
      <c r="B12" s="8"/>
      <c r="C12" s="26" t="s">
        <v>16</v>
      </c>
      <c r="D12" s="13">
        <v>295</v>
      </c>
      <c r="E12" s="45" t="s">
        <v>31</v>
      </c>
      <c r="F12" s="22" t="s">
        <v>17</v>
      </c>
      <c r="G12" s="23">
        <v>20</v>
      </c>
      <c r="H12" s="24">
        <v>12500</v>
      </c>
      <c r="I12" s="27">
        <f t="shared" si="0"/>
        <v>250000</v>
      </c>
    </row>
    <row r="13" spans="1:9" ht="38.25" x14ac:dyDescent="0.2">
      <c r="A13" s="9">
        <v>5</v>
      </c>
      <c r="B13" s="8"/>
      <c r="C13" s="26" t="s">
        <v>16</v>
      </c>
      <c r="D13" s="13">
        <v>295</v>
      </c>
      <c r="E13" s="17" t="s">
        <v>61</v>
      </c>
      <c r="F13" s="14" t="s">
        <v>17</v>
      </c>
      <c r="G13" s="15">
        <v>20</v>
      </c>
      <c r="H13" s="16">
        <v>7600</v>
      </c>
      <c r="I13" s="10">
        <f t="shared" si="0"/>
        <v>152000</v>
      </c>
    </row>
    <row r="14" spans="1:9" ht="38.25" x14ac:dyDescent="0.2">
      <c r="A14" s="9">
        <v>6</v>
      </c>
      <c r="B14" s="8"/>
      <c r="C14" s="26" t="s">
        <v>16</v>
      </c>
      <c r="D14" s="13">
        <v>295</v>
      </c>
      <c r="E14" s="17" t="s">
        <v>32</v>
      </c>
      <c r="F14" s="14" t="s">
        <v>17</v>
      </c>
      <c r="G14" s="15">
        <v>10</v>
      </c>
      <c r="H14" s="16">
        <v>7600</v>
      </c>
      <c r="I14" s="10">
        <f t="shared" si="0"/>
        <v>76000</v>
      </c>
    </row>
    <row r="15" spans="1:9" ht="38.25" x14ac:dyDescent="0.2">
      <c r="A15" s="9">
        <v>7</v>
      </c>
      <c r="B15" s="8"/>
      <c r="C15" s="26" t="s">
        <v>16</v>
      </c>
      <c r="D15" s="13">
        <v>295</v>
      </c>
      <c r="E15" s="17" t="s">
        <v>33</v>
      </c>
      <c r="F15" s="14" t="s">
        <v>17</v>
      </c>
      <c r="G15" s="15">
        <v>10</v>
      </c>
      <c r="H15" s="16">
        <v>7600</v>
      </c>
      <c r="I15" s="10">
        <f t="shared" si="0"/>
        <v>76000</v>
      </c>
    </row>
    <row r="16" spans="1:9" ht="38.25" x14ac:dyDescent="0.2">
      <c r="A16" s="9">
        <v>8</v>
      </c>
      <c r="B16" s="8"/>
      <c r="C16" s="26" t="s">
        <v>16</v>
      </c>
      <c r="D16" s="13">
        <v>295</v>
      </c>
      <c r="E16" s="17" t="s">
        <v>18</v>
      </c>
      <c r="F16" s="14" t="s">
        <v>17</v>
      </c>
      <c r="G16" s="15">
        <v>200</v>
      </c>
      <c r="H16" s="16">
        <v>124</v>
      </c>
      <c r="I16" s="10">
        <f t="shared" si="0"/>
        <v>24800</v>
      </c>
    </row>
    <row r="17" spans="1:9" ht="38.25" x14ac:dyDescent="0.2">
      <c r="A17" s="9">
        <v>9</v>
      </c>
      <c r="B17" s="8"/>
      <c r="C17" s="26" t="s">
        <v>16</v>
      </c>
      <c r="D17" s="13">
        <v>295</v>
      </c>
      <c r="E17" s="17" t="s">
        <v>19</v>
      </c>
      <c r="F17" s="14" t="s">
        <v>17</v>
      </c>
      <c r="G17" s="15">
        <v>500</v>
      </c>
      <c r="H17" s="16">
        <v>189</v>
      </c>
      <c r="I17" s="10">
        <f t="shared" si="0"/>
        <v>94500</v>
      </c>
    </row>
    <row r="18" spans="1:9" ht="38.25" x14ac:dyDescent="0.2">
      <c r="A18" s="9">
        <v>10</v>
      </c>
      <c r="B18" s="8"/>
      <c r="C18" s="26" t="s">
        <v>16</v>
      </c>
      <c r="D18" s="13">
        <v>295</v>
      </c>
      <c r="E18" s="17" t="s">
        <v>20</v>
      </c>
      <c r="F18" s="14" t="s">
        <v>17</v>
      </c>
      <c r="G18" s="15">
        <v>500</v>
      </c>
      <c r="H18" s="16">
        <v>124</v>
      </c>
      <c r="I18" s="10">
        <f t="shared" si="0"/>
        <v>62000</v>
      </c>
    </row>
    <row r="19" spans="1:9" ht="38.25" x14ac:dyDescent="0.2">
      <c r="A19" s="9">
        <v>11</v>
      </c>
      <c r="B19" s="8"/>
      <c r="C19" s="26" t="s">
        <v>16</v>
      </c>
      <c r="D19" s="13">
        <v>295</v>
      </c>
      <c r="E19" s="17" t="s">
        <v>34</v>
      </c>
      <c r="F19" s="14" t="s">
        <v>17</v>
      </c>
      <c r="G19" s="15">
        <v>20</v>
      </c>
      <c r="H19" s="16">
        <v>960</v>
      </c>
      <c r="I19" s="10">
        <f t="shared" si="0"/>
        <v>19200</v>
      </c>
    </row>
    <row r="20" spans="1:9" ht="38.25" x14ac:dyDescent="0.2">
      <c r="A20" s="9">
        <v>12</v>
      </c>
      <c r="B20" s="8"/>
      <c r="C20" s="26" t="s">
        <v>16</v>
      </c>
      <c r="D20" s="13">
        <v>295</v>
      </c>
      <c r="E20" s="17" t="s">
        <v>35</v>
      </c>
      <c r="F20" s="14" t="s">
        <v>17</v>
      </c>
      <c r="G20" s="15">
        <v>30</v>
      </c>
      <c r="H20" s="16">
        <v>960</v>
      </c>
      <c r="I20" s="10">
        <f t="shared" si="0"/>
        <v>28800</v>
      </c>
    </row>
    <row r="21" spans="1:9" ht="38.25" x14ac:dyDescent="0.2">
      <c r="A21" s="9">
        <v>13</v>
      </c>
      <c r="B21" s="8"/>
      <c r="C21" s="26" t="s">
        <v>16</v>
      </c>
      <c r="D21" s="13">
        <v>295</v>
      </c>
      <c r="E21" s="17" t="s">
        <v>36</v>
      </c>
      <c r="F21" s="14" t="s">
        <v>17</v>
      </c>
      <c r="G21" s="15">
        <v>10</v>
      </c>
      <c r="H21" s="16">
        <v>960</v>
      </c>
      <c r="I21" s="10">
        <f t="shared" si="0"/>
        <v>9600</v>
      </c>
    </row>
    <row r="22" spans="1:9" ht="38.25" x14ac:dyDescent="0.2">
      <c r="A22" s="9">
        <v>14</v>
      </c>
      <c r="B22" s="8"/>
      <c r="C22" s="26" t="s">
        <v>16</v>
      </c>
      <c r="D22" s="13">
        <v>295</v>
      </c>
      <c r="E22" s="17" t="s">
        <v>37</v>
      </c>
      <c r="F22" s="14" t="s">
        <v>17</v>
      </c>
      <c r="G22" s="15">
        <v>10</v>
      </c>
      <c r="H22" s="16">
        <v>960</v>
      </c>
      <c r="I22" s="10">
        <f t="shared" si="0"/>
        <v>9600</v>
      </c>
    </row>
    <row r="23" spans="1:9" ht="38.25" x14ac:dyDescent="0.2">
      <c r="A23" s="9">
        <v>15</v>
      </c>
      <c r="B23" s="8"/>
      <c r="C23" s="26" t="s">
        <v>16</v>
      </c>
      <c r="D23" s="13">
        <v>295</v>
      </c>
      <c r="E23" s="17" t="s">
        <v>38</v>
      </c>
      <c r="F23" s="14" t="s">
        <v>17</v>
      </c>
      <c r="G23" s="15">
        <v>10</v>
      </c>
      <c r="H23" s="16">
        <v>960</v>
      </c>
      <c r="I23" s="10">
        <f t="shared" si="0"/>
        <v>9600</v>
      </c>
    </row>
    <row r="24" spans="1:9" ht="38.25" x14ac:dyDescent="0.2">
      <c r="A24" s="9">
        <v>16</v>
      </c>
      <c r="B24" s="8"/>
      <c r="C24" s="26" t="s">
        <v>16</v>
      </c>
      <c r="D24" s="13">
        <v>295</v>
      </c>
      <c r="E24" s="17" t="s">
        <v>39</v>
      </c>
      <c r="F24" s="14" t="s">
        <v>17</v>
      </c>
      <c r="G24" s="15">
        <v>10</v>
      </c>
      <c r="H24" s="16">
        <v>960</v>
      </c>
      <c r="I24" s="10">
        <f t="shared" si="0"/>
        <v>9600</v>
      </c>
    </row>
    <row r="25" spans="1:9" ht="38.25" x14ac:dyDescent="0.2">
      <c r="A25" s="9">
        <v>17</v>
      </c>
      <c r="B25" s="8"/>
      <c r="C25" s="26" t="s">
        <v>16</v>
      </c>
      <c r="D25" s="13">
        <v>295</v>
      </c>
      <c r="E25" s="17" t="s">
        <v>40</v>
      </c>
      <c r="F25" s="14" t="s">
        <v>17</v>
      </c>
      <c r="G25" s="15">
        <v>10</v>
      </c>
      <c r="H25" s="16">
        <v>960</v>
      </c>
      <c r="I25" s="10">
        <f t="shared" si="0"/>
        <v>9600</v>
      </c>
    </row>
    <row r="26" spans="1:9" ht="38.25" x14ac:dyDescent="0.2">
      <c r="A26" s="9">
        <v>18</v>
      </c>
      <c r="B26" s="8"/>
      <c r="C26" s="26" t="s">
        <v>16</v>
      </c>
      <c r="D26" s="13">
        <v>295</v>
      </c>
      <c r="E26" s="17" t="s">
        <v>41</v>
      </c>
      <c r="F26" s="14" t="s">
        <v>17</v>
      </c>
      <c r="G26" s="15">
        <v>10</v>
      </c>
      <c r="H26" s="16">
        <v>960</v>
      </c>
      <c r="I26" s="10">
        <f t="shared" si="0"/>
        <v>9600</v>
      </c>
    </row>
    <row r="27" spans="1:9" ht="38.25" x14ac:dyDescent="0.2">
      <c r="A27" s="9">
        <v>19</v>
      </c>
      <c r="B27" s="8"/>
      <c r="C27" s="26" t="s">
        <v>16</v>
      </c>
      <c r="D27" s="13">
        <v>295</v>
      </c>
      <c r="E27" s="17" t="s">
        <v>42</v>
      </c>
      <c r="F27" s="14" t="s">
        <v>17</v>
      </c>
      <c r="G27" s="15">
        <v>20</v>
      </c>
      <c r="H27" s="16">
        <v>960</v>
      </c>
      <c r="I27" s="10">
        <f t="shared" si="0"/>
        <v>19200</v>
      </c>
    </row>
    <row r="28" spans="1:9" ht="38.25" x14ac:dyDescent="0.2">
      <c r="A28" s="9">
        <v>20</v>
      </c>
      <c r="B28" s="8"/>
      <c r="C28" s="26" t="s">
        <v>16</v>
      </c>
      <c r="D28" s="13">
        <v>295</v>
      </c>
      <c r="E28" s="17" t="s">
        <v>43</v>
      </c>
      <c r="F28" s="14" t="s">
        <v>17</v>
      </c>
      <c r="G28" s="15">
        <v>20</v>
      </c>
      <c r="H28" s="16">
        <v>960</v>
      </c>
      <c r="I28" s="10">
        <f t="shared" si="0"/>
        <v>19200</v>
      </c>
    </row>
    <row r="29" spans="1:9" ht="38.25" x14ac:dyDescent="0.2">
      <c r="A29" s="9">
        <v>21</v>
      </c>
      <c r="B29" s="8"/>
      <c r="C29" s="26" t="s">
        <v>16</v>
      </c>
      <c r="D29" s="13">
        <v>295</v>
      </c>
      <c r="E29" s="17" t="s">
        <v>44</v>
      </c>
      <c r="F29" s="14" t="s">
        <v>17</v>
      </c>
      <c r="G29" s="15">
        <v>20</v>
      </c>
      <c r="H29" s="16">
        <v>960</v>
      </c>
      <c r="I29" s="10">
        <f t="shared" si="0"/>
        <v>19200</v>
      </c>
    </row>
    <row r="30" spans="1:9" ht="38.25" x14ac:dyDescent="0.2">
      <c r="A30" s="9">
        <v>22</v>
      </c>
      <c r="B30" s="8"/>
      <c r="C30" s="26" t="s">
        <v>16</v>
      </c>
      <c r="D30" s="13">
        <v>295</v>
      </c>
      <c r="E30" s="17" t="s">
        <v>45</v>
      </c>
      <c r="F30" s="14" t="s">
        <v>17</v>
      </c>
      <c r="G30" s="15">
        <v>10</v>
      </c>
      <c r="H30" s="16">
        <v>960</v>
      </c>
      <c r="I30" s="10">
        <f t="shared" si="0"/>
        <v>9600</v>
      </c>
    </row>
    <row r="31" spans="1:9" ht="38.25" x14ac:dyDescent="0.2">
      <c r="A31" s="9">
        <v>23</v>
      </c>
      <c r="B31" s="8"/>
      <c r="C31" s="26" t="s">
        <v>16</v>
      </c>
      <c r="D31" s="13">
        <v>295</v>
      </c>
      <c r="E31" s="17" t="s">
        <v>46</v>
      </c>
      <c r="F31" s="14" t="s">
        <v>17</v>
      </c>
      <c r="G31" s="15">
        <v>10</v>
      </c>
      <c r="H31" s="16">
        <v>1950</v>
      </c>
      <c r="I31" s="10">
        <f t="shared" si="0"/>
        <v>19500</v>
      </c>
    </row>
    <row r="32" spans="1:9" ht="38.25" x14ac:dyDescent="0.2">
      <c r="A32" s="9">
        <v>24</v>
      </c>
      <c r="B32" s="8"/>
      <c r="C32" s="26" t="s">
        <v>16</v>
      </c>
      <c r="D32" s="13">
        <v>295</v>
      </c>
      <c r="E32" s="17" t="s">
        <v>21</v>
      </c>
      <c r="F32" s="14" t="s">
        <v>17</v>
      </c>
      <c r="G32" s="15">
        <v>10</v>
      </c>
      <c r="H32" s="16">
        <v>1950</v>
      </c>
      <c r="I32" s="10">
        <f t="shared" si="0"/>
        <v>19500</v>
      </c>
    </row>
    <row r="33" spans="1:9" ht="38.25" x14ac:dyDescent="0.2">
      <c r="A33" s="9">
        <v>25</v>
      </c>
      <c r="B33" s="8"/>
      <c r="C33" s="26" t="s">
        <v>16</v>
      </c>
      <c r="D33" s="13">
        <v>295</v>
      </c>
      <c r="E33" s="17" t="s">
        <v>47</v>
      </c>
      <c r="F33" s="14" t="s">
        <v>17</v>
      </c>
      <c r="G33" s="15">
        <v>20</v>
      </c>
      <c r="H33" s="18">
        <v>29000</v>
      </c>
      <c r="I33" s="10">
        <f t="shared" si="0"/>
        <v>580000</v>
      </c>
    </row>
    <row r="34" spans="1:9" ht="38.25" x14ac:dyDescent="0.2">
      <c r="A34" s="9">
        <v>26</v>
      </c>
      <c r="B34" s="8"/>
      <c r="C34" s="26" t="s">
        <v>16</v>
      </c>
      <c r="D34" s="13">
        <v>295</v>
      </c>
      <c r="E34" s="17" t="s">
        <v>48</v>
      </c>
      <c r="F34" s="14" t="s">
        <v>17</v>
      </c>
      <c r="G34" s="15">
        <v>20</v>
      </c>
      <c r="H34" s="18">
        <v>7890</v>
      </c>
      <c r="I34" s="10">
        <f t="shared" si="0"/>
        <v>157800</v>
      </c>
    </row>
    <row r="35" spans="1:9" ht="63.75" x14ac:dyDescent="0.2">
      <c r="A35" s="9">
        <v>27</v>
      </c>
      <c r="B35" s="8"/>
      <c r="C35" s="26" t="s">
        <v>16</v>
      </c>
      <c r="D35" s="13">
        <v>295</v>
      </c>
      <c r="E35" s="28" t="s">
        <v>49</v>
      </c>
      <c r="F35" s="22" t="s">
        <v>17</v>
      </c>
      <c r="G35" s="23">
        <v>300</v>
      </c>
      <c r="H35" s="29">
        <v>8900</v>
      </c>
      <c r="I35" s="27">
        <f t="shared" si="0"/>
        <v>2670000</v>
      </c>
    </row>
    <row r="36" spans="1:9" ht="38.25" x14ac:dyDescent="0.2">
      <c r="A36" s="9">
        <v>28</v>
      </c>
      <c r="B36" s="8"/>
      <c r="C36" s="26" t="s">
        <v>16</v>
      </c>
      <c r="D36" s="13">
        <v>295</v>
      </c>
      <c r="E36" s="20" t="s">
        <v>22</v>
      </c>
      <c r="F36" s="14" t="s">
        <v>17</v>
      </c>
      <c r="G36" s="15">
        <v>300</v>
      </c>
      <c r="H36" s="16">
        <v>290</v>
      </c>
      <c r="I36" s="10">
        <f t="shared" si="0"/>
        <v>87000</v>
      </c>
    </row>
    <row r="37" spans="1:9" ht="63.75" x14ac:dyDescent="0.2">
      <c r="A37" s="9">
        <v>29</v>
      </c>
      <c r="B37" s="8"/>
      <c r="C37" s="26" t="s">
        <v>16</v>
      </c>
      <c r="D37" s="13">
        <v>295</v>
      </c>
      <c r="E37" s="19" t="s">
        <v>50</v>
      </c>
      <c r="F37" s="14" t="s">
        <v>17</v>
      </c>
      <c r="G37" s="15">
        <v>200</v>
      </c>
      <c r="H37" s="18">
        <v>13800</v>
      </c>
      <c r="I37" s="10">
        <f t="shared" si="0"/>
        <v>2760000</v>
      </c>
    </row>
    <row r="38" spans="1:9" ht="38.25" x14ac:dyDescent="0.2">
      <c r="A38" s="9">
        <v>30</v>
      </c>
      <c r="B38" s="8"/>
      <c r="C38" s="26" t="s">
        <v>16</v>
      </c>
      <c r="D38" s="13">
        <v>295</v>
      </c>
      <c r="E38" s="20" t="s">
        <v>23</v>
      </c>
      <c r="F38" s="14" t="s">
        <v>17</v>
      </c>
      <c r="G38" s="15">
        <v>400</v>
      </c>
      <c r="H38" s="16">
        <v>380</v>
      </c>
      <c r="I38" s="10">
        <f t="shared" si="0"/>
        <v>152000</v>
      </c>
    </row>
    <row r="39" spans="1:9" ht="38.25" x14ac:dyDescent="0.2">
      <c r="A39" s="9">
        <v>31</v>
      </c>
      <c r="B39" s="8"/>
      <c r="C39" s="26" t="s">
        <v>16</v>
      </c>
      <c r="D39" s="13">
        <v>295</v>
      </c>
      <c r="E39" s="20" t="s">
        <v>51</v>
      </c>
      <c r="F39" s="14" t="s">
        <v>17</v>
      </c>
      <c r="G39" s="15">
        <v>100</v>
      </c>
      <c r="H39" s="16">
        <v>360</v>
      </c>
      <c r="I39" s="10">
        <f t="shared" si="0"/>
        <v>36000</v>
      </c>
    </row>
    <row r="40" spans="1:9" ht="38.25" x14ac:dyDescent="0.2">
      <c r="A40" s="9">
        <v>32</v>
      </c>
      <c r="B40" s="8"/>
      <c r="C40" s="26" t="s">
        <v>16</v>
      </c>
      <c r="D40" s="13">
        <v>295</v>
      </c>
      <c r="E40" s="20" t="s">
        <v>24</v>
      </c>
      <c r="F40" s="14" t="s">
        <v>17</v>
      </c>
      <c r="G40" s="15">
        <v>400</v>
      </c>
      <c r="H40" s="16">
        <v>270</v>
      </c>
      <c r="I40" s="10">
        <f t="shared" si="0"/>
        <v>108000</v>
      </c>
    </row>
    <row r="41" spans="1:9" ht="38.25" x14ac:dyDescent="0.2">
      <c r="A41" s="9">
        <v>33</v>
      </c>
      <c r="B41" s="8"/>
      <c r="C41" s="26" t="s">
        <v>16</v>
      </c>
      <c r="D41" s="13">
        <v>295</v>
      </c>
      <c r="E41" s="20" t="s">
        <v>25</v>
      </c>
      <c r="F41" s="14" t="s">
        <v>17</v>
      </c>
      <c r="G41" s="15">
        <v>1</v>
      </c>
      <c r="H41" s="16">
        <v>38000</v>
      </c>
      <c r="I41" s="10">
        <f t="shared" si="0"/>
        <v>38000</v>
      </c>
    </row>
    <row r="42" spans="1:9" ht="38.25" x14ac:dyDescent="0.2">
      <c r="A42" s="9">
        <v>34</v>
      </c>
      <c r="B42" s="8"/>
      <c r="C42" s="26" t="s">
        <v>16</v>
      </c>
      <c r="D42" s="13">
        <v>295</v>
      </c>
      <c r="E42" s="20" t="s">
        <v>26</v>
      </c>
      <c r="F42" s="14" t="s">
        <v>17</v>
      </c>
      <c r="G42" s="15">
        <v>1</v>
      </c>
      <c r="H42" s="16">
        <v>38000</v>
      </c>
      <c r="I42" s="10">
        <f t="shared" si="0"/>
        <v>38000</v>
      </c>
    </row>
    <row r="43" spans="1:9" ht="38.25" x14ac:dyDescent="0.2">
      <c r="A43" s="9">
        <v>35</v>
      </c>
      <c r="B43" s="8"/>
      <c r="C43" s="26" t="s">
        <v>16</v>
      </c>
      <c r="D43" s="13">
        <v>295</v>
      </c>
      <c r="E43" s="20" t="s">
        <v>52</v>
      </c>
      <c r="F43" s="14" t="s">
        <v>17</v>
      </c>
      <c r="G43" s="15">
        <v>4</v>
      </c>
      <c r="H43" s="16">
        <v>2100</v>
      </c>
      <c r="I43" s="10">
        <f t="shared" si="0"/>
        <v>8400</v>
      </c>
    </row>
    <row r="44" spans="1:9" ht="38.25" x14ac:dyDescent="0.2">
      <c r="A44" s="9">
        <v>36</v>
      </c>
      <c r="B44" s="8"/>
      <c r="C44" s="26" t="s">
        <v>16</v>
      </c>
      <c r="D44" s="13">
        <v>295</v>
      </c>
      <c r="E44" s="21" t="s">
        <v>53</v>
      </c>
      <c r="F44" s="14" t="s">
        <v>17</v>
      </c>
      <c r="G44" s="15">
        <v>20</v>
      </c>
      <c r="H44" s="16">
        <v>2300</v>
      </c>
      <c r="I44" s="10">
        <f t="shared" si="0"/>
        <v>46000</v>
      </c>
    </row>
    <row r="45" spans="1:9" ht="38.25" x14ac:dyDescent="0.2">
      <c r="A45" s="9">
        <v>37</v>
      </c>
      <c r="B45" s="8"/>
      <c r="C45" s="26" t="s">
        <v>16</v>
      </c>
      <c r="D45" s="13">
        <v>295</v>
      </c>
      <c r="E45" s="21" t="s">
        <v>27</v>
      </c>
      <c r="F45" s="14" t="s">
        <v>17</v>
      </c>
      <c r="G45" s="15">
        <v>10</v>
      </c>
      <c r="H45" s="16">
        <v>8200</v>
      </c>
      <c r="I45" s="10">
        <f t="shared" si="0"/>
        <v>82000</v>
      </c>
    </row>
    <row r="46" spans="1:9" ht="38.25" x14ac:dyDescent="0.2">
      <c r="A46" s="9">
        <v>38</v>
      </c>
      <c r="B46" s="8"/>
      <c r="C46" s="26" t="s">
        <v>16</v>
      </c>
      <c r="D46" s="13">
        <v>295</v>
      </c>
      <c r="E46" s="20" t="s">
        <v>54</v>
      </c>
      <c r="F46" s="14" t="s">
        <v>17</v>
      </c>
      <c r="G46" s="15">
        <v>20</v>
      </c>
      <c r="H46" s="16">
        <v>2300</v>
      </c>
      <c r="I46" s="10">
        <f t="shared" si="0"/>
        <v>46000</v>
      </c>
    </row>
    <row r="47" spans="1:9" ht="38.25" x14ac:dyDescent="0.2">
      <c r="A47" s="9">
        <v>39</v>
      </c>
      <c r="B47" s="8"/>
      <c r="C47" s="26" t="s">
        <v>16</v>
      </c>
      <c r="D47" s="13">
        <v>295</v>
      </c>
      <c r="E47" s="20" t="s">
        <v>55</v>
      </c>
      <c r="F47" s="14" t="s">
        <v>17</v>
      </c>
      <c r="G47" s="15">
        <v>10</v>
      </c>
      <c r="H47" s="16">
        <v>8200</v>
      </c>
      <c r="I47" s="10">
        <f t="shared" si="0"/>
        <v>82000</v>
      </c>
    </row>
    <row r="48" spans="1:9" ht="38.25" x14ac:dyDescent="0.2">
      <c r="A48" s="9">
        <v>40</v>
      </c>
      <c r="B48" s="8"/>
      <c r="C48" s="26" t="s">
        <v>16</v>
      </c>
      <c r="D48" s="13">
        <v>295</v>
      </c>
      <c r="E48" s="21" t="s">
        <v>56</v>
      </c>
      <c r="F48" s="14" t="s">
        <v>17</v>
      </c>
      <c r="G48" s="15">
        <v>20</v>
      </c>
      <c r="H48" s="16">
        <v>2300</v>
      </c>
      <c r="I48" s="10">
        <f t="shared" si="0"/>
        <v>46000</v>
      </c>
    </row>
    <row r="49" spans="1:9" ht="38.25" x14ac:dyDescent="0.2">
      <c r="A49" s="9">
        <v>41</v>
      </c>
      <c r="B49" s="8"/>
      <c r="C49" s="26" t="s">
        <v>16</v>
      </c>
      <c r="D49" s="13">
        <v>295</v>
      </c>
      <c r="E49" s="21" t="s">
        <v>28</v>
      </c>
      <c r="F49" s="14" t="s">
        <v>17</v>
      </c>
      <c r="G49" s="15">
        <v>10</v>
      </c>
      <c r="H49" s="16">
        <v>8200</v>
      </c>
      <c r="I49" s="10">
        <f t="shared" si="0"/>
        <v>82000</v>
      </c>
    </row>
    <row r="50" spans="1:9" ht="38.25" x14ac:dyDescent="0.2">
      <c r="A50" s="30">
        <v>42</v>
      </c>
      <c r="B50" s="31"/>
      <c r="C50" s="32" t="s">
        <v>16</v>
      </c>
      <c r="D50" s="33">
        <v>295</v>
      </c>
      <c r="E50" s="34" t="s">
        <v>57</v>
      </c>
      <c r="F50" s="35" t="s">
        <v>58</v>
      </c>
      <c r="G50" s="36">
        <v>1</v>
      </c>
      <c r="H50" s="37">
        <v>2200</v>
      </c>
      <c r="I50" s="38">
        <f t="shared" si="0"/>
        <v>2200</v>
      </c>
    </row>
    <row r="51" spans="1:9" ht="39" thickBot="1" x14ac:dyDescent="0.25">
      <c r="A51" s="50">
        <v>43</v>
      </c>
      <c r="B51" s="31"/>
      <c r="C51" s="32" t="s">
        <v>16</v>
      </c>
      <c r="D51" s="33">
        <v>295</v>
      </c>
      <c r="E51" s="39" t="s">
        <v>62</v>
      </c>
      <c r="F51" s="35" t="s">
        <v>17</v>
      </c>
      <c r="G51" s="36">
        <v>20</v>
      </c>
      <c r="H51" s="37">
        <v>12500</v>
      </c>
      <c r="I51" s="40">
        <v>250000</v>
      </c>
    </row>
    <row r="52" spans="1:9" ht="13.5" thickBot="1" x14ac:dyDescent="0.25">
      <c r="A52" s="49"/>
      <c r="B52" s="41"/>
      <c r="C52" s="25"/>
      <c r="D52" s="25"/>
      <c r="E52" s="25"/>
      <c r="F52" s="25"/>
      <c r="G52" s="25"/>
      <c r="H52" s="42"/>
      <c r="I52" s="43">
        <f>SUM(I9:I51)</f>
        <v>9624900</v>
      </c>
    </row>
  </sheetData>
  <mergeCells count="7">
    <mergeCell ref="A6:B6"/>
    <mergeCell ref="B1:H1"/>
    <mergeCell ref="A3:B3"/>
    <mergeCell ref="C3:E3"/>
    <mergeCell ref="A4:B4"/>
    <mergeCell ref="C4:E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2022-05-16T14:00:19Z</cp:lastPrinted>
  <dcterms:created xsi:type="dcterms:W3CDTF">2020-07-17T23:44:49Z</dcterms:created>
  <dcterms:modified xsi:type="dcterms:W3CDTF">2022-06-07T11:36:33Z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