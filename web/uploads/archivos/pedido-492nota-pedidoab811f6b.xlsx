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AA30E732-C660-4994-BCA2-FEF7163EBE6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NotaPedido'!$A$10:$AMK$83</definedName>
    <definedName name="_xlnm._FilterDatabase" localSheetId="0" hidden="1">'Necesidades Trimestrales'!$A$9:$I$80</definedName>
    <definedName name="_xlnm.Print_Area" localSheetId="1">' NotaPedido'!$A$1:$L$83</definedName>
    <definedName name="_xlnm.Print_Area" localSheetId="2">'Autor Gastar'!$A$1:$Q$27</definedName>
    <definedName name="_xlnm.Print_Area" localSheetId="0">'Necesidades Trimestrales'!#REF!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12" i="2"/>
  <c r="I42" i="1" l="1"/>
  <c r="I14" i="1"/>
  <c r="J83" i="2" l="1"/>
  <c r="Q15" i="3" s="1"/>
  <c r="I6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10" i="1"/>
  <c r="Q23" i="3" l="1"/>
  <c r="A10" i="3" l="1"/>
  <c r="G6" i="3" l="1"/>
  <c r="G7" i="3"/>
  <c r="C3" i="2"/>
  <c r="G4" i="3" s="1"/>
  <c r="C4" i="2"/>
  <c r="G5" i="3" s="1"/>
  <c r="D1" i="3" l="1"/>
</calcChain>
</file>

<file path=xl/sharedStrings.xml><?xml version="1.0" encoding="utf-8"?>
<sst xmlns="http://schemas.openxmlformats.org/spreadsheetml/2006/main" count="453" uniqueCount="226">
  <si>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</si>
  <si>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</si>
  <si>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</si>
  <si>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</si>
  <si>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</si>
  <si>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</si>
  <si>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</si>
  <si>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</si>
  <si>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</si>
  <si>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</si>
  <si>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</si>
  <si>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</si>
  <si>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</si>
  <si>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</si>
  <si>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</si>
  <si>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</si>
  <si>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</si>
  <si>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</si>
  <si>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</si>
  <si>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</si>
  <si>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</si>
  <si>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</si>
  <si>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</si>
  <si>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</si>
  <si>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</si>
  <si>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</si>
  <si>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</si>
  <si>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</si>
  <si>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</si>
  <si>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</si>
  <si>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</si>
  <si>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</si>
  <si>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</si>
  <si>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</si>
  <si>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</si>
  <si>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</si>
  <si>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</si>
  <si>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</si>
  <si>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</si>
  <si>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</si>
  <si>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</si>
  <si>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</si>
  <si>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</si>
  <si>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</si>
  <si>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</si>
  <si>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</si>
  <si>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</si>
  <si>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</si>
  <si>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</si>
  <si>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</si>
  <si>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</si>
  <si>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</si>
  <si>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</si>
  <si>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</si>
  <si>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</si>
  <si>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</si>
  <si>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11/ 23/ 24  o  28- "…......."</t>
  </si>
  <si>
    <t>XXXX</t>
  </si>
  <si>
    <t>Costo total estimado: xxxxxxxxxxxxxxxxxxxx con 00/100.</t>
  </si>
  <si>
    <t>TOTAL DE PESOS: xxxxxxxxxxxxxxx con 00/100.</t>
  </si>
  <si>
    <t>Para la adquisición de .... … destinados al servico de …... del Hospital …...............</t>
  </si>
  <si>
    <t>xxx/2022</t>
  </si>
  <si>
    <t>Cuatrimestral</t>
  </si>
  <si>
    <t>COMPRIMIDO</t>
  </si>
  <si>
    <t>FRASCO</t>
  </si>
  <si>
    <t>TABLETAS</t>
  </si>
  <si>
    <t>ENVASE</t>
  </si>
  <si>
    <t>AMPOLLA</t>
  </si>
  <si>
    <t>UNIDAD</t>
  </si>
  <si>
    <t>GOTERO</t>
  </si>
  <si>
    <t>CAJA</t>
  </si>
  <si>
    <t>CAPSULA</t>
  </si>
  <si>
    <t>Adquisición de TERAPIA DERMATOLOGICA/SISTEMA GENITOURINARIO Y HORMONAS SEXUALES /HORMONAS SISTEMICAS /CORTICOIDES SISTEMICOS/RESPIRATORIO/ANTIHISTAMINICOS</t>
  </si>
  <si>
    <t>2.5.2-3955.1</t>
  </si>
  <si>
    <t>2.5.2-1821.189</t>
  </si>
  <si>
    <t>2.5.2-5661.11</t>
  </si>
  <si>
    <t>2.5.2-5661.8</t>
  </si>
  <si>
    <t>2.5.2-1855.23</t>
  </si>
  <si>
    <t>2.5.2-1855.83</t>
  </si>
  <si>
    <t>2.5.2-2476.50</t>
  </si>
  <si>
    <t>2.5.2-1902.14</t>
  </si>
  <si>
    <t>2.5.2-1895.61</t>
  </si>
  <si>
    <t>2.5.2-1823.67</t>
  </si>
  <si>
    <t>2.5.2-2198.3</t>
  </si>
  <si>
    <t>2.5.2-2198.6</t>
  </si>
  <si>
    <t>2.5.2-1855.7</t>
  </si>
  <si>
    <t>2.5.2-1855.86</t>
  </si>
  <si>
    <t>2.5.2-2476.74</t>
  </si>
  <si>
    <t>2.5.2-2476.36</t>
  </si>
  <si>
    <t>2.5.2-2476.44</t>
  </si>
  <si>
    <t>2.5.2-1853.4</t>
  </si>
  <si>
    <t>2.5.2-1895.32</t>
  </si>
  <si>
    <t>2.5.2-1851.6</t>
  </si>
  <si>
    <t>2.5.2-1895.8</t>
  </si>
  <si>
    <t>2.5.2-1855.47</t>
  </si>
  <si>
    <t>2.5.2-1855.77</t>
  </si>
  <si>
    <t>2.5.2-1895.64</t>
  </si>
  <si>
    <t>2.5.2-1875.9</t>
  </si>
  <si>
    <t>2.5.2-1902.10</t>
  </si>
  <si>
    <t>2.5.2-1823.24</t>
  </si>
  <si>
    <t>2.5.2-1895.27</t>
  </si>
  <si>
    <t>2.5.2-5559.9</t>
  </si>
  <si>
    <t>2.5.2-5559.10</t>
  </si>
  <si>
    <t>2.5.2-2476.12</t>
  </si>
  <si>
    <t>2.5.2-2476.3</t>
  </si>
  <si>
    <t>2.5.2-1850.6</t>
  </si>
  <si>
    <t>2.5.2-2200.4</t>
  </si>
  <si>
    <t>2.5.2-2200.19</t>
  </si>
  <si>
    <t>2.5.2-1855.105</t>
  </si>
  <si>
    <t>2.5.2-2200.24</t>
  </si>
  <si>
    <t>2.5.2-1821.487</t>
  </si>
  <si>
    <t>2.5.2-1723.122</t>
  </si>
  <si>
    <t>2.5.2-1853.2</t>
  </si>
  <si>
    <t>2.5.2-1875.11</t>
  </si>
  <si>
    <t>2.5.2-1895.72</t>
  </si>
  <si>
    <t>2.5.2-1895.71</t>
  </si>
  <si>
    <t>ANTIANDROGENOS; TIPO: MONODROGA, DROGA GENERICA: CIPROTERONA, FORMA FARMACEUTICA: COMPRIMIDO, PRESENTACION: 50 mGr</t>
  </si>
  <si>
    <t>ANTIBIOTICOS P/PERSONAS; DROGA GENERICA: ACIDO FUSIDICO 20MG, FORMA FARMACEUTICA: CREMA, PRESENTACION: POMO X 15 GR, TIPO: MONODROGA</t>
  </si>
  <si>
    <t>REGULADORES HORMONALES; TIPO: MONODROGA, DROGA GENERICA: ATOSIBAN, FORMA FARMACEUTICA: AMPOLLA, PRESENTACION: ENVASE X 5 mL</t>
  </si>
  <si>
    <t>REGULADORES HORMONALES; TIPO: MONODROGA, DROGA GENERICA: ATOSIBAN, FORMA FARMACEUTICA: AMPOLLA, PRESENTACION: ENVASE X 0,9 mL</t>
  </si>
  <si>
    <t>CORTICOESTEROIDES; TIPO: MONODROGA, DROGA GENERICA: BETAMETASONA, FORMA FARMACEUTICA: CREMA, PRESENTACION: 15 GR</t>
  </si>
  <si>
    <t>CORTICOESTEROIDES; TIPO: ASOCIACION, DROGA GENERICA: BETAMETASONA ACETATO+FOSFATO, FORMA FARMACEUTICA: AMPOLLA, PRESENTACION: ENVASE X 2 mL</t>
  </si>
  <si>
    <t>ANTIALERGICOS-ANTIHISTAMINICOS; TIPO: MONODROGA, DROGA GENERICA: BUDESONIDA 1 MG/ML, FORMA FARMACEUTICA: GOTAS, PRESENTACION: ENVASE X 20 mL</t>
  </si>
  <si>
    <t>ANTIDIURETICOS; DROGA GENERICA: DESMOPRESINA, FORMA FARMACEUTICA: AMPOLLA, PRESENTACION: 1 mL, TIPO: MONODROGA</t>
  </si>
  <si>
    <t>ANTIDIURETICOS; DROGA GENERICA: ACETATO DE DESMOPRESINA, FORMA FARMACEUTICA: SPRAY NASAL, PRESENTACION: 5 mL, TIPO: MONODROGA</t>
  </si>
  <si>
    <t>CORTICOESTEROIDES; TIPO: MONODROGA, DROGA GENERICA: DEXAMETASONA, FORMA FARMACEUTICA: AMPOLLA, PRESENTACION: 8 mGr</t>
  </si>
  <si>
    <t>CORTICOESTEROIDES; TIPO: MONODROGA, DROGA GENERICA: DEXAMETASONA, FORMA FARMACEUTICA: COMPRIMIDO, PRESENTACION: 8 mGr</t>
  </si>
  <si>
    <t>ANTIALERGICOS-ANTIHISTAMINICOS; TIPO: MONODROGA, DROGA GENERICA: DIFENHIDRAMINA 250 MG, FORMA FARMACEUTICA: JARABE, PRESENTACION: FRASCO X 120 mL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</si>
  <si>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</si>
  <si>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</si>
  <si>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OCITOCICOS; TIPO: MONODROGA, DROGA GENERICA: ERGONOVINA, PRESENTACION: 0.2 mGr, FORMA FARMACEUTICA: AMPOLLAS</t>
  </si>
  <si>
    <t>HORMONAS MEDICINALES; TIPO: MONODROGA, DROGA GENERICA: ESTRADIOL 0.6 MG/GR, FORMA FARMACEUTICA: GEL, PRESENTACION: ENVASE X 80 GR, USO: SEXUAL</t>
  </si>
  <si>
    <t>GENITOURINARIO; TIPO: MONODROGA, DROGA GENERICA: FINASTERIDE, FORMA FARMACEUTICA: COMPRIMIDO, PRESENTACION: 5 mGr</t>
  </si>
  <si>
    <t>HORMONAS MEDICINALES; TIPO: MONODROGA, DROGA GENERICA: GONADOTROFINA CORIONICA, FORMA FARMACEUTICA: AMPOLLA, PRESENTACION: 5000 UI, USO: SEXUAL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</si>
  <si>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</si>
  <si>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</si>
  <si>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HORMONAS MEDICINALES; TIPO: MONODROGA, DROGA GENERICA: FOLICULO ESTIMULANTE, FORMA FARMACEUTICA: AMPOLLA, PRESENTACION: ENVASE X 75 UI, USO: SEXUAL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</si>
  <si>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</si>
  <si>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</si>
  <si>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ANTIMICOTICOS; TIPO: MONODROGA, FORMA FARMACEUTICA: CREMA, PRESENTACION: 15 GR, DROGA GENERICA: KETOCONAZOL</t>
  </si>
  <si>
    <t>NORMALIZADORES TIROIDEOS; TIPO: MONODROGA, PRESENTACION: UNIDAD, DROGA GENERICA: LEVOTIROXINA 100 µGr, FORMA FARMACEUTICA: COMPRIMIDO</t>
  </si>
  <si>
    <t>NORMALIZADORES TIROIDEOS; TIPO: MONODROGA, PRESENTACION: UNIDAD, DROGA GENERICA: LEVOTIROXINA 25 µGr, FORMA FARMACEUTICA: COMPRIMIDO</t>
  </si>
  <si>
    <t>ANTIALERGICOS-ANTIHISTAMINICOS; TIPO: MONODROGA, DROGA GENERICA: LORATADINA, FORMA FARMACEUTICA: COMPRIMIDO, PRESENTACION: 10 mGr</t>
  </si>
  <si>
    <t>ANTIALERGICOS-ANTIHISTAMINICOS; TIPO: ASOCIACION, DROGA GENERICA: LORATADINA, FORMA FARMACEUTICA: JARABE, PRESENTACION: 60 mL</t>
  </si>
  <si>
    <t>GESTAGENO; TIPO: MONODROGA, DROGA GENERICA: MEDROXIPROGESTERONA, FORMA FARMACEUTICA: AMPOLLA, PRESENTACION: 150 mGr</t>
  </si>
  <si>
    <t>CORTICOIDES; DROGA GENERICA: MEPREDNISONA, FORMA FARMACEUTICA: COMPRIMIDO, PRESENTACION: 4 mGr, TIPO: MONODROGA</t>
  </si>
  <si>
    <t>CORTICOIDES; DROGA GENERICA: METILPREDNISOLONA, FORMA FARMACEUTICA: FRASCO AMPOLLA, PRESENTACION: 500, TIPO: MONODROGA</t>
  </si>
  <si>
    <t>CORTICOESTEROIDES; TIPO: MONODROGA, DROGA GENERICA: MEPREDNISONA 8 mGr, FORMA FARMACEUTICA: COMPRIMIDO, PRESENTACION: UNIDAD</t>
  </si>
  <si>
    <t>ANTIBIOTICOS P/PERSONAS; TIPO: MONODROGA, DROGA GENERICA: METRONIDAZOL, FORMA FARMACEUTICA: OVULO, PRESENTACION: UNIDAD</t>
  </si>
  <si>
    <t>ANTISEPTICOS LOCALES P/PERSONA; TIPO: MONODROGA, DROGA GENERICA: NITROFURAZONA, FORMA FARMACEUTICA: APOSITO, PRESENTACION: ENVASE X 20 UN</t>
  </si>
  <si>
    <t>OCITOCICOS; TIPO: MONODROGA, DROGA GENERICA: OXITOCINA SINTÉTICA, PRESENTACION: 10 UI, FORMA FARMACEUTICA: AMPOLLA</t>
  </si>
  <si>
    <t>ANTIASMATICO BRONCODILATADOR; TIPO: MONODROGA, PRESENTACION: 20 mL, FORMA FARMACEUTICA: GOTAS, DROGA GENERICA: SALBUTAMOL</t>
  </si>
  <si>
    <t>HORMONAS MEDICINALES; TIPO: MONODROGA, DROGA GENERICA: TESTOSTERONA 1 %, FORMA FARMACEUTICA: GEL, PRESENTACION: ENVASE X 30 UN, USO: HORMONOTERAPIA DE REEMPLAZO</t>
  </si>
  <si>
    <t>PROD. MEDICO/FARMACEUTICOS/LAB</t>
  </si>
  <si>
    <t>HORMONAS MEDICINALES; TIPO: MONODROGA, DROGA GENERICA: CITRATO DE CLOMIFENO 50 mGr, FORMA FARMACEUTICA: COMPRIMIDO, PRESENTACION: UNIDAD, USO: SEXUAL</t>
  </si>
  <si>
    <t>CORTICOIDES; DROGA GENERICA: MEPREDNISONA, FORMA FARMACEUTICA: COMPRIMIDO, PRESENTACION: 40 mGr, TIPO: MONODROGA</t>
  </si>
  <si>
    <t>2.5.2-1875.108</t>
  </si>
  <si>
    <t>ANTIASMATICO BRONCODILATADOR; TIPO: MONODROGA, DROGA GENERICA: BROMURO DE IPRATROPIO 20 µGr, FORMA FARMACEUTICA: AEROSOL, PRESENTACION: UNIDAD</t>
  </si>
  <si>
    <t>2.5.2-1895.67</t>
  </si>
  <si>
    <t>ANTIVIRALES; TIPO: MONODROGA, DROGA GENERICA: ACICLOVIR 5 %, FORMA FARMACEUTICA: CREMA, PRESENTACION: ENVASE X 5 GR</t>
  </si>
  <si>
    <t>2.5.2-1829.25</t>
  </si>
  <si>
    <t>APOSITOS; TIPO: HIDROCOLOIDE, TAMAÑO: 10 X 10 Cm</t>
  </si>
  <si>
    <t>2.9.5-427.39</t>
  </si>
  <si>
    <t>2.5.2-1875.74</t>
  </si>
  <si>
    <t>2.5.2-9500.2</t>
  </si>
  <si>
    <t>ANTIASMATICO BRONCODILATADOR; TIPO: MONODROGA, DROGA GENERICA: SURFACTANTE PULMONAR BOVI 30MG, FORMA FARMACEUTICA: AMPOLLA, PRESENTACION: ENVASE X 4 mL</t>
  </si>
  <si>
    <t>ANTIASMATICO BRONCODILATADOR; TIPO: MONODROGA, DROGA GENERICA: SURFACTANTE PULMONAR BOVINO 30 mGr, FORMA FARMACEUTICA: AMPOLLA, PRESENTACION: ENVASE X 3 mL</t>
  </si>
  <si>
    <t>LAXANTES; TIPO: MONODROGA, DROGA GENERICA: VASELINA, FORMA FARMACEUTICA: SOLIDO, PRESENTACION: 1000 GR</t>
  </si>
  <si>
    <t>2.5.2-2481.3</t>
  </si>
  <si>
    <t>2.5.2-1895.74</t>
  </si>
  <si>
    <t>2.5.2-1875.104</t>
  </si>
  <si>
    <t>2.5.2-1875.68</t>
  </si>
  <si>
    <t>2.5.2-1875.55</t>
  </si>
  <si>
    <t>ANTIASMATICO BRONCODILATADOR; TIPO: MONODROGA, DROGA GENERICA: SALBUTAMOL, FORMA FARMACEUTICA: AEROSOL, PRESENTACION: 250 DOSIS</t>
  </si>
  <si>
    <t>HORMONAS MEDICINALES; TIPO: MONODROGA, DROGA GENERICA: VALERATO DE ESTRADIOL, FORMA FARMACEUTICA: COMPRIMIDO 1MGR, PRESENTACION: ENVASE X 28 UN, USO: HORMONOTERAPIA DE REEMPLAZO</t>
  </si>
  <si>
    <t>ANTIASMATICO BRONCODILATADOR; TIPO: MONODROGA, DROGA GENERICA: N-ACETIL CISTEINA 2 GR, FORMA FARMACEUTICA: JARABE PARA PREPARAR 100 ML, PRESENTACION: UNIDAD</t>
  </si>
  <si>
    <t>2.5.2-1875.132</t>
  </si>
  <si>
    <t>ANTIASMATICO BRONCODILATADOR; TIPO: MONODROGA, DROGA GENERICA: N-ACETIL CISTEINA 600 MGR, FORMA FARMACEUTICA: TABLETA EFERVESCENTE, PRESENTACION: UNIDAD</t>
  </si>
  <si>
    <t>2.5.2-1875.133</t>
  </si>
  <si>
    <t>2.5.2-1726.26</t>
  </si>
  <si>
    <t>SOLUCIONES P/MEDICINA; TIPO: AGUA DE ALIBOUR, PRESENTACION: 250 CM3</t>
  </si>
  <si>
    <t>ANTIASMATICO BRONCODILATADOR; TIPO: MONODROGA, DROGA GENERICA: AMINOFILINA 240MGR, FORMA FARMACEUTICA: AMPOLLA, PRESENTACION: ENVASE X 10 ML</t>
  </si>
  <si>
    <t>APOSITOS; TIPO: HIDROCOLOIDE, TAMAÑO: 15 X 17,5 Cm</t>
  </si>
  <si>
    <t>2.9.5-427.33</t>
  </si>
  <si>
    <t>ANTIASMATICO BRONCODILATADOR; TIPO: MONODROGA, DROGA GENERICA: BUDESONIDE 200 µGR, FORMA FARMACEUTICA: AEROSOL, PRESENTACION: 100 DOSIS</t>
  </si>
  <si>
    <t>2.5.2-1875.134</t>
  </si>
  <si>
    <t>HORMONAS MEDICINALES; TIPO: MONODROGA, DROGA GENERICA: CABERGOLINA, FORMA FARMACEUTICA: COMPRIMIDO, PRESENTACION: 0,5 mGr, USO: SEXUAL</t>
  </si>
  <si>
    <t>2.5.2-1895.19</t>
  </si>
  <si>
    <t>DROGAS UTERINAS; TIPO: MONODROGA, DROGA GENERICA: CARBETOCIN 100 MCG, FORMA FARMACEUTICA: AMPOLLA, PRESENTACION: UNIDAD</t>
  </si>
  <si>
    <t>HORMONAS MEDICINALES; TIPO: MONODROGA, DROGA GENERICA: LEVONORGESTREL 1,5 MG, FORMA FARMACEUTICA: COMPRIMIDO, PRESENTACION: ENVASE, USO: SEXUAL</t>
  </si>
  <si>
    <t>NORMALIZADORES TIROIDEOS; TIPO: MONODROGA, PRESENTACION: UNIDAD, DROGA GENERICA: LEVOTIROXINA 75 µGR, FORMA FARMACEUTICA: COMPRIMIDOS</t>
  </si>
  <si>
    <t>2.5.2-5559.12</t>
  </si>
  <si>
    <t>2.5.2-9051.3</t>
  </si>
  <si>
    <t>CORTICOIDES; DROGA GENÉRICA: MEPREDNISONA 4 ML/MG, FORMA FARMACEÚTICA: GOTAS</t>
  </si>
  <si>
    <t>2.5.2-2200.41</t>
  </si>
  <si>
    <t>GENITOURINARIO; TIPO: MONODROGA, DROGA GENÉRICA: NISTATINA, FORMA FARMACEÚTICA: COMPRIMIDO VAGINAL, PRESENTACIÓN: 100000 UI</t>
  </si>
  <si>
    <t>2.5.2-1851.29</t>
  </si>
  <si>
    <t>HORMONAS MEDICINALES; TIPO: MONODROGA, DROGA GENÉRICA: PROGESTERONA MICRONIZADA 200 MG, FORMA FARMACEÚTICA: CÁPSULAS, USO: SEXUAL</t>
  </si>
  <si>
    <t>2.5.2-1895.88</t>
  </si>
  <si>
    <t>ANESTÉSICOS LOCALES; TIPO: ANALGÉSICO LOCAL Y ANTIBACTERIANO, DROGA GENÉRICA: LIDOCAÍNA + SULFADIAZINA + VITAMINA A, FORMA FARMACEÚTICA: CREMA, PRESENTACIÓN: ENVASE X 100 GR</t>
  </si>
  <si>
    <t>2.5.2-1883.189</t>
  </si>
  <si>
    <t>2.5.2-1875.131</t>
  </si>
  <si>
    <t>HORMONAS MEDICINALES; TIPO: MONODROGA, DROGA GENÉRICA: UNDECANOATO TESTOSTERONA 1000 MG/ML, FORMA FARMACEÚTICA: AMPOLLA, USO: HORMONOTERAPIA DE REEMPLAZO</t>
  </si>
  <si>
    <t>HORMONAS MEDICINALES; TIPO: MONODROGA, DROGA GENÉRICA: VALERATO DE ESTRADIOL 2 MGR, FORMA FARMACEÚTICA: COMPRIMIDO, PRESENTACION: X 28 UN., USO: HORMONOTERAPIA DE REEMPLAZO</t>
  </si>
  <si>
    <t>ANTIMICOTICOS; TIPO: MONODROGA, DROGA GENERICA: CLOTRIMAZOL 1%, FORMA FARMACEUTICA: CREMA POR 20 GR, PRESENTACION: UNIDAD</t>
  </si>
  <si>
    <t>INDUCTOR DEL PARTO; TIPO: MONODROGA, DROGA GENÉRICA: MISOPROSTOL 200 MGR, FORMA FARMACEÚTICA: COMPRIMIDO VAGINAL, PRESENTACION: UNIDAD</t>
  </si>
  <si>
    <t>ANTIASMÁTICO BRONCODILATADOR; TIPO: MONODROGA, DROGA GENÉRICA: SURFACTANTE PULMONAR BOVINO 200MG, FORMA FARMACEÚTICA: AMPOLLA</t>
  </si>
  <si>
    <t>QUIMICOS</t>
  </si>
  <si>
    <t>LINIMENTOS; NOMBRE DEL PRODUCTO: OLEO CALCAREO, CALIDAD: MEDICINAL, PRESENTACION: ENVASE X 250 CM3</t>
  </si>
  <si>
    <t>SI</t>
  </si>
  <si>
    <t>Calidad Minima esperada:</t>
  </si>
  <si>
    <t>DESCRIPCION</t>
  </si>
  <si>
    <t>2.5.2-2200.6</t>
  </si>
  <si>
    <t>CORTICOIDES; DROGA GENERICA: HIDROCORTISONA X 1 GR, FORMA FARMACEUTICA: CREMA, PRESENTACION: 15 GR, TIPO: MONODROGA</t>
  </si>
  <si>
    <t>2.5.2-2198.8</t>
  </si>
  <si>
    <t>ANTIDIURETICOS; DROGA GENERICA: VASOPRESINA ACUOSA, FORMA FARMACEUTICA: AMPOLLA, PRESENTACION: 1 mL, TIPO: MONODROGA</t>
  </si>
  <si>
    <t>Ítem 5: VASOPRESINA 20UI AMPOLLA CAJA X 5 UNIDADES TIPO NOVOPRESSINA - V</t>
  </si>
  <si>
    <t>2.5.2-1855.18</t>
  </si>
  <si>
    <t>CORTICOESTEROIDES; TIPO: MONODROGA, DROGA GENERICA: BETAMETASONA, FORMA FARMACEUTICA: GOTAS, PRESENTACION: 15 mL</t>
  </si>
  <si>
    <t>Ítem 33: TIPO CORTEROID GTS</t>
  </si>
  <si>
    <t>Ítem 51: TIPO DELTISONA GOTAS X 20 ML</t>
  </si>
  <si>
    <t>Ítem 62: Con AEROCAMARA</t>
  </si>
  <si>
    <t>Productos Farmacéuticos y Medicinales</t>
  </si>
  <si>
    <t>Ítem 59: AMPOLLA 0,1 MG/ML CAJA X 5 UNIDADES DE 1 ML  TIPO GASTERINA o SANDOSTATIN</t>
  </si>
  <si>
    <t>2.5.2-1895.89</t>
  </si>
  <si>
    <t>HORMONAS MEDICINALES; TIPO: MONODROGA, DROGA GENERICA: OCTREOTIDA, FORMA FARMACEUTICA: AMPOLLA, PRESENTACION: 0,1 MG / ML, USO: INHIBIDOR HORMONA CRECIMIENTO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</si>
</sst>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color theme="1"/>
      <name val="Times New Roman"/>
      <family val="1"/>
    </font>
    <font>
      <sz val="8"/>
      <name val="Arial"/>
      <family val="2"/>
      <charset val="1"/>
    </font>
    <font>
      <sz val="8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left"/>
    </xf>
    <xf numFmtId="3" fontId="12" fillId="0" borderId="0" xfId="0" applyNumberFormat="1" applyFo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1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2" xfId="0" applyBorder="1"/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7" fontId="0" fillId="0" borderId="30" xfId="3" applyNumberFormat="1" applyFont="1" applyBorder="1" applyAlignment="1" applyProtection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8" fillId="3" borderId="10" xfId="0" applyFont="1" applyFill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8" fillId="3" borderId="0" xfId="0" applyFont="1" applyFill="1"/>
    <xf numFmtId="0" fontId="21" fillId="3" borderId="0" xfId="0" applyFont="1" applyFill="1" applyAlignment="1">
      <alignment horizontal="left" wrapText="1"/>
    </xf>
    <xf numFmtId="0" fontId="21" fillId="3" borderId="0" xfId="0" applyFont="1" applyFill="1" applyAlignment="1">
      <alignment horizontal="center" wrapText="1"/>
    </xf>
    <xf numFmtId="0" fontId="18" fillId="3" borderId="3" xfId="0" applyFont="1" applyFill="1" applyBorder="1"/>
    <xf numFmtId="0" fontId="18" fillId="3" borderId="0" xfId="0" applyFont="1" applyFill="1" applyAlignment="1">
      <alignment horizontal="center" vertical="center"/>
    </xf>
    <xf numFmtId="170" fontId="23" fillId="3" borderId="0" xfId="0" applyNumberFormat="1" applyFont="1" applyFill="1"/>
    <xf numFmtId="0" fontId="24" fillId="3" borderId="7" xfId="0" applyFont="1" applyFill="1" applyBorder="1"/>
    <xf numFmtId="164" fontId="18" fillId="3" borderId="0" xfId="0" applyNumberFormat="1" applyFont="1" applyFill="1"/>
    <xf numFmtId="0" fontId="18" fillId="3" borderId="0" xfId="0" applyFont="1" applyFill="1" applyAlignment="1">
      <alignment horizontal="center" wrapText="1"/>
    </xf>
    <xf numFmtId="0" fontId="18" fillId="3" borderId="8" xfId="0" applyFont="1" applyFill="1" applyBorder="1"/>
    <xf numFmtId="0" fontId="18" fillId="3" borderId="9" xfId="0" applyFont="1" applyFill="1" applyBorder="1"/>
    <xf numFmtId="0" fontId="18" fillId="3" borderId="2" xfId="0" applyFont="1" applyFill="1" applyBorder="1"/>
    <xf numFmtId="0" fontId="25" fillId="6" borderId="0" xfId="0" applyFont="1" applyFill="1" applyAlignment="1">
      <alignment horizontal="left" wrapText="1" indent="1"/>
    </xf>
    <xf numFmtId="0" fontId="9" fillId="5" borderId="11" xfId="0" applyFont="1" applyFill="1" applyBorder="1" applyAlignment="1">
      <alignment horizontal="center" vertical="center"/>
    </xf>
    <xf numFmtId="167" fontId="16" fillId="5" borderId="40" xfId="0" applyNumberFormat="1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31" fillId="3" borderId="0" xfId="0" applyFont="1" applyFill="1" applyAlignment="1">
      <alignment vertical="center"/>
    </xf>
    <xf numFmtId="0" fontId="32" fillId="3" borderId="0" xfId="0" applyFont="1" applyFill="1" applyAlignment="1">
      <alignment horizontal="left" vertical="center" wrapText="1" indent="1"/>
    </xf>
    <xf numFmtId="0" fontId="26" fillId="3" borderId="14" xfId="0" applyFont="1" applyFill="1" applyBorder="1" applyAlignment="1">
      <alignment horizontal="center" vertical="center" wrapText="1"/>
    </xf>
    <xf numFmtId="164" fontId="26" fillId="3" borderId="14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left" vertical="center" wrapText="1"/>
    </xf>
    <xf numFmtId="3" fontId="17" fillId="3" borderId="14" xfId="0" applyNumberFormat="1" applyFont="1" applyFill="1" applyBorder="1" applyAlignment="1">
      <alignment horizontal="center" vertical="center"/>
    </xf>
    <xf numFmtId="44" fontId="30" fillId="3" borderId="14" xfId="8" applyNumberFormat="1" applyFont="1" applyFill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44" fontId="17" fillId="3" borderId="14" xfId="1" applyNumberFormat="1" applyFill="1" applyBorder="1" applyAlignment="1">
      <alignment horizontal="center" vertical="center"/>
    </xf>
    <xf numFmtId="44" fontId="17" fillId="3" borderId="14" xfId="1" applyNumberFormat="1" applyFill="1" applyBorder="1" applyAlignment="1">
      <alignment horizontal="righ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/>
    </xf>
    <xf numFmtId="44" fontId="30" fillId="0" borderId="14" xfId="8" applyNumberFormat="1" applyFont="1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17" fillId="3" borderId="14" xfId="0" applyFont="1" applyFill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/>
    <xf numFmtId="0" fontId="33" fillId="0" borderId="0" xfId="0" applyFont="1" applyAlignment="1">
      <alignment horizontal="left" vertical="center"/>
    </xf>
    <xf numFmtId="0" fontId="22" fillId="3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8" fillId="3" borderId="8" xfId="0" applyFont="1" applyFill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4" xfId="0" applyFont="1" applyBorder="1" applyAlignment="1">
      <alignment horizontal="left" vertical="center"/>
    </xf>
    <xf numFmtId="0" fontId="18" fillId="3" borderId="5" xfId="0" applyFont="1" applyFill="1" applyBorder="1"/>
    <xf numFmtId="0" fontId="18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167" fontId="7" fillId="0" borderId="14" xfId="1" applyNumberFormat="1" applyFont="1" applyBorder="1" applyAlignment="1" applyProtection="1">
      <alignment horizontal="right" vertical="center" wrapText="1"/>
    </xf>
    <xf numFmtId="168" fontId="10" fillId="0" borderId="0" xfId="0" applyNumberFormat="1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2" fillId="0" borderId="14" xfId="12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4" fontId="7" fillId="0" borderId="14" xfId="1" applyNumberFormat="1" applyFont="1" applyBorder="1" applyAlignment="1" applyProtection="1">
      <alignment horizontal="right" vertical="center" wrapText="1"/>
    </xf>
    <xf numFmtId="0" fontId="0" fillId="3" borderId="14" xfId="0" applyFill="1" applyBorder="1" applyAlignment="1">
      <alignment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0" fillId="3" borderId="0" xfId="0" applyFill="1" applyAlignment="1">
      <alignment wrapText="1"/>
    </xf>
    <xf numFmtId="0" fontId="18" fillId="3" borderId="5" xfId="6" applyFont="1" applyFill="1" applyBorder="1" applyAlignment="1">
      <alignment horizontal="left" vertical="center" wrapText="1"/>
    </xf>
    <xf numFmtId="0" fontId="18" fillId="3" borderId="0" xfId="6" applyFont="1" applyFill="1" applyAlignment="1">
      <alignment horizontal="left" vertical="center" wrapText="1"/>
    </xf>
    <xf numFmtId="0" fontId="18" fillId="3" borderId="6" xfId="6" applyFont="1" applyFill="1" applyBorder="1" applyAlignment="1">
      <alignment horizontal="left" vertical="center" wrapText="1"/>
    </xf>
    <xf numFmtId="0" fontId="18" fillId="3" borderId="5" xfId="6" applyFont="1" applyFill="1" applyBorder="1" applyAlignment="1">
      <alignment horizontal="left" wrapText="1"/>
    </xf>
    <xf numFmtId="0" fontId="18" fillId="3" borderId="0" xfId="6" applyFont="1" applyFill="1" applyAlignment="1">
      <alignment horizontal="left" wrapText="1"/>
    </xf>
    <xf numFmtId="0" fontId="29" fillId="0" borderId="5" xfId="7" applyFont="1" applyBorder="1" applyAlignment="1">
      <alignment horizontal="left" vertical="center" wrapText="1"/>
    </xf>
    <xf numFmtId="0" fontId="28" fillId="0" borderId="0" xfId="7" applyFont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center"/>
    </xf>
    <xf numFmtId="0" fontId="25" fillId="4" borderId="0" xfId="0" applyFont="1" applyFill="1" applyAlignment="1">
      <alignment horizontal="left" wrapText="1" indent="1"/>
    </xf>
    <xf numFmtId="0" fontId="25" fillId="6" borderId="0" xfId="0" applyFont="1" applyFill="1" applyAlignment="1">
      <alignment horizontal="left" wrapText="1" indent="1"/>
    </xf>
    <xf numFmtId="0" fontId="7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8" fontId="10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11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45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5" borderId="45" xfId="0" applyFont="1" applyFill="1" applyBorder="1" applyAlignment="1">
      <alignment horizontal="left" vertical="center" wrapText="1"/>
    </xf>
    <xf numFmtId="0" fontId="10" fillId="5" borderId="46" xfId="0" applyFont="1" applyFill="1" applyBorder="1" applyAlignment="1">
      <alignment horizontal="left" vertical="center" wrapText="1"/>
    </xf>
    <xf numFmtId="0" fontId="10" fillId="5" borderId="47" xfId="0" applyFont="1" applyFill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/>
    </xf>
    <xf numFmtId="0" fontId="10" fillId="5" borderId="44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left" vertical="center" wrapText="1" indent="1"/>
    </xf>
    <xf numFmtId="0" fontId="9" fillId="3" borderId="14" xfId="0" applyFont="1" applyFill="1" applyBorder="1" applyAlignment="1">
      <alignment horizontal="left" vertical="center" wrapText="1" indent="1"/>
    </xf>
    <xf numFmtId="0" fontId="9" fillId="6" borderId="15" xfId="0" applyFont="1" applyFill="1" applyBorder="1" applyAlignment="1">
      <alignment horizontal="left" vertical="center" wrapText="1" indent="1"/>
    </xf>
    <xf numFmtId="0" fontId="12" fillId="0" borderId="16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6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2" fillId="5" borderId="40" xfId="0" applyFont="1" applyFill="1" applyBorder="1" applyAlignment="1">
      <alignment horizontal="left" vertical="center" wrapText="1"/>
    </xf>
    <xf numFmtId="0" fontId="0" fillId="0" borderId="18" xfId="0" applyBorder="1"/>
    <xf numFmtId="0" fontId="36" fillId="0" borderId="28" xfId="0" applyFont="1" applyBorder="1" applyAlignment="1">
      <alignment horizontal="left" vertical="center"/>
    </xf>
    <xf numFmtId="0" fontId="14" fillId="0" borderId="19" xfId="0" applyFont="1" applyBorder="1"/>
    <xf numFmtId="0" fontId="14" fillId="5" borderId="20" xfId="0" applyFont="1" applyFill="1" applyBorder="1" applyAlignment="1">
      <alignment horizontal="left" vertical="center" wrapText="1" indent="1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 wrapText="1"/>
    </xf>
    <xf numFmtId="0" fontId="7" fillId="5" borderId="42" xfId="0" applyFont="1" applyFill="1" applyBorder="1" applyAlignment="1">
      <alignment horizontal="left" vertical="center" wrapText="1"/>
    </xf>
    <xf numFmtId="0" fontId="7" fillId="5" borderId="43" xfId="0" applyFont="1" applyFill="1" applyBorder="1" applyAlignment="1">
      <alignment horizontal="left" vertical="center" wrapText="1"/>
    </xf>
    <xf numFmtId="0" fontId="14" fillId="5" borderId="11" xfId="0" applyFont="1" applyFill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6" xfId="0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5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</cellXfs>
  <cellStyles count="14">
    <cellStyle name="Encabezado 1" xfId="2" xr:uid="{00000000-0005-0000-0000-000000000000}"/>
    <cellStyle name="Millares 2" xfId="10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2 3" xfId="6" xr:uid="{00000000-0005-0000-0000-000008000000}"/>
    <cellStyle name="Normal 3" xfId="11" xr:uid="{00000000-0005-0000-0000-000009000000}"/>
    <cellStyle name="Normal 4" xfId="9" xr:uid="{00000000-0005-0000-0000-00000A000000}"/>
    <cellStyle name="Normal 5" xfId="8" xr:uid="{00000000-0005-0000-0000-00000B000000}"/>
    <cellStyle name="Normal 6" xfId="12" xr:uid="{00000000-0005-0000-0000-00000C000000}"/>
    <cellStyle name="Normal 7" xfId="13" xr:uid="{00000000-0005-0000-0000-00000D000000}"/>
  </cellStyles>
  <dxfs count="1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26"/>
  <sheetViews>
    <sheetView tabSelected="1" topLeftCell="D1" zoomScaleNormal="100" workbookViewId="0">
      <selection activeCell="K11" sqref="K11"/>
    </sheetView>
  </sheetViews>
  <sheetFormatPr baseColWidth="10" defaultColWidth="11" defaultRowHeight="12.75" x14ac:dyDescent="0.2"/>
  <cols>
    <col min="1" max="1" width="4.5703125" style="41" customWidth="1"/>
    <col min="2" max="2" width="14" style="41" customWidth="1"/>
    <col min="3" max="3" width="35.85546875" style="41" bestFit="1" customWidth="1"/>
    <col min="4" max="4" width="8.42578125" style="41" customWidth="1"/>
    <col min="5" max="5" width="70" style="72" customWidth="1"/>
    <col min="6" max="6" width="15.28515625" style="41" customWidth="1"/>
    <col min="7" max="7" width="15" style="41" bestFit="1" customWidth="1"/>
    <col min="8" max="8" width="14.42578125" style="41" bestFit="1" customWidth="1"/>
    <col min="9" max="9" width="17" style="41" customWidth="1"/>
    <col min="10" max="10" width="12" style="48" customWidth="1"/>
    <col min="11" max="11" width="100.7109375" style="72" bestFit="1" customWidth="1"/>
    <col min="12" max="16384" width="11" style="41"/>
  </cols>
  <sheetData>
    <row r="2" spans="1:11" ht="27" x14ac:dyDescent="0.35">
      <c r="B2" s="115" t="s">
        <v>0</v>
      </c>
      <c r="C2" s="115"/>
      <c r="D2" s="115"/>
      <c r="E2" s="115"/>
      <c r="F2" s="115"/>
      <c r="G2" s="115"/>
      <c r="H2" s="115"/>
      <c r="I2" s="115"/>
    </row>
    <row r="4" spans="1:11" ht="15.75" x14ac:dyDescent="0.25">
      <c r="A4" s="113" t="s">
        <v>1</v>
      </c>
      <c r="B4" s="113"/>
      <c r="C4" s="116" t="s">
        <v>49</v>
      </c>
      <c r="D4" s="116"/>
      <c r="E4" s="116"/>
      <c r="F4" s="116"/>
      <c r="G4" s="42"/>
      <c r="H4" s="43"/>
      <c r="I4" s="42"/>
    </row>
    <row r="5" spans="1:11" ht="15.75" x14ac:dyDescent="0.25">
      <c r="A5" s="114" t="s">
        <v>2</v>
      </c>
      <c r="B5" s="114"/>
      <c r="C5" s="117" t="s">
        <v>56</v>
      </c>
      <c r="D5" s="117"/>
      <c r="E5" s="117"/>
      <c r="F5" s="117"/>
      <c r="G5" s="42"/>
      <c r="H5" s="43"/>
      <c r="I5" s="42"/>
    </row>
    <row r="6" spans="1:11" ht="15.75" x14ac:dyDescent="0.25">
      <c r="A6" s="113" t="s">
        <v>3</v>
      </c>
      <c r="B6" s="113"/>
      <c r="C6" s="36">
        <v>2022</v>
      </c>
      <c r="D6" s="37"/>
      <c r="E6" s="84"/>
      <c r="F6" s="37"/>
      <c r="G6" s="42"/>
      <c r="H6" s="43"/>
      <c r="I6" s="42"/>
    </row>
    <row r="7" spans="1:11" ht="15.75" x14ac:dyDescent="0.25">
      <c r="A7" s="114" t="s">
        <v>4</v>
      </c>
      <c r="B7" s="114"/>
      <c r="C7" s="53">
        <v>4</v>
      </c>
      <c r="D7" s="37"/>
      <c r="E7" s="84"/>
      <c r="F7" s="37"/>
      <c r="G7" s="42"/>
      <c r="H7" s="43"/>
      <c r="I7" s="42"/>
    </row>
    <row r="8" spans="1:11" ht="13.5" thickBot="1" x14ac:dyDescent="0.25">
      <c r="B8" s="42"/>
      <c r="C8" s="43"/>
      <c r="D8" s="42"/>
      <c r="E8" s="85"/>
      <c r="F8" s="42"/>
      <c r="G8" s="42"/>
      <c r="H8" s="43"/>
      <c r="I8" s="42"/>
    </row>
    <row r="9" spans="1:11" s="93" customFormat="1" ht="39" thickBot="1" x14ac:dyDescent="0.25">
      <c r="A9" s="61" t="s">
        <v>5</v>
      </c>
      <c r="B9" s="61" t="s">
        <v>6</v>
      </c>
      <c r="C9" s="61" t="s">
        <v>7</v>
      </c>
      <c r="D9" s="61" t="s">
        <v>8</v>
      </c>
      <c r="E9" s="61" t="s">
        <v>211</v>
      </c>
      <c r="F9" s="61" t="s">
        <v>9</v>
      </c>
      <c r="G9" s="61" t="s">
        <v>10</v>
      </c>
      <c r="H9" s="61" t="s">
        <v>11</v>
      </c>
      <c r="I9" s="62" t="s">
        <v>12</v>
      </c>
      <c r="J9" s="45"/>
    </row>
    <row r="10" spans="1:11" ht="51.75" thickBot="1" x14ac:dyDescent="0.25">
      <c r="A10" s="63">
        <v>1</v>
      </c>
      <c r="B10" s="68" t="s">
        <v>158</v>
      </c>
      <c r="C10" s="78" t="s">
        <v>153</v>
      </c>
      <c r="D10" s="73">
        <v>252</v>
      </c>
      <c r="E10" s="80" t="s">
        <v>174</v>
      </c>
      <c r="F10" s="63" t="s">
        <v>70</v>
      </c>
      <c r="G10" s="66">
        <v>1</v>
      </c>
      <c r="H10" s="69">
        <v>1007.05</v>
      </c>
      <c r="I10" s="67">
        <f t="shared" ref="I10:I33" si="0">+G10*H10</f>
        <v>1007.05</v>
      </c>
      <c r="J10" s="79"/>
      <c r="K10" s="41"/>
    </row>
    <row r="11" spans="1:11" ht="45.75" customHeight="1" thickBot="1" x14ac:dyDescent="0.25">
      <c r="A11" s="63">
        <v>2</v>
      </c>
      <c r="B11" s="63" t="s">
        <v>73</v>
      </c>
      <c r="C11" s="76" t="s">
        <v>153</v>
      </c>
      <c r="D11" s="64">
        <v>252</v>
      </c>
      <c r="E11" s="65" t="s">
        <v>116</v>
      </c>
      <c r="F11" s="63" t="s">
        <v>63</v>
      </c>
      <c r="G11" s="66">
        <v>1</v>
      </c>
      <c r="H11" s="69">
        <v>190.52</v>
      </c>
      <c r="I11" s="67">
        <f t="shared" si="0"/>
        <v>190.52</v>
      </c>
      <c r="J11" s="41"/>
      <c r="K11" s="41"/>
    </row>
    <row r="12" spans="1:11" ht="45.75" customHeight="1" thickBot="1" x14ac:dyDescent="0.25">
      <c r="A12" s="63">
        <v>3</v>
      </c>
      <c r="B12" s="90" t="s">
        <v>176</v>
      </c>
      <c r="C12" s="76" t="s">
        <v>153</v>
      </c>
      <c r="D12" s="73">
        <v>252</v>
      </c>
      <c r="E12" s="80" t="s">
        <v>175</v>
      </c>
      <c r="F12" s="63" t="s">
        <v>64</v>
      </c>
      <c r="G12" s="66">
        <v>1</v>
      </c>
      <c r="H12" s="69">
        <v>1253</v>
      </c>
      <c r="I12" s="67">
        <f t="shared" si="0"/>
        <v>1253</v>
      </c>
      <c r="J12" s="41"/>
      <c r="K12" s="41"/>
    </row>
    <row r="13" spans="1:11" ht="45.75" customHeight="1" thickBot="1" x14ac:dyDescent="0.25">
      <c r="A13" s="63">
        <v>4</v>
      </c>
      <c r="B13" s="68" t="s">
        <v>178</v>
      </c>
      <c r="C13" s="76" t="s">
        <v>153</v>
      </c>
      <c r="D13" s="73">
        <v>252</v>
      </c>
      <c r="E13" s="80" t="s">
        <v>177</v>
      </c>
      <c r="F13" s="63" t="s">
        <v>65</v>
      </c>
      <c r="G13" s="66">
        <v>1</v>
      </c>
      <c r="H13" s="69">
        <v>35.24</v>
      </c>
      <c r="I13" s="67">
        <f t="shared" si="0"/>
        <v>35.24</v>
      </c>
      <c r="J13" s="41"/>
      <c r="K13" s="41"/>
    </row>
    <row r="14" spans="1:11" ht="45.75" customHeight="1" thickBot="1" x14ac:dyDescent="0.25">
      <c r="A14" s="63">
        <v>5</v>
      </c>
      <c r="B14" s="63" t="s">
        <v>214</v>
      </c>
      <c r="C14" s="103" t="s">
        <v>153</v>
      </c>
      <c r="D14" s="64">
        <v>252</v>
      </c>
      <c r="E14" s="104" t="s">
        <v>215</v>
      </c>
      <c r="F14" s="63" t="s">
        <v>70</v>
      </c>
      <c r="G14" s="66">
        <v>1</v>
      </c>
      <c r="H14" s="69">
        <v>775</v>
      </c>
      <c r="I14" s="67">
        <f t="shared" si="0"/>
        <v>775</v>
      </c>
      <c r="J14" s="41"/>
      <c r="K14" s="41"/>
    </row>
    <row r="15" spans="1:11" ht="45.75" customHeight="1" thickBot="1" x14ac:dyDescent="0.25">
      <c r="A15" s="63">
        <v>6</v>
      </c>
      <c r="B15" s="68" t="s">
        <v>160</v>
      </c>
      <c r="C15" s="76" t="s">
        <v>153</v>
      </c>
      <c r="D15" s="73">
        <v>252</v>
      </c>
      <c r="E15" s="74" t="s">
        <v>159</v>
      </c>
      <c r="F15" s="63" t="s">
        <v>66</v>
      </c>
      <c r="G15" s="66">
        <v>1</v>
      </c>
      <c r="H15" s="69">
        <v>285</v>
      </c>
      <c r="I15" s="67">
        <f t="shared" si="0"/>
        <v>285</v>
      </c>
      <c r="J15" s="89"/>
      <c r="K15" s="41"/>
    </row>
    <row r="16" spans="1:11" ht="45.75" customHeight="1" thickBot="1" x14ac:dyDescent="0.25">
      <c r="A16" s="63">
        <v>7</v>
      </c>
      <c r="B16" s="68" t="s">
        <v>74</v>
      </c>
      <c r="C16" s="76" t="s">
        <v>153</v>
      </c>
      <c r="D16" s="73">
        <v>252</v>
      </c>
      <c r="E16" s="74" t="s">
        <v>117</v>
      </c>
      <c r="F16" s="68" t="s">
        <v>66</v>
      </c>
      <c r="G16" s="66">
        <v>1</v>
      </c>
      <c r="H16" s="69">
        <v>650</v>
      </c>
      <c r="I16" s="75">
        <f t="shared" si="0"/>
        <v>650</v>
      </c>
      <c r="J16" s="41"/>
      <c r="K16" s="41"/>
    </row>
    <row r="17" spans="1:11" ht="45.75" customHeight="1" thickBot="1" x14ac:dyDescent="0.25">
      <c r="A17" s="63">
        <v>8</v>
      </c>
      <c r="B17" s="68" t="s">
        <v>179</v>
      </c>
      <c r="C17" s="76" t="s">
        <v>153</v>
      </c>
      <c r="D17" s="73">
        <v>252</v>
      </c>
      <c r="E17" s="80" t="s">
        <v>180</v>
      </c>
      <c r="F17" s="68" t="s">
        <v>64</v>
      </c>
      <c r="G17" s="66">
        <v>1</v>
      </c>
      <c r="H17" s="69">
        <v>560</v>
      </c>
      <c r="I17" s="75">
        <f t="shared" si="0"/>
        <v>560</v>
      </c>
      <c r="J17" s="41"/>
      <c r="K17" s="41"/>
    </row>
    <row r="18" spans="1:11" ht="45.75" customHeight="1" thickBot="1" x14ac:dyDescent="0.25">
      <c r="A18" s="63">
        <v>9</v>
      </c>
      <c r="B18" s="68" t="s">
        <v>163</v>
      </c>
      <c r="C18" s="78" t="s">
        <v>153</v>
      </c>
      <c r="D18" s="73">
        <v>252</v>
      </c>
      <c r="E18" s="80" t="s">
        <v>181</v>
      </c>
      <c r="F18" s="68" t="s">
        <v>67</v>
      </c>
      <c r="G18" s="66">
        <v>1</v>
      </c>
      <c r="H18" s="69">
        <v>86</v>
      </c>
      <c r="I18" s="75">
        <f t="shared" si="0"/>
        <v>86</v>
      </c>
      <c r="J18" s="79"/>
      <c r="K18" s="41"/>
    </row>
    <row r="19" spans="1:11" ht="45.75" customHeight="1" thickBot="1" x14ac:dyDescent="0.25">
      <c r="A19" s="63">
        <v>10</v>
      </c>
      <c r="B19" s="68" t="s">
        <v>183</v>
      </c>
      <c r="C19" s="76" t="s">
        <v>153</v>
      </c>
      <c r="D19" s="73">
        <v>252</v>
      </c>
      <c r="E19" s="91" t="s">
        <v>182</v>
      </c>
      <c r="F19" s="63" t="s">
        <v>68</v>
      </c>
      <c r="G19" s="66">
        <v>1</v>
      </c>
      <c r="H19" s="69">
        <v>1120</v>
      </c>
      <c r="I19" s="67">
        <f t="shared" si="0"/>
        <v>1120</v>
      </c>
      <c r="J19" s="41"/>
      <c r="K19" s="41"/>
    </row>
    <row r="20" spans="1:11" ht="45.75" customHeight="1" thickBot="1" x14ac:dyDescent="0.25">
      <c r="A20" s="63">
        <v>11</v>
      </c>
      <c r="B20" s="68" t="s">
        <v>162</v>
      </c>
      <c r="C20" s="76" t="s">
        <v>153</v>
      </c>
      <c r="D20" s="73">
        <v>252</v>
      </c>
      <c r="E20" s="74" t="s">
        <v>161</v>
      </c>
      <c r="F20" s="63" t="s">
        <v>68</v>
      </c>
      <c r="G20" s="66">
        <v>1</v>
      </c>
      <c r="H20" s="69">
        <v>580</v>
      </c>
      <c r="I20" s="67">
        <f t="shared" si="0"/>
        <v>580</v>
      </c>
      <c r="J20" s="41"/>
      <c r="K20" s="41"/>
    </row>
    <row r="21" spans="1:11" ht="45.75" customHeight="1" thickBot="1" x14ac:dyDescent="0.25">
      <c r="A21" s="63">
        <v>12</v>
      </c>
      <c r="B21" s="63" t="s">
        <v>76</v>
      </c>
      <c r="C21" s="76" t="s">
        <v>153</v>
      </c>
      <c r="D21" s="64">
        <v>252</v>
      </c>
      <c r="E21" s="65" t="s">
        <v>118</v>
      </c>
      <c r="F21" s="68" t="s">
        <v>64</v>
      </c>
      <c r="G21" s="66">
        <v>1</v>
      </c>
      <c r="H21" s="69">
        <v>29645</v>
      </c>
      <c r="I21" s="67">
        <f t="shared" si="0"/>
        <v>29645</v>
      </c>
      <c r="J21" s="41"/>
      <c r="K21" s="41"/>
    </row>
    <row r="22" spans="1:11" ht="45.75" customHeight="1" thickBot="1" x14ac:dyDescent="0.25">
      <c r="A22" s="63">
        <v>13</v>
      </c>
      <c r="B22" s="63" t="s">
        <v>75</v>
      </c>
      <c r="C22" s="76" t="s">
        <v>153</v>
      </c>
      <c r="D22" s="64">
        <v>252</v>
      </c>
      <c r="E22" s="65" t="s">
        <v>119</v>
      </c>
      <c r="F22" s="63" t="s">
        <v>64</v>
      </c>
      <c r="G22" s="66">
        <v>1</v>
      </c>
      <c r="H22" s="69">
        <v>18320</v>
      </c>
      <c r="I22" s="67">
        <f t="shared" si="0"/>
        <v>18320</v>
      </c>
      <c r="J22" s="41"/>
      <c r="K22" s="41"/>
    </row>
    <row r="23" spans="1:11" ht="45.75" customHeight="1" thickBot="1" x14ac:dyDescent="0.25">
      <c r="A23" s="63">
        <v>14</v>
      </c>
      <c r="B23" s="63" t="s">
        <v>77</v>
      </c>
      <c r="C23" s="76" t="s">
        <v>153</v>
      </c>
      <c r="D23" s="64">
        <v>252</v>
      </c>
      <c r="E23" s="65" t="s">
        <v>120</v>
      </c>
      <c r="F23" s="63" t="s">
        <v>66</v>
      </c>
      <c r="G23" s="66">
        <v>1</v>
      </c>
      <c r="H23" s="69">
        <v>280</v>
      </c>
      <c r="I23" s="67">
        <f t="shared" si="0"/>
        <v>280</v>
      </c>
      <c r="J23" s="41"/>
      <c r="K23" s="41"/>
    </row>
    <row r="24" spans="1:11" ht="45.75" customHeight="1" thickBot="1" x14ac:dyDescent="0.25">
      <c r="A24" s="63">
        <v>15</v>
      </c>
      <c r="B24" s="63" t="s">
        <v>78</v>
      </c>
      <c r="C24" s="76" t="s">
        <v>153</v>
      </c>
      <c r="D24" s="64">
        <v>252</v>
      </c>
      <c r="E24" s="65" t="s">
        <v>121</v>
      </c>
      <c r="F24" s="63" t="s">
        <v>67</v>
      </c>
      <c r="G24" s="66">
        <v>1</v>
      </c>
      <c r="H24" s="69">
        <v>295</v>
      </c>
      <c r="I24" s="67">
        <f t="shared" si="0"/>
        <v>295</v>
      </c>
      <c r="J24" s="41"/>
      <c r="K24" s="41"/>
    </row>
    <row r="25" spans="1:11" ht="45.75" customHeight="1" thickBot="1" x14ac:dyDescent="0.25">
      <c r="A25" s="63">
        <v>16</v>
      </c>
      <c r="B25" s="68" t="s">
        <v>185</v>
      </c>
      <c r="C25" s="76" t="s">
        <v>153</v>
      </c>
      <c r="D25" s="73">
        <v>252</v>
      </c>
      <c r="E25" s="80" t="s">
        <v>184</v>
      </c>
      <c r="F25" s="68" t="s">
        <v>68</v>
      </c>
      <c r="G25" s="66">
        <v>1</v>
      </c>
      <c r="H25" s="69">
        <v>750</v>
      </c>
      <c r="I25" s="75">
        <f t="shared" si="0"/>
        <v>750</v>
      </c>
      <c r="J25" s="41"/>
      <c r="K25" s="41"/>
    </row>
    <row r="26" spans="1:11" ht="45.75" customHeight="1" thickBot="1" x14ac:dyDescent="0.25">
      <c r="A26" s="63">
        <v>17</v>
      </c>
      <c r="B26" s="63" t="s">
        <v>79</v>
      </c>
      <c r="C26" s="76" t="s">
        <v>153</v>
      </c>
      <c r="D26" s="64">
        <v>252</v>
      </c>
      <c r="E26" s="65" t="s">
        <v>122</v>
      </c>
      <c r="F26" s="63" t="s">
        <v>66</v>
      </c>
      <c r="G26" s="66">
        <v>1</v>
      </c>
      <c r="H26" s="69">
        <v>327</v>
      </c>
      <c r="I26" s="67">
        <f t="shared" si="0"/>
        <v>327</v>
      </c>
      <c r="J26" s="41"/>
      <c r="K26" s="41"/>
    </row>
    <row r="27" spans="1:11" ht="45.75" customHeight="1" thickBot="1" x14ac:dyDescent="0.25">
      <c r="A27" s="63">
        <v>18</v>
      </c>
      <c r="B27" s="68" t="s">
        <v>187</v>
      </c>
      <c r="C27" s="76" t="s">
        <v>153</v>
      </c>
      <c r="D27" s="73">
        <v>252</v>
      </c>
      <c r="E27" s="80" t="s">
        <v>186</v>
      </c>
      <c r="F27" s="68" t="s">
        <v>63</v>
      </c>
      <c r="G27" s="66">
        <v>1</v>
      </c>
      <c r="H27" s="69">
        <v>306.75</v>
      </c>
      <c r="I27" s="75">
        <f t="shared" si="0"/>
        <v>306.75</v>
      </c>
      <c r="J27" s="41"/>
      <c r="K27" s="41"/>
    </row>
    <row r="28" spans="1:11" ht="45.75" customHeight="1" thickBot="1" x14ac:dyDescent="0.25">
      <c r="A28" s="63">
        <v>19</v>
      </c>
      <c r="B28" s="68" t="s">
        <v>80</v>
      </c>
      <c r="C28" s="78" t="s">
        <v>153</v>
      </c>
      <c r="D28" s="73">
        <v>252</v>
      </c>
      <c r="E28" s="80" t="s">
        <v>188</v>
      </c>
      <c r="F28" s="68" t="s">
        <v>67</v>
      </c>
      <c r="G28" s="66">
        <v>1</v>
      </c>
      <c r="H28" s="69">
        <v>1200</v>
      </c>
      <c r="I28" s="75">
        <f t="shared" si="0"/>
        <v>1200</v>
      </c>
      <c r="J28" s="79"/>
      <c r="K28" s="41"/>
    </row>
    <row r="29" spans="1:11" ht="45.75" customHeight="1" thickBot="1" x14ac:dyDescent="0.25">
      <c r="A29" s="63">
        <v>20</v>
      </c>
      <c r="B29" s="63" t="s">
        <v>81</v>
      </c>
      <c r="C29" s="76" t="s">
        <v>153</v>
      </c>
      <c r="D29" s="64">
        <v>252</v>
      </c>
      <c r="E29" s="65" t="s">
        <v>154</v>
      </c>
      <c r="F29" s="63" t="s">
        <v>63</v>
      </c>
      <c r="G29" s="66">
        <v>1</v>
      </c>
      <c r="H29" s="69">
        <v>149.35</v>
      </c>
      <c r="I29" s="67">
        <f t="shared" si="0"/>
        <v>149.35</v>
      </c>
      <c r="J29" s="41"/>
      <c r="K29" s="41"/>
    </row>
    <row r="30" spans="1:11" ht="45.75" customHeight="1" thickBot="1" x14ac:dyDescent="0.25">
      <c r="A30" s="63">
        <v>21</v>
      </c>
      <c r="B30" s="68" t="s">
        <v>82</v>
      </c>
      <c r="C30" s="78" t="s">
        <v>153</v>
      </c>
      <c r="D30" s="73">
        <v>252</v>
      </c>
      <c r="E30" s="80" t="s">
        <v>204</v>
      </c>
      <c r="F30" s="68" t="s">
        <v>66</v>
      </c>
      <c r="G30" s="66">
        <v>1</v>
      </c>
      <c r="H30" s="69">
        <v>280</v>
      </c>
      <c r="I30" s="75">
        <f t="shared" si="0"/>
        <v>280</v>
      </c>
      <c r="J30" s="79"/>
      <c r="K30" s="41"/>
    </row>
    <row r="31" spans="1:11" ht="45.75" customHeight="1" thickBot="1" x14ac:dyDescent="0.25">
      <c r="A31" s="63">
        <v>22</v>
      </c>
      <c r="B31" s="63" t="s">
        <v>83</v>
      </c>
      <c r="C31" s="76" t="s">
        <v>153</v>
      </c>
      <c r="D31" s="64">
        <v>252</v>
      </c>
      <c r="E31" s="65" t="s">
        <v>123</v>
      </c>
      <c r="F31" s="63" t="s">
        <v>67</v>
      </c>
      <c r="G31" s="66">
        <v>1</v>
      </c>
      <c r="H31" s="69">
        <v>1615</v>
      </c>
      <c r="I31" s="67">
        <f t="shared" si="0"/>
        <v>1615</v>
      </c>
      <c r="J31" s="41"/>
      <c r="K31" s="41"/>
    </row>
    <row r="32" spans="1:11" ht="45.75" customHeight="1" thickBot="1" x14ac:dyDescent="0.25">
      <c r="A32" s="63">
        <v>23</v>
      </c>
      <c r="B32" s="63" t="s">
        <v>84</v>
      </c>
      <c r="C32" s="76" t="s">
        <v>153</v>
      </c>
      <c r="D32" s="64">
        <v>252</v>
      </c>
      <c r="E32" s="65" t="s">
        <v>124</v>
      </c>
      <c r="F32" s="63" t="s">
        <v>68</v>
      </c>
      <c r="G32" s="66">
        <v>1</v>
      </c>
      <c r="H32" s="69">
        <v>10777.32</v>
      </c>
      <c r="I32" s="67">
        <f t="shared" si="0"/>
        <v>10777.32</v>
      </c>
      <c r="J32" s="41"/>
      <c r="K32" s="41"/>
    </row>
    <row r="33" spans="1:11" ht="45.75" customHeight="1" thickBot="1" x14ac:dyDescent="0.25">
      <c r="A33" s="63">
        <v>24</v>
      </c>
      <c r="B33" s="63" t="s">
        <v>85</v>
      </c>
      <c r="C33" s="76" t="s">
        <v>153</v>
      </c>
      <c r="D33" s="64">
        <v>252</v>
      </c>
      <c r="E33" s="65" t="s">
        <v>125</v>
      </c>
      <c r="F33" s="63" t="s">
        <v>67</v>
      </c>
      <c r="G33" s="66">
        <v>1</v>
      </c>
      <c r="H33" s="69">
        <v>45</v>
      </c>
      <c r="I33" s="67">
        <f t="shared" si="0"/>
        <v>45</v>
      </c>
      <c r="J33" s="41"/>
      <c r="K33" s="41"/>
    </row>
    <row r="34" spans="1:11" ht="45.75" customHeight="1" thickBot="1" x14ac:dyDescent="0.25">
      <c r="A34" s="63">
        <v>25</v>
      </c>
      <c r="B34" s="63" t="s">
        <v>86</v>
      </c>
      <c r="C34" s="76" t="s">
        <v>153</v>
      </c>
      <c r="D34" s="64">
        <v>252</v>
      </c>
      <c r="E34" s="65" t="s">
        <v>126</v>
      </c>
      <c r="F34" s="63" t="s">
        <v>63</v>
      </c>
      <c r="G34" s="66">
        <v>1</v>
      </c>
      <c r="H34" s="69">
        <v>15</v>
      </c>
      <c r="I34" s="67">
        <v>15</v>
      </c>
      <c r="J34" s="41"/>
      <c r="K34" s="41"/>
    </row>
    <row r="35" spans="1:11" ht="45.75" customHeight="1" thickBot="1" x14ac:dyDescent="0.25">
      <c r="A35" s="63">
        <v>26</v>
      </c>
      <c r="B35" s="63" t="s">
        <v>87</v>
      </c>
      <c r="C35" s="76" t="s">
        <v>153</v>
      </c>
      <c r="D35" s="64">
        <v>252</v>
      </c>
      <c r="E35" s="65" t="s">
        <v>127</v>
      </c>
      <c r="F35" s="63" t="s">
        <v>64</v>
      </c>
      <c r="G35" s="66">
        <v>1</v>
      </c>
      <c r="H35" s="69">
        <v>199</v>
      </c>
      <c r="I35" s="67">
        <f t="shared" ref="I35:I80" si="1">+G35*H35</f>
        <v>199</v>
      </c>
      <c r="J35" s="41"/>
      <c r="K35" s="41"/>
    </row>
    <row r="36" spans="1:11" ht="45.75" customHeight="1" thickBot="1" x14ac:dyDescent="0.25">
      <c r="A36" s="63">
        <v>27</v>
      </c>
      <c r="B36" s="63" t="s">
        <v>88</v>
      </c>
      <c r="C36" s="76" t="s">
        <v>153</v>
      </c>
      <c r="D36" s="64">
        <v>252</v>
      </c>
      <c r="E36" s="65" t="s">
        <v>128</v>
      </c>
      <c r="F36" s="63" t="s">
        <v>63</v>
      </c>
      <c r="G36" s="66">
        <v>1</v>
      </c>
      <c r="H36" s="69">
        <v>4.6500000000000004</v>
      </c>
      <c r="I36" s="67">
        <f t="shared" si="1"/>
        <v>4.6500000000000004</v>
      </c>
      <c r="J36" s="41"/>
      <c r="K36" s="41"/>
    </row>
    <row r="37" spans="1:11" ht="45.75" customHeight="1" thickBot="1" x14ac:dyDescent="0.25">
      <c r="A37" s="63">
        <v>28</v>
      </c>
      <c r="B37" s="63" t="s">
        <v>89</v>
      </c>
      <c r="C37" s="76" t="s">
        <v>153</v>
      </c>
      <c r="D37" s="64">
        <v>252</v>
      </c>
      <c r="E37" s="65" t="s">
        <v>129</v>
      </c>
      <c r="F37" s="63" t="s">
        <v>67</v>
      </c>
      <c r="G37" s="66">
        <v>1</v>
      </c>
      <c r="H37" s="69">
        <v>55</v>
      </c>
      <c r="I37" s="67">
        <f t="shared" si="1"/>
        <v>55</v>
      </c>
      <c r="J37" s="41"/>
      <c r="K37" s="41"/>
    </row>
    <row r="38" spans="1:11" ht="45.75" customHeight="1" thickBot="1" x14ac:dyDescent="0.25">
      <c r="A38" s="63">
        <v>29</v>
      </c>
      <c r="B38" s="63" t="s">
        <v>90</v>
      </c>
      <c r="C38" s="76" t="s">
        <v>153</v>
      </c>
      <c r="D38" s="64">
        <v>252</v>
      </c>
      <c r="E38" s="65" t="s">
        <v>130</v>
      </c>
      <c r="F38" s="63" t="s">
        <v>67</v>
      </c>
      <c r="G38" s="66">
        <v>1</v>
      </c>
      <c r="H38" s="69">
        <v>41</v>
      </c>
      <c r="I38" s="67">
        <f t="shared" si="1"/>
        <v>41</v>
      </c>
      <c r="J38" s="41"/>
      <c r="K38" s="41"/>
    </row>
    <row r="39" spans="1:11" ht="45.75" customHeight="1" thickBot="1" x14ac:dyDescent="0.25">
      <c r="A39" s="63">
        <v>30</v>
      </c>
      <c r="B39" s="63" t="s">
        <v>91</v>
      </c>
      <c r="C39" s="76" t="s">
        <v>153</v>
      </c>
      <c r="D39" s="64">
        <v>252</v>
      </c>
      <c r="E39" s="65" t="s">
        <v>131</v>
      </c>
      <c r="F39" s="63" t="s">
        <v>66</v>
      </c>
      <c r="G39" s="66">
        <v>1</v>
      </c>
      <c r="H39" s="69">
        <v>7556.89</v>
      </c>
      <c r="I39" s="67">
        <f t="shared" si="1"/>
        <v>7556.89</v>
      </c>
      <c r="J39" s="41"/>
      <c r="K39" s="41"/>
    </row>
    <row r="40" spans="1:11" ht="45.75" customHeight="1" thickBot="1" x14ac:dyDescent="0.25">
      <c r="A40" s="63">
        <v>31</v>
      </c>
      <c r="B40" s="63" t="s">
        <v>92</v>
      </c>
      <c r="C40" s="76" t="s">
        <v>153</v>
      </c>
      <c r="D40" s="64">
        <v>252</v>
      </c>
      <c r="E40" s="65" t="s">
        <v>132</v>
      </c>
      <c r="F40" s="63" t="s">
        <v>63</v>
      </c>
      <c r="G40" s="66">
        <v>1</v>
      </c>
      <c r="H40" s="69">
        <v>18</v>
      </c>
      <c r="I40" s="67">
        <f t="shared" si="1"/>
        <v>18</v>
      </c>
      <c r="J40" s="41"/>
      <c r="K40" s="41"/>
    </row>
    <row r="41" spans="1:11" ht="45.75" customHeight="1" thickBot="1" x14ac:dyDescent="0.25">
      <c r="A41" s="63">
        <v>32</v>
      </c>
      <c r="B41" s="63" t="s">
        <v>93</v>
      </c>
      <c r="C41" s="76" t="s">
        <v>153</v>
      </c>
      <c r="D41" s="64">
        <v>252</v>
      </c>
      <c r="E41" s="65" t="s">
        <v>133</v>
      </c>
      <c r="F41" s="63" t="s">
        <v>68</v>
      </c>
      <c r="G41" s="66">
        <v>1</v>
      </c>
      <c r="H41" s="69">
        <v>6450</v>
      </c>
      <c r="I41" s="67">
        <f t="shared" si="1"/>
        <v>6450</v>
      </c>
      <c r="J41" s="41"/>
      <c r="K41" s="41"/>
    </row>
    <row r="42" spans="1:11" ht="45.75" customHeight="1" thickBot="1" x14ac:dyDescent="0.25">
      <c r="A42" s="63">
        <v>33</v>
      </c>
      <c r="B42" s="63" t="s">
        <v>217</v>
      </c>
      <c r="C42" s="76" t="s">
        <v>153</v>
      </c>
      <c r="D42" s="64">
        <v>252</v>
      </c>
      <c r="E42" s="65" t="s">
        <v>218</v>
      </c>
      <c r="F42" s="63" t="s">
        <v>68</v>
      </c>
      <c r="G42" s="66">
        <v>1</v>
      </c>
      <c r="H42" s="69">
        <v>340</v>
      </c>
      <c r="I42" s="67">
        <f t="shared" si="1"/>
        <v>340</v>
      </c>
      <c r="J42" s="41"/>
      <c r="K42" s="41"/>
    </row>
    <row r="43" spans="1:11" ht="45.75" customHeight="1" thickBot="1" x14ac:dyDescent="0.25">
      <c r="A43" s="63">
        <v>34</v>
      </c>
      <c r="B43" s="63" t="s">
        <v>212</v>
      </c>
      <c r="C43" s="76" t="s">
        <v>153</v>
      </c>
      <c r="D43" s="64">
        <v>252</v>
      </c>
      <c r="E43" s="65" t="s">
        <v>213</v>
      </c>
      <c r="F43" s="63" t="s">
        <v>66</v>
      </c>
      <c r="G43" s="66">
        <v>1</v>
      </c>
      <c r="H43" s="69">
        <v>280</v>
      </c>
      <c r="I43" s="67">
        <f t="shared" si="1"/>
        <v>280</v>
      </c>
      <c r="J43" s="41"/>
      <c r="K43" s="41"/>
    </row>
    <row r="44" spans="1:11" ht="45.75" customHeight="1" thickBot="1" x14ac:dyDescent="0.25">
      <c r="A44" s="63">
        <v>35</v>
      </c>
      <c r="B44" s="63" t="s">
        <v>94</v>
      </c>
      <c r="C44" s="76" t="s">
        <v>153</v>
      </c>
      <c r="D44" s="64">
        <v>252</v>
      </c>
      <c r="E44" s="65" t="s">
        <v>134</v>
      </c>
      <c r="F44" s="63" t="s">
        <v>67</v>
      </c>
      <c r="G44" s="66">
        <v>1</v>
      </c>
      <c r="H44" s="69">
        <v>120</v>
      </c>
      <c r="I44" s="67">
        <f t="shared" si="1"/>
        <v>120</v>
      </c>
      <c r="J44" s="41"/>
      <c r="K44" s="41"/>
    </row>
    <row r="45" spans="1:11" ht="45.75" customHeight="1" thickBot="1" x14ac:dyDescent="0.25">
      <c r="A45" s="63">
        <v>36</v>
      </c>
      <c r="B45" s="63" t="s">
        <v>95</v>
      </c>
      <c r="C45" s="76" t="s">
        <v>153</v>
      </c>
      <c r="D45" s="64">
        <v>252</v>
      </c>
      <c r="E45" s="65" t="s">
        <v>135</v>
      </c>
      <c r="F45" s="63" t="s">
        <v>67</v>
      </c>
      <c r="G45" s="66">
        <v>1</v>
      </c>
      <c r="H45" s="69">
        <v>222</v>
      </c>
      <c r="I45" s="67">
        <f t="shared" si="1"/>
        <v>222</v>
      </c>
      <c r="J45" s="41"/>
      <c r="K45" s="41"/>
    </row>
    <row r="46" spans="1:11" ht="45.75" customHeight="1" thickBot="1" x14ac:dyDescent="0.25">
      <c r="A46" s="63">
        <v>37</v>
      </c>
      <c r="B46" s="63" t="s">
        <v>96</v>
      </c>
      <c r="C46" s="76" t="s">
        <v>153</v>
      </c>
      <c r="D46" s="64">
        <v>252</v>
      </c>
      <c r="E46" s="65" t="s">
        <v>136</v>
      </c>
      <c r="F46" s="63" t="s">
        <v>68</v>
      </c>
      <c r="G46" s="66">
        <v>1</v>
      </c>
      <c r="H46" s="69">
        <v>8594.41</v>
      </c>
      <c r="I46" s="67">
        <f t="shared" si="1"/>
        <v>8594.41</v>
      </c>
      <c r="J46" s="41"/>
      <c r="K46" s="41"/>
    </row>
    <row r="47" spans="1:11" ht="45.75" customHeight="1" thickBot="1" x14ac:dyDescent="0.25">
      <c r="A47" s="63">
        <v>38</v>
      </c>
      <c r="B47" s="63" t="s">
        <v>156</v>
      </c>
      <c r="C47" s="77" t="s">
        <v>153</v>
      </c>
      <c r="D47" s="64">
        <v>252</v>
      </c>
      <c r="E47" s="65" t="s">
        <v>157</v>
      </c>
      <c r="F47" s="63" t="s">
        <v>68</v>
      </c>
      <c r="G47" s="66">
        <v>1</v>
      </c>
      <c r="H47" s="69">
        <v>1298</v>
      </c>
      <c r="I47" s="67">
        <f t="shared" si="1"/>
        <v>1298</v>
      </c>
      <c r="J47" s="72"/>
      <c r="K47" s="41"/>
    </row>
    <row r="48" spans="1:11" ht="45.75" customHeight="1" thickBot="1" x14ac:dyDescent="0.25">
      <c r="A48" s="63">
        <v>39</v>
      </c>
      <c r="B48" s="63" t="s">
        <v>97</v>
      </c>
      <c r="C48" s="76" t="s">
        <v>153</v>
      </c>
      <c r="D48" s="64">
        <v>252</v>
      </c>
      <c r="E48" s="65" t="s">
        <v>137</v>
      </c>
      <c r="F48" s="63" t="s">
        <v>69</v>
      </c>
      <c r="G48" s="66">
        <v>1</v>
      </c>
      <c r="H48" s="69">
        <v>98</v>
      </c>
      <c r="I48" s="67">
        <f t="shared" si="1"/>
        <v>98</v>
      </c>
      <c r="J48" s="41"/>
      <c r="K48" s="41"/>
    </row>
    <row r="49" spans="1:11" ht="45.75" customHeight="1" thickBot="1" x14ac:dyDescent="0.25">
      <c r="A49" s="63">
        <v>40</v>
      </c>
      <c r="B49" s="63" t="s">
        <v>98</v>
      </c>
      <c r="C49" s="76" t="s">
        <v>153</v>
      </c>
      <c r="D49" s="64">
        <v>252</v>
      </c>
      <c r="E49" s="65" t="s">
        <v>138</v>
      </c>
      <c r="F49" s="63" t="s">
        <v>67</v>
      </c>
      <c r="G49" s="66">
        <v>1</v>
      </c>
      <c r="H49" s="69">
        <v>45</v>
      </c>
      <c r="I49" s="67">
        <f t="shared" si="1"/>
        <v>45</v>
      </c>
      <c r="J49" s="72"/>
      <c r="K49" s="41"/>
    </row>
    <row r="50" spans="1:11" ht="45.75" customHeight="1" thickBot="1" x14ac:dyDescent="0.25">
      <c r="A50" s="63">
        <v>41</v>
      </c>
      <c r="B50" s="63" t="s">
        <v>99</v>
      </c>
      <c r="C50" s="76" t="s">
        <v>153</v>
      </c>
      <c r="D50" s="64">
        <v>252</v>
      </c>
      <c r="E50" s="65" t="s">
        <v>139</v>
      </c>
      <c r="F50" s="63" t="s">
        <v>66</v>
      </c>
      <c r="G50" s="66">
        <v>1</v>
      </c>
      <c r="H50" s="69">
        <v>250</v>
      </c>
      <c r="I50" s="67">
        <f t="shared" si="1"/>
        <v>250</v>
      </c>
      <c r="J50" s="41"/>
      <c r="K50" s="41"/>
    </row>
    <row r="51" spans="1:11" ht="45.75" customHeight="1" thickBot="1" x14ac:dyDescent="0.25">
      <c r="A51" s="63">
        <v>42</v>
      </c>
      <c r="B51" s="68" t="s">
        <v>100</v>
      </c>
      <c r="C51" s="78" t="s">
        <v>153</v>
      </c>
      <c r="D51" s="73">
        <v>252</v>
      </c>
      <c r="E51" s="80" t="s">
        <v>189</v>
      </c>
      <c r="F51" s="63" t="s">
        <v>63</v>
      </c>
      <c r="G51" s="66">
        <v>1</v>
      </c>
      <c r="H51" s="69">
        <v>625</v>
      </c>
      <c r="I51" s="67">
        <f t="shared" si="1"/>
        <v>625</v>
      </c>
      <c r="J51" s="81"/>
      <c r="K51" s="41"/>
    </row>
    <row r="52" spans="1:11" ht="45.75" customHeight="1" thickBot="1" x14ac:dyDescent="0.25">
      <c r="A52" s="63">
        <v>43</v>
      </c>
      <c r="B52" s="63" t="s">
        <v>102</v>
      </c>
      <c r="C52" s="76" t="s">
        <v>153</v>
      </c>
      <c r="D52" s="64">
        <v>252</v>
      </c>
      <c r="E52" s="65" t="s">
        <v>140</v>
      </c>
      <c r="F52" s="63" t="s">
        <v>63</v>
      </c>
      <c r="G52" s="66">
        <v>1</v>
      </c>
      <c r="H52" s="69">
        <v>18.3</v>
      </c>
      <c r="I52" s="67">
        <f t="shared" si="1"/>
        <v>18.3</v>
      </c>
      <c r="J52" s="41"/>
      <c r="K52" s="41"/>
    </row>
    <row r="53" spans="1:11" ht="45.75" customHeight="1" thickBot="1" x14ac:dyDescent="0.25">
      <c r="A53" s="63">
        <v>44</v>
      </c>
      <c r="B53" s="63" t="s">
        <v>101</v>
      </c>
      <c r="C53" s="76" t="s">
        <v>153</v>
      </c>
      <c r="D53" s="64">
        <v>252</v>
      </c>
      <c r="E53" s="65" t="s">
        <v>141</v>
      </c>
      <c r="F53" s="63" t="s">
        <v>63</v>
      </c>
      <c r="G53" s="66">
        <v>1</v>
      </c>
      <c r="H53" s="69">
        <v>7.45</v>
      </c>
      <c r="I53" s="67">
        <f t="shared" si="1"/>
        <v>7.45</v>
      </c>
      <c r="J53" s="41"/>
      <c r="K53" s="41"/>
    </row>
    <row r="54" spans="1:11" ht="45.75" customHeight="1" thickBot="1" x14ac:dyDescent="0.25">
      <c r="A54" s="63">
        <v>45</v>
      </c>
      <c r="B54" s="68" t="s">
        <v>191</v>
      </c>
      <c r="C54" s="76" t="s">
        <v>153</v>
      </c>
      <c r="D54" s="73">
        <v>252</v>
      </c>
      <c r="E54" s="80" t="s">
        <v>190</v>
      </c>
      <c r="F54" s="68" t="s">
        <v>63</v>
      </c>
      <c r="G54" s="66">
        <v>1</v>
      </c>
      <c r="H54" s="69">
        <v>13.2</v>
      </c>
      <c r="I54" s="75">
        <f t="shared" si="1"/>
        <v>13.2</v>
      </c>
      <c r="J54" s="41"/>
      <c r="K54" s="41"/>
    </row>
    <row r="55" spans="1:11" ht="40.5" customHeight="1" thickBot="1" x14ac:dyDescent="0.25">
      <c r="A55" s="63">
        <v>46</v>
      </c>
      <c r="B55" s="68" t="s">
        <v>192</v>
      </c>
      <c r="C55" s="78" t="s">
        <v>207</v>
      </c>
      <c r="D55" s="73">
        <v>252</v>
      </c>
      <c r="E55" s="74" t="s">
        <v>208</v>
      </c>
      <c r="F55" s="63" t="s">
        <v>68</v>
      </c>
      <c r="G55" s="66">
        <v>1</v>
      </c>
      <c r="H55" s="69">
        <v>450</v>
      </c>
      <c r="I55" s="67">
        <f t="shared" si="1"/>
        <v>450</v>
      </c>
      <c r="J55" s="41"/>
      <c r="K55" s="41"/>
    </row>
    <row r="56" spans="1:11" ht="45.75" customHeight="1" thickBot="1" x14ac:dyDescent="0.25">
      <c r="A56" s="63">
        <v>47</v>
      </c>
      <c r="B56" s="63" t="s">
        <v>103</v>
      </c>
      <c r="C56" s="76" t="s">
        <v>153</v>
      </c>
      <c r="D56" s="64">
        <v>252</v>
      </c>
      <c r="E56" s="65" t="s">
        <v>142</v>
      </c>
      <c r="F56" s="63" t="s">
        <v>63</v>
      </c>
      <c r="G56" s="66">
        <v>1</v>
      </c>
      <c r="H56" s="69">
        <v>3.44</v>
      </c>
      <c r="I56" s="67">
        <f t="shared" si="1"/>
        <v>3.44</v>
      </c>
      <c r="J56" s="41"/>
      <c r="K56" s="41"/>
    </row>
    <row r="57" spans="1:11" ht="45.75" customHeight="1" thickBot="1" x14ac:dyDescent="0.25">
      <c r="A57" s="63">
        <v>48</v>
      </c>
      <c r="B57" s="63" t="s">
        <v>104</v>
      </c>
      <c r="C57" s="76" t="s">
        <v>153</v>
      </c>
      <c r="D57" s="64">
        <v>252</v>
      </c>
      <c r="E57" s="65" t="s">
        <v>143</v>
      </c>
      <c r="F57" s="63" t="s">
        <v>64</v>
      </c>
      <c r="G57" s="66">
        <v>1</v>
      </c>
      <c r="H57" s="69">
        <v>180</v>
      </c>
      <c r="I57" s="67">
        <f t="shared" si="1"/>
        <v>180</v>
      </c>
      <c r="J57" s="41"/>
      <c r="K57" s="41"/>
    </row>
    <row r="58" spans="1:11" ht="45.75" customHeight="1" thickBot="1" x14ac:dyDescent="0.25">
      <c r="A58" s="63">
        <v>49</v>
      </c>
      <c r="B58" s="63" t="s">
        <v>105</v>
      </c>
      <c r="C58" s="76" t="s">
        <v>153</v>
      </c>
      <c r="D58" s="64">
        <v>252</v>
      </c>
      <c r="E58" s="65" t="s">
        <v>144</v>
      </c>
      <c r="F58" s="63" t="s">
        <v>67</v>
      </c>
      <c r="G58" s="66">
        <v>1</v>
      </c>
      <c r="H58" s="69">
        <v>764</v>
      </c>
      <c r="I58" s="67">
        <f t="shared" si="1"/>
        <v>764</v>
      </c>
      <c r="J58" s="41"/>
      <c r="K58" s="41"/>
    </row>
    <row r="59" spans="1:11" ht="45.75" customHeight="1" thickBot="1" x14ac:dyDescent="0.25">
      <c r="A59" s="63">
        <v>50</v>
      </c>
      <c r="B59" s="63" t="s">
        <v>106</v>
      </c>
      <c r="C59" s="76" t="s">
        <v>153</v>
      </c>
      <c r="D59" s="64">
        <v>252</v>
      </c>
      <c r="E59" s="65" t="s">
        <v>145</v>
      </c>
      <c r="F59" s="63" t="s">
        <v>63</v>
      </c>
      <c r="G59" s="66">
        <v>1</v>
      </c>
      <c r="H59" s="69">
        <v>9.8000000000000007</v>
      </c>
      <c r="I59" s="67">
        <f t="shared" si="1"/>
        <v>9.8000000000000007</v>
      </c>
      <c r="J59" s="41"/>
      <c r="K59" s="41"/>
    </row>
    <row r="60" spans="1:11" ht="45.75" customHeight="1" thickBot="1" x14ac:dyDescent="0.25">
      <c r="A60" s="63">
        <v>51</v>
      </c>
      <c r="B60" s="68" t="s">
        <v>194</v>
      </c>
      <c r="C60" s="78" t="s">
        <v>153</v>
      </c>
      <c r="D60" s="73">
        <v>252</v>
      </c>
      <c r="E60" s="80" t="s">
        <v>193</v>
      </c>
      <c r="F60" s="63" t="s">
        <v>69</v>
      </c>
      <c r="G60" s="66">
        <v>1</v>
      </c>
      <c r="H60" s="70">
        <v>315</v>
      </c>
      <c r="I60" s="67">
        <f t="shared" si="1"/>
        <v>315</v>
      </c>
      <c r="J60" s="79"/>
      <c r="K60" s="41"/>
    </row>
    <row r="61" spans="1:11" ht="45.75" customHeight="1" thickBot="1" x14ac:dyDescent="0.25">
      <c r="A61" s="63">
        <v>52</v>
      </c>
      <c r="B61" s="63" t="s">
        <v>109</v>
      </c>
      <c r="C61" s="76" t="s">
        <v>153</v>
      </c>
      <c r="D61" s="64">
        <v>252</v>
      </c>
      <c r="E61" s="65" t="s">
        <v>146</v>
      </c>
      <c r="F61" s="63" t="s">
        <v>67</v>
      </c>
      <c r="G61" s="66">
        <v>1</v>
      </c>
      <c r="H61" s="70">
        <v>689</v>
      </c>
      <c r="I61" s="67">
        <f t="shared" si="1"/>
        <v>689</v>
      </c>
      <c r="J61" s="41"/>
      <c r="K61" s="41"/>
    </row>
    <row r="62" spans="1:11" ht="45.75" customHeight="1" thickBot="1" x14ac:dyDescent="0.25">
      <c r="A62" s="63">
        <v>53</v>
      </c>
      <c r="B62" s="63" t="s">
        <v>107</v>
      </c>
      <c r="C62" s="76" t="s">
        <v>153</v>
      </c>
      <c r="D62" s="64">
        <v>252</v>
      </c>
      <c r="E62" s="65" t="s">
        <v>155</v>
      </c>
      <c r="F62" s="63" t="s">
        <v>63</v>
      </c>
      <c r="G62" s="66">
        <v>1</v>
      </c>
      <c r="H62" s="70">
        <v>55</v>
      </c>
      <c r="I62" s="67">
        <f t="shared" si="1"/>
        <v>55</v>
      </c>
      <c r="J62" s="41"/>
      <c r="K62" s="41"/>
    </row>
    <row r="63" spans="1:11" ht="45.75" customHeight="1" thickBot="1" x14ac:dyDescent="0.25">
      <c r="A63" s="63">
        <v>54</v>
      </c>
      <c r="B63" s="63" t="s">
        <v>108</v>
      </c>
      <c r="C63" s="76" t="s">
        <v>153</v>
      </c>
      <c r="D63" s="64">
        <v>252</v>
      </c>
      <c r="E63" s="65" t="s">
        <v>147</v>
      </c>
      <c r="F63" s="63" t="s">
        <v>63</v>
      </c>
      <c r="G63" s="66">
        <v>1</v>
      </c>
      <c r="H63" s="70">
        <v>17.350000000000001</v>
      </c>
      <c r="I63" s="67">
        <f t="shared" si="1"/>
        <v>17.350000000000001</v>
      </c>
      <c r="J63" s="41"/>
      <c r="K63" s="41"/>
    </row>
    <row r="64" spans="1:11" ht="45.75" customHeight="1" thickBot="1" x14ac:dyDescent="0.25">
      <c r="A64" s="63">
        <v>55</v>
      </c>
      <c r="B64" s="63" t="s">
        <v>110</v>
      </c>
      <c r="C64" s="76" t="s">
        <v>153</v>
      </c>
      <c r="D64" s="64">
        <v>252</v>
      </c>
      <c r="E64" s="65" t="s">
        <v>148</v>
      </c>
      <c r="F64" s="63" t="s">
        <v>68</v>
      </c>
      <c r="G64" s="66">
        <v>1</v>
      </c>
      <c r="H64" s="70">
        <v>47.24</v>
      </c>
      <c r="I64" s="67">
        <f t="shared" si="1"/>
        <v>47.24</v>
      </c>
      <c r="J64" s="41"/>
      <c r="K64" s="41"/>
    </row>
    <row r="65" spans="1:11" ht="45.75" customHeight="1" thickBot="1" x14ac:dyDescent="0.25">
      <c r="A65" s="63">
        <v>56</v>
      </c>
      <c r="B65" s="68" t="s">
        <v>164</v>
      </c>
      <c r="C65" s="78" t="s">
        <v>153</v>
      </c>
      <c r="D65" s="73">
        <v>252</v>
      </c>
      <c r="E65" s="80" t="s">
        <v>205</v>
      </c>
      <c r="F65" s="68" t="s">
        <v>63</v>
      </c>
      <c r="G65" s="66">
        <v>1</v>
      </c>
      <c r="H65" s="69">
        <v>520</v>
      </c>
      <c r="I65" s="75">
        <f t="shared" si="1"/>
        <v>520</v>
      </c>
      <c r="J65" s="79"/>
      <c r="K65" s="41"/>
    </row>
    <row r="66" spans="1:11" ht="45.75" customHeight="1" thickBot="1" x14ac:dyDescent="0.25">
      <c r="A66" s="63">
        <v>57</v>
      </c>
      <c r="B66" s="68" t="s">
        <v>196</v>
      </c>
      <c r="C66" s="76" t="s">
        <v>153</v>
      </c>
      <c r="D66" s="73">
        <v>252</v>
      </c>
      <c r="E66" s="74" t="s">
        <v>195</v>
      </c>
      <c r="F66" s="68" t="s">
        <v>63</v>
      </c>
      <c r="G66" s="66">
        <v>1</v>
      </c>
      <c r="H66" s="70">
        <v>33.5</v>
      </c>
      <c r="I66" s="75">
        <f t="shared" si="1"/>
        <v>33.5</v>
      </c>
      <c r="J66" s="82"/>
      <c r="K66" s="41"/>
    </row>
    <row r="67" spans="1:11" ht="45.75" customHeight="1" thickBot="1" x14ac:dyDescent="0.25">
      <c r="A67" s="63">
        <v>58</v>
      </c>
      <c r="B67" s="63" t="s">
        <v>111</v>
      </c>
      <c r="C67" s="76" t="s">
        <v>153</v>
      </c>
      <c r="D67" s="64">
        <v>252</v>
      </c>
      <c r="E67" s="65" t="s">
        <v>149</v>
      </c>
      <c r="F67" s="63" t="s">
        <v>70</v>
      </c>
      <c r="G67" s="66">
        <v>1</v>
      </c>
      <c r="H67" s="70">
        <v>830</v>
      </c>
      <c r="I67" s="67">
        <f t="shared" si="1"/>
        <v>830</v>
      </c>
      <c r="J67" s="41"/>
      <c r="K67" s="41"/>
    </row>
    <row r="68" spans="1:11" ht="45.75" customHeight="1" thickBot="1" x14ac:dyDescent="0.25">
      <c r="A68" s="63">
        <v>59</v>
      </c>
      <c r="B68" s="63" t="s">
        <v>224</v>
      </c>
      <c r="C68" s="77" t="s">
        <v>153</v>
      </c>
      <c r="D68" s="64">
        <v>252</v>
      </c>
      <c r="E68" s="105" t="s">
        <v>225</v>
      </c>
      <c r="F68" s="63" t="s">
        <v>70</v>
      </c>
      <c r="G68" s="66">
        <v>1</v>
      </c>
      <c r="H68" s="70">
        <v>7904.45</v>
      </c>
      <c r="I68" s="67">
        <f t="shared" si="1"/>
        <v>7904.45</v>
      </c>
      <c r="J68" s="79"/>
      <c r="K68" s="82"/>
    </row>
    <row r="69" spans="1:11" ht="45.75" customHeight="1" thickBot="1" x14ac:dyDescent="0.25">
      <c r="A69" s="63">
        <v>60</v>
      </c>
      <c r="B69" s="63" t="s">
        <v>112</v>
      </c>
      <c r="C69" s="76" t="s">
        <v>153</v>
      </c>
      <c r="D69" s="64">
        <v>252</v>
      </c>
      <c r="E69" s="65" t="s">
        <v>150</v>
      </c>
      <c r="F69" s="63" t="s">
        <v>67</v>
      </c>
      <c r="G69" s="66">
        <v>1</v>
      </c>
      <c r="H69" s="70">
        <v>36</v>
      </c>
      <c r="I69" s="67">
        <f t="shared" si="1"/>
        <v>36</v>
      </c>
      <c r="J69" s="41"/>
      <c r="K69" s="41"/>
    </row>
    <row r="70" spans="1:11" ht="45.75" customHeight="1" thickBot="1" x14ac:dyDescent="0.25">
      <c r="A70" s="63">
        <v>61</v>
      </c>
      <c r="B70" s="68" t="s">
        <v>198</v>
      </c>
      <c r="C70" s="76" t="s">
        <v>153</v>
      </c>
      <c r="D70" s="73">
        <v>252</v>
      </c>
      <c r="E70" s="80" t="s">
        <v>197</v>
      </c>
      <c r="F70" s="68" t="s">
        <v>71</v>
      </c>
      <c r="G70" s="66">
        <v>1</v>
      </c>
      <c r="H70" s="70">
        <v>330</v>
      </c>
      <c r="I70" s="75">
        <f t="shared" si="1"/>
        <v>330</v>
      </c>
      <c r="J70" s="41"/>
      <c r="K70" s="41"/>
    </row>
    <row r="71" spans="1:11" ht="45.75" customHeight="1" thickBot="1" x14ac:dyDescent="0.25">
      <c r="A71" s="63">
        <v>62</v>
      </c>
      <c r="B71" s="68" t="s">
        <v>172</v>
      </c>
      <c r="C71" s="78" t="s">
        <v>153</v>
      </c>
      <c r="D71" s="73">
        <v>252</v>
      </c>
      <c r="E71" s="74" t="s">
        <v>173</v>
      </c>
      <c r="F71" s="68" t="s">
        <v>68</v>
      </c>
      <c r="G71" s="66">
        <v>1</v>
      </c>
      <c r="H71" s="70">
        <v>1580</v>
      </c>
      <c r="I71" s="75">
        <f t="shared" si="1"/>
        <v>1580</v>
      </c>
      <c r="J71" s="79"/>
      <c r="K71" s="71"/>
    </row>
    <row r="72" spans="1:11" ht="45.75" customHeight="1" thickBot="1" x14ac:dyDescent="0.25">
      <c r="A72" s="63">
        <v>63</v>
      </c>
      <c r="B72" s="63" t="s">
        <v>113</v>
      </c>
      <c r="C72" s="76" t="s">
        <v>153</v>
      </c>
      <c r="D72" s="64">
        <v>252</v>
      </c>
      <c r="E72" s="65" t="s">
        <v>151</v>
      </c>
      <c r="F72" s="63" t="s">
        <v>69</v>
      </c>
      <c r="G72" s="66">
        <v>1</v>
      </c>
      <c r="H72" s="70">
        <v>95</v>
      </c>
      <c r="I72" s="67">
        <f t="shared" si="1"/>
        <v>95</v>
      </c>
      <c r="J72" s="41"/>
      <c r="K72" s="41"/>
    </row>
    <row r="73" spans="1:11" ht="45.75" customHeight="1" thickBot="1" x14ac:dyDescent="0.25">
      <c r="A73" s="63">
        <v>64</v>
      </c>
      <c r="B73" s="68" t="s">
        <v>200</v>
      </c>
      <c r="C73" s="76" t="s">
        <v>153</v>
      </c>
      <c r="D73" s="73">
        <v>252</v>
      </c>
      <c r="E73" s="80" t="s">
        <v>199</v>
      </c>
      <c r="F73" s="68" t="s">
        <v>66</v>
      </c>
      <c r="G73" s="66">
        <v>1</v>
      </c>
      <c r="H73" s="70">
        <v>1120</v>
      </c>
      <c r="I73" s="75">
        <f t="shared" si="1"/>
        <v>1120</v>
      </c>
      <c r="J73" s="41"/>
      <c r="K73" s="41"/>
    </row>
    <row r="74" spans="1:11" ht="45.75" customHeight="1" thickBot="1" x14ac:dyDescent="0.25">
      <c r="A74" s="63">
        <v>65</v>
      </c>
      <c r="B74" s="68" t="s">
        <v>171</v>
      </c>
      <c r="C74" s="78" t="s">
        <v>153</v>
      </c>
      <c r="D74" s="73">
        <v>252</v>
      </c>
      <c r="E74" s="74" t="s">
        <v>165</v>
      </c>
      <c r="F74" s="68" t="s">
        <v>67</v>
      </c>
      <c r="G74" s="66">
        <v>1</v>
      </c>
      <c r="H74" s="70">
        <v>10300</v>
      </c>
      <c r="I74" s="75">
        <f t="shared" si="1"/>
        <v>10300</v>
      </c>
      <c r="J74" s="79"/>
      <c r="K74" s="41"/>
    </row>
    <row r="75" spans="1:11" ht="39" thickBot="1" x14ac:dyDescent="0.25">
      <c r="A75" s="63">
        <v>66</v>
      </c>
      <c r="B75" s="68" t="s">
        <v>201</v>
      </c>
      <c r="C75" s="76" t="s">
        <v>153</v>
      </c>
      <c r="D75" s="73">
        <v>252</v>
      </c>
      <c r="E75" s="74" t="s">
        <v>206</v>
      </c>
      <c r="F75" s="68" t="s">
        <v>67</v>
      </c>
      <c r="G75" s="66">
        <v>1</v>
      </c>
      <c r="H75" s="70">
        <v>16500</v>
      </c>
      <c r="I75" s="75">
        <f t="shared" si="1"/>
        <v>16500</v>
      </c>
      <c r="J75" s="82"/>
      <c r="K75" s="41"/>
    </row>
    <row r="76" spans="1:11" ht="45.75" customHeight="1" thickBot="1" x14ac:dyDescent="0.25">
      <c r="A76" s="63">
        <v>67</v>
      </c>
      <c r="B76" s="68" t="s">
        <v>170</v>
      </c>
      <c r="C76" s="78" t="s">
        <v>153</v>
      </c>
      <c r="D76" s="73">
        <v>252</v>
      </c>
      <c r="E76" s="74" t="s">
        <v>166</v>
      </c>
      <c r="F76" s="68" t="s">
        <v>67</v>
      </c>
      <c r="G76" s="66">
        <v>1</v>
      </c>
      <c r="H76" s="70">
        <v>9230</v>
      </c>
      <c r="I76" s="75">
        <f t="shared" si="1"/>
        <v>9230</v>
      </c>
      <c r="J76" s="79"/>
      <c r="K76" s="41"/>
    </row>
    <row r="77" spans="1:11" ht="45.75" customHeight="1" thickBot="1" x14ac:dyDescent="0.25">
      <c r="A77" s="63">
        <v>68</v>
      </c>
      <c r="B77" s="63" t="s">
        <v>114</v>
      </c>
      <c r="C77" s="76" t="s">
        <v>153</v>
      </c>
      <c r="D77" s="64">
        <v>252</v>
      </c>
      <c r="E77" s="65" t="s">
        <v>152</v>
      </c>
      <c r="F77" s="63" t="s">
        <v>70</v>
      </c>
      <c r="G77" s="66">
        <v>1</v>
      </c>
      <c r="H77" s="70">
        <v>7224.98</v>
      </c>
      <c r="I77" s="67">
        <f t="shared" si="1"/>
        <v>7224.98</v>
      </c>
      <c r="J77" s="41"/>
      <c r="K77" s="41"/>
    </row>
    <row r="78" spans="1:11" ht="45.75" customHeight="1" thickBot="1" x14ac:dyDescent="0.25">
      <c r="A78" s="63">
        <v>69</v>
      </c>
      <c r="B78" s="68" t="s">
        <v>115</v>
      </c>
      <c r="C78" s="78" t="s">
        <v>153</v>
      </c>
      <c r="D78" s="73">
        <v>252</v>
      </c>
      <c r="E78" s="80" t="s">
        <v>202</v>
      </c>
      <c r="F78" s="63" t="s">
        <v>68</v>
      </c>
      <c r="G78" s="66">
        <v>1</v>
      </c>
      <c r="H78" s="70">
        <v>17101.38</v>
      </c>
      <c r="I78" s="67">
        <f t="shared" si="1"/>
        <v>17101.38</v>
      </c>
      <c r="J78" s="83"/>
      <c r="K78" s="41"/>
    </row>
    <row r="79" spans="1:11" ht="45.75" customHeight="1" thickBot="1" x14ac:dyDescent="0.25">
      <c r="A79" s="63">
        <v>70</v>
      </c>
      <c r="B79" s="68" t="s">
        <v>169</v>
      </c>
      <c r="C79" s="78" t="s">
        <v>153</v>
      </c>
      <c r="D79" s="73">
        <v>252</v>
      </c>
      <c r="E79" s="80" t="s">
        <v>203</v>
      </c>
      <c r="F79" s="63" t="s">
        <v>70</v>
      </c>
      <c r="G79" s="66">
        <v>1</v>
      </c>
      <c r="H79" s="70">
        <v>1586.68</v>
      </c>
      <c r="I79" s="67">
        <f t="shared" si="1"/>
        <v>1586.68</v>
      </c>
      <c r="J79" s="79"/>
      <c r="K79" s="41"/>
    </row>
    <row r="80" spans="1:11" ht="45.75" customHeight="1" thickBot="1" x14ac:dyDescent="0.25">
      <c r="A80" s="63">
        <v>71</v>
      </c>
      <c r="B80" s="68" t="s">
        <v>168</v>
      </c>
      <c r="C80" s="76" t="s">
        <v>153</v>
      </c>
      <c r="D80" s="73">
        <v>252</v>
      </c>
      <c r="E80" s="74" t="s">
        <v>167</v>
      </c>
      <c r="F80" s="68" t="s">
        <v>68</v>
      </c>
      <c r="G80" s="66">
        <v>1</v>
      </c>
      <c r="H80" s="69">
        <v>1260</v>
      </c>
      <c r="I80" s="75">
        <f t="shared" si="1"/>
        <v>1260</v>
      </c>
      <c r="J80" s="41"/>
      <c r="K80" s="41"/>
    </row>
    <row r="82" spans="2:9" ht="13.5" thickBot="1" x14ac:dyDescent="0.25"/>
    <row r="83" spans="2:9" x14ac:dyDescent="0.2">
      <c r="B83" s="52" t="s">
        <v>55</v>
      </c>
      <c r="C83" s="44"/>
      <c r="D83" s="44"/>
      <c r="E83" s="86"/>
      <c r="F83" s="44"/>
      <c r="G83" s="100"/>
      <c r="H83" s="45"/>
      <c r="I83" s="46"/>
    </row>
    <row r="84" spans="2:9" x14ac:dyDescent="0.2">
      <c r="B84" s="92"/>
      <c r="G84" s="101"/>
      <c r="H84" s="45"/>
      <c r="I84" s="46"/>
    </row>
    <row r="85" spans="2:9" x14ac:dyDescent="0.2">
      <c r="B85" s="92" t="s">
        <v>216</v>
      </c>
      <c r="G85" s="101"/>
      <c r="H85" s="45"/>
      <c r="I85" s="46"/>
    </row>
    <row r="86" spans="2:9" x14ac:dyDescent="0.2">
      <c r="B86" s="92"/>
      <c r="G86" s="101"/>
      <c r="H86" s="45"/>
      <c r="I86" s="46"/>
    </row>
    <row r="87" spans="2:9" x14ac:dyDescent="0.2">
      <c r="B87" s="106" t="s">
        <v>53</v>
      </c>
      <c r="C87" s="107"/>
      <c r="D87" s="107"/>
      <c r="E87" s="107"/>
      <c r="F87" s="107"/>
      <c r="G87" s="108"/>
      <c r="H87" s="45"/>
      <c r="I87" s="46"/>
    </row>
    <row r="88" spans="2:9" x14ac:dyDescent="0.2">
      <c r="B88" s="109" t="s">
        <v>54</v>
      </c>
      <c r="C88" s="110"/>
      <c r="D88" s="110"/>
      <c r="E88" s="110"/>
      <c r="F88" s="110"/>
      <c r="G88" s="101"/>
      <c r="H88" s="45"/>
      <c r="I88" s="46"/>
    </row>
    <row r="89" spans="2:9" ht="15" x14ac:dyDescent="0.2">
      <c r="B89" s="111" t="s">
        <v>210</v>
      </c>
      <c r="C89" s="112"/>
      <c r="D89" s="49"/>
      <c r="E89" s="87"/>
      <c r="F89" s="49"/>
      <c r="G89" s="101"/>
      <c r="H89" s="45"/>
      <c r="I89" s="46"/>
    </row>
    <row r="90" spans="2:9" ht="13.5" thickBot="1" x14ac:dyDescent="0.25">
      <c r="B90" s="47" t="s">
        <v>52</v>
      </c>
      <c r="C90" s="50"/>
      <c r="D90" s="50"/>
      <c r="E90" s="88"/>
      <c r="F90" s="50"/>
      <c r="G90" s="51"/>
    </row>
    <row r="91" spans="2:9" ht="13.5" thickBot="1" x14ac:dyDescent="0.25"/>
    <row r="92" spans="2:9" x14ac:dyDescent="0.2">
      <c r="B92" s="52" t="s">
        <v>55</v>
      </c>
      <c r="C92" s="44"/>
      <c r="D92" s="44"/>
      <c r="E92" s="86"/>
      <c r="F92" s="44"/>
      <c r="G92" s="100"/>
    </row>
    <row r="93" spans="2:9" x14ac:dyDescent="0.2">
      <c r="B93" s="92"/>
      <c r="G93" s="101"/>
    </row>
    <row r="94" spans="2:9" x14ac:dyDescent="0.2">
      <c r="B94" s="92" t="s">
        <v>219</v>
      </c>
      <c r="G94" s="101"/>
    </row>
    <row r="95" spans="2:9" x14ac:dyDescent="0.2">
      <c r="B95" s="92"/>
      <c r="G95" s="101"/>
    </row>
    <row r="96" spans="2:9" x14ac:dyDescent="0.2">
      <c r="B96" s="106" t="s">
        <v>53</v>
      </c>
      <c r="C96" s="107"/>
      <c r="D96" s="107"/>
      <c r="E96" s="107"/>
      <c r="F96" s="107"/>
      <c r="G96" s="108"/>
    </row>
    <row r="97" spans="2:7" x14ac:dyDescent="0.2">
      <c r="B97" s="109" t="s">
        <v>54</v>
      </c>
      <c r="C97" s="110"/>
      <c r="D97" s="110"/>
      <c r="E97" s="110"/>
      <c r="F97" s="110"/>
      <c r="G97" s="101"/>
    </row>
    <row r="98" spans="2:7" ht="15" x14ac:dyDescent="0.2">
      <c r="B98" s="111" t="s">
        <v>210</v>
      </c>
      <c r="C98" s="112"/>
      <c r="D98" s="49"/>
      <c r="E98" s="87"/>
      <c r="F98" s="49"/>
      <c r="G98" s="101"/>
    </row>
    <row r="99" spans="2:7" ht="13.5" thickBot="1" x14ac:dyDescent="0.25">
      <c r="B99" s="47" t="s">
        <v>52</v>
      </c>
      <c r="C99" s="50"/>
      <c r="D99" s="50"/>
      <c r="E99" s="88"/>
      <c r="F99" s="50"/>
      <c r="G99" s="51"/>
    </row>
    <row r="100" spans="2:7" ht="13.5" thickBot="1" x14ac:dyDescent="0.25"/>
    <row r="101" spans="2:7" x14ac:dyDescent="0.2">
      <c r="B101" s="52" t="s">
        <v>55</v>
      </c>
      <c r="C101" s="44"/>
      <c r="D101" s="44"/>
      <c r="E101" s="86"/>
      <c r="F101" s="44"/>
      <c r="G101" s="100"/>
    </row>
    <row r="102" spans="2:7" x14ac:dyDescent="0.2">
      <c r="B102" s="92"/>
      <c r="G102" s="101"/>
    </row>
    <row r="103" spans="2:7" x14ac:dyDescent="0.2">
      <c r="B103" s="92" t="s">
        <v>220</v>
      </c>
      <c r="G103" s="101"/>
    </row>
    <row r="104" spans="2:7" x14ac:dyDescent="0.2">
      <c r="B104" s="92"/>
      <c r="G104" s="101"/>
    </row>
    <row r="105" spans="2:7" x14ac:dyDescent="0.2">
      <c r="B105" s="106" t="s">
        <v>53</v>
      </c>
      <c r="C105" s="107"/>
      <c r="D105" s="107"/>
      <c r="E105" s="107"/>
      <c r="F105" s="107"/>
      <c r="G105" s="108"/>
    </row>
    <row r="106" spans="2:7" x14ac:dyDescent="0.2">
      <c r="B106" s="109" t="s">
        <v>54</v>
      </c>
      <c r="C106" s="110"/>
      <c r="D106" s="110"/>
      <c r="E106" s="110"/>
      <c r="F106" s="110"/>
      <c r="G106" s="101"/>
    </row>
    <row r="107" spans="2:7" ht="15" x14ac:dyDescent="0.2">
      <c r="B107" s="111" t="s">
        <v>210</v>
      </c>
      <c r="C107" s="112"/>
      <c r="D107" s="49"/>
      <c r="E107" s="87"/>
      <c r="F107" s="49"/>
      <c r="G107" s="101"/>
    </row>
    <row r="108" spans="2:7" ht="13.5" thickBot="1" x14ac:dyDescent="0.25">
      <c r="B108" s="47" t="s">
        <v>52</v>
      </c>
      <c r="C108" s="50"/>
      <c r="D108" s="50"/>
      <c r="E108" s="88"/>
      <c r="F108" s="50"/>
      <c r="G108" s="51"/>
    </row>
    <row r="109" spans="2:7" ht="13.5" thickBot="1" x14ac:dyDescent="0.25"/>
    <row r="110" spans="2:7" x14ac:dyDescent="0.2">
      <c r="B110" s="52" t="s">
        <v>55</v>
      </c>
      <c r="C110" s="44"/>
      <c r="D110" s="44"/>
      <c r="E110" s="86"/>
      <c r="F110" s="44"/>
      <c r="G110" s="100"/>
    </row>
    <row r="111" spans="2:7" x14ac:dyDescent="0.2">
      <c r="B111" s="92"/>
      <c r="G111" s="101"/>
    </row>
    <row r="112" spans="2:7" x14ac:dyDescent="0.2">
      <c r="B112" s="92" t="s">
        <v>223</v>
      </c>
      <c r="G112" s="101"/>
    </row>
    <row r="113" spans="2:7" x14ac:dyDescent="0.2">
      <c r="B113" s="92"/>
      <c r="G113" s="101"/>
    </row>
    <row r="114" spans="2:7" x14ac:dyDescent="0.2">
      <c r="B114" s="106" t="s">
        <v>53</v>
      </c>
      <c r="C114" s="107"/>
      <c r="D114" s="107"/>
      <c r="E114" s="107"/>
      <c r="F114" s="107"/>
      <c r="G114" s="108"/>
    </row>
    <row r="115" spans="2:7" x14ac:dyDescent="0.2">
      <c r="B115" s="109" t="s">
        <v>54</v>
      </c>
      <c r="C115" s="110"/>
      <c r="D115" s="110"/>
      <c r="E115" s="110"/>
      <c r="F115" s="110"/>
      <c r="G115" s="101"/>
    </row>
    <row r="116" spans="2:7" ht="15" x14ac:dyDescent="0.2">
      <c r="B116" s="111" t="s">
        <v>210</v>
      </c>
      <c r="C116" s="112"/>
      <c r="D116" s="49"/>
      <c r="E116" s="87"/>
      <c r="F116" s="49"/>
      <c r="G116" s="101"/>
    </row>
    <row r="117" spans="2:7" ht="13.5" thickBot="1" x14ac:dyDescent="0.25">
      <c r="B117" s="47" t="s">
        <v>52</v>
      </c>
      <c r="C117" s="50"/>
      <c r="D117" s="50"/>
      <c r="E117" s="88"/>
      <c r="F117" s="50"/>
      <c r="G117" s="51"/>
    </row>
    <row r="118" spans="2:7" ht="13.5" thickBot="1" x14ac:dyDescent="0.25"/>
    <row r="119" spans="2:7" x14ac:dyDescent="0.2">
      <c r="B119" s="52" t="s">
        <v>55</v>
      </c>
      <c r="C119" s="44"/>
      <c r="D119" s="44"/>
      <c r="E119" s="86"/>
      <c r="F119" s="44"/>
      <c r="G119" s="100"/>
    </row>
    <row r="120" spans="2:7" x14ac:dyDescent="0.2">
      <c r="B120" s="92"/>
      <c r="G120" s="101"/>
    </row>
    <row r="121" spans="2:7" x14ac:dyDescent="0.2">
      <c r="B121" s="92" t="s">
        <v>221</v>
      </c>
      <c r="G121" s="101"/>
    </row>
    <row r="122" spans="2:7" x14ac:dyDescent="0.2">
      <c r="B122" s="92"/>
      <c r="G122" s="101"/>
    </row>
    <row r="123" spans="2:7" x14ac:dyDescent="0.2">
      <c r="B123" s="106" t="s">
        <v>53</v>
      </c>
      <c r="C123" s="107"/>
      <c r="D123" s="107"/>
      <c r="E123" s="107"/>
      <c r="F123" s="107"/>
      <c r="G123" s="108"/>
    </row>
    <row r="124" spans="2:7" x14ac:dyDescent="0.2">
      <c r="B124" s="109" t="s">
        <v>54</v>
      </c>
      <c r="C124" s="110"/>
      <c r="D124" s="110"/>
      <c r="E124" s="110"/>
      <c r="F124" s="110"/>
      <c r="G124" s="101"/>
    </row>
    <row r="125" spans="2:7" ht="15" x14ac:dyDescent="0.2">
      <c r="B125" s="111" t="s">
        <v>210</v>
      </c>
      <c r="C125" s="112"/>
      <c r="D125" s="49"/>
      <c r="E125" s="87"/>
      <c r="F125" s="49"/>
      <c r="G125" s="101"/>
    </row>
    <row r="126" spans="2:7" ht="13.5" thickBot="1" x14ac:dyDescent="0.25">
      <c r="B126" s="47" t="s">
        <v>52</v>
      </c>
      <c r="C126" s="50"/>
      <c r="D126" s="50"/>
      <c r="E126" s="88"/>
      <c r="F126" s="50"/>
      <c r="G126" s="51"/>
    </row>
  </sheetData>
  <mergeCells count="22">
    <mergeCell ref="B2:I2"/>
    <mergeCell ref="A4:B4"/>
    <mergeCell ref="C4:F4"/>
    <mergeCell ref="A5:B5"/>
    <mergeCell ref="C5:F5"/>
    <mergeCell ref="B89:C89"/>
    <mergeCell ref="B87:G87"/>
    <mergeCell ref="B88:F88"/>
    <mergeCell ref="A6:B6"/>
    <mergeCell ref="A7:B7"/>
    <mergeCell ref="B96:G96"/>
    <mergeCell ref="B97:F97"/>
    <mergeCell ref="B98:C98"/>
    <mergeCell ref="B105:G105"/>
    <mergeCell ref="B106:F106"/>
    <mergeCell ref="B123:G123"/>
    <mergeCell ref="B124:F124"/>
    <mergeCell ref="B125:C125"/>
    <mergeCell ref="B107:C107"/>
    <mergeCell ref="B114:G114"/>
    <mergeCell ref="B115:F115"/>
    <mergeCell ref="B116:C116"/>
  </mergeCells>
  <conditionalFormatting sqref="B89">
    <cfRule type="duplicateValues" dxfId="9" priority="13"/>
  </conditionalFormatting>
  <conditionalFormatting sqref="B89">
    <cfRule type="duplicateValues" dxfId="8" priority="14"/>
  </conditionalFormatting>
  <conditionalFormatting sqref="B98">
    <cfRule type="duplicateValues" dxfId="7" priority="7"/>
  </conditionalFormatting>
  <conditionalFormatting sqref="B98">
    <cfRule type="duplicateValues" dxfId="6" priority="8"/>
  </conditionalFormatting>
  <conditionalFormatting sqref="B107">
    <cfRule type="duplicateValues" dxfId="5" priority="5"/>
  </conditionalFormatting>
  <conditionalFormatting sqref="B107">
    <cfRule type="duplicateValues" dxfId="4" priority="6"/>
  </conditionalFormatting>
  <conditionalFormatting sqref="B116">
    <cfRule type="duplicateValues" dxfId="3" priority="3"/>
  </conditionalFormatting>
  <conditionalFormatting sqref="B116">
    <cfRule type="duplicateValues" dxfId="2" priority="4"/>
  </conditionalFormatting>
  <conditionalFormatting sqref="B125">
    <cfRule type="duplicateValues" dxfId="1" priority="1"/>
  </conditionalFormatting>
  <conditionalFormatting sqref="B125">
    <cfRule type="duplicateValues" dxfId="0" priority="2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83"/>
  <sheetViews>
    <sheetView topLeftCell="A70" zoomScale="85" zoomScaleNormal="85" workbookViewId="0">
      <selection activeCell="N80" sqref="N80"/>
    </sheetView>
  </sheetViews>
  <sheetFormatPr baseColWidth="10" defaultColWidth="9.140625" defaultRowHeight="12.75" x14ac:dyDescent="0.2"/>
  <cols>
    <col min="1" max="1" width="5.5703125" style="30" customWidth="1"/>
    <col min="2" max="2" width="16.5703125" style="30" bestFit="1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55" style="30" customWidth="1"/>
    <col min="8" max="8" width="13.42578125" style="30" customWidth="1"/>
    <col min="9" max="9" width="16" style="30" customWidth="1"/>
    <col min="10" max="10" width="15.5703125" style="30" customWidth="1"/>
    <col min="11" max="11" width="14" style="30" customWidth="1"/>
    <col min="12" max="12" width="15.5703125" style="30" customWidth="1"/>
    <col min="13" max="13" width="5.85546875" style="30" customWidth="1"/>
    <col min="14" max="14" width="9.42578125" style="30" customWidth="1"/>
    <col min="15" max="15" width="5.85546875" style="30" customWidth="1"/>
    <col min="16" max="16" width="12.5703125" style="30" customWidth="1"/>
    <col min="17" max="1025" width="9.140625" style="30"/>
    <col min="1026" max="16384" width="9.140625" style="31"/>
  </cols>
  <sheetData>
    <row r="1" spans="1:13 1025:1025" ht="16.5" thickBot="1" x14ac:dyDescent="0.25">
      <c r="A1" s="129" t="s">
        <v>13</v>
      </c>
      <c r="B1" s="129"/>
      <c r="C1" s="129"/>
      <c r="D1" s="129"/>
      <c r="E1" s="129"/>
      <c r="F1" s="129"/>
      <c r="G1" s="129"/>
      <c r="H1" s="129"/>
      <c r="I1" s="129"/>
      <c r="J1" s="29" t="s">
        <v>14</v>
      </c>
      <c r="K1" s="54" t="s">
        <v>61</v>
      </c>
      <c r="AMK1" s="31"/>
    </row>
    <row r="2" spans="1:13 1025:1025" ht="16.5" thickBot="1" x14ac:dyDescent="0.25">
      <c r="A2" s="32"/>
      <c r="B2" s="32"/>
      <c r="C2" s="32"/>
      <c r="D2" s="33"/>
      <c r="E2" s="33"/>
      <c r="F2" s="33"/>
      <c r="G2" s="33"/>
      <c r="H2" s="59"/>
      <c r="I2" s="33"/>
      <c r="J2" s="33"/>
      <c r="K2" s="33"/>
      <c r="L2" s="33"/>
    </row>
    <row r="3" spans="1:13 1025:1025" ht="16.5" customHeight="1" thickBot="1" x14ac:dyDescent="0.25">
      <c r="A3" s="130" t="s">
        <v>46</v>
      </c>
      <c r="B3" s="131"/>
      <c r="C3" s="139" t="str">
        <f>'Necesidades Trimestrales'!C4</f>
        <v>040 - Ministerio de Salud</v>
      </c>
      <c r="D3" s="139"/>
      <c r="E3" s="139"/>
      <c r="F3" s="139"/>
      <c r="G3" s="139"/>
      <c r="H3" s="139"/>
      <c r="I3" s="139"/>
      <c r="J3" s="139"/>
      <c r="K3" s="139"/>
      <c r="AMK3" s="31"/>
    </row>
    <row r="4" spans="1:13 1025:1025" ht="16.5" thickBot="1" x14ac:dyDescent="0.25">
      <c r="A4" s="132" t="s">
        <v>47</v>
      </c>
      <c r="B4" s="133"/>
      <c r="C4" s="138" t="str">
        <f>'Necesidades Trimestrales'!C5</f>
        <v>11/ 23/ 24  o  28- "…......."</v>
      </c>
      <c r="D4" s="138"/>
      <c r="E4" s="138"/>
      <c r="F4" s="138"/>
      <c r="G4" s="138"/>
      <c r="H4" s="138"/>
      <c r="I4" s="138"/>
      <c r="J4" s="138"/>
      <c r="K4" s="138"/>
      <c r="AMK4" s="31"/>
    </row>
    <row r="5" spans="1:13 1025:1025" ht="16.5" customHeight="1" thickBot="1" x14ac:dyDescent="0.25">
      <c r="A5" s="132" t="s">
        <v>25</v>
      </c>
      <c r="B5" s="133"/>
      <c r="C5" s="138" t="s">
        <v>57</v>
      </c>
      <c r="D5" s="138"/>
      <c r="E5" s="138"/>
      <c r="F5" s="138"/>
      <c r="G5" s="138"/>
      <c r="H5" s="138"/>
      <c r="I5" s="138"/>
      <c r="J5" s="138"/>
      <c r="K5" s="138"/>
      <c r="AMK5" s="31"/>
    </row>
    <row r="6" spans="1:13 1025:1025" ht="16.5" customHeight="1" thickBot="1" x14ac:dyDescent="0.25">
      <c r="A6" s="132" t="s">
        <v>48</v>
      </c>
      <c r="B6" s="133"/>
      <c r="C6" s="138" t="s">
        <v>57</v>
      </c>
      <c r="D6" s="138"/>
      <c r="E6" s="138"/>
      <c r="F6" s="138"/>
      <c r="G6" s="138"/>
      <c r="H6" s="138"/>
      <c r="I6" s="138"/>
      <c r="J6" s="138"/>
      <c r="K6" s="138"/>
      <c r="AMK6" s="31"/>
    </row>
    <row r="7" spans="1:13 1025:1025" ht="16.5" customHeight="1" thickBot="1" x14ac:dyDescent="0.25">
      <c r="A7" s="134" t="s">
        <v>15</v>
      </c>
      <c r="B7" s="135"/>
      <c r="C7" s="138" t="s">
        <v>62</v>
      </c>
      <c r="D7" s="138"/>
      <c r="E7" s="138"/>
      <c r="F7" s="138"/>
      <c r="G7" s="138"/>
      <c r="H7" s="138"/>
      <c r="I7" s="138"/>
      <c r="J7" s="138"/>
      <c r="K7" s="138"/>
      <c r="AMK7" s="31"/>
    </row>
    <row r="8" spans="1:13 1025:1025" ht="41.25" customHeight="1" thickBot="1" x14ac:dyDescent="0.25">
      <c r="A8" s="136" t="s">
        <v>16</v>
      </c>
      <c r="B8" s="137"/>
      <c r="C8" s="140" t="s">
        <v>72</v>
      </c>
      <c r="D8" s="140"/>
      <c r="E8" s="140"/>
      <c r="F8" s="140"/>
      <c r="G8" s="140"/>
      <c r="H8" s="140"/>
      <c r="I8" s="140"/>
      <c r="J8" s="140"/>
      <c r="K8" s="140"/>
      <c r="AMK8" s="31"/>
    </row>
    <row r="9" spans="1:13 1025:1025" ht="16.5" thickBot="1" x14ac:dyDescent="0.25">
      <c r="A9" s="34"/>
      <c r="B9" s="34"/>
      <c r="C9" s="34"/>
      <c r="D9" s="35"/>
      <c r="E9" s="35"/>
      <c r="F9" s="35"/>
      <c r="G9" s="35"/>
      <c r="H9" s="60"/>
      <c r="I9" s="35"/>
      <c r="J9" s="35"/>
      <c r="K9" s="35"/>
      <c r="L9" s="35"/>
    </row>
    <row r="10" spans="1:13 1025:1025" ht="13.5" thickBot="1" x14ac:dyDescent="0.25">
      <c r="A10" s="127" t="s">
        <v>17</v>
      </c>
      <c r="B10" s="127" t="s">
        <v>6</v>
      </c>
      <c r="C10" s="128" t="s">
        <v>18</v>
      </c>
      <c r="D10" s="128"/>
      <c r="E10" s="128"/>
      <c r="F10" s="128"/>
      <c r="G10" s="128"/>
      <c r="H10" s="128" t="s">
        <v>19</v>
      </c>
      <c r="I10" s="128" t="s">
        <v>20</v>
      </c>
      <c r="J10" s="128" t="s">
        <v>21</v>
      </c>
      <c r="K10" s="128" t="s">
        <v>22</v>
      </c>
      <c r="AMK10" s="31"/>
    </row>
    <row r="11" spans="1:13 1025:1025" ht="35.25" customHeight="1" thickBot="1" x14ac:dyDescent="0.25">
      <c r="A11" s="127"/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AMK11" s="31"/>
    </row>
    <row r="12" spans="1:13 1025:1025" ht="46.5" customHeight="1" thickBot="1" x14ac:dyDescent="0.25">
      <c r="A12" s="98">
        <v>1</v>
      </c>
      <c r="B12" s="99" t="str">
        <f>'Necesidades Trimestrales'!B10</f>
        <v>2.5.2-1895.67</v>
      </c>
      <c r="C12" s="118" t="str">
        <f>'Necesidades Trimestrales'!E10</f>
        <v>HORMONAS MEDICINALES; TIPO: MONODROGA, DROGA GENERICA: VALERATO DE ESTRADIOL, FORMA FARMACEUTICA: COMPRIMIDO 1MGR, PRESENTACION: ENVASE X 28 UN, USO: HORMONOTERAPIA DE REEMPLAZO</v>
      </c>
      <c r="D12" s="118"/>
      <c r="E12" s="118"/>
      <c r="F12" s="118"/>
      <c r="G12" s="118"/>
      <c r="H12" s="98" t="s">
        <v>51</v>
      </c>
      <c r="I12" s="95" t="str">
        <f>'Necesidades Trimestrales'!F10</f>
        <v>CAJA</v>
      </c>
      <c r="J12" s="96">
        <f>'Necesidades Trimestrales'!H10</f>
        <v>1007.05</v>
      </c>
      <c r="K12" s="102">
        <f>'Necesidades Trimestrales'!G10</f>
        <v>1</v>
      </c>
      <c r="L12" s="122"/>
      <c r="M12" s="119"/>
      <c r="AMK12" s="31"/>
    </row>
    <row r="13" spans="1:13 1025:1025" ht="46.5" customHeight="1" thickBot="1" x14ac:dyDescent="0.25">
      <c r="A13" s="98">
        <v>2</v>
      </c>
      <c r="B13" s="99" t="str">
        <f>'Necesidades Trimestrales'!B11</f>
        <v>2.5.2-3955.1</v>
      </c>
      <c r="C13" s="118" t="str">
        <f>'Necesidades Trimestrales'!E11</f>
        <v>ANTIANDROGENOS; TIPO: MONODROGA, DROGA GENERICA: CIPROTERONA, FORMA FARMACEUTICA: COMPRIMIDO, PRESENTACION: 50 mGr</v>
      </c>
      <c r="D13" s="118"/>
      <c r="E13" s="118"/>
      <c r="F13" s="118"/>
      <c r="G13" s="118"/>
      <c r="H13" s="98" t="s">
        <v>51</v>
      </c>
      <c r="I13" s="95" t="str">
        <f>'Necesidades Trimestrales'!F11</f>
        <v>COMPRIMIDO</v>
      </c>
      <c r="J13" s="96">
        <f>'Necesidades Trimestrales'!H11</f>
        <v>190.52</v>
      </c>
      <c r="K13" s="102">
        <f>+'Necesidades Trimestrales'!G11</f>
        <v>1</v>
      </c>
      <c r="L13" s="94"/>
      <c r="M13" s="94"/>
      <c r="AMK13" s="31"/>
    </row>
    <row r="14" spans="1:13 1025:1025" ht="46.5" customHeight="1" thickBot="1" x14ac:dyDescent="0.25">
      <c r="A14" s="98">
        <v>3</v>
      </c>
      <c r="B14" s="99" t="str">
        <f>'Necesidades Trimestrales'!B12</f>
        <v>2.5.2-1875.132</v>
      </c>
      <c r="C14" s="118" t="str">
        <f>'Necesidades Trimestrales'!E12</f>
        <v>ANTIASMATICO BRONCODILATADOR; TIPO: MONODROGA, DROGA GENERICA: N-ACETIL CISTEINA 2 GR, FORMA FARMACEUTICA: JARABE PARA PREPARAR 100 ML, PRESENTACION: UNIDAD</v>
      </c>
      <c r="D14" s="118"/>
      <c r="E14" s="118"/>
      <c r="F14" s="118"/>
      <c r="G14" s="118"/>
      <c r="H14" s="98" t="s">
        <v>51</v>
      </c>
      <c r="I14" s="95" t="str">
        <f>'Necesidades Trimestrales'!F12</f>
        <v>FRASCO</v>
      </c>
      <c r="J14" s="96">
        <f>'Necesidades Trimestrales'!H12</f>
        <v>1253</v>
      </c>
      <c r="K14" s="102">
        <f>+'Necesidades Trimestrales'!G12</f>
        <v>1</v>
      </c>
      <c r="L14" s="94"/>
      <c r="M14" s="94"/>
      <c r="AMK14" s="31"/>
    </row>
    <row r="15" spans="1:13 1025:1025" ht="46.5" customHeight="1" thickBot="1" x14ac:dyDescent="0.25">
      <c r="A15" s="98">
        <v>4</v>
      </c>
      <c r="B15" s="99" t="str">
        <f>'Necesidades Trimestrales'!B13</f>
        <v>2.5.2-1875.133</v>
      </c>
      <c r="C15" s="118" t="str">
        <f>'Necesidades Trimestrales'!E13</f>
        <v>ANTIASMATICO BRONCODILATADOR; TIPO: MONODROGA, DROGA GENERICA: N-ACETIL CISTEINA 600 MGR, FORMA FARMACEUTICA: TABLETA EFERVESCENTE, PRESENTACION: UNIDAD</v>
      </c>
      <c r="D15" s="118"/>
      <c r="E15" s="118"/>
      <c r="F15" s="118"/>
      <c r="G15" s="118"/>
      <c r="H15" s="98" t="s">
        <v>51</v>
      </c>
      <c r="I15" s="95" t="str">
        <f>'Necesidades Trimestrales'!F13</f>
        <v>TABLETAS</v>
      </c>
      <c r="J15" s="96">
        <f>'Necesidades Trimestrales'!H13</f>
        <v>35.24</v>
      </c>
      <c r="K15" s="102">
        <f>+'Necesidades Trimestrales'!G13</f>
        <v>1</v>
      </c>
      <c r="L15" s="94"/>
      <c r="M15" s="94"/>
      <c r="AMK15" s="31"/>
    </row>
    <row r="16" spans="1:13 1025:1025" ht="46.5" customHeight="1" thickBot="1" x14ac:dyDescent="0.25">
      <c r="A16" s="98">
        <v>5</v>
      </c>
      <c r="B16" s="99" t="str">
        <f>'Necesidades Trimestrales'!B14</f>
        <v>2.5.2-2198.8</v>
      </c>
      <c r="C16" s="118" t="str">
        <f>'Necesidades Trimestrales'!E14</f>
        <v>ANTIDIURETICOS; DROGA GENERICA: VASOPRESINA ACUOSA, FORMA FARMACEUTICA: AMPOLLA, PRESENTACION: 1 mL, TIPO: MONODROGA</v>
      </c>
      <c r="D16" s="118"/>
      <c r="E16" s="118"/>
      <c r="F16" s="118"/>
      <c r="G16" s="118"/>
      <c r="H16" s="98" t="s">
        <v>209</v>
      </c>
      <c r="I16" s="95" t="str">
        <f>'Necesidades Trimestrales'!F14</f>
        <v>CAJA</v>
      </c>
      <c r="J16" s="96">
        <f>'Necesidades Trimestrales'!H14</f>
        <v>775</v>
      </c>
      <c r="K16" s="102">
        <f>+'Necesidades Trimestrales'!G14</f>
        <v>1</v>
      </c>
      <c r="L16" s="123"/>
      <c r="M16" s="168"/>
      <c r="AMK16" s="31"/>
    </row>
    <row r="17" spans="1:13 1025:1025" ht="46.5" customHeight="1" thickBot="1" x14ac:dyDescent="0.25">
      <c r="A17" s="98">
        <v>6</v>
      </c>
      <c r="B17" s="99" t="str">
        <f>'Necesidades Trimestrales'!B15</f>
        <v>2.5.2-1829.25</v>
      </c>
      <c r="C17" s="118" t="str">
        <f>'Necesidades Trimestrales'!E15</f>
        <v>ANTIVIRALES; TIPO: MONODROGA, DROGA GENERICA: ACICLOVIR 5 %, FORMA FARMACEUTICA: CREMA, PRESENTACION: ENVASE X 5 GR</v>
      </c>
      <c r="D17" s="118"/>
      <c r="E17" s="118"/>
      <c r="F17" s="118"/>
      <c r="G17" s="118"/>
      <c r="H17" s="98" t="s">
        <v>51</v>
      </c>
      <c r="I17" s="95" t="str">
        <f>'Necesidades Trimestrales'!F15</f>
        <v>ENVASE</v>
      </c>
      <c r="J17" s="96">
        <f>'Necesidades Trimestrales'!H15</f>
        <v>285</v>
      </c>
      <c r="K17" s="102">
        <f>+'Necesidades Trimestrales'!G15</f>
        <v>1</v>
      </c>
      <c r="L17" s="94"/>
      <c r="M17" s="94"/>
      <c r="AMK17" s="31"/>
    </row>
    <row r="18" spans="1:13 1025:1025" ht="46.5" customHeight="1" thickBot="1" x14ac:dyDescent="0.25">
      <c r="A18" s="98">
        <v>7</v>
      </c>
      <c r="B18" s="99" t="str">
        <f>'Necesidades Trimestrales'!B16</f>
        <v>2.5.2-1821.189</v>
      </c>
      <c r="C18" s="118" t="str">
        <f>'Necesidades Trimestrales'!E16</f>
        <v>ANTIBIOTICOS P/PERSONAS; DROGA GENERICA: ACIDO FUSIDICO 20MG, FORMA FARMACEUTICA: CREMA, PRESENTACION: POMO X 15 GR, TIPO: MONODROGA</v>
      </c>
      <c r="D18" s="118"/>
      <c r="E18" s="118"/>
      <c r="F18" s="118"/>
      <c r="G18" s="118"/>
      <c r="H18" s="98" t="s">
        <v>51</v>
      </c>
      <c r="I18" s="95" t="str">
        <f>'Necesidades Trimestrales'!F16</f>
        <v>ENVASE</v>
      </c>
      <c r="J18" s="96">
        <f>'Necesidades Trimestrales'!H16</f>
        <v>650</v>
      </c>
      <c r="K18" s="102">
        <f>+'Necesidades Trimestrales'!G16</f>
        <v>1</v>
      </c>
      <c r="L18" s="94"/>
      <c r="M18" s="94"/>
      <c r="AMK18" s="31"/>
    </row>
    <row r="19" spans="1:13 1025:1025" ht="46.5" customHeight="1" thickBot="1" x14ac:dyDescent="0.25">
      <c r="A19" s="98">
        <v>8</v>
      </c>
      <c r="B19" s="99" t="str">
        <f>'Necesidades Trimestrales'!B17</f>
        <v>2.5.2-1726.26</v>
      </c>
      <c r="C19" s="118" t="str">
        <f>'Necesidades Trimestrales'!E17</f>
        <v>SOLUCIONES P/MEDICINA; TIPO: AGUA DE ALIBOUR, PRESENTACION: 250 CM3</v>
      </c>
      <c r="D19" s="118"/>
      <c r="E19" s="118"/>
      <c r="F19" s="118"/>
      <c r="G19" s="118"/>
      <c r="H19" s="98" t="s">
        <v>51</v>
      </c>
      <c r="I19" s="95" t="str">
        <f>'Necesidades Trimestrales'!F17</f>
        <v>FRASCO</v>
      </c>
      <c r="J19" s="96">
        <f>'Necesidades Trimestrales'!H17</f>
        <v>560</v>
      </c>
      <c r="K19" s="102">
        <f>+'Necesidades Trimestrales'!G17</f>
        <v>1</v>
      </c>
      <c r="L19" s="94"/>
      <c r="M19" s="94"/>
      <c r="AMK19" s="31"/>
    </row>
    <row r="20" spans="1:13 1025:1025" ht="46.5" customHeight="1" thickBot="1" x14ac:dyDescent="0.25">
      <c r="A20" s="98">
        <v>9</v>
      </c>
      <c r="B20" s="99" t="str">
        <f>'Necesidades Trimestrales'!B18</f>
        <v>2.5.2-1875.74</v>
      </c>
      <c r="C20" s="118" t="str">
        <f>'Necesidades Trimestrales'!E18</f>
        <v>ANTIASMATICO BRONCODILATADOR; TIPO: MONODROGA, DROGA GENERICA: AMINOFILINA 240MGR, FORMA FARMACEUTICA: AMPOLLA, PRESENTACION: ENVASE X 10 ML</v>
      </c>
      <c r="D20" s="118"/>
      <c r="E20" s="118"/>
      <c r="F20" s="118"/>
      <c r="G20" s="118"/>
      <c r="H20" s="98" t="s">
        <v>51</v>
      </c>
      <c r="I20" s="95" t="str">
        <f>'Necesidades Trimestrales'!F18</f>
        <v>AMPOLLA</v>
      </c>
      <c r="J20" s="96">
        <f>'Necesidades Trimestrales'!H18</f>
        <v>86</v>
      </c>
      <c r="K20" s="102">
        <f>+'Necesidades Trimestrales'!G18</f>
        <v>1</v>
      </c>
      <c r="L20" s="94"/>
      <c r="M20" s="94"/>
      <c r="AMK20" s="31"/>
    </row>
    <row r="21" spans="1:13 1025:1025" ht="46.5" customHeight="1" thickBot="1" x14ac:dyDescent="0.25">
      <c r="A21" s="98">
        <v>10</v>
      </c>
      <c r="B21" s="99" t="str">
        <f>'Necesidades Trimestrales'!B19</f>
        <v>2.9.5-427.33</v>
      </c>
      <c r="C21" s="118" t="str">
        <f>'Necesidades Trimestrales'!E19</f>
        <v>APOSITOS; TIPO: HIDROCOLOIDE, TAMAÑO: 15 X 17,5 Cm</v>
      </c>
      <c r="D21" s="118"/>
      <c r="E21" s="118"/>
      <c r="F21" s="118"/>
      <c r="G21" s="118"/>
      <c r="H21" s="98" t="s">
        <v>51</v>
      </c>
      <c r="I21" s="95" t="str">
        <f>'Necesidades Trimestrales'!F19</f>
        <v>UNIDAD</v>
      </c>
      <c r="J21" s="96">
        <f>'Necesidades Trimestrales'!H19</f>
        <v>1120</v>
      </c>
      <c r="K21" s="102">
        <f>+'Necesidades Trimestrales'!G19</f>
        <v>1</v>
      </c>
      <c r="L21" s="94"/>
      <c r="M21" s="94"/>
      <c r="AMK21" s="31"/>
    </row>
    <row r="22" spans="1:13 1025:1025" ht="46.5" customHeight="1" thickBot="1" x14ac:dyDescent="0.25">
      <c r="A22" s="98">
        <v>11</v>
      </c>
      <c r="B22" s="99" t="str">
        <f>'Necesidades Trimestrales'!B20</f>
        <v>2.9.5-427.39</v>
      </c>
      <c r="C22" s="118" t="str">
        <f>'Necesidades Trimestrales'!E20</f>
        <v>APOSITOS; TIPO: HIDROCOLOIDE, TAMAÑO: 10 X 10 Cm</v>
      </c>
      <c r="D22" s="118"/>
      <c r="E22" s="118"/>
      <c r="F22" s="118"/>
      <c r="G22" s="118"/>
      <c r="H22" s="98" t="s">
        <v>51</v>
      </c>
      <c r="I22" s="95" t="str">
        <f>'Necesidades Trimestrales'!F20</f>
        <v>UNIDAD</v>
      </c>
      <c r="J22" s="96">
        <f>'Necesidades Trimestrales'!H20</f>
        <v>580</v>
      </c>
      <c r="K22" s="102">
        <f>+'Necesidades Trimestrales'!G20</f>
        <v>1</v>
      </c>
      <c r="L22" s="94"/>
      <c r="M22" s="94"/>
      <c r="AMK22" s="31"/>
    </row>
    <row r="23" spans="1:13 1025:1025" ht="46.5" customHeight="1" thickBot="1" x14ac:dyDescent="0.25">
      <c r="A23" s="98">
        <v>12</v>
      </c>
      <c r="B23" s="99" t="str">
        <f>'Necesidades Trimestrales'!B21</f>
        <v>2.5.2-5661.8</v>
      </c>
      <c r="C23" s="118" t="str">
        <f>'Necesidades Trimestrales'!E21</f>
        <v>REGULADORES HORMONALES; TIPO: MONODROGA, DROGA GENERICA: ATOSIBAN, FORMA FARMACEUTICA: AMPOLLA, PRESENTACION: ENVASE X 5 mL</v>
      </c>
      <c r="D23" s="118"/>
      <c r="E23" s="118"/>
      <c r="F23" s="118"/>
      <c r="G23" s="118"/>
      <c r="H23" s="98" t="s">
        <v>51</v>
      </c>
      <c r="I23" s="95" t="str">
        <f>'Necesidades Trimestrales'!F21</f>
        <v>FRASCO</v>
      </c>
      <c r="J23" s="96">
        <f>'Necesidades Trimestrales'!H21</f>
        <v>29645</v>
      </c>
      <c r="K23" s="102">
        <f>+'Necesidades Trimestrales'!G21</f>
        <v>1</v>
      </c>
      <c r="L23" s="94"/>
      <c r="M23" s="94"/>
      <c r="AMK23" s="31"/>
    </row>
    <row r="24" spans="1:13 1025:1025" ht="46.5" customHeight="1" thickBot="1" x14ac:dyDescent="0.25">
      <c r="A24" s="98">
        <v>13</v>
      </c>
      <c r="B24" s="99" t="str">
        <f>'Necesidades Trimestrales'!B22</f>
        <v>2.5.2-5661.11</v>
      </c>
      <c r="C24" s="118" t="str">
        <f>'Necesidades Trimestrales'!E22</f>
        <v>REGULADORES HORMONALES; TIPO: MONODROGA, DROGA GENERICA: ATOSIBAN, FORMA FARMACEUTICA: AMPOLLA, PRESENTACION: ENVASE X 0,9 mL</v>
      </c>
      <c r="D24" s="118"/>
      <c r="E24" s="118"/>
      <c r="F24" s="118"/>
      <c r="G24" s="118"/>
      <c r="H24" s="98" t="s">
        <v>51</v>
      </c>
      <c r="I24" s="95" t="str">
        <f>'Necesidades Trimestrales'!F22</f>
        <v>FRASCO</v>
      </c>
      <c r="J24" s="96">
        <f>'Necesidades Trimestrales'!H22</f>
        <v>18320</v>
      </c>
      <c r="K24" s="102">
        <f>+'Necesidades Trimestrales'!G22</f>
        <v>1</v>
      </c>
      <c r="L24" s="94"/>
      <c r="M24" s="94"/>
      <c r="AMK24" s="31"/>
    </row>
    <row r="25" spans="1:13 1025:1025" ht="46.5" customHeight="1" thickBot="1" x14ac:dyDescent="0.25">
      <c r="A25" s="98">
        <v>14</v>
      </c>
      <c r="B25" s="99" t="str">
        <f>'Necesidades Trimestrales'!B23</f>
        <v>2.5.2-1855.23</v>
      </c>
      <c r="C25" s="118" t="str">
        <f>'Necesidades Trimestrales'!E23</f>
        <v>CORTICOESTEROIDES; TIPO: MONODROGA, DROGA GENERICA: BETAMETASONA, FORMA FARMACEUTICA: CREMA, PRESENTACION: 15 GR</v>
      </c>
      <c r="D25" s="118"/>
      <c r="E25" s="118"/>
      <c r="F25" s="118"/>
      <c r="G25" s="118"/>
      <c r="H25" s="98" t="s">
        <v>51</v>
      </c>
      <c r="I25" s="95" t="str">
        <f>'Necesidades Trimestrales'!F23</f>
        <v>ENVASE</v>
      </c>
      <c r="J25" s="96">
        <f>'Necesidades Trimestrales'!H23</f>
        <v>280</v>
      </c>
      <c r="K25" s="102">
        <f>+'Necesidades Trimestrales'!G23</f>
        <v>1</v>
      </c>
      <c r="L25" s="94"/>
      <c r="M25" s="94"/>
      <c r="AMK25" s="31"/>
    </row>
    <row r="26" spans="1:13 1025:1025" ht="46.5" customHeight="1" thickBot="1" x14ac:dyDescent="0.25">
      <c r="A26" s="98">
        <v>15</v>
      </c>
      <c r="B26" s="99" t="str">
        <f>'Necesidades Trimestrales'!B24</f>
        <v>2.5.2-1855.83</v>
      </c>
      <c r="C26" s="118" t="str">
        <f>'Necesidades Trimestrales'!E24</f>
        <v>CORTICOESTEROIDES; TIPO: ASOCIACION, DROGA GENERICA: BETAMETASONA ACETATO+FOSFATO, FORMA FARMACEUTICA: AMPOLLA, PRESENTACION: ENVASE X 2 mL</v>
      </c>
      <c r="D26" s="118"/>
      <c r="E26" s="118"/>
      <c r="F26" s="118"/>
      <c r="G26" s="118"/>
      <c r="H26" s="98" t="s">
        <v>51</v>
      </c>
      <c r="I26" s="95" t="str">
        <f>'Necesidades Trimestrales'!F24</f>
        <v>AMPOLLA</v>
      </c>
      <c r="J26" s="96">
        <f>'Necesidades Trimestrales'!H24</f>
        <v>295</v>
      </c>
      <c r="K26" s="102">
        <f>+'Necesidades Trimestrales'!G24</f>
        <v>1</v>
      </c>
      <c r="L26" s="94"/>
      <c r="M26" s="94"/>
      <c r="AMK26" s="31"/>
    </row>
    <row r="27" spans="1:13 1025:1025" ht="46.5" customHeight="1" thickBot="1" x14ac:dyDescent="0.25">
      <c r="A27" s="98">
        <v>16</v>
      </c>
      <c r="B27" s="99" t="str">
        <f>'Necesidades Trimestrales'!B25</f>
        <v>2.5.2-1875.134</v>
      </c>
      <c r="C27" s="118" t="str">
        <f>'Necesidades Trimestrales'!E25</f>
        <v>ANTIASMATICO BRONCODILATADOR; TIPO: MONODROGA, DROGA GENERICA: BUDESONIDE 200 µGR, FORMA FARMACEUTICA: AEROSOL, PRESENTACION: 100 DOSIS</v>
      </c>
      <c r="D27" s="118"/>
      <c r="E27" s="118"/>
      <c r="F27" s="118"/>
      <c r="G27" s="118"/>
      <c r="H27" s="98" t="s">
        <v>51</v>
      </c>
      <c r="I27" s="95" t="str">
        <f>'Necesidades Trimestrales'!F25</f>
        <v>UNIDAD</v>
      </c>
      <c r="J27" s="96">
        <f>'Necesidades Trimestrales'!H25</f>
        <v>750</v>
      </c>
      <c r="K27" s="102">
        <f>+'Necesidades Trimestrales'!G25</f>
        <v>1</v>
      </c>
      <c r="L27" s="94"/>
      <c r="M27" s="94"/>
      <c r="AMK27" s="31"/>
    </row>
    <row r="28" spans="1:13 1025:1025" ht="46.5" customHeight="1" thickBot="1" x14ac:dyDescent="0.25">
      <c r="A28" s="98">
        <v>17</v>
      </c>
      <c r="B28" s="99" t="str">
        <f>'Necesidades Trimestrales'!B26</f>
        <v>2.5.2-2476.50</v>
      </c>
      <c r="C28" s="118" t="str">
        <f>'Necesidades Trimestrales'!E26</f>
        <v>ANTIALERGICOS-ANTIHISTAMINICOS; TIPO: MONODROGA, DROGA GENERICA: BUDESONIDA 1 MG/ML, FORMA FARMACEUTICA: GOTAS, PRESENTACION: ENVASE X 20 mL</v>
      </c>
      <c r="D28" s="118"/>
      <c r="E28" s="118"/>
      <c r="F28" s="118"/>
      <c r="G28" s="118"/>
      <c r="H28" s="98" t="s">
        <v>51</v>
      </c>
      <c r="I28" s="95" t="str">
        <f>'Necesidades Trimestrales'!F26</f>
        <v>ENVASE</v>
      </c>
      <c r="J28" s="96">
        <f>'Necesidades Trimestrales'!H26</f>
        <v>327</v>
      </c>
      <c r="K28" s="102">
        <f>+'Necesidades Trimestrales'!G26</f>
        <v>1</v>
      </c>
      <c r="L28" s="94"/>
      <c r="M28" s="94"/>
      <c r="AMK28" s="31"/>
    </row>
    <row r="29" spans="1:13 1025:1025" ht="46.5" customHeight="1" thickBot="1" x14ac:dyDescent="0.25">
      <c r="A29" s="98">
        <v>18</v>
      </c>
      <c r="B29" s="99" t="str">
        <f>'Necesidades Trimestrales'!B27</f>
        <v>2.5.2-1895.19</v>
      </c>
      <c r="C29" s="118" t="str">
        <f>'Necesidades Trimestrales'!E27</f>
        <v>HORMONAS MEDICINALES; TIPO: MONODROGA, DROGA GENERICA: CABERGOLINA, FORMA FARMACEUTICA: COMPRIMIDO, PRESENTACION: 0,5 mGr, USO: SEXUAL</v>
      </c>
      <c r="D29" s="118"/>
      <c r="E29" s="118"/>
      <c r="F29" s="118"/>
      <c r="G29" s="118"/>
      <c r="H29" s="98" t="s">
        <v>51</v>
      </c>
      <c r="I29" s="95" t="str">
        <f>'Necesidades Trimestrales'!F27</f>
        <v>COMPRIMIDO</v>
      </c>
      <c r="J29" s="96">
        <f>'Necesidades Trimestrales'!H27</f>
        <v>306.75</v>
      </c>
      <c r="K29" s="102">
        <f>+'Necesidades Trimestrales'!G27</f>
        <v>1</v>
      </c>
      <c r="L29" s="94"/>
      <c r="M29" s="94"/>
      <c r="AMK29" s="31"/>
    </row>
    <row r="30" spans="1:13 1025:1025" ht="46.5" customHeight="1" thickBot="1" x14ac:dyDescent="0.25">
      <c r="A30" s="98">
        <v>19</v>
      </c>
      <c r="B30" s="99" t="str">
        <f>'Necesidades Trimestrales'!B28</f>
        <v>2.5.2-1902.14</v>
      </c>
      <c r="C30" s="118" t="str">
        <f>'Necesidades Trimestrales'!E28</f>
        <v>DROGAS UTERINAS; TIPO: MONODROGA, DROGA GENERICA: CARBETOCIN 100 MCG, FORMA FARMACEUTICA: AMPOLLA, PRESENTACION: UNIDAD</v>
      </c>
      <c r="D30" s="118"/>
      <c r="E30" s="118"/>
      <c r="F30" s="118"/>
      <c r="G30" s="118"/>
      <c r="H30" s="98" t="s">
        <v>51</v>
      </c>
      <c r="I30" s="95" t="str">
        <f>'Necesidades Trimestrales'!F28</f>
        <v>AMPOLLA</v>
      </c>
      <c r="J30" s="96">
        <f>'Necesidades Trimestrales'!H28</f>
        <v>1200</v>
      </c>
      <c r="K30" s="102">
        <f>+'Necesidades Trimestrales'!G28</f>
        <v>1</v>
      </c>
      <c r="L30" s="94"/>
      <c r="M30" s="94"/>
      <c r="AMK30" s="31"/>
    </row>
    <row r="31" spans="1:13 1025:1025" ht="46.5" customHeight="1" thickBot="1" x14ac:dyDescent="0.25">
      <c r="A31" s="98">
        <v>20</v>
      </c>
      <c r="B31" s="99" t="str">
        <f>'Necesidades Trimestrales'!B29</f>
        <v>2.5.2-1895.61</v>
      </c>
      <c r="C31" s="118" t="str">
        <f>'Necesidades Trimestrales'!E29</f>
        <v>HORMONAS MEDICINALES; TIPO: MONODROGA, DROGA GENERICA: CITRATO DE CLOMIFENO 50 mGr, FORMA FARMACEUTICA: COMPRIMIDO, PRESENTACION: UNIDAD, USO: SEXUAL</v>
      </c>
      <c r="D31" s="118"/>
      <c r="E31" s="118"/>
      <c r="F31" s="118"/>
      <c r="G31" s="118"/>
      <c r="H31" s="98" t="s">
        <v>51</v>
      </c>
      <c r="I31" s="95" t="str">
        <f>'Necesidades Trimestrales'!F29</f>
        <v>COMPRIMIDO</v>
      </c>
      <c r="J31" s="96">
        <f>'Necesidades Trimestrales'!H29</f>
        <v>149.35</v>
      </c>
      <c r="K31" s="102">
        <f>+'Necesidades Trimestrales'!G29</f>
        <v>1</v>
      </c>
      <c r="L31" s="94"/>
      <c r="M31" s="94"/>
      <c r="AMK31" s="31"/>
    </row>
    <row r="32" spans="1:13 1025:1025" ht="46.5" customHeight="1" thickBot="1" x14ac:dyDescent="0.25">
      <c r="A32" s="98">
        <v>21</v>
      </c>
      <c r="B32" s="99" t="str">
        <f>'Necesidades Trimestrales'!B30</f>
        <v>2.5.2-1823.67</v>
      </c>
      <c r="C32" s="118" t="str">
        <f>'Necesidades Trimestrales'!E30</f>
        <v>ANTIMICOTICOS; TIPO: MONODROGA, DROGA GENERICA: CLOTRIMAZOL 1%, FORMA FARMACEUTICA: CREMA POR 20 GR, PRESENTACION: UNIDAD</v>
      </c>
      <c r="D32" s="118"/>
      <c r="E32" s="118"/>
      <c r="F32" s="118"/>
      <c r="G32" s="118"/>
      <c r="H32" s="98" t="s">
        <v>51</v>
      </c>
      <c r="I32" s="95" t="str">
        <f>'Necesidades Trimestrales'!F30</f>
        <v>ENVASE</v>
      </c>
      <c r="J32" s="96">
        <f>'Necesidades Trimestrales'!H30</f>
        <v>280</v>
      </c>
      <c r="K32" s="102">
        <f>+'Necesidades Trimestrales'!G30</f>
        <v>1</v>
      </c>
      <c r="L32" s="122"/>
      <c r="M32" s="169"/>
      <c r="AMK32" s="31"/>
    </row>
    <row r="33" spans="1:13 1025:1025" ht="46.5" customHeight="1" thickBot="1" x14ac:dyDescent="0.25">
      <c r="A33" s="98">
        <v>22</v>
      </c>
      <c r="B33" s="99" t="str">
        <f>'Necesidades Trimestrales'!B31</f>
        <v>2.5.2-2198.3</v>
      </c>
      <c r="C33" s="118" t="str">
        <f>'Necesidades Trimestrales'!E31</f>
        <v>ANTIDIURETICOS; DROGA GENERICA: DESMOPRESINA, FORMA FARMACEUTICA: AMPOLLA, PRESENTACION: 1 mL, TIPO: MONODROGA</v>
      </c>
      <c r="D33" s="118"/>
      <c r="E33" s="118"/>
      <c r="F33" s="118"/>
      <c r="G33" s="118"/>
      <c r="H33" s="98" t="s">
        <v>51</v>
      </c>
      <c r="I33" s="95" t="str">
        <f>'Necesidades Trimestrales'!F31</f>
        <v>AMPOLLA</v>
      </c>
      <c r="J33" s="96">
        <f>'Necesidades Trimestrales'!H31</f>
        <v>1615</v>
      </c>
      <c r="K33" s="102">
        <f>+'Necesidades Trimestrales'!G31</f>
        <v>1</v>
      </c>
      <c r="L33" s="94"/>
      <c r="M33" s="94"/>
      <c r="AMK33" s="31"/>
    </row>
    <row r="34" spans="1:13 1025:1025" ht="46.5" customHeight="1" thickBot="1" x14ac:dyDescent="0.25">
      <c r="A34" s="98">
        <v>23</v>
      </c>
      <c r="B34" s="99" t="str">
        <f>'Necesidades Trimestrales'!B32</f>
        <v>2.5.2-2198.6</v>
      </c>
      <c r="C34" s="118" t="str">
        <f>'Necesidades Trimestrales'!E32</f>
        <v>ANTIDIURETICOS; DROGA GENERICA: ACETATO DE DESMOPRESINA, FORMA FARMACEUTICA: SPRAY NASAL, PRESENTACION: 5 mL, TIPO: MONODROGA</v>
      </c>
      <c r="D34" s="118"/>
      <c r="E34" s="118"/>
      <c r="F34" s="118"/>
      <c r="G34" s="118"/>
      <c r="H34" s="98" t="s">
        <v>51</v>
      </c>
      <c r="I34" s="95" t="str">
        <f>'Necesidades Trimestrales'!F32</f>
        <v>UNIDAD</v>
      </c>
      <c r="J34" s="96">
        <f>'Necesidades Trimestrales'!H32</f>
        <v>10777.32</v>
      </c>
      <c r="K34" s="102">
        <f>+'Necesidades Trimestrales'!G32</f>
        <v>1</v>
      </c>
      <c r="L34" s="94"/>
      <c r="M34" s="94"/>
      <c r="AMK34" s="31"/>
    </row>
    <row r="35" spans="1:13 1025:1025" ht="46.5" customHeight="1" thickBot="1" x14ac:dyDescent="0.25">
      <c r="A35" s="98">
        <v>24</v>
      </c>
      <c r="B35" s="99" t="str">
        <f>'Necesidades Trimestrales'!B33</f>
        <v>2.5.2-1855.7</v>
      </c>
      <c r="C35" s="118" t="str">
        <f>'Necesidades Trimestrales'!E33</f>
        <v>CORTICOESTEROIDES; TIPO: MONODROGA, DROGA GENERICA: DEXAMETASONA, FORMA FARMACEUTICA: AMPOLLA, PRESENTACION: 8 mGr</v>
      </c>
      <c r="D35" s="118"/>
      <c r="E35" s="118"/>
      <c r="F35" s="118"/>
      <c r="G35" s="118"/>
      <c r="H35" s="98" t="s">
        <v>51</v>
      </c>
      <c r="I35" s="95" t="str">
        <f>'Necesidades Trimestrales'!F33</f>
        <v>AMPOLLA</v>
      </c>
      <c r="J35" s="96">
        <f>'Necesidades Trimestrales'!H33</f>
        <v>45</v>
      </c>
      <c r="K35" s="102">
        <f>+'Necesidades Trimestrales'!G33</f>
        <v>1</v>
      </c>
      <c r="L35" s="94"/>
      <c r="M35" s="94"/>
      <c r="AMK35" s="31"/>
    </row>
    <row r="36" spans="1:13 1025:1025" ht="46.5" customHeight="1" thickBot="1" x14ac:dyDescent="0.25">
      <c r="A36" s="98">
        <v>25</v>
      </c>
      <c r="B36" s="99" t="str">
        <f>'Necesidades Trimestrales'!B34</f>
        <v>2.5.2-1855.86</v>
      </c>
      <c r="C36" s="118" t="str">
        <f>'Necesidades Trimestrales'!E34</f>
        <v>CORTICOESTEROIDES; TIPO: MONODROGA, DROGA GENERICA: DEXAMETASONA, FORMA FARMACEUTICA: COMPRIMIDO, PRESENTACION: 8 mGr</v>
      </c>
      <c r="D36" s="118"/>
      <c r="E36" s="118"/>
      <c r="F36" s="118"/>
      <c r="G36" s="118"/>
      <c r="H36" s="98" t="s">
        <v>51</v>
      </c>
      <c r="I36" s="95" t="str">
        <f>'Necesidades Trimestrales'!F34</f>
        <v>COMPRIMIDO</v>
      </c>
      <c r="J36" s="96">
        <f>'Necesidades Trimestrales'!H34</f>
        <v>15</v>
      </c>
      <c r="K36" s="102">
        <f>+'Necesidades Trimestrales'!G34</f>
        <v>1</v>
      </c>
      <c r="L36" s="94"/>
      <c r="M36" s="94"/>
      <c r="AMK36" s="31"/>
    </row>
    <row r="37" spans="1:13 1025:1025" ht="46.5" customHeight="1" thickBot="1" x14ac:dyDescent="0.25">
      <c r="A37" s="98">
        <v>26</v>
      </c>
      <c r="B37" s="99" t="str">
        <f>'Necesidades Trimestrales'!B35</f>
        <v>2.5.2-2476.74</v>
      </c>
      <c r="C37" s="118" t="str">
        <f>'Necesidades Trimestrales'!E35</f>
        <v>ANTIALERGICOS-ANTIHISTAMINICOS; TIPO: MONODROGA, DROGA GENERICA: DIFENHIDRAMINA 250 MG, FORMA FARMACEUTICA: JARABE, PRESENTACION: FRASCO X 120 mL</v>
      </c>
      <c r="D37" s="118"/>
      <c r="E37" s="118"/>
      <c r="F37" s="118"/>
      <c r="G37" s="118"/>
      <c r="H37" s="98" t="s">
        <v>51</v>
      </c>
      <c r="I37" s="95" t="str">
        <f>'Necesidades Trimestrales'!F35</f>
        <v>FRASCO</v>
      </c>
      <c r="J37" s="96">
        <f>'Necesidades Trimestrales'!H35</f>
        <v>199</v>
      </c>
      <c r="K37" s="102">
        <f>+'Necesidades Trimestrales'!G35</f>
        <v>1</v>
      </c>
      <c r="L37" s="94"/>
      <c r="M37" s="94"/>
      <c r="AMK37" s="31"/>
    </row>
    <row r="38" spans="1:13 1025:1025" ht="46.5" customHeight="1" thickBot="1" x14ac:dyDescent="0.25">
      <c r="A38" s="98">
        <v>27</v>
      </c>
      <c r="B38" s="99" t="str">
        <f>'Necesidades Trimestrales'!B36</f>
        <v>2.5.2-2476.36</v>
      </c>
      <c r="C38" s="118" t="str">
        <f>'Necesidades Trimestrales'!E36</f>
        <v>ANTIALERGICOS-ANTIHISTAMINICOS; TIPO: MONODROGA, DROGA GENERICA: DIFENHIDRAMINA, FORMA FARMACEUTICA: COMPRIMIDO, PRESENTACION: 50 mGr</v>
      </c>
      <c r="D38" s="118"/>
      <c r="E38" s="118"/>
      <c r="F38" s="118"/>
      <c r="G38" s="118"/>
      <c r="H38" s="98" t="s">
        <v>51</v>
      </c>
      <c r="I38" s="95" t="str">
        <f>'Necesidades Trimestrales'!F36</f>
        <v>COMPRIMIDO</v>
      </c>
      <c r="J38" s="96">
        <f>'Necesidades Trimestrales'!H36</f>
        <v>4.6500000000000004</v>
      </c>
      <c r="K38" s="102">
        <f>+'Necesidades Trimestrales'!G36</f>
        <v>1</v>
      </c>
      <c r="L38" s="94"/>
      <c r="M38" s="94"/>
      <c r="AMK38" s="31"/>
    </row>
    <row r="39" spans="1:13 1025:1025" ht="46.5" customHeight="1" thickBot="1" x14ac:dyDescent="0.25">
      <c r="A39" s="98">
        <v>28</v>
      </c>
      <c r="B39" s="99" t="str">
        <f>'Necesidades Trimestrales'!B37</f>
        <v>2.5.2-2476.44</v>
      </c>
      <c r="C39" s="118" t="str">
        <f>'Necesidades Trimestrales'!E37</f>
        <v>ANTIALERGICOS-ANTIHISTAMINICOS; TIPO: MONODROGA, DROGA GENERICA: DIFENHIDRAMINA, FORMA FARMACEUTICA: AMPOLLA, PRESENTACION: 10 mGr</v>
      </c>
      <c r="D39" s="118"/>
      <c r="E39" s="118"/>
      <c r="F39" s="118"/>
      <c r="G39" s="118"/>
      <c r="H39" s="98" t="s">
        <v>51</v>
      </c>
      <c r="I39" s="95" t="str">
        <f>'Necesidades Trimestrales'!F37</f>
        <v>AMPOLLA</v>
      </c>
      <c r="J39" s="96">
        <f>'Necesidades Trimestrales'!H37</f>
        <v>55</v>
      </c>
      <c r="K39" s="102">
        <f>+'Necesidades Trimestrales'!G37</f>
        <v>1</v>
      </c>
      <c r="L39" s="94"/>
      <c r="M39" s="94"/>
      <c r="AMK39" s="31"/>
    </row>
    <row r="40" spans="1:13 1025:1025" ht="46.5" customHeight="1" thickBot="1" x14ac:dyDescent="0.25">
      <c r="A40" s="98">
        <v>29</v>
      </c>
      <c r="B40" s="99" t="str">
        <f>'Necesidades Trimestrales'!B38</f>
        <v>2.5.2-1853.4</v>
      </c>
      <c r="C40" s="118" t="str">
        <f>'Necesidades Trimestrales'!E38</f>
        <v>OCITOCICOS; TIPO: MONODROGA, DROGA GENERICA: ERGONOVINA, PRESENTACION: 0.2 mGr, FORMA FARMACEUTICA: AMPOLLAS</v>
      </c>
      <c r="D40" s="118"/>
      <c r="E40" s="118"/>
      <c r="F40" s="118"/>
      <c r="G40" s="118"/>
      <c r="H40" s="98" t="s">
        <v>51</v>
      </c>
      <c r="I40" s="95" t="str">
        <f>'Necesidades Trimestrales'!F38</f>
        <v>AMPOLLA</v>
      </c>
      <c r="J40" s="96">
        <f>'Necesidades Trimestrales'!H38</f>
        <v>41</v>
      </c>
      <c r="K40" s="102">
        <f>+'Necesidades Trimestrales'!G38</f>
        <v>1</v>
      </c>
      <c r="L40" s="94"/>
      <c r="M40" s="94"/>
      <c r="AMK40" s="31"/>
    </row>
    <row r="41" spans="1:13 1025:1025" ht="46.5" customHeight="1" thickBot="1" x14ac:dyDescent="0.25">
      <c r="A41" s="98">
        <v>30</v>
      </c>
      <c r="B41" s="99" t="str">
        <f>'Necesidades Trimestrales'!B39</f>
        <v>2.5.2-1895.32</v>
      </c>
      <c r="C41" s="118" t="str">
        <f>'Necesidades Trimestrales'!E39</f>
        <v>HORMONAS MEDICINALES; TIPO: MONODROGA, DROGA GENERICA: ESTRADIOL 0.6 MG/GR, FORMA FARMACEUTICA: GEL, PRESENTACION: ENVASE X 80 GR, USO: SEXUAL</v>
      </c>
      <c r="D41" s="118"/>
      <c r="E41" s="118"/>
      <c r="F41" s="118"/>
      <c r="G41" s="118"/>
      <c r="H41" s="98" t="s">
        <v>51</v>
      </c>
      <c r="I41" s="95" t="str">
        <f>'Necesidades Trimestrales'!F39</f>
        <v>ENVASE</v>
      </c>
      <c r="J41" s="96">
        <f>'Necesidades Trimestrales'!H39</f>
        <v>7556.89</v>
      </c>
      <c r="K41" s="102">
        <f>+'Necesidades Trimestrales'!G39</f>
        <v>1</v>
      </c>
      <c r="L41" s="94"/>
      <c r="M41" s="94"/>
      <c r="AMK41" s="31"/>
    </row>
    <row r="42" spans="1:13 1025:1025" ht="46.5" customHeight="1" thickBot="1" x14ac:dyDescent="0.25">
      <c r="A42" s="98">
        <v>31</v>
      </c>
      <c r="B42" s="99" t="str">
        <f>'Necesidades Trimestrales'!B40</f>
        <v>2.5.2-1851.6</v>
      </c>
      <c r="C42" s="118" t="str">
        <f>'Necesidades Trimestrales'!E40</f>
        <v>GENITOURINARIO; TIPO: MONODROGA, DROGA GENERICA: FINASTERIDE, FORMA FARMACEUTICA: COMPRIMIDO, PRESENTACION: 5 mGr</v>
      </c>
      <c r="D42" s="118"/>
      <c r="E42" s="118"/>
      <c r="F42" s="118"/>
      <c r="G42" s="118"/>
      <c r="H42" s="98" t="s">
        <v>51</v>
      </c>
      <c r="I42" s="95" t="str">
        <f>'Necesidades Trimestrales'!F40</f>
        <v>COMPRIMIDO</v>
      </c>
      <c r="J42" s="96">
        <f>'Necesidades Trimestrales'!H40</f>
        <v>18</v>
      </c>
      <c r="K42" s="102">
        <f>+'Necesidades Trimestrales'!G40</f>
        <v>1</v>
      </c>
      <c r="L42" s="94"/>
      <c r="M42" s="94"/>
      <c r="AMK42" s="31"/>
    </row>
    <row r="43" spans="1:13 1025:1025" ht="46.5" customHeight="1" thickBot="1" x14ac:dyDescent="0.25">
      <c r="A43" s="98">
        <v>32</v>
      </c>
      <c r="B43" s="99" t="str">
        <f>'Necesidades Trimestrales'!B41</f>
        <v>2.5.2-1895.8</v>
      </c>
      <c r="C43" s="118" t="str">
        <f>'Necesidades Trimestrales'!E41</f>
        <v>HORMONAS MEDICINALES; TIPO: MONODROGA, DROGA GENERICA: GONADOTROFINA CORIONICA, FORMA FARMACEUTICA: AMPOLLA, PRESENTACION: 5000 UI, USO: SEXUAL</v>
      </c>
      <c r="D43" s="118"/>
      <c r="E43" s="118"/>
      <c r="F43" s="118"/>
      <c r="G43" s="118"/>
      <c r="H43" s="98" t="s">
        <v>51</v>
      </c>
      <c r="I43" s="95" t="str">
        <f>'Necesidades Trimestrales'!F41</f>
        <v>UNIDAD</v>
      </c>
      <c r="J43" s="96">
        <f>'Necesidades Trimestrales'!H41</f>
        <v>6450</v>
      </c>
      <c r="K43" s="102">
        <f>+'Necesidades Trimestrales'!G41</f>
        <v>1</v>
      </c>
      <c r="L43" s="94"/>
      <c r="M43" s="94"/>
      <c r="AMK43" s="31"/>
    </row>
    <row r="44" spans="1:13 1025:1025" ht="33" customHeight="1" thickBot="1" x14ac:dyDescent="0.25">
      <c r="A44" s="98">
        <v>33</v>
      </c>
      <c r="B44" s="99" t="str">
        <f>'Necesidades Trimestrales'!B42</f>
        <v>2.5.2-1855.18</v>
      </c>
      <c r="C44" s="118" t="str">
        <f>'Necesidades Trimestrales'!E42</f>
        <v>CORTICOESTEROIDES; TIPO: MONODROGA, DROGA GENERICA: BETAMETASONA, FORMA FARMACEUTICA: GOTAS, PRESENTACION: 15 mL</v>
      </c>
      <c r="D44" s="118"/>
      <c r="E44" s="118"/>
      <c r="F44" s="118"/>
      <c r="G44" s="118"/>
      <c r="H44" s="98" t="s">
        <v>209</v>
      </c>
      <c r="I44" s="95" t="str">
        <f>'Necesidades Trimestrales'!F42</f>
        <v>UNIDAD</v>
      </c>
      <c r="J44" s="96">
        <f>'Necesidades Trimestrales'!H42</f>
        <v>340</v>
      </c>
      <c r="K44" s="102">
        <f>+'Necesidades Trimestrales'!G42</f>
        <v>1</v>
      </c>
      <c r="L44" s="94"/>
      <c r="M44" s="94"/>
      <c r="AMK44" s="31"/>
    </row>
    <row r="45" spans="1:13 1025:1025" ht="46.5" customHeight="1" thickBot="1" x14ac:dyDescent="0.25">
      <c r="A45" s="98">
        <v>34</v>
      </c>
      <c r="B45" s="99" t="str">
        <f>'Necesidades Trimestrales'!B43</f>
        <v>2.5.2-2200.6</v>
      </c>
      <c r="C45" s="118" t="str">
        <f>'Necesidades Trimestrales'!E43</f>
        <v>CORTICOIDES; DROGA GENERICA: HIDROCORTISONA X 1 GR, FORMA FARMACEUTICA: CREMA, PRESENTACION: 15 GR, TIPO: MONODROGA</v>
      </c>
      <c r="D45" s="118"/>
      <c r="E45" s="118"/>
      <c r="F45" s="118"/>
      <c r="G45" s="118"/>
      <c r="H45" s="98" t="s">
        <v>51</v>
      </c>
      <c r="I45" s="95" t="str">
        <f>'Necesidades Trimestrales'!F43</f>
        <v>ENVASE</v>
      </c>
      <c r="J45" s="96">
        <f>'Necesidades Trimestrales'!H43</f>
        <v>280</v>
      </c>
      <c r="K45" s="102">
        <f>+'Necesidades Trimestrales'!G43</f>
        <v>1</v>
      </c>
      <c r="L45" s="94"/>
      <c r="M45" s="94"/>
      <c r="AMK45" s="31"/>
    </row>
    <row r="46" spans="1:13 1025:1025" ht="46.5" customHeight="1" thickBot="1" x14ac:dyDescent="0.25">
      <c r="A46" s="98">
        <v>35</v>
      </c>
      <c r="B46" s="99" t="str">
        <f>'Necesidades Trimestrales'!B44</f>
        <v>2.5.2-1855.47</v>
      </c>
      <c r="C46" s="118" t="str">
        <f>'Necesidades Trimestrales'!E44</f>
        <v>CORTICOESTEROIDES; TIPO: MONODROGA, DROGA GENERICA: HIDROCORTISONA, FORMA FARMACEUTICA: AMPOLLA/FRASCO, PRESENTACION: 100 mGr</v>
      </c>
      <c r="D46" s="118"/>
      <c r="E46" s="118"/>
      <c r="F46" s="118"/>
      <c r="G46" s="118"/>
      <c r="H46" s="98" t="s">
        <v>51</v>
      </c>
      <c r="I46" s="95" t="str">
        <f>'Necesidades Trimestrales'!F44</f>
        <v>AMPOLLA</v>
      </c>
      <c r="J46" s="96">
        <f>'Necesidades Trimestrales'!H44</f>
        <v>120</v>
      </c>
      <c r="K46" s="102">
        <f>+'Necesidades Trimestrales'!G44</f>
        <v>1</v>
      </c>
      <c r="L46" s="94"/>
      <c r="M46" s="94"/>
      <c r="AMK46" s="31"/>
    </row>
    <row r="47" spans="1:13 1025:1025" ht="46.5" customHeight="1" thickBot="1" x14ac:dyDescent="0.25">
      <c r="A47" s="98">
        <v>36</v>
      </c>
      <c r="B47" s="99" t="str">
        <f>'Necesidades Trimestrales'!B45</f>
        <v>2.5.2-1855.77</v>
      </c>
      <c r="C47" s="118" t="str">
        <f>'Necesidades Trimestrales'!E45</f>
        <v>CORTICOESTEROIDES; TIPO: MONODROGA, DROGA GENERICA: HIDROCORTISONA, FORMA FARMACEUTICA: FRASCO AMPOLLA, PRESENTACION: ENVASE X 500 mGr</v>
      </c>
      <c r="D47" s="118"/>
      <c r="E47" s="118"/>
      <c r="F47" s="118"/>
      <c r="G47" s="118"/>
      <c r="H47" s="98" t="s">
        <v>51</v>
      </c>
      <c r="I47" s="95" t="str">
        <f>'Necesidades Trimestrales'!F45</f>
        <v>AMPOLLA</v>
      </c>
      <c r="J47" s="96">
        <f>'Necesidades Trimestrales'!H45</f>
        <v>222</v>
      </c>
      <c r="K47" s="102">
        <f>+'Necesidades Trimestrales'!G45</f>
        <v>1</v>
      </c>
      <c r="L47" s="94"/>
      <c r="M47" s="94"/>
      <c r="AMK47" s="31"/>
    </row>
    <row r="48" spans="1:13 1025:1025" ht="46.5" customHeight="1" thickBot="1" x14ac:dyDescent="0.25">
      <c r="A48" s="98">
        <v>37</v>
      </c>
      <c r="B48" s="99" t="str">
        <f>'Necesidades Trimestrales'!B46</f>
        <v>2.5.2-1895.64</v>
      </c>
      <c r="C48" s="118" t="str">
        <f>'Necesidades Trimestrales'!E46</f>
        <v>HORMONAS MEDICINALES; TIPO: MONODROGA, DROGA GENERICA: FOLICULO ESTIMULANTE, FORMA FARMACEUTICA: AMPOLLA, PRESENTACION: ENVASE X 75 UI, USO: SEXUAL</v>
      </c>
      <c r="D48" s="118"/>
      <c r="E48" s="118"/>
      <c r="F48" s="118"/>
      <c r="G48" s="118"/>
      <c r="H48" s="98" t="s">
        <v>51</v>
      </c>
      <c r="I48" s="95" t="str">
        <f>'Necesidades Trimestrales'!F46</f>
        <v>UNIDAD</v>
      </c>
      <c r="J48" s="96">
        <f>'Necesidades Trimestrales'!H46</f>
        <v>8594.41</v>
      </c>
      <c r="K48" s="102">
        <f>+'Necesidades Trimestrales'!G46</f>
        <v>1</v>
      </c>
      <c r="L48" s="121"/>
      <c r="M48" s="170"/>
      <c r="AMK48" s="31"/>
    </row>
    <row r="49" spans="1:13 1025:1025" ht="46.5" customHeight="1" thickBot="1" x14ac:dyDescent="0.25">
      <c r="A49" s="98">
        <v>38</v>
      </c>
      <c r="B49" s="99" t="str">
        <f>'Necesidades Trimestrales'!B47</f>
        <v>2.5.2-1875.108</v>
      </c>
      <c r="C49" s="118" t="str">
        <f>'Necesidades Trimestrales'!E47</f>
        <v>ANTIASMATICO BRONCODILATADOR; TIPO: MONODROGA, DROGA GENERICA: BROMURO DE IPRATROPIO 20 µGr, FORMA FARMACEUTICA: AEROSOL, PRESENTACION: UNIDAD</v>
      </c>
      <c r="D49" s="118"/>
      <c r="E49" s="118"/>
      <c r="F49" s="118"/>
      <c r="G49" s="118"/>
      <c r="H49" s="98" t="s">
        <v>51</v>
      </c>
      <c r="I49" s="95" t="str">
        <f>'Necesidades Trimestrales'!F47</f>
        <v>UNIDAD</v>
      </c>
      <c r="J49" s="96">
        <f>'Necesidades Trimestrales'!H47</f>
        <v>1298</v>
      </c>
      <c r="K49" s="102">
        <f>+'Necesidades Trimestrales'!G47</f>
        <v>1</v>
      </c>
      <c r="L49" s="94"/>
      <c r="M49" s="94"/>
      <c r="AMK49" s="31"/>
    </row>
    <row r="50" spans="1:13 1025:1025" ht="46.5" customHeight="1" thickBot="1" x14ac:dyDescent="0.25">
      <c r="A50" s="98">
        <v>39</v>
      </c>
      <c r="B50" s="99" t="str">
        <f>'Necesidades Trimestrales'!B48</f>
        <v>2.5.2-1875.9</v>
      </c>
      <c r="C50" s="118" t="str">
        <f>'Necesidades Trimestrales'!E48</f>
        <v>ANTIASMATICO BRONCODILATADOR; TIPO: MONODROGA, DROGA GENERICA: BROMURO DE IPRATROPIO, FORMA FARMACEUTICA: SOLUCION, PRESENTACION: 20 mL</v>
      </c>
      <c r="D50" s="118"/>
      <c r="E50" s="118"/>
      <c r="F50" s="118"/>
      <c r="G50" s="118"/>
      <c r="H50" s="98" t="s">
        <v>51</v>
      </c>
      <c r="I50" s="95" t="str">
        <f>'Necesidades Trimestrales'!F48</f>
        <v>GOTERO</v>
      </c>
      <c r="J50" s="96">
        <f>'Necesidades Trimestrales'!H48</f>
        <v>98</v>
      </c>
      <c r="K50" s="102">
        <f>+'Necesidades Trimestrales'!G48</f>
        <v>1</v>
      </c>
      <c r="L50" s="94"/>
      <c r="M50" s="94"/>
      <c r="AMK50" s="31"/>
    </row>
    <row r="51" spans="1:13 1025:1025" ht="46.5" customHeight="1" thickBot="1" x14ac:dyDescent="0.25">
      <c r="A51" s="98">
        <v>40</v>
      </c>
      <c r="B51" s="99" t="str">
        <f>'Necesidades Trimestrales'!B49</f>
        <v>2.5.2-1902.10</v>
      </c>
      <c r="C51" s="118" t="str">
        <f>'Necesidades Trimestrales'!E49</f>
        <v>DROGAS UTERINAS; TIPO: MONODROGA, DROGA GENERICA: ISOXUPRINA 10 mGr, FORMA FARMACEUTICA: AMPOLLA, PRESENTACION: UNIDAD</v>
      </c>
      <c r="D51" s="118"/>
      <c r="E51" s="118"/>
      <c r="F51" s="118"/>
      <c r="G51" s="118"/>
      <c r="H51" s="98" t="s">
        <v>51</v>
      </c>
      <c r="I51" s="95" t="str">
        <f>'Necesidades Trimestrales'!F49</f>
        <v>AMPOLLA</v>
      </c>
      <c r="J51" s="96">
        <f>'Necesidades Trimestrales'!H49</f>
        <v>45</v>
      </c>
      <c r="K51" s="102">
        <f>+'Necesidades Trimestrales'!G49</f>
        <v>1</v>
      </c>
      <c r="L51" s="94"/>
      <c r="M51" s="94"/>
      <c r="AMK51" s="31"/>
    </row>
    <row r="52" spans="1:13 1025:1025" ht="46.5" customHeight="1" thickBot="1" x14ac:dyDescent="0.25">
      <c r="A52" s="98">
        <v>41</v>
      </c>
      <c r="B52" s="99" t="str">
        <f>'Necesidades Trimestrales'!B50</f>
        <v>2.5.2-1823.24</v>
      </c>
      <c r="C52" s="118" t="str">
        <f>'Necesidades Trimestrales'!E50</f>
        <v>ANTIMICOTICOS; TIPO: MONODROGA, FORMA FARMACEUTICA: CREMA, PRESENTACION: 15 GR, DROGA GENERICA: KETOCONAZOL</v>
      </c>
      <c r="D52" s="118"/>
      <c r="E52" s="118"/>
      <c r="F52" s="118"/>
      <c r="G52" s="118"/>
      <c r="H52" s="98" t="s">
        <v>51</v>
      </c>
      <c r="I52" s="95" t="str">
        <f>'Necesidades Trimestrales'!F50</f>
        <v>ENVASE</v>
      </c>
      <c r="J52" s="96">
        <f>'Necesidades Trimestrales'!H50</f>
        <v>250</v>
      </c>
      <c r="K52" s="102">
        <f>+'Necesidades Trimestrales'!G50</f>
        <v>1</v>
      </c>
      <c r="L52" s="94"/>
      <c r="M52" s="94"/>
      <c r="AMK52" s="31"/>
    </row>
    <row r="53" spans="1:13 1025:1025" ht="46.5" customHeight="1" thickBot="1" x14ac:dyDescent="0.25">
      <c r="A53" s="98">
        <v>42</v>
      </c>
      <c r="B53" s="99" t="str">
        <f>'Necesidades Trimestrales'!B51</f>
        <v>2.5.2-1895.27</v>
      </c>
      <c r="C53" s="118" t="str">
        <f>'Necesidades Trimestrales'!E51</f>
        <v>HORMONAS MEDICINALES; TIPO: MONODROGA, DROGA GENERICA: LEVONORGESTREL 1,5 MG, FORMA FARMACEUTICA: COMPRIMIDO, PRESENTACION: ENVASE, USO: SEXUAL</v>
      </c>
      <c r="D53" s="118"/>
      <c r="E53" s="118"/>
      <c r="F53" s="118"/>
      <c r="G53" s="118"/>
      <c r="H53" s="98" t="s">
        <v>51</v>
      </c>
      <c r="I53" s="95" t="str">
        <f>'Necesidades Trimestrales'!F51</f>
        <v>COMPRIMIDO</v>
      </c>
      <c r="J53" s="96">
        <f>'Necesidades Trimestrales'!H51</f>
        <v>625</v>
      </c>
      <c r="K53" s="102">
        <f>+'Necesidades Trimestrales'!G51</f>
        <v>1</v>
      </c>
      <c r="L53" s="94"/>
      <c r="M53" s="94"/>
      <c r="AMK53" s="31"/>
    </row>
    <row r="54" spans="1:13 1025:1025" ht="46.5" customHeight="1" thickBot="1" x14ac:dyDescent="0.25">
      <c r="A54" s="98">
        <v>43</v>
      </c>
      <c r="B54" s="99" t="str">
        <f>'Necesidades Trimestrales'!B52</f>
        <v>2.5.2-5559.10</v>
      </c>
      <c r="C54" s="118" t="str">
        <f>'Necesidades Trimestrales'!E52</f>
        <v>NORMALIZADORES TIROIDEOS; TIPO: MONODROGA, PRESENTACION: UNIDAD, DROGA GENERICA: LEVOTIROXINA 100 µGr, FORMA FARMACEUTICA: COMPRIMIDO</v>
      </c>
      <c r="D54" s="118"/>
      <c r="E54" s="118"/>
      <c r="F54" s="118"/>
      <c r="G54" s="118"/>
      <c r="H54" s="98" t="s">
        <v>51</v>
      </c>
      <c r="I54" s="95" t="str">
        <f>'Necesidades Trimestrales'!F52</f>
        <v>COMPRIMIDO</v>
      </c>
      <c r="J54" s="96">
        <f>'Necesidades Trimestrales'!H52</f>
        <v>18.3</v>
      </c>
      <c r="K54" s="102">
        <f>+'Necesidades Trimestrales'!G52</f>
        <v>1</v>
      </c>
      <c r="L54" s="94"/>
      <c r="M54" s="94"/>
      <c r="AMK54" s="31"/>
    </row>
    <row r="55" spans="1:13 1025:1025" ht="46.5" customHeight="1" thickBot="1" x14ac:dyDescent="0.25">
      <c r="A55" s="98">
        <v>44</v>
      </c>
      <c r="B55" s="99" t="str">
        <f>'Necesidades Trimestrales'!B53</f>
        <v>2.5.2-5559.9</v>
      </c>
      <c r="C55" s="118" t="str">
        <f>'Necesidades Trimestrales'!E53</f>
        <v>NORMALIZADORES TIROIDEOS; TIPO: MONODROGA, PRESENTACION: UNIDAD, DROGA GENERICA: LEVOTIROXINA 25 µGr, FORMA FARMACEUTICA: COMPRIMIDO</v>
      </c>
      <c r="D55" s="118"/>
      <c r="E55" s="118"/>
      <c r="F55" s="118"/>
      <c r="G55" s="118"/>
      <c r="H55" s="98" t="s">
        <v>51</v>
      </c>
      <c r="I55" s="95" t="str">
        <f>'Necesidades Trimestrales'!F53</f>
        <v>COMPRIMIDO</v>
      </c>
      <c r="J55" s="96">
        <f>'Necesidades Trimestrales'!H53</f>
        <v>7.45</v>
      </c>
      <c r="K55" s="102">
        <f>+'Necesidades Trimestrales'!G53</f>
        <v>1</v>
      </c>
      <c r="L55" s="94"/>
      <c r="M55" s="94"/>
      <c r="AMK55" s="31"/>
    </row>
    <row r="56" spans="1:13 1025:1025" ht="46.5" customHeight="1" thickBot="1" x14ac:dyDescent="0.25">
      <c r="A56" s="98">
        <v>45</v>
      </c>
      <c r="B56" s="99" t="str">
        <f>'Necesidades Trimestrales'!B54</f>
        <v>2.5.2-5559.12</v>
      </c>
      <c r="C56" s="118" t="str">
        <f>'Necesidades Trimestrales'!E54</f>
        <v>NORMALIZADORES TIROIDEOS; TIPO: MONODROGA, PRESENTACION: UNIDAD, DROGA GENERICA: LEVOTIROXINA 75 µGR, FORMA FARMACEUTICA: COMPRIMIDOS</v>
      </c>
      <c r="D56" s="118"/>
      <c r="E56" s="118"/>
      <c r="F56" s="118"/>
      <c r="G56" s="118"/>
      <c r="H56" s="98" t="s">
        <v>51</v>
      </c>
      <c r="I56" s="95" t="str">
        <f>'Necesidades Trimestrales'!F54</f>
        <v>COMPRIMIDO</v>
      </c>
      <c r="J56" s="96">
        <f>'Necesidades Trimestrales'!H54</f>
        <v>13.2</v>
      </c>
      <c r="K56" s="102">
        <f>+'Necesidades Trimestrales'!G54</f>
        <v>1</v>
      </c>
      <c r="L56" s="94"/>
      <c r="M56" s="94"/>
      <c r="AMK56" s="31"/>
    </row>
    <row r="57" spans="1:13 1025:1025" ht="46.5" customHeight="1" thickBot="1" x14ac:dyDescent="0.25">
      <c r="A57" s="98">
        <v>46</v>
      </c>
      <c r="B57" s="99" t="str">
        <f>'Necesidades Trimestrales'!B55</f>
        <v>2.5.2-9051.3</v>
      </c>
      <c r="C57" s="118" t="str">
        <f>'Necesidades Trimestrales'!E55</f>
        <v>LINIMENTOS; NOMBRE DEL PRODUCTO: OLEO CALCAREO, CALIDAD: MEDICINAL, PRESENTACION: ENVASE X 250 CM3</v>
      </c>
      <c r="D57" s="118"/>
      <c r="E57" s="118"/>
      <c r="F57" s="118"/>
      <c r="G57" s="118"/>
      <c r="H57" s="98" t="s">
        <v>51</v>
      </c>
      <c r="I57" s="95" t="str">
        <f>'Necesidades Trimestrales'!F55</f>
        <v>UNIDAD</v>
      </c>
      <c r="J57" s="96">
        <f>'Necesidades Trimestrales'!H55</f>
        <v>450</v>
      </c>
      <c r="K57" s="102">
        <f>+'Necesidades Trimestrales'!G55</f>
        <v>1</v>
      </c>
      <c r="L57" s="94"/>
      <c r="M57" s="94"/>
      <c r="AMK57" s="31"/>
    </row>
    <row r="58" spans="1:13 1025:1025" ht="46.5" customHeight="1" thickBot="1" x14ac:dyDescent="0.25">
      <c r="A58" s="98">
        <v>47</v>
      </c>
      <c r="B58" s="99" t="str">
        <f>'Necesidades Trimestrales'!B56</f>
        <v>2.5.2-2476.12</v>
      </c>
      <c r="C58" s="118" t="str">
        <f>'Necesidades Trimestrales'!E56</f>
        <v>ANTIALERGICOS-ANTIHISTAMINICOS; TIPO: MONODROGA, DROGA GENERICA: LORATADINA, FORMA FARMACEUTICA: COMPRIMIDO, PRESENTACION: 10 mGr</v>
      </c>
      <c r="D58" s="118"/>
      <c r="E58" s="118"/>
      <c r="F58" s="118"/>
      <c r="G58" s="118"/>
      <c r="H58" s="98" t="s">
        <v>51</v>
      </c>
      <c r="I58" s="95" t="str">
        <f>'Necesidades Trimestrales'!F56</f>
        <v>COMPRIMIDO</v>
      </c>
      <c r="J58" s="96">
        <f>'Necesidades Trimestrales'!H56</f>
        <v>3.44</v>
      </c>
      <c r="K58" s="102">
        <f>+'Necesidades Trimestrales'!G56</f>
        <v>1</v>
      </c>
      <c r="L58" s="94"/>
      <c r="M58" s="94"/>
      <c r="AMK58" s="31"/>
    </row>
    <row r="59" spans="1:13 1025:1025" ht="46.5" customHeight="1" thickBot="1" x14ac:dyDescent="0.25">
      <c r="A59" s="98">
        <v>48</v>
      </c>
      <c r="B59" s="99" t="str">
        <f>'Necesidades Trimestrales'!B57</f>
        <v>2.5.2-2476.3</v>
      </c>
      <c r="C59" s="118" t="str">
        <f>'Necesidades Trimestrales'!E57</f>
        <v>ANTIALERGICOS-ANTIHISTAMINICOS; TIPO: ASOCIACION, DROGA GENERICA: LORATADINA, FORMA FARMACEUTICA: JARABE, PRESENTACION: 60 mL</v>
      </c>
      <c r="D59" s="118"/>
      <c r="E59" s="118"/>
      <c r="F59" s="118"/>
      <c r="G59" s="118"/>
      <c r="H59" s="98" t="s">
        <v>51</v>
      </c>
      <c r="I59" s="95" t="str">
        <f>'Necesidades Trimestrales'!F57</f>
        <v>FRASCO</v>
      </c>
      <c r="J59" s="96">
        <f>'Necesidades Trimestrales'!H57</f>
        <v>180</v>
      </c>
      <c r="K59" s="102">
        <f>+'Necesidades Trimestrales'!G57</f>
        <v>1</v>
      </c>
      <c r="L59" s="94"/>
      <c r="M59" s="94"/>
      <c r="AMK59" s="31"/>
    </row>
    <row r="60" spans="1:13 1025:1025" ht="46.5" customHeight="1" thickBot="1" x14ac:dyDescent="0.25">
      <c r="A60" s="98">
        <v>49</v>
      </c>
      <c r="B60" s="99" t="str">
        <f>'Necesidades Trimestrales'!B58</f>
        <v>2.5.2-1850.6</v>
      </c>
      <c r="C60" s="118" t="str">
        <f>'Necesidades Trimestrales'!E58</f>
        <v>GESTAGENO; TIPO: MONODROGA, DROGA GENERICA: MEDROXIPROGESTERONA, FORMA FARMACEUTICA: AMPOLLA, PRESENTACION: 150 mGr</v>
      </c>
      <c r="D60" s="118"/>
      <c r="E60" s="118"/>
      <c r="F60" s="118"/>
      <c r="G60" s="118"/>
      <c r="H60" s="98" t="s">
        <v>51</v>
      </c>
      <c r="I60" s="95" t="str">
        <f>'Necesidades Trimestrales'!F58</f>
        <v>AMPOLLA</v>
      </c>
      <c r="J60" s="96">
        <f>'Necesidades Trimestrales'!H58</f>
        <v>764</v>
      </c>
      <c r="K60" s="102">
        <f>+'Necesidades Trimestrales'!G58</f>
        <v>1</v>
      </c>
      <c r="L60" s="94"/>
      <c r="M60" s="94"/>
      <c r="AMK60" s="31"/>
    </row>
    <row r="61" spans="1:13 1025:1025" ht="46.5" customHeight="1" thickBot="1" x14ac:dyDescent="0.25">
      <c r="A61" s="98">
        <v>50</v>
      </c>
      <c r="B61" s="99" t="str">
        <f>'Necesidades Trimestrales'!B59</f>
        <v>2.5.2-2200.4</v>
      </c>
      <c r="C61" s="118" t="str">
        <f>'Necesidades Trimestrales'!E59</f>
        <v>CORTICOIDES; DROGA GENERICA: MEPREDNISONA, FORMA FARMACEUTICA: COMPRIMIDO, PRESENTACION: 4 mGr, TIPO: MONODROGA</v>
      </c>
      <c r="D61" s="118"/>
      <c r="E61" s="118"/>
      <c r="F61" s="118"/>
      <c r="G61" s="118"/>
      <c r="H61" s="98" t="s">
        <v>51</v>
      </c>
      <c r="I61" s="95" t="str">
        <f>'Necesidades Trimestrales'!F59</f>
        <v>COMPRIMIDO</v>
      </c>
      <c r="J61" s="96">
        <f>'Necesidades Trimestrales'!H59</f>
        <v>9.8000000000000007</v>
      </c>
      <c r="K61" s="102">
        <f>+'Necesidades Trimestrales'!G59</f>
        <v>1</v>
      </c>
      <c r="L61" s="94"/>
      <c r="M61" s="94"/>
      <c r="AMK61" s="31"/>
    </row>
    <row r="62" spans="1:13 1025:1025" ht="46.5" customHeight="1" thickBot="1" x14ac:dyDescent="0.25">
      <c r="A62" s="98">
        <v>51</v>
      </c>
      <c r="B62" s="99" t="str">
        <f>'Necesidades Trimestrales'!B60</f>
        <v>2.5.2-2200.41</v>
      </c>
      <c r="C62" s="118" t="str">
        <f>'Necesidades Trimestrales'!E60</f>
        <v>CORTICOIDES; DROGA GENÉRICA: MEPREDNISONA 4 ML/MG, FORMA FARMACEÚTICA: GOTAS</v>
      </c>
      <c r="D62" s="118"/>
      <c r="E62" s="118"/>
      <c r="F62" s="118"/>
      <c r="G62" s="118"/>
      <c r="H62" s="98" t="s">
        <v>209</v>
      </c>
      <c r="I62" s="95" t="str">
        <f>'Necesidades Trimestrales'!F60</f>
        <v>GOTERO</v>
      </c>
      <c r="J62" s="96">
        <f>'Necesidades Trimestrales'!H60</f>
        <v>315</v>
      </c>
      <c r="K62" s="102">
        <f>+'Necesidades Trimestrales'!G60</f>
        <v>1</v>
      </c>
      <c r="L62" s="94"/>
      <c r="M62" s="94"/>
      <c r="AMK62" s="31"/>
    </row>
    <row r="63" spans="1:13 1025:1025" ht="46.5" customHeight="1" thickBot="1" x14ac:dyDescent="0.25">
      <c r="A63" s="98">
        <v>52</v>
      </c>
      <c r="B63" s="99" t="str">
        <f>'Necesidades Trimestrales'!B61</f>
        <v>2.5.2-2200.24</v>
      </c>
      <c r="C63" s="118" t="str">
        <f>'Necesidades Trimestrales'!E61</f>
        <v>CORTICOIDES; DROGA GENERICA: METILPREDNISOLONA, FORMA FARMACEUTICA: FRASCO AMPOLLA, PRESENTACION: 500, TIPO: MONODROGA</v>
      </c>
      <c r="D63" s="118"/>
      <c r="E63" s="118"/>
      <c r="F63" s="118"/>
      <c r="G63" s="118"/>
      <c r="H63" s="98" t="s">
        <v>51</v>
      </c>
      <c r="I63" s="95" t="str">
        <f>'Necesidades Trimestrales'!F61</f>
        <v>AMPOLLA</v>
      </c>
      <c r="J63" s="96">
        <f>'Necesidades Trimestrales'!H61</f>
        <v>689</v>
      </c>
      <c r="K63" s="102">
        <f>+'Necesidades Trimestrales'!G61</f>
        <v>1</v>
      </c>
      <c r="L63" s="94"/>
      <c r="M63" s="94"/>
      <c r="AMK63" s="31"/>
    </row>
    <row r="64" spans="1:13 1025:1025" ht="46.5" customHeight="1" thickBot="1" x14ac:dyDescent="0.25">
      <c r="A64" s="98">
        <v>53</v>
      </c>
      <c r="B64" s="99" t="str">
        <f>'Necesidades Trimestrales'!B62</f>
        <v>2.5.2-2200.19</v>
      </c>
      <c r="C64" s="118" t="str">
        <f>'Necesidades Trimestrales'!E62</f>
        <v>CORTICOIDES; DROGA GENERICA: MEPREDNISONA, FORMA FARMACEUTICA: COMPRIMIDO, PRESENTACION: 40 mGr, TIPO: MONODROGA</v>
      </c>
      <c r="D64" s="118"/>
      <c r="E64" s="118"/>
      <c r="F64" s="118"/>
      <c r="G64" s="118"/>
      <c r="H64" s="98" t="s">
        <v>51</v>
      </c>
      <c r="I64" s="95" t="str">
        <f>'Necesidades Trimestrales'!F62</f>
        <v>COMPRIMIDO</v>
      </c>
      <c r="J64" s="96">
        <f>'Necesidades Trimestrales'!H62</f>
        <v>55</v>
      </c>
      <c r="K64" s="102">
        <f>+'Necesidades Trimestrales'!G62</f>
        <v>1</v>
      </c>
      <c r="L64" s="94"/>
      <c r="M64" s="94"/>
      <c r="AMK64" s="31"/>
    </row>
    <row r="65" spans="1:13 1025:1025" ht="46.5" customHeight="1" thickBot="1" x14ac:dyDescent="0.25">
      <c r="A65" s="98">
        <v>54</v>
      </c>
      <c r="B65" s="99" t="str">
        <f>'Necesidades Trimestrales'!B63</f>
        <v>2.5.2-1855.105</v>
      </c>
      <c r="C65" s="118" t="str">
        <f>'Necesidades Trimestrales'!E63</f>
        <v>CORTICOESTEROIDES; TIPO: MONODROGA, DROGA GENERICA: MEPREDNISONA 8 mGr, FORMA FARMACEUTICA: COMPRIMIDO, PRESENTACION: UNIDAD</v>
      </c>
      <c r="D65" s="118"/>
      <c r="E65" s="118"/>
      <c r="F65" s="118"/>
      <c r="G65" s="118"/>
      <c r="H65" s="98" t="s">
        <v>51</v>
      </c>
      <c r="I65" s="95" t="str">
        <f>'Necesidades Trimestrales'!F63</f>
        <v>COMPRIMIDO</v>
      </c>
      <c r="J65" s="96">
        <f>'Necesidades Trimestrales'!H63</f>
        <v>17.350000000000001</v>
      </c>
      <c r="K65" s="102">
        <f>+'Necesidades Trimestrales'!G63</f>
        <v>1</v>
      </c>
      <c r="L65" s="94"/>
      <c r="M65" s="94"/>
      <c r="AMK65" s="31"/>
    </row>
    <row r="66" spans="1:13 1025:1025" ht="46.5" customHeight="1" thickBot="1" x14ac:dyDescent="0.25">
      <c r="A66" s="98">
        <v>55</v>
      </c>
      <c r="B66" s="99" t="str">
        <f>'Necesidades Trimestrales'!B64</f>
        <v>2.5.2-1821.487</v>
      </c>
      <c r="C66" s="118" t="str">
        <f>'Necesidades Trimestrales'!E64</f>
        <v>ANTIBIOTICOS P/PERSONAS; TIPO: MONODROGA, DROGA GENERICA: METRONIDAZOL, FORMA FARMACEUTICA: OVULO, PRESENTACION: UNIDAD</v>
      </c>
      <c r="D66" s="118"/>
      <c r="E66" s="118"/>
      <c r="F66" s="118"/>
      <c r="G66" s="118"/>
      <c r="H66" s="98" t="s">
        <v>51</v>
      </c>
      <c r="I66" s="95" t="str">
        <f>'Necesidades Trimestrales'!F64</f>
        <v>UNIDAD</v>
      </c>
      <c r="J66" s="96">
        <f>'Necesidades Trimestrales'!H64</f>
        <v>47.24</v>
      </c>
      <c r="K66" s="102">
        <f>+'Necesidades Trimestrales'!G64</f>
        <v>1</v>
      </c>
      <c r="L66" s="123"/>
      <c r="M66" s="168"/>
      <c r="AMK66" s="31"/>
    </row>
    <row r="67" spans="1:13 1025:1025" ht="46.5" customHeight="1" thickBot="1" x14ac:dyDescent="0.25">
      <c r="A67" s="98">
        <v>56</v>
      </c>
      <c r="B67" s="99" t="str">
        <f>'Necesidades Trimestrales'!B65</f>
        <v>2.5.2-9500.2</v>
      </c>
      <c r="C67" s="118" t="str">
        <f>'Necesidades Trimestrales'!E65</f>
        <v>INDUCTOR DEL PARTO; TIPO: MONODROGA, DROGA GENÉRICA: MISOPROSTOL 200 MGR, FORMA FARMACEÚTICA: COMPRIMIDO VAGINAL, PRESENTACION: UNIDAD</v>
      </c>
      <c r="D67" s="118"/>
      <c r="E67" s="118"/>
      <c r="F67" s="118"/>
      <c r="G67" s="118"/>
      <c r="H67" s="98" t="s">
        <v>51</v>
      </c>
      <c r="I67" s="95" t="str">
        <f>'Necesidades Trimestrales'!F65</f>
        <v>COMPRIMIDO</v>
      </c>
      <c r="J67" s="96">
        <f>'Necesidades Trimestrales'!H65</f>
        <v>520</v>
      </c>
      <c r="K67" s="102">
        <f>+'Necesidades Trimestrales'!G65</f>
        <v>1</v>
      </c>
      <c r="L67" s="94"/>
      <c r="M67" s="94"/>
      <c r="AMK67" s="31"/>
    </row>
    <row r="68" spans="1:13 1025:1025" ht="46.5" customHeight="1" thickBot="1" x14ac:dyDescent="0.25">
      <c r="A68" s="98">
        <v>57</v>
      </c>
      <c r="B68" s="99" t="str">
        <f>'Necesidades Trimestrales'!B66</f>
        <v>2.5.2-1851.29</v>
      </c>
      <c r="C68" s="118" t="str">
        <f>'Necesidades Trimestrales'!E66</f>
        <v>GENITOURINARIO; TIPO: MONODROGA, DROGA GENÉRICA: NISTATINA, FORMA FARMACEÚTICA: COMPRIMIDO VAGINAL, PRESENTACIÓN: 100000 UI</v>
      </c>
      <c r="D68" s="118"/>
      <c r="E68" s="118"/>
      <c r="F68" s="118"/>
      <c r="G68" s="118"/>
      <c r="H68" s="98" t="s">
        <v>51</v>
      </c>
      <c r="I68" s="95" t="str">
        <f>'Necesidades Trimestrales'!F66</f>
        <v>COMPRIMIDO</v>
      </c>
      <c r="J68" s="96">
        <f>'Necesidades Trimestrales'!H66</f>
        <v>33.5</v>
      </c>
      <c r="K68" s="102">
        <f>+'Necesidades Trimestrales'!G66</f>
        <v>1</v>
      </c>
      <c r="L68" s="94"/>
      <c r="M68" s="94"/>
      <c r="AMK68" s="31"/>
    </row>
    <row r="69" spans="1:13 1025:1025" ht="46.5" customHeight="1" thickBot="1" x14ac:dyDescent="0.25">
      <c r="A69" s="98">
        <v>58</v>
      </c>
      <c r="B69" s="99" t="str">
        <f>'Necesidades Trimestrales'!B67</f>
        <v>2.5.2-1723.122</v>
      </c>
      <c r="C69" s="118" t="str">
        <f>'Necesidades Trimestrales'!E67</f>
        <v>ANTISEPTICOS LOCALES P/PERSONA; TIPO: MONODROGA, DROGA GENERICA: NITROFURAZONA, FORMA FARMACEUTICA: APOSITO, PRESENTACION: ENVASE X 20 UN</v>
      </c>
      <c r="D69" s="118"/>
      <c r="E69" s="118"/>
      <c r="F69" s="118"/>
      <c r="G69" s="118"/>
      <c r="H69" s="98" t="s">
        <v>51</v>
      </c>
      <c r="I69" s="95" t="str">
        <f>'Necesidades Trimestrales'!F67</f>
        <v>CAJA</v>
      </c>
      <c r="J69" s="96">
        <f>'Necesidades Trimestrales'!H67</f>
        <v>830</v>
      </c>
      <c r="K69" s="102">
        <f>+'Necesidades Trimestrales'!G67</f>
        <v>1</v>
      </c>
      <c r="L69" s="94"/>
      <c r="M69" s="94"/>
      <c r="AMK69" s="31"/>
    </row>
    <row r="70" spans="1:13 1025:1025" ht="46.5" customHeight="1" thickBot="1" x14ac:dyDescent="0.25">
      <c r="A70" s="98">
        <v>59</v>
      </c>
      <c r="B70" s="99" t="str">
        <f>'Necesidades Trimestrales'!B68</f>
        <v>2.5.2-1895.89</v>
      </c>
      <c r="C70" s="118" t="str">
        <f>'Necesidades Trimestrales'!E68</f>
        <v>HORMONAS MEDICINALES; TIPO: MONODROGA, DROGA GENERICA: OCTREOTIDA, FORMA FARMACEUTICA: AMPOLLA, PRESENTACION: 0,1 MG / ML, USO: INHIBIDOR HORMONA CRECIMIENTO</v>
      </c>
      <c r="D70" s="118"/>
      <c r="E70" s="118"/>
      <c r="F70" s="118"/>
      <c r="G70" s="118"/>
      <c r="H70" s="98" t="s">
        <v>51</v>
      </c>
      <c r="I70" s="95" t="str">
        <f>'Necesidades Trimestrales'!F68</f>
        <v>CAJA</v>
      </c>
      <c r="J70" s="96">
        <f>'Necesidades Trimestrales'!H68</f>
        <v>7904.45</v>
      </c>
      <c r="K70" s="102">
        <f>+'Necesidades Trimestrales'!G68</f>
        <v>1</v>
      </c>
      <c r="L70" s="94"/>
      <c r="M70" s="94"/>
      <c r="AMK70" s="31"/>
    </row>
    <row r="71" spans="1:13 1025:1025" ht="46.5" customHeight="1" thickBot="1" x14ac:dyDescent="0.25">
      <c r="A71" s="98">
        <v>60</v>
      </c>
      <c r="B71" s="99" t="str">
        <f>'Necesidades Trimestrales'!B69</f>
        <v>2.5.2-1853.2</v>
      </c>
      <c r="C71" s="118" t="str">
        <f>'Necesidades Trimestrales'!E69</f>
        <v>OCITOCICOS; TIPO: MONODROGA, DROGA GENERICA: OXITOCINA SINTÉTICA, PRESENTACION: 10 UI, FORMA FARMACEUTICA: AMPOLLA</v>
      </c>
      <c r="D71" s="118"/>
      <c r="E71" s="118"/>
      <c r="F71" s="118"/>
      <c r="G71" s="118"/>
      <c r="H71" s="98" t="s">
        <v>51</v>
      </c>
      <c r="I71" s="95" t="str">
        <f>'Necesidades Trimestrales'!F69</f>
        <v>AMPOLLA</v>
      </c>
      <c r="J71" s="96">
        <f>'Necesidades Trimestrales'!H69</f>
        <v>36</v>
      </c>
      <c r="K71" s="102">
        <f>+'Necesidades Trimestrales'!G69</f>
        <v>1</v>
      </c>
      <c r="L71" s="94"/>
      <c r="M71" s="94"/>
      <c r="AMK71" s="31"/>
    </row>
    <row r="72" spans="1:13 1025:1025" ht="46.5" customHeight="1" thickBot="1" x14ac:dyDescent="0.25">
      <c r="A72" s="98">
        <v>61</v>
      </c>
      <c r="B72" s="99" t="str">
        <f>'Necesidades Trimestrales'!B70</f>
        <v>2.5.2-1895.88</v>
      </c>
      <c r="C72" s="118" t="str">
        <f>'Necesidades Trimestrales'!E70</f>
        <v>HORMONAS MEDICINALES; TIPO: MONODROGA, DROGA GENÉRICA: PROGESTERONA MICRONIZADA 200 MG, FORMA FARMACEÚTICA: CÁPSULAS, USO: SEXUAL</v>
      </c>
      <c r="D72" s="118"/>
      <c r="E72" s="118"/>
      <c r="F72" s="118"/>
      <c r="G72" s="118"/>
      <c r="H72" s="98" t="s">
        <v>51</v>
      </c>
      <c r="I72" s="95" t="str">
        <f>'Necesidades Trimestrales'!F70</f>
        <v>CAPSULA</v>
      </c>
      <c r="J72" s="96">
        <f>'Necesidades Trimestrales'!H70</f>
        <v>330</v>
      </c>
      <c r="K72" s="102">
        <f>+'Necesidades Trimestrales'!G70</f>
        <v>1</v>
      </c>
      <c r="L72" s="94"/>
      <c r="M72" s="94"/>
      <c r="AMK72" s="31"/>
    </row>
    <row r="73" spans="1:13 1025:1025" ht="46.5" customHeight="1" thickBot="1" x14ac:dyDescent="0.25">
      <c r="A73" s="98">
        <v>62</v>
      </c>
      <c r="B73" s="99" t="str">
        <f>'Necesidades Trimestrales'!B71</f>
        <v>2.5.2-1875.55</v>
      </c>
      <c r="C73" s="118" t="str">
        <f>'Necesidades Trimestrales'!E71</f>
        <v>ANTIASMATICO BRONCODILATADOR; TIPO: MONODROGA, DROGA GENERICA: SALBUTAMOL, FORMA FARMACEUTICA: AEROSOL, PRESENTACION: 250 DOSIS</v>
      </c>
      <c r="D73" s="118"/>
      <c r="E73" s="118"/>
      <c r="F73" s="118"/>
      <c r="G73" s="118"/>
      <c r="H73" s="98" t="s">
        <v>209</v>
      </c>
      <c r="I73" s="95" t="str">
        <f>'Necesidades Trimestrales'!F71</f>
        <v>UNIDAD</v>
      </c>
      <c r="J73" s="96">
        <f>'Necesidades Trimestrales'!H71</f>
        <v>1580</v>
      </c>
      <c r="K73" s="102">
        <f>+'Necesidades Trimestrales'!G71</f>
        <v>1</v>
      </c>
      <c r="L73" s="94"/>
      <c r="M73" s="94"/>
      <c r="AMK73" s="31"/>
    </row>
    <row r="74" spans="1:13 1025:1025" ht="46.5" customHeight="1" thickBot="1" x14ac:dyDescent="0.25">
      <c r="A74" s="98">
        <v>63</v>
      </c>
      <c r="B74" s="99" t="str">
        <f>'Necesidades Trimestrales'!B72</f>
        <v>2.5.2-1875.11</v>
      </c>
      <c r="C74" s="118" t="str">
        <f>'Necesidades Trimestrales'!E72</f>
        <v>ANTIASMATICO BRONCODILATADOR; TIPO: MONODROGA, PRESENTACION: 20 mL, FORMA FARMACEUTICA: GOTAS, DROGA GENERICA: SALBUTAMOL</v>
      </c>
      <c r="D74" s="118"/>
      <c r="E74" s="118"/>
      <c r="F74" s="118"/>
      <c r="G74" s="118"/>
      <c r="H74" s="98" t="s">
        <v>51</v>
      </c>
      <c r="I74" s="95" t="str">
        <f>'Necesidades Trimestrales'!F72</f>
        <v>GOTERO</v>
      </c>
      <c r="J74" s="96">
        <f>'Necesidades Trimestrales'!H72</f>
        <v>95</v>
      </c>
      <c r="K74" s="102">
        <f>+'Necesidades Trimestrales'!G72</f>
        <v>1</v>
      </c>
      <c r="L74" s="124"/>
      <c r="M74" s="167"/>
      <c r="AMK74" s="31"/>
    </row>
    <row r="75" spans="1:13 1025:1025" ht="46.5" customHeight="1" thickBot="1" x14ac:dyDescent="0.25">
      <c r="A75" s="98">
        <v>64</v>
      </c>
      <c r="B75" s="99" t="str">
        <f>'Necesidades Trimestrales'!B73</f>
        <v>2.5.2-1883.189</v>
      </c>
      <c r="C75" s="118" t="str">
        <f>'Necesidades Trimestrales'!E73</f>
        <v>ANESTÉSICOS LOCALES; TIPO: ANALGÉSICO LOCAL Y ANTIBACTERIANO, DROGA GENÉRICA: LIDOCAÍNA + SULFADIAZINA + VITAMINA A, FORMA FARMACEÚTICA: CREMA, PRESENTACIÓN: ENVASE X 100 GR</v>
      </c>
      <c r="D75" s="118"/>
      <c r="E75" s="118"/>
      <c r="F75" s="118"/>
      <c r="G75" s="118"/>
      <c r="H75" s="98" t="s">
        <v>51</v>
      </c>
      <c r="I75" s="95" t="str">
        <f>'Necesidades Trimestrales'!F73</f>
        <v>ENVASE</v>
      </c>
      <c r="J75" s="96">
        <f>'Necesidades Trimestrales'!H73</f>
        <v>1120</v>
      </c>
      <c r="K75" s="102">
        <f>+'Necesidades Trimestrales'!G73</f>
        <v>1</v>
      </c>
      <c r="L75" s="94"/>
      <c r="M75" s="94"/>
      <c r="AMK75" s="31"/>
    </row>
    <row r="76" spans="1:13 1025:1025" ht="46.5" customHeight="1" thickBot="1" x14ac:dyDescent="0.25">
      <c r="A76" s="98">
        <v>65</v>
      </c>
      <c r="B76" s="99" t="str">
        <f>'Necesidades Trimestrales'!B74</f>
        <v>2.5.2-1875.68</v>
      </c>
      <c r="C76" s="118" t="str">
        <f>'Necesidades Trimestrales'!E74</f>
        <v>ANTIASMATICO BRONCODILATADOR; TIPO: MONODROGA, DROGA GENERICA: SURFACTANTE PULMONAR BOVI 30MG, FORMA FARMACEUTICA: AMPOLLA, PRESENTACION: ENVASE X 4 mL</v>
      </c>
      <c r="D76" s="118"/>
      <c r="E76" s="118"/>
      <c r="F76" s="118"/>
      <c r="G76" s="118"/>
      <c r="H76" s="98" t="s">
        <v>51</v>
      </c>
      <c r="I76" s="95" t="str">
        <f>'Necesidades Trimestrales'!F74</f>
        <v>AMPOLLA</v>
      </c>
      <c r="J76" s="96">
        <f>'Necesidades Trimestrales'!H74</f>
        <v>10300</v>
      </c>
      <c r="K76" s="102">
        <f>+'Necesidades Trimestrales'!G74</f>
        <v>1</v>
      </c>
      <c r="L76" s="94"/>
      <c r="M76" s="94"/>
      <c r="AMK76" s="31"/>
    </row>
    <row r="77" spans="1:13 1025:1025" ht="46.5" customHeight="1" thickBot="1" x14ac:dyDescent="0.25">
      <c r="A77" s="98">
        <v>66</v>
      </c>
      <c r="B77" s="99" t="str">
        <f>'Necesidades Trimestrales'!B75</f>
        <v>2.5.2-1875.131</v>
      </c>
      <c r="C77" s="118" t="str">
        <f>'Necesidades Trimestrales'!E75</f>
        <v>ANTIASMÁTICO BRONCODILATADOR; TIPO: MONODROGA, DROGA GENÉRICA: SURFACTANTE PULMONAR BOVINO 200MG, FORMA FARMACEÚTICA: AMPOLLA</v>
      </c>
      <c r="D77" s="118"/>
      <c r="E77" s="118"/>
      <c r="F77" s="118"/>
      <c r="G77" s="118"/>
      <c r="H77" s="98" t="s">
        <v>51</v>
      </c>
      <c r="I77" s="95" t="str">
        <f>'Necesidades Trimestrales'!F75</f>
        <v>AMPOLLA</v>
      </c>
      <c r="J77" s="96">
        <f>'Necesidades Trimestrales'!H75</f>
        <v>16500</v>
      </c>
      <c r="K77" s="102">
        <f>+'Necesidades Trimestrales'!G75</f>
        <v>1</v>
      </c>
      <c r="L77" s="122"/>
      <c r="M77" s="119"/>
      <c r="AMK77" s="31"/>
    </row>
    <row r="78" spans="1:13 1025:1025" ht="46.5" customHeight="1" thickBot="1" x14ac:dyDescent="0.25">
      <c r="A78" s="98">
        <v>67</v>
      </c>
      <c r="B78" s="99" t="str">
        <f>'Necesidades Trimestrales'!B76</f>
        <v>2.5.2-1875.104</v>
      </c>
      <c r="C78" s="118" t="str">
        <f>'Necesidades Trimestrales'!E76</f>
        <v>ANTIASMATICO BRONCODILATADOR; TIPO: MONODROGA, DROGA GENERICA: SURFACTANTE PULMONAR BOVINO 30 mGr, FORMA FARMACEUTICA: AMPOLLA, PRESENTACION: ENVASE X 3 mL</v>
      </c>
      <c r="D78" s="118"/>
      <c r="E78" s="118"/>
      <c r="F78" s="118"/>
      <c r="G78" s="118"/>
      <c r="H78" s="98" t="s">
        <v>51</v>
      </c>
      <c r="I78" s="95" t="str">
        <f>'Necesidades Trimestrales'!F76</f>
        <v>AMPOLLA</v>
      </c>
      <c r="J78" s="96">
        <f>'Necesidades Trimestrales'!H76</f>
        <v>9230</v>
      </c>
      <c r="K78" s="102">
        <f>+'Necesidades Trimestrales'!G76</f>
        <v>1</v>
      </c>
      <c r="L78" s="124"/>
      <c r="M78" s="120"/>
      <c r="AMK78" s="31"/>
    </row>
    <row r="79" spans="1:13 1025:1025" ht="46.5" customHeight="1" thickBot="1" x14ac:dyDescent="0.25">
      <c r="A79" s="98">
        <v>68</v>
      </c>
      <c r="B79" s="99" t="str">
        <f>'Necesidades Trimestrales'!B77</f>
        <v>2.5.2-1895.72</v>
      </c>
      <c r="C79" s="118" t="str">
        <f>'Necesidades Trimestrales'!E77</f>
        <v>HORMONAS MEDICINALES; TIPO: MONODROGA, DROGA GENERICA: TESTOSTERONA 1 %, FORMA FARMACEUTICA: GEL, PRESENTACION: ENVASE X 30 UN, USO: HORMONOTERAPIA DE REEMPLAZO</v>
      </c>
      <c r="D79" s="118"/>
      <c r="E79" s="118"/>
      <c r="F79" s="118"/>
      <c r="G79" s="118"/>
      <c r="H79" s="98" t="s">
        <v>51</v>
      </c>
      <c r="I79" s="95" t="str">
        <f>'Necesidades Trimestrales'!F77</f>
        <v>CAJA</v>
      </c>
      <c r="J79" s="96">
        <f>'Necesidades Trimestrales'!H77</f>
        <v>7224.98</v>
      </c>
      <c r="K79" s="102">
        <f>+'Necesidades Trimestrales'!G77</f>
        <v>1</v>
      </c>
      <c r="L79" s="122"/>
      <c r="M79" s="119"/>
      <c r="AMK79" s="31"/>
    </row>
    <row r="80" spans="1:13 1025:1025" ht="46.5" customHeight="1" thickBot="1" x14ac:dyDescent="0.25">
      <c r="A80" s="98">
        <v>69</v>
      </c>
      <c r="B80" s="99" t="str">
        <f>'Necesidades Trimestrales'!B78</f>
        <v>2.5.2-1895.71</v>
      </c>
      <c r="C80" s="118" t="str">
        <f>'Necesidades Trimestrales'!E78</f>
        <v>HORMONAS MEDICINALES; TIPO: MONODROGA, DROGA GENÉRICA: UNDECANOATO TESTOSTERONA 1000 MG/ML, FORMA FARMACEÚTICA: AMPOLLA, USO: HORMONOTERAPIA DE REEMPLAZO</v>
      </c>
      <c r="D80" s="118"/>
      <c r="E80" s="118"/>
      <c r="F80" s="118"/>
      <c r="G80" s="118"/>
      <c r="H80" s="98" t="s">
        <v>51</v>
      </c>
      <c r="I80" s="95" t="str">
        <f>'Necesidades Trimestrales'!F78</f>
        <v>UNIDAD</v>
      </c>
      <c r="J80" s="96">
        <f>'Necesidades Trimestrales'!H78</f>
        <v>17101.38</v>
      </c>
      <c r="K80" s="102">
        <f>+'Necesidades Trimestrales'!G78</f>
        <v>1</v>
      </c>
      <c r="L80" s="94"/>
      <c r="M80" s="94"/>
      <c r="AMK80" s="31"/>
    </row>
    <row r="81" spans="1:13 1025:1025" ht="46.5" customHeight="1" thickBot="1" x14ac:dyDescent="0.25">
      <c r="A81" s="98">
        <v>70</v>
      </c>
      <c r="B81" s="99" t="str">
        <f>'Necesidades Trimestrales'!B79</f>
        <v>2.5.2-1895.74</v>
      </c>
      <c r="C81" s="118" t="str">
        <f>'Necesidades Trimestrales'!E79</f>
        <v>HORMONAS MEDICINALES; TIPO: MONODROGA, DROGA GENÉRICA: VALERATO DE ESTRADIOL 2 MGR, FORMA FARMACEÚTICA: COMPRIMIDO, PRESENTACION: X 28 UN., USO: HORMONOTERAPIA DE REEMPLAZO</v>
      </c>
      <c r="D81" s="118"/>
      <c r="E81" s="118"/>
      <c r="F81" s="118"/>
      <c r="G81" s="118"/>
      <c r="H81" s="98" t="s">
        <v>51</v>
      </c>
      <c r="I81" s="95" t="str">
        <f>'Necesidades Trimestrales'!F79</f>
        <v>CAJA</v>
      </c>
      <c r="J81" s="96">
        <f>'Necesidades Trimestrales'!H79</f>
        <v>1586.68</v>
      </c>
      <c r="K81" s="102">
        <f>+'Necesidades Trimestrales'!G79</f>
        <v>1</v>
      </c>
      <c r="L81" s="94"/>
      <c r="M81" s="94"/>
      <c r="AMK81" s="31"/>
    </row>
    <row r="82" spans="1:13 1025:1025" ht="46.5" customHeight="1" thickBot="1" x14ac:dyDescent="0.25">
      <c r="A82" s="98">
        <v>71</v>
      </c>
      <c r="B82" s="99" t="str">
        <f>'Necesidades Trimestrales'!B80</f>
        <v>2.5.2-2481.3</v>
      </c>
      <c r="C82" s="118" t="str">
        <f>'Necesidades Trimestrales'!E80</f>
        <v>LAXANTES; TIPO: MONODROGA, DROGA GENERICA: VASELINA, FORMA FARMACEUTICA: SOLIDO, PRESENTACION: 1000 GR</v>
      </c>
      <c r="D82" s="118"/>
      <c r="E82" s="118"/>
      <c r="F82" s="118"/>
      <c r="G82" s="118"/>
      <c r="H82" s="98" t="s">
        <v>51</v>
      </c>
      <c r="I82" s="95" t="str">
        <f>'Necesidades Trimestrales'!F80</f>
        <v>UNIDAD</v>
      </c>
      <c r="J82" s="96">
        <f>'Necesidades Trimestrales'!H80</f>
        <v>1260</v>
      </c>
      <c r="K82" s="102">
        <f>+'Necesidades Trimestrales'!G80</f>
        <v>1</v>
      </c>
      <c r="L82" s="94"/>
      <c r="M82" s="94"/>
      <c r="AMK82" s="31"/>
    </row>
    <row r="83" spans="1:13 1025:1025" ht="16.5" thickBot="1" x14ac:dyDescent="0.25">
      <c r="A83" s="126" t="s">
        <v>58</v>
      </c>
      <c r="B83" s="126"/>
      <c r="C83" s="126"/>
      <c r="D83" s="126"/>
      <c r="E83" s="126"/>
      <c r="F83" s="126"/>
      <c r="G83" s="126"/>
      <c r="H83" s="126"/>
      <c r="I83" s="126"/>
      <c r="J83" s="125">
        <f>SUMPRODUCT(J12:J82,K12:K82)</f>
        <v>174965.95</v>
      </c>
      <c r="K83" s="125"/>
      <c r="L83" s="97"/>
      <c r="M83" s="94"/>
    </row>
  </sheetData>
  <mergeCells count="102">
    <mergeCell ref="C81:G81"/>
    <mergeCell ref="C82:G82"/>
    <mergeCell ref="A7:B7"/>
    <mergeCell ref="A8:B8"/>
    <mergeCell ref="C6:K6"/>
    <mergeCell ref="C7:K7"/>
    <mergeCell ref="C3:K3"/>
    <mergeCell ref="C4:K4"/>
    <mergeCell ref="C5:K5"/>
    <mergeCell ref="C8:K8"/>
    <mergeCell ref="C16:G16"/>
    <mergeCell ref="C17:G17"/>
    <mergeCell ref="C61:G61"/>
    <mergeCell ref="C56:G56"/>
    <mergeCell ref="C57:G57"/>
    <mergeCell ref="C58:G58"/>
    <mergeCell ref="C59:G59"/>
    <mergeCell ref="C60:G60"/>
    <mergeCell ref="C18:G18"/>
    <mergeCell ref="C19:G19"/>
    <mergeCell ref="C20:G20"/>
    <mergeCell ref="C33:G33"/>
    <mergeCell ref="C34:G34"/>
    <mergeCell ref="C21:G21"/>
    <mergeCell ref="A1:I1"/>
    <mergeCell ref="A3:B3"/>
    <mergeCell ref="A4:B4"/>
    <mergeCell ref="A5:B5"/>
    <mergeCell ref="A6:B6"/>
    <mergeCell ref="H10:H11"/>
    <mergeCell ref="I10:I11"/>
    <mergeCell ref="J10:J11"/>
    <mergeCell ref="K10:K11"/>
    <mergeCell ref="J83:K83"/>
    <mergeCell ref="A83:I83"/>
    <mergeCell ref="A10:A11"/>
    <mergeCell ref="C67:G67"/>
    <mergeCell ref="C68:G68"/>
    <mergeCell ref="C69:G69"/>
    <mergeCell ref="B10:B11"/>
    <mergeCell ref="C12:G12"/>
    <mergeCell ref="C23:G23"/>
    <mergeCell ref="C24:G24"/>
    <mergeCell ref="C25:G25"/>
    <mergeCell ref="C10:G11"/>
    <mergeCell ref="C35:G35"/>
    <mergeCell ref="C36:G36"/>
    <mergeCell ref="C26:G26"/>
    <mergeCell ref="C27:G27"/>
    <mergeCell ref="C28:G28"/>
    <mergeCell ref="C29:G29"/>
    <mergeCell ref="C30:G30"/>
    <mergeCell ref="C31:G31"/>
    <mergeCell ref="C32:G32"/>
    <mergeCell ref="C13:G13"/>
    <mergeCell ref="C14:G14"/>
    <mergeCell ref="C15:G15"/>
    <mergeCell ref="C22:G22"/>
    <mergeCell ref="C77:G77"/>
    <mergeCell ref="C78:G78"/>
    <mergeCell ref="C79:G79"/>
    <mergeCell ref="C80:G80"/>
    <mergeCell ref="C62:G62"/>
    <mergeCell ref="C72:G72"/>
    <mergeCell ref="C73:G73"/>
    <mergeCell ref="C74:G74"/>
    <mergeCell ref="C75:G75"/>
    <mergeCell ref="C76:G76"/>
    <mergeCell ref="C63:G63"/>
    <mergeCell ref="C64:G64"/>
    <mergeCell ref="C70:G70"/>
    <mergeCell ref="C71:G71"/>
    <mergeCell ref="C65:G65"/>
    <mergeCell ref="C66:G66"/>
    <mergeCell ref="C54:G54"/>
    <mergeCell ref="C55:G55"/>
    <mergeCell ref="C47:G47"/>
    <mergeCell ref="C48:G48"/>
    <mergeCell ref="C49:G49"/>
    <mergeCell ref="C50:G50"/>
    <mergeCell ref="C51:G51"/>
    <mergeCell ref="L77:M77"/>
    <mergeCell ref="L78:M78"/>
    <mergeCell ref="L79:M79"/>
    <mergeCell ref="L48:M48"/>
    <mergeCell ref="L12:M12"/>
    <mergeCell ref="L16:M16"/>
    <mergeCell ref="L32:M32"/>
    <mergeCell ref="L66:M66"/>
    <mergeCell ref="L74:M74"/>
    <mergeCell ref="C52:G52"/>
    <mergeCell ref="C53:G53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10"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2" t="s">
        <v>3</v>
      </c>
      <c r="B1" s="162"/>
      <c r="C1" s="162"/>
      <c r="D1" s="163">
        <f>'Necesidades Trimestrales'!C6</f>
        <v>2022</v>
      </c>
      <c r="E1" s="163"/>
      <c r="F1" s="2"/>
      <c r="G1" s="2"/>
      <c r="H1" s="3"/>
      <c r="I1" s="3"/>
      <c r="J1" s="3"/>
      <c r="K1" s="3"/>
      <c r="L1" s="3"/>
      <c r="M1" s="3"/>
      <c r="N1" s="3"/>
      <c r="P1" s="164" t="s">
        <v>23</v>
      </c>
      <c r="Q1" s="164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64"/>
      <c r="Q2" s="164"/>
    </row>
    <row r="4" spans="1:17" s="4" customFormat="1" ht="18" customHeight="1" thickBot="1" x14ac:dyDescent="0.25">
      <c r="A4" s="165" t="s">
        <v>24</v>
      </c>
      <c r="B4" s="165"/>
      <c r="C4" s="165"/>
      <c r="D4" s="165"/>
      <c r="E4" s="165"/>
      <c r="F4" s="165"/>
      <c r="G4" s="166" t="str">
        <f>' NotaPedido'!C3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s="4" customFormat="1" ht="18" customHeight="1" thickBot="1" x14ac:dyDescent="0.25">
      <c r="A5" s="157" t="s">
        <v>47</v>
      </c>
      <c r="B5" s="158"/>
      <c r="C5" s="158"/>
      <c r="D5" s="158"/>
      <c r="E5" s="158"/>
      <c r="F5" s="159"/>
      <c r="G5" s="160" t="str">
        <f>' NotaPedido'!C4</f>
        <v>11/ 23/ 24  o  28- "…......."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s="4" customFormat="1" ht="18" customHeight="1" thickBot="1" x14ac:dyDescent="0.25">
      <c r="A6" s="157" t="s">
        <v>25</v>
      </c>
      <c r="B6" s="158"/>
      <c r="C6" s="158"/>
      <c r="D6" s="158"/>
      <c r="E6" s="158"/>
      <c r="F6" s="159"/>
      <c r="G6" s="160" t="str">
        <f>' NotaPedido'!C5</f>
        <v>XXXX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s="4" customFormat="1" ht="18" customHeight="1" thickBot="1" x14ac:dyDescent="0.25">
      <c r="A7" s="157" t="s">
        <v>48</v>
      </c>
      <c r="B7" s="158"/>
      <c r="C7" s="158"/>
      <c r="D7" s="158"/>
      <c r="E7" s="158"/>
      <c r="F7" s="159"/>
      <c r="G7" s="160" t="str">
        <f>' NotaPedido'!C6</f>
        <v>XXXX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thickBot="1" x14ac:dyDescent="0.25">
      <c r="A8" s="161" t="s">
        <v>26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2">
      <c r="A9" s="151" t="s">
        <v>27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Q9" s="5"/>
    </row>
    <row r="10" spans="1:17" ht="54.75" customHeight="1" x14ac:dyDescent="0.2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53" t="s">
        <v>28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">
      <c r="A13" s="154" t="s">
        <v>29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30</v>
      </c>
      <c r="P13" s="155"/>
      <c r="Q13" s="156" t="s">
        <v>31</v>
      </c>
    </row>
    <row r="14" spans="1:17" ht="15.75" customHeight="1" x14ac:dyDescent="0.2">
      <c r="A14" s="10" t="s">
        <v>32</v>
      </c>
      <c r="B14" s="11" t="s">
        <v>33</v>
      </c>
      <c r="C14" s="11" t="s">
        <v>34</v>
      </c>
      <c r="D14" s="11" t="s">
        <v>35</v>
      </c>
      <c r="E14" s="11" t="s">
        <v>36</v>
      </c>
      <c r="F14" s="11" t="s">
        <v>37</v>
      </c>
      <c r="G14" s="12" t="s">
        <v>38</v>
      </c>
      <c r="H14" s="11" t="s">
        <v>39</v>
      </c>
      <c r="I14" s="11" t="s">
        <v>40</v>
      </c>
      <c r="J14" s="11" t="s">
        <v>41</v>
      </c>
      <c r="K14" s="11" t="s">
        <v>41</v>
      </c>
      <c r="L14" s="11" t="s">
        <v>42</v>
      </c>
      <c r="M14" s="13" t="s">
        <v>43</v>
      </c>
      <c r="N14" s="14" t="s">
        <v>44</v>
      </c>
      <c r="O14" s="155"/>
      <c r="P14" s="155"/>
      <c r="Q14" s="156"/>
    </row>
    <row r="15" spans="1:17" ht="17.25" customHeight="1" x14ac:dyDescent="0.2">
      <c r="A15" s="57"/>
      <c r="B15" s="38"/>
      <c r="C15" s="38"/>
      <c r="D15" s="58"/>
      <c r="E15" s="38"/>
      <c r="F15" s="38">
        <v>4901</v>
      </c>
      <c r="G15" s="38">
        <v>3</v>
      </c>
      <c r="H15" s="38">
        <v>310</v>
      </c>
      <c r="I15" s="56">
        <v>2</v>
      </c>
      <c r="J15" s="56">
        <v>5</v>
      </c>
      <c r="K15" s="56">
        <v>2</v>
      </c>
      <c r="L15" s="38"/>
      <c r="M15" s="39">
        <v>1</v>
      </c>
      <c r="N15" s="40" t="s">
        <v>50</v>
      </c>
      <c r="O15" s="150" t="s">
        <v>222</v>
      </c>
      <c r="P15" s="150"/>
      <c r="Q15" s="15">
        <f>+' NotaPedido'!J83</f>
        <v>174965.95</v>
      </c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46"/>
      <c r="P16" s="146"/>
      <c r="Q16" s="20"/>
    </row>
    <row r="17" spans="1:17" ht="17.25" customHeight="1" x14ac:dyDescent="0.2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46"/>
      <c r="P17" s="146"/>
      <c r="Q17" s="20"/>
    </row>
    <row r="18" spans="1:17" ht="17.25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146"/>
      <c r="P18" s="146"/>
      <c r="Q18" s="20"/>
    </row>
    <row r="19" spans="1:17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46"/>
      <c r="P19" s="146"/>
      <c r="Q19" s="20"/>
    </row>
    <row r="20" spans="1:17" ht="17.25" customHeight="1" x14ac:dyDescent="0.2">
      <c r="A20" s="16"/>
      <c r="B20" s="17"/>
      <c r="C20" s="17"/>
      <c r="D20" s="17"/>
      <c r="E20" s="17"/>
      <c r="F20" s="19"/>
      <c r="G20" s="17"/>
      <c r="H20" s="17"/>
      <c r="I20" s="17"/>
      <c r="J20" s="17"/>
      <c r="K20" s="17"/>
      <c r="L20" s="17"/>
      <c r="M20" s="18"/>
      <c r="N20" s="19"/>
      <c r="O20" s="146"/>
      <c r="P20" s="146"/>
      <c r="Q20" s="20"/>
    </row>
    <row r="21" spans="1:17" ht="17.25" customHeight="1" x14ac:dyDescent="0.2">
      <c r="A21" s="21"/>
      <c r="B21" s="22"/>
      <c r="C21" s="22"/>
      <c r="D21" s="22"/>
      <c r="E21" s="22"/>
      <c r="F21" s="19"/>
      <c r="G21" s="22"/>
      <c r="H21" s="22"/>
      <c r="I21" s="22"/>
      <c r="J21" s="22"/>
      <c r="K21" s="22"/>
      <c r="L21" s="22"/>
      <c r="M21" s="23"/>
      <c r="N21" s="24"/>
      <c r="O21" s="146"/>
      <c r="P21" s="146"/>
      <c r="Q21" s="20"/>
    </row>
    <row r="22" spans="1:17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47"/>
      <c r="P22" s="147"/>
      <c r="Q22" s="28"/>
    </row>
    <row r="23" spans="1:17" ht="29.25" customHeight="1" x14ac:dyDescent="0.2">
      <c r="A23" s="148" t="s">
        <v>59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55">
        <f>SUM(Q15:Q22)</f>
        <v>174965.95</v>
      </c>
    </row>
    <row r="24" spans="1:17" ht="18" customHeight="1" thickBot="1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7" ht="17.25" customHeight="1" thickBot="1" x14ac:dyDescent="0.25">
      <c r="A25" s="141" t="s">
        <v>45</v>
      </c>
      <c r="B25" s="142"/>
      <c r="C25" s="142"/>
      <c r="D25" s="142"/>
      <c r="E25" s="142"/>
      <c r="F25" s="143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</row>
    <row r="26" spans="1:17" ht="18" customHeight="1" thickBot="1" x14ac:dyDescent="0.25">
      <c r="A26" s="145" t="s">
        <v>60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</row>
    <row r="27" spans="1:17" ht="15" customHeight="1" x14ac:dyDescent="0.2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2022-09-12T14:18:18Z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