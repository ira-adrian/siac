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8190" tabRatio="500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Trimestrales'!$E$2:$E$72</definedName>
    <definedName name="_xlnm.Print_Area" localSheetId="1">' NotaPedido'!$A$1:$K$21</definedName>
    <definedName name="_xlnm.Print_Area" localSheetId="2">'Autor Gastar'!$A$1:$Q$41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3" l="1"/>
  <c r="I12" i="3"/>
  <c r="I13" i="3"/>
  <c r="I14" i="3"/>
  <c r="I15" i="3"/>
  <c r="I16" i="3"/>
  <c r="I17" i="3"/>
  <c r="I18" i="3"/>
  <c r="I10" i="3"/>
  <c r="I20" i="3" s="1"/>
  <c r="I21" i="3" l="1"/>
  <c r="Q37" i="2" l="1"/>
</calcChain>
</file>

<file path=xl/sharedStrings.xml><?xml version="1.0" encoding="utf-8"?>
<sst xmlns="http://schemas.openxmlformats.org/spreadsheetml/2006/main" count="143" uniqueCount="104">
  <si>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</si>
  <si>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</si>
  <si>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</si>
  <si>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</si>
  <si>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</si>
  <si>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</si>
  <si>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</si>
  <si>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</si>
  <si>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</si>
  <si>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</si>
  <si>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</si>
  <si>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</si>
  <si>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</si>
  <si>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</si>
  <si>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</si>
  <si>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</si>
  <si>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</si>
  <si>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</si>
  <si>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</si>
  <si>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</si>
  <si>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</si>
  <si>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</si>
  <si>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</si>
  <si>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</si>
  <si>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</si>
  <si>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</si>
  <si>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</si>
  <si>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</si>
  <si>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</si>
  <si>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</si>
  <si>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</si>
  <si>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</si>
  <si>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</si>
  <si>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</si>
  <si>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</si>
  <si>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</si>
  <si>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</si>
  <si>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Pedido de Necesidades Trimestrales</t>
  </si>
  <si>
    <t>JURISDICCION:</t>
  </si>
  <si>
    <t>40 - MINISTERIO DE SALUD</t>
  </si>
  <si>
    <t xml:space="preserve">SAF N°: </t>
  </si>
  <si>
    <t>TRIMESTRE:</t>
  </si>
  <si>
    <t>4to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</si>
  <si>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</si>
  <si>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</si>
  <si>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</si>
  <si>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</si>
  <si>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</si>
  <si>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</si>
  <si>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</si>
  <si>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</si>
  <si>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</si>
  <si>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TOTAL DEL RUBRO</t>
  </si>
  <si>
    <t>TOTAL</t>
  </si>
  <si>
    <t>Descripción técnica</t>
  </si>
  <si>
    <t>Plazos y lugares de entrega</t>
  </si>
  <si>
    <t>Chacabuco N° 169</t>
  </si>
  <si>
    <t>Calidad Minima esperada</t>
  </si>
  <si>
    <t>Mantenimiento</t>
  </si>
  <si>
    <t>Garantia</t>
  </si>
  <si>
    <t>040 - Ministerio de Salud</t>
  </si>
  <si>
    <t>011 - Direccion Provincial de Administración - Ministerio de Salud</t>
  </si>
  <si>
    <t>Direccion Provincial de Laboratorio</t>
  </si>
  <si>
    <t>3 Meses</t>
  </si>
  <si>
    <t xml:space="preserve">Adquisiscion de Descartables.- </t>
  </si>
  <si>
    <t>43/2020</t>
  </si>
  <si>
    <t>UNIDAD</t>
  </si>
  <si>
    <t>CAJA</t>
  </si>
  <si>
    <t>BOLSA</t>
  </si>
  <si>
    <t>CUBREOBJETOS 20X20X200 U TIPO KINDER</t>
  </si>
  <si>
    <t>cubreobjetos 20x20x200 U TIPO KINDER</t>
  </si>
  <si>
    <t>Guantes de latex chico caja x100 unidades TIPO BREMEN</t>
  </si>
  <si>
    <t>Guantes de latex mediano caja x100 unidades TIPO BREMEN</t>
  </si>
  <si>
    <t>Guantes de latex grande caja x100 unidades TIPO BREMEN</t>
  </si>
  <si>
    <t>GUANTES DE LATEX SMALL CAJA X 100 UNIDADES  TIPO BREMEN</t>
  </si>
  <si>
    <t>GUANTES DE LATEX MEDIUM CAJA X 100 UNIDADES  TIPO BREMEN</t>
  </si>
  <si>
    <t>GUANTES DE LATEX LARGE CAJA X 100 UNIDADES  TIPO BREMEN</t>
  </si>
  <si>
    <t>TIPS AMARILLOS SIN CORONA 5 A 200 UL  BOLSA X 1000 UNIDADES TIPO DELTALAB</t>
  </si>
  <si>
    <t>tips amarillos sin corona  5 a 200 ul bolsa por 1000 unidades TIPO DELTALAB</t>
  </si>
  <si>
    <t>TIPS AZULES SIN CORONA 100 A 1000 UL  BOLSA X 1000 UNIDADES TIPO DELTALAB</t>
  </si>
  <si>
    <t>tips azules sin corona  100 a 1000 ul bolsa por 1000 unidades TIPO DELTALAB</t>
  </si>
  <si>
    <t>Algodón 500 gr TIPO ESTRELLA</t>
  </si>
  <si>
    <t>ALGODÓN 500 GRAMOS TIPO ESTRELLA</t>
  </si>
  <si>
    <t>HISOPOS FLOCKED SW AB NASOFARINGEO ESTERIL, ENVASE INDIVIDUAL TIPO BRITANIA</t>
  </si>
  <si>
    <t xml:space="preserve">Hisopos FLOCKED SW AB NASOFARINGEO ESTERIL, ENVASE INDIVIDUAL TIPO BRITANIA </t>
  </si>
  <si>
    <t>lampara HALOGENA PARA MICROSCOPIO  Metrolab sin zocalo 6V 20W TIPO OSRAM/PHILIPS</t>
  </si>
  <si>
    <t>LAMPARA HALOGENA PARA MICROSCOPIO METROLAB SIN ZOCALO 6V 20 W TIPO OSRAM/PHILIPS</t>
  </si>
  <si>
    <t>Plazo de entrega 10 dias habiles, contados a partir del dia habil inmediato siguiente al de la notificacion correspondiente.</t>
  </si>
  <si>
    <t>DIRECCION PROVINCIAL DE LABORATORIO</t>
  </si>
  <si>
    <t>Contacto de referencia: DRA. CAMPI C. VERONICA - Tel: 3834902984</t>
  </si>
  <si>
    <t>De la oferta 30 dias, contados a partir de la apertura.</t>
  </si>
  <si>
    <t>No inferior a un (1) año / cuatro (4) meses, según corresponda.</t>
  </si>
  <si>
    <t>NO</t>
  </si>
  <si>
    <t>040-MINISTERIO DE SALUD</t>
  </si>
  <si>
    <t>011-DIRECCION PROVINCIAL DE ADMINISTRACION-M.S.</t>
  </si>
  <si>
    <t>Autorizo la realización de los  trámites correspondientes, a fin de (proveer a  este Organismo los bienes, servicios o ejecución de obras públicas que se detallan en Nota  de Pedido N° 43/2020 , / otorgar la transferencia de fondos autorizada por Acto Administrativo Nº ....) afectando la erogación resultante a los créditos presupuestarios aprobados a favor de esta Unidad Ejecutora, conforme al siguiente detalle:</t>
  </si>
  <si>
    <t>1.1</t>
  </si>
  <si>
    <t>UTILES MENORES MEDICO, QUIRURGICO Y DE LABORATORIO</t>
  </si>
  <si>
    <t>EJERCICIO: 2020</t>
  </si>
  <si>
    <t>Especificidades Item Nº 1 al Nº 09</t>
  </si>
  <si>
    <t>Costo total estimado: DOS MILLONES TRESCIENTOS SETENTA Y OCHO MIL QUINIENTOS SESENTA CON 00/100.-</t>
  </si>
  <si>
    <t>TOTAL DE PESOS: DOS MILLONES TRESCIENTOS SETENTA Y OCHO MIL QUINIENTOS SESENTA CON 00/100.-</t>
  </si>
  <si>
    <t>JUSTIFICACIÓN:  ADQUISICIÓN DE DESCARTABLES DESTINADOS  A LA DISTRIBUCIÓN DE LAS ÁREAS PROGRAMÁTICAS Y AL LABORATORIO CENTRAL DEL MINISTERIO.-</t>
  </si>
  <si>
    <t>(PROD.MED./FARMAC./LAB)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</si>
</sst>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[$$-2C0A]\ * #,##0.00_-;\-[$$-2C0A]\ * #,##0.00_-;_-[$$-2C0A]\ * &quot;-&quot;??_-;_-@_-"/>
    <numFmt numFmtId="169" formatCode="_-* #,##0.00&quot; €&quot;_-;\-* #,##0.00&quot; €&quot;_-;_-* \-??&quot; €&quot;_-;_-@_-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sz val="9"/>
      <name val="Times New Roman"/>
      <family val="1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169" fontId="22" fillId="0" borderId="0" applyBorder="0" applyProtection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</cellStyleXfs>
  <cellXfs count="186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6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7" fontId="0" fillId="0" borderId="36" xfId="2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7" fontId="0" fillId="0" borderId="45" xfId="2" applyNumberFormat="1" applyFont="1" applyBorder="1" applyAlignment="1" applyProtection="1">
      <alignment horizontal="center" vertical="center"/>
    </xf>
    <xf numFmtId="167" fontId="16" fillId="0" borderId="47" xfId="0" applyNumberFormat="1" applyFont="1" applyBorder="1" applyAlignment="1">
      <alignment horizontal="center" vertical="center"/>
    </xf>
    <xf numFmtId="0" fontId="17" fillId="0" borderId="0" xfId="0" applyFont="1"/>
    <xf numFmtId="168" fontId="1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168" fontId="22" fillId="0" borderId="0" xfId="4" applyNumberFormat="1" applyAlignment="1">
      <alignment horizontal="right" vertical="center"/>
    </xf>
    <xf numFmtId="0" fontId="20" fillId="0" borderId="0" xfId="0" applyFont="1" applyFill="1" applyAlignment="1">
      <alignment horizontal="left" vertical="center" wrapText="1"/>
    </xf>
    <xf numFmtId="0" fontId="23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7" fillId="0" borderId="0" xfId="0" applyFont="1" applyFill="1"/>
    <xf numFmtId="0" fontId="3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168" fontId="32" fillId="0" borderId="51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/>
    </xf>
    <xf numFmtId="0" fontId="17" fillId="0" borderId="20" xfId="0" applyFont="1" applyBorder="1" applyAlignment="1">
      <alignment horizontal="center"/>
    </xf>
    <xf numFmtId="0" fontId="17" fillId="0" borderId="52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 wrapText="1"/>
    </xf>
    <xf numFmtId="3" fontId="11" fillId="0" borderId="0" xfId="5" applyNumberFormat="1" applyFont="1" applyBorder="1" applyAlignment="1">
      <alignment horizontal="center" vertical="center"/>
    </xf>
    <xf numFmtId="169" fontId="11" fillId="0" borderId="0" xfId="4" applyFont="1" applyBorder="1" applyAlignment="1">
      <alignment horizontal="center" vertical="center" wrapText="1"/>
    </xf>
    <xf numFmtId="169" fontId="22" fillId="0" borderId="0" xfId="4" applyFont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0" fontId="30" fillId="0" borderId="53" xfId="0" applyFont="1" applyBorder="1" applyAlignment="1">
      <alignment horizontal="left" vertical="center" wrapText="1"/>
    </xf>
    <xf numFmtId="0" fontId="27" fillId="0" borderId="49" xfId="5" applyFont="1" applyFill="1" applyBorder="1" applyAlignment="1">
      <alignment horizontal="left" vertical="center" wrapText="1"/>
    </xf>
    <xf numFmtId="0" fontId="27" fillId="0" borderId="49" xfId="5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left" vertical="center" wrapText="1"/>
    </xf>
    <xf numFmtId="0" fontId="28" fillId="0" borderId="49" xfId="0" applyFont="1" applyFill="1" applyBorder="1" applyAlignment="1">
      <alignment horizontal="left" vertical="center" wrapText="1"/>
    </xf>
    <xf numFmtId="3" fontId="11" fillId="0" borderId="49" xfId="6" applyNumberFormat="1" applyFont="1" applyBorder="1" applyAlignment="1">
      <alignment horizontal="center" vertical="center"/>
    </xf>
    <xf numFmtId="168" fontId="26" fillId="0" borderId="58" xfId="4" applyNumberFormat="1" applyFont="1" applyBorder="1" applyAlignment="1">
      <alignment horizontal="center" vertical="center" wrapText="1"/>
    </xf>
    <xf numFmtId="0" fontId="11" fillId="0" borderId="58" xfId="6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/>
    </xf>
    <xf numFmtId="0" fontId="28" fillId="0" borderId="57" xfId="0" applyFont="1" applyFill="1" applyBorder="1" applyAlignment="1">
      <alignment vertical="center" wrapText="1"/>
    </xf>
    <xf numFmtId="0" fontId="25" fillId="0" borderId="50" xfId="0" applyFont="1" applyBorder="1" applyAlignment="1">
      <alignment horizontal="center" vertical="center"/>
    </xf>
    <xf numFmtId="0" fontId="27" fillId="0" borderId="50" xfId="5" applyFont="1" applyFill="1" applyBorder="1" applyAlignment="1">
      <alignment horizontal="center" vertical="center" wrapText="1"/>
    </xf>
    <xf numFmtId="168" fontId="25" fillId="0" borderId="9" xfId="0" applyNumberFormat="1" applyFont="1" applyBorder="1" applyAlignment="1">
      <alignment horizontal="center" vertical="center" wrapText="1"/>
    </xf>
    <xf numFmtId="168" fontId="27" fillId="0" borderId="9" xfId="4" applyNumberFormat="1" applyFont="1" applyFill="1" applyBorder="1" applyAlignment="1">
      <alignment horizontal="right" vertical="center" wrapText="1"/>
    </xf>
    <xf numFmtId="168" fontId="29" fillId="0" borderId="9" xfId="0" applyNumberFormat="1" applyFont="1" applyBorder="1" applyAlignment="1">
      <alignment wrapText="1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center"/>
    </xf>
    <xf numFmtId="3" fontId="11" fillId="0" borderId="60" xfId="0" applyNumberFormat="1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3" fontId="11" fillId="0" borderId="64" xfId="0" applyNumberFormat="1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25" fillId="0" borderId="57" xfId="0" applyFont="1" applyBorder="1" applyAlignment="1">
      <alignment horizontal="left" vertical="center"/>
    </xf>
    <xf numFmtId="168" fontId="26" fillId="0" borderId="9" xfId="4" applyNumberFormat="1" applyFont="1" applyFill="1" applyBorder="1" applyAlignment="1">
      <alignment horizontal="right" vertical="center" wrapText="1"/>
    </xf>
    <xf numFmtId="0" fontId="25" fillId="0" borderId="57" xfId="0" applyFont="1" applyBorder="1" applyAlignment="1">
      <alignment vertical="center" wrapText="1"/>
    </xf>
    <xf numFmtId="0" fontId="25" fillId="0" borderId="49" xfId="0" applyFont="1" applyBorder="1" applyAlignment="1">
      <alignment vertical="center" wrapText="1"/>
    </xf>
    <xf numFmtId="0" fontId="17" fillId="0" borderId="7" xfId="0" applyFont="1" applyFill="1" applyBorder="1" applyAlignment="1">
      <alignment horizont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 wrapText="1"/>
    </xf>
    <xf numFmtId="0" fontId="25" fillId="0" borderId="57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54" xfId="0" applyFont="1" applyFill="1" applyBorder="1" applyAlignment="1">
      <alignment horizontal="center"/>
    </xf>
    <xf numFmtId="0" fontId="17" fillId="0" borderId="55" xfId="0" applyFont="1" applyFill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1"/>
    </xf>
    <xf numFmtId="165" fontId="8" fillId="0" borderId="17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8" fillId="0" borderId="65" xfId="0" applyFont="1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8" fillId="0" borderId="65" xfId="0" applyFont="1" applyBorder="1" applyAlignment="1">
      <alignment vertical="top" wrapText="1"/>
    </xf>
    <xf numFmtId="0" fontId="0" fillId="0" borderId="66" xfId="0" applyBorder="1" applyAlignment="1">
      <alignment vertical="top" wrapText="1"/>
    </xf>
    <xf numFmtId="0" fontId="0" fillId="0" borderId="67" xfId="0" applyBorder="1" applyAlignment="1">
      <alignment vertical="top" wrapText="1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4" fillId="0" borderId="22" xfId="0" applyFont="1" applyBorder="1" applyAlignment="1">
      <alignment horizontal="left" indent="1"/>
    </xf>
    <xf numFmtId="0" fontId="11" fillId="0" borderId="21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center"/>
    </xf>
    <xf numFmtId="0" fontId="0" fillId="0" borderId="40" xfId="0" applyFont="1" applyBorder="1" applyAlignment="1">
      <alignment horizontal="center" vertical="center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2" fillId="0" borderId="13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2" fillId="0" borderId="46" xfId="0" applyFont="1" applyBorder="1" applyAlignment="1">
      <alignment horizontal="left" vertical="center" wrapText="1"/>
    </xf>
    <xf numFmtId="0" fontId="0" fillId="0" borderId="24" xfId="0" applyBorder="1"/>
  </cellXfs>
  <cellStyles count="10">
    <cellStyle name="Encabezado 1" xfId="1"/>
    <cellStyle name="Moneda 2" xfId="4"/>
    <cellStyle name="Moneda_AUTORIZACION Y NOTA DE PEDIDO" xfId="2"/>
    <cellStyle name="Neutral 1" xfId="3"/>
    <cellStyle name="Normal" xfId="0" builtinId="0"/>
    <cellStyle name="Normal 2" xfId="5"/>
    <cellStyle name="Normal 3" xfId="7"/>
    <cellStyle name="Normal 3 2" xfId="8"/>
    <cellStyle name="Normal 4" xfId="9"/>
    <cellStyle name="Normal 5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abSelected="1" topLeftCell="A7" zoomScale="78" zoomScaleNormal="78" workbookViewId="0">
      <selection activeCell="C11" sqref="C11"/>
    </sheetView>
  </sheetViews>
  <sheetFormatPr baseColWidth="10" defaultColWidth="11" defaultRowHeight="12.75" x14ac:dyDescent="0.2"/>
  <cols>
    <col min="1" max="1" width="8.42578125" style="50" customWidth="1"/>
    <col min="2" max="2" width="17.5703125" style="61" customWidth="1"/>
    <col min="3" max="3" width="32.42578125" style="62" customWidth="1"/>
    <col min="4" max="4" width="8.42578125" style="63" customWidth="1"/>
    <col min="5" max="5" width="79" style="62" customWidth="1"/>
    <col min="6" max="6" width="11" style="63"/>
    <col min="7" max="7" width="13.42578125" style="65" customWidth="1"/>
    <col min="8" max="8" width="16.42578125" style="54" customWidth="1"/>
    <col min="9" max="9" width="23.5703125" style="51" customWidth="1"/>
    <col min="10" max="10" width="11" style="50"/>
    <col min="11" max="11" width="14.7109375" style="50" customWidth="1"/>
    <col min="12" max="12" width="13.7109375" style="50" customWidth="1"/>
    <col min="13" max="16384" width="11" style="50"/>
  </cols>
  <sheetData>
    <row r="2" spans="1:9" ht="27" x14ac:dyDescent="0.35">
      <c r="B2" s="113" t="s">
        <v>37</v>
      </c>
      <c r="C2" s="113"/>
      <c r="D2" s="113"/>
      <c r="E2" s="113"/>
      <c r="F2" s="113"/>
      <c r="G2" s="114"/>
      <c r="H2" s="115"/>
    </row>
    <row r="3" spans="1:9" ht="18" customHeight="1" x14ac:dyDescent="0.25">
      <c r="A3" s="116"/>
      <c r="B3" s="116"/>
      <c r="C3" s="117"/>
      <c r="D3" s="118"/>
      <c r="E3" s="117"/>
      <c r="F3" s="52"/>
      <c r="G3" s="53"/>
    </row>
    <row r="4" spans="1:9" ht="18" customHeight="1" x14ac:dyDescent="0.25">
      <c r="A4" s="116" t="s">
        <v>38</v>
      </c>
      <c r="B4" s="116"/>
      <c r="C4" s="117" t="s">
        <v>39</v>
      </c>
      <c r="D4" s="118"/>
      <c r="E4" s="117"/>
      <c r="F4" s="52"/>
      <c r="G4" s="53"/>
    </row>
    <row r="5" spans="1:9" ht="18" customHeight="1" x14ac:dyDescent="0.25">
      <c r="A5" s="116" t="s">
        <v>40</v>
      </c>
      <c r="B5" s="116"/>
      <c r="C5" s="117" t="s">
        <v>61</v>
      </c>
      <c r="D5" s="118"/>
      <c r="E5" s="117"/>
      <c r="F5" s="52"/>
      <c r="G5" s="53"/>
    </row>
    <row r="6" spans="1:9" ht="16.5" customHeight="1" x14ac:dyDescent="0.2">
      <c r="A6" s="116" t="s">
        <v>15</v>
      </c>
      <c r="B6" s="116"/>
      <c r="C6" s="55">
        <v>2020</v>
      </c>
      <c r="D6" s="56"/>
      <c r="E6" s="57"/>
      <c r="F6" s="52"/>
      <c r="G6" s="53"/>
    </row>
    <row r="7" spans="1:9" ht="15.75" x14ac:dyDescent="0.2">
      <c r="A7" s="116" t="s">
        <v>41</v>
      </c>
      <c r="B7" s="116"/>
      <c r="C7" s="55" t="s">
        <v>42</v>
      </c>
      <c r="D7" s="56"/>
      <c r="E7" s="57"/>
      <c r="F7" s="52"/>
      <c r="G7" s="53"/>
    </row>
    <row r="8" spans="1:9" ht="13.5" thickBot="1" x14ac:dyDescent="0.25">
      <c r="B8" s="58"/>
      <c r="C8" s="59"/>
      <c r="D8" s="52"/>
      <c r="E8" s="59"/>
      <c r="F8" s="52"/>
      <c r="G8" s="53"/>
    </row>
    <row r="9" spans="1:9" ht="51" customHeight="1" thickBot="1" x14ac:dyDescent="0.25">
      <c r="A9" s="81" t="s">
        <v>43</v>
      </c>
      <c r="B9" s="82" t="s">
        <v>44</v>
      </c>
      <c r="C9" s="83" t="s">
        <v>45</v>
      </c>
      <c r="D9" s="92" t="s">
        <v>46</v>
      </c>
      <c r="E9" s="90" t="s">
        <v>47</v>
      </c>
      <c r="F9" s="84" t="s">
        <v>48</v>
      </c>
      <c r="G9" s="83" t="s">
        <v>49</v>
      </c>
      <c r="H9" s="88" t="s">
        <v>50</v>
      </c>
      <c r="I9" s="94" t="s">
        <v>51</v>
      </c>
    </row>
    <row r="10" spans="1:9" ht="51" customHeight="1" thickBot="1" x14ac:dyDescent="0.25">
      <c r="A10" s="81">
        <v>1</v>
      </c>
      <c r="B10" s="82"/>
      <c r="C10" s="108" t="s">
        <v>103</v>
      </c>
      <c r="D10" s="92">
        <v>295</v>
      </c>
      <c r="E10" s="107" t="s">
        <v>83</v>
      </c>
      <c r="F10" s="103" t="s">
        <v>66</v>
      </c>
      <c r="G10" s="83">
        <v>10000</v>
      </c>
      <c r="H10" s="88">
        <v>136</v>
      </c>
      <c r="I10" s="106">
        <f>G10*H10</f>
        <v>1360000</v>
      </c>
    </row>
    <row r="11" spans="1:9" ht="51" customHeight="1" thickBot="1" x14ac:dyDescent="0.25">
      <c r="A11" s="81">
        <v>2</v>
      </c>
      <c r="B11" s="82"/>
      <c r="C11" s="108" t="s">
        <v>103</v>
      </c>
      <c r="D11" s="92">
        <v>295</v>
      </c>
      <c r="E11" s="105" t="s">
        <v>69</v>
      </c>
      <c r="F11" s="103" t="s">
        <v>66</v>
      </c>
      <c r="G11" s="83">
        <v>180</v>
      </c>
      <c r="H11" s="88">
        <v>211</v>
      </c>
      <c r="I11" s="106">
        <f t="shared" ref="I11:I18" si="0">G11*H11</f>
        <v>37980</v>
      </c>
    </row>
    <row r="12" spans="1:9" ht="51" customHeight="1" thickBot="1" x14ac:dyDescent="0.25">
      <c r="A12" s="81">
        <v>3</v>
      </c>
      <c r="B12" s="82"/>
      <c r="C12" s="108" t="s">
        <v>103</v>
      </c>
      <c r="D12" s="92">
        <v>295</v>
      </c>
      <c r="E12" s="105" t="s">
        <v>74</v>
      </c>
      <c r="F12" s="103" t="s">
        <v>67</v>
      </c>
      <c r="G12" s="83">
        <v>200</v>
      </c>
      <c r="H12" s="88">
        <v>1264</v>
      </c>
      <c r="I12" s="106">
        <f t="shared" si="0"/>
        <v>252800</v>
      </c>
    </row>
    <row r="13" spans="1:9" ht="51" customHeight="1" thickBot="1" x14ac:dyDescent="0.25">
      <c r="A13" s="81">
        <v>4</v>
      </c>
      <c r="B13" s="82"/>
      <c r="C13" s="108" t="s">
        <v>103</v>
      </c>
      <c r="D13" s="92">
        <v>295</v>
      </c>
      <c r="E13" s="105" t="s">
        <v>75</v>
      </c>
      <c r="F13" s="103" t="s">
        <v>67</v>
      </c>
      <c r="G13" s="83">
        <v>300</v>
      </c>
      <c r="H13" s="88">
        <v>1264</v>
      </c>
      <c r="I13" s="106">
        <f t="shared" si="0"/>
        <v>379200</v>
      </c>
    </row>
    <row r="14" spans="1:9" ht="51" customHeight="1" thickBot="1" x14ac:dyDescent="0.25">
      <c r="A14" s="81">
        <v>5</v>
      </c>
      <c r="B14" s="82"/>
      <c r="C14" s="108" t="s">
        <v>103</v>
      </c>
      <c r="D14" s="92">
        <v>295</v>
      </c>
      <c r="E14" s="105" t="s">
        <v>76</v>
      </c>
      <c r="F14" s="103" t="s">
        <v>67</v>
      </c>
      <c r="G14" s="83">
        <v>100</v>
      </c>
      <c r="H14" s="88">
        <v>1264</v>
      </c>
      <c r="I14" s="106">
        <f t="shared" si="0"/>
        <v>126400</v>
      </c>
    </row>
    <row r="15" spans="1:9" ht="51" customHeight="1" thickBot="1" x14ac:dyDescent="0.25">
      <c r="A15" s="81">
        <v>6</v>
      </c>
      <c r="B15" s="82"/>
      <c r="C15" s="108" t="s">
        <v>103</v>
      </c>
      <c r="D15" s="92">
        <v>295</v>
      </c>
      <c r="E15" s="107" t="s">
        <v>86</v>
      </c>
      <c r="F15" s="103" t="s">
        <v>66</v>
      </c>
      <c r="G15" s="83">
        <v>20</v>
      </c>
      <c r="H15" s="88">
        <v>1374</v>
      </c>
      <c r="I15" s="106">
        <f t="shared" si="0"/>
        <v>27480</v>
      </c>
    </row>
    <row r="16" spans="1:9" ht="51" customHeight="1" thickBot="1" x14ac:dyDescent="0.25">
      <c r="A16" s="81">
        <v>7</v>
      </c>
      <c r="B16" s="82"/>
      <c r="C16" s="108" t="s">
        <v>103</v>
      </c>
      <c r="D16" s="92">
        <v>295</v>
      </c>
      <c r="E16" s="107" t="s">
        <v>77</v>
      </c>
      <c r="F16" s="103" t="s">
        <v>68</v>
      </c>
      <c r="G16" s="83">
        <v>20</v>
      </c>
      <c r="H16" s="88">
        <v>1430</v>
      </c>
      <c r="I16" s="106">
        <f t="shared" si="0"/>
        <v>28600</v>
      </c>
    </row>
    <row r="17" spans="1:12" ht="51" customHeight="1" thickBot="1" x14ac:dyDescent="0.25">
      <c r="A17" s="81">
        <v>8</v>
      </c>
      <c r="B17" s="82"/>
      <c r="C17" s="108" t="s">
        <v>103</v>
      </c>
      <c r="D17" s="92">
        <v>295</v>
      </c>
      <c r="E17" s="107" t="s">
        <v>79</v>
      </c>
      <c r="F17" s="103" t="s">
        <v>68</v>
      </c>
      <c r="G17" s="83">
        <v>10</v>
      </c>
      <c r="H17" s="88">
        <v>2450</v>
      </c>
      <c r="I17" s="106">
        <f t="shared" si="0"/>
        <v>24500</v>
      </c>
    </row>
    <row r="18" spans="1:12" ht="51" customHeight="1" thickBot="1" x14ac:dyDescent="0.25">
      <c r="A18" s="81">
        <v>9</v>
      </c>
      <c r="B18" s="82"/>
      <c r="C18" s="108" t="s">
        <v>103</v>
      </c>
      <c r="D18" s="92">
        <v>295</v>
      </c>
      <c r="E18" s="105" t="s">
        <v>82</v>
      </c>
      <c r="F18" s="103" t="s">
        <v>66</v>
      </c>
      <c r="G18" s="83">
        <v>300</v>
      </c>
      <c r="H18" s="88">
        <v>472</v>
      </c>
      <c r="I18" s="106">
        <f t="shared" si="0"/>
        <v>141600</v>
      </c>
    </row>
    <row r="19" spans="1:12" s="60" customFormat="1" ht="43.5" customHeight="1" thickBot="1" x14ac:dyDescent="0.25">
      <c r="A19" s="85"/>
      <c r="B19" s="86"/>
      <c r="C19" s="79"/>
      <c r="D19" s="93"/>
      <c r="E19" s="91"/>
      <c r="F19" s="80"/>
      <c r="G19" s="87"/>
      <c r="H19" s="89"/>
      <c r="I19" s="95"/>
    </row>
    <row r="20" spans="1:12" ht="43.5" customHeight="1" thickBot="1" x14ac:dyDescent="0.3">
      <c r="A20" s="110"/>
      <c r="B20" s="111"/>
      <c r="C20" s="111"/>
      <c r="D20" s="112"/>
      <c r="E20" s="119" t="s">
        <v>52</v>
      </c>
      <c r="F20" s="120"/>
      <c r="G20" s="120"/>
      <c r="H20" s="121"/>
      <c r="I20" s="96">
        <f>SUM(I10:I19)</f>
        <v>2378560</v>
      </c>
    </row>
    <row r="21" spans="1:12" ht="18.75" thickBot="1" x14ac:dyDescent="0.3">
      <c r="E21" s="122" t="s">
        <v>53</v>
      </c>
      <c r="F21" s="122"/>
      <c r="G21" s="122"/>
      <c r="H21" s="122"/>
      <c r="I21" s="64">
        <f>+I20</f>
        <v>2378560</v>
      </c>
    </row>
    <row r="22" spans="1:12" ht="27" customHeight="1" thickTop="1" thickBot="1" x14ac:dyDescent="0.25"/>
    <row r="23" spans="1:12" ht="24" x14ac:dyDescent="0.2">
      <c r="B23" s="66" t="s">
        <v>99</v>
      </c>
      <c r="C23" s="67"/>
      <c r="D23" s="68"/>
      <c r="E23" s="69"/>
    </row>
    <row r="24" spans="1:12" ht="24.75" customHeight="1" x14ac:dyDescent="0.2">
      <c r="B24" s="70"/>
      <c r="C24" s="71"/>
      <c r="D24" s="104"/>
      <c r="E24" s="72"/>
    </row>
    <row r="25" spans="1:12" ht="24.75" customHeight="1" x14ac:dyDescent="0.2">
      <c r="B25" s="73" t="s">
        <v>54</v>
      </c>
      <c r="C25" s="123"/>
      <c r="D25" s="123"/>
      <c r="E25" s="124"/>
    </row>
    <row r="26" spans="1:12" ht="24.75" customHeight="1" x14ac:dyDescent="0.2">
      <c r="B26" s="73"/>
      <c r="C26" s="109"/>
      <c r="D26" s="109"/>
      <c r="E26" s="109"/>
    </row>
    <row r="27" spans="1:12" ht="24.75" customHeight="1" x14ac:dyDescent="0.2">
      <c r="B27" s="73" t="s">
        <v>55</v>
      </c>
      <c r="C27" s="127" t="s">
        <v>87</v>
      </c>
      <c r="D27" s="127"/>
      <c r="E27" s="128"/>
    </row>
    <row r="28" spans="1:12" ht="24.75" customHeight="1" x14ac:dyDescent="0.2">
      <c r="B28" s="73"/>
      <c r="C28" s="127" t="s">
        <v>88</v>
      </c>
      <c r="D28" s="127"/>
      <c r="E28" s="128"/>
    </row>
    <row r="29" spans="1:12" ht="24.75" customHeight="1" x14ac:dyDescent="0.2">
      <c r="B29" s="73"/>
      <c r="C29" s="127" t="s">
        <v>56</v>
      </c>
      <c r="D29" s="127"/>
      <c r="E29" s="128"/>
    </row>
    <row r="30" spans="1:12" s="77" customFormat="1" ht="24.75" customHeight="1" x14ac:dyDescent="0.2">
      <c r="A30" s="50"/>
      <c r="B30" s="70"/>
      <c r="C30" s="129" t="s">
        <v>89</v>
      </c>
      <c r="D30" s="129"/>
      <c r="E30" s="130"/>
      <c r="F30" s="63"/>
      <c r="G30" s="65"/>
      <c r="H30" s="54"/>
      <c r="I30" s="51"/>
      <c r="J30" s="74"/>
      <c r="K30" s="75"/>
      <c r="L30" s="76"/>
    </row>
    <row r="31" spans="1:12" ht="24.75" customHeight="1" x14ac:dyDescent="0.2">
      <c r="B31" s="70"/>
      <c r="C31" s="131"/>
      <c r="D31" s="131"/>
      <c r="E31" s="131"/>
      <c r="J31" s="74"/>
      <c r="K31" s="75"/>
      <c r="L31" s="76"/>
    </row>
    <row r="32" spans="1:12" ht="24.75" customHeight="1" x14ac:dyDescent="0.2">
      <c r="B32" s="73" t="s">
        <v>57</v>
      </c>
      <c r="C32" s="132"/>
      <c r="D32" s="132"/>
      <c r="E32" s="131"/>
      <c r="J32" s="74"/>
      <c r="K32" s="75"/>
      <c r="L32" s="76"/>
    </row>
    <row r="33" spans="2:12" ht="24.75" customHeight="1" x14ac:dyDescent="0.2">
      <c r="B33" s="70"/>
      <c r="C33" s="109"/>
      <c r="D33" s="109"/>
      <c r="E33" s="109"/>
      <c r="J33" s="74"/>
      <c r="K33" s="75"/>
      <c r="L33" s="76"/>
    </row>
    <row r="34" spans="2:12" ht="24.75" customHeight="1" x14ac:dyDescent="0.2">
      <c r="B34" s="73" t="s">
        <v>58</v>
      </c>
      <c r="C34" s="133" t="s">
        <v>90</v>
      </c>
      <c r="D34" s="133"/>
      <c r="E34" s="134"/>
      <c r="J34" s="74"/>
      <c r="K34" s="75"/>
      <c r="L34" s="76"/>
    </row>
    <row r="35" spans="2:12" ht="24.75" customHeight="1" x14ac:dyDescent="0.2">
      <c r="B35" s="70"/>
      <c r="C35" s="109"/>
      <c r="D35" s="109"/>
      <c r="E35" s="109"/>
    </row>
    <row r="36" spans="2:12" ht="24.75" customHeight="1" x14ac:dyDescent="0.2">
      <c r="B36" s="73" t="s">
        <v>59</v>
      </c>
      <c r="C36" s="135" t="s">
        <v>91</v>
      </c>
      <c r="D36" s="135"/>
      <c r="E36" s="128"/>
    </row>
    <row r="37" spans="2:12" ht="24.75" customHeight="1" x14ac:dyDescent="0.2">
      <c r="B37" s="73"/>
      <c r="C37" s="131"/>
      <c r="D37" s="131"/>
      <c r="E37" s="131"/>
    </row>
    <row r="38" spans="2:12" ht="24.75" customHeight="1" thickBot="1" x14ac:dyDescent="0.25">
      <c r="B38" s="78"/>
      <c r="C38" s="125"/>
      <c r="D38" s="125"/>
      <c r="E38" s="126"/>
    </row>
    <row r="39" spans="2:12" x14ac:dyDescent="0.2">
      <c r="J39" s="74"/>
      <c r="K39" s="75"/>
      <c r="L39" s="76"/>
    </row>
  </sheetData>
  <mergeCells count="26">
    <mergeCell ref="C38:E3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26:E26"/>
    <mergeCell ref="A20:D20"/>
    <mergeCell ref="B2:H2"/>
    <mergeCell ref="A3:B3"/>
    <mergeCell ref="C3:E3"/>
    <mergeCell ref="A4:B4"/>
    <mergeCell ref="C4:E4"/>
    <mergeCell ref="A5:B5"/>
    <mergeCell ref="C5:E5"/>
    <mergeCell ref="A6:B6"/>
    <mergeCell ref="A7:B7"/>
    <mergeCell ref="E20:H20"/>
    <mergeCell ref="E21:H21"/>
    <mergeCell ref="C25:E25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"/>
  <sheetViews>
    <sheetView topLeftCell="A13" zoomScale="115" zoomScaleNormal="115" workbookViewId="0">
      <selection activeCell="G25" sqref="G25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2" t="s">
        <v>1</v>
      </c>
      <c r="K1" s="3" t="s">
        <v>65</v>
      </c>
    </row>
    <row r="2" spans="1:11" ht="18.75" customHeight="1" x14ac:dyDescent="0.2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x14ac:dyDescent="0.2">
      <c r="A3" s="137" t="s">
        <v>2</v>
      </c>
      <c r="B3" s="137"/>
      <c r="C3" s="137"/>
      <c r="D3" s="138" t="s">
        <v>60</v>
      </c>
      <c r="E3" s="138"/>
      <c r="F3" s="138"/>
      <c r="G3" s="138"/>
      <c r="H3" s="138"/>
      <c r="I3" s="138"/>
      <c r="J3" s="138"/>
      <c r="K3" s="138"/>
    </row>
    <row r="4" spans="1:11" ht="18.75" customHeight="1" thickBot="1" x14ac:dyDescent="0.25">
      <c r="A4" s="139" t="s">
        <v>3</v>
      </c>
      <c r="B4" s="139"/>
      <c r="C4" s="139"/>
      <c r="D4" s="138" t="s">
        <v>61</v>
      </c>
      <c r="E4" s="138"/>
      <c r="F4" s="138"/>
      <c r="G4" s="138"/>
      <c r="H4" s="138"/>
      <c r="I4" s="138"/>
      <c r="J4" s="138"/>
      <c r="K4" s="138"/>
    </row>
    <row r="5" spans="1:11" ht="18.75" customHeight="1" thickBot="1" x14ac:dyDescent="0.25">
      <c r="A5" s="139" t="s">
        <v>4</v>
      </c>
      <c r="B5" s="139"/>
      <c r="C5" s="139"/>
      <c r="D5" s="138" t="s">
        <v>62</v>
      </c>
      <c r="E5" s="138"/>
      <c r="F5" s="138"/>
      <c r="G5" s="138"/>
      <c r="H5" s="138"/>
      <c r="I5" s="138"/>
      <c r="J5" s="138"/>
      <c r="K5" s="138"/>
    </row>
    <row r="6" spans="1:11" ht="16.5" customHeight="1" thickBot="1" x14ac:dyDescent="0.25">
      <c r="A6" s="137" t="s">
        <v>5</v>
      </c>
      <c r="B6" s="137"/>
      <c r="C6" s="137"/>
      <c r="D6" s="138" t="s">
        <v>62</v>
      </c>
      <c r="E6" s="138"/>
      <c r="F6" s="138"/>
      <c r="G6" s="138"/>
      <c r="H6" s="138"/>
      <c r="I6" s="138"/>
      <c r="J6" s="138"/>
      <c r="K6" s="138"/>
    </row>
    <row r="7" spans="1:11" ht="16.5" customHeight="1" thickBot="1" x14ac:dyDescent="0.25">
      <c r="A7" s="139" t="s">
        <v>6</v>
      </c>
      <c r="B7" s="139"/>
      <c r="C7" s="139"/>
      <c r="D7" s="138" t="s">
        <v>63</v>
      </c>
      <c r="E7" s="138"/>
      <c r="F7" s="138"/>
      <c r="G7" s="138"/>
      <c r="H7" s="138"/>
      <c r="I7" s="138"/>
      <c r="J7" s="138"/>
      <c r="K7" s="138"/>
    </row>
    <row r="8" spans="1:11" ht="16.5" customHeight="1" thickBot="1" x14ac:dyDescent="0.25">
      <c r="A8" s="140" t="s">
        <v>7</v>
      </c>
      <c r="B8" s="140"/>
      <c r="C8" s="140"/>
      <c r="D8" s="141" t="s">
        <v>64</v>
      </c>
      <c r="E8" s="141"/>
      <c r="F8" s="141"/>
      <c r="G8" s="141"/>
      <c r="H8" s="141"/>
      <c r="I8" s="141"/>
      <c r="J8" s="141"/>
      <c r="K8" s="141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x14ac:dyDescent="0.2">
      <c r="A10" s="142" t="s">
        <v>8</v>
      </c>
      <c r="B10" s="143" t="s">
        <v>9</v>
      </c>
      <c r="C10" s="143" t="s">
        <v>10</v>
      </c>
      <c r="D10" s="143"/>
      <c r="E10" s="143"/>
      <c r="F10" s="143"/>
      <c r="G10" s="143"/>
      <c r="H10" s="143" t="s">
        <v>11</v>
      </c>
      <c r="I10" s="143" t="s">
        <v>12</v>
      </c>
      <c r="J10" s="143" t="s">
        <v>13</v>
      </c>
      <c r="K10" s="144" t="s">
        <v>14</v>
      </c>
    </row>
    <row r="11" spans="1:11" ht="24" customHeight="1" x14ac:dyDescent="0.2">
      <c r="A11" s="142"/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pans="1:11" ht="36.75" customHeight="1" x14ac:dyDescent="0.2">
      <c r="A12" s="97">
        <v>1</v>
      </c>
      <c r="B12" s="98"/>
      <c r="C12" s="147" t="s">
        <v>84</v>
      </c>
      <c r="D12" s="148"/>
      <c r="E12" s="148"/>
      <c r="F12" s="148"/>
      <c r="G12" s="149"/>
      <c r="H12" s="99" t="s">
        <v>92</v>
      </c>
      <c r="I12" s="100" t="s">
        <v>66</v>
      </c>
      <c r="J12" s="101">
        <v>136</v>
      </c>
      <c r="K12" s="102">
        <v>10000</v>
      </c>
    </row>
    <row r="13" spans="1:11" ht="36.75" customHeight="1" x14ac:dyDescent="0.2">
      <c r="A13" s="97">
        <v>2</v>
      </c>
      <c r="B13" s="98"/>
      <c r="C13" s="150" t="s">
        <v>70</v>
      </c>
      <c r="D13" s="151"/>
      <c r="E13" s="151"/>
      <c r="F13" s="151"/>
      <c r="G13" s="152"/>
      <c r="H13" s="99" t="s">
        <v>92</v>
      </c>
      <c r="I13" s="100" t="s">
        <v>66</v>
      </c>
      <c r="J13" s="101">
        <v>211</v>
      </c>
      <c r="K13" s="100">
        <v>180</v>
      </c>
    </row>
    <row r="14" spans="1:11" ht="36.75" customHeight="1" x14ac:dyDescent="0.2">
      <c r="A14" s="97">
        <v>3</v>
      </c>
      <c r="B14" s="98"/>
      <c r="C14" s="150" t="s">
        <v>71</v>
      </c>
      <c r="D14" s="151"/>
      <c r="E14" s="151"/>
      <c r="F14" s="151"/>
      <c r="G14" s="152"/>
      <c r="H14" s="99" t="s">
        <v>92</v>
      </c>
      <c r="I14" s="100" t="s">
        <v>67</v>
      </c>
      <c r="J14" s="101">
        <v>1264</v>
      </c>
      <c r="K14" s="100">
        <v>200</v>
      </c>
    </row>
    <row r="15" spans="1:11" ht="36.75" customHeight="1" x14ac:dyDescent="0.2">
      <c r="A15" s="97">
        <v>4</v>
      </c>
      <c r="B15" s="98"/>
      <c r="C15" s="150" t="s">
        <v>72</v>
      </c>
      <c r="D15" s="151"/>
      <c r="E15" s="151"/>
      <c r="F15" s="151"/>
      <c r="G15" s="152"/>
      <c r="H15" s="99" t="s">
        <v>92</v>
      </c>
      <c r="I15" s="100" t="s">
        <v>67</v>
      </c>
      <c r="J15" s="101">
        <v>1264</v>
      </c>
      <c r="K15" s="100">
        <v>300</v>
      </c>
    </row>
    <row r="16" spans="1:11" ht="36.75" customHeight="1" x14ac:dyDescent="0.2">
      <c r="A16" s="97">
        <v>5</v>
      </c>
      <c r="B16" s="98"/>
      <c r="C16" s="153" t="s">
        <v>73</v>
      </c>
      <c r="D16" s="154"/>
      <c r="E16" s="154"/>
      <c r="F16" s="154"/>
      <c r="G16" s="155"/>
      <c r="H16" s="99" t="s">
        <v>92</v>
      </c>
      <c r="I16" s="100" t="s">
        <v>67</v>
      </c>
      <c r="J16" s="101">
        <v>1264</v>
      </c>
      <c r="K16" s="100">
        <v>100</v>
      </c>
    </row>
    <row r="17" spans="1:11" ht="36.75" customHeight="1" x14ac:dyDescent="0.2">
      <c r="A17" s="97">
        <v>6</v>
      </c>
      <c r="B17" s="98"/>
      <c r="C17" s="150" t="s">
        <v>85</v>
      </c>
      <c r="D17" s="151"/>
      <c r="E17" s="151"/>
      <c r="F17" s="151"/>
      <c r="G17" s="152"/>
      <c r="H17" s="99" t="s">
        <v>92</v>
      </c>
      <c r="I17" s="100" t="s">
        <v>66</v>
      </c>
      <c r="J17" s="101">
        <v>1374</v>
      </c>
      <c r="K17" s="100">
        <v>20</v>
      </c>
    </row>
    <row r="18" spans="1:11" ht="36.75" customHeight="1" x14ac:dyDescent="0.2">
      <c r="A18" s="97">
        <v>7</v>
      </c>
      <c r="B18" s="98"/>
      <c r="C18" s="150" t="s">
        <v>78</v>
      </c>
      <c r="D18" s="151"/>
      <c r="E18" s="151"/>
      <c r="F18" s="151"/>
      <c r="G18" s="152"/>
      <c r="H18" s="99" t="s">
        <v>92</v>
      </c>
      <c r="I18" s="100" t="s">
        <v>68</v>
      </c>
      <c r="J18" s="101">
        <v>1430</v>
      </c>
      <c r="K18" s="100">
        <v>20</v>
      </c>
    </row>
    <row r="19" spans="1:11" ht="36.75" customHeight="1" x14ac:dyDescent="0.2">
      <c r="A19" s="97">
        <v>8</v>
      </c>
      <c r="B19" s="98"/>
      <c r="C19" s="150" t="s">
        <v>80</v>
      </c>
      <c r="D19" s="151"/>
      <c r="E19" s="151"/>
      <c r="F19" s="151"/>
      <c r="G19" s="152"/>
      <c r="H19" s="99" t="s">
        <v>92</v>
      </c>
      <c r="I19" s="100" t="s">
        <v>68</v>
      </c>
      <c r="J19" s="101">
        <v>2450</v>
      </c>
      <c r="K19" s="100">
        <v>10</v>
      </c>
    </row>
    <row r="20" spans="1:11" ht="36.75" customHeight="1" x14ac:dyDescent="0.2">
      <c r="A20" s="97">
        <v>9</v>
      </c>
      <c r="B20" s="98"/>
      <c r="C20" s="150" t="s">
        <v>81</v>
      </c>
      <c r="D20" s="151"/>
      <c r="E20" s="151"/>
      <c r="F20" s="151"/>
      <c r="G20" s="152"/>
      <c r="H20" s="99" t="s">
        <v>92</v>
      </c>
      <c r="I20" s="100" t="s">
        <v>66</v>
      </c>
      <c r="J20" s="101">
        <v>472</v>
      </c>
      <c r="K20" s="100">
        <v>300</v>
      </c>
    </row>
    <row r="21" spans="1:11" ht="25.5" customHeight="1" thickBot="1" x14ac:dyDescent="0.25">
      <c r="A21" s="145" t="s">
        <v>100</v>
      </c>
      <c r="B21" s="145"/>
      <c r="C21" s="145"/>
      <c r="D21" s="145"/>
      <c r="E21" s="145"/>
      <c r="F21" s="145"/>
      <c r="G21" s="145"/>
      <c r="H21" s="145"/>
      <c r="I21" s="145"/>
      <c r="J21" s="146">
        <v>2378560</v>
      </c>
      <c r="K21" s="146"/>
    </row>
  </sheetData>
  <mergeCells count="31">
    <mergeCell ref="A21:I21"/>
    <mergeCell ref="J21:K2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opLeftCell="A4" zoomScale="130" zoomScaleNormal="130" workbookViewId="0">
      <selection activeCell="A39" sqref="A39:Q41"/>
    </sheetView>
  </sheetViews>
  <sheetFormatPr baseColWidth="10" defaultColWidth="11" defaultRowHeight="12.75" x14ac:dyDescent="0.2"/>
  <cols>
    <col min="1" max="2" width="4.42578125" customWidth="1"/>
    <col min="3" max="3" width="6.7109375" customWidth="1"/>
    <col min="4" max="4" width="4.42578125" customWidth="1"/>
    <col min="5" max="5" width="3.7109375" customWidth="1"/>
    <col min="6" max="6" width="5.7109375" customWidth="1"/>
    <col min="7" max="7" width="4.42578125" style="12" customWidth="1"/>
    <col min="8" max="11" width="4.42578125" customWidth="1"/>
    <col min="12" max="12" width="4.85546875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6" t="s">
        <v>98</v>
      </c>
      <c r="B1" s="156"/>
      <c r="C1" s="156"/>
      <c r="D1" s="157"/>
      <c r="E1" s="157"/>
      <c r="F1" s="13"/>
      <c r="G1" s="13"/>
      <c r="H1" s="14"/>
      <c r="I1" s="14"/>
      <c r="J1" s="14"/>
      <c r="K1" s="14"/>
      <c r="L1" s="14"/>
      <c r="M1" s="14"/>
      <c r="N1" s="14"/>
      <c r="O1" s="15"/>
      <c r="P1" s="158" t="s">
        <v>16</v>
      </c>
      <c r="Q1" s="158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58"/>
      <c r="Q2" s="158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x14ac:dyDescent="0.2">
      <c r="A4" s="159" t="s">
        <v>17</v>
      </c>
      <c r="B4" s="159"/>
      <c r="C4" s="159"/>
      <c r="D4" s="159"/>
      <c r="E4" s="159"/>
      <c r="F4" s="159"/>
      <c r="G4" s="160" t="s">
        <v>93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21" customFormat="1" ht="18" customHeight="1" x14ac:dyDescent="0.2">
      <c r="A5" s="161" t="s">
        <v>3</v>
      </c>
      <c r="B5" s="161"/>
      <c r="C5" s="161"/>
      <c r="D5" s="161"/>
      <c r="E5" s="161"/>
      <c r="F5" s="161"/>
      <c r="G5" s="160" t="s">
        <v>94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21" customFormat="1" ht="18" customHeight="1" x14ac:dyDescent="0.2">
      <c r="A6" s="161" t="s">
        <v>4</v>
      </c>
      <c r="B6" s="161"/>
      <c r="C6" s="161"/>
      <c r="D6" s="161"/>
      <c r="E6" s="161"/>
      <c r="F6" s="161"/>
      <c r="G6" s="160" t="s">
        <v>88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21" customFormat="1" ht="18" customHeight="1" x14ac:dyDescent="0.2">
      <c r="A7" s="161" t="s">
        <v>5</v>
      </c>
      <c r="B7" s="161"/>
      <c r="C7" s="161"/>
      <c r="D7" s="161"/>
      <c r="E7" s="161"/>
      <c r="F7" s="161"/>
      <c r="G7" s="160" t="s">
        <v>88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x14ac:dyDescent="0.2">
      <c r="A8" s="167" t="s">
        <v>18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19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66" customHeight="1" x14ac:dyDescent="0.2">
      <c r="A10" s="169" t="s">
        <v>95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70" t="s">
        <v>20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21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22</v>
      </c>
      <c r="P13" s="172"/>
      <c r="Q13" s="173" t="s">
        <v>23</v>
      </c>
    </row>
    <row r="14" spans="1:17" ht="15.75" customHeight="1" x14ac:dyDescent="0.2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72"/>
      <c r="P14" s="172"/>
      <c r="Q14" s="173"/>
    </row>
    <row r="15" spans="1:17" ht="36" customHeight="1" x14ac:dyDescent="0.2">
      <c r="A15" s="31">
        <v>21</v>
      </c>
      <c r="B15" s="32"/>
      <c r="C15" s="32"/>
      <c r="D15" s="32">
        <v>3</v>
      </c>
      <c r="E15" s="32"/>
      <c r="F15" s="32">
        <v>4901</v>
      </c>
      <c r="G15" s="32">
        <v>3</v>
      </c>
      <c r="H15" s="32">
        <v>1</v>
      </c>
      <c r="I15" s="32">
        <v>2</v>
      </c>
      <c r="J15" s="32">
        <v>9</v>
      </c>
      <c r="K15" s="32">
        <v>5</v>
      </c>
      <c r="L15" s="32"/>
      <c r="M15" s="33">
        <v>1</v>
      </c>
      <c r="N15" s="32" t="s">
        <v>96</v>
      </c>
      <c r="O15" s="162" t="s">
        <v>97</v>
      </c>
      <c r="P15" s="163"/>
      <c r="Q15" s="34">
        <v>2378560</v>
      </c>
    </row>
    <row r="16" spans="1:17" ht="17.25" customHeight="1" x14ac:dyDescent="0.2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7"/>
      <c r="N16" s="38"/>
      <c r="O16" s="164"/>
      <c r="P16" s="164"/>
      <c r="Q16" s="39"/>
    </row>
    <row r="17" spans="1:17" ht="17.25" customHeight="1" x14ac:dyDescent="0.2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38"/>
      <c r="O17" s="165"/>
      <c r="P17" s="165"/>
      <c r="Q17" s="39"/>
    </row>
    <row r="18" spans="1:17" ht="17.25" customHeight="1" x14ac:dyDescent="0.2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38"/>
      <c r="O18" s="166"/>
      <c r="P18" s="166"/>
      <c r="Q18" s="39"/>
    </row>
    <row r="19" spans="1:17" ht="17.25" customHeight="1" x14ac:dyDescent="0.2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  <c r="N19" s="38"/>
      <c r="O19" s="166"/>
      <c r="P19" s="166"/>
      <c r="Q19" s="39"/>
    </row>
    <row r="20" spans="1:17" ht="17.25" customHeigh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38"/>
      <c r="O20" s="166"/>
      <c r="P20" s="166"/>
      <c r="Q20" s="39"/>
    </row>
    <row r="21" spans="1:17" ht="17.25" customHeight="1" x14ac:dyDescent="0.2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38"/>
      <c r="O21" s="166"/>
      <c r="P21" s="166"/>
      <c r="Q21" s="39"/>
    </row>
    <row r="22" spans="1:17" ht="17.2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8"/>
      <c r="O22" s="166"/>
      <c r="P22" s="166"/>
      <c r="Q22" s="39"/>
    </row>
    <row r="23" spans="1:17" ht="17.25" customHeight="1" x14ac:dyDescent="0.2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38"/>
      <c r="O23" s="166"/>
      <c r="P23" s="166"/>
      <c r="Q23" s="39"/>
    </row>
    <row r="24" spans="1:17" ht="17.25" customHeight="1" x14ac:dyDescent="0.2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  <c r="N24" s="38"/>
      <c r="O24" s="166"/>
      <c r="P24" s="166"/>
      <c r="Q24" s="39"/>
    </row>
    <row r="25" spans="1:17" ht="17.25" customHeight="1" x14ac:dyDescent="0.2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  <c r="N25" s="38"/>
      <c r="O25" s="166"/>
      <c r="P25" s="166"/>
      <c r="Q25" s="39"/>
    </row>
    <row r="26" spans="1:17" ht="17.25" customHeight="1" x14ac:dyDescent="0.2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8"/>
      <c r="O26" s="166"/>
      <c r="P26" s="166"/>
      <c r="Q26" s="39"/>
    </row>
    <row r="27" spans="1:17" ht="17.25" customHeight="1" x14ac:dyDescent="0.2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8"/>
      <c r="O27" s="166"/>
      <c r="P27" s="166"/>
      <c r="Q27" s="39"/>
    </row>
    <row r="28" spans="1:17" ht="17.25" customHeight="1" x14ac:dyDescent="0.2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38"/>
      <c r="O28" s="166"/>
      <c r="P28" s="166"/>
      <c r="Q28" s="39"/>
    </row>
    <row r="29" spans="1:17" ht="17.25" customHeight="1" x14ac:dyDescent="0.2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8"/>
      <c r="O29" s="166"/>
      <c r="P29" s="166"/>
      <c r="Q29" s="39"/>
    </row>
    <row r="30" spans="1:17" ht="17.25" customHeight="1" x14ac:dyDescent="0.2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38"/>
      <c r="O30" s="166"/>
      <c r="P30" s="166"/>
      <c r="Q30" s="39"/>
    </row>
    <row r="31" spans="1:17" ht="17.25" customHeight="1" x14ac:dyDescent="0.2">
      <c r="A31" s="35"/>
      <c r="B31" s="36"/>
      <c r="C31" s="36"/>
      <c r="D31" s="36"/>
      <c r="E31" s="36"/>
      <c r="F31" s="38"/>
      <c r="G31" s="36"/>
      <c r="H31" s="36"/>
      <c r="I31" s="36"/>
      <c r="J31" s="36"/>
      <c r="K31" s="36"/>
      <c r="L31" s="36"/>
      <c r="M31" s="37"/>
      <c r="N31" s="38"/>
      <c r="O31" s="164"/>
      <c r="P31" s="164"/>
      <c r="Q31" s="39"/>
    </row>
    <row r="32" spans="1:17" ht="17.25" customHeight="1" x14ac:dyDescent="0.2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8"/>
      <c r="O32" s="164"/>
      <c r="P32" s="164"/>
      <c r="Q32" s="39"/>
    </row>
    <row r="33" spans="1:18" ht="17.25" customHeight="1" x14ac:dyDescent="0.2">
      <c r="A33" s="35"/>
      <c r="B33" s="36"/>
      <c r="C33" s="36"/>
      <c r="D33" s="36"/>
      <c r="E33" s="36"/>
      <c r="F33" s="38"/>
      <c r="G33" s="36"/>
      <c r="H33" s="36"/>
      <c r="I33" s="36"/>
      <c r="J33" s="36"/>
      <c r="K33" s="36"/>
      <c r="L33" s="36"/>
      <c r="M33" s="37"/>
      <c r="N33" s="38"/>
      <c r="O33" s="164"/>
      <c r="P33" s="164"/>
      <c r="Q33" s="39"/>
    </row>
    <row r="34" spans="1:18" ht="17.25" customHeight="1" x14ac:dyDescent="0.2">
      <c r="A34" s="35"/>
      <c r="B34" s="36"/>
      <c r="C34" s="36"/>
      <c r="D34" s="36"/>
      <c r="E34" s="36"/>
      <c r="F34" s="38"/>
      <c r="G34" s="36"/>
      <c r="H34" s="36"/>
      <c r="I34" s="36"/>
      <c r="J34" s="36"/>
      <c r="K34" s="36"/>
      <c r="L34" s="36"/>
      <c r="M34" s="37"/>
      <c r="N34" s="38"/>
      <c r="O34" s="164"/>
      <c r="P34" s="164"/>
      <c r="Q34" s="39"/>
    </row>
    <row r="35" spans="1:18" ht="17.25" customHeight="1" x14ac:dyDescent="0.2">
      <c r="A35" s="40"/>
      <c r="B35" s="41"/>
      <c r="C35" s="41"/>
      <c r="D35" s="41"/>
      <c r="E35" s="41"/>
      <c r="F35" s="42"/>
      <c r="G35" s="41"/>
      <c r="H35" s="41"/>
      <c r="I35" s="41"/>
      <c r="J35" s="41"/>
      <c r="K35" s="41"/>
      <c r="L35" s="41"/>
      <c r="M35" s="43"/>
      <c r="N35" s="44"/>
      <c r="O35" s="182"/>
      <c r="P35" s="182"/>
      <c r="Q35" s="39"/>
      <c r="R35" s="17"/>
    </row>
    <row r="36" spans="1:18" ht="17.25" customHeight="1" x14ac:dyDescent="0.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7"/>
      <c r="N36" s="46"/>
      <c r="O36" s="183"/>
      <c r="P36" s="183"/>
      <c r="Q36" s="48"/>
    </row>
    <row r="37" spans="1:18" ht="33" customHeight="1" x14ac:dyDescent="0.2">
      <c r="A37" s="184" t="s">
        <v>101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49">
        <f>SUM(Q15:Q36)</f>
        <v>2378560</v>
      </c>
    </row>
    <row r="38" spans="1:18" ht="18" customHeight="1" x14ac:dyDescent="0.2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</row>
    <row r="39" spans="1:18" ht="17.25" customHeight="1" x14ac:dyDescent="0.2">
      <c r="A39" s="174" t="s">
        <v>102</v>
      </c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7"/>
    </row>
    <row r="40" spans="1:18" ht="18" customHeight="1" x14ac:dyDescent="0.2">
      <c r="A40" s="178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7"/>
    </row>
    <row r="41" spans="1:18" ht="63.75" customHeight="1" thickBot="1" x14ac:dyDescent="0.25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1"/>
    </row>
  </sheetData>
  <mergeCells count="43">
    <mergeCell ref="A39:Q41"/>
    <mergeCell ref="O34:P34"/>
    <mergeCell ref="O35:P35"/>
    <mergeCell ref="O36:P36"/>
    <mergeCell ref="A37:P37"/>
    <mergeCell ref="A38:Q38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O15:P15"/>
    <mergeCell ref="O16:P16"/>
    <mergeCell ref="O17:P17"/>
    <mergeCell ref="O18:P18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 de Windows</cp:lastModifiedBy>
  <cp:revision>3</cp:revision>
  <cp:lastPrinted>2020-12-02T16:55:29Z</cp:lastPrinted>
  <dcterms:created xsi:type="dcterms:W3CDTF">2020-07-17T23:44:49Z</dcterms:created>
  <dcterms:modified xsi:type="dcterms:W3CDTF">2020-12-02T16:55:34Z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