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Trimestrales'!$A$9:$I$79</definedName>
    <definedName name="_xlnm.Print_Area" localSheetId="1">' NotaPedido'!$A$1:$K$86</definedName>
    <definedName name="_xlnm.Print_Area" localSheetId="2">'Autor Gastar'!$A$1:$Q$25</definedName>
    <definedName name="_xlnm.Print_Area" localSheetId="0">'Necesidades Trimestrales'!$E$9:$E$79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86" i="2" l="1"/>
  <c r="K82" i="2"/>
  <c r="K83" i="2"/>
  <c r="K84" i="2"/>
  <c r="K85" i="2"/>
  <c r="J82" i="2"/>
  <c r="J83" i="2"/>
  <c r="J84" i="2"/>
  <c r="J85" i="2"/>
  <c r="I82" i="2"/>
  <c r="I83" i="2"/>
  <c r="I84" i="2"/>
  <c r="I85" i="2"/>
  <c r="C82" i="2"/>
  <c r="C83" i="2"/>
  <c r="C84" i="2"/>
  <c r="C85" i="2"/>
  <c r="I80" i="1"/>
  <c r="I81" i="1"/>
  <c r="I82" i="1"/>
  <c r="I83" i="1"/>
  <c r="H65" i="1"/>
  <c r="H55" i="1"/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K26" i="2" l="1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30" i="1" l="1"/>
  <c r="I31" i="1"/>
  <c r="K21" i="2" l="1"/>
  <c r="K22" i="2"/>
  <c r="K23" i="2"/>
  <c r="K24" i="2"/>
  <c r="K25" i="2"/>
  <c r="J21" i="2"/>
  <c r="J22" i="2"/>
  <c r="J23" i="2"/>
  <c r="J24" i="2"/>
  <c r="J25" i="2"/>
  <c r="J26" i="2"/>
  <c r="J27" i="2"/>
  <c r="J28" i="2"/>
  <c r="J29" i="2"/>
  <c r="J30" i="2"/>
  <c r="I21" i="2"/>
  <c r="I22" i="2"/>
  <c r="I23" i="2"/>
  <c r="I24" i="2"/>
  <c r="I25" i="2"/>
  <c r="I26" i="2"/>
  <c r="I27" i="2"/>
  <c r="I28" i="2"/>
  <c r="I29" i="2"/>
  <c r="I19" i="1"/>
  <c r="I20" i="1"/>
  <c r="I21" i="1"/>
  <c r="I22" i="1"/>
  <c r="I23" i="1"/>
  <c r="I24" i="1"/>
  <c r="I25" i="1"/>
  <c r="I26" i="1"/>
  <c r="I27" i="1"/>
  <c r="I28" i="1"/>
  <c r="I29" i="1"/>
  <c r="I12" i="2" l="1"/>
  <c r="I13" i="2"/>
  <c r="I14" i="2"/>
  <c r="I15" i="2"/>
  <c r="I16" i="2"/>
  <c r="I17" i="2"/>
  <c r="I18" i="2"/>
  <c r="I19" i="2"/>
  <c r="I20" i="2"/>
  <c r="K12" i="2"/>
  <c r="K13" i="2"/>
  <c r="K14" i="2"/>
  <c r="K15" i="2"/>
  <c r="K16" i="2"/>
  <c r="K17" i="2"/>
  <c r="K18" i="2"/>
  <c r="K19" i="2"/>
  <c r="K20" i="2"/>
  <c r="J12" i="2"/>
  <c r="J13" i="2"/>
  <c r="J14" i="2"/>
  <c r="J15" i="2"/>
  <c r="J16" i="2"/>
  <c r="J17" i="2"/>
  <c r="J18" i="2"/>
  <c r="J19" i="2"/>
  <c r="J20" i="2"/>
  <c r="I10" i="1"/>
  <c r="I11" i="1"/>
  <c r="I12" i="1"/>
  <c r="I13" i="1"/>
  <c r="I14" i="1"/>
  <c r="I15" i="1"/>
  <c r="I16" i="1"/>
  <c r="I17" i="1"/>
  <c r="I18" i="1"/>
  <c r="A10" i="3" l="1"/>
  <c r="G6" i="3" l="1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<sst xmlns="http://schemas.openxmlformats.org/spreadsheetml/2006/main" count="381" uniqueCount="155">
  <si>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</si>
  <si>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</si>
  <si>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</si>
  <si>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</si>
  <si>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</si>
  <si>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</si>
  <si>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</si>
  <si>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</si>
  <si>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</si>
  <si>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</si>
  <si>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</si>
  <si>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</si>
  <si>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</si>
  <si>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</si>
  <si>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</si>
  <si>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</si>
  <si>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</si>
  <si>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</si>
  <si>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</si>
  <si>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</si>
  <si>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</si>
  <si>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</si>
  <si>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</si>
  <si>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</si>
  <si>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</si>
  <si>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</si>
  <si>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</si>
  <si>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</si>
  <si>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</si>
  <si>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</si>
  <si>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</si>
  <si>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</si>
  <si>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</si>
  <si>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</si>
  <si>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</si>
  <si>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</si>
  <si>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</si>
  <si>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</si>
  <si>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</si>
  <si>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</si>
  <si>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</si>
  <si>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</si>
  <si>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</si>
  <si>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</si>
  <si>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</si>
  <si>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</si>
  <si>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</si>
  <si>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</si>
  <si>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</si>
  <si>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</si>
  <si>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</si>
  <si>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</si>
  <si>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</si>
  <si>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</si>
  <si>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</si>
  <si>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</si>
  <si>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Servicio de Farmacia</t>
  </si>
  <si>
    <t>PROD. MEDICO/ FARMACEUTICOS/LAB</t>
  </si>
  <si>
    <t>UNIDAD</t>
  </si>
  <si>
    <t>UTILES MENORES MEDICO, QUIRURGICO Y DE LABORATORIO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</si>
  <si>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</si>
  <si>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</si>
  <si>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BOLSA P/ANESTESIA NORMAL X 1LTS.</t>
  </si>
  <si>
    <t>BOLSA P/ANESTESIA NORMAL X 2LTS.</t>
  </si>
  <si>
    <t>TUBO DE INTUBACION SELECTIVA DERECHO CH 25</t>
  </si>
  <si>
    <t>TUBO DE INTUBACION SELECTIVA DERECHO CH 35</t>
  </si>
  <si>
    <t>TUBO DE INTUBACION SELECTIVA IZQUIERDO CH 25</t>
  </si>
  <si>
    <t>TUBO DE INTUBACION SELECTIVA DERECHO CH 37</t>
  </si>
  <si>
    <t>TUBO DE INTUBACION SELECTIVA IZQUIERDO CH 35</t>
  </si>
  <si>
    <t>TUBO DE INTUBACION SELECTIVA IZQUIERDO CH 37</t>
  </si>
  <si>
    <t>AGUJA ESPINAL 18 G X 3-1/2</t>
  </si>
  <si>
    <t xml:space="preserve">UNIDAD   </t>
  </si>
  <si>
    <t>AGUJA ESPINAL 19 G 3-1/2</t>
  </si>
  <si>
    <t>Aguja ESPINAL 21 G 3 1/2 PUNTA LAPIZ</t>
  </si>
  <si>
    <t>AGUJA ESPINAL 22 G X 1</t>
  </si>
  <si>
    <t>Aguja ESPINAL 23 G 3 1/2 PUNTA LAPIZ</t>
  </si>
  <si>
    <t>AGUJA ESPINAL 25G 31/2 PUNTA LAPIZ</t>
  </si>
  <si>
    <t>Aguja ESPINAL 26 G 31/2  PUNTA LAPIZ</t>
  </si>
  <si>
    <t xml:space="preserve">AGUJA ESPINAL 27G 3 1/2 PUNTA LAPIZ </t>
  </si>
  <si>
    <t>AGUJA GA 213/8 X 12</t>
  </si>
  <si>
    <t>BOLSA</t>
  </si>
  <si>
    <t>AGUJA GA 213/9 X  12</t>
  </si>
  <si>
    <t>AGUJA GA 311/12 X   12</t>
  </si>
  <si>
    <t>AGUJA GA 311/6 X 12</t>
  </si>
  <si>
    <t>AGUJA GA 313/8 X 12</t>
  </si>
  <si>
    <t>AGUJA P/SUTURA CURVAS CV 310 X 12 UNID.</t>
  </si>
  <si>
    <t>AGUJA P/SUTURA RECTA X 12 unidades</t>
  </si>
  <si>
    <t>AGUJA POLY PORT CON PUNTA T/HUBER 619</t>
  </si>
  <si>
    <t>AGUJA POLY PORT CON PUNTA T/HUBER 621</t>
  </si>
  <si>
    <t>AGUJA POLY PORT CON PUNTA T/HUBER 623</t>
  </si>
  <si>
    <t>ANTEOJOS ANTI HIV X 1</t>
  </si>
  <si>
    <t>BOLSA P/ANESTESIA NORMAL X 3LTS.</t>
  </si>
  <si>
    <t>BOLSA P/ANESTESIA NORMAL X 4 LTS</t>
  </si>
  <si>
    <t>BRAZALETE PNI 1 TUBO  Nº 1  TIPO  WELCH ALLYN/DRAGUER</t>
  </si>
  <si>
    <t>BRAZALETE PNI 1 TUBO  Nº 2  TIPO  WELCH ALLYN/DRAGUER</t>
  </si>
  <si>
    <t>BRAZALETE PNI 1 TUBO  Nº 3  TIPO  WELCH ALLYN/DRAGUER</t>
  </si>
  <si>
    <t>BRAZALETE PNI 1 TUBO  Nº 4  TIPO  WELCH ALLYN/DRAGUER</t>
  </si>
  <si>
    <t>BRAZALETE PNI 2 TUBO  Nº 1  TIPO  WELCH ALLYN/DRAGUER</t>
  </si>
  <si>
    <t>BRAZALETE PNI 2 TUBO  Nº 2  TIPO  WELCH ALLYN/DRAGUER</t>
  </si>
  <si>
    <t>BRAZALETE PNI 2 TUBO  Nº 3  TIPO  WELCH ALLYN/DRAGUER</t>
  </si>
  <si>
    <t>BRAZALETE PNI 2 TUBO  Nº 4  TIPO  WELCH ALLYN/DRAGUER</t>
  </si>
  <si>
    <t>CANULA DE ASPIRACION DE CAMPO QUIRURGICO TIPO K 66</t>
  </si>
  <si>
    <t>CARTUCHO ARTERIAL I-STAT • EG7+ caja x 25 unidades</t>
  </si>
  <si>
    <t>CAJA</t>
  </si>
  <si>
    <t>ESTETOSCOPIO ADULTO TIPO 3 M LITTMANN CLASIC</t>
  </si>
  <si>
    <t>ESTETOSCOPIO PEDIATRICO TIPO 3 M LITTMANN CLASIC</t>
  </si>
  <si>
    <t>JUEGO DE TRANSDUCTOR TIPO EDWARD</t>
  </si>
  <si>
    <t>LIQUIDO FIJADOR PARA PROCESO AUTOMATICO 2 x 20 litros</t>
  </si>
  <si>
    <t>LIQUIDO REVELADOR PARA PROCESO AUTOMATICO 2 x 20 litros</t>
  </si>
  <si>
    <t>MASCARA LARINGEA N° 1 REUTILIZABLES</t>
  </si>
  <si>
    <t>MASCARA LARINGEA N°2 REUTILIZABLES</t>
  </si>
  <si>
    <t>MASCARA LARINGEA N°3 REUTILIZABLES</t>
  </si>
  <si>
    <t>MASCARA LARINGEA N°4 REUTILIZABLES</t>
  </si>
  <si>
    <t>PAPEL ECG RESMA 80X70 MM TIPO ESAOTE</t>
  </si>
  <si>
    <t>RESMA</t>
  </si>
  <si>
    <t>PAPEL PARA ECOGRAFIA TIPO UPP 110 S SONY</t>
  </si>
  <si>
    <t>ROLLO</t>
  </si>
  <si>
    <t>PAPEL PARA ELECTROCARDIOGRAMA 50 X 30</t>
  </si>
  <si>
    <t>PAPEL PARA ELECTROCARDIOGRAFO PAGE WRITER TRIM RESMA TIPO PHILIPS 210 mm x 300 mm x 100 hojas</t>
  </si>
  <si>
    <t>PASTA CONDUCTORA PARA ELECTRODOS X 226 GRS</t>
  </si>
  <si>
    <t>PASTA CONDUCTORA PARA ELECTRODOS X 400 GRS</t>
  </si>
  <si>
    <t>PLACAS RADIOGRAFICAS 24 X 30 SENSIBLE AL VERDE X 100 UNIDADES</t>
  </si>
  <si>
    <t>SENSOR ADULTO DESCARTABLE TIPO NELLCOR COVIDIEN X 12</t>
  </si>
  <si>
    <t xml:space="preserve">SENSOR NEONATAL DESCARTABLE TIPO NELLCOR COVIDIEN X 12 </t>
  </si>
  <si>
    <t>SENSOR P/SATUROMETRIA PEDIATRICO REUTILIZABLE 04-15KG T/PHILIPS</t>
  </si>
  <si>
    <t>SENSOR P/SATUROMETRIA PEDIATRICO REUTILIZABLE 15-50KG T/PHILIPS</t>
  </si>
  <si>
    <t>TENSIOMETRO ANAEROIDE +ESTETOSCOPIO ADULTO X 1</t>
  </si>
  <si>
    <t>TENSIOMETRO ANAEROIDE +ESTETOSCOPIO PEDIATRICO X 1</t>
  </si>
  <si>
    <t>TIRAS REACTIVAS PARA DETERMINACION GLUCOSA X 50 UNIDADES</t>
  </si>
  <si>
    <t>TUBO DE KHER DE GOMA Nº10</t>
  </si>
  <si>
    <t>TUBO DE KHER DE GOMA Nº12</t>
  </si>
  <si>
    <t>TUBO DE KHER DE GOMA Nº14</t>
  </si>
  <si>
    <t>TUBO DE KHER DE GOMA Nº16</t>
  </si>
  <si>
    <t>TUBO DE KHER DE GOMA Nº18</t>
  </si>
  <si>
    <t>TUBO DE KHER DE GOMA Nº20</t>
  </si>
  <si>
    <t>VENDA COBAN 10CM X 4,5 MTS</t>
  </si>
  <si>
    <t>VENDA COBAN 5CM X 4,5 MTS</t>
  </si>
  <si>
    <t>VENDA DE SMARCH X 10 CM. X 2,20 MTS</t>
  </si>
  <si>
    <t>VENDA DE SMARCH X 15 CM. X 2,20 MTS</t>
  </si>
  <si>
    <t>VENDA DE SMARCH X 20 CM X 2.20 MTS</t>
  </si>
  <si>
    <t>VENDA DE SMARCH X 5 CM X 2.20 MTS</t>
  </si>
  <si>
    <r>
      <t>Mantenimiento de Oferta</t>
    </r>
    <r>
      <rPr>
        <sz val="10"/>
        <rFont val="Times New Roman"/>
        <family val="1"/>
      </rPr>
      <t xml:space="preserve">: 45 dias habiles </t>
    </r>
  </si>
  <si>
    <t>Anual</t>
  </si>
  <si>
    <t>009/2022</t>
  </si>
  <si>
    <t>Costo total estimado: Cinco Millones Ciento Un Mil Setecientos Ocho Con 18/100.</t>
  </si>
  <si>
    <t>TOTAL DE PESOS: CINCO MILLONES CIENTO UN MIL SETECIENTOS OCHO CON 18/100.</t>
  </si>
  <si>
    <t>Insumos Complejos</t>
  </si>
  <si>
    <t>Para la adquisición de Insumos Complejos destinados al Servicio de Farmacia del Hospital Interzonal de Niños Eva Peron, para el normal funcionamiento del organismo.</t>
  </si>
  <si>
    <t>PRODUCTOS DE PAPEL Y CARTON</t>
  </si>
  <si>
    <t>OTROS NO ESPECIFICADOS PRECEDENTEMENTE</t>
  </si>
  <si>
    <t>PRODUCTOS FARMACEUTICOS Y MEDICINALES</t>
  </si>
  <si>
    <t>Descripción técnica</t>
  </si>
  <si>
    <t>Especificidades Item N° 69 Y 70:</t>
  </si>
  <si>
    <t>TIPO 3M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</si>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</sst>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[$$-2C0A]#,##0.00"/>
    <numFmt numFmtId="171" formatCode="_-&quot;$&quot;\ * #,##0.00_-;\-&quot;$&quot;\ * #,##0.00_-;_-&quot;$&quot;\ * &quot;-&quot;??_-;_-@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00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5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6" fillId="0" borderId="36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3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0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0" fillId="0" borderId="53" xfId="0" applyBorder="1"/>
    <xf numFmtId="0" fontId="23" fillId="0" borderId="54" xfId="0" applyFont="1" applyBorder="1" applyAlignment="1">
      <alignment horizontal="center" vertical="center"/>
    </xf>
    <xf numFmtId="0" fontId="17" fillId="0" borderId="53" xfId="0" applyFont="1" applyBorder="1" applyAlignment="1">
      <alignment wrapText="1"/>
    </xf>
    <xf numFmtId="166" fontId="23" fillId="4" borderId="55" xfId="1" applyNumberFormat="1" applyFont="1" applyFill="1" applyBorder="1" applyAlignment="1" applyProtection="1">
      <alignment horizontal="right" vertical="center" wrapText="1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9" fontId="27" fillId="0" borderId="14" xfId="0" applyNumberFormat="1" applyFont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left" vertical="center"/>
    </xf>
    <xf numFmtId="0" fontId="25" fillId="0" borderId="2" xfId="0" applyFont="1" applyBorder="1" applyAlignment="1">
      <alignment horizontal="left" indent="3"/>
    </xf>
    <xf numFmtId="0" fontId="25" fillId="0" borderId="7" xfId="0" applyFont="1" applyBorder="1" applyAlignment="1"/>
    <xf numFmtId="0" fontId="18" fillId="0" borderId="8" xfId="0" applyFont="1" applyBorder="1" applyAlignment="1">
      <alignment horizontal="center" wrapText="1"/>
    </xf>
    <xf numFmtId="0" fontId="18" fillId="0" borderId="8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0" fillId="5" borderId="57" xfId="0" applyFont="1" applyFill="1" applyBorder="1" applyAlignment="1">
      <alignment horizontal="center" vertical="center" wrapText="1"/>
    </xf>
    <xf numFmtId="0" fontId="0" fillId="5" borderId="57" xfId="0" applyFont="1" applyFill="1" applyBorder="1" applyAlignment="1">
      <alignment vertical="center"/>
    </xf>
    <xf numFmtId="0" fontId="17" fillId="5" borderId="57" xfId="0" applyFont="1" applyFill="1" applyBorder="1" applyAlignment="1">
      <alignment horizontal="center" vertical="center" wrapText="1"/>
    </xf>
    <xf numFmtId="3" fontId="17" fillId="5" borderId="57" xfId="0" applyNumberFormat="1" applyFont="1" applyFill="1" applyBorder="1" applyAlignment="1">
      <alignment horizontal="center" vertical="center"/>
    </xf>
    <xf numFmtId="171" fontId="17" fillId="5" borderId="57" xfId="0" applyNumberFormat="1" applyFont="1" applyFill="1" applyBorder="1" applyAlignment="1">
      <alignment horizontal="center"/>
    </xf>
    <xf numFmtId="0" fontId="0" fillId="5" borderId="57" xfId="0" applyFont="1" applyFill="1" applyBorder="1" applyAlignment="1">
      <alignment horizontal="left" vertical="center"/>
    </xf>
    <xf numFmtId="0" fontId="0" fillId="5" borderId="57" xfId="0" applyFont="1" applyFill="1" applyBorder="1" applyAlignment="1">
      <alignment vertical="center" wrapText="1"/>
    </xf>
    <xf numFmtId="171" fontId="17" fillId="5" borderId="57" xfId="0" applyNumberFormat="1" applyFont="1" applyFill="1" applyBorder="1" applyAlignment="1">
      <alignment horizontal="center" vertical="center"/>
    </xf>
    <xf numFmtId="0" fontId="0" fillId="5" borderId="57" xfId="0" applyFont="1" applyFill="1" applyBorder="1"/>
    <xf numFmtId="0" fontId="0" fillId="5" borderId="57" xfId="0" applyFont="1" applyFill="1" applyBorder="1" applyAlignment="1">
      <alignment horizontal="left" wrapText="1"/>
    </xf>
    <xf numFmtId="3" fontId="17" fillId="5" borderId="57" xfId="0" applyNumberFormat="1" applyFont="1" applyFill="1" applyBorder="1" applyAlignment="1">
      <alignment horizontal="center"/>
    </xf>
    <xf numFmtId="0" fontId="17" fillId="5" borderId="57" xfId="0" applyFont="1" applyFill="1" applyBorder="1" applyAlignment="1">
      <alignment vertical="center" wrapText="1"/>
    </xf>
    <xf numFmtId="171" fontId="17" fillId="5" borderId="57" xfId="0" applyNumberFormat="1" applyFont="1" applyFill="1" applyBorder="1" applyAlignment="1">
      <alignment horizontal="right" vertical="center"/>
    </xf>
    <xf numFmtId="0" fontId="0" fillId="6" borderId="57" xfId="0" applyFont="1" applyFill="1" applyBorder="1" applyAlignment="1">
      <alignment horizontal="center" vertical="center" wrapText="1"/>
    </xf>
    <xf numFmtId="0" fontId="17" fillId="6" borderId="57" xfId="0" applyFont="1" applyFill="1" applyBorder="1" applyAlignment="1">
      <alignment vertical="center" wrapText="1"/>
    </xf>
    <xf numFmtId="0" fontId="17" fillId="6" borderId="57" xfId="0" applyFont="1" applyFill="1" applyBorder="1" applyAlignment="1">
      <alignment horizontal="center" vertical="center" wrapText="1"/>
    </xf>
    <xf numFmtId="3" fontId="17" fillId="6" borderId="57" xfId="0" applyNumberFormat="1" applyFont="1" applyFill="1" applyBorder="1" applyAlignment="1">
      <alignment horizontal="center" vertical="center"/>
    </xf>
    <xf numFmtId="171" fontId="17" fillId="6" borderId="57" xfId="0" applyNumberFormat="1" applyFont="1" applyFill="1" applyBorder="1" applyAlignment="1">
      <alignment horizontal="center"/>
    </xf>
    <xf numFmtId="0" fontId="29" fillId="6" borderId="57" xfId="0" applyFont="1" applyFill="1" applyBorder="1" applyAlignment="1">
      <alignment horizontal="center" vertical="center" wrapText="1"/>
    </xf>
    <xf numFmtId="0" fontId="29" fillId="6" borderId="57" xfId="0" applyFont="1" applyFill="1" applyBorder="1" applyAlignment="1">
      <alignment vertical="center" wrapText="1"/>
    </xf>
    <xf numFmtId="3" fontId="29" fillId="6" borderId="57" xfId="0" applyNumberFormat="1" applyFont="1" applyFill="1" applyBorder="1" applyAlignment="1">
      <alignment horizontal="center" vertical="center"/>
    </xf>
    <xf numFmtId="171" fontId="29" fillId="6" borderId="57" xfId="0" applyNumberFormat="1" applyFont="1" applyFill="1" applyBorder="1" applyAlignment="1">
      <alignment horizontal="center"/>
    </xf>
    <xf numFmtId="170" fontId="18" fillId="0" borderId="0" xfId="0" applyNumberFormat="1" applyFont="1"/>
    <xf numFmtId="0" fontId="25" fillId="0" borderId="2" xfId="0" applyFont="1" applyBorder="1"/>
    <xf numFmtId="0" fontId="25" fillId="0" borderId="5" xfId="0" applyFont="1" applyBorder="1" applyAlignment="1"/>
    <xf numFmtId="0" fontId="18" fillId="0" borderId="6" xfId="0" applyFont="1" applyBorder="1"/>
    <xf numFmtId="0" fontId="18" fillId="0" borderId="7" xfId="0" applyFont="1" applyFill="1" applyBorder="1" applyAlignment="1">
      <alignment horizontal="left" vertical="center" wrapText="1"/>
    </xf>
    <xf numFmtId="0" fontId="18" fillId="0" borderId="8" xfId="0" applyFont="1" applyFill="1" applyBorder="1" applyAlignment="1">
      <alignment horizontal="left" vertical="center" wrapText="1"/>
    </xf>
    <xf numFmtId="0" fontId="18" fillId="0" borderId="9" xfId="0" applyFont="1" applyFill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 wrapText="1"/>
    </xf>
    <xf numFmtId="0" fontId="18" fillId="4" borderId="5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7" fillId="3" borderId="53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 indent="1"/>
    </xf>
    <xf numFmtId="0" fontId="10" fillId="3" borderId="15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/>
    </xf>
    <xf numFmtId="167" fontId="10" fillId="3" borderId="14" xfId="0" applyNumberFormat="1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  <xf numFmtId="0" fontId="14" fillId="0" borderId="11" xfId="0" applyFont="1" applyBorder="1" applyAlignment="1">
      <alignment horizontal="left" indent="1"/>
    </xf>
    <xf numFmtId="0" fontId="7" fillId="0" borderId="1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28" fillId="0" borderId="28" xfId="0" applyFont="1" applyFill="1" applyBorder="1" applyAlignment="1">
      <alignment horizontal="left" vertical="center" wrapText="1"/>
    </xf>
    <xf numFmtId="0" fontId="17" fillId="0" borderId="58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left" vertical="center" wrapText="1"/>
    </xf>
    <xf numFmtId="0" fontId="12" fillId="0" borderId="19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4" borderId="36" xfId="0" applyFont="1" applyFill="1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6" xfId="0" applyFont="1" applyBorder="1" applyAlignment="1">
      <alignment horizontal="left" vertical="center" wrapText="1"/>
    </xf>
    <xf numFmtId="0" fontId="0" fillId="0" borderId="21" xfId="0" applyBorder="1"/>
  </cellXfs>
  <cellStyles count="9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  <cellStyle name="Normal 4" xfId="8"/>
  </cellStyles>
  <dxfs count="1">
    <dxf>
      <fill>
        <patternFill patternType="solid">
          <fgColor rgb="FFC6D9F0"/>
          <bgColor rgb="FFC6D9F0"/>
        </patternFill>
      </fill>
      <border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93"/>
  <sheetViews>
    <sheetView tabSelected="1" zoomScale="93" zoomScaleNormal="93" workbookViewId="0">
      <selection activeCell="C94" sqref="C94"/>
    </sheetView>
  </sheetViews>
  <sheetFormatPr baseColWidth="10" defaultColWidth="11" defaultRowHeight="12.75" x14ac:dyDescent="0.2"/>
  <cols>
    <col min="1" max="1" width="6.42578125" style="26" customWidth="1"/>
    <col min="2" max="2" width="11.42578125" style="26" customWidth="1"/>
    <col min="3" max="3" width="28.42578125" style="26" customWidth="1"/>
    <col min="4" max="4" width="8.42578125" style="26" customWidth="1"/>
    <col min="5" max="5" width="68.85546875" style="26" customWidth="1"/>
    <col min="6" max="6" width="11" style="26"/>
    <col min="7" max="7" width="10.85546875" style="26" customWidth="1"/>
    <col min="8" max="8" width="13.85546875" style="45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2" ht="27" x14ac:dyDescent="0.35">
      <c r="B2" s="110" t="s">
        <v>0</v>
      </c>
      <c r="C2" s="110"/>
      <c r="D2" s="110"/>
      <c r="E2" s="110"/>
      <c r="F2" s="110"/>
      <c r="G2" s="110"/>
      <c r="H2" s="110"/>
    </row>
    <row r="3" spans="1:12" ht="12" customHeight="1" x14ac:dyDescent="0.2"/>
    <row r="4" spans="1:12" ht="18" customHeight="1" x14ac:dyDescent="0.25">
      <c r="A4" s="106" t="s">
        <v>1</v>
      </c>
      <c r="B4" s="106"/>
      <c r="C4" s="111" t="s">
        <v>52</v>
      </c>
      <c r="D4" s="111"/>
      <c r="E4" s="111"/>
      <c r="F4" s="27"/>
      <c r="G4" s="28"/>
      <c r="H4" s="46"/>
    </row>
    <row r="5" spans="1:12" ht="18" customHeight="1" x14ac:dyDescent="0.25">
      <c r="A5" s="106" t="s">
        <v>2</v>
      </c>
      <c r="B5" s="106"/>
      <c r="C5" s="111" t="s">
        <v>51</v>
      </c>
      <c r="D5" s="111"/>
      <c r="E5" s="111"/>
      <c r="F5" s="27"/>
      <c r="G5" s="28" t="s">
        <v>55</v>
      </c>
      <c r="H5" s="46"/>
    </row>
    <row r="6" spans="1:12" ht="16.5" customHeight="1" x14ac:dyDescent="0.25">
      <c r="A6" s="106" t="s">
        <v>3</v>
      </c>
      <c r="B6" s="106"/>
      <c r="C6" s="42">
        <v>2022</v>
      </c>
      <c r="D6" s="43"/>
      <c r="E6" s="43"/>
      <c r="F6" s="27"/>
      <c r="G6" s="28"/>
      <c r="H6" s="46"/>
    </row>
    <row r="7" spans="1:12" ht="16.5" customHeight="1" x14ac:dyDescent="0.25">
      <c r="A7" s="106" t="s">
        <v>4</v>
      </c>
      <c r="B7" s="106"/>
      <c r="C7" s="42">
        <v>1</v>
      </c>
      <c r="D7" s="43"/>
      <c r="E7" s="43"/>
      <c r="F7" s="27"/>
      <c r="G7" s="28"/>
      <c r="H7" s="46"/>
    </row>
    <row r="8" spans="1:12" ht="13.5" thickBot="1" x14ac:dyDescent="0.25">
      <c r="B8" s="27"/>
      <c r="C8" s="28"/>
      <c r="D8" s="27"/>
      <c r="E8" s="27"/>
      <c r="F8" s="27"/>
      <c r="G8" s="28"/>
      <c r="H8" s="46"/>
      <c r="J8" s="44"/>
    </row>
    <row r="9" spans="1:12" ht="36.75" thickBot="1" x14ac:dyDescent="0.25">
      <c r="A9" s="69" t="s">
        <v>5</v>
      </c>
      <c r="B9" s="69" t="s">
        <v>6</v>
      </c>
      <c r="C9" s="69" t="s">
        <v>7</v>
      </c>
      <c r="D9" s="69" t="s">
        <v>8</v>
      </c>
      <c r="E9" s="69" t="s">
        <v>9</v>
      </c>
      <c r="F9" s="69" t="s">
        <v>10</v>
      </c>
      <c r="G9" s="69" t="s">
        <v>11</v>
      </c>
      <c r="H9" s="70" t="s">
        <v>12</v>
      </c>
      <c r="I9" s="69" t="s">
        <v>13</v>
      </c>
    </row>
    <row r="10" spans="1:12" ht="25.5" x14ac:dyDescent="0.2">
      <c r="A10" s="60">
        <v>1</v>
      </c>
      <c r="B10" s="59"/>
      <c r="C10" s="61" t="s">
        <v>57</v>
      </c>
      <c r="D10" s="77">
        <v>295</v>
      </c>
      <c r="E10" s="78" t="s">
        <v>70</v>
      </c>
      <c r="F10" s="79" t="s">
        <v>71</v>
      </c>
      <c r="G10" s="80">
        <v>200</v>
      </c>
      <c r="H10" s="81">
        <v>102</v>
      </c>
      <c r="I10" s="62">
        <f t="shared" ref="I10:I80" si="0">+G10*H10</f>
        <v>20400</v>
      </c>
      <c r="L10" s="33"/>
    </row>
    <row r="11" spans="1:12" ht="25.5" x14ac:dyDescent="0.2">
      <c r="A11" s="60">
        <v>2</v>
      </c>
      <c r="B11" s="59"/>
      <c r="C11" s="61" t="s">
        <v>57</v>
      </c>
      <c r="D11" s="77">
        <v>295</v>
      </c>
      <c r="E11" s="78" t="s">
        <v>72</v>
      </c>
      <c r="F11" s="79" t="s">
        <v>71</v>
      </c>
      <c r="G11" s="80">
        <v>200</v>
      </c>
      <c r="H11" s="81">
        <v>102</v>
      </c>
      <c r="I11" s="62">
        <f t="shared" si="0"/>
        <v>20400</v>
      </c>
      <c r="L11" s="33"/>
    </row>
    <row r="12" spans="1:12" ht="25.5" x14ac:dyDescent="0.2">
      <c r="A12" s="60">
        <v>3</v>
      </c>
      <c r="B12" s="59"/>
      <c r="C12" s="61" t="s">
        <v>57</v>
      </c>
      <c r="D12" s="77">
        <v>295</v>
      </c>
      <c r="E12" s="82" t="s">
        <v>73</v>
      </c>
      <c r="F12" s="79" t="s">
        <v>71</v>
      </c>
      <c r="G12" s="80">
        <v>200</v>
      </c>
      <c r="H12" s="81">
        <v>189</v>
      </c>
      <c r="I12" s="62">
        <f t="shared" si="0"/>
        <v>37800</v>
      </c>
      <c r="L12" s="99"/>
    </row>
    <row r="13" spans="1:12" ht="25.5" x14ac:dyDescent="0.2">
      <c r="A13" s="60">
        <v>4</v>
      </c>
      <c r="B13" s="59"/>
      <c r="C13" s="61" t="s">
        <v>57</v>
      </c>
      <c r="D13" s="77">
        <v>295</v>
      </c>
      <c r="E13" s="78" t="s">
        <v>74</v>
      </c>
      <c r="F13" s="79" t="s">
        <v>71</v>
      </c>
      <c r="G13" s="80">
        <v>200</v>
      </c>
      <c r="H13" s="81">
        <v>102</v>
      </c>
      <c r="I13" s="62">
        <f t="shared" si="0"/>
        <v>20400</v>
      </c>
      <c r="L13" s="99"/>
    </row>
    <row r="14" spans="1:12" ht="25.5" x14ac:dyDescent="0.2">
      <c r="A14" s="60">
        <v>5</v>
      </c>
      <c r="B14" s="59"/>
      <c r="C14" s="61" t="s">
        <v>57</v>
      </c>
      <c r="D14" s="77">
        <v>295</v>
      </c>
      <c r="E14" s="82" t="s">
        <v>75</v>
      </c>
      <c r="F14" s="79" t="s">
        <v>71</v>
      </c>
      <c r="G14" s="80">
        <v>200</v>
      </c>
      <c r="H14" s="81">
        <v>189</v>
      </c>
      <c r="I14" s="62">
        <f t="shared" si="0"/>
        <v>37800</v>
      </c>
      <c r="L14" s="33"/>
    </row>
    <row r="15" spans="1:12" ht="25.5" x14ac:dyDescent="0.2">
      <c r="A15" s="60">
        <v>6</v>
      </c>
      <c r="B15" s="59"/>
      <c r="C15" s="61" t="s">
        <v>57</v>
      </c>
      <c r="D15" s="77">
        <v>295</v>
      </c>
      <c r="E15" s="78" t="s">
        <v>76</v>
      </c>
      <c r="F15" s="79" t="s">
        <v>71</v>
      </c>
      <c r="G15" s="80">
        <v>200</v>
      </c>
      <c r="H15" s="81">
        <v>189</v>
      </c>
      <c r="I15" s="62">
        <f t="shared" si="0"/>
        <v>37800</v>
      </c>
    </row>
    <row r="16" spans="1:12" ht="25.5" x14ac:dyDescent="0.2">
      <c r="A16" s="60">
        <v>7</v>
      </c>
      <c r="B16" s="59"/>
      <c r="C16" s="61" t="s">
        <v>57</v>
      </c>
      <c r="D16" s="77">
        <v>295</v>
      </c>
      <c r="E16" s="82" t="s">
        <v>77</v>
      </c>
      <c r="F16" s="79" t="s">
        <v>71</v>
      </c>
      <c r="G16" s="80">
        <v>200</v>
      </c>
      <c r="H16" s="81">
        <v>189</v>
      </c>
      <c r="I16" s="62">
        <f t="shared" si="0"/>
        <v>37800</v>
      </c>
    </row>
    <row r="17" spans="1:9" ht="25.5" x14ac:dyDescent="0.2">
      <c r="A17" s="60">
        <v>8</v>
      </c>
      <c r="B17" s="59"/>
      <c r="C17" s="61" t="s">
        <v>57</v>
      </c>
      <c r="D17" s="77">
        <v>295</v>
      </c>
      <c r="E17" s="78" t="s">
        <v>78</v>
      </c>
      <c r="F17" s="79" t="s">
        <v>71</v>
      </c>
      <c r="G17" s="80">
        <v>250</v>
      </c>
      <c r="H17" s="81">
        <v>189</v>
      </c>
      <c r="I17" s="62">
        <f t="shared" si="0"/>
        <v>47250</v>
      </c>
    </row>
    <row r="18" spans="1:9" ht="25.5" x14ac:dyDescent="0.2">
      <c r="A18" s="60">
        <v>9</v>
      </c>
      <c r="B18" s="59"/>
      <c r="C18" s="61" t="s">
        <v>57</v>
      </c>
      <c r="D18" s="77">
        <v>295</v>
      </c>
      <c r="E18" s="78" t="s">
        <v>79</v>
      </c>
      <c r="F18" s="79" t="s">
        <v>80</v>
      </c>
      <c r="G18" s="80">
        <v>2</v>
      </c>
      <c r="H18" s="81">
        <v>1384</v>
      </c>
      <c r="I18" s="62">
        <f t="shared" si="0"/>
        <v>2768</v>
      </c>
    </row>
    <row r="19" spans="1:9" ht="25.5" x14ac:dyDescent="0.2">
      <c r="A19" s="60">
        <v>10</v>
      </c>
      <c r="B19" s="59"/>
      <c r="C19" s="61" t="s">
        <v>57</v>
      </c>
      <c r="D19" s="77">
        <v>295</v>
      </c>
      <c r="E19" s="78" t="s">
        <v>81</v>
      </c>
      <c r="F19" s="79" t="s">
        <v>80</v>
      </c>
      <c r="G19" s="80">
        <v>2</v>
      </c>
      <c r="H19" s="81">
        <v>1384</v>
      </c>
      <c r="I19" s="62">
        <f t="shared" si="0"/>
        <v>2768</v>
      </c>
    </row>
    <row r="20" spans="1:9" ht="25.5" x14ac:dyDescent="0.2">
      <c r="A20" s="60">
        <v>11</v>
      </c>
      <c r="B20" s="59"/>
      <c r="C20" s="61" t="s">
        <v>57</v>
      </c>
      <c r="D20" s="77">
        <v>295</v>
      </c>
      <c r="E20" s="78" t="s">
        <v>82</v>
      </c>
      <c r="F20" s="79" t="s">
        <v>80</v>
      </c>
      <c r="G20" s="80">
        <v>2</v>
      </c>
      <c r="H20" s="81">
        <v>1384</v>
      </c>
      <c r="I20" s="62">
        <f t="shared" si="0"/>
        <v>2768</v>
      </c>
    </row>
    <row r="21" spans="1:9" ht="25.5" x14ac:dyDescent="0.2">
      <c r="A21" s="60">
        <v>12</v>
      </c>
      <c r="B21" s="59"/>
      <c r="C21" s="61" t="s">
        <v>57</v>
      </c>
      <c r="D21" s="77">
        <v>295</v>
      </c>
      <c r="E21" s="82" t="s">
        <v>83</v>
      </c>
      <c r="F21" s="79" t="s">
        <v>80</v>
      </c>
      <c r="G21" s="80">
        <v>2</v>
      </c>
      <c r="H21" s="81">
        <v>1384</v>
      </c>
      <c r="I21" s="62">
        <f t="shared" si="0"/>
        <v>2768</v>
      </c>
    </row>
    <row r="22" spans="1:9" ht="25.5" x14ac:dyDescent="0.2">
      <c r="A22" s="60">
        <v>13</v>
      </c>
      <c r="B22" s="59"/>
      <c r="C22" s="61" t="s">
        <v>57</v>
      </c>
      <c r="D22" s="77">
        <v>295</v>
      </c>
      <c r="E22" s="78" t="s">
        <v>84</v>
      </c>
      <c r="F22" s="79" t="s">
        <v>80</v>
      </c>
      <c r="G22" s="80">
        <v>2</v>
      </c>
      <c r="H22" s="81">
        <v>1384</v>
      </c>
      <c r="I22" s="62">
        <f t="shared" si="0"/>
        <v>2768</v>
      </c>
    </row>
    <row r="23" spans="1:9" ht="25.5" x14ac:dyDescent="0.2">
      <c r="A23" s="60">
        <v>14</v>
      </c>
      <c r="B23" s="59"/>
      <c r="C23" s="61" t="s">
        <v>57</v>
      </c>
      <c r="D23" s="77">
        <v>295</v>
      </c>
      <c r="E23" s="78" t="s">
        <v>85</v>
      </c>
      <c r="F23" s="79" t="s">
        <v>80</v>
      </c>
      <c r="G23" s="80">
        <v>2</v>
      </c>
      <c r="H23" s="81">
        <v>1384</v>
      </c>
      <c r="I23" s="62">
        <f t="shared" si="0"/>
        <v>2768</v>
      </c>
    </row>
    <row r="24" spans="1:9" ht="25.5" x14ac:dyDescent="0.2">
      <c r="A24" s="60">
        <v>15</v>
      </c>
      <c r="B24" s="59"/>
      <c r="C24" s="61" t="s">
        <v>57</v>
      </c>
      <c r="D24" s="77">
        <v>295</v>
      </c>
      <c r="E24" s="78" t="s">
        <v>86</v>
      </c>
      <c r="F24" s="79" t="s">
        <v>80</v>
      </c>
      <c r="G24" s="80">
        <v>2</v>
      </c>
      <c r="H24" s="81">
        <v>1680</v>
      </c>
      <c r="I24" s="62">
        <f t="shared" si="0"/>
        <v>3360</v>
      </c>
    </row>
    <row r="25" spans="1:9" ht="25.5" x14ac:dyDescent="0.2">
      <c r="A25" s="60">
        <v>16</v>
      </c>
      <c r="B25" s="59"/>
      <c r="C25" s="61" t="s">
        <v>57</v>
      </c>
      <c r="D25" s="77">
        <v>295</v>
      </c>
      <c r="E25" s="78" t="s">
        <v>87</v>
      </c>
      <c r="F25" s="79" t="s">
        <v>58</v>
      </c>
      <c r="G25" s="80">
        <v>200</v>
      </c>
      <c r="H25" s="81">
        <v>230</v>
      </c>
      <c r="I25" s="62">
        <f t="shared" si="0"/>
        <v>46000</v>
      </c>
    </row>
    <row r="26" spans="1:9" ht="25.5" x14ac:dyDescent="0.2">
      <c r="A26" s="60">
        <v>17</v>
      </c>
      <c r="B26" s="59"/>
      <c r="C26" s="61" t="s">
        <v>57</v>
      </c>
      <c r="D26" s="77">
        <v>295</v>
      </c>
      <c r="E26" s="78" t="s">
        <v>88</v>
      </c>
      <c r="F26" s="79" t="s">
        <v>58</v>
      </c>
      <c r="G26" s="80">
        <v>200</v>
      </c>
      <c r="H26" s="81">
        <v>230</v>
      </c>
      <c r="I26" s="62">
        <f t="shared" si="0"/>
        <v>46000</v>
      </c>
    </row>
    <row r="27" spans="1:9" ht="25.5" x14ac:dyDescent="0.2">
      <c r="A27" s="60">
        <v>18</v>
      </c>
      <c r="B27" s="59"/>
      <c r="C27" s="61" t="s">
        <v>57</v>
      </c>
      <c r="D27" s="77">
        <v>295</v>
      </c>
      <c r="E27" s="78" t="s">
        <v>89</v>
      </c>
      <c r="F27" s="79" t="s">
        <v>58</v>
      </c>
      <c r="G27" s="80">
        <v>200</v>
      </c>
      <c r="H27" s="81">
        <v>230</v>
      </c>
      <c r="I27" s="62">
        <f t="shared" si="0"/>
        <v>46000</v>
      </c>
    </row>
    <row r="28" spans="1:9" ht="25.5" x14ac:dyDescent="0.2">
      <c r="A28" s="60">
        <v>19</v>
      </c>
      <c r="B28" s="59"/>
      <c r="C28" s="61" t="s">
        <v>57</v>
      </c>
      <c r="D28" s="77">
        <v>295</v>
      </c>
      <c r="E28" s="78" t="s">
        <v>90</v>
      </c>
      <c r="F28" s="79" t="s">
        <v>58</v>
      </c>
      <c r="G28" s="80">
        <v>200</v>
      </c>
      <c r="H28" s="81">
        <v>250</v>
      </c>
      <c r="I28" s="62">
        <f t="shared" si="0"/>
        <v>50000</v>
      </c>
    </row>
    <row r="29" spans="1:9" ht="25.5" x14ac:dyDescent="0.2">
      <c r="A29" s="60">
        <v>20</v>
      </c>
      <c r="B29" s="59"/>
      <c r="C29" s="61" t="s">
        <v>57</v>
      </c>
      <c r="D29" s="77">
        <v>295</v>
      </c>
      <c r="E29" s="78" t="s">
        <v>62</v>
      </c>
      <c r="F29" s="79" t="s">
        <v>58</v>
      </c>
      <c r="G29" s="80">
        <v>12</v>
      </c>
      <c r="H29" s="81">
        <v>990</v>
      </c>
      <c r="I29" s="62">
        <f t="shared" si="0"/>
        <v>11880</v>
      </c>
    </row>
    <row r="30" spans="1:9" ht="25.5" x14ac:dyDescent="0.2">
      <c r="A30" s="60">
        <v>21</v>
      </c>
      <c r="B30" s="59"/>
      <c r="C30" s="61" t="s">
        <v>57</v>
      </c>
      <c r="D30" s="77">
        <v>295</v>
      </c>
      <c r="E30" s="78" t="s">
        <v>63</v>
      </c>
      <c r="F30" s="79" t="s">
        <v>58</v>
      </c>
      <c r="G30" s="80">
        <v>12</v>
      </c>
      <c r="H30" s="81">
        <v>990</v>
      </c>
      <c r="I30" s="62">
        <f t="shared" si="0"/>
        <v>11880</v>
      </c>
    </row>
    <row r="31" spans="1:9" ht="25.5" x14ac:dyDescent="0.2">
      <c r="A31" s="60">
        <v>22</v>
      </c>
      <c r="B31" s="59"/>
      <c r="C31" s="61" t="s">
        <v>57</v>
      </c>
      <c r="D31" s="77">
        <v>295</v>
      </c>
      <c r="E31" s="78" t="s">
        <v>91</v>
      </c>
      <c r="F31" s="79" t="s">
        <v>58</v>
      </c>
      <c r="G31" s="80">
        <v>12</v>
      </c>
      <c r="H31" s="81">
        <v>990</v>
      </c>
      <c r="I31" s="62">
        <f t="shared" si="0"/>
        <v>11880</v>
      </c>
    </row>
    <row r="32" spans="1:9" ht="25.5" x14ac:dyDescent="0.2">
      <c r="A32" s="60">
        <v>23</v>
      </c>
      <c r="B32" s="59"/>
      <c r="C32" s="61" t="s">
        <v>57</v>
      </c>
      <c r="D32" s="77">
        <v>295</v>
      </c>
      <c r="E32" s="78" t="s">
        <v>92</v>
      </c>
      <c r="F32" s="79" t="s">
        <v>58</v>
      </c>
      <c r="G32" s="80">
        <v>12</v>
      </c>
      <c r="H32" s="81">
        <v>990</v>
      </c>
      <c r="I32" s="62">
        <f t="shared" si="0"/>
        <v>11880</v>
      </c>
    </row>
    <row r="33" spans="1:9" ht="25.5" x14ac:dyDescent="0.2">
      <c r="A33" s="60">
        <v>24</v>
      </c>
      <c r="B33" s="59"/>
      <c r="C33" s="61" t="s">
        <v>57</v>
      </c>
      <c r="D33" s="77">
        <v>295</v>
      </c>
      <c r="E33" s="78" t="s">
        <v>93</v>
      </c>
      <c r="F33" s="79" t="s">
        <v>58</v>
      </c>
      <c r="G33" s="80">
        <v>5</v>
      </c>
      <c r="H33" s="81">
        <v>2025</v>
      </c>
      <c r="I33" s="62">
        <f t="shared" si="0"/>
        <v>10125</v>
      </c>
    </row>
    <row r="34" spans="1:9" ht="25.5" x14ac:dyDescent="0.2">
      <c r="A34" s="60">
        <v>25</v>
      </c>
      <c r="B34" s="59"/>
      <c r="C34" s="61" t="s">
        <v>57</v>
      </c>
      <c r="D34" s="77">
        <v>295</v>
      </c>
      <c r="E34" s="78" t="s">
        <v>94</v>
      </c>
      <c r="F34" s="79" t="s">
        <v>58</v>
      </c>
      <c r="G34" s="80">
        <v>5</v>
      </c>
      <c r="H34" s="81">
        <v>2025</v>
      </c>
      <c r="I34" s="62">
        <f t="shared" si="0"/>
        <v>10125</v>
      </c>
    </row>
    <row r="35" spans="1:9" ht="25.5" x14ac:dyDescent="0.2">
      <c r="A35" s="60">
        <v>26</v>
      </c>
      <c r="B35" s="59"/>
      <c r="C35" s="61" t="s">
        <v>57</v>
      </c>
      <c r="D35" s="77">
        <v>295</v>
      </c>
      <c r="E35" s="78" t="s">
        <v>95</v>
      </c>
      <c r="F35" s="79" t="s">
        <v>58</v>
      </c>
      <c r="G35" s="80">
        <v>5</v>
      </c>
      <c r="H35" s="81">
        <v>2025</v>
      </c>
      <c r="I35" s="62">
        <f t="shared" si="0"/>
        <v>10125</v>
      </c>
    </row>
    <row r="36" spans="1:9" ht="25.5" x14ac:dyDescent="0.2">
      <c r="A36" s="60">
        <v>27</v>
      </c>
      <c r="B36" s="59"/>
      <c r="C36" s="61" t="s">
        <v>57</v>
      </c>
      <c r="D36" s="77">
        <v>295</v>
      </c>
      <c r="E36" s="78" t="s">
        <v>96</v>
      </c>
      <c r="F36" s="79" t="s">
        <v>58</v>
      </c>
      <c r="G36" s="80">
        <v>5</v>
      </c>
      <c r="H36" s="81">
        <v>2025</v>
      </c>
      <c r="I36" s="62">
        <f t="shared" si="0"/>
        <v>10125</v>
      </c>
    </row>
    <row r="37" spans="1:9" ht="25.5" x14ac:dyDescent="0.2">
      <c r="A37" s="60">
        <v>28</v>
      </c>
      <c r="B37" s="59"/>
      <c r="C37" s="61" t="s">
        <v>57</v>
      </c>
      <c r="D37" s="77">
        <v>295</v>
      </c>
      <c r="E37" s="78" t="s">
        <v>97</v>
      </c>
      <c r="F37" s="79" t="s">
        <v>58</v>
      </c>
      <c r="G37" s="80">
        <v>5</v>
      </c>
      <c r="H37" s="81">
        <v>2025</v>
      </c>
      <c r="I37" s="62">
        <f t="shared" si="0"/>
        <v>10125</v>
      </c>
    </row>
    <row r="38" spans="1:9" ht="25.5" x14ac:dyDescent="0.2">
      <c r="A38" s="60">
        <v>29</v>
      </c>
      <c r="B38" s="59"/>
      <c r="C38" s="61" t="s">
        <v>57</v>
      </c>
      <c r="D38" s="77">
        <v>295</v>
      </c>
      <c r="E38" s="78" t="s">
        <v>98</v>
      </c>
      <c r="F38" s="79" t="s">
        <v>58</v>
      </c>
      <c r="G38" s="80">
        <v>5</v>
      </c>
      <c r="H38" s="81">
        <v>2025</v>
      </c>
      <c r="I38" s="62">
        <f t="shared" si="0"/>
        <v>10125</v>
      </c>
    </row>
    <row r="39" spans="1:9" ht="25.5" x14ac:dyDescent="0.2">
      <c r="A39" s="60">
        <v>30</v>
      </c>
      <c r="B39" s="59"/>
      <c r="C39" s="61" t="s">
        <v>57</v>
      </c>
      <c r="D39" s="77">
        <v>295</v>
      </c>
      <c r="E39" s="78" t="s">
        <v>99</v>
      </c>
      <c r="F39" s="79" t="s">
        <v>58</v>
      </c>
      <c r="G39" s="80">
        <v>5</v>
      </c>
      <c r="H39" s="81">
        <v>2025</v>
      </c>
      <c r="I39" s="62">
        <f t="shared" si="0"/>
        <v>10125</v>
      </c>
    </row>
    <row r="40" spans="1:9" ht="25.5" x14ac:dyDescent="0.2">
      <c r="A40" s="60">
        <v>31</v>
      </c>
      <c r="B40" s="59"/>
      <c r="C40" s="61" t="s">
        <v>57</v>
      </c>
      <c r="D40" s="77">
        <v>295</v>
      </c>
      <c r="E40" s="78" t="s">
        <v>100</v>
      </c>
      <c r="F40" s="79" t="s">
        <v>58</v>
      </c>
      <c r="G40" s="80">
        <v>5</v>
      </c>
      <c r="H40" s="81">
        <v>2025</v>
      </c>
      <c r="I40" s="62">
        <f t="shared" si="0"/>
        <v>10125</v>
      </c>
    </row>
    <row r="41" spans="1:9" ht="25.5" x14ac:dyDescent="0.2">
      <c r="A41" s="60">
        <v>32</v>
      </c>
      <c r="B41" s="59"/>
      <c r="C41" s="61" t="s">
        <v>57</v>
      </c>
      <c r="D41" s="77">
        <v>295</v>
      </c>
      <c r="E41" s="78" t="s">
        <v>101</v>
      </c>
      <c r="F41" s="79" t="s">
        <v>58</v>
      </c>
      <c r="G41" s="80">
        <v>2000</v>
      </c>
      <c r="H41" s="81">
        <v>320</v>
      </c>
      <c r="I41" s="62">
        <f t="shared" si="0"/>
        <v>640000</v>
      </c>
    </row>
    <row r="42" spans="1:9" ht="25.5" x14ac:dyDescent="0.2">
      <c r="A42" s="60">
        <v>33</v>
      </c>
      <c r="B42" s="59"/>
      <c r="C42" s="61" t="s">
        <v>57</v>
      </c>
      <c r="D42" s="77">
        <v>295</v>
      </c>
      <c r="E42" s="83" t="s">
        <v>102</v>
      </c>
      <c r="F42" s="79" t="s">
        <v>103</v>
      </c>
      <c r="G42" s="80">
        <v>1</v>
      </c>
      <c r="H42" s="81">
        <v>92285.8</v>
      </c>
      <c r="I42" s="62">
        <f t="shared" si="0"/>
        <v>92285.8</v>
      </c>
    </row>
    <row r="43" spans="1:9" ht="25.5" x14ac:dyDescent="0.2">
      <c r="A43" s="60">
        <v>34</v>
      </c>
      <c r="B43" s="59"/>
      <c r="C43" s="61" t="s">
        <v>57</v>
      </c>
      <c r="D43" s="95">
        <v>295</v>
      </c>
      <c r="E43" s="96" t="s">
        <v>104</v>
      </c>
      <c r="F43" s="95" t="s">
        <v>58</v>
      </c>
      <c r="G43" s="97">
        <v>20</v>
      </c>
      <c r="H43" s="98">
        <v>15000</v>
      </c>
      <c r="I43" s="62">
        <f t="shared" si="0"/>
        <v>300000</v>
      </c>
    </row>
    <row r="44" spans="1:9" ht="25.5" x14ac:dyDescent="0.2">
      <c r="A44" s="60">
        <v>35</v>
      </c>
      <c r="B44" s="59"/>
      <c r="C44" s="61" t="s">
        <v>57</v>
      </c>
      <c r="D44" s="95">
        <v>295</v>
      </c>
      <c r="E44" s="96" t="s">
        <v>105</v>
      </c>
      <c r="F44" s="95" t="s">
        <v>58</v>
      </c>
      <c r="G44" s="97">
        <v>20</v>
      </c>
      <c r="H44" s="98">
        <v>15000</v>
      </c>
      <c r="I44" s="62">
        <f t="shared" si="0"/>
        <v>300000</v>
      </c>
    </row>
    <row r="45" spans="1:9" ht="25.5" x14ac:dyDescent="0.2">
      <c r="A45" s="60">
        <v>36</v>
      </c>
      <c r="B45" s="59"/>
      <c r="C45" s="61" t="s">
        <v>57</v>
      </c>
      <c r="D45" s="77">
        <v>295</v>
      </c>
      <c r="E45" s="78" t="s">
        <v>106</v>
      </c>
      <c r="F45" s="79" t="s">
        <v>58</v>
      </c>
      <c r="G45" s="80">
        <v>60</v>
      </c>
      <c r="H45" s="84">
        <v>3570</v>
      </c>
      <c r="I45" s="62">
        <f t="shared" si="0"/>
        <v>214200</v>
      </c>
    </row>
    <row r="46" spans="1:9" ht="25.5" x14ac:dyDescent="0.2">
      <c r="A46" s="60">
        <v>37</v>
      </c>
      <c r="B46" s="59"/>
      <c r="C46" s="61" t="s">
        <v>57</v>
      </c>
      <c r="D46" s="77">
        <v>259</v>
      </c>
      <c r="E46" s="85" t="s">
        <v>107</v>
      </c>
      <c r="F46" s="79" t="s">
        <v>103</v>
      </c>
      <c r="G46" s="80">
        <v>2</v>
      </c>
      <c r="H46" s="84">
        <v>6460</v>
      </c>
      <c r="I46" s="62">
        <f t="shared" si="0"/>
        <v>12920</v>
      </c>
    </row>
    <row r="47" spans="1:9" ht="25.5" x14ac:dyDescent="0.2">
      <c r="A47" s="60">
        <v>38</v>
      </c>
      <c r="B47" s="59"/>
      <c r="C47" s="61" t="s">
        <v>57</v>
      </c>
      <c r="D47" s="77">
        <v>259</v>
      </c>
      <c r="E47" s="78" t="s">
        <v>108</v>
      </c>
      <c r="F47" s="79" t="s">
        <v>103</v>
      </c>
      <c r="G47" s="80">
        <v>2</v>
      </c>
      <c r="H47" s="84">
        <v>9185</v>
      </c>
      <c r="I47" s="62">
        <f t="shared" si="0"/>
        <v>18370</v>
      </c>
    </row>
    <row r="48" spans="1:9" ht="25.5" x14ac:dyDescent="0.2">
      <c r="A48" s="60">
        <v>39</v>
      </c>
      <c r="B48" s="59"/>
      <c r="C48" s="61" t="s">
        <v>57</v>
      </c>
      <c r="D48" s="77">
        <v>295</v>
      </c>
      <c r="E48" s="83" t="s">
        <v>109</v>
      </c>
      <c r="F48" s="79" t="s">
        <v>58</v>
      </c>
      <c r="G48" s="80">
        <v>10</v>
      </c>
      <c r="H48" s="81">
        <v>3540</v>
      </c>
      <c r="I48" s="62">
        <f t="shared" si="0"/>
        <v>35400</v>
      </c>
    </row>
    <row r="49" spans="1:9" ht="25.5" x14ac:dyDescent="0.2">
      <c r="A49" s="60">
        <v>40</v>
      </c>
      <c r="B49" s="59"/>
      <c r="C49" s="61" t="s">
        <v>57</v>
      </c>
      <c r="D49" s="77">
        <v>295</v>
      </c>
      <c r="E49" s="83" t="s">
        <v>110</v>
      </c>
      <c r="F49" s="79" t="s">
        <v>58</v>
      </c>
      <c r="G49" s="80">
        <v>10</v>
      </c>
      <c r="H49" s="81">
        <v>3540</v>
      </c>
      <c r="I49" s="62">
        <f t="shared" si="0"/>
        <v>35400</v>
      </c>
    </row>
    <row r="50" spans="1:9" ht="25.5" x14ac:dyDescent="0.2">
      <c r="A50" s="60">
        <v>41</v>
      </c>
      <c r="B50" s="59"/>
      <c r="C50" s="61" t="s">
        <v>57</v>
      </c>
      <c r="D50" s="77">
        <v>295</v>
      </c>
      <c r="E50" s="83" t="s">
        <v>111</v>
      </c>
      <c r="F50" s="79" t="s">
        <v>58</v>
      </c>
      <c r="G50" s="80">
        <v>10</v>
      </c>
      <c r="H50" s="81">
        <v>3540</v>
      </c>
      <c r="I50" s="62">
        <f t="shared" si="0"/>
        <v>35400</v>
      </c>
    </row>
    <row r="51" spans="1:9" ht="25.5" x14ac:dyDescent="0.2">
      <c r="A51" s="60">
        <v>42</v>
      </c>
      <c r="B51" s="59"/>
      <c r="C51" s="61" t="s">
        <v>57</v>
      </c>
      <c r="D51" s="77">
        <v>295</v>
      </c>
      <c r="E51" s="83" t="s">
        <v>112</v>
      </c>
      <c r="F51" s="79" t="s">
        <v>58</v>
      </c>
      <c r="G51" s="80">
        <v>10</v>
      </c>
      <c r="H51" s="81">
        <v>3540</v>
      </c>
      <c r="I51" s="62">
        <f t="shared" si="0"/>
        <v>35400</v>
      </c>
    </row>
    <row r="52" spans="1:9" ht="25.5" x14ac:dyDescent="0.2">
      <c r="A52" s="60">
        <v>43</v>
      </c>
      <c r="B52" s="59"/>
      <c r="C52" s="61" t="s">
        <v>57</v>
      </c>
      <c r="D52" s="77">
        <v>234</v>
      </c>
      <c r="E52" s="78" t="s">
        <v>113</v>
      </c>
      <c r="F52" s="79" t="s">
        <v>114</v>
      </c>
      <c r="G52" s="80">
        <v>350</v>
      </c>
      <c r="H52" s="81">
        <v>580</v>
      </c>
      <c r="I52" s="62">
        <f t="shared" si="0"/>
        <v>203000</v>
      </c>
    </row>
    <row r="53" spans="1:9" ht="25.5" x14ac:dyDescent="0.2">
      <c r="A53" s="60">
        <v>44</v>
      </c>
      <c r="B53" s="59"/>
      <c r="C53" s="61" t="s">
        <v>57</v>
      </c>
      <c r="D53" s="77">
        <v>234</v>
      </c>
      <c r="E53" s="82" t="s">
        <v>115</v>
      </c>
      <c r="F53" s="79" t="s">
        <v>116</v>
      </c>
      <c r="G53" s="80">
        <v>150</v>
      </c>
      <c r="H53" s="81">
        <v>2120</v>
      </c>
      <c r="I53" s="62">
        <f t="shared" si="0"/>
        <v>318000</v>
      </c>
    </row>
    <row r="54" spans="1:9" ht="25.5" x14ac:dyDescent="0.2">
      <c r="A54" s="60">
        <v>45</v>
      </c>
      <c r="B54" s="59"/>
      <c r="C54" s="61" t="s">
        <v>57</v>
      </c>
      <c r="D54" s="77">
        <v>234</v>
      </c>
      <c r="E54" s="82" t="s">
        <v>117</v>
      </c>
      <c r="F54" s="79" t="s">
        <v>116</v>
      </c>
      <c r="G54" s="80">
        <v>200</v>
      </c>
      <c r="H54" s="81">
        <v>165</v>
      </c>
      <c r="I54" s="62">
        <f t="shared" si="0"/>
        <v>33000</v>
      </c>
    </row>
    <row r="55" spans="1:9" ht="25.5" x14ac:dyDescent="0.2">
      <c r="A55" s="60">
        <v>46</v>
      </c>
      <c r="B55" s="59"/>
      <c r="C55" s="61" t="s">
        <v>57</v>
      </c>
      <c r="D55" s="77">
        <v>234</v>
      </c>
      <c r="E55" s="86" t="s">
        <v>118</v>
      </c>
      <c r="F55" s="79" t="s">
        <v>114</v>
      </c>
      <c r="G55" s="87">
        <v>5</v>
      </c>
      <c r="H55" s="84">
        <f>1087.5*1.21</f>
        <v>1315.875</v>
      </c>
      <c r="I55" s="62">
        <f t="shared" si="0"/>
        <v>6579.375</v>
      </c>
    </row>
    <row r="56" spans="1:9" ht="25.5" x14ac:dyDescent="0.2">
      <c r="A56" s="60">
        <v>47</v>
      </c>
      <c r="B56" s="59"/>
      <c r="C56" s="61" t="s">
        <v>57</v>
      </c>
      <c r="D56" s="77">
        <v>252</v>
      </c>
      <c r="E56" s="82" t="s">
        <v>119</v>
      </c>
      <c r="F56" s="79" t="s">
        <v>58</v>
      </c>
      <c r="G56" s="80">
        <v>40</v>
      </c>
      <c r="H56" s="81">
        <v>6050</v>
      </c>
      <c r="I56" s="62">
        <f t="shared" si="0"/>
        <v>242000</v>
      </c>
    </row>
    <row r="57" spans="1:9" ht="25.5" x14ac:dyDescent="0.2">
      <c r="A57" s="60">
        <v>48</v>
      </c>
      <c r="B57" s="59"/>
      <c r="C57" s="61" t="s">
        <v>57</v>
      </c>
      <c r="D57" s="77">
        <v>252</v>
      </c>
      <c r="E57" s="82" t="s">
        <v>120</v>
      </c>
      <c r="F57" s="79" t="s">
        <v>58</v>
      </c>
      <c r="G57" s="80">
        <v>20</v>
      </c>
      <c r="H57" s="81">
        <v>9500</v>
      </c>
      <c r="I57" s="62">
        <f t="shared" si="0"/>
        <v>190000</v>
      </c>
    </row>
    <row r="58" spans="1:9" ht="25.5" x14ac:dyDescent="0.2">
      <c r="A58" s="60">
        <v>49</v>
      </c>
      <c r="B58" s="59"/>
      <c r="C58" s="61" t="s">
        <v>57</v>
      </c>
      <c r="D58" s="77">
        <v>259</v>
      </c>
      <c r="E58" s="85" t="s">
        <v>121</v>
      </c>
      <c r="F58" s="79" t="s">
        <v>103</v>
      </c>
      <c r="G58" s="80">
        <v>5</v>
      </c>
      <c r="H58" s="81">
        <v>7945</v>
      </c>
      <c r="I58" s="62">
        <f t="shared" si="0"/>
        <v>39725</v>
      </c>
    </row>
    <row r="59" spans="1:9" ht="25.5" x14ac:dyDescent="0.2">
      <c r="A59" s="60">
        <v>50</v>
      </c>
      <c r="B59" s="59"/>
      <c r="C59" s="61" t="s">
        <v>57</v>
      </c>
      <c r="D59" s="77">
        <v>295</v>
      </c>
      <c r="E59" s="88" t="s">
        <v>122</v>
      </c>
      <c r="F59" s="79" t="s">
        <v>103</v>
      </c>
      <c r="G59" s="80">
        <v>10</v>
      </c>
      <c r="H59" s="81">
        <v>1950</v>
      </c>
      <c r="I59" s="62">
        <f t="shared" si="0"/>
        <v>19500</v>
      </c>
    </row>
    <row r="60" spans="1:9" ht="25.5" x14ac:dyDescent="0.2">
      <c r="A60" s="60">
        <v>51</v>
      </c>
      <c r="B60" s="59"/>
      <c r="C60" s="61" t="s">
        <v>57</v>
      </c>
      <c r="D60" s="77">
        <v>295</v>
      </c>
      <c r="E60" s="88" t="s">
        <v>123</v>
      </c>
      <c r="F60" s="79" t="s">
        <v>103</v>
      </c>
      <c r="G60" s="80">
        <v>10</v>
      </c>
      <c r="H60" s="81">
        <v>1950</v>
      </c>
      <c r="I60" s="62">
        <f t="shared" si="0"/>
        <v>19500</v>
      </c>
    </row>
    <row r="61" spans="1:9" ht="25.5" x14ac:dyDescent="0.2">
      <c r="A61" s="60">
        <v>52</v>
      </c>
      <c r="B61" s="59"/>
      <c r="C61" s="61" t="s">
        <v>57</v>
      </c>
      <c r="D61" s="90">
        <v>295</v>
      </c>
      <c r="E61" s="91" t="s">
        <v>124</v>
      </c>
      <c r="F61" s="92" t="s">
        <v>58</v>
      </c>
      <c r="G61" s="93">
        <v>10</v>
      </c>
      <c r="H61" s="94">
        <v>15070</v>
      </c>
      <c r="I61" s="62">
        <f t="shared" si="0"/>
        <v>150700</v>
      </c>
    </row>
    <row r="62" spans="1:9" ht="25.5" x14ac:dyDescent="0.2">
      <c r="A62" s="60">
        <v>53</v>
      </c>
      <c r="B62" s="59"/>
      <c r="C62" s="61" t="s">
        <v>57</v>
      </c>
      <c r="D62" s="90">
        <v>295</v>
      </c>
      <c r="E62" s="91" t="s">
        <v>125</v>
      </c>
      <c r="F62" s="92" t="s">
        <v>58</v>
      </c>
      <c r="G62" s="93">
        <v>10</v>
      </c>
      <c r="H62" s="94">
        <v>15070</v>
      </c>
      <c r="I62" s="62">
        <f t="shared" si="0"/>
        <v>150700</v>
      </c>
    </row>
    <row r="63" spans="1:9" ht="25.5" x14ac:dyDescent="0.2">
      <c r="A63" s="60">
        <v>54</v>
      </c>
      <c r="B63" s="59"/>
      <c r="C63" s="61" t="s">
        <v>57</v>
      </c>
      <c r="D63" s="77">
        <v>295</v>
      </c>
      <c r="E63" s="78" t="s">
        <v>126</v>
      </c>
      <c r="F63" s="79" t="s">
        <v>58</v>
      </c>
      <c r="G63" s="80">
        <v>20</v>
      </c>
      <c r="H63" s="81">
        <v>1540</v>
      </c>
      <c r="I63" s="62">
        <f t="shared" si="0"/>
        <v>30800</v>
      </c>
    </row>
    <row r="64" spans="1:9" ht="25.5" x14ac:dyDescent="0.2">
      <c r="A64" s="60">
        <v>55</v>
      </c>
      <c r="B64" s="59"/>
      <c r="C64" s="61" t="s">
        <v>57</v>
      </c>
      <c r="D64" s="77">
        <v>295</v>
      </c>
      <c r="E64" s="78" t="s">
        <v>127</v>
      </c>
      <c r="F64" s="79" t="s">
        <v>58</v>
      </c>
      <c r="G64" s="80">
        <v>20</v>
      </c>
      <c r="H64" s="89">
        <v>1540</v>
      </c>
      <c r="I64" s="62">
        <f t="shared" si="0"/>
        <v>30800</v>
      </c>
    </row>
    <row r="65" spans="1:9" ht="25.5" x14ac:dyDescent="0.2">
      <c r="A65" s="60">
        <v>56</v>
      </c>
      <c r="B65" s="59"/>
      <c r="C65" s="61" t="s">
        <v>57</v>
      </c>
      <c r="D65" s="77">
        <v>295</v>
      </c>
      <c r="E65" s="78" t="s">
        <v>128</v>
      </c>
      <c r="F65" s="79" t="s">
        <v>103</v>
      </c>
      <c r="G65" s="80">
        <v>300</v>
      </c>
      <c r="H65" s="89">
        <f>2350*1.21</f>
        <v>2843.5</v>
      </c>
      <c r="I65" s="62">
        <f t="shared" si="0"/>
        <v>853050</v>
      </c>
    </row>
    <row r="66" spans="1:9" ht="25.5" x14ac:dyDescent="0.2">
      <c r="A66" s="60">
        <v>57</v>
      </c>
      <c r="B66" s="59"/>
      <c r="C66" s="61" t="s">
        <v>57</v>
      </c>
      <c r="D66" s="77">
        <v>295</v>
      </c>
      <c r="E66" s="78" t="s">
        <v>64</v>
      </c>
      <c r="F66" s="79" t="s">
        <v>58</v>
      </c>
      <c r="G66" s="80">
        <v>10</v>
      </c>
      <c r="H66" s="89">
        <v>5950</v>
      </c>
      <c r="I66" s="62">
        <f t="shared" si="0"/>
        <v>59500</v>
      </c>
    </row>
    <row r="67" spans="1:9" ht="25.5" x14ac:dyDescent="0.2">
      <c r="A67" s="60">
        <v>58</v>
      </c>
      <c r="B67" s="59"/>
      <c r="C67" s="61" t="s">
        <v>57</v>
      </c>
      <c r="D67" s="77">
        <v>295</v>
      </c>
      <c r="E67" s="78" t="s">
        <v>65</v>
      </c>
      <c r="F67" s="79" t="s">
        <v>58</v>
      </c>
      <c r="G67" s="80">
        <v>10</v>
      </c>
      <c r="H67" s="89">
        <v>5950</v>
      </c>
      <c r="I67" s="62">
        <f t="shared" si="0"/>
        <v>59500</v>
      </c>
    </row>
    <row r="68" spans="1:9" ht="25.5" x14ac:dyDescent="0.2">
      <c r="A68" s="60">
        <v>59</v>
      </c>
      <c r="B68" s="59"/>
      <c r="C68" s="61" t="s">
        <v>57</v>
      </c>
      <c r="D68" s="77">
        <v>295</v>
      </c>
      <c r="E68" s="78" t="s">
        <v>67</v>
      </c>
      <c r="F68" s="79" t="s">
        <v>58</v>
      </c>
      <c r="G68" s="80">
        <v>10</v>
      </c>
      <c r="H68" s="89">
        <v>5950</v>
      </c>
      <c r="I68" s="62">
        <f t="shared" si="0"/>
        <v>59500</v>
      </c>
    </row>
    <row r="69" spans="1:9" ht="25.5" x14ac:dyDescent="0.2">
      <c r="A69" s="60">
        <v>60</v>
      </c>
      <c r="B69" s="59"/>
      <c r="C69" s="61" t="s">
        <v>57</v>
      </c>
      <c r="D69" s="77">
        <v>295</v>
      </c>
      <c r="E69" s="78" t="s">
        <v>66</v>
      </c>
      <c r="F69" s="79" t="s">
        <v>58</v>
      </c>
      <c r="G69" s="80">
        <v>10</v>
      </c>
      <c r="H69" s="89">
        <v>5950</v>
      </c>
      <c r="I69" s="62">
        <f t="shared" si="0"/>
        <v>59500</v>
      </c>
    </row>
    <row r="70" spans="1:9" ht="25.5" x14ac:dyDescent="0.2">
      <c r="A70" s="60">
        <v>61</v>
      </c>
      <c r="B70" s="59"/>
      <c r="C70" s="61" t="s">
        <v>57</v>
      </c>
      <c r="D70" s="77">
        <v>295</v>
      </c>
      <c r="E70" s="78" t="s">
        <v>68</v>
      </c>
      <c r="F70" s="79" t="s">
        <v>58</v>
      </c>
      <c r="G70" s="80">
        <v>10</v>
      </c>
      <c r="H70" s="89">
        <v>5950</v>
      </c>
      <c r="I70" s="62">
        <f t="shared" si="0"/>
        <v>59500</v>
      </c>
    </row>
    <row r="71" spans="1:9" ht="25.5" x14ac:dyDescent="0.2">
      <c r="A71" s="60">
        <v>62</v>
      </c>
      <c r="B71" s="59"/>
      <c r="C71" s="61" t="s">
        <v>57</v>
      </c>
      <c r="D71" s="77">
        <v>295</v>
      </c>
      <c r="E71" s="78" t="s">
        <v>69</v>
      </c>
      <c r="F71" s="79" t="s">
        <v>58</v>
      </c>
      <c r="G71" s="80">
        <v>10</v>
      </c>
      <c r="H71" s="89">
        <v>5950</v>
      </c>
      <c r="I71" s="62">
        <f t="shared" si="0"/>
        <v>59500</v>
      </c>
    </row>
    <row r="72" spans="1:9" ht="25.5" x14ac:dyDescent="0.2">
      <c r="A72" s="60">
        <v>63</v>
      </c>
      <c r="B72" s="59"/>
      <c r="C72" s="61" t="s">
        <v>57</v>
      </c>
      <c r="D72" s="77">
        <v>295</v>
      </c>
      <c r="E72" s="78" t="s">
        <v>129</v>
      </c>
      <c r="F72" s="79" t="s">
        <v>58</v>
      </c>
      <c r="G72" s="80">
        <v>20</v>
      </c>
      <c r="H72" s="89">
        <v>155</v>
      </c>
      <c r="I72" s="62">
        <f t="shared" si="0"/>
        <v>3100</v>
      </c>
    </row>
    <row r="73" spans="1:9" ht="25.5" x14ac:dyDescent="0.2">
      <c r="A73" s="60">
        <v>64</v>
      </c>
      <c r="B73" s="59"/>
      <c r="C73" s="61" t="s">
        <v>57</v>
      </c>
      <c r="D73" s="77">
        <v>295</v>
      </c>
      <c r="E73" s="78" t="s">
        <v>130</v>
      </c>
      <c r="F73" s="79" t="s">
        <v>58</v>
      </c>
      <c r="G73" s="80">
        <v>20</v>
      </c>
      <c r="H73" s="89">
        <v>155</v>
      </c>
      <c r="I73" s="62">
        <f t="shared" si="0"/>
        <v>3100</v>
      </c>
    </row>
    <row r="74" spans="1:9" ht="25.5" x14ac:dyDescent="0.2">
      <c r="A74" s="60">
        <v>65</v>
      </c>
      <c r="B74" s="59"/>
      <c r="C74" s="61" t="s">
        <v>57</v>
      </c>
      <c r="D74" s="77">
        <v>295</v>
      </c>
      <c r="E74" s="78" t="s">
        <v>131</v>
      </c>
      <c r="F74" s="79" t="s">
        <v>58</v>
      </c>
      <c r="G74" s="80">
        <v>20</v>
      </c>
      <c r="H74" s="89">
        <v>155</v>
      </c>
      <c r="I74" s="62">
        <f t="shared" si="0"/>
        <v>3100</v>
      </c>
    </row>
    <row r="75" spans="1:9" ht="25.5" x14ac:dyDescent="0.2">
      <c r="A75" s="60">
        <v>66</v>
      </c>
      <c r="B75" s="59"/>
      <c r="C75" s="61" t="s">
        <v>57</v>
      </c>
      <c r="D75" s="77">
        <v>295</v>
      </c>
      <c r="E75" s="78" t="s">
        <v>132</v>
      </c>
      <c r="F75" s="79" t="s">
        <v>58</v>
      </c>
      <c r="G75" s="80">
        <v>20</v>
      </c>
      <c r="H75" s="89">
        <v>155</v>
      </c>
      <c r="I75" s="62">
        <f t="shared" si="0"/>
        <v>3100</v>
      </c>
    </row>
    <row r="76" spans="1:9" ht="25.5" x14ac:dyDescent="0.2">
      <c r="A76" s="60">
        <v>67</v>
      </c>
      <c r="B76" s="59"/>
      <c r="C76" s="61" t="s">
        <v>57</v>
      </c>
      <c r="D76" s="77">
        <v>295</v>
      </c>
      <c r="E76" s="78" t="s">
        <v>133</v>
      </c>
      <c r="F76" s="79" t="s">
        <v>58</v>
      </c>
      <c r="G76" s="80">
        <v>20</v>
      </c>
      <c r="H76" s="89">
        <v>155</v>
      </c>
      <c r="I76" s="62">
        <f t="shared" si="0"/>
        <v>3100</v>
      </c>
    </row>
    <row r="77" spans="1:9" ht="25.5" x14ac:dyDescent="0.2">
      <c r="A77" s="60">
        <v>68</v>
      </c>
      <c r="B77" s="59"/>
      <c r="C77" s="61" t="s">
        <v>57</v>
      </c>
      <c r="D77" s="77">
        <v>295</v>
      </c>
      <c r="E77" s="78" t="s">
        <v>134</v>
      </c>
      <c r="F77" s="79" t="s">
        <v>58</v>
      </c>
      <c r="G77" s="80">
        <v>20</v>
      </c>
      <c r="H77" s="89">
        <v>155</v>
      </c>
      <c r="I77" s="62">
        <f t="shared" si="0"/>
        <v>3100</v>
      </c>
    </row>
    <row r="78" spans="1:9" ht="25.5" x14ac:dyDescent="0.2">
      <c r="A78" s="60">
        <v>69</v>
      </c>
      <c r="B78" s="59"/>
      <c r="C78" s="61" t="s">
        <v>57</v>
      </c>
      <c r="D78" s="77">
        <v>295</v>
      </c>
      <c r="E78" s="78" t="s">
        <v>135</v>
      </c>
      <c r="F78" s="79" t="s">
        <v>58</v>
      </c>
      <c r="G78" s="80">
        <v>30</v>
      </c>
      <c r="H78" s="89">
        <v>310</v>
      </c>
      <c r="I78" s="62">
        <f t="shared" si="0"/>
        <v>9300</v>
      </c>
    </row>
    <row r="79" spans="1:9" ht="25.5" x14ac:dyDescent="0.2">
      <c r="A79" s="60">
        <v>70</v>
      </c>
      <c r="B79" s="59"/>
      <c r="C79" s="61" t="s">
        <v>57</v>
      </c>
      <c r="D79" s="77">
        <v>295</v>
      </c>
      <c r="E79" s="78" t="s">
        <v>136</v>
      </c>
      <c r="F79" s="79" t="s">
        <v>58</v>
      </c>
      <c r="G79" s="80">
        <v>30</v>
      </c>
      <c r="H79" s="89">
        <v>230</v>
      </c>
      <c r="I79" s="62">
        <f t="shared" si="0"/>
        <v>6900</v>
      </c>
    </row>
    <row r="80" spans="1:9" ht="25.5" x14ac:dyDescent="0.2">
      <c r="A80" s="60">
        <v>71</v>
      </c>
      <c r="B80" s="59"/>
      <c r="C80" s="61" t="s">
        <v>57</v>
      </c>
      <c r="D80" s="77">
        <v>295</v>
      </c>
      <c r="E80" s="78" t="s">
        <v>137</v>
      </c>
      <c r="F80" s="79" t="s">
        <v>58</v>
      </c>
      <c r="G80" s="80">
        <v>30</v>
      </c>
      <c r="H80" s="89">
        <v>690</v>
      </c>
      <c r="I80" s="62">
        <f t="shared" si="0"/>
        <v>20700</v>
      </c>
    </row>
    <row r="81" spans="1:9" ht="25.5" x14ac:dyDescent="0.2">
      <c r="A81" s="60">
        <v>72</v>
      </c>
      <c r="B81" s="59"/>
      <c r="C81" s="61" t="s">
        <v>57</v>
      </c>
      <c r="D81" s="77">
        <v>295</v>
      </c>
      <c r="E81" s="78" t="s">
        <v>138</v>
      </c>
      <c r="F81" s="79" t="s">
        <v>58</v>
      </c>
      <c r="G81" s="80">
        <v>30</v>
      </c>
      <c r="H81" s="84">
        <v>1020</v>
      </c>
      <c r="I81" s="62">
        <f t="shared" ref="I81:I83" si="1">+G81*H81</f>
        <v>30600</v>
      </c>
    </row>
    <row r="82" spans="1:9" ht="25.5" x14ac:dyDescent="0.2">
      <c r="A82" s="60">
        <v>73</v>
      </c>
      <c r="B82" s="59"/>
      <c r="C82" s="61" t="s">
        <v>57</v>
      </c>
      <c r="D82" s="77">
        <v>295</v>
      </c>
      <c r="E82" s="78" t="s">
        <v>139</v>
      </c>
      <c r="F82" s="79" t="s">
        <v>58</v>
      </c>
      <c r="G82" s="80">
        <v>30</v>
      </c>
      <c r="H82" s="84">
        <v>1459</v>
      </c>
      <c r="I82" s="62">
        <f t="shared" si="1"/>
        <v>43770</v>
      </c>
    </row>
    <row r="83" spans="1:9" ht="25.5" x14ac:dyDescent="0.2">
      <c r="A83" s="60">
        <v>74</v>
      </c>
      <c r="B83" s="59"/>
      <c r="C83" s="61" t="s">
        <v>57</v>
      </c>
      <c r="D83" s="77">
        <v>295</v>
      </c>
      <c r="E83" s="78" t="s">
        <v>140</v>
      </c>
      <c r="F83" s="79" t="s">
        <v>58</v>
      </c>
      <c r="G83" s="80">
        <v>30</v>
      </c>
      <c r="H83" s="84">
        <v>399</v>
      </c>
      <c r="I83" s="62">
        <f t="shared" si="1"/>
        <v>11970</v>
      </c>
    </row>
    <row r="84" spans="1:9" ht="13.5" thickBot="1" x14ac:dyDescent="0.25">
      <c r="I84" s="33"/>
    </row>
    <row r="85" spans="1:9" x14ac:dyDescent="0.2">
      <c r="B85" s="72" t="s">
        <v>60</v>
      </c>
      <c r="C85" s="29"/>
      <c r="D85" s="29"/>
      <c r="E85" s="30"/>
      <c r="I85" s="33"/>
    </row>
    <row r="86" spans="1:9" ht="13.5" customHeight="1" x14ac:dyDescent="0.2">
      <c r="B86" s="107" t="s">
        <v>61</v>
      </c>
      <c r="C86" s="108"/>
      <c r="D86" s="108"/>
      <c r="E86" s="109"/>
    </row>
    <row r="87" spans="1:9" ht="25.5" customHeight="1" x14ac:dyDescent="0.2">
      <c r="B87" s="107"/>
      <c r="C87" s="108"/>
      <c r="D87" s="108"/>
      <c r="E87" s="109"/>
      <c r="F87" s="31"/>
      <c r="G87" s="32"/>
    </row>
    <row r="88" spans="1:9" ht="13.5" customHeight="1" x14ac:dyDescent="0.2">
      <c r="B88" s="107" t="s">
        <v>154</v>
      </c>
      <c r="C88" s="108"/>
      <c r="D88" s="108"/>
      <c r="E88" s="109"/>
      <c r="F88" s="31"/>
      <c r="G88" s="32"/>
    </row>
    <row r="89" spans="1:9" ht="13.5" thickBot="1" x14ac:dyDescent="0.25">
      <c r="B89" s="73" t="s">
        <v>141</v>
      </c>
      <c r="C89" s="74"/>
      <c r="D89" s="75"/>
      <c r="E89" s="76"/>
      <c r="F89" s="31"/>
      <c r="G89" s="32"/>
    </row>
    <row r="90" spans="1:9" ht="12" customHeight="1" thickBot="1" x14ac:dyDescent="0.25"/>
    <row r="91" spans="1:9" x14ac:dyDescent="0.2">
      <c r="B91" s="100" t="s">
        <v>152</v>
      </c>
      <c r="C91" s="29"/>
      <c r="D91" s="29"/>
      <c r="E91" s="30"/>
    </row>
    <row r="92" spans="1:9" x14ac:dyDescent="0.2">
      <c r="B92" s="101" t="s">
        <v>151</v>
      </c>
      <c r="C92" s="32"/>
      <c r="D92" s="32"/>
      <c r="E92" s="102"/>
    </row>
    <row r="93" spans="1:9" ht="13.5" thickBot="1" x14ac:dyDescent="0.25">
      <c r="B93" s="103" t="s">
        <v>153</v>
      </c>
      <c r="C93" s="104"/>
      <c r="D93" s="104"/>
      <c r="E93" s="105"/>
    </row>
  </sheetData>
  <autoFilter ref="A9:I79"/>
  <mergeCells count="10">
    <mergeCell ref="B2:H2"/>
    <mergeCell ref="A4:B4"/>
    <mergeCell ref="C4:E4"/>
    <mergeCell ref="A5:B5"/>
    <mergeCell ref="C5:E5"/>
    <mergeCell ref="B93:E93"/>
    <mergeCell ref="A6:B6"/>
    <mergeCell ref="A7:B7"/>
    <mergeCell ref="B86:E87"/>
    <mergeCell ref="B88:E88"/>
  </mergeCells>
  <conditionalFormatting sqref="E32">
    <cfRule type="expression" dxfId="0" priority="1">
      <formula>ROW()=CELL("fila")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86"/>
  <sheetViews>
    <sheetView topLeftCell="A49" zoomScale="80" zoomScaleNormal="80" workbookViewId="0">
      <selection activeCell="C57" sqref="C57:G57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113" t="s">
        <v>14</v>
      </c>
      <c r="B1" s="113"/>
      <c r="C1" s="113"/>
      <c r="D1" s="113"/>
      <c r="E1" s="113"/>
      <c r="F1" s="113"/>
      <c r="G1" s="113"/>
      <c r="H1" s="113"/>
      <c r="I1" s="113"/>
      <c r="J1" s="34" t="s">
        <v>15</v>
      </c>
      <c r="K1" s="35" t="s">
        <v>143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114" t="s">
        <v>48</v>
      </c>
      <c r="B3" s="114"/>
      <c r="C3" s="114"/>
      <c r="D3" s="115" t="str">
        <f>'Necesidades Trimestrales'!C4</f>
        <v>040 - Ministerio de Salud</v>
      </c>
      <c r="E3" s="115"/>
      <c r="F3" s="115"/>
      <c r="G3" s="115"/>
      <c r="H3" s="115"/>
      <c r="I3" s="115"/>
      <c r="J3" s="115"/>
      <c r="K3" s="115"/>
    </row>
    <row r="4" spans="1:11" ht="18.75" customHeight="1" thickBot="1" x14ac:dyDescent="0.25">
      <c r="A4" s="116" t="s">
        <v>49</v>
      </c>
      <c r="B4" s="116"/>
      <c r="C4" s="116"/>
      <c r="D4" s="115" t="str">
        <f>'Necesidades Trimestrales'!C5</f>
        <v>024 - Hospital Interzonal de Niños</v>
      </c>
      <c r="E4" s="115"/>
      <c r="F4" s="115"/>
      <c r="G4" s="115"/>
      <c r="H4" s="115"/>
      <c r="I4" s="115"/>
      <c r="J4" s="115"/>
      <c r="K4" s="115"/>
    </row>
    <row r="5" spans="1:11" ht="18.75" customHeight="1" thickBot="1" x14ac:dyDescent="0.25">
      <c r="A5" s="116" t="s">
        <v>27</v>
      </c>
      <c r="B5" s="116"/>
      <c r="C5" s="116"/>
      <c r="D5" s="115" t="s">
        <v>51</v>
      </c>
      <c r="E5" s="115"/>
      <c r="F5" s="115"/>
      <c r="G5" s="115"/>
      <c r="H5" s="115"/>
      <c r="I5" s="115"/>
      <c r="J5" s="115"/>
      <c r="K5" s="115"/>
    </row>
    <row r="6" spans="1:11" ht="16.5" customHeight="1" thickBot="1" x14ac:dyDescent="0.25">
      <c r="A6" s="114" t="s">
        <v>50</v>
      </c>
      <c r="B6" s="114"/>
      <c r="C6" s="114"/>
      <c r="D6" s="115" t="s">
        <v>56</v>
      </c>
      <c r="E6" s="115"/>
      <c r="F6" s="115"/>
      <c r="G6" s="115"/>
      <c r="H6" s="115"/>
      <c r="I6" s="115"/>
      <c r="J6" s="115"/>
      <c r="K6" s="115"/>
    </row>
    <row r="7" spans="1:11" ht="16.5" customHeight="1" x14ac:dyDescent="0.2">
      <c r="A7" s="116" t="s">
        <v>16</v>
      </c>
      <c r="B7" s="116"/>
      <c r="C7" s="116"/>
      <c r="D7" s="115" t="s">
        <v>142</v>
      </c>
      <c r="E7" s="115"/>
      <c r="F7" s="115"/>
      <c r="G7" s="115"/>
      <c r="H7" s="115"/>
      <c r="I7" s="115"/>
      <c r="J7" s="115"/>
      <c r="K7" s="115"/>
    </row>
    <row r="8" spans="1:11" ht="16.5" customHeight="1" x14ac:dyDescent="0.2">
      <c r="A8" s="121" t="s">
        <v>17</v>
      </c>
      <c r="B8" s="121"/>
      <c r="C8" s="121"/>
      <c r="D8" s="117" t="s">
        <v>146</v>
      </c>
      <c r="E8" s="117"/>
      <c r="F8" s="117"/>
      <c r="G8" s="117"/>
      <c r="H8" s="117"/>
      <c r="I8" s="117"/>
      <c r="J8" s="117"/>
      <c r="K8" s="117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18" t="s">
        <v>18</v>
      </c>
      <c r="B10" s="119" t="s">
        <v>19</v>
      </c>
      <c r="C10" s="119" t="s">
        <v>20</v>
      </c>
      <c r="D10" s="119"/>
      <c r="E10" s="119"/>
      <c r="F10" s="119"/>
      <c r="G10" s="119"/>
      <c r="H10" s="119" t="s">
        <v>21</v>
      </c>
      <c r="I10" s="119" t="s">
        <v>22</v>
      </c>
      <c r="J10" s="119" t="s">
        <v>23</v>
      </c>
      <c r="K10" s="120" t="s">
        <v>24</v>
      </c>
    </row>
    <row r="11" spans="1:11" ht="24" customHeight="1" thickBot="1" x14ac:dyDescent="0.25">
      <c r="A11" s="118"/>
      <c r="B11" s="119"/>
      <c r="C11" s="119"/>
      <c r="D11" s="119"/>
      <c r="E11" s="119"/>
      <c r="F11" s="119"/>
      <c r="G11" s="119"/>
      <c r="H11" s="119"/>
      <c r="I11" s="119"/>
      <c r="J11" s="119"/>
      <c r="K11" s="120"/>
    </row>
    <row r="12" spans="1:11" ht="27.75" customHeight="1" x14ac:dyDescent="0.2">
      <c r="A12" s="63">
        <v>1</v>
      </c>
      <c r="B12" s="64"/>
      <c r="C12" s="112" t="str">
        <f>'Necesidades Trimestrales'!E10</f>
        <v>AGUJA ESPINAL 18 G X 3-1/2</v>
      </c>
      <c r="D12" s="112"/>
      <c r="E12" s="112"/>
      <c r="F12" s="112"/>
      <c r="G12" s="112"/>
      <c r="H12" s="67" t="s">
        <v>54</v>
      </c>
      <c r="I12" s="68" t="str">
        <f>'Necesidades Trimestrales'!F10</f>
        <v xml:space="preserve">UNIDAD   </v>
      </c>
      <c r="J12" s="66">
        <f>'Necesidades Trimestrales'!H10</f>
        <v>102</v>
      </c>
      <c r="K12" s="65">
        <f>'Necesidades Trimestrales'!G10</f>
        <v>200</v>
      </c>
    </row>
    <row r="13" spans="1:11" ht="27.75" customHeight="1" x14ac:dyDescent="0.2">
      <c r="A13" s="63">
        <v>2</v>
      </c>
      <c r="B13" s="64"/>
      <c r="C13" s="112" t="str">
        <f>'Necesidades Trimestrales'!E11</f>
        <v>AGUJA ESPINAL 19 G 3-1/2</v>
      </c>
      <c r="D13" s="112"/>
      <c r="E13" s="112"/>
      <c r="F13" s="112"/>
      <c r="G13" s="112"/>
      <c r="H13" s="67" t="s">
        <v>54</v>
      </c>
      <c r="I13" s="68" t="str">
        <f>'Necesidades Trimestrales'!F11</f>
        <v xml:space="preserve">UNIDAD   </v>
      </c>
      <c r="J13" s="66">
        <f>'Necesidades Trimestrales'!H11</f>
        <v>102</v>
      </c>
      <c r="K13" s="65">
        <f>'Necesidades Trimestrales'!G11</f>
        <v>200</v>
      </c>
    </row>
    <row r="14" spans="1:11" ht="27.75" customHeight="1" x14ac:dyDescent="0.2">
      <c r="A14" s="63">
        <v>3</v>
      </c>
      <c r="B14" s="64"/>
      <c r="C14" s="112" t="str">
        <f>'Necesidades Trimestrales'!E12</f>
        <v>Aguja ESPINAL 21 G 3 1/2 PUNTA LAPIZ</v>
      </c>
      <c r="D14" s="112"/>
      <c r="E14" s="112"/>
      <c r="F14" s="112"/>
      <c r="G14" s="112"/>
      <c r="H14" s="67" t="s">
        <v>54</v>
      </c>
      <c r="I14" s="68" t="str">
        <f>'Necesidades Trimestrales'!F12</f>
        <v xml:space="preserve">UNIDAD   </v>
      </c>
      <c r="J14" s="66">
        <f>'Necesidades Trimestrales'!H12</f>
        <v>189</v>
      </c>
      <c r="K14" s="65">
        <f>'Necesidades Trimestrales'!G12</f>
        <v>200</v>
      </c>
    </row>
    <row r="15" spans="1:11" ht="27.75" customHeight="1" x14ac:dyDescent="0.2">
      <c r="A15" s="63">
        <v>4</v>
      </c>
      <c r="B15" s="64"/>
      <c r="C15" s="112" t="str">
        <f>'Necesidades Trimestrales'!E13</f>
        <v>AGUJA ESPINAL 22 G X 1</v>
      </c>
      <c r="D15" s="112"/>
      <c r="E15" s="112"/>
      <c r="F15" s="112"/>
      <c r="G15" s="112"/>
      <c r="H15" s="67" t="s">
        <v>54</v>
      </c>
      <c r="I15" s="68" t="str">
        <f>'Necesidades Trimestrales'!F13</f>
        <v xml:space="preserve">UNIDAD   </v>
      </c>
      <c r="J15" s="66">
        <f>'Necesidades Trimestrales'!H13</f>
        <v>102</v>
      </c>
      <c r="K15" s="65">
        <f>'Necesidades Trimestrales'!G13</f>
        <v>200</v>
      </c>
    </row>
    <row r="16" spans="1:11" ht="27.75" customHeight="1" x14ac:dyDescent="0.2">
      <c r="A16" s="63">
        <v>5</v>
      </c>
      <c r="B16" s="64"/>
      <c r="C16" s="112" t="str">
        <f>'Necesidades Trimestrales'!E14</f>
        <v>Aguja ESPINAL 23 G 3 1/2 PUNTA LAPIZ</v>
      </c>
      <c r="D16" s="112"/>
      <c r="E16" s="112"/>
      <c r="F16" s="112"/>
      <c r="G16" s="112"/>
      <c r="H16" s="67" t="s">
        <v>54</v>
      </c>
      <c r="I16" s="68" t="str">
        <f>'Necesidades Trimestrales'!F14</f>
        <v xml:space="preserve">UNIDAD   </v>
      </c>
      <c r="J16" s="66">
        <f>'Necesidades Trimestrales'!H14</f>
        <v>189</v>
      </c>
      <c r="K16" s="65">
        <f>'Necesidades Trimestrales'!G14</f>
        <v>200</v>
      </c>
    </row>
    <row r="17" spans="1:14" ht="27.75" customHeight="1" x14ac:dyDescent="0.2">
      <c r="A17" s="63">
        <v>6</v>
      </c>
      <c r="B17" s="64"/>
      <c r="C17" s="112" t="str">
        <f>'Necesidades Trimestrales'!E15</f>
        <v>AGUJA ESPINAL 25G 31/2 PUNTA LAPIZ</v>
      </c>
      <c r="D17" s="112"/>
      <c r="E17" s="112"/>
      <c r="F17" s="112"/>
      <c r="G17" s="112"/>
      <c r="H17" s="67" t="s">
        <v>54</v>
      </c>
      <c r="I17" s="68" t="str">
        <f>'Necesidades Trimestrales'!F15</f>
        <v xml:space="preserve">UNIDAD   </v>
      </c>
      <c r="J17" s="66">
        <f>'Necesidades Trimestrales'!H15</f>
        <v>189</v>
      </c>
      <c r="K17" s="65">
        <f>'Necesidades Trimestrales'!G15</f>
        <v>200</v>
      </c>
    </row>
    <row r="18" spans="1:14" ht="27.75" customHeight="1" x14ac:dyDescent="0.2">
      <c r="A18" s="63">
        <v>7</v>
      </c>
      <c r="B18" s="64"/>
      <c r="C18" s="112" t="str">
        <f>'Necesidades Trimestrales'!E16</f>
        <v>Aguja ESPINAL 26 G 31/2  PUNTA LAPIZ</v>
      </c>
      <c r="D18" s="112"/>
      <c r="E18" s="112"/>
      <c r="F18" s="112"/>
      <c r="G18" s="112"/>
      <c r="H18" s="67" t="s">
        <v>54</v>
      </c>
      <c r="I18" s="68" t="str">
        <f>'Necesidades Trimestrales'!F16</f>
        <v xml:space="preserve">UNIDAD   </v>
      </c>
      <c r="J18" s="66">
        <f>'Necesidades Trimestrales'!H16</f>
        <v>189</v>
      </c>
      <c r="K18" s="65">
        <f>'Necesidades Trimestrales'!G16</f>
        <v>200</v>
      </c>
    </row>
    <row r="19" spans="1:14" ht="27.75" customHeight="1" x14ac:dyDescent="0.2">
      <c r="A19" s="63">
        <v>8</v>
      </c>
      <c r="B19" s="64"/>
      <c r="C19" s="112" t="str">
        <f>'Necesidades Trimestrales'!E17</f>
        <v xml:space="preserve">AGUJA ESPINAL 27G 3 1/2 PUNTA LAPIZ </v>
      </c>
      <c r="D19" s="112"/>
      <c r="E19" s="112"/>
      <c r="F19" s="112"/>
      <c r="G19" s="112"/>
      <c r="H19" s="67" t="s">
        <v>54</v>
      </c>
      <c r="I19" s="68" t="str">
        <f>'Necesidades Trimestrales'!F17</f>
        <v xml:space="preserve">UNIDAD   </v>
      </c>
      <c r="J19" s="66">
        <f>'Necesidades Trimestrales'!H17</f>
        <v>189</v>
      </c>
      <c r="K19" s="65">
        <f>'Necesidades Trimestrales'!G17</f>
        <v>250</v>
      </c>
    </row>
    <row r="20" spans="1:14" ht="27.75" customHeight="1" x14ac:dyDescent="0.2">
      <c r="A20" s="63">
        <v>9</v>
      </c>
      <c r="B20" s="64"/>
      <c r="C20" s="112" t="str">
        <f>'Necesidades Trimestrales'!E18</f>
        <v>AGUJA GA 213/8 X 12</v>
      </c>
      <c r="D20" s="112"/>
      <c r="E20" s="112"/>
      <c r="F20" s="112"/>
      <c r="G20" s="112"/>
      <c r="H20" s="67" t="s">
        <v>54</v>
      </c>
      <c r="I20" s="68" t="str">
        <f>'Necesidades Trimestrales'!F18</f>
        <v>BOLSA</v>
      </c>
      <c r="J20" s="66">
        <f>'Necesidades Trimestrales'!H18</f>
        <v>1384</v>
      </c>
      <c r="K20" s="65">
        <f>'Necesidades Trimestrales'!G18</f>
        <v>2</v>
      </c>
    </row>
    <row r="21" spans="1:14" ht="27.75" customHeight="1" x14ac:dyDescent="0.2">
      <c r="A21" s="63">
        <v>10</v>
      </c>
      <c r="B21" s="71"/>
      <c r="C21" s="112" t="str">
        <f>'Necesidades Trimestrales'!E19</f>
        <v>AGUJA GA 213/9 X  12</v>
      </c>
      <c r="D21" s="112"/>
      <c r="E21" s="112"/>
      <c r="F21" s="112"/>
      <c r="G21" s="112"/>
      <c r="H21" s="67" t="s">
        <v>54</v>
      </c>
      <c r="I21" s="68" t="str">
        <f>'Necesidades Trimestrales'!F19</f>
        <v>BOLSA</v>
      </c>
      <c r="J21" s="66">
        <f>'Necesidades Trimestrales'!H19</f>
        <v>1384</v>
      </c>
      <c r="K21" s="65">
        <f>'Necesidades Trimestrales'!G19</f>
        <v>2</v>
      </c>
    </row>
    <row r="22" spans="1:14" ht="27.75" customHeight="1" x14ac:dyDescent="0.2">
      <c r="A22" s="63">
        <v>11</v>
      </c>
      <c r="B22" s="71"/>
      <c r="C22" s="112" t="str">
        <f>'Necesidades Trimestrales'!E20</f>
        <v>AGUJA GA 311/12 X   12</v>
      </c>
      <c r="D22" s="112"/>
      <c r="E22" s="112"/>
      <c r="F22" s="112"/>
      <c r="G22" s="112"/>
      <c r="H22" s="67" t="s">
        <v>54</v>
      </c>
      <c r="I22" s="68" t="str">
        <f>'Necesidades Trimestrales'!F20</f>
        <v>BOLSA</v>
      </c>
      <c r="J22" s="66">
        <f>'Necesidades Trimestrales'!H20</f>
        <v>1384</v>
      </c>
      <c r="K22" s="65">
        <f>'Necesidades Trimestrales'!G20</f>
        <v>2</v>
      </c>
    </row>
    <row r="23" spans="1:14" ht="27.75" customHeight="1" x14ac:dyDescent="0.2">
      <c r="A23" s="63">
        <v>12</v>
      </c>
      <c r="B23" s="71"/>
      <c r="C23" s="112" t="str">
        <f>'Necesidades Trimestrales'!E21</f>
        <v>AGUJA GA 311/6 X 12</v>
      </c>
      <c r="D23" s="112"/>
      <c r="E23" s="112"/>
      <c r="F23" s="112"/>
      <c r="G23" s="112"/>
      <c r="H23" s="67" t="s">
        <v>54</v>
      </c>
      <c r="I23" s="68" t="str">
        <f>'Necesidades Trimestrales'!F21</f>
        <v>BOLSA</v>
      </c>
      <c r="J23" s="66">
        <f>'Necesidades Trimestrales'!H21</f>
        <v>1384</v>
      </c>
      <c r="K23" s="65">
        <f>'Necesidades Trimestrales'!G21</f>
        <v>2</v>
      </c>
    </row>
    <row r="24" spans="1:14" ht="27.75" customHeight="1" x14ac:dyDescent="0.2">
      <c r="A24" s="63">
        <v>13</v>
      </c>
      <c r="B24" s="71"/>
      <c r="C24" s="112" t="str">
        <f>'Necesidades Trimestrales'!E22</f>
        <v>AGUJA GA 313/8 X 12</v>
      </c>
      <c r="D24" s="112"/>
      <c r="E24" s="112"/>
      <c r="F24" s="112"/>
      <c r="G24" s="112"/>
      <c r="H24" s="67" t="s">
        <v>54</v>
      </c>
      <c r="I24" s="68" t="str">
        <f>'Necesidades Trimestrales'!F22</f>
        <v>BOLSA</v>
      </c>
      <c r="J24" s="66">
        <f>'Necesidades Trimestrales'!H22</f>
        <v>1384</v>
      </c>
      <c r="K24" s="65">
        <f>'Necesidades Trimestrales'!G22</f>
        <v>2</v>
      </c>
    </row>
    <row r="25" spans="1:14" ht="27.75" customHeight="1" x14ac:dyDescent="0.2">
      <c r="A25" s="63">
        <v>14</v>
      </c>
      <c r="B25" s="71"/>
      <c r="C25" s="112" t="str">
        <f>'Necesidades Trimestrales'!E23</f>
        <v>AGUJA P/SUTURA CURVAS CV 310 X 12 UNID.</v>
      </c>
      <c r="D25" s="112"/>
      <c r="E25" s="112"/>
      <c r="F25" s="112"/>
      <c r="G25" s="112"/>
      <c r="H25" s="67" t="s">
        <v>54</v>
      </c>
      <c r="I25" s="68" t="str">
        <f>'Necesidades Trimestrales'!F23</f>
        <v>BOLSA</v>
      </c>
      <c r="J25" s="66">
        <f>'Necesidades Trimestrales'!H23</f>
        <v>1384</v>
      </c>
      <c r="K25" s="65">
        <f>'Necesidades Trimestrales'!G23</f>
        <v>2</v>
      </c>
    </row>
    <row r="26" spans="1:14" ht="27.75" customHeight="1" x14ac:dyDescent="0.2">
      <c r="A26" s="63">
        <v>15</v>
      </c>
      <c r="B26" s="71"/>
      <c r="C26" s="112" t="str">
        <f>'Necesidades Trimestrales'!E24</f>
        <v>AGUJA P/SUTURA RECTA X 12 unidades</v>
      </c>
      <c r="D26" s="112"/>
      <c r="E26" s="112"/>
      <c r="F26" s="112"/>
      <c r="G26" s="112"/>
      <c r="H26" s="67" t="s">
        <v>54</v>
      </c>
      <c r="I26" s="68" t="str">
        <f>'Necesidades Trimestrales'!F24</f>
        <v>BOLSA</v>
      </c>
      <c r="J26" s="66">
        <f>'Necesidades Trimestrales'!H24</f>
        <v>1680</v>
      </c>
      <c r="K26" s="65">
        <f>'Necesidades Trimestrales'!G24</f>
        <v>2</v>
      </c>
    </row>
    <row r="27" spans="1:14" ht="27.75" customHeight="1" x14ac:dyDescent="0.2">
      <c r="A27" s="63">
        <v>16</v>
      </c>
      <c r="B27" s="71"/>
      <c r="C27" s="112" t="str">
        <f>'Necesidades Trimestrales'!E25</f>
        <v>AGUJA POLY PORT CON PUNTA T/HUBER 619</v>
      </c>
      <c r="D27" s="112"/>
      <c r="E27" s="112"/>
      <c r="F27" s="112"/>
      <c r="G27" s="112"/>
      <c r="H27" s="67" t="s">
        <v>54</v>
      </c>
      <c r="I27" s="68" t="str">
        <f>'Necesidades Trimestrales'!F25</f>
        <v>UNIDAD</v>
      </c>
      <c r="J27" s="66">
        <f>'Necesidades Trimestrales'!H25</f>
        <v>230</v>
      </c>
      <c r="K27" s="65">
        <f>'Necesidades Trimestrales'!G25</f>
        <v>200</v>
      </c>
    </row>
    <row r="28" spans="1:14" ht="27.75" customHeight="1" x14ac:dyDescent="0.2">
      <c r="A28" s="63">
        <v>17</v>
      </c>
      <c r="B28" s="71"/>
      <c r="C28" s="112" t="str">
        <f>'Necesidades Trimestrales'!E26</f>
        <v>AGUJA POLY PORT CON PUNTA T/HUBER 621</v>
      </c>
      <c r="D28" s="112"/>
      <c r="E28" s="112"/>
      <c r="F28" s="112"/>
      <c r="G28" s="112"/>
      <c r="H28" s="67" t="s">
        <v>54</v>
      </c>
      <c r="I28" s="68" t="str">
        <f>'Necesidades Trimestrales'!F26</f>
        <v>UNIDAD</v>
      </c>
      <c r="J28" s="66">
        <f>'Necesidades Trimestrales'!H26</f>
        <v>230</v>
      </c>
      <c r="K28" s="65">
        <f>'Necesidades Trimestrales'!G26</f>
        <v>200</v>
      </c>
    </row>
    <row r="29" spans="1:14" ht="27.75" customHeight="1" x14ac:dyDescent="0.2">
      <c r="A29" s="63">
        <v>18</v>
      </c>
      <c r="B29" s="71"/>
      <c r="C29" s="112" t="str">
        <f>'Necesidades Trimestrales'!E27</f>
        <v>AGUJA POLY PORT CON PUNTA T/HUBER 623</v>
      </c>
      <c r="D29" s="112"/>
      <c r="E29" s="112"/>
      <c r="F29" s="112"/>
      <c r="G29" s="112"/>
      <c r="H29" s="67" t="s">
        <v>54</v>
      </c>
      <c r="I29" s="68" t="str">
        <f>'Necesidades Trimestrales'!F27</f>
        <v>UNIDAD</v>
      </c>
      <c r="J29" s="66">
        <f>'Necesidades Trimestrales'!H27</f>
        <v>230</v>
      </c>
      <c r="K29" s="65">
        <f>'Necesidades Trimestrales'!G27</f>
        <v>200</v>
      </c>
    </row>
    <row r="30" spans="1:14" ht="27.75" customHeight="1" x14ac:dyDescent="0.2">
      <c r="A30" s="63">
        <v>19</v>
      </c>
      <c r="B30" s="71"/>
      <c r="C30" s="112" t="str">
        <f>'Necesidades Trimestrales'!E28</f>
        <v>ANTEOJOS ANTI HIV X 1</v>
      </c>
      <c r="D30" s="112"/>
      <c r="E30" s="112"/>
      <c r="F30" s="112"/>
      <c r="G30" s="112"/>
      <c r="H30" s="67" t="s">
        <v>54</v>
      </c>
      <c r="I30" s="68" t="str">
        <f>'Necesidades Trimestrales'!F28</f>
        <v>UNIDAD</v>
      </c>
      <c r="J30" s="66">
        <f>'Necesidades Trimestrales'!H28</f>
        <v>250</v>
      </c>
      <c r="K30" s="65">
        <f>'Necesidades Trimestrales'!G28</f>
        <v>200</v>
      </c>
    </row>
    <row r="31" spans="1:14" ht="27.75" customHeight="1" x14ac:dyDescent="0.2">
      <c r="A31" s="63">
        <v>20</v>
      </c>
      <c r="B31" s="71"/>
      <c r="C31" s="112" t="str">
        <f>'Necesidades Trimestrales'!E29</f>
        <v>BOLSA P/ANESTESIA NORMAL X 1LTS.</v>
      </c>
      <c r="D31" s="112"/>
      <c r="E31" s="112"/>
      <c r="F31" s="112"/>
      <c r="G31" s="112"/>
      <c r="H31" s="67" t="s">
        <v>54</v>
      </c>
      <c r="I31" s="68" t="str">
        <f>'Necesidades Trimestrales'!F29</f>
        <v>UNIDAD</v>
      </c>
      <c r="J31" s="66">
        <f>'Necesidades Trimestrales'!H29</f>
        <v>990</v>
      </c>
      <c r="K31" s="65">
        <f>'Necesidades Trimestrales'!G29</f>
        <v>12</v>
      </c>
      <c r="N31" s="36" t="s">
        <v>55</v>
      </c>
    </row>
    <row r="32" spans="1:14" ht="27.75" customHeight="1" x14ac:dyDescent="0.2">
      <c r="A32" s="63">
        <v>21</v>
      </c>
      <c r="B32" s="71"/>
      <c r="C32" s="112" t="str">
        <f>'Necesidades Trimestrales'!E30</f>
        <v>BOLSA P/ANESTESIA NORMAL X 2LTS.</v>
      </c>
      <c r="D32" s="112"/>
      <c r="E32" s="112"/>
      <c r="F32" s="112"/>
      <c r="G32" s="112"/>
      <c r="H32" s="67" t="s">
        <v>54</v>
      </c>
      <c r="I32" s="68" t="str">
        <f>'Necesidades Trimestrales'!F30</f>
        <v>UNIDAD</v>
      </c>
      <c r="J32" s="66">
        <f>'Necesidades Trimestrales'!H30</f>
        <v>990</v>
      </c>
      <c r="K32" s="65">
        <f>'Necesidades Trimestrales'!G30</f>
        <v>12</v>
      </c>
    </row>
    <row r="33" spans="1:11" ht="27.75" customHeight="1" x14ac:dyDescent="0.2">
      <c r="A33" s="63">
        <v>22</v>
      </c>
      <c r="B33" s="71"/>
      <c r="C33" s="112" t="str">
        <f>'Necesidades Trimestrales'!E31</f>
        <v>BOLSA P/ANESTESIA NORMAL X 3LTS.</v>
      </c>
      <c r="D33" s="112"/>
      <c r="E33" s="112"/>
      <c r="F33" s="112"/>
      <c r="G33" s="112"/>
      <c r="H33" s="67" t="s">
        <v>54</v>
      </c>
      <c r="I33" s="68" t="str">
        <f>'Necesidades Trimestrales'!F31</f>
        <v>UNIDAD</v>
      </c>
      <c r="J33" s="66">
        <f>'Necesidades Trimestrales'!H31</f>
        <v>990</v>
      </c>
      <c r="K33" s="65">
        <f>'Necesidades Trimestrales'!G31</f>
        <v>12</v>
      </c>
    </row>
    <row r="34" spans="1:11" ht="27.75" customHeight="1" x14ac:dyDescent="0.2">
      <c r="A34" s="63">
        <v>23</v>
      </c>
      <c r="B34" s="71"/>
      <c r="C34" s="112" t="str">
        <f>'Necesidades Trimestrales'!E32</f>
        <v>BOLSA P/ANESTESIA NORMAL X 4 LTS</v>
      </c>
      <c r="D34" s="112"/>
      <c r="E34" s="112"/>
      <c r="F34" s="112"/>
      <c r="G34" s="112"/>
      <c r="H34" s="67" t="s">
        <v>54</v>
      </c>
      <c r="I34" s="68" t="str">
        <f>'Necesidades Trimestrales'!F32</f>
        <v>UNIDAD</v>
      </c>
      <c r="J34" s="66">
        <f>'Necesidades Trimestrales'!H32</f>
        <v>990</v>
      </c>
      <c r="K34" s="65">
        <f>'Necesidades Trimestrales'!G32</f>
        <v>12</v>
      </c>
    </row>
    <row r="35" spans="1:11" ht="27.75" customHeight="1" x14ac:dyDescent="0.2">
      <c r="A35" s="63">
        <v>24</v>
      </c>
      <c r="B35" s="71"/>
      <c r="C35" s="112" t="str">
        <f>'Necesidades Trimestrales'!E33</f>
        <v>BRAZALETE PNI 1 TUBO  Nº 1  TIPO  WELCH ALLYN/DRAGUER</v>
      </c>
      <c r="D35" s="112"/>
      <c r="E35" s="112"/>
      <c r="F35" s="112"/>
      <c r="G35" s="112"/>
      <c r="H35" s="67" t="s">
        <v>54</v>
      </c>
      <c r="I35" s="68" t="str">
        <f>'Necesidades Trimestrales'!F33</f>
        <v>UNIDAD</v>
      </c>
      <c r="J35" s="66">
        <f>'Necesidades Trimestrales'!H33</f>
        <v>2025</v>
      </c>
      <c r="K35" s="65">
        <f>'Necesidades Trimestrales'!G33</f>
        <v>5</v>
      </c>
    </row>
    <row r="36" spans="1:11" ht="27.75" customHeight="1" x14ac:dyDescent="0.2">
      <c r="A36" s="63">
        <v>25</v>
      </c>
      <c r="B36" s="71"/>
      <c r="C36" s="112" t="str">
        <f>'Necesidades Trimestrales'!E34</f>
        <v>BRAZALETE PNI 1 TUBO  Nº 2  TIPO  WELCH ALLYN/DRAGUER</v>
      </c>
      <c r="D36" s="112"/>
      <c r="E36" s="112"/>
      <c r="F36" s="112"/>
      <c r="G36" s="112"/>
      <c r="H36" s="67" t="s">
        <v>54</v>
      </c>
      <c r="I36" s="68" t="str">
        <f>'Necesidades Trimestrales'!F34</f>
        <v>UNIDAD</v>
      </c>
      <c r="J36" s="66">
        <f>'Necesidades Trimestrales'!H34</f>
        <v>2025</v>
      </c>
      <c r="K36" s="65">
        <f>'Necesidades Trimestrales'!G34</f>
        <v>5</v>
      </c>
    </row>
    <row r="37" spans="1:11" ht="27.75" customHeight="1" x14ac:dyDescent="0.2">
      <c r="A37" s="63">
        <v>26</v>
      </c>
      <c r="B37" s="71"/>
      <c r="C37" s="112" t="str">
        <f>'Necesidades Trimestrales'!E35</f>
        <v>BRAZALETE PNI 1 TUBO  Nº 3  TIPO  WELCH ALLYN/DRAGUER</v>
      </c>
      <c r="D37" s="112"/>
      <c r="E37" s="112"/>
      <c r="F37" s="112"/>
      <c r="G37" s="112"/>
      <c r="H37" s="67" t="s">
        <v>54</v>
      </c>
      <c r="I37" s="68" t="str">
        <f>'Necesidades Trimestrales'!F35</f>
        <v>UNIDAD</v>
      </c>
      <c r="J37" s="66">
        <f>'Necesidades Trimestrales'!H35</f>
        <v>2025</v>
      </c>
      <c r="K37" s="65">
        <f>'Necesidades Trimestrales'!G35</f>
        <v>5</v>
      </c>
    </row>
    <row r="38" spans="1:11" ht="27.75" customHeight="1" x14ac:dyDescent="0.2">
      <c r="A38" s="63">
        <v>27</v>
      </c>
      <c r="B38" s="71"/>
      <c r="C38" s="112" t="str">
        <f>'Necesidades Trimestrales'!E36</f>
        <v>BRAZALETE PNI 1 TUBO  Nº 4  TIPO  WELCH ALLYN/DRAGUER</v>
      </c>
      <c r="D38" s="112"/>
      <c r="E38" s="112"/>
      <c r="F38" s="112"/>
      <c r="G38" s="112"/>
      <c r="H38" s="67" t="s">
        <v>54</v>
      </c>
      <c r="I38" s="68" t="str">
        <f>'Necesidades Trimestrales'!F36</f>
        <v>UNIDAD</v>
      </c>
      <c r="J38" s="66">
        <f>'Necesidades Trimestrales'!H36</f>
        <v>2025</v>
      </c>
      <c r="K38" s="65">
        <f>'Necesidades Trimestrales'!G36</f>
        <v>5</v>
      </c>
    </row>
    <row r="39" spans="1:11" ht="27.75" customHeight="1" x14ac:dyDescent="0.2">
      <c r="A39" s="63">
        <v>28</v>
      </c>
      <c r="B39" s="71"/>
      <c r="C39" s="112" t="str">
        <f>'Necesidades Trimestrales'!E37</f>
        <v>BRAZALETE PNI 2 TUBO  Nº 1  TIPO  WELCH ALLYN/DRAGUER</v>
      </c>
      <c r="D39" s="112"/>
      <c r="E39" s="112"/>
      <c r="F39" s="112"/>
      <c r="G39" s="112"/>
      <c r="H39" s="67" t="s">
        <v>54</v>
      </c>
      <c r="I39" s="68" t="str">
        <f>'Necesidades Trimestrales'!F37</f>
        <v>UNIDAD</v>
      </c>
      <c r="J39" s="66">
        <f>'Necesidades Trimestrales'!H37</f>
        <v>2025</v>
      </c>
      <c r="K39" s="65">
        <f>'Necesidades Trimestrales'!G37</f>
        <v>5</v>
      </c>
    </row>
    <row r="40" spans="1:11" ht="27.75" customHeight="1" x14ac:dyDescent="0.2">
      <c r="A40" s="63">
        <v>29</v>
      </c>
      <c r="B40" s="71"/>
      <c r="C40" s="112" t="str">
        <f>'Necesidades Trimestrales'!E38</f>
        <v>BRAZALETE PNI 2 TUBO  Nº 2  TIPO  WELCH ALLYN/DRAGUER</v>
      </c>
      <c r="D40" s="112"/>
      <c r="E40" s="112"/>
      <c r="F40" s="112"/>
      <c r="G40" s="112"/>
      <c r="H40" s="67" t="s">
        <v>54</v>
      </c>
      <c r="I40" s="68" t="str">
        <f>'Necesidades Trimestrales'!F38</f>
        <v>UNIDAD</v>
      </c>
      <c r="J40" s="66">
        <f>'Necesidades Trimestrales'!H38</f>
        <v>2025</v>
      </c>
      <c r="K40" s="65">
        <f>'Necesidades Trimestrales'!G38</f>
        <v>5</v>
      </c>
    </row>
    <row r="41" spans="1:11" ht="27.75" customHeight="1" x14ac:dyDescent="0.2">
      <c r="A41" s="63">
        <v>30</v>
      </c>
      <c r="B41" s="71"/>
      <c r="C41" s="112" t="str">
        <f>'Necesidades Trimestrales'!E39</f>
        <v>BRAZALETE PNI 2 TUBO  Nº 3  TIPO  WELCH ALLYN/DRAGUER</v>
      </c>
      <c r="D41" s="112"/>
      <c r="E41" s="112"/>
      <c r="F41" s="112"/>
      <c r="G41" s="112"/>
      <c r="H41" s="67" t="s">
        <v>54</v>
      </c>
      <c r="I41" s="68" t="str">
        <f>'Necesidades Trimestrales'!F39</f>
        <v>UNIDAD</v>
      </c>
      <c r="J41" s="66">
        <f>'Necesidades Trimestrales'!H39</f>
        <v>2025</v>
      </c>
      <c r="K41" s="65">
        <f>'Necesidades Trimestrales'!G39</f>
        <v>5</v>
      </c>
    </row>
    <row r="42" spans="1:11" ht="27.75" customHeight="1" x14ac:dyDescent="0.2">
      <c r="A42" s="63">
        <v>31</v>
      </c>
      <c r="B42" s="71"/>
      <c r="C42" s="112" t="str">
        <f>'Necesidades Trimestrales'!E40</f>
        <v>BRAZALETE PNI 2 TUBO  Nº 4  TIPO  WELCH ALLYN/DRAGUER</v>
      </c>
      <c r="D42" s="112"/>
      <c r="E42" s="112"/>
      <c r="F42" s="112"/>
      <c r="G42" s="112"/>
      <c r="H42" s="67" t="s">
        <v>54</v>
      </c>
      <c r="I42" s="68" t="str">
        <f>'Necesidades Trimestrales'!F40</f>
        <v>UNIDAD</v>
      </c>
      <c r="J42" s="66">
        <f>'Necesidades Trimestrales'!H40</f>
        <v>2025</v>
      </c>
      <c r="K42" s="65">
        <f>'Necesidades Trimestrales'!G40</f>
        <v>5</v>
      </c>
    </row>
    <row r="43" spans="1:11" ht="27.75" customHeight="1" x14ac:dyDescent="0.2">
      <c r="A43" s="63">
        <v>32</v>
      </c>
      <c r="B43" s="71"/>
      <c r="C43" s="112" t="str">
        <f>'Necesidades Trimestrales'!E41</f>
        <v>CANULA DE ASPIRACION DE CAMPO QUIRURGICO TIPO K 66</v>
      </c>
      <c r="D43" s="112"/>
      <c r="E43" s="112"/>
      <c r="F43" s="112"/>
      <c r="G43" s="112"/>
      <c r="H43" s="67" t="s">
        <v>54</v>
      </c>
      <c r="I43" s="68" t="str">
        <f>'Necesidades Trimestrales'!F41</f>
        <v>UNIDAD</v>
      </c>
      <c r="J43" s="66">
        <f>'Necesidades Trimestrales'!H41</f>
        <v>320</v>
      </c>
      <c r="K43" s="65">
        <f>'Necesidades Trimestrales'!G41</f>
        <v>2000</v>
      </c>
    </row>
    <row r="44" spans="1:11" ht="27.75" customHeight="1" x14ac:dyDescent="0.2">
      <c r="A44" s="63">
        <v>33</v>
      </c>
      <c r="B44" s="71"/>
      <c r="C44" s="112" t="str">
        <f>'Necesidades Trimestrales'!E42</f>
        <v>CARTUCHO ARTERIAL I-STAT • EG7+ caja x 25 unidades</v>
      </c>
      <c r="D44" s="112"/>
      <c r="E44" s="112"/>
      <c r="F44" s="112"/>
      <c r="G44" s="112"/>
      <c r="H44" s="67" t="s">
        <v>54</v>
      </c>
      <c r="I44" s="68" t="str">
        <f>'Necesidades Trimestrales'!F42</f>
        <v>CAJA</v>
      </c>
      <c r="J44" s="66">
        <f>'Necesidades Trimestrales'!H42</f>
        <v>92285.8</v>
      </c>
      <c r="K44" s="65">
        <f>'Necesidades Trimestrales'!G42</f>
        <v>1</v>
      </c>
    </row>
    <row r="45" spans="1:11" ht="27.75" customHeight="1" x14ac:dyDescent="0.2">
      <c r="A45" s="63">
        <v>34</v>
      </c>
      <c r="B45" s="71"/>
      <c r="C45" s="112" t="str">
        <f>'Necesidades Trimestrales'!E43</f>
        <v>ESTETOSCOPIO ADULTO TIPO 3 M LITTMANN CLASIC</v>
      </c>
      <c r="D45" s="112"/>
      <c r="E45" s="112"/>
      <c r="F45" s="112"/>
      <c r="G45" s="112"/>
      <c r="H45" s="67" t="s">
        <v>54</v>
      </c>
      <c r="I45" s="68" t="str">
        <f>'Necesidades Trimestrales'!F43</f>
        <v>UNIDAD</v>
      </c>
      <c r="J45" s="66">
        <f>'Necesidades Trimestrales'!H43</f>
        <v>15000</v>
      </c>
      <c r="K45" s="65">
        <f>'Necesidades Trimestrales'!G43</f>
        <v>20</v>
      </c>
    </row>
    <row r="46" spans="1:11" ht="27.75" customHeight="1" x14ac:dyDescent="0.2">
      <c r="A46" s="63">
        <v>35</v>
      </c>
      <c r="B46" s="71"/>
      <c r="C46" s="112" t="str">
        <f>'Necesidades Trimestrales'!E44</f>
        <v>ESTETOSCOPIO PEDIATRICO TIPO 3 M LITTMANN CLASIC</v>
      </c>
      <c r="D46" s="112"/>
      <c r="E46" s="112"/>
      <c r="F46" s="112"/>
      <c r="G46" s="112"/>
      <c r="H46" s="67" t="s">
        <v>54</v>
      </c>
      <c r="I46" s="68" t="str">
        <f>'Necesidades Trimestrales'!F44</f>
        <v>UNIDAD</v>
      </c>
      <c r="J46" s="66">
        <f>'Necesidades Trimestrales'!H44</f>
        <v>15000</v>
      </c>
      <c r="K46" s="65">
        <f>'Necesidades Trimestrales'!G44</f>
        <v>20</v>
      </c>
    </row>
    <row r="47" spans="1:11" ht="27.75" customHeight="1" x14ac:dyDescent="0.2">
      <c r="A47" s="63">
        <v>36</v>
      </c>
      <c r="B47" s="71"/>
      <c r="C47" s="112" t="str">
        <f>'Necesidades Trimestrales'!E45</f>
        <v>JUEGO DE TRANSDUCTOR TIPO EDWARD</v>
      </c>
      <c r="D47" s="112"/>
      <c r="E47" s="112"/>
      <c r="F47" s="112"/>
      <c r="G47" s="112"/>
      <c r="H47" s="67" t="s">
        <v>54</v>
      </c>
      <c r="I47" s="68" t="str">
        <f>'Necesidades Trimestrales'!F45</f>
        <v>UNIDAD</v>
      </c>
      <c r="J47" s="66">
        <f>'Necesidades Trimestrales'!H45</f>
        <v>3570</v>
      </c>
      <c r="K47" s="65">
        <f>'Necesidades Trimestrales'!G45</f>
        <v>60</v>
      </c>
    </row>
    <row r="48" spans="1:11" ht="27.75" customHeight="1" x14ac:dyDescent="0.2">
      <c r="A48" s="63">
        <v>37</v>
      </c>
      <c r="B48" s="71"/>
      <c r="C48" s="112" t="str">
        <f>'Necesidades Trimestrales'!E46</f>
        <v>LIQUIDO FIJADOR PARA PROCESO AUTOMATICO 2 x 20 litros</v>
      </c>
      <c r="D48" s="112"/>
      <c r="E48" s="112"/>
      <c r="F48" s="112"/>
      <c r="G48" s="112"/>
      <c r="H48" s="67" t="s">
        <v>54</v>
      </c>
      <c r="I48" s="68" t="str">
        <f>'Necesidades Trimestrales'!F46</f>
        <v>CAJA</v>
      </c>
      <c r="J48" s="66">
        <f>'Necesidades Trimestrales'!H46</f>
        <v>6460</v>
      </c>
      <c r="K48" s="65">
        <f>'Necesidades Trimestrales'!G46</f>
        <v>2</v>
      </c>
    </row>
    <row r="49" spans="1:15" ht="27.75" customHeight="1" x14ac:dyDescent="0.2">
      <c r="A49" s="63">
        <v>38</v>
      </c>
      <c r="B49" s="71"/>
      <c r="C49" s="112" t="str">
        <f>'Necesidades Trimestrales'!E47</f>
        <v>LIQUIDO REVELADOR PARA PROCESO AUTOMATICO 2 x 20 litros</v>
      </c>
      <c r="D49" s="112"/>
      <c r="E49" s="112"/>
      <c r="F49" s="112"/>
      <c r="G49" s="112"/>
      <c r="H49" s="67" t="s">
        <v>54</v>
      </c>
      <c r="I49" s="68" t="str">
        <f>'Necesidades Trimestrales'!F47</f>
        <v>CAJA</v>
      </c>
      <c r="J49" s="66">
        <f>'Necesidades Trimestrales'!H47</f>
        <v>9185</v>
      </c>
      <c r="K49" s="65">
        <f>'Necesidades Trimestrales'!G47</f>
        <v>2</v>
      </c>
    </row>
    <row r="50" spans="1:15" ht="27.75" customHeight="1" x14ac:dyDescent="0.2">
      <c r="A50" s="63">
        <v>39</v>
      </c>
      <c r="B50" s="71"/>
      <c r="C50" s="112" t="str">
        <f>'Necesidades Trimestrales'!E48</f>
        <v>MASCARA LARINGEA N° 1 REUTILIZABLES</v>
      </c>
      <c r="D50" s="112"/>
      <c r="E50" s="112"/>
      <c r="F50" s="112"/>
      <c r="G50" s="112"/>
      <c r="H50" s="67" t="s">
        <v>54</v>
      </c>
      <c r="I50" s="68" t="str">
        <f>'Necesidades Trimestrales'!F48</f>
        <v>UNIDAD</v>
      </c>
      <c r="J50" s="66">
        <f>'Necesidades Trimestrales'!H48</f>
        <v>3540</v>
      </c>
      <c r="K50" s="65">
        <f>'Necesidades Trimestrales'!G48</f>
        <v>10</v>
      </c>
    </row>
    <row r="51" spans="1:15" ht="27.75" customHeight="1" x14ac:dyDescent="0.2">
      <c r="A51" s="63">
        <v>40</v>
      </c>
      <c r="B51" s="71"/>
      <c r="C51" s="112" t="str">
        <f>'Necesidades Trimestrales'!E49</f>
        <v>MASCARA LARINGEA N°2 REUTILIZABLES</v>
      </c>
      <c r="D51" s="112"/>
      <c r="E51" s="112"/>
      <c r="F51" s="112"/>
      <c r="G51" s="112"/>
      <c r="H51" s="67" t="s">
        <v>54</v>
      </c>
      <c r="I51" s="68" t="str">
        <f>'Necesidades Trimestrales'!F49</f>
        <v>UNIDAD</v>
      </c>
      <c r="J51" s="66">
        <f>'Necesidades Trimestrales'!H49</f>
        <v>3540</v>
      </c>
      <c r="K51" s="65">
        <f>'Necesidades Trimestrales'!G49</f>
        <v>10</v>
      </c>
    </row>
    <row r="52" spans="1:15" ht="27.75" customHeight="1" x14ac:dyDescent="0.2">
      <c r="A52" s="63">
        <v>41</v>
      </c>
      <c r="B52" s="71"/>
      <c r="C52" s="112" t="str">
        <f>'Necesidades Trimestrales'!E50</f>
        <v>MASCARA LARINGEA N°3 REUTILIZABLES</v>
      </c>
      <c r="D52" s="112"/>
      <c r="E52" s="112"/>
      <c r="F52" s="112"/>
      <c r="G52" s="112"/>
      <c r="H52" s="67" t="s">
        <v>54</v>
      </c>
      <c r="I52" s="68" t="str">
        <f>'Necesidades Trimestrales'!F50</f>
        <v>UNIDAD</v>
      </c>
      <c r="J52" s="66">
        <f>'Necesidades Trimestrales'!H50</f>
        <v>3540</v>
      </c>
      <c r="K52" s="65">
        <f>'Necesidades Trimestrales'!G50</f>
        <v>10</v>
      </c>
    </row>
    <row r="53" spans="1:15" ht="27.75" customHeight="1" x14ac:dyDescent="0.2">
      <c r="A53" s="63">
        <v>42</v>
      </c>
      <c r="B53" s="71"/>
      <c r="C53" s="112" t="str">
        <f>'Necesidades Trimestrales'!E51</f>
        <v>MASCARA LARINGEA N°4 REUTILIZABLES</v>
      </c>
      <c r="D53" s="112"/>
      <c r="E53" s="112"/>
      <c r="F53" s="112"/>
      <c r="G53" s="112"/>
      <c r="H53" s="67" t="s">
        <v>54</v>
      </c>
      <c r="I53" s="68" t="str">
        <f>'Necesidades Trimestrales'!F51</f>
        <v>UNIDAD</v>
      </c>
      <c r="J53" s="66">
        <f>'Necesidades Trimestrales'!H51</f>
        <v>3540</v>
      </c>
      <c r="K53" s="65">
        <f>'Necesidades Trimestrales'!G51</f>
        <v>10</v>
      </c>
    </row>
    <row r="54" spans="1:15" ht="27.75" customHeight="1" x14ac:dyDescent="0.2">
      <c r="A54" s="63">
        <v>43</v>
      </c>
      <c r="B54" s="71"/>
      <c r="C54" s="112" t="str">
        <f>'Necesidades Trimestrales'!E52</f>
        <v>PAPEL ECG RESMA 80X70 MM TIPO ESAOTE</v>
      </c>
      <c r="D54" s="112"/>
      <c r="E54" s="112"/>
      <c r="F54" s="112"/>
      <c r="G54" s="112"/>
      <c r="H54" s="67" t="s">
        <v>54</v>
      </c>
      <c r="I54" s="68" t="str">
        <f>'Necesidades Trimestrales'!F52</f>
        <v>RESMA</v>
      </c>
      <c r="J54" s="66">
        <f>'Necesidades Trimestrales'!H52</f>
        <v>580</v>
      </c>
      <c r="K54" s="65">
        <f>'Necesidades Trimestrales'!G52</f>
        <v>350</v>
      </c>
    </row>
    <row r="55" spans="1:15" ht="27.75" customHeight="1" x14ac:dyDescent="0.2">
      <c r="A55" s="63">
        <v>44</v>
      </c>
      <c r="B55" s="71"/>
      <c r="C55" s="112" t="str">
        <f>'Necesidades Trimestrales'!E53</f>
        <v>PAPEL PARA ECOGRAFIA TIPO UPP 110 S SONY</v>
      </c>
      <c r="D55" s="112"/>
      <c r="E55" s="112"/>
      <c r="F55" s="112"/>
      <c r="G55" s="112"/>
      <c r="H55" s="67" t="s">
        <v>54</v>
      </c>
      <c r="I55" s="68" t="str">
        <f>'Necesidades Trimestrales'!F53</f>
        <v>ROLLO</v>
      </c>
      <c r="J55" s="66">
        <f>'Necesidades Trimestrales'!H53</f>
        <v>2120</v>
      </c>
      <c r="K55" s="65">
        <f>'Necesidades Trimestrales'!G53</f>
        <v>150</v>
      </c>
    </row>
    <row r="56" spans="1:15" ht="27.75" customHeight="1" x14ac:dyDescent="0.2">
      <c r="A56" s="63">
        <v>45</v>
      </c>
      <c r="B56" s="71"/>
      <c r="C56" s="112" t="str">
        <f>'Necesidades Trimestrales'!E54</f>
        <v>PAPEL PARA ELECTROCARDIOGRAMA 50 X 30</v>
      </c>
      <c r="D56" s="112"/>
      <c r="E56" s="112"/>
      <c r="F56" s="112"/>
      <c r="G56" s="112"/>
      <c r="H56" s="67" t="s">
        <v>54</v>
      </c>
      <c r="I56" s="68" t="str">
        <f>'Necesidades Trimestrales'!F54</f>
        <v>ROLLO</v>
      </c>
      <c r="J56" s="66">
        <f>'Necesidades Trimestrales'!H54</f>
        <v>165</v>
      </c>
      <c r="K56" s="65">
        <f>'Necesidades Trimestrales'!G54</f>
        <v>200</v>
      </c>
    </row>
    <row r="57" spans="1:15" ht="27.75" customHeight="1" x14ac:dyDescent="0.2">
      <c r="A57" s="63">
        <v>46</v>
      </c>
      <c r="B57" s="71"/>
      <c r="C57" s="112" t="str">
        <f>'Necesidades Trimestrales'!E55</f>
        <v>PAPEL PARA ELECTROCARDIOGRAFO PAGE WRITER TRIM RESMA TIPO PHILIPS 210 mm x 300 mm x 100 hojas</v>
      </c>
      <c r="D57" s="112"/>
      <c r="E57" s="112"/>
      <c r="F57" s="112"/>
      <c r="G57" s="112"/>
      <c r="H57" s="67" t="s">
        <v>54</v>
      </c>
      <c r="I57" s="68" t="str">
        <f>'Necesidades Trimestrales'!F55</f>
        <v>RESMA</v>
      </c>
      <c r="J57" s="66">
        <f>'Necesidades Trimestrales'!H55</f>
        <v>1315.875</v>
      </c>
      <c r="K57" s="65">
        <f>'Necesidades Trimestrales'!G55</f>
        <v>5</v>
      </c>
      <c r="O57" s="36" t="s">
        <v>55</v>
      </c>
    </row>
    <row r="58" spans="1:15" ht="27.75" customHeight="1" x14ac:dyDescent="0.2">
      <c r="A58" s="63">
        <v>47</v>
      </c>
      <c r="B58" s="71"/>
      <c r="C58" s="112" t="str">
        <f>'Necesidades Trimestrales'!E56</f>
        <v>PASTA CONDUCTORA PARA ELECTRODOS X 226 GRS</v>
      </c>
      <c r="D58" s="112"/>
      <c r="E58" s="112"/>
      <c r="F58" s="112"/>
      <c r="G58" s="112"/>
      <c r="H58" s="67" t="s">
        <v>54</v>
      </c>
      <c r="I58" s="68" t="str">
        <f>'Necesidades Trimestrales'!F56</f>
        <v>UNIDAD</v>
      </c>
      <c r="J58" s="66">
        <f>'Necesidades Trimestrales'!H56</f>
        <v>6050</v>
      </c>
      <c r="K58" s="65">
        <f>'Necesidades Trimestrales'!G56</f>
        <v>40</v>
      </c>
    </row>
    <row r="59" spans="1:15" ht="27.75" customHeight="1" x14ac:dyDescent="0.2">
      <c r="A59" s="63">
        <v>48</v>
      </c>
      <c r="B59" s="71"/>
      <c r="C59" s="112" t="str">
        <f>'Necesidades Trimestrales'!E57</f>
        <v>PASTA CONDUCTORA PARA ELECTRODOS X 400 GRS</v>
      </c>
      <c r="D59" s="112"/>
      <c r="E59" s="112"/>
      <c r="F59" s="112"/>
      <c r="G59" s="112"/>
      <c r="H59" s="67" t="s">
        <v>54</v>
      </c>
      <c r="I59" s="68" t="str">
        <f>'Necesidades Trimestrales'!F57</f>
        <v>UNIDAD</v>
      </c>
      <c r="J59" s="66">
        <f>'Necesidades Trimestrales'!H57</f>
        <v>9500</v>
      </c>
      <c r="K59" s="65">
        <f>'Necesidades Trimestrales'!G57</f>
        <v>20</v>
      </c>
    </row>
    <row r="60" spans="1:15" ht="27.75" customHeight="1" x14ac:dyDescent="0.2">
      <c r="A60" s="63">
        <v>49</v>
      </c>
      <c r="B60" s="71"/>
      <c r="C60" s="112" t="str">
        <f>'Necesidades Trimestrales'!E58</f>
        <v>PLACAS RADIOGRAFICAS 24 X 30 SENSIBLE AL VERDE X 100 UNIDADES</v>
      </c>
      <c r="D60" s="112"/>
      <c r="E60" s="112"/>
      <c r="F60" s="112"/>
      <c r="G60" s="112"/>
      <c r="H60" s="67" t="s">
        <v>54</v>
      </c>
      <c r="I60" s="68" t="str">
        <f>'Necesidades Trimestrales'!F58</f>
        <v>CAJA</v>
      </c>
      <c r="J60" s="66">
        <f>'Necesidades Trimestrales'!H58</f>
        <v>7945</v>
      </c>
      <c r="K60" s="65">
        <f>'Necesidades Trimestrales'!G58</f>
        <v>5</v>
      </c>
    </row>
    <row r="61" spans="1:15" ht="27.75" customHeight="1" x14ac:dyDescent="0.2">
      <c r="A61" s="63">
        <v>50</v>
      </c>
      <c r="B61" s="71"/>
      <c r="C61" s="112" t="str">
        <f>'Necesidades Trimestrales'!E59</f>
        <v>SENSOR ADULTO DESCARTABLE TIPO NELLCOR COVIDIEN X 12</v>
      </c>
      <c r="D61" s="112"/>
      <c r="E61" s="112"/>
      <c r="F61" s="112"/>
      <c r="G61" s="112"/>
      <c r="H61" s="67" t="s">
        <v>54</v>
      </c>
      <c r="I61" s="68" t="str">
        <f>'Necesidades Trimestrales'!F59</f>
        <v>CAJA</v>
      </c>
      <c r="J61" s="66">
        <f>'Necesidades Trimestrales'!H59</f>
        <v>1950</v>
      </c>
      <c r="K61" s="65">
        <f>'Necesidades Trimestrales'!G59</f>
        <v>10</v>
      </c>
    </row>
    <row r="62" spans="1:15" ht="27.75" customHeight="1" x14ac:dyDescent="0.2">
      <c r="A62" s="63">
        <v>51</v>
      </c>
      <c r="B62" s="71"/>
      <c r="C62" s="112" t="str">
        <f>'Necesidades Trimestrales'!E60</f>
        <v xml:space="preserve">SENSOR NEONATAL DESCARTABLE TIPO NELLCOR COVIDIEN X 12 </v>
      </c>
      <c r="D62" s="112"/>
      <c r="E62" s="112"/>
      <c r="F62" s="112"/>
      <c r="G62" s="112"/>
      <c r="H62" s="67" t="s">
        <v>54</v>
      </c>
      <c r="I62" s="68" t="str">
        <f>'Necesidades Trimestrales'!F60</f>
        <v>CAJA</v>
      </c>
      <c r="J62" s="66">
        <f>'Necesidades Trimestrales'!H60</f>
        <v>1950</v>
      </c>
      <c r="K62" s="65">
        <f>'Necesidades Trimestrales'!G60</f>
        <v>10</v>
      </c>
    </row>
    <row r="63" spans="1:15" ht="27.75" customHeight="1" x14ac:dyDescent="0.2">
      <c r="A63" s="63">
        <v>52</v>
      </c>
      <c r="B63" s="71"/>
      <c r="C63" s="112" t="str">
        <f>'Necesidades Trimestrales'!E61</f>
        <v>SENSOR P/SATUROMETRIA PEDIATRICO REUTILIZABLE 04-15KG T/PHILIPS</v>
      </c>
      <c r="D63" s="112"/>
      <c r="E63" s="112"/>
      <c r="F63" s="112"/>
      <c r="G63" s="112"/>
      <c r="H63" s="67" t="s">
        <v>54</v>
      </c>
      <c r="I63" s="68" t="str">
        <f>'Necesidades Trimestrales'!F61</f>
        <v>UNIDAD</v>
      </c>
      <c r="J63" s="66">
        <f>'Necesidades Trimestrales'!H61</f>
        <v>15070</v>
      </c>
      <c r="K63" s="65">
        <f>'Necesidades Trimestrales'!G61</f>
        <v>10</v>
      </c>
    </row>
    <row r="64" spans="1:15" ht="27.75" customHeight="1" x14ac:dyDescent="0.2">
      <c r="A64" s="63">
        <v>53</v>
      </c>
      <c r="B64" s="71"/>
      <c r="C64" s="112" t="str">
        <f>'Necesidades Trimestrales'!E62</f>
        <v>SENSOR P/SATUROMETRIA PEDIATRICO REUTILIZABLE 15-50KG T/PHILIPS</v>
      </c>
      <c r="D64" s="112"/>
      <c r="E64" s="112"/>
      <c r="F64" s="112"/>
      <c r="G64" s="112"/>
      <c r="H64" s="67" t="s">
        <v>54</v>
      </c>
      <c r="I64" s="68" t="str">
        <f>'Necesidades Trimestrales'!F62</f>
        <v>UNIDAD</v>
      </c>
      <c r="J64" s="66">
        <f>'Necesidades Trimestrales'!H62</f>
        <v>15070</v>
      </c>
      <c r="K64" s="65">
        <f>'Necesidades Trimestrales'!G62</f>
        <v>10</v>
      </c>
    </row>
    <row r="65" spans="1:11" ht="27.75" customHeight="1" x14ac:dyDescent="0.2">
      <c r="A65" s="63">
        <v>54</v>
      </c>
      <c r="B65" s="71"/>
      <c r="C65" s="112" t="str">
        <f>'Necesidades Trimestrales'!E63</f>
        <v>TENSIOMETRO ANAEROIDE +ESTETOSCOPIO ADULTO X 1</v>
      </c>
      <c r="D65" s="112"/>
      <c r="E65" s="112"/>
      <c r="F65" s="112"/>
      <c r="G65" s="112"/>
      <c r="H65" s="67" t="s">
        <v>54</v>
      </c>
      <c r="I65" s="68" t="str">
        <f>'Necesidades Trimestrales'!F63</f>
        <v>UNIDAD</v>
      </c>
      <c r="J65" s="66">
        <f>'Necesidades Trimestrales'!H63</f>
        <v>1540</v>
      </c>
      <c r="K65" s="65">
        <f>'Necesidades Trimestrales'!G63</f>
        <v>20</v>
      </c>
    </row>
    <row r="66" spans="1:11" ht="27.75" customHeight="1" x14ac:dyDescent="0.2">
      <c r="A66" s="63">
        <v>55</v>
      </c>
      <c r="B66" s="71"/>
      <c r="C66" s="112" t="str">
        <f>'Necesidades Trimestrales'!E64</f>
        <v>TENSIOMETRO ANAEROIDE +ESTETOSCOPIO PEDIATRICO X 1</v>
      </c>
      <c r="D66" s="112"/>
      <c r="E66" s="112"/>
      <c r="F66" s="112"/>
      <c r="G66" s="112"/>
      <c r="H66" s="67" t="s">
        <v>54</v>
      </c>
      <c r="I66" s="68" t="str">
        <f>'Necesidades Trimestrales'!F64</f>
        <v>UNIDAD</v>
      </c>
      <c r="J66" s="66">
        <f>'Necesidades Trimestrales'!H64</f>
        <v>1540</v>
      </c>
      <c r="K66" s="65">
        <f>'Necesidades Trimestrales'!G64</f>
        <v>20</v>
      </c>
    </row>
    <row r="67" spans="1:11" ht="27.75" customHeight="1" x14ac:dyDescent="0.2">
      <c r="A67" s="63">
        <v>56</v>
      </c>
      <c r="B67" s="71"/>
      <c r="C67" s="112" t="str">
        <f>'Necesidades Trimestrales'!E65</f>
        <v>TIRAS REACTIVAS PARA DETERMINACION GLUCOSA X 50 UNIDADES</v>
      </c>
      <c r="D67" s="112"/>
      <c r="E67" s="112"/>
      <c r="F67" s="112"/>
      <c r="G67" s="112"/>
      <c r="H67" s="67" t="s">
        <v>54</v>
      </c>
      <c r="I67" s="68" t="str">
        <f>'Necesidades Trimestrales'!F65</f>
        <v>CAJA</v>
      </c>
      <c r="J67" s="66">
        <f>'Necesidades Trimestrales'!H65</f>
        <v>2843.5</v>
      </c>
      <c r="K67" s="65">
        <f>'Necesidades Trimestrales'!G65</f>
        <v>300</v>
      </c>
    </row>
    <row r="68" spans="1:11" ht="27.75" customHeight="1" x14ac:dyDescent="0.2">
      <c r="A68" s="63">
        <v>57</v>
      </c>
      <c r="B68" s="71"/>
      <c r="C68" s="112" t="str">
        <f>'Necesidades Trimestrales'!E66</f>
        <v>TUBO DE INTUBACION SELECTIVA DERECHO CH 25</v>
      </c>
      <c r="D68" s="112"/>
      <c r="E68" s="112"/>
      <c r="F68" s="112"/>
      <c r="G68" s="112"/>
      <c r="H68" s="67" t="s">
        <v>54</v>
      </c>
      <c r="I68" s="68" t="str">
        <f>'Necesidades Trimestrales'!F66</f>
        <v>UNIDAD</v>
      </c>
      <c r="J68" s="66">
        <f>'Necesidades Trimestrales'!H66</f>
        <v>5950</v>
      </c>
      <c r="K68" s="65">
        <f>'Necesidades Trimestrales'!G66</f>
        <v>10</v>
      </c>
    </row>
    <row r="69" spans="1:11" ht="27.75" customHeight="1" x14ac:dyDescent="0.2">
      <c r="A69" s="63">
        <v>58</v>
      </c>
      <c r="B69" s="71"/>
      <c r="C69" s="112" t="str">
        <f>'Necesidades Trimestrales'!E67</f>
        <v>TUBO DE INTUBACION SELECTIVA DERECHO CH 35</v>
      </c>
      <c r="D69" s="112"/>
      <c r="E69" s="112"/>
      <c r="F69" s="112"/>
      <c r="G69" s="112"/>
      <c r="H69" s="67" t="s">
        <v>54</v>
      </c>
      <c r="I69" s="68" t="str">
        <f>'Necesidades Trimestrales'!F67</f>
        <v>UNIDAD</v>
      </c>
      <c r="J69" s="66">
        <f>'Necesidades Trimestrales'!H67</f>
        <v>5950</v>
      </c>
      <c r="K69" s="65">
        <f>'Necesidades Trimestrales'!G67</f>
        <v>10</v>
      </c>
    </row>
    <row r="70" spans="1:11" ht="27.75" customHeight="1" x14ac:dyDescent="0.2">
      <c r="A70" s="63">
        <v>59</v>
      </c>
      <c r="B70" s="71"/>
      <c r="C70" s="112" t="str">
        <f>'Necesidades Trimestrales'!E68</f>
        <v>TUBO DE INTUBACION SELECTIVA DERECHO CH 37</v>
      </c>
      <c r="D70" s="112"/>
      <c r="E70" s="112"/>
      <c r="F70" s="112"/>
      <c r="G70" s="112"/>
      <c r="H70" s="67" t="s">
        <v>54</v>
      </c>
      <c r="I70" s="68" t="str">
        <f>'Necesidades Trimestrales'!F68</f>
        <v>UNIDAD</v>
      </c>
      <c r="J70" s="66">
        <f>'Necesidades Trimestrales'!H68</f>
        <v>5950</v>
      </c>
      <c r="K70" s="65">
        <f>'Necesidades Trimestrales'!G68</f>
        <v>10</v>
      </c>
    </row>
    <row r="71" spans="1:11" ht="27.75" customHeight="1" x14ac:dyDescent="0.2">
      <c r="A71" s="63">
        <v>60</v>
      </c>
      <c r="B71" s="71"/>
      <c r="C71" s="112" t="str">
        <f>'Necesidades Trimestrales'!E69</f>
        <v>TUBO DE INTUBACION SELECTIVA IZQUIERDO CH 25</v>
      </c>
      <c r="D71" s="112"/>
      <c r="E71" s="112"/>
      <c r="F71" s="112"/>
      <c r="G71" s="112"/>
      <c r="H71" s="67" t="s">
        <v>54</v>
      </c>
      <c r="I71" s="68" t="str">
        <f>'Necesidades Trimestrales'!F69</f>
        <v>UNIDAD</v>
      </c>
      <c r="J71" s="66">
        <f>'Necesidades Trimestrales'!H69</f>
        <v>5950</v>
      </c>
      <c r="K71" s="65">
        <f>'Necesidades Trimestrales'!G69</f>
        <v>10</v>
      </c>
    </row>
    <row r="72" spans="1:11" ht="27.75" customHeight="1" x14ac:dyDescent="0.2">
      <c r="A72" s="63">
        <v>61</v>
      </c>
      <c r="B72" s="71"/>
      <c r="C72" s="112" t="str">
        <f>'Necesidades Trimestrales'!E70</f>
        <v>TUBO DE INTUBACION SELECTIVA IZQUIERDO CH 35</v>
      </c>
      <c r="D72" s="112"/>
      <c r="E72" s="112"/>
      <c r="F72" s="112"/>
      <c r="G72" s="112"/>
      <c r="H72" s="67" t="s">
        <v>54</v>
      </c>
      <c r="I72" s="68" t="str">
        <f>'Necesidades Trimestrales'!F70</f>
        <v>UNIDAD</v>
      </c>
      <c r="J72" s="66">
        <f>'Necesidades Trimestrales'!H70</f>
        <v>5950</v>
      </c>
      <c r="K72" s="65">
        <f>'Necesidades Trimestrales'!G70</f>
        <v>10</v>
      </c>
    </row>
    <row r="73" spans="1:11" ht="27.75" customHeight="1" x14ac:dyDescent="0.2">
      <c r="A73" s="63">
        <v>62</v>
      </c>
      <c r="B73" s="71"/>
      <c r="C73" s="112" t="str">
        <f>'Necesidades Trimestrales'!E71</f>
        <v>TUBO DE INTUBACION SELECTIVA IZQUIERDO CH 37</v>
      </c>
      <c r="D73" s="112"/>
      <c r="E73" s="112"/>
      <c r="F73" s="112"/>
      <c r="G73" s="112"/>
      <c r="H73" s="67" t="s">
        <v>54</v>
      </c>
      <c r="I73" s="68" t="str">
        <f>'Necesidades Trimestrales'!F71</f>
        <v>UNIDAD</v>
      </c>
      <c r="J73" s="66">
        <f>'Necesidades Trimestrales'!H71</f>
        <v>5950</v>
      </c>
      <c r="K73" s="65">
        <f>'Necesidades Trimestrales'!G71</f>
        <v>10</v>
      </c>
    </row>
    <row r="74" spans="1:11" ht="27.75" customHeight="1" x14ac:dyDescent="0.2">
      <c r="A74" s="63">
        <v>63</v>
      </c>
      <c r="B74" s="71"/>
      <c r="C74" s="112" t="str">
        <f>'Necesidades Trimestrales'!E72</f>
        <v>TUBO DE KHER DE GOMA Nº10</v>
      </c>
      <c r="D74" s="112"/>
      <c r="E74" s="112"/>
      <c r="F74" s="112"/>
      <c r="G74" s="112"/>
      <c r="H74" s="67" t="s">
        <v>54</v>
      </c>
      <c r="I74" s="68" t="str">
        <f>'Necesidades Trimestrales'!F72</f>
        <v>UNIDAD</v>
      </c>
      <c r="J74" s="66">
        <f>'Necesidades Trimestrales'!H72</f>
        <v>155</v>
      </c>
      <c r="K74" s="65">
        <f>'Necesidades Trimestrales'!G72</f>
        <v>20</v>
      </c>
    </row>
    <row r="75" spans="1:11" ht="27.75" customHeight="1" x14ac:dyDescent="0.2">
      <c r="A75" s="63">
        <v>64</v>
      </c>
      <c r="B75" s="71"/>
      <c r="C75" s="112" t="str">
        <f>'Necesidades Trimestrales'!E73</f>
        <v>TUBO DE KHER DE GOMA Nº12</v>
      </c>
      <c r="D75" s="112"/>
      <c r="E75" s="112"/>
      <c r="F75" s="112"/>
      <c r="G75" s="112"/>
      <c r="H75" s="67" t="s">
        <v>54</v>
      </c>
      <c r="I75" s="68" t="str">
        <f>'Necesidades Trimestrales'!F73</f>
        <v>UNIDAD</v>
      </c>
      <c r="J75" s="66">
        <f>'Necesidades Trimestrales'!H73</f>
        <v>155</v>
      </c>
      <c r="K75" s="65">
        <f>'Necesidades Trimestrales'!G73</f>
        <v>20</v>
      </c>
    </row>
    <row r="76" spans="1:11" ht="27.75" customHeight="1" x14ac:dyDescent="0.2">
      <c r="A76" s="63">
        <v>65</v>
      </c>
      <c r="B76" s="71"/>
      <c r="C76" s="112" t="str">
        <f>'Necesidades Trimestrales'!E74</f>
        <v>TUBO DE KHER DE GOMA Nº14</v>
      </c>
      <c r="D76" s="112"/>
      <c r="E76" s="112"/>
      <c r="F76" s="112"/>
      <c r="G76" s="112"/>
      <c r="H76" s="67" t="s">
        <v>54</v>
      </c>
      <c r="I76" s="68" t="str">
        <f>'Necesidades Trimestrales'!F74</f>
        <v>UNIDAD</v>
      </c>
      <c r="J76" s="66">
        <f>'Necesidades Trimestrales'!H74</f>
        <v>155</v>
      </c>
      <c r="K76" s="65">
        <f>'Necesidades Trimestrales'!G74</f>
        <v>20</v>
      </c>
    </row>
    <row r="77" spans="1:11" ht="27.75" customHeight="1" x14ac:dyDescent="0.2">
      <c r="A77" s="63">
        <v>66</v>
      </c>
      <c r="B77" s="71"/>
      <c r="C77" s="112" t="str">
        <f>'Necesidades Trimestrales'!E75</f>
        <v>TUBO DE KHER DE GOMA Nº16</v>
      </c>
      <c r="D77" s="112"/>
      <c r="E77" s="112"/>
      <c r="F77" s="112"/>
      <c r="G77" s="112"/>
      <c r="H77" s="67" t="s">
        <v>54</v>
      </c>
      <c r="I77" s="68" t="str">
        <f>'Necesidades Trimestrales'!F75</f>
        <v>UNIDAD</v>
      </c>
      <c r="J77" s="66">
        <f>'Necesidades Trimestrales'!H75</f>
        <v>155</v>
      </c>
      <c r="K77" s="65">
        <f>'Necesidades Trimestrales'!G75</f>
        <v>20</v>
      </c>
    </row>
    <row r="78" spans="1:11" ht="27.75" customHeight="1" x14ac:dyDescent="0.2">
      <c r="A78" s="63">
        <v>67</v>
      </c>
      <c r="B78" s="71"/>
      <c r="C78" s="112" t="str">
        <f>'Necesidades Trimestrales'!E76</f>
        <v>TUBO DE KHER DE GOMA Nº18</v>
      </c>
      <c r="D78" s="112"/>
      <c r="E78" s="112"/>
      <c r="F78" s="112"/>
      <c r="G78" s="112"/>
      <c r="H78" s="67" t="s">
        <v>54</v>
      </c>
      <c r="I78" s="68" t="str">
        <f>'Necesidades Trimestrales'!F76</f>
        <v>UNIDAD</v>
      </c>
      <c r="J78" s="66">
        <f>'Necesidades Trimestrales'!H76</f>
        <v>155</v>
      </c>
      <c r="K78" s="65">
        <f>'Necesidades Trimestrales'!G76</f>
        <v>20</v>
      </c>
    </row>
    <row r="79" spans="1:11" ht="27.75" customHeight="1" x14ac:dyDescent="0.2">
      <c r="A79" s="63">
        <v>68</v>
      </c>
      <c r="B79" s="71"/>
      <c r="C79" s="112" t="str">
        <f>'Necesidades Trimestrales'!E77</f>
        <v>TUBO DE KHER DE GOMA Nº20</v>
      </c>
      <c r="D79" s="112"/>
      <c r="E79" s="112"/>
      <c r="F79" s="112"/>
      <c r="G79" s="112"/>
      <c r="H79" s="67" t="s">
        <v>54</v>
      </c>
      <c r="I79" s="68" t="str">
        <f>'Necesidades Trimestrales'!F77</f>
        <v>UNIDAD</v>
      </c>
      <c r="J79" s="66">
        <f>'Necesidades Trimestrales'!H77</f>
        <v>155</v>
      </c>
      <c r="K79" s="65">
        <f>'Necesidades Trimestrales'!G77</f>
        <v>20</v>
      </c>
    </row>
    <row r="80" spans="1:11" ht="27.75" customHeight="1" x14ac:dyDescent="0.2">
      <c r="A80" s="63">
        <v>69</v>
      </c>
      <c r="B80" s="71"/>
      <c r="C80" s="112" t="str">
        <f>'Necesidades Trimestrales'!E78</f>
        <v>VENDA COBAN 10CM X 4,5 MTS</v>
      </c>
      <c r="D80" s="112"/>
      <c r="E80" s="112"/>
      <c r="F80" s="112"/>
      <c r="G80" s="112"/>
      <c r="H80" s="67" t="s">
        <v>54</v>
      </c>
      <c r="I80" s="68" t="str">
        <f>'Necesidades Trimestrales'!F78</f>
        <v>UNIDAD</v>
      </c>
      <c r="J80" s="66">
        <f>'Necesidades Trimestrales'!H78</f>
        <v>310</v>
      </c>
      <c r="K80" s="65">
        <f>'Necesidades Trimestrales'!G78</f>
        <v>30</v>
      </c>
    </row>
    <row r="81" spans="1:14" ht="27.75" customHeight="1" x14ac:dyDescent="0.2">
      <c r="A81" s="63">
        <v>70</v>
      </c>
      <c r="B81" s="71"/>
      <c r="C81" s="112" t="str">
        <f>'Necesidades Trimestrales'!E79</f>
        <v>VENDA COBAN 5CM X 4,5 MTS</v>
      </c>
      <c r="D81" s="112"/>
      <c r="E81" s="112"/>
      <c r="F81" s="112"/>
      <c r="G81" s="112"/>
      <c r="H81" s="67" t="s">
        <v>54</v>
      </c>
      <c r="I81" s="68" t="str">
        <f>'Necesidades Trimestrales'!F79</f>
        <v>UNIDAD</v>
      </c>
      <c r="J81" s="66">
        <f>'Necesidades Trimestrales'!H79</f>
        <v>230</v>
      </c>
      <c r="K81" s="65">
        <f>'Necesidades Trimestrales'!G79</f>
        <v>30</v>
      </c>
    </row>
    <row r="82" spans="1:14" ht="27.75" customHeight="1" x14ac:dyDescent="0.2">
      <c r="A82" s="63">
        <v>71</v>
      </c>
      <c r="B82" s="71"/>
      <c r="C82" s="112" t="str">
        <f>'Necesidades Trimestrales'!E80</f>
        <v>VENDA DE SMARCH X 10 CM. X 2,20 MTS</v>
      </c>
      <c r="D82" s="112"/>
      <c r="E82" s="112"/>
      <c r="F82" s="112"/>
      <c r="G82" s="112"/>
      <c r="H82" s="67" t="s">
        <v>54</v>
      </c>
      <c r="I82" s="68" t="str">
        <f>'Necesidades Trimestrales'!F80</f>
        <v>UNIDAD</v>
      </c>
      <c r="J82" s="66">
        <f>'Necesidades Trimestrales'!H80</f>
        <v>690</v>
      </c>
      <c r="K82" s="65">
        <f>'Necesidades Trimestrales'!G80</f>
        <v>30</v>
      </c>
    </row>
    <row r="83" spans="1:14" ht="27.75" customHeight="1" x14ac:dyDescent="0.2">
      <c r="A83" s="63">
        <v>72</v>
      </c>
      <c r="B83" s="71"/>
      <c r="C83" s="112" t="str">
        <f>'Necesidades Trimestrales'!E81</f>
        <v>VENDA DE SMARCH X 15 CM. X 2,20 MTS</v>
      </c>
      <c r="D83" s="112"/>
      <c r="E83" s="112"/>
      <c r="F83" s="112"/>
      <c r="G83" s="112"/>
      <c r="H83" s="67" t="s">
        <v>54</v>
      </c>
      <c r="I83" s="68" t="str">
        <f>'Necesidades Trimestrales'!F81</f>
        <v>UNIDAD</v>
      </c>
      <c r="J83" s="66">
        <f>'Necesidades Trimestrales'!H81</f>
        <v>1020</v>
      </c>
      <c r="K83" s="65">
        <f>'Necesidades Trimestrales'!G81</f>
        <v>30</v>
      </c>
    </row>
    <row r="84" spans="1:14" ht="27.75" customHeight="1" x14ac:dyDescent="0.2">
      <c r="A84" s="63">
        <v>73</v>
      </c>
      <c r="B84" s="71"/>
      <c r="C84" s="112" t="str">
        <f>'Necesidades Trimestrales'!E82</f>
        <v>VENDA DE SMARCH X 20 CM X 2.20 MTS</v>
      </c>
      <c r="D84" s="112"/>
      <c r="E84" s="112"/>
      <c r="F84" s="112"/>
      <c r="G84" s="112"/>
      <c r="H84" s="67" t="s">
        <v>54</v>
      </c>
      <c r="I84" s="68" t="str">
        <f>'Necesidades Trimestrales'!F82</f>
        <v>UNIDAD</v>
      </c>
      <c r="J84" s="66">
        <f>'Necesidades Trimestrales'!H82</f>
        <v>1459</v>
      </c>
      <c r="K84" s="65">
        <f>'Necesidades Trimestrales'!G82</f>
        <v>30</v>
      </c>
    </row>
    <row r="85" spans="1:14" ht="27.75" customHeight="1" thickBot="1" x14ac:dyDescent="0.25">
      <c r="A85" s="63">
        <v>74</v>
      </c>
      <c r="B85" s="71"/>
      <c r="C85" s="112" t="str">
        <f>'Necesidades Trimestrales'!E83</f>
        <v>VENDA DE SMARCH X 5 CM X 2.20 MTS</v>
      </c>
      <c r="D85" s="112"/>
      <c r="E85" s="112"/>
      <c r="F85" s="112"/>
      <c r="G85" s="112"/>
      <c r="H85" s="67" t="s">
        <v>54</v>
      </c>
      <c r="I85" s="68" t="str">
        <f>'Necesidades Trimestrales'!F83</f>
        <v>UNIDAD</v>
      </c>
      <c r="J85" s="66">
        <f>'Necesidades Trimestrales'!H83</f>
        <v>399</v>
      </c>
      <c r="K85" s="65">
        <f>'Necesidades Trimestrales'!G83</f>
        <v>30</v>
      </c>
    </row>
    <row r="86" spans="1:14" ht="20.25" customHeight="1" thickBot="1" x14ac:dyDescent="0.25">
      <c r="A86" s="115" t="s">
        <v>144</v>
      </c>
      <c r="B86" s="115"/>
      <c r="C86" s="115"/>
      <c r="D86" s="115"/>
      <c r="E86" s="115"/>
      <c r="F86" s="115"/>
      <c r="G86" s="115"/>
      <c r="H86" s="115"/>
      <c r="I86" s="115"/>
      <c r="J86" s="122">
        <f>SUMPRODUCT(J12:J85,K12:K85)</f>
        <v>5101708.1749999998</v>
      </c>
      <c r="K86" s="122"/>
      <c r="N86" s="47"/>
    </row>
  </sheetData>
  <mergeCells count="96">
    <mergeCell ref="C78:G78"/>
    <mergeCell ref="C79:G79"/>
    <mergeCell ref="C80:G80"/>
    <mergeCell ref="C81:G81"/>
    <mergeCell ref="C73:G73"/>
    <mergeCell ref="C74:G74"/>
    <mergeCell ref="C75:G75"/>
    <mergeCell ref="C76:G76"/>
    <mergeCell ref="C77:G77"/>
    <mergeCell ref="C68:G68"/>
    <mergeCell ref="C69:G69"/>
    <mergeCell ref="C70:G70"/>
    <mergeCell ref="C71:G71"/>
    <mergeCell ref="C72:G72"/>
    <mergeCell ref="C63:G63"/>
    <mergeCell ref="C64:G64"/>
    <mergeCell ref="C65:G65"/>
    <mergeCell ref="C66:G66"/>
    <mergeCell ref="C67:G67"/>
    <mergeCell ref="C58:G58"/>
    <mergeCell ref="C59:G59"/>
    <mergeCell ref="C60:G60"/>
    <mergeCell ref="C61:G61"/>
    <mergeCell ref="C62:G62"/>
    <mergeCell ref="A86:I86"/>
    <mergeCell ref="J86:K86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4:G24"/>
    <mergeCell ref="C21:G21"/>
    <mergeCell ref="C22:G22"/>
    <mergeCell ref="C23:G23"/>
    <mergeCell ref="C30:G30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1:G31"/>
    <mergeCell ref="C25:G25"/>
    <mergeCell ref="C26:G26"/>
    <mergeCell ref="C27:G27"/>
    <mergeCell ref="C28:G28"/>
    <mergeCell ref="C29:G29"/>
    <mergeCell ref="C32:G32"/>
    <mergeCell ref="C33:G33"/>
    <mergeCell ref="C34:G34"/>
    <mergeCell ref="C35:G35"/>
    <mergeCell ref="C36:G36"/>
    <mergeCell ref="C46:G46"/>
    <mergeCell ref="C47:G47"/>
    <mergeCell ref="C48:G48"/>
    <mergeCell ref="C49:G49"/>
    <mergeCell ref="C37:G37"/>
    <mergeCell ref="C38:G38"/>
    <mergeCell ref="C39:G39"/>
    <mergeCell ref="C40:G40"/>
    <mergeCell ref="C41:G41"/>
    <mergeCell ref="C82:G82"/>
    <mergeCell ref="C83:G83"/>
    <mergeCell ref="C84:G84"/>
    <mergeCell ref="C85:G85"/>
    <mergeCell ref="C42:G42"/>
    <mergeCell ref="C55:G55"/>
    <mergeCell ref="C56:G56"/>
    <mergeCell ref="C57:G57"/>
    <mergeCell ref="C50:G50"/>
    <mergeCell ref="C51:G51"/>
    <mergeCell ref="C52:G52"/>
    <mergeCell ref="C53:G53"/>
    <mergeCell ref="C54:G54"/>
    <mergeCell ref="C43:G43"/>
    <mergeCell ref="C44:G44"/>
    <mergeCell ref="C45:G45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="130" zoomScaleNormal="130" workbookViewId="0">
      <selection activeCell="K19" sqref="K1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3" t="s">
        <v>3</v>
      </c>
      <c r="B1" s="123"/>
      <c r="C1" s="123"/>
      <c r="D1" s="124">
        <f>'Necesidades Trimestrales'!C6</f>
        <v>2022</v>
      </c>
      <c r="E1" s="124"/>
      <c r="F1" s="3"/>
      <c r="G1" s="3"/>
      <c r="H1" s="4"/>
      <c r="I1" s="4"/>
      <c r="J1" s="4"/>
      <c r="K1" s="4"/>
      <c r="L1" s="4"/>
      <c r="M1" s="4"/>
      <c r="N1" s="4"/>
      <c r="P1" s="125" t="s">
        <v>25</v>
      </c>
      <c r="Q1" s="125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5"/>
      <c r="Q2" s="125"/>
    </row>
    <row r="4" spans="1:17" s="5" customFormat="1" ht="18" customHeight="1" thickBot="1" x14ac:dyDescent="0.25">
      <c r="A4" s="126" t="s">
        <v>26</v>
      </c>
      <c r="B4" s="126"/>
      <c r="C4" s="126"/>
      <c r="D4" s="126"/>
      <c r="E4" s="126"/>
      <c r="F4" s="126"/>
      <c r="G4" s="127" t="str">
        <f>' NotaPedido'!D3</f>
        <v>040 - Ministerio de Salud</v>
      </c>
      <c r="H4" s="127"/>
      <c r="I4" s="127"/>
      <c r="J4" s="127"/>
      <c r="K4" s="127"/>
      <c r="L4" s="127"/>
      <c r="M4" s="127"/>
      <c r="N4" s="127"/>
      <c r="O4" s="127"/>
      <c r="P4" s="127"/>
      <c r="Q4" s="127"/>
    </row>
    <row r="5" spans="1:17" s="5" customFormat="1" ht="18" customHeight="1" thickBot="1" x14ac:dyDescent="0.25">
      <c r="A5" s="128" t="s">
        <v>49</v>
      </c>
      <c r="B5" s="129"/>
      <c r="C5" s="129"/>
      <c r="D5" s="129"/>
      <c r="E5" s="129"/>
      <c r="F5" s="130"/>
      <c r="G5" s="127" t="str">
        <f>' NotaPedido'!D4</f>
        <v>024 - Hospital Interzonal de Niños</v>
      </c>
      <c r="H5" s="127"/>
      <c r="I5" s="127"/>
      <c r="J5" s="127"/>
      <c r="K5" s="127"/>
      <c r="L5" s="127"/>
      <c r="M5" s="127"/>
      <c r="N5" s="127"/>
      <c r="O5" s="127"/>
      <c r="P5" s="127"/>
      <c r="Q5" s="127"/>
    </row>
    <row r="6" spans="1:17" s="5" customFormat="1" ht="18" customHeight="1" thickBot="1" x14ac:dyDescent="0.25">
      <c r="A6" s="128" t="s">
        <v>27</v>
      </c>
      <c r="B6" s="129"/>
      <c r="C6" s="129"/>
      <c r="D6" s="129"/>
      <c r="E6" s="129"/>
      <c r="F6" s="130"/>
      <c r="G6" s="127" t="str">
        <f>' NotaPedido'!D5</f>
        <v>024 - Hospital Interzonal de Niños</v>
      </c>
      <c r="H6" s="127"/>
      <c r="I6" s="127"/>
      <c r="J6" s="127"/>
      <c r="K6" s="127"/>
      <c r="L6" s="127"/>
      <c r="M6" s="127"/>
      <c r="N6" s="127"/>
      <c r="O6" s="127"/>
      <c r="P6" s="127"/>
      <c r="Q6" s="127"/>
    </row>
    <row r="7" spans="1:17" s="5" customFormat="1" ht="18" customHeight="1" thickBot="1" x14ac:dyDescent="0.25">
      <c r="A7" s="128" t="s">
        <v>50</v>
      </c>
      <c r="B7" s="129"/>
      <c r="C7" s="129"/>
      <c r="D7" s="129"/>
      <c r="E7" s="129"/>
      <c r="F7" s="130"/>
      <c r="G7" s="127" t="s">
        <v>56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</row>
    <row r="8" spans="1:17" ht="18" customHeight="1" thickBot="1" x14ac:dyDescent="0.25">
      <c r="A8" s="131" t="s">
        <v>28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</row>
    <row r="9" spans="1:17" ht="18" customHeight="1" x14ac:dyDescent="0.2">
      <c r="A9" s="132" t="s">
        <v>29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"/>
      <c r="P9" s="1"/>
      <c r="Q9" s="6"/>
    </row>
    <row r="10" spans="1:17" ht="54.75" customHeight="1" x14ac:dyDescent="0.2">
      <c r="A10" s="13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009/2022,  afectando la erogación resultante a los créditos presupuestarios aprobados a favor de esta Unidad Ejecutora, conforme al siguiente detalle: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4" t="s">
        <v>30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</row>
    <row r="13" spans="1:17" ht="15.75" customHeight="1" thickBot="1" x14ac:dyDescent="0.25">
      <c r="A13" s="135" t="s">
        <v>31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32</v>
      </c>
      <c r="P13" s="138"/>
      <c r="Q13" s="141" t="s">
        <v>33</v>
      </c>
    </row>
    <row r="14" spans="1:17" ht="15.75" customHeight="1" thickBot="1" x14ac:dyDescent="0.25">
      <c r="A14" s="52" t="s">
        <v>34</v>
      </c>
      <c r="B14" s="53" t="s">
        <v>35</v>
      </c>
      <c r="C14" s="53" t="s">
        <v>36</v>
      </c>
      <c r="D14" s="53" t="s">
        <v>37</v>
      </c>
      <c r="E14" s="53" t="s">
        <v>38</v>
      </c>
      <c r="F14" s="53" t="s">
        <v>39</v>
      </c>
      <c r="G14" s="54" t="s">
        <v>40</v>
      </c>
      <c r="H14" s="53" t="s">
        <v>41</v>
      </c>
      <c r="I14" s="53" t="s">
        <v>42</v>
      </c>
      <c r="J14" s="53" t="s">
        <v>43</v>
      </c>
      <c r="K14" s="53" t="s">
        <v>43</v>
      </c>
      <c r="L14" s="53" t="s">
        <v>44</v>
      </c>
      <c r="M14" s="55" t="s">
        <v>45</v>
      </c>
      <c r="N14" s="56" t="s">
        <v>46</v>
      </c>
      <c r="O14" s="139"/>
      <c r="P14" s="140"/>
      <c r="Q14" s="142"/>
    </row>
    <row r="15" spans="1:17" ht="26.25" customHeight="1" x14ac:dyDescent="0.2">
      <c r="A15" s="48">
        <v>36</v>
      </c>
      <c r="B15" s="49"/>
      <c r="C15" s="49"/>
      <c r="D15" s="49">
        <v>1</v>
      </c>
      <c r="E15" s="49"/>
      <c r="F15" s="49">
        <v>4901</v>
      </c>
      <c r="G15" s="49">
        <v>3</v>
      </c>
      <c r="H15" s="49">
        <v>310</v>
      </c>
      <c r="I15" s="49">
        <v>2</v>
      </c>
      <c r="J15" s="49">
        <v>3</v>
      </c>
      <c r="K15" s="49">
        <v>4</v>
      </c>
      <c r="L15" s="49"/>
      <c r="M15" s="50">
        <v>1</v>
      </c>
      <c r="N15" s="51" t="s">
        <v>53</v>
      </c>
      <c r="O15" s="143" t="s">
        <v>148</v>
      </c>
      <c r="P15" s="143"/>
      <c r="Q15" s="57">
        <v>560579.38</v>
      </c>
    </row>
    <row r="16" spans="1:17" ht="26.25" customHeight="1" x14ac:dyDescent="0.2">
      <c r="A16" s="11">
        <v>36</v>
      </c>
      <c r="B16" s="12"/>
      <c r="C16" s="12"/>
      <c r="D16" s="12">
        <v>1</v>
      </c>
      <c r="E16" s="12"/>
      <c r="F16" s="12">
        <v>4901</v>
      </c>
      <c r="G16" s="12">
        <v>3</v>
      </c>
      <c r="H16" s="12">
        <v>310</v>
      </c>
      <c r="I16" s="12">
        <v>2</v>
      </c>
      <c r="J16" s="12">
        <v>5</v>
      </c>
      <c r="K16" s="12">
        <v>2</v>
      </c>
      <c r="L16" s="12"/>
      <c r="M16" s="13">
        <v>1</v>
      </c>
      <c r="N16" s="58" t="s">
        <v>53</v>
      </c>
      <c r="O16" s="143" t="s">
        <v>150</v>
      </c>
      <c r="P16" s="143"/>
      <c r="Q16" s="15">
        <v>432000</v>
      </c>
    </row>
    <row r="17" spans="1:18" ht="23.25" customHeight="1" x14ac:dyDescent="0.2">
      <c r="A17" s="11">
        <v>36</v>
      </c>
      <c r="B17" s="12"/>
      <c r="C17" s="12"/>
      <c r="D17" s="12">
        <v>1</v>
      </c>
      <c r="E17" s="12"/>
      <c r="F17" s="14">
        <v>4901</v>
      </c>
      <c r="G17" s="12">
        <v>3</v>
      </c>
      <c r="H17" s="12">
        <v>310</v>
      </c>
      <c r="I17" s="12">
        <v>2</v>
      </c>
      <c r="J17" s="12">
        <v>5</v>
      </c>
      <c r="K17" s="12">
        <v>9</v>
      </c>
      <c r="L17" s="12"/>
      <c r="M17" s="13">
        <v>1</v>
      </c>
      <c r="N17" s="58" t="s">
        <v>53</v>
      </c>
      <c r="O17" s="144" t="s">
        <v>149</v>
      </c>
      <c r="P17" s="145"/>
      <c r="Q17" s="15">
        <v>71015</v>
      </c>
    </row>
    <row r="18" spans="1:18" ht="38.25" customHeight="1" x14ac:dyDescent="0.2">
      <c r="A18" s="11">
        <v>36</v>
      </c>
      <c r="B18" s="12"/>
      <c r="C18" s="12"/>
      <c r="D18" s="12">
        <v>1</v>
      </c>
      <c r="E18" s="12"/>
      <c r="F18" s="14">
        <v>4901</v>
      </c>
      <c r="G18" s="12">
        <v>3</v>
      </c>
      <c r="H18" s="12">
        <v>310</v>
      </c>
      <c r="I18" s="12">
        <v>2</v>
      </c>
      <c r="J18" s="12">
        <v>9</v>
      </c>
      <c r="K18" s="12">
        <v>5</v>
      </c>
      <c r="L18" s="12"/>
      <c r="M18" s="13">
        <v>1</v>
      </c>
      <c r="N18" s="58" t="s">
        <v>53</v>
      </c>
      <c r="O18" s="144" t="s">
        <v>59</v>
      </c>
      <c r="P18" s="145"/>
      <c r="Q18" s="15">
        <v>4038113.8</v>
      </c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51"/>
      <c r="P19" s="151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52"/>
      <c r="P20" s="152"/>
      <c r="Q20" s="24"/>
    </row>
    <row r="21" spans="1:18" ht="29.25" customHeight="1" x14ac:dyDescent="0.2">
      <c r="A21" s="153" t="s">
        <v>145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25">
        <f>SUM(Q15:Q20)</f>
        <v>5101708.18</v>
      </c>
    </row>
    <row r="22" spans="1:18" ht="18" customHeight="1" thickBot="1" x14ac:dyDescent="0.25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</row>
    <row r="23" spans="1:18" ht="17.25" customHeight="1" thickBot="1" x14ac:dyDescent="0.25">
      <c r="A23" s="146" t="s">
        <v>47</v>
      </c>
      <c r="B23" s="147"/>
      <c r="C23" s="147"/>
      <c r="D23" s="147"/>
      <c r="E23" s="147"/>
      <c r="F23" s="148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</row>
    <row r="24" spans="1:18" ht="18" customHeight="1" thickBot="1" x14ac:dyDescent="0.25">
      <c r="A24" s="150" t="s">
        <v>147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</row>
    <row r="25" spans="1:18" ht="26.25" customHeight="1" x14ac:dyDescent="0.2">
      <c r="A25" s="150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2021-11-08T15:21:02Z</cp:lastPrinted>
  <dcterms:created xsi:type="dcterms:W3CDTF">2020-07-17T23:44:49Z</dcterms:created>
  <dcterms:modified xsi:type="dcterms:W3CDTF">2022-01-20T14:58:54Z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