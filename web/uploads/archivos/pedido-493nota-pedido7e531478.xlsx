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Trimestrales'!$A$9:$I$54</definedName>
    <definedName name="_xlnm.Print_Area" localSheetId="1">' NotaPedido'!$A$1:$K$57</definedName>
    <definedName name="_xlnm.Print_Area" localSheetId="2">'Autor Gastar'!$A$1:$Q$27</definedName>
    <definedName name="_xlnm.Print_Area" localSheetId="0">'Necesidades Trimestrales'!$E$9:$E$54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6" i="3" l="1"/>
  <c r="A10" i="3" l="1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C52" i="2"/>
  <c r="C53" i="2"/>
  <c r="C54" i="2"/>
  <c r="C55" i="2"/>
  <c r="C56" i="2"/>
  <c r="C43" i="2"/>
  <c r="C44" i="2"/>
  <c r="C45" i="2"/>
  <c r="C46" i="2"/>
  <c r="C47" i="2"/>
  <c r="C48" i="2"/>
  <c r="C49" i="2"/>
  <c r="C50" i="2"/>
  <c r="C51" i="2"/>
  <c r="C34" i="2"/>
  <c r="C35" i="2"/>
  <c r="C36" i="2"/>
  <c r="C37" i="2"/>
  <c r="C38" i="2"/>
  <c r="C39" i="2"/>
  <c r="C40" i="2"/>
  <c r="C41" i="2"/>
  <c r="C42" i="2"/>
  <c r="C26" i="2"/>
  <c r="C27" i="2"/>
  <c r="C28" i="2"/>
  <c r="C29" i="2"/>
  <c r="C30" i="2"/>
  <c r="C31" i="2"/>
  <c r="C32" i="2"/>
  <c r="C33" i="2"/>
  <c r="C21" i="2"/>
  <c r="C22" i="2"/>
  <c r="C23" i="2"/>
  <c r="C24" i="2"/>
  <c r="C25" i="2"/>
  <c r="C17" i="2"/>
  <c r="C18" i="2"/>
  <c r="C19" i="2"/>
  <c r="C20" i="2"/>
  <c r="C15" i="2"/>
  <c r="C16" i="2"/>
  <c r="C14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11" i="1"/>
  <c r="G6" i="3" l="1"/>
  <c r="G7" i="3"/>
  <c r="D7" i="2"/>
  <c r="D3" i="2"/>
  <c r="G4" i="3" s="1"/>
  <c r="D4" i="2"/>
  <c r="G5" i="3" s="1"/>
  <c r="D1" i="3" l="1"/>
  <c r="K12" i="2"/>
  <c r="J12" i="2"/>
  <c r="I12" i="2"/>
  <c r="C12" i="2"/>
  <c r="B12" i="2"/>
  <c r="I10" i="1"/>
  <c r="I15" i="3"/>
  <c r="Q23" i="3" l="1"/>
  <c r="J57" i="2"/>
</calcChain>
</file>

<file path=xl/sharedStrings.xml><?xml version="1.0" encoding="utf-8"?>
<sst xmlns="http://schemas.openxmlformats.org/spreadsheetml/2006/main" count="328" uniqueCount="177">
  <si>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</si>
  <si>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</si>
  <si>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</si>
  <si>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</si>
  <si>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</si>
  <si>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</si>
  <si>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</si>
  <si>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</si>
  <si>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</si>
  <si>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</si>
  <si>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</si>
  <si>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</si>
  <si>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</si>
  <si>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</si>
  <si>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</si>
  <si>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</si>
  <si>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</si>
  <si>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</si>
  <si>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</si>
  <si>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</si>
  <si>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</si>
  <si>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</si>
  <si>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</si>
  <si>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</si>
  <si>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</si>
  <si>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</si>
  <si>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</si>
  <si>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</si>
  <si>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</si>
  <si>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</si>
  <si>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</si>
  <si>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</si>
  <si>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</si>
  <si>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</si>
  <si>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</si>
  <si>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</si>
  <si>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</si>
  <si>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</si>
  <si>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</si>
  <si>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</si>
  <si>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</si>
  <si>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</si>
  <si>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</si>
  <si>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</si>
  <si>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</si>
  <si>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</si>
  <si>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</si>
  <si>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</si>
  <si>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</si>
  <si>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</si>
  <si>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</si>
  <si>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</si>
  <si>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</si>
  <si>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CAJA</t>
  </si>
  <si>
    <t>024 - Hospital Interzonal de Niños</t>
  </si>
  <si>
    <t>040 - Ministerio de Salud</t>
  </si>
  <si>
    <t>1.1</t>
  </si>
  <si>
    <t>NO</t>
  </si>
  <si>
    <t>ABROCHADORAS DE PAPEL; P/BROCHES: 50, TIPO: PINZA, MATERIAL: METALICA, MEDIDA: 50</t>
  </si>
  <si>
    <t>2.9.2-261.5</t>
  </si>
  <si>
    <t>LIBRERIA,PAP. Y UTILES OFICINA</t>
  </si>
  <si>
    <t>BROCHES P/ABROCHADORA; NUMERO: 10/50, PRESENTACION: CAJA X 1000 UNIDADES</t>
  </si>
  <si>
    <t>2.9.2-700.28</t>
  </si>
  <si>
    <t>ALMOHADILLAS P/SELLOS; MEDIDA: 8 X 12 Cm, MATERIAL: PLASTICO</t>
  </si>
  <si>
    <t>2.9.2-291.3</t>
  </si>
  <si>
    <t>ARANDELAS DE CARTON; DIAMETRO: 25 mm, PRESENTACION: CAJA X 500, CERTIFICADO FORESTAL (GFS): SIN, PORC. FIBRAS RECICLADAS: 0 %</t>
  </si>
  <si>
    <t>2.3.1-928.18</t>
  </si>
  <si>
    <t>BROCHES DORADOS; N° PATAS: 2, N°: 10, PRESENTACION: CAJA X 100 UNIDADES, CANTIDAD PATAS: 2, NUMERO: 10</t>
  </si>
  <si>
    <t>2.9.2-852.5</t>
  </si>
  <si>
    <t>BROCHES DORADOS; PRESENTACION: CAJA X 100 UNIDADES, N° PATAS: 2, N°: 8, CANTIDAD PATAS: 2, NUMERO: 8</t>
  </si>
  <si>
    <t>2.9.2-852.4</t>
  </si>
  <si>
    <t>BROCHES DORADOS; N°: 12, PRESENTACION: CAJA X 100 UNIDADES, N° PATAS: 2, CANTIDAD PATAS: 2, NUMERO: 12</t>
  </si>
  <si>
    <t>2.9.2-852.6</t>
  </si>
  <si>
    <t>CLIPS P/PAPEL; CANT. X CAJA: 50, NUMERO: 6, MATERIAL: METAL, PRESENTACION: CAJA X 50</t>
  </si>
  <si>
    <t>2.9.2-660.10</t>
  </si>
  <si>
    <t>CAJAS DE ARCHIVO; MATERIAL: PLASTICO CORRUGADO, COLOR: SIN VALOR, DIMENSION: 26 X 36 X 12 Cm</t>
  </si>
  <si>
    <t>2.9.2-850.4</t>
  </si>
  <si>
    <t>CARPETAS; MATERIAL: CARTON FORRADO C/PLASTICO, TAMAÑO: OFICIO</t>
  </si>
  <si>
    <t>2.9.2-1358.379</t>
  </si>
  <si>
    <t>CARPETAS; MATERIAL: CARTULINA, COLOR: SIN VALOR, TAMAÑO: 26,5 X 36 Cm, TIPO: TRES SOLAPAS, PRESENTACION: UNIDAD, SUJECION: SIN VALOR, MEMBRETE: SIN, LENGÜETA: SIN</t>
  </si>
  <si>
    <t>2.9.2-1358.175</t>
  </si>
  <si>
    <t>CARPETAS; MATERIAL PVC - TAMAÑO OFICIO</t>
  </si>
  <si>
    <t>CARPETAS; MATERIAL PVC - TAMAÑO A4</t>
  </si>
  <si>
    <t>2.9.2-1358.34</t>
  </si>
  <si>
    <t>2.9.2-1358.35</t>
  </si>
  <si>
    <t xml:space="preserve"> </t>
  </si>
  <si>
    <t>PAPELES EN HOJA; TIPO DE PAPEL: CARTULINA, DIMENSION: 45 X 63 Cm, GRAMAJE: 115/125 GR/M2, PRESENTACION: UNIDAD, CERTIFICADO FORESTAL (GFS): SIN, PORC. FIBRAS RECICLADAS: SIN, CERT. FIBRA ALTERNATIVA (FCA): SIN</t>
  </si>
  <si>
    <t>2.3.1-6563.882</t>
  </si>
  <si>
    <t>COLORES CLAROS</t>
  </si>
  <si>
    <t>CINTAS ADHESIVAS; TIPO: P/EMBALAR, ANCHO: 48 mm, LARGO: 40 M, MATERIAL: POLIPROPILENO, ACCESORIO: SIN</t>
  </si>
  <si>
    <t>2.9.2-1153.239</t>
  </si>
  <si>
    <t>CINTAS ADHESIVAS; TIPO: TRANSPARENTE, ANCHO: 12 mm, LARGO: 30 M, MATERIAL: POLIPROPILENO, ACCESORIO: SIN</t>
  </si>
  <si>
    <t>2.9.2-1153.241</t>
  </si>
  <si>
    <t>PAPELES ENCUADERNADOS; CANT. DE HOJAS: 196, TAMAÑO: 21 X 16 Cm, TIPO: CUADERNO, CERTIFICADO FORESTAL (GFS): SIN, PORC. FIBRAS RECICLADAS: 0 %, CERT. FIBRA ALTERNATIVA (FCA): SIN</t>
  </si>
  <si>
    <t>TAPA DURA</t>
  </si>
  <si>
    <t>2.3.1-6587.292</t>
  </si>
  <si>
    <t>FOLIOS TRANSPARENTES; TAMAÑO: OFICIO, PERFORACIONES: 5, MATERIAL: PLASTICO (POLIETILENO)</t>
  </si>
  <si>
    <t>FOLIOS TRANSPARENTES; TAMAÑO: A4, PERFORACIONES: 5, MATERIAL: PLASTICO (POLIETILENO)</t>
  </si>
  <si>
    <t>2.9.2-1611.18</t>
  </si>
  <si>
    <t>2.9.2-1611.19</t>
  </si>
  <si>
    <t>GOMAS DE BORRAR; USO: LAPIZ, DIMENSION: 1 X 1 X 5 Cm, MATERIAL: CAUCHO, PRESENTACION: CAJA X 36</t>
  </si>
  <si>
    <t>2.9.2-661.50</t>
  </si>
  <si>
    <t>ADHESIVOS P/PAPEL; PRESENTACION: ENVASE X 100 GR, TIPO: COLA VINILICA</t>
  </si>
  <si>
    <t>2.9.2-262.65</t>
  </si>
  <si>
    <t>BOLIGRAFOS; TRAZO: MEDIO</t>
  </si>
  <si>
    <t>2.9.2-317.31</t>
  </si>
  <si>
    <t>LAPIZ; TIPO: 2HB, COLOR: NEGRO</t>
  </si>
  <si>
    <t>2.9.2-848.20</t>
  </si>
  <si>
    <t>JUEGO DE LAPICES; TIPO: SIN VALOR, COLOR: COLORES, PRESENTACION: CAJA X 6 UN</t>
  </si>
  <si>
    <t>2.9.2-3283.2</t>
  </si>
  <si>
    <t>PAPELES ENCUADERNADOS; CANT. DE HOJAS: 200, TAMAÑO: 22,5 X 34,5 Cm, TIPO: LIBRO DE ACTAS, CERTIFICADO FORESTAL (GFS): SIN, PORC. FIBRAS RECICLADAS: 0 %, CERT. FIBRA ALTERNATIVA (FCA): SIN</t>
  </si>
  <si>
    <t>2.3.1-6587.361</t>
  </si>
  <si>
    <t>PAPELES ENCUADERNADOS; CANT. DE HOJAS: 100 HOJAS, TAMAÑO: 34,5 X 22,5 Cm, TIPO: LIBRO INDICE, CERTIFICADO FORESTAL (GFS): CON, PORC. FIBRAS RECICLADAS: 0 %, CERT. FIBRA ALTERNATIVA (FCA): SIN</t>
  </si>
  <si>
    <t>2.3.1-6587.293</t>
  </si>
  <si>
    <t>CORRECTORES DE ESCRITURA; CAPACIDAD: 7 mL, ENVASE: LAPIZ (PUNTA METAL), PRESENTACION: LAPIZ (PUNTA METAL) X 7 mL</t>
  </si>
  <si>
    <t>2.9.2-323.4</t>
  </si>
  <si>
    <t>MARCADORES; TIPO P/PIZARRA - TRAZO FINO - PUNTA REDONDA - RECARGABLE NO</t>
  </si>
  <si>
    <t>2.9.2-1616.147</t>
  </si>
  <si>
    <t>MARCADORES; TIPO: AL ALCOHOL, TRAZO: 5 mm, PUNTA: BISELADA, COLOR: NEGRO, RECARGABLE: NO</t>
  </si>
  <si>
    <t>2.9.2-1616.117</t>
  </si>
  <si>
    <t>MARCADORES; TIPO: AL AGUA, TRAZO: GRUESO, PUNTA: BISELADA, COLOR: SIN VALOR, RECARGABLE: NO</t>
  </si>
  <si>
    <t>2.9.2-1616.142</t>
  </si>
  <si>
    <t>PAPELES EN HOJA; TIPO PAPEL: PAPEL CARBONICO, DIMENSION: OFICIO, GRAMAJE: SIN VALOR, PRESENTACION: CAJA X 100 HOJAS, TIPO DE PAPEL: PAPEL CARBONICO</t>
  </si>
  <si>
    <t>2.3.1-6563.109</t>
  </si>
  <si>
    <t>PAPELES EN HOJA; TIPO DE PAPEL: AFICHE, DIMENSION: 70 X 100 Cm, GRAMAJE: 65 GR/M2, PRESENTACION: UNIDAD, CERTIFICADO FORESTAL (GFS): SIN, PORC. FIBRAS RECICLADAS: 0 %, CERT. FIBRA ALTERNATIVA (FCA): SIN</t>
  </si>
  <si>
    <t>2.3.1-6563.1068</t>
  </si>
  <si>
    <t>PAPELES EN HOJA; TIPO DE PAPEL: P/FORRAR, DIMENSION: 48 X 80 Cm, GRAMAJE: NO CORRESPONDE, PRESENTACION: UNIDAD, CERTIFICADO FORESTAL (GFS): SIN, PORC. FIBRAS RECICLADAS: 0 %, CERT. FIBRA ALTERNATIVA (FCA): SIN</t>
  </si>
  <si>
    <t>2.3.1-6563.938</t>
  </si>
  <si>
    <t>PAPELES EN HOJA; TIPO PAPEL: PAPEL OBRA, DIMENSION: 21,59 X 35,56 Cm, GRAMAJE: 80 GR/M2, PRESENTACION: RESMA X 500 HOJAS, TIPO DE PAPEL: PAPEL OBRA</t>
  </si>
  <si>
    <t>PAPELES EN HOJA; TIPO PAPEL: PAPEL OBRA, DIMENSION: 21 X 29,7 Cm, GRAMAJE: 75 GR, PRESENTACION: RESMA X 500, TIPO DE PAPEL: PAPEL OBRA</t>
  </si>
  <si>
    <t>2.3.1-6563.131</t>
  </si>
  <si>
    <t>2.3.1-6563.307</t>
  </si>
  <si>
    <t>RESMA</t>
  </si>
  <si>
    <t>PERFORADORAS; DIST. ENTRE AGUJ.: FIJO, N° PERFORACIONES: 2, MATERIAL ESTRUCTURA: FUNDICION HIERRO BASE MADERA, GUIA POSICION PAPEL: CON, TAMAÑO: GRANDE, MATERIAL: FUNDICION HIERRO BASE MADERA</t>
  </si>
  <si>
    <t>2.9.2-858.7</t>
  </si>
  <si>
    <t>MASAS P/MODELAR; PRESENTACION: UNIDAD, C0LOR: SURTIDO, TIPO: PLASTILINA</t>
  </si>
  <si>
    <t>2.9.2-5600.2</t>
  </si>
  <si>
    <t>REGLAS GRADUADAS; TIPO: PLANA, MATERIAL: PLASTICO, LONG.DE CUERPO: 40 Cm</t>
  </si>
  <si>
    <t>2.9.2-674.10</t>
  </si>
  <si>
    <t>RESALTADORES; PUNTA: BISELADA, ACCESORIO: SIN, COLOR: SIN VALOR, TIPO PUNTA: BISELADA</t>
  </si>
  <si>
    <t>DISTINTOS COLORES</t>
  </si>
  <si>
    <t>2.9.2-1354.21</t>
  </si>
  <si>
    <t>TIJERAS P/CORTAR PAPELES; LONG.DE CUERPO: 17 Cm, MATERIAL: ACERO INOXIDABLE, CUCHILLA: REDONDEADAS, MANGO: PLASTICO</t>
  </si>
  <si>
    <t>2.9.2-758.18</t>
  </si>
  <si>
    <t>SOBRES DE PAPEL; TIPO: BOLSA EN PAPEL MANILA, TAMAÑO: 27 X 37 Cm, GRAMAJE: 80 GR/CM2, PRESENTACION: PAQUETE X 250, CERTIFICADO FORESTAL (GFS): SIN</t>
  </si>
  <si>
    <t>2.3.1-6590.422</t>
  </si>
  <si>
    <t>PAQUETE</t>
  </si>
  <si>
    <t>Especificidades Item N° 10:</t>
  </si>
  <si>
    <t>CON DOS GANCHOS</t>
  </si>
  <si>
    <t>Especificidades Item N° 13 Y 14:</t>
  </si>
  <si>
    <t>TAPA TRANSPARENTE 1 MM.</t>
  </si>
  <si>
    <t>Especificidades Item N° 15:</t>
  </si>
  <si>
    <t>Especificidades Item N° 18:</t>
  </si>
  <si>
    <t>Especificidades Item N° 23:</t>
  </si>
  <si>
    <t>COLOR AZUL TIPO BIROME</t>
  </si>
  <si>
    <t>COLOR NEGRO TIPO BIROME</t>
  </si>
  <si>
    <t>COLOR VERDE TIPO BIROME</t>
  </si>
  <si>
    <t>COLOR ROJO TIPO BIROME</t>
  </si>
  <si>
    <t>Especificidades Item N° 24:</t>
  </si>
  <si>
    <t>Especificidades Item N° 25:</t>
  </si>
  <si>
    <t>Especificidades Item N° 26:</t>
  </si>
  <si>
    <t>Especificidades Item N° 43:</t>
  </si>
  <si>
    <t>Servicio de Economato</t>
  </si>
  <si>
    <t>Adquisición de Articulos de Librería</t>
  </si>
  <si>
    <t>506/2020</t>
  </si>
  <si>
    <t>Para la adquisición de Articulos de Libreria destinados al servico de Economato del Hospital Interzonal de Niños Eva Peron, para el normal funcionamiento del organismo.</t>
  </si>
  <si>
    <t>Costo total estimado: Setecientos Catorce Mil Ochenta con 00/100.</t>
  </si>
  <si>
    <t>TOTAL DE PESOS: SETECIENTOS CATORCE MIL OCHENTA CON 00/100.</t>
  </si>
  <si>
    <t>Papel de Escritorio y Carton</t>
  </si>
  <si>
    <t>Utiles de Escritorio, Oficina y 
Enseñanaza</t>
  </si>
  <si>
    <t>CARPETAS COLGANTES; TIPO: EXTERIOR, MATERIAL: CARTULINA, TAMAÑO: OFICIO, SUJECION: VARILLA GALVANIZADA, VISOR: SIN, PRESENTACION: UNIDAD</t>
  </si>
  <si>
    <t>2.9.2-1510.24</t>
  </si>
  <si>
    <t>Plazos y lugares de entrega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</si>
  <si>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7 días de notificada la Orden de Compra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</si>
  <si>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</si>
  <si>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Mantenimiento</t>
  </si>
  <si>
    <t xml:space="preserve">45 dias habiles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</si>
</sst>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3" xfId="0" applyBorder="1"/>
    <xf numFmtId="0" fontId="0" fillId="0" borderId="28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29" xfId="0" applyBorder="1"/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2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0" xfId="0" applyFont="1" applyBorder="1"/>
    <xf numFmtId="0" fontId="15" fillId="0" borderId="9" xfId="0" applyFont="1" applyBorder="1"/>
    <xf numFmtId="0" fontId="22" fillId="0" borderId="8" xfId="0" applyFont="1" applyBorder="1" applyAlignment="1">
      <alignment horizontal="left" indent="3"/>
    </xf>
    <xf numFmtId="0" fontId="15" fillId="0" borderId="10" xfId="0" applyFont="1" applyBorder="1" applyAlignment="1">
      <alignment horizontal="left" indent="3"/>
    </xf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0" fontId="19" fillId="0" borderId="49" xfId="0" applyFont="1" applyBorder="1" applyAlignment="1">
      <alignment horizontal="center" vertical="center" wrapText="1"/>
    </xf>
    <xf numFmtId="0" fontId="0" fillId="0" borderId="50" xfId="0" applyBorder="1"/>
    <xf numFmtId="0" fontId="5" fillId="4" borderId="13" xfId="0" applyFont="1" applyFill="1" applyBorder="1" applyAlignment="1">
      <alignment horizontal="right" vertical="center"/>
    </xf>
    <xf numFmtId="0" fontId="6" fillId="5" borderId="14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0" fillId="4" borderId="0" xfId="0" applyFill="1"/>
    <xf numFmtId="0" fontId="5" fillId="4" borderId="15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4" fillId="4" borderId="52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left" vertical="center"/>
    </xf>
    <xf numFmtId="0" fontId="4" fillId="5" borderId="52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 wrapText="1"/>
    </xf>
    <xf numFmtId="166" fontId="4" fillId="4" borderId="52" xfId="1" applyNumberFormat="1" applyFont="1" applyFill="1" applyBorder="1" applyAlignment="1" applyProtection="1">
      <alignment horizontal="right" vertical="center" wrapText="1"/>
    </xf>
    <xf numFmtId="3" fontId="4" fillId="4" borderId="52" xfId="0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 wrapText="1"/>
    </xf>
    <xf numFmtId="166" fontId="4" fillId="4" borderId="22" xfId="1" applyNumberFormat="1" applyFont="1" applyFill="1" applyBorder="1" applyAlignment="1" applyProtection="1">
      <alignment horizontal="right" vertical="center" wrapText="1"/>
    </xf>
    <xf numFmtId="3" fontId="4" fillId="4" borderId="22" xfId="0" applyNumberFormat="1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23" fillId="5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21" fillId="5" borderId="3" xfId="0" applyFont="1" applyFill="1" applyBorder="1" applyAlignment="1">
      <alignment horizontal="center" vertical="center" wrapText="1"/>
    </xf>
    <xf numFmtId="166" fontId="20" fillId="5" borderId="3" xfId="1" applyNumberFormat="1" applyFont="1" applyFill="1" applyBorder="1" applyAlignment="1" applyProtection="1">
      <alignment horizontal="right" vertical="center" wrapText="1"/>
    </xf>
    <xf numFmtId="166" fontId="20" fillId="5" borderId="4" xfId="1" applyNumberFormat="1" applyFont="1" applyFill="1" applyBorder="1" applyAlignment="1" applyProtection="1">
      <alignment horizontal="right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/>
    </xf>
    <xf numFmtId="0" fontId="0" fillId="0" borderId="3" xfId="0" applyBorder="1"/>
    <xf numFmtId="0" fontId="21" fillId="0" borderId="3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 vertical="center" wrapText="1"/>
    </xf>
    <xf numFmtId="0" fontId="21" fillId="5" borderId="50" xfId="0" applyFont="1" applyFill="1" applyBorder="1" applyAlignment="1">
      <alignment horizontal="center" vertical="center" wrapText="1"/>
    </xf>
    <xf numFmtId="166" fontId="20" fillId="5" borderId="50" xfId="1" applyNumberFormat="1" applyFont="1" applyFill="1" applyBorder="1" applyAlignment="1" applyProtection="1">
      <alignment horizontal="right" vertical="center" wrapText="1"/>
    </xf>
    <xf numFmtId="166" fontId="20" fillId="5" borderId="57" xfId="1" applyNumberFormat="1" applyFont="1" applyFill="1" applyBorder="1" applyAlignment="1" applyProtection="1">
      <alignment horizontal="right" vertical="center" wrapText="1"/>
    </xf>
    <xf numFmtId="0" fontId="20" fillId="0" borderId="58" xfId="0" applyFont="1" applyBorder="1" applyAlignment="1">
      <alignment horizontal="center" vertical="center"/>
    </xf>
    <xf numFmtId="0" fontId="0" fillId="0" borderId="59" xfId="0" applyBorder="1"/>
    <xf numFmtId="0" fontId="21" fillId="0" borderId="59" xfId="0" applyFont="1" applyBorder="1" applyAlignment="1">
      <alignment horizontal="center" vertical="center" wrapText="1"/>
    </xf>
    <xf numFmtId="0" fontId="21" fillId="5" borderId="59" xfId="0" applyFont="1" applyFill="1" applyBorder="1" applyAlignment="1">
      <alignment horizontal="center" vertical="center" wrapText="1"/>
    </xf>
    <xf numFmtId="166" fontId="20" fillId="5" borderId="59" xfId="1" applyNumberFormat="1" applyFont="1" applyFill="1" applyBorder="1" applyAlignment="1" applyProtection="1">
      <alignment horizontal="right" vertical="center" wrapText="1"/>
    </xf>
    <xf numFmtId="166" fontId="20" fillId="5" borderId="60" xfId="1" applyNumberFormat="1" applyFont="1" applyFill="1" applyBorder="1" applyAlignment="1" applyProtection="1">
      <alignment horizontal="right" vertical="center" wrapText="1"/>
    </xf>
    <xf numFmtId="169" fontId="15" fillId="0" borderId="0" xfId="0" applyNumberFormat="1" applyFont="1"/>
    <xf numFmtId="0" fontId="0" fillId="5" borderId="36" xfId="0" applyFont="1" applyFill="1" applyBorder="1" applyAlignment="1">
      <alignment horizontal="center" vertical="center"/>
    </xf>
    <xf numFmtId="0" fontId="0" fillId="5" borderId="37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14" fillId="5" borderId="37" xfId="0" applyFont="1" applyFill="1" applyBorder="1" applyAlignment="1">
      <alignment horizontal="center" vertical="center"/>
    </xf>
    <xf numFmtId="0" fontId="0" fillId="5" borderId="61" xfId="0" applyFont="1" applyFill="1" applyBorder="1" applyAlignment="1">
      <alignment horizontal="center" vertical="center"/>
    </xf>
    <xf numFmtId="0" fontId="0" fillId="5" borderId="62" xfId="0" applyFont="1" applyFill="1" applyBorder="1" applyAlignment="1">
      <alignment horizontal="center" vertical="center"/>
    </xf>
    <xf numFmtId="0" fontId="0" fillId="4" borderId="62" xfId="0" applyFont="1" applyFill="1" applyBorder="1" applyAlignment="1">
      <alignment horizontal="center" vertical="center"/>
    </xf>
    <xf numFmtId="0" fontId="0" fillId="5" borderId="63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 indent="3"/>
    </xf>
    <xf numFmtId="0" fontId="15" fillId="3" borderId="0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5" borderId="0" xfId="0" applyFont="1" applyFill="1" applyBorder="1" applyAlignment="1">
      <alignment horizontal="left" wrapText="1" indent="1"/>
    </xf>
    <xf numFmtId="0" fontId="15" fillId="3" borderId="9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center" wrapText="1"/>
    </xf>
    <xf numFmtId="0" fontId="15" fillId="5" borderId="8" xfId="5" applyFont="1" applyFill="1" applyBorder="1" applyAlignment="1">
      <alignment horizontal="left" wrapText="1"/>
    </xf>
    <xf numFmtId="0" fontId="15" fillId="5" borderId="0" xfId="5" applyFont="1" applyFill="1" applyBorder="1" applyAlignment="1">
      <alignment horizontal="left" wrapText="1"/>
    </xf>
    <xf numFmtId="0" fontId="15" fillId="5" borderId="9" xfId="5" applyFont="1" applyFill="1" applyBorder="1" applyAlignment="1">
      <alignment horizontal="left" wrapText="1"/>
    </xf>
    <xf numFmtId="0" fontId="4" fillId="4" borderId="22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 indent="1"/>
    </xf>
    <xf numFmtId="0" fontId="7" fillId="4" borderId="18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/>
    </xf>
    <xf numFmtId="0" fontId="6" fillId="5" borderId="20" xfId="0" applyFont="1" applyFill="1" applyBorder="1" applyAlignment="1">
      <alignment horizontal="left" vertical="center" wrapText="1" indent="1"/>
    </xf>
    <xf numFmtId="0" fontId="8" fillId="4" borderId="19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167" fontId="7" fillId="4" borderId="17" xfId="0" applyNumberFormat="1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left" vertical="center" wrapText="1"/>
    </xf>
    <xf numFmtId="0" fontId="0" fillId="0" borderId="23" xfId="0" applyFont="1" applyBorder="1" applyAlignment="1">
      <alignment horizontal="center"/>
    </xf>
    <xf numFmtId="3" fontId="9" fillId="0" borderId="24" xfId="0" applyNumberFormat="1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2" fillId="0" borderId="14" xfId="0" applyFont="1" applyBorder="1"/>
    <xf numFmtId="0" fontId="11" fillId="0" borderId="14" xfId="0" applyFont="1" applyBorder="1" applyAlignment="1">
      <alignment horizontal="left" indent="1"/>
    </xf>
    <xf numFmtId="0" fontId="4" fillId="0" borderId="1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/>
    </xf>
    <xf numFmtId="0" fontId="11" fillId="0" borderId="26" xfId="0" applyFont="1" applyBorder="1"/>
    <xf numFmtId="0" fontId="11" fillId="6" borderId="27" xfId="0" applyFont="1" applyFill="1" applyBorder="1" applyAlignment="1">
      <alignment horizontal="left" vertical="center" wrapText="1" indent="1"/>
    </xf>
    <xf numFmtId="0" fontId="13" fillId="0" borderId="2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/>
    </xf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9" fillId="0" borderId="23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5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5" xfId="0" applyBorder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8" xfId="0" applyFont="1" applyBorder="1" applyAlignment="1">
      <alignment horizontal="left" indent="3"/>
    </xf>
    <xf numFmtId="0" fontId="15" fillId="5" borderId="9" xfId="0" applyFont="1" applyFill="1" applyBorder="1" applyAlignment="1">
      <alignment horizontal="left" wrapText="1"/>
    </xf>
    <xf numFmtId="0" fontId="22" fillId="0" borderId="8" xfId="0" applyFont="1" applyBorder="1" applyAlignment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117"/>
  <sheetViews>
    <sheetView tabSelected="1" topLeftCell="A34" zoomScale="73" zoomScaleNormal="73" workbookViewId="0">
      <selection activeCell="E60" sqref="E60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136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1" width="11" style="32"/>
    <col min="12" max="12" width="16.140625" style="32" customWidth="1"/>
    <col min="13" max="16384" width="11" style="32"/>
  </cols>
  <sheetData>
    <row r="2" spans="1:12" ht="27" x14ac:dyDescent="0.35">
      <c r="B2" s="105" t="s">
        <v>0</v>
      </c>
      <c r="C2" s="105"/>
      <c r="D2" s="105"/>
      <c r="E2" s="105"/>
      <c r="F2" s="105"/>
      <c r="G2" s="105"/>
      <c r="H2" s="105"/>
    </row>
    <row r="3" spans="1:12" ht="12" customHeight="1" x14ac:dyDescent="0.2"/>
    <row r="4" spans="1:12" ht="18" customHeight="1" x14ac:dyDescent="0.25">
      <c r="A4" s="106" t="s">
        <v>1</v>
      </c>
      <c r="B4" s="106"/>
      <c r="C4" s="107" t="s">
        <v>55</v>
      </c>
      <c r="D4" s="107"/>
      <c r="E4" s="107"/>
      <c r="F4" s="33"/>
      <c r="G4" s="34"/>
      <c r="H4" s="33" t="s">
        <v>85</v>
      </c>
    </row>
    <row r="5" spans="1:12" ht="18" customHeight="1" x14ac:dyDescent="0.25">
      <c r="A5" s="106" t="s">
        <v>2</v>
      </c>
      <c r="B5" s="106"/>
      <c r="C5" s="107" t="s">
        <v>54</v>
      </c>
      <c r="D5" s="107"/>
      <c r="E5" s="107"/>
      <c r="F5" s="33"/>
      <c r="G5" s="34"/>
      <c r="H5" s="33"/>
    </row>
    <row r="6" spans="1:12" ht="16.5" customHeight="1" x14ac:dyDescent="0.25">
      <c r="A6" s="106" t="s">
        <v>3</v>
      </c>
      <c r="B6" s="106"/>
      <c r="C6" s="70">
        <v>2020</v>
      </c>
      <c r="D6" s="71"/>
      <c r="E6" s="71"/>
      <c r="F6" s="33"/>
      <c r="G6" s="34"/>
      <c r="H6" s="33"/>
    </row>
    <row r="7" spans="1:12" ht="16.5" customHeight="1" x14ac:dyDescent="0.25">
      <c r="A7" s="106" t="s">
        <v>4</v>
      </c>
      <c r="B7" s="106"/>
      <c r="C7" s="70">
        <v>4</v>
      </c>
      <c r="D7" s="71"/>
      <c r="E7" s="71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5" t="s">
        <v>5</v>
      </c>
      <c r="B9" s="35" t="s">
        <v>6</v>
      </c>
      <c r="C9" s="35" t="s">
        <v>7</v>
      </c>
      <c r="D9" s="75" t="s">
        <v>8</v>
      </c>
      <c r="E9" s="76" t="s">
        <v>9</v>
      </c>
      <c r="F9" s="47" t="s">
        <v>10</v>
      </c>
      <c r="G9" s="35" t="s">
        <v>11</v>
      </c>
      <c r="H9" s="35" t="s">
        <v>12</v>
      </c>
      <c r="I9" s="35" t="s">
        <v>13</v>
      </c>
    </row>
    <row r="10" spans="1:12" x14ac:dyDescent="0.2">
      <c r="A10" s="77">
        <v>1</v>
      </c>
      <c r="B10" s="78" t="s">
        <v>59</v>
      </c>
      <c r="C10" s="78" t="s">
        <v>60</v>
      </c>
      <c r="D10" s="79">
        <v>292</v>
      </c>
      <c r="E10" s="78" t="s">
        <v>58</v>
      </c>
      <c r="F10" s="72" t="s">
        <v>14</v>
      </c>
      <c r="G10" s="72">
        <v>10</v>
      </c>
      <c r="H10" s="73">
        <v>510</v>
      </c>
      <c r="I10" s="74">
        <f>H10*G10</f>
        <v>5100</v>
      </c>
      <c r="L10" s="91"/>
    </row>
    <row r="11" spans="1:12" x14ac:dyDescent="0.2">
      <c r="A11" s="80">
        <v>2</v>
      </c>
      <c r="B11" s="48" t="s">
        <v>64</v>
      </c>
      <c r="C11" s="48" t="s">
        <v>60</v>
      </c>
      <c r="D11" s="81">
        <v>292</v>
      </c>
      <c r="E11" s="48" t="s">
        <v>63</v>
      </c>
      <c r="F11" s="82" t="s">
        <v>14</v>
      </c>
      <c r="G11" s="82">
        <v>20</v>
      </c>
      <c r="H11" s="83">
        <v>325</v>
      </c>
      <c r="I11" s="84">
        <f>G11*H11</f>
        <v>6500</v>
      </c>
      <c r="L11" s="46"/>
    </row>
    <row r="12" spans="1:12" x14ac:dyDescent="0.2">
      <c r="A12" s="80">
        <v>3</v>
      </c>
      <c r="B12" s="48" t="s">
        <v>66</v>
      </c>
      <c r="C12" s="48" t="s">
        <v>60</v>
      </c>
      <c r="D12" s="81">
        <v>231</v>
      </c>
      <c r="E12" s="48" t="s">
        <v>65</v>
      </c>
      <c r="F12" s="82" t="s">
        <v>53</v>
      </c>
      <c r="G12" s="82">
        <v>60</v>
      </c>
      <c r="H12" s="83">
        <v>155</v>
      </c>
      <c r="I12" s="84">
        <f t="shared" ref="I12:I54" si="0">G12*H12</f>
        <v>9300</v>
      </c>
      <c r="L12" s="91"/>
    </row>
    <row r="13" spans="1:12" x14ac:dyDescent="0.2">
      <c r="A13" s="80">
        <v>4</v>
      </c>
      <c r="B13" s="48" t="s">
        <v>68</v>
      </c>
      <c r="C13" s="48" t="s">
        <v>60</v>
      </c>
      <c r="D13" s="81">
        <v>292</v>
      </c>
      <c r="E13" s="48" t="s">
        <v>67</v>
      </c>
      <c r="F13" s="82" t="s">
        <v>53</v>
      </c>
      <c r="G13" s="82">
        <v>80</v>
      </c>
      <c r="H13" s="83">
        <v>121</v>
      </c>
      <c r="I13" s="84">
        <f t="shared" si="0"/>
        <v>9680</v>
      </c>
    </row>
    <row r="14" spans="1:12" x14ac:dyDescent="0.2">
      <c r="A14" s="80">
        <v>5</v>
      </c>
      <c r="B14" s="48" t="s">
        <v>62</v>
      </c>
      <c r="C14" s="48" t="s">
        <v>60</v>
      </c>
      <c r="D14" s="81">
        <v>292</v>
      </c>
      <c r="E14" s="48" t="s">
        <v>61</v>
      </c>
      <c r="F14" s="82" t="s">
        <v>53</v>
      </c>
      <c r="G14" s="82">
        <v>200</v>
      </c>
      <c r="H14" s="83">
        <v>145</v>
      </c>
      <c r="I14" s="84">
        <f t="shared" si="0"/>
        <v>29000</v>
      </c>
    </row>
    <row r="15" spans="1:12" x14ac:dyDescent="0.2">
      <c r="A15" s="80">
        <v>6</v>
      </c>
      <c r="B15" s="48" t="s">
        <v>70</v>
      </c>
      <c r="C15" s="48" t="s">
        <v>60</v>
      </c>
      <c r="D15" s="81">
        <v>292</v>
      </c>
      <c r="E15" s="48" t="s">
        <v>69</v>
      </c>
      <c r="F15" s="82" t="s">
        <v>53</v>
      </c>
      <c r="G15" s="82">
        <v>80</v>
      </c>
      <c r="H15" s="83">
        <v>99</v>
      </c>
      <c r="I15" s="84">
        <f t="shared" si="0"/>
        <v>7920</v>
      </c>
    </row>
    <row r="16" spans="1:12" x14ac:dyDescent="0.2">
      <c r="A16" s="80">
        <v>7</v>
      </c>
      <c r="B16" s="48" t="s">
        <v>72</v>
      </c>
      <c r="C16" s="48" t="s">
        <v>60</v>
      </c>
      <c r="D16" s="81">
        <v>292</v>
      </c>
      <c r="E16" s="48" t="s">
        <v>71</v>
      </c>
      <c r="F16" s="82" t="s">
        <v>53</v>
      </c>
      <c r="G16" s="82">
        <v>80</v>
      </c>
      <c r="H16" s="83">
        <v>195</v>
      </c>
      <c r="I16" s="84">
        <f t="shared" si="0"/>
        <v>15600</v>
      </c>
    </row>
    <row r="17" spans="1:10" x14ac:dyDescent="0.2">
      <c r="A17" s="80">
        <v>8</v>
      </c>
      <c r="B17" s="48" t="s">
        <v>74</v>
      </c>
      <c r="C17" s="48" t="s">
        <v>60</v>
      </c>
      <c r="D17" s="81">
        <v>292</v>
      </c>
      <c r="E17" s="48" t="s">
        <v>73</v>
      </c>
      <c r="F17" s="82" t="s">
        <v>53</v>
      </c>
      <c r="G17" s="82">
        <v>100</v>
      </c>
      <c r="H17" s="83">
        <v>42</v>
      </c>
      <c r="I17" s="84">
        <f t="shared" si="0"/>
        <v>4200</v>
      </c>
    </row>
    <row r="18" spans="1:10" x14ac:dyDescent="0.2">
      <c r="A18" s="80">
        <v>9</v>
      </c>
      <c r="B18" s="48" t="s">
        <v>76</v>
      </c>
      <c r="C18" s="48" t="s">
        <v>60</v>
      </c>
      <c r="D18" s="81">
        <v>292</v>
      </c>
      <c r="E18" s="48" t="s">
        <v>75</v>
      </c>
      <c r="F18" s="82" t="s">
        <v>14</v>
      </c>
      <c r="G18" s="82">
        <v>50</v>
      </c>
      <c r="H18" s="83">
        <v>120</v>
      </c>
      <c r="I18" s="84">
        <f t="shared" si="0"/>
        <v>6000</v>
      </c>
    </row>
    <row r="19" spans="1:10" x14ac:dyDescent="0.2">
      <c r="A19" s="80">
        <v>10</v>
      </c>
      <c r="B19" s="48" t="s">
        <v>78</v>
      </c>
      <c r="C19" s="48" t="s">
        <v>60</v>
      </c>
      <c r="D19" s="81">
        <v>292</v>
      </c>
      <c r="E19" s="48" t="s">
        <v>77</v>
      </c>
      <c r="F19" s="82" t="s">
        <v>14</v>
      </c>
      <c r="G19" s="82">
        <v>120</v>
      </c>
      <c r="H19" s="83">
        <v>95</v>
      </c>
      <c r="I19" s="84">
        <f t="shared" si="0"/>
        <v>11400</v>
      </c>
    </row>
    <row r="20" spans="1:10" x14ac:dyDescent="0.2">
      <c r="A20" s="80">
        <v>11</v>
      </c>
      <c r="B20" s="48" t="s">
        <v>80</v>
      </c>
      <c r="C20" s="48" t="s">
        <v>60</v>
      </c>
      <c r="D20" s="81">
        <v>292</v>
      </c>
      <c r="E20" s="48" t="s">
        <v>79</v>
      </c>
      <c r="F20" s="82" t="s">
        <v>14</v>
      </c>
      <c r="G20" s="82">
        <v>100</v>
      </c>
      <c r="H20" s="83">
        <v>46.2</v>
      </c>
      <c r="I20" s="84">
        <f t="shared" si="0"/>
        <v>4620</v>
      </c>
    </row>
    <row r="21" spans="1:10" x14ac:dyDescent="0.2">
      <c r="A21" s="80">
        <v>12</v>
      </c>
      <c r="B21" t="s">
        <v>171</v>
      </c>
      <c r="C21" s="48" t="s">
        <v>60</v>
      </c>
      <c r="D21" s="81">
        <v>292</v>
      </c>
      <c r="E21" t="s">
        <v>170</v>
      </c>
      <c r="F21" s="82" t="s">
        <v>14</v>
      </c>
      <c r="G21" s="82">
        <v>300</v>
      </c>
      <c r="H21" s="83">
        <v>37</v>
      </c>
      <c r="I21" s="84">
        <f t="shared" si="0"/>
        <v>11100</v>
      </c>
    </row>
    <row r="22" spans="1:10" x14ac:dyDescent="0.2">
      <c r="A22" s="80">
        <v>13</v>
      </c>
      <c r="B22" s="48" t="s">
        <v>83</v>
      </c>
      <c r="C22" s="48" t="s">
        <v>60</v>
      </c>
      <c r="D22" s="81">
        <v>292</v>
      </c>
      <c r="E22" s="48" t="s">
        <v>81</v>
      </c>
      <c r="F22" s="82" t="s">
        <v>14</v>
      </c>
      <c r="G22" s="82">
        <v>100</v>
      </c>
      <c r="H22" s="83">
        <v>25</v>
      </c>
      <c r="I22" s="84">
        <f t="shared" si="0"/>
        <v>2500</v>
      </c>
    </row>
    <row r="23" spans="1:10" x14ac:dyDescent="0.2">
      <c r="A23" s="80">
        <v>14</v>
      </c>
      <c r="B23" s="48" t="s">
        <v>84</v>
      </c>
      <c r="C23" s="48" t="s">
        <v>60</v>
      </c>
      <c r="D23" s="81">
        <v>292</v>
      </c>
      <c r="E23" s="48" t="s">
        <v>82</v>
      </c>
      <c r="F23" s="82" t="s">
        <v>14</v>
      </c>
      <c r="G23" s="82">
        <v>180</v>
      </c>
      <c r="H23" s="83">
        <v>20</v>
      </c>
      <c r="I23" s="84">
        <f t="shared" si="0"/>
        <v>3600</v>
      </c>
    </row>
    <row r="24" spans="1:10" x14ac:dyDescent="0.2">
      <c r="A24" s="80">
        <v>15</v>
      </c>
      <c r="B24" s="48" t="s">
        <v>87</v>
      </c>
      <c r="C24" s="48" t="s">
        <v>60</v>
      </c>
      <c r="D24" s="81">
        <v>231</v>
      </c>
      <c r="E24" s="48" t="s">
        <v>86</v>
      </c>
      <c r="F24" s="82" t="s">
        <v>14</v>
      </c>
      <c r="G24" s="82">
        <v>200</v>
      </c>
      <c r="H24" s="83">
        <v>20</v>
      </c>
      <c r="I24" s="84">
        <f t="shared" si="0"/>
        <v>4000</v>
      </c>
      <c r="J24" s="32" t="s">
        <v>85</v>
      </c>
    </row>
    <row r="25" spans="1:10" x14ac:dyDescent="0.2">
      <c r="A25" s="80">
        <v>16</v>
      </c>
      <c r="B25" s="48" t="s">
        <v>90</v>
      </c>
      <c r="C25" s="48" t="s">
        <v>60</v>
      </c>
      <c r="D25" s="81">
        <v>292</v>
      </c>
      <c r="E25" s="48" t="s">
        <v>89</v>
      </c>
      <c r="F25" s="82" t="s">
        <v>14</v>
      </c>
      <c r="G25" s="82">
        <v>50</v>
      </c>
      <c r="H25" s="83">
        <v>75</v>
      </c>
      <c r="I25" s="84">
        <f t="shared" si="0"/>
        <v>3750</v>
      </c>
    </row>
    <row r="26" spans="1:10" x14ac:dyDescent="0.2">
      <c r="A26" s="80">
        <v>17</v>
      </c>
      <c r="B26" s="48" t="s">
        <v>92</v>
      </c>
      <c r="C26" s="48" t="s">
        <v>60</v>
      </c>
      <c r="D26" s="81">
        <v>292</v>
      </c>
      <c r="E26" s="48" t="s">
        <v>91</v>
      </c>
      <c r="F26" s="82" t="s">
        <v>14</v>
      </c>
      <c r="G26" s="82">
        <v>100</v>
      </c>
      <c r="H26" s="83">
        <v>45</v>
      </c>
      <c r="I26" s="84">
        <f t="shared" si="0"/>
        <v>4500</v>
      </c>
    </row>
    <row r="27" spans="1:10" x14ac:dyDescent="0.2">
      <c r="A27" s="80">
        <v>18</v>
      </c>
      <c r="B27" s="48" t="s">
        <v>95</v>
      </c>
      <c r="C27" s="48" t="s">
        <v>60</v>
      </c>
      <c r="D27" s="81">
        <v>231</v>
      </c>
      <c r="E27" s="48" t="s">
        <v>93</v>
      </c>
      <c r="F27" s="82" t="s">
        <v>14</v>
      </c>
      <c r="G27" s="82">
        <v>100</v>
      </c>
      <c r="H27" s="83">
        <v>240</v>
      </c>
      <c r="I27" s="84">
        <f t="shared" si="0"/>
        <v>24000</v>
      </c>
    </row>
    <row r="28" spans="1:10" x14ac:dyDescent="0.2">
      <c r="A28" s="80">
        <v>19</v>
      </c>
      <c r="B28" s="48" t="s">
        <v>98</v>
      </c>
      <c r="C28" s="48" t="s">
        <v>60</v>
      </c>
      <c r="D28" s="81">
        <v>292</v>
      </c>
      <c r="E28" s="48" t="s">
        <v>96</v>
      </c>
      <c r="F28" s="82" t="s">
        <v>14</v>
      </c>
      <c r="G28" s="82">
        <v>300</v>
      </c>
      <c r="H28" s="83">
        <v>8</v>
      </c>
      <c r="I28" s="84">
        <f t="shared" si="0"/>
        <v>2400</v>
      </c>
    </row>
    <row r="29" spans="1:10" x14ac:dyDescent="0.2">
      <c r="A29" s="80">
        <v>20</v>
      </c>
      <c r="B29" s="48" t="s">
        <v>99</v>
      </c>
      <c r="C29" s="48" t="s">
        <v>60</v>
      </c>
      <c r="D29" s="81">
        <v>292</v>
      </c>
      <c r="E29" s="48" t="s">
        <v>97</v>
      </c>
      <c r="F29" s="82" t="s">
        <v>14</v>
      </c>
      <c r="G29" s="82">
        <v>300</v>
      </c>
      <c r="H29" s="83">
        <v>6</v>
      </c>
      <c r="I29" s="84">
        <f t="shared" si="0"/>
        <v>1800</v>
      </c>
    </row>
    <row r="30" spans="1:10" x14ac:dyDescent="0.2">
      <c r="A30" s="80">
        <v>21</v>
      </c>
      <c r="B30" s="48" t="s">
        <v>101</v>
      </c>
      <c r="C30" s="48" t="s">
        <v>60</v>
      </c>
      <c r="D30" s="81">
        <v>292</v>
      </c>
      <c r="E30" s="48" t="s">
        <v>100</v>
      </c>
      <c r="F30" s="82" t="s">
        <v>53</v>
      </c>
      <c r="G30" s="82">
        <v>3</v>
      </c>
      <c r="H30" s="83">
        <v>720</v>
      </c>
      <c r="I30" s="84">
        <f t="shared" si="0"/>
        <v>2160</v>
      </c>
    </row>
    <row r="31" spans="1:10" x14ac:dyDescent="0.2">
      <c r="A31" s="80">
        <v>22</v>
      </c>
      <c r="B31" s="48" t="s">
        <v>103</v>
      </c>
      <c r="C31" s="48" t="s">
        <v>60</v>
      </c>
      <c r="D31" s="81">
        <v>292</v>
      </c>
      <c r="E31" s="48" t="s">
        <v>102</v>
      </c>
      <c r="F31" s="82" t="s">
        <v>14</v>
      </c>
      <c r="G31" s="82">
        <v>200</v>
      </c>
      <c r="H31" s="83">
        <v>40</v>
      </c>
      <c r="I31" s="84">
        <f t="shared" si="0"/>
        <v>8000</v>
      </c>
    </row>
    <row r="32" spans="1:10" x14ac:dyDescent="0.2">
      <c r="A32" s="80">
        <v>23</v>
      </c>
      <c r="B32" s="48" t="s">
        <v>105</v>
      </c>
      <c r="C32" s="48" t="s">
        <v>60</v>
      </c>
      <c r="D32" s="81">
        <v>292</v>
      </c>
      <c r="E32" s="48" t="s">
        <v>104</v>
      </c>
      <c r="F32" s="82" t="s">
        <v>14</v>
      </c>
      <c r="G32" s="82">
        <v>600</v>
      </c>
      <c r="H32" s="83">
        <v>25</v>
      </c>
      <c r="I32" s="84">
        <f t="shared" si="0"/>
        <v>15000</v>
      </c>
    </row>
    <row r="33" spans="1:9" x14ac:dyDescent="0.2">
      <c r="A33" s="80">
        <v>24</v>
      </c>
      <c r="B33" s="48" t="s">
        <v>105</v>
      </c>
      <c r="C33" s="48" t="s">
        <v>60</v>
      </c>
      <c r="D33" s="81">
        <v>292</v>
      </c>
      <c r="E33" s="48" t="s">
        <v>104</v>
      </c>
      <c r="F33" s="82" t="s">
        <v>14</v>
      </c>
      <c r="G33" s="82">
        <v>300</v>
      </c>
      <c r="H33" s="83">
        <v>25</v>
      </c>
      <c r="I33" s="84">
        <f t="shared" si="0"/>
        <v>7500</v>
      </c>
    </row>
    <row r="34" spans="1:9" x14ac:dyDescent="0.2">
      <c r="A34" s="80">
        <v>25</v>
      </c>
      <c r="B34" s="48" t="s">
        <v>105</v>
      </c>
      <c r="C34" s="48" t="s">
        <v>60</v>
      </c>
      <c r="D34" s="81">
        <v>292</v>
      </c>
      <c r="E34" s="48" t="s">
        <v>104</v>
      </c>
      <c r="F34" s="82" t="s">
        <v>14</v>
      </c>
      <c r="G34" s="82">
        <v>100</v>
      </c>
      <c r="H34" s="83">
        <v>25</v>
      </c>
      <c r="I34" s="84">
        <f t="shared" si="0"/>
        <v>2500</v>
      </c>
    </row>
    <row r="35" spans="1:9" x14ac:dyDescent="0.2">
      <c r="A35" s="80">
        <v>26</v>
      </c>
      <c r="B35" s="48" t="s">
        <v>105</v>
      </c>
      <c r="C35" s="48" t="s">
        <v>60</v>
      </c>
      <c r="D35" s="81">
        <v>292</v>
      </c>
      <c r="E35" s="48" t="s">
        <v>104</v>
      </c>
      <c r="F35" s="82" t="s">
        <v>14</v>
      </c>
      <c r="G35" s="82">
        <v>80</v>
      </c>
      <c r="H35" s="83">
        <v>25</v>
      </c>
      <c r="I35" s="84">
        <f t="shared" si="0"/>
        <v>2000</v>
      </c>
    </row>
    <row r="36" spans="1:9" x14ac:dyDescent="0.2">
      <c r="A36" s="80">
        <v>27</v>
      </c>
      <c r="B36" s="48" t="s">
        <v>107</v>
      </c>
      <c r="C36" s="48" t="s">
        <v>60</v>
      </c>
      <c r="D36" s="81">
        <v>292</v>
      </c>
      <c r="E36" s="48" t="s">
        <v>106</v>
      </c>
      <c r="F36" s="82" t="s">
        <v>14</v>
      </c>
      <c r="G36" s="82">
        <v>150</v>
      </c>
      <c r="H36" s="83">
        <v>15</v>
      </c>
      <c r="I36" s="84">
        <f t="shared" si="0"/>
        <v>2250</v>
      </c>
    </row>
    <row r="37" spans="1:9" x14ac:dyDescent="0.2">
      <c r="A37" s="80">
        <v>28</v>
      </c>
      <c r="B37" s="48" t="s">
        <v>109</v>
      </c>
      <c r="C37" s="48" t="s">
        <v>60</v>
      </c>
      <c r="D37" s="81">
        <v>292</v>
      </c>
      <c r="E37" s="48" t="s">
        <v>108</v>
      </c>
      <c r="F37" s="82" t="s">
        <v>53</v>
      </c>
      <c r="G37" s="82">
        <v>30</v>
      </c>
      <c r="H37" s="83">
        <v>40</v>
      </c>
      <c r="I37" s="84">
        <f t="shared" si="0"/>
        <v>1200</v>
      </c>
    </row>
    <row r="38" spans="1:9" x14ac:dyDescent="0.2">
      <c r="A38" s="80">
        <v>29</v>
      </c>
      <c r="B38" s="48" t="s">
        <v>111</v>
      </c>
      <c r="C38" s="48" t="s">
        <v>60</v>
      </c>
      <c r="D38" s="81">
        <v>231</v>
      </c>
      <c r="E38" s="48" t="s">
        <v>110</v>
      </c>
      <c r="F38" s="82" t="s">
        <v>14</v>
      </c>
      <c r="G38" s="82">
        <v>100</v>
      </c>
      <c r="H38" s="83">
        <v>290</v>
      </c>
      <c r="I38" s="84">
        <f t="shared" si="0"/>
        <v>29000</v>
      </c>
    </row>
    <row r="39" spans="1:9" x14ac:dyDescent="0.2">
      <c r="A39" s="80">
        <v>30</v>
      </c>
      <c r="B39" s="48" t="s">
        <v>113</v>
      </c>
      <c r="C39" s="48" t="s">
        <v>60</v>
      </c>
      <c r="D39" s="81">
        <v>231</v>
      </c>
      <c r="E39" s="48" t="s">
        <v>112</v>
      </c>
      <c r="F39" s="82" t="s">
        <v>14</v>
      </c>
      <c r="G39" s="82">
        <v>5</v>
      </c>
      <c r="H39" s="83">
        <v>550</v>
      </c>
      <c r="I39" s="84">
        <f t="shared" si="0"/>
        <v>2750</v>
      </c>
    </row>
    <row r="40" spans="1:9" x14ac:dyDescent="0.2">
      <c r="A40" s="80">
        <v>31</v>
      </c>
      <c r="B40" s="48" t="s">
        <v>115</v>
      </c>
      <c r="C40" s="48" t="s">
        <v>60</v>
      </c>
      <c r="D40" s="81">
        <v>292</v>
      </c>
      <c r="E40" s="48" t="s">
        <v>114</v>
      </c>
      <c r="F40" s="82" t="s">
        <v>14</v>
      </c>
      <c r="G40" s="82">
        <v>250</v>
      </c>
      <c r="H40" s="83">
        <v>45</v>
      </c>
      <c r="I40" s="84">
        <f t="shared" si="0"/>
        <v>11250</v>
      </c>
    </row>
    <row r="41" spans="1:9" x14ac:dyDescent="0.2">
      <c r="A41" s="80">
        <v>32</v>
      </c>
      <c r="B41" s="48" t="s">
        <v>117</v>
      </c>
      <c r="C41" s="48" t="s">
        <v>60</v>
      </c>
      <c r="D41" s="81">
        <v>292</v>
      </c>
      <c r="E41" s="48" t="s">
        <v>116</v>
      </c>
      <c r="F41" s="82" t="s">
        <v>14</v>
      </c>
      <c r="G41" s="82">
        <v>200</v>
      </c>
      <c r="H41" s="83">
        <v>55</v>
      </c>
      <c r="I41" s="84">
        <f t="shared" si="0"/>
        <v>11000</v>
      </c>
    </row>
    <row r="42" spans="1:9" x14ac:dyDescent="0.2">
      <c r="A42" s="80">
        <v>33</v>
      </c>
      <c r="B42" s="48" t="s">
        <v>119</v>
      </c>
      <c r="C42" s="48" t="s">
        <v>60</v>
      </c>
      <c r="D42" s="81">
        <v>292</v>
      </c>
      <c r="E42" s="48" t="s">
        <v>118</v>
      </c>
      <c r="F42" s="82" t="s">
        <v>14</v>
      </c>
      <c r="G42" s="82">
        <v>200</v>
      </c>
      <c r="H42" s="83">
        <v>72</v>
      </c>
      <c r="I42" s="84">
        <f t="shared" si="0"/>
        <v>14400</v>
      </c>
    </row>
    <row r="43" spans="1:9" x14ac:dyDescent="0.2">
      <c r="A43" s="80">
        <v>34</v>
      </c>
      <c r="B43" s="48" t="s">
        <v>121</v>
      </c>
      <c r="C43" s="48" t="s">
        <v>60</v>
      </c>
      <c r="D43" s="81">
        <v>292</v>
      </c>
      <c r="E43" s="48" t="s">
        <v>120</v>
      </c>
      <c r="F43" s="82" t="s">
        <v>14</v>
      </c>
      <c r="G43" s="82">
        <v>150</v>
      </c>
      <c r="H43" s="83">
        <v>79</v>
      </c>
      <c r="I43" s="84">
        <f t="shared" si="0"/>
        <v>11850</v>
      </c>
    </row>
    <row r="44" spans="1:9" x14ac:dyDescent="0.2">
      <c r="A44" s="80">
        <v>35</v>
      </c>
      <c r="B44" s="48" t="s">
        <v>123</v>
      </c>
      <c r="C44" s="48" t="s">
        <v>60</v>
      </c>
      <c r="D44" s="81">
        <v>231</v>
      </c>
      <c r="E44" s="48" t="s">
        <v>122</v>
      </c>
      <c r="F44" s="82" t="s">
        <v>53</v>
      </c>
      <c r="G44" s="82">
        <v>1</v>
      </c>
      <c r="H44" s="83">
        <v>1950</v>
      </c>
      <c r="I44" s="84">
        <f t="shared" si="0"/>
        <v>1950</v>
      </c>
    </row>
    <row r="45" spans="1:9" x14ac:dyDescent="0.2">
      <c r="A45" s="80">
        <v>36</v>
      </c>
      <c r="B45" s="48" t="s">
        <v>125</v>
      </c>
      <c r="C45" s="48" t="s">
        <v>60</v>
      </c>
      <c r="D45" s="81">
        <v>231</v>
      </c>
      <c r="E45" s="48" t="s">
        <v>124</v>
      </c>
      <c r="F45" s="82" t="s">
        <v>14</v>
      </c>
      <c r="G45" s="82">
        <v>200</v>
      </c>
      <c r="H45" s="83">
        <v>20</v>
      </c>
      <c r="I45" s="84">
        <f t="shared" si="0"/>
        <v>4000</v>
      </c>
    </row>
    <row r="46" spans="1:9" x14ac:dyDescent="0.2">
      <c r="A46" s="80">
        <v>37</v>
      </c>
      <c r="B46" s="48" t="s">
        <v>127</v>
      </c>
      <c r="C46" s="48" t="s">
        <v>60</v>
      </c>
      <c r="D46" s="81">
        <v>231</v>
      </c>
      <c r="E46" s="48" t="s">
        <v>126</v>
      </c>
      <c r="F46" s="82" t="s">
        <v>14</v>
      </c>
      <c r="G46" s="82">
        <v>50</v>
      </c>
      <c r="H46" s="83">
        <v>28</v>
      </c>
      <c r="I46" s="84">
        <f t="shared" si="0"/>
        <v>1400</v>
      </c>
    </row>
    <row r="47" spans="1:9" x14ac:dyDescent="0.2">
      <c r="A47" s="80">
        <v>38</v>
      </c>
      <c r="B47" s="48" t="s">
        <v>130</v>
      </c>
      <c r="C47" s="48" t="s">
        <v>60</v>
      </c>
      <c r="D47" s="81">
        <v>231</v>
      </c>
      <c r="E47" s="48" t="s">
        <v>128</v>
      </c>
      <c r="F47" s="82" t="s">
        <v>132</v>
      </c>
      <c r="G47" s="82">
        <v>200</v>
      </c>
      <c r="H47" s="83">
        <v>594</v>
      </c>
      <c r="I47" s="84">
        <f t="shared" si="0"/>
        <v>118800</v>
      </c>
    </row>
    <row r="48" spans="1:9" x14ac:dyDescent="0.2">
      <c r="A48" s="80">
        <v>39</v>
      </c>
      <c r="B48" s="48" t="s">
        <v>131</v>
      </c>
      <c r="C48" s="48" t="s">
        <v>60</v>
      </c>
      <c r="D48" s="81">
        <v>231</v>
      </c>
      <c r="E48" s="48" t="s">
        <v>129</v>
      </c>
      <c r="F48" s="82" t="s">
        <v>132</v>
      </c>
      <c r="G48" s="82">
        <v>500</v>
      </c>
      <c r="H48" s="83">
        <v>450</v>
      </c>
      <c r="I48" s="84">
        <f t="shared" si="0"/>
        <v>225000</v>
      </c>
    </row>
    <row r="49" spans="1:9" x14ac:dyDescent="0.2">
      <c r="A49" s="80">
        <v>40</v>
      </c>
      <c r="B49" s="48" t="s">
        <v>134</v>
      </c>
      <c r="C49" s="48" t="s">
        <v>60</v>
      </c>
      <c r="D49" s="81">
        <v>292</v>
      </c>
      <c r="E49" s="48" t="s">
        <v>133</v>
      </c>
      <c r="F49" s="82" t="s">
        <v>14</v>
      </c>
      <c r="G49" s="82">
        <v>10</v>
      </c>
      <c r="H49" s="83">
        <v>1200</v>
      </c>
      <c r="I49" s="84">
        <f t="shared" si="0"/>
        <v>12000</v>
      </c>
    </row>
    <row r="50" spans="1:9" x14ac:dyDescent="0.2">
      <c r="A50" s="80">
        <v>41</v>
      </c>
      <c r="B50" s="48" t="s">
        <v>136</v>
      </c>
      <c r="C50" s="48" t="s">
        <v>60</v>
      </c>
      <c r="D50" s="81">
        <v>292</v>
      </c>
      <c r="E50" s="48" t="s">
        <v>135</v>
      </c>
      <c r="F50" s="82" t="s">
        <v>14</v>
      </c>
      <c r="G50" s="82">
        <v>50</v>
      </c>
      <c r="H50" s="83">
        <v>20</v>
      </c>
      <c r="I50" s="84">
        <f t="shared" si="0"/>
        <v>1000</v>
      </c>
    </row>
    <row r="51" spans="1:9" x14ac:dyDescent="0.2">
      <c r="A51" s="80">
        <v>42</v>
      </c>
      <c r="B51" s="48" t="s">
        <v>138</v>
      </c>
      <c r="C51" s="48" t="s">
        <v>60</v>
      </c>
      <c r="D51" s="81">
        <v>292</v>
      </c>
      <c r="E51" s="48" t="s">
        <v>137</v>
      </c>
      <c r="F51" s="82" t="s">
        <v>14</v>
      </c>
      <c r="G51" s="82">
        <v>20</v>
      </c>
      <c r="H51" s="83">
        <v>130</v>
      </c>
      <c r="I51" s="84">
        <f t="shared" si="0"/>
        <v>2600</v>
      </c>
    </row>
    <row r="52" spans="1:9" x14ac:dyDescent="0.2">
      <c r="A52" s="80">
        <v>43</v>
      </c>
      <c r="B52" s="48" t="s">
        <v>141</v>
      </c>
      <c r="C52" s="48" t="s">
        <v>60</v>
      </c>
      <c r="D52" s="81">
        <v>292</v>
      </c>
      <c r="E52" s="48" t="s">
        <v>139</v>
      </c>
      <c r="F52" s="82" t="s">
        <v>14</v>
      </c>
      <c r="G52" s="82">
        <v>200</v>
      </c>
      <c r="H52" s="83">
        <v>35</v>
      </c>
      <c r="I52" s="84">
        <f t="shared" si="0"/>
        <v>7000</v>
      </c>
    </row>
    <row r="53" spans="1:9" x14ac:dyDescent="0.2">
      <c r="A53" s="80">
        <v>44</v>
      </c>
      <c r="B53" s="48" t="s">
        <v>143</v>
      </c>
      <c r="C53" s="48" t="s">
        <v>60</v>
      </c>
      <c r="D53" s="81">
        <v>292</v>
      </c>
      <c r="E53" s="48" t="s">
        <v>142</v>
      </c>
      <c r="F53" s="82" t="s">
        <v>14</v>
      </c>
      <c r="G53" s="82">
        <v>40</v>
      </c>
      <c r="H53" s="83">
        <v>75</v>
      </c>
      <c r="I53" s="84">
        <f t="shared" si="0"/>
        <v>3000</v>
      </c>
    </row>
    <row r="54" spans="1:9" ht="13.5" thickBot="1" x14ac:dyDescent="0.25">
      <c r="A54" s="85">
        <v>45</v>
      </c>
      <c r="B54" s="86" t="s">
        <v>145</v>
      </c>
      <c r="C54" s="86" t="s">
        <v>60</v>
      </c>
      <c r="D54" s="87">
        <v>231</v>
      </c>
      <c r="E54" s="86" t="s">
        <v>144</v>
      </c>
      <c r="F54" s="88" t="s">
        <v>146</v>
      </c>
      <c r="G54" s="88">
        <v>20</v>
      </c>
      <c r="H54" s="89">
        <v>2475</v>
      </c>
      <c r="I54" s="90">
        <f t="shared" si="0"/>
        <v>49500</v>
      </c>
    </row>
    <row r="55" spans="1:9" ht="13.5" thickBot="1" x14ac:dyDescent="0.25">
      <c r="I55" s="46"/>
    </row>
    <row r="56" spans="1:9" x14ac:dyDescent="0.2">
      <c r="B56" s="102" t="s">
        <v>172</v>
      </c>
      <c r="C56" s="37"/>
      <c r="D56" s="37"/>
      <c r="E56" s="38"/>
    </row>
    <row r="57" spans="1:9" ht="12.75" customHeight="1" x14ac:dyDescent="0.2">
      <c r="B57" s="110" t="s">
        <v>174</v>
      </c>
      <c r="C57" s="111"/>
      <c r="D57" s="111"/>
      <c r="E57" s="112"/>
    </row>
    <row r="58" spans="1:9" ht="26.25" customHeight="1" x14ac:dyDescent="0.2">
      <c r="B58" s="110"/>
      <c r="C58" s="111"/>
      <c r="D58" s="111"/>
      <c r="E58" s="112"/>
    </row>
    <row r="59" spans="1:9" ht="26.25" customHeight="1" x14ac:dyDescent="0.2">
      <c r="B59" s="110" t="s">
        <v>173</v>
      </c>
      <c r="C59" s="111"/>
      <c r="D59" s="111"/>
      <c r="E59" s="112"/>
    </row>
    <row r="60" spans="1:9" x14ac:dyDescent="0.2">
      <c r="B60" s="158" t="s">
        <v>175</v>
      </c>
      <c r="C60" s="153"/>
      <c r="D60" s="154"/>
      <c r="E60" s="155"/>
    </row>
    <row r="61" spans="1:9" ht="26.25" customHeight="1" x14ac:dyDescent="0.2">
      <c r="B61" s="156"/>
      <c r="C61" s="157" t="s">
        <v>176</v>
      </c>
      <c r="D61" s="157"/>
      <c r="E61" s="157"/>
    </row>
    <row r="62" spans="1:9" ht="13.5" thickBot="1" x14ac:dyDescent="0.25">
      <c r="B62" s="43"/>
      <c r="C62" s="44"/>
      <c r="D62" s="44"/>
      <c r="E62" s="45"/>
    </row>
    <row r="63" spans="1:9" ht="13.5" thickBot="1" x14ac:dyDescent="0.25"/>
    <row r="64" spans="1:9" x14ac:dyDescent="0.2">
      <c r="B64" s="36" t="s">
        <v>147</v>
      </c>
      <c r="C64" s="37"/>
      <c r="D64" s="37"/>
      <c r="E64" s="38"/>
    </row>
    <row r="65" spans="2:5" ht="5.25" customHeight="1" x14ac:dyDescent="0.2">
      <c r="B65" s="39"/>
      <c r="C65" s="40"/>
      <c r="D65" s="40"/>
      <c r="E65" s="41"/>
    </row>
    <row r="66" spans="2:5" x14ac:dyDescent="0.2">
      <c r="B66" s="42" t="s">
        <v>15</v>
      </c>
      <c r="C66" s="40"/>
      <c r="D66" s="40"/>
      <c r="E66" s="41"/>
    </row>
    <row r="67" spans="2:5" x14ac:dyDescent="0.2">
      <c r="B67" s="42"/>
      <c r="C67" s="103" t="s">
        <v>148</v>
      </c>
      <c r="D67" s="103"/>
      <c r="E67" s="104"/>
    </row>
    <row r="68" spans="2:5" ht="13.5" thickBot="1" x14ac:dyDescent="0.25">
      <c r="B68" s="43"/>
      <c r="C68" s="44"/>
      <c r="D68" s="44"/>
      <c r="E68" s="45"/>
    </row>
    <row r="70" spans="2:5" x14ac:dyDescent="0.2">
      <c r="B70" s="36" t="s">
        <v>149</v>
      </c>
      <c r="C70" s="37"/>
      <c r="D70" s="37"/>
      <c r="E70" s="38"/>
    </row>
    <row r="71" spans="2:5" ht="7.5" customHeight="1" x14ac:dyDescent="0.2">
      <c r="B71" s="39"/>
      <c r="C71" s="40"/>
      <c r="D71" s="40"/>
      <c r="E71" s="41"/>
    </row>
    <row r="72" spans="2:5" x14ac:dyDescent="0.2">
      <c r="B72" s="42" t="s">
        <v>15</v>
      </c>
      <c r="C72" s="40"/>
      <c r="D72" s="40"/>
      <c r="E72" s="41"/>
    </row>
    <row r="73" spans="2:5" x14ac:dyDescent="0.2">
      <c r="B73" s="42"/>
      <c r="C73" s="103" t="s">
        <v>150</v>
      </c>
      <c r="D73" s="103"/>
      <c r="E73" s="104"/>
    </row>
    <row r="74" spans="2:5" ht="13.5" thickBot="1" x14ac:dyDescent="0.25">
      <c r="B74" s="43"/>
      <c r="C74" s="44"/>
      <c r="D74" s="44"/>
      <c r="E74" s="45"/>
    </row>
    <row r="75" spans="2:5" ht="13.5" thickBot="1" x14ac:dyDescent="0.25"/>
    <row r="76" spans="2:5" x14ac:dyDescent="0.2">
      <c r="B76" s="36" t="s">
        <v>151</v>
      </c>
      <c r="C76" s="37"/>
      <c r="D76" s="37"/>
      <c r="E76" s="38"/>
    </row>
    <row r="77" spans="2:5" x14ac:dyDescent="0.2">
      <c r="B77" s="39"/>
      <c r="C77" s="40"/>
      <c r="D77" s="40"/>
      <c r="E77" s="41"/>
    </row>
    <row r="78" spans="2:5" x14ac:dyDescent="0.2">
      <c r="B78" s="42" t="s">
        <v>15</v>
      </c>
      <c r="C78" s="40"/>
      <c r="D78" s="40"/>
      <c r="E78" s="41"/>
    </row>
    <row r="79" spans="2:5" x14ac:dyDescent="0.2">
      <c r="B79" s="42"/>
      <c r="C79" s="109" t="s">
        <v>88</v>
      </c>
      <c r="D79" s="109"/>
      <c r="E79" s="108"/>
    </row>
    <row r="80" spans="2:5" ht="13.5" thickBot="1" x14ac:dyDescent="0.25">
      <c r="B80" s="43"/>
      <c r="C80" s="44"/>
      <c r="D80" s="44"/>
      <c r="E80" s="45"/>
    </row>
    <row r="81" spans="2:5" ht="13.5" thickBot="1" x14ac:dyDescent="0.25"/>
    <row r="82" spans="2:5" x14ac:dyDescent="0.2">
      <c r="B82" s="36" t="s">
        <v>152</v>
      </c>
      <c r="C82" s="37"/>
      <c r="D82" s="37"/>
      <c r="E82" s="38"/>
    </row>
    <row r="83" spans="2:5" x14ac:dyDescent="0.2">
      <c r="B83" s="39"/>
      <c r="C83" s="40"/>
      <c r="D83" s="40"/>
      <c r="E83" s="41"/>
    </row>
    <row r="84" spans="2:5" x14ac:dyDescent="0.2">
      <c r="B84" s="42" t="s">
        <v>15</v>
      </c>
      <c r="C84" s="40"/>
      <c r="D84" s="40"/>
      <c r="E84" s="41"/>
    </row>
    <row r="85" spans="2:5" x14ac:dyDescent="0.2">
      <c r="B85" s="42"/>
      <c r="C85" s="108" t="s">
        <v>94</v>
      </c>
      <c r="D85" s="108"/>
      <c r="E85" s="108"/>
    </row>
    <row r="86" spans="2:5" ht="13.5" thickBot="1" x14ac:dyDescent="0.25">
      <c r="B86" s="43"/>
      <c r="C86" s="44"/>
      <c r="D86" s="44"/>
      <c r="E86" s="45"/>
    </row>
    <row r="88" spans="2:5" ht="13.5" thickBot="1" x14ac:dyDescent="0.25"/>
    <row r="89" spans="2:5" x14ac:dyDescent="0.2">
      <c r="B89" s="36" t="s">
        <v>153</v>
      </c>
      <c r="C89" s="37"/>
      <c r="D89" s="37"/>
      <c r="E89" s="38"/>
    </row>
    <row r="90" spans="2:5" x14ac:dyDescent="0.2">
      <c r="B90" s="39"/>
      <c r="C90" s="40"/>
      <c r="D90" s="40"/>
      <c r="E90" s="41"/>
    </row>
    <row r="91" spans="2:5" x14ac:dyDescent="0.2">
      <c r="B91" s="42" t="s">
        <v>15</v>
      </c>
      <c r="C91" s="40"/>
      <c r="D91" s="40"/>
      <c r="E91" s="41"/>
    </row>
    <row r="92" spans="2:5" x14ac:dyDescent="0.2">
      <c r="B92" s="42"/>
      <c r="C92" s="103" t="s">
        <v>154</v>
      </c>
      <c r="D92" s="103"/>
      <c r="E92" s="104"/>
    </row>
    <row r="93" spans="2:5" ht="13.5" thickBot="1" x14ac:dyDescent="0.25">
      <c r="B93" s="43"/>
      <c r="C93" s="44"/>
      <c r="D93" s="44"/>
      <c r="E93" s="45"/>
    </row>
    <row r="94" spans="2:5" ht="13.5" thickBot="1" x14ac:dyDescent="0.25"/>
    <row r="95" spans="2:5" x14ac:dyDescent="0.2">
      <c r="B95" s="36" t="s">
        <v>158</v>
      </c>
      <c r="C95" s="37"/>
      <c r="D95" s="37"/>
      <c r="E95" s="38"/>
    </row>
    <row r="96" spans="2:5" x14ac:dyDescent="0.2">
      <c r="B96" s="39"/>
      <c r="C96" s="40"/>
      <c r="D96" s="40"/>
      <c r="E96" s="41"/>
    </row>
    <row r="97" spans="2:5" x14ac:dyDescent="0.2">
      <c r="B97" s="42" t="s">
        <v>15</v>
      </c>
      <c r="C97" s="40"/>
      <c r="D97" s="40"/>
      <c r="E97" s="41"/>
    </row>
    <row r="98" spans="2:5" ht="12.75" customHeight="1" x14ac:dyDescent="0.2">
      <c r="B98" s="42"/>
      <c r="C98" s="103" t="s">
        <v>155</v>
      </c>
      <c r="D98" s="103"/>
      <c r="E98" s="104"/>
    </row>
    <row r="99" spans="2:5" ht="13.5" thickBot="1" x14ac:dyDescent="0.25">
      <c r="B99" s="43"/>
      <c r="C99" s="44"/>
      <c r="D99" s="44"/>
      <c r="E99" s="45"/>
    </row>
    <row r="100" spans="2:5" ht="13.5" thickBot="1" x14ac:dyDescent="0.25"/>
    <row r="101" spans="2:5" x14ac:dyDescent="0.2">
      <c r="B101" s="36" t="s">
        <v>159</v>
      </c>
      <c r="C101" s="37"/>
      <c r="D101" s="37"/>
      <c r="E101" s="38"/>
    </row>
    <row r="102" spans="2:5" x14ac:dyDescent="0.2">
      <c r="B102" s="39"/>
      <c r="C102" s="40"/>
      <c r="D102" s="40"/>
      <c r="E102" s="41"/>
    </row>
    <row r="103" spans="2:5" x14ac:dyDescent="0.2">
      <c r="B103" s="42" t="s">
        <v>15</v>
      </c>
      <c r="C103" s="40"/>
      <c r="D103" s="40"/>
      <c r="E103" s="41"/>
    </row>
    <row r="104" spans="2:5" ht="12.75" customHeight="1" x14ac:dyDescent="0.2">
      <c r="B104" s="42"/>
      <c r="C104" s="103" t="s">
        <v>156</v>
      </c>
      <c r="D104" s="103"/>
      <c r="E104" s="104"/>
    </row>
    <row r="105" spans="2:5" ht="13.5" thickBot="1" x14ac:dyDescent="0.25">
      <c r="B105" s="43"/>
      <c r="C105" s="44"/>
      <c r="D105" s="44"/>
      <c r="E105" s="45"/>
    </row>
    <row r="106" spans="2:5" ht="13.5" thickBot="1" x14ac:dyDescent="0.25"/>
    <row r="107" spans="2:5" x14ac:dyDescent="0.2">
      <c r="B107" s="36" t="s">
        <v>160</v>
      </c>
      <c r="C107" s="37"/>
      <c r="D107" s="37"/>
      <c r="E107" s="38"/>
    </row>
    <row r="108" spans="2:5" x14ac:dyDescent="0.2">
      <c r="B108" s="39"/>
      <c r="C108" s="40"/>
      <c r="D108" s="40"/>
      <c r="E108" s="41"/>
    </row>
    <row r="109" spans="2:5" x14ac:dyDescent="0.2">
      <c r="B109" s="42" t="s">
        <v>15</v>
      </c>
      <c r="C109" s="40"/>
      <c r="D109" s="40"/>
      <c r="E109" s="41"/>
    </row>
    <row r="110" spans="2:5" ht="12.75" customHeight="1" x14ac:dyDescent="0.2">
      <c r="B110" s="42"/>
      <c r="C110" s="103" t="s">
        <v>157</v>
      </c>
      <c r="D110" s="103"/>
      <c r="E110" s="104"/>
    </row>
    <row r="111" spans="2:5" ht="13.5" thickBot="1" x14ac:dyDescent="0.25">
      <c r="B111" s="43"/>
      <c r="C111" s="44"/>
      <c r="D111" s="44"/>
      <c r="E111" s="45"/>
    </row>
    <row r="112" spans="2:5" ht="13.5" thickBot="1" x14ac:dyDescent="0.25"/>
    <row r="113" spans="2:5" x14ac:dyDescent="0.2">
      <c r="B113" s="36" t="s">
        <v>161</v>
      </c>
      <c r="C113" s="37"/>
      <c r="D113" s="37"/>
      <c r="E113" s="38"/>
    </row>
    <row r="114" spans="2:5" x14ac:dyDescent="0.2">
      <c r="B114" s="39"/>
      <c r="C114" s="40"/>
      <c r="D114" s="40"/>
      <c r="E114" s="41"/>
    </row>
    <row r="115" spans="2:5" x14ac:dyDescent="0.2">
      <c r="B115" s="42" t="s">
        <v>15</v>
      </c>
      <c r="C115" s="40"/>
      <c r="D115" s="40"/>
      <c r="E115" s="41"/>
    </row>
    <row r="116" spans="2:5" x14ac:dyDescent="0.2">
      <c r="B116" s="42"/>
      <c r="C116" s="103" t="s">
        <v>140</v>
      </c>
      <c r="D116" s="103"/>
      <c r="E116" s="104"/>
    </row>
    <row r="117" spans="2:5" ht="13.5" thickBot="1" x14ac:dyDescent="0.25">
      <c r="B117" s="43"/>
      <c r="C117" s="44"/>
      <c r="D117" s="44"/>
      <c r="E117" s="45"/>
    </row>
  </sheetData>
  <autoFilter ref="A9:I54"/>
  <mergeCells count="19">
    <mergeCell ref="C85:E85"/>
    <mergeCell ref="A6:B6"/>
    <mergeCell ref="A7:B7"/>
    <mergeCell ref="C67:E67"/>
    <mergeCell ref="C73:E73"/>
    <mergeCell ref="C79:E79"/>
    <mergeCell ref="B57:E58"/>
    <mergeCell ref="B59:E59"/>
    <mergeCell ref="C61:E61"/>
    <mergeCell ref="B2:H2"/>
    <mergeCell ref="A4:B4"/>
    <mergeCell ref="C4:E4"/>
    <mergeCell ref="A5:B5"/>
    <mergeCell ref="C5:E5"/>
    <mergeCell ref="C116:E116"/>
    <mergeCell ref="C110:E110"/>
    <mergeCell ref="C104:E104"/>
    <mergeCell ref="C98:E98"/>
    <mergeCell ref="C92:E92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7"/>
  <sheetViews>
    <sheetView topLeftCell="C46" zoomScale="110" zoomScaleNormal="110" workbookViewId="0">
      <selection activeCell="J57" sqref="J57:K57"/>
    </sheetView>
  </sheetViews>
  <sheetFormatPr baseColWidth="10" defaultColWidth="9.140625" defaultRowHeight="12.75" x14ac:dyDescent="0.2"/>
  <cols>
    <col min="1" max="1" width="5.5703125" style="51" customWidth="1"/>
    <col min="2" max="2" width="15.140625" style="51" customWidth="1"/>
    <col min="3" max="3" width="14.140625" style="51" customWidth="1"/>
    <col min="4" max="4" width="26" style="51" customWidth="1"/>
    <col min="5" max="5" width="8" style="51" customWidth="1"/>
    <col min="6" max="6" width="7.85546875" style="51" customWidth="1"/>
    <col min="7" max="7" width="48.5703125" style="51" customWidth="1"/>
    <col min="8" max="8" width="9.28515625" style="51" customWidth="1"/>
    <col min="9" max="9" width="15.5703125" style="51" customWidth="1"/>
    <col min="10" max="10" width="14.7109375" style="51" customWidth="1"/>
    <col min="11" max="11" width="15.5703125" style="51" customWidth="1"/>
    <col min="12" max="14" width="5.85546875" style="51" customWidth="1"/>
    <col min="15" max="15" width="12.5703125" style="51" customWidth="1"/>
    <col min="16" max="1024" width="9.140625" style="51"/>
    <col min="1025" max="16384" width="9.140625" style="52"/>
  </cols>
  <sheetData>
    <row r="1" spans="1:11" ht="18" customHeight="1" x14ac:dyDescent="0.2">
      <c r="A1" s="114" t="s">
        <v>16</v>
      </c>
      <c r="B1" s="114"/>
      <c r="C1" s="114"/>
      <c r="D1" s="114"/>
      <c r="E1" s="114"/>
      <c r="F1" s="114"/>
      <c r="G1" s="114"/>
      <c r="H1" s="114"/>
      <c r="I1" s="114"/>
      <c r="J1" s="49" t="s">
        <v>17</v>
      </c>
      <c r="K1" s="50" t="s">
        <v>164</v>
      </c>
    </row>
    <row r="2" spans="1:11" ht="18.75" customHeight="1" thickBot="1" x14ac:dyDescent="0.25">
      <c r="A2" s="53"/>
      <c r="B2" s="53"/>
      <c r="C2" s="53"/>
      <c r="D2" s="54"/>
      <c r="E2" s="54"/>
      <c r="F2" s="54"/>
      <c r="G2" s="54"/>
      <c r="H2" s="54"/>
      <c r="I2" s="54"/>
      <c r="J2" s="54"/>
      <c r="K2" s="54"/>
    </row>
    <row r="3" spans="1:11" ht="18.75" customHeight="1" thickBot="1" x14ac:dyDescent="0.25">
      <c r="A3" s="115" t="s">
        <v>50</v>
      </c>
      <c r="B3" s="115"/>
      <c r="C3" s="115"/>
      <c r="D3" s="116" t="str">
        <f>'Necesidades Trimestrales'!C4</f>
        <v>040 - Ministerio de Salud</v>
      </c>
      <c r="E3" s="116"/>
      <c r="F3" s="116"/>
      <c r="G3" s="116"/>
      <c r="H3" s="116"/>
      <c r="I3" s="116"/>
      <c r="J3" s="116"/>
      <c r="K3" s="116"/>
    </row>
    <row r="4" spans="1:11" ht="18.75" customHeight="1" thickBot="1" x14ac:dyDescent="0.25">
      <c r="A4" s="117" t="s">
        <v>51</v>
      </c>
      <c r="B4" s="117"/>
      <c r="C4" s="117"/>
      <c r="D4" s="116" t="str">
        <f>'Necesidades Trimestrales'!C5</f>
        <v>024 - Hospital Interzonal de Niños</v>
      </c>
      <c r="E4" s="116"/>
      <c r="F4" s="116"/>
      <c r="G4" s="116"/>
      <c r="H4" s="116"/>
      <c r="I4" s="116"/>
      <c r="J4" s="116"/>
      <c r="K4" s="116"/>
    </row>
    <row r="5" spans="1:11" ht="18.75" customHeight="1" thickBot="1" x14ac:dyDescent="0.25">
      <c r="A5" s="117" t="s">
        <v>29</v>
      </c>
      <c r="B5" s="117"/>
      <c r="C5" s="117"/>
      <c r="D5" s="116" t="s">
        <v>54</v>
      </c>
      <c r="E5" s="116"/>
      <c r="F5" s="116"/>
      <c r="G5" s="116"/>
      <c r="H5" s="116"/>
      <c r="I5" s="116"/>
      <c r="J5" s="116"/>
      <c r="K5" s="116"/>
    </row>
    <row r="6" spans="1:11" ht="16.5" customHeight="1" thickBot="1" x14ac:dyDescent="0.25">
      <c r="A6" s="115" t="s">
        <v>52</v>
      </c>
      <c r="B6" s="115"/>
      <c r="C6" s="115"/>
      <c r="D6" s="116" t="s">
        <v>162</v>
      </c>
      <c r="E6" s="116"/>
      <c r="F6" s="116"/>
      <c r="G6" s="116"/>
      <c r="H6" s="116"/>
      <c r="I6" s="116"/>
      <c r="J6" s="116"/>
      <c r="K6" s="116"/>
    </row>
    <row r="7" spans="1:11" ht="16.5" customHeight="1" x14ac:dyDescent="0.2">
      <c r="A7" s="117" t="s">
        <v>18</v>
      </c>
      <c r="B7" s="117"/>
      <c r="C7" s="117"/>
      <c r="D7" s="116" t="str">
        <f>'Necesidades Trimestrales'!C7 &amp; "° Trimestre - Año " &amp; 'Necesidades Trimestrales'!C6</f>
        <v>4° Trimestre - Año 2020</v>
      </c>
      <c r="E7" s="116"/>
      <c r="F7" s="116"/>
      <c r="G7" s="116"/>
      <c r="H7" s="116"/>
      <c r="I7" s="116"/>
      <c r="J7" s="116"/>
      <c r="K7" s="116"/>
    </row>
    <row r="8" spans="1:11" ht="16.5" customHeight="1" x14ac:dyDescent="0.2">
      <c r="A8" s="118" t="s">
        <v>19</v>
      </c>
      <c r="B8" s="118"/>
      <c r="C8" s="118"/>
      <c r="D8" s="119" t="s">
        <v>163</v>
      </c>
      <c r="E8" s="119"/>
      <c r="F8" s="119"/>
      <c r="G8" s="119"/>
      <c r="H8" s="119"/>
      <c r="I8" s="119"/>
      <c r="J8" s="119"/>
      <c r="K8" s="119"/>
    </row>
    <row r="9" spans="1:11" ht="15.75" x14ac:dyDescent="0.2">
      <c r="A9" s="55"/>
      <c r="B9" s="55"/>
      <c r="C9" s="55"/>
      <c r="D9" s="56"/>
      <c r="E9" s="56"/>
      <c r="F9" s="56"/>
      <c r="G9" s="56"/>
      <c r="H9" s="56"/>
      <c r="I9" s="56"/>
      <c r="J9" s="56"/>
      <c r="K9" s="56"/>
    </row>
    <row r="10" spans="1:11" ht="18.75" customHeight="1" x14ac:dyDescent="0.2">
      <c r="A10" s="120" t="s">
        <v>20</v>
      </c>
      <c r="B10" s="121" t="s">
        <v>21</v>
      </c>
      <c r="C10" s="121" t="s">
        <v>22</v>
      </c>
      <c r="D10" s="121"/>
      <c r="E10" s="121"/>
      <c r="F10" s="121"/>
      <c r="G10" s="121"/>
      <c r="H10" s="121" t="s">
        <v>23</v>
      </c>
      <c r="I10" s="121" t="s">
        <v>24</v>
      </c>
      <c r="J10" s="121" t="s">
        <v>25</v>
      </c>
      <c r="K10" s="122" t="s">
        <v>26</v>
      </c>
    </row>
    <row r="11" spans="1:11" ht="24" customHeight="1" x14ac:dyDescent="0.2">
      <c r="A11" s="120"/>
      <c r="B11" s="121"/>
      <c r="C11" s="121"/>
      <c r="D11" s="121"/>
      <c r="E11" s="121"/>
      <c r="F11" s="121"/>
      <c r="G11" s="121"/>
      <c r="H11" s="121"/>
      <c r="I11" s="121"/>
      <c r="J11" s="121"/>
      <c r="K11" s="122"/>
    </row>
    <row r="12" spans="1:11" ht="27.75" customHeight="1" x14ac:dyDescent="0.2">
      <c r="A12" s="57">
        <v>1</v>
      </c>
      <c r="B12" s="58" t="str">
        <f>'Necesidades Trimestrales'!B10</f>
        <v>2.9.2-261.5</v>
      </c>
      <c r="C12" s="124" t="str">
        <f>'Necesidades Trimestrales'!E10</f>
        <v>ABROCHADORAS DE PAPEL; P/BROCHES: 50, TIPO: PINZA, MATERIAL: METALICA, MEDIDA: 50</v>
      </c>
      <c r="D12" s="124"/>
      <c r="E12" s="124"/>
      <c r="F12" s="124"/>
      <c r="G12" s="124"/>
      <c r="H12" s="59" t="s">
        <v>57</v>
      </c>
      <c r="I12" s="60" t="str">
        <f>'Necesidades Trimestrales'!F10</f>
        <v>UNIDAD</v>
      </c>
      <c r="J12" s="61">
        <f>'Necesidades Trimestrales'!H10</f>
        <v>510</v>
      </c>
      <c r="K12" s="62">
        <f>'Necesidades Trimestrales'!G10</f>
        <v>10</v>
      </c>
    </row>
    <row r="13" spans="1:11" ht="20.25" customHeight="1" x14ac:dyDescent="0.2">
      <c r="A13" s="63">
        <v>2</v>
      </c>
      <c r="B13" s="64" t="str">
        <f>'Necesidades Trimestrales'!B11</f>
        <v>2.9.2-291.3</v>
      </c>
      <c r="C13" s="113" t="str">
        <f>'Necesidades Trimestrales'!E11</f>
        <v>ALMOHADILLAS P/SELLOS; MEDIDA: 8 X 12 Cm, MATERIAL: PLASTICO</v>
      </c>
      <c r="D13" s="113"/>
      <c r="E13" s="113"/>
      <c r="F13" s="113"/>
      <c r="G13" s="113"/>
      <c r="H13" s="65" t="s">
        <v>57</v>
      </c>
      <c r="I13" s="66" t="str">
        <f>'Necesidades Trimestrales'!F11</f>
        <v>UNIDAD</v>
      </c>
      <c r="J13" s="67">
        <f>'Necesidades Trimestrales'!H11</f>
        <v>325</v>
      </c>
      <c r="K13" s="68">
        <f>'Necesidades Trimestrales'!G11</f>
        <v>20</v>
      </c>
    </row>
    <row r="14" spans="1:11" ht="20.25" customHeight="1" x14ac:dyDescent="0.2">
      <c r="A14" s="69">
        <v>3</v>
      </c>
      <c r="B14" s="64" t="str">
        <f>'Necesidades Trimestrales'!B12</f>
        <v>2.3.1-928.18</v>
      </c>
      <c r="C14" s="113" t="str">
        <f>'Necesidades Trimestrales'!E12</f>
        <v>ARANDELAS DE CARTON; DIAMETRO: 25 mm, PRESENTACION: CAJA X 500, CERTIFICADO FORESTAL (GFS): SIN, PORC. FIBRAS RECICLADAS: 0 %</v>
      </c>
      <c r="D14" s="113"/>
      <c r="E14" s="113"/>
      <c r="F14" s="113"/>
      <c r="G14" s="113"/>
      <c r="H14" s="65" t="s">
        <v>57</v>
      </c>
      <c r="I14" s="66" t="str">
        <f>'Necesidades Trimestrales'!F12</f>
        <v>CAJA</v>
      </c>
      <c r="J14" s="67">
        <f>'Necesidades Trimestrales'!H12</f>
        <v>155</v>
      </c>
      <c r="K14" s="68">
        <f>'Necesidades Trimestrales'!G12</f>
        <v>60</v>
      </c>
    </row>
    <row r="15" spans="1:11" ht="20.25" customHeight="1" x14ac:dyDescent="0.2">
      <c r="A15" s="69">
        <v>4</v>
      </c>
      <c r="B15" s="64" t="str">
        <f>'Necesidades Trimestrales'!B13</f>
        <v>2.9.2-852.5</v>
      </c>
      <c r="C15" s="113" t="str">
        <f>'Necesidades Trimestrales'!E13</f>
        <v>BROCHES DORADOS; N° PATAS: 2, N°: 10, PRESENTACION: CAJA X 100 UNIDADES, CANTIDAD PATAS: 2, NUMERO: 10</v>
      </c>
      <c r="D15" s="113"/>
      <c r="E15" s="113"/>
      <c r="F15" s="113"/>
      <c r="G15" s="113"/>
      <c r="H15" s="65" t="s">
        <v>57</v>
      </c>
      <c r="I15" s="66" t="str">
        <f>'Necesidades Trimestrales'!F13</f>
        <v>CAJA</v>
      </c>
      <c r="J15" s="67">
        <f>'Necesidades Trimestrales'!H13</f>
        <v>121</v>
      </c>
      <c r="K15" s="68">
        <f>'Necesidades Trimestrales'!G13</f>
        <v>80</v>
      </c>
    </row>
    <row r="16" spans="1:11" ht="20.25" customHeight="1" x14ac:dyDescent="0.2">
      <c r="A16" s="69">
        <v>5</v>
      </c>
      <c r="B16" s="64" t="str">
        <f>'Necesidades Trimestrales'!B14</f>
        <v>2.9.2-700.28</v>
      </c>
      <c r="C16" s="113" t="str">
        <f>'Necesidades Trimestrales'!E14</f>
        <v>BROCHES P/ABROCHADORA; NUMERO: 10/50, PRESENTACION: CAJA X 1000 UNIDADES</v>
      </c>
      <c r="D16" s="113"/>
      <c r="E16" s="113"/>
      <c r="F16" s="113"/>
      <c r="G16" s="113"/>
      <c r="H16" s="65" t="s">
        <v>57</v>
      </c>
      <c r="I16" s="66" t="str">
        <f>'Necesidades Trimestrales'!F14</f>
        <v>CAJA</v>
      </c>
      <c r="J16" s="67">
        <f>'Necesidades Trimestrales'!H14</f>
        <v>145</v>
      </c>
      <c r="K16" s="68">
        <f>'Necesidades Trimestrales'!G14</f>
        <v>200</v>
      </c>
    </row>
    <row r="17" spans="1:11" ht="20.25" customHeight="1" x14ac:dyDescent="0.2">
      <c r="A17" s="69">
        <v>6</v>
      </c>
      <c r="B17" s="64" t="str">
        <f>'Necesidades Trimestrales'!B15</f>
        <v>2.9.2-852.4</v>
      </c>
      <c r="C17" s="113" t="str">
        <f>'Necesidades Trimestrales'!E15</f>
        <v>BROCHES DORADOS; PRESENTACION: CAJA X 100 UNIDADES, N° PATAS: 2, N°: 8, CANTIDAD PATAS: 2, NUMERO: 8</v>
      </c>
      <c r="D17" s="113"/>
      <c r="E17" s="113"/>
      <c r="F17" s="113"/>
      <c r="G17" s="113"/>
      <c r="H17" s="65" t="s">
        <v>57</v>
      </c>
      <c r="I17" s="66" t="str">
        <f>'Necesidades Trimestrales'!F15</f>
        <v>CAJA</v>
      </c>
      <c r="J17" s="67">
        <f>'Necesidades Trimestrales'!H15</f>
        <v>99</v>
      </c>
      <c r="K17" s="68">
        <f>'Necesidades Trimestrales'!G15</f>
        <v>80</v>
      </c>
    </row>
    <row r="18" spans="1:11" ht="20.25" customHeight="1" x14ac:dyDescent="0.2">
      <c r="A18" s="69">
        <v>7</v>
      </c>
      <c r="B18" s="64" t="str">
        <f>'Necesidades Trimestrales'!B16</f>
        <v>2.9.2-852.6</v>
      </c>
      <c r="C18" s="113" t="str">
        <f>'Necesidades Trimestrales'!E16</f>
        <v>BROCHES DORADOS; N°: 12, PRESENTACION: CAJA X 100 UNIDADES, N° PATAS: 2, CANTIDAD PATAS: 2, NUMERO: 12</v>
      </c>
      <c r="D18" s="113"/>
      <c r="E18" s="113"/>
      <c r="F18" s="113"/>
      <c r="G18" s="113"/>
      <c r="H18" s="65" t="s">
        <v>57</v>
      </c>
      <c r="I18" s="66" t="str">
        <f>'Necesidades Trimestrales'!F16</f>
        <v>CAJA</v>
      </c>
      <c r="J18" s="67">
        <f>'Necesidades Trimestrales'!H16</f>
        <v>195</v>
      </c>
      <c r="K18" s="68">
        <f>'Necesidades Trimestrales'!G16</f>
        <v>80</v>
      </c>
    </row>
    <row r="19" spans="1:11" ht="20.25" customHeight="1" x14ac:dyDescent="0.2">
      <c r="A19" s="69">
        <v>8</v>
      </c>
      <c r="B19" s="64" t="str">
        <f>'Necesidades Trimestrales'!B17</f>
        <v>2.9.2-660.10</v>
      </c>
      <c r="C19" s="113" t="str">
        <f>'Necesidades Trimestrales'!E17</f>
        <v>CLIPS P/PAPEL; CANT. X CAJA: 50, NUMERO: 6, MATERIAL: METAL, PRESENTACION: CAJA X 50</v>
      </c>
      <c r="D19" s="113"/>
      <c r="E19" s="113"/>
      <c r="F19" s="113"/>
      <c r="G19" s="113"/>
      <c r="H19" s="65" t="s">
        <v>57</v>
      </c>
      <c r="I19" s="66" t="str">
        <f>'Necesidades Trimestrales'!F17</f>
        <v>CAJA</v>
      </c>
      <c r="J19" s="67">
        <f>'Necesidades Trimestrales'!H17</f>
        <v>42</v>
      </c>
      <c r="K19" s="68">
        <f>'Necesidades Trimestrales'!G17</f>
        <v>100</v>
      </c>
    </row>
    <row r="20" spans="1:11" ht="20.25" customHeight="1" x14ac:dyDescent="0.2">
      <c r="A20" s="69">
        <v>9</v>
      </c>
      <c r="B20" s="64" t="str">
        <f>'Necesidades Trimestrales'!B18</f>
        <v>2.9.2-850.4</v>
      </c>
      <c r="C20" s="113" t="str">
        <f>'Necesidades Trimestrales'!E18</f>
        <v>CAJAS DE ARCHIVO; MATERIAL: PLASTICO CORRUGADO, COLOR: SIN VALOR, DIMENSION: 26 X 36 X 12 Cm</v>
      </c>
      <c r="D20" s="113"/>
      <c r="E20" s="113"/>
      <c r="F20" s="113"/>
      <c r="G20" s="113"/>
      <c r="H20" s="65" t="s">
        <v>57</v>
      </c>
      <c r="I20" s="66" t="str">
        <f>'Necesidades Trimestrales'!F18</f>
        <v>UNIDAD</v>
      </c>
      <c r="J20" s="67">
        <f>'Necesidades Trimestrales'!H18</f>
        <v>120</v>
      </c>
      <c r="K20" s="68">
        <f>'Necesidades Trimestrales'!G18</f>
        <v>50</v>
      </c>
    </row>
    <row r="21" spans="1:11" ht="20.25" customHeight="1" x14ac:dyDescent="0.2">
      <c r="A21" s="69">
        <v>10</v>
      </c>
      <c r="B21" s="64" t="str">
        <f>'Necesidades Trimestrales'!B19</f>
        <v>2.9.2-1358.379</v>
      </c>
      <c r="C21" s="113" t="str">
        <f>'Necesidades Trimestrales'!E19</f>
        <v>CARPETAS; MATERIAL: CARTON FORRADO C/PLASTICO, TAMAÑO: OFICIO</v>
      </c>
      <c r="D21" s="113"/>
      <c r="E21" s="113"/>
      <c r="F21" s="113"/>
      <c r="G21" s="113"/>
      <c r="H21" s="65" t="s">
        <v>57</v>
      </c>
      <c r="I21" s="66" t="str">
        <f>'Necesidades Trimestrales'!F19</f>
        <v>UNIDAD</v>
      </c>
      <c r="J21" s="67">
        <f>'Necesidades Trimestrales'!H19</f>
        <v>95</v>
      </c>
      <c r="K21" s="68">
        <f>'Necesidades Trimestrales'!G19</f>
        <v>120</v>
      </c>
    </row>
    <row r="22" spans="1:11" ht="20.25" customHeight="1" x14ac:dyDescent="0.2">
      <c r="A22" s="69">
        <v>11</v>
      </c>
      <c r="B22" s="64" t="str">
        <f>'Necesidades Trimestrales'!B20</f>
        <v>2.9.2-1358.175</v>
      </c>
      <c r="C22" s="113" t="str">
        <f>'Necesidades Trimestrales'!E20</f>
        <v>CARPETAS; MATERIAL: CARTULINA, COLOR: SIN VALOR, TAMAÑO: 26,5 X 36 Cm, TIPO: TRES SOLAPAS, PRESENTACION: UNIDAD, SUJECION: SIN VALOR, MEMBRETE: SIN, LENGÜETA: SIN</v>
      </c>
      <c r="D22" s="113"/>
      <c r="E22" s="113"/>
      <c r="F22" s="113"/>
      <c r="G22" s="113"/>
      <c r="H22" s="65" t="s">
        <v>57</v>
      </c>
      <c r="I22" s="66" t="str">
        <f>'Necesidades Trimestrales'!F20</f>
        <v>UNIDAD</v>
      </c>
      <c r="J22" s="67">
        <f>'Necesidades Trimestrales'!H20</f>
        <v>46.2</v>
      </c>
      <c r="K22" s="68">
        <f>'Necesidades Trimestrales'!G20</f>
        <v>100</v>
      </c>
    </row>
    <row r="23" spans="1:11" ht="20.25" customHeight="1" x14ac:dyDescent="0.2">
      <c r="A23" s="69">
        <v>12</v>
      </c>
      <c r="B23" s="64" t="str">
        <f>'Necesidades Trimestrales'!B21</f>
        <v>2.9.2-1510.24</v>
      </c>
      <c r="C23" s="113" t="str">
        <f>'Necesidades Trimestrales'!E21</f>
        <v>CARPETAS COLGANTES; TIPO: EXTERIOR, MATERIAL: CARTULINA, TAMAÑO: OFICIO, SUJECION: VARILLA GALVANIZADA, VISOR: SIN, PRESENTACION: UNIDAD</v>
      </c>
      <c r="D23" s="113"/>
      <c r="E23" s="113"/>
      <c r="F23" s="113"/>
      <c r="G23" s="113"/>
      <c r="H23" s="65" t="s">
        <v>57</v>
      </c>
      <c r="I23" s="66" t="str">
        <f>'Necesidades Trimestrales'!F21</f>
        <v>UNIDAD</v>
      </c>
      <c r="J23" s="67">
        <f>'Necesidades Trimestrales'!H21</f>
        <v>37</v>
      </c>
      <c r="K23" s="68">
        <f>'Necesidades Trimestrales'!G21</f>
        <v>300</v>
      </c>
    </row>
    <row r="24" spans="1:11" ht="20.25" customHeight="1" x14ac:dyDescent="0.2">
      <c r="A24" s="69">
        <v>13</v>
      </c>
      <c r="B24" s="64" t="str">
        <f>'Necesidades Trimestrales'!B22</f>
        <v>2.9.2-1358.34</v>
      </c>
      <c r="C24" s="113" t="str">
        <f>'Necesidades Trimestrales'!E22</f>
        <v>CARPETAS; MATERIAL PVC - TAMAÑO OFICIO</v>
      </c>
      <c r="D24" s="113"/>
      <c r="E24" s="113"/>
      <c r="F24" s="113"/>
      <c r="G24" s="113"/>
      <c r="H24" s="65" t="s">
        <v>57</v>
      </c>
      <c r="I24" s="66" t="str">
        <f>'Necesidades Trimestrales'!F22</f>
        <v>UNIDAD</v>
      </c>
      <c r="J24" s="67">
        <f>'Necesidades Trimestrales'!H22</f>
        <v>25</v>
      </c>
      <c r="K24" s="68">
        <f>'Necesidades Trimestrales'!G22</f>
        <v>100</v>
      </c>
    </row>
    <row r="25" spans="1:11" ht="20.25" customHeight="1" x14ac:dyDescent="0.2">
      <c r="A25" s="69">
        <v>14</v>
      </c>
      <c r="B25" s="64" t="str">
        <f>'Necesidades Trimestrales'!B23</f>
        <v>2.9.2-1358.35</v>
      </c>
      <c r="C25" s="113" t="str">
        <f>'Necesidades Trimestrales'!E23</f>
        <v>CARPETAS; MATERIAL PVC - TAMAÑO A4</v>
      </c>
      <c r="D25" s="113"/>
      <c r="E25" s="113"/>
      <c r="F25" s="113"/>
      <c r="G25" s="113"/>
      <c r="H25" s="65" t="s">
        <v>57</v>
      </c>
      <c r="I25" s="66" t="str">
        <f>'Necesidades Trimestrales'!F23</f>
        <v>UNIDAD</v>
      </c>
      <c r="J25" s="67">
        <f>'Necesidades Trimestrales'!H23</f>
        <v>20</v>
      </c>
      <c r="K25" s="68">
        <f>'Necesidades Trimestrales'!G23</f>
        <v>180</v>
      </c>
    </row>
    <row r="26" spans="1:11" ht="20.25" customHeight="1" x14ac:dyDescent="0.2">
      <c r="A26" s="69">
        <v>15</v>
      </c>
      <c r="B26" s="64" t="str">
        <f>'Necesidades Trimestrales'!B24</f>
        <v>2.3.1-6563.882</v>
      </c>
      <c r="C26" s="113" t="str">
        <f>'Necesidades Trimestrales'!E24</f>
        <v>PAPELES EN HOJA; TIPO DE PAPEL: CARTULINA, DIMENSION: 45 X 63 Cm, GRAMAJE: 115/125 GR/M2, PRESENTACION: UNIDAD, CERTIFICADO FORESTAL (GFS): SIN, PORC. FIBRAS RECICLADAS: SIN, CERT. FIBRA ALTERNATIVA (FCA): SIN</v>
      </c>
      <c r="D26" s="113"/>
      <c r="E26" s="113"/>
      <c r="F26" s="113"/>
      <c r="G26" s="113"/>
      <c r="H26" s="65" t="s">
        <v>57</v>
      </c>
      <c r="I26" s="66" t="str">
        <f>'Necesidades Trimestrales'!F24</f>
        <v>UNIDAD</v>
      </c>
      <c r="J26" s="67">
        <f>'Necesidades Trimestrales'!H24</f>
        <v>20</v>
      </c>
      <c r="K26" s="68">
        <f>'Necesidades Trimestrales'!G24</f>
        <v>200</v>
      </c>
    </row>
    <row r="27" spans="1:11" ht="20.25" customHeight="1" x14ac:dyDescent="0.2">
      <c r="A27" s="69">
        <v>16</v>
      </c>
      <c r="B27" s="64" t="str">
        <f>'Necesidades Trimestrales'!B25</f>
        <v>2.9.2-1153.239</v>
      </c>
      <c r="C27" s="113" t="str">
        <f>'Necesidades Trimestrales'!E25</f>
        <v>CINTAS ADHESIVAS; TIPO: P/EMBALAR, ANCHO: 48 mm, LARGO: 40 M, MATERIAL: POLIPROPILENO, ACCESORIO: SIN</v>
      </c>
      <c r="D27" s="113"/>
      <c r="E27" s="113"/>
      <c r="F27" s="113"/>
      <c r="G27" s="113"/>
      <c r="H27" s="65" t="s">
        <v>57</v>
      </c>
      <c r="I27" s="66" t="str">
        <f>'Necesidades Trimestrales'!F25</f>
        <v>UNIDAD</v>
      </c>
      <c r="J27" s="67">
        <f>'Necesidades Trimestrales'!H25</f>
        <v>75</v>
      </c>
      <c r="K27" s="68">
        <f>'Necesidades Trimestrales'!G25</f>
        <v>50</v>
      </c>
    </row>
    <row r="28" spans="1:11" ht="20.25" customHeight="1" x14ac:dyDescent="0.2">
      <c r="A28" s="69">
        <v>17</v>
      </c>
      <c r="B28" s="64" t="str">
        <f>'Necesidades Trimestrales'!B26</f>
        <v>2.9.2-1153.241</v>
      </c>
      <c r="C28" s="113" t="str">
        <f>'Necesidades Trimestrales'!E26</f>
        <v>CINTAS ADHESIVAS; TIPO: TRANSPARENTE, ANCHO: 12 mm, LARGO: 30 M, MATERIAL: POLIPROPILENO, ACCESORIO: SIN</v>
      </c>
      <c r="D28" s="113"/>
      <c r="E28" s="113"/>
      <c r="F28" s="113"/>
      <c r="G28" s="113"/>
      <c r="H28" s="65" t="s">
        <v>57</v>
      </c>
      <c r="I28" s="66" t="str">
        <f>'Necesidades Trimestrales'!F26</f>
        <v>UNIDAD</v>
      </c>
      <c r="J28" s="67">
        <f>'Necesidades Trimestrales'!H26</f>
        <v>45</v>
      </c>
      <c r="K28" s="68">
        <f>'Necesidades Trimestrales'!G26</f>
        <v>100</v>
      </c>
    </row>
    <row r="29" spans="1:11" ht="20.25" customHeight="1" x14ac:dyDescent="0.2">
      <c r="A29" s="69">
        <v>18</v>
      </c>
      <c r="B29" s="64" t="str">
        <f>'Necesidades Trimestrales'!B27</f>
        <v>2.3.1-6587.292</v>
      </c>
      <c r="C29" s="113" t="str">
        <f>'Necesidades Trimestrales'!E27</f>
        <v>PAPELES ENCUADERNADOS; CANT. DE HOJAS: 196, TAMAÑO: 21 X 16 Cm, TIPO: CUADERNO, CERTIFICADO FORESTAL (GFS): SIN, PORC. FIBRAS RECICLADAS: 0 %, CERT. FIBRA ALTERNATIVA (FCA): SIN</v>
      </c>
      <c r="D29" s="113"/>
      <c r="E29" s="113"/>
      <c r="F29" s="113"/>
      <c r="G29" s="113"/>
      <c r="H29" s="65" t="s">
        <v>57</v>
      </c>
      <c r="I29" s="66" t="str">
        <f>'Necesidades Trimestrales'!F27</f>
        <v>UNIDAD</v>
      </c>
      <c r="J29" s="67">
        <f>'Necesidades Trimestrales'!H27</f>
        <v>240</v>
      </c>
      <c r="K29" s="68">
        <f>'Necesidades Trimestrales'!G27</f>
        <v>100</v>
      </c>
    </row>
    <row r="30" spans="1:11" ht="20.25" customHeight="1" x14ac:dyDescent="0.2">
      <c r="A30" s="69">
        <v>19</v>
      </c>
      <c r="B30" s="64" t="str">
        <f>'Necesidades Trimestrales'!B28</f>
        <v>2.9.2-1611.18</v>
      </c>
      <c r="C30" s="113" t="str">
        <f>'Necesidades Trimestrales'!E28</f>
        <v>FOLIOS TRANSPARENTES; TAMAÑO: OFICIO, PERFORACIONES: 5, MATERIAL: PLASTICO (POLIETILENO)</v>
      </c>
      <c r="D30" s="113"/>
      <c r="E30" s="113"/>
      <c r="F30" s="113"/>
      <c r="G30" s="113"/>
      <c r="H30" s="65" t="s">
        <v>57</v>
      </c>
      <c r="I30" s="66" t="str">
        <f>'Necesidades Trimestrales'!F28</f>
        <v>UNIDAD</v>
      </c>
      <c r="J30" s="67">
        <f>'Necesidades Trimestrales'!H28</f>
        <v>8</v>
      </c>
      <c r="K30" s="68">
        <f>'Necesidades Trimestrales'!G28</f>
        <v>300</v>
      </c>
    </row>
    <row r="31" spans="1:11" ht="20.25" customHeight="1" x14ac:dyDescent="0.2">
      <c r="A31" s="69">
        <v>20</v>
      </c>
      <c r="B31" s="64" t="str">
        <f>'Necesidades Trimestrales'!B29</f>
        <v>2.9.2-1611.19</v>
      </c>
      <c r="C31" s="113" t="str">
        <f>'Necesidades Trimestrales'!E29</f>
        <v>FOLIOS TRANSPARENTES; TAMAÑO: A4, PERFORACIONES: 5, MATERIAL: PLASTICO (POLIETILENO)</v>
      </c>
      <c r="D31" s="113"/>
      <c r="E31" s="113"/>
      <c r="F31" s="113"/>
      <c r="G31" s="113"/>
      <c r="H31" s="65" t="s">
        <v>57</v>
      </c>
      <c r="I31" s="66" t="str">
        <f>'Necesidades Trimestrales'!F29</f>
        <v>UNIDAD</v>
      </c>
      <c r="J31" s="67">
        <f>'Necesidades Trimestrales'!H29</f>
        <v>6</v>
      </c>
      <c r="K31" s="68">
        <f>'Necesidades Trimestrales'!G29</f>
        <v>300</v>
      </c>
    </row>
    <row r="32" spans="1:11" ht="20.25" customHeight="1" x14ac:dyDescent="0.2">
      <c r="A32" s="69">
        <v>21</v>
      </c>
      <c r="B32" s="64" t="str">
        <f>'Necesidades Trimestrales'!B30</f>
        <v>2.9.2-661.50</v>
      </c>
      <c r="C32" s="113" t="str">
        <f>'Necesidades Trimestrales'!E30</f>
        <v>GOMAS DE BORRAR; USO: LAPIZ, DIMENSION: 1 X 1 X 5 Cm, MATERIAL: CAUCHO, PRESENTACION: CAJA X 36</v>
      </c>
      <c r="D32" s="113"/>
      <c r="E32" s="113"/>
      <c r="F32" s="113"/>
      <c r="G32" s="113"/>
      <c r="H32" s="65" t="s">
        <v>57</v>
      </c>
      <c r="I32" s="66" t="str">
        <f>'Necesidades Trimestrales'!F30</f>
        <v>CAJA</v>
      </c>
      <c r="J32" s="67">
        <f>'Necesidades Trimestrales'!H30</f>
        <v>720</v>
      </c>
      <c r="K32" s="68">
        <f>'Necesidades Trimestrales'!G30</f>
        <v>3</v>
      </c>
    </row>
    <row r="33" spans="1:11" ht="20.25" customHeight="1" x14ac:dyDescent="0.2">
      <c r="A33" s="69">
        <v>22</v>
      </c>
      <c r="B33" s="64" t="str">
        <f>'Necesidades Trimestrales'!B31</f>
        <v>2.9.2-262.65</v>
      </c>
      <c r="C33" s="113" t="str">
        <f>'Necesidades Trimestrales'!E31</f>
        <v>ADHESIVOS P/PAPEL; PRESENTACION: ENVASE X 100 GR, TIPO: COLA VINILICA</v>
      </c>
      <c r="D33" s="113"/>
      <c r="E33" s="113"/>
      <c r="F33" s="113"/>
      <c r="G33" s="113"/>
      <c r="H33" s="65" t="s">
        <v>57</v>
      </c>
      <c r="I33" s="66" t="str">
        <f>'Necesidades Trimestrales'!F31</f>
        <v>UNIDAD</v>
      </c>
      <c r="J33" s="67">
        <f>'Necesidades Trimestrales'!H31</f>
        <v>40</v>
      </c>
      <c r="K33" s="68">
        <f>'Necesidades Trimestrales'!G31</f>
        <v>200</v>
      </c>
    </row>
    <row r="34" spans="1:11" ht="20.25" customHeight="1" x14ac:dyDescent="0.2">
      <c r="A34" s="69">
        <v>23</v>
      </c>
      <c r="B34" s="64" t="str">
        <f>'Necesidades Trimestrales'!B32</f>
        <v>2.9.2-317.31</v>
      </c>
      <c r="C34" s="113" t="str">
        <f>'Necesidades Trimestrales'!E32</f>
        <v>BOLIGRAFOS; TRAZO: MEDIO</v>
      </c>
      <c r="D34" s="113"/>
      <c r="E34" s="113"/>
      <c r="F34" s="113"/>
      <c r="G34" s="113"/>
      <c r="H34" s="65" t="s">
        <v>57</v>
      </c>
      <c r="I34" s="66" t="str">
        <f>'Necesidades Trimestrales'!F32</f>
        <v>UNIDAD</v>
      </c>
      <c r="J34" s="67">
        <f>'Necesidades Trimestrales'!H32</f>
        <v>25</v>
      </c>
      <c r="K34" s="68">
        <f>'Necesidades Trimestrales'!G32</f>
        <v>600</v>
      </c>
    </row>
    <row r="35" spans="1:11" ht="20.25" customHeight="1" x14ac:dyDescent="0.2">
      <c r="A35" s="69">
        <v>24</v>
      </c>
      <c r="B35" s="64" t="str">
        <f>'Necesidades Trimestrales'!B33</f>
        <v>2.9.2-317.31</v>
      </c>
      <c r="C35" s="113" t="str">
        <f>'Necesidades Trimestrales'!E33</f>
        <v>BOLIGRAFOS; TRAZO: MEDIO</v>
      </c>
      <c r="D35" s="113"/>
      <c r="E35" s="113"/>
      <c r="F35" s="113"/>
      <c r="G35" s="113"/>
      <c r="H35" s="65" t="s">
        <v>57</v>
      </c>
      <c r="I35" s="66" t="str">
        <f>'Necesidades Trimestrales'!F33</f>
        <v>UNIDAD</v>
      </c>
      <c r="J35" s="67">
        <f>'Necesidades Trimestrales'!H33</f>
        <v>25</v>
      </c>
      <c r="K35" s="68">
        <f>'Necesidades Trimestrales'!G33</f>
        <v>300</v>
      </c>
    </row>
    <row r="36" spans="1:11" ht="20.25" customHeight="1" x14ac:dyDescent="0.2">
      <c r="A36" s="69">
        <v>25</v>
      </c>
      <c r="B36" s="64" t="str">
        <f>'Necesidades Trimestrales'!B34</f>
        <v>2.9.2-317.31</v>
      </c>
      <c r="C36" s="113" t="str">
        <f>'Necesidades Trimestrales'!E34</f>
        <v>BOLIGRAFOS; TRAZO: MEDIO</v>
      </c>
      <c r="D36" s="113"/>
      <c r="E36" s="113"/>
      <c r="F36" s="113"/>
      <c r="G36" s="113"/>
      <c r="H36" s="65" t="s">
        <v>57</v>
      </c>
      <c r="I36" s="66" t="str">
        <f>'Necesidades Trimestrales'!F34</f>
        <v>UNIDAD</v>
      </c>
      <c r="J36" s="67">
        <f>'Necesidades Trimestrales'!H34</f>
        <v>25</v>
      </c>
      <c r="K36" s="68">
        <f>'Necesidades Trimestrales'!G34</f>
        <v>100</v>
      </c>
    </row>
    <row r="37" spans="1:11" ht="20.25" customHeight="1" x14ac:dyDescent="0.2">
      <c r="A37" s="69">
        <v>26</v>
      </c>
      <c r="B37" s="64" t="str">
        <f>'Necesidades Trimestrales'!B35</f>
        <v>2.9.2-317.31</v>
      </c>
      <c r="C37" s="113" t="str">
        <f>'Necesidades Trimestrales'!E35</f>
        <v>BOLIGRAFOS; TRAZO: MEDIO</v>
      </c>
      <c r="D37" s="113"/>
      <c r="E37" s="113"/>
      <c r="F37" s="113"/>
      <c r="G37" s="113"/>
      <c r="H37" s="65" t="s">
        <v>57</v>
      </c>
      <c r="I37" s="66" t="str">
        <f>'Necesidades Trimestrales'!F35</f>
        <v>UNIDAD</v>
      </c>
      <c r="J37" s="67">
        <f>'Necesidades Trimestrales'!H35</f>
        <v>25</v>
      </c>
      <c r="K37" s="68">
        <f>'Necesidades Trimestrales'!G35</f>
        <v>80</v>
      </c>
    </row>
    <row r="38" spans="1:11" ht="20.25" customHeight="1" x14ac:dyDescent="0.2">
      <c r="A38" s="69">
        <v>27</v>
      </c>
      <c r="B38" s="64" t="str">
        <f>'Necesidades Trimestrales'!B36</f>
        <v>2.9.2-848.20</v>
      </c>
      <c r="C38" s="113" t="str">
        <f>'Necesidades Trimestrales'!E36</f>
        <v>LAPIZ; TIPO: 2HB, COLOR: NEGRO</v>
      </c>
      <c r="D38" s="113"/>
      <c r="E38" s="113"/>
      <c r="F38" s="113"/>
      <c r="G38" s="113"/>
      <c r="H38" s="65" t="s">
        <v>57</v>
      </c>
      <c r="I38" s="66" t="str">
        <f>'Necesidades Trimestrales'!F36</f>
        <v>UNIDAD</v>
      </c>
      <c r="J38" s="67">
        <f>'Necesidades Trimestrales'!H36</f>
        <v>15</v>
      </c>
      <c r="K38" s="68">
        <f>'Necesidades Trimestrales'!G36</f>
        <v>150</v>
      </c>
    </row>
    <row r="39" spans="1:11" ht="20.25" customHeight="1" x14ac:dyDescent="0.2">
      <c r="A39" s="69">
        <v>28</v>
      </c>
      <c r="B39" s="64" t="str">
        <f>'Necesidades Trimestrales'!B37</f>
        <v>2.9.2-3283.2</v>
      </c>
      <c r="C39" s="113" t="str">
        <f>'Necesidades Trimestrales'!E37</f>
        <v>JUEGO DE LAPICES; TIPO: SIN VALOR, COLOR: COLORES, PRESENTACION: CAJA X 6 UN</v>
      </c>
      <c r="D39" s="113"/>
      <c r="E39" s="113"/>
      <c r="F39" s="113"/>
      <c r="G39" s="113"/>
      <c r="H39" s="65" t="s">
        <v>57</v>
      </c>
      <c r="I39" s="66" t="str">
        <f>'Necesidades Trimestrales'!F37</f>
        <v>CAJA</v>
      </c>
      <c r="J39" s="67">
        <f>'Necesidades Trimestrales'!H37</f>
        <v>40</v>
      </c>
      <c r="K39" s="68">
        <f>'Necesidades Trimestrales'!G37</f>
        <v>30</v>
      </c>
    </row>
    <row r="40" spans="1:11" ht="20.25" customHeight="1" x14ac:dyDescent="0.2">
      <c r="A40" s="69">
        <v>29</v>
      </c>
      <c r="B40" s="64" t="str">
        <f>'Necesidades Trimestrales'!B38</f>
        <v>2.3.1-6587.361</v>
      </c>
      <c r="C40" s="113" t="str">
        <f>'Necesidades Trimestrales'!E38</f>
        <v>PAPELES ENCUADERNADOS; CANT. DE HOJAS: 200, TAMAÑO: 22,5 X 34,5 Cm, TIPO: LIBRO DE ACTAS, CERTIFICADO FORESTAL (GFS): SIN, PORC. FIBRAS RECICLADAS: 0 %, CERT. FIBRA ALTERNATIVA (FCA): SIN</v>
      </c>
      <c r="D40" s="113"/>
      <c r="E40" s="113"/>
      <c r="F40" s="113"/>
      <c r="G40" s="113"/>
      <c r="H40" s="65" t="s">
        <v>57</v>
      </c>
      <c r="I40" s="66" t="str">
        <f>'Necesidades Trimestrales'!F38</f>
        <v>UNIDAD</v>
      </c>
      <c r="J40" s="67">
        <f>'Necesidades Trimestrales'!H38</f>
        <v>290</v>
      </c>
      <c r="K40" s="68">
        <f>'Necesidades Trimestrales'!G38</f>
        <v>100</v>
      </c>
    </row>
    <row r="41" spans="1:11" ht="20.25" customHeight="1" x14ac:dyDescent="0.2">
      <c r="A41" s="69">
        <v>30</v>
      </c>
      <c r="B41" s="64" t="str">
        <f>'Necesidades Trimestrales'!B39</f>
        <v>2.3.1-6587.293</v>
      </c>
      <c r="C41" s="113" t="str">
        <f>'Necesidades Trimestrales'!E39</f>
        <v>PAPELES ENCUADERNADOS; CANT. DE HOJAS: 100 HOJAS, TAMAÑO: 34,5 X 22,5 Cm, TIPO: LIBRO INDICE, CERTIFICADO FORESTAL (GFS): CON, PORC. FIBRAS RECICLADAS: 0 %, CERT. FIBRA ALTERNATIVA (FCA): SIN</v>
      </c>
      <c r="D41" s="113"/>
      <c r="E41" s="113"/>
      <c r="F41" s="113"/>
      <c r="G41" s="113"/>
      <c r="H41" s="65" t="s">
        <v>57</v>
      </c>
      <c r="I41" s="66" t="str">
        <f>'Necesidades Trimestrales'!F39</f>
        <v>UNIDAD</v>
      </c>
      <c r="J41" s="67">
        <f>'Necesidades Trimestrales'!H39</f>
        <v>550</v>
      </c>
      <c r="K41" s="68">
        <f>'Necesidades Trimestrales'!G39</f>
        <v>5</v>
      </c>
    </row>
    <row r="42" spans="1:11" ht="20.25" customHeight="1" x14ac:dyDescent="0.2">
      <c r="A42" s="69">
        <v>31</v>
      </c>
      <c r="B42" s="64" t="str">
        <f>'Necesidades Trimestrales'!B40</f>
        <v>2.9.2-323.4</v>
      </c>
      <c r="C42" s="113" t="str">
        <f>'Necesidades Trimestrales'!E40</f>
        <v>CORRECTORES DE ESCRITURA; CAPACIDAD: 7 mL, ENVASE: LAPIZ (PUNTA METAL), PRESENTACION: LAPIZ (PUNTA METAL) X 7 mL</v>
      </c>
      <c r="D42" s="113"/>
      <c r="E42" s="113"/>
      <c r="F42" s="113"/>
      <c r="G42" s="113"/>
      <c r="H42" s="65" t="s">
        <v>57</v>
      </c>
      <c r="I42" s="66" t="str">
        <f>'Necesidades Trimestrales'!F40</f>
        <v>UNIDAD</v>
      </c>
      <c r="J42" s="67">
        <f>'Necesidades Trimestrales'!H40</f>
        <v>45</v>
      </c>
      <c r="K42" s="68">
        <f>'Necesidades Trimestrales'!G40</f>
        <v>250</v>
      </c>
    </row>
    <row r="43" spans="1:11" ht="20.25" customHeight="1" x14ac:dyDescent="0.2">
      <c r="A43" s="69">
        <v>32</v>
      </c>
      <c r="B43" s="64" t="str">
        <f>'Necesidades Trimestrales'!B41</f>
        <v>2.9.2-1616.147</v>
      </c>
      <c r="C43" s="113" t="str">
        <f>'Necesidades Trimestrales'!E41</f>
        <v>MARCADORES; TIPO P/PIZARRA - TRAZO FINO - PUNTA REDONDA - RECARGABLE NO</v>
      </c>
      <c r="D43" s="113"/>
      <c r="E43" s="113"/>
      <c r="F43" s="113"/>
      <c r="G43" s="113"/>
      <c r="H43" s="65" t="s">
        <v>57</v>
      </c>
      <c r="I43" s="66" t="str">
        <f>'Necesidades Trimestrales'!F41</f>
        <v>UNIDAD</v>
      </c>
      <c r="J43" s="67">
        <f>'Necesidades Trimestrales'!H41</f>
        <v>55</v>
      </c>
      <c r="K43" s="68">
        <f>'Necesidades Trimestrales'!G41</f>
        <v>200</v>
      </c>
    </row>
    <row r="44" spans="1:11" ht="20.25" customHeight="1" x14ac:dyDescent="0.2">
      <c r="A44" s="69">
        <v>33</v>
      </c>
      <c r="B44" s="64" t="str">
        <f>'Necesidades Trimestrales'!B42</f>
        <v>2.9.2-1616.117</v>
      </c>
      <c r="C44" s="113" t="str">
        <f>'Necesidades Trimestrales'!E42</f>
        <v>MARCADORES; TIPO: AL ALCOHOL, TRAZO: 5 mm, PUNTA: BISELADA, COLOR: NEGRO, RECARGABLE: NO</v>
      </c>
      <c r="D44" s="113"/>
      <c r="E44" s="113"/>
      <c r="F44" s="113"/>
      <c r="G44" s="113"/>
      <c r="H44" s="65" t="s">
        <v>57</v>
      </c>
      <c r="I44" s="66" t="str">
        <f>'Necesidades Trimestrales'!F42</f>
        <v>UNIDAD</v>
      </c>
      <c r="J44" s="67">
        <f>'Necesidades Trimestrales'!H42</f>
        <v>72</v>
      </c>
      <c r="K44" s="68">
        <f>'Necesidades Trimestrales'!G42</f>
        <v>200</v>
      </c>
    </row>
    <row r="45" spans="1:11" ht="20.25" customHeight="1" x14ac:dyDescent="0.2">
      <c r="A45" s="69">
        <v>34</v>
      </c>
      <c r="B45" s="64" t="str">
        <f>'Necesidades Trimestrales'!B43</f>
        <v>2.9.2-1616.142</v>
      </c>
      <c r="C45" s="113" t="str">
        <f>'Necesidades Trimestrales'!E43</f>
        <v>MARCADORES; TIPO: AL AGUA, TRAZO: GRUESO, PUNTA: BISELADA, COLOR: SIN VALOR, RECARGABLE: NO</v>
      </c>
      <c r="D45" s="113"/>
      <c r="E45" s="113"/>
      <c r="F45" s="113"/>
      <c r="G45" s="113"/>
      <c r="H45" s="65" t="s">
        <v>57</v>
      </c>
      <c r="I45" s="66" t="str">
        <f>'Necesidades Trimestrales'!F43</f>
        <v>UNIDAD</v>
      </c>
      <c r="J45" s="67">
        <f>'Necesidades Trimestrales'!H43</f>
        <v>79</v>
      </c>
      <c r="K45" s="68">
        <f>'Necesidades Trimestrales'!G43</f>
        <v>150</v>
      </c>
    </row>
    <row r="46" spans="1:11" ht="20.25" customHeight="1" x14ac:dyDescent="0.2">
      <c r="A46" s="69">
        <v>35</v>
      </c>
      <c r="B46" s="64" t="str">
        <f>'Necesidades Trimestrales'!B44</f>
        <v>2.3.1-6563.109</v>
      </c>
      <c r="C46" s="113" t="str">
        <f>'Necesidades Trimestrales'!E44</f>
        <v>PAPELES EN HOJA; TIPO PAPEL: PAPEL CARBONICO, DIMENSION: OFICIO, GRAMAJE: SIN VALOR, PRESENTACION: CAJA X 100 HOJAS, TIPO DE PAPEL: PAPEL CARBONICO</v>
      </c>
      <c r="D46" s="113"/>
      <c r="E46" s="113"/>
      <c r="F46" s="113"/>
      <c r="G46" s="113"/>
      <c r="H46" s="65" t="s">
        <v>57</v>
      </c>
      <c r="I46" s="66" t="str">
        <f>'Necesidades Trimestrales'!F44</f>
        <v>CAJA</v>
      </c>
      <c r="J46" s="67">
        <f>'Necesidades Trimestrales'!H44</f>
        <v>1950</v>
      </c>
      <c r="K46" s="68">
        <f>'Necesidades Trimestrales'!G44</f>
        <v>1</v>
      </c>
    </row>
    <row r="47" spans="1:11" ht="20.25" customHeight="1" x14ac:dyDescent="0.2">
      <c r="A47" s="69">
        <v>36</v>
      </c>
      <c r="B47" s="64" t="str">
        <f>'Necesidades Trimestrales'!B45</f>
        <v>2.3.1-6563.1068</v>
      </c>
      <c r="C47" s="113" t="str">
        <f>'Necesidades Trimestrales'!E45</f>
        <v>PAPELES EN HOJA; TIPO DE PAPEL: AFICHE, DIMENSION: 70 X 100 Cm, GRAMAJE: 65 GR/M2, PRESENTACION: UNIDAD, CERTIFICADO FORESTAL (GFS): SIN, PORC. FIBRAS RECICLADAS: 0 %, CERT. FIBRA ALTERNATIVA (FCA): SIN</v>
      </c>
      <c r="D47" s="113"/>
      <c r="E47" s="113"/>
      <c r="F47" s="113"/>
      <c r="G47" s="113"/>
      <c r="H47" s="65" t="s">
        <v>57</v>
      </c>
      <c r="I47" s="66" t="str">
        <f>'Necesidades Trimestrales'!F45</f>
        <v>UNIDAD</v>
      </c>
      <c r="J47" s="67">
        <f>'Necesidades Trimestrales'!H45</f>
        <v>20</v>
      </c>
      <c r="K47" s="68">
        <f>'Necesidades Trimestrales'!G45</f>
        <v>200</v>
      </c>
    </row>
    <row r="48" spans="1:11" ht="20.25" customHeight="1" x14ac:dyDescent="0.2">
      <c r="A48" s="69">
        <v>37</v>
      </c>
      <c r="B48" s="64" t="str">
        <f>'Necesidades Trimestrales'!B46</f>
        <v>2.3.1-6563.938</v>
      </c>
      <c r="C48" s="113" t="str">
        <f>'Necesidades Trimestrales'!E46</f>
        <v>PAPELES EN HOJA; TIPO DE PAPEL: P/FORRAR, DIMENSION: 48 X 80 Cm, GRAMAJE: NO CORRESPONDE, PRESENTACION: UNIDAD, CERTIFICADO FORESTAL (GFS): SIN, PORC. FIBRAS RECICLADAS: 0 %, CERT. FIBRA ALTERNATIVA (FCA): SIN</v>
      </c>
      <c r="D48" s="113"/>
      <c r="E48" s="113"/>
      <c r="F48" s="113"/>
      <c r="G48" s="113"/>
      <c r="H48" s="65" t="s">
        <v>57</v>
      </c>
      <c r="I48" s="66" t="str">
        <f>'Necesidades Trimestrales'!F46</f>
        <v>UNIDAD</v>
      </c>
      <c r="J48" s="67">
        <f>'Necesidades Trimestrales'!H46</f>
        <v>28</v>
      </c>
      <c r="K48" s="68">
        <f>'Necesidades Trimestrales'!G46</f>
        <v>50</v>
      </c>
    </row>
    <row r="49" spans="1:11" ht="20.25" customHeight="1" x14ac:dyDescent="0.2">
      <c r="A49" s="69">
        <v>38</v>
      </c>
      <c r="B49" s="64" t="str">
        <f>'Necesidades Trimestrales'!B47</f>
        <v>2.3.1-6563.131</v>
      </c>
      <c r="C49" s="113" t="str">
        <f>'Necesidades Trimestrales'!E47</f>
        <v>PAPELES EN HOJA; TIPO PAPEL: PAPEL OBRA, DIMENSION: 21,59 X 35,56 Cm, GRAMAJE: 80 GR/M2, PRESENTACION: RESMA X 500 HOJAS, TIPO DE PAPEL: PAPEL OBRA</v>
      </c>
      <c r="D49" s="113"/>
      <c r="E49" s="113"/>
      <c r="F49" s="113"/>
      <c r="G49" s="113"/>
      <c r="H49" s="65" t="s">
        <v>57</v>
      </c>
      <c r="I49" s="66" t="str">
        <f>'Necesidades Trimestrales'!F47</f>
        <v>RESMA</v>
      </c>
      <c r="J49" s="67">
        <f>'Necesidades Trimestrales'!H47</f>
        <v>594</v>
      </c>
      <c r="K49" s="68">
        <f>'Necesidades Trimestrales'!G47</f>
        <v>200</v>
      </c>
    </row>
    <row r="50" spans="1:11" ht="20.25" customHeight="1" x14ac:dyDescent="0.2">
      <c r="A50" s="69">
        <v>39</v>
      </c>
      <c r="B50" s="64" t="str">
        <f>'Necesidades Trimestrales'!B48</f>
        <v>2.3.1-6563.307</v>
      </c>
      <c r="C50" s="113" t="str">
        <f>'Necesidades Trimestrales'!E48</f>
        <v>PAPELES EN HOJA; TIPO PAPEL: PAPEL OBRA, DIMENSION: 21 X 29,7 Cm, GRAMAJE: 75 GR, PRESENTACION: RESMA X 500, TIPO DE PAPEL: PAPEL OBRA</v>
      </c>
      <c r="D50" s="113"/>
      <c r="E50" s="113"/>
      <c r="F50" s="113"/>
      <c r="G50" s="113"/>
      <c r="H50" s="65" t="s">
        <v>57</v>
      </c>
      <c r="I50" s="66" t="str">
        <f>'Necesidades Trimestrales'!F48</f>
        <v>RESMA</v>
      </c>
      <c r="J50" s="67">
        <f>'Necesidades Trimestrales'!H48</f>
        <v>450</v>
      </c>
      <c r="K50" s="68">
        <f>'Necesidades Trimestrales'!G48</f>
        <v>500</v>
      </c>
    </row>
    <row r="51" spans="1:11" ht="20.25" customHeight="1" x14ac:dyDescent="0.2">
      <c r="A51" s="69">
        <v>40</v>
      </c>
      <c r="B51" s="64" t="str">
        <f>'Necesidades Trimestrales'!B49</f>
        <v>2.9.2-858.7</v>
      </c>
      <c r="C51" s="113" t="str">
        <f>'Necesidades Trimestrales'!E49</f>
        <v>PERFORADORAS; DIST. ENTRE AGUJ.: FIJO, N° PERFORACIONES: 2, MATERIAL ESTRUCTURA: FUNDICION HIERRO BASE MADERA, GUIA POSICION PAPEL: CON, TAMAÑO: GRANDE, MATERIAL: FUNDICION HIERRO BASE MADERA</v>
      </c>
      <c r="D51" s="113"/>
      <c r="E51" s="113"/>
      <c r="F51" s="113"/>
      <c r="G51" s="113"/>
      <c r="H51" s="65" t="s">
        <v>57</v>
      </c>
      <c r="I51" s="66" t="str">
        <f>'Necesidades Trimestrales'!F49</f>
        <v>UNIDAD</v>
      </c>
      <c r="J51" s="67">
        <f>'Necesidades Trimestrales'!H49</f>
        <v>1200</v>
      </c>
      <c r="K51" s="68">
        <f>'Necesidades Trimestrales'!G49</f>
        <v>10</v>
      </c>
    </row>
    <row r="52" spans="1:11" ht="20.25" customHeight="1" x14ac:dyDescent="0.2">
      <c r="A52" s="69">
        <v>41</v>
      </c>
      <c r="B52" s="64" t="str">
        <f>'Necesidades Trimestrales'!B50</f>
        <v>2.9.2-5600.2</v>
      </c>
      <c r="C52" s="113" t="str">
        <f>'Necesidades Trimestrales'!E50</f>
        <v>MASAS P/MODELAR; PRESENTACION: UNIDAD, C0LOR: SURTIDO, TIPO: PLASTILINA</v>
      </c>
      <c r="D52" s="113"/>
      <c r="E52" s="113"/>
      <c r="F52" s="113"/>
      <c r="G52" s="113"/>
      <c r="H52" s="65" t="s">
        <v>57</v>
      </c>
      <c r="I52" s="66" t="str">
        <f>'Necesidades Trimestrales'!F50</f>
        <v>UNIDAD</v>
      </c>
      <c r="J52" s="67">
        <f>'Necesidades Trimestrales'!H50</f>
        <v>20</v>
      </c>
      <c r="K52" s="68">
        <f>'Necesidades Trimestrales'!G50</f>
        <v>50</v>
      </c>
    </row>
    <row r="53" spans="1:11" ht="20.25" customHeight="1" x14ac:dyDescent="0.2">
      <c r="A53" s="69">
        <v>42</v>
      </c>
      <c r="B53" s="64" t="str">
        <f>'Necesidades Trimestrales'!B51</f>
        <v>2.9.2-674.10</v>
      </c>
      <c r="C53" s="113" t="str">
        <f>'Necesidades Trimestrales'!E51</f>
        <v>REGLAS GRADUADAS; TIPO: PLANA, MATERIAL: PLASTICO, LONG.DE CUERPO: 40 Cm</v>
      </c>
      <c r="D53" s="113"/>
      <c r="E53" s="113"/>
      <c r="F53" s="113"/>
      <c r="G53" s="113"/>
      <c r="H53" s="65" t="s">
        <v>57</v>
      </c>
      <c r="I53" s="66" t="str">
        <f>'Necesidades Trimestrales'!F51</f>
        <v>UNIDAD</v>
      </c>
      <c r="J53" s="67">
        <f>'Necesidades Trimestrales'!H51</f>
        <v>130</v>
      </c>
      <c r="K53" s="68">
        <f>'Necesidades Trimestrales'!G51</f>
        <v>20</v>
      </c>
    </row>
    <row r="54" spans="1:11" ht="20.25" customHeight="1" x14ac:dyDescent="0.2">
      <c r="A54" s="69">
        <v>43</v>
      </c>
      <c r="B54" s="64" t="str">
        <f>'Necesidades Trimestrales'!B52</f>
        <v>2.9.2-1354.21</v>
      </c>
      <c r="C54" s="113" t="str">
        <f>'Necesidades Trimestrales'!E52</f>
        <v>RESALTADORES; PUNTA: BISELADA, ACCESORIO: SIN, COLOR: SIN VALOR, TIPO PUNTA: BISELADA</v>
      </c>
      <c r="D54" s="113"/>
      <c r="E54" s="113"/>
      <c r="F54" s="113"/>
      <c r="G54" s="113"/>
      <c r="H54" s="65" t="s">
        <v>57</v>
      </c>
      <c r="I54" s="66" t="str">
        <f>'Necesidades Trimestrales'!F52</f>
        <v>UNIDAD</v>
      </c>
      <c r="J54" s="67">
        <f>'Necesidades Trimestrales'!H52</f>
        <v>35</v>
      </c>
      <c r="K54" s="68">
        <f>'Necesidades Trimestrales'!G52</f>
        <v>200</v>
      </c>
    </row>
    <row r="55" spans="1:11" ht="24" customHeight="1" x14ac:dyDescent="0.2">
      <c r="A55" s="69">
        <v>44</v>
      </c>
      <c r="B55" s="64" t="str">
        <f>'Necesidades Trimestrales'!B53</f>
        <v>2.9.2-758.18</v>
      </c>
      <c r="C55" s="113" t="str">
        <f>'Necesidades Trimestrales'!E53</f>
        <v>TIJERAS P/CORTAR PAPELES; LONG.DE CUERPO: 17 Cm, MATERIAL: ACERO INOXIDABLE, CUCHILLA: REDONDEADAS, MANGO: PLASTICO</v>
      </c>
      <c r="D55" s="113"/>
      <c r="E55" s="113"/>
      <c r="F55" s="113"/>
      <c r="G55" s="113"/>
      <c r="H55" s="65" t="s">
        <v>57</v>
      </c>
      <c r="I55" s="66" t="str">
        <f>'Necesidades Trimestrales'!F53</f>
        <v>UNIDAD</v>
      </c>
      <c r="J55" s="67">
        <f>'Necesidades Trimestrales'!H53</f>
        <v>75</v>
      </c>
      <c r="K55" s="68">
        <f>'Necesidades Trimestrales'!G53</f>
        <v>40</v>
      </c>
    </row>
    <row r="56" spans="1:11" ht="28.5" customHeight="1" thickBot="1" x14ac:dyDescent="0.25">
      <c r="A56" s="69">
        <v>45</v>
      </c>
      <c r="B56" s="64" t="str">
        <f>'Necesidades Trimestrales'!B54</f>
        <v>2.3.1-6590.422</v>
      </c>
      <c r="C56" s="113" t="str">
        <f>'Necesidades Trimestrales'!E54</f>
        <v>SOBRES DE PAPEL; TIPO: BOLSA EN PAPEL MANILA, TAMAÑO: 27 X 37 Cm, GRAMAJE: 80 GR/CM2, PRESENTACION: PAQUETE X 250, CERTIFICADO FORESTAL (GFS): SIN</v>
      </c>
      <c r="D56" s="113"/>
      <c r="E56" s="113"/>
      <c r="F56" s="113"/>
      <c r="G56" s="113"/>
      <c r="H56" s="65" t="s">
        <v>57</v>
      </c>
      <c r="I56" s="66" t="str">
        <f>'Necesidades Trimestrales'!F54</f>
        <v>PAQUETE</v>
      </c>
      <c r="J56" s="67">
        <f>'Necesidades Trimestrales'!H54</f>
        <v>2475</v>
      </c>
      <c r="K56" s="68">
        <f>'Necesidades Trimestrales'!G54</f>
        <v>20</v>
      </c>
    </row>
    <row r="57" spans="1:11" ht="20.25" customHeight="1" thickBot="1" x14ac:dyDescent="0.25">
      <c r="A57" s="116" t="s">
        <v>166</v>
      </c>
      <c r="B57" s="116"/>
      <c r="C57" s="116"/>
      <c r="D57" s="116"/>
      <c r="E57" s="116"/>
      <c r="F57" s="116"/>
      <c r="G57" s="116"/>
      <c r="H57" s="116"/>
      <c r="I57" s="116"/>
      <c r="J57" s="123">
        <f>SUMPRODUCT(J12:J56,K12:K56)</f>
        <v>714080</v>
      </c>
      <c r="K57" s="123"/>
    </row>
  </sheetData>
  <mergeCells count="67">
    <mergeCell ref="A57:I57"/>
    <mergeCell ref="J57:K57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7:G27"/>
    <mergeCell ref="C28:G28"/>
    <mergeCell ref="C29:G29"/>
    <mergeCell ref="C30:G30"/>
    <mergeCell ref="C31:G31"/>
    <mergeCell ref="C22:G22"/>
    <mergeCell ref="C23:G23"/>
    <mergeCell ref="C24:G24"/>
    <mergeCell ref="C25:G25"/>
    <mergeCell ref="C26:G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37:G37"/>
    <mergeCell ref="C38:G38"/>
    <mergeCell ref="C39:G39"/>
    <mergeCell ref="C40:G40"/>
    <mergeCell ref="C41:G41"/>
    <mergeCell ref="C32:G32"/>
    <mergeCell ref="C33:G33"/>
    <mergeCell ref="C34:G34"/>
    <mergeCell ref="C35:G35"/>
    <mergeCell ref="C36:G36"/>
    <mergeCell ref="C47:G47"/>
    <mergeCell ref="C48:G48"/>
    <mergeCell ref="C49:G49"/>
    <mergeCell ref="C50:G50"/>
    <mergeCell ref="C51:G51"/>
    <mergeCell ref="C42:G42"/>
    <mergeCell ref="C43:G43"/>
    <mergeCell ref="C44:G44"/>
    <mergeCell ref="C45:G45"/>
    <mergeCell ref="C46:G46"/>
    <mergeCell ref="C52:G52"/>
    <mergeCell ref="C53:G53"/>
    <mergeCell ref="C54:G54"/>
    <mergeCell ref="C55:G55"/>
    <mergeCell ref="C56:G5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22" zoomScale="130" zoomScaleNormal="130" workbookViewId="0">
      <selection activeCell="O17" sqref="O17:P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5" t="s">
        <v>3</v>
      </c>
      <c r="B1" s="125"/>
      <c r="C1" s="125"/>
      <c r="D1" s="126">
        <f>'Necesidades Trimestrales'!C6</f>
        <v>2020</v>
      </c>
      <c r="E1" s="126"/>
      <c r="F1" s="3"/>
      <c r="G1" s="3"/>
      <c r="H1" s="4"/>
      <c r="I1" s="4"/>
      <c r="J1" s="4"/>
      <c r="K1" s="4"/>
      <c r="L1" s="4"/>
      <c r="M1" s="4"/>
      <c r="N1" s="4"/>
      <c r="P1" s="127" t="s">
        <v>27</v>
      </c>
      <c r="Q1" s="127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7"/>
      <c r="Q2" s="127"/>
    </row>
    <row r="4" spans="1:17" s="5" customFormat="1" ht="18" customHeight="1" thickBot="1" x14ac:dyDescent="0.25">
      <c r="A4" s="128" t="s">
        <v>28</v>
      </c>
      <c r="B4" s="128"/>
      <c r="C4" s="128"/>
      <c r="D4" s="128"/>
      <c r="E4" s="128"/>
      <c r="F4" s="128"/>
      <c r="G4" s="129" t="str">
        <f>' NotaPedido'!D3</f>
        <v>040 - Ministerio de Salud</v>
      </c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s="5" customFormat="1" ht="18" customHeight="1" thickBot="1" x14ac:dyDescent="0.25">
      <c r="A5" s="130" t="s">
        <v>51</v>
      </c>
      <c r="B5" s="131"/>
      <c r="C5" s="131"/>
      <c r="D5" s="131"/>
      <c r="E5" s="131"/>
      <c r="F5" s="132"/>
      <c r="G5" s="129" t="str">
        <f>' NotaPedido'!D4</f>
        <v>024 - Hospital Interzonal de Niños</v>
      </c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17" s="5" customFormat="1" ht="18" customHeight="1" thickBot="1" x14ac:dyDescent="0.25">
      <c r="A6" s="130" t="s">
        <v>29</v>
      </c>
      <c r="B6" s="131"/>
      <c r="C6" s="131"/>
      <c r="D6" s="131"/>
      <c r="E6" s="131"/>
      <c r="F6" s="132"/>
      <c r="G6" s="129" t="str">
        <f>' NotaPedido'!D5</f>
        <v>024 - Hospital Interzonal de Niños</v>
      </c>
      <c r="H6" s="129"/>
      <c r="I6" s="129"/>
      <c r="J6" s="129"/>
      <c r="K6" s="129"/>
      <c r="L6" s="129"/>
      <c r="M6" s="129"/>
      <c r="N6" s="129"/>
      <c r="O6" s="129"/>
      <c r="P6" s="129"/>
      <c r="Q6" s="129"/>
    </row>
    <row r="7" spans="1:17" s="5" customFormat="1" ht="18" customHeight="1" thickBot="1" x14ac:dyDescent="0.25">
      <c r="A7" s="130" t="s">
        <v>52</v>
      </c>
      <c r="B7" s="131"/>
      <c r="C7" s="131"/>
      <c r="D7" s="131"/>
      <c r="E7" s="131"/>
      <c r="F7" s="132"/>
      <c r="G7" s="129" t="str">
        <f>' NotaPedido'!D6</f>
        <v>Servicio de Economato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</row>
    <row r="8" spans="1:17" ht="18" customHeight="1" thickBot="1" x14ac:dyDescent="0.25">
      <c r="A8" s="133" t="s">
        <v>30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</row>
    <row r="9" spans="1:17" ht="18" customHeight="1" x14ac:dyDescent="0.2">
      <c r="A9" s="134" t="s">
        <v>31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1"/>
      <c r="P9" s="1"/>
      <c r="Q9" s="6"/>
    </row>
    <row r="10" spans="1:17" ht="54.75" customHeight="1" x14ac:dyDescent="0.2">
      <c r="A10" s="13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506/2020,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36" t="s">
        <v>32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x14ac:dyDescent="0.2">
      <c r="A13" s="137" t="s">
        <v>33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34</v>
      </c>
      <c r="P13" s="138"/>
      <c r="Q13" s="139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38"/>
      <c r="P14" s="138"/>
      <c r="Q14" s="139"/>
    </row>
    <row r="15" spans="1:17" ht="17.25" customHeight="1" x14ac:dyDescent="0.2">
      <c r="A15" s="97">
        <v>36</v>
      </c>
      <c r="B15" s="98"/>
      <c r="C15" s="98"/>
      <c r="D15" s="98">
        <v>1</v>
      </c>
      <c r="E15" s="98"/>
      <c r="F15" s="98">
        <v>4901</v>
      </c>
      <c r="G15" s="98">
        <v>3</v>
      </c>
      <c r="H15" s="98">
        <v>310</v>
      </c>
      <c r="I15" s="99" t="str">
        <f>LEFT('Necesidades Trimestrales'!D10,1)</f>
        <v>2</v>
      </c>
      <c r="J15" s="99">
        <v>3</v>
      </c>
      <c r="K15" s="99">
        <v>1</v>
      </c>
      <c r="L15" s="98"/>
      <c r="M15" s="100">
        <v>1</v>
      </c>
      <c r="N15" s="101" t="s">
        <v>56</v>
      </c>
      <c r="O15" s="140" t="s">
        <v>168</v>
      </c>
      <c r="P15" s="141"/>
      <c r="Q15" s="16">
        <v>469700</v>
      </c>
    </row>
    <row r="16" spans="1:17" ht="24.75" customHeight="1" x14ac:dyDescent="0.2">
      <c r="A16" s="92">
        <v>36</v>
      </c>
      <c r="B16" s="93"/>
      <c r="C16" s="93"/>
      <c r="D16" s="93">
        <v>1</v>
      </c>
      <c r="E16" s="93"/>
      <c r="F16" s="93">
        <v>4901</v>
      </c>
      <c r="G16" s="93">
        <v>3</v>
      </c>
      <c r="H16" s="93">
        <v>310</v>
      </c>
      <c r="I16" s="94" t="str">
        <f>LEFT('Necesidades Trimestrales'!D11,1)</f>
        <v>2</v>
      </c>
      <c r="J16" s="94">
        <v>9</v>
      </c>
      <c r="K16" s="94">
        <v>2</v>
      </c>
      <c r="L16" s="93"/>
      <c r="M16" s="95">
        <v>1</v>
      </c>
      <c r="N16" s="96" t="s">
        <v>56</v>
      </c>
      <c r="O16" s="142" t="s">
        <v>169</v>
      </c>
      <c r="P16" s="143"/>
      <c r="Q16" s="21">
        <v>244380</v>
      </c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43"/>
      <c r="P17" s="143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3"/>
      <c r="P18" s="143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3"/>
      <c r="P19" s="143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3"/>
      <c r="P20" s="143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9"/>
      <c r="P21" s="149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50"/>
      <c r="P22" s="150"/>
      <c r="Q22" s="30"/>
    </row>
    <row r="23" spans="1:18" ht="29.25" customHeight="1" x14ac:dyDescent="0.2">
      <c r="A23" s="151" t="s">
        <v>167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31">
        <f>SUM(Q15:Q22)</f>
        <v>714080</v>
      </c>
    </row>
    <row r="24" spans="1:18" ht="18" customHeight="1" thickBot="1" x14ac:dyDescent="0.25">
      <c r="A24" s="152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</row>
    <row r="25" spans="1:18" ht="17.25" customHeight="1" thickBot="1" x14ac:dyDescent="0.25">
      <c r="A25" s="144" t="s">
        <v>49</v>
      </c>
      <c r="B25" s="145"/>
      <c r="C25" s="145"/>
      <c r="D25" s="145"/>
      <c r="E25" s="145"/>
      <c r="F25" s="146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</row>
    <row r="26" spans="1:18" ht="18" customHeight="1" thickBot="1" x14ac:dyDescent="0.25">
      <c r="A26" s="148" t="s">
        <v>165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</row>
    <row r="27" spans="1:18" ht="1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2020-10-13T15:03:23Z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