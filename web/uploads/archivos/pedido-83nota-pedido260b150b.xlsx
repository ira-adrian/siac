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ELIAS QUINTAR\Downloads\"/>
    </mc:Choice>
  </mc:AlternateContent>
  <xr:revisionPtr revIDLastSave="0" documentId="8_{391DF50F-57A7-4721-ACC6-EB04B571FA05}" xr6:coauthVersionLast="47" xr6:coauthVersionMax="47" xr10:uidLastSave="{00000000-0000-0000-0000-000000000000}"/>
  <bookViews>
    <workbookView xWindow="-120" yWindow="-120" windowWidth="29040" windowHeight="15840" xr2:uid="{00000000-000D-0000-FFFF-FFFF00000000}"/>
  </bookViews>
  <sheets>
    <sheet name="Necesidades Trimestrales" sheetId="3" r:id="rId1"/>
    <sheet name="NP" sheetId="1" r:id="rId2"/>
    <sheet name="APG" sheetId="2" r:id="rId3"/>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7" roundtripDataSignature="AMtx7mjVSKrM7pg+f2taUtw+V5DRzd+9dA=="/>
    </ext>
  </extLst>
</workbook>
</file>

<file path=xl/calcChain.xml><?xml version="1.0" encoding="utf-8"?>
<calcChain xmlns="http://schemas.openxmlformats.org/spreadsheetml/2006/main">
  <c r="H12" i="3" l="1"/>
  <c r="I12" i="3" s="1"/>
  <c r="E12" i="3"/>
  <c r="B12" i="3"/>
  <c r="F11" i="1"/>
  <c r="H11" i="1" s="1"/>
  <c r="G13" i="1" s="1"/>
  <c r="Q15" i="2" s="1"/>
  <c r="Q21" i="2" s="1"/>
</calcChain>
</file>

<file path=xl/sharedStrings.xml><?xml version="1.0" encoding="utf-8"?>
<sst xmlns="http://schemas.openxmlformats.org/spreadsheetml/2006/main" count="91" uniqueCount="75">
  <si>
    <t>NOTA DE PEDIDO</t>
  </si>
  <si>
    <t>N° 14 -2022</t>
  </si>
  <si>
    <t xml:space="preserve">JURISDICCIÓN: </t>
  </si>
  <si>
    <t>50 - MINISTERIO DE EDUCACIÓN</t>
  </si>
  <si>
    <t>SAF:</t>
  </si>
  <si>
    <t>26 - DIRECCIÓN PROVINCIAL DE ADMINISTRACIÓN</t>
  </si>
  <si>
    <t>UNIDAD EJECUTORA:</t>
  </si>
  <si>
    <t>MINISTERIO DE EDUCACIÓN</t>
  </si>
  <si>
    <t xml:space="preserve">DEPENDENCIA SOLICITANTE: </t>
  </si>
  <si>
    <t>PERIODO UTILIZACIÓN:</t>
  </si>
  <si>
    <t>3 (TRES) AÑOS</t>
  </si>
  <si>
    <t>OBJETO:</t>
  </si>
  <si>
    <t>ADQUISICIÓN DE NOTEBOOKS</t>
  </si>
  <si>
    <t>ID</t>
  </si>
  <si>
    <t>CODIGO ITEM</t>
  </si>
  <si>
    <t>DESCRIPCION</t>
  </si>
  <si>
    <t>Adjunta Detalle Técnico</t>
  </si>
  <si>
    <t>UNIDAD DE MEDIDA</t>
  </si>
  <si>
    <t>PRECIO UNITARIO ESTIMADO</t>
  </si>
  <si>
    <t>CANTIDAD</t>
  </si>
  <si>
    <t>SI</t>
  </si>
  <si>
    <t>Unidad</t>
  </si>
  <si>
    <t>Costo total estimado:  PESOS CIENTO SETENTA Y DOS MILLONES CINCUENTA MIL CON 00/100</t>
  </si>
  <si>
    <t>EJERCICIO:</t>
  </si>
  <si>
    <t>AUTORIZACIÓN PARA GASTAR</t>
  </si>
  <si>
    <t>JURISDICCIÓN:</t>
  </si>
  <si>
    <r>
      <rPr>
        <b/>
        <u/>
        <sz val="11"/>
        <color theme="1"/>
        <rFont val="Times New Roman"/>
        <family val="1"/>
      </rPr>
      <t>AUTORIZACIÓN</t>
    </r>
    <r>
      <rPr>
        <b/>
        <u/>
        <sz val="11"/>
        <color theme="1"/>
        <rFont val="Times New Roman"/>
        <family val="1"/>
      </rPr>
      <t>:</t>
    </r>
  </si>
  <si>
    <t>Señor Director de Administración o Titular del Servicio Administrativo Financiero:</t>
  </si>
  <si>
    <t>Autorizo la realización de los  trámites correspondientes, a fin de proveer a  este Organismo los bienes que se detallan en Nota  de Pedido N° 14/22, afectando la erogación resultante a los créditos presupuestarios aprobados a favor de esta Unidad Ejecutora, conforme al siguiente detalle:</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</si>
  <si>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</si>
  <si>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</si>
  <si>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</si>
  <si>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</si>
  <si>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</si>
  <si>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</si>
  <si>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</si>
  <si>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</si>
  <si>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</si>
  <si>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</si>
  <si>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</si>
  <si>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</si>
  <si>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</si>
  <si>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</si>
  <si>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</si>
  <si>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</si>
  <si>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</si>
  <si>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EQUIPOS PARA COMPUTACIÓN</t>
  </si>
  <si>
    <t>TOTAL DE PESOS: CIENTO SETENTA Y DOS MILLONES CINCUENTA MIL CON 00/100</t>
  </si>
  <si>
    <t>JUSTIFICACIÓN:</t>
  </si>
  <si>
    <t>ADQUISICIÓN DE EQUIPOS INFORMÁTICOS ( NOTEBOOKS) DESTINADO A ALUMNOS DE ESCUELAS DE LA PROVINCIA DE CATAMARCA</t>
  </si>
  <si>
    <t>Pedido de Necesidades Trimestrales</t>
  </si>
  <si>
    <t>JURISDICCION:</t>
  </si>
  <si>
    <t>50 - Ministerio de Educación</t>
  </si>
  <si>
    <t xml:space="preserve">SAF N°: </t>
  </si>
  <si>
    <t>26- Dirección Provincial de Administración</t>
  </si>
  <si>
    <t>TRIMESTRE:</t>
  </si>
  <si>
    <t>RUBRO DE COMPRA</t>
  </si>
  <si>
    <t xml:space="preserve">I.P.P. </t>
  </si>
  <si>
    <t xml:space="preserve">IMPORTE TOTAL ESTIMADO </t>
  </si>
  <si>
    <t>INFORMATICA</t>
  </si>
  <si>
    <t>UNIDAD</t>
  </si>
  <si>
    <t>Especificidades Item N° 1:</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</si>
  <si>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</si>
  <si>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sera  en la Direccion Provincial de Administracion, sito en Avenida Republica de Venezuela S/N° - CAPE- Pabellón N° 15 - San Fernando del Valle de Catamarca.  Se presentará Remito que deberá cumplimentar lo dispuesto por la R.G. AFIP  1415/03, sin excepción.</t>
  </si>
  <si>
    <t>Calidad Minima esperada</t>
  </si>
  <si>
    <t>Mantenimiento</t>
  </si>
  <si>
    <t>30 días corridos</t>
  </si>
  <si>
    <t>Garantia</t>
  </si>
  <si>
    <t>1 AÑO</t>
  </si>
  <si>
    <t>4.3.6-6160.230</t>
  </si>
  <si>
    <t>COMPUTADORAS; TIPO: PORTATIL AVANZADA, CODIGO ETAP: PC-007, VERSION ETAP: 24.0</t>
  </si>
  <si>
    <t>DE ACUERDO A ETAP: PC-0007-00 VERSIÓN ETAP 24</t>
  </si>
  <si>
    <t>4.</t>
  </si>
  <si>
    <t xml:space="preserve">Características Generales: Computadora portátil del tipo “Notebook”, optimizada para portabilidad, larga autonomía y peso  reducido.
a)Unidad de Procesamiento: Mínimamente procesador INTEL o AMD, de tecnología Mobile de doble núcleo. La antigüedad de lanzamiento al mercado internacional del procesador ofertado, no será mayor a 18 meses.
b)Memoria Tipo: DDR4 o superior. Capacidad: 4 GB mínimo.
c) Disco Duro Almacenamiento Disco SSD Capacidad: 240 GB mínimo.
d) Almacenamiento Extraíble Lector de tarjetas de memoria flash incorporado (SDHC mínimo).
e)Video: Controlador de vídeo con memoria video RAM propia o tomada de la memoria principal.
f) Audio: Placa de Sonido (o chipset integrado) con las siguientes características:
Grabación/Reproducción de audio: 16 bits mínimo.
Rango de Grabación/Reproducción: 8 - 44.1 KHz, estéreo.
Conectores para línea de entrada, micrófono y salida para auricular / bocinas externas.
Bocinas internas 1 (UNA) como mínimo
g) Networking Y Comunicaciones
Interfaz de Red interna Gigabit Ethernet mínimo.
Interfaz de Red WiFi (WLAN) interna con antena integrada compatible con el estándar IEEE 802.11n, que garantice un ancho de banda no inferior a: 150 Mbps o más
h) Dispositivos De Interfaz Humana
Cámara Web incorporada.
Teclado: tipo QWERTY en idioma español latinoamericano, que incluya función numérica.
Dispositivo de señalamiento incorporado del tipo mouse o similar (trackball, trackpoint, touchpad, mini-joystick, etc.).
i)Pantalla
Tipo: Color LCD, o TFT, o LED
Resolución: No inferior a WXGA (Wide XGA) de 1280 x 800 pixels, relación de aspecto ampliado 16:9 ó 16:10.
Tamaño diagonal de pantalla: no inferior a 12"
j) Puertos Incorporados
2 Port USB de alta velocidad mínimo. 1 Port USB 3.0, mínimo.
1 Interfaz IEEE 1394 (denominada Firewire). 1 Puerto HDMI (High Definition Multimedia Interface).
k) Sistema Operativo (Deberá seleccionar una alternativa)
Windows 10 Professional (x64) o superior, en español con licencia original.
A fin de garantizar la compatibilidad del hardware ofertado con el sistema operativo solicitado, la estación de trabajo deberá acreditar haber pasado favorablemente los test de compatibilidad de “Certified for Microsoft Windows 10 Client family, x64”, no aceptando partes o componentes de los mismos, sino la estación en su totalidad. Para ello los oferentes deberán detallar en la oferta el SUBMISSION ID junto al “Windows Logo Verification Report” el cual deberá haber resultado aprobado. 
l) Alimentación, Portabilidad Y Ahorro De Energía
Alimentación por baterías recargables de níquel-hidruro metálico (NiMH), Li-Ion o similar, y directamente del suministro de red pública (a través del alimentador/cargador), 110/240 automático V – 50/60 Hz.
Peso: no superior a 2 Kg (no incluyendo la batería y el transformador). Duración de la batería: superior a 4 horas (en condiciones de uso permanente).
</t>
  </si>
  <si>
    <t>Descripción técnica:  según INFORME TECNICO_IF-2022-00140192-CAT-DIT%MECT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</si>
</sst>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164" formatCode="[$$-2C0A]\ #,##0.00"/>
    <numFmt numFmtId="165" formatCode="&quot;$&quot;\ #,##0.00"/>
    <numFmt numFmtId="166" formatCode="[$$-2C0A]\ #,##0.00;[$$-2C0A]&quot; -&quot;#,##0.00"/>
    <numFmt numFmtId="167" formatCode="dd\-mm\-yy"/>
    <numFmt numFmtId="168" formatCode="d\.m"/>
  </numFmts>
  <fonts count="29" x14ac:knownFonts="1">
    <font>
      <sz val="10"/>
      <color rgb="FF000000"/>
      <name val="Arial"/>
    </font>
    <font>
      <sz val="10"/>
      <name val="Arial"/>
      <family val="2"/>
    </font>
    <font>
      <b/>
      <sz val="11"/>
      <color theme="1"/>
      <name val="Times New Roman"/>
      <family val="1"/>
    </font>
    <font>
      <sz val="10"/>
      <color theme="1"/>
      <name val="Arial"/>
      <family val="2"/>
    </font>
    <font>
      <b/>
      <u/>
      <sz val="11"/>
      <color theme="1"/>
      <name val="Times New Roman"/>
      <family val="1"/>
    </font>
    <font>
      <sz val="11"/>
      <color theme="1"/>
      <name val="Times New Roman"/>
      <family val="1"/>
    </font>
    <font>
      <b/>
      <sz val="11"/>
      <color rgb="FF000000"/>
      <name val="Times New Roman"/>
      <family val="1"/>
    </font>
    <font>
      <sz val="9"/>
      <color theme="1"/>
      <name val="Times New Roman"/>
      <family val="1"/>
    </font>
    <font>
      <sz val="10"/>
      <color theme="1"/>
      <name val="Times New Roman"/>
      <family val="1"/>
    </font>
    <font>
      <sz val="9"/>
      <color rgb="FF000000"/>
      <name val="Times New Roman"/>
      <family val="1"/>
    </font>
    <font>
      <sz val="10"/>
      <color theme="1"/>
      <name val="Calibri"/>
      <family val="2"/>
    </font>
    <font>
      <sz val="11"/>
      <color theme="0"/>
      <name val="Calibri"/>
      <family val="2"/>
    </font>
    <font>
      <b/>
      <sz val="11"/>
      <color theme="1"/>
      <name val="Calibri"/>
      <family val="2"/>
    </font>
    <font>
      <b/>
      <u/>
      <sz val="10"/>
      <color theme="1"/>
      <name val="Arial"/>
      <family val="2"/>
    </font>
    <font>
      <b/>
      <u/>
      <sz val="10"/>
      <color theme="1"/>
      <name val="Arial"/>
      <family val="2"/>
    </font>
    <font>
      <b/>
      <u/>
      <sz val="11"/>
      <color theme="1"/>
      <name val="Times New Roman"/>
      <family val="1"/>
    </font>
    <font>
      <b/>
      <sz val="9"/>
      <color theme="1"/>
      <name val="Times New Roman"/>
      <family val="1"/>
    </font>
    <font>
      <b/>
      <sz val="22"/>
      <color theme="1"/>
      <name val="Times New Roman"/>
      <family val="1"/>
    </font>
    <font>
      <b/>
      <sz val="10"/>
      <color theme="1"/>
      <name val="Arial"/>
      <family val="2"/>
    </font>
    <font>
      <sz val="10"/>
      <color rgb="FF000000"/>
      <name val="Times New Roman"/>
      <family val="1"/>
    </font>
    <font>
      <b/>
      <sz val="10"/>
      <color rgb="FF000000"/>
      <name val="Times New Roman"/>
      <family val="1"/>
    </font>
    <font>
      <sz val="10"/>
      <color rgb="FF000000"/>
      <name val="Calibri"/>
      <family val="2"/>
    </font>
    <font>
      <sz val="11"/>
      <color rgb="FF000000"/>
      <name val="Inconsolata"/>
    </font>
    <font>
      <u/>
      <sz val="10"/>
      <color theme="1"/>
      <name val="Times New Roman"/>
      <family val="1"/>
    </font>
    <font>
      <u/>
      <sz val="10"/>
      <color theme="1"/>
      <name val="Times New Roman"/>
      <family val="1"/>
    </font>
    <font>
      <sz val="11"/>
      <name val="Arial"/>
      <family val="2"/>
    </font>
    <font>
      <sz val="11"/>
      <color theme="1"/>
      <name val="Arial"/>
      <family val="2"/>
    </font>
    <font>
      <sz val="11"/>
      <color rgb="FF000000"/>
      <name val="Times New Roman"/>
      <family val="1"/>
    </font>
    <font>
      <sz val="11"/>
      <color theme="1"/>
      <name val="Calibri"/>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6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3D3D3D"/>
      </left>
      <right/>
      <top style="medium">
        <color rgb="FF000000"/>
      </top>
      <bottom/>
      <diagonal/>
    </border>
    <border>
      <left style="medium">
        <color rgb="FF3D3D3D"/>
      </left>
      <right/>
      <top/>
      <bottom style="medium">
        <color rgb="FF3D3D3D"/>
      </bottom>
      <diagonal/>
    </border>
    <border>
      <left/>
      <right style="medium">
        <color rgb="FF000000"/>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style="medium">
        <color rgb="FF000000"/>
      </left>
      <right/>
      <top style="medium">
        <color rgb="FF3D3D3D"/>
      </top>
      <bottom/>
      <diagonal/>
    </border>
    <border>
      <left/>
      <right/>
      <top style="medium">
        <color rgb="FF3D3D3D"/>
      </top>
      <bottom/>
      <diagonal/>
    </border>
    <border>
      <left/>
      <right style="medium">
        <color rgb="FF000000"/>
      </right>
      <top style="medium">
        <color rgb="FF3D3D3D"/>
      </top>
      <bottom/>
      <diagonal/>
    </border>
    <border>
      <left style="medium">
        <color rgb="FF000000"/>
      </left>
      <right/>
      <top/>
      <bottom style="medium">
        <color rgb="FF3D3D3D"/>
      </bottom>
      <diagonal/>
    </border>
    <border>
      <left/>
      <right/>
      <top/>
      <bottom style="medium">
        <color rgb="FF3D3D3D"/>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ck">
        <color rgb="FF000000"/>
      </right>
      <top style="medium">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thick">
        <color rgb="FF000000"/>
      </left>
      <right style="thick">
        <color rgb="FF000000"/>
      </right>
      <top style="medium">
        <color rgb="FF000000"/>
      </top>
      <bottom/>
      <diagonal/>
    </border>
    <border>
      <left style="thick">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0"/>
  </cellStyleXfs>
  <cellXfs count="170">
    <xf numFmtId="0" fontId="0" fillId="0" borderId="0" xfId="0" applyFont="1" applyAlignment="1"/>
    <xf numFmtId="0" fontId="2" fillId="0" borderId="4" xfId="0" applyFont="1" applyBorder="1" applyAlignment="1">
      <alignment horizontal="left" vertical="center"/>
    </xf>
    <xf numFmtId="0" fontId="3" fillId="0" borderId="0" xfId="0" applyFont="1"/>
    <xf numFmtId="0" fontId="4" fillId="0" borderId="5" xfId="0" applyFont="1" applyBorder="1" applyAlignment="1">
      <alignment vertical="center"/>
    </xf>
    <xf numFmtId="0" fontId="6" fillId="0" borderId="4" xfId="0" applyFont="1" applyBorder="1" applyAlignment="1">
      <alignment horizontal="center" vertical="center" wrapText="1"/>
    </xf>
    <xf numFmtId="0" fontId="6" fillId="0" borderId="10" xfId="0" applyFont="1" applyBorder="1" applyAlignment="1">
      <alignment horizontal="center" vertical="center" wrapText="1"/>
    </xf>
    <xf numFmtId="0" fontId="2" fillId="0" borderId="4" xfId="0" applyFont="1" applyBorder="1" applyAlignment="1">
      <alignment horizontal="center" vertical="center" wrapText="1"/>
    </xf>
    <xf numFmtId="164" fontId="11" fillId="0" borderId="0" xfId="0" applyNumberFormat="1" applyFont="1"/>
    <xf numFmtId="165" fontId="3" fillId="0" borderId="0" xfId="0" applyNumberFormat="1" applyFont="1"/>
    <xf numFmtId="0" fontId="13" fillId="0" borderId="0" xfId="0" applyFont="1"/>
    <xf numFmtId="165" fontId="14" fillId="0" borderId="0" xfId="0" applyNumberFormat="1" applyFont="1"/>
    <xf numFmtId="3" fontId="2" fillId="0" borderId="2" xfId="0" applyNumberFormat="1" applyFont="1" applyBorder="1"/>
    <xf numFmtId="167" fontId="5" fillId="0" borderId="2" xfId="0" applyNumberFormat="1" applyFont="1" applyBorder="1" applyAlignment="1">
      <alignment horizontal="left"/>
    </xf>
    <xf numFmtId="0" fontId="5" fillId="0" borderId="2" xfId="0" applyFont="1" applyBorder="1"/>
    <xf numFmtId="0" fontId="5" fillId="0" borderId="5" xfId="0" applyFont="1" applyBorder="1"/>
    <xf numFmtId="0" fontId="5" fillId="0" borderId="0" xfId="0" applyFont="1"/>
    <xf numFmtId="0" fontId="5" fillId="0" borderId="0" xfId="0" applyFont="1" applyAlignment="1">
      <alignment horizontal="left"/>
    </xf>
    <xf numFmtId="167" fontId="5" fillId="0" borderId="0" xfId="0" applyNumberFormat="1" applyFont="1" applyAlignment="1">
      <alignment horizontal="left"/>
    </xf>
    <xf numFmtId="0" fontId="5" fillId="0" borderId="6" xfId="0" applyFont="1" applyBorder="1"/>
    <xf numFmtId="0" fontId="5" fillId="0" borderId="30" xfId="0" applyFont="1" applyBorder="1"/>
    <xf numFmtId="0" fontId="5" fillId="0" borderId="31" xfId="0" applyFont="1" applyBorder="1"/>
    <xf numFmtId="0" fontId="5" fillId="0" borderId="31" xfId="0" applyFont="1" applyBorder="1" applyAlignment="1">
      <alignment horizontal="left"/>
    </xf>
    <xf numFmtId="0" fontId="5" fillId="0" borderId="21" xfId="0" applyFont="1" applyBorder="1"/>
    <xf numFmtId="0" fontId="16" fillId="0" borderId="34" xfId="0" applyFont="1" applyBorder="1" applyAlignment="1">
      <alignment vertical="center"/>
    </xf>
    <xf numFmtId="0" fontId="16" fillId="0" borderId="35" xfId="0" applyFont="1" applyBorder="1" applyAlignment="1">
      <alignment vertical="center"/>
    </xf>
    <xf numFmtId="0" fontId="16" fillId="0" borderId="36" xfId="0" applyFont="1" applyBorder="1" applyAlignment="1">
      <alignment vertical="center"/>
    </xf>
    <xf numFmtId="0" fontId="16" fillId="0" borderId="37" xfId="0" applyFont="1" applyBorder="1" applyAlignment="1">
      <alignment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2" borderId="41" xfId="0" applyFont="1" applyFill="1" applyBorder="1" applyAlignment="1">
      <alignment horizontal="center" vertical="center"/>
    </xf>
    <xf numFmtId="0" fontId="7" fillId="2" borderId="42" xfId="0" applyFont="1" applyFill="1" applyBorder="1" applyAlignment="1">
      <alignment horizontal="center" vertical="center"/>
    </xf>
    <xf numFmtId="168" fontId="7" fillId="2" borderId="41" xfId="0" applyNumberFormat="1" applyFont="1" applyFill="1" applyBorder="1" applyAlignment="1">
      <alignment horizontal="center" vertical="center"/>
    </xf>
    <xf numFmtId="166" fontId="7" fillId="0" borderId="44" xfId="0" applyNumberFormat="1" applyFont="1" applyBorder="1" applyAlignment="1">
      <alignment horizontal="center" vertical="center"/>
    </xf>
    <xf numFmtId="0" fontId="7" fillId="0" borderId="45" xfId="0" applyFont="1" applyBorder="1" applyAlignment="1">
      <alignment horizontal="center" vertical="center"/>
    </xf>
    <xf numFmtId="0" fontId="7" fillId="0" borderId="46" xfId="0" applyFont="1" applyBorder="1" applyAlignment="1">
      <alignment horizontal="center" vertical="center"/>
    </xf>
    <xf numFmtId="0" fontId="7" fillId="0" borderId="47" xfId="0" applyFont="1" applyBorder="1" applyAlignment="1">
      <alignment horizontal="center" vertical="center"/>
    </xf>
    <xf numFmtId="0" fontId="7" fillId="0" borderId="48" xfId="0" applyFont="1" applyBorder="1" applyAlignment="1">
      <alignment horizontal="center" vertical="center"/>
    </xf>
    <xf numFmtId="166" fontId="7" fillId="0" borderId="51" xfId="0" applyNumberFormat="1" applyFont="1" applyBorder="1" applyAlignment="1">
      <alignment horizontal="center" vertical="center"/>
    </xf>
    <xf numFmtId="0" fontId="5" fillId="0" borderId="45" xfId="0" applyFont="1" applyBorder="1" applyAlignment="1">
      <alignment horizontal="center" vertical="center"/>
    </xf>
    <xf numFmtId="0" fontId="5" fillId="0" borderId="46" xfId="0" applyFont="1" applyBorder="1" applyAlignment="1">
      <alignment horizontal="center" vertical="center"/>
    </xf>
    <xf numFmtId="0" fontId="5" fillId="0" borderId="47" xfId="0" applyFont="1" applyBorder="1" applyAlignment="1">
      <alignment horizontal="center" vertical="center"/>
    </xf>
    <xf numFmtId="0" fontId="5" fillId="0" borderId="48" xfId="0" applyFont="1" applyBorder="1" applyAlignment="1">
      <alignment horizontal="center" vertical="center"/>
    </xf>
    <xf numFmtId="166" fontId="5" fillId="0" borderId="51" xfId="0" applyNumberFormat="1" applyFont="1" applyBorder="1" applyAlignment="1">
      <alignment horizontal="center" vertical="center"/>
    </xf>
    <xf numFmtId="0" fontId="5" fillId="0" borderId="52" xfId="0" applyFont="1" applyBorder="1" applyAlignment="1">
      <alignment horizontal="center" vertical="center"/>
    </xf>
    <xf numFmtId="0" fontId="5" fillId="0" borderId="53" xfId="0" applyFont="1" applyBorder="1" applyAlignment="1">
      <alignment horizontal="center" vertical="center"/>
    </xf>
    <xf numFmtId="0" fontId="5" fillId="0" borderId="54" xfId="0" applyFont="1" applyBorder="1" applyAlignment="1">
      <alignment horizontal="center" vertical="center"/>
    </xf>
    <xf numFmtId="166" fontId="5" fillId="0" borderId="56" xfId="0" applyNumberFormat="1" applyFont="1" applyBorder="1" applyAlignment="1">
      <alignment horizontal="center" vertical="center"/>
    </xf>
    <xf numFmtId="166" fontId="16" fillId="0" borderId="58" xfId="0" applyNumberFormat="1" applyFont="1" applyBorder="1" applyAlignment="1">
      <alignment horizontal="center" vertical="center"/>
    </xf>
    <xf numFmtId="0" fontId="8" fillId="0" borderId="0" xfId="0" applyFont="1"/>
    <xf numFmtId="0" fontId="18" fillId="0" borderId="0" xfId="0" applyFont="1"/>
    <xf numFmtId="0" fontId="19" fillId="0" borderId="0" xfId="0" applyFont="1" applyAlignment="1">
      <alignment horizontal="left" wrapText="1"/>
    </xf>
    <xf numFmtId="0" fontId="19" fillId="0" borderId="0" xfId="0" applyFont="1" applyAlignment="1">
      <alignment horizontal="center" wrapText="1"/>
    </xf>
    <xf numFmtId="0" fontId="18" fillId="0" borderId="0" xfId="0" applyFont="1" applyAlignment="1">
      <alignment horizontal="left"/>
    </xf>
    <xf numFmtId="0" fontId="20" fillId="0" borderId="7" xfId="0" applyFont="1" applyBorder="1" applyAlignment="1">
      <alignment horizontal="center" vertical="center" wrapText="1"/>
    </xf>
    <xf numFmtId="0" fontId="20" fillId="0" borderId="12" xfId="0" applyFont="1" applyBorder="1" applyAlignment="1">
      <alignment horizontal="center" vertical="center" wrapText="1"/>
    </xf>
    <xf numFmtId="0" fontId="20" fillId="2" borderId="12" xfId="0" applyFont="1" applyFill="1" applyBorder="1" applyAlignment="1">
      <alignment horizontal="center" vertical="center" wrapText="1"/>
    </xf>
    <xf numFmtId="0" fontId="20" fillId="0" borderId="62" xfId="0" applyFont="1" applyBorder="1" applyAlignment="1">
      <alignment horizontal="center" vertical="center" wrapText="1"/>
    </xf>
    <xf numFmtId="0" fontId="20" fillId="0" borderId="63" xfId="0" applyFont="1" applyBorder="1" applyAlignment="1">
      <alignment horizontal="center" vertical="center" wrapText="1"/>
    </xf>
    <xf numFmtId="0" fontId="20" fillId="0" borderId="64" xfId="0" applyFont="1" applyBorder="1" applyAlignment="1">
      <alignment horizontal="center" vertical="center" wrapText="1"/>
    </xf>
    <xf numFmtId="0" fontId="20" fillId="0" borderId="65" xfId="0" applyFont="1" applyBorder="1" applyAlignment="1">
      <alignment horizontal="center" vertical="center" wrapText="1"/>
    </xf>
    <xf numFmtId="0" fontId="7" fillId="0" borderId="66" xfId="0" applyFont="1" applyBorder="1" applyAlignment="1">
      <alignment horizontal="center" vertical="center"/>
    </xf>
    <xf numFmtId="0" fontId="21" fillId="0" borderId="12" xfId="0" applyFont="1" applyBorder="1" applyAlignment="1"/>
    <xf numFmtId="0" fontId="22" fillId="3" borderId="12" xfId="0" applyFont="1" applyFill="1" applyBorder="1" applyAlignment="1"/>
    <xf numFmtId="0" fontId="10" fillId="0" borderId="12" xfId="0" applyFont="1" applyBorder="1" applyAlignment="1"/>
    <xf numFmtId="0" fontId="9" fillId="0" borderId="67" xfId="0" applyFont="1" applyBorder="1" applyAlignment="1">
      <alignment horizontal="center" vertical="center" wrapText="1"/>
    </xf>
    <xf numFmtId="165" fontId="7" fillId="0" borderId="68" xfId="0" applyNumberFormat="1" applyFont="1" applyBorder="1" applyAlignment="1">
      <alignment horizontal="right" vertical="center" wrapText="1"/>
    </xf>
    <xf numFmtId="165" fontId="8" fillId="0" borderId="0" xfId="0" applyNumberFormat="1" applyFont="1"/>
    <xf numFmtId="0" fontId="23" fillId="0" borderId="1" xfId="0" applyFont="1" applyBorder="1"/>
    <xf numFmtId="0" fontId="8" fillId="0" borderId="2" xfId="0" applyFont="1" applyBorder="1"/>
    <xf numFmtId="0" fontId="8" fillId="0" borderId="3" xfId="0" applyFont="1" applyBorder="1"/>
    <xf numFmtId="0" fontId="8" fillId="0" borderId="5" xfId="0" applyFont="1" applyBorder="1"/>
    <xf numFmtId="0" fontId="8" fillId="0" borderId="6" xfId="0" applyFont="1" applyBorder="1"/>
    <xf numFmtId="0" fontId="24" fillId="0" borderId="5" xfId="0" applyFont="1" applyBorder="1" applyAlignment="1">
      <alignment horizontal="left"/>
    </xf>
    <xf numFmtId="0" fontId="8" fillId="0" borderId="0" xfId="0" applyFont="1" applyAlignment="1">
      <alignment vertical="top"/>
    </xf>
    <xf numFmtId="0" fontId="8" fillId="0" borderId="6" xfId="0" applyFont="1" applyBorder="1" applyAlignment="1">
      <alignment vertical="top"/>
    </xf>
    <xf numFmtId="8" fontId="3" fillId="0" borderId="0" xfId="0" applyNumberFormat="1" applyFont="1"/>
    <xf numFmtId="8" fontId="8" fillId="0" borderId="0" xfId="0" applyNumberFormat="1" applyFont="1"/>
    <xf numFmtId="0" fontId="8" fillId="0" borderId="5" xfId="0" applyFont="1" applyBorder="1" applyAlignment="1">
      <alignment horizontal="left"/>
    </xf>
    <xf numFmtId="0" fontId="8" fillId="0" borderId="0" xfId="0" applyFont="1" applyAlignment="1">
      <alignment horizontal="center" wrapText="1"/>
    </xf>
    <xf numFmtId="0" fontId="8" fillId="0" borderId="6" xfId="0" applyFont="1" applyBorder="1" applyAlignment="1">
      <alignment horizontal="center" wrapText="1"/>
    </xf>
    <xf numFmtId="0" fontId="8" fillId="0" borderId="59" xfId="0" applyFont="1" applyBorder="1" applyAlignment="1">
      <alignment horizontal="left"/>
    </xf>
    <xf numFmtId="0" fontId="8" fillId="0" borderId="60" xfId="0" applyFont="1" applyBorder="1"/>
    <xf numFmtId="0" fontId="8" fillId="0" borderId="61" xfId="0" applyFont="1" applyBorder="1"/>
    <xf numFmtId="165" fontId="10" fillId="0" borderId="12" xfId="0" applyNumberFormat="1" applyFont="1" applyBorder="1"/>
    <xf numFmtId="0" fontId="0" fillId="0" borderId="0" xfId="0" applyFont="1" applyAlignment="1"/>
    <xf numFmtId="0" fontId="4" fillId="0" borderId="0" xfId="0" applyFont="1" applyAlignment="1">
      <alignment vertical="center"/>
    </xf>
    <xf numFmtId="0" fontId="4" fillId="0" borderId="6" xfId="0" applyFont="1" applyBorder="1" applyAlignment="1">
      <alignment vertical="center"/>
    </xf>
    <xf numFmtId="0" fontId="5" fillId="0" borderId="11" xfId="0" applyFont="1" applyBorder="1" applyAlignment="1">
      <alignment horizontal="center" vertical="center"/>
    </xf>
    <xf numFmtId="0" fontId="26" fillId="0" borderId="12" xfId="0" applyFont="1" applyBorder="1" applyAlignment="1">
      <alignment horizontal="center" vertical="center"/>
    </xf>
    <xf numFmtId="0" fontId="5" fillId="0" borderId="13" xfId="0" applyFont="1" applyBorder="1" applyAlignment="1">
      <alignment horizontal="left" vertical="center" wrapText="1"/>
    </xf>
    <xf numFmtId="0" fontId="5" fillId="0" borderId="13" xfId="0" applyFont="1" applyBorder="1" applyAlignment="1">
      <alignment horizontal="center" vertical="center"/>
    </xf>
    <xf numFmtId="0" fontId="27" fillId="2" borderId="14" xfId="0" applyFont="1" applyFill="1" applyBorder="1" applyAlignment="1">
      <alignment horizontal="center" vertical="center" wrapText="1"/>
    </xf>
    <xf numFmtId="165" fontId="28" fillId="0" borderId="12" xfId="0" applyNumberFormat="1" applyFont="1" applyBorder="1" applyAlignment="1">
      <alignment vertical="center"/>
    </xf>
    <xf numFmtId="0" fontId="5" fillId="0" borderId="15" xfId="0" applyFont="1" applyBorder="1" applyAlignment="1">
      <alignment horizontal="center" vertical="center"/>
    </xf>
    <xf numFmtId="0" fontId="5" fillId="0" borderId="12" xfId="0" applyFont="1" applyBorder="1" applyAlignment="1">
      <alignment horizontal="left" vertical="center" wrapText="1"/>
    </xf>
    <xf numFmtId="0" fontId="27" fillId="2" borderId="13" xfId="0" applyFont="1" applyFill="1" applyBorder="1" applyAlignment="1">
      <alignment horizontal="center" vertical="center" wrapText="1"/>
    </xf>
    <xf numFmtId="166" fontId="5" fillId="2" borderId="12" xfId="0" applyNumberFormat="1" applyFont="1" applyFill="1" applyBorder="1" applyAlignment="1">
      <alignment horizontal="center" vertical="center" wrapText="1"/>
    </xf>
    <xf numFmtId="0" fontId="27" fillId="2" borderId="12" xfId="0" applyFont="1" applyFill="1" applyBorder="1" applyAlignment="1">
      <alignment horizontal="center" vertical="center" wrapText="1"/>
    </xf>
    <xf numFmtId="164" fontId="26" fillId="0" borderId="12" xfId="0" applyNumberFormat="1" applyFont="1" applyBorder="1"/>
    <xf numFmtId="0" fontId="23" fillId="0" borderId="5" xfId="0" applyFont="1" applyBorder="1" applyAlignment="1">
      <alignment horizontal="left"/>
    </xf>
    <xf numFmtId="0" fontId="7" fillId="0" borderId="41" xfId="0" applyFont="1" applyFill="1" applyBorder="1" applyAlignment="1">
      <alignment horizontal="center" vertical="center"/>
    </xf>
    <xf numFmtId="0" fontId="6"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18" fillId="0" borderId="0" xfId="0" applyFont="1"/>
    <xf numFmtId="0" fontId="3" fillId="0" borderId="0" xfId="0" applyFont="1" applyAlignment="1">
      <alignment horizontal="left" vertical="top" wrapText="1"/>
    </xf>
    <xf numFmtId="0" fontId="1" fillId="0" borderId="6" xfId="0" applyFont="1" applyBorder="1"/>
    <xf numFmtId="0" fontId="3" fillId="0" borderId="0" xfId="0" applyFont="1" applyAlignment="1">
      <alignment vertical="top"/>
    </xf>
    <xf numFmtId="0" fontId="3" fillId="0" borderId="0" xfId="0" applyFont="1"/>
    <xf numFmtId="0" fontId="3" fillId="0" borderId="6" xfId="0" applyFont="1" applyBorder="1" applyAlignment="1">
      <alignment horizontal="left" vertical="top" wrapText="1"/>
    </xf>
    <xf numFmtId="0" fontId="5" fillId="0" borderId="7" xfId="0" applyFont="1" applyBorder="1" applyAlignment="1">
      <alignment horizontal="left" vertical="center"/>
    </xf>
    <xf numFmtId="0" fontId="25" fillId="0" borderId="9" xfId="0" applyFont="1" applyBorder="1"/>
    <xf numFmtId="0" fontId="25" fillId="0" borderId="8" xfId="0" applyFont="1" applyBorder="1"/>
    <xf numFmtId="0" fontId="12" fillId="0" borderId="16" xfId="0" applyFont="1" applyBorder="1" applyAlignment="1">
      <alignment horizontal="left" vertical="top" wrapText="1"/>
    </xf>
    <xf numFmtId="0" fontId="25" fillId="0" borderId="17" xfId="0" applyFont="1" applyBorder="1"/>
    <xf numFmtId="0" fontId="25" fillId="0" borderId="18" xfId="0" applyFont="1" applyBorder="1"/>
    <xf numFmtId="0" fontId="4" fillId="0" borderId="1" xfId="0" applyFont="1" applyBorder="1" applyAlignment="1">
      <alignment horizontal="center" vertical="center" wrapText="1"/>
    </xf>
    <xf numFmtId="0" fontId="25" fillId="0" borderId="2" xfId="0" applyFont="1" applyBorder="1"/>
    <xf numFmtId="0" fontId="25" fillId="0" borderId="3" xfId="0" applyFont="1" applyBorder="1"/>
    <xf numFmtId="0" fontId="5" fillId="0" borderId="7" xfId="0" applyFont="1" applyBorder="1" applyAlignment="1">
      <alignment horizontal="left" vertical="center" wrapText="1"/>
    </xf>
    <xf numFmtId="0" fontId="2" fillId="0" borderId="7" xfId="0" applyFont="1" applyBorder="1" applyAlignment="1">
      <alignment vertical="center" wrapText="1"/>
    </xf>
    <xf numFmtId="0" fontId="2" fillId="0" borderId="7" xfId="0" applyFont="1" applyBorder="1" applyAlignment="1">
      <alignment horizontal="left" vertical="center" wrapText="1"/>
    </xf>
    <xf numFmtId="0" fontId="2" fillId="2" borderId="7" xfId="0" applyFont="1" applyFill="1" applyBorder="1" applyAlignment="1">
      <alignment horizontal="left" vertical="center" wrapText="1"/>
    </xf>
    <xf numFmtId="0" fontId="7" fillId="0" borderId="5" xfId="0" applyFont="1" applyBorder="1" applyAlignment="1">
      <alignment horizontal="left" vertical="center" wrapText="1"/>
    </xf>
    <xf numFmtId="0" fontId="1" fillId="0" borderId="59" xfId="0" applyFont="1" applyBorder="1"/>
    <xf numFmtId="0" fontId="1" fillId="0" borderId="60" xfId="0" applyFont="1" applyBorder="1"/>
    <xf numFmtId="0" fontId="1" fillId="0" borderId="61" xfId="0" applyFont="1" applyBorder="1"/>
    <xf numFmtId="0" fontId="16" fillId="0" borderId="27" xfId="0" applyFont="1" applyBorder="1" applyAlignment="1">
      <alignment horizontal="center" vertical="center"/>
    </xf>
    <xf numFmtId="0" fontId="1" fillId="0" borderId="28" xfId="0" applyFont="1" applyBorder="1"/>
    <xf numFmtId="0" fontId="1" fillId="0" borderId="29" xfId="0" applyFont="1" applyBorder="1"/>
    <xf numFmtId="0" fontId="16" fillId="0" borderId="22" xfId="0" applyFont="1" applyBorder="1" applyAlignment="1">
      <alignment horizontal="center" vertical="center"/>
    </xf>
    <xf numFmtId="0" fontId="1" fillId="0" borderId="23" xfId="0" applyFont="1" applyBorder="1"/>
    <xf numFmtId="0" fontId="1" fillId="0" borderId="24" xfId="0" applyFont="1" applyBorder="1"/>
    <xf numFmtId="0" fontId="16" fillId="0" borderId="32" xfId="0" applyFont="1" applyBorder="1" applyAlignment="1">
      <alignment horizontal="center" vertical="center" wrapText="1"/>
    </xf>
    <xf numFmtId="0" fontId="1" fillId="0" borderId="33" xfId="0" applyFont="1" applyBorder="1"/>
    <xf numFmtId="0" fontId="1" fillId="0" borderId="38" xfId="0" applyFont="1" applyBorder="1"/>
    <xf numFmtId="0" fontId="1" fillId="0" borderId="39" xfId="0" applyFont="1" applyBorder="1"/>
    <xf numFmtId="0" fontId="16" fillId="0" borderId="29" xfId="0" applyFont="1" applyBorder="1" applyAlignment="1">
      <alignment horizontal="center" vertical="center"/>
    </xf>
    <xf numFmtId="0" fontId="7" fillId="0" borderId="42" xfId="0" applyFont="1" applyBorder="1" applyAlignment="1">
      <alignment horizontal="left" vertical="center" wrapText="1"/>
    </xf>
    <xf numFmtId="0" fontId="1" fillId="0" borderId="43" xfId="0" applyFont="1" applyBorder="1"/>
    <xf numFmtId="0" fontId="7" fillId="0" borderId="49" xfId="0" applyFont="1" applyBorder="1" applyAlignment="1">
      <alignment horizontal="left" vertical="center" wrapText="1"/>
    </xf>
    <xf numFmtId="0" fontId="1" fillId="0" borderId="50" xfId="0" applyFont="1" applyBorder="1"/>
    <xf numFmtId="0" fontId="5" fillId="0" borderId="49" xfId="0" applyFont="1" applyBorder="1" applyAlignment="1">
      <alignment horizontal="center"/>
    </xf>
    <xf numFmtId="0" fontId="5" fillId="0" borderId="54" xfId="0" applyFont="1" applyBorder="1" applyAlignment="1">
      <alignment horizontal="left" vertical="center"/>
    </xf>
    <xf numFmtId="0" fontId="1" fillId="0" borderId="55" xfId="0" applyFont="1" applyBorder="1"/>
    <xf numFmtId="0" fontId="16" fillId="0" borderId="30" xfId="0" applyFont="1" applyBorder="1" applyAlignment="1">
      <alignment horizontal="left" vertical="center" wrapText="1"/>
    </xf>
    <xf numFmtId="0" fontId="1" fillId="0" borderId="31" xfId="0" applyFont="1" applyBorder="1"/>
    <xf numFmtId="0" fontId="1" fillId="0" borderId="57" xfId="0" applyFont="1" applyBorder="1"/>
    <xf numFmtId="0" fontId="7" fillId="0" borderId="27" xfId="0" applyFont="1" applyBorder="1"/>
    <xf numFmtId="0" fontId="16" fillId="0" borderId="7" xfId="0" applyFont="1" applyBorder="1" applyAlignment="1">
      <alignment vertical="center" wrapText="1"/>
    </xf>
    <xf numFmtId="0" fontId="1" fillId="0" borderId="9" xfId="0" applyFont="1" applyBorder="1"/>
    <xf numFmtId="0" fontId="1" fillId="0" borderId="8" xfId="0" applyFont="1" applyBorder="1"/>
    <xf numFmtId="0" fontId="7" fillId="0" borderId="28" xfId="0" applyFont="1" applyBorder="1" applyAlignment="1">
      <alignment vertical="center" wrapText="1"/>
    </xf>
    <xf numFmtId="0" fontId="15" fillId="0" borderId="22" xfId="0" applyFont="1" applyBorder="1" applyAlignment="1">
      <alignment horizontal="left"/>
    </xf>
    <xf numFmtId="0" fontId="1" fillId="0" borderId="26" xfId="0" applyFont="1" applyBorder="1"/>
    <xf numFmtId="0" fontId="5" fillId="0" borderId="27" xfId="0" applyFont="1" applyBorder="1" applyAlignment="1">
      <alignment horizontal="left"/>
    </xf>
    <xf numFmtId="0" fontId="5" fillId="0" borderId="5" xfId="0" applyFont="1" applyBorder="1" applyAlignment="1">
      <alignment horizontal="left" vertical="center" wrapText="1"/>
    </xf>
    <xf numFmtId="0" fontId="5" fillId="0" borderId="49" xfId="0" applyFont="1" applyBorder="1" applyAlignment="1">
      <alignment horizontal="center" vertical="center"/>
    </xf>
    <xf numFmtId="0" fontId="5" fillId="0" borderId="22" xfId="0" applyFont="1" applyBorder="1" applyAlignment="1">
      <alignment horizontal="left" vertical="center" wrapText="1"/>
    </xf>
    <xf numFmtId="0" fontId="5" fillId="0" borderId="25" xfId="0" applyFont="1" applyBorder="1"/>
    <xf numFmtId="0" fontId="5" fillId="2" borderId="22" xfId="0" applyFont="1" applyFill="1" applyBorder="1" applyAlignment="1">
      <alignment horizontal="left" vertical="center"/>
    </xf>
    <xf numFmtId="0" fontId="5" fillId="2" borderId="25" xfId="0" applyFont="1" applyFill="1" applyBorder="1"/>
    <xf numFmtId="0" fontId="5" fillId="0" borderId="22" xfId="0" applyFont="1" applyBorder="1" applyAlignment="1">
      <alignment horizontal="left" vertical="center"/>
    </xf>
    <xf numFmtId="0" fontId="5" fillId="0" borderId="7" xfId="0" applyFont="1" applyBorder="1" applyAlignment="1">
      <alignment horizontal="center"/>
    </xf>
    <xf numFmtId="0" fontId="2" fillId="0" borderId="9" xfId="0" applyFont="1" applyBorder="1" applyAlignment="1">
      <alignment horizontal="center"/>
    </xf>
    <xf numFmtId="0" fontId="2" fillId="0" borderId="19" xfId="0" applyFont="1" applyBorder="1" applyAlignment="1">
      <alignment horizontal="center" vertical="center" wrapText="1"/>
    </xf>
    <xf numFmtId="0" fontId="1" fillId="0" borderId="3" xfId="0" applyFont="1" applyBorder="1"/>
    <xf numFmtId="0" fontId="1" fillId="0" borderId="20" xfId="0" applyFont="1" applyBorder="1"/>
    <xf numFmtId="0" fontId="1" fillId="0" borderId="21" xfId="0" applyFont="1" applyBorder="1"/>
    <xf numFmtId="0" fontId="5"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0"/>
  <sheetViews>
    <sheetView tabSelected="1" zoomScaleNormal="100" workbookViewId="0">
      <selection activeCell="B17" sqref="B17"/>
    </sheetView>
  </sheetViews>
  <sheetFormatPr baseColWidth="10" defaultColWidth="14.42578125" defaultRowHeight="15" customHeight="1" x14ac:dyDescent="0.2"/>
  <cols>
    <col min="1" max="1" width="4.5703125" customWidth="1"/>
    <col min="2" max="2" width="12.85546875" customWidth="1"/>
    <col min="3" max="3" width="32.42578125" customWidth="1"/>
    <col min="4" max="4" width="8.42578125" customWidth="1"/>
    <col min="5" max="5" width="79" customWidth="1"/>
    <col min="6" max="6" width="11" customWidth="1"/>
    <col min="7" max="7" width="12.7109375" customWidth="1"/>
    <col min="8" max="8" width="13.85546875" customWidth="1"/>
    <col min="9" max="9" width="18.5703125" customWidth="1"/>
    <col min="10" max="10" width="13.5703125" customWidth="1"/>
    <col min="11" max="26" width="11" customWidth="1"/>
  </cols>
  <sheetData>
    <row r="1" spans="1:26" ht="12.75" customHeight="1" x14ac:dyDescent="0.2">
      <c r="A1" s="48"/>
      <c r="B1" s="48"/>
      <c r="C1" s="48"/>
      <c r="D1" s="48"/>
      <c r="E1" s="48"/>
      <c r="F1" s="48"/>
      <c r="G1" s="48"/>
      <c r="H1" s="48"/>
      <c r="I1" s="48"/>
      <c r="J1" s="48"/>
      <c r="K1" s="48"/>
      <c r="L1" s="48"/>
      <c r="M1" s="48"/>
      <c r="N1" s="48"/>
      <c r="O1" s="48"/>
      <c r="P1" s="48"/>
      <c r="Q1" s="48"/>
      <c r="R1" s="48"/>
      <c r="S1" s="48"/>
      <c r="T1" s="48"/>
      <c r="U1" s="48"/>
      <c r="V1" s="48"/>
      <c r="W1" s="48"/>
      <c r="X1" s="48"/>
      <c r="Y1" s="48"/>
      <c r="Z1" s="48"/>
    </row>
    <row r="2" spans="1:26" ht="24" customHeight="1" x14ac:dyDescent="0.35">
      <c r="A2" s="48"/>
      <c r="B2" s="103" t="s">
        <v>50</v>
      </c>
      <c r="C2" s="102"/>
      <c r="D2" s="102"/>
      <c r="E2" s="102"/>
      <c r="F2" s="102"/>
      <c r="G2" s="102"/>
      <c r="H2" s="102"/>
      <c r="I2" s="48"/>
      <c r="J2" s="48"/>
      <c r="K2" s="48"/>
      <c r="L2" s="48"/>
      <c r="M2" s="48"/>
      <c r="N2" s="48"/>
      <c r="O2" s="48"/>
      <c r="P2" s="48"/>
      <c r="Q2" s="48"/>
      <c r="R2" s="48"/>
      <c r="S2" s="48"/>
      <c r="T2" s="48"/>
      <c r="U2" s="48"/>
      <c r="V2" s="48"/>
      <c r="W2" s="48"/>
      <c r="X2" s="48"/>
      <c r="Y2" s="48"/>
      <c r="Z2" s="48"/>
    </row>
    <row r="3" spans="1:26" ht="12.75" customHeight="1" x14ac:dyDescent="0.2">
      <c r="A3" s="48"/>
      <c r="B3" s="48"/>
      <c r="C3" s="48"/>
      <c r="D3" s="48"/>
      <c r="E3" s="48"/>
      <c r="F3" s="48"/>
      <c r="G3" s="48"/>
      <c r="H3" s="48"/>
      <c r="I3" s="48"/>
      <c r="J3" s="48"/>
      <c r="K3" s="48"/>
      <c r="L3" s="48"/>
      <c r="M3" s="48"/>
      <c r="N3" s="48"/>
      <c r="O3" s="48"/>
      <c r="P3" s="48"/>
      <c r="Q3" s="48"/>
      <c r="R3" s="48"/>
      <c r="S3" s="48"/>
      <c r="T3" s="48"/>
      <c r="U3" s="48"/>
      <c r="V3" s="48"/>
      <c r="W3" s="48"/>
      <c r="X3" s="48"/>
      <c r="Y3" s="48"/>
      <c r="Z3" s="48"/>
    </row>
    <row r="4" spans="1:26" ht="18" customHeight="1" x14ac:dyDescent="0.2">
      <c r="A4" s="101" t="s">
        <v>51</v>
      </c>
      <c r="B4" s="102"/>
      <c r="C4" s="104" t="s">
        <v>52</v>
      </c>
      <c r="D4" s="102"/>
      <c r="E4" s="102"/>
      <c r="F4" s="50"/>
      <c r="G4" s="51"/>
      <c r="H4" s="50"/>
      <c r="I4" s="48"/>
      <c r="J4" s="48"/>
      <c r="K4" s="48"/>
      <c r="L4" s="48"/>
      <c r="M4" s="48"/>
      <c r="N4" s="48"/>
      <c r="O4" s="48"/>
      <c r="P4" s="48"/>
      <c r="Q4" s="48"/>
      <c r="R4" s="48"/>
      <c r="S4" s="48"/>
      <c r="T4" s="48"/>
      <c r="U4" s="48"/>
      <c r="V4" s="48"/>
      <c r="W4" s="48"/>
      <c r="X4" s="48"/>
      <c r="Y4" s="48"/>
      <c r="Z4" s="48"/>
    </row>
    <row r="5" spans="1:26" ht="18" customHeight="1" x14ac:dyDescent="0.2">
      <c r="A5" s="101" t="s">
        <v>53</v>
      </c>
      <c r="B5" s="102"/>
      <c r="C5" s="104" t="s">
        <v>54</v>
      </c>
      <c r="D5" s="102"/>
      <c r="E5" s="102"/>
      <c r="F5" s="50"/>
      <c r="G5" s="51"/>
      <c r="H5" s="50"/>
      <c r="I5" s="48"/>
      <c r="J5" s="48"/>
      <c r="K5" s="48"/>
      <c r="L5" s="48"/>
      <c r="M5" s="48"/>
      <c r="N5" s="48"/>
      <c r="O5" s="48"/>
      <c r="P5" s="48"/>
      <c r="Q5" s="48"/>
      <c r="R5" s="48"/>
      <c r="S5" s="48"/>
      <c r="T5" s="48"/>
      <c r="U5" s="48"/>
      <c r="V5" s="48"/>
      <c r="W5" s="48"/>
      <c r="X5" s="48"/>
      <c r="Y5" s="48"/>
      <c r="Z5" s="48"/>
    </row>
    <row r="6" spans="1:26" ht="16.5" customHeight="1" x14ac:dyDescent="0.2">
      <c r="A6" s="101" t="s">
        <v>23</v>
      </c>
      <c r="B6" s="102"/>
      <c r="C6" s="52">
        <v>2022</v>
      </c>
      <c r="D6" s="49"/>
      <c r="E6" s="49"/>
      <c r="F6" s="50"/>
      <c r="G6" s="51"/>
      <c r="H6" s="50"/>
      <c r="I6" s="48"/>
      <c r="J6" s="48"/>
      <c r="K6" s="48"/>
      <c r="L6" s="48"/>
      <c r="M6" s="48"/>
      <c r="N6" s="48"/>
      <c r="O6" s="48"/>
      <c r="P6" s="48"/>
      <c r="Q6" s="48"/>
      <c r="R6" s="48"/>
      <c r="S6" s="48"/>
      <c r="T6" s="48"/>
      <c r="U6" s="48"/>
      <c r="V6" s="48"/>
      <c r="W6" s="48"/>
      <c r="X6" s="48"/>
      <c r="Y6" s="48"/>
      <c r="Z6" s="48"/>
    </row>
    <row r="7" spans="1:26" ht="16.5" customHeight="1" x14ac:dyDescent="0.2">
      <c r="A7" s="101" t="s">
        <v>55</v>
      </c>
      <c r="B7" s="102"/>
      <c r="C7" s="52">
        <v>1</v>
      </c>
      <c r="D7" s="49"/>
      <c r="E7" s="49"/>
      <c r="F7" s="50"/>
      <c r="G7" s="51"/>
      <c r="H7" s="50"/>
      <c r="I7" s="48"/>
      <c r="J7" s="48"/>
      <c r="K7" s="48"/>
      <c r="L7" s="48"/>
      <c r="M7" s="48"/>
      <c r="N7" s="48"/>
      <c r="O7" s="48"/>
      <c r="P7" s="48"/>
      <c r="Q7" s="48"/>
      <c r="R7" s="48"/>
      <c r="S7" s="48"/>
      <c r="T7" s="48"/>
      <c r="U7" s="48"/>
      <c r="V7" s="48"/>
      <c r="W7" s="48"/>
      <c r="X7" s="48"/>
      <c r="Y7" s="48"/>
      <c r="Z7" s="48"/>
    </row>
    <row r="8" spans="1:26" ht="12.75" customHeight="1" x14ac:dyDescent="0.2">
      <c r="A8" s="48"/>
      <c r="B8" s="50"/>
      <c r="C8" s="51"/>
      <c r="D8" s="50"/>
      <c r="E8" s="50"/>
      <c r="F8" s="50"/>
      <c r="G8" s="51"/>
      <c r="H8" s="50"/>
      <c r="I8" s="48"/>
      <c r="J8" s="48"/>
      <c r="K8" s="48"/>
      <c r="L8" s="48"/>
      <c r="M8" s="48"/>
      <c r="N8" s="48"/>
      <c r="O8" s="48"/>
      <c r="P8" s="48"/>
      <c r="Q8" s="48"/>
      <c r="R8" s="48"/>
      <c r="S8" s="48"/>
      <c r="T8" s="48"/>
      <c r="U8" s="48"/>
      <c r="V8" s="48"/>
      <c r="W8" s="48"/>
      <c r="X8" s="48"/>
      <c r="Y8" s="48"/>
      <c r="Z8" s="48"/>
    </row>
    <row r="9" spans="1:26" ht="12.75" customHeight="1" x14ac:dyDescent="0.2">
      <c r="A9" s="48"/>
      <c r="B9" s="50"/>
      <c r="C9" s="51"/>
      <c r="D9" s="50"/>
      <c r="E9" s="50"/>
      <c r="F9" s="50"/>
      <c r="G9" s="51"/>
      <c r="H9" s="50"/>
      <c r="I9" s="48"/>
      <c r="J9" s="48"/>
      <c r="K9" s="48"/>
      <c r="L9" s="48"/>
      <c r="M9" s="48"/>
      <c r="N9" s="48"/>
      <c r="O9" s="48"/>
      <c r="P9" s="48"/>
      <c r="Q9" s="48"/>
      <c r="R9" s="48"/>
      <c r="S9" s="48"/>
      <c r="T9" s="48"/>
      <c r="U9" s="48"/>
      <c r="V9" s="48"/>
      <c r="W9" s="48"/>
      <c r="X9" s="48"/>
      <c r="Y9" s="48"/>
      <c r="Z9" s="48"/>
    </row>
    <row r="10" spans="1:26" ht="12.75" customHeight="1" x14ac:dyDescent="0.2">
      <c r="A10" s="48"/>
      <c r="B10" s="50"/>
      <c r="C10" s="51"/>
      <c r="D10" s="50"/>
      <c r="E10" s="50"/>
      <c r="F10" s="50"/>
      <c r="G10" s="51"/>
      <c r="H10" s="50"/>
      <c r="I10" s="48"/>
      <c r="J10" s="48"/>
      <c r="K10" s="48"/>
      <c r="L10" s="48"/>
      <c r="M10" s="48"/>
      <c r="N10" s="48"/>
      <c r="O10" s="48"/>
      <c r="P10" s="48"/>
      <c r="Q10" s="48"/>
      <c r="R10" s="48"/>
      <c r="S10" s="48"/>
      <c r="T10" s="48"/>
      <c r="U10" s="48"/>
      <c r="V10" s="48"/>
      <c r="W10" s="48"/>
      <c r="X10" s="48"/>
      <c r="Y10" s="48"/>
      <c r="Z10" s="48"/>
    </row>
    <row r="11" spans="1:26" ht="12.75" customHeight="1" x14ac:dyDescent="0.2">
      <c r="A11" s="53" t="s">
        <v>13</v>
      </c>
      <c r="B11" s="54" t="s">
        <v>14</v>
      </c>
      <c r="C11" s="55" t="s">
        <v>56</v>
      </c>
      <c r="D11" s="55" t="s">
        <v>57</v>
      </c>
      <c r="E11" s="54" t="s">
        <v>15</v>
      </c>
      <c r="F11" s="56" t="s">
        <v>17</v>
      </c>
      <c r="G11" s="57" t="s">
        <v>19</v>
      </c>
      <c r="H11" s="58" t="s">
        <v>18</v>
      </c>
      <c r="I11" s="59" t="s">
        <v>58</v>
      </c>
      <c r="J11" s="48"/>
      <c r="K11" s="48"/>
      <c r="L11" s="48"/>
      <c r="M11" s="48"/>
      <c r="N11" s="48"/>
      <c r="O11" s="48"/>
      <c r="P11" s="48"/>
      <c r="Q11" s="48"/>
      <c r="R11" s="48"/>
      <c r="S11" s="48"/>
      <c r="T11" s="48"/>
      <c r="U11" s="48"/>
      <c r="V11" s="48"/>
      <c r="W11" s="48"/>
      <c r="X11" s="48"/>
      <c r="Y11" s="48"/>
      <c r="Z11" s="48"/>
    </row>
    <row r="12" spans="1:26" ht="15" customHeight="1" x14ac:dyDescent="0.4">
      <c r="A12" s="60">
        <v>1</v>
      </c>
      <c r="B12" s="61" t="str">
        <f>NP!B11</f>
        <v>4.3.6-6160.230</v>
      </c>
      <c r="C12" s="61" t="s">
        <v>59</v>
      </c>
      <c r="D12" s="62">
        <v>436</v>
      </c>
      <c r="E12" s="63" t="str">
        <f>NP!C11</f>
        <v>COMPUTADORAS; TIPO: PORTATIL AVANZADA, CODIGO ETAP: PC-007, VERSION ETAP: 24.0</v>
      </c>
      <c r="F12" s="64" t="s">
        <v>60</v>
      </c>
      <c r="G12" s="64">
        <v>5000</v>
      </c>
      <c r="H12" s="83">
        <f>310*111</f>
        <v>34410</v>
      </c>
      <c r="I12" s="65">
        <f>H12*G12</f>
        <v>172050000</v>
      </c>
      <c r="J12" s="48"/>
      <c r="K12" s="48"/>
      <c r="L12" s="48"/>
      <c r="M12" s="48"/>
      <c r="N12" s="48"/>
      <c r="O12" s="48"/>
      <c r="P12" s="48"/>
      <c r="Q12" s="48"/>
      <c r="R12" s="48"/>
      <c r="S12" s="48"/>
      <c r="T12" s="48"/>
      <c r="U12" s="48"/>
      <c r="V12" s="48"/>
      <c r="W12" s="48"/>
      <c r="X12" s="48"/>
      <c r="Y12" s="48"/>
      <c r="Z12" s="48"/>
    </row>
    <row r="13" spans="1:26" ht="12.75" customHeight="1" x14ac:dyDescent="0.2">
      <c r="A13" s="48"/>
      <c r="B13" s="48"/>
      <c r="C13" s="48"/>
      <c r="D13" s="48"/>
      <c r="E13" s="48"/>
      <c r="F13" s="48"/>
      <c r="G13" s="48"/>
      <c r="H13" s="48"/>
      <c r="I13" s="66"/>
      <c r="J13" s="48"/>
      <c r="K13" s="48"/>
      <c r="L13" s="48"/>
      <c r="M13" s="48"/>
      <c r="N13" s="48"/>
      <c r="O13" s="48"/>
      <c r="P13" s="48"/>
      <c r="Q13" s="48"/>
      <c r="R13" s="48"/>
      <c r="S13" s="48"/>
      <c r="T13" s="48"/>
      <c r="U13" s="48"/>
      <c r="V13" s="48"/>
      <c r="W13" s="48"/>
      <c r="X13" s="48"/>
      <c r="Y13" s="48"/>
      <c r="Z13" s="48"/>
    </row>
    <row r="14" spans="1:26" ht="12.75" customHeight="1" x14ac:dyDescent="0.2">
      <c r="A14" s="48"/>
      <c r="B14" s="48" t="s">
        <v>72</v>
      </c>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ht="14.1" customHeight="1" x14ac:dyDescent="0.2">
      <c r="A15" s="48"/>
      <c r="B15" s="67" t="s">
        <v>61</v>
      </c>
      <c r="C15" s="68"/>
      <c r="D15" s="68"/>
      <c r="E15" s="69"/>
      <c r="F15" s="48"/>
      <c r="G15" s="48"/>
      <c r="H15" s="48"/>
      <c r="I15" s="48"/>
      <c r="J15" s="48"/>
      <c r="K15" s="48"/>
      <c r="L15" s="48"/>
      <c r="M15" s="48"/>
      <c r="N15" s="48"/>
      <c r="O15" s="48"/>
      <c r="P15" s="48"/>
      <c r="Q15" s="48"/>
      <c r="R15" s="48"/>
      <c r="S15" s="48"/>
      <c r="T15" s="48"/>
      <c r="U15" s="48"/>
      <c r="V15" s="48"/>
      <c r="W15" s="48"/>
      <c r="X15" s="48"/>
      <c r="Y15" s="48"/>
      <c r="Z15" s="48"/>
    </row>
    <row r="16" spans="1:26" ht="14.1" customHeight="1" x14ac:dyDescent="0.2">
      <c r="A16" s="48"/>
      <c r="B16" s="70"/>
      <c r="C16" s="48"/>
      <c r="D16" s="48"/>
      <c r="E16" s="71"/>
      <c r="F16" s="48"/>
      <c r="G16" s="48"/>
      <c r="H16" s="48"/>
      <c r="I16" s="48"/>
      <c r="J16" s="48"/>
      <c r="K16" s="48"/>
      <c r="L16" s="48"/>
      <c r="M16" s="48"/>
      <c r="N16" s="48"/>
      <c r="O16" s="48"/>
      <c r="P16" s="48"/>
      <c r="Q16" s="48"/>
      <c r="R16" s="48"/>
      <c r="S16" s="48"/>
      <c r="T16" s="48"/>
      <c r="U16" s="48"/>
      <c r="V16" s="48"/>
      <c r="W16" s="48"/>
      <c r="X16" s="48"/>
      <c r="Y16" s="48"/>
      <c r="Z16" s="48"/>
    </row>
    <row r="17" spans="1:26" ht="17.100000000000001" customHeight="1" x14ac:dyDescent="0.2">
      <c r="A17" s="48"/>
      <c r="B17" s="99" t="s">
        <v>74</v>
      </c>
      <c r="C17" s="48"/>
      <c r="D17" s="48"/>
      <c r="E17" s="71"/>
      <c r="F17" s="48"/>
      <c r="G17" s="48"/>
      <c r="H17" s="48"/>
      <c r="I17" s="48"/>
      <c r="J17" s="48"/>
      <c r="K17" s="48"/>
      <c r="L17" s="48"/>
      <c r="M17" s="48"/>
      <c r="N17" s="48"/>
      <c r="O17" s="48"/>
      <c r="P17" s="48"/>
      <c r="Q17" s="48"/>
      <c r="R17" s="48"/>
      <c r="S17" s="48"/>
      <c r="T17" s="48"/>
      <c r="U17" s="48"/>
      <c r="V17" s="48"/>
      <c r="W17" s="48"/>
      <c r="X17" s="48"/>
      <c r="Y17" s="48"/>
      <c r="Z17" s="48"/>
    </row>
    <row r="18" spans="1:26" s="84" customFormat="1" ht="260.45" customHeight="1" x14ac:dyDescent="0.2">
      <c r="A18" s="48"/>
      <c r="B18" s="72"/>
      <c r="C18" s="105" t="s">
        <v>73</v>
      </c>
      <c r="D18" s="105"/>
      <c r="E18" s="109"/>
      <c r="F18" s="48"/>
      <c r="G18" s="48"/>
      <c r="H18" s="48"/>
      <c r="I18" s="48"/>
      <c r="J18" s="48"/>
      <c r="K18" s="48"/>
      <c r="L18" s="48"/>
      <c r="M18" s="48"/>
      <c r="N18" s="48"/>
      <c r="O18" s="48"/>
      <c r="P18" s="48"/>
      <c r="Q18" s="48"/>
      <c r="R18" s="48"/>
      <c r="S18" s="48"/>
      <c r="T18" s="48"/>
      <c r="U18" s="48"/>
      <c r="V18" s="48"/>
      <c r="W18" s="48"/>
      <c r="X18" s="48"/>
      <c r="Y18" s="48"/>
      <c r="Z18" s="48"/>
    </row>
    <row r="19" spans="1:26" ht="221.1" customHeight="1" x14ac:dyDescent="0.2">
      <c r="A19" s="48"/>
      <c r="B19" s="72"/>
      <c r="C19" s="105"/>
      <c r="D19" s="105"/>
      <c r="E19" s="109"/>
      <c r="F19" s="48"/>
      <c r="G19" s="48"/>
      <c r="H19" s="48"/>
      <c r="I19" s="48"/>
      <c r="J19" s="48"/>
      <c r="K19" s="48"/>
      <c r="L19" s="48"/>
      <c r="M19" s="48"/>
      <c r="N19" s="48"/>
      <c r="O19" s="48"/>
      <c r="P19" s="48"/>
      <c r="Q19" s="48"/>
      <c r="R19" s="48"/>
      <c r="S19" s="48"/>
      <c r="T19" s="48"/>
      <c r="U19" s="48"/>
      <c r="V19" s="48"/>
      <c r="W19" s="48"/>
      <c r="X19" s="48"/>
      <c r="Y19" s="48"/>
      <c r="Z19" s="48"/>
    </row>
    <row r="20" spans="1:26" ht="12.75" customHeight="1" x14ac:dyDescent="0.2">
      <c r="A20" s="48"/>
      <c r="B20" s="72" t="s">
        <v>62</v>
      </c>
      <c r="C20" s="73"/>
      <c r="D20" s="73"/>
      <c r="E20" s="74"/>
      <c r="F20" s="48"/>
      <c r="G20" s="48"/>
      <c r="H20" s="75"/>
      <c r="I20" s="48"/>
      <c r="J20" s="76"/>
      <c r="K20" s="48"/>
      <c r="L20" s="48"/>
      <c r="M20" s="48"/>
      <c r="N20" s="48"/>
      <c r="O20" s="48"/>
      <c r="P20" s="48"/>
      <c r="Q20" s="48"/>
      <c r="R20" s="48"/>
      <c r="S20" s="48"/>
      <c r="T20" s="48"/>
      <c r="U20" s="48"/>
      <c r="V20" s="48"/>
      <c r="W20" s="48"/>
      <c r="X20" s="48"/>
      <c r="Y20" s="48"/>
      <c r="Z20" s="48"/>
    </row>
    <row r="21" spans="1:26" ht="12.75" customHeight="1" x14ac:dyDescent="0.2">
      <c r="A21" s="48"/>
      <c r="B21" s="77"/>
      <c r="C21" s="105" t="s">
        <v>63</v>
      </c>
      <c r="D21" s="102"/>
      <c r="E21" s="106"/>
      <c r="F21" s="48"/>
      <c r="G21" s="48"/>
      <c r="H21" s="48"/>
      <c r="I21" s="48"/>
      <c r="J21" s="48"/>
      <c r="K21" s="48"/>
      <c r="L21" s="48"/>
      <c r="M21" s="48"/>
      <c r="N21" s="48"/>
      <c r="O21" s="48"/>
      <c r="P21" s="48"/>
      <c r="Q21" s="48"/>
      <c r="R21" s="48"/>
      <c r="S21" s="48"/>
      <c r="T21" s="48"/>
      <c r="U21" s="48"/>
      <c r="V21" s="48"/>
      <c r="W21" s="48"/>
      <c r="X21" s="48"/>
      <c r="Y21" s="48"/>
      <c r="Z21" s="48"/>
    </row>
    <row r="22" spans="1:26" ht="47.25" customHeight="1" x14ac:dyDescent="0.2">
      <c r="A22" s="48"/>
      <c r="B22" s="77"/>
      <c r="C22" s="102"/>
      <c r="D22" s="102"/>
      <c r="E22" s="106"/>
      <c r="F22" s="48"/>
      <c r="G22" s="48"/>
      <c r="H22" s="48"/>
      <c r="I22" s="48"/>
      <c r="J22" s="48"/>
      <c r="K22" s="48"/>
      <c r="L22" s="48"/>
      <c r="M22" s="48"/>
      <c r="N22" s="48"/>
      <c r="O22" s="48"/>
      <c r="P22" s="48"/>
      <c r="Q22" s="48"/>
      <c r="R22" s="48"/>
      <c r="S22" s="48"/>
      <c r="T22" s="48"/>
      <c r="U22" s="48"/>
      <c r="V22" s="48"/>
      <c r="W22" s="48"/>
      <c r="X22" s="48"/>
      <c r="Y22" s="48"/>
      <c r="Z22" s="48"/>
    </row>
    <row r="23" spans="1:26" ht="12.75" customHeight="1" x14ac:dyDescent="0.2">
      <c r="A23" s="48"/>
      <c r="B23" s="72" t="s">
        <v>64</v>
      </c>
      <c r="C23" s="73"/>
      <c r="D23" s="73"/>
      <c r="E23" s="74"/>
      <c r="F23" s="48"/>
      <c r="G23" s="48"/>
      <c r="H23" s="48"/>
      <c r="I23" s="48"/>
      <c r="J23" s="48"/>
      <c r="K23" s="48"/>
      <c r="L23" s="48"/>
      <c r="M23" s="48"/>
      <c r="N23" s="48"/>
      <c r="O23" s="48"/>
      <c r="P23" s="48"/>
      <c r="Q23" s="48"/>
      <c r="R23" s="48"/>
      <c r="S23" s="48"/>
      <c r="T23" s="48"/>
      <c r="U23" s="48"/>
      <c r="V23" s="48"/>
      <c r="W23" s="48"/>
      <c r="X23" s="48"/>
      <c r="Y23" s="48"/>
      <c r="Z23" s="48"/>
    </row>
    <row r="24" spans="1:26" ht="17.45" customHeight="1" x14ac:dyDescent="0.2">
      <c r="A24" s="48"/>
      <c r="B24" s="77"/>
      <c r="C24" s="107" t="s">
        <v>71</v>
      </c>
      <c r="D24" s="102"/>
      <c r="E24" s="106"/>
      <c r="F24" s="48"/>
      <c r="G24" s="48"/>
      <c r="H24" s="48"/>
      <c r="I24" s="48"/>
      <c r="J24" s="48"/>
      <c r="K24" s="48"/>
      <c r="L24" s="48"/>
      <c r="M24" s="48"/>
      <c r="N24" s="48"/>
      <c r="O24" s="48"/>
      <c r="P24" s="48"/>
      <c r="Q24" s="48"/>
      <c r="R24" s="48"/>
      <c r="S24" s="48"/>
      <c r="T24" s="48"/>
      <c r="U24" s="48"/>
      <c r="V24" s="48"/>
      <c r="W24" s="48"/>
      <c r="X24" s="48"/>
      <c r="Y24" s="48"/>
      <c r="Z24" s="48"/>
    </row>
    <row r="25" spans="1:26" ht="12.75" customHeight="1" x14ac:dyDescent="0.2">
      <c r="A25" s="48"/>
      <c r="B25" s="72" t="s">
        <v>65</v>
      </c>
      <c r="C25" s="78"/>
      <c r="D25" s="78"/>
      <c r="E25" s="79"/>
      <c r="F25" s="48"/>
      <c r="G25" s="48"/>
      <c r="H25" s="48"/>
      <c r="I25" s="48"/>
      <c r="J25" s="48"/>
      <c r="K25" s="48"/>
      <c r="L25" s="48"/>
      <c r="M25" s="48"/>
      <c r="N25" s="48"/>
      <c r="O25" s="48"/>
      <c r="P25" s="48"/>
      <c r="Q25" s="48"/>
      <c r="R25" s="48"/>
      <c r="S25" s="48"/>
      <c r="T25" s="48"/>
      <c r="U25" s="48"/>
      <c r="V25" s="48"/>
      <c r="W25" s="48"/>
      <c r="X25" s="48"/>
      <c r="Y25" s="48"/>
      <c r="Z25" s="48"/>
    </row>
    <row r="26" spans="1:26" ht="21.6" customHeight="1" x14ac:dyDescent="0.2">
      <c r="A26" s="48"/>
      <c r="B26" s="77"/>
      <c r="C26" s="108" t="s">
        <v>66</v>
      </c>
      <c r="D26" s="102"/>
      <c r="E26" s="106"/>
      <c r="F26" s="48"/>
      <c r="G26" s="48"/>
      <c r="H26" s="48"/>
      <c r="I26" s="48"/>
      <c r="J26" s="48"/>
      <c r="K26" s="48"/>
      <c r="L26" s="48"/>
      <c r="M26" s="48"/>
      <c r="N26" s="48"/>
      <c r="O26" s="48"/>
      <c r="P26" s="48"/>
      <c r="Q26" s="48"/>
      <c r="R26" s="48"/>
      <c r="S26" s="48"/>
      <c r="T26" s="48"/>
      <c r="U26" s="48"/>
      <c r="V26" s="48"/>
      <c r="W26" s="48"/>
      <c r="X26" s="48"/>
      <c r="Y26" s="48"/>
      <c r="Z26" s="48"/>
    </row>
    <row r="27" spans="1:26" ht="12.75" customHeight="1" x14ac:dyDescent="0.2">
      <c r="A27" s="48"/>
      <c r="B27" s="72" t="s">
        <v>67</v>
      </c>
      <c r="C27" s="48"/>
      <c r="D27" s="48"/>
      <c r="E27" s="71"/>
      <c r="F27" s="48"/>
      <c r="G27" s="48"/>
      <c r="H27" s="48"/>
      <c r="I27" s="48"/>
      <c r="J27" s="48"/>
      <c r="K27" s="48"/>
      <c r="L27" s="48"/>
      <c r="M27" s="48"/>
      <c r="N27" s="48"/>
      <c r="O27" s="48"/>
      <c r="P27" s="48"/>
      <c r="Q27" s="48"/>
      <c r="R27" s="48"/>
      <c r="S27" s="48"/>
      <c r="T27" s="48"/>
      <c r="U27" s="48"/>
      <c r="V27" s="48"/>
      <c r="W27" s="48"/>
      <c r="X27" s="48"/>
      <c r="Y27" s="48"/>
      <c r="Z27" s="48"/>
    </row>
    <row r="28" spans="1:26" ht="23.25" customHeight="1" x14ac:dyDescent="0.2">
      <c r="A28" s="48"/>
      <c r="B28" s="72"/>
      <c r="C28" s="108" t="s">
        <v>68</v>
      </c>
      <c r="D28" s="102"/>
      <c r="E28" s="106"/>
      <c r="F28" s="48"/>
      <c r="G28" s="48"/>
      <c r="H28" s="48"/>
      <c r="I28" s="48"/>
      <c r="J28" s="48"/>
      <c r="K28" s="48"/>
      <c r="L28" s="48"/>
      <c r="M28" s="48"/>
      <c r="N28" s="48"/>
      <c r="O28" s="48"/>
      <c r="P28" s="48"/>
      <c r="Q28" s="48"/>
      <c r="R28" s="48"/>
      <c r="S28" s="48"/>
      <c r="T28" s="48"/>
      <c r="U28" s="48"/>
      <c r="V28" s="48"/>
      <c r="W28" s="48"/>
      <c r="X28" s="48"/>
      <c r="Y28" s="48"/>
      <c r="Z28" s="48"/>
    </row>
    <row r="29" spans="1:26" ht="12.75" customHeight="1" x14ac:dyDescent="0.2">
      <c r="A29" s="48"/>
      <c r="B29" s="80"/>
      <c r="C29" s="81"/>
      <c r="D29" s="81"/>
      <c r="E29" s="82"/>
      <c r="F29" s="48"/>
      <c r="G29" s="48"/>
      <c r="H29" s="48"/>
      <c r="I29" s="48"/>
      <c r="J29" s="48"/>
      <c r="K29" s="48"/>
      <c r="L29" s="48"/>
      <c r="M29" s="48"/>
      <c r="N29" s="48"/>
      <c r="O29" s="48"/>
      <c r="P29" s="48"/>
      <c r="Q29" s="48"/>
      <c r="R29" s="48"/>
      <c r="S29" s="48"/>
      <c r="T29" s="48"/>
      <c r="U29" s="48"/>
      <c r="V29" s="48"/>
      <c r="W29" s="48"/>
      <c r="X29" s="48"/>
      <c r="Y29" s="48"/>
      <c r="Z29" s="48"/>
    </row>
    <row r="30" spans="1:26" ht="12.7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2.7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2.75" customHeight="1" x14ac:dyDescent="0.2">
      <c r="A32" s="48"/>
      <c r="B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2.75" customHeight="1" x14ac:dyDescent="0.2">
      <c r="A33" s="48"/>
      <c r="F33" s="48"/>
      <c r="G33" s="48"/>
      <c r="H33" s="48"/>
      <c r="I33" s="48"/>
      <c r="J33" s="48"/>
      <c r="K33" s="48"/>
      <c r="L33" s="48"/>
      <c r="M33" s="48"/>
      <c r="N33" s="48"/>
      <c r="O33" s="48"/>
      <c r="P33" s="48"/>
      <c r="Q33" s="48"/>
      <c r="R33" s="48"/>
      <c r="S33" s="48"/>
      <c r="T33" s="48"/>
      <c r="U33" s="48"/>
      <c r="V33" s="48"/>
      <c r="W33" s="48"/>
      <c r="X33" s="48"/>
      <c r="Y33" s="48"/>
      <c r="Z33" s="48"/>
    </row>
    <row r="34" spans="1:26" ht="12.7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2.7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2.7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2.7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2.7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2.7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2.7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2.7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2.7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2.7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2.7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2.7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2.7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2.7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2.7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2.7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2.7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2.7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2.7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2.7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2.7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2.7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2.7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2.7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2.7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2.7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2.75" customHeight="1" x14ac:dyDescent="0.2">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2.75" customHeight="1" x14ac:dyDescent="0.2">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2.75" customHeight="1" x14ac:dyDescent="0.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2.75" customHeight="1" x14ac:dyDescent="0.2">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2.75" customHeight="1" x14ac:dyDescent="0.2">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2.75" customHeight="1" x14ac:dyDescent="0.2">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2.75" customHeight="1" x14ac:dyDescent="0.2">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ht="12.75" customHeight="1" x14ac:dyDescent="0.2">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12.75" customHeight="1" x14ac:dyDescent="0.2">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ht="12.75" customHeight="1" x14ac:dyDescent="0.2">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ht="12.75" customHeight="1" x14ac:dyDescent="0.2">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ht="12.75" customHeight="1" x14ac:dyDescent="0.2">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ht="12.75" customHeight="1" x14ac:dyDescent="0.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ht="12.75" customHeight="1" x14ac:dyDescent="0.2">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ht="12.75" customHeight="1" x14ac:dyDescent="0.2">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ht="12.75" customHeight="1" x14ac:dyDescent="0.2">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ht="12.75" customHeight="1" x14ac:dyDescent="0.2">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ht="12.75" customHeight="1" x14ac:dyDescent="0.2">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ht="12.75" customHeight="1" x14ac:dyDescent="0.2">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ht="12.75" customHeight="1" x14ac:dyDescent="0.2">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ht="12.75" customHeight="1" x14ac:dyDescent="0.2">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ht="12.75" customHeight="1" x14ac:dyDescent="0.2">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ht="12.75" customHeight="1" x14ac:dyDescent="0.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ht="12.75" customHeight="1" x14ac:dyDescent="0.2">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ht="12.75" customHeight="1" x14ac:dyDescent="0.2">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ht="12.75" customHeight="1" x14ac:dyDescent="0.2">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ht="12.75" customHeight="1" x14ac:dyDescent="0.2">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ht="12.75" customHeight="1" x14ac:dyDescent="0.2">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ht="12.75" customHeight="1" x14ac:dyDescent="0.2">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ht="12.75" customHeight="1" x14ac:dyDescent="0.2">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ht="12.75" customHeight="1" x14ac:dyDescent="0.2">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ht="12.75" customHeight="1" x14ac:dyDescent="0.2">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ht="12.75" customHeight="1" x14ac:dyDescent="0.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ht="12.75" customHeight="1" x14ac:dyDescent="0.2">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ht="12.75" customHeight="1" x14ac:dyDescent="0.2">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ht="12.75" customHeight="1" x14ac:dyDescent="0.2">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ht="12.75" customHeight="1" x14ac:dyDescent="0.2">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ht="12.75" customHeight="1" x14ac:dyDescent="0.2">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ht="12.75" customHeight="1" x14ac:dyDescent="0.2">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ht="12.75" customHeight="1" x14ac:dyDescent="0.2">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ht="12.75" customHeight="1" x14ac:dyDescent="0.2">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2.75" customHeight="1" x14ac:dyDescent="0.2">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2.75" customHeight="1" x14ac:dyDescent="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2.75" customHeight="1" x14ac:dyDescent="0.2">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2.75" customHeight="1" x14ac:dyDescent="0.2">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2.75" customHeight="1" x14ac:dyDescent="0.2">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2.75" customHeight="1" x14ac:dyDescent="0.2">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2.75" customHeight="1" x14ac:dyDescent="0.2">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2.75" customHeight="1" x14ac:dyDescent="0.2">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2.75" customHeight="1" x14ac:dyDescent="0.2">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2.75" customHeight="1" x14ac:dyDescent="0.2">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2.75" customHeight="1" x14ac:dyDescent="0.2">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2.75" customHeight="1" x14ac:dyDescent="0.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2.75" customHeight="1" x14ac:dyDescent="0.2">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2.75" customHeight="1" x14ac:dyDescent="0.2">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2.75" customHeight="1" x14ac:dyDescent="0.2">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2.75" customHeight="1" x14ac:dyDescent="0.2">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2.75" customHeight="1" x14ac:dyDescent="0.2">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2.75" customHeight="1" x14ac:dyDescent="0.2">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2.75" customHeight="1" x14ac:dyDescent="0.2">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2.75" customHeight="1" x14ac:dyDescent="0.2">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2.75" customHeight="1" x14ac:dyDescent="0.2">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2.75" customHeight="1" x14ac:dyDescent="0.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2.75" customHeight="1" x14ac:dyDescent="0.2">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2.75" customHeight="1" x14ac:dyDescent="0.2">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2.75" customHeight="1" x14ac:dyDescent="0.2">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2.75" customHeight="1" x14ac:dyDescent="0.2">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2.75" customHeight="1" x14ac:dyDescent="0.2">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2.75" customHeight="1" x14ac:dyDescent="0.2">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2.75" customHeight="1" x14ac:dyDescent="0.2">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2.75" customHeight="1" x14ac:dyDescent="0.2">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2.75" customHeight="1" x14ac:dyDescent="0.2">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2.75" customHeight="1" x14ac:dyDescent="0.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2.75" customHeight="1" x14ac:dyDescent="0.2">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2.75" customHeight="1" x14ac:dyDescent="0.2">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2.75" customHeight="1" x14ac:dyDescent="0.2">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2.75" customHeight="1" x14ac:dyDescent="0.2">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2.75" customHeight="1" x14ac:dyDescent="0.2">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2.75" customHeight="1" x14ac:dyDescent="0.2">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2.75" customHeight="1" x14ac:dyDescent="0.2">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2.75" customHeight="1" x14ac:dyDescent="0.2">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2.75" customHeight="1" x14ac:dyDescent="0.2">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2.75" customHeight="1" x14ac:dyDescent="0.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2.75" customHeight="1" x14ac:dyDescent="0.2">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2.75" customHeight="1" x14ac:dyDescent="0.2">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2.75" customHeight="1" x14ac:dyDescent="0.2">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2.75" customHeight="1" x14ac:dyDescent="0.2">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2.75" customHeight="1" x14ac:dyDescent="0.2">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2.75" customHeight="1" x14ac:dyDescent="0.2">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2.75" customHeight="1" x14ac:dyDescent="0.2">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2.75" customHeight="1" x14ac:dyDescent="0.2">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2.75" customHeight="1" x14ac:dyDescent="0.2">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2.75" customHeight="1" x14ac:dyDescent="0.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2.75" customHeight="1" x14ac:dyDescent="0.2">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2.75" customHeight="1" x14ac:dyDescent="0.2">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2.75" customHeight="1" x14ac:dyDescent="0.2">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2.75" customHeight="1" x14ac:dyDescent="0.2">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2.75" customHeight="1" x14ac:dyDescent="0.2">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2.75" customHeight="1" x14ac:dyDescent="0.2">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2.75" customHeight="1" x14ac:dyDescent="0.2">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2.75" customHeight="1" x14ac:dyDescent="0.2">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2.75" customHeight="1" x14ac:dyDescent="0.2">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2.75" customHeight="1" x14ac:dyDescent="0.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2.75" customHeight="1" x14ac:dyDescent="0.2">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2.75" customHeight="1" x14ac:dyDescent="0.2">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2.75" customHeight="1" x14ac:dyDescent="0.2">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2.75" customHeight="1" x14ac:dyDescent="0.2">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2.75" customHeight="1" x14ac:dyDescent="0.2">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2.75" customHeight="1" x14ac:dyDescent="0.2">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2.75" customHeight="1" x14ac:dyDescent="0.2">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2.75" customHeight="1" x14ac:dyDescent="0.2">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2.75" customHeight="1" x14ac:dyDescent="0.2">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2.75" customHeight="1" x14ac:dyDescent="0.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2.75" customHeight="1" x14ac:dyDescent="0.2">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2.75" customHeight="1" x14ac:dyDescent="0.2">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2.75" customHeight="1" x14ac:dyDescent="0.2">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2.75" customHeight="1" x14ac:dyDescent="0.2">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2.75" customHeight="1" x14ac:dyDescent="0.2">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2.75" customHeight="1" x14ac:dyDescent="0.2">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2.75" customHeight="1" x14ac:dyDescent="0.2">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2.75" customHeight="1" x14ac:dyDescent="0.2">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2.75" customHeight="1" x14ac:dyDescent="0.2">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2.75" customHeight="1" x14ac:dyDescent="0.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2.75" customHeight="1" x14ac:dyDescent="0.2">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2.75" customHeight="1" x14ac:dyDescent="0.2">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2.75" customHeight="1" x14ac:dyDescent="0.2">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2.75" customHeight="1" x14ac:dyDescent="0.2">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2.75" customHeight="1" x14ac:dyDescent="0.2">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2.75" customHeight="1" x14ac:dyDescent="0.2">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2.75" customHeight="1" x14ac:dyDescent="0.2">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2.75" customHeight="1" x14ac:dyDescent="0.2">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2.75" customHeight="1" x14ac:dyDescent="0.2">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2.75" customHeight="1" x14ac:dyDescent="0.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2.75" customHeight="1" x14ac:dyDescent="0.2">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2.75" customHeight="1" x14ac:dyDescent="0.2">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2.75" customHeight="1" x14ac:dyDescent="0.2">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2.75" customHeight="1" x14ac:dyDescent="0.2">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2.75" customHeight="1" x14ac:dyDescent="0.2">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2.75" customHeight="1" x14ac:dyDescent="0.2">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2.75" customHeight="1" x14ac:dyDescent="0.2">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2.75" customHeight="1" x14ac:dyDescent="0.2">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2.75" customHeight="1" x14ac:dyDescent="0.2">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2.75" customHeight="1" x14ac:dyDescent="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2.75" customHeight="1" x14ac:dyDescent="0.2">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2.75" customHeight="1" x14ac:dyDescent="0.2">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2.75" customHeight="1" x14ac:dyDescent="0.2">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2.75" customHeight="1" x14ac:dyDescent="0.2">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2.75" customHeight="1" x14ac:dyDescent="0.2">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2.75" customHeight="1" x14ac:dyDescent="0.2">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2.75" customHeight="1" x14ac:dyDescent="0.2">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2.75" customHeight="1" x14ac:dyDescent="0.2">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2.75" customHeight="1" x14ac:dyDescent="0.2">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2.75" customHeight="1" x14ac:dyDescent="0.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2.75" customHeight="1" x14ac:dyDescent="0.2">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2.75" customHeight="1" x14ac:dyDescent="0.2">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2.75" customHeight="1" x14ac:dyDescent="0.2">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2.75" customHeight="1" x14ac:dyDescent="0.2">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2.75" customHeight="1" x14ac:dyDescent="0.2">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2.75" customHeight="1" x14ac:dyDescent="0.2">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2.75" customHeight="1" x14ac:dyDescent="0.2">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2.75" customHeight="1" x14ac:dyDescent="0.2">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2.75" customHeight="1" x14ac:dyDescent="0.2">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2.75" customHeight="1" x14ac:dyDescent="0.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2.75" customHeight="1" x14ac:dyDescent="0.2">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2.75" customHeight="1" x14ac:dyDescent="0.2">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2.75" customHeight="1" x14ac:dyDescent="0.2">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2.75" customHeight="1" x14ac:dyDescent="0.2">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2.75" customHeight="1" x14ac:dyDescent="0.2">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2.75" customHeight="1" x14ac:dyDescent="0.2">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2.75" customHeight="1" x14ac:dyDescent="0.2">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2.75" customHeight="1" x14ac:dyDescent="0.2">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2.75" customHeight="1" x14ac:dyDescent="0.2">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2.75" customHeight="1" x14ac:dyDescent="0.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2.75" customHeight="1" x14ac:dyDescent="0.2">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2.75" customHeight="1" x14ac:dyDescent="0.2">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2.75" customHeight="1" x14ac:dyDescent="0.2">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2.75" customHeight="1" x14ac:dyDescent="0.2">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2.75" customHeight="1" x14ac:dyDescent="0.2">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2.75" customHeight="1" x14ac:dyDescent="0.2">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2.75" customHeight="1" x14ac:dyDescent="0.2">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2.75" customHeight="1" x14ac:dyDescent="0.2">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2.75" customHeight="1" x14ac:dyDescent="0.2">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2.75" customHeight="1" x14ac:dyDescent="0.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2.75" customHeight="1" x14ac:dyDescent="0.2">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2.75" customHeight="1" x14ac:dyDescent="0.2">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2.75" customHeight="1" x14ac:dyDescent="0.2">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2.75" customHeight="1" x14ac:dyDescent="0.2">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2.75" customHeight="1" x14ac:dyDescent="0.2">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2.75" customHeight="1" x14ac:dyDescent="0.2">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2.75" customHeight="1" x14ac:dyDescent="0.2">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2.75" customHeight="1" x14ac:dyDescent="0.2">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2.75" customHeight="1" x14ac:dyDescent="0.2">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2.75" customHeight="1" x14ac:dyDescent="0.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2.75" customHeight="1" x14ac:dyDescent="0.2">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2.75" customHeight="1" x14ac:dyDescent="0.2">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2.75" customHeight="1" x14ac:dyDescent="0.2">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2.75" customHeight="1" x14ac:dyDescent="0.2">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2.75" customHeight="1" x14ac:dyDescent="0.2">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2.75" customHeight="1" x14ac:dyDescent="0.2">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2.75" customHeight="1" x14ac:dyDescent="0.2">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2.75" customHeight="1" x14ac:dyDescent="0.2">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2.75" customHeight="1" x14ac:dyDescent="0.2">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2.75" customHeight="1" x14ac:dyDescent="0.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2.75" customHeight="1" x14ac:dyDescent="0.2">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2.75" customHeight="1" x14ac:dyDescent="0.2">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2.75" customHeight="1" x14ac:dyDescent="0.2">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2.75" customHeight="1" x14ac:dyDescent="0.2">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2.75" customHeight="1" x14ac:dyDescent="0.2">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2.75" customHeight="1" x14ac:dyDescent="0.2">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2.75" customHeight="1" x14ac:dyDescent="0.2">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2.75" customHeight="1" x14ac:dyDescent="0.2">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2.75" customHeight="1" x14ac:dyDescent="0.2">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2.75" customHeight="1" x14ac:dyDescent="0.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2.75" customHeight="1" x14ac:dyDescent="0.2">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2.75" customHeight="1" x14ac:dyDescent="0.2">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2.75" customHeight="1" x14ac:dyDescent="0.2">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2.75" customHeight="1" x14ac:dyDescent="0.2">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2.75" customHeight="1" x14ac:dyDescent="0.2">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2.75" customHeight="1" x14ac:dyDescent="0.2">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2.75" customHeight="1" x14ac:dyDescent="0.2">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2.75" customHeight="1" x14ac:dyDescent="0.2">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2.75" customHeight="1" x14ac:dyDescent="0.2">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2.75" customHeight="1" x14ac:dyDescent="0.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2.75" customHeight="1" x14ac:dyDescent="0.2">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2.75" customHeight="1" x14ac:dyDescent="0.2">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2.75" customHeight="1" x14ac:dyDescent="0.2">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2.75" customHeight="1" x14ac:dyDescent="0.2">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2.75" customHeight="1" x14ac:dyDescent="0.2">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2.75" customHeight="1" x14ac:dyDescent="0.2">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2.75" customHeight="1" x14ac:dyDescent="0.2">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2.75" customHeight="1" x14ac:dyDescent="0.2">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2.75" customHeight="1" x14ac:dyDescent="0.2">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2.75" customHeight="1" x14ac:dyDescent="0.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2.75" customHeight="1" x14ac:dyDescent="0.2">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2.75" customHeight="1" x14ac:dyDescent="0.2">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2.75" customHeight="1" x14ac:dyDescent="0.2">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2.75" customHeight="1" x14ac:dyDescent="0.2">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2.75" customHeight="1" x14ac:dyDescent="0.2">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2.75" customHeight="1" x14ac:dyDescent="0.2">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2.75" customHeight="1" x14ac:dyDescent="0.2">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2.75" customHeight="1" x14ac:dyDescent="0.2">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2.75" customHeight="1" x14ac:dyDescent="0.2">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2.75" customHeight="1" x14ac:dyDescent="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2.75" customHeight="1" x14ac:dyDescent="0.2">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2.75" customHeight="1" x14ac:dyDescent="0.2">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2.75" customHeight="1" x14ac:dyDescent="0.2">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2.75" customHeight="1" x14ac:dyDescent="0.2">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2.75" customHeight="1" x14ac:dyDescent="0.2">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2.75" customHeight="1" x14ac:dyDescent="0.2">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2.75" customHeight="1" x14ac:dyDescent="0.2">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2.75" customHeight="1" x14ac:dyDescent="0.2">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2.75" customHeight="1" x14ac:dyDescent="0.2">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2.75" customHeight="1" x14ac:dyDescent="0.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2.75" customHeight="1" x14ac:dyDescent="0.2">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2.75" customHeight="1" x14ac:dyDescent="0.2">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2.75" customHeight="1" x14ac:dyDescent="0.2">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2.75" customHeight="1" x14ac:dyDescent="0.2">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2.75" customHeight="1" x14ac:dyDescent="0.2">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2.75" customHeight="1" x14ac:dyDescent="0.2">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2.75" customHeight="1" x14ac:dyDescent="0.2">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2.75" customHeight="1" x14ac:dyDescent="0.2">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2.75" customHeight="1" x14ac:dyDescent="0.2">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2.75" customHeight="1" x14ac:dyDescent="0.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2.75" customHeight="1" x14ac:dyDescent="0.2">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2.75" customHeight="1" x14ac:dyDescent="0.2">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2.75" customHeight="1" x14ac:dyDescent="0.2">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2.75" customHeight="1" x14ac:dyDescent="0.2">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2.75" customHeight="1" x14ac:dyDescent="0.2">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2.75" customHeight="1" x14ac:dyDescent="0.2">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2.75" customHeight="1" x14ac:dyDescent="0.2">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2.75" customHeight="1" x14ac:dyDescent="0.2">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2.75" customHeight="1" x14ac:dyDescent="0.2">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2.75" customHeight="1" x14ac:dyDescent="0.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2.75" customHeight="1" x14ac:dyDescent="0.2">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2.75" customHeight="1" x14ac:dyDescent="0.2">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2.75" customHeight="1" x14ac:dyDescent="0.2">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2.75" customHeight="1" x14ac:dyDescent="0.2">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2.75" customHeight="1" x14ac:dyDescent="0.2">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2.75" customHeight="1" x14ac:dyDescent="0.2">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2.75" customHeight="1" x14ac:dyDescent="0.2">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2.75" customHeight="1" x14ac:dyDescent="0.2">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2.75" customHeight="1" x14ac:dyDescent="0.2">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2.75" customHeight="1" x14ac:dyDescent="0.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2.75" customHeight="1" x14ac:dyDescent="0.2">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2.75" customHeight="1" x14ac:dyDescent="0.2">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2.75" customHeight="1" x14ac:dyDescent="0.2">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2.75" customHeight="1" x14ac:dyDescent="0.2">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2.75" customHeight="1" x14ac:dyDescent="0.2">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2.75" customHeight="1" x14ac:dyDescent="0.2">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2.75" customHeight="1" x14ac:dyDescent="0.2">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2.75" customHeight="1" x14ac:dyDescent="0.2">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2.75" customHeight="1" x14ac:dyDescent="0.2">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2.75" customHeight="1" x14ac:dyDescent="0.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2.75" customHeight="1" x14ac:dyDescent="0.2">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2.75" customHeight="1" x14ac:dyDescent="0.2">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2.75" customHeight="1" x14ac:dyDescent="0.2">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2.75" customHeight="1" x14ac:dyDescent="0.2">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2.75" customHeight="1" x14ac:dyDescent="0.2">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2.75" customHeight="1" x14ac:dyDescent="0.2">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2.75" customHeight="1" x14ac:dyDescent="0.2">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2.75" customHeight="1" x14ac:dyDescent="0.2">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2.75" customHeight="1" x14ac:dyDescent="0.2">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2.75" customHeight="1" x14ac:dyDescent="0.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2.75" customHeight="1" x14ac:dyDescent="0.2">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2.75" customHeight="1" x14ac:dyDescent="0.2">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2.75" customHeight="1" x14ac:dyDescent="0.2">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2.75" customHeight="1" x14ac:dyDescent="0.2">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2.75" customHeight="1" x14ac:dyDescent="0.2">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2.75" customHeight="1" x14ac:dyDescent="0.2">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2.75" customHeight="1" x14ac:dyDescent="0.2">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2.75" customHeight="1" x14ac:dyDescent="0.2">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2.75" customHeight="1" x14ac:dyDescent="0.2">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2.75" customHeight="1" x14ac:dyDescent="0.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2.75" customHeight="1" x14ac:dyDescent="0.2">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2.75" customHeight="1" x14ac:dyDescent="0.2">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2.75" customHeight="1" x14ac:dyDescent="0.2">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2.75" customHeight="1" x14ac:dyDescent="0.2">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2.75" customHeight="1" x14ac:dyDescent="0.2">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2.75" customHeight="1" x14ac:dyDescent="0.2">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2.75" customHeight="1" x14ac:dyDescent="0.2">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2.75" customHeight="1" x14ac:dyDescent="0.2">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2.75" customHeight="1" x14ac:dyDescent="0.2">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2.75" customHeight="1" x14ac:dyDescent="0.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2.75" customHeight="1" x14ac:dyDescent="0.2">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2.75" customHeight="1" x14ac:dyDescent="0.2">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2.75" customHeight="1" x14ac:dyDescent="0.2">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2.75" customHeight="1" x14ac:dyDescent="0.2">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2.75" customHeight="1" x14ac:dyDescent="0.2">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2.75" customHeight="1" x14ac:dyDescent="0.2">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2.75" customHeight="1" x14ac:dyDescent="0.2">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2.75" customHeight="1" x14ac:dyDescent="0.2">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2.75" customHeight="1" x14ac:dyDescent="0.2">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2.75" customHeight="1" x14ac:dyDescent="0.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2.75" customHeight="1" x14ac:dyDescent="0.2">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2.75" customHeight="1" x14ac:dyDescent="0.2">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2.75" customHeight="1" x14ac:dyDescent="0.2">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2.75" customHeight="1" x14ac:dyDescent="0.2">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2.75" customHeight="1" x14ac:dyDescent="0.2">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2.75" customHeight="1" x14ac:dyDescent="0.2">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2.75" customHeight="1" x14ac:dyDescent="0.2">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2.75" customHeight="1" x14ac:dyDescent="0.2">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2.75" customHeight="1" x14ac:dyDescent="0.2">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2.75" customHeight="1" x14ac:dyDescent="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2.75" customHeight="1" x14ac:dyDescent="0.2">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2.75" customHeight="1" x14ac:dyDescent="0.2">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2.75" customHeight="1" x14ac:dyDescent="0.2">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2.75" customHeight="1" x14ac:dyDescent="0.2">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2.75" customHeight="1" x14ac:dyDescent="0.2">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2.75" customHeight="1" x14ac:dyDescent="0.2">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2.75" customHeight="1" x14ac:dyDescent="0.2">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2.75" customHeight="1" x14ac:dyDescent="0.2">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2.75" customHeight="1" x14ac:dyDescent="0.2">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2.75" customHeight="1" x14ac:dyDescent="0.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2.75" customHeight="1" x14ac:dyDescent="0.2">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2.75" customHeight="1" x14ac:dyDescent="0.2">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2.75" customHeight="1" x14ac:dyDescent="0.2">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2.75" customHeight="1" x14ac:dyDescent="0.2">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2.75" customHeight="1" x14ac:dyDescent="0.2">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2.75" customHeight="1" x14ac:dyDescent="0.2">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2.75" customHeight="1" x14ac:dyDescent="0.2">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2.75" customHeight="1" x14ac:dyDescent="0.2">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2.75" customHeight="1" x14ac:dyDescent="0.2">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2.75" customHeight="1" x14ac:dyDescent="0.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2.75" customHeight="1" x14ac:dyDescent="0.2">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2.75" customHeight="1" x14ac:dyDescent="0.2">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2.75" customHeight="1" x14ac:dyDescent="0.2">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2.75" customHeight="1" x14ac:dyDescent="0.2">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2.75" customHeight="1" x14ac:dyDescent="0.2">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2.75" customHeight="1" x14ac:dyDescent="0.2">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2.75" customHeight="1" x14ac:dyDescent="0.2">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2.75" customHeight="1" x14ac:dyDescent="0.2">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2.75" customHeight="1" x14ac:dyDescent="0.2">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2.75" customHeight="1" x14ac:dyDescent="0.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2.75" customHeight="1" x14ac:dyDescent="0.2">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2.75" customHeight="1" x14ac:dyDescent="0.2">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2.75" customHeight="1" x14ac:dyDescent="0.2">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2.75" customHeight="1" x14ac:dyDescent="0.2">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2.75" customHeight="1" x14ac:dyDescent="0.2">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2.75" customHeight="1" x14ac:dyDescent="0.2">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2.75" customHeight="1" x14ac:dyDescent="0.2">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2.75" customHeight="1" x14ac:dyDescent="0.2">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2.75" customHeight="1" x14ac:dyDescent="0.2">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2.75" customHeight="1" x14ac:dyDescent="0.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2.75" customHeight="1" x14ac:dyDescent="0.2">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2.75" customHeight="1" x14ac:dyDescent="0.2">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2.75" customHeight="1" x14ac:dyDescent="0.2">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2.75" customHeight="1" x14ac:dyDescent="0.2">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2.75" customHeight="1" x14ac:dyDescent="0.2">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2.75" customHeight="1" x14ac:dyDescent="0.2">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2.75" customHeight="1" x14ac:dyDescent="0.2">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2.75" customHeight="1" x14ac:dyDescent="0.2">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2.75" customHeight="1" x14ac:dyDescent="0.2">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2.75" customHeight="1" x14ac:dyDescent="0.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2.75" customHeight="1" x14ac:dyDescent="0.2">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2.75" customHeight="1" x14ac:dyDescent="0.2">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2.75" customHeight="1" x14ac:dyDescent="0.2">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2.75" customHeight="1" x14ac:dyDescent="0.2">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2.75" customHeight="1" x14ac:dyDescent="0.2">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2.75" customHeight="1" x14ac:dyDescent="0.2">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2.75" customHeight="1" x14ac:dyDescent="0.2">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2.75" customHeight="1" x14ac:dyDescent="0.2">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2.75" customHeight="1" x14ac:dyDescent="0.2">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2.75" customHeight="1" x14ac:dyDescent="0.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2.75" customHeight="1" x14ac:dyDescent="0.2">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2.75" customHeight="1" x14ac:dyDescent="0.2">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2.75" customHeight="1" x14ac:dyDescent="0.2">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2.75" customHeight="1" x14ac:dyDescent="0.2">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2.75" customHeight="1" x14ac:dyDescent="0.2">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2.75" customHeight="1" x14ac:dyDescent="0.2">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2.75" customHeight="1" x14ac:dyDescent="0.2">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2.75" customHeight="1" x14ac:dyDescent="0.2">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2.75" customHeight="1" x14ac:dyDescent="0.2">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2.75" customHeight="1" x14ac:dyDescent="0.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2.75" customHeight="1" x14ac:dyDescent="0.2">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2.75" customHeight="1" x14ac:dyDescent="0.2">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2.75" customHeight="1" x14ac:dyDescent="0.2">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2.75" customHeight="1" x14ac:dyDescent="0.2">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2.75" customHeight="1" x14ac:dyDescent="0.2">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2.75" customHeight="1" x14ac:dyDescent="0.2">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2.75" customHeight="1" x14ac:dyDescent="0.2">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2.75" customHeight="1" x14ac:dyDescent="0.2">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2.75" customHeight="1" x14ac:dyDescent="0.2">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2.75" customHeight="1" x14ac:dyDescent="0.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2.75" customHeight="1" x14ac:dyDescent="0.2">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2.75" customHeight="1" x14ac:dyDescent="0.2">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2.75" customHeight="1" x14ac:dyDescent="0.2">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2.75" customHeight="1" x14ac:dyDescent="0.2">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2.75" customHeight="1" x14ac:dyDescent="0.2">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2.75" customHeight="1" x14ac:dyDescent="0.2">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2.75" customHeight="1" x14ac:dyDescent="0.2">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2.75" customHeight="1" x14ac:dyDescent="0.2">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2.75" customHeight="1" x14ac:dyDescent="0.2">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2.75" customHeight="1" x14ac:dyDescent="0.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2.75" customHeight="1" x14ac:dyDescent="0.2">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2.75" customHeight="1" x14ac:dyDescent="0.2">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2.75" customHeight="1" x14ac:dyDescent="0.2">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2.75" customHeight="1" x14ac:dyDescent="0.2">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2.75" customHeight="1" x14ac:dyDescent="0.2">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2.75" customHeight="1" x14ac:dyDescent="0.2">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2.75" customHeight="1" x14ac:dyDescent="0.2">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2.75" customHeight="1" x14ac:dyDescent="0.2">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2.75" customHeight="1" x14ac:dyDescent="0.2">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2.75" customHeight="1" x14ac:dyDescent="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2.75" customHeight="1" x14ac:dyDescent="0.2">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2.75" customHeight="1" x14ac:dyDescent="0.2">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2.75" customHeight="1" x14ac:dyDescent="0.2">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2.75" customHeight="1" x14ac:dyDescent="0.2">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2.75" customHeight="1" x14ac:dyDescent="0.2">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2.75" customHeight="1" x14ac:dyDescent="0.2">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2.75" customHeight="1" x14ac:dyDescent="0.2">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2.75" customHeight="1" x14ac:dyDescent="0.2">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2.75" customHeight="1" x14ac:dyDescent="0.2">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2.75" customHeight="1" x14ac:dyDescent="0.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2.75" customHeight="1" x14ac:dyDescent="0.2">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2.75" customHeight="1" x14ac:dyDescent="0.2">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2.75" customHeight="1" x14ac:dyDescent="0.2">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2.75" customHeight="1" x14ac:dyDescent="0.2">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2.75" customHeight="1" x14ac:dyDescent="0.2">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2.75" customHeight="1" x14ac:dyDescent="0.2">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2.75" customHeight="1" x14ac:dyDescent="0.2">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2.75" customHeight="1" x14ac:dyDescent="0.2">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2.75" customHeight="1" x14ac:dyDescent="0.2">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2.75" customHeight="1" x14ac:dyDescent="0.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2.75" customHeight="1" x14ac:dyDescent="0.2">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2.75" customHeight="1" x14ac:dyDescent="0.2">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2.75" customHeight="1" x14ac:dyDescent="0.2">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2.75" customHeight="1" x14ac:dyDescent="0.2">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2.75" customHeight="1" x14ac:dyDescent="0.2">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2.75" customHeight="1" x14ac:dyDescent="0.2">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2.75" customHeight="1" x14ac:dyDescent="0.2">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2.75" customHeight="1" x14ac:dyDescent="0.2">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2.75" customHeight="1" x14ac:dyDescent="0.2">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2.75" customHeight="1" x14ac:dyDescent="0.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2.75" customHeight="1" x14ac:dyDescent="0.2">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2.75" customHeight="1" x14ac:dyDescent="0.2">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2.75" customHeight="1" x14ac:dyDescent="0.2">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2.75" customHeight="1" x14ac:dyDescent="0.2">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2.75" customHeight="1" x14ac:dyDescent="0.2">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2.75" customHeight="1" x14ac:dyDescent="0.2">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2.75" customHeight="1" x14ac:dyDescent="0.2">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2.75" customHeight="1" x14ac:dyDescent="0.2">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2.75" customHeight="1" x14ac:dyDescent="0.2">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2.75" customHeight="1" x14ac:dyDescent="0.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2.75" customHeight="1" x14ac:dyDescent="0.2">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2.75" customHeight="1" x14ac:dyDescent="0.2">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2.75" customHeight="1" x14ac:dyDescent="0.2">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2.75" customHeight="1" x14ac:dyDescent="0.2">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2.75" customHeight="1" x14ac:dyDescent="0.2">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2.75" customHeight="1" x14ac:dyDescent="0.2">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2.75" customHeight="1" x14ac:dyDescent="0.2">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2.75" customHeight="1" x14ac:dyDescent="0.2">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2.75" customHeight="1" x14ac:dyDescent="0.2">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2.75" customHeight="1" x14ac:dyDescent="0.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2.75" customHeight="1" x14ac:dyDescent="0.2">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2.75" customHeight="1" x14ac:dyDescent="0.2">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2.75" customHeight="1" x14ac:dyDescent="0.2">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2.75" customHeight="1" x14ac:dyDescent="0.2">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2.75" customHeight="1" x14ac:dyDescent="0.2">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2.75" customHeight="1" x14ac:dyDescent="0.2">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2.75" customHeight="1" x14ac:dyDescent="0.2">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2.75" customHeight="1" x14ac:dyDescent="0.2">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2.75" customHeight="1" x14ac:dyDescent="0.2">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2.75" customHeight="1" x14ac:dyDescent="0.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2.75" customHeight="1" x14ac:dyDescent="0.2">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2.75" customHeight="1" x14ac:dyDescent="0.2">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2.75" customHeight="1" x14ac:dyDescent="0.2">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2.75" customHeight="1" x14ac:dyDescent="0.2">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2.75" customHeight="1" x14ac:dyDescent="0.2">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2.75" customHeight="1" x14ac:dyDescent="0.2">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2.75" customHeight="1" x14ac:dyDescent="0.2">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2.75" customHeight="1" x14ac:dyDescent="0.2">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2.75" customHeight="1" x14ac:dyDescent="0.2">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2.75" customHeight="1" x14ac:dyDescent="0.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2.75" customHeight="1" x14ac:dyDescent="0.2">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2.75" customHeight="1" x14ac:dyDescent="0.2">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2.75" customHeight="1" x14ac:dyDescent="0.2">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2.75" customHeight="1" x14ac:dyDescent="0.2">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2.75" customHeight="1" x14ac:dyDescent="0.2">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2.75" customHeight="1" x14ac:dyDescent="0.2">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2.75" customHeight="1" x14ac:dyDescent="0.2">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2.75" customHeight="1" x14ac:dyDescent="0.2">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2.75" customHeight="1" x14ac:dyDescent="0.2">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2.75" customHeight="1" x14ac:dyDescent="0.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2.75" customHeight="1" x14ac:dyDescent="0.2">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2.75" customHeight="1" x14ac:dyDescent="0.2">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2.75" customHeight="1" x14ac:dyDescent="0.2">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2.75" customHeight="1" x14ac:dyDescent="0.2">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2.75" customHeight="1" x14ac:dyDescent="0.2">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2.75" customHeight="1" x14ac:dyDescent="0.2">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2.75" customHeight="1" x14ac:dyDescent="0.2">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2.75" customHeight="1" x14ac:dyDescent="0.2">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2.75" customHeight="1" x14ac:dyDescent="0.2">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2.75" customHeight="1" x14ac:dyDescent="0.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2.75" customHeight="1" x14ac:dyDescent="0.2">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2.75" customHeight="1" x14ac:dyDescent="0.2">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2.75" customHeight="1" x14ac:dyDescent="0.2">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2.75" customHeight="1" x14ac:dyDescent="0.2">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2.75" customHeight="1" x14ac:dyDescent="0.2">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2.75" customHeight="1" x14ac:dyDescent="0.2">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2.75" customHeight="1" x14ac:dyDescent="0.2">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2.75" customHeight="1" x14ac:dyDescent="0.2">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2.75" customHeight="1" x14ac:dyDescent="0.2">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2.75" customHeight="1" x14ac:dyDescent="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2.75" customHeight="1" x14ac:dyDescent="0.2">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2.75" customHeight="1" x14ac:dyDescent="0.2">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2.75" customHeight="1" x14ac:dyDescent="0.2">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2.75" customHeight="1" x14ac:dyDescent="0.2">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2.75" customHeight="1" x14ac:dyDescent="0.2">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2.75" customHeight="1" x14ac:dyDescent="0.2">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2.75" customHeight="1" x14ac:dyDescent="0.2">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2.75" customHeight="1" x14ac:dyDescent="0.2">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2.75" customHeight="1" x14ac:dyDescent="0.2">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2.75" customHeight="1" x14ac:dyDescent="0.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2.75" customHeight="1" x14ac:dyDescent="0.2">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2.75" customHeight="1" x14ac:dyDescent="0.2">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2.75" customHeight="1" x14ac:dyDescent="0.2">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2.75" customHeight="1" x14ac:dyDescent="0.2">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2.75" customHeight="1" x14ac:dyDescent="0.2">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2.75" customHeight="1" x14ac:dyDescent="0.2">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2.75" customHeight="1" x14ac:dyDescent="0.2">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2.75" customHeight="1" x14ac:dyDescent="0.2">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2.75" customHeight="1" x14ac:dyDescent="0.2">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2.75" customHeight="1" x14ac:dyDescent="0.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2.75" customHeight="1" x14ac:dyDescent="0.2">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2.75" customHeight="1" x14ac:dyDescent="0.2">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2.75" customHeight="1" x14ac:dyDescent="0.2">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2.75" customHeight="1" x14ac:dyDescent="0.2">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2.75" customHeight="1" x14ac:dyDescent="0.2">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2.75" customHeight="1" x14ac:dyDescent="0.2">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2.75" customHeight="1" x14ac:dyDescent="0.2">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2.75" customHeight="1" x14ac:dyDescent="0.2">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2.75" customHeight="1" x14ac:dyDescent="0.2">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2.75" customHeight="1" x14ac:dyDescent="0.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2.75" customHeight="1" x14ac:dyDescent="0.2">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2.75" customHeight="1" x14ac:dyDescent="0.2">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2.75" customHeight="1" x14ac:dyDescent="0.2">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2.75" customHeight="1" x14ac:dyDescent="0.2">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2.75" customHeight="1" x14ac:dyDescent="0.2">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2.75" customHeight="1" x14ac:dyDescent="0.2">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2.75" customHeight="1" x14ac:dyDescent="0.2">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2.75" customHeight="1" x14ac:dyDescent="0.2">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2.75" customHeight="1" x14ac:dyDescent="0.2">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2.75" customHeight="1" x14ac:dyDescent="0.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2.75" customHeight="1" x14ac:dyDescent="0.2">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2.75" customHeight="1" x14ac:dyDescent="0.2">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2.75" customHeight="1" x14ac:dyDescent="0.2">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2.75" customHeight="1" x14ac:dyDescent="0.2">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2.75" customHeight="1" x14ac:dyDescent="0.2">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2.75" customHeight="1" x14ac:dyDescent="0.2">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2.75" customHeight="1" x14ac:dyDescent="0.2">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2.75" customHeight="1" x14ac:dyDescent="0.2">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2.75" customHeight="1" x14ac:dyDescent="0.2">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2.75" customHeight="1" x14ac:dyDescent="0.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2.75" customHeight="1" x14ac:dyDescent="0.2">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2.75" customHeight="1" x14ac:dyDescent="0.2">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2.75" customHeight="1" x14ac:dyDescent="0.2">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2.75" customHeight="1" x14ac:dyDescent="0.2">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2.75" customHeight="1" x14ac:dyDescent="0.2">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2.75" customHeight="1" x14ac:dyDescent="0.2">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2.75" customHeight="1" x14ac:dyDescent="0.2">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2.75" customHeight="1" x14ac:dyDescent="0.2">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2.75" customHeight="1" x14ac:dyDescent="0.2">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2.75" customHeight="1" x14ac:dyDescent="0.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2.75" customHeight="1" x14ac:dyDescent="0.2">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2.75" customHeight="1" x14ac:dyDescent="0.2">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2.75" customHeight="1" x14ac:dyDescent="0.2">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2.75" customHeight="1" x14ac:dyDescent="0.2">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2.75" customHeight="1" x14ac:dyDescent="0.2">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2.75" customHeight="1" x14ac:dyDescent="0.2">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2.75" customHeight="1" x14ac:dyDescent="0.2">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2.75" customHeight="1" x14ac:dyDescent="0.2">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2.75" customHeight="1" x14ac:dyDescent="0.2">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2.75" customHeight="1" x14ac:dyDescent="0.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2.75" customHeight="1" x14ac:dyDescent="0.2">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2.75" customHeight="1" x14ac:dyDescent="0.2">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2.75" customHeight="1" x14ac:dyDescent="0.2">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2.75" customHeight="1" x14ac:dyDescent="0.2">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2.75" customHeight="1" x14ac:dyDescent="0.2">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2.75" customHeight="1" x14ac:dyDescent="0.2">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2.75" customHeight="1" x14ac:dyDescent="0.2">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2.75" customHeight="1" x14ac:dyDescent="0.2">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2.75" customHeight="1" x14ac:dyDescent="0.2">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2.75" customHeight="1" x14ac:dyDescent="0.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2.75" customHeight="1" x14ac:dyDescent="0.2">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2.75" customHeight="1" x14ac:dyDescent="0.2">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2.75" customHeight="1" x14ac:dyDescent="0.2">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2.75" customHeight="1" x14ac:dyDescent="0.2">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2.75" customHeight="1" x14ac:dyDescent="0.2">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2.75" customHeight="1" x14ac:dyDescent="0.2">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2.75" customHeight="1" x14ac:dyDescent="0.2">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2.75" customHeight="1" x14ac:dyDescent="0.2">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2.75" customHeight="1" x14ac:dyDescent="0.2">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2.75" customHeight="1" x14ac:dyDescent="0.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2.75" customHeight="1" x14ac:dyDescent="0.2">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2.75" customHeight="1" x14ac:dyDescent="0.2">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2.75" customHeight="1" x14ac:dyDescent="0.2">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2.75" customHeight="1" x14ac:dyDescent="0.2">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2.75" customHeight="1" x14ac:dyDescent="0.2">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2.75" customHeight="1" x14ac:dyDescent="0.2">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2.75" customHeight="1" x14ac:dyDescent="0.2">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2.75" customHeight="1" x14ac:dyDescent="0.2">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2.75" customHeight="1" x14ac:dyDescent="0.2">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2.75" customHeight="1" x14ac:dyDescent="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2.75" customHeight="1" x14ac:dyDescent="0.2">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2.75" customHeight="1" x14ac:dyDescent="0.2">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2.75" customHeight="1" x14ac:dyDescent="0.2">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2.75" customHeight="1" x14ac:dyDescent="0.2">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2.75" customHeight="1" x14ac:dyDescent="0.2">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2.75" customHeight="1" x14ac:dyDescent="0.2">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2.75" customHeight="1" x14ac:dyDescent="0.2">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2.75" customHeight="1" x14ac:dyDescent="0.2">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2.75" customHeight="1" x14ac:dyDescent="0.2">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2.75" customHeight="1" x14ac:dyDescent="0.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2.75" customHeight="1" x14ac:dyDescent="0.2">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2.75" customHeight="1" x14ac:dyDescent="0.2">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2.75" customHeight="1" x14ac:dyDescent="0.2">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2.75" customHeight="1" x14ac:dyDescent="0.2">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2.75" customHeight="1" x14ac:dyDescent="0.2">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2.75" customHeight="1" x14ac:dyDescent="0.2">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2.75" customHeight="1" x14ac:dyDescent="0.2">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2.75" customHeight="1" x14ac:dyDescent="0.2">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2.75" customHeight="1" x14ac:dyDescent="0.2">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2.75" customHeight="1" x14ac:dyDescent="0.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2.75" customHeight="1" x14ac:dyDescent="0.2">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2.75" customHeight="1" x14ac:dyDescent="0.2">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2.75" customHeight="1" x14ac:dyDescent="0.2">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2.75" customHeight="1" x14ac:dyDescent="0.2">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2.75" customHeight="1" x14ac:dyDescent="0.2">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2.75" customHeight="1" x14ac:dyDescent="0.2">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2.75" customHeight="1" x14ac:dyDescent="0.2">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2.75" customHeight="1" x14ac:dyDescent="0.2">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2.75" customHeight="1" x14ac:dyDescent="0.2">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2.75" customHeight="1" x14ac:dyDescent="0.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2.75" customHeight="1" x14ac:dyDescent="0.2">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2.75" customHeight="1" x14ac:dyDescent="0.2">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2.75" customHeight="1" x14ac:dyDescent="0.2">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2.75" customHeight="1" x14ac:dyDescent="0.2">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2.75" customHeight="1" x14ac:dyDescent="0.2">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2.75" customHeight="1" x14ac:dyDescent="0.2">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2.75" customHeight="1" x14ac:dyDescent="0.2">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2.75" customHeight="1" x14ac:dyDescent="0.2">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2.75" customHeight="1" x14ac:dyDescent="0.2">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2.75" customHeight="1" x14ac:dyDescent="0.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2.75" customHeight="1" x14ac:dyDescent="0.2">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2.75" customHeight="1" x14ac:dyDescent="0.2">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2.75" customHeight="1" x14ac:dyDescent="0.2">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2.75" customHeight="1" x14ac:dyDescent="0.2">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2.75" customHeight="1" x14ac:dyDescent="0.2">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2.75" customHeight="1" x14ac:dyDescent="0.2">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2.75" customHeight="1" x14ac:dyDescent="0.2">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2.75" customHeight="1" x14ac:dyDescent="0.2">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2.75" customHeight="1" x14ac:dyDescent="0.2">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2.75" customHeight="1" x14ac:dyDescent="0.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2.75" customHeight="1" x14ac:dyDescent="0.2">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2.75" customHeight="1" x14ac:dyDescent="0.2">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2.75" customHeight="1" x14ac:dyDescent="0.2">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2.75" customHeight="1" x14ac:dyDescent="0.2">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2.75" customHeight="1" x14ac:dyDescent="0.2">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2.75" customHeight="1" x14ac:dyDescent="0.2">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2.75" customHeight="1" x14ac:dyDescent="0.2">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2.75" customHeight="1" x14ac:dyDescent="0.2">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2.75" customHeight="1" x14ac:dyDescent="0.2">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2.75" customHeight="1" x14ac:dyDescent="0.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2.75" customHeight="1" x14ac:dyDescent="0.2">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2.75" customHeight="1" x14ac:dyDescent="0.2">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2.75" customHeight="1" x14ac:dyDescent="0.2">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2.75" customHeight="1" x14ac:dyDescent="0.2">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2.75" customHeight="1" x14ac:dyDescent="0.2">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2.75" customHeight="1" x14ac:dyDescent="0.2">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2.75" customHeight="1" x14ac:dyDescent="0.2">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2.75" customHeight="1" x14ac:dyDescent="0.2">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2.75" customHeight="1" x14ac:dyDescent="0.2">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2.75" customHeight="1" x14ac:dyDescent="0.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2.75" customHeight="1" x14ac:dyDescent="0.2">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2.75" customHeight="1" x14ac:dyDescent="0.2">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2.75" customHeight="1" x14ac:dyDescent="0.2">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2.75" customHeight="1" x14ac:dyDescent="0.2">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2.75" customHeight="1" x14ac:dyDescent="0.2">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2.75" customHeight="1" x14ac:dyDescent="0.2">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2.75" customHeight="1" x14ac:dyDescent="0.2">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2.75" customHeight="1" x14ac:dyDescent="0.2">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2.75" customHeight="1" x14ac:dyDescent="0.2">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2.75" customHeight="1" x14ac:dyDescent="0.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2.75" customHeight="1" x14ac:dyDescent="0.2">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2.75" customHeight="1" x14ac:dyDescent="0.2">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2.75" customHeight="1" x14ac:dyDescent="0.2">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2.75" customHeight="1" x14ac:dyDescent="0.2">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2.75" customHeight="1" x14ac:dyDescent="0.2">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2.75" customHeight="1" x14ac:dyDescent="0.2">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2.75" customHeight="1" x14ac:dyDescent="0.2">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2.75" customHeight="1" x14ac:dyDescent="0.2">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2.75" customHeight="1" x14ac:dyDescent="0.2">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2.75" customHeight="1" x14ac:dyDescent="0.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2.75" customHeight="1" x14ac:dyDescent="0.2">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2.75" customHeight="1" x14ac:dyDescent="0.2">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2.75" customHeight="1" x14ac:dyDescent="0.2">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2.75" customHeight="1" x14ac:dyDescent="0.2">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2.75" customHeight="1" x14ac:dyDescent="0.2">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2.75" customHeight="1" x14ac:dyDescent="0.2">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2.75" customHeight="1" x14ac:dyDescent="0.2">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2.75" customHeight="1" x14ac:dyDescent="0.2">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2.75" customHeight="1" x14ac:dyDescent="0.2">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2.75" customHeight="1" x14ac:dyDescent="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2.75" customHeight="1" x14ac:dyDescent="0.2">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2.75" customHeight="1" x14ac:dyDescent="0.2">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2.75" customHeight="1" x14ac:dyDescent="0.2">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2.75" customHeight="1" x14ac:dyDescent="0.2">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2.75" customHeight="1" x14ac:dyDescent="0.2">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2.75" customHeight="1" x14ac:dyDescent="0.2">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2.75" customHeight="1" x14ac:dyDescent="0.2">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2.75" customHeight="1" x14ac:dyDescent="0.2">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2.75" customHeight="1" x14ac:dyDescent="0.2">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2.75" customHeight="1" x14ac:dyDescent="0.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2.75" customHeight="1" x14ac:dyDescent="0.2">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2.75" customHeight="1" x14ac:dyDescent="0.2">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2.75" customHeight="1" x14ac:dyDescent="0.2">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2.75" customHeight="1" x14ac:dyDescent="0.2">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2.75" customHeight="1" x14ac:dyDescent="0.2">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2.75" customHeight="1" x14ac:dyDescent="0.2">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2.75" customHeight="1" x14ac:dyDescent="0.2">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2.75" customHeight="1" x14ac:dyDescent="0.2">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2.75" customHeight="1" x14ac:dyDescent="0.2">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2.75" customHeight="1" x14ac:dyDescent="0.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2.75" customHeight="1" x14ac:dyDescent="0.2">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2.75" customHeight="1" x14ac:dyDescent="0.2">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2.75" customHeight="1" x14ac:dyDescent="0.2">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2.75" customHeight="1" x14ac:dyDescent="0.2">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2.75" customHeight="1" x14ac:dyDescent="0.2">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2.75" customHeight="1" x14ac:dyDescent="0.2">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2.75" customHeight="1" x14ac:dyDescent="0.2">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2.75" customHeight="1" x14ac:dyDescent="0.2">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2.75" customHeight="1" x14ac:dyDescent="0.2">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2.75" customHeight="1" x14ac:dyDescent="0.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2.75" customHeight="1" x14ac:dyDescent="0.2">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2.75" customHeight="1" x14ac:dyDescent="0.2">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2.75" customHeight="1" x14ac:dyDescent="0.2">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2.75" customHeight="1" x14ac:dyDescent="0.2">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2.75" customHeight="1" x14ac:dyDescent="0.2">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2.75" customHeight="1" x14ac:dyDescent="0.2">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2.75" customHeight="1" x14ac:dyDescent="0.2">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2.75" customHeight="1" x14ac:dyDescent="0.2">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2.75" customHeight="1" x14ac:dyDescent="0.2">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2.75" customHeight="1" x14ac:dyDescent="0.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2.75" customHeight="1" x14ac:dyDescent="0.2">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2.75" customHeight="1" x14ac:dyDescent="0.2">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2.75" customHeight="1" x14ac:dyDescent="0.2">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2.75" customHeight="1" x14ac:dyDescent="0.2">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2.75" customHeight="1" x14ac:dyDescent="0.2">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2.75" customHeight="1" x14ac:dyDescent="0.2">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2.75" customHeight="1" x14ac:dyDescent="0.2">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2.75" customHeight="1" x14ac:dyDescent="0.2">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2.75" customHeight="1" x14ac:dyDescent="0.2">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2.75" customHeight="1" x14ac:dyDescent="0.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2.75" customHeight="1" x14ac:dyDescent="0.2">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2.75" customHeight="1" x14ac:dyDescent="0.2">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2.75" customHeight="1" x14ac:dyDescent="0.2">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2.75" customHeight="1" x14ac:dyDescent="0.2">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2.75" customHeight="1" x14ac:dyDescent="0.2">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2.75" customHeight="1" x14ac:dyDescent="0.2">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2.75" customHeight="1" x14ac:dyDescent="0.2">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2.75" customHeight="1" x14ac:dyDescent="0.2">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2.75" customHeight="1" x14ac:dyDescent="0.2">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2.75" customHeight="1" x14ac:dyDescent="0.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2.75" customHeight="1" x14ac:dyDescent="0.2">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2.75" customHeight="1" x14ac:dyDescent="0.2">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2.75" customHeight="1" x14ac:dyDescent="0.2">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2.75" customHeight="1" x14ac:dyDescent="0.2">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2.75" customHeight="1" x14ac:dyDescent="0.2">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2.75" customHeight="1" x14ac:dyDescent="0.2">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2.75" customHeight="1" x14ac:dyDescent="0.2">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2.75" customHeight="1" x14ac:dyDescent="0.2">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2.75" customHeight="1" x14ac:dyDescent="0.2">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2.75" customHeight="1" x14ac:dyDescent="0.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2.75" customHeight="1" x14ac:dyDescent="0.2">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2.75" customHeight="1" x14ac:dyDescent="0.2">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2.75" customHeight="1" x14ac:dyDescent="0.2">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2.75" customHeight="1" x14ac:dyDescent="0.2">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2.75" customHeight="1" x14ac:dyDescent="0.2">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2.75" customHeight="1" x14ac:dyDescent="0.2">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2.75" customHeight="1" x14ac:dyDescent="0.2">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2.75" customHeight="1" x14ac:dyDescent="0.2">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2.75" customHeight="1" x14ac:dyDescent="0.2">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2.75" customHeight="1" x14ac:dyDescent="0.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2.75" customHeight="1" x14ac:dyDescent="0.2">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2.75" customHeight="1" x14ac:dyDescent="0.2">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2.75" customHeight="1" x14ac:dyDescent="0.2">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2.75" customHeight="1" x14ac:dyDescent="0.2">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2.75" customHeight="1" x14ac:dyDescent="0.2">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2.75" customHeight="1" x14ac:dyDescent="0.2">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2.75" customHeight="1" x14ac:dyDescent="0.2">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2.75" customHeight="1" x14ac:dyDescent="0.2">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2.75" customHeight="1" x14ac:dyDescent="0.2">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2.75" customHeight="1" x14ac:dyDescent="0.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2.75" customHeight="1" x14ac:dyDescent="0.2">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2.75" customHeight="1" x14ac:dyDescent="0.2">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2.75" customHeight="1" x14ac:dyDescent="0.2">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2.75" customHeight="1" x14ac:dyDescent="0.2">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2.75" customHeight="1" x14ac:dyDescent="0.2">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2.75" customHeight="1" x14ac:dyDescent="0.2">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2.75" customHeight="1" x14ac:dyDescent="0.2">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2.75" customHeight="1" x14ac:dyDescent="0.2">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2.75" customHeight="1" x14ac:dyDescent="0.2">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2.75" customHeight="1" x14ac:dyDescent="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2.75" customHeight="1" x14ac:dyDescent="0.2">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2.75" customHeight="1" x14ac:dyDescent="0.2">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2.75" customHeight="1" x14ac:dyDescent="0.2">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2.75" customHeight="1" x14ac:dyDescent="0.2">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2.75" customHeight="1" x14ac:dyDescent="0.2">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2.75" customHeight="1" x14ac:dyDescent="0.2">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2.75" customHeight="1" x14ac:dyDescent="0.2">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2.75" customHeight="1" x14ac:dyDescent="0.2">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2.75" customHeight="1" x14ac:dyDescent="0.2">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2.75" customHeight="1" x14ac:dyDescent="0.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2.75" customHeight="1" x14ac:dyDescent="0.2">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2.75" customHeight="1" x14ac:dyDescent="0.2">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2.75" customHeight="1" x14ac:dyDescent="0.2">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2.75" customHeight="1" x14ac:dyDescent="0.2">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2.75" customHeight="1" x14ac:dyDescent="0.2">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2.75" customHeight="1" x14ac:dyDescent="0.2">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2.75" customHeight="1" x14ac:dyDescent="0.2">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2.75" customHeight="1" x14ac:dyDescent="0.2">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2.75" customHeight="1" x14ac:dyDescent="0.2">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2.75" customHeight="1" x14ac:dyDescent="0.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2.75" customHeight="1" x14ac:dyDescent="0.2">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2.75" customHeight="1" x14ac:dyDescent="0.2">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2.75" customHeight="1" x14ac:dyDescent="0.2">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2.75" customHeight="1" x14ac:dyDescent="0.2">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2.75" customHeight="1" x14ac:dyDescent="0.2">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2.75" customHeight="1" x14ac:dyDescent="0.2">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2.75" customHeight="1" x14ac:dyDescent="0.2">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2.75" customHeight="1" x14ac:dyDescent="0.2">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2.75" customHeight="1" x14ac:dyDescent="0.2">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2.75" customHeight="1" x14ac:dyDescent="0.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2.75" customHeight="1" x14ac:dyDescent="0.2">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2.75" customHeight="1" x14ac:dyDescent="0.2">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2.75" customHeight="1" x14ac:dyDescent="0.2">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2.75" customHeight="1" x14ac:dyDescent="0.2">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2.75" customHeight="1" x14ac:dyDescent="0.2">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2.75" customHeight="1" x14ac:dyDescent="0.2">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2.75" customHeight="1" x14ac:dyDescent="0.2">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2.75" customHeight="1" x14ac:dyDescent="0.2">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2.75" customHeight="1" x14ac:dyDescent="0.2">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2.75" customHeight="1" x14ac:dyDescent="0.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2.75" customHeight="1" x14ac:dyDescent="0.2">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2.75" customHeight="1" x14ac:dyDescent="0.2">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2.75" customHeight="1" x14ac:dyDescent="0.2">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2.75" customHeight="1" x14ac:dyDescent="0.2">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2.75" customHeight="1" x14ac:dyDescent="0.2">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2.75" customHeight="1" x14ac:dyDescent="0.2">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2.75" customHeight="1" x14ac:dyDescent="0.2">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2.75" customHeight="1" x14ac:dyDescent="0.2">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2.75" customHeight="1" x14ac:dyDescent="0.2">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2.75" customHeight="1" x14ac:dyDescent="0.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2.75" customHeight="1" x14ac:dyDescent="0.2">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2.75" customHeight="1" x14ac:dyDescent="0.2">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2.75" customHeight="1" x14ac:dyDescent="0.2">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2.75" customHeight="1" x14ac:dyDescent="0.2">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2.75" customHeight="1" x14ac:dyDescent="0.2">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2.75" customHeight="1" x14ac:dyDescent="0.2">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2.75" customHeight="1" x14ac:dyDescent="0.2">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2.75" customHeight="1" x14ac:dyDescent="0.2">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2.75" customHeight="1" x14ac:dyDescent="0.2">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2.75" customHeight="1" x14ac:dyDescent="0.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2.75" customHeight="1" x14ac:dyDescent="0.2">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2.75" customHeight="1" x14ac:dyDescent="0.2">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2.75" customHeight="1" x14ac:dyDescent="0.2">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2.75" customHeight="1" x14ac:dyDescent="0.2">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2.75" customHeight="1" x14ac:dyDescent="0.2">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2.75" customHeight="1" x14ac:dyDescent="0.2">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2.75" customHeight="1" x14ac:dyDescent="0.2">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2.75" customHeight="1" x14ac:dyDescent="0.2">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sheetData>
  <mergeCells count="12">
    <mergeCell ref="C21:E22"/>
    <mergeCell ref="C24:E24"/>
    <mergeCell ref="C26:E26"/>
    <mergeCell ref="C28:E28"/>
    <mergeCell ref="C18:E19"/>
    <mergeCell ref="A6:B6"/>
    <mergeCell ref="A7:B7"/>
    <mergeCell ref="B2:H2"/>
    <mergeCell ref="A4:B4"/>
    <mergeCell ref="C4:E4"/>
    <mergeCell ref="A5:B5"/>
    <mergeCell ref="C5:E5"/>
  </mergeCells>
  <pageMargins left="0.70866141732283472" right="0.70866141732283472" top="0.74803149606299213" bottom="0.74803149606299213" header="0" footer="0"/>
  <pageSetup paperSize="5" scale="8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workbookViewId="0">
      <selection activeCell="C15" sqref="C15"/>
    </sheetView>
  </sheetViews>
  <sheetFormatPr baseColWidth="10" defaultColWidth="14.42578125" defaultRowHeight="15" customHeight="1" x14ac:dyDescent="0.2"/>
  <cols>
    <col min="1" max="1" width="4.5703125" customWidth="1"/>
    <col min="2" max="2" width="25.42578125" customWidth="1"/>
    <col min="3" max="3" width="46.85546875" customWidth="1"/>
    <col min="4" max="4" width="15.5703125" customWidth="1"/>
    <col min="5" max="5" width="17.7109375" customWidth="1"/>
    <col min="6" max="6" width="13.85546875" customWidth="1"/>
    <col min="7" max="7" width="16.85546875" customWidth="1"/>
    <col min="8" max="9" width="13.140625" customWidth="1"/>
    <col min="10" max="11" width="11.42578125" customWidth="1"/>
    <col min="12" max="12" width="12.85546875" customWidth="1"/>
    <col min="13" max="26" width="11.42578125" customWidth="1"/>
  </cols>
  <sheetData>
    <row r="1" spans="1:26" ht="12.95" customHeight="1" x14ac:dyDescent="0.2">
      <c r="A1" s="116" t="s">
        <v>0</v>
      </c>
      <c r="B1" s="117"/>
      <c r="C1" s="117"/>
      <c r="D1" s="117"/>
      <c r="E1" s="117"/>
      <c r="F1" s="118"/>
      <c r="G1" s="1" t="s">
        <v>1</v>
      </c>
      <c r="H1" s="2"/>
      <c r="I1" s="2"/>
      <c r="J1" s="2"/>
      <c r="K1" s="2"/>
      <c r="L1" s="2"/>
      <c r="M1" s="2"/>
      <c r="N1" s="2"/>
      <c r="O1" s="2"/>
      <c r="P1" s="2"/>
      <c r="Q1" s="2"/>
      <c r="R1" s="2"/>
      <c r="S1" s="2"/>
      <c r="T1" s="2"/>
      <c r="U1" s="2"/>
      <c r="V1" s="2"/>
      <c r="W1" s="2"/>
      <c r="X1" s="2"/>
      <c r="Y1" s="2"/>
      <c r="Z1" s="2"/>
    </row>
    <row r="2" spans="1:26" ht="12.95" customHeight="1" x14ac:dyDescent="0.2">
      <c r="A2" s="3"/>
      <c r="B2" s="85"/>
      <c r="C2" s="85"/>
      <c r="D2" s="85"/>
      <c r="E2" s="85"/>
      <c r="F2" s="85"/>
      <c r="G2" s="86"/>
      <c r="H2" s="2"/>
      <c r="I2" s="2"/>
      <c r="J2" s="2"/>
      <c r="K2" s="2"/>
      <c r="L2" s="2"/>
      <c r="M2" s="2"/>
      <c r="N2" s="2"/>
      <c r="O2" s="2"/>
      <c r="P2" s="2"/>
      <c r="Q2" s="2"/>
      <c r="R2" s="2"/>
      <c r="S2" s="2"/>
      <c r="T2" s="2"/>
      <c r="U2" s="2"/>
      <c r="V2" s="2"/>
      <c r="W2" s="2"/>
      <c r="X2" s="2"/>
      <c r="Y2" s="2"/>
      <c r="Z2" s="2"/>
    </row>
    <row r="3" spans="1:26" ht="12.95" customHeight="1" x14ac:dyDescent="0.2">
      <c r="A3" s="119" t="s">
        <v>2</v>
      </c>
      <c r="B3" s="112"/>
      <c r="C3" s="120" t="s">
        <v>3</v>
      </c>
      <c r="D3" s="111"/>
      <c r="E3" s="111"/>
      <c r="F3" s="111"/>
      <c r="G3" s="112"/>
      <c r="H3" s="2"/>
      <c r="I3" s="2"/>
      <c r="J3" s="2"/>
      <c r="K3" s="2"/>
      <c r="L3" s="2"/>
      <c r="M3" s="2"/>
      <c r="N3" s="2"/>
      <c r="O3" s="2"/>
      <c r="P3" s="2"/>
      <c r="Q3" s="2"/>
      <c r="R3" s="2"/>
      <c r="S3" s="2"/>
      <c r="T3" s="2"/>
      <c r="U3" s="2"/>
      <c r="V3" s="2"/>
      <c r="W3" s="2"/>
      <c r="X3" s="2"/>
      <c r="Y3" s="2"/>
      <c r="Z3" s="2"/>
    </row>
    <row r="4" spans="1:26" ht="12.95" customHeight="1" x14ac:dyDescent="0.2">
      <c r="A4" s="119" t="s">
        <v>4</v>
      </c>
      <c r="B4" s="112"/>
      <c r="C4" s="121" t="s">
        <v>5</v>
      </c>
      <c r="D4" s="111"/>
      <c r="E4" s="111"/>
      <c r="F4" s="111"/>
      <c r="G4" s="112"/>
      <c r="H4" s="2"/>
      <c r="I4" s="2"/>
      <c r="J4" s="2"/>
      <c r="K4" s="2"/>
      <c r="L4" s="2"/>
      <c r="M4" s="2"/>
      <c r="N4" s="2"/>
      <c r="O4" s="2"/>
      <c r="P4" s="2"/>
      <c r="Q4" s="2"/>
      <c r="R4" s="2"/>
      <c r="S4" s="2"/>
      <c r="T4" s="2"/>
      <c r="U4" s="2"/>
      <c r="V4" s="2"/>
      <c r="W4" s="2"/>
      <c r="X4" s="2"/>
      <c r="Y4" s="2"/>
      <c r="Z4" s="2"/>
    </row>
    <row r="5" spans="1:26" ht="12.95" customHeight="1" x14ac:dyDescent="0.2">
      <c r="A5" s="119" t="s">
        <v>6</v>
      </c>
      <c r="B5" s="112"/>
      <c r="C5" s="122" t="s">
        <v>7</v>
      </c>
      <c r="D5" s="111"/>
      <c r="E5" s="111"/>
      <c r="F5" s="111"/>
      <c r="G5" s="112"/>
      <c r="H5" s="2"/>
      <c r="I5" s="2"/>
      <c r="J5" s="2"/>
      <c r="K5" s="2"/>
      <c r="L5" s="2"/>
      <c r="M5" s="2"/>
      <c r="N5" s="2"/>
      <c r="O5" s="2"/>
      <c r="P5" s="2"/>
      <c r="Q5" s="2"/>
      <c r="R5" s="2"/>
      <c r="S5" s="2"/>
      <c r="T5" s="2"/>
      <c r="U5" s="2"/>
      <c r="V5" s="2"/>
      <c r="W5" s="2"/>
      <c r="X5" s="2"/>
      <c r="Y5" s="2"/>
      <c r="Z5" s="2"/>
    </row>
    <row r="6" spans="1:26" ht="12.95" customHeight="1" x14ac:dyDescent="0.2">
      <c r="A6" s="119" t="s">
        <v>8</v>
      </c>
      <c r="B6" s="112"/>
      <c r="C6" s="121" t="s">
        <v>7</v>
      </c>
      <c r="D6" s="111"/>
      <c r="E6" s="111"/>
      <c r="F6" s="111"/>
      <c r="G6" s="112"/>
      <c r="H6" s="2"/>
      <c r="I6" s="2"/>
      <c r="J6" s="2"/>
      <c r="K6" s="2"/>
      <c r="L6" s="2"/>
      <c r="M6" s="2"/>
      <c r="N6" s="2"/>
      <c r="O6" s="2"/>
      <c r="P6" s="2"/>
      <c r="Q6" s="2"/>
      <c r="R6" s="2"/>
      <c r="S6" s="2"/>
      <c r="T6" s="2"/>
      <c r="U6" s="2"/>
      <c r="V6" s="2"/>
      <c r="W6" s="2"/>
      <c r="X6" s="2"/>
      <c r="Y6" s="2"/>
      <c r="Z6" s="2"/>
    </row>
    <row r="7" spans="1:26" ht="12.95" customHeight="1" x14ac:dyDescent="0.2">
      <c r="A7" s="119" t="s">
        <v>9</v>
      </c>
      <c r="B7" s="112"/>
      <c r="C7" s="120" t="s">
        <v>10</v>
      </c>
      <c r="D7" s="111"/>
      <c r="E7" s="111"/>
      <c r="F7" s="111"/>
      <c r="G7" s="112"/>
      <c r="H7" s="2"/>
      <c r="I7" s="2"/>
      <c r="J7" s="2"/>
      <c r="K7" s="2"/>
      <c r="L7" s="2"/>
      <c r="M7" s="2"/>
      <c r="N7" s="2"/>
      <c r="O7" s="2"/>
      <c r="P7" s="2"/>
      <c r="Q7" s="2"/>
      <c r="R7" s="2"/>
      <c r="S7" s="2"/>
      <c r="T7" s="2"/>
      <c r="U7" s="2"/>
      <c r="V7" s="2"/>
      <c r="W7" s="2"/>
      <c r="X7" s="2"/>
      <c r="Y7" s="2"/>
      <c r="Z7" s="2"/>
    </row>
    <row r="8" spans="1:26" ht="12.95" customHeight="1" x14ac:dyDescent="0.2">
      <c r="A8" s="119" t="s">
        <v>11</v>
      </c>
      <c r="B8" s="112"/>
      <c r="C8" s="120" t="s">
        <v>12</v>
      </c>
      <c r="D8" s="111"/>
      <c r="E8" s="111"/>
      <c r="F8" s="111"/>
      <c r="G8" s="112"/>
      <c r="H8" s="2"/>
      <c r="I8" s="2"/>
      <c r="J8" s="2"/>
      <c r="K8" s="2"/>
      <c r="L8" s="2"/>
      <c r="M8" s="2"/>
      <c r="N8" s="2"/>
      <c r="O8" s="2"/>
      <c r="P8" s="2"/>
      <c r="Q8" s="2"/>
      <c r="R8" s="2"/>
      <c r="S8" s="2"/>
      <c r="T8" s="2"/>
      <c r="U8" s="2"/>
      <c r="V8" s="2"/>
      <c r="W8" s="2"/>
      <c r="X8" s="2"/>
      <c r="Y8" s="2"/>
      <c r="Z8" s="2"/>
    </row>
    <row r="9" spans="1:26" ht="12" customHeight="1" x14ac:dyDescent="0.2">
      <c r="A9" s="110"/>
      <c r="B9" s="111"/>
      <c r="C9" s="111"/>
      <c r="D9" s="111"/>
      <c r="E9" s="111"/>
      <c r="F9" s="111"/>
      <c r="G9" s="112"/>
      <c r="H9" s="2"/>
      <c r="I9" s="2"/>
      <c r="J9" s="2"/>
      <c r="K9" s="2"/>
      <c r="L9" s="2"/>
      <c r="M9" s="2"/>
      <c r="N9" s="2"/>
      <c r="O9" s="2"/>
      <c r="P9" s="2"/>
      <c r="Q9" s="2"/>
      <c r="R9" s="2"/>
      <c r="S9" s="2"/>
      <c r="T9" s="2"/>
      <c r="U9" s="2"/>
      <c r="V9" s="2"/>
      <c r="W9" s="2"/>
      <c r="X9" s="2"/>
      <c r="Y9" s="2"/>
      <c r="Z9" s="2"/>
    </row>
    <row r="10" spans="1:26" ht="26.45" customHeight="1" thickBot="1" x14ac:dyDescent="0.25">
      <c r="A10" s="4" t="s">
        <v>13</v>
      </c>
      <c r="B10" s="5" t="s">
        <v>14</v>
      </c>
      <c r="C10" s="4" t="s">
        <v>15</v>
      </c>
      <c r="D10" s="6" t="s">
        <v>16</v>
      </c>
      <c r="E10" s="4" t="s">
        <v>17</v>
      </c>
      <c r="F10" s="4" t="s">
        <v>18</v>
      </c>
      <c r="G10" s="4" t="s">
        <v>19</v>
      </c>
      <c r="H10" s="2"/>
      <c r="I10" s="2"/>
      <c r="J10" s="2"/>
      <c r="K10" s="2"/>
      <c r="L10" s="2"/>
      <c r="M10" s="2"/>
      <c r="N10" s="2"/>
      <c r="O10" s="2"/>
      <c r="P10" s="2"/>
      <c r="Q10" s="2"/>
      <c r="R10" s="2"/>
      <c r="S10" s="2"/>
      <c r="T10" s="2"/>
      <c r="U10" s="2"/>
      <c r="V10" s="2"/>
      <c r="W10" s="2"/>
      <c r="X10" s="2"/>
      <c r="Y10" s="2"/>
      <c r="Z10" s="2"/>
    </row>
    <row r="11" spans="1:26" ht="28.5" customHeight="1" x14ac:dyDescent="0.25">
      <c r="A11" s="87">
        <v>1</v>
      </c>
      <c r="B11" s="88" t="s">
        <v>69</v>
      </c>
      <c r="C11" s="89" t="s">
        <v>70</v>
      </c>
      <c r="D11" s="90" t="s">
        <v>20</v>
      </c>
      <c r="E11" s="91" t="s">
        <v>21</v>
      </c>
      <c r="F11" s="92">
        <f>310*111</f>
        <v>34410</v>
      </c>
      <c r="G11" s="91">
        <v>5000</v>
      </c>
      <c r="H11" s="7">
        <f>F11*G11</f>
        <v>172050000</v>
      </c>
      <c r="I11" s="8"/>
      <c r="J11" s="2"/>
      <c r="K11" s="2"/>
      <c r="L11" s="2"/>
      <c r="M11" s="2"/>
      <c r="N11" s="2"/>
      <c r="O11" s="2"/>
      <c r="P11" s="2"/>
      <c r="Q11" s="2"/>
      <c r="R11" s="2"/>
      <c r="S11" s="2"/>
      <c r="T11" s="2"/>
      <c r="U11" s="2"/>
      <c r="V11" s="2"/>
      <c r="W11" s="2"/>
      <c r="X11" s="2"/>
      <c r="Y11" s="2"/>
      <c r="Z11" s="2"/>
    </row>
    <row r="12" spans="1:26" ht="12" customHeight="1" x14ac:dyDescent="0.25">
      <c r="A12" s="93"/>
      <c r="B12" s="88"/>
      <c r="C12" s="94"/>
      <c r="D12" s="90"/>
      <c r="E12" s="95"/>
      <c r="F12" s="96"/>
      <c r="G12" s="97"/>
      <c r="H12" s="7"/>
      <c r="I12" s="8"/>
      <c r="J12" s="2"/>
      <c r="K12" s="2"/>
      <c r="L12" s="2"/>
      <c r="M12" s="2"/>
      <c r="N12" s="2"/>
      <c r="O12" s="2"/>
      <c r="P12" s="2"/>
      <c r="Q12" s="2"/>
      <c r="R12" s="2"/>
      <c r="S12" s="2"/>
      <c r="T12" s="2"/>
      <c r="U12" s="2"/>
      <c r="V12" s="2"/>
      <c r="W12" s="2"/>
      <c r="X12" s="2"/>
      <c r="Y12" s="2"/>
      <c r="Z12" s="2"/>
    </row>
    <row r="13" spans="1:26" ht="18.95" customHeight="1" x14ac:dyDescent="0.2">
      <c r="A13" s="113" t="s">
        <v>22</v>
      </c>
      <c r="B13" s="114"/>
      <c r="C13" s="114"/>
      <c r="D13" s="114"/>
      <c r="E13" s="114"/>
      <c r="F13" s="115"/>
      <c r="G13" s="98">
        <f>SUM(H11)</f>
        <v>172050000</v>
      </c>
      <c r="H13" s="2"/>
      <c r="I13" s="2"/>
      <c r="J13" s="2"/>
      <c r="K13" s="9"/>
      <c r="L13" s="10"/>
      <c r="M13" s="2"/>
      <c r="N13" s="2"/>
      <c r="O13" s="2"/>
      <c r="P13" s="2"/>
      <c r="Q13" s="2"/>
      <c r="R13" s="2"/>
      <c r="S13" s="2"/>
      <c r="T13" s="2"/>
      <c r="U13" s="2"/>
      <c r="V13" s="2"/>
      <c r="W13" s="2"/>
      <c r="X13" s="2"/>
      <c r="Y13" s="2"/>
      <c r="Z13" s="2"/>
    </row>
    <row r="14" spans="1:26" ht="12"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15">
    <mergeCell ref="A9:G9"/>
    <mergeCell ref="A13:F13"/>
    <mergeCell ref="A1:F1"/>
    <mergeCell ref="A3:B3"/>
    <mergeCell ref="C3:G3"/>
    <mergeCell ref="A4:B4"/>
    <mergeCell ref="C4:G4"/>
    <mergeCell ref="A5:B5"/>
    <mergeCell ref="C5:G5"/>
    <mergeCell ref="A6:B6"/>
    <mergeCell ref="C6:G6"/>
    <mergeCell ref="A7:B7"/>
    <mergeCell ref="C7:G7"/>
    <mergeCell ref="A8:B8"/>
    <mergeCell ref="C8:G8"/>
  </mergeCells>
  <pageMargins left="0.7" right="0.7" top="0.75" bottom="0.75"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 workbookViewId="0">
      <selection activeCell="N15" sqref="N15"/>
    </sheetView>
  </sheetViews>
  <sheetFormatPr baseColWidth="10" defaultColWidth="14.42578125" defaultRowHeight="15" customHeight="1" x14ac:dyDescent="0.2"/>
  <cols>
    <col min="1" max="1" width="3.140625" customWidth="1"/>
    <col min="2" max="2" width="3.42578125" customWidth="1"/>
    <col min="3" max="4" width="3.5703125" customWidth="1"/>
    <col min="5" max="5" width="3.42578125" customWidth="1"/>
    <col min="6" max="6" width="11.5703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 min="18" max="26" width="11.42578125" customWidth="1"/>
  </cols>
  <sheetData>
    <row r="1" spans="1:26" ht="12" customHeight="1" x14ac:dyDescent="0.25">
      <c r="A1" s="163" t="s">
        <v>23</v>
      </c>
      <c r="B1" s="150"/>
      <c r="C1" s="150"/>
      <c r="D1" s="164">
        <v>2022</v>
      </c>
      <c r="E1" s="151"/>
      <c r="F1" s="11"/>
      <c r="G1" s="11"/>
      <c r="H1" s="12"/>
      <c r="I1" s="12"/>
      <c r="J1" s="12"/>
      <c r="K1" s="12"/>
      <c r="L1" s="12"/>
      <c r="M1" s="12"/>
      <c r="N1" s="12"/>
      <c r="O1" s="13"/>
      <c r="P1" s="165" t="s">
        <v>24</v>
      </c>
      <c r="Q1" s="166"/>
      <c r="R1" s="2"/>
      <c r="S1" s="2"/>
      <c r="T1" s="2"/>
      <c r="U1" s="2"/>
      <c r="V1" s="2"/>
      <c r="W1" s="2"/>
      <c r="X1" s="2"/>
      <c r="Y1" s="2"/>
      <c r="Z1" s="2"/>
    </row>
    <row r="2" spans="1:26" ht="12" customHeight="1" x14ac:dyDescent="0.25">
      <c r="A2" s="14"/>
      <c r="B2" s="15"/>
      <c r="C2" s="15"/>
      <c r="D2" s="15"/>
      <c r="E2" s="15"/>
      <c r="F2" s="15"/>
      <c r="G2" s="16"/>
      <c r="H2" s="17"/>
      <c r="I2" s="17"/>
      <c r="J2" s="17"/>
      <c r="K2" s="17"/>
      <c r="L2" s="17"/>
      <c r="M2" s="17"/>
      <c r="N2" s="17"/>
      <c r="O2" s="15"/>
      <c r="P2" s="167"/>
      <c r="Q2" s="168"/>
      <c r="R2" s="2"/>
      <c r="S2" s="2"/>
      <c r="T2" s="2"/>
      <c r="U2" s="2"/>
      <c r="V2" s="2"/>
      <c r="W2" s="2"/>
      <c r="X2" s="2"/>
      <c r="Y2" s="2"/>
      <c r="Z2" s="2"/>
    </row>
    <row r="3" spans="1:26" ht="12" customHeight="1" x14ac:dyDescent="0.25">
      <c r="A3" s="14"/>
      <c r="B3" s="15"/>
      <c r="C3" s="15"/>
      <c r="D3" s="15"/>
      <c r="E3" s="15"/>
      <c r="F3" s="15"/>
      <c r="G3" s="16"/>
      <c r="H3" s="15"/>
      <c r="I3" s="15"/>
      <c r="J3" s="15"/>
      <c r="K3" s="15"/>
      <c r="L3" s="15"/>
      <c r="M3" s="15"/>
      <c r="N3" s="15"/>
      <c r="O3" s="15"/>
      <c r="P3" s="15"/>
      <c r="Q3" s="18"/>
      <c r="R3" s="2"/>
      <c r="S3" s="2"/>
      <c r="T3" s="2"/>
      <c r="U3" s="2"/>
      <c r="V3" s="2"/>
      <c r="W3" s="2"/>
      <c r="X3" s="2"/>
      <c r="Y3" s="2"/>
      <c r="Z3" s="2"/>
    </row>
    <row r="4" spans="1:26" ht="12" customHeight="1" x14ac:dyDescent="0.25">
      <c r="A4" s="169" t="s">
        <v>25</v>
      </c>
      <c r="B4" s="131"/>
      <c r="C4" s="131"/>
      <c r="D4" s="131"/>
      <c r="E4" s="131"/>
      <c r="F4" s="132"/>
      <c r="G4" s="159" t="s">
        <v>3</v>
      </c>
      <c r="H4" s="131"/>
      <c r="I4" s="131"/>
      <c r="J4" s="131"/>
      <c r="K4" s="131"/>
      <c r="L4" s="131"/>
      <c r="M4" s="131"/>
      <c r="N4" s="131"/>
      <c r="O4" s="131"/>
      <c r="P4" s="131"/>
      <c r="Q4" s="154"/>
      <c r="R4" s="2"/>
      <c r="S4" s="2"/>
      <c r="T4" s="2"/>
      <c r="U4" s="2"/>
      <c r="V4" s="2"/>
      <c r="W4" s="2"/>
      <c r="X4" s="2"/>
      <c r="Y4" s="2"/>
      <c r="Z4" s="2"/>
    </row>
    <row r="5" spans="1:26" ht="12" customHeight="1" x14ac:dyDescent="0.25">
      <c r="A5" s="158" t="s">
        <v>4</v>
      </c>
      <c r="B5" s="131"/>
      <c r="C5" s="131"/>
      <c r="D5" s="131"/>
      <c r="E5" s="131"/>
      <c r="F5" s="132"/>
      <c r="G5" s="159" t="s">
        <v>5</v>
      </c>
      <c r="H5" s="131"/>
      <c r="I5" s="131"/>
      <c r="J5" s="131"/>
      <c r="K5" s="131"/>
      <c r="L5" s="131"/>
      <c r="M5" s="131"/>
      <c r="N5" s="131"/>
      <c r="O5" s="131"/>
      <c r="P5" s="131"/>
      <c r="Q5" s="154"/>
      <c r="R5" s="2"/>
      <c r="S5" s="2"/>
      <c r="T5" s="2"/>
      <c r="U5" s="2"/>
      <c r="V5" s="2"/>
      <c r="W5" s="2"/>
      <c r="X5" s="2"/>
      <c r="Y5" s="2"/>
      <c r="Z5" s="2"/>
    </row>
    <row r="6" spans="1:26" ht="12" customHeight="1" x14ac:dyDescent="0.25">
      <c r="A6" s="160" t="s">
        <v>6</v>
      </c>
      <c r="B6" s="131"/>
      <c r="C6" s="131"/>
      <c r="D6" s="131"/>
      <c r="E6" s="131"/>
      <c r="F6" s="132"/>
      <c r="G6" s="161" t="s">
        <v>7</v>
      </c>
      <c r="H6" s="131"/>
      <c r="I6" s="131"/>
      <c r="J6" s="131"/>
      <c r="K6" s="131"/>
      <c r="L6" s="131"/>
      <c r="M6" s="131"/>
      <c r="N6" s="131"/>
      <c r="O6" s="131"/>
      <c r="P6" s="131"/>
      <c r="Q6" s="154"/>
      <c r="R6" s="2"/>
      <c r="S6" s="2"/>
      <c r="T6" s="2"/>
      <c r="U6" s="2"/>
      <c r="V6" s="2"/>
      <c r="W6" s="2"/>
      <c r="X6" s="2"/>
      <c r="Y6" s="2"/>
      <c r="Z6" s="2"/>
    </row>
    <row r="7" spans="1:26" ht="12" customHeight="1" x14ac:dyDescent="0.25">
      <c r="A7" s="162" t="s">
        <v>8</v>
      </c>
      <c r="B7" s="131"/>
      <c r="C7" s="131"/>
      <c r="D7" s="131"/>
      <c r="E7" s="131"/>
      <c r="F7" s="132"/>
      <c r="G7" s="159" t="s">
        <v>7</v>
      </c>
      <c r="H7" s="131"/>
      <c r="I7" s="131"/>
      <c r="J7" s="131"/>
      <c r="K7" s="131"/>
      <c r="L7" s="131"/>
      <c r="M7" s="131"/>
      <c r="N7" s="131"/>
      <c r="O7" s="131"/>
      <c r="P7" s="131"/>
      <c r="Q7" s="154"/>
      <c r="R7" s="2"/>
      <c r="S7" s="2"/>
      <c r="T7" s="2"/>
      <c r="U7" s="2"/>
      <c r="V7" s="2"/>
      <c r="W7" s="2"/>
      <c r="X7" s="2"/>
      <c r="Y7" s="2"/>
      <c r="Z7" s="2"/>
    </row>
    <row r="8" spans="1:26" ht="12" customHeight="1" x14ac:dyDescent="0.2">
      <c r="A8" s="153" t="s">
        <v>26</v>
      </c>
      <c r="B8" s="131"/>
      <c r="C8" s="131"/>
      <c r="D8" s="131"/>
      <c r="E8" s="131"/>
      <c r="F8" s="131"/>
      <c r="G8" s="131"/>
      <c r="H8" s="131"/>
      <c r="I8" s="131"/>
      <c r="J8" s="131"/>
      <c r="K8" s="131"/>
      <c r="L8" s="131"/>
      <c r="M8" s="131"/>
      <c r="N8" s="131"/>
      <c r="O8" s="131"/>
      <c r="P8" s="131"/>
      <c r="Q8" s="154"/>
      <c r="R8" s="2"/>
      <c r="S8" s="2"/>
      <c r="T8" s="2"/>
      <c r="U8" s="2"/>
      <c r="V8" s="2"/>
      <c r="W8" s="2"/>
      <c r="X8" s="2"/>
      <c r="Y8" s="2"/>
      <c r="Z8" s="2"/>
    </row>
    <row r="9" spans="1:26" ht="17.25" customHeight="1" x14ac:dyDescent="0.25">
      <c r="A9" s="155" t="s">
        <v>27</v>
      </c>
      <c r="B9" s="128"/>
      <c r="C9" s="128"/>
      <c r="D9" s="128"/>
      <c r="E9" s="128"/>
      <c r="F9" s="128"/>
      <c r="G9" s="128"/>
      <c r="H9" s="128"/>
      <c r="I9" s="128"/>
      <c r="J9" s="128"/>
      <c r="K9" s="128"/>
      <c r="L9" s="128"/>
      <c r="M9" s="128"/>
      <c r="N9" s="128"/>
      <c r="O9" s="128"/>
      <c r="P9" s="128"/>
      <c r="Q9" s="129"/>
      <c r="R9" s="2"/>
      <c r="S9" s="2"/>
      <c r="T9" s="2"/>
      <c r="U9" s="2"/>
      <c r="V9" s="2"/>
      <c r="W9" s="2"/>
      <c r="X9" s="2"/>
      <c r="Y9" s="2"/>
      <c r="Z9" s="2"/>
    </row>
    <row r="10" spans="1:26" ht="48" customHeight="1" x14ac:dyDescent="0.2">
      <c r="A10" s="156" t="s">
        <v>28</v>
      </c>
      <c r="B10" s="102"/>
      <c r="C10" s="102"/>
      <c r="D10" s="102"/>
      <c r="E10" s="102"/>
      <c r="F10" s="102"/>
      <c r="G10" s="102"/>
      <c r="H10" s="102"/>
      <c r="I10" s="102"/>
      <c r="J10" s="102"/>
      <c r="K10" s="102"/>
      <c r="L10" s="102"/>
      <c r="M10" s="102"/>
      <c r="N10" s="102"/>
      <c r="O10" s="102"/>
      <c r="P10" s="102"/>
      <c r="Q10" s="106"/>
      <c r="R10" s="2"/>
      <c r="S10" s="2"/>
      <c r="T10" s="2"/>
      <c r="U10" s="2"/>
      <c r="V10" s="2"/>
      <c r="W10" s="2"/>
      <c r="X10" s="2"/>
      <c r="Y10" s="2"/>
      <c r="Z10" s="2"/>
    </row>
    <row r="11" spans="1:26" ht="12" customHeight="1" x14ac:dyDescent="0.25">
      <c r="A11" s="19"/>
      <c r="B11" s="20"/>
      <c r="C11" s="20"/>
      <c r="D11" s="20"/>
      <c r="E11" s="20"/>
      <c r="F11" s="20"/>
      <c r="G11" s="21"/>
      <c r="H11" s="20"/>
      <c r="I11" s="20"/>
      <c r="J11" s="20"/>
      <c r="K11" s="20"/>
      <c r="L11" s="20"/>
      <c r="M11" s="20"/>
      <c r="N11" s="20"/>
      <c r="O11" s="20"/>
      <c r="P11" s="20"/>
      <c r="Q11" s="22"/>
      <c r="R11" s="2"/>
      <c r="S11" s="2"/>
      <c r="T11" s="2"/>
      <c r="U11" s="2"/>
      <c r="V11" s="2"/>
      <c r="W11" s="2"/>
      <c r="X11" s="2"/>
      <c r="Y11" s="2"/>
      <c r="Z11" s="2"/>
    </row>
    <row r="12" spans="1:26" ht="12" customHeight="1" x14ac:dyDescent="0.2">
      <c r="A12" s="127" t="s">
        <v>29</v>
      </c>
      <c r="B12" s="128"/>
      <c r="C12" s="128"/>
      <c r="D12" s="128"/>
      <c r="E12" s="128"/>
      <c r="F12" s="128"/>
      <c r="G12" s="128"/>
      <c r="H12" s="128"/>
      <c r="I12" s="128"/>
      <c r="J12" s="128"/>
      <c r="K12" s="128"/>
      <c r="L12" s="128"/>
      <c r="M12" s="128"/>
      <c r="N12" s="128"/>
      <c r="O12" s="128"/>
      <c r="P12" s="128"/>
      <c r="Q12" s="129"/>
      <c r="R12" s="2"/>
      <c r="S12" s="2"/>
      <c r="T12" s="2"/>
      <c r="U12" s="2"/>
      <c r="V12" s="2"/>
      <c r="W12" s="2"/>
      <c r="X12" s="2"/>
      <c r="Y12" s="2"/>
      <c r="Z12" s="2"/>
    </row>
    <row r="13" spans="1:26" ht="12" customHeight="1" x14ac:dyDescent="0.2">
      <c r="A13" s="130" t="s">
        <v>30</v>
      </c>
      <c r="B13" s="131"/>
      <c r="C13" s="131"/>
      <c r="D13" s="131"/>
      <c r="E13" s="131"/>
      <c r="F13" s="131"/>
      <c r="G13" s="131"/>
      <c r="H13" s="131"/>
      <c r="I13" s="131"/>
      <c r="J13" s="131"/>
      <c r="K13" s="131"/>
      <c r="L13" s="131"/>
      <c r="M13" s="131"/>
      <c r="N13" s="132"/>
      <c r="O13" s="133" t="s">
        <v>31</v>
      </c>
      <c r="P13" s="134"/>
      <c r="Q13" s="137" t="s">
        <v>32</v>
      </c>
      <c r="R13" s="2"/>
      <c r="S13" s="2"/>
      <c r="T13" s="2"/>
      <c r="U13" s="2"/>
      <c r="V13" s="2"/>
      <c r="W13" s="2"/>
      <c r="X13" s="2"/>
      <c r="Y13" s="2"/>
      <c r="Z13" s="2"/>
    </row>
    <row r="14" spans="1:26" ht="25.5" customHeight="1" x14ac:dyDescent="0.2">
      <c r="A14" s="23" t="s">
        <v>33</v>
      </c>
      <c r="B14" s="24" t="s">
        <v>34</v>
      </c>
      <c r="C14" s="24" t="s">
        <v>35</v>
      </c>
      <c r="D14" s="24" t="s">
        <v>36</v>
      </c>
      <c r="E14" s="24" t="s">
        <v>37</v>
      </c>
      <c r="F14" s="24" t="s">
        <v>38</v>
      </c>
      <c r="G14" s="24" t="s">
        <v>39</v>
      </c>
      <c r="H14" s="24" t="s">
        <v>40</v>
      </c>
      <c r="I14" s="24" t="s">
        <v>41</v>
      </c>
      <c r="J14" s="24" t="s">
        <v>42</v>
      </c>
      <c r="K14" s="24" t="s">
        <v>42</v>
      </c>
      <c r="L14" s="24" t="s">
        <v>43</v>
      </c>
      <c r="M14" s="25" t="s">
        <v>44</v>
      </c>
      <c r="N14" s="26" t="s">
        <v>45</v>
      </c>
      <c r="O14" s="135"/>
      <c r="P14" s="136"/>
      <c r="Q14" s="106"/>
      <c r="R14" s="2"/>
      <c r="S14" s="2"/>
      <c r="T14" s="2"/>
      <c r="U14" s="2"/>
      <c r="V14" s="2"/>
      <c r="W14" s="2"/>
      <c r="X14" s="2"/>
      <c r="Y14" s="2"/>
      <c r="Z14" s="2"/>
    </row>
    <row r="15" spans="1:26" ht="25.5" customHeight="1" x14ac:dyDescent="0.2">
      <c r="A15" s="27">
        <v>1</v>
      </c>
      <c r="B15" s="28">
        <v>0</v>
      </c>
      <c r="C15" s="28">
        <v>0</v>
      </c>
      <c r="D15" s="28">
        <v>1</v>
      </c>
      <c r="E15" s="28">
        <v>0</v>
      </c>
      <c r="F15" s="28">
        <v>4901</v>
      </c>
      <c r="G15" s="100">
        <v>3</v>
      </c>
      <c r="H15" s="100">
        <v>4</v>
      </c>
      <c r="I15" s="29">
        <v>4</v>
      </c>
      <c r="J15" s="29">
        <v>3</v>
      </c>
      <c r="K15" s="29">
        <v>6</v>
      </c>
      <c r="L15" s="29">
        <v>0</v>
      </c>
      <c r="M15" s="30">
        <v>1</v>
      </c>
      <c r="N15" s="31">
        <v>44713</v>
      </c>
      <c r="O15" s="138" t="s">
        <v>46</v>
      </c>
      <c r="P15" s="139"/>
      <c r="Q15" s="32">
        <f>NP!G13</f>
        <v>172050000</v>
      </c>
      <c r="R15" s="2"/>
      <c r="S15" s="2"/>
      <c r="T15" s="2"/>
      <c r="U15" s="2"/>
      <c r="V15" s="2"/>
      <c r="W15" s="2"/>
      <c r="X15" s="2"/>
      <c r="Y15" s="2"/>
      <c r="Z15" s="2"/>
    </row>
    <row r="16" spans="1:26" ht="12" customHeight="1" x14ac:dyDescent="0.2">
      <c r="A16" s="33"/>
      <c r="B16" s="34"/>
      <c r="C16" s="34"/>
      <c r="D16" s="34"/>
      <c r="E16" s="34"/>
      <c r="F16" s="28"/>
      <c r="G16" s="34"/>
      <c r="H16" s="34"/>
      <c r="I16" s="34"/>
      <c r="J16" s="34"/>
      <c r="K16" s="34"/>
      <c r="L16" s="34"/>
      <c r="M16" s="35"/>
      <c r="N16" s="36"/>
      <c r="O16" s="140"/>
      <c r="P16" s="141"/>
      <c r="Q16" s="37"/>
      <c r="R16" s="2"/>
      <c r="S16" s="2"/>
      <c r="T16" s="2"/>
      <c r="U16" s="2"/>
      <c r="V16" s="2"/>
      <c r="W16" s="2"/>
      <c r="X16" s="2"/>
      <c r="Y16" s="2"/>
      <c r="Z16" s="2"/>
    </row>
    <row r="17" spans="1:26" ht="12" customHeight="1" x14ac:dyDescent="0.25">
      <c r="A17" s="38"/>
      <c r="B17" s="39"/>
      <c r="C17" s="39"/>
      <c r="D17" s="39"/>
      <c r="E17" s="39"/>
      <c r="F17" s="39"/>
      <c r="G17" s="39"/>
      <c r="H17" s="39"/>
      <c r="I17" s="39"/>
      <c r="J17" s="39"/>
      <c r="K17" s="39"/>
      <c r="L17" s="39"/>
      <c r="M17" s="40"/>
      <c r="N17" s="41"/>
      <c r="O17" s="142"/>
      <c r="P17" s="141"/>
      <c r="Q17" s="42"/>
      <c r="R17" s="2"/>
      <c r="S17" s="2"/>
      <c r="T17" s="2"/>
      <c r="U17" s="2"/>
      <c r="V17" s="2"/>
      <c r="W17" s="2"/>
      <c r="X17" s="2"/>
      <c r="Y17" s="2"/>
      <c r="Z17" s="2"/>
    </row>
    <row r="18" spans="1:26" ht="12" customHeight="1" x14ac:dyDescent="0.2">
      <c r="A18" s="38"/>
      <c r="B18" s="39"/>
      <c r="C18" s="39"/>
      <c r="D18" s="39"/>
      <c r="E18" s="39"/>
      <c r="F18" s="39"/>
      <c r="G18" s="39"/>
      <c r="H18" s="39"/>
      <c r="I18" s="39"/>
      <c r="J18" s="39"/>
      <c r="K18" s="39"/>
      <c r="L18" s="39"/>
      <c r="M18" s="40"/>
      <c r="N18" s="41"/>
      <c r="O18" s="157"/>
      <c r="P18" s="141"/>
      <c r="Q18" s="42"/>
      <c r="R18" s="2"/>
      <c r="S18" s="2"/>
      <c r="T18" s="2"/>
      <c r="U18" s="2"/>
      <c r="V18" s="2"/>
      <c r="W18" s="2"/>
      <c r="X18" s="2"/>
      <c r="Y18" s="2"/>
      <c r="Z18" s="2"/>
    </row>
    <row r="19" spans="1:26" ht="12" customHeight="1" x14ac:dyDescent="0.2">
      <c r="A19" s="38"/>
      <c r="B19" s="39"/>
      <c r="C19" s="39"/>
      <c r="D19" s="39"/>
      <c r="E19" s="39"/>
      <c r="F19" s="39"/>
      <c r="G19" s="39"/>
      <c r="H19" s="39"/>
      <c r="I19" s="39"/>
      <c r="J19" s="39"/>
      <c r="K19" s="39"/>
      <c r="L19" s="39"/>
      <c r="M19" s="40"/>
      <c r="N19" s="41"/>
      <c r="O19" s="157"/>
      <c r="P19" s="141"/>
      <c r="Q19" s="42"/>
      <c r="R19" s="2"/>
      <c r="S19" s="2"/>
      <c r="T19" s="2"/>
      <c r="U19" s="2"/>
      <c r="V19" s="2"/>
      <c r="W19" s="2"/>
      <c r="X19" s="2"/>
      <c r="Y19" s="2"/>
      <c r="Z19" s="2"/>
    </row>
    <row r="20" spans="1:26" ht="12" customHeight="1" x14ac:dyDescent="0.2">
      <c r="A20" s="43"/>
      <c r="B20" s="44"/>
      <c r="C20" s="44"/>
      <c r="D20" s="44"/>
      <c r="E20" s="44"/>
      <c r="F20" s="44"/>
      <c r="G20" s="44"/>
      <c r="H20" s="44"/>
      <c r="I20" s="44"/>
      <c r="J20" s="44"/>
      <c r="K20" s="44"/>
      <c r="L20" s="44"/>
      <c r="M20" s="45"/>
      <c r="N20" s="44"/>
      <c r="O20" s="143"/>
      <c r="P20" s="144"/>
      <c r="Q20" s="46"/>
      <c r="R20" s="2"/>
      <c r="S20" s="2"/>
      <c r="T20" s="2"/>
      <c r="U20" s="2"/>
      <c r="V20" s="2"/>
      <c r="W20" s="2"/>
      <c r="X20" s="2"/>
      <c r="Y20" s="2"/>
      <c r="Z20" s="2"/>
    </row>
    <row r="21" spans="1:26" ht="12" customHeight="1" x14ac:dyDescent="0.2">
      <c r="A21" s="145" t="s">
        <v>47</v>
      </c>
      <c r="B21" s="146"/>
      <c r="C21" s="146"/>
      <c r="D21" s="146"/>
      <c r="E21" s="146"/>
      <c r="F21" s="146"/>
      <c r="G21" s="146"/>
      <c r="H21" s="146"/>
      <c r="I21" s="146"/>
      <c r="J21" s="146"/>
      <c r="K21" s="146"/>
      <c r="L21" s="146"/>
      <c r="M21" s="146"/>
      <c r="N21" s="146"/>
      <c r="O21" s="146"/>
      <c r="P21" s="147"/>
      <c r="Q21" s="47">
        <f>SUM(Q15:Q20)</f>
        <v>172050000</v>
      </c>
      <c r="R21" s="2"/>
      <c r="S21" s="2"/>
      <c r="T21" s="2"/>
      <c r="U21" s="2"/>
      <c r="V21" s="2"/>
      <c r="W21" s="2"/>
      <c r="X21" s="2"/>
      <c r="Y21" s="2"/>
      <c r="Z21" s="2"/>
    </row>
    <row r="22" spans="1:26" ht="12" customHeight="1" x14ac:dyDescent="0.2">
      <c r="A22" s="148"/>
      <c r="B22" s="128"/>
      <c r="C22" s="128"/>
      <c r="D22" s="128"/>
      <c r="E22" s="128"/>
      <c r="F22" s="128"/>
      <c r="G22" s="128"/>
      <c r="H22" s="128"/>
      <c r="I22" s="128"/>
      <c r="J22" s="128"/>
      <c r="K22" s="128"/>
      <c r="L22" s="128"/>
      <c r="M22" s="128"/>
      <c r="N22" s="128"/>
      <c r="O22" s="128"/>
      <c r="P22" s="128"/>
      <c r="Q22" s="129"/>
      <c r="R22" s="2"/>
      <c r="S22" s="2"/>
      <c r="T22" s="2"/>
      <c r="U22" s="2"/>
      <c r="V22" s="2"/>
      <c r="W22" s="2"/>
      <c r="X22" s="2"/>
      <c r="Y22" s="2"/>
      <c r="Z22" s="2"/>
    </row>
    <row r="23" spans="1:26" ht="12" customHeight="1" x14ac:dyDescent="0.2">
      <c r="A23" s="149" t="s">
        <v>48</v>
      </c>
      <c r="B23" s="150"/>
      <c r="C23" s="150"/>
      <c r="D23" s="150"/>
      <c r="E23" s="150"/>
      <c r="F23" s="151"/>
      <c r="G23" s="152"/>
      <c r="H23" s="128"/>
      <c r="I23" s="128"/>
      <c r="J23" s="128"/>
      <c r="K23" s="128"/>
      <c r="L23" s="128"/>
      <c r="M23" s="128"/>
      <c r="N23" s="128"/>
      <c r="O23" s="128"/>
      <c r="P23" s="128"/>
      <c r="Q23" s="129"/>
      <c r="R23" s="2"/>
      <c r="S23" s="2"/>
      <c r="T23" s="2"/>
      <c r="U23" s="2"/>
      <c r="V23" s="2"/>
      <c r="W23" s="2"/>
      <c r="X23" s="2"/>
      <c r="Y23" s="2"/>
      <c r="Z23" s="2"/>
    </row>
    <row r="24" spans="1:26" ht="12" customHeight="1" x14ac:dyDescent="0.2">
      <c r="A24" s="123" t="s">
        <v>49</v>
      </c>
      <c r="B24" s="102"/>
      <c r="C24" s="102"/>
      <c r="D24" s="102"/>
      <c r="E24" s="102"/>
      <c r="F24" s="102"/>
      <c r="G24" s="102"/>
      <c r="H24" s="102"/>
      <c r="I24" s="102"/>
      <c r="J24" s="102"/>
      <c r="K24" s="102"/>
      <c r="L24" s="102"/>
      <c r="M24" s="102"/>
      <c r="N24" s="102"/>
      <c r="O24" s="102"/>
      <c r="P24" s="102"/>
      <c r="Q24" s="106"/>
      <c r="R24" s="2"/>
      <c r="S24" s="2"/>
      <c r="T24" s="2"/>
      <c r="U24" s="2"/>
      <c r="V24" s="2"/>
      <c r="W24" s="2"/>
      <c r="X24" s="2"/>
      <c r="Y24" s="2"/>
      <c r="Z24" s="2"/>
    </row>
    <row r="25" spans="1:26" ht="12" customHeight="1" x14ac:dyDescent="0.2">
      <c r="A25" s="124"/>
      <c r="B25" s="125"/>
      <c r="C25" s="125"/>
      <c r="D25" s="125"/>
      <c r="E25" s="125"/>
      <c r="F25" s="125"/>
      <c r="G25" s="125"/>
      <c r="H25" s="125"/>
      <c r="I25" s="125"/>
      <c r="J25" s="125"/>
      <c r="K25" s="125"/>
      <c r="L25" s="125"/>
      <c r="M25" s="125"/>
      <c r="N25" s="125"/>
      <c r="O25" s="125"/>
      <c r="P25" s="125"/>
      <c r="Q25" s="126"/>
      <c r="R25" s="2"/>
      <c r="S25" s="2"/>
      <c r="T25" s="2"/>
      <c r="U25" s="2"/>
      <c r="V25" s="2"/>
      <c r="W25" s="2"/>
      <c r="X25" s="2"/>
      <c r="Y25" s="2"/>
      <c r="Z25" s="2"/>
    </row>
    <row r="26" spans="1:26" ht="12"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9">
    <mergeCell ref="A1:C1"/>
    <mergeCell ref="D1:E1"/>
    <mergeCell ref="P1:Q2"/>
    <mergeCell ref="A4:F4"/>
    <mergeCell ref="G4:Q4"/>
    <mergeCell ref="A5:F5"/>
    <mergeCell ref="G5:Q5"/>
    <mergeCell ref="A6:F6"/>
    <mergeCell ref="G6:Q6"/>
    <mergeCell ref="A7:F7"/>
    <mergeCell ref="G7:Q7"/>
    <mergeCell ref="A8:Q8"/>
    <mergeCell ref="A9:Q9"/>
    <mergeCell ref="A10:Q10"/>
    <mergeCell ref="O18:P18"/>
    <mergeCell ref="O19:P19"/>
    <mergeCell ref="A24:Q25"/>
    <mergeCell ref="A12:Q12"/>
    <mergeCell ref="A13:N13"/>
    <mergeCell ref="O13:P14"/>
    <mergeCell ref="Q13:Q14"/>
    <mergeCell ref="O15:P15"/>
    <mergeCell ref="O16:P16"/>
    <mergeCell ref="O17:P17"/>
    <mergeCell ref="O20:P20"/>
    <mergeCell ref="A21:P21"/>
    <mergeCell ref="A22:Q22"/>
    <mergeCell ref="A23:F23"/>
    <mergeCell ref="G23:Q23"/>
  </mergeCells>
  <pageMargins left="0.7" right="0.7" top="0.75" bottom="0.75" header="0" footer="0"/>
  <pageSetup paperSize="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dcterms:created xsi:type="dcterms:W3CDTF">2020-07-17T23:44:49Z</dcterms:created>
  <dcterms:modified xsi:type="dcterms:W3CDTF">2022-02-17T14:06:56Z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