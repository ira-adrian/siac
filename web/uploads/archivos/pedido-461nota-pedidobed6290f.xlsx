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20" yWindow="-120" windowWidth="29040" windowHeight="15840"/>
  </bookViews>
  <sheets>
    <sheet name="SAF 011 - NECESIDAD TRIMESTRAL" sheetId="1" r:id="rId1"/>
    <sheet name="NP" sheetId="2" r:id="rId2"/>
    <sheet name="APG" sheetId="3" r:id="rId3"/>
  </sheets>
  <definedNames>
    <definedName name="_xlnm._FilterDatabase" localSheetId="0" hidden="1">'SAF 011 - NECESIDAD TRIMESTRAL'!$A$9:$BB$14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W10" i="1" l="1"/>
  <c r="AW11" i="1"/>
  <c r="AW12" i="1"/>
  <c r="AW13" i="1"/>
  <c r="C41" i="1" l="1"/>
  <c r="C38" i="1"/>
  <c r="C35" i="1"/>
  <c r="C32" i="1"/>
  <c r="A41" i="3" l="1"/>
  <c r="G7" i="3"/>
  <c r="G6" i="3"/>
  <c r="G5" i="3"/>
  <c r="G4" i="3"/>
  <c r="K15" i="2"/>
  <c r="J15" i="2"/>
  <c r="I15" i="2"/>
  <c r="C15" i="2"/>
  <c r="B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AY13" i="1"/>
  <c r="AV13" i="1"/>
  <c r="AY12" i="1"/>
  <c r="AV12" i="1"/>
  <c r="AY11" i="1"/>
  <c r="AV11" i="1"/>
  <c r="AY10" i="1"/>
  <c r="AV10" i="1"/>
  <c r="AY14" i="1" l="1"/>
  <c r="J17" i="2"/>
  <c r="Q15" i="3" s="1"/>
  <c r="Q38" i="3" s="1"/>
</calcChain>
</file>

<file path=xl/sharedStrings.xml><?xml version="1.0" encoding="utf-8"?>
<sst xmlns="http://schemas.openxmlformats.org/spreadsheetml/2006/main" count="164" uniqueCount="142">
  <si>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</si>
  <si>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</si>
  <si>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</si>
  <si>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</si>
  <si>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</si>
  <si>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</si>
  <si>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</si>
  <si>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</si>
  <si>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</si>
  <si>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</si>
  <si>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</si>
  <si>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</si>
  <si>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</si>
  <si>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</si>
  <si>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</si>
  <si>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</si>
  <si>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</si>
  <si>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</si>
  <si>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</si>
  <si>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</si>
  <si>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</si>
  <si>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</si>
  <si>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</si>
  <si>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</si>
  <si>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</si>
  <si>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</si>
  <si>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</si>
  <si>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</si>
  <si>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</si>
  <si>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</si>
  <si>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</si>
  <si>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</si>
  <si>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</si>
  <si>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</si>
  <si>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</si>
  <si>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</si>
  <si>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</si>
  <si>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</si>
  <si>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</si>
  <si>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</si>
  <si>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</si>
  <si>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CRONICAS</t>
  </si>
  <si>
    <t>TOTAL CRONICAS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</si>
  <si>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</si>
  <si>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</si>
  <si>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</si>
  <si>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</si>
  <si>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</si>
  <si>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</si>
  <si>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</si>
  <si>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</si>
  <si>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EPIDEMIOLOGIA</t>
  </si>
  <si>
    <t>TOTAL EPIDEMIOLOGIA</t>
  </si>
  <si>
    <t>MS</t>
  </si>
  <si>
    <t>TOTAL MS</t>
  </si>
  <si>
    <t>CANTIDAD TOTAL</t>
  </si>
  <si>
    <t>PRECIO UNITARIO ESTIMADO</t>
  </si>
  <si>
    <t xml:space="preserve">IMPORTE TOTAL ESTIMADO </t>
  </si>
  <si>
    <t>ESPECIFICACION TECNICA</t>
  </si>
  <si>
    <t>IPP</t>
  </si>
  <si>
    <t>RUBRO S/CATALOGO</t>
  </si>
  <si>
    <t>PROD. MEDICO/FARMACEUTICOS/LAB</t>
  </si>
  <si>
    <t>4.3.3</t>
  </si>
  <si>
    <t>UNIDAD</t>
  </si>
  <si>
    <t>4.3.3-1719.21</t>
  </si>
  <si>
    <t>EQUIPOS</t>
  </si>
  <si>
    <t>CAMILLAS; ANCHO: 50 Cm, LARGO: 200 Cm, ALTO: 75 Cm, ARNESES: SIN, TIPO: EXAMEN</t>
  </si>
  <si>
    <t>4.3.3-1719.14</t>
  </si>
  <si>
    <t>CAMILLAS; ANCHO: 55 Cm, LARGO: 180 Cm, ALTO: 70 Cm, ARNESES: SIN VALOR, TIPO: GINECOLOGICA</t>
  </si>
  <si>
    <t>4.3.3-7797.2</t>
  </si>
  <si>
    <t>FOTOSFOROS; TIPO: RODANTE, USO: MEDICO</t>
  </si>
  <si>
    <t>4.3.3-1711.9</t>
  </si>
  <si>
    <t>SILLAS DE RUEDAS; ANCHO: 61 Cm, APOYABRAZO: DESMONTABLE, PIERNERA: DESMONTABLE, FRENO: CON, MATERIAL: METALICA CROMADA</t>
  </si>
  <si>
    <t>TOTAL RUBRO EQUIPOS</t>
  </si>
  <si>
    <t>ESPECIFICADES Y DETALLE TECNICO:</t>
  </si>
  <si>
    <t>Plazos de entrega:</t>
  </si>
  <si>
    <t>Lugar de Entrega:</t>
  </si>
  <si>
    <t>MINISTERIO DE SALUD - CHACABUCO N° 169 - en el horario de 8:00hs a 12:00hs de lunes a viernes</t>
  </si>
  <si>
    <t>Calidad Minima esperada:</t>
  </si>
  <si>
    <t>Mantenimiento:</t>
  </si>
  <si>
    <t>cuarenta y cinco (45) días</t>
  </si>
  <si>
    <t>ESPECIFICIDADES ITEM 2</t>
  </si>
  <si>
    <t>ESPECIFICIDADES ITEM 3</t>
  </si>
  <si>
    <t>ESPECIFICIDADES ITEM 4</t>
  </si>
  <si>
    <t>NOTA DE PEDIDO</t>
  </si>
  <si>
    <t>N°</t>
  </si>
  <si>
    <t xml:space="preserve">JURISDICCIÓN: </t>
  </si>
  <si>
    <t>SAF:</t>
  </si>
  <si>
    <t>011 - DIRECCION PROVINCIAL DE ADMINISTRACION DEL MINISTERIO DE SALUD</t>
  </si>
  <si>
    <t>UNIDAD EJECUTORA:</t>
  </si>
  <si>
    <t>352 - MINISTERIO DE SALUD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</si>
  <si>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</si>
  <si>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</si>
  <si>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</si>
  <si>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</si>
  <si>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</si>
  <si>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</si>
  <si>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</si>
  <si>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</si>
  <si>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</si>
  <si>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</si>
  <si>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</si>
  <si>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</si>
  <si>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</si>
  <si>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u/>
        <sz val="10"/>
        <rFont val="Arial"/>
        <family val="2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</si>
  <si>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</si>
  <si>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</si>
  <si>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</si>
  <si>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</si>
  <si>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</si>
  <si>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</si>
  <si>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</si>
  <si>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</si>
  <si>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</si>
  <si>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</si>
  <si>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</si>
  <si>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</si>
  <si>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</si>
  <si>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</si>
  <si>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</si>
  <si>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</si>
  <si>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</si>
  <si>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</si>
  <si>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</si>
  <si>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EQUIPOS SANITARIOS Y DE LABORATORIO</t>
  </si>
  <si>
    <t>JUSTIFICACIÓN:</t>
  </si>
  <si>
    <t xml:space="preserve">Construido de caño de hierro cromado. Sólido y liviano, con secciones y espesores que soporten los esfuerzos a los que habitualmente están sometidos. Cabezal de iluminación pintado con pintura Epoxi. Integrado aproximadamente por 4 Leds de alta intensidad con mínima emisión de calor. Altura y ángulo de iluminación regulables a través de una articulación con freno a perilla. Tecla de encendido y cables normalizados. Base plástica de 5 ramas en estrella de 50 cm. con 5 ruedas giratorias duales. Altura aproximada: 140 mm  </t>
  </si>
  <si>
    <t>Garantia:</t>
  </si>
  <si>
    <t>veinte (20) dias habiles</t>
  </si>
  <si>
    <t>TERCERO</t>
  </si>
  <si>
    <t>ESPECIFICIDADES ITEM 1</t>
  </si>
  <si>
    <t>Estructura de caño de 25 x 25, esmaltado en Epoxi. Reforzada, 4 patas fijas con refuerzo perimetral, tapizado en cuerina de gran espesor. Que soporte hasta 150 kg.</t>
  </si>
  <si>
    <t>De tres planos, con estribos cromados y cajon, acolchado en cuero vinilico lavable. Estructura en caño fuerte de 3 cm de diámetro, con tratamiento epoxi, estribos removibles y con cabecera y piernera regulables manualmente. Bandeja debajo del cuerpo central de 20x20cm medidas mínimas. Sin arneses.</t>
  </si>
  <si>
    <t>Acero cromada, peso 100 kg , pedanas y apoya brazos desmontables. Respaldo/asiento: cuerina gruesa. -Ancho asiento-respaldo abierto: 61 cm; -Ancho cerrado: 28 cm aprox. Ruedas de goma maciza. Cantidad de ruedas: 4.</t>
  </si>
  <si>
    <t>* ADJUNTAR FOLLETERIA, MANUALES Y/O CUALQUIER OTRA DOCUMENTACION QUE EL PROVEEDOR ESTIME NECESARIO PARA ACLARAR EL BIEN COTIZADO</t>
  </si>
  <si>
    <t>3er TRIMESTRE 2022</t>
  </si>
  <si>
    <t>minima de un (1) año</t>
  </si>
  <si>
    <t>DESIERTOS Y FRACASADOS DE EQUIPOS SANITARIOS Y DE LABORATORIO CON DESTINO A HOSPITALES DE LA PROVINCIA</t>
  </si>
  <si>
    <t>XX/2022</t>
  </si>
  <si>
    <t>Costo total estimado: PESOS CUATRO MILLONES OCHOCIENTOS SESENTA Y CUATRO MIL CON 00/100.-</t>
  </si>
  <si>
    <t>Autorizo la realización de los  trámites correspondientes, a fin de proveer a  este Organismo los bienes, servicios o ejecución de obras públicas que se detallan en Nota  de Pedido N° XX/2022 , afectando la erogación resultante a los créditos presupuestarios aprobados a favor de esta Unidad Ejecutora, conforme al siguiente detalle:</t>
  </si>
  <si>
    <t>TOTAL DE PESOS: CUATRO MILLONES OCHOCIENTOS SESENTA Y CUATRO MIL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</si>
</sst>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\ #,##0.00"/>
    <numFmt numFmtId="165" formatCode="_-[$$-2C0A]\ * #,##0.00_-;\-[$$-2C0A]\ * #,##0.00_-;_-[$$-2C0A]\ * &quot;-&quot;??_-;_-@"/>
    <numFmt numFmtId="166" formatCode="[$$-2C0A]\ #,##0.00"/>
    <numFmt numFmtId="167" formatCode="dd\-mm\-yy"/>
  </numFmts>
  <fonts count="36" x14ac:knownFonts="1">
    <font>
      <sz val="11"/>
      <color rgb="FF000000"/>
      <name val="Calibri"/>
    </font>
    <font>
      <sz val="10"/>
      <name val="Times New Roman"/>
      <family val="1"/>
    </font>
    <font>
      <b/>
      <sz val="14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b/>
      <sz val="11"/>
      <color rgb="FF00000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color rgb="FF000000"/>
      <name val="Calibri"/>
      <family val="2"/>
    </font>
    <font>
      <b/>
      <u/>
      <sz val="24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Calibri"/>
      <family val="2"/>
    </font>
    <font>
      <sz val="11"/>
      <name val="Calibri"/>
      <family val="2"/>
    </font>
    <font>
      <b/>
      <sz val="10"/>
      <color rgb="FF000000"/>
      <name val="Times New Roman"/>
      <family val="1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3D3D3D"/>
      </bottom>
      <diagonal/>
    </border>
    <border>
      <left style="medium">
        <color rgb="FF000000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000000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000000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/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000000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000000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 style="medium">
        <color rgb="FF3D3D3D"/>
      </top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000000"/>
      </right>
      <top/>
      <bottom style="medium">
        <color rgb="FF3D3D3D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7">
    <xf numFmtId="0" fontId="0" fillId="0" borderId="0" xfId="0" applyFont="1" applyAlignment="1"/>
    <xf numFmtId="3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3" fontId="10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0" xfId="0" applyFont="1"/>
    <xf numFmtId="0" fontId="11" fillId="0" borderId="18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0" fillId="0" borderId="19" xfId="0" applyFont="1" applyBorder="1" applyAlignment="1">
      <alignment horizontal="left" vertical="center" wrapText="1"/>
    </xf>
    <xf numFmtId="0" fontId="0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/>
    <xf numFmtId="0" fontId="0" fillId="0" borderId="0" xfId="0" applyFont="1" applyAlignment="1">
      <alignment horizontal="left" vertical="center" wrapText="1"/>
    </xf>
    <xf numFmtId="0" fontId="0" fillId="0" borderId="0" xfId="0" applyFont="1"/>
    <xf numFmtId="165" fontId="15" fillId="0" borderId="29" xfId="0" applyNumberFormat="1" applyFont="1" applyBorder="1" applyAlignment="1">
      <alignment horizontal="right" vertical="center"/>
    </xf>
    <xf numFmtId="0" fontId="17" fillId="0" borderId="31" xfId="0" applyFont="1" applyBorder="1" applyAlignment="1">
      <alignment vertical="center"/>
    </xf>
    <xf numFmtId="0" fontId="18" fillId="0" borderId="32" xfId="0" applyFont="1" applyBorder="1" applyAlignment="1">
      <alignment horizontal="center" vertical="center"/>
    </xf>
    <xf numFmtId="0" fontId="19" fillId="0" borderId="32" xfId="0" applyFont="1" applyBorder="1" applyAlignment="1">
      <alignment vertical="center"/>
    </xf>
    <xf numFmtId="0" fontId="20" fillId="0" borderId="0" xfId="0" applyFont="1" applyAlignment="1">
      <alignment vertical="center"/>
    </xf>
    <xf numFmtId="165" fontId="21" fillId="0" borderId="0" xfId="0" applyNumberFormat="1" applyFont="1" applyAlignment="1">
      <alignment vertical="center"/>
    </xf>
    <xf numFmtId="0" fontId="22" fillId="0" borderId="19" xfId="0" applyFont="1" applyBorder="1" applyAlignment="1">
      <alignment vertical="center"/>
    </xf>
    <xf numFmtId="0" fontId="16" fillId="0" borderId="35" xfId="0" applyFont="1" applyBorder="1" applyAlignment="1">
      <alignment vertical="center"/>
    </xf>
    <xf numFmtId="0" fontId="16" fillId="0" borderId="36" xfId="0" applyFont="1" applyBorder="1" applyAlignment="1">
      <alignment vertical="center"/>
    </xf>
    <xf numFmtId="165" fontId="16" fillId="0" borderId="36" xfId="0" applyNumberFormat="1" applyFont="1" applyBorder="1" applyAlignment="1">
      <alignment vertical="center"/>
    </xf>
    <xf numFmtId="0" fontId="16" fillId="0" borderId="37" xfId="0" applyFont="1" applyBorder="1" applyAlignment="1">
      <alignment vertical="center"/>
    </xf>
    <xf numFmtId="0" fontId="16" fillId="0" borderId="41" xfId="0" applyFont="1" applyBorder="1" applyAlignment="1">
      <alignment vertical="center"/>
    </xf>
    <xf numFmtId="0" fontId="23" fillId="0" borderId="18" xfId="0" applyFont="1" applyBorder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165" fontId="16" fillId="0" borderId="0" xfId="0" applyNumberFormat="1" applyFont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25" fillId="0" borderId="46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165" fontId="25" fillId="0" borderId="1" xfId="0" applyNumberFormat="1" applyFont="1" applyBorder="1" applyAlignment="1">
      <alignment horizontal="center" vertical="center" wrapText="1"/>
    </xf>
    <xf numFmtId="3" fontId="25" fillId="0" borderId="47" xfId="0" applyNumberFormat="1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 wrapText="1"/>
    </xf>
    <xf numFmtId="165" fontId="25" fillId="0" borderId="11" xfId="0" applyNumberFormat="1" applyFont="1" applyBorder="1" applyAlignment="1">
      <alignment horizontal="center" vertical="center" wrapText="1"/>
    </xf>
    <xf numFmtId="3" fontId="25" fillId="0" borderId="5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165" fontId="0" fillId="0" borderId="0" xfId="0" applyNumberFormat="1" applyFont="1"/>
    <xf numFmtId="3" fontId="26" fillId="0" borderId="16" xfId="0" applyNumberFormat="1" applyFont="1" applyBorder="1"/>
    <xf numFmtId="167" fontId="0" fillId="0" borderId="16" xfId="0" applyNumberFormat="1" applyFont="1" applyBorder="1" applyAlignment="1">
      <alignment horizontal="left"/>
    </xf>
    <xf numFmtId="0" fontId="0" fillId="0" borderId="16" xfId="0" applyFont="1" applyBorder="1"/>
    <xf numFmtId="0" fontId="0" fillId="0" borderId="18" xfId="0" applyFont="1" applyBorder="1"/>
    <xf numFmtId="0" fontId="0" fillId="0" borderId="0" xfId="0" applyFont="1" applyAlignment="1">
      <alignment horizontal="left"/>
    </xf>
    <xf numFmtId="167" fontId="0" fillId="0" borderId="0" xfId="0" applyNumberFormat="1" applyFont="1" applyAlignment="1">
      <alignment horizontal="left"/>
    </xf>
    <xf numFmtId="165" fontId="0" fillId="0" borderId="19" xfId="0" applyNumberFormat="1" applyFont="1" applyBorder="1"/>
    <xf numFmtId="0" fontId="0" fillId="0" borderId="31" xfId="0" applyFont="1" applyBorder="1"/>
    <xf numFmtId="0" fontId="0" fillId="0" borderId="32" xfId="0" applyFont="1" applyBorder="1"/>
    <xf numFmtId="0" fontId="0" fillId="0" borderId="32" xfId="0" applyFont="1" applyBorder="1" applyAlignment="1">
      <alignment horizontal="left"/>
    </xf>
    <xf numFmtId="165" fontId="0" fillId="0" borderId="53" xfId="0" applyNumberFormat="1" applyFont="1" applyBorder="1"/>
    <xf numFmtId="0" fontId="31" fillId="0" borderId="60" xfId="0" applyFont="1" applyBorder="1" applyAlignment="1">
      <alignment horizontal="center" vertical="center"/>
    </xf>
    <xf numFmtId="0" fontId="31" fillId="0" borderId="61" xfId="0" applyFont="1" applyBorder="1" applyAlignment="1">
      <alignment horizontal="center" vertical="center"/>
    </xf>
    <xf numFmtId="0" fontId="31" fillId="0" borderId="61" xfId="0" applyFont="1" applyBorder="1" applyAlignment="1">
      <alignment horizontal="left" vertical="center"/>
    </xf>
    <xf numFmtId="0" fontId="31" fillId="0" borderId="6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0" fillId="0" borderId="63" xfId="0" applyFont="1" applyBorder="1" applyAlignment="1">
      <alignment horizontal="center" vertical="center"/>
    </xf>
    <xf numFmtId="0" fontId="0" fillId="0" borderId="64" xfId="0" applyFont="1" applyBorder="1" applyAlignment="1">
      <alignment horizontal="center" vertical="center"/>
    </xf>
    <xf numFmtId="0" fontId="0" fillId="0" borderId="65" xfId="0" applyFont="1" applyBorder="1" applyAlignment="1">
      <alignment horizontal="center" vertical="center"/>
    </xf>
    <xf numFmtId="165" fontId="0" fillId="0" borderId="67" xfId="0" applyNumberFormat="1" applyFont="1" applyBorder="1" applyAlignment="1">
      <alignment horizontal="center" vertical="center"/>
    </xf>
    <xf numFmtId="0" fontId="0" fillId="0" borderId="68" xfId="0" applyFont="1" applyBorder="1" applyAlignment="1">
      <alignment horizontal="center" vertical="center"/>
    </xf>
    <xf numFmtId="0" fontId="0" fillId="0" borderId="69" xfId="0" applyFont="1" applyBorder="1" applyAlignment="1">
      <alignment horizontal="center" vertical="center"/>
    </xf>
    <xf numFmtId="0" fontId="0" fillId="0" borderId="70" xfId="0" applyFont="1" applyBorder="1" applyAlignment="1">
      <alignment horizontal="center" vertical="center"/>
    </xf>
    <xf numFmtId="0" fontId="0" fillId="0" borderId="71" xfId="0" applyFont="1" applyBorder="1" applyAlignment="1">
      <alignment horizontal="center" vertical="center"/>
    </xf>
    <xf numFmtId="165" fontId="0" fillId="0" borderId="74" xfId="0" applyNumberFormat="1" applyFont="1" applyBorder="1" applyAlignment="1">
      <alignment horizontal="center" vertical="center"/>
    </xf>
    <xf numFmtId="0" fontId="29" fillId="0" borderId="68" xfId="0" applyFont="1" applyBorder="1" applyAlignment="1">
      <alignment horizontal="center" vertical="center"/>
    </xf>
    <xf numFmtId="0" fontId="29" fillId="0" borderId="69" xfId="0" applyFont="1" applyBorder="1" applyAlignment="1">
      <alignment horizontal="center" vertical="center"/>
    </xf>
    <xf numFmtId="0" fontId="29" fillId="0" borderId="70" xfId="0" applyFont="1" applyBorder="1" applyAlignment="1">
      <alignment horizontal="center" vertical="center"/>
    </xf>
    <xf numFmtId="0" fontId="29" fillId="0" borderId="71" xfId="0" applyFont="1" applyBorder="1" applyAlignment="1">
      <alignment horizontal="center" vertical="center"/>
    </xf>
    <xf numFmtId="0" fontId="0" fillId="0" borderId="75" xfId="0" applyFont="1" applyBorder="1" applyAlignment="1">
      <alignment horizontal="center" vertical="center"/>
    </xf>
    <xf numFmtId="0" fontId="0" fillId="0" borderId="76" xfId="0" applyFont="1" applyBorder="1" applyAlignment="1">
      <alignment horizontal="center" vertical="center"/>
    </xf>
    <xf numFmtId="0" fontId="0" fillId="0" borderId="77" xfId="0" applyFont="1" applyBorder="1" applyAlignment="1">
      <alignment horizontal="center" vertical="center"/>
    </xf>
    <xf numFmtId="165" fontId="0" fillId="0" borderId="79" xfId="0" applyNumberFormat="1" applyFont="1" applyBorder="1" applyAlignment="1">
      <alignment horizontal="center" vertical="center"/>
    </xf>
    <xf numFmtId="165" fontId="31" fillId="0" borderId="8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9" xfId="0" applyFont="1" applyBorder="1"/>
    <xf numFmtId="0" fontId="0" fillId="0" borderId="0" xfId="0" applyFont="1" applyAlignment="1"/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vertical="center"/>
    </xf>
    <xf numFmtId="165" fontId="7" fillId="0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Fill="1" applyBorder="1" applyAlignment="1">
      <alignment horizontal="right" vertical="center" wrapText="1"/>
    </xf>
    <xf numFmtId="165" fontId="7" fillId="0" borderId="1" xfId="0" applyNumberFormat="1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33" fillId="0" borderId="18" xfId="0" applyFont="1" applyBorder="1" applyAlignment="1">
      <alignment horizontal="center" vertical="center" wrapText="1"/>
    </xf>
    <xf numFmtId="0" fontId="34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1" fontId="3" fillId="0" borderId="3" xfId="0" applyNumberFormat="1" applyFont="1" applyFill="1" applyBorder="1" applyAlignment="1">
      <alignment horizontal="center" vertical="center" wrapText="1"/>
    </xf>
    <xf numFmtId="164" fontId="3" fillId="0" borderId="3" xfId="0" applyNumberFormat="1" applyFont="1" applyFill="1" applyBorder="1" applyAlignment="1">
      <alignment horizontal="center" vertical="center" wrapText="1"/>
    </xf>
    <xf numFmtId="3" fontId="3" fillId="0" borderId="3" xfId="0" applyNumberFormat="1" applyFont="1" applyFill="1" applyBorder="1" applyAlignment="1">
      <alignment horizontal="center" vertical="center" wrapText="1"/>
    </xf>
    <xf numFmtId="165" fontId="3" fillId="0" borderId="3" xfId="0" applyNumberFormat="1" applyFont="1" applyFill="1" applyBorder="1" applyAlignment="1">
      <alignment horizontal="center" vertical="center" wrapText="1"/>
    </xf>
    <xf numFmtId="165" fontId="5" fillId="0" borderId="3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7" fillId="0" borderId="6" xfId="0" applyFont="1" applyFill="1" applyBorder="1" applyAlignment="1">
      <alignment horizontal="center" vertical="center"/>
    </xf>
    <xf numFmtId="165" fontId="7" fillId="0" borderId="7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8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center" vertical="center"/>
    </xf>
    <xf numFmtId="3" fontId="9" fillId="0" borderId="3" xfId="0" applyNumberFormat="1" applyFont="1" applyFill="1" applyBorder="1" applyAlignment="1">
      <alignment horizontal="center" vertical="center"/>
    </xf>
    <xf numFmtId="165" fontId="9" fillId="0" borderId="3" xfId="0" applyNumberFormat="1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 vertical="center"/>
    </xf>
    <xf numFmtId="3" fontId="7" fillId="0" borderId="12" xfId="0" applyNumberFormat="1" applyFont="1" applyFill="1" applyBorder="1" applyAlignment="1">
      <alignment horizontal="center" vertical="center" wrapText="1"/>
    </xf>
    <xf numFmtId="165" fontId="9" fillId="0" borderId="13" xfId="0" applyNumberFormat="1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vertical="center" wrapText="1"/>
    </xf>
    <xf numFmtId="0" fontId="9" fillId="0" borderId="0" xfId="0" applyFont="1" applyFill="1"/>
    <xf numFmtId="0" fontId="7" fillId="0" borderId="83" xfId="0" applyFont="1" applyFill="1" applyBorder="1" applyAlignment="1">
      <alignment horizontal="center" vertical="center"/>
    </xf>
    <xf numFmtId="0" fontId="7" fillId="0" borderId="84" xfId="0" applyFont="1" applyFill="1" applyBorder="1" applyAlignment="1">
      <alignment vertical="center" wrapText="1"/>
    </xf>
    <xf numFmtId="0" fontId="32" fillId="0" borderId="84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/>
    <xf numFmtId="3" fontId="7" fillId="0" borderId="11" xfId="0" applyNumberFormat="1" applyFont="1" applyFill="1" applyBorder="1" applyAlignment="1">
      <alignment horizontal="center" vertical="center" wrapText="1"/>
    </xf>
    <xf numFmtId="165" fontId="7" fillId="0" borderId="11" xfId="0" applyNumberFormat="1" applyFont="1" applyFill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/>
    </xf>
    <xf numFmtId="0" fontId="25" fillId="0" borderId="85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 wrapText="1"/>
    </xf>
    <xf numFmtId="165" fontId="25" fillId="0" borderId="8" xfId="0" applyNumberFormat="1" applyFont="1" applyBorder="1" applyAlignment="1">
      <alignment horizontal="center" vertical="center" wrapText="1"/>
    </xf>
    <xf numFmtId="3" fontId="25" fillId="0" borderId="89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/>
    <xf numFmtId="0" fontId="11" fillId="0" borderId="0" xfId="0" applyFont="1" applyAlignment="1">
      <alignment horizontal="center" vertical="center" wrapText="1"/>
    </xf>
    <xf numFmtId="0" fontId="12" fillId="0" borderId="19" xfId="0" applyFont="1" applyBorder="1"/>
    <xf numFmtId="0" fontId="11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35" fillId="0" borderId="15" xfId="0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33" fillId="0" borderId="19" xfId="0" applyFont="1" applyBorder="1" applyAlignment="1">
      <alignment horizontal="left" vertical="center"/>
    </xf>
    <xf numFmtId="0" fontId="35" fillId="0" borderId="18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center" vertical="center" wrapText="1"/>
    </xf>
    <xf numFmtId="0" fontId="35" fillId="0" borderId="1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12" fillId="0" borderId="24" xfId="0" applyFont="1" applyBorder="1" applyAlignment="1">
      <alignment wrapText="1"/>
    </xf>
    <xf numFmtId="0" fontId="12" fillId="0" borderId="25" xfId="0" applyFont="1" applyBorder="1" applyAlignment="1">
      <alignment wrapText="1"/>
    </xf>
    <xf numFmtId="0" fontId="7" fillId="0" borderId="26" xfId="0" applyFont="1" applyBorder="1" applyAlignment="1">
      <alignment horizontal="left" vertical="center" wrapText="1"/>
    </xf>
    <xf numFmtId="0" fontId="12" fillId="0" borderId="27" xfId="0" applyFont="1" applyBorder="1" applyAlignment="1">
      <alignment wrapText="1"/>
    </xf>
    <xf numFmtId="0" fontId="12" fillId="0" borderId="28" xfId="0" applyFont="1" applyBorder="1" applyAlignment="1">
      <alignment wrapText="1"/>
    </xf>
    <xf numFmtId="0" fontId="0" fillId="0" borderId="21" xfId="0" applyFont="1" applyBorder="1" applyAlignment="1">
      <alignment horizontal="center" vertical="center"/>
    </xf>
    <xf numFmtId="0" fontId="12" fillId="0" borderId="22" xfId="0" applyFont="1" applyBorder="1"/>
    <xf numFmtId="0" fontId="24" fillId="0" borderId="90" xfId="0" applyFont="1" applyBorder="1" applyAlignment="1">
      <alignment horizontal="center" vertical="center"/>
    </xf>
    <xf numFmtId="0" fontId="12" fillId="0" borderId="96" xfId="0" applyFont="1" applyBorder="1"/>
    <xf numFmtId="0" fontId="23" fillId="0" borderId="33" xfId="0" applyFont="1" applyBorder="1" applyAlignment="1">
      <alignment horizontal="left" vertical="center" wrapText="1"/>
    </xf>
    <xf numFmtId="0" fontId="12" fillId="0" borderId="34" xfId="0" applyFont="1" applyBorder="1"/>
    <xf numFmtId="0" fontId="23" fillId="0" borderId="38" xfId="0" applyFont="1" applyBorder="1" applyAlignment="1">
      <alignment horizontal="left" vertical="center" wrapText="1"/>
    </xf>
    <xf numFmtId="0" fontId="12" fillId="0" borderId="39" xfId="0" applyFont="1" applyBorder="1"/>
    <xf numFmtId="0" fontId="23" fillId="0" borderId="35" xfId="0" applyFont="1" applyBorder="1" applyAlignment="1">
      <alignment horizontal="left" vertical="center"/>
    </xf>
    <xf numFmtId="0" fontId="12" fillId="0" borderId="36" xfId="0" applyFont="1" applyBorder="1"/>
    <xf numFmtId="0" fontId="12" fillId="0" borderId="40" xfId="0" applyFont="1" applyBorder="1"/>
    <xf numFmtId="0" fontId="14" fillId="0" borderId="15" xfId="0" applyFont="1" applyBorder="1" applyAlignment="1">
      <alignment horizontal="center" vertical="center"/>
    </xf>
    <xf numFmtId="0" fontId="12" fillId="0" borderId="16" xfId="0" applyFont="1" applyBorder="1"/>
    <xf numFmtId="0" fontId="24" fillId="0" borderId="91" xfId="0" applyFont="1" applyBorder="1" applyAlignment="1">
      <alignment horizontal="center" vertical="center" wrapText="1"/>
    </xf>
    <xf numFmtId="0" fontId="12" fillId="0" borderId="97" xfId="0" applyFont="1" applyBorder="1"/>
    <xf numFmtId="0" fontId="24" fillId="0" borderId="95" xfId="0" applyFont="1" applyBorder="1" applyAlignment="1">
      <alignment horizontal="center" vertical="center" wrapText="1"/>
    </xf>
    <xf numFmtId="0" fontId="12" fillId="0" borderId="101" xfId="0" applyFont="1" applyBorder="1"/>
    <xf numFmtId="165" fontId="24" fillId="0" borderId="91" xfId="0" applyNumberFormat="1" applyFont="1" applyBorder="1" applyAlignment="1">
      <alignment horizontal="center" vertical="center" wrapText="1"/>
    </xf>
    <xf numFmtId="0" fontId="24" fillId="0" borderId="92" xfId="0" applyFont="1" applyBorder="1" applyAlignment="1">
      <alignment horizontal="center" vertical="center" wrapText="1"/>
    </xf>
    <xf numFmtId="0" fontId="12" fillId="0" borderId="93" xfId="0" applyFont="1" applyBorder="1"/>
    <xf numFmtId="0" fontId="12" fillId="0" borderId="94" xfId="0" applyFont="1" applyBorder="1"/>
    <xf numFmtId="0" fontId="12" fillId="0" borderId="98" xfId="0" applyFont="1" applyBorder="1"/>
    <xf numFmtId="0" fontId="0" fillId="0" borderId="99" xfId="0" applyFont="1" applyBorder="1" applyAlignment="1"/>
    <xf numFmtId="0" fontId="12" fillId="0" borderId="100" xfId="0" applyFont="1" applyBorder="1"/>
    <xf numFmtId="0" fontId="25" fillId="0" borderId="86" xfId="0" applyFont="1" applyBorder="1" applyAlignment="1">
      <alignment horizontal="left" vertical="center" wrapText="1"/>
    </xf>
    <xf numFmtId="0" fontId="12" fillId="0" borderId="87" xfId="0" applyFont="1" applyBorder="1"/>
    <xf numFmtId="0" fontId="12" fillId="0" borderId="88" xfId="0" applyFont="1" applyBorder="1"/>
    <xf numFmtId="166" fontId="16" fillId="0" borderId="35" xfId="0" applyNumberFormat="1" applyFont="1" applyBorder="1" applyAlignment="1">
      <alignment horizontal="center" vertical="center"/>
    </xf>
    <xf numFmtId="0" fontId="12" fillId="0" borderId="37" xfId="0" applyFont="1" applyBorder="1"/>
    <xf numFmtId="0" fontId="2" fillId="0" borderId="20" xfId="0" applyFont="1" applyBorder="1" applyAlignment="1">
      <alignment horizontal="left" vertical="center" wrapText="1"/>
    </xf>
    <xf numFmtId="0" fontId="12" fillId="0" borderId="21" xfId="0" applyFont="1" applyBorder="1"/>
    <xf numFmtId="0" fontId="25" fillId="0" borderId="9" xfId="0" applyFont="1" applyBorder="1" applyAlignment="1">
      <alignment horizontal="left" vertical="center" wrapText="1"/>
    </xf>
    <xf numFmtId="0" fontId="12" fillId="0" borderId="10" xfId="0" applyFont="1" applyBorder="1"/>
    <xf numFmtId="0" fontId="12" fillId="0" borderId="14" xfId="0" applyFont="1" applyBorder="1"/>
    <xf numFmtId="0" fontId="25" fillId="0" borderId="49" xfId="0" applyFont="1" applyBorder="1" applyAlignment="1">
      <alignment horizontal="center" vertical="center" wrapText="1"/>
    </xf>
    <xf numFmtId="0" fontId="12" fillId="0" borderId="27" xfId="0" applyFont="1" applyBorder="1"/>
    <xf numFmtId="0" fontId="12" fillId="0" borderId="50" xfId="0" applyFont="1" applyBorder="1"/>
    <xf numFmtId="0" fontId="0" fillId="0" borderId="72" xfId="0" applyFont="1" applyBorder="1" applyAlignment="1">
      <alignment horizontal="center" vertical="center"/>
    </xf>
    <xf numFmtId="0" fontId="12" fillId="0" borderId="73" xfId="0" applyFont="1" applyBorder="1"/>
    <xf numFmtId="49" fontId="29" fillId="0" borderId="18" xfId="0" applyNumberFormat="1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12" fillId="0" borderId="19" xfId="0" applyFont="1" applyBorder="1" applyAlignment="1">
      <alignment vertical="center"/>
    </xf>
    <xf numFmtId="0" fontId="31" fillId="0" borderId="38" xfId="0" applyFont="1" applyBorder="1" applyAlignment="1">
      <alignment horizontal="center" vertical="center"/>
    </xf>
    <xf numFmtId="0" fontId="12" fillId="0" borderId="57" xfId="0" applyFont="1" applyBorder="1"/>
    <xf numFmtId="0" fontId="31" fillId="0" borderId="33" xfId="0" applyFont="1" applyBorder="1" applyAlignment="1">
      <alignment horizontal="center" vertical="center"/>
    </xf>
    <xf numFmtId="0" fontId="12" fillId="0" borderId="54" xfId="0" applyFont="1" applyBorder="1"/>
    <xf numFmtId="0" fontId="31" fillId="0" borderId="58" xfId="0" applyFont="1" applyBorder="1" applyAlignment="1">
      <alignment horizontal="center" vertical="center" wrapText="1"/>
    </xf>
    <xf numFmtId="0" fontId="12" fillId="0" borderId="59" xfId="0" applyFont="1" applyBorder="1"/>
    <xf numFmtId="0" fontId="12" fillId="0" borderId="44" xfId="0" applyFont="1" applyBorder="1"/>
    <xf numFmtId="0" fontId="12" fillId="0" borderId="45" xfId="0" applyFont="1" applyBorder="1"/>
    <xf numFmtId="165" fontId="31" fillId="0" borderId="57" xfId="0" applyNumberFormat="1" applyFont="1" applyBorder="1" applyAlignment="1">
      <alignment horizontal="center" vertical="center"/>
    </xf>
    <xf numFmtId="0" fontId="0" fillId="0" borderId="65" xfId="0" applyFont="1" applyBorder="1" applyAlignment="1">
      <alignment horizontal="left" vertical="center" wrapText="1"/>
    </xf>
    <xf numFmtId="0" fontId="12" fillId="0" borderId="66" xfId="0" applyFont="1" applyBorder="1"/>
    <xf numFmtId="0" fontId="0" fillId="0" borderId="72" xfId="0" applyFont="1" applyBorder="1" applyAlignment="1">
      <alignment horizontal="left" vertical="center"/>
    </xf>
    <xf numFmtId="0" fontId="0" fillId="0" borderId="72" xfId="0" applyFont="1" applyBorder="1" applyAlignment="1">
      <alignment horizontal="center"/>
    </xf>
    <xf numFmtId="0" fontId="1" fillId="0" borderId="33" xfId="0" applyFont="1" applyBorder="1" applyAlignment="1">
      <alignment horizontal="left" vertical="center" wrapText="1"/>
    </xf>
    <xf numFmtId="0" fontId="28" fillId="0" borderId="33" xfId="0" applyFont="1" applyBorder="1"/>
    <xf numFmtId="0" fontId="29" fillId="0" borderId="38" xfId="0" applyFont="1" applyBorder="1" applyAlignment="1">
      <alignment horizontal="left" vertical="center"/>
    </xf>
    <xf numFmtId="0" fontId="12" fillId="0" borderId="39" xfId="0" applyFont="1" applyBorder="1" applyAlignment="1">
      <alignment vertical="center"/>
    </xf>
    <xf numFmtId="0" fontId="12" fillId="0" borderId="57" xfId="0" applyFont="1" applyBorder="1" applyAlignment="1">
      <alignment vertical="center"/>
    </xf>
    <xf numFmtId="0" fontId="30" fillId="0" borderId="33" xfId="0" applyFont="1" applyBorder="1" applyAlignment="1">
      <alignment horizontal="left" vertical="center"/>
    </xf>
    <xf numFmtId="0" fontId="12" fillId="0" borderId="34" xfId="0" applyFont="1" applyBorder="1" applyAlignment="1">
      <alignment vertical="center"/>
    </xf>
    <xf numFmtId="0" fontId="12" fillId="0" borderId="56" xfId="0" applyFont="1" applyBorder="1" applyAlignment="1">
      <alignment vertical="center"/>
    </xf>
    <xf numFmtId="0" fontId="29" fillId="0" borderId="55" xfId="0" applyFont="1" applyBorder="1" applyAlignment="1">
      <alignment horizontal="left"/>
    </xf>
    <xf numFmtId="0" fontId="12" fillId="0" borderId="56" xfId="0" applyFont="1" applyBorder="1"/>
    <xf numFmtId="0" fontId="0" fillId="0" borderId="35" xfId="0" applyFont="1" applyBorder="1" applyAlignment="1">
      <alignment horizontal="center"/>
    </xf>
    <xf numFmtId="3" fontId="26" fillId="0" borderId="36" xfId="0" applyNumberFormat="1" applyFont="1" applyBorder="1" applyAlignment="1">
      <alignment horizontal="center"/>
    </xf>
    <xf numFmtId="0" fontId="27" fillId="0" borderId="42" xfId="0" applyFont="1" applyBorder="1" applyAlignment="1">
      <alignment horizontal="center" vertical="center" wrapText="1"/>
    </xf>
    <xf numFmtId="0" fontId="12" fillId="0" borderId="17" xfId="0" applyFont="1" applyBorder="1"/>
    <xf numFmtId="0" fontId="12" fillId="0" borderId="52" xfId="0" applyFont="1" applyBorder="1"/>
    <xf numFmtId="0" fontId="12" fillId="0" borderId="53" xfId="0" applyFont="1" applyBorder="1"/>
    <xf numFmtId="0" fontId="26" fillId="0" borderId="31" xfId="0" applyFont="1" applyBorder="1" applyAlignment="1">
      <alignment horizontal="left" vertical="center" wrapText="1"/>
    </xf>
    <xf numFmtId="0" fontId="12" fillId="0" borderId="32" xfId="0" applyFont="1" applyBorder="1"/>
    <xf numFmtId="0" fontId="12" fillId="0" borderId="80" xfId="0" applyFont="1" applyBorder="1"/>
    <xf numFmtId="0" fontId="0" fillId="0" borderId="38" xfId="0" applyFont="1" applyBorder="1"/>
    <xf numFmtId="0" fontId="26" fillId="0" borderId="35" xfId="0" applyFont="1" applyBorder="1" applyAlignment="1">
      <alignment vertical="center" wrapText="1"/>
    </xf>
    <xf numFmtId="0" fontId="29" fillId="0" borderId="39" xfId="0" applyFont="1" applyBorder="1" applyAlignment="1">
      <alignment vertical="center" wrapText="1"/>
    </xf>
    <xf numFmtId="0" fontId="29" fillId="0" borderId="18" xfId="0" applyFont="1" applyBorder="1" applyAlignment="1">
      <alignment horizontal="left" vertical="center" wrapText="1"/>
    </xf>
    <xf numFmtId="0" fontId="12" fillId="0" borderId="20" xfId="0" applyFont="1" applyBorder="1"/>
    <xf numFmtId="0" fontId="0" fillId="0" borderId="77" xfId="0" applyFont="1" applyBorder="1" applyAlignment="1">
      <alignment horizontal="left" vertical="center"/>
    </xf>
    <xf numFmtId="0" fontId="12" fillId="0" borderId="7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6" name="CustomShape 1" hidden="1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7" name="CustomShape 1" hidden="1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8" name="CustomShape 1" hidden="1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9" name="CustomShape 1" hidden="1">
          <a:extLst>
            <a:ext uri="{FF2B5EF4-FFF2-40B4-BE49-F238E27FC236}">
              <a16:creationId xmlns=""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5"/>
  <sheetViews>
    <sheetView tabSelected="1" topLeftCell="A4" zoomScaleNormal="100" workbookViewId="0">
      <selection activeCell="A13" sqref="A13"/>
    </sheetView>
  </sheetViews>
  <sheetFormatPr baseColWidth="10" defaultColWidth="14.42578125" defaultRowHeight="15" customHeight="1" x14ac:dyDescent="0.25"/>
  <cols>
    <col min="1" max="1" width="5.42578125" bestFit="1" customWidth="1"/>
    <col min="2" max="2" width="16.7109375" customWidth="1"/>
    <col min="3" max="3" width="42.42578125" customWidth="1"/>
    <col min="4" max="4" width="5.5703125" customWidth="1"/>
    <col min="5" max="5" width="116.85546875" customWidth="1"/>
    <col min="6" max="6" width="13.5703125" customWidth="1"/>
    <col min="7" max="7" width="17.140625" hidden="1" customWidth="1"/>
    <col min="8" max="8" width="10.85546875" hidden="1" customWidth="1"/>
    <col min="9" max="9" width="8" hidden="1" customWidth="1"/>
    <col min="10" max="10" width="14.5703125" hidden="1" customWidth="1"/>
    <col min="11" max="11" width="9.42578125" hidden="1" customWidth="1"/>
    <col min="12" max="12" width="14" hidden="1" customWidth="1"/>
    <col min="13" max="13" width="8.28515625" hidden="1" customWidth="1"/>
    <col min="14" max="14" width="14.140625" hidden="1" customWidth="1"/>
    <col min="15" max="15" width="4.5703125" hidden="1" customWidth="1"/>
    <col min="16" max="16" width="12.42578125" hidden="1" customWidth="1"/>
    <col min="17" max="17" width="14.7109375" hidden="1" customWidth="1"/>
    <col min="18" max="18" width="13.42578125" hidden="1" customWidth="1"/>
    <col min="19" max="20" width="10.5703125" hidden="1" customWidth="1"/>
    <col min="21" max="21" width="14.7109375" hidden="1" customWidth="1"/>
    <col min="22" max="22" width="12.85546875" hidden="1" customWidth="1"/>
    <col min="23" max="23" width="6" hidden="1" customWidth="1"/>
    <col min="24" max="24" width="13.85546875" hidden="1" customWidth="1"/>
    <col min="25" max="25" width="10.140625" hidden="1" customWidth="1"/>
    <col min="26" max="26" width="13.5703125" hidden="1" customWidth="1"/>
    <col min="27" max="28" width="14.42578125" hidden="1" customWidth="1"/>
    <col min="29" max="29" width="5.7109375" hidden="1" customWidth="1"/>
    <col min="30" max="30" width="12.42578125" hidden="1" customWidth="1"/>
    <col min="31" max="31" width="10.140625" hidden="1" customWidth="1"/>
    <col min="32" max="32" width="13.5703125" hidden="1" customWidth="1"/>
    <col min="33" max="33" width="12.140625" hidden="1" customWidth="1"/>
    <col min="34" max="34" width="13" hidden="1" customWidth="1"/>
    <col min="35" max="36" width="10.5703125" hidden="1" customWidth="1"/>
    <col min="37" max="37" width="4.7109375" hidden="1" customWidth="1"/>
    <col min="38" max="38" width="11.28515625" hidden="1" customWidth="1"/>
    <col min="39" max="39" width="6.5703125" hidden="1" customWidth="1"/>
    <col min="40" max="40" width="13.5703125" hidden="1" customWidth="1"/>
    <col min="41" max="41" width="14.85546875" hidden="1" customWidth="1"/>
    <col min="42" max="42" width="13.5703125" hidden="1" customWidth="1"/>
    <col min="43" max="44" width="13.85546875" hidden="1" customWidth="1"/>
    <col min="45" max="46" width="15.28515625" hidden="1" customWidth="1"/>
    <col min="47" max="47" width="3.7109375" hidden="1" customWidth="1"/>
    <col min="48" max="48" width="14.85546875" hidden="1" customWidth="1"/>
    <col min="49" max="49" width="12.140625" customWidth="1"/>
    <col min="50" max="50" width="12.7109375" bestFit="1" customWidth="1"/>
    <col min="51" max="51" width="16.5703125" bestFit="1" customWidth="1"/>
    <col min="52" max="52" width="89.140625" hidden="1" customWidth="1"/>
    <col min="53" max="53" width="10.7109375" hidden="1" customWidth="1"/>
    <col min="54" max="54" width="34.28515625" hidden="1" customWidth="1"/>
    <col min="55" max="55" width="14.42578125" customWidth="1"/>
  </cols>
  <sheetData>
    <row r="1" spans="1:54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3"/>
      <c r="Q1" s="5"/>
      <c r="R1" s="3"/>
      <c r="S1" s="7"/>
      <c r="T1" s="8"/>
      <c r="U1" s="5"/>
      <c r="V1" s="3"/>
      <c r="W1" s="7"/>
      <c r="X1" s="9"/>
      <c r="Y1" s="10"/>
      <c r="Z1" s="10"/>
      <c r="AA1" s="10"/>
      <c r="AB1" s="9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9"/>
      <c r="AO1" s="10"/>
      <c r="AP1" s="10"/>
      <c r="AQ1" s="10"/>
      <c r="AR1" s="9"/>
      <c r="AS1" s="10"/>
      <c r="AT1" s="10"/>
      <c r="AU1" s="10"/>
      <c r="AV1" s="9"/>
      <c r="AW1" s="11"/>
      <c r="AX1" s="9"/>
      <c r="AY1" s="9"/>
      <c r="AZ1" s="12"/>
    </row>
    <row r="2" spans="1:54" ht="18.75" x14ac:dyDescent="0.25">
      <c r="A2" s="3"/>
      <c r="B2" s="177" t="s">
        <v>0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9"/>
      <c r="AZ2" s="12"/>
    </row>
    <row r="3" spans="1:54" x14ac:dyDescent="0.25">
      <c r="A3" s="3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3"/>
      <c r="Q3" s="5"/>
      <c r="R3" s="3"/>
      <c r="S3" s="7"/>
      <c r="T3" s="8"/>
      <c r="U3" s="5"/>
      <c r="V3" s="3"/>
      <c r="W3" s="7"/>
      <c r="X3" s="9"/>
      <c r="Y3" s="10"/>
      <c r="Z3" s="10"/>
      <c r="AA3" s="10"/>
      <c r="AB3" s="9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9"/>
      <c r="AO3" s="10"/>
      <c r="AP3" s="10"/>
      <c r="AQ3" s="10"/>
      <c r="AR3" s="9"/>
      <c r="AS3" s="10"/>
      <c r="AT3" s="10"/>
      <c r="AU3" s="10"/>
      <c r="AV3" s="9"/>
      <c r="AW3" s="11"/>
      <c r="AX3" s="9"/>
      <c r="AY3" s="9"/>
      <c r="AZ3" s="12"/>
    </row>
    <row r="4" spans="1:54" x14ac:dyDescent="0.25">
      <c r="A4" s="161" t="s">
        <v>1</v>
      </c>
      <c r="B4" s="162"/>
      <c r="C4" s="178" t="s">
        <v>2</v>
      </c>
      <c r="D4" s="162"/>
      <c r="E4" s="162"/>
      <c r="F4" s="14"/>
      <c r="G4" s="14"/>
      <c r="H4" s="14"/>
      <c r="I4" s="14"/>
      <c r="J4" s="14"/>
      <c r="K4" s="14"/>
      <c r="L4" s="14"/>
      <c r="M4" s="15"/>
      <c r="N4" s="16"/>
      <c r="O4" s="17"/>
      <c r="P4" s="14"/>
      <c r="Q4" s="15"/>
      <c r="R4" s="14"/>
      <c r="S4" s="17"/>
      <c r="T4" s="18"/>
      <c r="U4" s="15"/>
      <c r="V4" s="14"/>
      <c r="W4" s="17"/>
      <c r="X4" s="9"/>
      <c r="Y4" s="10"/>
      <c r="Z4" s="10"/>
      <c r="AA4" s="10"/>
      <c r="AB4" s="9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9"/>
      <c r="AO4" s="10"/>
      <c r="AP4" s="10"/>
      <c r="AQ4" s="10"/>
      <c r="AR4" s="9"/>
      <c r="AS4" s="10"/>
      <c r="AT4" s="10"/>
      <c r="AU4" s="10"/>
      <c r="AV4" s="9"/>
      <c r="AW4" s="11"/>
      <c r="AX4" s="9"/>
      <c r="AY4" s="9"/>
      <c r="AZ4" s="12"/>
    </row>
    <row r="5" spans="1:54" x14ac:dyDescent="0.25">
      <c r="A5" s="161" t="s">
        <v>3</v>
      </c>
      <c r="B5" s="162"/>
      <c r="C5" s="179" t="s">
        <v>4</v>
      </c>
      <c r="D5" s="162"/>
      <c r="E5" s="162"/>
      <c r="F5" s="14"/>
      <c r="G5" s="14"/>
      <c r="H5" s="14"/>
      <c r="I5" s="14"/>
      <c r="J5" s="14"/>
      <c r="K5" s="14"/>
      <c r="L5" s="14"/>
      <c r="M5" s="15"/>
      <c r="N5" s="16"/>
      <c r="O5" s="17"/>
      <c r="P5" s="14"/>
      <c r="Q5" s="15"/>
      <c r="R5" s="14"/>
      <c r="S5" s="17"/>
      <c r="T5" s="18"/>
      <c r="U5" s="15"/>
      <c r="V5" s="14"/>
      <c r="W5" s="17"/>
      <c r="X5" s="18"/>
      <c r="Y5" s="17"/>
      <c r="Z5" s="14"/>
      <c r="AA5" s="17"/>
      <c r="AB5" s="18"/>
      <c r="AC5" s="17"/>
      <c r="AD5" s="14"/>
      <c r="AE5" s="17"/>
      <c r="AF5" s="14"/>
      <c r="AG5" s="17"/>
      <c r="AH5" s="14"/>
      <c r="AI5" s="17"/>
      <c r="AJ5" s="14"/>
      <c r="AK5" s="17"/>
      <c r="AL5" s="14"/>
      <c r="AM5" s="17"/>
      <c r="AN5" s="18"/>
      <c r="AO5" s="17"/>
      <c r="AP5" s="14"/>
      <c r="AQ5" s="17"/>
      <c r="AR5" s="18"/>
      <c r="AS5" s="14"/>
      <c r="AT5" s="14"/>
      <c r="AU5" s="14"/>
      <c r="AV5" s="18"/>
      <c r="AW5" s="17"/>
      <c r="AX5" s="8"/>
      <c r="AY5" s="8"/>
      <c r="AZ5" s="12"/>
    </row>
    <row r="6" spans="1:54" x14ac:dyDescent="0.25">
      <c r="A6" s="161" t="s">
        <v>5</v>
      </c>
      <c r="B6" s="162"/>
      <c r="C6" s="19">
        <v>2022</v>
      </c>
      <c r="D6" s="13"/>
      <c r="E6" s="19"/>
      <c r="F6" s="14"/>
      <c r="G6" s="14"/>
      <c r="H6" s="14"/>
      <c r="I6" s="14"/>
      <c r="J6" s="14"/>
      <c r="K6" s="14"/>
      <c r="L6" s="14"/>
      <c r="M6" s="15"/>
      <c r="N6" s="16"/>
      <c r="O6" s="17"/>
      <c r="P6" s="14"/>
      <c r="Q6" s="15"/>
      <c r="R6" s="14"/>
      <c r="S6" s="17"/>
      <c r="T6" s="18"/>
      <c r="U6" s="15"/>
      <c r="V6" s="14"/>
      <c r="W6" s="17"/>
      <c r="X6" s="18"/>
      <c r="Y6" s="17"/>
      <c r="Z6" s="14"/>
      <c r="AA6" s="17"/>
      <c r="AB6" s="18"/>
      <c r="AC6" s="17"/>
      <c r="AD6" s="14"/>
      <c r="AE6" s="17"/>
      <c r="AF6" s="14"/>
      <c r="AG6" s="17"/>
      <c r="AH6" s="14"/>
      <c r="AI6" s="17"/>
      <c r="AJ6" s="14"/>
      <c r="AK6" s="17"/>
      <c r="AL6" s="14"/>
      <c r="AM6" s="17"/>
      <c r="AN6" s="18"/>
      <c r="AO6" s="17"/>
      <c r="AP6" s="14"/>
      <c r="AQ6" s="17"/>
      <c r="AR6" s="18"/>
      <c r="AS6" s="14"/>
      <c r="AT6" s="14"/>
      <c r="AU6" s="14"/>
      <c r="AV6" s="18"/>
      <c r="AW6" s="17"/>
      <c r="AX6" s="8"/>
      <c r="AY6" s="8"/>
      <c r="AZ6" s="12"/>
    </row>
    <row r="7" spans="1:54" x14ac:dyDescent="0.25">
      <c r="A7" s="161" t="s">
        <v>6</v>
      </c>
      <c r="B7" s="162"/>
      <c r="C7" s="116" t="s">
        <v>129</v>
      </c>
      <c r="D7" s="13"/>
      <c r="E7" s="19"/>
      <c r="F7" s="14"/>
      <c r="G7" s="14"/>
      <c r="H7" s="14"/>
      <c r="I7" s="14"/>
      <c r="J7" s="14"/>
      <c r="K7" s="14"/>
      <c r="L7" s="14"/>
      <c r="M7" s="15"/>
      <c r="N7" s="16"/>
      <c r="O7" s="17"/>
      <c r="P7" s="14"/>
      <c r="Q7" s="15"/>
      <c r="R7" s="14"/>
      <c r="S7" s="17"/>
      <c r="T7" s="18"/>
      <c r="U7" s="15"/>
      <c r="V7" s="14"/>
      <c r="W7" s="17"/>
      <c r="X7" s="18"/>
      <c r="Y7" s="17"/>
      <c r="Z7" s="14"/>
      <c r="AA7" s="17"/>
      <c r="AB7" s="18"/>
      <c r="AC7" s="17"/>
      <c r="AD7" s="14"/>
      <c r="AE7" s="17"/>
      <c r="AF7" s="14"/>
      <c r="AG7" s="17"/>
      <c r="AH7" s="14"/>
      <c r="AI7" s="17"/>
      <c r="AJ7" s="14"/>
      <c r="AK7" s="17"/>
      <c r="AL7" s="14"/>
      <c r="AM7" s="17"/>
      <c r="AN7" s="18"/>
      <c r="AO7" s="17"/>
      <c r="AP7" s="14"/>
      <c r="AQ7" s="17"/>
      <c r="AR7" s="18"/>
      <c r="AS7" s="14"/>
      <c r="AT7" s="14"/>
      <c r="AU7" s="14"/>
      <c r="AV7" s="18"/>
      <c r="AW7" s="17"/>
      <c r="AX7" s="8"/>
      <c r="AY7" s="8"/>
      <c r="AZ7" s="12"/>
    </row>
    <row r="8" spans="1:54" ht="15.75" thickBot="1" x14ac:dyDescent="0.3">
      <c r="A8" s="3"/>
      <c r="B8" s="14"/>
      <c r="C8" s="14"/>
      <c r="D8" s="14"/>
      <c r="E8" s="20"/>
      <c r="F8" s="14"/>
      <c r="G8" s="14"/>
      <c r="H8" s="14"/>
      <c r="I8" s="14"/>
      <c r="J8" s="14"/>
      <c r="K8" s="14"/>
      <c r="L8" s="14"/>
      <c r="M8" s="15"/>
      <c r="N8" s="16"/>
      <c r="O8" s="17"/>
      <c r="P8" s="14"/>
      <c r="Q8" s="15"/>
      <c r="R8" s="14"/>
      <c r="S8" s="17"/>
      <c r="T8" s="18"/>
      <c r="U8" s="15"/>
      <c r="V8" s="14"/>
      <c r="W8" s="17"/>
      <c r="X8" s="18"/>
      <c r="Y8" s="17"/>
      <c r="Z8" s="14"/>
      <c r="AA8" s="17"/>
      <c r="AB8" s="18"/>
      <c r="AC8" s="17"/>
      <c r="AD8" s="14"/>
      <c r="AE8" s="17"/>
      <c r="AF8" s="14"/>
      <c r="AG8" s="17"/>
      <c r="AH8" s="14"/>
      <c r="AI8" s="17"/>
      <c r="AJ8" s="14"/>
      <c r="AK8" s="17"/>
      <c r="AL8" s="14"/>
      <c r="AM8" s="17"/>
      <c r="AN8" s="18"/>
      <c r="AO8" s="17"/>
      <c r="AP8" s="14"/>
      <c r="AQ8" s="17"/>
      <c r="AR8" s="18"/>
      <c r="AS8" s="14"/>
      <c r="AT8" s="14"/>
      <c r="AU8" s="14"/>
      <c r="AV8" s="18"/>
      <c r="AW8" s="17"/>
      <c r="AX8" s="8"/>
      <c r="AY8" s="8"/>
      <c r="AZ8" s="12"/>
    </row>
    <row r="9" spans="1:54" s="129" customFormat="1" ht="39" thickBot="1" x14ac:dyDescent="0.3">
      <c r="A9" s="117" t="s">
        <v>7</v>
      </c>
      <c r="B9" s="118" t="s">
        <v>8</v>
      </c>
      <c r="C9" s="119" t="s">
        <v>9</v>
      </c>
      <c r="D9" s="118" t="s">
        <v>10</v>
      </c>
      <c r="E9" s="120" t="s">
        <v>11</v>
      </c>
      <c r="F9" s="119" t="s">
        <v>12</v>
      </c>
      <c r="G9" s="119" t="s">
        <v>13</v>
      </c>
      <c r="H9" s="119" t="s">
        <v>14</v>
      </c>
      <c r="I9" s="119" t="s">
        <v>15</v>
      </c>
      <c r="J9" s="119" t="s">
        <v>16</v>
      </c>
      <c r="K9" s="119" t="s">
        <v>17</v>
      </c>
      <c r="L9" s="119" t="s">
        <v>18</v>
      </c>
      <c r="M9" s="121" t="s">
        <v>19</v>
      </c>
      <c r="N9" s="122" t="s">
        <v>20</v>
      </c>
      <c r="O9" s="123" t="s">
        <v>21</v>
      </c>
      <c r="P9" s="119" t="s">
        <v>22</v>
      </c>
      <c r="Q9" s="121" t="s">
        <v>23</v>
      </c>
      <c r="R9" s="119" t="s">
        <v>24</v>
      </c>
      <c r="S9" s="123" t="s">
        <v>25</v>
      </c>
      <c r="T9" s="124" t="s">
        <v>26</v>
      </c>
      <c r="U9" s="121" t="s">
        <v>27</v>
      </c>
      <c r="V9" s="119" t="s">
        <v>28</v>
      </c>
      <c r="W9" s="123" t="s">
        <v>29</v>
      </c>
      <c r="X9" s="124" t="s">
        <v>30</v>
      </c>
      <c r="Y9" s="123" t="s">
        <v>31</v>
      </c>
      <c r="Z9" s="119" t="s">
        <v>32</v>
      </c>
      <c r="AA9" s="123" t="s">
        <v>33</v>
      </c>
      <c r="AB9" s="124" t="s">
        <v>34</v>
      </c>
      <c r="AC9" s="123" t="s">
        <v>35</v>
      </c>
      <c r="AD9" s="119" t="s">
        <v>36</v>
      </c>
      <c r="AE9" s="123" t="s">
        <v>37</v>
      </c>
      <c r="AF9" s="119" t="s">
        <v>38</v>
      </c>
      <c r="AG9" s="123" t="s">
        <v>39</v>
      </c>
      <c r="AH9" s="119" t="s">
        <v>40</v>
      </c>
      <c r="AI9" s="123" t="s">
        <v>41</v>
      </c>
      <c r="AJ9" s="119" t="s">
        <v>42</v>
      </c>
      <c r="AK9" s="123" t="s">
        <v>43</v>
      </c>
      <c r="AL9" s="119" t="s">
        <v>44</v>
      </c>
      <c r="AM9" s="123" t="s">
        <v>45</v>
      </c>
      <c r="AN9" s="124" t="s">
        <v>46</v>
      </c>
      <c r="AO9" s="123" t="s">
        <v>47</v>
      </c>
      <c r="AP9" s="119" t="s">
        <v>48</v>
      </c>
      <c r="AQ9" s="123" t="s">
        <v>49</v>
      </c>
      <c r="AR9" s="124" t="s">
        <v>50</v>
      </c>
      <c r="AS9" s="119" t="s">
        <v>51</v>
      </c>
      <c r="AT9" s="119" t="s">
        <v>52</v>
      </c>
      <c r="AU9" s="119" t="s">
        <v>53</v>
      </c>
      <c r="AV9" s="124" t="s">
        <v>54</v>
      </c>
      <c r="AW9" s="123" t="s">
        <v>55</v>
      </c>
      <c r="AX9" s="125" t="s">
        <v>56</v>
      </c>
      <c r="AY9" s="124" t="s">
        <v>57</v>
      </c>
      <c r="AZ9" s="126" t="s">
        <v>58</v>
      </c>
      <c r="BA9" s="127" t="s">
        <v>59</v>
      </c>
      <c r="BB9" s="128" t="s">
        <v>60</v>
      </c>
    </row>
    <row r="10" spans="1:54" s="129" customFormat="1" ht="42" customHeight="1" x14ac:dyDescent="0.25">
      <c r="A10" s="130">
        <v>1</v>
      </c>
      <c r="B10" s="106" t="s">
        <v>64</v>
      </c>
      <c r="C10" s="105" t="s">
        <v>65</v>
      </c>
      <c r="D10" s="105" t="s">
        <v>62</v>
      </c>
      <c r="E10" s="132" t="s">
        <v>66</v>
      </c>
      <c r="F10" s="105" t="s">
        <v>63</v>
      </c>
      <c r="G10" s="106"/>
      <c r="H10" s="106"/>
      <c r="I10" s="106"/>
      <c r="J10" s="106"/>
      <c r="K10" s="106"/>
      <c r="L10" s="107"/>
      <c r="M10" s="108"/>
      <c r="N10" s="107"/>
      <c r="O10" s="109"/>
      <c r="P10" s="106"/>
      <c r="Q10" s="108"/>
      <c r="R10" s="106"/>
      <c r="S10" s="109"/>
      <c r="T10" s="110"/>
      <c r="U10" s="108"/>
      <c r="V10" s="106"/>
      <c r="W10" s="109"/>
      <c r="X10" s="110"/>
      <c r="Y10" s="109"/>
      <c r="Z10" s="106"/>
      <c r="AA10" s="109"/>
      <c r="AB10" s="110"/>
      <c r="AC10" s="109"/>
      <c r="AD10" s="106"/>
      <c r="AE10" s="109"/>
      <c r="AF10" s="110"/>
      <c r="AG10" s="106"/>
      <c r="AH10" s="107"/>
      <c r="AI10" s="109"/>
      <c r="AJ10" s="106"/>
      <c r="AK10" s="109"/>
      <c r="AL10" s="107"/>
      <c r="AM10" s="109"/>
      <c r="AN10" s="110"/>
      <c r="AO10" s="109"/>
      <c r="AP10" s="107"/>
      <c r="AQ10" s="109"/>
      <c r="AR10" s="110"/>
      <c r="AS10" s="106"/>
      <c r="AT10" s="106"/>
      <c r="AU10" s="106">
        <v>80</v>
      </c>
      <c r="AV10" s="110">
        <f t="shared" ref="AV10:AV13" si="0">+AU10*AX10</f>
        <v>2560000</v>
      </c>
      <c r="AW10" s="111">
        <f t="shared" ref="AW10:AW13" si="1">+AQ10+AO10+AM10+AK10+AI10+AG10+AE10+AC10+AA10+Y10+W10+U10+S10+Q10+O10+M10+K10+I10+AS10+G10+AU10</f>
        <v>80</v>
      </c>
      <c r="AX10" s="112">
        <v>32000</v>
      </c>
      <c r="AY10" s="131">
        <f t="shared" ref="AY10:AY13" si="2">+AW10*AX10</f>
        <v>2560000</v>
      </c>
      <c r="AZ10" s="146" t="s">
        <v>131</v>
      </c>
      <c r="BA10" s="145">
        <v>433</v>
      </c>
      <c r="BB10" s="114" t="s">
        <v>65</v>
      </c>
    </row>
    <row r="11" spans="1:54" s="129" customFormat="1" ht="28.9" customHeight="1" x14ac:dyDescent="0.25">
      <c r="A11" s="130">
        <v>2</v>
      </c>
      <c r="B11" s="106" t="s">
        <v>67</v>
      </c>
      <c r="C11" s="105" t="s">
        <v>65</v>
      </c>
      <c r="D11" s="105" t="s">
        <v>62</v>
      </c>
      <c r="E11" s="132" t="s">
        <v>68</v>
      </c>
      <c r="F11" s="105" t="s">
        <v>63</v>
      </c>
      <c r="G11" s="106"/>
      <c r="H11" s="106"/>
      <c r="I11" s="106"/>
      <c r="J11" s="106"/>
      <c r="K11" s="106"/>
      <c r="L11" s="107"/>
      <c r="M11" s="108"/>
      <c r="N11" s="107"/>
      <c r="O11" s="109"/>
      <c r="P11" s="106"/>
      <c r="Q11" s="108"/>
      <c r="R11" s="106"/>
      <c r="S11" s="109"/>
      <c r="T11" s="110"/>
      <c r="U11" s="108"/>
      <c r="V11" s="106"/>
      <c r="W11" s="109"/>
      <c r="X11" s="110"/>
      <c r="Y11" s="109"/>
      <c r="Z11" s="106"/>
      <c r="AA11" s="109"/>
      <c r="AB11" s="110"/>
      <c r="AC11" s="109"/>
      <c r="AD11" s="106"/>
      <c r="AE11" s="109"/>
      <c r="AF11" s="110"/>
      <c r="AG11" s="106"/>
      <c r="AH11" s="107"/>
      <c r="AI11" s="109"/>
      <c r="AJ11" s="106"/>
      <c r="AK11" s="109"/>
      <c r="AL11" s="107"/>
      <c r="AM11" s="109"/>
      <c r="AN11" s="110"/>
      <c r="AO11" s="109"/>
      <c r="AP11" s="107"/>
      <c r="AQ11" s="109"/>
      <c r="AR11" s="110"/>
      <c r="AS11" s="106"/>
      <c r="AT11" s="106"/>
      <c r="AU11" s="106">
        <v>10</v>
      </c>
      <c r="AV11" s="110">
        <f t="shared" si="0"/>
        <v>530000</v>
      </c>
      <c r="AW11" s="111">
        <f t="shared" si="1"/>
        <v>10</v>
      </c>
      <c r="AX11" s="112">
        <v>53000</v>
      </c>
      <c r="AY11" s="131">
        <f t="shared" si="2"/>
        <v>530000</v>
      </c>
      <c r="AZ11" s="147" t="s">
        <v>132</v>
      </c>
      <c r="BA11" s="145">
        <v>433</v>
      </c>
      <c r="BB11" s="114" t="s">
        <v>65</v>
      </c>
    </row>
    <row r="12" spans="1:54" s="129" customFormat="1" ht="46.9" customHeight="1" x14ac:dyDescent="0.25">
      <c r="A12" s="130">
        <v>3</v>
      </c>
      <c r="B12" s="106" t="s">
        <v>69</v>
      </c>
      <c r="C12" s="105" t="s">
        <v>61</v>
      </c>
      <c r="D12" s="105" t="s">
        <v>62</v>
      </c>
      <c r="E12" s="132" t="s">
        <v>70</v>
      </c>
      <c r="F12" s="105" t="s">
        <v>63</v>
      </c>
      <c r="G12" s="106"/>
      <c r="H12" s="106"/>
      <c r="I12" s="106"/>
      <c r="J12" s="106"/>
      <c r="K12" s="106"/>
      <c r="L12" s="107"/>
      <c r="M12" s="108"/>
      <c r="N12" s="107"/>
      <c r="O12" s="109"/>
      <c r="P12" s="106"/>
      <c r="Q12" s="108"/>
      <c r="R12" s="106"/>
      <c r="S12" s="109"/>
      <c r="T12" s="110"/>
      <c r="U12" s="108"/>
      <c r="V12" s="106"/>
      <c r="W12" s="109"/>
      <c r="X12" s="110"/>
      <c r="Y12" s="109"/>
      <c r="Z12" s="106"/>
      <c r="AA12" s="109"/>
      <c r="AB12" s="110"/>
      <c r="AC12" s="109"/>
      <c r="AD12" s="106"/>
      <c r="AE12" s="109"/>
      <c r="AF12" s="110"/>
      <c r="AG12" s="106"/>
      <c r="AH12" s="107"/>
      <c r="AI12" s="109"/>
      <c r="AJ12" s="106"/>
      <c r="AK12" s="109"/>
      <c r="AL12" s="107"/>
      <c r="AM12" s="109"/>
      <c r="AN12" s="110"/>
      <c r="AO12" s="109"/>
      <c r="AP12" s="107"/>
      <c r="AQ12" s="109"/>
      <c r="AR12" s="110"/>
      <c r="AS12" s="106"/>
      <c r="AT12" s="106"/>
      <c r="AU12" s="106">
        <v>30</v>
      </c>
      <c r="AV12" s="110">
        <f t="shared" si="0"/>
        <v>570000</v>
      </c>
      <c r="AW12" s="111">
        <f t="shared" si="1"/>
        <v>30</v>
      </c>
      <c r="AX12" s="112">
        <v>19000</v>
      </c>
      <c r="AY12" s="113">
        <f t="shared" si="2"/>
        <v>570000</v>
      </c>
      <c r="AZ12" s="146" t="s">
        <v>126</v>
      </c>
      <c r="BA12" s="145">
        <v>433</v>
      </c>
      <c r="BB12" s="133" t="s">
        <v>61</v>
      </c>
    </row>
    <row r="13" spans="1:54" s="129" customFormat="1" ht="32.450000000000003" customHeight="1" thickBot="1" x14ac:dyDescent="0.3">
      <c r="A13" s="130">
        <v>4</v>
      </c>
      <c r="B13" s="106" t="s">
        <v>71</v>
      </c>
      <c r="C13" s="105" t="s">
        <v>65</v>
      </c>
      <c r="D13" s="105" t="s">
        <v>62</v>
      </c>
      <c r="E13" s="132" t="s">
        <v>72</v>
      </c>
      <c r="F13" s="105" t="s">
        <v>63</v>
      </c>
      <c r="G13" s="106"/>
      <c r="H13" s="106"/>
      <c r="I13" s="106"/>
      <c r="J13" s="106"/>
      <c r="K13" s="106"/>
      <c r="L13" s="107"/>
      <c r="M13" s="108"/>
      <c r="N13" s="107"/>
      <c r="O13" s="109"/>
      <c r="P13" s="106"/>
      <c r="Q13" s="108"/>
      <c r="R13" s="106"/>
      <c r="S13" s="109"/>
      <c r="T13" s="110"/>
      <c r="U13" s="108"/>
      <c r="V13" s="106"/>
      <c r="W13" s="109"/>
      <c r="X13" s="110"/>
      <c r="Y13" s="109"/>
      <c r="Z13" s="106"/>
      <c r="AA13" s="109"/>
      <c r="AB13" s="110"/>
      <c r="AC13" s="109"/>
      <c r="AD13" s="106"/>
      <c r="AE13" s="109"/>
      <c r="AF13" s="110"/>
      <c r="AG13" s="106"/>
      <c r="AH13" s="107"/>
      <c r="AI13" s="109"/>
      <c r="AJ13" s="106"/>
      <c r="AK13" s="109"/>
      <c r="AL13" s="107"/>
      <c r="AM13" s="109"/>
      <c r="AN13" s="110"/>
      <c r="AO13" s="109"/>
      <c r="AP13" s="107"/>
      <c r="AQ13" s="109"/>
      <c r="AR13" s="110"/>
      <c r="AS13" s="106"/>
      <c r="AT13" s="106"/>
      <c r="AU13" s="106">
        <v>28</v>
      </c>
      <c r="AV13" s="110">
        <f t="shared" si="0"/>
        <v>1204000</v>
      </c>
      <c r="AW13" s="152">
        <f t="shared" si="1"/>
        <v>28</v>
      </c>
      <c r="AX13" s="112">
        <v>43000</v>
      </c>
      <c r="AY13" s="153">
        <f t="shared" si="2"/>
        <v>1204000</v>
      </c>
      <c r="AZ13" s="147" t="s">
        <v>133</v>
      </c>
      <c r="BA13" s="145">
        <v>433</v>
      </c>
      <c r="BB13" s="114" t="s">
        <v>65</v>
      </c>
    </row>
    <row r="14" spans="1:54" s="129" customFormat="1" ht="25.5" customHeight="1" thickBot="1" x14ac:dyDescent="0.3">
      <c r="A14" s="134"/>
      <c r="B14" s="135"/>
      <c r="C14" s="135"/>
      <c r="D14" s="135"/>
      <c r="E14" s="136" t="s">
        <v>73</v>
      </c>
      <c r="F14" s="135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8"/>
      <c r="T14" s="139"/>
      <c r="U14" s="137"/>
      <c r="V14" s="140"/>
      <c r="W14" s="137"/>
      <c r="X14" s="139"/>
      <c r="Y14" s="137"/>
      <c r="Z14" s="137"/>
      <c r="AA14" s="137"/>
      <c r="AB14" s="139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9"/>
      <c r="AO14" s="137"/>
      <c r="AP14" s="137"/>
      <c r="AQ14" s="137"/>
      <c r="AR14" s="139"/>
      <c r="AS14" s="137"/>
      <c r="AT14" s="137"/>
      <c r="AU14" s="137"/>
      <c r="AV14" s="139"/>
      <c r="AW14" s="141"/>
      <c r="AX14" s="139"/>
      <c r="AY14" s="142">
        <f>+SUM(AY10:AY13)</f>
        <v>4864000</v>
      </c>
      <c r="AZ14" s="143"/>
      <c r="BA14" s="144"/>
      <c r="BB14" s="144"/>
    </row>
    <row r="15" spans="1:54" ht="15.75" customHeight="1" x14ac:dyDescent="0.25">
      <c r="A15" s="21"/>
      <c r="B15" s="21"/>
      <c r="C15" s="21"/>
      <c r="D15" s="21"/>
      <c r="E15" s="22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3"/>
      <c r="T15" s="24"/>
      <c r="U15" s="21"/>
      <c r="V15" s="21"/>
      <c r="W15" s="21"/>
      <c r="X15" s="24"/>
      <c r="Y15" s="21"/>
      <c r="Z15" s="21"/>
      <c r="AA15" s="21"/>
      <c r="AB15" s="24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4"/>
      <c r="AO15" s="21"/>
      <c r="AP15" s="21"/>
      <c r="AQ15" s="21"/>
      <c r="AR15" s="24"/>
      <c r="AS15" s="21"/>
      <c r="AT15" s="21"/>
      <c r="AU15" s="21"/>
      <c r="AV15" s="24"/>
      <c r="AW15" s="23"/>
      <c r="AX15" s="24"/>
      <c r="AY15" s="24"/>
      <c r="AZ15" s="25"/>
      <c r="BA15" s="26"/>
      <c r="BB15" s="26"/>
    </row>
    <row r="16" spans="1:54" ht="15.75" customHeight="1" thickBot="1" x14ac:dyDescent="0.3">
      <c r="A16" s="21"/>
      <c r="B16" s="21"/>
      <c r="C16" s="21"/>
      <c r="D16" s="21"/>
      <c r="E16" s="22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3"/>
      <c r="T16" s="24"/>
      <c r="U16" s="21"/>
      <c r="V16" s="21"/>
      <c r="W16" s="21"/>
      <c r="X16" s="24"/>
      <c r="Y16" s="21"/>
      <c r="Z16" s="21"/>
      <c r="AA16" s="21"/>
      <c r="AB16" s="24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4"/>
      <c r="AO16" s="21"/>
      <c r="AP16" s="21"/>
      <c r="AQ16" s="21"/>
      <c r="AR16" s="24"/>
      <c r="AS16" s="21"/>
      <c r="AT16" s="21"/>
      <c r="AU16" s="21"/>
      <c r="AV16" s="24"/>
      <c r="AW16" s="23"/>
      <c r="AX16" s="24"/>
      <c r="AY16" s="24"/>
      <c r="AZ16" s="25"/>
      <c r="BA16" s="26"/>
      <c r="BB16" s="26"/>
    </row>
    <row r="17" spans="1:54" ht="33.75" customHeight="1" x14ac:dyDescent="0.25">
      <c r="A17" s="21"/>
      <c r="B17" s="21"/>
      <c r="C17" s="168" t="s">
        <v>74</v>
      </c>
      <c r="D17" s="169"/>
      <c r="E17" s="170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3"/>
      <c r="T17" s="24"/>
      <c r="U17" s="21"/>
      <c r="V17" s="21"/>
      <c r="W17" s="21"/>
      <c r="X17" s="24"/>
      <c r="Y17" s="21"/>
      <c r="Z17" s="21"/>
      <c r="AA17" s="21"/>
      <c r="AB17" s="24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4"/>
      <c r="AO17" s="21"/>
      <c r="AP17" s="21"/>
      <c r="AQ17" s="21"/>
      <c r="AR17" s="24"/>
      <c r="AS17" s="21"/>
      <c r="AT17" s="21"/>
      <c r="AU17" s="21"/>
      <c r="AV17" s="24"/>
      <c r="AW17" s="23"/>
      <c r="AX17" s="24"/>
      <c r="AY17" s="24"/>
      <c r="AZ17" s="148"/>
      <c r="BA17" s="26"/>
      <c r="BB17" s="26"/>
    </row>
    <row r="18" spans="1:54" s="151" customFormat="1" ht="35.25" customHeight="1" x14ac:dyDescent="0.25">
      <c r="A18" s="21"/>
      <c r="B18" s="21"/>
      <c r="C18" s="174" t="s">
        <v>134</v>
      </c>
      <c r="D18" s="175"/>
      <c r="E18" s="176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3"/>
      <c r="T18" s="24"/>
      <c r="U18" s="21"/>
      <c r="V18" s="21"/>
      <c r="W18" s="21"/>
      <c r="X18" s="24"/>
      <c r="Y18" s="21"/>
      <c r="Z18" s="21"/>
      <c r="AA18" s="21"/>
      <c r="AB18" s="24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4"/>
      <c r="AO18" s="21"/>
      <c r="AP18" s="21"/>
      <c r="AQ18" s="21"/>
      <c r="AR18" s="24"/>
      <c r="AS18" s="21"/>
      <c r="AT18" s="21"/>
      <c r="AU18" s="21"/>
      <c r="AV18" s="24"/>
      <c r="AW18" s="23"/>
      <c r="AX18" s="24"/>
      <c r="AY18" s="24"/>
      <c r="AZ18" s="148"/>
      <c r="BA18" s="26"/>
      <c r="BB18" s="26"/>
    </row>
    <row r="19" spans="1:54" ht="15.75" customHeight="1" x14ac:dyDescent="0.25">
      <c r="A19" s="21"/>
      <c r="B19" s="21"/>
      <c r="C19" s="27"/>
      <c r="D19" s="163"/>
      <c r="E19" s="164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3"/>
      <c r="T19" s="24"/>
      <c r="U19" s="21"/>
      <c r="V19" s="21"/>
      <c r="W19" s="21"/>
      <c r="X19" s="24"/>
      <c r="Y19" s="21"/>
      <c r="Z19" s="21"/>
      <c r="AA19" s="21"/>
      <c r="AB19" s="24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4"/>
      <c r="AO19" s="21"/>
      <c r="AP19" s="21"/>
      <c r="AQ19" s="21"/>
      <c r="AR19" s="24"/>
      <c r="AS19" s="21"/>
      <c r="AT19" s="21"/>
      <c r="AU19" s="21"/>
      <c r="AV19" s="24"/>
      <c r="AW19" s="23"/>
      <c r="AX19" s="24"/>
      <c r="AY19" s="24"/>
      <c r="AZ19" s="25"/>
      <c r="BA19" s="26"/>
      <c r="BB19" s="26"/>
    </row>
    <row r="20" spans="1:54" ht="15.75" customHeight="1" x14ac:dyDescent="0.25">
      <c r="A20" s="21"/>
      <c r="B20" s="21"/>
      <c r="C20" s="27" t="s">
        <v>75</v>
      </c>
      <c r="D20" s="166" t="s">
        <v>128</v>
      </c>
      <c r="E20" s="167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3"/>
      <c r="T20" s="24"/>
      <c r="U20" s="21"/>
      <c r="V20" s="21"/>
      <c r="W20" s="21"/>
      <c r="X20" s="24"/>
      <c r="Y20" s="21"/>
      <c r="Z20" s="21"/>
      <c r="AA20" s="21"/>
      <c r="AB20" s="24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4"/>
      <c r="AO20" s="21"/>
      <c r="AP20" s="21"/>
      <c r="AQ20" s="21"/>
      <c r="AR20" s="24"/>
      <c r="AS20" s="21"/>
      <c r="AT20" s="21"/>
      <c r="AU20" s="21"/>
      <c r="AV20" s="24"/>
      <c r="AW20" s="23"/>
      <c r="AX20" s="24"/>
      <c r="AY20" s="24"/>
      <c r="AZ20" s="25"/>
      <c r="BA20" s="26"/>
      <c r="BB20" s="26"/>
    </row>
    <row r="21" spans="1:54" ht="15.75" customHeight="1" x14ac:dyDescent="0.25">
      <c r="A21" s="21"/>
      <c r="B21" s="21"/>
      <c r="C21" s="27"/>
      <c r="D21" s="165"/>
      <c r="E21" s="164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3"/>
      <c r="T21" s="24"/>
      <c r="U21" s="21"/>
      <c r="V21" s="21"/>
      <c r="W21" s="21"/>
      <c r="X21" s="24"/>
      <c r="Y21" s="21"/>
      <c r="Z21" s="21"/>
      <c r="AA21" s="21"/>
      <c r="AB21" s="24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4"/>
      <c r="AO21" s="21"/>
      <c r="AP21" s="21"/>
      <c r="AQ21" s="21"/>
      <c r="AR21" s="24"/>
      <c r="AS21" s="21"/>
      <c r="AT21" s="21"/>
      <c r="AU21" s="21"/>
      <c r="AV21" s="24"/>
      <c r="AW21" s="23"/>
      <c r="AX21" s="24"/>
      <c r="AY21" s="24"/>
      <c r="AZ21" s="25"/>
      <c r="BA21" s="26"/>
      <c r="BB21" s="26"/>
    </row>
    <row r="22" spans="1:54" ht="15.75" customHeight="1" x14ac:dyDescent="0.25">
      <c r="A22" s="21"/>
      <c r="B22" s="21"/>
      <c r="C22" s="27" t="s">
        <v>76</v>
      </c>
      <c r="D22" s="171" t="s">
        <v>77</v>
      </c>
      <c r="E22" s="164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3"/>
      <c r="T22" s="24"/>
      <c r="U22" s="21"/>
      <c r="V22" s="21"/>
      <c r="W22" s="21"/>
      <c r="X22" s="24"/>
      <c r="Y22" s="21"/>
      <c r="Z22" s="21"/>
      <c r="AA22" s="21"/>
      <c r="AB22" s="24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4"/>
      <c r="AO22" s="21"/>
      <c r="AP22" s="21"/>
      <c r="AQ22" s="21"/>
      <c r="AR22" s="24"/>
      <c r="AS22" s="21"/>
      <c r="AT22" s="21"/>
      <c r="AU22" s="21"/>
      <c r="AV22" s="24"/>
      <c r="AW22" s="23"/>
      <c r="AX22" s="24"/>
      <c r="AY22" s="24"/>
      <c r="AZ22" s="25"/>
      <c r="BA22" s="26"/>
      <c r="BB22" s="26"/>
    </row>
    <row r="23" spans="1:54" ht="15.75" customHeight="1" x14ac:dyDescent="0.25">
      <c r="A23" s="21"/>
      <c r="B23" s="21"/>
      <c r="C23" s="27"/>
      <c r="D23" s="165"/>
      <c r="E23" s="164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3"/>
      <c r="T23" s="24"/>
      <c r="U23" s="21"/>
      <c r="V23" s="21"/>
      <c r="W23" s="21"/>
      <c r="X23" s="24"/>
      <c r="Y23" s="21"/>
      <c r="Z23" s="21"/>
      <c r="AA23" s="21"/>
      <c r="AB23" s="24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4"/>
      <c r="AO23" s="21"/>
      <c r="AP23" s="21"/>
      <c r="AQ23" s="21"/>
      <c r="AR23" s="24"/>
      <c r="AS23" s="21"/>
      <c r="AT23" s="21"/>
      <c r="AU23" s="21"/>
      <c r="AV23" s="24"/>
      <c r="AW23" s="23"/>
      <c r="AX23" s="24"/>
      <c r="AY23" s="24"/>
      <c r="AZ23" s="25"/>
      <c r="BA23" s="26"/>
      <c r="BB23" s="26"/>
    </row>
    <row r="24" spans="1:54" ht="15.75" customHeight="1" x14ac:dyDescent="0.25">
      <c r="A24" s="21"/>
      <c r="B24" s="21"/>
      <c r="C24" s="27" t="s">
        <v>78</v>
      </c>
      <c r="D24" s="165"/>
      <c r="E24" s="164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3"/>
      <c r="T24" s="24"/>
      <c r="U24" s="21"/>
      <c r="V24" s="21"/>
      <c r="W24" s="21"/>
      <c r="X24" s="24"/>
      <c r="Y24" s="21"/>
      <c r="Z24" s="21"/>
      <c r="AA24" s="21"/>
      <c r="AB24" s="24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4"/>
      <c r="AO24" s="21"/>
      <c r="AP24" s="21"/>
      <c r="AQ24" s="21"/>
      <c r="AR24" s="24"/>
      <c r="AS24" s="21"/>
      <c r="AT24" s="21"/>
      <c r="AU24" s="21"/>
      <c r="AV24" s="24"/>
      <c r="AW24" s="23"/>
      <c r="AX24" s="24"/>
      <c r="AY24" s="24"/>
      <c r="AZ24" s="25"/>
      <c r="BA24" s="26"/>
      <c r="BB24" s="26"/>
    </row>
    <row r="25" spans="1:54" s="104" customFormat="1" ht="15.75" customHeight="1" x14ac:dyDescent="0.25">
      <c r="A25" s="21"/>
      <c r="B25" s="21"/>
      <c r="C25" s="27"/>
      <c r="D25" s="102"/>
      <c r="E25" s="103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3"/>
      <c r="T25" s="24"/>
      <c r="U25" s="21"/>
      <c r="V25" s="21"/>
      <c r="W25" s="21"/>
      <c r="X25" s="24"/>
      <c r="Y25" s="21"/>
      <c r="Z25" s="21"/>
      <c r="AA25" s="21"/>
      <c r="AB25" s="24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4"/>
      <c r="AO25" s="21"/>
      <c r="AP25" s="21"/>
      <c r="AQ25" s="21"/>
      <c r="AR25" s="24"/>
      <c r="AS25" s="21"/>
      <c r="AT25" s="21"/>
      <c r="AU25" s="21"/>
      <c r="AV25" s="24"/>
      <c r="AW25" s="23"/>
      <c r="AX25" s="24"/>
      <c r="AY25" s="24"/>
      <c r="AZ25" s="25"/>
      <c r="BA25" s="26"/>
      <c r="BB25" s="26"/>
    </row>
    <row r="26" spans="1:54" s="104" customFormat="1" ht="15.75" customHeight="1" x14ac:dyDescent="0.25">
      <c r="A26" s="21"/>
      <c r="B26" s="21"/>
      <c r="C26" s="115" t="s">
        <v>127</v>
      </c>
      <c r="D26" s="172" t="s">
        <v>136</v>
      </c>
      <c r="E26" s="173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3"/>
      <c r="T26" s="24"/>
      <c r="U26" s="21"/>
      <c r="V26" s="21"/>
      <c r="W26" s="21"/>
      <c r="X26" s="24"/>
      <c r="Y26" s="21"/>
      <c r="Z26" s="21"/>
      <c r="AA26" s="21"/>
      <c r="AB26" s="24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4"/>
      <c r="AO26" s="21"/>
      <c r="AP26" s="21"/>
      <c r="AQ26" s="21"/>
      <c r="AR26" s="24"/>
      <c r="AS26" s="21"/>
      <c r="AT26" s="21"/>
      <c r="AU26" s="21"/>
      <c r="AV26" s="24"/>
      <c r="AW26" s="23"/>
      <c r="AX26" s="24"/>
      <c r="AY26" s="24"/>
      <c r="AZ26" s="25"/>
      <c r="BA26" s="26"/>
      <c r="BB26" s="26"/>
    </row>
    <row r="27" spans="1:54" ht="15.75" customHeight="1" x14ac:dyDescent="0.25">
      <c r="A27" s="21"/>
      <c r="B27" s="21"/>
      <c r="C27" s="27"/>
      <c r="D27" s="165"/>
      <c r="E27" s="164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3"/>
      <c r="T27" s="24"/>
      <c r="U27" s="21"/>
      <c r="V27" s="21"/>
      <c r="W27" s="21"/>
      <c r="X27" s="24"/>
      <c r="Y27" s="21"/>
      <c r="Z27" s="21"/>
      <c r="AA27" s="21"/>
      <c r="AB27" s="24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4"/>
      <c r="AO27" s="21"/>
      <c r="AP27" s="21"/>
      <c r="AQ27" s="21"/>
      <c r="AR27" s="24"/>
      <c r="AS27" s="21"/>
      <c r="AT27" s="21"/>
      <c r="AU27" s="21"/>
      <c r="AV27" s="24"/>
      <c r="AW27" s="23"/>
      <c r="AX27" s="24"/>
      <c r="AY27" s="24"/>
      <c r="AZ27" s="25"/>
      <c r="BA27" s="26"/>
      <c r="BB27" s="26"/>
    </row>
    <row r="28" spans="1:54" ht="15.75" customHeight="1" x14ac:dyDescent="0.25">
      <c r="A28" s="21"/>
      <c r="B28" s="21"/>
      <c r="C28" s="27" t="s">
        <v>79</v>
      </c>
      <c r="D28" s="28" t="s">
        <v>80</v>
      </c>
      <c r="E28" s="29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3"/>
      <c r="T28" s="24"/>
      <c r="U28" s="21"/>
      <c r="V28" s="21"/>
      <c r="W28" s="21"/>
      <c r="X28" s="24"/>
      <c r="Y28" s="21"/>
      <c r="Z28" s="21"/>
      <c r="AA28" s="21"/>
      <c r="AB28" s="24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4"/>
      <c r="AO28" s="21"/>
      <c r="AP28" s="21"/>
      <c r="AQ28" s="21"/>
      <c r="AR28" s="24"/>
      <c r="AS28" s="21"/>
      <c r="AT28" s="21"/>
      <c r="AU28" s="21"/>
      <c r="AV28" s="24"/>
      <c r="AW28" s="23"/>
      <c r="AX28" s="24"/>
      <c r="AY28" s="24"/>
      <c r="AZ28" s="25"/>
      <c r="BA28" s="26"/>
      <c r="BB28" s="26"/>
    </row>
    <row r="29" spans="1:54" ht="15.75" customHeight="1" thickBot="1" x14ac:dyDescent="0.3">
      <c r="A29" s="21"/>
      <c r="B29" s="21"/>
      <c r="C29" s="30"/>
      <c r="D29" s="186"/>
      <c r="E29" s="187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3"/>
      <c r="T29" s="24"/>
      <c r="U29" s="21"/>
      <c r="V29" s="21"/>
      <c r="W29" s="21"/>
      <c r="X29" s="24"/>
      <c r="Y29" s="21"/>
      <c r="Z29" s="21"/>
      <c r="AA29" s="21"/>
      <c r="AB29" s="24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4"/>
      <c r="AO29" s="21"/>
      <c r="AP29" s="21"/>
      <c r="AQ29" s="21"/>
      <c r="AR29" s="24"/>
      <c r="AS29" s="21"/>
      <c r="AT29" s="21"/>
      <c r="AU29" s="21"/>
      <c r="AV29" s="24"/>
      <c r="AW29" s="23"/>
      <c r="AX29" s="24"/>
      <c r="AY29" s="24"/>
      <c r="AZ29" s="25"/>
      <c r="BA29" s="26"/>
      <c r="BB29" s="26"/>
    </row>
    <row r="30" spans="1:54" ht="15.75" customHeight="1" thickBot="1" x14ac:dyDescent="0.3">
      <c r="A30" s="21"/>
      <c r="B30" s="21"/>
      <c r="C30" s="21"/>
      <c r="D30" s="21"/>
      <c r="E30" s="22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3"/>
      <c r="T30" s="24"/>
      <c r="U30" s="21"/>
      <c r="V30" s="21"/>
      <c r="W30" s="21"/>
      <c r="X30" s="24"/>
      <c r="Y30" s="21"/>
      <c r="Z30" s="21"/>
      <c r="AA30" s="21"/>
      <c r="AB30" s="24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4"/>
      <c r="AO30" s="21"/>
      <c r="AP30" s="21"/>
      <c r="AQ30" s="21"/>
      <c r="AR30" s="24"/>
      <c r="AS30" s="21"/>
      <c r="AT30" s="21"/>
      <c r="AU30" s="21"/>
      <c r="AV30" s="24"/>
      <c r="AW30" s="23"/>
      <c r="AX30" s="24"/>
      <c r="AY30" s="24"/>
      <c r="AZ30" s="25"/>
      <c r="BA30" s="26"/>
      <c r="BB30" s="26"/>
    </row>
    <row r="31" spans="1:54" ht="15.75" customHeight="1" x14ac:dyDescent="0.25">
      <c r="A31" s="31"/>
      <c r="B31" s="31"/>
      <c r="C31" s="180" t="s">
        <v>130</v>
      </c>
      <c r="D31" s="181"/>
      <c r="E31" s="182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2"/>
      <c r="T31" s="33"/>
      <c r="U31" s="31"/>
      <c r="V31" s="31"/>
      <c r="W31" s="31"/>
      <c r="X31" s="33"/>
      <c r="Y31" s="31"/>
      <c r="Z31" s="31"/>
      <c r="AA31" s="31"/>
      <c r="AB31" s="33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3"/>
      <c r="AO31" s="31"/>
      <c r="AP31" s="31"/>
      <c r="AQ31" s="31"/>
      <c r="AR31" s="33"/>
      <c r="AS31" s="31"/>
      <c r="AT31" s="31"/>
      <c r="AU31" s="31"/>
      <c r="AV31" s="33"/>
      <c r="AW31" s="32"/>
      <c r="AX31" s="33"/>
      <c r="AY31" s="33"/>
      <c r="AZ31" s="34"/>
      <c r="BA31" s="35"/>
      <c r="BB31" s="35"/>
    </row>
    <row r="32" spans="1:54" ht="27" customHeight="1" thickBot="1" x14ac:dyDescent="0.3">
      <c r="A32" s="10"/>
      <c r="B32" s="10"/>
      <c r="C32" s="183" t="str">
        <f>AZ10</f>
        <v>Estructura de caño de 25 x 25, esmaltado en Epoxi. Reforzada, 4 patas fijas con refuerzo perimetral, tapizado en cuerina de gran espesor. Que soporte hasta 150 kg.</v>
      </c>
      <c r="D32" s="184"/>
      <c r="E32" s="185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1"/>
      <c r="T32" s="9"/>
      <c r="U32" s="10"/>
      <c r="V32" s="10"/>
      <c r="W32" s="10"/>
      <c r="X32" s="9"/>
      <c r="Y32" s="10"/>
      <c r="Z32" s="10"/>
      <c r="AA32" s="10"/>
      <c r="AB32" s="9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9"/>
      <c r="AO32" s="10"/>
      <c r="AP32" s="10"/>
      <c r="AQ32" s="10"/>
      <c r="AR32" s="9"/>
      <c r="AS32" s="10"/>
      <c r="AT32" s="10"/>
      <c r="AU32" s="10"/>
      <c r="AV32" s="9"/>
      <c r="AW32" s="11"/>
      <c r="AX32" s="9"/>
      <c r="AY32" s="9"/>
      <c r="AZ32" s="12"/>
    </row>
    <row r="33" spans="1:54" ht="15.75" customHeight="1" thickBot="1" x14ac:dyDescent="0.3">
      <c r="A33" s="10"/>
      <c r="B33" s="10"/>
      <c r="C33" s="149"/>
      <c r="D33" s="36"/>
      <c r="E33" s="36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1"/>
      <c r="T33" s="9"/>
      <c r="U33" s="10"/>
      <c r="V33" s="10"/>
      <c r="W33" s="10"/>
      <c r="X33" s="9"/>
      <c r="Y33" s="10"/>
      <c r="Z33" s="10"/>
      <c r="AA33" s="10"/>
      <c r="AB33" s="9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9"/>
      <c r="AO33" s="10"/>
      <c r="AP33" s="10"/>
      <c r="AQ33" s="10"/>
      <c r="AR33" s="9"/>
      <c r="AS33" s="10"/>
      <c r="AT33" s="10"/>
      <c r="AU33" s="10"/>
      <c r="AV33" s="9"/>
      <c r="AW33" s="11"/>
      <c r="AX33" s="9"/>
      <c r="AY33" s="9"/>
      <c r="AZ33" s="12"/>
      <c r="BA33" s="37"/>
      <c r="BB33" s="37"/>
    </row>
    <row r="34" spans="1:54" ht="15.75" customHeight="1" x14ac:dyDescent="0.25">
      <c r="A34" s="31"/>
      <c r="B34" s="31"/>
      <c r="C34" s="180" t="s">
        <v>81</v>
      </c>
      <c r="D34" s="181"/>
      <c r="E34" s="182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2"/>
      <c r="T34" s="33"/>
      <c r="U34" s="31"/>
      <c r="V34" s="31"/>
      <c r="W34" s="31"/>
      <c r="X34" s="33"/>
      <c r="Y34" s="31"/>
      <c r="Z34" s="31"/>
      <c r="AA34" s="31"/>
      <c r="AB34" s="33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3"/>
      <c r="AO34" s="31"/>
      <c r="AP34" s="31"/>
      <c r="AQ34" s="31"/>
      <c r="AR34" s="33"/>
      <c r="AS34" s="31"/>
      <c r="AT34" s="31"/>
      <c r="AU34" s="31"/>
      <c r="AV34" s="33"/>
      <c r="AW34" s="32"/>
      <c r="AX34" s="33"/>
      <c r="AY34" s="33"/>
      <c r="AZ34" s="34"/>
      <c r="BA34" s="35"/>
      <c r="BB34" s="35"/>
    </row>
    <row r="35" spans="1:54" ht="33.75" customHeight="1" thickBot="1" x14ac:dyDescent="0.3">
      <c r="A35" s="10"/>
      <c r="B35" s="10"/>
      <c r="C35" s="183" t="str">
        <f>AZ11</f>
        <v>De tres planos, con estribos cromados y cajon, acolchado en cuero vinilico lavable. Estructura en caño fuerte de 3 cm de diámetro, con tratamiento epoxi, estribos removibles y con cabecera y piernera regulables manualmente. Bandeja debajo del cuerpo central de 20x20cm medidas mínimas. Sin arneses.</v>
      </c>
      <c r="D35" s="184"/>
      <c r="E35" s="185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1"/>
      <c r="T35" s="9"/>
      <c r="U35" s="10"/>
      <c r="V35" s="10"/>
      <c r="W35" s="10"/>
      <c r="X35" s="9"/>
      <c r="Y35" s="10"/>
      <c r="Z35" s="10"/>
      <c r="AA35" s="10"/>
      <c r="AB35" s="9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9"/>
      <c r="AO35" s="10"/>
      <c r="AP35" s="10"/>
      <c r="AQ35" s="10"/>
      <c r="AR35" s="9"/>
      <c r="AS35" s="10"/>
      <c r="AT35" s="10"/>
      <c r="AU35" s="10"/>
      <c r="AV35" s="9"/>
      <c r="AW35" s="11"/>
      <c r="AX35" s="9"/>
      <c r="AY35" s="9"/>
      <c r="AZ35" s="12"/>
    </row>
    <row r="36" spans="1:54" ht="15.75" customHeight="1" thickBot="1" x14ac:dyDescent="0.3">
      <c r="A36" s="10"/>
      <c r="B36" s="10"/>
      <c r="C36" s="149"/>
      <c r="D36" s="36"/>
      <c r="E36" s="36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1"/>
      <c r="T36" s="9"/>
      <c r="U36" s="10"/>
      <c r="V36" s="10"/>
      <c r="W36" s="10"/>
      <c r="X36" s="9"/>
      <c r="Y36" s="10"/>
      <c r="Z36" s="10"/>
      <c r="AA36" s="10"/>
      <c r="AB36" s="9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9"/>
      <c r="AO36" s="10"/>
      <c r="AP36" s="10"/>
      <c r="AQ36" s="10"/>
      <c r="AR36" s="9"/>
      <c r="AS36" s="10"/>
      <c r="AT36" s="10"/>
      <c r="AU36" s="10"/>
      <c r="AV36" s="9"/>
      <c r="AW36" s="11"/>
      <c r="AX36" s="9"/>
      <c r="AY36" s="9"/>
      <c r="AZ36" s="12"/>
      <c r="BA36" s="37"/>
      <c r="BB36" s="37"/>
    </row>
    <row r="37" spans="1:54" ht="15.75" customHeight="1" x14ac:dyDescent="0.25">
      <c r="A37" s="10"/>
      <c r="B37" s="10"/>
      <c r="C37" s="180" t="s">
        <v>82</v>
      </c>
      <c r="D37" s="181"/>
      <c r="E37" s="182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1"/>
      <c r="T37" s="9"/>
      <c r="U37" s="10"/>
      <c r="V37" s="10"/>
      <c r="W37" s="10"/>
      <c r="X37" s="9"/>
      <c r="Y37" s="10"/>
      <c r="Z37" s="10"/>
      <c r="AA37" s="10"/>
      <c r="AB37" s="9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9"/>
      <c r="AO37" s="10"/>
      <c r="AP37" s="10"/>
      <c r="AQ37" s="10"/>
      <c r="AR37" s="9"/>
      <c r="AS37" s="10"/>
      <c r="AT37" s="10"/>
      <c r="AU37" s="10"/>
      <c r="AV37" s="9"/>
      <c r="AW37" s="11"/>
      <c r="AX37" s="9"/>
      <c r="AY37" s="9"/>
      <c r="AZ37" s="12"/>
    </row>
    <row r="38" spans="1:54" ht="49.15" customHeight="1" thickBot="1" x14ac:dyDescent="0.3">
      <c r="A38" s="10"/>
      <c r="B38" s="10"/>
      <c r="C38" s="183" t="str">
        <f>AZ12</f>
        <v xml:space="preserve">Construido de caño de hierro cromado. Sólido y liviano, con secciones y espesores que soporten los esfuerzos a los que habitualmente están sometidos. Cabezal de iluminación pintado con pintura Epoxi. Integrado aproximadamente por 4 Leds de alta intensidad con mínima emisión de calor. Altura y ángulo de iluminación regulables a través de una articulación con freno a perilla. Tecla de encendido y cables normalizados. Base plástica de 5 ramas en estrella de 50 cm. con 5 ruedas giratorias duales. Altura aproximada: 140 mm  </v>
      </c>
      <c r="D38" s="184"/>
      <c r="E38" s="185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1"/>
      <c r="T38" s="9"/>
      <c r="U38" s="10"/>
      <c r="V38" s="10"/>
      <c r="W38" s="10"/>
      <c r="X38" s="9"/>
      <c r="Y38" s="10"/>
      <c r="Z38" s="10"/>
      <c r="AA38" s="10"/>
      <c r="AB38" s="9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9"/>
      <c r="AO38" s="10"/>
      <c r="AP38" s="10"/>
      <c r="AQ38" s="10"/>
      <c r="AR38" s="9"/>
      <c r="AS38" s="10"/>
      <c r="AT38" s="10"/>
      <c r="AU38" s="10"/>
      <c r="AV38" s="9"/>
      <c r="AW38" s="11"/>
      <c r="AX38" s="9"/>
      <c r="AY38" s="9"/>
      <c r="AZ38" s="12"/>
    </row>
    <row r="39" spans="1:54" ht="15.75" customHeight="1" thickBot="1" x14ac:dyDescent="0.3">
      <c r="A39" s="10"/>
      <c r="B39" s="10"/>
      <c r="C39" s="150"/>
      <c r="D39" s="150"/>
      <c r="E39" s="36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1"/>
      <c r="T39" s="9"/>
      <c r="U39" s="10"/>
      <c r="V39" s="10"/>
      <c r="W39" s="10"/>
      <c r="X39" s="9"/>
      <c r="Y39" s="10"/>
      <c r="Z39" s="10"/>
      <c r="AA39" s="10"/>
      <c r="AB39" s="9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9"/>
      <c r="AO39" s="10"/>
      <c r="AP39" s="10"/>
      <c r="AQ39" s="10"/>
      <c r="AR39" s="9"/>
      <c r="AS39" s="10"/>
      <c r="AT39" s="10"/>
      <c r="AU39" s="10"/>
      <c r="AV39" s="9"/>
      <c r="AW39" s="11"/>
      <c r="AX39" s="9"/>
      <c r="AY39" s="9"/>
      <c r="AZ39" s="12"/>
    </row>
    <row r="40" spans="1:54" ht="15.75" customHeight="1" x14ac:dyDescent="0.25">
      <c r="A40" s="10"/>
      <c r="B40" s="10"/>
      <c r="C40" s="180" t="s">
        <v>83</v>
      </c>
      <c r="D40" s="181"/>
      <c r="E40" s="182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1"/>
      <c r="T40" s="9"/>
      <c r="U40" s="10"/>
      <c r="V40" s="10"/>
      <c r="W40" s="10"/>
      <c r="X40" s="9"/>
      <c r="Y40" s="10"/>
      <c r="Z40" s="10"/>
      <c r="AA40" s="10"/>
      <c r="AB40" s="9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9"/>
      <c r="AO40" s="10"/>
      <c r="AP40" s="10"/>
      <c r="AQ40" s="10"/>
      <c r="AR40" s="9"/>
      <c r="AS40" s="10"/>
      <c r="AT40" s="10"/>
      <c r="AU40" s="10"/>
      <c r="AV40" s="9"/>
      <c r="AW40" s="11"/>
      <c r="AX40" s="9"/>
      <c r="AY40" s="9"/>
      <c r="AZ40" s="12"/>
    </row>
    <row r="41" spans="1:54" ht="40.15" customHeight="1" thickBot="1" x14ac:dyDescent="0.3">
      <c r="A41" s="10"/>
      <c r="B41" s="10"/>
      <c r="C41" s="183" t="str">
        <f>AZ13</f>
        <v>Acero cromada, peso 100 kg , pedanas y apoya brazos desmontables. Respaldo/asiento: cuerina gruesa. -Ancho asiento-respaldo abierto: 61 cm; -Ancho cerrado: 28 cm aprox. Ruedas de goma maciza. Cantidad de ruedas: 4.</v>
      </c>
      <c r="D41" s="184"/>
      <c r="E41" s="185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1"/>
      <c r="T41" s="9"/>
      <c r="U41" s="10"/>
      <c r="V41" s="10"/>
      <c r="W41" s="10"/>
      <c r="X41" s="9"/>
      <c r="Y41" s="10"/>
      <c r="Z41" s="10"/>
      <c r="AA41" s="10"/>
      <c r="AB41" s="9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9"/>
      <c r="AO41" s="10"/>
      <c r="AP41" s="10"/>
      <c r="AQ41" s="10"/>
      <c r="AR41" s="9"/>
      <c r="AS41" s="10"/>
      <c r="AT41" s="10"/>
      <c r="AU41" s="10"/>
      <c r="AV41" s="9"/>
      <c r="AW41" s="11"/>
      <c r="AX41" s="9"/>
      <c r="AY41" s="9"/>
      <c r="AZ41" s="12"/>
    </row>
    <row r="42" spans="1:54" ht="15.75" customHeight="1" x14ac:dyDescent="0.25">
      <c r="A42" s="10"/>
      <c r="B42" s="10"/>
      <c r="C42" s="10"/>
      <c r="D42" s="10"/>
      <c r="E42" s="36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1"/>
      <c r="T42" s="9"/>
      <c r="U42" s="10"/>
      <c r="V42" s="10"/>
      <c r="W42" s="10"/>
      <c r="X42" s="9"/>
      <c r="Y42" s="10"/>
      <c r="Z42" s="10"/>
      <c r="AA42" s="10"/>
      <c r="AB42" s="9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9"/>
      <c r="AO42" s="10"/>
      <c r="AP42" s="10"/>
      <c r="AQ42" s="10"/>
      <c r="AR42" s="9"/>
      <c r="AS42" s="10"/>
      <c r="AT42" s="10"/>
      <c r="AU42" s="10"/>
      <c r="AV42" s="9"/>
      <c r="AW42" s="11"/>
      <c r="AX42" s="9"/>
      <c r="AY42" s="9"/>
      <c r="AZ42" s="12"/>
    </row>
    <row r="43" spans="1:54" ht="15.75" customHeight="1" x14ac:dyDescent="0.25">
      <c r="A43" s="10"/>
      <c r="B43" s="10"/>
      <c r="C43" s="10"/>
      <c r="D43" s="10"/>
      <c r="E43" s="36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1"/>
      <c r="T43" s="9"/>
      <c r="U43" s="10"/>
      <c r="V43" s="10"/>
      <c r="W43" s="10"/>
      <c r="X43" s="9"/>
      <c r="Y43" s="10"/>
      <c r="Z43" s="10"/>
      <c r="AA43" s="10"/>
      <c r="AB43" s="9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9"/>
      <c r="AO43" s="10"/>
      <c r="AP43" s="10"/>
      <c r="AQ43" s="10"/>
      <c r="AR43" s="9"/>
      <c r="AS43" s="10"/>
      <c r="AT43" s="10"/>
      <c r="AU43" s="10"/>
      <c r="AV43" s="9"/>
      <c r="AW43" s="11"/>
      <c r="AX43" s="9"/>
      <c r="AY43" s="9"/>
      <c r="AZ43" s="12"/>
    </row>
    <row r="44" spans="1:54" ht="15.75" customHeight="1" x14ac:dyDescent="0.25">
      <c r="A44" s="10"/>
      <c r="B44" s="10"/>
      <c r="C44" s="10"/>
      <c r="D44" s="10"/>
      <c r="E44" s="3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1"/>
      <c r="T44" s="9"/>
      <c r="U44" s="10"/>
      <c r="V44" s="10"/>
      <c r="W44" s="10"/>
      <c r="X44" s="9"/>
      <c r="Y44" s="10"/>
      <c r="Z44" s="10"/>
      <c r="AA44" s="10"/>
      <c r="AB44" s="9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9"/>
      <c r="AO44" s="10"/>
      <c r="AP44" s="10"/>
      <c r="AQ44" s="10"/>
      <c r="AR44" s="9"/>
      <c r="AS44" s="10"/>
      <c r="AT44" s="10"/>
      <c r="AU44" s="10"/>
      <c r="AV44" s="9"/>
      <c r="AW44" s="11"/>
      <c r="AX44" s="9"/>
      <c r="AY44" s="9"/>
      <c r="AZ44" s="12"/>
    </row>
    <row r="45" spans="1:54" ht="15.75" customHeight="1" x14ac:dyDescent="0.25">
      <c r="A45" s="10"/>
      <c r="B45" s="10"/>
      <c r="C45" s="10"/>
      <c r="D45" s="10"/>
      <c r="E45" s="36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1"/>
      <c r="T45" s="9"/>
      <c r="U45" s="10"/>
      <c r="V45" s="10"/>
      <c r="W45" s="10"/>
      <c r="X45" s="9"/>
      <c r="Y45" s="10"/>
      <c r="Z45" s="10"/>
      <c r="AA45" s="10"/>
      <c r="AB45" s="9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9"/>
      <c r="AO45" s="10"/>
      <c r="AP45" s="10"/>
      <c r="AQ45" s="10"/>
      <c r="AR45" s="9"/>
      <c r="AS45" s="10"/>
      <c r="AT45" s="10"/>
      <c r="AU45" s="10"/>
      <c r="AV45" s="9"/>
      <c r="AW45" s="11"/>
      <c r="AX45" s="9"/>
      <c r="AY45" s="9"/>
      <c r="AZ45" s="12"/>
    </row>
  </sheetData>
  <mergeCells count="26">
    <mergeCell ref="C40:E40"/>
    <mergeCell ref="C41:E41"/>
    <mergeCell ref="C37:E37"/>
    <mergeCell ref="C38:E38"/>
    <mergeCell ref="D23:E23"/>
    <mergeCell ref="D24:E24"/>
    <mergeCell ref="D27:E27"/>
    <mergeCell ref="D29:E29"/>
    <mergeCell ref="C31:E31"/>
    <mergeCell ref="C32:E32"/>
    <mergeCell ref="C35:E35"/>
    <mergeCell ref="C34:E34"/>
    <mergeCell ref="D22:E22"/>
    <mergeCell ref="D26:E26"/>
    <mergeCell ref="C18:E18"/>
    <mergeCell ref="A6:B6"/>
    <mergeCell ref="B2:AX2"/>
    <mergeCell ref="A4:B4"/>
    <mergeCell ref="C4:E4"/>
    <mergeCell ref="A5:B5"/>
    <mergeCell ref="C5:E5"/>
    <mergeCell ref="A7:B7"/>
    <mergeCell ref="D19:E19"/>
    <mergeCell ref="D21:E21"/>
    <mergeCell ref="D20:E20"/>
    <mergeCell ref="C17:E17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Views>
    <sheetView zoomScaleNormal="100" workbookViewId="0">
      <selection activeCell="C15" sqref="C15:G15"/>
    </sheetView>
  </sheetViews>
  <sheetFormatPr baseColWidth="10" defaultColWidth="14.42578125" defaultRowHeight="15" customHeight="1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89.28515625" customWidth="1"/>
    <col min="8" max="8" width="9.28515625" customWidth="1"/>
    <col min="9" max="9" width="15.5703125" customWidth="1"/>
    <col min="10" max="10" width="16.28515625" customWidth="1"/>
    <col min="11" max="11" width="15.5703125" customWidth="1"/>
  </cols>
  <sheetData>
    <row r="1" spans="1:11" ht="30" x14ac:dyDescent="0.25">
      <c r="A1" s="197" t="s">
        <v>84</v>
      </c>
      <c r="B1" s="198"/>
      <c r="C1" s="198"/>
      <c r="D1" s="198"/>
      <c r="E1" s="198"/>
      <c r="F1" s="198"/>
      <c r="G1" s="198"/>
      <c r="H1" s="198"/>
      <c r="I1" s="198"/>
      <c r="J1" s="38" t="s">
        <v>85</v>
      </c>
      <c r="K1" s="154" t="s">
        <v>138</v>
      </c>
    </row>
    <row r="2" spans="1:11" ht="15.75" x14ac:dyDescent="0.25">
      <c r="A2" s="39"/>
      <c r="B2" s="40"/>
      <c r="C2" s="41"/>
      <c r="D2" s="42"/>
      <c r="E2" s="42"/>
      <c r="F2" s="42"/>
      <c r="G2" s="42"/>
      <c r="H2" s="42"/>
      <c r="I2" s="42"/>
      <c r="J2" s="43"/>
      <c r="K2" s="44"/>
    </row>
    <row r="3" spans="1:11" ht="22.5" customHeight="1" x14ac:dyDescent="0.25">
      <c r="A3" s="190" t="s">
        <v>86</v>
      </c>
      <c r="B3" s="191"/>
      <c r="C3" s="191"/>
      <c r="D3" s="45" t="s">
        <v>2</v>
      </c>
      <c r="E3" s="46"/>
      <c r="F3" s="46"/>
      <c r="G3" s="46"/>
      <c r="H3" s="46"/>
      <c r="I3" s="46"/>
      <c r="J3" s="47"/>
      <c r="K3" s="48"/>
    </row>
    <row r="4" spans="1:11" ht="22.5" customHeight="1" x14ac:dyDescent="0.25">
      <c r="A4" s="192" t="s">
        <v>87</v>
      </c>
      <c r="B4" s="193"/>
      <c r="C4" s="193"/>
      <c r="D4" s="45" t="s">
        <v>88</v>
      </c>
      <c r="E4" s="46"/>
      <c r="F4" s="46"/>
      <c r="G4" s="46"/>
      <c r="H4" s="46"/>
      <c r="I4" s="46"/>
      <c r="J4" s="47"/>
      <c r="K4" s="48"/>
    </row>
    <row r="5" spans="1:11" ht="22.5" customHeight="1" x14ac:dyDescent="0.25">
      <c r="A5" s="192" t="s">
        <v>89</v>
      </c>
      <c r="B5" s="193"/>
      <c r="C5" s="193"/>
      <c r="D5" s="45" t="s">
        <v>90</v>
      </c>
      <c r="E5" s="46"/>
      <c r="F5" s="46"/>
      <c r="G5" s="46"/>
      <c r="H5" s="46"/>
      <c r="I5" s="46"/>
      <c r="J5" s="47"/>
      <c r="K5" s="48"/>
    </row>
    <row r="6" spans="1:11" ht="22.5" customHeight="1" x14ac:dyDescent="0.25">
      <c r="A6" s="190" t="s">
        <v>91</v>
      </c>
      <c r="B6" s="191"/>
      <c r="C6" s="191"/>
      <c r="D6" s="45" t="s">
        <v>90</v>
      </c>
      <c r="E6" s="46"/>
      <c r="F6" s="46"/>
      <c r="G6" s="46"/>
      <c r="H6" s="46"/>
      <c r="I6" s="46"/>
      <c r="J6" s="47"/>
      <c r="K6" s="48"/>
    </row>
    <row r="7" spans="1:11" ht="22.5" customHeight="1" x14ac:dyDescent="0.25">
      <c r="A7" s="192" t="s">
        <v>92</v>
      </c>
      <c r="B7" s="193"/>
      <c r="C7" s="193"/>
      <c r="D7" s="45" t="s">
        <v>135</v>
      </c>
      <c r="E7" s="46"/>
      <c r="F7" s="46"/>
      <c r="G7" s="46"/>
      <c r="H7" s="46"/>
      <c r="I7" s="46"/>
      <c r="J7" s="47"/>
      <c r="K7" s="48"/>
    </row>
    <row r="8" spans="1:11" ht="22.5" customHeight="1" x14ac:dyDescent="0.25">
      <c r="A8" s="194" t="s">
        <v>93</v>
      </c>
      <c r="B8" s="195"/>
      <c r="C8" s="196"/>
      <c r="D8" s="49" t="s">
        <v>137</v>
      </c>
      <c r="E8" s="46"/>
      <c r="F8" s="46"/>
      <c r="G8" s="46"/>
      <c r="H8" s="46"/>
      <c r="I8" s="46"/>
      <c r="J8" s="47"/>
      <c r="K8" s="48"/>
    </row>
    <row r="9" spans="1:11" ht="16.5" thickBot="1" x14ac:dyDescent="0.3">
      <c r="A9" s="50"/>
      <c r="B9" s="51"/>
      <c r="C9" s="52"/>
      <c r="D9" s="53"/>
      <c r="E9" s="53"/>
      <c r="F9" s="53"/>
      <c r="G9" s="53"/>
      <c r="H9" s="53"/>
      <c r="I9" s="53"/>
      <c r="J9" s="54"/>
      <c r="K9" s="55"/>
    </row>
    <row r="10" spans="1:11" x14ac:dyDescent="0.25">
      <c r="A10" s="188" t="s">
        <v>94</v>
      </c>
      <c r="B10" s="199" t="s">
        <v>95</v>
      </c>
      <c r="C10" s="204" t="s">
        <v>96</v>
      </c>
      <c r="D10" s="205"/>
      <c r="E10" s="205"/>
      <c r="F10" s="205"/>
      <c r="G10" s="206"/>
      <c r="H10" s="199" t="s">
        <v>97</v>
      </c>
      <c r="I10" s="199" t="s">
        <v>98</v>
      </c>
      <c r="J10" s="203" t="s">
        <v>99</v>
      </c>
      <c r="K10" s="201" t="s">
        <v>100</v>
      </c>
    </row>
    <row r="11" spans="1:11" ht="36.75" customHeight="1" thickBot="1" x14ac:dyDescent="0.3">
      <c r="A11" s="189"/>
      <c r="B11" s="200"/>
      <c r="C11" s="207"/>
      <c r="D11" s="208"/>
      <c r="E11" s="208"/>
      <c r="F11" s="208"/>
      <c r="G11" s="209"/>
      <c r="H11" s="200"/>
      <c r="I11" s="200"/>
      <c r="J11" s="200"/>
      <c r="K11" s="202"/>
    </row>
    <row r="12" spans="1:11" ht="37.5" customHeight="1" x14ac:dyDescent="0.25">
      <c r="A12" s="155">
        <v>1</v>
      </c>
      <c r="B12" s="156" t="str">
        <f>'SAF 011 - NECESIDAD TRIMESTRAL'!B10</f>
        <v>4.3.3-1719.21</v>
      </c>
      <c r="C12" s="210" t="str">
        <f>'SAF 011 - NECESIDAD TRIMESTRAL'!E10</f>
        <v>CAMILLAS; ANCHO: 50 Cm, LARGO: 200 Cm, ALTO: 75 Cm, ARNESES: SIN, TIPO: EXAMEN</v>
      </c>
      <c r="D12" s="211"/>
      <c r="E12" s="211"/>
      <c r="F12" s="211"/>
      <c r="G12" s="212"/>
      <c r="H12" s="156" t="s">
        <v>101</v>
      </c>
      <c r="I12" s="157" t="str">
        <f>'SAF 011 - NECESIDAD TRIMESTRAL'!F10</f>
        <v>UNIDAD</v>
      </c>
      <c r="J12" s="158">
        <f>'SAF 011 - NECESIDAD TRIMESTRAL'!AX10</f>
        <v>32000</v>
      </c>
      <c r="K12" s="159">
        <f>'SAF 011 - NECESIDAD TRIMESTRAL'!AU10</f>
        <v>80</v>
      </c>
    </row>
    <row r="13" spans="1:11" ht="37.5" customHeight="1" x14ac:dyDescent="0.25">
      <c r="A13" s="56">
        <v>2</v>
      </c>
      <c r="B13" s="57" t="str">
        <f>'SAF 011 - NECESIDAD TRIMESTRAL'!B11</f>
        <v>4.3.3-1719.14</v>
      </c>
      <c r="C13" s="217" t="str">
        <f>'SAF 011 - NECESIDAD TRIMESTRAL'!E11</f>
        <v>CAMILLAS; ANCHO: 55 Cm, LARGO: 180 Cm, ALTO: 70 Cm, ARNESES: SIN VALOR, TIPO: GINECOLOGICA</v>
      </c>
      <c r="D13" s="218"/>
      <c r="E13" s="218"/>
      <c r="F13" s="218"/>
      <c r="G13" s="219"/>
      <c r="H13" s="57" t="s">
        <v>101</v>
      </c>
      <c r="I13" s="58" t="str">
        <f>'SAF 011 - NECESIDAD TRIMESTRAL'!F11</f>
        <v>UNIDAD</v>
      </c>
      <c r="J13" s="59">
        <f>'SAF 011 - NECESIDAD TRIMESTRAL'!AX11</f>
        <v>53000</v>
      </c>
      <c r="K13" s="60">
        <f>'SAF 011 - NECESIDAD TRIMESTRAL'!AU11</f>
        <v>10</v>
      </c>
    </row>
    <row r="14" spans="1:11" ht="37.5" customHeight="1" x14ac:dyDescent="0.25">
      <c r="A14" s="56">
        <v>3</v>
      </c>
      <c r="B14" s="57" t="str">
        <f>'SAF 011 - NECESIDAD TRIMESTRAL'!B12</f>
        <v>4.3.3-7797.2</v>
      </c>
      <c r="C14" s="217" t="str">
        <f>'SAF 011 - NECESIDAD TRIMESTRAL'!E12</f>
        <v>FOTOSFOROS; TIPO: RODANTE, USO: MEDICO</v>
      </c>
      <c r="D14" s="218"/>
      <c r="E14" s="218"/>
      <c r="F14" s="218"/>
      <c r="G14" s="219"/>
      <c r="H14" s="57" t="s">
        <v>101</v>
      </c>
      <c r="I14" s="58" t="str">
        <f>'SAF 011 - NECESIDAD TRIMESTRAL'!F12</f>
        <v>UNIDAD</v>
      </c>
      <c r="J14" s="59">
        <f>'SAF 011 - NECESIDAD TRIMESTRAL'!AX12</f>
        <v>19000</v>
      </c>
      <c r="K14" s="60">
        <f>'SAF 011 - NECESIDAD TRIMESTRAL'!AU12</f>
        <v>30</v>
      </c>
    </row>
    <row r="15" spans="1:11" ht="37.5" customHeight="1" x14ac:dyDescent="0.25">
      <c r="A15" s="56">
        <v>4</v>
      </c>
      <c r="B15" s="57" t="str">
        <f>'SAF 011 - NECESIDAD TRIMESTRAL'!B13</f>
        <v>4.3.3-1711.9</v>
      </c>
      <c r="C15" s="217" t="str">
        <f>'SAF 011 - NECESIDAD TRIMESTRAL'!E13</f>
        <v>SILLAS DE RUEDAS; ANCHO: 61 Cm, APOYABRAZO: DESMONTABLE, PIERNERA: DESMONTABLE, FRENO: CON, MATERIAL: METALICA CROMADA</v>
      </c>
      <c r="D15" s="218"/>
      <c r="E15" s="218"/>
      <c r="F15" s="218"/>
      <c r="G15" s="219"/>
      <c r="H15" s="57" t="s">
        <v>101</v>
      </c>
      <c r="I15" s="58" t="str">
        <f>'SAF 011 - NECESIDAD TRIMESTRAL'!F13</f>
        <v>UNIDAD</v>
      </c>
      <c r="J15" s="59">
        <f>'SAF 011 - NECESIDAD TRIMESTRAL'!AX13</f>
        <v>43000</v>
      </c>
      <c r="K15" s="60">
        <f>'SAF 011 - NECESIDAD TRIMESTRAL'!AU13</f>
        <v>28</v>
      </c>
    </row>
    <row r="16" spans="1:11" ht="15.75" customHeight="1" x14ac:dyDescent="0.25">
      <c r="A16" s="61"/>
      <c r="B16" s="62"/>
      <c r="C16" s="220"/>
      <c r="D16" s="221"/>
      <c r="E16" s="221"/>
      <c r="F16" s="221"/>
      <c r="G16" s="222"/>
      <c r="H16" s="62"/>
      <c r="I16" s="63"/>
      <c r="J16" s="64"/>
      <c r="K16" s="65"/>
    </row>
    <row r="17" spans="1:11" ht="31.5" customHeight="1" x14ac:dyDescent="0.25">
      <c r="A17" s="215" t="s">
        <v>139</v>
      </c>
      <c r="B17" s="216"/>
      <c r="C17" s="216"/>
      <c r="D17" s="216"/>
      <c r="E17" s="216"/>
      <c r="F17" s="216"/>
      <c r="G17" s="216"/>
      <c r="H17" s="216"/>
      <c r="I17" s="187"/>
      <c r="J17" s="213">
        <f>SUMPRODUCT(J12:J15,K12:K15)</f>
        <v>4864000</v>
      </c>
      <c r="K17" s="214"/>
    </row>
    <row r="18" spans="1:11" ht="15.75" customHeight="1" x14ac:dyDescent="0.25">
      <c r="B18" s="66"/>
      <c r="J18" s="67"/>
    </row>
    <row r="19" spans="1:11" ht="15.75" customHeight="1" x14ac:dyDescent="0.25">
      <c r="B19" s="66"/>
      <c r="J19" s="67"/>
    </row>
    <row r="20" spans="1:11" ht="15.75" customHeight="1" x14ac:dyDescent="0.25">
      <c r="B20" s="66"/>
      <c r="J20" s="67"/>
    </row>
    <row r="21" spans="1:11" ht="15.75" customHeight="1" x14ac:dyDescent="0.25">
      <c r="B21" s="66"/>
      <c r="J21" s="67"/>
    </row>
    <row r="22" spans="1:11" ht="15.75" customHeight="1" x14ac:dyDescent="0.25">
      <c r="B22" s="66"/>
      <c r="J22" s="67"/>
    </row>
    <row r="23" spans="1:11" ht="15.75" customHeight="1" x14ac:dyDescent="0.25">
      <c r="B23" s="66"/>
      <c r="J23" s="67"/>
    </row>
    <row r="24" spans="1:11" ht="15.75" customHeight="1" x14ac:dyDescent="0.25">
      <c r="B24" s="66"/>
      <c r="J24" s="67"/>
    </row>
    <row r="25" spans="1:11" ht="15.75" customHeight="1" x14ac:dyDescent="0.25">
      <c r="B25" s="66"/>
      <c r="J25" s="67"/>
    </row>
    <row r="26" spans="1:11" ht="15.75" customHeight="1" x14ac:dyDescent="0.25">
      <c r="B26" s="66"/>
      <c r="J26" s="67"/>
    </row>
    <row r="27" spans="1:11" ht="15.75" customHeight="1" x14ac:dyDescent="0.25">
      <c r="B27" s="66"/>
      <c r="J27" s="67"/>
    </row>
    <row r="28" spans="1:11" ht="15.75" customHeight="1" x14ac:dyDescent="0.25">
      <c r="B28" s="66"/>
      <c r="J28" s="67"/>
    </row>
    <row r="29" spans="1:11" ht="15.75" customHeight="1" x14ac:dyDescent="0.25">
      <c r="B29" s="66"/>
      <c r="J29" s="67"/>
    </row>
    <row r="30" spans="1:11" ht="15.75" customHeight="1" x14ac:dyDescent="0.25">
      <c r="B30" s="66"/>
      <c r="J30" s="67"/>
    </row>
    <row r="31" spans="1:11" ht="15.75" customHeight="1" x14ac:dyDescent="0.25">
      <c r="B31" s="66"/>
      <c r="J31" s="67"/>
    </row>
    <row r="32" spans="1:11" ht="15.75" customHeight="1" x14ac:dyDescent="0.25">
      <c r="B32" s="66"/>
      <c r="J32" s="67"/>
    </row>
    <row r="33" spans="2:10" ht="15.75" customHeight="1" x14ac:dyDescent="0.25">
      <c r="B33" s="66"/>
      <c r="J33" s="67"/>
    </row>
    <row r="34" spans="2:10" ht="15.75" customHeight="1" x14ac:dyDescent="0.25">
      <c r="B34" s="66"/>
      <c r="J34" s="67"/>
    </row>
    <row r="35" spans="2:10" ht="15.75" customHeight="1" x14ac:dyDescent="0.25">
      <c r="B35" s="66"/>
      <c r="J35" s="67"/>
    </row>
    <row r="36" spans="2:10" ht="15.75" customHeight="1" x14ac:dyDescent="0.25">
      <c r="B36" s="66"/>
      <c r="J36" s="67"/>
    </row>
    <row r="37" spans="2:10" ht="15.75" customHeight="1" x14ac:dyDescent="0.25">
      <c r="B37" s="66"/>
      <c r="J37" s="67"/>
    </row>
    <row r="38" spans="2:10" ht="15.75" customHeight="1" x14ac:dyDescent="0.25">
      <c r="B38" s="66"/>
      <c r="J38" s="67"/>
    </row>
    <row r="39" spans="2:10" ht="15.75" customHeight="1" x14ac:dyDescent="0.25">
      <c r="B39" s="66"/>
      <c r="J39" s="67"/>
    </row>
    <row r="40" spans="2:10" ht="15.75" customHeight="1" x14ac:dyDescent="0.25">
      <c r="B40" s="66"/>
      <c r="J40" s="67"/>
    </row>
    <row r="41" spans="2:10" ht="15.75" customHeight="1" x14ac:dyDescent="0.25">
      <c r="B41" s="66"/>
      <c r="J41" s="67"/>
    </row>
    <row r="42" spans="2:10" ht="15.75" customHeight="1" x14ac:dyDescent="0.25">
      <c r="B42" s="66"/>
      <c r="J42" s="67"/>
    </row>
    <row r="43" spans="2:10" ht="15.75" customHeight="1" x14ac:dyDescent="0.25">
      <c r="B43" s="66"/>
      <c r="J43" s="67"/>
    </row>
    <row r="44" spans="2:10" ht="15.75" customHeight="1" x14ac:dyDescent="0.25">
      <c r="B44" s="66"/>
      <c r="J44" s="67"/>
    </row>
    <row r="45" spans="2:10" ht="15.75" customHeight="1" x14ac:dyDescent="0.25">
      <c r="B45" s="66"/>
      <c r="J45" s="67"/>
    </row>
    <row r="46" spans="2:10" ht="15.75" customHeight="1" x14ac:dyDescent="0.25">
      <c r="B46" s="66"/>
      <c r="J46" s="67"/>
    </row>
    <row r="47" spans="2:10" ht="15.75" customHeight="1" x14ac:dyDescent="0.25">
      <c r="B47" s="66"/>
      <c r="J47" s="67"/>
    </row>
    <row r="48" spans="2:10" ht="15.75" customHeight="1" x14ac:dyDescent="0.25">
      <c r="B48" s="66"/>
      <c r="J48" s="67"/>
    </row>
    <row r="49" spans="2:10" ht="15.75" customHeight="1" x14ac:dyDescent="0.25">
      <c r="B49" s="66"/>
      <c r="J49" s="67"/>
    </row>
    <row r="50" spans="2:10" ht="15.75" customHeight="1" x14ac:dyDescent="0.25">
      <c r="B50" s="66"/>
      <c r="J50" s="67"/>
    </row>
    <row r="51" spans="2:10" ht="15.75" customHeight="1" x14ac:dyDescent="0.25">
      <c r="B51" s="66"/>
      <c r="J51" s="67"/>
    </row>
    <row r="52" spans="2:10" ht="15.75" customHeight="1" x14ac:dyDescent="0.25">
      <c r="B52" s="66"/>
      <c r="J52" s="67"/>
    </row>
    <row r="53" spans="2:10" ht="15.75" customHeight="1" x14ac:dyDescent="0.25">
      <c r="B53" s="66"/>
      <c r="J53" s="67"/>
    </row>
    <row r="54" spans="2:10" ht="15.75" customHeight="1" x14ac:dyDescent="0.25">
      <c r="B54" s="66"/>
      <c r="J54" s="67"/>
    </row>
    <row r="55" spans="2:10" ht="15.75" customHeight="1" x14ac:dyDescent="0.25">
      <c r="B55" s="66"/>
      <c r="J55" s="67"/>
    </row>
    <row r="56" spans="2:10" ht="15.75" customHeight="1" x14ac:dyDescent="0.25">
      <c r="B56" s="66"/>
      <c r="J56" s="67"/>
    </row>
    <row r="57" spans="2:10" ht="15.75" customHeight="1" x14ac:dyDescent="0.25">
      <c r="B57" s="66"/>
      <c r="J57" s="67"/>
    </row>
    <row r="58" spans="2:10" ht="15.75" customHeight="1" x14ac:dyDescent="0.25">
      <c r="B58" s="66"/>
      <c r="J58" s="67"/>
    </row>
    <row r="59" spans="2:10" ht="15.75" customHeight="1" x14ac:dyDescent="0.25">
      <c r="B59" s="66"/>
      <c r="J59" s="67"/>
    </row>
    <row r="60" spans="2:10" ht="15.75" customHeight="1" x14ac:dyDescent="0.25">
      <c r="B60" s="66"/>
      <c r="J60" s="67"/>
    </row>
    <row r="61" spans="2:10" ht="15.75" customHeight="1" x14ac:dyDescent="0.25">
      <c r="B61" s="66"/>
      <c r="J61" s="67"/>
    </row>
    <row r="62" spans="2:10" ht="15.75" customHeight="1" x14ac:dyDescent="0.25">
      <c r="B62" s="66"/>
      <c r="J62" s="67"/>
    </row>
    <row r="63" spans="2:10" ht="15.75" customHeight="1" x14ac:dyDescent="0.25">
      <c r="B63" s="66"/>
      <c r="J63" s="67"/>
    </row>
    <row r="64" spans="2:10" ht="15.75" customHeight="1" x14ac:dyDescent="0.25">
      <c r="B64" s="66"/>
      <c r="J64" s="67"/>
    </row>
    <row r="65" spans="2:10" ht="15.75" customHeight="1" x14ac:dyDescent="0.25">
      <c r="B65" s="66"/>
      <c r="J65" s="67"/>
    </row>
    <row r="66" spans="2:10" ht="15.75" customHeight="1" x14ac:dyDescent="0.25">
      <c r="B66" s="66"/>
      <c r="J66" s="67"/>
    </row>
    <row r="67" spans="2:10" ht="15.75" customHeight="1" x14ac:dyDescent="0.25">
      <c r="B67" s="66"/>
      <c r="J67" s="67"/>
    </row>
    <row r="68" spans="2:10" ht="15.75" customHeight="1" x14ac:dyDescent="0.25">
      <c r="B68" s="66"/>
      <c r="J68" s="67"/>
    </row>
    <row r="69" spans="2:10" ht="15.75" customHeight="1" x14ac:dyDescent="0.25">
      <c r="B69" s="66"/>
      <c r="J69" s="67"/>
    </row>
    <row r="70" spans="2:10" ht="15.75" customHeight="1" x14ac:dyDescent="0.25">
      <c r="B70" s="66"/>
      <c r="J70" s="67"/>
    </row>
    <row r="71" spans="2:10" ht="15.75" customHeight="1" x14ac:dyDescent="0.25">
      <c r="B71" s="66"/>
      <c r="J71" s="67"/>
    </row>
    <row r="72" spans="2:10" ht="15.75" customHeight="1" x14ac:dyDescent="0.25">
      <c r="B72" s="66"/>
      <c r="J72" s="67"/>
    </row>
    <row r="73" spans="2:10" ht="15.75" customHeight="1" x14ac:dyDescent="0.25">
      <c r="B73" s="66"/>
      <c r="J73" s="67"/>
    </row>
    <row r="74" spans="2:10" ht="15.75" customHeight="1" x14ac:dyDescent="0.25">
      <c r="B74" s="66"/>
      <c r="J74" s="67"/>
    </row>
    <row r="75" spans="2:10" ht="15.75" customHeight="1" x14ac:dyDescent="0.25">
      <c r="B75" s="66"/>
      <c r="J75" s="67"/>
    </row>
    <row r="76" spans="2:10" ht="15.75" customHeight="1" x14ac:dyDescent="0.25">
      <c r="B76" s="66"/>
      <c r="J76" s="67"/>
    </row>
    <row r="77" spans="2:10" ht="15.75" customHeight="1" x14ac:dyDescent="0.25">
      <c r="B77" s="66"/>
      <c r="J77" s="67"/>
    </row>
    <row r="78" spans="2:10" ht="15.75" customHeight="1" x14ac:dyDescent="0.25">
      <c r="B78" s="66"/>
      <c r="J78" s="67"/>
    </row>
    <row r="79" spans="2:10" ht="15.75" customHeight="1" x14ac:dyDescent="0.25">
      <c r="B79" s="66"/>
      <c r="J79" s="67"/>
    </row>
    <row r="80" spans="2:10" ht="15.75" customHeight="1" x14ac:dyDescent="0.25">
      <c r="B80" s="66"/>
      <c r="J80" s="67"/>
    </row>
    <row r="81" spans="2:10" ht="15.75" customHeight="1" x14ac:dyDescent="0.25">
      <c r="B81" s="66"/>
      <c r="J81" s="67"/>
    </row>
    <row r="82" spans="2:10" ht="15.75" customHeight="1" x14ac:dyDescent="0.25">
      <c r="B82" s="66"/>
      <c r="J82" s="67"/>
    </row>
    <row r="83" spans="2:10" ht="15.75" customHeight="1" x14ac:dyDescent="0.25">
      <c r="B83" s="66"/>
      <c r="J83" s="67"/>
    </row>
    <row r="84" spans="2:10" ht="15.75" customHeight="1" x14ac:dyDescent="0.25">
      <c r="B84" s="66"/>
      <c r="J84" s="67"/>
    </row>
    <row r="85" spans="2:10" ht="15.75" customHeight="1" x14ac:dyDescent="0.25">
      <c r="B85" s="66"/>
      <c r="J85" s="67"/>
    </row>
  </sheetData>
  <mergeCells count="21">
    <mergeCell ref="C12:G12"/>
    <mergeCell ref="J17:K17"/>
    <mergeCell ref="A17:I17"/>
    <mergeCell ref="C14:G14"/>
    <mergeCell ref="C15:G15"/>
    <mergeCell ref="C16:G16"/>
    <mergeCell ref="C13:G13"/>
    <mergeCell ref="K10:K11"/>
    <mergeCell ref="J10:J11"/>
    <mergeCell ref="H10:H11"/>
    <mergeCell ref="I10:I11"/>
    <mergeCell ref="C10:G11"/>
    <mergeCell ref="A10:A11"/>
    <mergeCell ref="A6:C6"/>
    <mergeCell ref="A7:C7"/>
    <mergeCell ref="A8:C8"/>
    <mergeCell ref="A1:I1"/>
    <mergeCell ref="A3:C3"/>
    <mergeCell ref="B10:B11"/>
    <mergeCell ref="A4:C4"/>
    <mergeCell ref="A5:C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"/>
  <sheetViews>
    <sheetView workbookViewId="0">
      <selection activeCell="A13" sqref="A13:N13"/>
    </sheetView>
  </sheetViews>
  <sheetFormatPr baseColWidth="10" defaultColWidth="14.42578125" defaultRowHeight="15" customHeight="1" x14ac:dyDescent="0.25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24.42578125" customWidth="1"/>
    <col min="17" max="17" width="15.5703125" customWidth="1"/>
  </cols>
  <sheetData>
    <row r="1" spans="1:17" x14ac:dyDescent="0.25">
      <c r="A1" s="251" t="s">
        <v>5</v>
      </c>
      <c r="B1" s="195"/>
      <c r="C1" s="195"/>
      <c r="D1" s="252">
        <v>2022</v>
      </c>
      <c r="E1" s="214"/>
      <c r="F1" s="68"/>
      <c r="G1" s="68"/>
      <c r="H1" s="69"/>
      <c r="I1" s="69"/>
      <c r="J1" s="69"/>
      <c r="K1" s="69"/>
      <c r="L1" s="69"/>
      <c r="M1" s="69"/>
      <c r="N1" s="69"/>
      <c r="O1" s="70"/>
      <c r="P1" s="253" t="s">
        <v>102</v>
      </c>
      <c r="Q1" s="254"/>
    </row>
    <row r="2" spans="1:17" x14ac:dyDescent="0.25">
      <c r="A2" s="71"/>
      <c r="B2" s="37"/>
      <c r="C2" s="37"/>
      <c r="D2" s="37"/>
      <c r="E2" s="37"/>
      <c r="F2" s="37"/>
      <c r="G2" s="72"/>
      <c r="H2" s="73"/>
      <c r="I2" s="73"/>
      <c r="J2" s="73"/>
      <c r="K2" s="73"/>
      <c r="L2" s="73"/>
      <c r="M2" s="73"/>
      <c r="N2" s="73"/>
      <c r="O2" s="37"/>
      <c r="P2" s="255"/>
      <c r="Q2" s="256"/>
    </row>
    <row r="3" spans="1:17" x14ac:dyDescent="0.25">
      <c r="A3" s="71"/>
      <c r="B3" s="37"/>
      <c r="C3" s="37"/>
      <c r="D3" s="37"/>
      <c r="E3" s="37"/>
      <c r="F3" s="37"/>
      <c r="G3" s="72"/>
      <c r="H3" s="37"/>
      <c r="I3" s="37"/>
      <c r="J3" s="37"/>
      <c r="K3" s="37"/>
      <c r="L3" s="37"/>
      <c r="M3" s="37"/>
      <c r="N3" s="37"/>
      <c r="O3" s="37"/>
      <c r="P3" s="37"/>
      <c r="Q3" s="74"/>
    </row>
    <row r="4" spans="1:17" x14ac:dyDescent="0.25">
      <c r="A4" s="242" t="s">
        <v>103</v>
      </c>
      <c r="B4" s="191"/>
      <c r="C4" s="191"/>
      <c r="D4" s="191"/>
      <c r="E4" s="191"/>
      <c r="F4" s="231"/>
      <c r="G4" s="249" t="str">
        <f>NP!D3</f>
        <v>040 - MINISTERIO DE SALUD</v>
      </c>
      <c r="H4" s="191"/>
      <c r="I4" s="191"/>
      <c r="J4" s="191"/>
      <c r="K4" s="191"/>
      <c r="L4" s="191"/>
      <c r="M4" s="191"/>
      <c r="N4" s="191"/>
      <c r="O4" s="191"/>
      <c r="P4" s="191"/>
      <c r="Q4" s="250"/>
    </row>
    <row r="5" spans="1:17" x14ac:dyDescent="0.25">
      <c r="A5" s="241" t="s">
        <v>87</v>
      </c>
      <c r="B5" s="191"/>
      <c r="C5" s="191"/>
      <c r="D5" s="191"/>
      <c r="E5" s="191"/>
      <c r="F5" s="231"/>
      <c r="G5" s="249" t="str">
        <f>NP!D4</f>
        <v>011 - DIRECCION PROVINCIAL DE ADMINISTRACION DEL MINISTERIO DE SALUD</v>
      </c>
      <c r="H5" s="191"/>
      <c r="I5" s="191"/>
      <c r="J5" s="191"/>
      <c r="K5" s="191"/>
      <c r="L5" s="191"/>
      <c r="M5" s="191"/>
      <c r="N5" s="191"/>
      <c r="O5" s="191"/>
      <c r="P5" s="191"/>
      <c r="Q5" s="250"/>
    </row>
    <row r="6" spans="1:17" x14ac:dyDescent="0.25">
      <c r="A6" s="241" t="s">
        <v>89</v>
      </c>
      <c r="B6" s="191"/>
      <c r="C6" s="191"/>
      <c r="D6" s="191"/>
      <c r="E6" s="191"/>
      <c r="F6" s="231"/>
      <c r="G6" s="249" t="str">
        <f>NP!D5</f>
        <v>352 - MINISTERIO DE SALUD</v>
      </c>
      <c r="H6" s="191"/>
      <c r="I6" s="191"/>
      <c r="J6" s="191"/>
      <c r="K6" s="191"/>
      <c r="L6" s="191"/>
      <c r="M6" s="191"/>
      <c r="N6" s="191"/>
      <c r="O6" s="191"/>
      <c r="P6" s="191"/>
      <c r="Q6" s="250"/>
    </row>
    <row r="7" spans="1:17" x14ac:dyDescent="0.25">
      <c r="A7" s="241" t="s">
        <v>91</v>
      </c>
      <c r="B7" s="191"/>
      <c r="C7" s="191"/>
      <c r="D7" s="191"/>
      <c r="E7" s="191"/>
      <c r="F7" s="231"/>
      <c r="G7" s="249" t="str">
        <f>NP!D6</f>
        <v>352 - MINISTERIO DE SALUD</v>
      </c>
      <c r="H7" s="191"/>
      <c r="I7" s="191"/>
      <c r="J7" s="191"/>
      <c r="K7" s="191"/>
      <c r="L7" s="191"/>
      <c r="M7" s="191"/>
      <c r="N7" s="191"/>
      <c r="O7" s="191"/>
      <c r="P7" s="191"/>
      <c r="Q7" s="250"/>
    </row>
    <row r="8" spans="1:17" s="160" customFormat="1" ht="21.75" customHeight="1" x14ac:dyDescent="0.25">
      <c r="A8" s="246" t="s">
        <v>104</v>
      </c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8"/>
    </row>
    <row r="9" spans="1:17" s="160" customFormat="1" ht="21.75" customHeight="1" x14ac:dyDescent="0.25">
      <c r="A9" s="243" t="s">
        <v>105</v>
      </c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5"/>
    </row>
    <row r="10" spans="1:17" s="160" customFormat="1" ht="61.5" customHeight="1" x14ac:dyDescent="0.25">
      <c r="A10" s="225" t="s">
        <v>140</v>
      </c>
      <c r="B10" s="226"/>
      <c r="C10" s="226"/>
      <c r="D10" s="226"/>
      <c r="E10" s="226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7"/>
    </row>
    <row r="11" spans="1:17" x14ac:dyDescent="0.25">
      <c r="A11" s="75"/>
      <c r="B11" s="76"/>
      <c r="C11" s="76"/>
      <c r="D11" s="76"/>
      <c r="E11" s="76"/>
      <c r="F11" s="76"/>
      <c r="G11" s="77"/>
      <c r="H11" s="76"/>
      <c r="I11" s="76"/>
      <c r="J11" s="76"/>
      <c r="K11" s="76"/>
      <c r="L11" s="76"/>
      <c r="M11" s="76"/>
      <c r="N11" s="76"/>
      <c r="O11" s="76"/>
      <c r="P11" s="76"/>
      <c r="Q11" s="78"/>
    </row>
    <row r="12" spans="1:17" x14ac:dyDescent="0.25">
      <c r="A12" s="228" t="s">
        <v>106</v>
      </c>
      <c r="B12" s="193"/>
      <c r="C12" s="193"/>
      <c r="D12" s="193"/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229"/>
    </row>
    <row r="13" spans="1:17" x14ac:dyDescent="0.25">
      <c r="A13" s="230" t="s">
        <v>107</v>
      </c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231"/>
      <c r="O13" s="232" t="s">
        <v>108</v>
      </c>
      <c r="P13" s="233"/>
      <c r="Q13" s="236" t="s">
        <v>109</v>
      </c>
    </row>
    <row r="14" spans="1:17" x14ac:dyDescent="0.25">
      <c r="A14" s="79" t="s">
        <v>110</v>
      </c>
      <c r="B14" s="80" t="s">
        <v>111</v>
      </c>
      <c r="C14" s="80" t="s">
        <v>112</v>
      </c>
      <c r="D14" s="80" t="s">
        <v>113</v>
      </c>
      <c r="E14" s="80" t="s">
        <v>114</v>
      </c>
      <c r="F14" s="80" t="s">
        <v>115</v>
      </c>
      <c r="G14" s="81" t="s">
        <v>116</v>
      </c>
      <c r="H14" s="80" t="s">
        <v>117</v>
      </c>
      <c r="I14" s="80" t="s">
        <v>118</v>
      </c>
      <c r="J14" s="80" t="s">
        <v>119</v>
      </c>
      <c r="K14" s="80" t="s">
        <v>119</v>
      </c>
      <c r="L14" s="80" t="s">
        <v>120</v>
      </c>
      <c r="M14" s="82" t="s">
        <v>121</v>
      </c>
      <c r="N14" s="83" t="s">
        <v>122</v>
      </c>
      <c r="O14" s="234"/>
      <c r="P14" s="235"/>
      <c r="Q14" s="164"/>
    </row>
    <row r="15" spans="1:17" x14ac:dyDescent="0.25">
      <c r="A15" s="84">
        <v>1</v>
      </c>
      <c r="B15" s="85"/>
      <c r="C15" s="85"/>
      <c r="D15" s="85">
        <v>1</v>
      </c>
      <c r="E15" s="85"/>
      <c r="F15" s="85">
        <v>4901</v>
      </c>
      <c r="G15" s="85">
        <v>3</v>
      </c>
      <c r="H15" s="85">
        <v>1</v>
      </c>
      <c r="I15" s="85">
        <v>4</v>
      </c>
      <c r="J15" s="85">
        <v>3</v>
      </c>
      <c r="K15" s="85">
        <v>3</v>
      </c>
      <c r="L15" s="85"/>
      <c r="M15" s="86">
        <v>1</v>
      </c>
      <c r="N15" s="85" t="s">
        <v>123</v>
      </c>
      <c r="O15" s="237" t="s">
        <v>124</v>
      </c>
      <c r="P15" s="238"/>
      <c r="Q15" s="87">
        <f>NP!J17</f>
        <v>4864000</v>
      </c>
    </row>
    <row r="16" spans="1:17" x14ac:dyDescent="0.25">
      <c r="A16" s="88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90"/>
      <c r="N16" s="91"/>
      <c r="O16" s="239"/>
      <c r="P16" s="224"/>
      <c r="Q16" s="92"/>
    </row>
    <row r="17" spans="1:17" x14ac:dyDescent="0.25">
      <c r="A17" s="88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90"/>
      <c r="N17" s="91"/>
      <c r="O17" s="240"/>
      <c r="P17" s="224"/>
      <c r="Q17" s="92"/>
    </row>
    <row r="18" spans="1:17" x14ac:dyDescent="0.25">
      <c r="A18" s="88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90"/>
      <c r="N18" s="91"/>
      <c r="O18" s="223"/>
      <c r="P18" s="224"/>
      <c r="Q18" s="92"/>
    </row>
    <row r="19" spans="1:17" x14ac:dyDescent="0.25">
      <c r="A19" s="88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90"/>
      <c r="N19" s="91"/>
      <c r="O19" s="223"/>
      <c r="P19" s="224"/>
      <c r="Q19" s="92"/>
    </row>
    <row r="20" spans="1:17" x14ac:dyDescent="0.25">
      <c r="A20" s="88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90"/>
      <c r="N20" s="91"/>
      <c r="O20" s="223"/>
      <c r="P20" s="224"/>
      <c r="Q20" s="92"/>
    </row>
    <row r="21" spans="1:17" ht="15.75" customHeight="1" x14ac:dyDescent="0.25">
      <c r="A21" s="88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90"/>
      <c r="N21" s="91"/>
      <c r="O21" s="223"/>
      <c r="P21" s="224"/>
      <c r="Q21" s="92"/>
    </row>
    <row r="22" spans="1:17" ht="15.75" customHeight="1" x14ac:dyDescent="0.25">
      <c r="A22" s="88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90"/>
      <c r="N22" s="91"/>
      <c r="O22" s="223"/>
      <c r="P22" s="224"/>
      <c r="Q22" s="92"/>
    </row>
    <row r="23" spans="1:17" ht="15.75" customHeight="1" x14ac:dyDescent="0.25">
      <c r="A23" s="88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90"/>
      <c r="N23" s="91"/>
      <c r="O23" s="223"/>
      <c r="P23" s="224"/>
      <c r="Q23" s="92"/>
    </row>
    <row r="24" spans="1:17" ht="15.75" customHeight="1" x14ac:dyDescent="0.25">
      <c r="A24" s="88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90"/>
      <c r="N24" s="91"/>
      <c r="O24" s="223"/>
      <c r="P24" s="224"/>
      <c r="Q24" s="92"/>
    </row>
    <row r="25" spans="1:17" ht="15.75" customHeight="1" x14ac:dyDescent="0.25">
      <c r="A25" s="88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90"/>
      <c r="N25" s="91"/>
      <c r="O25" s="223"/>
      <c r="P25" s="224"/>
      <c r="Q25" s="92"/>
    </row>
    <row r="26" spans="1:17" ht="15.75" customHeight="1" x14ac:dyDescent="0.25">
      <c r="A26" s="88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90"/>
      <c r="N26" s="91"/>
      <c r="O26" s="223"/>
      <c r="P26" s="224"/>
      <c r="Q26" s="92"/>
    </row>
    <row r="27" spans="1:17" ht="15.75" customHeight="1" x14ac:dyDescent="0.25">
      <c r="A27" s="88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90"/>
      <c r="N27" s="91"/>
      <c r="O27" s="223"/>
      <c r="P27" s="224"/>
      <c r="Q27" s="92"/>
    </row>
    <row r="28" spans="1:17" ht="15.75" customHeight="1" x14ac:dyDescent="0.25">
      <c r="A28" s="88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90"/>
      <c r="N28" s="91"/>
      <c r="O28" s="223"/>
      <c r="P28" s="224"/>
      <c r="Q28" s="92"/>
    </row>
    <row r="29" spans="1:17" ht="15.75" customHeight="1" x14ac:dyDescent="0.25">
      <c r="A29" s="88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90"/>
      <c r="N29" s="91"/>
      <c r="O29" s="223"/>
      <c r="P29" s="224"/>
      <c r="Q29" s="92"/>
    </row>
    <row r="30" spans="1:17" ht="15.75" customHeight="1" x14ac:dyDescent="0.25">
      <c r="A30" s="88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90"/>
      <c r="N30" s="91"/>
      <c r="O30" s="223"/>
      <c r="P30" s="224"/>
      <c r="Q30" s="92"/>
    </row>
    <row r="31" spans="1:17" ht="15.75" customHeight="1" x14ac:dyDescent="0.25">
      <c r="A31" s="88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90"/>
      <c r="N31" s="91"/>
      <c r="O31" s="223"/>
      <c r="P31" s="224"/>
      <c r="Q31" s="92"/>
    </row>
    <row r="32" spans="1:17" ht="15.75" customHeight="1" x14ac:dyDescent="0.25">
      <c r="A32" s="88"/>
      <c r="B32" s="89"/>
      <c r="C32" s="89"/>
      <c r="D32" s="89"/>
      <c r="E32" s="89"/>
      <c r="F32" s="91"/>
      <c r="G32" s="89"/>
      <c r="H32" s="89"/>
      <c r="I32" s="89"/>
      <c r="J32" s="89"/>
      <c r="K32" s="89"/>
      <c r="L32" s="89"/>
      <c r="M32" s="90"/>
      <c r="N32" s="91"/>
      <c r="O32" s="239"/>
      <c r="P32" s="224"/>
      <c r="Q32" s="92"/>
    </row>
    <row r="33" spans="1:17" ht="15.75" customHeight="1" x14ac:dyDescent="0.25">
      <c r="A33" s="88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90"/>
      <c r="N33" s="91"/>
      <c r="O33" s="239"/>
      <c r="P33" s="224"/>
      <c r="Q33" s="92"/>
    </row>
    <row r="34" spans="1:17" ht="15.75" customHeight="1" x14ac:dyDescent="0.25">
      <c r="A34" s="88"/>
      <c r="B34" s="89"/>
      <c r="C34" s="89"/>
      <c r="D34" s="89"/>
      <c r="E34" s="89"/>
      <c r="F34" s="91"/>
      <c r="G34" s="89"/>
      <c r="H34" s="89"/>
      <c r="I34" s="89"/>
      <c r="J34" s="89"/>
      <c r="K34" s="89"/>
      <c r="L34" s="89"/>
      <c r="M34" s="90"/>
      <c r="N34" s="91"/>
      <c r="O34" s="239"/>
      <c r="P34" s="224"/>
      <c r="Q34" s="92"/>
    </row>
    <row r="35" spans="1:17" ht="15.75" customHeight="1" x14ac:dyDescent="0.25">
      <c r="A35" s="88"/>
      <c r="B35" s="89"/>
      <c r="C35" s="89"/>
      <c r="D35" s="89"/>
      <c r="E35" s="89"/>
      <c r="F35" s="91"/>
      <c r="G35" s="89"/>
      <c r="H35" s="89"/>
      <c r="I35" s="89"/>
      <c r="J35" s="89"/>
      <c r="K35" s="89"/>
      <c r="L35" s="89"/>
      <c r="M35" s="90"/>
      <c r="N35" s="91"/>
      <c r="O35" s="239"/>
      <c r="P35" s="224"/>
      <c r="Q35" s="92"/>
    </row>
    <row r="36" spans="1:17" ht="15.75" customHeight="1" x14ac:dyDescent="0.25">
      <c r="A36" s="93"/>
      <c r="B36" s="94"/>
      <c r="C36" s="94"/>
      <c r="D36" s="94"/>
      <c r="E36" s="94"/>
      <c r="F36" s="91"/>
      <c r="G36" s="94"/>
      <c r="H36" s="94"/>
      <c r="I36" s="94"/>
      <c r="J36" s="94"/>
      <c r="K36" s="94"/>
      <c r="L36" s="94"/>
      <c r="M36" s="95"/>
      <c r="N36" s="96"/>
      <c r="O36" s="239"/>
      <c r="P36" s="224"/>
      <c r="Q36" s="92"/>
    </row>
    <row r="37" spans="1:17" ht="15.75" customHeight="1" x14ac:dyDescent="0.25">
      <c r="A37" s="97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9"/>
      <c r="N37" s="98"/>
      <c r="O37" s="265"/>
      <c r="P37" s="266"/>
      <c r="Q37" s="100"/>
    </row>
    <row r="38" spans="1:17" ht="50.25" customHeight="1" x14ac:dyDescent="0.25">
      <c r="A38" s="257" t="s">
        <v>141</v>
      </c>
      <c r="B38" s="258"/>
      <c r="C38" s="258"/>
      <c r="D38" s="258"/>
      <c r="E38" s="258"/>
      <c r="F38" s="258"/>
      <c r="G38" s="258"/>
      <c r="H38" s="258"/>
      <c r="I38" s="258"/>
      <c r="J38" s="258"/>
      <c r="K38" s="258"/>
      <c r="L38" s="258"/>
      <c r="M38" s="258"/>
      <c r="N38" s="258"/>
      <c r="O38" s="258"/>
      <c r="P38" s="259"/>
      <c r="Q38" s="101">
        <f>SUM(Q15:Q37)</f>
        <v>4864000</v>
      </c>
    </row>
    <row r="39" spans="1:17" ht="15.75" customHeight="1" x14ac:dyDescent="0.25">
      <c r="A39" s="260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229"/>
    </row>
    <row r="40" spans="1:17" ht="15.75" customHeight="1" x14ac:dyDescent="0.25">
      <c r="A40" s="261" t="s">
        <v>125</v>
      </c>
      <c r="B40" s="195"/>
      <c r="C40" s="195"/>
      <c r="D40" s="195"/>
      <c r="E40" s="195"/>
      <c r="F40" s="214"/>
      <c r="G40" s="262"/>
      <c r="H40" s="193"/>
      <c r="I40" s="193"/>
      <c r="J40" s="193"/>
      <c r="K40" s="193"/>
      <c r="L40" s="193"/>
      <c r="M40" s="193"/>
      <c r="N40" s="193"/>
      <c r="O40" s="193"/>
      <c r="P40" s="193"/>
      <c r="Q40" s="229"/>
    </row>
    <row r="41" spans="1:17" ht="15.75" customHeight="1" x14ac:dyDescent="0.25">
      <c r="A41" s="263" t="str">
        <f>NP!D8</f>
        <v>DESIERTOS Y FRACASADOS DE EQUIPOS SANITARIOS Y DE LABORATORIO CON DESTINO A HOSPITALES DE LA PROVINCIA</v>
      </c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4"/>
    </row>
    <row r="42" spans="1:17" ht="24.75" customHeight="1" x14ac:dyDescent="0.25">
      <c r="A42" s="264"/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187"/>
    </row>
    <row r="43" spans="1:17" ht="15.75" customHeight="1" x14ac:dyDescent="0.25">
      <c r="Q43" s="67"/>
    </row>
    <row r="44" spans="1:17" ht="15.75" customHeight="1" x14ac:dyDescent="0.25">
      <c r="Q44" s="67"/>
    </row>
    <row r="45" spans="1:17" ht="15.75" customHeight="1" x14ac:dyDescent="0.25">
      <c r="Q45" s="67"/>
    </row>
    <row r="46" spans="1:17" ht="15.75" customHeight="1" x14ac:dyDescent="0.25">
      <c r="Q46" s="67"/>
    </row>
    <row r="47" spans="1:17" ht="15.75" customHeight="1" x14ac:dyDescent="0.25">
      <c r="Q47" s="67"/>
    </row>
    <row r="48" spans="1:17" ht="15.75" customHeight="1" x14ac:dyDescent="0.25">
      <c r="Q48" s="67"/>
    </row>
    <row r="49" spans="17:17" ht="15.75" customHeight="1" x14ac:dyDescent="0.25">
      <c r="Q49" s="67"/>
    </row>
    <row r="50" spans="17:17" ht="15.75" customHeight="1" x14ac:dyDescent="0.25">
      <c r="Q50" s="67"/>
    </row>
    <row r="51" spans="17:17" ht="15.75" customHeight="1" x14ac:dyDescent="0.25">
      <c r="Q51" s="67"/>
    </row>
    <row r="52" spans="17:17" ht="15.75" customHeight="1" x14ac:dyDescent="0.25">
      <c r="Q52" s="67"/>
    </row>
    <row r="53" spans="17:17" ht="15.75" customHeight="1" x14ac:dyDescent="0.25">
      <c r="Q53" s="67"/>
    </row>
    <row r="54" spans="17:17" ht="15.75" customHeight="1" x14ac:dyDescent="0.25">
      <c r="Q54" s="67"/>
    </row>
    <row r="55" spans="17:17" ht="15.75" customHeight="1" x14ac:dyDescent="0.25">
      <c r="Q55" s="67"/>
    </row>
    <row r="56" spans="17:17" ht="15.75" customHeight="1" x14ac:dyDescent="0.25">
      <c r="Q56" s="67"/>
    </row>
    <row r="57" spans="17:17" ht="15.75" customHeight="1" x14ac:dyDescent="0.25">
      <c r="Q57" s="67"/>
    </row>
    <row r="58" spans="17:17" ht="15.75" customHeight="1" x14ac:dyDescent="0.25">
      <c r="Q58" s="67"/>
    </row>
    <row r="59" spans="17:17" ht="15.75" customHeight="1" x14ac:dyDescent="0.25">
      <c r="Q59" s="67"/>
    </row>
    <row r="60" spans="17:17" ht="15.75" customHeight="1" x14ac:dyDescent="0.25">
      <c r="Q60" s="67"/>
    </row>
    <row r="61" spans="17:17" ht="15.75" customHeight="1" x14ac:dyDescent="0.25">
      <c r="Q61" s="67"/>
    </row>
    <row r="62" spans="17:17" ht="15.75" customHeight="1" x14ac:dyDescent="0.25">
      <c r="Q62" s="67"/>
    </row>
    <row r="63" spans="17:17" ht="15.75" customHeight="1" x14ac:dyDescent="0.25">
      <c r="Q63" s="67"/>
    </row>
    <row r="64" spans="17:17" ht="15.75" customHeight="1" x14ac:dyDescent="0.25">
      <c r="Q64" s="67"/>
    </row>
    <row r="65" spans="17:17" ht="15.75" customHeight="1" x14ac:dyDescent="0.25">
      <c r="Q65" s="67"/>
    </row>
    <row r="66" spans="17:17" ht="15.75" customHeight="1" x14ac:dyDescent="0.25">
      <c r="Q66" s="67"/>
    </row>
    <row r="67" spans="17:17" ht="15.75" customHeight="1" x14ac:dyDescent="0.25">
      <c r="Q67" s="67"/>
    </row>
    <row r="68" spans="17:17" ht="15.75" customHeight="1" x14ac:dyDescent="0.25">
      <c r="Q68" s="67"/>
    </row>
    <row r="69" spans="17:17" ht="15.75" customHeight="1" x14ac:dyDescent="0.25">
      <c r="Q69" s="67"/>
    </row>
    <row r="70" spans="17:17" ht="15.75" customHeight="1" x14ac:dyDescent="0.25">
      <c r="Q70" s="67"/>
    </row>
    <row r="71" spans="17:17" ht="15.75" customHeight="1" x14ac:dyDescent="0.25">
      <c r="Q71" s="67"/>
    </row>
    <row r="72" spans="17:17" ht="15.75" customHeight="1" x14ac:dyDescent="0.25">
      <c r="Q72" s="67"/>
    </row>
    <row r="73" spans="17:17" ht="15.75" customHeight="1" x14ac:dyDescent="0.25">
      <c r="Q73" s="67"/>
    </row>
    <row r="74" spans="17:17" ht="15.75" customHeight="1" x14ac:dyDescent="0.25">
      <c r="Q74" s="67"/>
    </row>
    <row r="75" spans="17:17" ht="15.75" customHeight="1" x14ac:dyDescent="0.25">
      <c r="Q75" s="67"/>
    </row>
    <row r="76" spans="17:17" ht="15.75" customHeight="1" x14ac:dyDescent="0.25">
      <c r="Q76" s="67"/>
    </row>
    <row r="77" spans="17:17" ht="15.75" customHeight="1" x14ac:dyDescent="0.25">
      <c r="Q77" s="67"/>
    </row>
    <row r="78" spans="17:17" ht="15.75" customHeight="1" x14ac:dyDescent="0.25">
      <c r="Q78" s="67"/>
    </row>
    <row r="79" spans="17:17" ht="15.75" customHeight="1" x14ac:dyDescent="0.25">
      <c r="Q79" s="67"/>
    </row>
    <row r="80" spans="17:17" ht="15.75" customHeight="1" x14ac:dyDescent="0.25">
      <c r="Q80" s="67"/>
    </row>
    <row r="81" spans="17:17" ht="15.75" customHeight="1" x14ac:dyDescent="0.25">
      <c r="Q81" s="67"/>
    </row>
    <row r="82" spans="17:17" ht="15.75" customHeight="1" x14ac:dyDescent="0.25">
      <c r="Q82" s="67"/>
    </row>
    <row r="83" spans="17:17" ht="15.75" customHeight="1" x14ac:dyDescent="0.25">
      <c r="Q83" s="67"/>
    </row>
    <row r="84" spans="17:17" ht="15.75" customHeight="1" x14ac:dyDescent="0.25">
      <c r="Q84" s="67"/>
    </row>
    <row r="85" spans="17:17" ht="15.75" customHeight="1" x14ac:dyDescent="0.25">
      <c r="Q85" s="67"/>
    </row>
    <row r="86" spans="17:17" ht="15.75" customHeight="1" x14ac:dyDescent="0.25">
      <c r="Q86" s="67"/>
    </row>
    <row r="87" spans="17:17" ht="15.75" customHeight="1" x14ac:dyDescent="0.25">
      <c r="Q87" s="67"/>
    </row>
    <row r="88" spans="17:17" ht="15.75" customHeight="1" x14ac:dyDescent="0.25">
      <c r="Q88" s="67"/>
    </row>
    <row r="89" spans="17:17" ht="15.75" customHeight="1" x14ac:dyDescent="0.25">
      <c r="Q89" s="67"/>
    </row>
    <row r="90" spans="17:17" ht="15.75" customHeight="1" x14ac:dyDescent="0.25">
      <c r="Q90" s="67"/>
    </row>
    <row r="91" spans="17:17" ht="15.75" customHeight="1" x14ac:dyDescent="0.25">
      <c r="Q91" s="67"/>
    </row>
    <row r="92" spans="17:17" ht="15.75" customHeight="1" x14ac:dyDescent="0.25">
      <c r="Q92" s="67"/>
    </row>
    <row r="93" spans="17:17" ht="15.75" customHeight="1" x14ac:dyDescent="0.25">
      <c r="Q93" s="67"/>
    </row>
    <row r="94" spans="17:17" ht="15.75" customHeight="1" x14ac:dyDescent="0.25">
      <c r="Q94" s="67"/>
    </row>
    <row r="95" spans="17:17" ht="15.75" customHeight="1" x14ac:dyDescent="0.25">
      <c r="Q95" s="67"/>
    </row>
    <row r="96" spans="17:17" ht="15.75" customHeight="1" x14ac:dyDescent="0.25">
      <c r="Q96" s="67"/>
    </row>
    <row r="97" spans="17:17" ht="15.75" customHeight="1" x14ac:dyDescent="0.25">
      <c r="Q97" s="67"/>
    </row>
    <row r="98" spans="17:17" ht="15.75" customHeight="1" x14ac:dyDescent="0.25">
      <c r="Q98" s="67"/>
    </row>
    <row r="99" spans="17:17" ht="15.75" customHeight="1" x14ac:dyDescent="0.25">
      <c r="Q99" s="67"/>
    </row>
    <row r="100" spans="17:17" ht="15.75" customHeight="1" x14ac:dyDescent="0.25">
      <c r="Q100" s="67"/>
    </row>
  </sheetData>
  <mergeCells count="46">
    <mergeCell ref="O23:P23"/>
    <mergeCell ref="O24:P24"/>
    <mergeCell ref="O25:P25"/>
    <mergeCell ref="O26:P26"/>
    <mergeCell ref="O27:P27"/>
    <mergeCell ref="O34:P34"/>
    <mergeCell ref="O35:P35"/>
    <mergeCell ref="O36:P36"/>
    <mergeCell ref="O37:P37"/>
    <mergeCell ref="O28:P28"/>
    <mergeCell ref="O29:P29"/>
    <mergeCell ref="O30:P30"/>
    <mergeCell ref="O31:P31"/>
    <mergeCell ref="O33:P33"/>
    <mergeCell ref="O32:P32"/>
    <mergeCell ref="A38:P38"/>
    <mergeCell ref="A39:Q39"/>
    <mergeCell ref="A40:F40"/>
    <mergeCell ref="G40:Q40"/>
    <mergeCell ref="A41:Q42"/>
    <mergeCell ref="A1:C1"/>
    <mergeCell ref="D1:E1"/>
    <mergeCell ref="P1:Q2"/>
    <mergeCell ref="G4:Q4"/>
    <mergeCell ref="G5:Q5"/>
    <mergeCell ref="A5:F5"/>
    <mergeCell ref="A6:F6"/>
    <mergeCell ref="A4:F4"/>
    <mergeCell ref="A7:F7"/>
    <mergeCell ref="A9:Q9"/>
    <mergeCell ref="A8:Q8"/>
    <mergeCell ref="G6:Q6"/>
    <mergeCell ref="G7:Q7"/>
    <mergeCell ref="O19:P19"/>
    <mergeCell ref="O20:P20"/>
    <mergeCell ref="O22:P2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011 - NECESIDAD TRIMESTRAL</vt:lpstr>
      <vt:lpstr>NP</vt:lpstr>
      <vt:lpstr>APG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2021-11-12T17:27:33Z</dcterms:created>
  <dcterms:modified xsi:type="dcterms:W3CDTF">2022-08-22T19:29:34Z</dcterms:modified>
</cp:coreProperties>
</file>