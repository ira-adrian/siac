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05" yWindow="255" windowWidth="15600" windowHeight="11400" tabRatio="500" activeTab="2"/>
  </bookViews>
  <sheets>
    <sheet name="Necesidades Trimestrales" sheetId="1" r:id="rId1"/>
    <sheet name=" NotaPedido" sheetId="2" r:id="rId2"/>
    <sheet name="Autor Gastar" sheetId="3" r:id="rId3"/>
  </sheets>
  <definedNames>
    <definedName name="_xlnm.Print_Area" localSheetId="1">' NotaPedido'!$A$1:$K$16</definedName>
    <definedName name="_xlnm.Print_Area" localSheetId="2">'Autor Gastar'!$A$1:$Q$30</definedName>
    <definedName name="_xlnm.Print_Area" localSheetId="0">'Necesidades Trimestrales'!$A$1:$I$73</definedName>
  </definedNames>
  <calcPr calcId="145621"/>
</workbook>
</file>

<file path=xl/calcChain.xml><?xml version="1.0" encoding="utf-8"?>
<calcChain xmlns="http://schemas.openxmlformats.org/spreadsheetml/2006/main">
  <c r="G7" i="3" l="1"/>
  <c r="I14" i="1" l="1"/>
  <c r="I11" i="1" l="1"/>
  <c r="I12" i="1"/>
  <c r="I13" i="1"/>
  <c r="D12" i="1"/>
  <c r="D13" i="1"/>
  <c r="D11" i="1"/>
  <c r="I10" i="1"/>
  <c r="D10" i="1"/>
  <c r="J16" i="2"/>
  <c r="Q23" i="3" l="1"/>
  <c r="G4" i="3" l="1"/>
  <c r="G6" i="3" l="1"/>
  <c r="G5" i="3"/>
  <c r="A10" i="3" l="1"/>
  <c r="D1" i="3"/>
</calcChain>
</file>

<file path=xl/sharedStrings.xml><?xml version="1.0" encoding="utf-8"?>
<sst xmlns="http://schemas.openxmlformats.org/spreadsheetml/2006/main" count="152" uniqueCount="87">
  <si>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</si>
  <si>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</si>
  <si>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</si>
  <si>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</si>
  <si>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</si>
  <si>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</si>
  <si>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</si>
  <si>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</si>
  <si>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</si>
  <si>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</si>
  <si>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</si>
  <si>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</si>
  <si>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</si>
  <si>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</si>
  <si>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</si>
  <si>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</si>
  <si>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</si>
  <si>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</si>
  <si>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</si>
  <si>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</si>
  <si>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</si>
  <si>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</si>
  <si>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</si>
  <si>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</si>
  <si>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</si>
  <si>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</si>
  <si>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</si>
  <si>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</si>
  <si>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</si>
  <si>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</si>
  <si>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</si>
  <si>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</si>
  <si>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</si>
  <si>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</si>
  <si>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</si>
  <si>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</si>
  <si>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</si>
  <si>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</si>
  <si>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</si>
  <si>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</si>
  <si>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</si>
  <si>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</si>
  <si>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</si>
  <si>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</si>
  <si>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</si>
  <si>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</si>
  <si>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</si>
  <si>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</si>
  <si>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</si>
  <si>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</si>
  <si>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</si>
  <si>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</si>
  <si>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</si>
  <si>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</si>
  <si>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</si>
  <si>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</si>
  <si>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</si>
  <si>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</si>
  <si>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</si>
  <si>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</si>
  <si>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 xml:space="preserve"> MINISTERIO DE CIENCIA E INNOVACION TECNOLOGICA</t>
  </si>
  <si>
    <t>1.1</t>
  </si>
  <si>
    <t>Equipo Educacional y Recreativo</t>
  </si>
  <si>
    <t>4.3.5-9163.90</t>
  </si>
  <si>
    <t>EQUIPOS DIDACTICOS TECNICOS; NOMBRE: KIT EXPERIMENTAL, TIPO: SEGÚN PLIEGO</t>
  </si>
  <si>
    <t>EQUIPOS</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</si>
  <si>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Republica de Venezuela S/N° - CAPE- Pabellón N° 26 San Fernando del Valle de Catamarca.  Se presentará Remito que deberá cumplimentar lo dispuesto por la R.G. AFIP  1415/03, sin excepción.</t>
  </si>
  <si>
    <r>
      <t xml:space="preserve">Mantenimiento: </t>
    </r>
    <r>
      <rPr>
        <sz val="10"/>
        <rFont val="Times New Roman"/>
        <family val="1"/>
      </rPr>
      <t>Treinta (30) Días Hábiles.-</t>
    </r>
  </si>
  <si>
    <r>
      <t>Mantenimiento:</t>
    </r>
    <r>
      <rPr>
        <sz val="10"/>
        <rFont val="Times New Roman"/>
        <family val="1"/>
      </rPr>
      <t xml:space="preserve"> Treinta (30) Días Hábiles.-</t>
    </r>
  </si>
  <si>
    <t>4.3.5-9163.80</t>
  </si>
  <si>
    <t>EQUIPOS DIDACTICOS TECNICOS; NOMBRE: LENTES, TIPO: REALIDAD VIRTUAL</t>
  </si>
  <si>
    <t>2 TRIMESTRE 2021</t>
  </si>
  <si>
    <r>
      <t xml:space="preserve">Garantia: </t>
    </r>
    <r>
      <rPr>
        <sz val="10"/>
        <rFont val="Times New Roman"/>
        <family val="1"/>
      </rPr>
      <t>Garantía del fabricante minima de un (1) año.</t>
    </r>
  </si>
  <si>
    <r>
      <t>Garantia:</t>
    </r>
    <r>
      <rPr>
        <sz val="10"/>
        <rFont val="Times New Roman"/>
        <family val="1"/>
      </rPr>
      <t xml:space="preserve"> Garantía del fabricante minima de un (1) año.</t>
    </r>
  </si>
  <si>
    <r>
      <t>Mantenimiento</t>
    </r>
    <r>
      <rPr>
        <sz val="10"/>
        <rFont val="Times New Roman"/>
        <family val="1"/>
      </rPr>
      <t>: Treinta (30) Días Hábiles.-</t>
    </r>
  </si>
  <si>
    <t>Lentes ajustables OLED de 1.600 x 1.400 píxeles.  Debe contar con sensores externos de movimiento. Tasa de refresco de 60Hz. Dimensiones  Aproximadas: 190x105x115mm. Peso: 468 gramos. Sonido integrado en correas de ajuste.  Conexiones: micro-USB y minijack para auriculares externos. Sistema operativo basado en Android. Bluetooth integrado.</t>
  </si>
  <si>
    <t>Procesador Raspberry PI 4. 2 Gb de memoria.  Wifi integrada en la placa. Bluetooth de baja energía integrada en la placa.  Puerto general de entrada salida (GPIO) de 40 pines integrado en la placa.  4 puertos USB2 integrados en la placa.  Puerto de tamaño completo HDMI para conexión de una cámara.  Puerto de display para conectar una pantalla Touch Screen.  Puerto para conexión de una memoria Micro SD para contener el sistema operativo y datos.  Fuente de alimentación de 110/240 V 50 Hz C.A., mejorada con corriente de salida de 3 A, para alimentar la placa. Dos disipadores de aluminio.  Memoria Micro SD Samsung de 32 GB clase 10, precargada con NOOBS Micro SD to USB adapter ○ Pantalla Touch Screen TFT de 7 pulgadas, definición de 800 por 480 pixeles, con teclado de detección capacitiva, para 10 dedos. Teclado inalámbrico de 2,4 Ghz, con mouse integrado.  Gabinete completo.</t>
  </si>
  <si>
    <t xml:space="preserve">kits educativos de Ciencia : deben contener accesorios de laboratorio para experimentos.  3 tubos de ensayo.  1 embudo.  1 dosificador. 1 pipeta.  1 papel de filtro.  1 cuchara medidora.  1 soporte para tubos de ensayo.  1 par de guantes
</t>
  </si>
  <si>
    <t xml:space="preserve">ADQUISICIÓN DE  EQUIPOS DIDACTICOS TECNICOS DESTINADO  A LA SECRETARIA DE INNOVACIÓN DEPENDIENTE DEL MINISTERIO DE CIENCIA E INNOVACIÓN TECNOLOGICA.- </t>
  </si>
  <si>
    <t>Especificidades Item N° 3:</t>
  </si>
  <si>
    <t>Especificidades Item N° 4:</t>
  </si>
  <si>
    <t>007/2021</t>
  </si>
  <si>
    <t>1) 1 Núcleo basado en Arduino Nano con Pantalla incorporada al núcleo. 2) 8 puertos de entrada / salida con conectores RJ11. 3) Conexión vía: USB / Bluetooth / Infrarrojo. 4) 17 sensores, actuadores y motores. 5) 2 motorreductores. 6) 1 motor  7) 1 LED bicolor. 8) 1 Sensor pulsador.  9) 1 Servomotor. 10) 1 Sensor ultrasónico. 11) 2 Sensores de velocidad encoder. 12) 1 Sensor de gas.  13) 1 Sensor de luz.  14) 1 Sensor de humedad del suelo.  15) 1 Sensor barrera infrarroja.  16) 1 Sensor de temperatura y humedad.  17) 1 Sensor de sonido. ○ 2 Sensores seguidores de lineas.  18) 485 Bloques, engranajes y accesorios.  19) 2 Pilas recargables tipo 18650 incluidas. 20) Carga por puerto microUSB estándar.  21) Cargador 220v. incluido. 22)- Software de Programación. 23)- APP para celulares y tablets</t>
  </si>
  <si>
    <t>Costo total estimado:  PESOS DOS MILLONES DOSCIENTOS TREINTA Y CINCO MIL CON 00/100.-</t>
  </si>
  <si>
    <t>PESOS: DOS MILLONES DOSCIENTOS TREINTA Y CINCO MIL CON 00/100.-</t>
  </si>
  <si>
    <t>SECRETARIA DE INNOVACIÓN - SECRETARIA DE CIENCIA Y TECNOLOGIA.</t>
  </si>
  <si>
    <t>ADQUISICIÓN DE  EQUIPOS DIDACTICOS TECNICOS   DESTINADO  A LA CREACIÓN DEL CENTRO DE INNOVACIÓN ITINERANTE.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</si>
</sst>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00_);_(\$* \(#,##0.00\);_(\$* \-??_);_(@_)"/>
    <numFmt numFmtId="165" formatCode="[$$-2C0A]\ #,##0.00;[$$-2C0A]&quot; -&quot;#,##0.00"/>
    <numFmt numFmtId="166" formatCode="[$$-2C0A]\ #,##0.00"/>
    <numFmt numFmtId="167" formatCode="dd\-mm\-yy;@"/>
    <numFmt numFmtId="168" formatCode="_-&quot;$&quot;* #,##0.00_-;\-&quot;$&quot;* #,##0.00_-;_-&quot;$&quot;* &quot;-&quot;??_-;_-@_-"/>
    <numFmt numFmtId="169" formatCode="_-[$$-2C0A]\ * #,##0.00_-;\-[$$-2C0A]\ * #,##0.00_-;_-[$$-2C0A]\ * &quot;-&quot;??_-;_-@_-"/>
  </numFmts>
  <fonts count="2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u/>
      <sz val="10"/>
      <name val="Times New Roman"/>
      <family val="1"/>
    </font>
    <font>
      <b/>
      <sz val="12"/>
      <color rgb="FF000000"/>
      <name val="Times New Roman"/>
      <family val="1"/>
    </font>
    <font>
      <sz val="8"/>
      <name val="Arial"/>
      <family val="2"/>
    </font>
    <font>
      <sz val="9"/>
      <name val="Arial"/>
      <family val="2"/>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59">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ck">
        <color auto="1"/>
      </left>
      <right style="thick">
        <color auto="1"/>
      </right>
      <top style="thick">
        <color auto="1"/>
      </top>
      <bottom style="thin">
        <color indexed="64"/>
      </bottom>
      <diagonal/>
    </border>
    <border>
      <left/>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s>
  <cellStyleXfs count="6">
    <xf numFmtId="0" fontId="0" fillId="0" borderId="0"/>
    <xf numFmtId="0" fontId="1" fillId="0" borderId="1" applyProtection="0"/>
    <xf numFmtId="164" fontId="2" fillId="0" borderId="0" applyBorder="0" applyProtection="0"/>
    <xf numFmtId="0" fontId="3" fillId="2" borderId="0" applyBorder="0" applyProtection="0"/>
    <xf numFmtId="0" fontId="15" fillId="0" borderId="0"/>
    <xf numFmtId="168" fontId="15" fillId="0" borderId="0" applyFont="0" applyFill="0" applyBorder="0" applyAlignment="0" applyProtection="0"/>
  </cellStyleXfs>
  <cellXfs count="137">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9" fillId="0" borderId="20" xfId="0"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7" fontId="0" fillId="0" borderId="0" xfId="0" applyNumberFormat="1" applyAlignment="1">
      <alignment horizontal="left"/>
    </xf>
    <xf numFmtId="0" fontId="2" fillId="0" borderId="0" xfId="0" applyFont="1"/>
    <xf numFmtId="0" fontId="0" fillId="0" borderId="10" xfId="0" applyBorder="1"/>
    <xf numFmtId="0" fontId="0" fillId="0" borderId="26" xfId="0" applyBorder="1"/>
    <xf numFmtId="0" fontId="0" fillId="0" borderId="12" xfId="0" applyBorder="1"/>
    <xf numFmtId="0" fontId="0" fillId="0" borderId="12" xfId="0" applyBorder="1" applyAlignment="1">
      <alignment horizontal="left"/>
    </xf>
    <xf numFmtId="0" fontId="0" fillId="0" borderId="27" xfId="0" applyBorder="1"/>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0" xfId="0" applyFont="1" applyBorder="1" applyAlignment="1">
      <alignment horizontal="left" vertical="center"/>
    </xf>
    <xf numFmtId="0" fontId="14" fillId="0" borderId="31" xfId="0" applyFont="1" applyBorder="1" applyAlignment="1">
      <alignment horizontal="center" vertical="center"/>
    </xf>
    <xf numFmtId="0" fontId="14" fillId="0" borderId="25" xfId="0" applyFont="1" applyBorder="1" applyAlignment="1">
      <alignment horizontal="center" vertical="center"/>
    </xf>
    <xf numFmtId="0" fontId="0" fillId="0" borderId="33" xfId="0" applyFont="1" applyBorder="1" applyAlignment="1">
      <alignment horizontal="center" vertical="center"/>
    </xf>
    <xf numFmtId="165" fontId="0" fillId="0" borderId="35" xfId="2" applyNumberFormat="1" applyFont="1" applyBorder="1" applyAlignment="1" applyProtection="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0" fontId="0" fillId="0" borderId="39" xfId="0" applyFont="1" applyBorder="1" applyAlignment="1">
      <alignment horizontal="center" vertical="center"/>
    </xf>
    <xf numFmtId="165" fontId="0" fillId="0" borderId="40" xfId="2" applyNumberFormat="1" applyFont="1" applyBorder="1" applyAlignment="1" applyProtection="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0" fillId="0" borderId="39" xfId="0"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165" fontId="0" fillId="0" borderId="44" xfId="2" applyNumberFormat="1" applyFont="1" applyBorder="1" applyAlignment="1" applyProtection="1">
      <alignment horizontal="center" vertical="center"/>
    </xf>
    <xf numFmtId="165" fontId="14" fillId="0" borderId="45" xfId="0" applyNumberFormat="1" applyFont="1"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2"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0" xfId="0" applyFont="1" applyBorder="1"/>
    <xf numFmtId="0" fontId="16" fillId="0" borderId="6" xfId="0" applyFont="1" applyBorder="1"/>
    <xf numFmtId="0" fontId="22" fillId="0" borderId="5" xfId="0" applyFont="1" applyBorder="1" applyAlignment="1">
      <alignment horizontal="left" indent="3"/>
    </xf>
    <xf numFmtId="0" fontId="16" fillId="0" borderId="5" xfId="0" applyFont="1" applyBorder="1" applyAlignment="1">
      <alignment horizontal="left" indent="3"/>
    </xf>
    <xf numFmtId="0" fontId="16" fillId="0" borderId="0"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left" indent="3"/>
    </xf>
    <xf numFmtId="0" fontId="16" fillId="0" borderId="8" xfId="0" applyFont="1" applyBorder="1"/>
    <xf numFmtId="0" fontId="16" fillId="0" borderId="9" xfId="0" applyFont="1" applyBorder="1"/>
    <xf numFmtId="0" fontId="6" fillId="4" borderId="11" xfId="0" applyFont="1" applyFill="1" applyBorder="1" applyAlignment="1">
      <alignment horizontal="center" vertical="center"/>
    </xf>
    <xf numFmtId="0" fontId="4" fillId="4" borderId="19" xfId="0" applyFont="1" applyFill="1" applyBorder="1" applyAlignment="1">
      <alignment horizontal="center" vertical="center"/>
    </xf>
    <xf numFmtId="0" fontId="4" fillId="3" borderId="19" xfId="0" applyFont="1" applyFill="1" applyBorder="1" applyAlignment="1">
      <alignment horizontal="center" vertical="center" wrapText="1"/>
    </xf>
    <xf numFmtId="0" fontId="0" fillId="4" borderId="32" xfId="0" applyFont="1" applyFill="1" applyBorder="1" applyAlignment="1">
      <alignment horizontal="center" vertical="center"/>
    </xf>
    <xf numFmtId="0" fontId="0" fillId="4" borderId="33" xfId="0" applyFont="1" applyFill="1" applyBorder="1" applyAlignment="1">
      <alignment horizontal="center" vertical="center"/>
    </xf>
    <xf numFmtId="0" fontId="0" fillId="4" borderId="34" xfId="0" applyFont="1" applyFill="1" applyBorder="1" applyAlignment="1">
      <alignment horizontal="center" vertical="center"/>
    </xf>
    <xf numFmtId="0" fontId="15" fillId="0" borderId="0" xfId="0" applyFont="1"/>
    <xf numFmtId="0" fontId="23" fillId="4" borderId="0" xfId="0" applyFont="1" applyFill="1" applyAlignment="1">
      <alignment horizontal="left" wrapText="1" indent="1"/>
    </xf>
    <xf numFmtId="0" fontId="20" fillId="3" borderId="0" xfId="0" applyFont="1" applyFill="1" applyAlignment="1">
      <alignment horizontal="left" wrapText="1"/>
    </xf>
    <xf numFmtId="0" fontId="20" fillId="0" borderId="52" xfId="0" applyFont="1" applyBorder="1" applyAlignment="1">
      <alignment horizontal="center" vertical="center" wrapText="1"/>
    </xf>
    <xf numFmtId="166" fontId="2" fillId="0" borderId="0" xfId="0" applyNumberFormat="1" applyFont="1" applyBorder="1" applyAlignment="1">
      <alignment vertical="center"/>
    </xf>
    <xf numFmtId="0" fontId="0" fillId="0" borderId="0" xfId="0"/>
    <xf numFmtId="0" fontId="16" fillId="3" borderId="21" xfId="4" applyFont="1" applyFill="1" applyBorder="1" applyAlignment="1">
      <alignment horizontal="center" vertical="center"/>
    </xf>
    <xf numFmtId="0" fontId="16" fillId="3" borderId="14" xfId="4" applyFont="1" applyFill="1" applyBorder="1" applyAlignment="1">
      <alignment horizontal="center" vertical="center" wrapText="1"/>
    </xf>
    <xf numFmtId="0" fontId="16" fillId="3" borderId="14" xfId="4" applyFont="1" applyFill="1" applyBorder="1" applyAlignment="1">
      <alignment horizontal="left" vertical="center" wrapText="1"/>
    </xf>
    <xf numFmtId="0" fontId="19" fillId="3" borderId="53" xfId="4" applyFont="1" applyFill="1" applyBorder="1" applyAlignment="1">
      <alignment horizontal="center" vertical="center" wrapText="1"/>
    </xf>
    <xf numFmtId="0" fontId="16" fillId="3" borderId="53" xfId="4" applyFont="1" applyFill="1" applyBorder="1" applyAlignment="1">
      <alignment horizontal="center" vertical="center" wrapText="1"/>
    </xf>
    <xf numFmtId="0" fontId="19" fillId="3" borderId="14" xfId="4" applyFont="1" applyFill="1" applyBorder="1" applyAlignment="1">
      <alignment horizontal="center" vertical="center" wrapText="1"/>
    </xf>
    <xf numFmtId="165" fontId="16" fillId="4" borderId="14" xfId="5" applyNumberFormat="1" applyFont="1" applyFill="1" applyBorder="1" applyAlignment="1" applyProtection="1">
      <alignment horizontal="right" vertical="center" wrapText="1"/>
    </xf>
    <xf numFmtId="166" fontId="19" fillId="3" borderId="22" xfId="4" applyNumberFormat="1" applyFont="1" applyFill="1" applyBorder="1" applyAlignment="1">
      <alignment horizontal="right" vertical="center" wrapText="1"/>
    </xf>
    <xf numFmtId="0" fontId="16" fillId="0" borderId="14" xfId="4" applyFont="1" applyBorder="1" applyAlignment="1">
      <alignment vertical="center"/>
    </xf>
    <xf numFmtId="169" fontId="21" fillId="0" borderId="0" xfId="0" applyNumberFormat="1" applyFont="1"/>
    <xf numFmtId="0" fontId="16" fillId="0" borderId="14" xfId="4" applyFont="1" applyBorder="1" applyAlignment="1">
      <alignment horizontal="center" vertical="center"/>
    </xf>
    <xf numFmtId="166" fontId="16" fillId="0" borderId="0" xfId="0" applyNumberFormat="1" applyFont="1"/>
    <xf numFmtId="0" fontId="16" fillId="3" borderId="14" xfId="4" applyFont="1" applyFill="1" applyBorder="1" applyAlignment="1">
      <alignment vertical="center"/>
    </xf>
    <xf numFmtId="0" fontId="16" fillId="4" borderId="0" xfId="0" applyFont="1" applyFill="1" applyBorder="1" applyAlignment="1">
      <alignment horizontal="left" wrapText="1"/>
    </xf>
    <xf numFmtId="0" fontId="16" fillId="4" borderId="6" xfId="0" applyFont="1" applyFill="1" applyBorder="1" applyAlignment="1">
      <alignment horizontal="left" wrapText="1"/>
    </xf>
    <xf numFmtId="0" fontId="16" fillId="4" borderId="0" xfId="0" applyFont="1" applyFill="1" applyBorder="1" applyAlignment="1">
      <alignment horizontal="left" vertical="center" wrapText="1"/>
    </xf>
    <xf numFmtId="0" fontId="16" fillId="4" borderId="6" xfId="0" applyFont="1" applyFill="1" applyBorder="1" applyAlignment="1">
      <alignment horizontal="left" vertical="center" wrapText="1"/>
    </xf>
    <xf numFmtId="0" fontId="16" fillId="4" borderId="0" xfId="0" applyFont="1" applyFill="1" applyBorder="1" applyAlignment="1">
      <alignment horizontal="left"/>
    </xf>
    <xf numFmtId="0" fontId="16" fillId="4" borderId="6" xfId="0" applyFont="1" applyFill="1" applyBorder="1" applyAlignment="1">
      <alignment horizontal="left"/>
    </xf>
    <xf numFmtId="0" fontId="18" fillId="0" borderId="0" xfId="0" applyFont="1" applyBorder="1" applyAlignment="1">
      <alignment horizontal="left" vertical="center" wrapText="1"/>
    </xf>
    <xf numFmtId="0" fontId="17" fillId="0" borderId="0" xfId="0" applyFont="1" applyBorder="1" applyAlignment="1">
      <alignment horizontal="center"/>
    </xf>
    <xf numFmtId="0" fontId="23" fillId="4" borderId="0" xfId="0" applyFont="1" applyFill="1" applyBorder="1" applyAlignment="1">
      <alignment horizontal="left" wrapText="1" indent="1"/>
    </xf>
    <xf numFmtId="0" fontId="0" fillId="0" borderId="0" xfId="0" applyAlignment="1">
      <alignment vertical="center"/>
    </xf>
    <xf numFmtId="0" fontId="0" fillId="0" borderId="6" xfId="0" applyBorder="1" applyAlignment="1">
      <alignment vertical="center"/>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4" xfId="0" applyFont="1" applyBorder="1" applyAlignment="1">
      <alignment horizontal="left" vertical="center" wrapText="1" indent="1"/>
    </xf>
    <xf numFmtId="166" fontId="7" fillId="0" borderId="14" xfId="0" applyNumberFormat="1" applyFont="1" applyBorder="1" applyAlignment="1">
      <alignment horizontal="center" vertical="center"/>
    </xf>
    <xf numFmtId="0" fontId="4" fillId="0" borderId="54" xfId="0" applyFont="1" applyBorder="1" applyAlignment="1">
      <alignment horizontal="left" vertical="center" wrapText="1"/>
    </xf>
    <xf numFmtId="0" fontId="4" fillId="0" borderId="55" xfId="0" applyFont="1" applyBorder="1" applyAlignment="1">
      <alignment horizontal="left" vertical="center" wrapText="1"/>
    </xf>
    <xf numFmtId="0" fontId="4" fillId="0" borderId="56" xfId="0" applyFont="1" applyBorder="1" applyAlignment="1">
      <alignment horizontal="left" vertical="center" wrapText="1"/>
    </xf>
    <xf numFmtId="0" fontId="4" fillId="0" borderId="49" xfId="0" applyFont="1" applyBorder="1" applyAlignment="1">
      <alignment horizontal="left" vertical="center" wrapText="1"/>
    </xf>
    <xf numFmtId="0" fontId="4" fillId="0" borderId="50" xfId="0" applyFont="1" applyBorder="1" applyAlignment="1">
      <alignment horizontal="left" vertical="center" wrapText="1"/>
    </xf>
    <xf numFmtId="0" fontId="4" fillId="0" borderId="51" xfId="0" applyFont="1" applyBorder="1" applyAlignment="1">
      <alignment horizontal="left" vertical="center" wrapText="1"/>
    </xf>
    <xf numFmtId="0" fontId="0" fillId="0" borderId="21" xfId="0" applyFont="1" applyBorder="1" applyAlignment="1">
      <alignment horizontal="center"/>
    </xf>
    <xf numFmtId="3" fontId="10" fillId="0" borderId="22"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xf numFmtId="0" fontId="12" fillId="0" borderId="11" xfId="0" applyFont="1" applyBorder="1" applyAlignment="1">
      <alignment horizontal="left" indent="1"/>
    </xf>
    <xf numFmtId="0" fontId="4" fillId="0" borderId="13" xfId="0" applyFont="1" applyBorder="1" applyAlignment="1">
      <alignment horizontal="left" vertical="center" wrapText="1"/>
    </xf>
    <xf numFmtId="0" fontId="4" fillId="0" borderId="47" xfId="0" applyFont="1" applyBorder="1" applyAlignment="1">
      <alignment horizontal="left" vertical="center" wrapText="1"/>
    </xf>
    <xf numFmtId="0" fontId="4" fillId="0" borderId="48" xfId="0" applyFont="1" applyBorder="1" applyAlignment="1">
      <alignment horizontal="left" vertical="center" wrapText="1"/>
    </xf>
    <xf numFmtId="0" fontId="13" fillId="0" borderId="11" xfId="0" applyFont="1" applyBorder="1" applyAlignment="1">
      <alignment horizontal="left"/>
    </xf>
    <xf numFmtId="0" fontId="12" fillId="0" borderId="24" xfId="0" applyFont="1" applyBorder="1"/>
    <xf numFmtId="0" fontId="12" fillId="0" borderId="25" xfId="0" applyFont="1" applyBorder="1" applyAlignment="1">
      <alignment horizontal="left" vertical="center" wrapText="1" indent="1"/>
    </xf>
    <xf numFmtId="0" fontId="14" fillId="0" borderId="23" xfId="0" applyFont="1" applyBorder="1" applyAlignment="1">
      <alignment horizontal="center" vertical="center"/>
    </xf>
    <xf numFmtId="0" fontId="14" fillId="0" borderId="11" xfId="0" applyFont="1" applyBorder="1" applyAlignment="1">
      <alignment horizontal="center" vertical="center"/>
    </xf>
    <xf numFmtId="0" fontId="14" fillId="0" borderId="23" xfId="0" applyFont="1" applyBorder="1" applyAlignment="1">
      <alignment horizontal="center" vertical="center" wrapText="1"/>
    </xf>
    <xf numFmtId="0" fontId="14" fillId="0" borderId="28" xfId="0" applyFont="1" applyBorder="1" applyAlignment="1">
      <alignment horizontal="center" vertical="center"/>
    </xf>
    <xf numFmtId="0" fontId="25" fillId="0" borderId="33" xfId="0" applyFont="1" applyBorder="1" applyAlignment="1">
      <alignment horizontal="left" vertical="center" wrapText="1"/>
    </xf>
    <xf numFmtId="0" fontId="0" fillId="0" borderId="39" xfId="0" applyFont="1" applyBorder="1" applyAlignment="1">
      <alignment horizontal="left" vertical="center"/>
    </xf>
    <xf numFmtId="0" fontId="24" fillId="0" borderId="57" xfId="0" applyFont="1" applyBorder="1" applyAlignment="1">
      <alignment horizontal="left" vertical="center" wrapText="1"/>
    </xf>
    <xf numFmtId="0" fontId="24" fillId="0" borderId="58" xfId="0" applyFont="1" applyBorder="1" applyAlignment="1">
      <alignment horizontal="left" vertical="center" wrapText="1"/>
    </xf>
    <xf numFmtId="0" fontId="10" fillId="0" borderId="21" xfId="0" applyFont="1" applyBorder="1" applyAlignment="1">
      <alignment vertical="center" wrapText="1"/>
    </xf>
    <xf numFmtId="0" fontId="10" fillId="0" borderId="46" xfId="0" applyFont="1" applyBorder="1" applyAlignment="1">
      <alignment vertical="center" wrapText="1"/>
    </xf>
    <xf numFmtId="0" fontId="10" fillId="0" borderId="17" xfId="0" applyFont="1" applyBorder="1" applyAlignment="1">
      <alignment vertical="center" wrapText="1"/>
    </xf>
    <xf numFmtId="0" fontId="12" fillId="0" borderId="28" xfId="0" applyFont="1" applyBorder="1" applyAlignment="1">
      <alignment vertical="center" wrapText="1"/>
    </xf>
    <xf numFmtId="0" fontId="2" fillId="4" borderId="45" xfId="0" applyFont="1" applyFill="1" applyBorder="1" applyAlignment="1">
      <alignment horizontal="left" vertical="center" wrapText="1" indent="1"/>
    </xf>
    <xf numFmtId="0" fontId="0" fillId="0" borderId="39" xfId="0" applyBorder="1" applyAlignment="1">
      <alignment horizontal="left" vertical="center"/>
    </xf>
    <xf numFmtId="0" fontId="0" fillId="0" borderId="42" xfId="0" applyBorder="1" applyAlignment="1">
      <alignment horizontal="left" vertical="center"/>
    </xf>
    <xf numFmtId="0" fontId="10" fillId="0" borderId="45" xfId="0" applyFont="1" applyBorder="1" applyAlignment="1">
      <alignment horizontal="left" vertical="center" wrapText="1"/>
    </xf>
    <xf numFmtId="0" fontId="0" fillId="0" borderId="23" xfId="0" applyBorder="1"/>
  </cellXfs>
  <cellStyles count="6">
    <cellStyle name="Encabezado 1" xfId="1"/>
    <cellStyle name="Moneda 2" xfId="5"/>
    <cellStyle name="Moneda_AUTORIZACION Y NOTA DE PEDIDO" xfId="2"/>
    <cellStyle name="Neutral 1" xfId="3"/>
    <cellStyle name="Normal" xfId="0" builtinId="0"/>
    <cellStyle name="Normal 2" xfId="4"/>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xmlns=""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xmlns=""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xmlns=""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xmlns=""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L127"/>
  <sheetViews>
    <sheetView topLeftCell="A4" zoomScale="84" zoomScaleNormal="84" workbookViewId="0">
      <selection activeCell="H49" sqref="H49"/>
    </sheetView>
  </sheetViews>
  <sheetFormatPr baseColWidth="10" defaultColWidth="11" defaultRowHeight="12.75" x14ac:dyDescent="0.2"/>
  <cols>
    <col min="1" max="1" width="4.5703125" style="40" customWidth="1"/>
    <col min="2" max="2" width="12.5703125" style="40" customWidth="1"/>
    <col min="3" max="3" width="19.7109375" style="40" customWidth="1"/>
    <col min="4" max="4" width="7.140625" style="40" customWidth="1"/>
    <col min="5" max="5" width="59.42578125" style="40" customWidth="1"/>
    <col min="6" max="6" width="11" style="40"/>
    <col min="7" max="7" width="10.85546875" style="40" customWidth="1"/>
    <col min="8" max="8" width="12.7109375" style="40" customWidth="1"/>
    <col min="9" max="9" width="17" style="40" customWidth="1"/>
    <col min="10" max="10" width="11" style="40"/>
    <col min="11" max="11" width="11.28515625" style="40" bestFit="1" customWidth="1"/>
    <col min="12" max="12" width="12.7109375" style="40" bestFit="1" customWidth="1"/>
    <col min="13" max="16384" width="11" style="40"/>
  </cols>
  <sheetData>
    <row r="2" spans="1:12" ht="27" x14ac:dyDescent="0.35">
      <c r="B2" s="88" t="s">
        <v>0</v>
      </c>
      <c r="C2" s="88"/>
      <c r="D2" s="88"/>
      <c r="E2" s="88"/>
      <c r="F2" s="88"/>
      <c r="G2" s="88"/>
      <c r="H2" s="88"/>
    </row>
    <row r="3" spans="1:12" ht="8.25" customHeight="1" x14ac:dyDescent="0.2"/>
    <row r="4" spans="1:12" ht="27.75" customHeight="1" x14ac:dyDescent="0.25">
      <c r="A4" s="87" t="s">
        <v>1</v>
      </c>
      <c r="B4" s="87"/>
      <c r="C4" s="89" t="s">
        <v>58</v>
      </c>
      <c r="D4" s="89"/>
      <c r="E4" s="89"/>
      <c r="F4" s="41"/>
      <c r="G4" s="42"/>
      <c r="H4" s="41"/>
    </row>
    <row r="5" spans="1:12" ht="18" customHeight="1" x14ac:dyDescent="0.25">
      <c r="A5" s="87" t="s">
        <v>2</v>
      </c>
      <c r="B5" s="87"/>
      <c r="C5" s="89" t="s">
        <v>59</v>
      </c>
      <c r="D5" s="89"/>
      <c r="E5" s="89"/>
      <c r="F5" s="41"/>
      <c r="G5" s="42"/>
      <c r="H5" s="41"/>
    </row>
    <row r="6" spans="1:12" ht="16.5" customHeight="1" x14ac:dyDescent="0.25">
      <c r="A6" s="87" t="s">
        <v>3</v>
      </c>
      <c r="B6" s="87"/>
      <c r="C6" s="63">
        <v>2021</v>
      </c>
      <c r="D6" s="64"/>
      <c r="E6" s="64"/>
      <c r="F6" s="41"/>
      <c r="G6" s="42"/>
      <c r="H6" s="41"/>
    </row>
    <row r="7" spans="1:12" ht="16.5" customHeight="1" x14ac:dyDescent="0.25">
      <c r="A7" s="87" t="s">
        <v>4</v>
      </c>
      <c r="B7" s="87"/>
      <c r="C7" s="63">
        <v>2</v>
      </c>
      <c r="D7" s="64"/>
      <c r="E7" s="64"/>
      <c r="F7" s="41"/>
      <c r="G7" s="42"/>
      <c r="H7" s="41"/>
    </row>
    <row r="8" spans="1:12" x14ac:dyDescent="0.2">
      <c r="B8" s="41"/>
      <c r="C8" s="42"/>
      <c r="D8" s="41"/>
      <c r="E8" s="41"/>
      <c r="F8" s="41"/>
      <c r="G8" s="42"/>
      <c r="H8" s="41"/>
    </row>
    <row r="9" spans="1:12" ht="39.75" thickTop="1" thickBot="1" x14ac:dyDescent="0.25">
      <c r="A9" s="65" t="s">
        <v>5</v>
      </c>
      <c r="B9" s="65" t="s">
        <v>6</v>
      </c>
      <c r="C9" s="65" t="s">
        <v>7</v>
      </c>
      <c r="D9" s="65" t="s">
        <v>8</v>
      </c>
      <c r="E9" s="65" t="s">
        <v>9</v>
      </c>
      <c r="F9" s="65" t="s">
        <v>10</v>
      </c>
      <c r="G9" s="65" t="s">
        <v>11</v>
      </c>
      <c r="H9" s="65" t="s">
        <v>12</v>
      </c>
      <c r="I9" s="65" t="s">
        <v>13</v>
      </c>
    </row>
    <row r="10" spans="1:12" ht="42.75" customHeight="1" thickBot="1" x14ac:dyDescent="0.25">
      <c r="A10" s="68">
        <v>1</v>
      </c>
      <c r="B10" s="69" t="s">
        <v>69</v>
      </c>
      <c r="C10" s="70" t="s">
        <v>65</v>
      </c>
      <c r="D10" s="71" t="str">
        <f t="shared" ref="D10:D13" si="0">LEFT(B10,5)</f>
        <v>4.3.5</v>
      </c>
      <c r="E10" s="70" t="s">
        <v>70</v>
      </c>
      <c r="F10" s="72" t="s">
        <v>14</v>
      </c>
      <c r="G10" s="73">
        <v>5</v>
      </c>
      <c r="H10" s="74">
        <v>170000</v>
      </c>
      <c r="I10" s="75">
        <f t="shared" ref="I10:I13" si="1">H10*G10</f>
        <v>850000</v>
      </c>
      <c r="K10" s="79"/>
    </row>
    <row r="11" spans="1:12" ht="43.5" customHeight="1" thickBot="1" x14ac:dyDescent="0.25">
      <c r="A11" s="68">
        <v>2</v>
      </c>
      <c r="B11" s="69" t="s">
        <v>63</v>
      </c>
      <c r="C11" s="70" t="s">
        <v>65</v>
      </c>
      <c r="D11" s="71" t="str">
        <f t="shared" si="0"/>
        <v>4.3.5</v>
      </c>
      <c r="E11" s="70" t="s">
        <v>64</v>
      </c>
      <c r="F11" s="72" t="s">
        <v>14</v>
      </c>
      <c r="G11" s="73">
        <v>15</v>
      </c>
      <c r="H11" s="74">
        <v>60000</v>
      </c>
      <c r="I11" s="75">
        <f t="shared" si="1"/>
        <v>900000</v>
      </c>
      <c r="K11" s="79"/>
    </row>
    <row r="12" spans="1:12" ht="39.75" customHeight="1" thickBot="1" x14ac:dyDescent="0.25">
      <c r="A12" s="68">
        <v>3</v>
      </c>
      <c r="B12" s="80" t="s">
        <v>63</v>
      </c>
      <c r="C12" s="80" t="s">
        <v>65</v>
      </c>
      <c r="D12" s="71" t="str">
        <f t="shared" si="0"/>
        <v>4.3.5</v>
      </c>
      <c r="E12" s="70" t="s">
        <v>64</v>
      </c>
      <c r="F12" s="72" t="s">
        <v>14</v>
      </c>
      <c r="G12" s="73">
        <v>10</v>
      </c>
      <c r="H12" s="74">
        <v>35000</v>
      </c>
      <c r="I12" s="75">
        <f t="shared" si="1"/>
        <v>350000</v>
      </c>
      <c r="K12" s="79"/>
    </row>
    <row r="13" spans="1:12" ht="39.75" customHeight="1" thickBot="1" x14ac:dyDescent="0.25">
      <c r="A13" s="68">
        <v>4</v>
      </c>
      <c r="B13" s="69" t="s">
        <v>63</v>
      </c>
      <c r="C13" s="76" t="s">
        <v>65</v>
      </c>
      <c r="D13" s="71" t="str">
        <f t="shared" si="0"/>
        <v>4.3.5</v>
      </c>
      <c r="E13" s="70" t="s">
        <v>64</v>
      </c>
      <c r="F13" s="72" t="s">
        <v>14</v>
      </c>
      <c r="G13" s="73">
        <v>30</v>
      </c>
      <c r="H13" s="74">
        <v>4500</v>
      </c>
      <c r="I13" s="75">
        <f t="shared" si="1"/>
        <v>135000</v>
      </c>
      <c r="K13" s="79"/>
    </row>
    <row r="14" spans="1:12" ht="13.5" thickBot="1" x14ac:dyDescent="0.25">
      <c r="I14" s="77">
        <f>SUMPRODUCT(H10:H13,G10:G13)</f>
        <v>2235000</v>
      </c>
    </row>
    <row r="15" spans="1:12" x14ac:dyDescent="0.2">
      <c r="B15" s="43" t="s">
        <v>15</v>
      </c>
      <c r="C15" s="44"/>
      <c r="D15" s="44"/>
      <c r="E15" s="45"/>
      <c r="L15" s="79"/>
    </row>
    <row r="16" spans="1:12" ht="7.5" customHeight="1" x14ac:dyDescent="0.2">
      <c r="B16" s="46"/>
      <c r="C16" s="47"/>
      <c r="D16" s="47"/>
      <c r="E16" s="48"/>
    </row>
    <row r="17" spans="2:5" x14ac:dyDescent="0.2">
      <c r="B17" s="49" t="s">
        <v>16</v>
      </c>
      <c r="C17" s="47"/>
      <c r="D17" s="47"/>
      <c r="E17" s="48"/>
    </row>
    <row r="18" spans="2:5" ht="60" customHeight="1" x14ac:dyDescent="0.2">
      <c r="B18" s="49"/>
      <c r="C18" s="83" t="s">
        <v>75</v>
      </c>
      <c r="D18" s="90"/>
      <c r="E18" s="91"/>
    </row>
    <row r="19" spans="2:5" x14ac:dyDescent="0.2">
      <c r="B19" s="49" t="s">
        <v>17</v>
      </c>
      <c r="C19" s="47"/>
      <c r="D19" s="47"/>
      <c r="E19" s="48"/>
    </row>
    <row r="20" spans="2:5" x14ac:dyDescent="0.2">
      <c r="B20" s="50"/>
      <c r="C20" s="83" t="s">
        <v>66</v>
      </c>
      <c r="D20" s="83"/>
      <c r="E20" s="84"/>
    </row>
    <row r="21" spans="2:5" ht="64.5" customHeight="1" x14ac:dyDescent="0.2">
      <c r="B21" s="50"/>
      <c r="C21" s="83"/>
      <c r="D21" s="83"/>
      <c r="E21" s="84"/>
    </row>
    <row r="22" spans="2:5" x14ac:dyDescent="0.2">
      <c r="B22" s="49" t="s">
        <v>18</v>
      </c>
      <c r="C22" s="47"/>
      <c r="D22" s="47"/>
      <c r="E22" s="48"/>
    </row>
    <row r="23" spans="2:5" ht="6" customHeight="1" x14ac:dyDescent="0.2">
      <c r="B23" s="50"/>
      <c r="C23" s="81"/>
      <c r="D23" s="81"/>
      <c r="E23" s="82"/>
    </row>
    <row r="24" spans="2:5" x14ac:dyDescent="0.2">
      <c r="B24" s="49" t="s">
        <v>67</v>
      </c>
      <c r="C24" s="51"/>
      <c r="D24" s="51"/>
      <c r="E24" s="52"/>
    </row>
    <row r="25" spans="2:5" ht="7.5" customHeight="1" x14ac:dyDescent="0.2">
      <c r="B25" s="50"/>
      <c r="C25" s="81"/>
      <c r="D25" s="81"/>
      <c r="E25" s="82"/>
    </row>
    <row r="26" spans="2:5" x14ac:dyDescent="0.2">
      <c r="B26" s="49" t="s">
        <v>72</v>
      </c>
      <c r="C26" s="47"/>
      <c r="D26" s="47"/>
      <c r="E26" s="48"/>
    </row>
    <row r="27" spans="2:5" ht="15" customHeight="1" x14ac:dyDescent="0.2">
      <c r="B27" s="49"/>
      <c r="C27" s="81"/>
      <c r="D27" s="85"/>
      <c r="E27" s="86"/>
    </row>
    <row r="28" spans="2:5" ht="13.5" thickBot="1" x14ac:dyDescent="0.25">
      <c r="B28" s="53"/>
      <c r="C28" s="54"/>
      <c r="D28" s="54"/>
      <c r="E28" s="55"/>
    </row>
    <row r="29" spans="2:5" ht="13.5" thickBot="1" x14ac:dyDescent="0.25"/>
    <row r="30" spans="2:5" x14ac:dyDescent="0.2">
      <c r="B30" s="43" t="s">
        <v>19</v>
      </c>
      <c r="C30" s="44"/>
      <c r="D30" s="44"/>
      <c r="E30" s="45"/>
    </row>
    <row r="31" spans="2:5" ht="6.75" customHeight="1" x14ac:dyDescent="0.2">
      <c r="B31" s="46"/>
      <c r="C31" s="47"/>
      <c r="D31" s="47"/>
      <c r="E31" s="48"/>
    </row>
    <row r="32" spans="2:5" x14ac:dyDescent="0.2">
      <c r="B32" s="49" t="s">
        <v>16</v>
      </c>
      <c r="C32" s="47"/>
      <c r="D32" s="47"/>
      <c r="E32" s="48"/>
    </row>
    <row r="33" spans="2:5" ht="112.5" customHeight="1" x14ac:dyDescent="0.2">
      <c r="B33" s="49"/>
      <c r="C33" s="83" t="s">
        <v>82</v>
      </c>
      <c r="D33" s="83"/>
      <c r="E33" s="84"/>
    </row>
    <row r="34" spans="2:5" x14ac:dyDescent="0.2">
      <c r="B34" s="49" t="s">
        <v>17</v>
      </c>
      <c r="C34" s="47"/>
      <c r="D34" s="47"/>
      <c r="E34" s="48"/>
    </row>
    <row r="35" spans="2:5" ht="24" customHeight="1" x14ac:dyDescent="0.2">
      <c r="B35" s="50"/>
      <c r="C35" s="83" t="s">
        <v>66</v>
      </c>
      <c r="D35" s="83"/>
      <c r="E35" s="84"/>
    </row>
    <row r="36" spans="2:5" ht="48.75" customHeight="1" x14ac:dyDescent="0.2">
      <c r="B36" s="50"/>
      <c r="C36" s="83"/>
      <c r="D36" s="83"/>
      <c r="E36" s="84"/>
    </row>
    <row r="37" spans="2:5" x14ac:dyDescent="0.2">
      <c r="B37" s="49" t="s">
        <v>18</v>
      </c>
      <c r="C37" s="47"/>
      <c r="D37" s="47"/>
      <c r="E37" s="48"/>
    </row>
    <row r="38" spans="2:5" ht="4.5" customHeight="1" x14ac:dyDescent="0.2">
      <c r="B38" s="50"/>
      <c r="C38" s="81"/>
      <c r="D38" s="81"/>
      <c r="E38" s="82"/>
    </row>
    <row r="39" spans="2:5" x14ac:dyDescent="0.2">
      <c r="B39" s="49" t="s">
        <v>68</v>
      </c>
      <c r="C39" s="51"/>
      <c r="D39" s="51"/>
      <c r="E39" s="52"/>
    </row>
    <row r="40" spans="2:5" ht="7.5" customHeight="1" x14ac:dyDescent="0.2">
      <c r="B40" s="50"/>
      <c r="C40" s="81"/>
      <c r="D40" s="81"/>
      <c r="E40" s="82"/>
    </row>
    <row r="41" spans="2:5" x14ac:dyDescent="0.2">
      <c r="B41" s="49" t="s">
        <v>73</v>
      </c>
      <c r="C41" s="47"/>
      <c r="D41" s="47"/>
      <c r="E41" s="48"/>
    </row>
    <row r="42" spans="2:5" x14ac:dyDescent="0.2">
      <c r="B42" s="49"/>
      <c r="C42" s="81"/>
      <c r="D42" s="85"/>
      <c r="E42" s="86"/>
    </row>
    <row r="43" spans="2:5" ht="2.25" customHeight="1" thickBot="1" x14ac:dyDescent="0.25">
      <c r="B43" s="53"/>
      <c r="C43" s="54"/>
      <c r="D43" s="54"/>
      <c r="E43" s="55"/>
    </row>
    <row r="45" spans="2:5" ht="13.5" thickBot="1" x14ac:dyDescent="0.25"/>
    <row r="46" spans="2:5" ht="12.75" customHeight="1" x14ac:dyDescent="0.2">
      <c r="B46" s="43" t="s">
        <v>79</v>
      </c>
      <c r="C46" s="44"/>
      <c r="D46" s="44"/>
      <c r="E46" s="45"/>
    </row>
    <row r="47" spans="2:5" ht="24" customHeight="1" x14ac:dyDescent="0.2">
      <c r="B47" s="46"/>
      <c r="C47" s="47"/>
      <c r="D47" s="47"/>
      <c r="E47" s="48"/>
    </row>
    <row r="48" spans="2:5" ht="12.75" customHeight="1" x14ac:dyDescent="0.2">
      <c r="B48" s="49" t="s">
        <v>16</v>
      </c>
      <c r="C48" s="47"/>
      <c r="D48" s="47"/>
      <c r="E48" s="48"/>
    </row>
    <row r="49" spans="2:5" ht="141" customHeight="1" x14ac:dyDescent="0.2">
      <c r="B49" s="49"/>
      <c r="C49" s="83" t="s">
        <v>76</v>
      </c>
      <c r="D49" s="83"/>
      <c r="E49" s="84"/>
    </row>
    <row r="50" spans="2:5" x14ac:dyDescent="0.2">
      <c r="B50" s="49" t="s">
        <v>17</v>
      </c>
      <c r="C50" s="47"/>
      <c r="D50" s="47"/>
      <c r="E50" s="48"/>
    </row>
    <row r="51" spans="2:5" x14ac:dyDescent="0.2">
      <c r="B51" s="50"/>
      <c r="C51" s="83" t="s">
        <v>66</v>
      </c>
      <c r="D51" s="83"/>
      <c r="E51" s="84"/>
    </row>
    <row r="52" spans="2:5" ht="66.75" customHeight="1" x14ac:dyDescent="0.2">
      <c r="B52" s="50"/>
      <c r="C52" s="83"/>
      <c r="D52" s="83"/>
      <c r="E52" s="84"/>
    </row>
    <row r="53" spans="2:5" x14ac:dyDescent="0.2">
      <c r="B53" s="49" t="s">
        <v>18</v>
      </c>
      <c r="C53" s="47"/>
      <c r="D53" s="47"/>
      <c r="E53" s="48"/>
    </row>
    <row r="54" spans="2:5" x14ac:dyDescent="0.2">
      <c r="B54" s="50"/>
      <c r="C54" s="81"/>
      <c r="D54" s="81"/>
      <c r="E54" s="82"/>
    </row>
    <row r="55" spans="2:5" ht="20.25" customHeight="1" x14ac:dyDescent="0.2">
      <c r="B55" s="49" t="s">
        <v>68</v>
      </c>
      <c r="C55" s="51"/>
      <c r="D55" s="51"/>
      <c r="E55" s="52"/>
    </row>
    <row r="56" spans="2:5" x14ac:dyDescent="0.2">
      <c r="B56" s="50"/>
      <c r="C56" s="81"/>
      <c r="D56" s="81"/>
      <c r="E56" s="82"/>
    </row>
    <row r="57" spans="2:5" x14ac:dyDescent="0.2">
      <c r="B57" s="49" t="s">
        <v>72</v>
      </c>
      <c r="C57" s="47"/>
      <c r="D57" s="47"/>
      <c r="E57" s="48"/>
    </row>
    <row r="58" spans="2:5" ht="3.75" customHeight="1" x14ac:dyDescent="0.2">
      <c r="B58" s="49"/>
      <c r="C58" s="81"/>
      <c r="D58" s="85"/>
      <c r="E58" s="86"/>
    </row>
    <row r="59" spans="2:5" ht="13.5" customHeight="1" thickBot="1" x14ac:dyDescent="0.25">
      <c r="B59" s="53"/>
      <c r="C59" s="54"/>
      <c r="D59" s="54"/>
      <c r="E59" s="55"/>
    </row>
    <row r="60" spans="2:5" ht="47.25" customHeight="1" x14ac:dyDescent="0.2"/>
    <row r="62" spans="2:5" ht="13.5" thickBot="1" x14ac:dyDescent="0.25"/>
    <row r="63" spans="2:5" ht="54.75" customHeight="1" x14ac:dyDescent="0.2">
      <c r="B63" s="43" t="s">
        <v>80</v>
      </c>
      <c r="C63" s="44"/>
      <c r="D63" s="44"/>
      <c r="E63" s="45"/>
    </row>
    <row r="64" spans="2:5" x14ac:dyDescent="0.2">
      <c r="B64" s="46"/>
      <c r="C64" s="47"/>
      <c r="D64" s="47"/>
      <c r="E64" s="48"/>
    </row>
    <row r="65" spans="2:5" x14ac:dyDescent="0.2">
      <c r="B65" s="49" t="s">
        <v>16</v>
      </c>
      <c r="C65" s="47"/>
      <c r="D65" s="47"/>
      <c r="E65" s="48"/>
    </row>
    <row r="66" spans="2:5" ht="50.25" customHeight="1" x14ac:dyDescent="0.2">
      <c r="B66" s="49"/>
      <c r="C66" s="81" t="s">
        <v>77</v>
      </c>
      <c r="D66" s="81"/>
      <c r="E66" s="82"/>
    </row>
    <row r="67" spans="2:5" x14ac:dyDescent="0.2">
      <c r="B67" s="49" t="s">
        <v>17</v>
      </c>
      <c r="C67" s="47"/>
      <c r="D67" s="47"/>
      <c r="E67" s="48"/>
    </row>
    <row r="68" spans="2:5" x14ac:dyDescent="0.2">
      <c r="B68" s="50"/>
      <c r="C68" s="83" t="s">
        <v>66</v>
      </c>
      <c r="D68" s="83"/>
      <c r="E68" s="84"/>
    </row>
    <row r="69" spans="2:5" ht="69.75" customHeight="1" x14ac:dyDescent="0.2">
      <c r="B69" s="50"/>
      <c r="C69" s="83"/>
      <c r="D69" s="83"/>
      <c r="E69" s="84"/>
    </row>
    <row r="70" spans="2:5" x14ac:dyDescent="0.2">
      <c r="B70" s="49" t="s">
        <v>18</v>
      </c>
      <c r="C70" s="47"/>
      <c r="D70" s="47"/>
      <c r="E70" s="48"/>
    </row>
    <row r="71" spans="2:5" ht="4.5" customHeight="1" x14ac:dyDescent="0.2">
      <c r="B71" s="50"/>
      <c r="C71" s="81"/>
      <c r="D71" s="81"/>
      <c r="E71" s="82"/>
    </row>
    <row r="72" spans="2:5" ht="7.5" customHeight="1" x14ac:dyDescent="0.2">
      <c r="B72" s="49" t="s">
        <v>74</v>
      </c>
      <c r="C72" s="51"/>
      <c r="D72" s="51"/>
      <c r="E72" s="52"/>
    </row>
    <row r="73" spans="2:5" ht="12.75" customHeight="1" x14ac:dyDescent="0.2">
      <c r="B73" s="50"/>
      <c r="C73" s="81"/>
      <c r="D73" s="81"/>
      <c r="E73" s="82"/>
    </row>
    <row r="74" spans="2:5" x14ac:dyDescent="0.2">
      <c r="B74" s="49" t="s">
        <v>72</v>
      </c>
      <c r="C74" s="47"/>
      <c r="D74" s="47"/>
      <c r="E74" s="48"/>
    </row>
    <row r="75" spans="2:5" ht="3.75" customHeight="1" x14ac:dyDescent="0.2">
      <c r="B75" s="49"/>
      <c r="C75" s="81"/>
      <c r="D75" s="85"/>
      <c r="E75" s="86"/>
    </row>
    <row r="76" spans="2:5" ht="13.5" thickBot="1" x14ac:dyDescent="0.25">
      <c r="B76" s="53"/>
      <c r="C76" s="54"/>
      <c r="D76" s="54"/>
      <c r="E76" s="55"/>
    </row>
    <row r="77" spans="2:5" ht="123" customHeight="1" x14ac:dyDescent="0.2"/>
    <row r="80" spans="2:5" ht="61.5" customHeight="1" x14ac:dyDescent="0.2"/>
    <row r="81" ht="12.75" customHeight="1" x14ac:dyDescent="0.2"/>
    <row r="83" ht="12.75" customHeight="1" x14ac:dyDescent="0.2"/>
    <row r="88" ht="4.5" customHeight="1" x14ac:dyDescent="0.2"/>
    <row r="92" ht="3.75" customHeight="1" x14ac:dyDescent="0.2"/>
    <row r="94" ht="51.75" customHeight="1" x14ac:dyDescent="0.2"/>
    <row r="96" ht="12.75" customHeight="1" x14ac:dyDescent="0.2"/>
    <row r="97" ht="63" customHeight="1" x14ac:dyDescent="0.2"/>
    <row r="98" ht="12.75" customHeight="1" x14ac:dyDescent="0.2"/>
    <row r="109" ht="39.75" customHeight="1" x14ac:dyDescent="0.2"/>
    <row r="111" ht="60.75" customHeight="1" x14ac:dyDescent="0.2"/>
    <row r="124" ht="81.75" customHeight="1" x14ac:dyDescent="0.2"/>
    <row r="127" ht="90.75" customHeight="1" x14ac:dyDescent="0.2"/>
  </sheetData>
  <mergeCells count="27">
    <mergeCell ref="C23:E23"/>
    <mergeCell ref="C25:E25"/>
    <mergeCell ref="C27:E27"/>
    <mergeCell ref="C18:E18"/>
    <mergeCell ref="C20:E21"/>
    <mergeCell ref="A6:B6"/>
    <mergeCell ref="A7:B7"/>
    <mergeCell ref="B2:H2"/>
    <mergeCell ref="A4:B4"/>
    <mergeCell ref="C4:E4"/>
    <mergeCell ref="A5:B5"/>
    <mergeCell ref="C5:E5"/>
    <mergeCell ref="C33:E33"/>
    <mergeCell ref="C35:E36"/>
    <mergeCell ref="C38:E38"/>
    <mergeCell ref="C40:E40"/>
    <mergeCell ref="C42:E42"/>
    <mergeCell ref="C49:E49"/>
    <mergeCell ref="C51:E52"/>
    <mergeCell ref="C54:E54"/>
    <mergeCell ref="C56:E56"/>
    <mergeCell ref="C58:E58"/>
    <mergeCell ref="C66:E66"/>
    <mergeCell ref="C68:E69"/>
    <mergeCell ref="C71:E71"/>
    <mergeCell ref="C73:E73"/>
    <mergeCell ref="C75:E75"/>
  </mergeCells>
  <pageMargins left="0.70866141732283472" right="0.70866141732283472" top="0.74803149606299213" bottom="0.74803149606299213" header="0.51181102362204722" footer="0.51181102362204722"/>
  <pageSetup paperSize="5" firstPageNumber="0"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J16"/>
  <sheetViews>
    <sheetView topLeftCell="A10" zoomScaleNormal="100" workbookViewId="0">
      <selection activeCell="L10" sqref="L10"/>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2.28515625" style="2" customWidth="1"/>
    <col min="13" max="14" width="5.85546875" style="2" customWidth="1"/>
    <col min="15" max="15" width="12.5703125" style="2" customWidth="1"/>
    <col min="16" max="1024" width="9.140625" style="2"/>
  </cols>
  <sheetData>
    <row r="1" spans="1:1024" ht="18" customHeight="1" x14ac:dyDescent="0.2">
      <c r="A1" s="92" t="s">
        <v>20</v>
      </c>
      <c r="B1" s="92"/>
      <c r="C1" s="92"/>
      <c r="D1" s="92"/>
      <c r="E1" s="92"/>
      <c r="F1" s="92"/>
      <c r="G1" s="92"/>
      <c r="H1" s="92"/>
      <c r="I1" s="92"/>
      <c r="J1" s="3" t="s">
        <v>21</v>
      </c>
      <c r="K1" s="56" t="s">
        <v>81</v>
      </c>
    </row>
    <row r="2" spans="1:1024" ht="18.75" customHeight="1" thickBot="1" x14ac:dyDescent="0.25">
      <c r="A2" s="4"/>
      <c r="B2" s="4"/>
      <c r="C2" s="4"/>
      <c r="D2" s="5"/>
      <c r="E2" s="5"/>
      <c r="F2" s="5"/>
      <c r="G2" s="5"/>
      <c r="H2" s="5"/>
      <c r="I2" s="5"/>
      <c r="J2" s="5"/>
      <c r="K2" s="5"/>
    </row>
    <row r="3" spans="1:1024" ht="18.75" customHeight="1" thickBot="1" x14ac:dyDescent="0.25">
      <c r="A3" s="93" t="s">
        <v>55</v>
      </c>
      <c r="B3" s="93"/>
      <c r="C3" s="93"/>
      <c r="D3" s="94" t="s">
        <v>58</v>
      </c>
      <c r="E3" s="94"/>
      <c r="F3" s="94"/>
      <c r="G3" s="94"/>
      <c r="H3" s="94"/>
      <c r="I3" s="94"/>
      <c r="J3" s="94"/>
      <c r="K3" s="94"/>
    </row>
    <row r="4" spans="1:1024" ht="18.75" customHeight="1" thickBot="1" x14ac:dyDescent="0.25">
      <c r="A4" s="95" t="s">
        <v>56</v>
      </c>
      <c r="B4" s="95"/>
      <c r="C4" s="95"/>
      <c r="D4" s="94" t="s">
        <v>59</v>
      </c>
      <c r="E4" s="94"/>
      <c r="F4" s="94"/>
      <c r="G4" s="94"/>
      <c r="H4" s="94"/>
      <c r="I4" s="94"/>
      <c r="J4" s="94"/>
      <c r="K4" s="94"/>
    </row>
    <row r="5" spans="1:1024" ht="18.75" customHeight="1" thickBot="1" x14ac:dyDescent="0.25">
      <c r="A5" s="95" t="s">
        <v>34</v>
      </c>
      <c r="B5" s="95"/>
      <c r="C5" s="95"/>
      <c r="D5" s="94" t="s">
        <v>60</v>
      </c>
      <c r="E5" s="94"/>
      <c r="F5" s="94"/>
      <c r="G5" s="94"/>
      <c r="H5" s="94"/>
      <c r="I5" s="94"/>
      <c r="J5" s="94"/>
      <c r="K5" s="94"/>
    </row>
    <row r="6" spans="1:1024" ht="17.25" customHeight="1" thickBot="1" x14ac:dyDescent="0.25">
      <c r="A6" s="93" t="s">
        <v>57</v>
      </c>
      <c r="B6" s="93"/>
      <c r="C6" s="93"/>
      <c r="D6" s="94" t="s">
        <v>85</v>
      </c>
      <c r="E6" s="94"/>
      <c r="F6" s="94"/>
      <c r="G6" s="94"/>
      <c r="H6" s="94"/>
      <c r="I6" s="94"/>
      <c r="J6" s="94"/>
      <c r="K6" s="94"/>
    </row>
    <row r="7" spans="1:1024" ht="20.25" customHeight="1" x14ac:dyDescent="0.2">
      <c r="A7" s="95" t="s">
        <v>22</v>
      </c>
      <c r="B7" s="95"/>
      <c r="C7" s="95"/>
      <c r="D7" s="94" t="s">
        <v>71</v>
      </c>
      <c r="E7" s="94"/>
      <c r="F7" s="94"/>
      <c r="G7" s="94"/>
      <c r="H7" s="94"/>
      <c r="I7" s="94"/>
      <c r="J7" s="94"/>
      <c r="K7" s="94"/>
    </row>
    <row r="8" spans="1:1024" ht="40.5" customHeight="1" x14ac:dyDescent="0.2">
      <c r="A8" s="96" t="s">
        <v>23</v>
      </c>
      <c r="B8" s="96"/>
      <c r="C8" s="96"/>
      <c r="D8" s="97" t="s">
        <v>86</v>
      </c>
      <c r="E8" s="97"/>
      <c r="F8" s="97"/>
      <c r="G8" s="97"/>
      <c r="H8" s="97"/>
      <c r="I8" s="97"/>
      <c r="J8" s="97"/>
      <c r="K8" s="97"/>
    </row>
    <row r="9" spans="1:1024" ht="15.75" x14ac:dyDescent="0.2">
      <c r="A9" s="6"/>
      <c r="B9" s="6"/>
      <c r="C9" s="6"/>
      <c r="D9" s="7"/>
      <c r="E9" s="7"/>
      <c r="F9" s="7"/>
      <c r="G9" s="7"/>
      <c r="H9" s="7"/>
      <c r="I9" s="7"/>
      <c r="J9" s="7"/>
      <c r="K9" s="7"/>
    </row>
    <row r="10" spans="1:1024" ht="18.75" customHeight="1" x14ac:dyDescent="0.2">
      <c r="A10" s="98" t="s">
        <v>24</v>
      </c>
      <c r="B10" s="99" t="s">
        <v>25</v>
      </c>
      <c r="C10" s="99" t="s">
        <v>26</v>
      </c>
      <c r="D10" s="99"/>
      <c r="E10" s="99"/>
      <c r="F10" s="99"/>
      <c r="G10" s="99"/>
      <c r="H10" s="99" t="s">
        <v>27</v>
      </c>
      <c r="I10" s="99" t="s">
        <v>28</v>
      </c>
      <c r="J10" s="99" t="s">
        <v>29</v>
      </c>
      <c r="K10" s="100" t="s">
        <v>30</v>
      </c>
    </row>
    <row r="11" spans="1:1024" ht="24" customHeight="1" thickBot="1" x14ac:dyDescent="0.25">
      <c r="A11" s="98"/>
      <c r="B11" s="99"/>
      <c r="C11" s="99"/>
      <c r="D11" s="99"/>
      <c r="E11" s="99"/>
      <c r="F11" s="99"/>
      <c r="G11" s="99"/>
      <c r="H11" s="99"/>
      <c r="I11" s="99"/>
      <c r="J11" s="99"/>
      <c r="K11" s="100"/>
    </row>
    <row r="12" spans="1:1024" ht="49.5" customHeight="1" thickBot="1" x14ac:dyDescent="0.25">
      <c r="A12" s="8">
        <v>1</v>
      </c>
      <c r="B12" s="69" t="s">
        <v>69</v>
      </c>
      <c r="C12" s="103" t="s">
        <v>70</v>
      </c>
      <c r="D12" s="104" t="s">
        <v>70</v>
      </c>
      <c r="E12" s="104" t="s">
        <v>70</v>
      </c>
      <c r="F12" s="104" t="s">
        <v>70</v>
      </c>
      <c r="G12" s="105" t="s">
        <v>70</v>
      </c>
      <c r="H12" s="57" t="s">
        <v>31</v>
      </c>
      <c r="I12" s="58" t="s">
        <v>14</v>
      </c>
      <c r="J12" s="74">
        <v>170000</v>
      </c>
      <c r="K12" s="73">
        <v>5</v>
      </c>
      <c r="L12" s="66"/>
    </row>
    <row r="13" spans="1:1024" ht="50.25" customHeight="1" thickBot="1" x14ac:dyDescent="0.25">
      <c r="A13" s="8">
        <v>2</v>
      </c>
      <c r="B13" s="69" t="s">
        <v>63</v>
      </c>
      <c r="C13" s="106" t="s">
        <v>64</v>
      </c>
      <c r="D13" s="107" t="s">
        <v>64</v>
      </c>
      <c r="E13" s="107" t="s">
        <v>64</v>
      </c>
      <c r="F13" s="107" t="s">
        <v>64</v>
      </c>
      <c r="G13" s="108" t="s">
        <v>64</v>
      </c>
      <c r="H13" s="57" t="s">
        <v>31</v>
      </c>
      <c r="I13" s="58" t="s">
        <v>14</v>
      </c>
      <c r="J13" s="74">
        <v>60000</v>
      </c>
      <c r="K13" s="73">
        <v>15</v>
      </c>
      <c r="L13" s="66"/>
    </row>
    <row r="14" spans="1:1024" ht="45" customHeight="1" thickBot="1" x14ac:dyDescent="0.25">
      <c r="A14" s="8">
        <v>3</v>
      </c>
      <c r="B14" s="78" t="s">
        <v>63</v>
      </c>
      <c r="C14" s="106" t="s">
        <v>64</v>
      </c>
      <c r="D14" s="107" t="s">
        <v>64</v>
      </c>
      <c r="E14" s="107" t="s">
        <v>64</v>
      </c>
      <c r="F14" s="107" t="s">
        <v>64</v>
      </c>
      <c r="G14" s="108" t="s">
        <v>64</v>
      </c>
      <c r="H14" s="57" t="s">
        <v>31</v>
      </c>
      <c r="I14" s="58" t="s">
        <v>14</v>
      </c>
      <c r="J14" s="74">
        <v>35000</v>
      </c>
      <c r="K14" s="73">
        <v>10</v>
      </c>
      <c r="L14" s="66"/>
    </row>
    <row r="15" spans="1:1024" s="67" customFormat="1" ht="45" customHeight="1" thickBot="1" x14ac:dyDescent="0.25">
      <c r="A15" s="8">
        <v>4</v>
      </c>
      <c r="B15" s="69" t="s">
        <v>63</v>
      </c>
      <c r="C15" s="106" t="s">
        <v>64</v>
      </c>
      <c r="D15" s="107" t="s">
        <v>64</v>
      </c>
      <c r="E15" s="107" t="s">
        <v>64</v>
      </c>
      <c r="F15" s="107" t="s">
        <v>64</v>
      </c>
      <c r="G15" s="108" t="s">
        <v>64</v>
      </c>
      <c r="H15" s="57" t="s">
        <v>31</v>
      </c>
      <c r="I15" s="58" t="s">
        <v>14</v>
      </c>
      <c r="J15" s="74">
        <v>4500</v>
      </c>
      <c r="K15" s="73">
        <v>30</v>
      </c>
      <c r="L15" s="66"/>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c r="ALC15" s="2"/>
      <c r="ALD15" s="2"/>
      <c r="ALE15" s="2"/>
      <c r="ALF15" s="2"/>
      <c r="ALG15" s="2"/>
      <c r="ALH15" s="2"/>
      <c r="ALI15" s="2"/>
      <c r="ALJ15" s="2"/>
      <c r="ALK15" s="2"/>
      <c r="ALL15" s="2"/>
      <c r="ALM15" s="2"/>
      <c r="ALN15" s="2"/>
      <c r="ALO15" s="2"/>
      <c r="ALP15" s="2"/>
      <c r="ALQ15" s="2"/>
      <c r="ALR15" s="2"/>
      <c r="ALS15" s="2"/>
      <c r="ALT15" s="2"/>
      <c r="ALU15" s="2"/>
      <c r="ALV15" s="2"/>
      <c r="ALW15" s="2"/>
      <c r="ALX15" s="2"/>
      <c r="ALY15" s="2"/>
      <c r="ALZ15" s="2"/>
      <c r="AMA15" s="2"/>
      <c r="AMB15" s="2"/>
      <c r="AMC15" s="2"/>
      <c r="AMD15" s="2"/>
      <c r="AME15" s="2"/>
      <c r="AMF15" s="2"/>
      <c r="AMG15" s="2"/>
      <c r="AMH15" s="2"/>
      <c r="AMI15" s="2"/>
      <c r="AMJ15" s="2"/>
    </row>
    <row r="16" spans="1:1024" ht="31.5" customHeight="1" thickBot="1" x14ac:dyDescent="0.25">
      <c r="A16" s="101" t="s">
        <v>83</v>
      </c>
      <c r="B16" s="101"/>
      <c r="C16" s="101"/>
      <c r="D16" s="101"/>
      <c r="E16" s="101"/>
      <c r="F16" s="101"/>
      <c r="G16" s="101"/>
      <c r="H16" s="101"/>
      <c r="I16" s="101"/>
      <c r="J16" s="102">
        <f>SUMPRODUCT(J12:J15,K12:K15)</f>
        <v>2235000</v>
      </c>
      <c r="K16" s="102"/>
      <c r="L16" s="66"/>
    </row>
  </sheetData>
  <mergeCells count="26">
    <mergeCell ref="A16:I16"/>
    <mergeCell ref="J16:K16"/>
    <mergeCell ref="C12:G12"/>
    <mergeCell ref="C13:G13"/>
    <mergeCell ref="C14:G14"/>
    <mergeCell ref="C15:G15"/>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5" scale="85"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0"/>
  <sheetViews>
    <sheetView tabSelected="1" topLeftCell="A13" zoomScale="130" zoomScaleNormal="130" workbookViewId="0">
      <selection activeCell="U13" sqref="U13"/>
    </sheetView>
  </sheetViews>
  <sheetFormatPr baseColWidth="10" defaultColWidth="11" defaultRowHeight="12.75" x14ac:dyDescent="0.2"/>
  <cols>
    <col min="1" max="4" width="4.42578125" customWidth="1"/>
    <col min="5" max="5" width="4.140625" customWidth="1"/>
    <col min="6" max="6" width="5.42578125" customWidth="1"/>
    <col min="7" max="7" width="4.42578125" style="9" customWidth="1"/>
    <col min="8" max="14" width="4.42578125" customWidth="1"/>
    <col min="15" max="15" width="14.85546875" customWidth="1"/>
    <col min="16" max="16" width="14" customWidth="1"/>
    <col min="17" max="17" width="14.7109375" customWidth="1"/>
  </cols>
  <sheetData>
    <row r="1" spans="1:17" ht="15.75" customHeight="1" x14ac:dyDescent="0.25">
      <c r="A1" s="109" t="s">
        <v>3</v>
      </c>
      <c r="B1" s="109"/>
      <c r="C1" s="109"/>
      <c r="D1" s="110">
        <f>'Necesidades Trimestrales'!C6</f>
        <v>2021</v>
      </c>
      <c r="E1" s="110"/>
      <c r="F1" s="10"/>
      <c r="G1" s="10"/>
      <c r="H1" s="11"/>
      <c r="I1" s="11"/>
      <c r="J1" s="11"/>
      <c r="K1" s="11"/>
      <c r="L1" s="11"/>
      <c r="M1" s="11"/>
      <c r="N1" s="11"/>
      <c r="P1" s="111" t="s">
        <v>32</v>
      </c>
      <c r="Q1" s="111"/>
    </row>
    <row r="2" spans="1:17" ht="15.75" customHeight="1" x14ac:dyDescent="0.2">
      <c r="H2" s="11"/>
      <c r="I2" s="11"/>
      <c r="J2" s="11"/>
      <c r="K2" s="11"/>
      <c r="L2" s="11"/>
      <c r="M2" s="11"/>
      <c r="N2" s="11"/>
      <c r="P2" s="111"/>
      <c r="Q2" s="111"/>
    </row>
    <row r="4" spans="1:17" s="12" customFormat="1" ht="18" customHeight="1" thickBot="1" x14ac:dyDescent="0.25">
      <c r="A4" s="112" t="s">
        <v>33</v>
      </c>
      <c r="B4" s="112"/>
      <c r="C4" s="112"/>
      <c r="D4" s="112"/>
      <c r="E4" s="112"/>
      <c r="F4" s="112"/>
      <c r="G4" s="113" t="str">
        <f>' NotaPedido'!D3</f>
        <v>70 - MINISTERIO DE CIENCIA E INNOVACION TECNOLOGICA</v>
      </c>
      <c r="H4" s="113"/>
      <c r="I4" s="113"/>
      <c r="J4" s="113"/>
      <c r="K4" s="113"/>
      <c r="L4" s="113"/>
      <c r="M4" s="113"/>
      <c r="N4" s="113"/>
      <c r="O4" s="113"/>
      <c r="P4" s="113"/>
      <c r="Q4" s="113"/>
    </row>
    <row r="5" spans="1:17" s="12" customFormat="1" ht="18" customHeight="1" thickBot="1" x14ac:dyDescent="0.25">
      <c r="A5" s="114" t="s">
        <v>56</v>
      </c>
      <c r="B5" s="115"/>
      <c r="C5" s="115"/>
      <c r="D5" s="115"/>
      <c r="E5" s="115"/>
      <c r="F5" s="116"/>
      <c r="G5" s="113" t="str">
        <f>' NotaPedido'!D4</f>
        <v>20 - MINISTERIO DE CIENCIA E INNOVACION TECNOLOGICA</v>
      </c>
      <c r="H5" s="113"/>
      <c r="I5" s="113"/>
      <c r="J5" s="113"/>
      <c r="K5" s="113"/>
      <c r="L5" s="113"/>
      <c r="M5" s="113"/>
      <c r="N5" s="113"/>
      <c r="O5" s="113"/>
      <c r="P5" s="113"/>
      <c r="Q5" s="113"/>
    </row>
    <row r="6" spans="1:17" s="12" customFormat="1" ht="18" customHeight="1" thickBot="1" x14ac:dyDescent="0.25">
      <c r="A6" s="114" t="s">
        <v>34</v>
      </c>
      <c r="B6" s="115"/>
      <c r="C6" s="115"/>
      <c r="D6" s="115"/>
      <c r="E6" s="115"/>
      <c r="F6" s="116"/>
      <c r="G6" s="113" t="str">
        <f>' NotaPedido'!D5</f>
        <v xml:space="preserve"> MINISTERIO DE CIENCIA E INNOVACION TECNOLOGICA</v>
      </c>
      <c r="H6" s="113"/>
      <c r="I6" s="113"/>
      <c r="J6" s="113"/>
      <c r="K6" s="113"/>
      <c r="L6" s="113"/>
      <c r="M6" s="113"/>
      <c r="N6" s="113"/>
      <c r="O6" s="113"/>
      <c r="P6" s="113"/>
      <c r="Q6" s="113"/>
    </row>
    <row r="7" spans="1:17" s="12" customFormat="1" ht="18" customHeight="1" thickBot="1" x14ac:dyDescent="0.25">
      <c r="A7" s="114" t="s">
        <v>57</v>
      </c>
      <c r="B7" s="115"/>
      <c r="C7" s="115"/>
      <c r="D7" s="115"/>
      <c r="E7" s="115"/>
      <c r="F7" s="116"/>
      <c r="G7" s="113" t="str">
        <f>' NotaPedido'!D6</f>
        <v>SECRETARIA DE INNOVACIÓN - SECRETARIA DE CIENCIA Y TECNOLOGIA.</v>
      </c>
      <c r="H7" s="113"/>
      <c r="I7" s="113"/>
      <c r="J7" s="113"/>
      <c r="K7" s="113"/>
      <c r="L7" s="113"/>
      <c r="M7" s="113"/>
      <c r="N7" s="113"/>
      <c r="O7" s="113"/>
      <c r="P7" s="113"/>
      <c r="Q7" s="113"/>
    </row>
    <row r="8" spans="1:17" ht="18" customHeight="1" thickBot="1" x14ac:dyDescent="0.25">
      <c r="A8" s="117" t="s">
        <v>35</v>
      </c>
      <c r="B8" s="117"/>
      <c r="C8" s="117"/>
      <c r="D8" s="117"/>
      <c r="E8" s="117"/>
      <c r="F8" s="117"/>
      <c r="G8" s="117"/>
      <c r="H8" s="117"/>
      <c r="I8" s="117"/>
      <c r="J8" s="117"/>
      <c r="K8" s="117"/>
      <c r="L8" s="117"/>
      <c r="M8" s="117"/>
      <c r="N8" s="117"/>
      <c r="O8" s="117"/>
      <c r="P8" s="117"/>
      <c r="Q8" s="117"/>
    </row>
    <row r="9" spans="1:17" ht="18" customHeight="1" x14ac:dyDescent="0.2">
      <c r="A9" s="118" t="s">
        <v>36</v>
      </c>
      <c r="B9" s="118"/>
      <c r="C9" s="118"/>
      <c r="D9" s="118"/>
      <c r="E9" s="118"/>
      <c r="F9" s="118"/>
      <c r="G9" s="118"/>
      <c r="H9" s="118"/>
      <c r="I9" s="118"/>
      <c r="J9" s="118"/>
      <c r="K9" s="118"/>
      <c r="L9" s="118"/>
      <c r="M9" s="118"/>
      <c r="N9" s="118"/>
      <c r="O9" s="1"/>
      <c r="P9" s="1"/>
      <c r="Q9" s="13"/>
    </row>
    <row r="10" spans="1:17" ht="54.75" customHeight="1" x14ac:dyDescent="0.2">
      <c r="A10" s="119"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007/2021,  afectando la erogación resultante a los créditos presupuestarios aprobados a favor de esta Unidad Ejecutora, conforme al siguiente detalle:</v>
      </c>
      <c r="B10" s="119"/>
      <c r="C10" s="119"/>
      <c r="D10" s="119"/>
      <c r="E10" s="119"/>
      <c r="F10" s="119"/>
      <c r="G10" s="119"/>
      <c r="H10" s="119"/>
      <c r="I10" s="119"/>
      <c r="J10" s="119"/>
      <c r="K10" s="119"/>
      <c r="L10" s="119"/>
      <c r="M10" s="119"/>
      <c r="N10" s="119"/>
      <c r="O10" s="119"/>
      <c r="P10" s="119"/>
      <c r="Q10" s="119"/>
    </row>
    <row r="11" spans="1:17" ht="9" customHeight="1" x14ac:dyDescent="0.2">
      <c r="A11" s="14"/>
      <c r="B11" s="15"/>
      <c r="C11" s="15"/>
      <c r="D11" s="15"/>
      <c r="E11" s="15"/>
      <c r="F11" s="15"/>
      <c r="G11" s="16"/>
      <c r="H11" s="15"/>
      <c r="I11" s="15"/>
      <c r="J11" s="15"/>
      <c r="K11" s="15"/>
      <c r="L11" s="15"/>
      <c r="M11" s="15"/>
      <c r="N11" s="15"/>
      <c r="O11" s="15"/>
      <c r="P11" s="15"/>
      <c r="Q11" s="17"/>
    </row>
    <row r="12" spans="1:17" ht="15.75" customHeight="1" x14ac:dyDescent="0.2">
      <c r="A12" s="120" t="s">
        <v>37</v>
      </c>
      <c r="B12" s="120"/>
      <c r="C12" s="120"/>
      <c r="D12" s="120"/>
      <c r="E12" s="120"/>
      <c r="F12" s="120"/>
      <c r="G12" s="120"/>
      <c r="H12" s="120"/>
      <c r="I12" s="120"/>
      <c r="J12" s="120"/>
      <c r="K12" s="120"/>
      <c r="L12" s="120"/>
      <c r="M12" s="120"/>
      <c r="N12" s="120"/>
      <c r="O12" s="120"/>
      <c r="P12" s="120"/>
      <c r="Q12" s="120"/>
    </row>
    <row r="13" spans="1:17" ht="15.75" customHeight="1" x14ac:dyDescent="0.2">
      <c r="A13" s="121" t="s">
        <v>38</v>
      </c>
      <c r="B13" s="121"/>
      <c r="C13" s="121"/>
      <c r="D13" s="121"/>
      <c r="E13" s="121"/>
      <c r="F13" s="121"/>
      <c r="G13" s="121"/>
      <c r="H13" s="121"/>
      <c r="I13" s="121"/>
      <c r="J13" s="121"/>
      <c r="K13" s="121"/>
      <c r="L13" s="121"/>
      <c r="M13" s="121"/>
      <c r="N13" s="121"/>
      <c r="O13" s="122" t="s">
        <v>39</v>
      </c>
      <c r="P13" s="122"/>
      <c r="Q13" s="123" t="s">
        <v>40</v>
      </c>
    </row>
    <row r="14" spans="1:17" ht="15.75" customHeight="1" thickBot="1" x14ac:dyDescent="0.25">
      <c r="A14" s="18" t="s">
        <v>41</v>
      </c>
      <c r="B14" s="19" t="s">
        <v>42</v>
      </c>
      <c r="C14" s="19" t="s">
        <v>43</v>
      </c>
      <c r="D14" s="19" t="s">
        <v>44</v>
      </c>
      <c r="E14" s="19" t="s">
        <v>45</v>
      </c>
      <c r="F14" s="19" t="s">
        <v>46</v>
      </c>
      <c r="G14" s="20" t="s">
        <v>47</v>
      </c>
      <c r="H14" s="19" t="s">
        <v>48</v>
      </c>
      <c r="I14" s="19" t="s">
        <v>49</v>
      </c>
      <c r="J14" s="19" t="s">
        <v>50</v>
      </c>
      <c r="K14" s="19" t="s">
        <v>50</v>
      </c>
      <c r="L14" s="19" t="s">
        <v>51</v>
      </c>
      <c r="M14" s="21" t="s">
        <v>52</v>
      </c>
      <c r="N14" s="22" t="s">
        <v>53</v>
      </c>
      <c r="O14" s="122"/>
      <c r="P14" s="122"/>
      <c r="Q14" s="123"/>
    </row>
    <row r="15" spans="1:17" ht="22.5" customHeight="1" thickBot="1" x14ac:dyDescent="0.25">
      <c r="A15" s="59">
        <v>3</v>
      </c>
      <c r="B15" s="60">
        <v>0</v>
      </c>
      <c r="C15" s="60">
        <v>0</v>
      </c>
      <c r="D15" s="60">
        <v>1</v>
      </c>
      <c r="E15" s="60">
        <v>0</v>
      </c>
      <c r="F15" s="60">
        <v>4901</v>
      </c>
      <c r="G15" s="60">
        <v>3</v>
      </c>
      <c r="H15" s="60">
        <v>5</v>
      </c>
      <c r="I15" s="23">
        <v>4</v>
      </c>
      <c r="J15" s="23">
        <v>3</v>
      </c>
      <c r="K15" s="23">
        <v>5</v>
      </c>
      <c r="L15" s="60">
        <v>0</v>
      </c>
      <c r="M15" s="61">
        <v>1</v>
      </c>
      <c r="N15" s="60" t="s">
        <v>61</v>
      </c>
      <c r="O15" s="124" t="s">
        <v>62</v>
      </c>
      <c r="P15" s="124"/>
      <c r="Q15" s="24">
        <v>2000000</v>
      </c>
    </row>
    <row r="16" spans="1:17" ht="22.5" customHeight="1" x14ac:dyDescent="0.2">
      <c r="A16" s="59">
        <v>2</v>
      </c>
      <c r="B16" s="60">
        <v>0</v>
      </c>
      <c r="C16" s="60">
        <v>0</v>
      </c>
      <c r="D16" s="60">
        <v>1</v>
      </c>
      <c r="E16" s="60">
        <v>0</v>
      </c>
      <c r="F16" s="60">
        <v>4901</v>
      </c>
      <c r="G16" s="60">
        <v>3</v>
      </c>
      <c r="H16" s="60">
        <v>5</v>
      </c>
      <c r="I16" s="23">
        <v>4</v>
      </c>
      <c r="J16" s="23">
        <v>3</v>
      </c>
      <c r="K16" s="23">
        <v>5</v>
      </c>
      <c r="L16" s="60">
        <v>0</v>
      </c>
      <c r="M16" s="61">
        <v>1</v>
      </c>
      <c r="N16" s="60" t="s">
        <v>61</v>
      </c>
      <c r="O16" s="124" t="s">
        <v>62</v>
      </c>
      <c r="P16" s="124"/>
      <c r="Q16" s="24">
        <v>235000</v>
      </c>
    </row>
    <row r="17" spans="1:18" ht="22.5" customHeight="1" x14ac:dyDescent="0.2">
      <c r="A17" s="25"/>
      <c r="B17" s="26"/>
      <c r="C17" s="26"/>
      <c r="D17" s="26"/>
      <c r="E17" s="26"/>
      <c r="F17" s="28"/>
      <c r="G17" s="26"/>
      <c r="H17" s="26"/>
      <c r="I17" s="26"/>
      <c r="J17" s="26"/>
      <c r="K17" s="26"/>
      <c r="L17" s="26"/>
      <c r="M17" s="27"/>
      <c r="N17" s="28"/>
      <c r="O17" s="126"/>
      <c r="P17" s="127"/>
      <c r="Q17" s="29"/>
    </row>
    <row r="18" spans="1:18" ht="17.25" customHeight="1" x14ac:dyDescent="0.2">
      <c r="A18" s="25"/>
      <c r="B18" s="26"/>
      <c r="C18" s="26"/>
      <c r="D18" s="26"/>
      <c r="E18" s="26"/>
      <c r="F18" s="26"/>
      <c r="G18" s="26"/>
      <c r="H18" s="26"/>
      <c r="I18" s="26"/>
      <c r="J18" s="26"/>
      <c r="K18" s="26"/>
      <c r="L18" s="26"/>
      <c r="M18" s="27"/>
      <c r="N18" s="28"/>
      <c r="O18" s="125"/>
      <c r="P18" s="125"/>
      <c r="Q18" s="29"/>
    </row>
    <row r="19" spans="1:18" ht="17.25" customHeight="1" x14ac:dyDescent="0.2">
      <c r="A19" s="25"/>
      <c r="B19" s="26"/>
      <c r="C19" s="26"/>
      <c r="D19" s="26"/>
      <c r="E19" s="26"/>
      <c r="F19" s="28"/>
      <c r="G19" s="26"/>
      <c r="H19" s="26"/>
      <c r="I19" s="26"/>
      <c r="J19" s="26"/>
      <c r="K19" s="26"/>
      <c r="L19" s="26"/>
      <c r="M19" s="27"/>
      <c r="N19" s="28"/>
      <c r="O19" s="125"/>
      <c r="P19" s="125"/>
      <c r="Q19" s="29"/>
    </row>
    <row r="20" spans="1:18" ht="17.25" customHeight="1" x14ac:dyDescent="0.2">
      <c r="A20" s="25"/>
      <c r="B20" s="26"/>
      <c r="C20" s="26"/>
      <c r="D20" s="26"/>
      <c r="E20" s="26"/>
      <c r="F20" s="28"/>
      <c r="G20" s="26"/>
      <c r="H20" s="26"/>
      <c r="I20" s="26"/>
      <c r="J20" s="26"/>
      <c r="K20" s="26"/>
      <c r="L20" s="26"/>
      <c r="M20" s="27"/>
      <c r="N20" s="28"/>
      <c r="O20" s="125"/>
      <c r="P20" s="125"/>
      <c r="Q20" s="29"/>
    </row>
    <row r="21" spans="1:18" ht="8.25" customHeight="1" x14ac:dyDescent="0.2">
      <c r="A21" s="30"/>
      <c r="B21" s="31"/>
      <c r="C21" s="31"/>
      <c r="D21" s="31"/>
      <c r="E21" s="31"/>
      <c r="F21" s="32"/>
      <c r="G21" s="31"/>
      <c r="H21" s="31"/>
      <c r="I21" s="31"/>
      <c r="J21" s="31"/>
      <c r="K21" s="31"/>
      <c r="L21" s="31"/>
      <c r="M21" s="33"/>
      <c r="N21" s="34"/>
      <c r="O21" s="133"/>
      <c r="P21" s="133"/>
      <c r="Q21" s="29"/>
      <c r="R21" s="1"/>
    </row>
    <row r="22" spans="1:18" ht="17.25" customHeight="1" x14ac:dyDescent="0.2">
      <c r="A22" s="35"/>
      <c r="B22" s="36"/>
      <c r="C22" s="36"/>
      <c r="D22" s="36"/>
      <c r="E22" s="36"/>
      <c r="F22" s="36"/>
      <c r="G22" s="36"/>
      <c r="H22" s="36"/>
      <c r="I22" s="36"/>
      <c r="J22" s="36"/>
      <c r="K22" s="36"/>
      <c r="L22" s="36"/>
      <c r="M22" s="37"/>
      <c r="N22" s="36"/>
      <c r="O22" s="134"/>
      <c r="P22" s="134"/>
      <c r="Q22" s="38"/>
    </row>
    <row r="23" spans="1:18" ht="32.25" customHeight="1" x14ac:dyDescent="0.2">
      <c r="A23" s="135" t="s">
        <v>84</v>
      </c>
      <c r="B23" s="135"/>
      <c r="C23" s="135"/>
      <c r="D23" s="135"/>
      <c r="E23" s="135"/>
      <c r="F23" s="135"/>
      <c r="G23" s="135"/>
      <c r="H23" s="135"/>
      <c r="I23" s="135"/>
      <c r="J23" s="135"/>
      <c r="K23" s="135"/>
      <c r="L23" s="135"/>
      <c r="M23" s="135"/>
      <c r="N23" s="135"/>
      <c r="O23" s="135"/>
      <c r="P23" s="135"/>
      <c r="Q23" s="39">
        <f>SUM(Q15:Q22)</f>
        <v>2235000</v>
      </c>
    </row>
    <row r="24" spans="1:18" ht="18" customHeight="1" thickBot="1" x14ac:dyDescent="0.25">
      <c r="A24" s="136"/>
      <c r="B24" s="136"/>
      <c r="C24" s="136"/>
      <c r="D24" s="136"/>
      <c r="E24" s="136"/>
      <c r="F24" s="136"/>
      <c r="G24" s="136"/>
      <c r="H24" s="136"/>
      <c r="I24" s="136"/>
      <c r="J24" s="136"/>
      <c r="K24" s="136"/>
      <c r="L24" s="136"/>
      <c r="M24" s="136"/>
      <c r="N24" s="136"/>
      <c r="O24" s="136"/>
      <c r="P24" s="136"/>
      <c r="Q24" s="136"/>
    </row>
    <row r="25" spans="1:18" ht="17.25" customHeight="1" thickBot="1" x14ac:dyDescent="0.25">
      <c r="A25" s="128" t="s">
        <v>54</v>
      </c>
      <c r="B25" s="129"/>
      <c r="C25" s="129"/>
      <c r="D25" s="129"/>
      <c r="E25" s="129"/>
      <c r="F25" s="130"/>
      <c r="G25" s="131"/>
      <c r="H25" s="131"/>
      <c r="I25" s="131"/>
      <c r="J25" s="131"/>
      <c r="K25" s="131"/>
      <c r="L25" s="131"/>
      <c r="M25" s="131"/>
      <c r="N25" s="131"/>
      <c r="O25" s="131"/>
      <c r="P25" s="131"/>
      <c r="Q25" s="131"/>
    </row>
    <row r="26" spans="1:18" ht="18" customHeight="1" thickBot="1" x14ac:dyDescent="0.25">
      <c r="A26" s="132" t="s">
        <v>78</v>
      </c>
      <c r="B26" s="132"/>
      <c r="C26" s="132"/>
      <c r="D26" s="132"/>
      <c r="E26" s="132"/>
      <c r="F26" s="132"/>
      <c r="G26" s="132"/>
      <c r="H26" s="132"/>
      <c r="I26" s="132"/>
      <c r="J26" s="132"/>
      <c r="K26" s="132"/>
      <c r="L26" s="132"/>
      <c r="M26" s="132"/>
      <c r="N26" s="132"/>
      <c r="O26" s="132"/>
      <c r="P26" s="132"/>
      <c r="Q26" s="132"/>
    </row>
    <row r="27" spans="1:18" ht="21.75" customHeight="1" x14ac:dyDescent="0.2">
      <c r="A27" s="132"/>
      <c r="B27" s="132"/>
      <c r="C27" s="132"/>
      <c r="D27" s="132"/>
      <c r="E27" s="132"/>
      <c r="F27" s="132"/>
      <c r="G27" s="132"/>
      <c r="H27" s="132"/>
      <c r="I27" s="132"/>
      <c r="J27" s="132"/>
      <c r="K27" s="132"/>
      <c r="L27" s="132"/>
      <c r="M27" s="132"/>
      <c r="N27" s="132"/>
      <c r="O27" s="132"/>
      <c r="P27" s="132"/>
      <c r="Q27" s="132"/>
    </row>
    <row r="30" spans="1:18" x14ac:dyDescent="0.2">
      <c r="A30" s="62"/>
    </row>
  </sheetData>
  <mergeCells count="31">
    <mergeCell ref="A25:F25"/>
    <mergeCell ref="G25:Q25"/>
    <mergeCell ref="A26:Q27"/>
    <mergeCell ref="O20:P20"/>
    <mergeCell ref="O21:P21"/>
    <mergeCell ref="O22:P22"/>
    <mergeCell ref="A23:P23"/>
    <mergeCell ref="A24:Q24"/>
    <mergeCell ref="O15:P15"/>
    <mergeCell ref="O16:P16"/>
    <mergeCell ref="O17:P17"/>
    <mergeCell ref="O18:P18"/>
    <mergeCell ref="O19:P19"/>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90" firstPageNumber="0" orientation="portrait"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vt:lpstr>
      <vt:lpstr> NotaPedido</vt:lpstr>
      <vt:lpstr>Autor Gastar</vt:lpstr>
      <vt:lpstr>' NotaPedido'!Área_de_impresión</vt:lpstr>
      <vt:lpstr>'Autor Gastar'!Área_de_impresión</vt:lpstr>
      <vt:lpstr>'Necesidades Trimestrales'!Área_de_impresión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Laura</cp:lastModifiedBy>
  <cp:revision>2</cp:revision>
  <cp:lastPrinted>2021-04-08T14:32:39Z</cp:lastPrinted>
  <dcterms:created xsi:type="dcterms:W3CDTF">2020-07-17T23:44:49Z</dcterms:created>
  <dcterms:modified xsi:type="dcterms:W3CDTF">2021-04-08T14:35:53Z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