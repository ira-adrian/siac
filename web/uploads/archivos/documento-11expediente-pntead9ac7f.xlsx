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MSEG" sheetId="2" r:id="rId5"/>
    <sheet name="APG MSEG" sheetId="3" r:id="rId6"/>
    <sheet name="Nota Pedido DA#PC" sheetId="4" r:id="rId7"/>
    <sheet name="APG DA#PC" sheetId="5" r:id="rId8"/>
  </sheets>
  <definedNames>
    <definedName name="_xlnm.Print_Area" localSheetId="1">'Nota Pedido MSEG'!$A$1:$G$26</definedName>
    <definedName name="_xlnm.Print_Area" localSheetId="2">'APG MSEG'!$A$1:$Q$24</definedName>
    <definedName name="_xlnm.Print_Area" localSheetId="3">'Nota Pedido DA#PC'!$A$1:$G$26</definedName>
    <definedName name="_xlnm.Print_Area" localSheetId="4">'APG DA#PC'!$A$1:$Q$24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<sst xmlns="http://schemas.openxmlformats.org/spreadsheetml/2006/main" uniqueCount="96">
  <si>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</si>
  <si>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</si>
  <si>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</si>
  <si>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</si>
  <si>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</si>
  <si>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</si>
  <si>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</si>
  <si>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</si>
  <si>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</si>
  <si>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</si>
  <si>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</si>
  <si>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</si>
  <si>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</si>
  <si>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</si>
  <si>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</si>
  <si>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</si>
  <si>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</si>
  <si>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</si>
  <si>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4.4.0-1735.20</t>
  </si>
  <si>
    <t>EQUIPO MILITAR Y DE SEGURIDAD</t>
  </si>
  <si>
    <t>4.4.0</t>
  </si>
  <si>
    <t>CHALECOS ANTIBALA; NIVEL: RB3, TALLE: LARGE, PROTECCION: FRONTAL Y POSTERIOR</t>
  </si>
  <si>
    <t>UNIDAD</t>
  </si>
  <si>
    <t xml:space="preserve">Chaleco Multiamenaza Masculino, Nivel RB3, Masculino. TALLE "L". Color Negro, Sin logo, Nuevos sin uso. VER ANEXO I. </t>
  </si>
  <si>
    <t>4.4.0-1735.13</t>
  </si>
  <si>
    <t>CHALECOS ANTIBALA; PROTECCION: PECHO, ESPALDA Y COSTADOS, NIVEL: RB3, TALLE: SIN VALOR</t>
  </si>
  <si>
    <t>CHALECO ANTIBALAS  - NIVEL RB3 - PROYECTILES CALIBRE .44 MG Y 9 MM DE ALTA VELOCIDAD CON COBERTURA 360° PROTECCION: PANEL PECHO, ESPALDA Y COSTADOS,  Las prendas balísticas deberán ser nuevas, sin uso y deberá poseer una Garantía de fábrica de por lo menos 5 años.  100 (Cien) Chalecos para uso Masculino TALLES “L”; 100 (Cien) Chalecos para uso Masculino TALLES “XL” -Ver anexo de especificaciones.</t>
  </si>
  <si>
    <t>4.4.0-1735.21</t>
  </si>
  <si>
    <t>CHALECOS ANTIBALA; PROTECCION: FRONTAL Y POSTERIOR, NIVEL: RB3, TALLE: EXTRALARGE</t>
  </si>
  <si>
    <t>Chaleco Multiamenaza Masculino, Nivel RB3, Masculino. TALLE "XL". Color Negro, Sin logo, Nuevos sin uso.VER ANEXO I.</t>
  </si>
  <si>
    <t>CHALECO ANTIBALAS  - NIVEL RB3 , PROYECTILES CALIBRE .44 MG Y 9 MM DE ALTA VELOCIDAD CON COBERTURA 360° ; PROTECCION: PANEL PECHO, ESPALDA Y COSTADOS, , TALLE: SIN VALOR; Las prendas balísticas deberán ser nuevas, sin uso y deberá poseer una Garantía de fábrica de por lo menos 5 años.  50 (Cincuenta) Chalecos para uso Femenino TALLES “L”; 50 (Cincuenta) Chalecos para uso Femenino TALLES “XL”. Ver anexo de especificaciones.</t>
  </si>
  <si>
    <t>NOVENTA Y SIETE MILLONES CUATROCIENTOS VEINTIOCHO MIL OCHOCIENTOS SESENTA Y DOS CON 50/100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</si>
  <si>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</si>
  <si>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</si>
  <si>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</si>
  <si>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</si>
  <si>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</si>
  <si>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</si>
  <si>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</si>
  <si>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</si>
  <si>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</si>
  <si>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</si>
  <si>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</si>
  <si>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504 / 2022</t>
  </si>
  <si>
    <t xml:space="preserve">JURISDICCIÓN: </t>
  </si>
  <si>
    <t>SAF:</t>
  </si>
  <si>
    <t>UNIDAD EJECUTORA:</t>
  </si>
  <si>
    <t>SAF 19 - MINISTERIO DE SEGURIDAD</t>
  </si>
  <si>
    <t xml:space="preserve">DEPENDENCIA SOLICITANTE: </t>
  </si>
  <si>
    <t>PERIODO UTILIZACIÓN:</t>
  </si>
  <si>
    <t>4° TRIMESTRE - 2022</t>
  </si>
  <si>
    <t>OBJETO:</t>
  </si>
  <si>
    <t>440 - EQUIPO MILITAR Y DE SEGURIDAD (Adq.de 300 Chalecos Antibalas-MSEG)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</si>
  <si>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</si>
  <si>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</si>
  <si>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</si>
  <si>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</si>
  <si>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</si>
  <si>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</si>
  <si>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</si>
  <si>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SÍ</t>
  </si>
  <si>
    <t xml:space="preserve">Costo total estimado: </t>
  </si>
  <si>
    <t>CUARENTA Y SEIS MILLONES TRESCIENTOS NOVENTA Y OCHO MIL OCHOCIENTOS SESENTA Y DOS CON 50/100 PESOS</t>
  </si>
  <si>
    <t>DETALLE TECNICO</t>
  </si>
  <si>
    <t>ITEM 1</t>
  </si>
  <si>
    <t>ITEM 2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</si>
  <si>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</si>
  <si>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</si>
  <si>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</si>
  <si>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</si>
  <si>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504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</si>
  <si>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</si>
  <si>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</si>
  <si>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</si>
  <si>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</si>
  <si>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</si>
  <si>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</si>
  <si>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</si>
  <si>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</si>
  <si>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</si>
  <si>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</si>
  <si>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</si>
  <si>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</si>
  <si>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</si>
  <si>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</si>
  <si>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</si>
  <si>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</si>
  <si>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</si>
  <si>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</si>
  <si>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</si>
  <si>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>OBSERVACIONES:</t>
  </si>
  <si>
    <t>569 / 2022</t>
  </si>
  <si>
    <t>SAF 7 - POLICIA DE LA PROVINCIA DE CATAMARCA</t>
  </si>
  <si>
    <t>440 - EQUIPO MILITAR Y DE SEGURIDAD (Adq. de 300 Chalecos Antibalas - PC)</t>
  </si>
  <si>
    <t>CINCUENTA Y UNO MILLONES TREINTA MIL CON 00/100 PESOS</t>
  </si>
  <si>
    <t xml:space="preserve"> Autorizo la realización de los  trámites correspondientes, a fin de proveer a  este Organismo los bienes y/o servicios que se detallan en Nota  de Pedido N° 569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</si>
</sst>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I16" sqref="I16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150</v>
      </c>
      <c r="H10" s="82">
        <v>152511.29</v>
      </c>
      <c r="I10" s="82">
        <v>22876693.5</v>
      </c>
      <c r="J10" s="80" t="s">
        <v>23</v>
      </c>
    </row>
    <row r="11" spans="1:10" customHeight="1" ht="20.25">
      <c r="A11" s="79">
        <v>2</v>
      </c>
      <c r="B11" s="80" t="s">
        <v>24</v>
      </c>
      <c r="C11" s="80" t="s">
        <v>19</v>
      </c>
      <c r="D11" s="79" t="s">
        <v>20</v>
      </c>
      <c r="E11" s="80" t="s">
        <v>25</v>
      </c>
      <c r="F11" s="81" t="s">
        <v>22</v>
      </c>
      <c r="G11" s="81">
        <v>200</v>
      </c>
      <c r="H11" s="82">
        <v>155900.0</v>
      </c>
      <c r="I11" s="82">
        <v>31180000.0</v>
      </c>
      <c r="J11" s="80" t="s">
        <v>26</v>
      </c>
    </row>
    <row r="12" spans="1:10" customHeight="1" ht="20.25">
      <c r="A12" s="79">
        <v>3</v>
      </c>
      <c r="B12" s="80" t="s">
        <v>27</v>
      </c>
      <c r="C12" s="80" t="s">
        <v>19</v>
      </c>
      <c r="D12" s="79" t="s">
        <v>20</v>
      </c>
      <c r="E12" s="80" t="s">
        <v>28</v>
      </c>
      <c r="F12" s="81" t="s">
        <v>22</v>
      </c>
      <c r="G12" s="81">
        <v>150</v>
      </c>
      <c r="H12" s="82">
        <v>156814.46</v>
      </c>
      <c r="I12" s="82">
        <v>23522169.0</v>
      </c>
      <c r="J12" s="80" t="s">
        <v>29</v>
      </c>
    </row>
    <row r="13" spans="1:10" customHeight="1" ht="20.25">
      <c r="A13" s="79">
        <v>4</v>
      </c>
      <c r="B13" s="80" t="s">
        <v>24</v>
      </c>
      <c r="C13" s="80" t="s">
        <v>19</v>
      </c>
      <c r="D13" s="79" t="s">
        <v>20</v>
      </c>
      <c r="E13" s="80" t="s">
        <v>25</v>
      </c>
      <c r="F13" s="81" t="s">
        <v>22</v>
      </c>
      <c r="G13" s="81">
        <v>100</v>
      </c>
      <c r="H13" s="82">
        <v>198500.0</v>
      </c>
      <c r="I13" s="82">
        <v>19850000.0</v>
      </c>
      <c r="J13" s="80" t="s">
        <v>30</v>
      </c>
    </row>
    <row r="14" spans="1:10" customHeight="1" ht="20.25">
      <c r="A14" s="79"/>
      <c r="B14" s="80"/>
      <c r="C14" s="80"/>
      <c r="D14" s="79"/>
      <c r="E14" s="80"/>
      <c r="F14" s="81"/>
      <c r="G14" s="81"/>
      <c r="H14" s="82"/>
      <c r="I14" s="82"/>
      <c r="J14" s="80"/>
    </row>
    <row r="15" spans="1:10" customHeight="1" ht="17.25" s="22" customFormat="1">
      <c r="A15" s="23"/>
      <c r="B15" s="27"/>
      <c r="C15" s="27"/>
      <c r="D15" s="23"/>
      <c r="E15" s="80"/>
      <c r="F15" s="23"/>
      <c r="G15" s="23"/>
      <c r="H15" s="24"/>
      <c r="I15" s="24"/>
      <c r="J15" s="80"/>
    </row>
    <row r="16" spans="1:10" customHeight="1" ht="13.5">
      <c r="C16" s="10" t="s">
        <v>31</v>
      </c>
      <c r="H16" s="25" t="s">
        <v>32</v>
      </c>
      <c r="I16" s="26">
        <f>SUM(I10:I15)</f>
        <v>97428862.5</v>
      </c>
      <c r="J16" s="10"/>
    </row>
    <row r="17" spans="1:10" customHeight="1" ht="15">
      <c r="B17" s="11"/>
      <c r="C17" s="12"/>
      <c r="D17" s="12"/>
      <c r="E17" s="13"/>
      <c r="F17" s="9"/>
    </row>
    <row r="18" spans="1:10" customHeight="1" ht="15">
      <c r="B18" s="87" t="s">
        <v>33</v>
      </c>
      <c r="C18" s="88"/>
      <c r="D18" s="88"/>
      <c r="E18" s="89"/>
    </row>
    <row r="19" spans="1:10" customHeight="1" ht="128.25">
      <c r="B19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9" s="94"/>
      <c r="D19" s="94"/>
      <c r="E19" s="95"/>
    </row>
    <row r="20" spans="1:10" customHeight="1" ht="16.5">
      <c r="B20" s="87" t="s">
        <v>35</v>
      </c>
      <c r="C20" s="88"/>
      <c r="D20" s="88"/>
      <c r="E20" s="89"/>
    </row>
    <row r="21" spans="1:10" customHeight="1" ht="15">
      <c r="B21" s="90" t="s">
        <v>36</v>
      </c>
      <c r="C21" s="91"/>
      <c r="D21" s="91"/>
      <c r="E21" s="92"/>
    </row>
    <row r="22" spans="1:10" customHeight="1" ht="15">
      <c r="B22" s="87" t="s">
        <v>37</v>
      </c>
      <c r="C22" s="88"/>
      <c r="D22" s="88"/>
      <c r="E22" s="89"/>
    </row>
    <row r="23" spans="1:10" customHeight="1" ht="15">
      <c r="B23" s="90" t="s">
        <v>38</v>
      </c>
      <c r="C23" s="91"/>
      <c r="D23" s="91"/>
      <c r="E23" s="92"/>
    </row>
    <row r="24" spans="1:10" customHeight="1" ht="15">
      <c r="B24" s="87" t="s">
        <v>39</v>
      </c>
      <c r="C24" s="88"/>
      <c r="D24" s="88"/>
      <c r="E24" s="89"/>
    </row>
    <row r="25" spans="1:10" customHeight="1" ht="31.5">
      <c r="B25" s="84" t="s">
        <v>40</v>
      </c>
      <c r="C25" s="85"/>
      <c r="D25" s="85"/>
      <c r="E25" s="86"/>
    </row>
    <row r="26" spans="1:10" customHeight="1" ht="12.75">
      <c r="C26" s="2"/>
      <c r="D26" s="2"/>
      <c r="E26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3:E23"/>
    <mergeCell ref="A4:B4"/>
    <mergeCell ref="A5:B5"/>
    <mergeCell ref="A6:B6"/>
    <mergeCell ref="A7:B7"/>
    <mergeCell ref="B25:E25"/>
    <mergeCell ref="B18:E18"/>
    <mergeCell ref="B20:E20"/>
    <mergeCell ref="B22:E22"/>
    <mergeCell ref="B24:E24"/>
    <mergeCell ref="B21:E21"/>
    <mergeCell ref="B19:E19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41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42</v>
      </c>
      <c r="G2" s="41" t="s">
        <v>43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44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45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46</v>
      </c>
      <c r="B6" s="128"/>
      <c r="C6" s="112" t="s">
        <v>47</v>
      </c>
      <c r="D6" s="113"/>
      <c r="E6" s="113"/>
      <c r="F6" s="113"/>
      <c r="G6" s="114"/>
    </row>
    <row r="7" spans="1:7" customHeight="1" ht="32.25">
      <c r="A7" s="127" t="s">
        <v>48</v>
      </c>
      <c r="B7" s="128"/>
      <c r="C7" s="112" t="s">
        <v>47</v>
      </c>
      <c r="D7" s="113"/>
      <c r="E7" s="113"/>
      <c r="F7" s="113"/>
      <c r="G7" s="114"/>
    </row>
    <row r="8" spans="1:7" customHeight="1" ht="16.5">
      <c r="A8" s="127" t="s">
        <v>49</v>
      </c>
      <c r="B8" s="128"/>
      <c r="C8" s="112" t="s">
        <v>50</v>
      </c>
      <c r="D8" s="113"/>
      <c r="E8" s="113"/>
      <c r="F8" s="113"/>
      <c r="G8" s="114"/>
    </row>
    <row r="9" spans="1:7" customHeight="1" ht="27.75">
      <c r="A9" s="117" t="s">
        <v>51</v>
      </c>
      <c r="B9" s="118"/>
      <c r="C9" s="124" t="s">
        <v>52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53</v>
      </c>
      <c r="B11" s="131" t="s">
        <v>54</v>
      </c>
      <c r="C11" s="119" t="s">
        <v>55</v>
      </c>
      <c r="D11" s="135" t="s">
        <v>56</v>
      </c>
      <c r="E11" s="135" t="s">
        <v>57</v>
      </c>
      <c r="F11" s="135" t="s">
        <v>58</v>
      </c>
      <c r="G11" s="135" t="s">
        <v>59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60</v>
      </c>
      <c r="E13" s="31" t="s">
        <v>22</v>
      </c>
      <c r="F13" s="32">
        <v>152511.29</v>
      </c>
      <c r="G13" s="33">
        <v>150</v>
      </c>
    </row>
    <row r="14" spans="1:7" customHeight="1" ht="15">
      <c r="A14" s="44">
        <v>2</v>
      </c>
      <c r="B14" s="34" t="s">
        <v>27</v>
      </c>
      <c r="C14" s="35" t="s">
        <v>28</v>
      </c>
      <c r="D14" s="31" t="s">
        <v>60</v>
      </c>
      <c r="E14" s="31" t="s">
        <v>22</v>
      </c>
      <c r="F14" s="32">
        <v>156814.46</v>
      </c>
      <c r="G14" s="33">
        <v>150</v>
      </c>
    </row>
    <row r="15" spans="1:7" customHeight="1" ht="15">
      <c r="A15" s="44"/>
      <c r="B15" s="34"/>
      <c r="C15" s="35"/>
      <c r="D15" s="31"/>
      <c r="E15" s="31"/>
      <c r="F15" s="32"/>
      <c r="G15" s="33"/>
    </row>
    <row r="16" spans="1:7" customHeight="1" ht="15.75">
      <c r="A16" s="45"/>
      <c r="B16" s="36"/>
      <c r="C16" s="37"/>
      <c r="D16" s="28"/>
      <c r="E16" s="28"/>
      <c r="F16" s="29"/>
      <c r="G16" s="30"/>
    </row>
    <row r="17" spans="1:7" customHeight="1" ht="20.25">
      <c r="A17" s="122" t="s">
        <v>61</v>
      </c>
      <c r="B17" s="123"/>
      <c r="C17" s="133" t="s">
        <v>62</v>
      </c>
      <c r="D17" s="133"/>
      <c r="E17" s="134"/>
      <c r="F17" s="121">
        <f>SUMPRODUCT(F13:F16,G13:G16)</f>
        <v>46398862.5</v>
      </c>
      <c r="G17" s="121"/>
    </row>
    <row r="21" spans="1:7" customHeight="1" ht="13.5"/>
    <row r="22" spans="1:7" customHeight="1" ht="15.75">
      <c r="A22" s="46"/>
      <c r="B22" s="115" t="s">
        <v>63</v>
      </c>
      <c r="C22" s="115"/>
      <c r="D22" s="116"/>
    </row>
    <row r="23" spans="1:7" customHeight="1" ht="18.75">
      <c r="A23" s="47" t="s">
        <v>64</v>
      </c>
      <c r="B23" s="48" t="s">
        <v>23</v>
      </c>
      <c r="C23" s="49"/>
      <c r="D23" s="50"/>
    </row>
    <row r="24" spans="1:7" customHeight="1" ht="18.75">
      <c r="A24" s="47" t="s">
        <v>65</v>
      </c>
      <c r="B24" s="48" t="s">
        <v>29</v>
      </c>
      <c r="C24" s="49"/>
      <c r="D24" s="50"/>
    </row>
    <row r="25" spans="1:7" customHeight="1" ht="18.75">
      <c r="A25" s="47"/>
      <c r="B25" s="48"/>
      <c r="C25" s="49"/>
      <c r="D25" s="50"/>
    </row>
    <row r="26" spans="1:7" customHeight="1" ht="18.75">
      <c r="A26" s="51"/>
      <c r="B26" s="52"/>
      <c r="C26" s="53"/>
      <c r="D2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7:B17"/>
    <mergeCell ref="C9:G9"/>
    <mergeCell ref="A8:B8"/>
    <mergeCell ref="A11:A12"/>
    <mergeCell ref="B11:B12"/>
    <mergeCell ref="C17:E17"/>
    <mergeCell ref="F11:F12"/>
    <mergeCell ref="G11:G12"/>
    <mergeCell ref="E11:E12"/>
    <mergeCell ref="A1:G1"/>
    <mergeCell ref="C4:G4"/>
    <mergeCell ref="C5:G5"/>
    <mergeCell ref="C6:G6"/>
    <mergeCell ref="C7:G7"/>
    <mergeCell ref="B22:D22"/>
    <mergeCell ref="C8:G8"/>
    <mergeCell ref="A9:B9"/>
    <mergeCell ref="C11:C12"/>
    <mergeCell ref="F17:G1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45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46</v>
      </c>
      <c r="B6" s="165"/>
      <c r="C6" s="165"/>
      <c r="D6" s="165"/>
      <c r="E6" s="165"/>
      <c r="F6" s="166"/>
      <c r="G6" s="163" t="s">
        <v>47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48</v>
      </c>
      <c r="B7" s="165"/>
      <c r="C7" s="165"/>
      <c r="D7" s="165"/>
      <c r="E7" s="165"/>
      <c r="F7" s="166"/>
      <c r="G7" s="170" t="s">
        <v>47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68</v>
      </c>
      <c r="B8" s="139"/>
      <c r="C8" s="139" t="s">
        <v>50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70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71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72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73</v>
      </c>
      <c r="P13" s="149"/>
      <c r="Q13" s="152" t="s">
        <v>74</v>
      </c>
    </row>
    <row r="14" spans="1:17" customHeight="1" ht="15.75">
      <c r="A14" s="66" t="s">
        <v>75</v>
      </c>
      <c r="B14" s="66" t="s">
        <v>76</v>
      </c>
      <c r="C14" s="66" t="s">
        <v>77</v>
      </c>
      <c r="D14" s="66" t="s">
        <v>78</v>
      </c>
      <c r="E14" s="66" t="s">
        <v>79</v>
      </c>
      <c r="F14" s="66" t="s">
        <v>80</v>
      </c>
      <c r="G14" s="67" t="s">
        <v>81</v>
      </c>
      <c r="H14" s="66" t="s">
        <v>82</v>
      </c>
      <c r="I14" s="66" t="s">
        <v>83</v>
      </c>
      <c r="J14" s="66" t="s">
        <v>84</v>
      </c>
      <c r="K14" s="66" t="s">
        <v>84</v>
      </c>
      <c r="L14" s="66" t="s">
        <v>85</v>
      </c>
      <c r="M14" s="66" t="s">
        <v>86</v>
      </c>
      <c r="N14" s="66" t="s">
        <v>87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4</v>
      </c>
      <c r="J15" s="69">
        <v>4</v>
      </c>
      <c r="K15" s="69">
        <v>0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46398862.5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88</v>
      </c>
      <c r="B18" s="155"/>
      <c r="C18" s="156" t="s">
        <v>62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46398862.5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89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52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90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41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42</v>
      </c>
      <c r="G2" s="41" t="s">
        <v>91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44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45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46</v>
      </c>
      <c r="B6" s="128"/>
      <c r="C6" s="112" t="s">
        <v>92</v>
      </c>
      <c r="D6" s="113"/>
      <c r="E6" s="113"/>
      <c r="F6" s="113"/>
      <c r="G6" s="114"/>
    </row>
    <row r="7" spans="1:7" customHeight="1" ht="32.25">
      <c r="A7" s="127" t="s">
        <v>48</v>
      </c>
      <c r="B7" s="128"/>
      <c r="C7" s="112" t="s">
        <v>92</v>
      </c>
      <c r="D7" s="113"/>
      <c r="E7" s="113"/>
      <c r="F7" s="113"/>
      <c r="G7" s="114"/>
    </row>
    <row r="8" spans="1:7" customHeight="1" ht="16.5">
      <c r="A8" s="127" t="s">
        <v>49</v>
      </c>
      <c r="B8" s="128"/>
      <c r="C8" s="112" t="s">
        <v>50</v>
      </c>
      <c r="D8" s="113"/>
      <c r="E8" s="113"/>
      <c r="F8" s="113"/>
      <c r="G8" s="114"/>
    </row>
    <row r="9" spans="1:7" customHeight="1" ht="27.75">
      <c r="A9" s="117" t="s">
        <v>51</v>
      </c>
      <c r="B9" s="118"/>
      <c r="C9" s="124" t="s">
        <v>93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53</v>
      </c>
      <c r="B11" s="131" t="s">
        <v>54</v>
      </c>
      <c r="C11" s="119" t="s">
        <v>55</v>
      </c>
      <c r="D11" s="135" t="s">
        <v>56</v>
      </c>
      <c r="E11" s="135" t="s">
        <v>57</v>
      </c>
      <c r="F11" s="135" t="s">
        <v>58</v>
      </c>
      <c r="G11" s="135" t="s">
        <v>59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24</v>
      </c>
      <c r="C13" s="35" t="s">
        <v>25</v>
      </c>
      <c r="D13" s="31" t="s">
        <v>60</v>
      </c>
      <c r="E13" s="31" t="s">
        <v>22</v>
      </c>
      <c r="F13" s="32">
        <v>155900.0</v>
      </c>
      <c r="G13" s="33">
        <v>200</v>
      </c>
    </row>
    <row r="14" spans="1:7" customHeight="1" ht="15">
      <c r="A14" s="44">
        <v>2</v>
      </c>
      <c r="B14" s="34" t="s">
        <v>24</v>
      </c>
      <c r="C14" s="35" t="s">
        <v>25</v>
      </c>
      <c r="D14" s="31" t="s">
        <v>60</v>
      </c>
      <c r="E14" s="31" t="s">
        <v>22</v>
      </c>
      <c r="F14" s="32">
        <v>198500.0</v>
      </c>
      <c r="G14" s="33">
        <v>100</v>
      </c>
    </row>
    <row r="15" spans="1:7" customHeight="1" ht="15">
      <c r="A15" s="44"/>
      <c r="B15" s="34"/>
      <c r="C15" s="35"/>
      <c r="D15" s="31"/>
      <c r="E15" s="31"/>
      <c r="F15" s="32"/>
      <c r="G15" s="33"/>
    </row>
    <row r="16" spans="1:7" customHeight="1" ht="15.75">
      <c r="A16" s="45"/>
      <c r="B16" s="36"/>
      <c r="C16" s="37"/>
      <c r="D16" s="28"/>
      <c r="E16" s="28"/>
      <c r="F16" s="29"/>
      <c r="G16" s="30"/>
    </row>
    <row r="17" spans="1:7" customHeight="1" ht="20.25">
      <c r="A17" s="122" t="s">
        <v>61</v>
      </c>
      <c r="B17" s="123"/>
      <c r="C17" s="133" t="s">
        <v>94</v>
      </c>
      <c r="D17" s="133"/>
      <c r="E17" s="134"/>
      <c r="F17" s="121">
        <f>SUMPRODUCT(F13:F16,G13:G16)</f>
        <v>51030000</v>
      </c>
      <c r="G17" s="121"/>
    </row>
    <row r="21" spans="1:7" customHeight="1" ht="13.5"/>
    <row r="22" spans="1:7" customHeight="1" ht="15.75">
      <c r="A22" s="46"/>
      <c r="B22" s="115" t="s">
        <v>63</v>
      </c>
      <c r="C22" s="115"/>
      <c r="D22" s="116"/>
    </row>
    <row r="23" spans="1:7" customHeight="1" ht="18.75">
      <c r="A23" s="47" t="s">
        <v>64</v>
      </c>
      <c r="B23" s="48" t="s">
        <v>26</v>
      </c>
      <c r="C23" s="49"/>
      <c r="D23" s="50"/>
    </row>
    <row r="24" spans="1:7" customHeight="1" ht="18.75">
      <c r="A24" s="47" t="s">
        <v>65</v>
      </c>
      <c r="B24" s="48" t="s">
        <v>30</v>
      </c>
      <c r="C24" s="49"/>
      <c r="D24" s="50"/>
    </row>
    <row r="25" spans="1:7" customHeight="1" ht="18.75">
      <c r="A25" s="47"/>
      <c r="B25" s="48"/>
      <c r="C25" s="49"/>
      <c r="D25" s="50"/>
    </row>
    <row r="26" spans="1:7" customHeight="1" ht="18.75">
      <c r="A26" s="51"/>
      <c r="B26" s="52"/>
      <c r="C26" s="53"/>
      <c r="D2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7:B17"/>
    <mergeCell ref="C9:G9"/>
    <mergeCell ref="A8:B8"/>
    <mergeCell ref="A11:A12"/>
    <mergeCell ref="B11:B12"/>
    <mergeCell ref="C17:E17"/>
    <mergeCell ref="F11:F12"/>
    <mergeCell ref="G11:G12"/>
    <mergeCell ref="E11:E12"/>
    <mergeCell ref="A1:G1"/>
    <mergeCell ref="C4:G4"/>
    <mergeCell ref="C5:G5"/>
    <mergeCell ref="C6:G6"/>
    <mergeCell ref="C7:G7"/>
    <mergeCell ref="B22:D22"/>
    <mergeCell ref="C8:G8"/>
    <mergeCell ref="A9:B9"/>
    <mergeCell ref="C11:C12"/>
    <mergeCell ref="F17:G1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66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67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45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46</v>
      </c>
      <c r="B6" s="165"/>
      <c r="C6" s="165"/>
      <c r="D6" s="165"/>
      <c r="E6" s="165"/>
      <c r="F6" s="166"/>
      <c r="G6" s="163" t="s">
        <v>92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48</v>
      </c>
      <c r="B7" s="165"/>
      <c r="C7" s="165"/>
      <c r="D7" s="165"/>
      <c r="E7" s="165"/>
      <c r="F7" s="166"/>
      <c r="G7" s="170" t="s">
        <v>92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68</v>
      </c>
      <c r="B8" s="139"/>
      <c r="C8" s="139" t="s">
        <v>50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95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71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72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73</v>
      </c>
      <c r="P13" s="149"/>
      <c r="Q13" s="152" t="s">
        <v>74</v>
      </c>
    </row>
    <row r="14" spans="1:17" customHeight="1" ht="15.75">
      <c r="A14" s="66" t="s">
        <v>75</v>
      </c>
      <c r="B14" s="66" t="s">
        <v>76</v>
      </c>
      <c r="C14" s="66" t="s">
        <v>77</v>
      </c>
      <c r="D14" s="66" t="s">
        <v>78</v>
      </c>
      <c r="E14" s="66" t="s">
        <v>79</v>
      </c>
      <c r="F14" s="66" t="s">
        <v>80</v>
      </c>
      <c r="G14" s="67" t="s">
        <v>81</v>
      </c>
      <c r="H14" s="66" t="s">
        <v>82</v>
      </c>
      <c r="I14" s="66" t="s">
        <v>83</v>
      </c>
      <c r="J14" s="66" t="s">
        <v>84</v>
      </c>
      <c r="K14" s="66" t="s">
        <v>84</v>
      </c>
      <c r="L14" s="66" t="s">
        <v>85</v>
      </c>
      <c r="M14" s="66" t="s">
        <v>86</v>
      </c>
      <c r="N14" s="66" t="s">
        <v>87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4</v>
      </c>
      <c r="J15" s="69">
        <v>4</v>
      </c>
      <c r="K15" s="69">
        <v>0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51030000.0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88</v>
      </c>
      <c r="B18" s="155"/>
      <c r="C18" s="156" t="s">
        <v>94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51030000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89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93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90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Necesidades Trimestrales</vt:lpstr>
      <vt:lpstr>Nota Pedido MSEG</vt:lpstr>
      <vt:lpstr>APG MSEG</vt:lpstr>
      <vt:lpstr>Nota Pedido DA#PC</vt:lpstr>
      <vt:lpstr>APG DA#PC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