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cartables 1er Trim.2022\Esterilizacion consolidado\"/>
    </mc:Choice>
  </mc:AlternateContent>
  <xr:revisionPtr revIDLastSave="0" documentId="13_ncr:1_{0B69FB4A-15AA-4837-B564-4BB7EF93D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FARMACIA" sheetId="8" r:id="rId2"/>
    <sheet name="APG FARMACIA" sheetId="3" r:id="rId3"/>
    <sheet name="NP SAME" sheetId="5" r:id="rId4"/>
    <sheet name="APG SAME" sheetId="6" r:id="rId5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3" l="1"/>
  <c r="G4" i="3"/>
  <c r="M21" i="8"/>
  <c r="C21" i="8"/>
  <c r="M13" i="8" l="1"/>
  <c r="M17" i="8"/>
  <c r="M22" i="8"/>
  <c r="M26" i="8"/>
  <c r="M30" i="8"/>
  <c r="M34" i="8"/>
  <c r="M38" i="8"/>
  <c r="M42" i="8"/>
  <c r="M46" i="8"/>
  <c r="M50" i="8"/>
  <c r="C13" i="8"/>
  <c r="C14" i="8"/>
  <c r="C15" i="8"/>
  <c r="C16" i="8"/>
  <c r="C17" i="8"/>
  <c r="C18" i="8"/>
  <c r="C19" i="8"/>
  <c r="C20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12" i="8"/>
  <c r="D4" i="8"/>
  <c r="D3" i="8"/>
  <c r="C12" i="5"/>
  <c r="I10" i="1"/>
  <c r="I11" i="1"/>
  <c r="I12" i="1"/>
  <c r="I13" i="1"/>
  <c r="I14" i="1"/>
  <c r="I15" i="1"/>
  <c r="I16" i="1"/>
  <c r="I17" i="1"/>
  <c r="I1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M48" i="8" l="1"/>
  <c r="M44" i="8"/>
  <c r="M40" i="8"/>
  <c r="S40" i="8" s="1"/>
  <c r="V40" i="8" s="1"/>
  <c r="M36" i="8"/>
  <c r="R36" i="8" s="1"/>
  <c r="V36" i="8" s="1"/>
  <c r="M32" i="8"/>
  <c r="M28" i="8"/>
  <c r="M24" i="8"/>
  <c r="Q24" i="8" s="1"/>
  <c r="V24" i="8" s="1"/>
  <c r="M19" i="8"/>
  <c r="S19" i="8" s="1"/>
  <c r="V19" i="8" s="1"/>
  <c r="M15" i="8"/>
  <c r="M49" i="8"/>
  <c r="M45" i="8"/>
  <c r="M41" i="8"/>
  <c r="M37" i="8"/>
  <c r="S37" i="8" s="1"/>
  <c r="V37" i="8" s="1"/>
  <c r="M33" i="8"/>
  <c r="M29" i="8"/>
  <c r="M25" i="8"/>
  <c r="Q25" i="8" s="1"/>
  <c r="V25" i="8" s="1"/>
  <c r="M20" i="8"/>
  <c r="U20" i="8" s="1"/>
  <c r="V20" i="8" s="1"/>
  <c r="M16" i="8"/>
  <c r="M51" i="8"/>
  <c r="M47" i="8"/>
  <c r="S47" i="8" s="1"/>
  <c r="V47" i="8" s="1"/>
  <c r="M43" i="8"/>
  <c r="M39" i="8"/>
  <c r="M35" i="8"/>
  <c r="R35" i="8" s="1"/>
  <c r="V35" i="8" s="1"/>
  <c r="M31" i="8"/>
  <c r="T31" i="8" s="1"/>
  <c r="V31" i="8" s="1"/>
  <c r="M27" i="8"/>
  <c r="U27" i="8" s="1"/>
  <c r="V27" i="8" s="1"/>
  <c r="M23" i="8"/>
  <c r="M18" i="8"/>
  <c r="S18" i="8" s="1"/>
  <c r="V18" i="8" s="1"/>
  <c r="M14" i="8"/>
  <c r="U14" i="8" s="1"/>
  <c r="V14" i="8" s="1"/>
  <c r="S50" i="8"/>
  <c r="V50" i="8" s="1"/>
  <c r="S46" i="8"/>
  <c r="V46" i="8" s="1"/>
  <c r="U30" i="8"/>
  <c r="V30" i="8" s="1"/>
  <c r="U22" i="8"/>
  <c r="V22" i="8" s="1"/>
  <c r="S17" i="8"/>
  <c r="V17" i="8" s="1"/>
  <c r="U29" i="8"/>
  <c r="V29" i="8" s="1"/>
  <c r="Q44" i="8"/>
  <c r="V44" i="8" s="1"/>
  <c r="U43" i="8"/>
  <c r="V43" i="8" s="1"/>
  <c r="O42" i="8"/>
  <c r="S41" i="8"/>
  <c r="V41" i="8" s="1"/>
  <c r="Q45" i="8"/>
  <c r="V45" i="8" s="1"/>
  <c r="U28" i="8"/>
  <c r="V28" i="8" s="1"/>
  <c r="Q26" i="8"/>
  <c r="V26" i="8" s="1"/>
  <c r="S39" i="8"/>
  <c r="V39" i="8" s="1"/>
  <c r="Q23" i="8"/>
  <c r="V23" i="8" s="1"/>
  <c r="S51" i="8"/>
  <c r="V51" i="8" s="1"/>
  <c r="S38" i="8"/>
  <c r="V38" i="8" s="1"/>
  <c r="S34" i="8"/>
  <c r="V34" i="8" s="1"/>
  <c r="S13" i="8"/>
  <c r="V13" i="8" s="1"/>
  <c r="S49" i="8"/>
  <c r="V49" i="8" s="1"/>
  <c r="S33" i="8"/>
  <c r="V33" i="8" s="1"/>
  <c r="U16" i="8"/>
  <c r="V16" i="8" s="1"/>
  <c r="S48" i="8"/>
  <c r="V48" i="8" s="1"/>
  <c r="S32" i="8"/>
  <c r="V32" i="8" s="1"/>
  <c r="Q15" i="8"/>
  <c r="V15" i="8" s="1"/>
  <c r="M12" i="8"/>
  <c r="A41" i="6"/>
  <c r="G7" i="6"/>
  <c r="G6" i="6"/>
  <c r="M12" i="5"/>
  <c r="M14" i="5" s="1"/>
  <c r="D4" i="5"/>
  <c r="G5" i="6" s="1"/>
  <c r="D3" i="5"/>
  <c r="G4" i="6" s="1"/>
  <c r="V42" i="8" l="1"/>
  <c r="O53" i="8"/>
  <c r="Q15" i="3" s="1"/>
  <c r="Q53" i="8"/>
  <c r="M53" i="8"/>
  <c r="J53" i="8" s="1"/>
  <c r="R53" i="8"/>
  <c r="Q18" i="3" s="1"/>
  <c r="S53" i="8"/>
  <c r="Q19" i="3" s="1"/>
  <c r="T53" i="8"/>
  <c r="Q20" i="3" s="1"/>
  <c r="U53" i="8"/>
  <c r="P12" i="8"/>
  <c r="J14" i="5"/>
  <c r="Q15" i="6"/>
  <c r="Q38" i="6" s="1"/>
  <c r="P53" i="8" l="1"/>
  <c r="Q16" i="3" s="1"/>
  <c r="V12" i="8"/>
  <c r="Q17" i="3"/>
  <c r="I20" i="1"/>
  <c r="I19" i="1"/>
  <c r="I51" i="1" l="1"/>
  <c r="Q21" i="3"/>
  <c r="Q38" i="3" s="1"/>
  <c r="V53" i="8"/>
</calcChain>
</file>

<file path=xl/sharedStrings.xml><?xml version="1.0" encoding="utf-8"?>
<sst xmlns="http://schemas.openxmlformats.org/spreadsheetml/2006/main" count="351" uniqueCount="136">
  <si>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</si>
  <si>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</si>
  <si>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</si>
  <si>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</si>
  <si>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</si>
  <si>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</si>
  <si>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</si>
  <si>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</si>
  <si>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</si>
  <si>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</si>
  <si>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</si>
  <si>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</si>
  <si>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</si>
  <si>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</si>
  <si>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</si>
  <si>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</si>
  <si>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</si>
  <si>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</si>
  <si>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</si>
  <si>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PRODUCTOS MEDICOS/FARMACEUTICOS/LAB.</t>
  </si>
  <si>
    <t>GASA CORTADA DE 5CM X 5CM X KILO</t>
  </si>
  <si>
    <t>KILO</t>
  </si>
  <si>
    <t>TOTAL RUBRO ESTERILIZACION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</si>
  <si>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</si>
  <si>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</si>
  <si>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</si>
  <si>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</si>
  <si>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</si>
  <si>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</si>
  <si>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</si>
  <si>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</si>
  <si>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</si>
  <si>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</si>
  <si>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</si>
  <si>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</si>
  <si>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</si>
  <si>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</si>
  <si>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</si>
  <si>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</si>
  <si>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</si>
  <si>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</si>
  <si>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</si>
  <si>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</si>
  <si>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</si>
  <si>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</si>
  <si>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</si>
  <si>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</si>
  <si>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</si>
  <si>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</si>
  <si>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</si>
  <si>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</si>
  <si>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</si>
  <si>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</si>
  <si>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</si>
  <si>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</si>
  <si>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</si>
  <si>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</si>
  <si>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</si>
  <si>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</si>
  <si>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</si>
  <si>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</si>
  <si>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</si>
  <si>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</si>
  <si>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</si>
  <si>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</si>
  <si>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</si>
  <si>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</si>
  <si>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</si>
  <si>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</si>
  <si>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</si>
  <si>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SI</t>
  </si>
  <si>
    <t>ADQUISICION DEL RUBRO ESTERILIZACION</t>
  </si>
  <si>
    <t>UTILES MENORES MEDICOS, QUIRURGICOS Y DE LABORATORIO</t>
  </si>
  <si>
    <t>DIRECCION PROVINCIAL SISTEMA DE ATENCION MEDICA DE EMERGENCIA</t>
  </si>
  <si>
    <t xml:space="preserve"> 04/2022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</si>
  <si>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</si>
  <si>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>GASA HIDROFILA PIEZA X 1,8 KGS. TIPO HIDROSAN</t>
  </si>
  <si>
    <t>Costo total estimado: CIENTO TREINTA Y CUATRO MIL CON 00/100.-</t>
  </si>
  <si>
    <t>TOTAL DE PESOS: CIENTO TREINTA Y CUATRO MIL CON 00/100.-</t>
  </si>
  <si>
    <t>Bobina Baja Densidad 30 X 40 rollo x 200 un. Tipo Mapsa</t>
  </si>
  <si>
    <t>Bolsas termosellables de 125 x 50 x 250 mm c/ indicador paca calor húmedo x 1unid</t>
  </si>
  <si>
    <t>CAJA</t>
  </si>
  <si>
    <t>Camisolin P/Cirugia de tela verde brin con puño caña larga</t>
  </si>
  <si>
    <t>Cassettes P/Sterrad NX x 5 unidades Tipo ASP</t>
  </si>
  <si>
    <t>Cinta Papel Pintor 18 mm. X 50 mts. Tipo Stiko</t>
  </si>
  <si>
    <t>ROLLO</t>
  </si>
  <si>
    <t>Cinta Testigo p/calor humedo  (en rollo) Tipo Kims</t>
  </si>
  <si>
    <t>Cinta Testigo p/calor seco  (en rollo) Tipo Kims</t>
  </si>
  <si>
    <t>Cinta Testigo P/Sterrad NX x 6 Rollos x 55 Metros  Tipo ASP</t>
  </si>
  <si>
    <t>Compresa de Gasa Cosida; 40cm x 40cm, Rx y Cola, 5u/ doble sobre -Pouch, 50u/Caja Estéril,</t>
  </si>
  <si>
    <t xml:space="preserve">GUANTES DE NITRILO de PROTECCION QUIMICA CANA LARGA  NUMERO 7 1/2  X PAR </t>
  </si>
  <si>
    <t>PAR</t>
  </si>
  <si>
    <t>Indicador Biologico P/Sterrad NX x 30 Ampollas Tipo ASP</t>
  </si>
  <si>
    <t>Indicador Quimico P/Sterrad NX x 1000 Tiras Tipo ASP</t>
  </si>
  <si>
    <t>INDICADORES DE ESTERILIZACION,CALOR SECO,TIRAS INTEGRADORAS CAJA X 100</t>
  </si>
  <si>
    <t xml:space="preserve">INDICADORES DE ESTERILIZACION; METODO DE ESTERILIZACION: AUTOCLAVE DE VAPOR, TIRAS INTEGRADORAS, CAJA X 100 UN, </t>
  </si>
  <si>
    <t>LUPAS; POTENCIA: 75 Diop, DIAMETRO: 65 mm, MATERIAL LENTE: VIDRIO, ACCESORIO: C/LUZ, ARMAZON: PLASTICO, ESTRUCTURA: PLASTICO</t>
  </si>
  <si>
    <t>MALLA TUBULAR ALGODÓN 10 CM X 25 MTS</t>
  </si>
  <si>
    <t>MALLA TUBULAR ALGODÓN 20 CM X 25 MTS</t>
  </si>
  <si>
    <t>Malla Tubular de 30 cm. Ancho X 25 mts. Largo Tipo Hidrosan</t>
  </si>
  <si>
    <t>Paño de micro fibra de 40 x 40 cm Tipo  Mister Trapo</t>
  </si>
  <si>
    <t>PAPEL GRADO MEDICO 120 CM X 100 MTS</t>
  </si>
  <si>
    <t>BOBINA</t>
  </si>
  <si>
    <t>PAPEL GRADO MEDICO 60 GR ANCHO 60 CM X 100 MTS</t>
  </si>
  <si>
    <t>PAPEL GRADO MEDICO 80 CM X 330 MTS</t>
  </si>
  <si>
    <t>Polietileno de 50 micrones 30cm. X  100 mts. Tipo MP</t>
  </si>
  <si>
    <t>Polietileno de 50 micrones 40cm. X  100 mts. Tipo MP</t>
  </si>
  <si>
    <t>Pouch Rollo de 100 mm x 200 mts.</t>
  </si>
  <si>
    <t>Pouch Rollo de 200 mm x 200 mt.</t>
  </si>
  <si>
    <t>Pouch Rollo de 300 mm x 200 mts.</t>
  </si>
  <si>
    <t>Pouch Rollo de 400 mm x 200 mts.</t>
  </si>
  <si>
    <t>Pouch Rollo de 450 mm x 200 mts.</t>
  </si>
  <si>
    <t>Rollo de lienzo Ecologico 60grs  1,5  x 50 mt.</t>
  </si>
  <si>
    <t>Ropa Equipo Cirugia Universal DESCARTABLE 17 Elementos Esteril</t>
  </si>
  <si>
    <t>PAQUETE</t>
  </si>
  <si>
    <t>Testigo p/calor humedo  (en Tiras) Tipo Kims</t>
  </si>
  <si>
    <t>Testigo p/calor seco  (en Tiras) Tipo Kims</t>
  </si>
  <si>
    <t>Tyvek Rollo de 10 cm Tipo ASP/KIMS</t>
  </si>
  <si>
    <t>Tyvek Rollo de 15 cm Tipo ASP/KIMS</t>
  </si>
  <si>
    <t>Tyvek Rollo de 20 cm Tipo ASP/KIMS</t>
  </si>
  <si>
    <t>Tyvek Rollo de 35 cm Tipo ASP/KIMS</t>
  </si>
  <si>
    <t>Tyvek Rollo de 42 cm Tipo ASP/KIMS</t>
  </si>
  <si>
    <t>Tyvek Rollo de 50 cm Tipo  ASP/KIMS</t>
  </si>
  <si>
    <t xml:space="preserve"> 06/2022</t>
  </si>
  <si>
    <t>HILADOS Y TELAS</t>
  </si>
  <si>
    <t>PRODUCTOS DE PAPEL Y CARTON</t>
  </si>
  <si>
    <t>COMPUESTOS QUIMICOS</t>
  </si>
  <si>
    <t>PRODUCTOS DE MATERIAL PLASTICO</t>
  </si>
  <si>
    <t>OTROS N.E.P.</t>
  </si>
  <si>
    <t>ELEMENTOS DE LIMPIEZA</t>
  </si>
  <si>
    <t>TOTAL DE PESOS: CINCO MILLONES SEISCIENTOS SESENTA Y OCHO MIL CIENTO ONCE CON 20/100.-</t>
  </si>
  <si>
    <t>veinte (20) dias habiles</t>
  </si>
  <si>
    <t>NO</t>
  </si>
  <si>
    <t>Autorizo la realización de los  trámites correspondientes, a fin de proveer a  este Organismo los bienes que se detallan en Nota  de Pedido N° 06/2022 afectando la erogación resultante a los créditos presupuestarios aprobados a favor de esta Unidad Ejecutora, conforme al siguiente detalle:</t>
  </si>
  <si>
    <t>SEMESTRAL</t>
  </si>
  <si>
    <t>Costo total estimado: CINCO MILLONES SEISCIENTOS SESENTA Y OCHO MIL CIENTO ONCE CON 20/100.-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</si>
</sst>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7" applyProtection="0"/>
    <xf numFmtId="0" fontId="25" fillId="0" borderId="57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</cellStyleXfs>
  <cellXfs count="2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166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6" fontId="8" fillId="0" borderId="2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9" fillId="0" borderId="29" xfId="0" applyNumberFormat="1" applyFont="1" applyBorder="1" applyAlignment="1"/>
    <xf numFmtId="168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24" fillId="0" borderId="3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0" fontId="0" fillId="0" borderId="45" xfId="7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0" fontId="0" fillId="0" borderId="54" xfId="7" applyNumberFormat="1" applyFont="1" applyBorder="1" applyAlignment="1" applyProtection="1">
      <alignment horizontal="center" vertical="center"/>
    </xf>
    <xf numFmtId="170" fontId="24" fillId="0" borderId="56" xfId="0" applyNumberFormat="1" applyFont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27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1" xfId="5" applyFont="1" applyFill="1" applyBorder="1" applyAlignment="1">
      <alignment horizontal="center" wrapText="1"/>
    </xf>
    <xf numFmtId="0" fontId="27" fillId="0" borderId="21" xfId="5" applyFont="1" applyBorder="1" applyAlignment="1">
      <alignment horizontal="center" wrapText="1"/>
    </xf>
    <xf numFmtId="0" fontId="27" fillId="0" borderId="58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63" xfId="0" applyNumberFormat="1" applyFont="1" applyBorder="1" applyAlignment="1">
      <alignment horizontal="center" vertical="center"/>
    </xf>
    <xf numFmtId="166" fontId="0" fillId="0" borderId="0" xfId="0" applyNumberFormat="1"/>
    <xf numFmtId="166" fontId="12" fillId="0" borderId="11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17" fillId="0" borderId="2" xfId="0" applyNumberFormat="1" applyFont="1" applyBorder="1" applyAlignment="1">
      <alignment horizontal="center" vertical="center" wrapText="1"/>
    </xf>
    <xf numFmtId="166" fontId="28" fillId="0" borderId="0" xfId="0" applyNumberFormat="1" applyFont="1"/>
    <xf numFmtId="0" fontId="0" fillId="0" borderId="0" xfId="0" applyFont="1"/>
    <xf numFmtId="0" fontId="29" fillId="0" borderId="9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166" fontId="29" fillId="0" borderId="9" xfId="0" applyNumberFormat="1" applyFont="1" applyBorder="1" applyAlignment="1">
      <alignment horizontal="center" vertical="center" wrapText="1"/>
    </xf>
    <xf numFmtId="3" fontId="29" fillId="0" borderId="25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166" fontId="29" fillId="0" borderId="3" xfId="0" applyNumberFormat="1" applyFont="1" applyBorder="1" applyAlignment="1">
      <alignment horizontal="center" vertical="center" wrapText="1"/>
    </xf>
    <xf numFmtId="3" fontId="29" fillId="0" borderId="65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3" fillId="0" borderId="0" xfId="0" applyFont="1"/>
    <xf numFmtId="0" fontId="8" fillId="0" borderId="2" xfId="0" applyFont="1" applyBorder="1"/>
    <xf numFmtId="0" fontId="8" fillId="0" borderId="1" xfId="0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0" fillId="0" borderId="6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8" fillId="0" borderId="0" xfId="0" applyFont="1"/>
    <xf numFmtId="0" fontId="34" fillId="0" borderId="0" xfId="0" applyFont="1" applyBorder="1" applyAlignment="1">
      <alignment horizontal="center" vertical="center"/>
    </xf>
    <xf numFmtId="166" fontId="34" fillId="0" borderId="0" xfId="0" applyNumberFormat="1" applyFont="1" applyBorder="1" applyAlignment="1">
      <alignment horizontal="center" vertical="center"/>
    </xf>
    <xf numFmtId="0" fontId="28" fillId="0" borderId="0" xfId="0" applyFont="1" applyBorder="1"/>
    <xf numFmtId="166" fontId="28" fillId="0" borderId="0" xfId="0" applyNumberFormat="1" applyFont="1" applyBorder="1"/>
    <xf numFmtId="166" fontId="0" fillId="0" borderId="15" xfId="0" applyNumberFormat="1" applyBorder="1"/>
    <xf numFmtId="166" fontId="0" fillId="0" borderId="35" xfId="0" applyNumberFormat="1" applyBorder="1"/>
    <xf numFmtId="166" fontId="0" fillId="0" borderId="45" xfId="7" applyNumberFormat="1" applyFont="1" applyBorder="1" applyAlignment="1" applyProtection="1">
      <alignment horizontal="center" vertical="center"/>
    </xf>
    <xf numFmtId="166" fontId="0" fillId="0" borderId="50" xfId="7" applyNumberFormat="1" applyFont="1" applyBorder="1" applyAlignment="1" applyProtection="1">
      <alignment horizontal="center" vertical="center"/>
    </xf>
    <xf numFmtId="166" fontId="0" fillId="0" borderId="54" xfId="7" applyNumberFormat="1" applyFont="1" applyBorder="1" applyAlignment="1" applyProtection="1">
      <alignment horizontal="center" vertical="center"/>
    </xf>
    <xf numFmtId="166" fontId="24" fillId="0" borderId="56" xfId="0" applyNumberFormat="1" applyFont="1" applyBorder="1" applyAlignment="1">
      <alignment horizontal="center" vertical="center"/>
    </xf>
    <xf numFmtId="2" fontId="10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59" xfId="5" applyFont="1" applyBorder="1" applyAlignment="1">
      <alignment horizontal="left" vertical="center" wrapText="1"/>
    </xf>
    <xf numFmtId="0" fontId="3" fillId="0" borderId="61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60" xfId="5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166" fontId="15" fillId="0" borderId="23" xfId="0" applyNumberFormat="1" applyFont="1" applyBorder="1" applyAlignment="1">
      <alignment horizontal="center" vertical="center" wrapText="1"/>
    </xf>
    <xf numFmtId="166" fontId="15" fillId="0" borderId="66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167" fontId="14" fillId="0" borderId="26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left" vertical="center" wrapText="1" indent="1"/>
    </xf>
    <xf numFmtId="0" fontId="29" fillId="0" borderId="9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vertical="center" wrapText="1"/>
    </xf>
    <xf numFmtId="0" fontId="22" fillId="0" borderId="37" xfId="0" applyFont="1" applyBorder="1" applyAlignment="1">
      <alignment vertical="center" wrapText="1"/>
    </xf>
    <xf numFmtId="0" fontId="22" fillId="0" borderId="26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1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0" fontId="0" fillId="0" borderId="69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 wrapText="1"/>
    </xf>
    <xf numFmtId="0" fontId="22" fillId="0" borderId="34" xfId="0" applyNumberFormat="1" applyFont="1" applyBorder="1" applyAlignment="1">
      <alignment horizontal="justify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67" xfId="0" applyFont="1" applyBorder="1" applyAlignment="1">
      <alignment horizontal="left" vertical="center"/>
    </xf>
    <xf numFmtId="0" fontId="0" fillId="0" borderId="67" xfId="0" applyBorder="1" applyAlignment="1">
      <alignment horizontal="left"/>
    </xf>
    <xf numFmtId="0" fontId="0" fillId="0" borderId="49" xfId="0" applyBorder="1" applyAlignment="1">
      <alignment horizontal="left"/>
    </xf>
    <xf numFmtId="0" fontId="22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9" fillId="0" borderId="28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21" fillId="0" borderId="30" xfId="0" applyFont="1" applyBorder="1"/>
    <xf numFmtId="0" fontId="22" fillId="0" borderId="31" xfId="0" applyFont="1" applyBorder="1" applyAlignment="1">
      <alignment horizontal="left" indent="1"/>
    </xf>
    <xf numFmtId="0" fontId="17" fillId="0" borderId="30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/>
    </xf>
    <xf numFmtId="0" fontId="14" fillId="0" borderId="2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 indent="1"/>
    </xf>
    <xf numFmtId="167" fontId="14" fillId="0" borderId="17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</cellXfs>
  <cellStyles count="34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  <cellStyle name="Normal 9" xfId="33" xr:uid="{00000000-0005-0000-0000-000021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2579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1"/>
  <sheetViews>
    <sheetView tabSelected="1" topLeftCell="B1" zoomScaleNormal="100" workbookViewId="0">
      <selection activeCell="I10" sqref="I10"/>
    </sheetView>
  </sheetViews>
  <sheetFormatPr baseColWidth="10" defaultRowHeight="15" x14ac:dyDescent="0.25"/>
  <cols>
    <col min="1" max="1" width="4.85546875" style="38" bestFit="1" customWidth="1"/>
    <col min="2" max="2" width="13" style="38" bestFit="1" customWidth="1"/>
    <col min="3" max="3" width="46.42578125" style="38" customWidth="1"/>
    <col min="4" max="4" width="5.5703125" style="38" bestFit="1" customWidth="1"/>
    <col min="5" max="5" width="53.7109375" style="39" customWidth="1"/>
    <col min="6" max="6" width="10.5703125" style="38" bestFit="1" customWidth="1"/>
    <col min="7" max="7" width="10.42578125" style="40" bestFit="1" customWidth="1"/>
    <col min="8" max="8" width="12.42578125" style="41" bestFit="1" customWidth="1"/>
    <col min="9" max="9" width="16.28515625" style="41" bestFit="1" customWidth="1"/>
    <col min="10" max="10" width="23.71093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s="124" customFormat="1" ht="18.75" x14ac:dyDescent="0.3">
      <c r="A2" s="122"/>
      <c r="B2" s="155" t="s">
        <v>0</v>
      </c>
      <c r="C2" s="155"/>
      <c r="D2" s="155"/>
      <c r="E2" s="155"/>
      <c r="F2" s="155"/>
      <c r="G2" s="155"/>
      <c r="H2" s="155"/>
      <c r="I2" s="123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54" t="s">
        <v>1</v>
      </c>
      <c r="B4" s="154"/>
      <c r="C4" s="95" t="s">
        <v>2</v>
      </c>
      <c r="D4" s="95"/>
      <c r="E4" s="95"/>
      <c r="F4" s="8"/>
      <c r="G4" s="9"/>
      <c r="H4" s="7"/>
      <c r="I4" s="6"/>
    </row>
    <row r="5" spans="1:10" ht="15" customHeight="1" x14ac:dyDescent="0.25">
      <c r="A5" s="154" t="s">
        <v>3</v>
      </c>
      <c r="B5" s="154"/>
      <c r="C5" s="95" t="s">
        <v>4</v>
      </c>
      <c r="D5" s="95"/>
      <c r="E5" s="95"/>
      <c r="F5" s="8"/>
      <c r="G5" s="9"/>
      <c r="H5" s="7"/>
      <c r="I5" s="6"/>
    </row>
    <row r="6" spans="1:10" x14ac:dyDescent="0.25">
      <c r="A6" s="154" t="s">
        <v>5</v>
      </c>
      <c r="B6" s="154"/>
      <c r="C6" s="96">
        <v>2022</v>
      </c>
      <c r="D6" s="97"/>
      <c r="E6" s="96"/>
      <c r="F6" s="8"/>
      <c r="G6" s="9"/>
      <c r="H6" s="7"/>
      <c r="I6" s="6"/>
    </row>
    <row r="7" spans="1:10" x14ac:dyDescent="0.25">
      <c r="A7" s="154" t="s">
        <v>6</v>
      </c>
      <c r="B7" s="154"/>
      <c r="C7" s="96" t="s">
        <v>7</v>
      </c>
      <c r="D7" s="97"/>
      <c r="E7" s="96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</row>
    <row r="10" spans="1:10" s="23" customFormat="1" ht="12.75" x14ac:dyDescent="0.2">
      <c r="A10" s="28">
        <v>1</v>
      </c>
      <c r="B10" s="28"/>
      <c r="C10" s="28" t="s">
        <v>19</v>
      </c>
      <c r="D10" s="28">
        <v>234</v>
      </c>
      <c r="E10" s="35" t="s">
        <v>79</v>
      </c>
      <c r="F10" s="18" t="s">
        <v>18</v>
      </c>
      <c r="G10" s="20">
        <v>30</v>
      </c>
      <c r="H10" s="29">
        <v>780</v>
      </c>
      <c r="I10" s="29">
        <f t="shared" ref="I10:I50" si="0">+G10*H10</f>
        <v>23400</v>
      </c>
      <c r="J10" s="19"/>
    </row>
    <row r="11" spans="1:10" s="23" customFormat="1" ht="25.5" x14ac:dyDescent="0.2">
      <c r="A11" s="31">
        <v>2</v>
      </c>
      <c r="B11" s="31"/>
      <c r="C11" s="31" t="s">
        <v>19</v>
      </c>
      <c r="D11" s="31">
        <v>259</v>
      </c>
      <c r="E11" s="32" t="s">
        <v>80</v>
      </c>
      <c r="F11" s="31" t="s">
        <v>81</v>
      </c>
      <c r="G11" s="36">
        <v>12</v>
      </c>
      <c r="H11" s="33">
        <v>13500</v>
      </c>
      <c r="I11" s="127">
        <f t="shared" si="0"/>
        <v>162000</v>
      </c>
      <c r="J11" s="125"/>
    </row>
    <row r="12" spans="1:10" s="23" customFormat="1" ht="12.75" x14ac:dyDescent="0.2">
      <c r="A12" s="31">
        <v>3</v>
      </c>
      <c r="B12" s="18"/>
      <c r="C12" s="18" t="s">
        <v>19</v>
      </c>
      <c r="D12" s="18">
        <v>295</v>
      </c>
      <c r="E12" s="126" t="s">
        <v>82</v>
      </c>
      <c r="F12" s="18" t="s">
        <v>18</v>
      </c>
      <c r="G12" s="36">
        <v>100</v>
      </c>
      <c r="H12" s="127">
        <v>2580</v>
      </c>
      <c r="I12" s="127">
        <f t="shared" si="0"/>
        <v>258000</v>
      </c>
      <c r="J12" s="19"/>
    </row>
    <row r="13" spans="1:10" s="23" customFormat="1" ht="12.75" x14ac:dyDescent="0.2">
      <c r="A13" s="31">
        <v>4</v>
      </c>
      <c r="B13" s="18"/>
      <c r="C13" s="18" t="s">
        <v>19</v>
      </c>
      <c r="D13" s="18">
        <v>251</v>
      </c>
      <c r="E13" s="126" t="s">
        <v>83</v>
      </c>
      <c r="F13" s="18" t="s">
        <v>81</v>
      </c>
      <c r="G13" s="36">
        <v>4</v>
      </c>
      <c r="H13" s="127">
        <v>130000</v>
      </c>
      <c r="I13" s="127">
        <f t="shared" si="0"/>
        <v>520000</v>
      </c>
      <c r="J13" s="19"/>
    </row>
    <row r="14" spans="1:10" s="23" customFormat="1" ht="12.75" x14ac:dyDescent="0.2">
      <c r="A14" s="31">
        <v>5</v>
      </c>
      <c r="B14" s="18"/>
      <c r="C14" s="18" t="s">
        <v>19</v>
      </c>
      <c r="D14" s="18">
        <v>295</v>
      </c>
      <c r="E14" s="126" t="s">
        <v>84</v>
      </c>
      <c r="F14" s="18" t="s">
        <v>85</v>
      </c>
      <c r="G14" s="36">
        <v>100</v>
      </c>
      <c r="H14" s="127">
        <v>165</v>
      </c>
      <c r="I14" s="127">
        <f t="shared" si="0"/>
        <v>16500</v>
      </c>
      <c r="J14" s="19"/>
    </row>
    <row r="15" spans="1:10" s="23" customFormat="1" ht="12.75" x14ac:dyDescent="0.2">
      <c r="A15" s="31">
        <v>6</v>
      </c>
      <c r="B15" s="18"/>
      <c r="C15" s="18" t="s">
        <v>19</v>
      </c>
      <c r="D15" s="18">
        <v>259</v>
      </c>
      <c r="E15" s="126" t="s">
        <v>86</v>
      </c>
      <c r="F15" s="18" t="s">
        <v>85</v>
      </c>
      <c r="G15" s="36">
        <v>140</v>
      </c>
      <c r="H15" s="127">
        <v>380</v>
      </c>
      <c r="I15" s="127">
        <f t="shared" si="0"/>
        <v>53200</v>
      </c>
      <c r="J15" s="19"/>
    </row>
    <row r="16" spans="1:10" s="23" customFormat="1" ht="12.75" x14ac:dyDescent="0.2">
      <c r="A16" s="31">
        <v>7</v>
      </c>
      <c r="B16" s="18"/>
      <c r="C16" s="18" t="s">
        <v>19</v>
      </c>
      <c r="D16" s="18">
        <v>259</v>
      </c>
      <c r="E16" s="126" t="s">
        <v>87</v>
      </c>
      <c r="F16" s="18" t="s">
        <v>85</v>
      </c>
      <c r="G16" s="36">
        <v>140</v>
      </c>
      <c r="H16" s="127">
        <v>330</v>
      </c>
      <c r="I16" s="127">
        <f t="shared" si="0"/>
        <v>46200</v>
      </c>
      <c r="J16" s="19"/>
    </row>
    <row r="17" spans="1:10" s="23" customFormat="1" ht="12.75" x14ac:dyDescent="0.2">
      <c r="A17" s="31">
        <v>8</v>
      </c>
      <c r="B17" s="18"/>
      <c r="C17" s="18" t="s">
        <v>19</v>
      </c>
      <c r="D17" s="18">
        <v>259</v>
      </c>
      <c r="E17" s="126" t="s">
        <v>88</v>
      </c>
      <c r="F17" s="18" t="s">
        <v>81</v>
      </c>
      <c r="G17" s="36">
        <v>10</v>
      </c>
      <c r="H17" s="127">
        <v>35000</v>
      </c>
      <c r="I17" s="127">
        <f t="shared" si="0"/>
        <v>350000</v>
      </c>
      <c r="J17" s="19"/>
    </row>
    <row r="18" spans="1:10" s="23" customFormat="1" ht="25.5" x14ac:dyDescent="0.2">
      <c r="A18" s="31">
        <v>9</v>
      </c>
      <c r="B18" s="18"/>
      <c r="C18" s="18" t="s">
        <v>19</v>
      </c>
      <c r="D18" s="18">
        <v>295</v>
      </c>
      <c r="E18" s="126" t="s">
        <v>89</v>
      </c>
      <c r="F18" s="18" t="s">
        <v>81</v>
      </c>
      <c r="G18" s="36">
        <v>4</v>
      </c>
      <c r="H18" s="127">
        <v>13200</v>
      </c>
      <c r="I18" s="127">
        <f t="shared" si="0"/>
        <v>52800</v>
      </c>
      <c r="J18" s="19"/>
    </row>
    <row r="19" spans="1:10" s="23" customFormat="1" ht="12.75" x14ac:dyDescent="0.2">
      <c r="A19" s="31">
        <v>10</v>
      </c>
      <c r="B19" s="18"/>
      <c r="C19" s="18" t="s">
        <v>19</v>
      </c>
      <c r="D19" s="18">
        <v>295</v>
      </c>
      <c r="E19" s="126" t="s">
        <v>20</v>
      </c>
      <c r="F19" s="18" t="s">
        <v>21</v>
      </c>
      <c r="G19" s="36">
        <v>1000</v>
      </c>
      <c r="H19" s="127">
        <v>1330</v>
      </c>
      <c r="I19" s="127">
        <f t="shared" si="0"/>
        <v>1330000</v>
      </c>
      <c r="J19" s="19"/>
    </row>
    <row r="20" spans="1:10" s="23" customFormat="1" ht="12.75" x14ac:dyDescent="0.2">
      <c r="A20" s="31">
        <v>11</v>
      </c>
      <c r="B20" s="18"/>
      <c r="C20" s="18" t="s">
        <v>19</v>
      </c>
      <c r="D20" s="18">
        <v>295</v>
      </c>
      <c r="E20" s="126" t="s">
        <v>76</v>
      </c>
      <c r="F20" s="18" t="s">
        <v>18</v>
      </c>
      <c r="G20" s="36">
        <v>50</v>
      </c>
      <c r="H20" s="127">
        <v>2680</v>
      </c>
      <c r="I20" s="127">
        <f t="shared" si="0"/>
        <v>134000</v>
      </c>
      <c r="J20" s="19"/>
    </row>
    <row r="21" spans="1:10" s="23" customFormat="1" ht="25.5" x14ac:dyDescent="0.2">
      <c r="A21" s="31">
        <v>12</v>
      </c>
      <c r="B21" s="18"/>
      <c r="C21" s="18" t="s">
        <v>19</v>
      </c>
      <c r="D21" s="18">
        <v>295</v>
      </c>
      <c r="E21" s="126" t="s">
        <v>90</v>
      </c>
      <c r="F21" s="18" t="s">
        <v>91</v>
      </c>
      <c r="G21" s="36">
        <v>120</v>
      </c>
      <c r="H21" s="127">
        <v>480</v>
      </c>
      <c r="I21" s="127">
        <f t="shared" si="0"/>
        <v>57600</v>
      </c>
      <c r="J21" s="19"/>
    </row>
    <row r="22" spans="1:10" s="23" customFormat="1" ht="12.75" x14ac:dyDescent="0.2">
      <c r="A22" s="31">
        <v>13</v>
      </c>
      <c r="B22" s="18"/>
      <c r="C22" s="18" t="s">
        <v>19</v>
      </c>
      <c r="D22" s="18">
        <v>251</v>
      </c>
      <c r="E22" s="126" t="s">
        <v>92</v>
      </c>
      <c r="F22" s="18" t="s">
        <v>81</v>
      </c>
      <c r="G22" s="36">
        <v>3</v>
      </c>
      <c r="H22" s="127">
        <v>52000</v>
      </c>
      <c r="I22" s="127">
        <f t="shared" si="0"/>
        <v>156000</v>
      </c>
      <c r="J22" s="19"/>
    </row>
    <row r="23" spans="1:10" s="23" customFormat="1" ht="12.75" x14ac:dyDescent="0.2">
      <c r="A23" s="31">
        <v>14</v>
      </c>
      <c r="B23" s="18"/>
      <c r="C23" s="18" t="s">
        <v>19</v>
      </c>
      <c r="D23" s="18">
        <v>251</v>
      </c>
      <c r="E23" s="126" t="s">
        <v>93</v>
      </c>
      <c r="F23" s="18" t="s">
        <v>81</v>
      </c>
      <c r="G23" s="36">
        <v>3</v>
      </c>
      <c r="H23" s="127">
        <v>15800</v>
      </c>
      <c r="I23" s="127">
        <f t="shared" si="0"/>
        <v>47400</v>
      </c>
      <c r="J23" s="19"/>
    </row>
    <row r="24" spans="1:10" s="23" customFormat="1" ht="25.5" x14ac:dyDescent="0.2">
      <c r="A24" s="31">
        <v>15</v>
      </c>
      <c r="B24" s="18"/>
      <c r="C24" s="18" t="s">
        <v>19</v>
      </c>
      <c r="D24" s="18">
        <v>251</v>
      </c>
      <c r="E24" s="126" t="s">
        <v>94</v>
      </c>
      <c r="F24" s="18" t="s">
        <v>81</v>
      </c>
      <c r="G24" s="36">
        <v>30</v>
      </c>
      <c r="H24" s="127">
        <v>2056</v>
      </c>
      <c r="I24" s="127">
        <f t="shared" si="0"/>
        <v>61680</v>
      </c>
      <c r="J24" s="19"/>
    </row>
    <row r="25" spans="1:10" s="23" customFormat="1" ht="25.5" x14ac:dyDescent="0.2">
      <c r="A25" s="31">
        <v>16</v>
      </c>
      <c r="B25" s="18"/>
      <c r="C25" s="18" t="s">
        <v>19</v>
      </c>
      <c r="D25" s="18">
        <v>251</v>
      </c>
      <c r="E25" s="126" t="s">
        <v>95</v>
      </c>
      <c r="F25" s="18" t="s">
        <v>81</v>
      </c>
      <c r="G25" s="36">
        <v>30</v>
      </c>
      <c r="H25" s="127">
        <v>2056</v>
      </c>
      <c r="I25" s="127">
        <f t="shared" si="0"/>
        <v>61680</v>
      </c>
      <c r="J25" s="19"/>
    </row>
    <row r="26" spans="1:10" s="23" customFormat="1" ht="38.25" x14ac:dyDescent="0.2">
      <c r="A26" s="31">
        <v>17</v>
      </c>
      <c r="B26" s="18"/>
      <c r="C26" s="18" t="s">
        <v>19</v>
      </c>
      <c r="D26" s="18">
        <v>295</v>
      </c>
      <c r="E26" s="126" t="s">
        <v>96</v>
      </c>
      <c r="F26" s="18" t="s">
        <v>18</v>
      </c>
      <c r="G26" s="36">
        <v>10</v>
      </c>
      <c r="H26" s="127">
        <v>5560</v>
      </c>
      <c r="I26" s="127">
        <f t="shared" si="0"/>
        <v>55600</v>
      </c>
      <c r="J26" s="19"/>
    </row>
    <row r="27" spans="1:10" s="23" customFormat="1" ht="12.75" x14ac:dyDescent="0.2">
      <c r="A27" s="31">
        <v>18</v>
      </c>
      <c r="B27" s="18"/>
      <c r="C27" s="18"/>
      <c r="D27" s="18">
        <v>295</v>
      </c>
      <c r="E27" s="126" t="s">
        <v>97</v>
      </c>
      <c r="F27" s="18" t="s">
        <v>18</v>
      </c>
      <c r="G27" s="36">
        <v>4</v>
      </c>
      <c r="H27" s="127">
        <v>890</v>
      </c>
      <c r="I27" s="127">
        <f t="shared" si="0"/>
        <v>3560</v>
      </c>
      <c r="J27" s="19"/>
    </row>
    <row r="28" spans="1:10" s="23" customFormat="1" ht="12.75" x14ac:dyDescent="0.2">
      <c r="A28" s="31">
        <v>19</v>
      </c>
      <c r="B28" s="18"/>
      <c r="C28" s="18" t="s">
        <v>19</v>
      </c>
      <c r="D28" s="18">
        <v>295</v>
      </c>
      <c r="E28" s="126" t="s">
        <v>98</v>
      </c>
      <c r="F28" s="18" t="s">
        <v>18</v>
      </c>
      <c r="G28" s="36">
        <v>6</v>
      </c>
      <c r="H28" s="127">
        <v>1550</v>
      </c>
      <c r="I28" s="127">
        <f t="shared" si="0"/>
        <v>9300</v>
      </c>
      <c r="J28" s="19"/>
    </row>
    <row r="29" spans="1:10" s="23" customFormat="1" ht="12.75" x14ac:dyDescent="0.2">
      <c r="A29" s="31">
        <v>20</v>
      </c>
      <c r="B29" s="18"/>
      <c r="C29" s="18" t="s">
        <v>19</v>
      </c>
      <c r="D29" s="18">
        <v>295</v>
      </c>
      <c r="E29" s="126" t="s">
        <v>99</v>
      </c>
      <c r="F29" s="18" t="s">
        <v>18</v>
      </c>
      <c r="G29" s="36">
        <v>4</v>
      </c>
      <c r="H29" s="127">
        <v>2900</v>
      </c>
      <c r="I29" s="127">
        <f t="shared" si="0"/>
        <v>11600</v>
      </c>
      <c r="J29" s="19"/>
    </row>
    <row r="30" spans="1:10" s="23" customFormat="1" ht="12.75" x14ac:dyDescent="0.2">
      <c r="A30" s="31">
        <v>21</v>
      </c>
      <c r="B30" s="18"/>
      <c r="C30" s="18" t="s">
        <v>19</v>
      </c>
      <c r="D30" s="18">
        <v>291</v>
      </c>
      <c r="E30" s="126" t="s">
        <v>100</v>
      </c>
      <c r="F30" s="18" t="s">
        <v>18</v>
      </c>
      <c r="G30" s="36">
        <v>40</v>
      </c>
      <c r="H30" s="127">
        <v>560</v>
      </c>
      <c r="I30" s="127">
        <f t="shared" si="0"/>
        <v>22400</v>
      </c>
      <c r="J30" s="19"/>
    </row>
    <row r="31" spans="1:10" s="23" customFormat="1" ht="12.75" x14ac:dyDescent="0.2">
      <c r="A31" s="31">
        <v>22</v>
      </c>
      <c r="B31" s="18"/>
      <c r="C31" s="18" t="s">
        <v>19</v>
      </c>
      <c r="D31" s="18">
        <v>259</v>
      </c>
      <c r="E31" s="126" t="s">
        <v>101</v>
      </c>
      <c r="F31" s="18" t="s">
        <v>102</v>
      </c>
      <c r="G31" s="36">
        <v>24</v>
      </c>
      <c r="H31" s="127">
        <v>6800</v>
      </c>
      <c r="I31" s="127">
        <f t="shared" si="0"/>
        <v>163200</v>
      </c>
      <c r="J31" s="19"/>
    </row>
    <row r="32" spans="1:10" s="23" customFormat="1" ht="12.75" x14ac:dyDescent="0.2">
      <c r="A32" s="31">
        <v>23</v>
      </c>
      <c r="B32" s="18"/>
      <c r="C32" s="18" t="s">
        <v>19</v>
      </c>
      <c r="D32" s="18">
        <v>259</v>
      </c>
      <c r="E32" s="126" t="s">
        <v>103</v>
      </c>
      <c r="F32" s="18" t="s">
        <v>102</v>
      </c>
      <c r="G32" s="36">
        <v>30</v>
      </c>
      <c r="H32" s="127">
        <v>5680</v>
      </c>
      <c r="I32" s="127">
        <f t="shared" si="0"/>
        <v>170400</v>
      </c>
      <c r="J32" s="19"/>
    </row>
    <row r="33" spans="1:10" s="23" customFormat="1" ht="12.75" x14ac:dyDescent="0.2">
      <c r="A33" s="31">
        <v>24</v>
      </c>
      <c r="B33" s="18"/>
      <c r="C33" s="18" t="s">
        <v>19</v>
      </c>
      <c r="D33" s="18">
        <v>259</v>
      </c>
      <c r="E33" s="126" t="s">
        <v>104</v>
      </c>
      <c r="F33" s="18" t="s">
        <v>102</v>
      </c>
      <c r="G33" s="36">
        <v>30</v>
      </c>
      <c r="H33" s="127">
        <v>9282</v>
      </c>
      <c r="I33" s="127">
        <f t="shared" si="0"/>
        <v>278460</v>
      </c>
      <c r="J33" s="19"/>
    </row>
    <row r="34" spans="1:10" s="23" customFormat="1" ht="12.75" x14ac:dyDescent="0.2">
      <c r="A34" s="31">
        <v>25</v>
      </c>
      <c r="B34" s="18"/>
      <c r="C34" s="18" t="s">
        <v>19</v>
      </c>
      <c r="D34" s="18">
        <v>258</v>
      </c>
      <c r="E34" s="126" t="s">
        <v>105</v>
      </c>
      <c r="F34" s="18" t="s">
        <v>102</v>
      </c>
      <c r="G34" s="36">
        <v>20</v>
      </c>
      <c r="H34" s="127">
        <v>4200</v>
      </c>
      <c r="I34" s="127">
        <f t="shared" si="0"/>
        <v>84000</v>
      </c>
      <c r="J34" s="19"/>
    </row>
    <row r="35" spans="1:10" s="23" customFormat="1" ht="12.75" x14ac:dyDescent="0.2">
      <c r="A35" s="31">
        <v>26</v>
      </c>
      <c r="B35" s="18"/>
      <c r="C35" s="18" t="s">
        <v>19</v>
      </c>
      <c r="D35" s="18">
        <v>258</v>
      </c>
      <c r="E35" s="126" t="s">
        <v>106</v>
      </c>
      <c r="F35" s="18" t="s">
        <v>102</v>
      </c>
      <c r="G35" s="36">
        <v>20</v>
      </c>
      <c r="H35" s="127">
        <v>5400</v>
      </c>
      <c r="I35" s="127">
        <f t="shared" si="0"/>
        <v>108000</v>
      </c>
      <c r="J35" s="19"/>
    </row>
    <row r="36" spans="1:10" s="23" customFormat="1" ht="12.75" x14ac:dyDescent="0.2">
      <c r="A36" s="31">
        <v>27</v>
      </c>
      <c r="B36" s="18"/>
      <c r="C36" s="18" t="s">
        <v>19</v>
      </c>
      <c r="D36" s="18">
        <v>259</v>
      </c>
      <c r="E36" s="126" t="s">
        <v>107</v>
      </c>
      <c r="F36" s="18" t="s">
        <v>85</v>
      </c>
      <c r="G36" s="36">
        <v>10</v>
      </c>
      <c r="H36" s="127">
        <v>4305</v>
      </c>
      <c r="I36" s="127">
        <f t="shared" si="0"/>
        <v>43050</v>
      </c>
      <c r="J36" s="19"/>
    </row>
    <row r="37" spans="1:10" s="23" customFormat="1" ht="12.75" x14ac:dyDescent="0.2">
      <c r="A37" s="31">
        <v>28</v>
      </c>
      <c r="B37" s="18"/>
      <c r="C37" s="18" t="s">
        <v>19</v>
      </c>
      <c r="D37" s="18">
        <v>259</v>
      </c>
      <c r="E37" s="126" t="s">
        <v>108</v>
      </c>
      <c r="F37" s="18" t="s">
        <v>85</v>
      </c>
      <c r="G37" s="36">
        <v>10</v>
      </c>
      <c r="H37" s="127">
        <v>5885</v>
      </c>
      <c r="I37" s="127">
        <f t="shared" si="0"/>
        <v>58850</v>
      </c>
      <c r="J37" s="19"/>
    </row>
    <row r="38" spans="1:10" s="23" customFormat="1" ht="12.75" x14ac:dyDescent="0.2">
      <c r="A38" s="31">
        <v>29</v>
      </c>
      <c r="B38" s="18"/>
      <c r="C38" s="18" t="s">
        <v>19</v>
      </c>
      <c r="D38" s="18">
        <v>259</v>
      </c>
      <c r="E38" s="126" t="s">
        <v>109</v>
      </c>
      <c r="F38" s="18" t="s">
        <v>85</v>
      </c>
      <c r="G38" s="36">
        <v>5</v>
      </c>
      <c r="H38" s="127">
        <v>8259</v>
      </c>
      <c r="I38" s="127">
        <f t="shared" si="0"/>
        <v>41295</v>
      </c>
      <c r="J38" s="19"/>
    </row>
    <row r="39" spans="1:10" s="23" customFormat="1" ht="12.75" x14ac:dyDescent="0.2">
      <c r="A39" s="31">
        <v>30</v>
      </c>
      <c r="B39" s="18"/>
      <c r="C39" s="18" t="s">
        <v>19</v>
      </c>
      <c r="D39" s="18">
        <v>259</v>
      </c>
      <c r="E39" s="126" t="s">
        <v>110</v>
      </c>
      <c r="F39" s="18" t="s">
        <v>85</v>
      </c>
      <c r="G39" s="36">
        <v>5</v>
      </c>
      <c r="H39" s="127">
        <v>9341</v>
      </c>
      <c r="I39" s="127">
        <f t="shared" si="0"/>
        <v>46705</v>
      </c>
      <c r="J39" s="19"/>
    </row>
    <row r="40" spans="1:10" s="23" customFormat="1" ht="12.75" x14ac:dyDescent="0.2">
      <c r="A40" s="31">
        <v>31</v>
      </c>
      <c r="B40" s="18"/>
      <c r="C40" s="18" t="s">
        <v>19</v>
      </c>
      <c r="D40" s="18">
        <v>259</v>
      </c>
      <c r="E40" s="126" t="s">
        <v>111</v>
      </c>
      <c r="F40" s="18" t="s">
        <v>85</v>
      </c>
      <c r="G40" s="36">
        <v>5</v>
      </c>
      <c r="H40" s="127">
        <v>10320</v>
      </c>
      <c r="I40" s="127">
        <f t="shared" si="0"/>
        <v>51600</v>
      </c>
      <c r="J40" s="19"/>
    </row>
    <row r="41" spans="1:10" s="23" customFormat="1" ht="12.75" x14ac:dyDescent="0.2">
      <c r="A41" s="31">
        <v>32</v>
      </c>
      <c r="B41" s="18"/>
      <c r="C41" s="18" t="s">
        <v>19</v>
      </c>
      <c r="D41" s="18">
        <v>221</v>
      </c>
      <c r="E41" s="126" t="s">
        <v>112</v>
      </c>
      <c r="F41" s="18" t="s">
        <v>85</v>
      </c>
      <c r="G41" s="36">
        <v>10</v>
      </c>
      <c r="H41" s="127">
        <v>5600</v>
      </c>
      <c r="I41" s="127">
        <f t="shared" si="0"/>
        <v>56000</v>
      </c>
      <c r="J41" s="19"/>
    </row>
    <row r="42" spans="1:10" s="23" customFormat="1" ht="12.75" x14ac:dyDescent="0.2">
      <c r="A42" s="31">
        <v>33</v>
      </c>
      <c r="B42" s="18"/>
      <c r="C42" s="18" t="s">
        <v>19</v>
      </c>
      <c r="D42" s="18">
        <v>295</v>
      </c>
      <c r="E42" s="126" t="s">
        <v>113</v>
      </c>
      <c r="F42" s="18" t="s">
        <v>114</v>
      </c>
      <c r="G42" s="36">
        <v>60</v>
      </c>
      <c r="H42" s="127">
        <v>5405.52</v>
      </c>
      <c r="I42" s="127">
        <f t="shared" si="0"/>
        <v>324331.2</v>
      </c>
      <c r="J42" s="19"/>
    </row>
    <row r="43" spans="1:10" s="23" customFormat="1" ht="12.75" x14ac:dyDescent="0.2">
      <c r="A43" s="31">
        <v>34</v>
      </c>
      <c r="B43" s="18"/>
      <c r="C43" s="18" t="s">
        <v>19</v>
      </c>
      <c r="D43" s="18">
        <v>251</v>
      </c>
      <c r="E43" s="126" t="s">
        <v>115</v>
      </c>
      <c r="F43" s="18" t="s">
        <v>81</v>
      </c>
      <c r="G43" s="36">
        <v>30</v>
      </c>
      <c r="H43" s="127">
        <v>580</v>
      </c>
      <c r="I43" s="127">
        <f t="shared" si="0"/>
        <v>17400</v>
      </c>
      <c r="J43" s="19"/>
    </row>
    <row r="44" spans="1:10" s="23" customFormat="1" ht="12.75" x14ac:dyDescent="0.2">
      <c r="A44" s="31">
        <v>35</v>
      </c>
      <c r="B44" s="18"/>
      <c r="C44" s="18" t="s">
        <v>19</v>
      </c>
      <c r="D44" s="18">
        <v>251</v>
      </c>
      <c r="E44" s="126" t="s">
        <v>116</v>
      </c>
      <c r="F44" s="18" t="s">
        <v>81</v>
      </c>
      <c r="G44" s="36">
        <v>30</v>
      </c>
      <c r="H44" s="127">
        <v>530</v>
      </c>
      <c r="I44" s="127">
        <f t="shared" si="0"/>
        <v>15900</v>
      </c>
      <c r="J44" s="19"/>
    </row>
    <row r="45" spans="1:10" s="23" customFormat="1" ht="12.75" x14ac:dyDescent="0.2">
      <c r="A45" s="31">
        <v>36</v>
      </c>
      <c r="B45" s="18"/>
      <c r="C45" s="18" t="s">
        <v>19</v>
      </c>
      <c r="D45" s="18">
        <v>259</v>
      </c>
      <c r="E45" s="126" t="s">
        <v>117</v>
      </c>
      <c r="F45" s="18" t="s">
        <v>85</v>
      </c>
      <c r="G45" s="36">
        <v>4</v>
      </c>
      <c r="H45" s="127">
        <v>11000</v>
      </c>
      <c r="I45" s="127">
        <f t="shared" si="0"/>
        <v>44000</v>
      </c>
      <c r="J45" s="19"/>
    </row>
    <row r="46" spans="1:10" s="23" customFormat="1" ht="12.75" x14ac:dyDescent="0.2">
      <c r="A46" s="31">
        <v>37</v>
      </c>
      <c r="B46" s="18"/>
      <c r="C46" s="18" t="s">
        <v>19</v>
      </c>
      <c r="D46" s="18">
        <v>259</v>
      </c>
      <c r="E46" s="126" t="s">
        <v>118</v>
      </c>
      <c r="F46" s="18" t="s">
        <v>85</v>
      </c>
      <c r="G46" s="36">
        <v>4</v>
      </c>
      <c r="H46" s="127">
        <v>24000</v>
      </c>
      <c r="I46" s="127">
        <f t="shared" si="0"/>
        <v>96000</v>
      </c>
      <c r="J46" s="19"/>
    </row>
    <row r="47" spans="1:10" s="23" customFormat="1" ht="12.75" x14ac:dyDescent="0.2">
      <c r="A47" s="31">
        <v>38</v>
      </c>
      <c r="B47" s="18"/>
      <c r="C47" s="18" t="s">
        <v>19</v>
      </c>
      <c r="D47" s="18">
        <v>259</v>
      </c>
      <c r="E47" s="126" t="s">
        <v>119</v>
      </c>
      <c r="F47" s="18" t="s">
        <v>85</v>
      </c>
      <c r="G47" s="36">
        <v>4</v>
      </c>
      <c r="H47" s="127">
        <v>29500</v>
      </c>
      <c r="I47" s="127">
        <f t="shared" si="0"/>
        <v>118000</v>
      </c>
      <c r="J47" s="19"/>
    </row>
    <row r="48" spans="1:10" s="23" customFormat="1" ht="12.75" x14ac:dyDescent="0.2">
      <c r="A48" s="31">
        <v>39</v>
      </c>
      <c r="B48" s="18"/>
      <c r="C48" s="18" t="s">
        <v>19</v>
      </c>
      <c r="D48" s="18">
        <v>259</v>
      </c>
      <c r="E48" s="126" t="s">
        <v>120</v>
      </c>
      <c r="F48" s="18" t="s">
        <v>85</v>
      </c>
      <c r="G48" s="36">
        <v>4</v>
      </c>
      <c r="H48" s="127">
        <v>45000</v>
      </c>
      <c r="I48" s="127">
        <f t="shared" si="0"/>
        <v>180000</v>
      </c>
      <c r="J48" s="19"/>
    </row>
    <row r="49" spans="1:11" s="23" customFormat="1" ht="12.75" x14ac:dyDescent="0.2">
      <c r="A49" s="31">
        <v>40</v>
      </c>
      <c r="B49" s="18"/>
      <c r="C49" s="18" t="s">
        <v>19</v>
      </c>
      <c r="D49" s="18">
        <v>259</v>
      </c>
      <c r="E49" s="126" t="s">
        <v>121</v>
      </c>
      <c r="F49" s="18" t="s">
        <v>85</v>
      </c>
      <c r="G49" s="36">
        <v>4</v>
      </c>
      <c r="H49" s="127">
        <v>53000</v>
      </c>
      <c r="I49" s="127">
        <f t="shared" si="0"/>
        <v>212000</v>
      </c>
      <c r="J49" s="19"/>
    </row>
    <row r="50" spans="1:11" s="23" customFormat="1" ht="13.5" thickBot="1" x14ac:dyDescent="0.25">
      <c r="A50" s="31">
        <v>41</v>
      </c>
      <c r="B50" s="18"/>
      <c r="C50" s="18" t="s">
        <v>19</v>
      </c>
      <c r="D50" s="18">
        <v>259</v>
      </c>
      <c r="E50" s="126" t="s">
        <v>122</v>
      </c>
      <c r="F50" s="18" t="s">
        <v>85</v>
      </c>
      <c r="G50" s="36">
        <v>4</v>
      </c>
      <c r="H50" s="127">
        <v>65000</v>
      </c>
      <c r="I50" s="30">
        <f t="shared" si="0"/>
        <v>260000</v>
      </c>
      <c r="J50" s="19"/>
    </row>
    <row r="51" spans="1:11" s="27" customFormat="1" ht="13.5" thickBot="1" x14ac:dyDescent="0.25">
      <c r="A51" s="25"/>
      <c r="B51" s="22"/>
      <c r="C51" s="22"/>
      <c r="D51" s="22"/>
      <c r="E51" s="21" t="s">
        <v>22</v>
      </c>
      <c r="F51" s="22"/>
      <c r="G51" s="37"/>
      <c r="H51" s="24"/>
      <c r="I51" s="34">
        <f>SUM(I10:I50)</f>
        <v>5802111.2000000002</v>
      </c>
      <c r="J51" s="26"/>
      <c r="K51" s="149"/>
    </row>
    <row r="52" spans="1:11" ht="15.75" thickBot="1" x14ac:dyDescent="0.3"/>
    <row r="53" spans="1:11" ht="150.75" customHeight="1" x14ac:dyDescent="0.25">
      <c r="C53" s="87" t="s">
        <v>60</v>
      </c>
      <c r="D53" s="156" t="s">
        <v>61</v>
      </c>
      <c r="E53" s="157"/>
    </row>
    <row r="54" spans="1:11" x14ac:dyDescent="0.25">
      <c r="C54" s="88"/>
      <c r="D54" s="89"/>
      <c r="E54" s="93"/>
    </row>
    <row r="55" spans="1:11" x14ac:dyDescent="0.25">
      <c r="C55" s="90" t="s">
        <v>62</v>
      </c>
      <c r="D55" s="150" t="s">
        <v>131</v>
      </c>
      <c r="E55" s="151"/>
    </row>
    <row r="56" spans="1:11" x14ac:dyDescent="0.25">
      <c r="C56" s="90"/>
      <c r="D56" s="89"/>
      <c r="E56" s="93"/>
    </row>
    <row r="57" spans="1:11" ht="27" customHeight="1" x14ac:dyDescent="0.25">
      <c r="C57" s="90" t="s">
        <v>63</v>
      </c>
      <c r="D57" s="150" t="s">
        <v>64</v>
      </c>
      <c r="E57" s="151"/>
    </row>
    <row r="58" spans="1:11" x14ac:dyDescent="0.25">
      <c r="C58" s="90"/>
      <c r="D58" s="89"/>
      <c r="E58" s="93"/>
    </row>
    <row r="59" spans="1:11" x14ac:dyDescent="0.25">
      <c r="C59" s="91" t="s">
        <v>65</v>
      </c>
      <c r="D59" s="94"/>
      <c r="E59" s="93"/>
    </row>
    <row r="60" spans="1:11" x14ac:dyDescent="0.25">
      <c r="C60" s="91"/>
      <c r="D60" s="94"/>
      <c r="E60" s="93"/>
    </row>
    <row r="61" spans="1:11" ht="15.75" thickBot="1" x14ac:dyDescent="0.3">
      <c r="C61" s="92" t="s">
        <v>66</v>
      </c>
      <c r="D61" s="152" t="s">
        <v>67</v>
      </c>
      <c r="E61" s="153"/>
    </row>
  </sheetData>
  <sortState xmlns:xlrd2="http://schemas.microsoft.com/office/spreadsheetml/2017/richdata2" ref="A10:I50">
    <sortCondition ref="E10:E50"/>
  </sortState>
  <mergeCells count="9">
    <mergeCell ref="D57:E57"/>
    <mergeCell ref="D61:E61"/>
    <mergeCell ref="A7:B7"/>
    <mergeCell ref="A6:B6"/>
    <mergeCell ref="B2:H2"/>
    <mergeCell ref="A4:B4"/>
    <mergeCell ref="A5:B5"/>
    <mergeCell ref="D53:E53"/>
    <mergeCell ref="D55:E55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55:C61">
    <cfRule type="duplicateValues" dxfId="3" priority="1"/>
  </conditionalFormatting>
  <conditionalFormatting sqref="C55:C61">
    <cfRule type="duplicateValues" dxfId="2" priority="2"/>
  </conditionalFormatting>
  <conditionalFormatting sqref="C55:C61">
    <cfRule type="duplicateValues" dxfId="1" priority="3"/>
  </conditionalFormatting>
  <conditionalFormatting sqref="C55:C6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opLeftCell="A12" zoomScale="90" zoomScaleNormal="90" workbookViewId="0">
      <selection activeCell="I12" sqref="I12:K51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9" customWidth="1"/>
    <col min="8" max="8" width="9.28515625" customWidth="1"/>
    <col min="9" max="9" width="15.5703125" customWidth="1"/>
    <col min="10" max="10" width="14.7109375" style="104" customWidth="1"/>
    <col min="11" max="11" width="15.5703125" customWidth="1"/>
    <col min="13" max="13" width="14.5703125" style="109" bestFit="1" customWidth="1"/>
    <col min="14" max="14" width="11.42578125" style="141"/>
    <col min="15" max="15" width="12" style="138" bestFit="1" customWidth="1"/>
    <col min="16" max="22" width="14.5703125" style="138" bestFit="1" customWidth="1"/>
  </cols>
  <sheetData>
    <row r="1" spans="1:22" ht="30.75" thickBot="1" x14ac:dyDescent="0.3">
      <c r="A1" s="171" t="s">
        <v>23</v>
      </c>
      <c r="B1" s="171"/>
      <c r="C1" s="171"/>
      <c r="D1" s="171"/>
      <c r="E1" s="171"/>
      <c r="F1" s="171"/>
      <c r="G1" s="171"/>
      <c r="H1" s="171"/>
      <c r="I1" s="171"/>
      <c r="J1" s="105" t="s">
        <v>24</v>
      </c>
      <c r="K1" s="42" t="s">
        <v>123</v>
      </c>
    </row>
    <row r="2" spans="1:22" ht="16.5" thickBot="1" x14ac:dyDescent="0.3">
      <c r="A2" s="43"/>
      <c r="B2" s="44"/>
      <c r="C2" s="44"/>
      <c r="D2" s="45"/>
      <c r="E2" s="45"/>
      <c r="F2" s="45"/>
      <c r="G2" s="45"/>
      <c r="H2" s="45"/>
      <c r="I2" s="45"/>
      <c r="J2" s="106"/>
      <c r="K2" s="46"/>
    </row>
    <row r="3" spans="1:22" ht="16.5" thickBot="1" x14ac:dyDescent="0.3">
      <c r="A3" s="172" t="s">
        <v>25</v>
      </c>
      <c r="B3" s="172"/>
      <c r="C3" s="172"/>
      <c r="D3" s="170" t="str">
        <f>'SAF 011'!C4</f>
        <v>040 - MINISTERIO DE SALUD</v>
      </c>
      <c r="E3" s="170"/>
      <c r="F3" s="170"/>
      <c r="G3" s="170"/>
      <c r="H3" s="170"/>
      <c r="I3" s="170"/>
      <c r="J3" s="170"/>
      <c r="K3" s="170"/>
    </row>
    <row r="4" spans="1:22" ht="16.5" thickBot="1" x14ac:dyDescent="0.3">
      <c r="A4" s="169" t="s">
        <v>26</v>
      </c>
      <c r="B4" s="169"/>
      <c r="C4" s="169"/>
      <c r="D4" s="170" t="str">
        <f>'SAF 011'!C5</f>
        <v>011 - DIRECCION PROVINCIAL DE ADMINISTRACION - MINISTERIO DE SALUD</v>
      </c>
      <c r="E4" s="170"/>
      <c r="F4" s="170"/>
      <c r="G4" s="170"/>
      <c r="H4" s="170"/>
      <c r="I4" s="170"/>
      <c r="J4" s="170"/>
      <c r="K4" s="170"/>
    </row>
    <row r="5" spans="1:22" ht="16.5" thickBot="1" x14ac:dyDescent="0.3">
      <c r="A5" s="169" t="s">
        <v>27</v>
      </c>
      <c r="B5" s="169"/>
      <c r="C5" s="169"/>
      <c r="D5" s="170" t="s">
        <v>68</v>
      </c>
      <c r="E5" s="170"/>
      <c r="F5" s="170"/>
      <c r="G5" s="170"/>
      <c r="H5" s="170"/>
      <c r="I5" s="170"/>
      <c r="J5" s="170"/>
      <c r="K5" s="170"/>
    </row>
    <row r="6" spans="1:22" ht="16.5" thickBot="1" x14ac:dyDescent="0.3">
      <c r="A6" s="172" t="s">
        <v>28</v>
      </c>
      <c r="B6" s="172"/>
      <c r="C6" s="172"/>
      <c r="D6" s="170" t="s">
        <v>68</v>
      </c>
      <c r="E6" s="170"/>
      <c r="F6" s="170"/>
      <c r="G6" s="170"/>
      <c r="H6" s="170"/>
      <c r="I6" s="170"/>
      <c r="J6" s="170"/>
      <c r="K6" s="170"/>
    </row>
    <row r="7" spans="1:22" ht="16.5" thickBot="1" x14ac:dyDescent="0.3">
      <c r="A7" s="169" t="s">
        <v>29</v>
      </c>
      <c r="B7" s="169"/>
      <c r="C7" s="169"/>
      <c r="D7" s="170" t="s">
        <v>134</v>
      </c>
      <c r="E7" s="170"/>
      <c r="F7" s="170"/>
      <c r="G7" s="170"/>
      <c r="H7" s="170"/>
      <c r="I7" s="170"/>
      <c r="J7" s="170"/>
      <c r="K7" s="170"/>
    </row>
    <row r="8" spans="1:22" ht="16.5" thickBot="1" x14ac:dyDescent="0.3">
      <c r="A8" s="173" t="s">
        <v>30</v>
      </c>
      <c r="B8" s="173"/>
      <c r="C8" s="173"/>
      <c r="D8" s="174" t="s">
        <v>71</v>
      </c>
      <c r="E8" s="174"/>
      <c r="F8" s="174"/>
      <c r="G8" s="174"/>
      <c r="H8" s="174"/>
      <c r="I8" s="174"/>
      <c r="J8" s="174"/>
      <c r="K8" s="174"/>
    </row>
    <row r="9" spans="1:22" ht="16.5" thickBot="1" x14ac:dyDescent="0.3">
      <c r="A9" s="47"/>
      <c r="B9" s="48"/>
      <c r="C9" s="48"/>
      <c r="D9" s="49"/>
      <c r="E9" s="49"/>
      <c r="F9" s="49"/>
      <c r="G9" s="49"/>
      <c r="H9" s="49"/>
      <c r="I9" s="49"/>
      <c r="J9" s="107"/>
      <c r="K9" s="50"/>
    </row>
    <row r="10" spans="1:22" ht="15.75" thickBot="1" x14ac:dyDescent="0.3">
      <c r="A10" s="175" t="s">
        <v>31</v>
      </c>
      <c r="B10" s="165" t="s">
        <v>32</v>
      </c>
      <c r="C10" s="165" t="s">
        <v>33</v>
      </c>
      <c r="D10" s="165"/>
      <c r="E10" s="165"/>
      <c r="F10" s="165"/>
      <c r="G10" s="165"/>
      <c r="H10" s="165" t="s">
        <v>34</v>
      </c>
      <c r="I10" s="165" t="s">
        <v>35</v>
      </c>
      <c r="J10" s="161" t="s">
        <v>36</v>
      </c>
      <c r="K10" s="158" t="s">
        <v>37</v>
      </c>
    </row>
    <row r="11" spans="1:22" ht="38.25" customHeight="1" thickBot="1" x14ac:dyDescent="0.3">
      <c r="A11" s="176"/>
      <c r="B11" s="166"/>
      <c r="C11" s="166"/>
      <c r="D11" s="166"/>
      <c r="E11" s="166"/>
      <c r="F11" s="166"/>
      <c r="G11" s="166"/>
      <c r="H11" s="166"/>
      <c r="I11" s="166"/>
      <c r="J11" s="162"/>
      <c r="K11" s="159"/>
    </row>
    <row r="12" spans="1:22" s="110" customFormat="1" ht="15" customHeight="1" x14ac:dyDescent="0.25">
      <c r="A12" s="116">
        <v>1</v>
      </c>
      <c r="B12" s="119"/>
      <c r="C12" s="160" t="str">
        <f>'SAF 011'!E10</f>
        <v>Bobina Baja Densidad 30 X 40 rollo x 200 un. Tipo Mapsa</v>
      </c>
      <c r="D12" s="160"/>
      <c r="E12" s="160"/>
      <c r="F12" s="160"/>
      <c r="G12" s="160"/>
      <c r="H12" s="116" t="s">
        <v>132</v>
      </c>
      <c r="I12" s="117" t="s">
        <v>18</v>
      </c>
      <c r="J12" s="120">
        <v>780</v>
      </c>
      <c r="K12" s="135">
        <v>30</v>
      </c>
      <c r="M12" s="109">
        <f>+J12*K12</f>
        <v>23400</v>
      </c>
      <c r="N12" s="139">
        <v>234</v>
      </c>
      <c r="O12" s="139"/>
      <c r="P12" s="109">
        <f>+M12</f>
        <v>23400</v>
      </c>
      <c r="Q12" s="109"/>
      <c r="R12" s="109"/>
      <c r="S12" s="109"/>
      <c r="T12" s="109"/>
      <c r="U12" s="109"/>
      <c r="V12" s="138">
        <f>SUM(O12:U12)</f>
        <v>23400</v>
      </c>
    </row>
    <row r="13" spans="1:22" s="110" customFormat="1" ht="15" customHeight="1" x14ac:dyDescent="0.25">
      <c r="A13" s="116">
        <v>2</v>
      </c>
      <c r="B13" s="128"/>
      <c r="C13" s="163" t="str">
        <f>'SAF 011'!E11</f>
        <v>Bolsas termosellables de 125 x 50 x 250 mm c/ indicador paca calor húmedo x 1unid</v>
      </c>
      <c r="D13" s="163"/>
      <c r="E13" s="163"/>
      <c r="F13" s="163"/>
      <c r="G13" s="163"/>
      <c r="H13" s="116" t="s">
        <v>132</v>
      </c>
      <c r="I13" s="117" t="s">
        <v>81</v>
      </c>
      <c r="J13" s="120">
        <v>13500</v>
      </c>
      <c r="K13" s="135">
        <v>12</v>
      </c>
      <c r="M13" s="109">
        <f t="shared" ref="M13:M51" si="0">+J13*K13</f>
        <v>162000</v>
      </c>
      <c r="N13" s="139">
        <v>259</v>
      </c>
      <c r="O13" s="139"/>
      <c r="P13" s="109"/>
      <c r="Q13" s="109"/>
      <c r="R13" s="109"/>
      <c r="S13" s="109">
        <f t="shared" ref="S13:S51" si="1">+M13</f>
        <v>162000</v>
      </c>
      <c r="T13" s="109"/>
      <c r="U13" s="109"/>
      <c r="V13" s="138">
        <f t="shared" ref="V13:V51" si="2">SUM(O13:U13)</f>
        <v>162000</v>
      </c>
    </row>
    <row r="14" spans="1:22" s="110" customFormat="1" ht="15.75" customHeight="1" x14ac:dyDescent="0.25">
      <c r="A14" s="116">
        <v>3</v>
      </c>
      <c r="B14" s="128"/>
      <c r="C14" s="163" t="str">
        <f>'SAF 011'!E12</f>
        <v>Camisolin P/Cirugia de tela verde brin con puño caña larga</v>
      </c>
      <c r="D14" s="163"/>
      <c r="E14" s="163"/>
      <c r="F14" s="163"/>
      <c r="G14" s="163"/>
      <c r="H14" s="116" t="s">
        <v>132</v>
      </c>
      <c r="I14" s="117" t="s">
        <v>18</v>
      </c>
      <c r="J14" s="120">
        <v>2580</v>
      </c>
      <c r="K14" s="135">
        <v>100</v>
      </c>
      <c r="M14" s="109">
        <f t="shared" si="0"/>
        <v>258000</v>
      </c>
      <c r="N14" s="139">
        <v>295</v>
      </c>
      <c r="O14" s="139"/>
      <c r="P14" s="109"/>
      <c r="Q14" s="109"/>
      <c r="R14" s="109"/>
      <c r="S14" s="109"/>
      <c r="T14" s="109"/>
      <c r="U14" s="109">
        <f t="shared" ref="U14:U43" si="3">+M14</f>
        <v>258000</v>
      </c>
      <c r="V14" s="138">
        <f t="shared" si="2"/>
        <v>258000</v>
      </c>
    </row>
    <row r="15" spans="1:22" s="110" customFormat="1" ht="15" customHeight="1" x14ac:dyDescent="0.25">
      <c r="A15" s="116">
        <v>4</v>
      </c>
      <c r="B15" s="128"/>
      <c r="C15" s="163" t="str">
        <f>'SAF 011'!E13</f>
        <v>Cassettes P/Sterrad NX x 5 unidades Tipo ASP</v>
      </c>
      <c r="D15" s="163"/>
      <c r="E15" s="163"/>
      <c r="F15" s="163"/>
      <c r="G15" s="163"/>
      <c r="H15" s="116" t="s">
        <v>132</v>
      </c>
      <c r="I15" s="117" t="s">
        <v>81</v>
      </c>
      <c r="J15" s="120">
        <v>130000</v>
      </c>
      <c r="K15" s="135">
        <v>4</v>
      </c>
      <c r="M15" s="109">
        <f t="shared" si="0"/>
        <v>520000</v>
      </c>
      <c r="N15" s="139">
        <v>251</v>
      </c>
      <c r="O15" s="139"/>
      <c r="P15" s="109"/>
      <c r="Q15" s="109">
        <f>+M15</f>
        <v>520000</v>
      </c>
      <c r="R15" s="109"/>
      <c r="S15" s="109"/>
      <c r="T15" s="109"/>
      <c r="U15" s="109"/>
      <c r="V15" s="138">
        <f t="shared" si="2"/>
        <v>520000</v>
      </c>
    </row>
    <row r="16" spans="1:22" s="110" customFormat="1" ht="15" customHeight="1" x14ac:dyDescent="0.25">
      <c r="A16" s="116">
        <v>5</v>
      </c>
      <c r="B16" s="128"/>
      <c r="C16" s="163" t="str">
        <f>'SAF 011'!E14</f>
        <v>Cinta Papel Pintor 18 mm. X 50 mts. Tipo Stiko</v>
      </c>
      <c r="D16" s="163"/>
      <c r="E16" s="163"/>
      <c r="F16" s="163"/>
      <c r="G16" s="163"/>
      <c r="H16" s="116" t="s">
        <v>132</v>
      </c>
      <c r="I16" s="117" t="s">
        <v>85</v>
      </c>
      <c r="J16" s="120">
        <v>165</v>
      </c>
      <c r="K16" s="135">
        <v>100</v>
      </c>
      <c r="M16" s="109">
        <f t="shared" si="0"/>
        <v>16500</v>
      </c>
      <c r="N16" s="139">
        <v>295</v>
      </c>
      <c r="O16" s="139"/>
      <c r="P16" s="109"/>
      <c r="Q16" s="109"/>
      <c r="R16" s="109"/>
      <c r="S16" s="109"/>
      <c r="T16" s="109"/>
      <c r="U16" s="109">
        <f t="shared" si="3"/>
        <v>16500</v>
      </c>
      <c r="V16" s="138">
        <f t="shared" si="2"/>
        <v>16500</v>
      </c>
    </row>
    <row r="17" spans="1:22" s="110" customFormat="1" ht="15" customHeight="1" x14ac:dyDescent="0.25">
      <c r="A17" s="116">
        <v>6</v>
      </c>
      <c r="B17" s="128"/>
      <c r="C17" s="163" t="str">
        <f>'SAF 011'!E15</f>
        <v>Cinta Testigo p/calor humedo  (en rollo) Tipo Kims</v>
      </c>
      <c r="D17" s="163"/>
      <c r="E17" s="163"/>
      <c r="F17" s="163"/>
      <c r="G17" s="163"/>
      <c r="H17" s="116" t="s">
        <v>132</v>
      </c>
      <c r="I17" s="117" t="s">
        <v>85</v>
      </c>
      <c r="J17" s="120">
        <v>380</v>
      </c>
      <c r="K17" s="135">
        <v>140</v>
      </c>
      <c r="M17" s="109">
        <f t="shared" si="0"/>
        <v>53200</v>
      </c>
      <c r="N17" s="139">
        <v>259</v>
      </c>
      <c r="O17" s="139"/>
      <c r="P17" s="109"/>
      <c r="Q17" s="109"/>
      <c r="R17" s="109"/>
      <c r="S17" s="109">
        <f t="shared" si="1"/>
        <v>53200</v>
      </c>
      <c r="T17" s="109"/>
      <c r="U17" s="109"/>
      <c r="V17" s="138">
        <f t="shared" si="2"/>
        <v>53200</v>
      </c>
    </row>
    <row r="18" spans="1:22" s="110" customFormat="1" ht="15" customHeight="1" x14ac:dyDescent="0.25">
      <c r="A18" s="116">
        <v>7</v>
      </c>
      <c r="B18" s="128"/>
      <c r="C18" s="163" t="str">
        <f>'SAF 011'!E16</f>
        <v>Cinta Testigo p/calor seco  (en rollo) Tipo Kims</v>
      </c>
      <c r="D18" s="163"/>
      <c r="E18" s="163"/>
      <c r="F18" s="163"/>
      <c r="G18" s="163"/>
      <c r="H18" s="116" t="s">
        <v>132</v>
      </c>
      <c r="I18" s="117" t="s">
        <v>85</v>
      </c>
      <c r="J18" s="120">
        <v>330</v>
      </c>
      <c r="K18" s="135">
        <v>140</v>
      </c>
      <c r="M18" s="109">
        <f t="shared" si="0"/>
        <v>46200</v>
      </c>
      <c r="N18" s="139">
        <v>259</v>
      </c>
      <c r="O18" s="139"/>
      <c r="P18" s="109"/>
      <c r="Q18" s="109"/>
      <c r="R18" s="109"/>
      <c r="S18" s="109">
        <f t="shared" si="1"/>
        <v>46200</v>
      </c>
      <c r="T18" s="109"/>
      <c r="U18" s="109"/>
      <c r="V18" s="138">
        <f t="shared" si="2"/>
        <v>46200</v>
      </c>
    </row>
    <row r="19" spans="1:22" s="110" customFormat="1" ht="15" customHeight="1" x14ac:dyDescent="0.25">
      <c r="A19" s="116">
        <v>8</v>
      </c>
      <c r="B19" s="128"/>
      <c r="C19" s="163" t="str">
        <f>'SAF 011'!E17</f>
        <v>Cinta Testigo P/Sterrad NX x 6 Rollos x 55 Metros  Tipo ASP</v>
      </c>
      <c r="D19" s="163"/>
      <c r="E19" s="163"/>
      <c r="F19" s="163"/>
      <c r="G19" s="163"/>
      <c r="H19" s="116" t="s">
        <v>132</v>
      </c>
      <c r="I19" s="117" t="s">
        <v>81</v>
      </c>
      <c r="J19" s="120">
        <v>35000</v>
      </c>
      <c r="K19" s="135">
        <v>10</v>
      </c>
      <c r="M19" s="109">
        <f t="shared" si="0"/>
        <v>350000</v>
      </c>
      <c r="N19" s="139">
        <v>259</v>
      </c>
      <c r="O19" s="139"/>
      <c r="P19" s="109"/>
      <c r="Q19" s="109"/>
      <c r="R19" s="109"/>
      <c r="S19" s="109">
        <f t="shared" si="1"/>
        <v>350000</v>
      </c>
      <c r="T19" s="109"/>
      <c r="U19" s="109"/>
      <c r="V19" s="138">
        <f t="shared" si="2"/>
        <v>350000</v>
      </c>
    </row>
    <row r="20" spans="1:22" s="110" customFormat="1" ht="15" customHeight="1" thickBot="1" x14ac:dyDescent="0.3">
      <c r="A20" s="116">
        <v>9</v>
      </c>
      <c r="B20" s="128"/>
      <c r="C20" s="163" t="str">
        <f>'SAF 011'!E18</f>
        <v>Compresa de Gasa Cosida; 40cm x 40cm, Rx y Cola, 5u/ doble sobre -Pouch, 50u/Caja Estéril,</v>
      </c>
      <c r="D20" s="163"/>
      <c r="E20" s="163"/>
      <c r="F20" s="163"/>
      <c r="G20" s="163"/>
      <c r="H20" s="116" t="s">
        <v>132</v>
      </c>
      <c r="I20" s="117" t="s">
        <v>81</v>
      </c>
      <c r="J20" s="120">
        <v>13200</v>
      </c>
      <c r="K20" s="135">
        <v>4</v>
      </c>
      <c r="M20" s="109">
        <f t="shared" si="0"/>
        <v>52800</v>
      </c>
      <c r="N20" s="139">
        <v>295</v>
      </c>
      <c r="O20" s="139"/>
      <c r="P20" s="109"/>
      <c r="Q20" s="109"/>
      <c r="R20" s="109"/>
      <c r="S20" s="109"/>
      <c r="T20" s="109"/>
      <c r="U20" s="109">
        <f t="shared" si="3"/>
        <v>52800</v>
      </c>
      <c r="V20" s="138">
        <f t="shared" si="2"/>
        <v>52800</v>
      </c>
    </row>
    <row r="21" spans="1:22" s="110" customFormat="1" x14ac:dyDescent="0.25">
      <c r="A21" s="116">
        <v>10</v>
      </c>
      <c r="B21" s="111"/>
      <c r="C21" s="168" t="str">
        <f>'SAF 011'!E19</f>
        <v>GASA CORTADA DE 5CM X 5CM X KILO</v>
      </c>
      <c r="D21" s="168"/>
      <c r="E21" s="168"/>
      <c r="F21" s="168"/>
      <c r="G21" s="168"/>
      <c r="H21" s="112" t="s">
        <v>70</v>
      </c>
      <c r="I21" s="113" t="s">
        <v>21</v>
      </c>
      <c r="J21" s="114">
        <v>1330</v>
      </c>
      <c r="K21" s="115">
        <v>1000</v>
      </c>
      <c r="M21" s="109">
        <f t="shared" si="0"/>
        <v>1330000</v>
      </c>
    </row>
    <row r="22" spans="1:22" s="110" customFormat="1" ht="15" customHeight="1" x14ac:dyDescent="0.25">
      <c r="A22" s="116">
        <v>11</v>
      </c>
      <c r="B22" s="128"/>
      <c r="C22" s="163" t="str">
        <f>'SAF 011'!E21</f>
        <v xml:space="preserve">GUANTES DE NITRILO de PROTECCION QUIMICA CANA LARGA  NUMERO 7 1/2  X PAR </v>
      </c>
      <c r="D22" s="163"/>
      <c r="E22" s="163"/>
      <c r="F22" s="163"/>
      <c r="G22" s="163"/>
      <c r="H22" s="116" t="s">
        <v>132</v>
      </c>
      <c r="I22" s="117" t="s">
        <v>91</v>
      </c>
      <c r="J22" s="120">
        <v>480</v>
      </c>
      <c r="K22" s="135">
        <v>120</v>
      </c>
      <c r="M22" s="109">
        <f t="shared" si="0"/>
        <v>57600</v>
      </c>
      <c r="N22" s="139">
        <v>295</v>
      </c>
      <c r="O22" s="139"/>
      <c r="P22" s="109"/>
      <c r="Q22" s="109"/>
      <c r="R22" s="109"/>
      <c r="S22" s="109"/>
      <c r="T22" s="109"/>
      <c r="U22" s="109">
        <f t="shared" si="3"/>
        <v>57600</v>
      </c>
      <c r="V22" s="138">
        <f t="shared" si="2"/>
        <v>57600</v>
      </c>
    </row>
    <row r="23" spans="1:22" s="110" customFormat="1" ht="15" customHeight="1" x14ac:dyDescent="0.25">
      <c r="A23" s="116">
        <v>12</v>
      </c>
      <c r="B23" s="128"/>
      <c r="C23" s="163" t="str">
        <f>'SAF 011'!E22</f>
        <v>Indicador Biologico P/Sterrad NX x 30 Ampollas Tipo ASP</v>
      </c>
      <c r="D23" s="163"/>
      <c r="E23" s="163"/>
      <c r="F23" s="163"/>
      <c r="G23" s="163"/>
      <c r="H23" s="116" t="s">
        <v>132</v>
      </c>
      <c r="I23" s="117" t="s">
        <v>81</v>
      </c>
      <c r="J23" s="120">
        <v>52000</v>
      </c>
      <c r="K23" s="135">
        <v>3</v>
      </c>
      <c r="M23" s="109">
        <f t="shared" si="0"/>
        <v>156000</v>
      </c>
      <c r="N23" s="139">
        <v>251</v>
      </c>
      <c r="O23" s="139"/>
      <c r="P23" s="109"/>
      <c r="Q23" s="109">
        <f>+M23</f>
        <v>156000</v>
      </c>
      <c r="R23" s="109"/>
      <c r="S23" s="109"/>
      <c r="T23" s="109"/>
      <c r="U23" s="109"/>
      <c r="V23" s="138">
        <f t="shared" si="2"/>
        <v>156000</v>
      </c>
    </row>
    <row r="24" spans="1:22" s="110" customFormat="1" ht="15" customHeight="1" x14ac:dyDescent="0.25">
      <c r="A24" s="116">
        <v>13</v>
      </c>
      <c r="B24" s="128"/>
      <c r="C24" s="163" t="str">
        <f>'SAF 011'!E23</f>
        <v>Indicador Quimico P/Sterrad NX x 1000 Tiras Tipo ASP</v>
      </c>
      <c r="D24" s="163"/>
      <c r="E24" s="163"/>
      <c r="F24" s="163"/>
      <c r="G24" s="163"/>
      <c r="H24" s="116" t="s">
        <v>132</v>
      </c>
      <c r="I24" s="117" t="s">
        <v>81</v>
      </c>
      <c r="J24" s="120">
        <v>15800</v>
      </c>
      <c r="K24" s="135">
        <v>3</v>
      </c>
      <c r="M24" s="109">
        <f t="shared" si="0"/>
        <v>47400</v>
      </c>
      <c r="N24" s="139">
        <v>251</v>
      </c>
      <c r="O24" s="139"/>
      <c r="P24" s="109"/>
      <c r="Q24" s="109">
        <f>+M24</f>
        <v>47400</v>
      </c>
      <c r="R24" s="109"/>
      <c r="S24" s="109"/>
      <c r="T24" s="109"/>
      <c r="U24" s="109"/>
      <c r="V24" s="138">
        <f t="shared" si="2"/>
        <v>47400</v>
      </c>
    </row>
    <row r="25" spans="1:22" s="110" customFormat="1" ht="15" customHeight="1" x14ac:dyDescent="0.25">
      <c r="A25" s="116">
        <v>14</v>
      </c>
      <c r="B25" s="128"/>
      <c r="C25" s="163" t="str">
        <f>'SAF 011'!E24</f>
        <v>INDICADORES DE ESTERILIZACION,CALOR SECO,TIRAS INTEGRADORAS CAJA X 100</v>
      </c>
      <c r="D25" s="163"/>
      <c r="E25" s="163"/>
      <c r="F25" s="163"/>
      <c r="G25" s="163"/>
      <c r="H25" s="116" t="s">
        <v>132</v>
      </c>
      <c r="I25" s="117" t="s">
        <v>81</v>
      </c>
      <c r="J25" s="120">
        <v>2056</v>
      </c>
      <c r="K25" s="135">
        <v>30</v>
      </c>
      <c r="M25" s="109">
        <f t="shared" si="0"/>
        <v>61680</v>
      </c>
      <c r="N25" s="139">
        <v>251</v>
      </c>
      <c r="O25" s="139"/>
      <c r="P25" s="109"/>
      <c r="Q25" s="109">
        <f>+M25</f>
        <v>61680</v>
      </c>
      <c r="R25" s="109"/>
      <c r="S25" s="109"/>
      <c r="T25" s="109"/>
      <c r="U25" s="109"/>
      <c r="V25" s="138">
        <f t="shared" si="2"/>
        <v>61680</v>
      </c>
    </row>
    <row r="26" spans="1:22" s="110" customFormat="1" ht="15" customHeight="1" x14ac:dyDescent="0.25">
      <c r="A26" s="116">
        <v>15</v>
      </c>
      <c r="B26" s="128"/>
      <c r="C26" s="163" t="str">
        <f>'SAF 011'!E25</f>
        <v xml:space="preserve">INDICADORES DE ESTERILIZACION; METODO DE ESTERILIZACION: AUTOCLAVE DE VAPOR, TIRAS INTEGRADORAS, CAJA X 100 UN, </v>
      </c>
      <c r="D26" s="163"/>
      <c r="E26" s="163"/>
      <c r="F26" s="163"/>
      <c r="G26" s="163"/>
      <c r="H26" s="116" t="s">
        <v>132</v>
      </c>
      <c r="I26" s="117" t="s">
        <v>81</v>
      </c>
      <c r="J26" s="120">
        <v>2056</v>
      </c>
      <c r="K26" s="135">
        <v>30</v>
      </c>
      <c r="M26" s="109">
        <f t="shared" si="0"/>
        <v>61680</v>
      </c>
      <c r="N26" s="139">
        <v>251</v>
      </c>
      <c r="O26" s="139"/>
      <c r="P26" s="109"/>
      <c r="Q26" s="109">
        <f>+M26</f>
        <v>61680</v>
      </c>
      <c r="R26" s="109"/>
      <c r="S26" s="109"/>
      <c r="T26" s="109"/>
      <c r="U26" s="109"/>
      <c r="V26" s="138">
        <f t="shared" si="2"/>
        <v>61680</v>
      </c>
    </row>
    <row r="27" spans="1:22" s="110" customFormat="1" ht="15" customHeight="1" x14ac:dyDescent="0.25">
      <c r="A27" s="116">
        <v>16</v>
      </c>
      <c r="B27" s="128"/>
      <c r="C27" s="163" t="str">
        <f>'SAF 011'!E26</f>
        <v>LUPAS; POTENCIA: 75 Diop, DIAMETRO: 65 mm, MATERIAL LENTE: VIDRIO, ACCESORIO: C/LUZ, ARMAZON: PLASTICO, ESTRUCTURA: PLASTICO</v>
      </c>
      <c r="D27" s="163"/>
      <c r="E27" s="163"/>
      <c r="F27" s="163"/>
      <c r="G27" s="163"/>
      <c r="H27" s="116" t="s">
        <v>132</v>
      </c>
      <c r="I27" s="117" t="s">
        <v>18</v>
      </c>
      <c r="J27" s="120">
        <v>5560</v>
      </c>
      <c r="K27" s="135">
        <v>10</v>
      </c>
      <c r="M27" s="109">
        <f t="shared" si="0"/>
        <v>55600</v>
      </c>
      <c r="N27" s="139">
        <v>295</v>
      </c>
      <c r="O27" s="139"/>
      <c r="P27" s="109"/>
      <c r="Q27" s="109"/>
      <c r="R27" s="109"/>
      <c r="S27" s="109"/>
      <c r="T27" s="109"/>
      <c r="U27" s="109">
        <f t="shared" si="3"/>
        <v>55600</v>
      </c>
      <c r="V27" s="138">
        <f t="shared" si="2"/>
        <v>55600</v>
      </c>
    </row>
    <row r="28" spans="1:22" s="110" customFormat="1" ht="15" customHeight="1" x14ac:dyDescent="0.25">
      <c r="A28" s="116">
        <v>17</v>
      </c>
      <c r="B28" s="128"/>
      <c r="C28" s="163" t="str">
        <f>'SAF 011'!E27</f>
        <v>MALLA TUBULAR ALGODÓN 10 CM X 25 MTS</v>
      </c>
      <c r="D28" s="163"/>
      <c r="E28" s="163"/>
      <c r="F28" s="163"/>
      <c r="G28" s="163"/>
      <c r="H28" s="116" t="s">
        <v>132</v>
      </c>
      <c r="I28" s="117" t="s">
        <v>18</v>
      </c>
      <c r="J28" s="120">
        <v>890</v>
      </c>
      <c r="K28" s="135">
        <v>4</v>
      </c>
      <c r="M28" s="109">
        <f t="shared" si="0"/>
        <v>3560</v>
      </c>
      <c r="N28" s="139">
        <v>295</v>
      </c>
      <c r="O28" s="139"/>
      <c r="P28" s="109"/>
      <c r="Q28" s="109"/>
      <c r="R28" s="109"/>
      <c r="S28" s="109"/>
      <c r="T28" s="109"/>
      <c r="U28" s="109">
        <f t="shared" si="3"/>
        <v>3560</v>
      </c>
      <c r="V28" s="138">
        <f t="shared" si="2"/>
        <v>3560</v>
      </c>
    </row>
    <row r="29" spans="1:22" s="110" customFormat="1" ht="15" customHeight="1" x14ac:dyDescent="0.25">
      <c r="A29" s="116">
        <v>18</v>
      </c>
      <c r="B29" s="128"/>
      <c r="C29" s="163" t="str">
        <f>'SAF 011'!E28</f>
        <v>MALLA TUBULAR ALGODÓN 20 CM X 25 MTS</v>
      </c>
      <c r="D29" s="163"/>
      <c r="E29" s="163"/>
      <c r="F29" s="163"/>
      <c r="G29" s="163"/>
      <c r="H29" s="116" t="s">
        <v>132</v>
      </c>
      <c r="I29" s="117" t="s">
        <v>18</v>
      </c>
      <c r="J29" s="120">
        <v>1550</v>
      </c>
      <c r="K29" s="135">
        <v>6</v>
      </c>
      <c r="M29" s="109">
        <f t="shared" si="0"/>
        <v>9300</v>
      </c>
      <c r="N29" s="139">
        <v>295</v>
      </c>
      <c r="O29" s="139"/>
      <c r="P29" s="109"/>
      <c r="Q29" s="109"/>
      <c r="R29" s="109"/>
      <c r="S29" s="109"/>
      <c r="T29" s="109"/>
      <c r="U29" s="109">
        <f t="shared" si="3"/>
        <v>9300</v>
      </c>
      <c r="V29" s="138">
        <f t="shared" si="2"/>
        <v>9300</v>
      </c>
    </row>
    <row r="30" spans="1:22" s="110" customFormat="1" ht="15" customHeight="1" x14ac:dyDescent="0.25">
      <c r="A30" s="116">
        <v>19</v>
      </c>
      <c r="B30" s="128"/>
      <c r="C30" s="163" t="str">
        <f>'SAF 011'!E29</f>
        <v>Malla Tubular de 30 cm. Ancho X 25 mts. Largo Tipo Hidrosan</v>
      </c>
      <c r="D30" s="163"/>
      <c r="E30" s="163"/>
      <c r="F30" s="163"/>
      <c r="G30" s="163"/>
      <c r="H30" s="116" t="s">
        <v>132</v>
      </c>
      <c r="I30" s="117" t="s">
        <v>18</v>
      </c>
      <c r="J30" s="120">
        <v>2900</v>
      </c>
      <c r="K30" s="135">
        <v>4</v>
      </c>
      <c r="M30" s="109">
        <f t="shared" si="0"/>
        <v>11600</v>
      </c>
      <c r="N30" s="139">
        <v>295</v>
      </c>
      <c r="O30" s="139"/>
      <c r="P30" s="109"/>
      <c r="Q30" s="109"/>
      <c r="R30" s="109"/>
      <c r="S30" s="109"/>
      <c r="T30" s="109"/>
      <c r="U30" s="109">
        <f t="shared" si="3"/>
        <v>11600</v>
      </c>
      <c r="V30" s="138">
        <f t="shared" si="2"/>
        <v>11600</v>
      </c>
    </row>
    <row r="31" spans="1:22" s="110" customFormat="1" ht="15" customHeight="1" x14ac:dyDescent="0.25">
      <c r="A31" s="116">
        <v>20</v>
      </c>
      <c r="B31" s="128"/>
      <c r="C31" s="163" t="str">
        <f>'SAF 011'!E30</f>
        <v>Paño de micro fibra de 40 x 40 cm Tipo  Mister Trapo</v>
      </c>
      <c r="D31" s="163"/>
      <c r="E31" s="163"/>
      <c r="F31" s="163"/>
      <c r="G31" s="163"/>
      <c r="H31" s="116" t="s">
        <v>132</v>
      </c>
      <c r="I31" s="117" t="s">
        <v>18</v>
      </c>
      <c r="J31" s="120">
        <v>560</v>
      </c>
      <c r="K31" s="135">
        <v>40</v>
      </c>
      <c r="M31" s="109">
        <f t="shared" si="0"/>
        <v>22400</v>
      </c>
      <c r="N31" s="139">
        <v>291</v>
      </c>
      <c r="O31" s="139"/>
      <c r="P31" s="109"/>
      <c r="Q31" s="109"/>
      <c r="R31" s="109"/>
      <c r="S31" s="109"/>
      <c r="T31" s="109">
        <f t="shared" ref="T31" si="4">+M31</f>
        <v>22400</v>
      </c>
      <c r="U31" s="109"/>
      <c r="V31" s="138">
        <f t="shared" si="2"/>
        <v>22400</v>
      </c>
    </row>
    <row r="32" spans="1:22" s="110" customFormat="1" ht="15" customHeight="1" x14ac:dyDescent="0.25">
      <c r="A32" s="116">
        <v>21</v>
      </c>
      <c r="B32" s="128"/>
      <c r="C32" s="163" t="str">
        <f>'SAF 011'!E31</f>
        <v>PAPEL GRADO MEDICO 120 CM X 100 MTS</v>
      </c>
      <c r="D32" s="163"/>
      <c r="E32" s="163"/>
      <c r="F32" s="163"/>
      <c r="G32" s="163"/>
      <c r="H32" s="116" t="s">
        <v>132</v>
      </c>
      <c r="I32" s="117" t="s">
        <v>102</v>
      </c>
      <c r="J32" s="120">
        <v>6800</v>
      </c>
      <c r="K32" s="135">
        <v>24</v>
      </c>
      <c r="M32" s="109">
        <f t="shared" si="0"/>
        <v>163200</v>
      </c>
      <c r="N32" s="139">
        <v>259</v>
      </c>
      <c r="O32" s="139"/>
      <c r="P32" s="109"/>
      <c r="Q32" s="109"/>
      <c r="R32" s="109"/>
      <c r="S32" s="109">
        <f t="shared" si="1"/>
        <v>163200</v>
      </c>
      <c r="T32" s="109"/>
      <c r="U32" s="109"/>
      <c r="V32" s="138">
        <f t="shared" si="2"/>
        <v>163200</v>
      </c>
    </row>
    <row r="33" spans="1:22" s="110" customFormat="1" ht="15" customHeight="1" x14ac:dyDescent="0.25">
      <c r="A33" s="116">
        <v>22</v>
      </c>
      <c r="B33" s="128"/>
      <c r="C33" s="163" t="str">
        <f>'SAF 011'!E32</f>
        <v>PAPEL GRADO MEDICO 60 GR ANCHO 60 CM X 100 MTS</v>
      </c>
      <c r="D33" s="163"/>
      <c r="E33" s="163"/>
      <c r="F33" s="163"/>
      <c r="G33" s="163"/>
      <c r="H33" s="116" t="s">
        <v>132</v>
      </c>
      <c r="I33" s="117" t="s">
        <v>102</v>
      </c>
      <c r="J33" s="120">
        <v>5680</v>
      </c>
      <c r="K33" s="135">
        <v>30</v>
      </c>
      <c r="M33" s="109">
        <f t="shared" si="0"/>
        <v>170400</v>
      </c>
      <c r="N33" s="139">
        <v>259</v>
      </c>
      <c r="O33" s="139"/>
      <c r="P33" s="109"/>
      <c r="Q33" s="109"/>
      <c r="R33" s="109"/>
      <c r="S33" s="109">
        <f t="shared" si="1"/>
        <v>170400</v>
      </c>
      <c r="T33" s="109"/>
      <c r="U33" s="109"/>
      <c r="V33" s="138">
        <f t="shared" si="2"/>
        <v>170400</v>
      </c>
    </row>
    <row r="34" spans="1:22" s="110" customFormat="1" ht="15" customHeight="1" x14ac:dyDescent="0.25">
      <c r="A34" s="116">
        <v>23</v>
      </c>
      <c r="B34" s="128"/>
      <c r="C34" s="163" t="str">
        <f>'SAF 011'!E33</f>
        <v>PAPEL GRADO MEDICO 80 CM X 330 MTS</v>
      </c>
      <c r="D34" s="163"/>
      <c r="E34" s="163"/>
      <c r="F34" s="163"/>
      <c r="G34" s="163"/>
      <c r="H34" s="116" t="s">
        <v>132</v>
      </c>
      <c r="I34" s="117" t="s">
        <v>102</v>
      </c>
      <c r="J34" s="120">
        <v>9282</v>
      </c>
      <c r="K34" s="135">
        <v>30</v>
      </c>
      <c r="M34" s="109">
        <f t="shared" si="0"/>
        <v>278460</v>
      </c>
      <c r="N34" s="139">
        <v>259</v>
      </c>
      <c r="O34" s="139"/>
      <c r="P34" s="109"/>
      <c r="Q34" s="109"/>
      <c r="R34" s="109"/>
      <c r="S34" s="109">
        <f t="shared" si="1"/>
        <v>278460</v>
      </c>
      <c r="T34" s="109"/>
      <c r="U34" s="109"/>
      <c r="V34" s="138">
        <f t="shared" si="2"/>
        <v>278460</v>
      </c>
    </row>
    <row r="35" spans="1:22" s="110" customFormat="1" ht="15" customHeight="1" x14ac:dyDescent="0.25">
      <c r="A35" s="116">
        <v>24</v>
      </c>
      <c r="B35" s="128"/>
      <c r="C35" s="163" t="str">
        <f>'SAF 011'!E34</f>
        <v>Polietileno de 50 micrones 30cm. X  100 mts. Tipo MP</v>
      </c>
      <c r="D35" s="163"/>
      <c r="E35" s="163"/>
      <c r="F35" s="163"/>
      <c r="G35" s="163"/>
      <c r="H35" s="116" t="s">
        <v>132</v>
      </c>
      <c r="I35" s="117" t="s">
        <v>102</v>
      </c>
      <c r="J35" s="120">
        <v>4200</v>
      </c>
      <c r="K35" s="135">
        <v>20</v>
      </c>
      <c r="M35" s="109">
        <f t="shared" si="0"/>
        <v>84000</v>
      </c>
      <c r="N35" s="139">
        <v>258</v>
      </c>
      <c r="O35" s="139"/>
      <c r="P35" s="109"/>
      <c r="Q35" s="109"/>
      <c r="R35" s="109">
        <f t="shared" ref="R35:R36" si="5">+M35</f>
        <v>84000</v>
      </c>
      <c r="S35" s="109"/>
      <c r="T35" s="109"/>
      <c r="U35" s="109"/>
      <c r="V35" s="138">
        <f t="shared" si="2"/>
        <v>84000</v>
      </c>
    </row>
    <row r="36" spans="1:22" s="110" customFormat="1" ht="15" customHeight="1" x14ac:dyDescent="0.25">
      <c r="A36" s="116">
        <v>25</v>
      </c>
      <c r="B36" s="128"/>
      <c r="C36" s="163" t="str">
        <f>'SAF 011'!E35</f>
        <v>Polietileno de 50 micrones 40cm. X  100 mts. Tipo MP</v>
      </c>
      <c r="D36" s="163"/>
      <c r="E36" s="163"/>
      <c r="F36" s="163"/>
      <c r="G36" s="163"/>
      <c r="H36" s="116" t="s">
        <v>132</v>
      </c>
      <c r="I36" s="117" t="s">
        <v>102</v>
      </c>
      <c r="J36" s="120">
        <v>5400</v>
      </c>
      <c r="K36" s="135">
        <v>20</v>
      </c>
      <c r="M36" s="109">
        <f t="shared" si="0"/>
        <v>108000</v>
      </c>
      <c r="N36" s="139">
        <v>258</v>
      </c>
      <c r="O36" s="139"/>
      <c r="P36" s="109"/>
      <c r="Q36" s="109"/>
      <c r="R36" s="109">
        <f t="shared" si="5"/>
        <v>108000</v>
      </c>
      <c r="S36" s="109"/>
      <c r="T36" s="109"/>
      <c r="U36" s="109"/>
      <c r="V36" s="138">
        <f t="shared" si="2"/>
        <v>108000</v>
      </c>
    </row>
    <row r="37" spans="1:22" s="110" customFormat="1" ht="15" customHeight="1" x14ac:dyDescent="0.25">
      <c r="A37" s="116">
        <v>26</v>
      </c>
      <c r="B37" s="128"/>
      <c r="C37" s="163" t="str">
        <f>'SAF 011'!E36</f>
        <v>Pouch Rollo de 100 mm x 200 mts.</v>
      </c>
      <c r="D37" s="163"/>
      <c r="E37" s="163"/>
      <c r="F37" s="163"/>
      <c r="G37" s="163"/>
      <c r="H37" s="116" t="s">
        <v>132</v>
      </c>
      <c r="I37" s="117" t="s">
        <v>85</v>
      </c>
      <c r="J37" s="120">
        <v>4305</v>
      </c>
      <c r="K37" s="135">
        <v>10</v>
      </c>
      <c r="M37" s="109">
        <f t="shared" si="0"/>
        <v>43050</v>
      </c>
      <c r="N37" s="139">
        <v>259</v>
      </c>
      <c r="O37" s="139"/>
      <c r="P37" s="109"/>
      <c r="Q37" s="109"/>
      <c r="R37" s="109"/>
      <c r="S37" s="109">
        <f t="shared" si="1"/>
        <v>43050</v>
      </c>
      <c r="T37" s="109"/>
      <c r="U37" s="109"/>
      <c r="V37" s="138">
        <f t="shared" si="2"/>
        <v>43050</v>
      </c>
    </row>
    <row r="38" spans="1:22" s="110" customFormat="1" ht="15" customHeight="1" x14ac:dyDescent="0.25">
      <c r="A38" s="116">
        <v>27</v>
      </c>
      <c r="B38" s="128"/>
      <c r="C38" s="163" t="str">
        <f>'SAF 011'!E37</f>
        <v>Pouch Rollo de 200 mm x 200 mt.</v>
      </c>
      <c r="D38" s="163"/>
      <c r="E38" s="163"/>
      <c r="F38" s="163"/>
      <c r="G38" s="163"/>
      <c r="H38" s="116" t="s">
        <v>132</v>
      </c>
      <c r="I38" s="117" t="s">
        <v>85</v>
      </c>
      <c r="J38" s="120">
        <v>5885</v>
      </c>
      <c r="K38" s="135">
        <v>10</v>
      </c>
      <c r="M38" s="109">
        <f t="shared" si="0"/>
        <v>58850</v>
      </c>
      <c r="N38" s="139">
        <v>259</v>
      </c>
      <c r="O38" s="139"/>
      <c r="P38" s="109"/>
      <c r="Q38" s="109"/>
      <c r="R38" s="109"/>
      <c r="S38" s="109">
        <f t="shared" si="1"/>
        <v>58850</v>
      </c>
      <c r="T38" s="109"/>
      <c r="U38" s="109"/>
      <c r="V38" s="138">
        <f t="shared" si="2"/>
        <v>58850</v>
      </c>
    </row>
    <row r="39" spans="1:22" s="110" customFormat="1" ht="15" customHeight="1" x14ac:dyDescent="0.25">
      <c r="A39" s="116">
        <v>28</v>
      </c>
      <c r="B39" s="128"/>
      <c r="C39" s="163" t="str">
        <f>'SAF 011'!E38</f>
        <v>Pouch Rollo de 300 mm x 200 mts.</v>
      </c>
      <c r="D39" s="163"/>
      <c r="E39" s="163"/>
      <c r="F39" s="163"/>
      <c r="G39" s="163"/>
      <c r="H39" s="116" t="s">
        <v>132</v>
      </c>
      <c r="I39" s="117" t="s">
        <v>85</v>
      </c>
      <c r="J39" s="120">
        <v>8259</v>
      </c>
      <c r="K39" s="135">
        <v>5</v>
      </c>
      <c r="M39" s="109">
        <f t="shared" si="0"/>
        <v>41295</v>
      </c>
      <c r="N39" s="139">
        <v>259</v>
      </c>
      <c r="O39" s="139"/>
      <c r="P39" s="109"/>
      <c r="Q39" s="109"/>
      <c r="R39" s="109"/>
      <c r="S39" s="109">
        <f t="shared" si="1"/>
        <v>41295</v>
      </c>
      <c r="T39" s="109"/>
      <c r="U39" s="109"/>
      <c r="V39" s="138">
        <f t="shared" si="2"/>
        <v>41295</v>
      </c>
    </row>
    <row r="40" spans="1:22" s="110" customFormat="1" ht="15" customHeight="1" x14ac:dyDescent="0.25">
      <c r="A40" s="116">
        <v>29</v>
      </c>
      <c r="B40" s="128"/>
      <c r="C40" s="163" t="str">
        <f>'SAF 011'!E39</f>
        <v>Pouch Rollo de 400 mm x 200 mts.</v>
      </c>
      <c r="D40" s="163"/>
      <c r="E40" s="163"/>
      <c r="F40" s="163"/>
      <c r="G40" s="163"/>
      <c r="H40" s="116" t="s">
        <v>132</v>
      </c>
      <c r="I40" s="117" t="s">
        <v>85</v>
      </c>
      <c r="J40" s="120">
        <v>9341</v>
      </c>
      <c r="K40" s="135">
        <v>5</v>
      </c>
      <c r="M40" s="109">
        <f t="shared" si="0"/>
        <v>46705</v>
      </c>
      <c r="N40" s="139">
        <v>259</v>
      </c>
      <c r="O40" s="139"/>
      <c r="P40" s="109"/>
      <c r="Q40" s="109"/>
      <c r="R40" s="109"/>
      <c r="S40" s="109">
        <f t="shared" si="1"/>
        <v>46705</v>
      </c>
      <c r="T40" s="109"/>
      <c r="U40" s="109"/>
      <c r="V40" s="138">
        <f t="shared" si="2"/>
        <v>46705</v>
      </c>
    </row>
    <row r="41" spans="1:22" s="110" customFormat="1" ht="15" customHeight="1" x14ac:dyDescent="0.25">
      <c r="A41" s="116">
        <v>30</v>
      </c>
      <c r="B41" s="128"/>
      <c r="C41" s="163" t="str">
        <f>'SAF 011'!E40</f>
        <v>Pouch Rollo de 450 mm x 200 mts.</v>
      </c>
      <c r="D41" s="163"/>
      <c r="E41" s="163"/>
      <c r="F41" s="163"/>
      <c r="G41" s="163"/>
      <c r="H41" s="116" t="s">
        <v>132</v>
      </c>
      <c r="I41" s="117" t="s">
        <v>85</v>
      </c>
      <c r="J41" s="120">
        <v>10320</v>
      </c>
      <c r="K41" s="135">
        <v>5</v>
      </c>
      <c r="M41" s="109">
        <f t="shared" si="0"/>
        <v>51600</v>
      </c>
      <c r="N41" s="139">
        <v>259</v>
      </c>
      <c r="O41" s="139"/>
      <c r="P41" s="109"/>
      <c r="Q41" s="109"/>
      <c r="R41" s="109"/>
      <c r="S41" s="109">
        <f t="shared" si="1"/>
        <v>51600</v>
      </c>
      <c r="T41" s="109"/>
      <c r="U41" s="109"/>
      <c r="V41" s="138">
        <f t="shared" si="2"/>
        <v>51600</v>
      </c>
    </row>
    <row r="42" spans="1:22" s="110" customFormat="1" ht="15" customHeight="1" x14ac:dyDescent="0.25">
      <c r="A42" s="116">
        <v>31</v>
      </c>
      <c r="B42" s="128"/>
      <c r="C42" s="163" t="str">
        <f>'SAF 011'!E41</f>
        <v>Rollo de lienzo Ecologico 60grs  1,5  x 50 mt.</v>
      </c>
      <c r="D42" s="163"/>
      <c r="E42" s="163"/>
      <c r="F42" s="163"/>
      <c r="G42" s="163"/>
      <c r="H42" s="116" t="s">
        <v>132</v>
      </c>
      <c r="I42" s="117" t="s">
        <v>85</v>
      </c>
      <c r="J42" s="120">
        <v>5600</v>
      </c>
      <c r="K42" s="135">
        <v>10</v>
      </c>
      <c r="M42" s="109">
        <f t="shared" si="0"/>
        <v>56000</v>
      </c>
      <c r="N42" s="139">
        <v>221</v>
      </c>
      <c r="O42" s="140">
        <f>+M42</f>
        <v>56000</v>
      </c>
      <c r="P42" s="109"/>
      <c r="Q42" s="109"/>
      <c r="R42" s="109"/>
      <c r="S42" s="109"/>
      <c r="T42" s="109"/>
      <c r="U42" s="109"/>
      <c r="V42" s="138">
        <f t="shared" si="2"/>
        <v>56000</v>
      </c>
    </row>
    <row r="43" spans="1:22" s="110" customFormat="1" ht="15" customHeight="1" x14ac:dyDescent="0.25">
      <c r="A43" s="116">
        <v>32</v>
      </c>
      <c r="B43" s="128"/>
      <c r="C43" s="163" t="str">
        <f>'SAF 011'!E42</f>
        <v>Ropa Equipo Cirugia Universal DESCARTABLE 17 Elementos Esteril</v>
      </c>
      <c r="D43" s="163"/>
      <c r="E43" s="163"/>
      <c r="F43" s="163"/>
      <c r="G43" s="163"/>
      <c r="H43" s="116" t="s">
        <v>132</v>
      </c>
      <c r="I43" s="117" t="s">
        <v>114</v>
      </c>
      <c r="J43" s="120">
        <v>5405.52</v>
      </c>
      <c r="K43" s="135">
        <v>60</v>
      </c>
      <c r="M43" s="109">
        <f t="shared" si="0"/>
        <v>324331.2</v>
      </c>
      <c r="N43" s="139">
        <v>295</v>
      </c>
      <c r="O43" s="139"/>
      <c r="P43" s="109"/>
      <c r="Q43" s="109"/>
      <c r="R43" s="109"/>
      <c r="S43" s="109"/>
      <c r="T43" s="109"/>
      <c r="U43" s="109">
        <f t="shared" si="3"/>
        <v>324331.2</v>
      </c>
      <c r="V43" s="138">
        <f t="shared" si="2"/>
        <v>324331.2</v>
      </c>
    </row>
    <row r="44" spans="1:22" s="110" customFormat="1" ht="15" customHeight="1" x14ac:dyDescent="0.25">
      <c r="A44" s="116">
        <v>33</v>
      </c>
      <c r="B44" s="128"/>
      <c r="C44" s="163" t="str">
        <f>'SAF 011'!E43</f>
        <v>Testigo p/calor humedo  (en Tiras) Tipo Kims</v>
      </c>
      <c r="D44" s="163"/>
      <c r="E44" s="163"/>
      <c r="F44" s="163"/>
      <c r="G44" s="163"/>
      <c r="H44" s="116" t="s">
        <v>132</v>
      </c>
      <c r="I44" s="117" t="s">
        <v>81</v>
      </c>
      <c r="J44" s="120">
        <v>580</v>
      </c>
      <c r="K44" s="135">
        <v>30</v>
      </c>
      <c r="M44" s="109">
        <f t="shared" si="0"/>
        <v>17400</v>
      </c>
      <c r="N44" s="139">
        <v>251</v>
      </c>
      <c r="O44" s="139"/>
      <c r="P44" s="109"/>
      <c r="Q44" s="109">
        <f>+M44</f>
        <v>17400</v>
      </c>
      <c r="R44" s="109"/>
      <c r="S44" s="109"/>
      <c r="T44" s="109"/>
      <c r="U44" s="109"/>
      <c r="V44" s="138">
        <f t="shared" si="2"/>
        <v>17400</v>
      </c>
    </row>
    <row r="45" spans="1:22" s="110" customFormat="1" ht="15" customHeight="1" x14ac:dyDescent="0.25">
      <c r="A45" s="116">
        <v>34</v>
      </c>
      <c r="B45" s="128"/>
      <c r="C45" s="163" t="str">
        <f>'SAF 011'!E44</f>
        <v>Testigo p/calor seco  (en Tiras) Tipo Kims</v>
      </c>
      <c r="D45" s="163"/>
      <c r="E45" s="163"/>
      <c r="F45" s="163"/>
      <c r="G45" s="163"/>
      <c r="H45" s="116" t="s">
        <v>132</v>
      </c>
      <c r="I45" s="117" t="s">
        <v>81</v>
      </c>
      <c r="J45" s="120">
        <v>530</v>
      </c>
      <c r="K45" s="135">
        <v>30</v>
      </c>
      <c r="M45" s="109">
        <f t="shared" si="0"/>
        <v>15900</v>
      </c>
      <c r="N45" s="139">
        <v>251</v>
      </c>
      <c r="O45" s="139"/>
      <c r="P45" s="109"/>
      <c r="Q45" s="109">
        <f>+M45</f>
        <v>15900</v>
      </c>
      <c r="R45" s="109"/>
      <c r="S45" s="109"/>
      <c r="T45" s="109"/>
      <c r="U45" s="109"/>
      <c r="V45" s="138">
        <f t="shared" si="2"/>
        <v>15900</v>
      </c>
    </row>
    <row r="46" spans="1:22" s="110" customFormat="1" ht="15" customHeight="1" x14ac:dyDescent="0.25">
      <c r="A46" s="116">
        <v>35</v>
      </c>
      <c r="B46" s="128"/>
      <c r="C46" s="163" t="str">
        <f>'SAF 011'!E45</f>
        <v>Tyvek Rollo de 10 cm Tipo ASP/KIMS</v>
      </c>
      <c r="D46" s="163"/>
      <c r="E46" s="163"/>
      <c r="F46" s="163"/>
      <c r="G46" s="163"/>
      <c r="H46" s="116" t="s">
        <v>132</v>
      </c>
      <c r="I46" s="117" t="s">
        <v>85</v>
      </c>
      <c r="J46" s="120">
        <v>11000</v>
      </c>
      <c r="K46" s="135">
        <v>4</v>
      </c>
      <c r="M46" s="109">
        <f t="shared" si="0"/>
        <v>44000</v>
      </c>
      <c r="N46" s="139">
        <v>259</v>
      </c>
      <c r="O46" s="139"/>
      <c r="P46" s="109"/>
      <c r="Q46" s="109"/>
      <c r="R46" s="109"/>
      <c r="S46" s="109">
        <f t="shared" si="1"/>
        <v>44000</v>
      </c>
      <c r="T46" s="109"/>
      <c r="U46" s="109"/>
      <c r="V46" s="138">
        <f t="shared" si="2"/>
        <v>44000</v>
      </c>
    </row>
    <row r="47" spans="1:22" s="110" customFormat="1" ht="15" customHeight="1" x14ac:dyDescent="0.25">
      <c r="A47" s="116">
        <v>36</v>
      </c>
      <c r="B47" s="128"/>
      <c r="C47" s="163" t="str">
        <f>'SAF 011'!E46</f>
        <v>Tyvek Rollo de 15 cm Tipo ASP/KIMS</v>
      </c>
      <c r="D47" s="163"/>
      <c r="E47" s="163"/>
      <c r="F47" s="163"/>
      <c r="G47" s="163"/>
      <c r="H47" s="116" t="s">
        <v>132</v>
      </c>
      <c r="I47" s="117" t="s">
        <v>85</v>
      </c>
      <c r="J47" s="120">
        <v>24000</v>
      </c>
      <c r="K47" s="135">
        <v>4</v>
      </c>
      <c r="M47" s="109">
        <f t="shared" si="0"/>
        <v>96000</v>
      </c>
      <c r="N47" s="139">
        <v>259</v>
      </c>
      <c r="O47" s="139"/>
      <c r="P47" s="109"/>
      <c r="Q47" s="109"/>
      <c r="R47" s="109"/>
      <c r="S47" s="109">
        <f t="shared" si="1"/>
        <v>96000</v>
      </c>
      <c r="T47" s="109"/>
      <c r="U47" s="109"/>
      <c r="V47" s="138">
        <f t="shared" si="2"/>
        <v>96000</v>
      </c>
    </row>
    <row r="48" spans="1:22" s="110" customFormat="1" ht="15" customHeight="1" x14ac:dyDescent="0.25">
      <c r="A48" s="116">
        <v>37</v>
      </c>
      <c r="B48" s="128"/>
      <c r="C48" s="163" t="str">
        <f>'SAF 011'!E47</f>
        <v>Tyvek Rollo de 20 cm Tipo ASP/KIMS</v>
      </c>
      <c r="D48" s="163"/>
      <c r="E48" s="163"/>
      <c r="F48" s="163"/>
      <c r="G48" s="163"/>
      <c r="H48" s="116" t="s">
        <v>132</v>
      </c>
      <c r="I48" s="117" t="s">
        <v>85</v>
      </c>
      <c r="J48" s="120">
        <v>29500</v>
      </c>
      <c r="K48" s="135">
        <v>4</v>
      </c>
      <c r="M48" s="109">
        <f t="shared" si="0"/>
        <v>118000</v>
      </c>
      <c r="N48" s="139">
        <v>259</v>
      </c>
      <c r="O48" s="139"/>
      <c r="P48" s="109"/>
      <c r="Q48" s="109"/>
      <c r="R48" s="109"/>
      <c r="S48" s="109">
        <f t="shared" si="1"/>
        <v>118000</v>
      </c>
      <c r="T48" s="109"/>
      <c r="U48" s="109"/>
      <c r="V48" s="138">
        <f t="shared" si="2"/>
        <v>118000</v>
      </c>
    </row>
    <row r="49" spans="1:22" s="110" customFormat="1" ht="15.75" customHeight="1" x14ac:dyDescent="0.25">
      <c r="A49" s="116">
        <v>38</v>
      </c>
      <c r="B49" s="128"/>
      <c r="C49" s="163" t="str">
        <f>'SAF 011'!E48</f>
        <v>Tyvek Rollo de 35 cm Tipo ASP/KIMS</v>
      </c>
      <c r="D49" s="163"/>
      <c r="E49" s="163"/>
      <c r="F49" s="163"/>
      <c r="G49" s="163"/>
      <c r="H49" s="116" t="s">
        <v>132</v>
      </c>
      <c r="I49" s="117" t="s">
        <v>85</v>
      </c>
      <c r="J49" s="120">
        <v>45000</v>
      </c>
      <c r="K49" s="135">
        <v>4</v>
      </c>
      <c r="M49" s="109">
        <f t="shared" si="0"/>
        <v>180000</v>
      </c>
      <c r="N49" s="139">
        <v>259</v>
      </c>
      <c r="O49" s="139"/>
      <c r="P49" s="109"/>
      <c r="Q49" s="109"/>
      <c r="R49" s="109"/>
      <c r="S49" s="109">
        <f t="shared" si="1"/>
        <v>180000</v>
      </c>
      <c r="T49" s="109"/>
      <c r="U49" s="109"/>
      <c r="V49" s="138">
        <f t="shared" si="2"/>
        <v>180000</v>
      </c>
    </row>
    <row r="50" spans="1:22" s="110" customFormat="1" ht="15.75" customHeight="1" x14ac:dyDescent="0.25">
      <c r="A50" s="116">
        <v>39</v>
      </c>
      <c r="B50" s="128"/>
      <c r="C50" s="163" t="str">
        <f>'SAF 011'!E49</f>
        <v>Tyvek Rollo de 42 cm Tipo ASP/KIMS</v>
      </c>
      <c r="D50" s="163"/>
      <c r="E50" s="163"/>
      <c r="F50" s="163"/>
      <c r="G50" s="163"/>
      <c r="H50" s="116" t="s">
        <v>132</v>
      </c>
      <c r="I50" s="117" t="s">
        <v>85</v>
      </c>
      <c r="J50" s="120">
        <v>53000</v>
      </c>
      <c r="K50" s="135">
        <v>4</v>
      </c>
      <c r="M50" s="109">
        <f t="shared" si="0"/>
        <v>212000</v>
      </c>
      <c r="N50" s="139">
        <v>259</v>
      </c>
      <c r="O50" s="139"/>
      <c r="P50" s="109"/>
      <c r="Q50" s="109"/>
      <c r="R50" s="109"/>
      <c r="S50" s="109">
        <f t="shared" si="1"/>
        <v>212000</v>
      </c>
      <c r="T50" s="109"/>
      <c r="U50" s="109"/>
      <c r="V50" s="138">
        <f t="shared" si="2"/>
        <v>212000</v>
      </c>
    </row>
    <row r="51" spans="1:22" s="110" customFormat="1" ht="15" customHeight="1" x14ac:dyDescent="0.25">
      <c r="A51" s="116">
        <v>40</v>
      </c>
      <c r="B51" s="128"/>
      <c r="C51" s="163" t="str">
        <f>'SAF 011'!E50</f>
        <v>Tyvek Rollo de 50 cm Tipo  ASP/KIMS</v>
      </c>
      <c r="D51" s="163"/>
      <c r="E51" s="163"/>
      <c r="F51" s="163"/>
      <c r="G51" s="163"/>
      <c r="H51" s="116" t="s">
        <v>132</v>
      </c>
      <c r="I51" s="117" t="s">
        <v>85</v>
      </c>
      <c r="J51" s="120">
        <v>65000</v>
      </c>
      <c r="K51" s="135">
        <v>4</v>
      </c>
      <c r="M51" s="109">
        <f t="shared" si="0"/>
        <v>260000</v>
      </c>
      <c r="N51" s="139">
        <v>259</v>
      </c>
      <c r="O51" s="139"/>
      <c r="P51" s="109"/>
      <c r="Q51" s="109"/>
      <c r="R51" s="109"/>
      <c r="S51" s="109">
        <f t="shared" si="1"/>
        <v>260000</v>
      </c>
      <c r="T51" s="109"/>
      <c r="U51" s="109"/>
      <c r="V51" s="138">
        <f t="shared" si="2"/>
        <v>260000</v>
      </c>
    </row>
    <row r="52" spans="1:22" x14ac:dyDescent="0.25">
      <c r="A52" s="129"/>
      <c r="B52" s="130"/>
      <c r="C52" s="163"/>
      <c r="D52" s="163"/>
      <c r="E52" s="163"/>
      <c r="F52" s="163"/>
      <c r="G52" s="163"/>
      <c r="H52" s="131"/>
      <c r="I52" s="132"/>
      <c r="J52" s="133"/>
      <c r="K52" s="134"/>
    </row>
    <row r="53" spans="1:22" ht="19.5" thickBot="1" x14ac:dyDescent="0.3">
      <c r="A53" s="167" t="s">
        <v>135</v>
      </c>
      <c r="B53" s="167"/>
      <c r="C53" s="167"/>
      <c r="D53" s="167"/>
      <c r="E53" s="167"/>
      <c r="F53" s="167"/>
      <c r="G53" s="167"/>
      <c r="H53" s="167"/>
      <c r="I53" s="167"/>
      <c r="J53" s="164">
        <f>+M53</f>
        <v>5668111.2000000002</v>
      </c>
      <c r="K53" s="164"/>
      <c r="M53" s="109">
        <f>SUM(M12:M52)</f>
        <v>5668111.2000000002</v>
      </c>
      <c r="N53" s="142"/>
      <c r="O53" s="109">
        <f t="shared" ref="O53:S53" si="6">SUM(O12:O52)</f>
        <v>56000</v>
      </c>
      <c r="P53" s="109">
        <f t="shared" si="6"/>
        <v>23400</v>
      </c>
      <c r="Q53" s="109">
        <f t="shared" si="6"/>
        <v>880060</v>
      </c>
      <c r="R53" s="109">
        <f t="shared" si="6"/>
        <v>192000</v>
      </c>
      <c r="S53" s="109">
        <f t="shared" si="6"/>
        <v>2374960</v>
      </c>
      <c r="T53" s="109">
        <f t="shared" ref="T53" si="7">SUM(T12:T52)</f>
        <v>22400</v>
      </c>
      <c r="U53" s="109">
        <f t="shared" ref="U53" si="8">SUM(U12:U52)</f>
        <v>789291.2</v>
      </c>
      <c r="V53" s="109">
        <f>SUM(O53:U53)</f>
        <v>4338111.2</v>
      </c>
    </row>
    <row r="55" spans="1:22" x14ac:dyDescent="0.25">
      <c r="O55" s="138">
        <v>221</v>
      </c>
      <c r="P55" s="138">
        <v>234</v>
      </c>
      <c r="Q55" s="138">
        <v>251</v>
      </c>
      <c r="R55" s="138">
        <v>258</v>
      </c>
      <c r="S55" s="138">
        <v>259</v>
      </c>
      <c r="T55" s="138">
        <v>291</v>
      </c>
      <c r="U55" s="138">
        <v>295</v>
      </c>
    </row>
  </sheetData>
  <mergeCells count="63">
    <mergeCell ref="A10:A11"/>
    <mergeCell ref="B10:B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  <mergeCell ref="C10:G11"/>
    <mergeCell ref="H10:H11"/>
    <mergeCell ref="I10:I11"/>
    <mergeCell ref="C52:G52"/>
    <mergeCell ref="A53:I53"/>
    <mergeCell ref="C50:G50"/>
    <mergeCell ref="C51:G51"/>
    <mergeCell ref="C37:G37"/>
    <mergeCell ref="C38:G38"/>
    <mergeCell ref="C39:G39"/>
    <mergeCell ref="C28:G28"/>
    <mergeCell ref="C29:G29"/>
    <mergeCell ref="C30:G30"/>
    <mergeCell ref="C31:G31"/>
    <mergeCell ref="C32:G32"/>
    <mergeCell ref="C21:G21"/>
    <mergeCell ref="J53:K53"/>
    <mergeCell ref="C13:G13"/>
    <mergeCell ref="C14:G14"/>
    <mergeCell ref="C15:G15"/>
    <mergeCell ref="C16:G16"/>
    <mergeCell ref="C17:G17"/>
    <mergeCell ref="C18:G18"/>
    <mergeCell ref="C19:G19"/>
    <mergeCell ref="C20:G20"/>
    <mergeCell ref="C22:G22"/>
    <mergeCell ref="C43:G43"/>
    <mergeCell ref="C44:G44"/>
    <mergeCell ref="C45:G45"/>
    <mergeCell ref="C47:G47"/>
    <mergeCell ref="C48:G48"/>
    <mergeCell ref="C49:G49"/>
    <mergeCell ref="K10:K11"/>
    <mergeCell ref="C12:G12"/>
    <mergeCell ref="J10:J11"/>
    <mergeCell ref="C46:G46"/>
    <mergeCell ref="C23:G23"/>
    <mergeCell ref="C24:G24"/>
    <mergeCell ref="C25:G25"/>
    <mergeCell ref="C26:G26"/>
    <mergeCell ref="C27:G27"/>
    <mergeCell ref="C40:G40"/>
    <mergeCell ref="C33:G33"/>
    <mergeCell ref="C34:G34"/>
    <mergeCell ref="C35:G35"/>
    <mergeCell ref="C36:G36"/>
    <mergeCell ref="C41:G41"/>
    <mergeCell ref="C42:G4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2" workbookViewId="0">
      <selection activeCell="F34" sqref="F34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21" customWidth="1"/>
    <col min="17" max="17" width="14.7109375" style="104" customWidth="1"/>
  </cols>
  <sheetData>
    <row r="1" spans="1:17" ht="15.75" thickBot="1" x14ac:dyDescent="0.3">
      <c r="A1" s="198" t="s">
        <v>5</v>
      </c>
      <c r="B1" s="198"/>
      <c r="C1" s="198"/>
      <c r="D1" s="199">
        <v>2022</v>
      </c>
      <c r="E1" s="199"/>
      <c r="F1" s="51"/>
      <c r="G1" s="51"/>
      <c r="H1" s="52"/>
      <c r="I1" s="52"/>
      <c r="J1" s="52"/>
      <c r="K1" s="52"/>
      <c r="L1" s="52"/>
      <c r="M1" s="52"/>
      <c r="N1" s="52"/>
      <c r="O1" s="53"/>
      <c r="P1" s="200" t="s">
        <v>38</v>
      </c>
      <c r="Q1" s="200"/>
    </row>
    <row r="2" spans="1:17" ht="15.75" thickBot="1" x14ac:dyDescent="0.3">
      <c r="A2" s="54"/>
      <c r="B2" s="55"/>
      <c r="C2" s="55"/>
      <c r="D2" s="55"/>
      <c r="E2" s="55"/>
      <c r="F2" s="55"/>
      <c r="G2" s="56"/>
      <c r="H2" s="57"/>
      <c r="I2" s="57"/>
      <c r="J2" s="57"/>
      <c r="K2" s="57"/>
      <c r="L2" s="57"/>
      <c r="M2" s="57"/>
      <c r="N2" s="57"/>
      <c r="O2" s="55"/>
      <c r="P2" s="200"/>
      <c r="Q2" s="200"/>
    </row>
    <row r="3" spans="1:17" ht="15.75" thickBot="1" x14ac:dyDescent="0.3">
      <c r="A3" s="54"/>
      <c r="B3" s="55"/>
      <c r="C3" s="55"/>
      <c r="D3" s="55"/>
      <c r="E3" s="55"/>
      <c r="F3" s="55"/>
      <c r="G3" s="56"/>
      <c r="H3" s="55"/>
      <c r="I3" s="55"/>
      <c r="J3" s="55"/>
      <c r="K3" s="55"/>
      <c r="L3" s="55"/>
      <c r="M3" s="55"/>
      <c r="N3" s="55"/>
      <c r="O3" s="55"/>
      <c r="P3" s="55"/>
      <c r="Q3" s="143"/>
    </row>
    <row r="4" spans="1:17" ht="15.75" thickBot="1" x14ac:dyDescent="0.3">
      <c r="A4" s="201" t="s">
        <v>39</v>
      </c>
      <c r="B4" s="201"/>
      <c r="C4" s="201"/>
      <c r="D4" s="201"/>
      <c r="E4" s="201"/>
      <c r="F4" s="201"/>
      <c r="G4" s="202" t="str">
        <f>+'SAF 011'!C4</f>
        <v>040 - MINISTERIO DE SALUD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</row>
    <row r="5" spans="1:17" ht="15.75" thickBot="1" x14ac:dyDescent="0.3">
      <c r="A5" s="203" t="s">
        <v>26</v>
      </c>
      <c r="B5" s="203"/>
      <c r="C5" s="203"/>
      <c r="D5" s="203"/>
      <c r="E5" s="203"/>
      <c r="F5" s="203"/>
      <c r="G5" s="202" t="str">
        <f>+'SAF 011'!C5</f>
        <v>011 - DIRECCION PROVINCIAL DE ADMINISTRACION - MINISTERIO DE SALUD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</row>
    <row r="6" spans="1:17" ht="15.75" thickBot="1" x14ac:dyDescent="0.3">
      <c r="A6" s="203" t="s">
        <v>27</v>
      </c>
      <c r="B6" s="203"/>
      <c r="C6" s="203"/>
      <c r="D6" s="203"/>
      <c r="E6" s="203"/>
      <c r="F6" s="203"/>
      <c r="G6" s="202" t="s">
        <v>68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</row>
    <row r="7" spans="1:17" ht="15.75" thickBot="1" x14ac:dyDescent="0.3">
      <c r="A7" s="203" t="s">
        <v>28</v>
      </c>
      <c r="B7" s="203"/>
      <c r="C7" s="203"/>
      <c r="D7" s="203"/>
      <c r="E7" s="203"/>
      <c r="F7" s="203"/>
      <c r="G7" s="202" t="s">
        <v>68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</row>
    <row r="8" spans="1:17" ht="15.75" thickBot="1" x14ac:dyDescent="0.3">
      <c r="A8" s="204" t="s">
        <v>40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</row>
    <row r="9" spans="1:17" ht="20.25" customHeight="1" x14ac:dyDescent="0.25">
      <c r="A9" s="197" t="s">
        <v>41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</row>
    <row r="10" spans="1:17" ht="69" customHeight="1" x14ac:dyDescent="0.25">
      <c r="A10" s="188" t="s">
        <v>133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59"/>
      <c r="B11" s="60"/>
      <c r="C11" s="60"/>
      <c r="D11" s="60"/>
      <c r="E11" s="60"/>
      <c r="F11" s="60"/>
      <c r="G11" s="61"/>
      <c r="H11" s="60"/>
      <c r="I11" s="60"/>
      <c r="J11" s="60"/>
      <c r="K11" s="60"/>
      <c r="L11" s="60"/>
      <c r="M11" s="60"/>
      <c r="N11" s="60"/>
      <c r="O11" s="60"/>
      <c r="P11" s="60"/>
      <c r="Q11" s="144"/>
    </row>
    <row r="12" spans="1:17" ht="15.75" thickBot="1" x14ac:dyDescent="0.3">
      <c r="A12" s="189" t="s">
        <v>42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43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44</v>
      </c>
      <c r="P13" s="191"/>
      <c r="Q13" s="192" t="s">
        <v>45</v>
      </c>
    </row>
    <row r="14" spans="1:17" ht="15.75" thickBot="1" x14ac:dyDescent="0.3">
      <c r="A14" s="63" t="s">
        <v>46</v>
      </c>
      <c r="B14" s="64" t="s">
        <v>47</v>
      </c>
      <c r="C14" s="64" t="s">
        <v>48</v>
      </c>
      <c r="D14" s="64" t="s">
        <v>49</v>
      </c>
      <c r="E14" s="64" t="s">
        <v>50</v>
      </c>
      <c r="F14" s="64" t="s">
        <v>51</v>
      </c>
      <c r="G14" s="65" t="s">
        <v>52</v>
      </c>
      <c r="H14" s="64" t="s">
        <v>53</v>
      </c>
      <c r="I14" s="64" t="s">
        <v>54</v>
      </c>
      <c r="J14" s="64" t="s">
        <v>55</v>
      </c>
      <c r="K14" s="64" t="s">
        <v>55</v>
      </c>
      <c r="L14" s="64" t="s">
        <v>56</v>
      </c>
      <c r="M14" s="66" t="s">
        <v>57</v>
      </c>
      <c r="N14" s="67" t="s">
        <v>58</v>
      </c>
      <c r="O14" s="191"/>
      <c r="P14" s="191"/>
      <c r="Q14" s="192"/>
    </row>
    <row r="15" spans="1:17" x14ac:dyDescent="0.25">
      <c r="A15" s="68">
        <v>53</v>
      </c>
      <c r="B15" s="69"/>
      <c r="C15" s="69"/>
      <c r="D15" s="69">
        <v>1</v>
      </c>
      <c r="E15" s="69"/>
      <c r="F15" s="69">
        <v>4901</v>
      </c>
      <c r="G15" s="69">
        <v>3</v>
      </c>
      <c r="H15" s="69">
        <v>1</v>
      </c>
      <c r="I15" s="69">
        <v>2</v>
      </c>
      <c r="J15" s="69">
        <v>2</v>
      </c>
      <c r="K15" s="69">
        <v>1</v>
      </c>
      <c r="L15" s="69"/>
      <c r="M15" s="70">
        <v>1</v>
      </c>
      <c r="N15" s="136" t="s">
        <v>69</v>
      </c>
      <c r="O15" s="193" t="s">
        <v>124</v>
      </c>
      <c r="P15" s="193"/>
      <c r="Q15" s="145">
        <f>'NP FARMACIA'!O53</f>
        <v>56000</v>
      </c>
    </row>
    <row r="16" spans="1:17" x14ac:dyDescent="0.25">
      <c r="A16" s="72">
        <v>53</v>
      </c>
      <c r="B16" s="73"/>
      <c r="C16" s="73"/>
      <c r="D16" s="73">
        <v>1</v>
      </c>
      <c r="E16" s="73"/>
      <c r="F16" s="73">
        <v>4901</v>
      </c>
      <c r="G16" s="73">
        <v>3</v>
      </c>
      <c r="H16" s="73">
        <v>1</v>
      </c>
      <c r="I16" s="73">
        <v>2</v>
      </c>
      <c r="J16" s="73">
        <v>3</v>
      </c>
      <c r="K16" s="73">
        <v>4</v>
      </c>
      <c r="L16" s="73"/>
      <c r="M16" s="74">
        <v>1</v>
      </c>
      <c r="N16" s="137" t="s">
        <v>69</v>
      </c>
      <c r="O16" s="194" t="s">
        <v>125</v>
      </c>
      <c r="P16" s="180"/>
      <c r="Q16" s="146">
        <f>'NP FARMACIA'!P53</f>
        <v>23400</v>
      </c>
    </row>
    <row r="17" spans="1:17" x14ac:dyDescent="0.25">
      <c r="A17" s="72">
        <v>30</v>
      </c>
      <c r="B17" s="73"/>
      <c r="C17" s="73"/>
      <c r="D17" s="73">
        <v>1</v>
      </c>
      <c r="E17" s="73"/>
      <c r="F17" s="73">
        <v>4901</v>
      </c>
      <c r="G17" s="73">
        <v>3</v>
      </c>
      <c r="H17" s="73">
        <v>1</v>
      </c>
      <c r="I17" s="73">
        <v>2</v>
      </c>
      <c r="J17" s="73">
        <v>5</v>
      </c>
      <c r="K17" s="73">
        <v>1</v>
      </c>
      <c r="L17" s="73"/>
      <c r="M17" s="74">
        <v>1</v>
      </c>
      <c r="N17" s="137" t="s">
        <v>69</v>
      </c>
      <c r="O17" s="195" t="s">
        <v>126</v>
      </c>
      <c r="P17" s="196"/>
      <c r="Q17" s="146">
        <f>'NP FARMACIA'!Q53</f>
        <v>880060</v>
      </c>
    </row>
    <row r="18" spans="1:17" x14ac:dyDescent="0.25">
      <c r="A18" s="72">
        <v>30</v>
      </c>
      <c r="B18" s="73"/>
      <c r="C18" s="73"/>
      <c r="D18" s="73">
        <v>1</v>
      </c>
      <c r="E18" s="73"/>
      <c r="F18" s="73">
        <v>4901</v>
      </c>
      <c r="G18" s="73">
        <v>3</v>
      </c>
      <c r="H18" s="73">
        <v>1</v>
      </c>
      <c r="I18" s="73">
        <v>2</v>
      </c>
      <c r="J18" s="73">
        <v>5</v>
      </c>
      <c r="K18" s="73">
        <v>8</v>
      </c>
      <c r="L18" s="73"/>
      <c r="M18" s="74">
        <v>1</v>
      </c>
      <c r="N18" s="137" t="s">
        <v>69</v>
      </c>
      <c r="O18" s="194" t="s">
        <v>127</v>
      </c>
      <c r="P18" s="180"/>
      <c r="Q18" s="146">
        <f>'NP FARMACIA'!R53</f>
        <v>192000</v>
      </c>
    </row>
    <row r="19" spans="1:17" x14ac:dyDescent="0.25">
      <c r="A19" s="72">
        <v>30</v>
      </c>
      <c r="B19" s="73"/>
      <c r="C19" s="73"/>
      <c r="D19" s="73">
        <v>1</v>
      </c>
      <c r="E19" s="73"/>
      <c r="F19" s="73">
        <v>4901</v>
      </c>
      <c r="G19" s="73">
        <v>3</v>
      </c>
      <c r="H19" s="73">
        <v>1</v>
      </c>
      <c r="I19" s="73">
        <v>2</v>
      </c>
      <c r="J19" s="73">
        <v>5</v>
      </c>
      <c r="K19" s="73">
        <v>9</v>
      </c>
      <c r="L19" s="73"/>
      <c r="M19" s="74">
        <v>1</v>
      </c>
      <c r="N19" s="137" t="s">
        <v>69</v>
      </c>
      <c r="O19" s="194" t="s">
        <v>128</v>
      </c>
      <c r="P19" s="180"/>
      <c r="Q19" s="146">
        <f>'NP FARMACIA'!S53</f>
        <v>2374960</v>
      </c>
    </row>
    <row r="20" spans="1:17" x14ac:dyDescent="0.25">
      <c r="A20" s="72">
        <v>53</v>
      </c>
      <c r="B20" s="73"/>
      <c r="C20" s="73"/>
      <c r="D20" s="73">
        <v>1</v>
      </c>
      <c r="E20" s="73"/>
      <c r="F20" s="73">
        <v>4901</v>
      </c>
      <c r="G20" s="73">
        <v>3</v>
      </c>
      <c r="H20" s="73">
        <v>1</v>
      </c>
      <c r="I20" s="73">
        <v>2</v>
      </c>
      <c r="J20" s="73">
        <v>9</v>
      </c>
      <c r="K20" s="73">
        <v>1</v>
      </c>
      <c r="L20" s="73"/>
      <c r="M20" s="74">
        <v>1</v>
      </c>
      <c r="N20" s="137" t="s">
        <v>69</v>
      </c>
      <c r="O20" s="194" t="s">
        <v>129</v>
      </c>
      <c r="P20" s="180"/>
      <c r="Q20" s="146">
        <f>'NP FARMACIA'!T53</f>
        <v>22400</v>
      </c>
    </row>
    <row r="21" spans="1:17" ht="32.25" customHeight="1" x14ac:dyDescent="0.25">
      <c r="A21" s="72">
        <v>30</v>
      </c>
      <c r="B21" s="73"/>
      <c r="C21" s="73"/>
      <c r="D21" s="73">
        <v>1</v>
      </c>
      <c r="E21" s="73"/>
      <c r="F21" s="73">
        <v>4901</v>
      </c>
      <c r="G21" s="73">
        <v>3</v>
      </c>
      <c r="H21" s="73">
        <v>1</v>
      </c>
      <c r="I21" s="73">
        <v>2</v>
      </c>
      <c r="J21" s="73">
        <v>9</v>
      </c>
      <c r="K21" s="73">
        <v>5</v>
      </c>
      <c r="L21" s="73"/>
      <c r="M21" s="74">
        <v>1</v>
      </c>
      <c r="N21" s="73" t="s">
        <v>69</v>
      </c>
      <c r="O21" s="186" t="s">
        <v>72</v>
      </c>
      <c r="P21" s="187"/>
      <c r="Q21" s="146">
        <f>+'SAF 011'!I12+'SAF 011'!I14+'SAF 011'!I18+'SAF 011'!I19+'SAF 011'!I21+'SAF 011'!I26+'SAF 011'!I27+'SAF 011'!I28+'SAF 011'!I29+'SAF 011'!I42</f>
        <v>2119291.2000000002</v>
      </c>
    </row>
    <row r="22" spans="1:17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4"/>
      <c r="N22" s="75"/>
      <c r="O22" s="185"/>
      <c r="P22" s="185"/>
      <c r="Q22" s="146"/>
    </row>
    <row r="23" spans="1:17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75"/>
      <c r="O23" s="185"/>
      <c r="P23" s="185"/>
      <c r="Q23" s="146"/>
    </row>
    <row r="24" spans="1:17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75"/>
      <c r="O24" s="185"/>
      <c r="P24" s="185"/>
      <c r="Q24" s="146"/>
    </row>
    <row r="25" spans="1:17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5"/>
      <c r="O25" s="185"/>
      <c r="P25" s="185"/>
      <c r="Q25" s="146"/>
    </row>
    <row r="26" spans="1:17" x14ac:dyDescent="0.2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  <c r="N26" s="75"/>
      <c r="O26" s="185"/>
      <c r="P26" s="185"/>
      <c r="Q26" s="146"/>
    </row>
    <row r="27" spans="1:17" x14ac:dyDescent="0.2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  <c r="N27" s="75"/>
      <c r="O27" s="185"/>
      <c r="P27" s="185"/>
      <c r="Q27" s="146"/>
    </row>
    <row r="28" spans="1:17" x14ac:dyDescent="0.25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75"/>
      <c r="O28" s="185"/>
      <c r="P28" s="185"/>
      <c r="Q28" s="146"/>
    </row>
    <row r="29" spans="1:17" x14ac:dyDescent="0.25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75"/>
      <c r="O29" s="185"/>
      <c r="P29" s="185"/>
      <c r="Q29" s="146"/>
    </row>
    <row r="30" spans="1:17" x14ac:dyDescent="0.25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  <c r="N30" s="75"/>
      <c r="O30" s="185"/>
      <c r="P30" s="185"/>
      <c r="Q30" s="146"/>
    </row>
    <row r="31" spans="1:17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4"/>
      <c r="N31" s="75"/>
      <c r="O31" s="185"/>
      <c r="P31" s="185"/>
      <c r="Q31" s="146"/>
    </row>
    <row r="32" spans="1:17" x14ac:dyDescent="0.25">
      <c r="A32" s="72"/>
      <c r="B32" s="73"/>
      <c r="C32" s="73"/>
      <c r="D32" s="73"/>
      <c r="E32" s="73"/>
      <c r="F32" s="75"/>
      <c r="G32" s="73"/>
      <c r="H32" s="73"/>
      <c r="I32" s="73"/>
      <c r="J32" s="73"/>
      <c r="K32" s="73"/>
      <c r="L32" s="73"/>
      <c r="M32" s="74"/>
      <c r="N32" s="75"/>
      <c r="O32" s="180"/>
      <c r="P32" s="180"/>
      <c r="Q32" s="146"/>
    </row>
    <row r="33" spans="1:17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  <c r="N33" s="75"/>
      <c r="O33" s="180"/>
      <c r="P33" s="180"/>
      <c r="Q33" s="146"/>
    </row>
    <row r="34" spans="1:17" x14ac:dyDescent="0.25">
      <c r="A34" s="72"/>
      <c r="B34" s="73"/>
      <c r="C34" s="73"/>
      <c r="D34" s="73"/>
      <c r="E34" s="73"/>
      <c r="F34" s="75"/>
      <c r="G34" s="73"/>
      <c r="H34" s="73"/>
      <c r="I34" s="73"/>
      <c r="J34" s="73"/>
      <c r="K34" s="73"/>
      <c r="L34" s="73"/>
      <c r="M34" s="74"/>
      <c r="N34" s="75"/>
      <c r="O34" s="180"/>
      <c r="P34" s="180"/>
      <c r="Q34" s="146"/>
    </row>
    <row r="35" spans="1:17" x14ac:dyDescent="0.25">
      <c r="A35" s="72"/>
      <c r="B35" s="73"/>
      <c r="C35" s="73"/>
      <c r="D35" s="73"/>
      <c r="E35" s="73"/>
      <c r="F35" s="75"/>
      <c r="G35" s="73"/>
      <c r="H35" s="73"/>
      <c r="I35" s="73"/>
      <c r="J35" s="73"/>
      <c r="K35" s="73"/>
      <c r="L35" s="73"/>
      <c r="M35" s="74"/>
      <c r="N35" s="75"/>
      <c r="O35" s="180"/>
      <c r="P35" s="180"/>
      <c r="Q35" s="146"/>
    </row>
    <row r="36" spans="1:17" x14ac:dyDescent="0.25">
      <c r="A36" s="77"/>
      <c r="B36" s="78"/>
      <c r="C36" s="78"/>
      <c r="D36" s="78"/>
      <c r="E36" s="78"/>
      <c r="F36" s="79"/>
      <c r="G36" s="78"/>
      <c r="H36" s="78"/>
      <c r="I36" s="78"/>
      <c r="J36" s="78"/>
      <c r="K36" s="78"/>
      <c r="L36" s="78"/>
      <c r="M36" s="80"/>
      <c r="N36" s="81"/>
      <c r="O36" s="181"/>
      <c r="P36" s="181"/>
      <c r="Q36" s="146"/>
    </row>
    <row r="37" spans="1:17" ht="15.75" thickBot="1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4"/>
      <c r="N37" s="83"/>
      <c r="O37" s="182"/>
      <c r="P37" s="182"/>
      <c r="Q37" s="147"/>
    </row>
    <row r="38" spans="1:17" ht="44.25" customHeight="1" thickBot="1" x14ac:dyDescent="0.3">
      <c r="A38" s="183" t="s">
        <v>130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48">
        <f>SUM(Q15:Q37)</f>
        <v>5668111.2000000002</v>
      </c>
    </row>
    <row r="39" spans="1:17" ht="15.75" thickBot="1" x14ac:dyDescent="0.3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7" t="s">
        <v>59</v>
      </c>
      <c r="B40" s="177"/>
      <c r="C40" s="177"/>
      <c r="D40" s="177"/>
      <c r="E40" s="177"/>
      <c r="F40" s="177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</row>
    <row r="41" spans="1:17" ht="15.75" thickBot="1" x14ac:dyDescent="0.3">
      <c r="A41" s="179" t="s">
        <v>71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</row>
    <row r="42" spans="1:17" ht="15.75" thickBot="1" x14ac:dyDescent="0.3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opLeftCell="B1" workbookViewId="0">
      <selection activeCell="I16" sqref="I16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04" customWidth="1"/>
    <col min="11" max="11" width="15.5703125" customWidth="1"/>
    <col min="13" max="13" width="14.5703125" style="109" bestFit="1" customWidth="1"/>
  </cols>
  <sheetData>
    <row r="1" spans="1:13" ht="30.75" thickBot="1" x14ac:dyDescent="0.3">
      <c r="A1" s="171" t="s">
        <v>23</v>
      </c>
      <c r="B1" s="171"/>
      <c r="C1" s="171"/>
      <c r="D1" s="171"/>
      <c r="E1" s="171"/>
      <c r="F1" s="171"/>
      <c r="G1" s="171"/>
      <c r="H1" s="171"/>
      <c r="I1" s="171"/>
      <c r="J1" s="105" t="s">
        <v>24</v>
      </c>
      <c r="K1" s="42" t="s">
        <v>74</v>
      </c>
    </row>
    <row r="2" spans="1:13" ht="16.5" thickBot="1" x14ac:dyDescent="0.3">
      <c r="A2" s="43"/>
      <c r="B2" s="44"/>
      <c r="C2" s="44"/>
      <c r="D2" s="45"/>
      <c r="E2" s="45"/>
      <c r="F2" s="45"/>
      <c r="G2" s="45"/>
      <c r="H2" s="45"/>
      <c r="I2" s="45"/>
      <c r="J2" s="106"/>
      <c r="K2" s="46"/>
    </row>
    <row r="3" spans="1:13" ht="16.5" thickBot="1" x14ac:dyDescent="0.3">
      <c r="A3" s="172" t="s">
        <v>25</v>
      </c>
      <c r="B3" s="172"/>
      <c r="C3" s="172"/>
      <c r="D3" s="170" t="str">
        <f>'SAF 011'!C4</f>
        <v>040 - MINISTERIO DE SALUD</v>
      </c>
      <c r="E3" s="170"/>
      <c r="F3" s="170"/>
      <c r="G3" s="170"/>
      <c r="H3" s="170"/>
      <c r="I3" s="170"/>
      <c r="J3" s="170"/>
      <c r="K3" s="170"/>
    </row>
    <row r="4" spans="1:13" ht="16.5" thickBot="1" x14ac:dyDescent="0.3">
      <c r="A4" s="169" t="s">
        <v>26</v>
      </c>
      <c r="B4" s="169"/>
      <c r="C4" s="169"/>
      <c r="D4" s="170" t="str">
        <f>'SAF 011'!C5</f>
        <v>011 - DIRECCION PROVINCIAL DE ADMINISTRACION - MINISTERIO DE SALUD</v>
      </c>
      <c r="E4" s="170"/>
      <c r="F4" s="170"/>
      <c r="G4" s="170"/>
      <c r="H4" s="170"/>
      <c r="I4" s="170"/>
      <c r="J4" s="170"/>
      <c r="K4" s="170"/>
    </row>
    <row r="5" spans="1:13" ht="16.5" thickBot="1" x14ac:dyDescent="0.3">
      <c r="A5" s="169" t="s">
        <v>27</v>
      </c>
      <c r="B5" s="169"/>
      <c r="C5" s="169"/>
      <c r="D5" s="170" t="s">
        <v>73</v>
      </c>
      <c r="E5" s="170"/>
      <c r="F5" s="170"/>
      <c r="G5" s="170"/>
      <c r="H5" s="170"/>
      <c r="I5" s="170"/>
      <c r="J5" s="170"/>
      <c r="K5" s="170"/>
    </row>
    <row r="6" spans="1:13" ht="16.5" thickBot="1" x14ac:dyDescent="0.3">
      <c r="A6" s="172" t="s">
        <v>28</v>
      </c>
      <c r="B6" s="172"/>
      <c r="C6" s="172"/>
      <c r="D6" s="170" t="s">
        <v>73</v>
      </c>
      <c r="E6" s="170"/>
      <c r="F6" s="170"/>
      <c r="G6" s="170"/>
      <c r="H6" s="170"/>
      <c r="I6" s="170"/>
      <c r="J6" s="170"/>
      <c r="K6" s="170"/>
    </row>
    <row r="7" spans="1:13" ht="16.5" thickBot="1" x14ac:dyDescent="0.3">
      <c r="A7" s="169" t="s">
        <v>29</v>
      </c>
      <c r="B7" s="169"/>
      <c r="C7" s="169"/>
      <c r="D7" s="170" t="s">
        <v>134</v>
      </c>
      <c r="E7" s="170"/>
      <c r="F7" s="170"/>
      <c r="G7" s="170"/>
      <c r="H7" s="170"/>
      <c r="I7" s="170"/>
      <c r="J7" s="170"/>
      <c r="K7" s="170"/>
    </row>
    <row r="8" spans="1:13" ht="16.5" thickBot="1" x14ac:dyDescent="0.3">
      <c r="A8" s="173" t="s">
        <v>30</v>
      </c>
      <c r="B8" s="173"/>
      <c r="C8" s="173"/>
      <c r="D8" s="174" t="s">
        <v>71</v>
      </c>
      <c r="E8" s="174"/>
      <c r="F8" s="174"/>
      <c r="G8" s="174"/>
      <c r="H8" s="174"/>
      <c r="I8" s="174"/>
      <c r="J8" s="174"/>
      <c r="K8" s="174"/>
    </row>
    <row r="9" spans="1:13" ht="16.5" thickBot="1" x14ac:dyDescent="0.3">
      <c r="A9" s="47"/>
      <c r="B9" s="48"/>
      <c r="C9" s="48"/>
      <c r="D9" s="49"/>
      <c r="E9" s="49"/>
      <c r="F9" s="49"/>
      <c r="G9" s="49"/>
      <c r="H9" s="49"/>
      <c r="I9" s="49"/>
      <c r="J9" s="107"/>
      <c r="K9" s="50"/>
    </row>
    <row r="10" spans="1:13" ht="15.75" thickBot="1" x14ac:dyDescent="0.3">
      <c r="A10" s="175" t="s">
        <v>31</v>
      </c>
      <c r="B10" s="165" t="s">
        <v>32</v>
      </c>
      <c r="C10" s="165" t="s">
        <v>33</v>
      </c>
      <c r="D10" s="165"/>
      <c r="E10" s="165"/>
      <c r="F10" s="165"/>
      <c r="G10" s="165"/>
      <c r="H10" s="165" t="s">
        <v>34</v>
      </c>
      <c r="I10" s="165" t="s">
        <v>35</v>
      </c>
      <c r="J10" s="161" t="s">
        <v>36</v>
      </c>
      <c r="K10" s="158" t="s">
        <v>37</v>
      </c>
    </row>
    <row r="11" spans="1:13" ht="38.25" customHeight="1" thickBot="1" x14ac:dyDescent="0.3">
      <c r="A11" s="176"/>
      <c r="B11" s="166"/>
      <c r="C11" s="166"/>
      <c r="D11" s="166"/>
      <c r="E11" s="166"/>
      <c r="F11" s="166"/>
      <c r="G11" s="166"/>
      <c r="H11" s="166"/>
      <c r="I11" s="166"/>
      <c r="J11" s="162"/>
      <c r="K11" s="159"/>
    </row>
    <row r="12" spans="1:13" s="110" customFormat="1" x14ac:dyDescent="0.25">
      <c r="A12" s="118">
        <v>1</v>
      </c>
      <c r="B12" s="119"/>
      <c r="C12" s="160" t="str">
        <f>'SAF 011'!E20</f>
        <v>GASA HIDROFILA PIEZA X 1,8 KGS. TIPO HIDROSAN</v>
      </c>
      <c r="D12" s="160"/>
      <c r="E12" s="160"/>
      <c r="F12" s="160"/>
      <c r="G12" s="160"/>
      <c r="H12" s="116" t="s">
        <v>132</v>
      </c>
      <c r="I12" s="117" t="s">
        <v>18</v>
      </c>
      <c r="J12" s="120">
        <v>2680</v>
      </c>
      <c r="K12" s="121">
        <v>50</v>
      </c>
      <c r="M12" s="109">
        <f>+J12*K12</f>
        <v>134000</v>
      </c>
    </row>
    <row r="13" spans="1:13" ht="16.5" thickBot="1" x14ac:dyDescent="0.3">
      <c r="A13" s="99"/>
      <c r="B13" s="100"/>
      <c r="C13" s="205"/>
      <c r="D13" s="205"/>
      <c r="E13" s="205"/>
      <c r="F13" s="205"/>
      <c r="G13" s="205"/>
      <c r="H13" s="101"/>
      <c r="I13" s="102"/>
      <c r="J13" s="108"/>
      <c r="K13" s="103"/>
    </row>
    <row r="14" spans="1:13" ht="19.5" thickBot="1" x14ac:dyDescent="0.3">
      <c r="A14" s="206" t="s">
        <v>77</v>
      </c>
      <c r="B14" s="206"/>
      <c r="C14" s="206"/>
      <c r="D14" s="206"/>
      <c r="E14" s="206"/>
      <c r="F14" s="206"/>
      <c r="G14" s="206"/>
      <c r="H14" s="206"/>
      <c r="I14" s="206"/>
      <c r="J14" s="207">
        <f>+M14</f>
        <v>134000</v>
      </c>
      <c r="K14" s="207"/>
      <c r="M14" s="109">
        <f>SUM(M12:M13)</f>
        <v>134000</v>
      </c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4" workbookViewId="0">
      <selection activeCell="Q15" sqref="Q15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17.5703125" customWidth="1"/>
    <col min="17" max="17" width="14.7109375" customWidth="1"/>
  </cols>
  <sheetData>
    <row r="1" spans="1:17" ht="15.75" thickBot="1" x14ac:dyDescent="0.3">
      <c r="A1" s="198" t="s">
        <v>5</v>
      </c>
      <c r="B1" s="198"/>
      <c r="C1" s="198"/>
      <c r="D1" s="199">
        <v>2022</v>
      </c>
      <c r="E1" s="199"/>
      <c r="F1" s="51"/>
      <c r="G1" s="51"/>
      <c r="H1" s="52"/>
      <c r="I1" s="52"/>
      <c r="J1" s="52"/>
      <c r="K1" s="52"/>
      <c r="L1" s="52"/>
      <c r="M1" s="52"/>
      <c r="N1" s="52"/>
      <c r="O1" s="53"/>
      <c r="P1" s="200" t="s">
        <v>38</v>
      </c>
      <c r="Q1" s="200"/>
    </row>
    <row r="2" spans="1:17" ht="15.75" thickBot="1" x14ac:dyDescent="0.3">
      <c r="A2" s="54"/>
      <c r="B2" s="55"/>
      <c r="C2" s="55"/>
      <c r="D2" s="55"/>
      <c r="E2" s="55"/>
      <c r="F2" s="55"/>
      <c r="G2" s="56"/>
      <c r="H2" s="57"/>
      <c r="I2" s="57"/>
      <c r="J2" s="57"/>
      <c r="K2" s="57"/>
      <c r="L2" s="57"/>
      <c r="M2" s="57"/>
      <c r="N2" s="57"/>
      <c r="O2" s="55"/>
      <c r="P2" s="200"/>
      <c r="Q2" s="200"/>
    </row>
    <row r="3" spans="1:17" ht="15.75" thickBot="1" x14ac:dyDescent="0.3">
      <c r="A3" s="54"/>
      <c r="B3" s="55"/>
      <c r="C3" s="55"/>
      <c r="D3" s="55"/>
      <c r="E3" s="55"/>
      <c r="F3" s="55"/>
      <c r="G3" s="56"/>
      <c r="H3" s="55"/>
      <c r="I3" s="55"/>
      <c r="J3" s="55"/>
      <c r="K3" s="55"/>
      <c r="L3" s="55"/>
      <c r="M3" s="55"/>
      <c r="N3" s="55"/>
      <c r="O3" s="55"/>
      <c r="P3" s="55"/>
      <c r="Q3" s="58"/>
    </row>
    <row r="4" spans="1:17" ht="15.75" thickBot="1" x14ac:dyDescent="0.3">
      <c r="A4" s="201" t="s">
        <v>39</v>
      </c>
      <c r="B4" s="201"/>
      <c r="C4" s="201"/>
      <c r="D4" s="201"/>
      <c r="E4" s="201"/>
      <c r="F4" s="201"/>
      <c r="G4" s="202" t="str">
        <f>'NP SAME'!D3</f>
        <v>040 - MINISTERIO DE SALUD</v>
      </c>
      <c r="H4" s="202"/>
      <c r="I4" s="202"/>
      <c r="J4" s="202"/>
      <c r="K4" s="202"/>
      <c r="L4" s="202"/>
      <c r="M4" s="202"/>
      <c r="N4" s="202"/>
      <c r="O4" s="202"/>
      <c r="P4" s="202"/>
      <c r="Q4" s="202"/>
    </row>
    <row r="5" spans="1:17" ht="15.75" thickBot="1" x14ac:dyDescent="0.3">
      <c r="A5" s="203" t="s">
        <v>26</v>
      </c>
      <c r="B5" s="203"/>
      <c r="C5" s="203"/>
      <c r="D5" s="203"/>
      <c r="E5" s="203"/>
      <c r="F5" s="203"/>
      <c r="G5" s="202" t="str">
        <f>'NP SAME'!D4</f>
        <v>011 - DIRECCION PROVINCIAL DE ADMINISTRACION - MINISTERIO DE SALUD</v>
      </c>
      <c r="H5" s="202"/>
      <c r="I5" s="202"/>
      <c r="J5" s="202"/>
      <c r="K5" s="202"/>
      <c r="L5" s="202"/>
      <c r="M5" s="202"/>
      <c r="N5" s="202"/>
      <c r="O5" s="202"/>
      <c r="P5" s="202"/>
      <c r="Q5" s="202"/>
    </row>
    <row r="6" spans="1:17" ht="15.75" thickBot="1" x14ac:dyDescent="0.3">
      <c r="A6" s="203" t="s">
        <v>27</v>
      </c>
      <c r="B6" s="203"/>
      <c r="C6" s="203"/>
      <c r="D6" s="203"/>
      <c r="E6" s="203"/>
      <c r="F6" s="203"/>
      <c r="G6" s="202" t="str">
        <f>'NP SAME'!D5</f>
        <v>DIRECCION PROVINCIAL SISTEMA DE ATENCION MEDICA DE EMERGENCIA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</row>
    <row r="7" spans="1:17" ht="15.75" thickBot="1" x14ac:dyDescent="0.3">
      <c r="A7" s="203" t="s">
        <v>28</v>
      </c>
      <c r="B7" s="203"/>
      <c r="C7" s="203"/>
      <c r="D7" s="203"/>
      <c r="E7" s="203"/>
      <c r="F7" s="203"/>
      <c r="G7" s="202" t="str">
        <f>'NP SAME'!D6</f>
        <v>DIRECCION PROVINCIAL SISTEMA DE ATENCION MEDICA DE EMERGENCIA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</row>
    <row r="8" spans="1:17" ht="15.75" thickBot="1" x14ac:dyDescent="0.3">
      <c r="A8" s="204" t="s">
        <v>40</v>
      </c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</row>
    <row r="9" spans="1:17" ht="20.25" customHeight="1" x14ac:dyDescent="0.25">
      <c r="A9" s="197" t="s">
        <v>41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</row>
    <row r="10" spans="1:17" ht="69" customHeight="1" x14ac:dyDescent="0.25">
      <c r="A10" s="188" t="s">
        <v>75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59"/>
      <c r="B11" s="60"/>
      <c r="C11" s="60"/>
      <c r="D11" s="60"/>
      <c r="E11" s="60"/>
      <c r="F11" s="60"/>
      <c r="G11" s="61"/>
      <c r="H11" s="60"/>
      <c r="I11" s="60"/>
      <c r="J11" s="60"/>
      <c r="K11" s="60"/>
      <c r="L11" s="60"/>
      <c r="M11" s="60"/>
      <c r="N11" s="60"/>
      <c r="O11" s="60"/>
      <c r="P11" s="60"/>
      <c r="Q11" s="62"/>
    </row>
    <row r="12" spans="1:17" ht="15.75" thickBot="1" x14ac:dyDescent="0.3">
      <c r="A12" s="189" t="s">
        <v>42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43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44</v>
      </c>
      <c r="P13" s="191"/>
      <c r="Q13" s="208" t="s">
        <v>45</v>
      </c>
    </row>
    <row r="14" spans="1:17" ht="15.75" thickBot="1" x14ac:dyDescent="0.3">
      <c r="A14" s="63" t="s">
        <v>46</v>
      </c>
      <c r="B14" s="64" t="s">
        <v>47</v>
      </c>
      <c r="C14" s="64" t="s">
        <v>48</v>
      </c>
      <c r="D14" s="64" t="s">
        <v>49</v>
      </c>
      <c r="E14" s="64" t="s">
        <v>50</v>
      </c>
      <c r="F14" s="64" t="s">
        <v>51</v>
      </c>
      <c r="G14" s="65" t="s">
        <v>52</v>
      </c>
      <c r="H14" s="64" t="s">
        <v>53</v>
      </c>
      <c r="I14" s="64" t="s">
        <v>54</v>
      </c>
      <c r="J14" s="64" t="s">
        <v>55</v>
      </c>
      <c r="K14" s="64" t="s">
        <v>55</v>
      </c>
      <c r="L14" s="64" t="s">
        <v>56</v>
      </c>
      <c r="M14" s="66" t="s">
        <v>57</v>
      </c>
      <c r="N14" s="67" t="s">
        <v>58</v>
      </c>
      <c r="O14" s="191"/>
      <c r="P14" s="191"/>
      <c r="Q14" s="208"/>
    </row>
    <row r="15" spans="1:17" ht="39" customHeight="1" x14ac:dyDescent="0.25">
      <c r="A15" s="68">
        <v>31</v>
      </c>
      <c r="B15" s="69"/>
      <c r="C15" s="69"/>
      <c r="D15" s="69">
        <v>1</v>
      </c>
      <c r="E15" s="69"/>
      <c r="F15" s="69">
        <v>4901</v>
      </c>
      <c r="G15" s="69">
        <v>3</v>
      </c>
      <c r="H15" s="69">
        <v>1</v>
      </c>
      <c r="I15" s="69">
        <v>2</v>
      </c>
      <c r="J15" s="69">
        <v>9</v>
      </c>
      <c r="K15" s="69">
        <v>5</v>
      </c>
      <c r="L15" s="69"/>
      <c r="M15" s="70">
        <v>1</v>
      </c>
      <c r="N15" s="69" t="s">
        <v>69</v>
      </c>
      <c r="O15" s="193" t="s">
        <v>72</v>
      </c>
      <c r="P15" s="193"/>
      <c r="Q15" s="71">
        <f>'NP SAME'!M14</f>
        <v>134000</v>
      </c>
    </row>
    <row r="16" spans="1:17" x14ac:dyDescent="0.25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98"/>
      <c r="O16" s="180"/>
      <c r="P16" s="180"/>
      <c r="Q16" s="76"/>
    </row>
    <row r="17" spans="1:17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4"/>
      <c r="N17" s="98"/>
      <c r="O17" s="209"/>
      <c r="P17" s="209"/>
      <c r="Q17" s="76"/>
    </row>
    <row r="18" spans="1:17" x14ac:dyDescent="0.25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4"/>
      <c r="N18" s="98"/>
      <c r="O18" s="185"/>
      <c r="P18" s="185"/>
      <c r="Q18" s="76"/>
    </row>
    <row r="19" spans="1:17" x14ac:dyDescent="0.25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4"/>
      <c r="N19" s="98"/>
      <c r="O19" s="185"/>
      <c r="P19" s="185"/>
      <c r="Q19" s="76"/>
    </row>
    <row r="20" spans="1:17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4"/>
      <c r="N20" s="98"/>
      <c r="O20" s="185"/>
      <c r="P20" s="185"/>
      <c r="Q20" s="76"/>
    </row>
    <row r="21" spans="1:17" x14ac:dyDescent="0.25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98"/>
      <c r="O21" s="185"/>
      <c r="P21" s="185"/>
      <c r="Q21" s="76"/>
    </row>
    <row r="22" spans="1:17" x14ac:dyDescent="0.25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4"/>
      <c r="N22" s="98"/>
      <c r="O22" s="185"/>
      <c r="P22" s="185"/>
      <c r="Q22" s="76"/>
    </row>
    <row r="23" spans="1:17" x14ac:dyDescent="0.25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98"/>
      <c r="O23" s="185"/>
      <c r="P23" s="185"/>
      <c r="Q23" s="76"/>
    </row>
    <row r="24" spans="1:17" x14ac:dyDescent="0.25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4"/>
      <c r="N24" s="98"/>
      <c r="O24" s="185"/>
      <c r="P24" s="185"/>
      <c r="Q24" s="76"/>
    </row>
    <row r="25" spans="1:17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98"/>
      <c r="O25" s="185"/>
      <c r="P25" s="185"/>
      <c r="Q25" s="76"/>
    </row>
    <row r="26" spans="1:17" x14ac:dyDescent="0.25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  <c r="N26" s="98"/>
      <c r="O26" s="185"/>
      <c r="P26" s="185"/>
      <c r="Q26" s="76"/>
    </row>
    <row r="27" spans="1:17" x14ac:dyDescent="0.25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  <c r="N27" s="98"/>
      <c r="O27" s="185"/>
      <c r="P27" s="185"/>
      <c r="Q27" s="76"/>
    </row>
    <row r="28" spans="1:17" x14ac:dyDescent="0.25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4"/>
      <c r="N28" s="98"/>
      <c r="O28" s="185"/>
      <c r="P28" s="185"/>
      <c r="Q28" s="76"/>
    </row>
    <row r="29" spans="1:17" x14ac:dyDescent="0.25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  <c r="N29" s="98"/>
      <c r="O29" s="185"/>
      <c r="P29" s="185"/>
      <c r="Q29" s="76"/>
    </row>
    <row r="30" spans="1:17" x14ac:dyDescent="0.25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  <c r="N30" s="98"/>
      <c r="O30" s="185"/>
      <c r="P30" s="185"/>
      <c r="Q30" s="76"/>
    </row>
    <row r="31" spans="1:17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4"/>
      <c r="N31" s="98"/>
      <c r="O31" s="185"/>
      <c r="P31" s="185"/>
      <c r="Q31" s="76"/>
    </row>
    <row r="32" spans="1:17" x14ac:dyDescent="0.25">
      <c r="A32" s="72"/>
      <c r="B32" s="73"/>
      <c r="C32" s="73"/>
      <c r="D32" s="73"/>
      <c r="E32" s="73"/>
      <c r="F32" s="98"/>
      <c r="G32" s="73"/>
      <c r="H32" s="73"/>
      <c r="I32" s="73"/>
      <c r="J32" s="73"/>
      <c r="K32" s="73"/>
      <c r="L32" s="73"/>
      <c r="M32" s="74"/>
      <c r="N32" s="98"/>
      <c r="O32" s="180"/>
      <c r="P32" s="180"/>
      <c r="Q32" s="76"/>
    </row>
    <row r="33" spans="1:17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4"/>
      <c r="N33" s="98"/>
      <c r="O33" s="180"/>
      <c r="P33" s="180"/>
      <c r="Q33" s="76"/>
    </row>
    <row r="34" spans="1:17" x14ac:dyDescent="0.25">
      <c r="A34" s="72"/>
      <c r="B34" s="73"/>
      <c r="C34" s="73"/>
      <c r="D34" s="73"/>
      <c r="E34" s="73"/>
      <c r="F34" s="98"/>
      <c r="G34" s="73"/>
      <c r="H34" s="73"/>
      <c r="I34" s="73"/>
      <c r="J34" s="73"/>
      <c r="K34" s="73"/>
      <c r="L34" s="73"/>
      <c r="M34" s="74"/>
      <c r="N34" s="98"/>
      <c r="O34" s="180"/>
      <c r="P34" s="180"/>
      <c r="Q34" s="76"/>
    </row>
    <row r="35" spans="1:17" x14ac:dyDescent="0.25">
      <c r="A35" s="72"/>
      <c r="B35" s="73"/>
      <c r="C35" s="73"/>
      <c r="D35" s="73"/>
      <c r="E35" s="73"/>
      <c r="F35" s="98"/>
      <c r="G35" s="73"/>
      <c r="H35" s="73"/>
      <c r="I35" s="73"/>
      <c r="J35" s="73"/>
      <c r="K35" s="73"/>
      <c r="L35" s="73"/>
      <c r="M35" s="74"/>
      <c r="N35" s="98"/>
      <c r="O35" s="180"/>
      <c r="P35" s="180"/>
      <c r="Q35" s="76"/>
    </row>
    <row r="36" spans="1:17" x14ac:dyDescent="0.25">
      <c r="A36" s="77"/>
      <c r="B36" s="78"/>
      <c r="C36" s="78"/>
      <c r="D36" s="78"/>
      <c r="E36" s="78"/>
      <c r="F36" s="79"/>
      <c r="G36" s="78"/>
      <c r="H36" s="78"/>
      <c r="I36" s="78"/>
      <c r="J36" s="78"/>
      <c r="K36" s="78"/>
      <c r="L36" s="78"/>
      <c r="M36" s="80"/>
      <c r="N36" s="81"/>
      <c r="O36" s="181"/>
      <c r="P36" s="181"/>
      <c r="Q36" s="76"/>
    </row>
    <row r="37" spans="1:17" ht="15.75" thickBot="1" x14ac:dyDescent="0.3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4"/>
      <c r="N37" s="83"/>
      <c r="O37" s="182"/>
      <c r="P37" s="182"/>
      <c r="Q37" s="85"/>
    </row>
    <row r="38" spans="1:17" ht="15.75" thickBot="1" x14ac:dyDescent="0.3">
      <c r="A38" s="183" t="s">
        <v>78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86">
        <f>SUM(Q15:Q37)</f>
        <v>134000</v>
      </c>
    </row>
    <row r="39" spans="1:17" ht="15.75" thickBot="1" x14ac:dyDescent="0.3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77" t="s">
        <v>59</v>
      </c>
      <c r="B40" s="177"/>
      <c r="C40" s="177"/>
      <c r="D40" s="177"/>
      <c r="E40" s="177"/>
      <c r="F40" s="177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</row>
    <row r="41" spans="1:17" ht="15.75" thickBot="1" x14ac:dyDescent="0.3">
      <c r="A41" s="179" t="str">
        <f>'NP SAME'!D8</f>
        <v>ADQUISICION DEL RUBRO ESTERILIZACION</v>
      </c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</row>
    <row r="42" spans="1:17" ht="15.75" thickBot="1" x14ac:dyDescent="0.3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FARMACIA</vt:lpstr>
      <vt:lpstr>APG FARMACIA</vt:lpstr>
      <vt:lpstr>NP SAME</vt:lpstr>
      <vt:lpstr>APG 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2022-02-11T12:01:24Z</dcterms:modified>
</cp:coreProperties>
</file>