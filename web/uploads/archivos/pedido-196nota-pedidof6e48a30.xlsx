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AFFC493-F9E7-4EED-A21F-F23EEE07215B}" xr6:coauthVersionLast="46" xr6:coauthVersionMax="46" xr10:uidLastSave="{00000000-0000-0000-0000-000000000000}"/>
  <bookViews>
    <workbookView xWindow="-120" yWindow="-120" windowWidth="29040" windowHeight="15840" xr2:uid="{0E55319F-7D39-4277-93C1-100F4C670DF7}"/>
  </bookViews>
  <sheets>
    <sheet name="MINIST.SALU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AS10" i="1"/>
  <c r="R11" i="1"/>
  <c r="AS11" i="1"/>
  <c r="R12" i="1"/>
  <c r="AS12" i="1"/>
  <c r="AS27" i="1" s="1"/>
  <c r="R13" i="1"/>
  <c r="AS13" i="1"/>
  <c r="R14" i="1"/>
  <c r="AS14" i="1"/>
  <c r="R15" i="1"/>
  <c r="AS15" i="1"/>
  <c r="R16" i="1"/>
  <c r="AS16" i="1"/>
  <c r="R17" i="1"/>
  <c r="AS17" i="1"/>
  <c r="R18" i="1"/>
  <c r="AS18" i="1"/>
  <c r="R19" i="1"/>
  <c r="AS19" i="1"/>
  <c r="R20" i="1"/>
  <c r="AS20" i="1"/>
  <c r="R21" i="1"/>
  <c r="AS21" i="1"/>
  <c r="R22" i="1"/>
  <c r="AS22" i="1"/>
  <c r="R23" i="1"/>
  <c r="AS23" i="1"/>
  <c r="R24" i="1"/>
  <c r="AS24" i="1"/>
  <c r="R25" i="1"/>
  <c r="AS25" i="1"/>
  <c r="R26" i="1"/>
  <c r="AS26" i="1"/>
  <c r="P27" i="1"/>
  <c r="R27" i="1"/>
  <c r="T27" i="1"/>
  <c r="Z27" i="1"/>
  <c r="AF27" i="1"/>
  <c r="AJ27" i="1"/>
</calcChain>
</file>

<file path=xl/sharedStrings.xml><?xml version="1.0" encoding="utf-8"?>
<sst xmlns="http://schemas.openxmlformats.org/spreadsheetml/2006/main" count="132" uniqueCount="84">
  <si>
    <t>cuarenta y cinco (45) días</t>
  </si>
  <si>
    <t>Mantenimiento</t>
  </si>
  <si>
    <t>Calidad Minima esperada</t>
  </si>
  <si>
    <t>DIR. PROV. DE FARMACIA E INSUMOS - CHACABUCO N° 169 - en el horario de 8:00hs a 12:00hs de lunes a viernes</t>
  </si>
  <si>
    <t>Lugar de Entrega:</t>
  </si>
  <si>
    <t>veinte (20) dias habiles</t>
  </si>
  <si>
    <t>Plazos de entrega</t>
  </si>
  <si>
    <t>Descripción técnica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</si>
  <si>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</si>
  <si>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 xml:space="preserve">Especificidades </t>
  </si>
  <si>
    <t>TOTAL</t>
  </si>
  <si>
    <t>UNIDAD</t>
  </si>
  <si>
    <t>TUBO ENDOTRAQUEAL CON BALON Nº 81/2</t>
  </si>
  <si>
    <t>2.9.5</t>
  </si>
  <si>
    <t>PROD.MEDICOS/FARMACEUTICOS/LAB.</t>
  </si>
  <si>
    <t>TUBO ENDOTRAQUEAL CON BALON Nº 8</t>
  </si>
  <si>
    <t>TUBO ENDOTRAQUEAL CON BALON Nº 71/2</t>
  </si>
  <si>
    <t>TUBO ENDOTRAQUEAL CON BALON Nº 7</t>
  </si>
  <si>
    <t>SONDA RECTAL ADULTO N°26</t>
  </si>
  <si>
    <t>SONDA PARA INTUBACION GASTRICA K10</t>
  </si>
  <si>
    <t>SONDA PARA INTUBACION GASTRICA K 9</t>
  </si>
  <si>
    <t>SONDA PARA ASPIRACION MUCUS  K32P CON REGULADOR</t>
  </si>
  <si>
    <t>SONDA NASOGASTRICA  K30</t>
  </si>
  <si>
    <t>SONDA FOLEY DOBLE VIA DE LATEX RECUBIERTA CON SILICONA Nº 18</t>
  </si>
  <si>
    <t>SONDA FOLEY DOBLE VIA DE LATEX RECUBIERTA CON SILICONA  Nº 16</t>
  </si>
  <si>
    <t>SONDA FOLEY DOBLE VIA DE LATEX RECUBIERTA CON SILICONA  Nº 14</t>
  </si>
  <si>
    <t>REGULADOR DE FLUJO TIPO T/2763</t>
  </si>
  <si>
    <t>MASCARA CON BOLSA RESERVORIO</t>
  </si>
  <si>
    <t>LLAVE DE TRES VIAS</t>
  </si>
  <si>
    <t>EQUIPO PARA ADMINISTRACION DE SOLUCIONES MICROGOTERO TIPO V-17 CON ROLLER</t>
  </si>
  <si>
    <t>CANULA NASAL PARA OXIGENOTERAPIA ADULTO</t>
  </si>
  <si>
    <t xml:space="preserve">IMPORTE TOTAL ESTIMADO </t>
  </si>
  <si>
    <t>PRECIO UNITARIO ESTIMADO</t>
  </si>
  <si>
    <t>CANTIDAD TOTAL</t>
  </si>
  <si>
    <t>TOTAL DPAS</t>
  </si>
  <si>
    <t>AREAS Y DPAS</t>
  </si>
  <si>
    <t>TOTAL SALUD MENTAL</t>
  </si>
  <si>
    <t>SALUD MENTAL</t>
  </si>
  <si>
    <t>TOTAL PLANIFICA</t>
  </si>
  <si>
    <t>PLANIFICACION</t>
  </si>
  <si>
    <t>TOTAL CUR</t>
  </si>
  <si>
    <t>CUR</t>
  </si>
  <si>
    <t xml:space="preserve">TOTAL SUMAR </t>
  </si>
  <si>
    <t>SUMAR</t>
  </si>
  <si>
    <t>TOTAL DE VECT Y ZOON</t>
  </si>
  <si>
    <t>VECTORES Y ZOONOSIS</t>
  </si>
  <si>
    <t>TOTAL SALUD Y MEDIO AMBIENTE</t>
  </si>
  <si>
    <t>SALUD Y MEDIO AMBIENTE</t>
  </si>
  <si>
    <t>TOTAL SEC EN ASIS EN SAL</t>
  </si>
  <si>
    <t>SEC DE ASIST EN SALUD PUB</t>
  </si>
  <si>
    <t xml:space="preserve">total maternidad </t>
  </si>
  <si>
    <t>maternidade e infancia</t>
  </si>
  <si>
    <t>HOSPITAL MALBRAN</t>
  </si>
  <si>
    <t>MALBRAN</t>
  </si>
  <si>
    <t>TOTAL DE SAME</t>
  </si>
  <si>
    <t>SAME</t>
  </si>
  <si>
    <t>TOTAL DE ODONTOLOG</t>
  </si>
  <si>
    <t>ODONTOLOGIA</t>
  </si>
  <si>
    <t>TOTAL FARMACIA</t>
  </si>
  <si>
    <t>FARMACIA</t>
  </si>
  <si>
    <t>TOTAL DE DIR DE CANCER</t>
  </si>
  <si>
    <t xml:space="preserve">DIR DE CANCER </t>
  </si>
  <si>
    <t>TOTAL ATENCION PRI</t>
  </si>
  <si>
    <t>ATENCION PRIMARIA</t>
  </si>
  <si>
    <t xml:space="preserve">TOTAL BANCO DE SANGRE </t>
  </si>
  <si>
    <t xml:space="preserve">BCO DE SANGRE </t>
  </si>
  <si>
    <t>TOTAL DE LAB CENTRAL</t>
  </si>
  <si>
    <t>DIR. LAB. CENTRAL</t>
  </si>
  <si>
    <t>TOTAL DIR DE ADM</t>
  </si>
  <si>
    <t>DIR. ADM.</t>
  </si>
  <si>
    <t>UNIDAD DE MEDIDA</t>
  </si>
  <si>
    <t>DESCRIPCION</t>
  </si>
  <si>
    <t xml:space="preserve">I.P.P. </t>
  </si>
  <si>
    <t>RUBRO DE COMPRA</t>
  </si>
  <si>
    <t>CODIGO ITEM</t>
  </si>
  <si>
    <t>ID</t>
  </si>
  <si>
    <t>SEGUNDO TRIMESTRE</t>
  </si>
  <si>
    <t>TRIMESTRE:</t>
  </si>
  <si>
    <t>EJERCICIO:</t>
  </si>
  <si>
    <t>11 - DIR. PROV DE ADMINISTRACION - MINISTERIO DE SALUD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</si>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</sst>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[$$-2C0A]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0" fillId="0" borderId="0" xfId="0" applyNumberFormat="1"/>
    <xf numFmtId="164" fontId="5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4" fontId="8" fillId="0" borderId="1" xfId="0" applyNumberFormat="1" applyFont="1" applyBorder="1" applyAlignment="1">
      <alignment horizontal="right" vertical="center" wrapText="1"/>
    </xf>
    <xf numFmtId="164" fontId="3" fillId="0" borderId="1" xfId="1" applyNumberFormat="1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1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3" fontId="3" fillId="3" borderId="1" xfId="0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CEFC-D4A2-426E-BC00-7C0EAB24F85B}">
  <dimension ref="A1:AU45"/>
  <sheetViews>
    <sheetView tabSelected="1" workbookViewId="0">
      <selection activeCell="F28" sqref="F28"/>
    </sheetView>
  </sheetViews>
  <sheetFormatPr baseColWidth="10" defaultRowHeight="15" x14ac:dyDescent="0.25"/>
  <cols>
    <col min="1" max="1" width="6.42578125" customWidth="1"/>
    <col min="2" max="2" width="16" customWidth="1"/>
    <col min="3" max="3" width="36.28515625" customWidth="1"/>
    <col min="4" max="4" width="8.42578125" customWidth="1"/>
    <col min="5" max="5" width="54.28515625" customWidth="1"/>
    <col min="6" max="6" width="16.42578125" customWidth="1"/>
    <col min="7" max="42" width="0" hidden="1" customWidth="1"/>
    <col min="43" max="43" width="16.42578125" customWidth="1"/>
    <col min="44" max="44" width="24.5703125" customWidth="1"/>
    <col min="45" max="45" width="22.5703125" customWidth="1"/>
  </cols>
  <sheetData>
    <row r="1" spans="1:47" x14ac:dyDescent="0.25">
      <c r="A1" s="57">
        <v>2021</v>
      </c>
      <c r="B1" s="11"/>
      <c r="C1" s="10"/>
      <c r="D1" s="5"/>
      <c r="E1" s="9"/>
      <c r="F1" s="5"/>
      <c r="G1" s="5"/>
      <c r="H1" s="5"/>
      <c r="I1" s="5"/>
      <c r="J1" s="5"/>
      <c r="K1" s="7"/>
      <c r="L1" s="8"/>
      <c r="M1" s="6"/>
      <c r="N1" s="5"/>
      <c r="O1" s="7"/>
      <c r="P1" s="5"/>
      <c r="Q1" s="6"/>
      <c r="R1" s="5"/>
      <c r="S1" s="7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4"/>
      <c r="AR1" s="3"/>
      <c r="AS1" s="2"/>
      <c r="AT1" s="1"/>
    </row>
    <row r="2" spans="1:47" ht="25.5" x14ac:dyDescent="0.35">
      <c r="A2" s="10"/>
      <c r="B2" s="56" t="s">
        <v>83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5"/>
      <c r="AR2" s="54"/>
      <c r="AS2" s="2"/>
      <c r="AT2" s="1"/>
    </row>
    <row r="3" spans="1:47" x14ac:dyDescent="0.25">
      <c r="A3" s="10"/>
      <c r="B3" s="11"/>
      <c r="C3" s="10"/>
      <c r="D3" s="5"/>
      <c r="E3" s="9"/>
      <c r="F3" s="5"/>
      <c r="G3" s="5"/>
      <c r="H3" s="5"/>
      <c r="I3" s="5"/>
      <c r="J3" s="5"/>
      <c r="K3" s="7"/>
      <c r="L3" s="8"/>
      <c r="M3" s="6"/>
      <c r="N3" s="5"/>
      <c r="O3" s="7"/>
      <c r="P3" s="5"/>
      <c r="Q3" s="6"/>
      <c r="R3" s="5"/>
      <c r="S3" s="7"/>
      <c r="T3" s="5"/>
      <c r="U3" s="6"/>
      <c r="V3" s="5"/>
      <c r="W3" s="6"/>
      <c r="X3" s="5"/>
      <c r="Y3" s="6"/>
      <c r="Z3" s="5"/>
      <c r="AA3" s="6"/>
      <c r="AB3" s="5"/>
      <c r="AC3" s="6"/>
      <c r="AD3" s="5"/>
      <c r="AE3" s="6"/>
      <c r="AF3" s="5"/>
      <c r="AG3" s="6"/>
      <c r="AH3" s="5"/>
      <c r="AI3" s="6"/>
      <c r="AJ3" s="5"/>
      <c r="AK3" s="6"/>
      <c r="AL3" s="5"/>
      <c r="AM3" s="6"/>
      <c r="AN3" s="5"/>
      <c r="AO3" s="6"/>
      <c r="AP3" s="5"/>
      <c r="AQ3" s="4"/>
      <c r="AR3" s="3"/>
      <c r="AS3" s="2"/>
      <c r="AT3" s="1"/>
    </row>
    <row r="4" spans="1:47" ht="15.75" x14ac:dyDescent="0.25">
      <c r="A4" s="52" t="s">
        <v>82</v>
      </c>
      <c r="B4" s="52"/>
      <c r="C4" s="53" t="s">
        <v>81</v>
      </c>
      <c r="D4" s="53"/>
      <c r="E4" s="53"/>
      <c r="F4" s="43"/>
      <c r="G4" s="43"/>
      <c r="H4" s="43"/>
      <c r="I4" s="43"/>
      <c r="J4" s="43"/>
      <c r="K4" s="45"/>
      <c r="L4" s="46"/>
      <c r="M4" s="44"/>
      <c r="N4" s="43"/>
      <c r="O4" s="45"/>
      <c r="P4" s="43"/>
      <c r="Q4" s="44"/>
      <c r="R4" s="43"/>
      <c r="S4" s="45"/>
      <c r="T4" s="43"/>
      <c r="U4" s="44"/>
      <c r="V4" s="43"/>
      <c r="W4" s="44"/>
      <c r="X4" s="43"/>
      <c r="Y4" s="44"/>
      <c r="Z4" s="43"/>
      <c r="AA4" s="44"/>
      <c r="AB4" s="43"/>
      <c r="AC4" s="44"/>
      <c r="AD4" s="43"/>
      <c r="AE4" s="44"/>
      <c r="AF4" s="43"/>
      <c r="AG4" s="44"/>
      <c r="AH4" s="43"/>
      <c r="AI4" s="44"/>
      <c r="AJ4" s="43"/>
      <c r="AK4" s="44"/>
      <c r="AL4" s="43"/>
      <c r="AM4" s="44"/>
      <c r="AN4" s="43"/>
      <c r="AO4" s="44"/>
      <c r="AP4" s="43"/>
      <c r="AQ4" s="42"/>
      <c r="AR4" s="3"/>
      <c r="AS4" s="2"/>
      <c r="AT4" s="1"/>
    </row>
    <row r="5" spans="1:47" ht="15.75" x14ac:dyDescent="0.25">
      <c r="A5" s="52" t="s">
        <v>80</v>
      </c>
      <c r="B5" s="52"/>
      <c r="C5" s="53" t="s">
        <v>79</v>
      </c>
      <c r="D5" s="53"/>
      <c r="E5" s="53"/>
      <c r="F5" s="43"/>
      <c r="G5" s="43"/>
      <c r="H5" s="43"/>
      <c r="I5" s="43"/>
      <c r="J5" s="43"/>
      <c r="K5" s="45"/>
      <c r="L5" s="46"/>
      <c r="M5" s="44"/>
      <c r="N5" s="43"/>
      <c r="O5" s="45"/>
      <c r="P5" s="43"/>
      <c r="Q5" s="44"/>
      <c r="R5" s="43"/>
      <c r="S5" s="45"/>
      <c r="T5" s="43"/>
      <c r="U5" s="44"/>
      <c r="V5" s="43"/>
      <c r="W5" s="44"/>
      <c r="X5" s="43"/>
      <c r="Y5" s="44"/>
      <c r="Z5" s="43"/>
      <c r="AA5" s="44"/>
      <c r="AB5" s="43"/>
      <c r="AC5" s="44"/>
      <c r="AD5" s="43"/>
      <c r="AE5" s="44"/>
      <c r="AF5" s="43"/>
      <c r="AG5" s="44"/>
      <c r="AH5" s="43"/>
      <c r="AI5" s="44"/>
      <c r="AJ5" s="43"/>
      <c r="AK5" s="44"/>
      <c r="AL5" s="43"/>
      <c r="AM5" s="44"/>
      <c r="AN5" s="43"/>
      <c r="AO5" s="44"/>
      <c r="AP5" s="43"/>
      <c r="AQ5" s="42"/>
      <c r="AR5" s="3"/>
      <c r="AS5" s="2"/>
      <c r="AT5" s="1"/>
    </row>
    <row r="6" spans="1:47" ht="15.75" x14ac:dyDescent="0.25">
      <c r="A6" s="52" t="s">
        <v>78</v>
      </c>
      <c r="B6" s="52"/>
      <c r="C6" s="51">
        <v>2021</v>
      </c>
      <c r="D6" s="50"/>
      <c r="E6" s="49"/>
      <c r="F6" s="43"/>
      <c r="G6" s="43"/>
      <c r="H6" s="43"/>
      <c r="I6" s="43"/>
      <c r="J6" s="43"/>
      <c r="K6" s="45"/>
      <c r="L6" s="46"/>
      <c r="M6" s="44"/>
      <c r="N6" s="43"/>
      <c r="O6" s="45"/>
      <c r="P6" s="43"/>
      <c r="Q6" s="44"/>
      <c r="R6" s="43"/>
      <c r="S6" s="45"/>
      <c r="T6" s="43"/>
      <c r="U6" s="44"/>
      <c r="V6" s="43"/>
      <c r="W6" s="44"/>
      <c r="X6" s="43"/>
      <c r="Y6" s="44"/>
      <c r="Z6" s="43"/>
      <c r="AA6" s="44"/>
      <c r="AB6" s="43"/>
      <c r="AC6" s="44"/>
      <c r="AD6" s="43"/>
      <c r="AE6" s="44"/>
      <c r="AF6" s="43"/>
      <c r="AG6" s="44"/>
      <c r="AH6" s="43"/>
      <c r="AI6" s="44"/>
      <c r="AJ6" s="43"/>
      <c r="AK6" s="44"/>
      <c r="AL6" s="43"/>
      <c r="AM6" s="44"/>
      <c r="AN6" s="43"/>
      <c r="AO6" s="44"/>
      <c r="AP6" s="43"/>
      <c r="AQ6" s="42"/>
      <c r="AR6" s="3"/>
      <c r="AS6" s="2"/>
      <c r="AT6" s="1"/>
    </row>
    <row r="7" spans="1:47" ht="15.75" x14ac:dyDescent="0.25">
      <c r="A7" s="52" t="s">
        <v>77</v>
      </c>
      <c r="B7" s="52"/>
      <c r="C7" s="51" t="s">
        <v>76</v>
      </c>
      <c r="D7" s="50"/>
      <c r="E7" s="49"/>
      <c r="F7" s="43"/>
      <c r="G7" s="43"/>
      <c r="H7" s="43"/>
      <c r="I7" s="43"/>
      <c r="J7" s="43"/>
      <c r="K7" s="45"/>
      <c r="L7" s="46"/>
      <c r="M7" s="44"/>
      <c r="N7" s="43"/>
      <c r="O7" s="45"/>
      <c r="P7" s="43"/>
      <c r="Q7" s="44"/>
      <c r="R7" s="43"/>
      <c r="S7" s="45"/>
      <c r="T7" s="43"/>
      <c r="U7" s="44"/>
      <c r="V7" s="43"/>
      <c r="W7" s="44"/>
      <c r="X7" s="43"/>
      <c r="Y7" s="44"/>
      <c r="Z7" s="43"/>
      <c r="AA7" s="44"/>
      <c r="AB7" s="43"/>
      <c r="AC7" s="44"/>
      <c r="AD7" s="43"/>
      <c r="AE7" s="44"/>
      <c r="AF7" s="43"/>
      <c r="AG7" s="44"/>
      <c r="AH7" s="43"/>
      <c r="AI7" s="44"/>
      <c r="AJ7" s="43"/>
      <c r="AK7" s="44"/>
      <c r="AL7" s="43"/>
      <c r="AM7" s="44"/>
      <c r="AN7" s="43"/>
      <c r="AO7" s="44"/>
      <c r="AP7" s="43"/>
      <c r="AQ7" s="42"/>
      <c r="AR7" s="3"/>
      <c r="AS7" s="2"/>
      <c r="AT7" s="1"/>
    </row>
    <row r="8" spans="1:47" x14ac:dyDescent="0.25">
      <c r="A8" s="10"/>
      <c r="B8" s="48"/>
      <c r="C8" s="47"/>
      <c r="D8" s="43"/>
      <c r="E8" s="47"/>
      <c r="F8" s="43"/>
      <c r="G8" s="43"/>
      <c r="H8" s="43"/>
      <c r="I8" s="43"/>
      <c r="J8" s="43"/>
      <c r="K8" s="45"/>
      <c r="L8" s="46"/>
      <c r="M8" s="44"/>
      <c r="N8" s="43"/>
      <c r="O8" s="45"/>
      <c r="P8" s="43"/>
      <c r="Q8" s="44"/>
      <c r="R8" s="43"/>
      <c r="S8" s="45"/>
      <c r="T8" s="43"/>
      <c r="U8" s="44"/>
      <c r="V8" s="43"/>
      <c r="W8" s="44"/>
      <c r="X8" s="43"/>
      <c r="Y8" s="44"/>
      <c r="Z8" s="43"/>
      <c r="AA8" s="44"/>
      <c r="AB8" s="43"/>
      <c r="AC8" s="44"/>
      <c r="AD8" s="43"/>
      <c r="AE8" s="44"/>
      <c r="AF8" s="43"/>
      <c r="AG8" s="44"/>
      <c r="AH8" s="43"/>
      <c r="AI8" s="44"/>
      <c r="AJ8" s="43"/>
      <c r="AK8" s="44"/>
      <c r="AL8" s="43"/>
      <c r="AM8" s="44"/>
      <c r="AN8" s="43"/>
      <c r="AO8" s="44"/>
      <c r="AP8" s="43"/>
      <c r="AQ8" s="42"/>
      <c r="AR8" s="3"/>
      <c r="AS8" s="2"/>
      <c r="AT8" s="1"/>
    </row>
    <row r="9" spans="1:47" ht="57" x14ac:dyDescent="0.25">
      <c r="A9" s="41" t="s">
        <v>75</v>
      </c>
      <c r="B9" s="41" t="s">
        <v>74</v>
      </c>
      <c r="C9" s="38" t="s">
        <v>73</v>
      </c>
      <c r="D9" s="41" t="s">
        <v>72</v>
      </c>
      <c r="E9" s="38" t="s">
        <v>71</v>
      </c>
      <c r="F9" s="38" t="s">
        <v>70</v>
      </c>
      <c r="G9" s="38" t="s">
        <v>69</v>
      </c>
      <c r="H9" s="38" t="s">
        <v>68</v>
      </c>
      <c r="I9" s="38" t="s">
        <v>67</v>
      </c>
      <c r="J9" s="38" t="s">
        <v>66</v>
      </c>
      <c r="K9" s="39" t="s">
        <v>65</v>
      </c>
      <c r="L9" s="40" t="s">
        <v>64</v>
      </c>
      <c r="M9" s="37" t="s">
        <v>63</v>
      </c>
      <c r="N9" s="38" t="s">
        <v>62</v>
      </c>
      <c r="O9" s="39" t="s">
        <v>61</v>
      </c>
      <c r="P9" s="38" t="s">
        <v>60</v>
      </c>
      <c r="Q9" s="37" t="s">
        <v>59</v>
      </c>
      <c r="R9" s="38" t="s">
        <v>58</v>
      </c>
      <c r="S9" s="39" t="s">
        <v>57</v>
      </c>
      <c r="T9" s="38" t="s">
        <v>56</v>
      </c>
      <c r="U9" s="37" t="s">
        <v>55</v>
      </c>
      <c r="V9" s="38" t="s">
        <v>54</v>
      </c>
      <c r="W9" s="37" t="s">
        <v>53</v>
      </c>
      <c r="X9" s="38" t="s">
        <v>52</v>
      </c>
      <c r="Y9" s="37" t="s">
        <v>51</v>
      </c>
      <c r="Z9" s="38" t="s">
        <v>50</v>
      </c>
      <c r="AA9" s="37" t="s">
        <v>49</v>
      </c>
      <c r="AB9" s="38" t="s">
        <v>48</v>
      </c>
      <c r="AC9" s="37" t="s">
        <v>47</v>
      </c>
      <c r="AD9" s="38" t="s">
        <v>46</v>
      </c>
      <c r="AE9" s="37" t="s">
        <v>45</v>
      </c>
      <c r="AF9" s="38" t="s">
        <v>44</v>
      </c>
      <c r="AG9" s="37" t="s">
        <v>43</v>
      </c>
      <c r="AH9" s="38" t="s">
        <v>42</v>
      </c>
      <c r="AI9" s="37" t="s">
        <v>41</v>
      </c>
      <c r="AJ9" s="38" t="s">
        <v>40</v>
      </c>
      <c r="AK9" s="37" t="s">
        <v>39</v>
      </c>
      <c r="AL9" s="38" t="s">
        <v>38</v>
      </c>
      <c r="AM9" s="37" t="s">
        <v>37</v>
      </c>
      <c r="AN9" s="38" t="s">
        <v>36</v>
      </c>
      <c r="AO9" s="37" t="s">
        <v>35</v>
      </c>
      <c r="AP9" s="38" t="s">
        <v>34</v>
      </c>
      <c r="AQ9" s="37" t="s">
        <v>33</v>
      </c>
      <c r="AR9" s="36" t="s">
        <v>32</v>
      </c>
      <c r="AS9" s="35" t="s">
        <v>31</v>
      </c>
      <c r="AT9" s="1"/>
    </row>
    <row r="10" spans="1:47" x14ac:dyDescent="0.25">
      <c r="A10" s="33">
        <v>13</v>
      </c>
      <c r="B10" s="26"/>
      <c r="C10" s="32" t="s">
        <v>14</v>
      </c>
      <c r="D10" s="31" t="s">
        <v>13</v>
      </c>
      <c r="E10" s="30" t="s">
        <v>30</v>
      </c>
      <c r="F10" s="19" t="s">
        <v>11</v>
      </c>
      <c r="G10" s="19"/>
      <c r="H10" s="19"/>
      <c r="I10" s="19"/>
      <c r="J10" s="19"/>
      <c r="K10" s="22"/>
      <c r="L10" s="23"/>
      <c r="M10" s="20"/>
      <c r="N10" s="19"/>
      <c r="O10" s="22"/>
      <c r="P10" s="19"/>
      <c r="Q10" s="20">
        <v>500</v>
      </c>
      <c r="R10" s="29">
        <f>+Q10*AR10</f>
        <v>26000</v>
      </c>
      <c r="S10" s="22"/>
      <c r="T10" s="19"/>
      <c r="U10" s="20"/>
      <c r="V10" s="19"/>
      <c r="W10" s="20"/>
      <c r="X10" s="19"/>
      <c r="Y10" s="20"/>
      <c r="Z10" s="19"/>
      <c r="AA10" s="20"/>
      <c r="AB10" s="19"/>
      <c r="AC10" s="20"/>
      <c r="AD10" s="19"/>
      <c r="AE10" s="20"/>
      <c r="AF10" s="19"/>
      <c r="AG10" s="20"/>
      <c r="AH10" s="19"/>
      <c r="AI10" s="20"/>
      <c r="AJ10" s="19"/>
      <c r="AK10" s="20"/>
      <c r="AL10" s="19"/>
      <c r="AM10" s="20"/>
      <c r="AN10" s="19"/>
      <c r="AO10" s="20"/>
      <c r="AP10" s="19"/>
      <c r="AQ10" s="20">
        <v>500</v>
      </c>
      <c r="AR10" s="17">
        <v>52</v>
      </c>
      <c r="AS10" s="27">
        <f>+AR10*AQ10</f>
        <v>26000</v>
      </c>
      <c r="AT10" s="1"/>
      <c r="AU10" s="15"/>
    </row>
    <row r="11" spans="1:47" ht="25.5" x14ac:dyDescent="0.25">
      <c r="A11" s="33">
        <v>14</v>
      </c>
      <c r="B11" s="26"/>
      <c r="C11" s="32" t="s">
        <v>14</v>
      </c>
      <c r="D11" s="31" t="s">
        <v>13</v>
      </c>
      <c r="E11" s="30" t="s">
        <v>29</v>
      </c>
      <c r="F11" s="19" t="s">
        <v>11</v>
      </c>
      <c r="G11" s="19"/>
      <c r="H11" s="19"/>
      <c r="I11" s="19"/>
      <c r="J11" s="19"/>
      <c r="K11" s="22"/>
      <c r="L11" s="23"/>
      <c r="M11" s="20"/>
      <c r="N11" s="19"/>
      <c r="O11" s="22"/>
      <c r="P11" s="19"/>
      <c r="Q11" s="20">
        <v>3000</v>
      </c>
      <c r="R11" s="29">
        <f>+Q11*AR11</f>
        <v>100800</v>
      </c>
      <c r="S11" s="22"/>
      <c r="T11" s="19"/>
      <c r="U11" s="20"/>
      <c r="V11" s="19"/>
      <c r="W11" s="20"/>
      <c r="X11" s="19"/>
      <c r="Y11" s="20"/>
      <c r="Z11" s="19"/>
      <c r="AA11" s="20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>
        <v>3000</v>
      </c>
      <c r="AR11" s="17">
        <v>33.6</v>
      </c>
      <c r="AS11" s="27">
        <f>+AR11*AQ11</f>
        <v>100800</v>
      </c>
      <c r="AT11" s="1"/>
      <c r="AU11" s="15"/>
    </row>
    <row r="12" spans="1:47" x14ac:dyDescent="0.25">
      <c r="A12" s="33">
        <v>15</v>
      </c>
      <c r="B12" s="26"/>
      <c r="C12" s="32" t="s">
        <v>14</v>
      </c>
      <c r="D12" s="31" t="s">
        <v>13</v>
      </c>
      <c r="E12" s="30" t="s">
        <v>28</v>
      </c>
      <c r="F12" s="19" t="s">
        <v>11</v>
      </c>
      <c r="G12" s="19"/>
      <c r="H12" s="19"/>
      <c r="I12" s="19"/>
      <c r="J12" s="19"/>
      <c r="K12" s="22"/>
      <c r="L12" s="23"/>
      <c r="M12" s="20"/>
      <c r="N12" s="19"/>
      <c r="O12" s="22"/>
      <c r="P12" s="19"/>
      <c r="Q12" s="20">
        <v>3000</v>
      </c>
      <c r="R12" s="29">
        <f>+Q12*AR12</f>
        <v>75000</v>
      </c>
      <c r="S12" s="22"/>
      <c r="T12" s="19"/>
      <c r="U12" s="20"/>
      <c r="V12" s="19"/>
      <c r="W12" s="20"/>
      <c r="X12" s="19"/>
      <c r="Y12" s="20"/>
      <c r="Z12" s="19"/>
      <c r="AA12" s="20"/>
      <c r="AB12" s="19"/>
      <c r="AC12" s="20"/>
      <c r="AD12" s="19"/>
      <c r="AE12" s="20"/>
      <c r="AF12" s="19"/>
      <c r="AG12" s="20"/>
      <c r="AH12" s="19"/>
      <c r="AI12" s="20"/>
      <c r="AJ12" s="19"/>
      <c r="AK12" s="20"/>
      <c r="AL12" s="19"/>
      <c r="AM12" s="20"/>
      <c r="AN12" s="19"/>
      <c r="AO12" s="20"/>
      <c r="AP12" s="19"/>
      <c r="AQ12" s="20">
        <v>3000</v>
      </c>
      <c r="AR12" s="17">
        <v>25</v>
      </c>
      <c r="AS12" s="27">
        <f>+AR12*AQ12</f>
        <v>75000</v>
      </c>
      <c r="AT12" s="1"/>
      <c r="AU12" s="15"/>
    </row>
    <row r="13" spans="1:47" x14ac:dyDescent="0.25">
      <c r="A13" s="33">
        <v>16</v>
      </c>
      <c r="B13" s="26"/>
      <c r="C13" s="32" t="s">
        <v>14</v>
      </c>
      <c r="D13" s="31" t="s">
        <v>13</v>
      </c>
      <c r="E13" s="30" t="s">
        <v>27</v>
      </c>
      <c r="F13" s="19" t="s">
        <v>11</v>
      </c>
      <c r="G13" s="19"/>
      <c r="H13" s="19"/>
      <c r="I13" s="19"/>
      <c r="J13" s="19"/>
      <c r="K13" s="22"/>
      <c r="L13" s="23"/>
      <c r="M13" s="20"/>
      <c r="N13" s="19"/>
      <c r="O13" s="22"/>
      <c r="P13" s="19"/>
      <c r="Q13" s="34">
        <v>500</v>
      </c>
      <c r="R13" s="29">
        <f>+Q13*AR13</f>
        <v>123300</v>
      </c>
      <c r="S13" s="22"/>
      <c r="T13" s="19"/>
      <c r="U13" s="20"/>
      <c r="V13" s="19"/>
      <c r="W13" s="20"/>
      <c r="X13" s="19"/>
      <c r="Y13" s="20"/>
      <c r="Z13" s="19"/>
      <c r="AA13" s="20"/>
      <c r="AB13" s="19"/>
      <c r="AC13" s="20"/>
      <c r="AD13" s="19"/>
      <c r="AE13" s="20"/>
      <c r="AF13" s="19"/>
      <c r="AG13" s="20"/>
      <c r="AH13" s="19"/>
      <c r="AI13" s="20"/>
      <c r="AJ13" s="19"/>
      <c r="AK13" s="20"/>
      <c r="AL13" s="19"/>
      <c r="AM13" s="20"/>
      <c r="AN13" s="19"/>
      <c r="AO13" s="20"/>
      <c r="AP13" s="19"/>
      <c r="AQ13" s="34">
        <v>500</v>
      </c>
      <c r="AR13" s="17">
        <v>246.6</v>
      </c>
      <c r="AS13" s="27">
        <f>+AR13*AQ13</f>
        <v>123300</v>
      </c>
      <c r="AT13" s="1"/>
      <c r="AU13" s="15"/>
    </row>
    <row r="14" spans="1:47" x14ac:dyDescent="0.25">
      <c r="A14" s="33">
        <v>17</v>
      </c>
      <c r="B14" s="26"/>
      <c r="C14" s="32" t="s">
        <v>14</v>
      </c>
      <c r="D14" s="31" t="s">
        <v>13</v>
      </c>
      <c r="E14" s="30" t="s">
        <v>26</v>
      </c>
      <c r="F14" s="19" t="s">
        <v>11</v>
      </c>
      <c r="G14" s="19"/>
      <c r="H14" s="19"/>
      <c r="I14" s="19"/>
      <c r="J14" s="19"/>
      <c r="K14" s="22"/>
      <c r="L14" s="23"/>
      <c r="M14" s="20"/>
      <c r="N14" s="19"/>
      <c r="O14" s="22"/>
      <c r="P14" s="19"/>
      <c r="Q14" s="20">
        <v>300</v>
      </c>
      <c r="R14" s="29">
        <f>+Q14*AR14</f>
        <v>28500</v>
      </c>
      <c r="S14" s="22"/>
      <c r="T14" s="19"/>
      <c r="U14" s="20"/>
      <c r="V14" s="19"/>
      <c r="W14" s="20"/>
      <c r="X14" s="19"/>
      <c r="Y14" s="20"/>
      <c r="Z14" s="19"/>
      <c r="AA14" s="20"/>
      <c r="AB14" s="19"/>
      <c r="AC14" s="20"/>
      <c r="AD14" s="19"/>
      <c r="AE14" s="20"/>
      <c r="AF14" s="19"/>
      <c r="AG14" s="20"/>
      <c r="AH14" s="19"/>
      <c r="AI14" s="20"/>
      <c r="AJ14" s="19"/>
      <c r="AK14" s="20"/>
      <c r="AL14" s="19"/>
      <c r="AM14" s="20"/>
      <c r="AN14" s="19"/>
      <c r="AO14" s="20"/>
      <c r="AP14" s="19"/>
      <c r="AQ14" s="20">
        <v>300</v>
      </c>
      <c r="AR14" s="17">
        <v>95</v>
      </c>
      <c r="AS14" s="27">
        <f>+AR14*AQ14</f>
        <v>28500</v>
      </c>
      <c r="AT14" s="1"/>
      <c r="AU14" s="15"/>
    </row>
    <row r="15" spans="1:47" ht="25.5" x14ac:dyDescent="0.25">
      <c r="A15" s="33">
        <v>18</v>
      </c>
      <c r="B15" s="26"/>
      <c r="C15" s="32" t="s">
        <v>14</v>
      </c>
      <c r="D15" s="31" t="s">
        <v>13</v>
      </c>
      <c r="E15" s="30" t="s">
        <v>25</v>
      </c>
      <c r="F15" s="19" t="s">
        <v>11</v>
      </c>
      <c r="G15" s="19"/>
      <c r="H15" s="19"/>
      <c r="I15" s="19"/>
      <c r="J15" s="19"/>
      <c r="K15" s="22"/>
      <c r="L15" s="23"/>
      <c r="M15" s="20"/>
      <c r="N15" s="19"/>
      <c r="O15" s="22"/>
      <c r="P15" s="19"/>
      <c r="Q15" s="34">
        <v>200</v>
      </c>
      <c r="R15" s="29">
        <f>+Q15*AR15</f>
        <v>12648</v>
      </c>
      <c r="S15" s="22"/>
      <c r="T15" s="19"/>
      <c r="U15" s="20"/>
      <c r="V15" s="19"/>
      <c r="W15" s="20"/>
      <c r="X15" s="19"/>
      <c r="Y15" s="20"/>
      <c r="Z15" s="19"/>
      <c r="AA15" s="20"/>
      <c r="AB15" s="19"/>
      <c r="AC15" s="20"/>
      <c r="AD15" s="19"/>
      <c r="AE15" s="20"/>
      <c r="AF15" s="19"/>
      <c r="AG15" s="20"/>
      <c r="AH15" s="19"/>
      <c r="AI15" s="20"/>
      <c r="AJ15" s="19"/>
      <c r="AK15" s="20"/>
      <c r="AL15" s="19"/>
      <c r="AM15" s="20"/>
      <c r="AN15" s="19"/>
      <c r="AO15" s="20"/>
      <c r="AP15" s="19"/>
      <c r="AQ15" s="34">
        <v>200</v>
      </c>
      <c r="AR15" s="17">
        <v>63.24</v>
      </c>
      <c r="AS15" s="27">
        <f>+AR15*AQ15</f>
        <v>12648</v>
      </c>
      <c r="AT15" s="1"/>
      <c r="AU15" s="15"/>
    </row>
    <row r="16" spans="1:47" ht="25.5" x14ac:dyDescent="0.25">
      <c r="A16" s="33">
        <v>19</v>
      </c>
      <c r="B16" s="26"/>
      <c r="C16" s="32" t="s">
        <v>14</v>
      </c>
      <c r="D16" s="31" t="s">
        <v>13</v>
      </c>
      <c r="E16" s="30" t="s">
        <v>24</v>
      </c>
      <c r="F16" s="19" t="s">
        <v>11</v>
      </c>
      <c r="G16" s="19"/>
      <c r="H16" s="19"/>
      <c r="I16" s="19"/>
      <c r="J16" s="19"/>
      <c r="K16" s="22"/>
      <c r="L16" s="23"/>
      <c r="M16" s="20"/>
      <c r="N16" s="19"/>
      <c r="O16" s="22"/>
      <c r="P16" s="19"/>
      <c r="Q16" s="34">
        <v>500</v>
      </c>
      <c r="R16" s="29">
        <f>+Q16*AR16</f>
        <v>31620</v>
      </c>
      <c r="S16" s="22"/>
      <c r="T16" s="19"/>
      <c r="U16" s="20"/>
      <c r="V16" s="19"/>
      <c r="W16" s="20"/>
      <c r="X16" s="19"/>
      <c r="Y16" s="20"/>
      <c r="Z16" s="19"/>
      <c r="AA16" s="20"/>
      <c r="AB16" s="19"/>
      <c r="AC16" s="20"/>
      <c r="AD16" s="19"/>
      <c r="AE16" s="20"/>
      <c r="AF16" s="19"/>
      <c r="AG16" s="20"/>
      <c r="AH16" s="19"/>
      <c r="AI16" s="20"/>
      <c r="AJ16" s="19"/>
      <c r="AK16" s="20"/>
      <c r="AL16" s="19"/>
      <c r="AM16" s="20"/>
      <c r="AN16" s="19"/>
      <c r="AO16" s="20"/>
      <c r="AP16" s="19"/>
      <c r="AQ16" s="34">
        <v>500</v>
      </c>
      <c r="AR16" s="17">
        <v>63.24</v>
      </c>
      <c r="AS16" s="27">
        <f>+AR16*AQ16</f>
        <v>31620</v>
      </c>
      <c r="AT16" s="1"/>
      <c r="AU16" s="15"/>
    </row>
    <row r="17" spans="1:47" ht="25.5" x14ac:dyDescent="0.25">
      <c r="A17" s="33">
        <v>20</v>
      </c>
      <c r="B17" s="26"/>
      <c r="C17" s="32" t="s">
        <v>14</v>
      </c>
      <c r="D17" s="31" t="s">
        <v>13</v>
      </c>
      <c r="E17" s="30" t="s">
        <v>23</v>
      </c>
      <c r="F17" s="19" t="s">
        <v>11</v>
      </c>
      <c r="G17" s="19"/>
      <c r="H17" s="19"/>
      <c r="I17" s="19"/>
      <c r="J17" s="19"/>
      <c r="K17" s="22"/>
      <c r="L17" s="23"/>
      <c r="M17" s="20"/>
      <c r="N17" s="19"/>
      <c r="O17" s="22"/>
      <c r="P17" s="19"/>
      <c r="Q17" s="34">
        <v>500</v>
      </c>
      <c r="R17" s="29">
        <f>+Q17*AR17</f>
        <v>31620</v>
      </c>
      <c r="S17" s="22"/>
      <c r="T17" s="19"/>
      <c r="U17" s="20"/>
      <c r="V17" s="19"/>
      <c r="W17" s="20"/>
      <c r="X17" s="19"/>
      <c r="Y17" s="20"/>
      <c r="Z17" s="19"/>
      <c r="AA17" s="20"/>
      <c r="AB17" s="19"/>
      <c r="AC17" s="20"/>
      <c r="AD17" s="19"/>
      <c r="AE17" s="20"/>
      <c r="AF17" s="19"/>
      <c r="AG17" s="20"/>
      <c r="AH17" s="19"/>
      <c r="AI17" s="20"/>
      <c r="AJ17" s="19"/>
      <c r="AK17" s="20"/>
      <c r="AL17" s="19"/>
      <c r="AM17" s="20"/>
      <c r="AN17" s="19"/>
      <c r="AO17" s="20"/>
      <c r="AP17" s="19"/>
      <c r="AQ17" s="34">
        <v>500</v>
      </c>
      <c r="AR17" s="17">
        <v>63.24</v>
      </c>
      <c r="AS17" s="27">
        <f>+AR17*AQ17</f>
        <v>31620</v>
      </c>
      <c r="AT17" s="1"/>
      <c r="AU17" s="15"/>
    </row>
    <row r="18" spans="1:47" x14ac:dyDescent="0.25">
      <c r="A18" s="33">
        <v>21</v>
      </c>
      <c r="B18" s="26"/>
      <c r="C18" s="32" t="s">
        <v>14</v>
      </c>
      <c r="D18" s="31" t="s">
        <v>13</v>
      </c>
      <c r="E18" s="30" t="s">
        <v>22</v>
      </c>
      <c r="F18" s="19" t="s">
        <v>11</v>
      </c>
      <c r="G18" s="19"/>
      <c r="H18" s="19"/>
      <c r="I18" s="19"/>
      <c r="J18" s="19"/>
      <c r="K18" s="22"/>
      <c r="L18" s="23"/>
      <c r="M18" s="20"/>
      <c r="N18" s="19"/>
      <c r="O18" s="22"/>
      <c r="P18" s="19"/>
      <c r="Q18" s="20">
        <v>1000</v>
      </c>
      <c r="R18" s="29">
        <f>+Q18*AR18</f>
        <v>26000</v>
      </c>
      <c r="S18" s="22"/>
      <c r="T18" s="19"/>
      <c r="U18" s="20"/>
      <c r="V18" s="19"/>
      <c r="W18" s="20"/>
      <c r="X18" s="19"/>
      <c r="Y18" s="20"/>
      <c r="Z18" s="19"/>
      <c r="AA18" s="20"/>
      <c r="AB18" s="19"/>
      <c r="AC18" s="20"/>
      <c r="AD18" s="19"/>
      <c r="AE18" s="20"/>
      <c r="AF18" s="19"/>
      <c r="AG18" s="20"/>
      <c r="AH18" s="19"/>
      <c r="AI18" s="20"/>
      <c r="AJ18" s="19"/>
      <c r="AK18" s="20"/>
      <c r="AL18" s="19"/>
      <c r="AM18" s="20"/>
      <c r="AN18" s="19"/>
      <c r="AO18" s="20"/>
      <c r="AP18" s="19"/>
      <c r="AQ18" s="20">
        <v>1000</v>
      </c>
      <c r="AR18" s="17">
        <v>26</v>
      </c>
      <c r="AS18" s="27">
        <f>+AR18*AQ18</f>
        <v>26000</v>
      </c>
      <c r="AT18" s="1"/>
      <c r="AU18" s="15"/>
    </row>
    <row r="19" spans="1:47" ht="25.5" x14ac:dyDescent="0.25">
      <c r="A19" s="33">
        <v>22</v>
      </c>
      <c r="B19" s="26"/>
      <c r="C19" s="32" t="s">
        <v>14</v>
      </c>
      <c r="D19" s="31" t="s">
        <v>13</v>
      </c>
      <c r="E19" s="30" t="s">
        <v>21</v>
      </c>
      <c r="F19" s="19" t="s">
        <v>11</v>
      </c>
      <c r="G19" s="19"/>
      <c r="H19" s="19"/>
      <c r="I19" s="19"/>
      <c r="J19" s="19"/>
      <c r="K19" s="22"/>
      <c r="L19" s="23"/>
      <c r="M19" s="20"/>
      <c r="N19" s="19"/>
      <c r="O19" s="22"/>
      <c r="P19" s="19"/>
      <c r="Q19" s="20">
        <v>3000</v>
      </c>
      <c r="R19" s="29">
        <f>+Q19*AR19</f>
        <v>75000</v>
      </c>
      <c r="S19" s="22"/>
      <c r="T19" s="19"/>
      <c r="U19" s="20"/>
      <c r="V19" s="19"/>
      <c r="W19" s="20"/>
      <c r="X19" s="19"/>
      <c r="Y19" s="20"/>
      <c r="Z19" s="19"/>
      <c r="AA19" s="20"/>
      <c r="AB19" s="19"/>
      <c r="AC19" s="20"/>
      <c r="AD19" s="19"/>
      <c r="AE19" s="20"/>
      <c r="AF19" s="19"/>
      <c r="AG19" s="20"/>
      <c r="AH19" s="19"/>
      <c r="AI19" s="20"/>
      <c r="AJ19" s="19"/>
      <c r="AK19" s="20"/>
      <c r="AL19" s="19"/>
      <c r="AM19" s="20"/>
      <c r="AN19" s="19"/>
      <c r="AO19" s="20"/>
      <c r="AP19" s="19"/>
      <c r="AQ19" s="20">
        <v>3000</v>
      </c>
      <c r="AR19" s="17">
        <v>25</v>
      </c>
      <c r="AS19" s="27">
        <f>+AR19*AQ19</f>
        <v>75000</v>
      </c>
      <c r="AT19" s="1"/>
      <c r="AU19" s="15"/>
    </row>
    <row r="20" spans="1:47" x14ac:dyDescent="0.25">
      <c r="A20" s="33">
        <v>23</v>
      </c>
      <c r="B20" s="26"/>
      <c r="C20" s="32" t="s">
        <v>14</v>
      </c>
      <c r="D20" s="31" t="s">
        <v>13</v>
      </c>
      <c r="E20" s="30" t="s">
        <v>20</v>
      </c>
      <c r="F20" s="19" t="s">
        <v>11</v>
      </c>
      <c r="G20" s="19"/>
      <c r="H20" s="19"/>
      <c r="I20" s="19"/>
      <c r="J20" s="19"/>
      <c r="K20" s="22"/>
      <c r="L20" s="23"/>
      <c r="M20" s="20"/>
      <c r="N20" s="19"/>
      <c r="O20" s="22"/>
      <c r="P20" s="19"/>
      <c r="Q20" s="34">
        <v>1000</v>
      </c>
      <c r="R20" s="29">
        <f>+Q20*AR20</f>
        <v>57000</v>
      </c>
      <c r="S20" s="22"/>
      <c r="T20" s="19"/>
      <c r="U20" s="20"/>
      <c r="V20" s="19"/>
      <c r="W20" s="20"/>
      <c r="X20" s="19"/>
      <c r="Y20" s="20"/>
      <c r="Z20" s="19"/>
      <c r="AA20" s="20"/>
      <c r="AB20" s="19"/>
      <c r="AC20" s="20"/>
      <c r="AD20" s="19"/>
      <c r="AE20" s="20"/>
      <c r="AF20" s="19"/>
      <c r="AG20" s="20"/>
      <c r="AH20" s="19"/>
      <c r="AI20" s="20"/>
      <c r="AJ20" s="19"/>
      <c r="AK20" s="20"/>
      <c r="AL20" s="19"/>
      <c r="AM20" s="20"/>
      <c r="AN20" s="19"/>
      <c r="AO20" s="20"/>
      <c r="AP20" s="19"/>
      <c r="AQ20" s="34">
        <v>1000</v>
      </c>
      <c r="AR20" s="17">
        <v>57</v>
      </c>
      <c r="AS20" s="27">
        <f>+AR20*AQ20</f>
        <v>57000</v>
      </c>
      <c r="AT20" s="1"/>
      <c r="AU20" s="15"/>
    </row>
    <row r="21" spans="1:47" x14ac:dyDescent="0.25">
      <c r="A21" s="33">
        <v>24</v>
      </c>
      <c r="B21" s="26"/>
      <c r="C21" s="32" t="s">
        <v>14</v>
      </c>
      <c r="D21" s="31" t="s">
        <v>13</v>
      </c>
      <c r="E21" s="30" t="s">
        <v>19</v>
      </c>
      <c r="F21" s="19" t="s">
        <v>11</v>
      </c>
      <c r="G21" s="19"/>
      <c r="H21" s="19"/>
      <c r="I21" s="19"/>
      <c r="J21" s="19"/>
      <c r="K21" s="22"/>
      <c r="L21" s="23"/>
      <c r="M21" s="20"/>
      <c r="N21" s="19"/>
      <c r="O21" s="22"/>
      <c r="P21" s="19"/>
      <c r="Q21" s="28">
        <v>1000</v>
      </c>
      <c r="R21" s="29">
        <f>+Q21*AR21</f>
        <v>56400</v>
      </c>
      <c r="S21" s="22"/>
      <c r="T21" s="19"/>
      <c r="U21" s="20"/>
      <c r="V21" s="19"/>
      <c r="W21" s="20"/>
      <c r="X21" s="19"/>
      <c r="Y21" s="20"/>
      <c r="Z21" s="19"/>
      <c r="AA21" s="20"/>
      <c r="AB21" s="19"/>
      <c r="AC21" s="20"/>
      <c r="AD21" s="19"/>
      <c r="AE21" s="20"/>
      <c r="AF21" s="19"/>
      <c r="AG21" s="20"/>
      <c r="AH21" s="19"/>
      <c r="AI21" s="20"/>
      <c r="AJ21" s="19"/>
      <c r="AK21" s="20"/>
      <c r="AL21" s="19"/>
      <c r="AM21" s="20"/>
      <c r="AN21" s="19"/>
      <c r="AO21" s="20"/>
      <c r="AP21" s="19"/>
      <c r="AQ21" s="28">
        <v>1000</v>
      </c>
      <c r="AR21" s="17">
        <v>56.4</v>
      </c>
      <c r="AS21" s="27">
        <f>+AR21*AQ21</f>
        <v>56400</v>
      </c>
      <c r="AT21" s="1"/>
      <c r="AU21" s="15"/>
    </row>
    <row r="22" spans="1:47" x14ac:dyDescent="0.25">
      <c r="A22" s="33">
        <v>25</v>
      </c>
      <c r="B22" s="26"/>
      <c r="C22" s="32" t="s">
        <v>14</v>
      </c>
      <c r="D22" s="31" t="s">
        <v>13</v>
      </c>
      <c r="E22" s="30" t="s">
        <v>18</v>
      </c>
      <c r="F22" s="19" t="s">
        <v>11</v>
      </c>
      <c r="G22" s="19"/>
      <c r="H22" s="19"/>
      <c r="I22" s="19"/>
      <c r="J22" s="19"/>
      <c r="K22" s="22"/>
      <c r="L22" s="23"/>
      <c r="M22" s="20"/>
      <c r="N22" s="19"/>
      <c r="O22" s="22"/>
      <c r="P22" s="19"/>
      <c r="Q22" s="18">
        <v>200</v>
      </c>
      <c r="R22" s="29">
        <f>+Q22*AR22</f>
        <v>5600</v>
      </c>
      <c r="S22" s="22"/>
      <c r="T22" s="19"/>
      <c r="U22" s="20"/>
      <c r="V22" s="19"/>
      <c r="W22" s="20"/>
      <c r="X22" s="19"/>
      <c r="Y22" s="20"/>
      <c r="Z22" s="19"/>
      <c r="AA22" s="20"/>
      <c r="AB22" s="19"/>
      <c r="AC22" s="20"/>
      <c r="AD22" s="19"/>
      <c r="AE22" s="20"/>
      <c r="AF22" s="19"/>
      <c r="AG22" s="20"/>
      <c r="AH22" s="19"/>
      <c r="AI22" s="20"/>
      <c r="AJ22" s="19"/>
      <c r="AK22" s="20"/>
      <c r="AL22" s="19"/>
      <c r="AM22" s="20"/>
      <c r="AN22" s="19"/>
      <c r="AO22" s="20"/>
      <c r="AP22" s="19"/>
      <c r="AQ22" s="18">
        <v>200</v>
      </c>
      <c r="AR22" s="17">
        <v>28</v>
      </c>
      <c r="AS22" s="27">
        <f>+AR22*AQ22</f>
        <v>5600</v>
      </c>
      <c r="AT22" s="1"/>
      <c r="AU22" s="15"/>
    </row>
    <row r="23" spans="1:47" x14ac:dyDescent="0.25">
      <c r="A23" s="33">
        <v>26</v>
      </c>
      <c r="B23" s="26"/>
      <c r="C23" s="32" t="s">
        <v>14</v>
      </c>
      <c r="D23" s="31" t="s">
        <v>13</v>
      </c>
      <c r="E23" s="30" t="s">
        <v>17</v>
      </c>
      <c r="F23" s="19" t="s">
        <v>11</v>
      </c>
      <c r="G23" s="19"/>
      <c r="H23" s="19"/>
      <c r="I23" s="19"/>
      <c r="J23" s="19"/>
      <c r="K23" s="22"/>
      <c r="L23" s="23"/>
      <c r="M23" s="20"/>
      <c r="N23" s="19"/>
      <c r="O23" s="22"/>
      <c r="P23" s="19"/>
      <c r="Q23" s="28">
        <v>300</v>
      </c>
      <c r="R23" s="29">
        <f>+Q23*AR23</f>
        <v>15900</v>
      </c>
      <c r="S23" s="22"/>
      <c r="T23" s="19"/>
      <c r="U23" s="20"/>
      <c r="V23" s="19"/>
      <c r="W23" s="20"/>
      <c r="X23" s="19"/>
      <c r="Y23" s="20"/>
      <c r="Z23" s="19"/>
      <c r="AA23" s="20"/>
      <c r="AB23" s="19"/>
      <c r="AC23" s="20"/>
      <c r="AD23" s="19"/>
      <c r="AE23" s="20"/>
      <c r="AF23" s="19"/>
      <c r="AG23" s="20"/>
      <c r="AH23" s="19"/>
      <c r="AI23" s="20"/>
      <c r="AJ23" s="19"/>
      <c r="AK23" s="20"/>
      <c r="AL23" s="19"/>
      <c r="AM23" s="20"/>
      <c r="AN23" s="19"/>
      <c r="AO23" s="20"/>
      <c r="AP23" s="19"/>
      <c r="AQ23" s="28">
        <v>300</v>
      </c>
      <c r="AR23" s="17">
        <v>53</v>
      </c>
      <c r="AS23" s="27">
        <f>+AR23*AQ23</f>
        <v>15900</v>
      </c>
      <c r="AT23" s="1"/>
      <c r="AU23" s="15"/>
    </row>
    <row r="24" spans="1:47" x14ac:dyDescent="0.25">
      <c r="A24" s="33">
        <v>27</v>
      </c>
      <c r="B24" s="26"/>
      <c r="C24" s="32" t="s">
        <v>14</v>
      </c>
      <c r="D24" s="31" t="s">
        <v>13</v>
      </c>
      <c r="E24" s="30" t="s">
        <v>16</v>
      </c>
      <c r="F24" s="19" t="s">
        <v>11</v>
      </c>
      <c r="G24" s="19"/>
      <c r="H24" s="19"/>
      <c r="I24" s="19"/>
      <c r="J24" s="19"/>
      <c r="K24" s="22"/>
      <c r="L24" s="23"/>
      <c r="M24" s="20"/>
      <c r="N24" s="19"/>
      <c r="O24" s="22"/>
      <c r="P24" s="19"/>
      <c r="Q24" s="28">
        <v>300</v>
      </c>
      <c r="R24" s="29">
        <f>+Q24*AR24</f>
        <v>15900</v>
      </c>
      <c r="S24" s="22"/>
      <c r="T24" s="19"/>
      <c r="U24" s="20"/>
      <c r="V24" s="19"/>
      <c r="W24" s="20"/>
      <c r="X24" s="19"/>
      <c r="Y24" s="20"/>
      <c r="Z24" s="19"/>
      <c r="AA24" s="20"/>
      <c r="AB24" s="19"/>
      <c r="AC24" s="20"/>
      <c r="AD24" s="19"/>
      <c r="AE24" s="20"/>
      <c r="AF24" s="19"/>
      <c r="AG24" s="20"/>
      <c r="AH24" s="19"/>
      <c r="AI24" s="20"/>
      <c r="AJ24" s="19"/>
      <c r="AK24" s="20"/>
      <c r="AL24" s="19"/>
      <c r="AM24" s="20"/>
      <c r="AN24" s="19"/>
      <c r="AO24" s="20"/>
      <c r="AP24" s="19"/>
      <c r="AQ24" s="28">
        <v>300</v>
      </c>
      <c r="AR24" s="17">
        <v>53</v>
      </c>
      <c r="AS24" s="27">
        <f>+AR24*AQ24</f>
        <v>15900</v>
      </c>
      <c r="AT24" s="1"/>
      <c r="AU24" s="15"/>
    </row>
    <row r="25" spans="1:47" x14ac:dyDescent="0.25">
      <c r="A25" s="33">
        <v>28</v>
      </c>
      <c r="B25" s="26"/>
      <c r="C25" s="32" t="s">
        <v>14</v>
      </c>
      <c r="D25" s="31" t="s">
        <v>13</v>
      </c>
      <c r="E25" s="30" t="s">
        <v>15</v>
      </c>
      <c r="F25" s="19" t="s">
        <v>11</v>
      </c>
      <c r="G25" s="19"/>
      <c r="H25" s="19"/>
      <c r="I25" s="19"/>
      <c r="J25" s="19"/>
      <c r="K25" s="22"/>
      <c r="L25" s="23"/>
      <c r="M25" s="20"/>
      <c r="N25" s="19"/>
      <c r="O25" s="22"/>
      <c r="P25" s="19"/>
      <c r="Q25" s="28">
        <v>400</v>
      </c>
      <c r="R25" s="29">
        <f>+Q25*AR25</f>
        <v>21200</v>
      </c>
      <c r="S25" s="22"/>
      <c r="T25" s="19"/>
      <c r="U25" s="20"/>
      <c r="V25" s="19"/>
      <c r="W25" s="20"/>
      <c r="X25" s="19"/>
      <c r="Y25" s="20"/>
      <c r="Z25" s="19"/>
      <c r="AA25" s="20"/>
      <c r="AB25" s="19"/>
      <c r="AC25" s="20"/>
      <c r="AD25" s="19"/>
      <c r="AE25" s="20"/>
      <c r="AF25" s="19"/>
      <c r="AG25" s="20"/>
      <c r="AH25" s="19"/>
      <c r="AI25" s="20"/>
      <c r="AJ25" s="19"/>
      <c r="AK25" s="20"/>
      <c r="AL25" s="19"/>
      <c r="AM25" s="20"/>
      <c r="AN25" s="19"/>
      <c r="AO25" s="20"/>
      <c r="AP25" s="19"/>
      <c r="AQ25" s="28">
        <v>400</v>
      </c>
      <c r="AR25" s="17">
        <v>53</v>
      </c>
      <c r="AS25" s="27">
        <f>+AR25*AQ25</f>
        <v>21200</v>
      </c>
      <c r="AT25" s="1"/>
      <c r="AU25" s="15"/>
    </row>
    <row r="26" spans="1:47" x14ac:dyDescent="0.25">
      <c r="A26" s="33">
        <v>29</v>
      </c>
      <c r="B26" s="26"/>
      <c r="C26" s="32" t="s">
        <v>14</v>
      </c>
      <c r="D26" s="31" t="s">
        <v>13</v>
      </c>
      <c r="E26" s="30" t="s">
        <v>12</v>
      </c>
      <c r="F26" s="19" t="s">
        <v>11</v>
      </c>
      <c r="G26" s="19"/>
      <c r="H26" s="19"/>
      <c r="I26" s="19"/>
      <c r="J26" s="19"/>
      <c r="K26" s="22"/>
      <c r="L26" s="23"/>
      <c r="M26" s="20"/>
      <c r="N26" s="19"/>
      <c r="O26" s="22"/>
      <c r="P26" s="19"/>
      <c r="Q26" s="28">
        <v>300</v>
      </c>
      <c r="R26" s="29">
        <f>+Q26*AR26</f>
        <v>15900</v>
      </c>
      <c r="S26" s="22"/>
      <c r="T26" s="19"/>
      <c r="U26" s="20"/>
      <c r="V26" s="19"/>
      <c r="W26" s="20"/>
      <c r="X26" s="19"/>
      <c r="Y26" s="20"/>
      <c r="Z26" s="19"/>
      <c r="AA26" s="20"/>
      <c r="AB26" s="19"/>
      <c r="AC26" s="20"/>
      <c r="AD26" s="19"/>
      <c r="AE26" s="20"/>
      <c r="AF26" s="19"/>
      <c r="AG26" s="20"/>
      <c r="AH26" s="19"/>
      <c r="AI26" s="20"/>
      <c r="AJ26" s="19"/>
      <c r="AK26" s="20"/>
      <c r="AL26" s="19"/>
      <c r="AM26" s="20"/>
      <c r="AN26" s="19"/>
      <c r="AO26" s="20"/>
      <c r="AP26" s="19"/>
      <c r="AQ26" s="28">
        <v>300</v>
      </c>
      <c r="AR26" s="17">
        <v>53</v>
      </c>
      <c r="AS26" s="27">
        <f>+AR26*AQ26</f>
        <v>15900</v>
      </c>
      <c r="AT26" s="1"/>
      <c r="AU26" s="15"/>
    </row>
    <row r="27" spans="1:47" x14ac:dyDescent="0.25">
      <c r="A27" s="25"/>
      <c r="B27" s="26"/>
      <c r="C27" s="25"/>
      <c r="D27" s="19"/>
      <c r="E27" s="24" t="s">
        <v>10</v>
      </c>
      <c r="F27" s="19"/>
      <c r="G27" s="19"/>
      <c r="H27" s="19"/>
      <c r="I27" s="19"/>
      <c r="J27" s="19"/>
      <c r="K27" s="22"/>
      <c r="L27" s="23"/>
      <c r="M27" s="20"/>
      <c r="N27" s="19"/>
      <c r="O27" s="22"/>
      <c r="P27" s="21">
        <f>SUM(P10:P26)</f>
        <v>0</v>
      </c>
      <c r="Q27" s="18"/>
      <c r="R27" s="21">
        <f>SUM(R10:R26)</f>
        <v>718388</v>
      </c>
      <c r="S27" s="22"/>
      <c r="T27" s="21">
        <f>SUM(T10:T26)</f>
        <v>0</v>
      </c>
      <c r="U27" s="20"/>
      <c r="V27" s="19"/>
      <c r="W27" s="20"/>
      <c r="X27" s="19"/>
      <c r="Y27" s="20"/>
      <c r="Z27" s="21">
        <f>SUM(Z10:Z26)</f>
        <v>0</v>
      </c>
      <c r="AA27" s="20"/>
      <c r="AB27" s="19"/>
      <c r="AC27" s="20"/>
      <c r="AD27" s="19"/>
      <c r="AE27" s="20"/>
      <c r="AF27" s="21">
        <f>SUM(AF10:AF26)</f>
        <v>0</v>
      </c>
      <c r="AG27" s="20"/>
      <c r="AH27" s="19"/>
      <c r="AI27" s="20"/>
      <c r="AJ27" s="21">
        <f>SUM(AJ10:AJ26)</f>
        <v>0</v>
      </c>
      <c r="AK27" s="20"/>
      <c r="AL27" s="19"/>
      <c r="AM27" s="20"/>
      <c r="AN27" s="19"/>
      <c r="AO27" s="20"/>
      <c r="AP27" s="19"/>
      <c r="AQ27" s="18"/>
      <c r="AR27" s="17"/>
      <c r="AS27" s="16">
        <f>SUM(AS10:AS26)</f>
        <v>718388</v>
      </c>
      <c r="AT27" s="1"/>
      <c r="AU27" s="15"/>
    </row>
    <row r="28" spans="1:47" x14ac:dyDescent="0.25">
      <c r="A28" s="10"/>
      <c r="B28" s="11"/>
      <c r="C28" s="10"/>
      <c r="D28" s="5"/>
      <c r="E28" s="9"/>
      <c r="F28" s="5"/>
      <c r="G28" s="5"/>
      <c r="H28" s="5"/>
      <c r="I28" s="5"/>
      <c r="J28" s="5"/>
      <c r="K28" s="7"/>
      <c r="L28" s="8"/>
      <c r="M28" s="6"/>
      <c r="N28" s="5"/>
      <c r="O28" s="7"/>
      <c r="P28" s="5"/>
      <c r="Q28" s="6"/>
      <c r="R28" s="5"/>
      <c r="S28" s="7"/>
      <c r="T28" s="5"/>
      <c r="U28" s="6"/>
      <c r="V28" s="5"/>
      <c r="W28" s="6"/>
      <c r="X28" s="5"/>
      <c r="Y28" s="6"/>
      <c r="Z28" s="5"/>
      <c r="AA28" s="6"/>
      <c r="AB28" s="5"/>
      <c r="AC28" s="6"/>
      <c r="AD28" s="5"/>
      <c r="AE28" s="6"/>
      <c r="AF28" s="5"/>
      <c r="AG28" s="6"/>
      <c r="AH28" s="5"/>
      <c r="AI28" s="6"/>
      <c r="AJ28" s="5"/>
      <c r="AK28" s="6"/>
      <c r="AL28" s="5"/>
      <c r="AM28" s="6"/>
      <c r="AN28" s="5"/>
      <c r="AO28" s="6"/>
      <c r="AP28" s="5"/>
      <c r="AQ28" s="4"/>
      <c r="AR28" s="3"/>
      <c r="AS28" s="2"/>
      <c r="AT28" s="1"/>
    </row>
    <row r="29" spans="1:47" ht="153.75" customHeight="1" x14ac:dyDescent="0.25">
      <c r="A29" s="10"/>
      <c r="B29" s="14" t="s">
        <v>9</v>
      </c>
      <c r="C29" s="13" t="s">
        <v>8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5"/>
      <c r="Q29" s="6"/>
      <c r="R29" s="5"/>
      <c r="S29" s="7"/>
      <c r="T29" s="5"/>
      <c r="U29" s="6"/>
      <c r="V29" s="5"/>
      <c r="W29" s="6"/>
      <c r="X29" s="5"/>
      <c r="Y29" s="6"/>
      <c r="Z29" s="5"/>
      <c r="AA29" s="6"/>
      <c r="AB29" s="5"/>
      <c r="AC29" s="6"/>
      <c r="AD29" s="5"/>
      <c r="AE29" s="6"/>
      <c r="AF29" s="5"/>
      <c r="AG29" s="6"/>
      <c r="AH29" s="5"/>
      <c r="AI29" s="6"/>
      <c r="AJ29" s="5"/>
      <c r="AK29" s="6"/>
      <c r="AL29" s="5"/>
      <c r="AM29" s="6"/>
      <c r="AN29" s="5"/>
      <c r="AO29" s="6"/>
      <c r="AP29" s="5"/>
      <c r="AQ29" s="4"/>
      <c r="AR29" s="3"/>
      <c r="AS29" s="2"/>
      <c r="AT29" s="1"/>
    </row>
    <row r="30" spans="1:47" ht="24.75" customHeight="1" x14ac:dyDescent="0.25">
      <c r="A30" s="10"/>
      <c r="B30" s="11"/>
      <c r="C30" s="10"/>
      <c r="D30" s="5"/>
      <c r="E30" s="9"/>
      <c r="F30" s="5"/>
      <c r="G30" s="5"/>
      <c r="H30" s="5"/>
      <c r="I30" s="5"/>
      <c r="J30" s="5"/>
      <c r="K30" s="7"/>
      <c r="L30" s="8"/>
      <c r="M30" s="6"/>
      <c r="N30" s="5"/>
      <c r="O30" s="7"/>
      <c r="P30" s="5"/>
      <c r="Q30" s="6"/>
      <c r="R30" s="5"/>
      <c r="S30" s="7"/>
      <c r="T30" s="5"/>
      <c r="U30" s="6"/>
      <c r="V30" s="5"/>
      <c r="W30" s="6"/>
      <c r="X30" s="5"/>
      <c r="Y30" s="6"/>
      <c r="Z30" s="5"/>
      <c r="AA30" s="6"/>
      <c r="AB30" s="5"/>
      <c r="AC30" s="6"/>
      <c r="AD30" s="5"/>
      <c r="AE30" s="6"/>
      <c r="AF30" s="5"/>
      <c r="AG30" s="6"/>
      <c r="AH30" s="5"/>
      <c r="AI30" s="6"/>
      <c r="AJ30" s="5"/>
      <c r="AK30" s="6"/>
      <c r="AL30" s="5"/>
      <c r="AM30" s="6"/>
      <c r="AN30" s="5"/>
      <c r="AO30" s="6"/>
      <c r="AP30" s="5"/>
      <c r="AQ30" s="4"/>
      <c r="AR30" s="3"/>
      <c r="AS30" s="2"/>
      <c r="AT30" s="1"/>
    </row>
    <row r="31" spans="1:47" ht="30" x14ac:dyDescent="0.25">
      <c r="A31" s="10"/>
      <c r="B31" s="11" t="s">
        <v>7</v>
      </c>
      <c r="C31" s="10"/>
      <c r="D31" s="5"/>
      <c r="E31" s="9"/>
      <c r="F31" s="5"/>
      <c r="G31" s="5"/>
      <c r="H31" s="5"/>
      <c r="I31" s="5"/>
      <c r="J31" s="5"/>
      <c r="K31" s="7"/>
      <c r="L31" s="8"/>
      <c r="M31" s="6"/>
      <c r="N31" s="5"/>
      <c r="O31" s="7"/>
      <c r="P31" s="5"/>
      <c r="Q31" s="6"/>
      <c r="R31" s="5"/>
      <c r="S31" s="7"/>
      <c r="T31" s="5"/>
      <c r="U31" s="6"/>
      <c r="V31" s="5"/>
      <c r="W31" s="6"/>
      <c r="X31" s="5"/>
      <c r="Y31" s="6"/>
      <c r="Z31" s="5"/>
      <c r="AA31" s="6"/>
      <c r="AB31" s="5"/>
      <c r="AC31" s="6"/>
      <c r="AD31" s="5"/>
      <c r="AE31" s="6"/>
      <c r="AF31" s="5"/>
      <c r="AG31" s="6"/>
      <c r="AH31" s="5"/>
      <c r="AI31" s="6"/>
      <c r="AJ31" s="5"/>
      <c r="AK31" s="6"/>
      <c r="AL31" s="5"/>
      <c r="AM31" s="6"/>
      <c r="AN31" s="5"/>
      <c r="AO31" s="6"/>
      <c r="AP31" s="5"/>
      <c r="AQ31" s="4"/>
      <c r="AR31" s="3"/>
      <c r="AS31" s="2"/>
      <c r="AT31" s="1"/>
    </row>
    <row r="32" spans="1:47" x14ac:dyDescent="0.25">
      <c r="A32" s="10"/>
      <c r="B32" s="11"/>
      <c r="C32" s="10"/>
      <c r="D32" s="5"/>
      <c r="E32" s="9"/>
      <c r="F32" s="5"/>
      <c r="G32" s="5"/>
      <c r="H32" s="5"/>
      <c r="I32" s="5"/>
      <c r="J32" s="5"/>
      <c r="K32" s="7"/>
      <c r="L32" s="8"/>
      <c r="M32" s="6"/>
      <c r="N32" s="5"/>
      <c r="O32" s="7"/>
      <c r="P32" s="5"/>
      <c r="Q32" s="6"/>
      <c r="R32" s="5"/>
      <c r="S32" s="7"/>
      <c r="T32" s="5"/>
      <c r="U32" s="6"/>
      <c r="V32" s="5"/>
      <c r="W32" s="6"/>
      <c r="X32" s="5"/>
      <c r="Y32" s="6"/>
      <c r="Z32" s="5"/>
      <c r="AA32" s="6"/>
      <c r="AB32" s="5"/>
      <c r="AC32" s="6"/>
      <c r="AD32" s="5"/>
      <c r="AE32" s="6"/>
      <c r="AF32" s="5"/>
      <c r="AG32" s="6"/>
      <c r="AH32" s="5"/>
      <c r="AI32" s="6"/>
      <c r="AJ32" s="5"/>
      <c r="AK32" s="6"/>
      <c r="AL32" s="5"/>
      <c r="AM32" s="6"/>
      <c r="AN32" s="5"/>
      <c r="AO32" s="6"/>
      <c r="AP32" s="5"/>
      <c r="AQ32" s="4"/>
      <c r="AR32" s="3"/>
      <c r="AS32" s="2"/>
      <c r="AT32" s="1"/>
    </row>
    <row r="33" spans="1:46" x14ac:dyDescent="0.25">
      <c r="A33" s="10"/>
      <c r="B33" s="11" t="s">
        <v>6</v>
      </c>
      <c r="C33" s="10" t="s">
        <v>5</v>
      </c>
      <c r="D33" s="5"/>
      <c r="E33" s="9"/>
      <c r="F33" s="5"/>
      <c r="G33" s="5"/>
      <c r="H33" s="5"/>
      <c r="I33" s="5"/>
      <c r="J33" s="5"/>
      <c r="K33" s="7"/>
      <c r="L33" s="8"/>
      <c r="M33" s="6"/>
      <c r="N33" s="5"/>
      <c r="O33" s="7"/>
      <c r="P33" s="5"/>
      <c r="Q33" s="6"/>
      <c r="R33" s="5"/>
      <c r="S33" s="7"/>
      <c r="T33" s="5"/>
      <c r="U33" s="6"/>
      <c r="V33" s="5"/>
      <c r="W33" s="6"/>
      <c r="X33" s="5"/>
      <c r="Y33" s="6"/>
      <c r="Z33" s="5"/>
      <c r="AA33" s="6"/>
      <c r="AB33" s="5"/>
      <c r="AC33" s="6"/>
      <c r="AD33" s="5"/>
      <c r="AE33" s="6"/>
      <c r="AF33" s="5"/>
      <c r="AG33" s="6"/>
      <c r="AH33" s="5"/>
      <c r="AI33" s="6"/>
      <c r="AJ33" s="5"/>
      <c r="AK33" s="6"/>
      <c r="AL33" s="5"/>
      <c r="AM33" s="6"/>
      <c r="AN33" s="5"/>
      <c r="AO33" s="6"/>
      <c r="AP33" s="5"/>
      <c r="AQ33" s="4"/>
      <c r="AR33" s="3"/>
      <c r="AS33" s="2"/>
      <c r="AT33" s="1"/>
    </row>
    <row r="34" spans="1:46" x14ac:dyDescent="0.25">
      <c r="A34" s="10"/>
      <c r="B34" s="11"/>
      <c r="C34" s="10"/>
      <c r="D34" s="5"/>
      <c r="E34" s="9"/>
      <c r="F34" s="5"/>
      <c r="G34" s="5"/>
      <c r="H34" s="5"/>
      <c r="I34" s="5"/>
      <c r="J34" s="5"/>
      <c r="K34" s="7"/>
      <c r="L34" s="8"/>
      <c r="M34" s="6"/>
      <c r="N34" s="5"/>
      <c r="O34" s="7"/>
      <c r="P34" s="5"/>
      <c r="Q34" s="6"/>
      <c r="R34" s="5"/>
      <c r="S34" s="7"/>
      <c r="T34" s="5"/>
      <c r="U34" s="6"/>
      <c r="V34" s="5"/>
      <c r="W34" s="6"/>
      <c r="X34" s="5"/>
      <c r="Y34" s="6"/>
      <c r="Z34" s="5"/>
      <c r="AA34" s="6"/>
      <c r="AB34" s="5"/>
      <c r="AC34" s="6"/>
      <c r="AD34" s="5"/>
      <c r="AE34" s="6"/>
      <c r="AF34" s="5"/>
      <c r="AG34" s="6"/>
      <c r="AH34" s="5"/>
      <c r="AI34" s="6"/>
      <c r="AJ34" s="5"/>
      <c r="AK34" s="6"/>
      <c r="AL34" s="5"/>
      <c r="AM34" s="6"/>
      <c r="AN34" s="5"/>
      <c r="AO34" s="6"/>
      <c r="AP34" s="5"/>
      <c r="AQ34" s="4"/>
      <c r="AR34" s="3"/>
      <c r="AS34" s="2"/>
      <c r="AT34" s="1"/>
    </row>
    <row r="35" spans="1:46" ht="30" x14ac:dyDescent="0.25">
      <c r="A35" s="10"/>
      <c r="B35" s="11" t="s">
        <v>4</v>
      </c>
      <c r="C35" s="12" t="s">
        <v>3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5"/>
      <c r="AG35" s="6"/>
      <c r="AH35" s="5"/>
      <c r="AI35" s="6"/>
      <c r="AJ35" s="5"/>
      <c r="AK35" s="6"/>
      <c r="AL35" s="5"/>
      <c r="AM35" s="6"/>
      <c r="AN35" s="5"/>
      <c r="AO35" s="6"/>
      <c r="AP35" s="5"/>
      <c r="AQ35" s="4"/>
      <c r="AR35" s="3"/>
      <c r="AS35" s="2"/>
      <c r="AT35" s="1"/>
    </row>
    <row r="36" spans="1:46" x14ac:dyDescent="0.25">
      <c r="A36" s="10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5"/>
      <c r="AG36" s="6"/>
      <c r="AH36" s="5"/>
      <c r="AI36" s="6"/>
      <c r="AJ36" s="5"/>
      <c r="AK36" s="6"/>
      <c r="AL36" s="5"/>
      <c r="AM36" s="6"/>
      <c r="AN36" s="5"/>
      <c r="AO36" s="6"/>
      <c r="AP36" s="5"/>
      <c r="AQ36" s="4"/>
      <c r="AR36" s="3"/>
      <c r="AS36" s="2"/>
      <c r="AT36" s="1"/>
    </row>
    <row r="37" spans="1:46" x14ac:dyDescent="0.25">
      <c r="A37" s="10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5"/>
      <c r="AG37" s="6"/>
      <c r="AH37" s="5"/>
      <c r="AI37" s="6"/>
      <c r="AJ37" s="5"/>
      <c r="AK37" s="6"/>
      <c r="AL37" s="5"/>
      <c r="AM37" s="6"/>
      <c r="AN37" s="5"/>
      <c r="AO37" s="6"/>
      <c r="AP37" s="5"/>
      <c r="AQ37" s="4"/>
      <c r="AR37" s="3"/>
      <c r="AS37" s="2"/>
      <c r="AT37" s="1"/>
    </row>
    <row r="38" spans="1:46" x14ac:dyDescent="0.25">
      <c r="A38" s="10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5"/>
      <c r="AG38" s="6"/>
      <c r="AH38" s="5"/>
      <c r="AI38" s="6"/>
      <c r="AJ38" s="5"/>
      <c r="AK38" s="6"/>
      <c r="AL38" s="5"/>
      <c r="AM38" s="6"/>
      <c r="AN38" s="5"/>
      <c r="AO38" s="6"/>
      <c r="AP38" s="5"/>
      <c r="AQ38" s="4"/>
      <c r="AR38" s="3"/>
      <c r="AS38" s="2"/>
      <c r="AT38" s="1"/>
    </row>
    <row r="39" spans="1:46" ht="30" x14ac:dyDescent="0.25">
      <c r="A39" s="10"/>
      <c r="B39" s="11" t="s">
        <v>2</v>
      </c>
      <c r="C39" s="10"/>
      <c r="D39" s="5"/>
      <c r="E39" s="9"/>
      <c r="F39" s="5"/>
      <c r="G39" s="5"/>
      <c r="H39" s="5"/>
      <c r="I39" s="5"/>
      <c r="J39" s="5"/>
      <c r="K39" s="7"/>
      <c r="L39" s="8"/>
      <c r="M39" s="6"/>
      <c r="N39" s="5"/>
      <c r="O39" s="7"/>
      <c r="P39" s="5"/>
      <c r="Q39" s="6"/>
      <c r="R39" s="5"/>
      <c r="S39" s="7"/>
      <c r="T39" s="5"/>
      <c r="U39" s="6"/>
      <c r="V39" s="5"/>
      <c r="W39" s="6"/>
      <c r="X39" s="5"/>
      <c r="Y39" s="6"/>
      <c r="Z39" s="5"/>
      <c r="AA39" s="6"/>
      <c r="AB39" s="5"/>
      <c r="AC39" s="6"/>
      <c r="AD39" s="5"/>
      <c r="AE39" s="6"/>
      <c r="AF39" s="5"/>
      <c r="AG39" s="6"/>
      <c r="AH39" s="5"/>
      <c r="AI39" s="6"/>
      <c r="AJ39" s="5"/>
      <c r="AK39" s="6"/>
      <c r="AL39" s="5"/>
      <c r="AM39" s="6"/>
      <c r="AN39" s="5"/>
      <c r="AO39" s="6"/>
      <c r="AP39" s="5"/>
      <c r="AQ39" s="4"/>
      <c r="AR39" s="3"/>
      <c r="AS39" s="2"/>
      <c r="AT39" s="1"/>
    </row>
    <row r="40" spans="1:46" x14ac:dyDescent="0.25">
      <c r="A40" s="10"/>
      <c r="B40" s="11"/>
      <c r="C40" s="10"/>
      <c r="D40" s="5"/>
      <c r="E40" s="9"/>
      <c r="F40" s="5"/>
      <c r="G40" s="5"/>
      <c r="H40" s="5"/>
      <c r="I40" s="5"/>
      <c r="J40" s="5"/>
      <c r="K40" s="7"/>
      <c r="L40" s="8"/>
      <c r="M40" s="6"/>
      <c r="N40" s="5"/>
      <c r="O40" s="7"/>
      <c r="P40" s="5"/>
      <c r="Q40" s="6"/>
      <c r="R40" s="5"/>
      <c r="S40" s="7"/>
      <c r="T40" s="5"/>
      <c r="U40" s="6"/>
      <c r="V40" s="5"/>
      <c r="W40" s="6"/>
      <c r="X40" s="5"/>
      <c r="Y40" s="6"/>
      <c r="Z40" s="5"/>
      <c r="AA40" s="6"/>
      <c r="AB40" s="5"/>
      <c r="AC40" s="6"/>
      <c r="AD40" s="5"/>
      <c r="AE40" s="6"/>
      <c r="AF40" s="5"/>
      <c r="AG40" s="6"/>
      <c r="AH40" s="5"/>
      <c r="AI40" s="6"/>
      <c r="AJ40" s="5"/>
      <c r="AK40" s="6"/>
      <c r="AL40" s="5"/>
      <c r="AM40" s="6"/>
      <c r="AN40" s="5"/>
      <c r="AO40" s="6"/>
      <c r="AP40" s="5"/>
      <c r="AQ40" s="4"/>
      <c r="AR40" s="3"/>
      <c r="AS40" s="2"/>
      <c r="AT40" s="1"/>
    </row>
    <row r="41" spans="1:46" x14ac:dyDescent="0.25">
      <c r="A41" s="10"/>
      <c r="B41" s="11" t="s">
        <v>1</v>
      </c>
      <c r="C41" s="10" t="s">
        <v>0</v>
      </c>
      <c r="D41" s="5"/>
      <c r="E41" s="9"/>
      <c r="F41" s="5"/>
      <c r="G41" s="5"/>
      <c r="H41" s="5"/>
      <c r="I41" s="5"/>
      <c r="J41" s="5"/>
      <c r="K41" s="7"/>
      <c r="L41" s="8"/>
      <c r="M41" s="6"/>
      <c r="N41" s="5"/>
      <c r="O41" s="7"/>
      <c r="P41" s="5"/>
      <c r="Q41" s="6"/>
      <c r="R41" s="5"/>
      <c r="S41" s="7"/>
      <c r="T41" s="5"/>
      <c r="U41" s="6"/>
      <c r="V41" s="5"/>
      <c r="W41" s="6"/>
      <c r="X41" s="5"/>
      <c r="Y41" s="6"/>
      <c r="Z41" s="5"/>
      <c r="AA41" s="6"/>
      <c r="AB41" s="5"/>
      <c r="AC41" s="6"/>
      <c r="AD41" s="5"/>
      <c r="AE41" s="6"/>
      <c r="AF41" s="5"/>
      <c r="AG41" s="6"/>
      <c r="AH41" s="5"/>
      <c r="AI41" s="6"/>
      <c r="AJ41" s="5"/>
      <c r="AK41" s="6"/>
      <c r="AL41" s="5"/>
      <c r="AM41" s="6"/>
      <c r="AN41" s="5"/>
      <c r="AO41" s="6"/>
      <c r="AP41" s="5"/>
      <c r="AQ41" s="4"/>
      <c r="AR41" s="3"/>
      <c r="AS41" s="2"/>
      <c r="AT41" s="1"/>
    </row>
    <row r="42" spans="1:46" x14ac:dyDescent="0.25">
      <c r="A42" s="10"/>
      <c r="B42" s="11"/>
      <c r="C42" s="10"/>
      <c r="D42" s="5"/>
      <c r="E42" s="9"/>
      <c r="F42" s="5"/>
      <c r="G42" s="5"/>
      <c r="H42" s="5"/>
      <c r="I42" s="5"/>
      <c r="J42" s="5"/>
      <c r="K42" s="7"/>
      <c r="L42" s="8"/>
      <c r="M42" s="6"/>
      <c r="N42" s="5"/>
      <c r="O42" s="7"/>
      <c r="P42" s="5"/>
      <c r="Q42" s="6"/>
      <c r="R42" s="5"/>
      <c r="S42" s="7"/>
      <c r="T42" s="5"/>
      <c r="U42" s="6"/>
      <c r="V42" s="5"/>
      <c r="W42" s="6"/>
      <c r="X42" s="5"/>
      <c r="Y42" s="6"/>
      <c r="Z42" s="5"/>
      <c r="AA42" s="6"/>
      <c r="AB42" s="5"/>
      <c r="AC42" s="6"/>
      <c r="AD42" s="5"/>
      <c r="AE42" s="6"/>
      <c r="AF42" s="5"/>
      <c r="AG42" s="6"/>
      <c r="AH42" s="5"/>
      <c r="AI42" s="6"/>
      <c r="AJ42" s="5"/>
      <c r="AK42" s="6"/>
      <c r="AL42" s="5"/>
      <c r="AM42" s="6"/>
      <c r="AN42" s="5"/>
      <c r="AO42" s="6"/>
      <c r="AP42" s="5"/>
      <c r="AQ42" s="4"/>
      <c r="AR42" s="3"/>
      <c r="AS42" s="2"/>
      <c r="AT42" s="1"/>
    </row>
    <row r="43" spans="1:46" x14ac:dyDescent="0.25">
      <c r="A43" s="10"/>
      <c r="B43" s="11"/>
      <c r="C43" s="10"/>
      <c r="D43" s="5"/>
      <c r="E43" s="9"/>
      <c r="F43" s="5"/>
      <c r="G43" s="5"/>
      <c r="H43" s="5"/>
      <c r="I43" s="5"/>
      <c r="J43" s="5"/>
      <c r="K43" s="7"/>
      <c r="L43" s="8"/>
      <c r="M43" s="6"/>
      <c r="N43" s="5"/>
      <c r="O43" s="7"/>
      <c r="P43" s="5"/>
      <c r="Q43" s="6"/>
      <c r="R43" s="5"/>
      <c r="S43" s="7"/>
      <c r="T43" s="5"/>
      <c r="U43" s="6"/>
      <c r="V43" s="5"/>
      <c r="W43" s="6"/>
      <c r="X43" s="5"/>
      <c r="Y43" s="6"/>
      <c r="Z43" s="5"/>
      <c r="AA43" s="6"/>
      <c r="AB43" s="5"/>
      <c r="AC43" s="6"/>
      <c r="AD43" s="5"/>
      <c r="AE43" s="6"/>
      <c r="AF43" s="5"/>
      <c r="AG43" s="6"/>
      <c r="AH43" s="5"/>
      <c r="AI43" s="6"/>
      <c r="AJ43" s="5"/>
      <c r="AK43" s="6"/>
      <c r="AL43" s="5"/>
      <c r="AM43" s="6"/>
      <c r="AN43" s="5"/>
      <c r="AO43" s="6"/>
      <c r="AP43" s="5"/>
      <c r="AQ43" s="4"/>
      <c r="AR43" s="3"/>
      <c r="AS43" s="2"/>
      <c r="AT43" s="1"/>
    </row>
    <row r="44" spans="1:46" x14ac:dyDescent="0.25">
      <c r="A44" s="10"/>
      <c r="B44" s="11"/>
      <c r="C44" s="10"/>
      <c r="D44" s="5"/>
      <c r="E44" s="9"/>
      <c r="F44" s="5"/>
      <c r="G44" s="5"/>
      <c r="H44" s="5"/>
      <c r="I44" s="5"/>
      <c r="J44" s="5"/>
      <c r="K44" s="7"/>
      <c r="L44" s="8"/>
      <c r="M44" s="6"/>
      <c r="N44" s="5"/>
      <c r="O44" s="7"/>
      <c r="P44" s="5"/>
      <c r="Q44" s="6"/>
      <c r="R44" s="5"/>
      <c r="S44" s="7"/>
      <c r="T44" s="5"/>
      <c r="U44" s="6"/>
      <c r="V44" s="5"/>
      <c r="W44" s="6"/>
      <c r="X44" s="5"/>
      <c r="Y44" s="6"/>
      <c r="Z44" s="5"/>
      <c r="AA44" s="6"/>
      <c r="AB44" s="5"/>
      <c r="AC44" s="6"/>
      <c r="AD44" s="5"/>
      <c r="AE44" s="6"/>
      <c r="AF44" s="5"/>
      <c r="AG44" s="6"/>
      <c r="AH44" s="5"/>
      <c r="AI44" s="6"/>
      <c r="AJ44" s="5"/>
      <c r="AK44" s="6"/>
      <c r="AL44" s="5"/>
      <c r="AM44" s="6"/>
      <c r="AN44" s="5"/>
      <c r="AO44" s="6"/>
      <c r="AP44" s="5"/>
      <c r="AQ44" s="4"/>
      <c r="AR44" s="3"/>
      <c r="AS44" s="2"/>
      <c r="AT44" s="1"/>
    </row>
    <row r="45" spans="1:46" x14ac:dyDescent="0.25">
      <c r="A45" s="10"/>
      <c r="B45" s="11"/>
      <c r="C45" s="10"/>
      <c r="D45" s="5"/>
      <c r="E45" s="9"/>
      <c r="F45" s="5"/>
      <c r="G45" s="5"/>
      <c r="H45" s="5"/>
      <c r="I45" s="5"/>
      <c r="J45" s="5"/>
      <c r="K45" s="7"/>
      <c r="L45" s="8"/>
      <c r="M45" s="6"/>
      <c r="N45" s="5"/>
      <c r="O45" s="7"/>
      <c r="P45" s="5"/>
      <c r="Q45" s="6"/>
      <c r="R45" s="5"/>
      <c r="S45" s="7"/>
      <c r="T45" s="5"/>
      <c r="U45" s="6"/>
      <c r="V45" s="5"/>
      <c r="W45" s="6"/>
      <c r="X45" s="5"/>
      <c r="Y45" s="6"/>
      <c r="Z45" s="5"/>
      <c r="AA45" s="6"/>
      <c r="AB45" s="5"/>
      <c r="AC45" s="6"/>
      <c r="AD45" s="5"/>
      <c r="AE45" s="6"/>
      <c r="AF45" s="5"/>
      <c r="AG45" s="6"/>
      <c r="AH45" s="5"/>
      <c r="AI45" s="6"/>
      <c r="AJ45" s="5"/>
      <c r="AK45" s="6"/>
      <c r="AL45" s="5"/>
      <c r="AM45" s="6"/>
      <c r="AN45" s="5"/>
      <c r="AO45" s="6"/>
      <c r="AP45" s="5"/>
      <c r="AQ45" s="4"/>
      <c r="AR45" s="3"/>
      <c r="AS45" s="2"/>
      <c r="AT45" s="1"/>
    </row>
  </sheetData>
  <mergeCells count="12">
    <mergeCell ref="C29:O29"/>
    <mergeCell ref="C35:AE35"/>
    <mergeCell ref="C36:AE36"/>
    <mergeCell ref="C37:AE37"/>
    <mergeCell ref="C38:AE38"/>
    <mergeCell ref="A6:B6"/>
    <mergeCell ref="A7:B7"/>
    <mergeCell ref="B2:AR2"/>
    <mergeCell ref="A4:B4"/>
    <mergeCell ref="C4:E4"/>
    <mergeCell ref="A5:B5"/>
    <mergeCell ref="C5:E5"/>
  </mergeCells>
  <conditionalFormatting sqref="B1:B45">
    <cfRule type="duplicateValues" dxfId="12" priority="8"/>
  </conditionalFormatting>
  <conditionalFormatting sqref="E27:E28 E30:E45 E1:E9">
    <cfRule type="duplicateValues" dxfId="11" priority="9"/>
    <cfRule type="duplicateValues" dxfId="10" priority="10"/>
  </conditionalFormatting>
  <conditionalFormatting sqref="E27:E28 E30:E45 E1:E9">
    <cfRule type="duplicateValues" dxfId="9" priority="11"/>
  </conditionalFormatting>
  <conditionalFormatting sqref="E27:E28 E30:E45 E1:E9 B1:B45">
    <cfRule type="duplicateValues" dxfId="8" priority="12"/>
  </conditionalFormatting>
  <conditionalFormatting sqref="E27:E28 B1:B45 E1:E9 E30:E45">
    <cfRule type="duplicateValues" dxfId="7" priority="13"/>
  </conditionalFormatting>
  <conditionalFormatting sqref="B29:B41">
    <cfRule type="duplicateValues" dxfId="6" priority="7"/>
  </conditionalFormatting>
  <conditionalFormatting sqref="E39:E41 E30:E34">
    <cfRule type="duplicateValues" dxfId="5" priority="6"/>
  </conditionalFormatting>
  <conditionalFormatting sqref="B29:B41 E39:E41 E30:E34">
    <cfRule type="duplicateValues" dxfId="4" priority="5"/>
  </conditionalFormatting>
  <conditionalFormatting sqref="B29:B41">
    <cfRule type="duplicateValues" dxfId="3" priority="4"/>
  </conditionalFormatting>
  <conditionalFormatting sqref="E39:E41 B29:B41 E30:E34">
    <cfRule type="duplicateValues" dxfId="2" priority="3"/>
  </conditionalFormatting>
  <conditionalFormatting sqref="E39:E41 E30:E3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MINIST.SALUD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2021-08-12T15:56:27Z</dcterms:created>
  <dcterms:modified xsi:type="dcterms:W3CDTF">2021-08-12T15:57:07Z</dcterms:modified>
</cp:coreProperties>
</file>