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D44FA0F-C3CF-4638-80B8-5AD7FF19DEC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Trimestrales'!$A$9:$I$19</definedName>
    <definedName name="_xlnm.Print_Area" localSheetId="0">'Necesidades Trimestrales'!$E$9:$E$19</definedName>
  </definedNames>
  <calcPr calcId="181029"/>
</workbook>
</file>

<file path=xl/calcChain.xml><?xml version="1.0" encoding="utf-8"?>
<calcChain xmlns="http://schemas.openxmlformats.org/spreadsheetml/2006/main">
  <c r="I22" i="1" l="1"/>
  <c r="I21" i="1"/>
  <c r="I20" i="1"/>
  <c r="I12" i="1" l="1"/>
  <c r="I13" i="1"/>
  <c r="I14" i="1"/>
  <c r="I15" i="1"/>
  <c r="I16" i="1"/>
  <c r="I17" i="1"/>
  <c r="I18" i="1"/>
  <c r="I19" i="1"/>
  <c r="I11" i="1"/>
  <c r="I10" i="1" l="1"/>
</calcChain>
</file>

<file path=xl/sharedStrings.xml><?xml version="1.0" encoding="utf-8"?>
<sst xmlns="http://schemas.openxmlformats.org/spreadsheetml/2006/main" count="74" uniqueCount="56">
  <si>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</si>
  <si>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</si>
  <si>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</si>
  <si>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</si>
  <si>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</si>
  <si>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</si>
  <si>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</si>
  <si>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</si>
  <si>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</si>
  <si>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</si>
  <si>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</si>
  <si>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</si>
  <si>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</si>
  <si>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</si>
  <si>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</si>
  <si>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</si>
  <si>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PAQUETE</t>
  </si>
  <si>
    <t>024 - Hospital Interzonal de Niños</t>
  </si>
  <si>
    <t>040 - Ministerio de Salud</t>
  </si>
  <si>
    <t>BAZAR Y MENAJE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</si>
  <si>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</si>
  <si>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</si>
  <si>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</si>
  <si>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</si>
  <si>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</si>
  <si>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</si>
  <si>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</si>
  <si>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</si>
  <si>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</si>
  <si>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</si>
  <si>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</si>
  <si>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</si>
  <si>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</si>
  <si>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</si>
  <si>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</si>
  <si>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</si>
  <si>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SERVILLETAS DE PAPEL; PRESENTACION: PAQUETE X 100, DIMENSION: 24 X 24 Cm, COLOR: BLANCO, MOTIVO: SIN VALOR, TIPO: LISAS</t>
  </si>
  <si>
    <t>2.3.4-938.13</t>
  </si>
  <si>
    <t>BOLSAS DE POLIETILENO; TAMAÑO: 20 X 30 Cm, ESPESOR: 30 mm, PRESENTACION: ENVASE X 100 UN</t>
  </si>
  <si>
    <t>2.5.8-3977.78</t>
  </si>
  <si>
    <t>FERRETERIA</t>
  </si>
  <si>
    <t>BOLSAS DE POLIETILENO; TAMAÑO: 35 X 45 Cm, ESPESOR: 30 Mn, PRESENTACION: ROLLO X 150 UN</t>
  </si>
  <si>
    <t>2.5.8-3977.63</t>
  </si>
  <si>
    <r>
      <t>Mantenimiento de Oferta</t>
    </r>
    <r>
      <rPr>
        <sz val="10"/>
        <rFont val="Times New Roman"/>
        <family val="1"/>
      </rPr>
      <t>: 45 dias habiles</t>
    </r>
  </si>
  <si>
    <t>VASOS PLASTICOS DESCARTABLES; MATERIAL: PLASTICO, MOTIVO: LISO, CAPACIDAD: 200 CM3, PRESENTACION: ENVASE X 1000 UN, TIPO: BLANCO</t>
  </si>
  <si>
    <t>2.9.4-588.76</t>
  </si>
  <si>
    <t>POTES POLIESTIRENO EXPANDIDO; CAPACIDAD: 240 CM3, TAPA: CON</t>
  </si>
  <si>
    <t>ROLLO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</si>
  <si>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</si>
  <si>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2.9.4-8102.8</t>
  </si>
  <si>
    <t>Descripción técnica</t>
  </si>
  <si>
    <t>REFORZADOS DESCARTABLES.</t>
  </si>
  <si>
    <t>Especificidades Item N° 3 y 4:</t>
  </si>
  <si>
    <t>Especificidades Item N° 2:</t>
  </si>
  <si>
    <t>SOPERAS, REFORZADAS DESCARTABLES.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</si>
  <si>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veinte (20) días corridos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</si>
</sst>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3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  <xf numFmtId="0" fontId="4" fillId="0" borderId="0"/>
  </cellStyleXfs>
  <cellXfs count="6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166" fontId="5" fillId="0" borderId="0" xfId="0" applyNumberFormat="1" applyFont="1"/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2" fillId="4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6" fontId="10" fillId="4" borderId="3" xfId="1" applyNumberFormat="1" applyFont="1" applyFill="1" applyBorder="1" applyAlignment="1" applyProtection="1">
      <alignment horizontal="right" vertical="center" wrapText="1"/>
    </xf>
    <xf numFmtId="166" fontId="10" fillId="4" borderId="4" xfId="1" applyNumberFormat="1" applyFont="1" applyFill="1" applyBorder="1" applyAlignment="1" applyProtection="1">
      <alignment horizontal="right" vertical="center" wrapText="1"/>
    </xf>
    <xf numFmtId="166" fontId="10" fillId="4" borderId="12" xfId="1" applyNumberFormat="1" applyFont="1" applyFill="1" applyBorder="1" applyAlignment="1" applyProtection="1">
      <alignment horizontal="right" vertical="center" wrapText="1"/>
    </xf>
    <xf numFmtId="166" fontId="10" fillId="4" borderId="13" xfId="1" applyNumberFormat="1" applyFont="1" applyFill="1" applyBorder="1" applyAlignment="1" applyProtection="1">
      <alignment horizontal="right" vertical="center" wrapText="1"/>
    </xf>
    <xf numFmtId="0" fontId="4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/>
    <xf numFmtId="0" fontId="1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indent="3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7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2" xfId="0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166" fontId="10" fillId="4" borderId="23" xfId="1" applyNumberFormat="1" applyFont="1" applyFill="1" applyBorder="1" applyAlignment="1" applyProtection="1">
      <alignment horizontal="right" vertical="center" wrapText="1"/>
    </xf>
    <xf numFmtId="166" fontId="10" fillId="4" borderId="24" xfId="1" applyNumberFormat="1" applyFont="1" applyFill="1" applyBorder="1" applyAlignment="1" applyProtection="1">
      <alignment horizontal="right" vertical="center" wrapText="1"/>
    </xf>
    <xf numFmtId="0" fontId="0" fillId="0" borderId="17" xfId="0" applyBorder="1"/>
    <xf numFmtId="166" fontId="10" fillId="4" borderId="17" xfId="1" applyNumberFormat="1" applyFont="1" applyFill="1" applyBorder="1" applyAlignment="1" applyProtection="1">
      <alignment horizontal="right" vertical="center" wrapText="1"/>
    </xf>
    <xf numFmtId="166" fontId="10" fillId="4" borderId="25" xfId="1" applyNumberFormat="1" applyFont="1" applyFill="1" applyBorder="1" applyAlignment="1" applyProtection="1">
      <alignment horizontal="right" vertical="center" wrapText="1"/>
    </xf>
    <xf numFmtId="0" fontId="4" fillId="0" borderId="26" xfId="0" applyFont="1" applyBorder="1" applyAlignment="1">
      <alignment horizontal="center" vertical="center"/>
    </xf>
    <xf numFmtId="0" fontId="0" fillId="0" borderId="20" xfId="0" applyBorder="1"/>
    <xf numFmtId="166" fontId="10" fillId="4" borderId="20" xfId="1" applyNumberFormat="1" applyFont="1" applyFill="1" applyBorder="1" applyAlignment="1" applyProtection="1">
      <alignment horizontal="right" vertical="center" wrapText="1"/>
    </xf>
    <xf numFmtId="166" fontId="10" fillId="4" borderId="27" xfId="1" applyNumberFormat="1" applyFont="1" applyFill="1" applyBorder="1" applyAlignment="1" applyProtection="1">
      <alignment horizontal="right" vertical="center" wrapText="1"/>
    </xf>
    <xf numFmtId="0" fontId="11" fillId="0" borderId="10" xfId="0" applyFont="1" applyBorder="1" applyAlignment="1"/>
    <xf numFmtId="0" fontId="5" fillId="0" borderId="28" xfId="0" applyFont="1" applyBorder="1" applyAlignment="1">
      <alignment horizontal="center" wrapText="1"/>
    </xf>
    <xf numFmtId="0" fontId="5" fillId="0" borderId="28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0" fillId="0" borderId="17" xfId="0" applyBorder="1" applyAlignment="1">
      <alignment wrapText="1"/>
    </xf>
    <xf numFmtId="0" fontId="11" fillId="0" borderId="5" xfId="0" applyFont="1" applyBorder="1"/>
    <xf numFmtId="0" fontId="5" fillId="0" borderId="6" xfId="0" applyFont="1" applyFill="1" applyBorder="1"/>
    <xf numFmtId="0" fontId="5" fillId="0" borderId="7" xfId="0" applyFont="1" applyFill="1" applyBorder="1"/>
    <xf numFmtId="0" fontId="5" fillId="0" borderId="0" xfId="0" applyFont="1" applyFill="1" applyBorder="1"/>
    <xf numFmtId="0" fontId="5" fillId="0" borderId="9" xfId="0" applyFont="1" applyFill="1" applyBorder="1"/>
    <xf numFmtId="0" fontId="11" fillId="0" borderId="8" xfId="0" applyFont="1" applyBorder="1" applyAlignment="1"/>
    <xf numFmtId="0" fontId="9" fillId="0" borderId="29" xfId="0" applyFont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4" borderId="8" xfId="4" applyFont="1" applyFill="1" applyBorder="1" applyAlignment="1">
      <alignment horizontal="left" wrapText="1"/>
    </xf>
    <xf numFmtId="0" fontId="5" fillId="4" borderId="0" xfId="4" applyFont="1" applyFill="1" applyBorder="1" applyAlignment="1">
      <alignment horizontal="left" wrapText="1"/>
    </xf>
    <xf numFmtId="0" fontId="5" fillId="4" borderId="9" xfId="4" applyFont="1" applyFill="1" applyBorder="1" applyAlignment="1">
      <alignment horizontal="left" wrapText="1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2" fillId="4" borderId="0" xfId="0" applyFont="1" applyFill="1" applyBorder="1" applyAlignment="1">
      <alignment horizontal="left" wrapText="1" indent="1"/>
    </xf>
  </cellXfs>
  <cellStyles count="5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5"/>
  <sheetViews>
    <sheetView tabSelected="1" zoomScale="98" zoomScaleNormal="98" workbookViewId="0">
      <selection activeCell="I23" sqref="I23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3.28515625" style="1" customWidth="1"/>
    <col min="4" max="4" width="8.42578125" style="1" customWidth="1"/>
    <col min="5" max="5" width="71.7109375" style="1" customWidth="1"/>
    <col min="6" max="6" width="11" style="1"/>
    <col min="7" max="7" width="10.42578125" style="1" bestFit="1" customWidth="1"/>
    <col min="8" max="8" width="13.85546875" style="1" customWidth="1"/>
    <col min="9" max="9" width="18.5703125" style="1" customWidth="1"/>
    <col min="10" max="10" width="11" style="1"/>
    <col min="11" max="11" width="14.7109375" style="1" customWidth="1"/>
    <col min="12" max="16384" width="11" style="1"/>
  </cols>
  <sheetData>
    <row r="2" spans="1:11" ht="27" x14ac:dyDescent="0.35">
      <c r="B2" s="65" t="s">
        <v>0</v>
      </c>
      <c r="C2" s="65"/>
      <c r="D2" s="65"/>
      <c r="E2" s="65"/>
      <c r="F2" s="65"/>
      <c r="G2" s="65"/>
      <c r="H2" s="65"/>
    </row>
    <row r="3" spans="1:11" ht="12" customHeight="1" x14ac:dyDescent="0.2"/>
    <row r="4" spans="1:11" ht="18" customHeight="1" x14ac:dyDescent="0.25">
      <c r="A4" s="66" t="s">
        <v>1</v>
      </c>
      <c r="B4" s="66"/>
      <c r="C4" s="67" t="s">
        <v>18</v>
      </c>
      <c r="D4" s="67"/>
      <c r="E4" s="67"/>
      <c r="F4" s="2"/>
      <c r="G4" s="3"/>
      <c r="H4" s="2"/>
    </row>
    <row r="5" spans="1:11" ht="18" customHeight="1" x14ac:dyDescent="0.25">
      <c r="A5" s="66" t="s">
        <v>2</v>
      </c>
      <c r="B5" s="66"/>
      <c r="C5" s="67" t="s">
        <v>17</v>
      </c>
      <c r="D5" s="67"/>
      <c r="E5" s="67"/>
      <c r="F5" s="2"/>
      <c r="G5" s="3"/>
      <c r="H5" s="2"/>
    </row>
    <row r="6" spans="1:11" ht="16.5" customHeight="1" x14ac:dyDescent="0.25">
      <c r="A6" s="66" t="s">
        <v>3</v>
      </c>
      <c r="B6" s="66"/>
      <c r="C6" s="11">
        <v>2021</v>
      </c>
      <c r="D6" s="12"/>
      <c r="E6" s="12"/>
      <c r="F6" s="2"/>
      <c r="G6" s="3"/>
      <c r="H6" s="2"/>
    </row>
    <row r="7" spans="1:11" ht="16.5" customHeight="1" x14ac:dyDescent="0.25">
      <c r="A7" s="66" t="s">
        <v>4</v>
      </c>
      <c r="B7" s="66"/>
      <c r="C7" s="11">
        <v>3</v>
      </c>
      <c r="D7" s="12"/>
      <c r="E7" s="12"/>
      <c r="F7" s="2"/>
      <c r="G7" s="3"/>
      <c r="H7" s="2"/>
    </row>
    <row r="8" spans="1:11" ht="13.5" thickBot="1" x14ac:dyDescent="0.25">
      <c r="B8" s="2"/>
      <c r="C8" s="3"/>
      <c r="D8" s="2"/>
      <c r="E8" s="2"/>
      <c r="F8" s="2"/>
      <c r="G8" s="3"/>
      <c r="H8" s="2"/>
    </row>
    <row r="9" spans="1:11" ht="39.75" thickTop="1" thickBot="1" x14ac:dyDescent="0.25">
      <c r="A9" s="8" t="s">
        <v>5</v>
      </c>
      <c r="B9" s="8" t="s">
        <v>6</v>
      </c>
      <c r="C9" s="8" t="s">
        <v>7</v>
      </c>
      <c r="D9" s="9" t="s">
        <v>8</v>
      </c>
      <c r="E9" s="57" t="s">
        <v>9</v>
      </c>
      <c r="F9" s="10" t="s">
        <v>10</v>
      </c>
      <c r="G9" s="4" t="s">
        <v>11</v>
      </c>
      <c r="H9" s="4" t="s">
        <v>12</v>
      </c>
      <c r="I9" s="4" t="s">
        <v>13</v>
      </c>
    </row>
    <row r="10" spans="1:11" ht="26.25" thickTop="1" x14ac:dyDescent="0.2">
      <c r="A10" s="17">
        <v>1</v>
      </c>
      <c r="B10" t="s">
        <v>49</v>
      </c>
      <c r="C10" s="28" t="s">
        <v>19</v>
      </c>
      <c r="D10" s="18">
        <v>294</v>
      </c>
      <c r="E10" s="29" t="s">
        <v>46</v>
      </c>
      <c r="F10" s="19" t="s">
        <v>14</v>
      </c>
      <c r="G10" s="19">
        <v>14000</v>
      </c>
      <c r="H10" s="13">
        <v>7</v>
      </c>
      <c r="I10" s="14">
        <f>H10*G10</f>
        <v>98000</v>
      </c>
      <c r="K10" s="7"/>
    </row>
    <row r="11" spans="1:11" ht="25.5" x14ac:dyDescent="0.2">
      <c r="A11" s="20">
        <v>2</v>
      </c>
      <c r="B11" s="21" t="s">
        <v>20</v>
      </c>
      <c r="C11" s="30" t="s">
        <v>19</v>
      </c>
      <c r="D11" s="22">
        <v>294</v>
      </c>
      <c r="E11" s="23" t="s">
        <v>21</v>
      </c>
      <c r="F11" s="24" t="s">
        <v>14</v>
      </c>
      <c r="G11" s="24">
        <v>6000</v>
      </c>
      <c r="H11" s="15">
        <v>3.7</v>
      </c>
      <c r="I11" s="16">
        <f>G11*H11</f>
        <v>22200</v>
      </c>
      <c r="K11" s="7"/>
    </row>
    <row r="12" spans="1:11" ht="25.5" x14ac:dyDescent="0.2">
      <c r="A12" s="20">
        <v>3</v>
      </c>
      <c r="B12" s="21" t="s">
        <v>22</v>
      </c>
      <c r="C12" s="30" t="s">
        <v>19</v>
      </c>
      <c r="D12" s="22">
        <v>294</v>
      </c>
      <c r="E12" s="23" t="s">
        <v>23</v>
      </c>
      <c r="F12" s="24" t="s">
        <v>14</v>
      </c>
      <c r="G12" s="24">
        <v>6000</v>
      </c>
      <c r="H12" s="15">
        <v>2.7</v>
      </c>
      <c r="I12" s="16">
        <f t="shared" ref="I12:I19" si="0">G12*H12</f>
        <v>16200.000000000002</v>
      </c>
      <c r="K12" s="7"/>
    </row>
    <row r="13" spans="1:11" ht="25.5" x14ac:dyDescent="0.2">
      <c r="A13" s="20">
        <v>4</v>
      </c>
      <c r="B13" s="21" t="s">
        <v>24</v>
      </c>
      <c r="C13" s="30" t="s">
        <v>19</v>
      </c>
      <c r="D13" s="22">
        <v>294</v>
      </c>
      <c r="E13" s="23" t="s">
        <v>25</v>
      </c>
      <c r="F13" s="24" t="s">
        <v>14</v>
      </c>
      <c r="G13" s="24">
        <v>6000</v>
      </c>
      <c r="H13" s="15">
        <v>2.7</v>
      </c>
      <c r="I13" s="16">
        <f t="shared" si="0"/>
        <v>16200.000000000002</v>
      </c>
      <c r="K13" s="7"/>
    </row>
    <row r="14" spans="1:11" ht="38.25" x14ac:dyDescent="0.2">
      <c r="A14" s="20">
        <v>5</v>
      </c>
      <c r="B14" s="21" t="s">
        <v>26</v>
      </c>
      <c r="C14" s="30" t="s">
        <v>19</v>
      </c>
      <c r="D14" s="22">
        <v>294</v>
      </c>
      <c r="E14" s="30" t="s">
        <v>27</v>
      </c>
      <c r="F14" s="24" t="s">
        <v>16</v>
      </c>
      <c r="G14" s="24">
        <v>50</v>
      </c>
      <c r="H14" s="15">
        <v>630</v>
      </c>
      <c r="I14" s="16">
        <f t="shared" si="0"/>
        <v>31500</v>
      </c>
    </row>
    <row r="15" spans="1:11" ht="25.5" x14ac:dyDescent="0.2">
      <c r="A15" s="20">
        <v>6</v>
      </c>
      <c r="B15" s="39" t="s">
        <v>45</v>
      </c>
      <c r="C15" s="30" t="s">
        <v>19</v>
      </c>
      <c r="D15" s="22">
        <v>294</v>
      </c>
      <c r="E15" s="50" t="s">
        <v>44</v>
      </c>
      <c r="F15" s="24" t="s">
        <v>16</v>
      </c>
      <c r="G15" s="24">
        <v>24</v>
      </c>
      <c r="H15" s="15">
        <v>6000</v>
      </c>
      <c r="I15" s="16">
        <f t="shared" si="0"/>
        <v>144000</v>
      </c>
    </row>
    <row r="16" spans="1:11" ht="25.5" x14ac:dyDescent="0.2">
      <c r="A16" s="20">
        <v>7</v>
      </c>
      <c r="B16" t="s">
        <v>37</v>
      </c>
      <c r="C16" s="30" t="s">
        <v>19</v>
      </c>
      <c r="D16" s="22">
        <v>234</v>
      </c>
      <c r="E16" s="29" t="s">
        <v>36</v>
      </c>
      <c r="F16" s="24" t="s">
        <v>16</v>
      </c>
      <c r="G16" s="24">
        <v>100</v>
      </c>
      <c r="H16" s="15">
        <v>130</v>
      </c>
      <c r="I16" s="16">
        <f t="shared" si="0"/>
        <v>13000</v>
      </c>
    </row>
    <row r="17" spans="1:9" ht="25.5" x14ac:dyDescent="0.2">
      <c r="A17" s="20">
        <v>8</v>
      </c>
      <c r="B17" s="21" t="s">
        <v>28</v>
      </c>
      <c r="C17" s="30" t="s">
        <v>19</v>
      </c>
      <c r="D17" s="22">
        <v>234</v>
      </c>
      <c r="E17" s="23" t="s">
        <v>29</v>
      </c>
      <c r="F17" s="24" t="s">
        <v>30</v>
      </c>
      <c r="G17" s="24">
        <v>60</v>
      </c>
      <c r="H17" s="15">
        <v>940</v>
      </c>
      <c r="I17" s="16">
        <f t="shared" si="0"/>
        <v>56400</v>
      </c>
    </row>
    <row r="18" spans="1:9" ht="25.5" x14ac:dyDescent="0.2">
      <c r="A18" s="20">
        <v>9</v>
      </c>
      <c r="B18" s="21" t="s">
        <v>31</v>
      </c>
      <c r="C18" s="30" t="s">
        <v>19</v>
      </c>
      <c r="D18" s="22">
        <v>294</v>
      </c>
      <c r="E18" s="30" t="s">
        <v>32</v>
      </c>
      <c r="F18" s="24" t="s">
        <v>14</v>
      </c>
      <c r="G18" s="24">
        <v>36000</v>
      </c>
      <c r="H18" s="15">
        <v>22</v>
      </c>
      <c r="I18" s="16">
        <f t="shared" si="0"/>
        <v>792000</v>
      </c>
    </row>
    <row r="19" spans="1:9" ht="51" x14ac:dyDescent="0.2">
      <c r="A19" s="32">
        <v>10</v>
      </c>
      <c r="B19" s="33" t="s">
        <v>33</v>
      </c>
      <c r="C19" s="34" t="s">
        <v>34</v>
      </c>
      <c r="D19" s="35">
        <v>258</v>
      </c>
      <c r="E19" s="34" t="s">
        <v>35</v>
      </c>
      <c r="F19" s="36" t="s">
        <v>14</v>
      </c>
      <c r="G19" s="36">
        <v>30</v>
      </c>
      <c r="H19" s="37">
        <v>1400</v>
      </c>
      <c r="I19" s="38">
        <f t="shared" si="0"/>
        <v>42000</v>
      </c>
    </row>
    <row r="20" spans="1:9" ht="25.5" x14ac:dyDescent="0.2">
      <c r="A20" s="20">
        <v>11</v>
      </c>
      <c r="B20" s="39" t="s">
        <v>39</v>
      </c>
      <c r="C20" s="39" t="s">
        <v>40</v>
      </c>
      <c r="D20" s="22">
        <v>258</v>
      </c>
      <c r="E20" s="50" t="s">
        <v>38</v>
      </c>
      <c r="F20" s="24" t="s">
        <v>47</v>
      </c>
      <c r="G20" s="24">
        <v>30</v>
      </c>
      <c r="H20" s="40">
        <v>520</v>
      </c>
      <c r="I20" s="41">
        <f t="shared" ref="I20:I21" si="1">G20*H20</f>
        <v>15600</v>
      </c>
    </row>
    <row r="21" spans="1:9" ht="26.25" thickBot="1" x14ac:dyDescent="0.25">
      <c r="A21" s="42">
        <v>12</v>
      </c>
      <c r="B21" s="43" t="s">
        <v>42</v>
      </c>
      <c r="C21" s="31" t="s">
        <v>40</v>
      </c>
      <c r="D21" s="25">
        <v>258</v>
      </c>
      <c r="E21" s="58" t="s">
        <v>41</v>
      </c>
      <c r="F21" s="26" t="s">
        <v>47</v>
      </c>
      <c r="G21" s="26">
        <v>30</v>
      </c>
      <c r="H21" s="44">
        <v>520</v>
      </c>
      <c r="I21" s="45">
        <f t="shared" si="1"/>
        <v>15600</v>
      </c>
    </row>
    <row r="22" spans="1:9" ht="13.5" thickBot="1" x14ac:dyDescent="0.25">
      <c r="I22" s="7">
        <f>SUM(I10:I21)</f>
        <v>1262700</v>
      </c>
    </row>
    <row r="23" spans="1:9" x14ac:dyDescent="0.2">
      <c r="B23" s="27" t="s">
        <v>15</v>
      </c>
      <c r="C23" s="5"/>
      <c r="D23" s="5"/>
      <c r="E23" s="6"/>
    </row>
    <row r="24" spans="1:9" ht="12.75" customHeight="1" x14ac:dyDescent="0.2">
      <c r="B24" s="62" t="s">
        <v>48</v>
      </c>
      <c r="C24" s="63"/>
      <c r="D24" s="63"/>
      <c r="E24" s="64"/>
    </row>
    <row r="25" spans="1:9" ht="26.25" customHeight="1" x14ac:dyDescent="0.2">
      <c r="B25" s="62"/>
      <c r="C25" s="63"/>
      <c r="D25" s="63"/>
      <c r="E25" s="64"/>
    </row>
    <row r="26" spans="1:9" ht="15" customHeight="1" x14ac:dyDescent="0.2">
      <c r="B26" s="62" t="s">
        <v>55</v>
      </c>
      <c r="C26" s="63"/>
      <c r="D26" s="63"/>
      <c r="E26" s="64"/>
    </row>
    <row r="27" spans="1:9" ht="13.5" thickBot="1" x14ac:dyDescent="0.25">
      <c r="B27" s="46" t="s">
        <v>43</v>
      </c>
      <c r="C27" s="47"/>
      <c r="D27" s="48"/>
      <c r="E27" s="49"/>
    </row>
    <row r="28" spans="1:9" ht="13.5" thickBot="1" x14ac:dyDescent="0.25"/>
    <row r="29" spans="1:9" x14ac:dyDescent="0.2">
      <c r="B29" s="51" t="s">
        <v>53</v>
      </c>
      <c r="C29" s="52"/>
      <c r="D29" s="52"/>
      <c r="E29" s="53"/>
    </row>
    <row r="30" spans="1:9" x14ac:dyDescent="0.2">
      <c r="B30" s="56" t="s">
        <v>50</v>
      </c>
      <c r="C30" s="54"/>
      <c r="D30" s="54"/>
      <c r="E30" s="55"/>
    </row>
    <row r="31" spans="1:9" ht="28.5" customHeight="1" thickBot="1" x14ac:dyDescent="0.25">
      <c r="B31" s="59" t="s">
        <v>54</v>
      </c>
      <c r="C31" s="60"/>
      <c r="D31" s="60"/>
      <c r="E31" s="61"/>
    </row>
    <row r="32" spans="1:9" ht="13.5" thickBot="1" x14ac:dyDescent="0.25"/>
    <row r="33" spans="2:5" x14ac:dyDescent="0.2">
      <c r="B33" s="51" t="s">
        <v>52</v>
      </c>
      <c r="C33" s="52"/>
      <c r="D33" s="52"/>
      <c r="E33" s="53"/>
    </row>
    <row r="34" spans="2:5" x14ac:dyDescent="0.2">
      <c r="B34" s="56" t="s">
        <v>50</v>
      </c>
      <c r="C34" s="54"/>
      <c r="D34" s="54"/>
      <c r="E34" s="55"/>
    </row>
    <row r="35" spans="2:5" ht="13.5" thickBot="1" x14ac:dyDescent="0.25">
      <c r="B35" s="59" t="s">
        <v>51</v>
      </c>
      <c r="C35" s="60"/>
      <c r="D35" s="60"/>
      <c r="E35" s="61"/>
    </row>
  </sheetData>
  <autoFilter ref="A9:I19" xr:uid="{00000000-0009-0000-0000-000000000000}"/>
  <mergeCells count="11">
    <mergeCell ref="B35:E35"/>
    <mergeCell ref="B31:E31"/>
    <mergeCell ref="B24:E25"/>
    <mergeCell ref="B26:E26"/>
    <mergeCell ref="B2:H2"/>
    <mergeCell ref="A4:B4"/>
    <mergeCell ref="C4:E4"/>
    <mergeCell ref="A5:B5"/>
    <mergeCell ref="C5:E5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2021-08-10T12:01:54Z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