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Trimestrales'!$A$9:$I$18</definedName>
    <definedName name="_xlnm.Print_Area" localSheetId="1">' NotaPedido'!$A$1:$K$21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I20" i="3" l="1"/>
  <c r="I19" i="3"/>
  <c r="I17" i="3" l="1"/>
  <c r="I18" i="3"/>
  <c r="I16" i="3" l="1"/>
  <c r="I15" i="3"/>
  <c r="B14" i="2"/>
  <c r="B15" i="2"/>
  <c r="B16" i="2"/>
  <c r="B17" i="2"/>
  <c r="B18" i="2"/>
  <c r="B19" i="2"/>
  <c r="B20" i="2"/>
  <c r="B13" i="2"/>
  <c r="B12" i="2"/>
  <c r="C12" i="2" l="1"/>
  <c r="C13" i="2"/>
  <c r="C14" i="2"/>
  <c r="C15" i="2"/>
  <c r="C16" i="2"/>
  <c r="C17" i="2"/>
  <c r="C18" i="2"/>
  <c r="C19" i="2"/>
  <c r="C20" i="2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J21" i="2" l="1"/>
  <c r="G6" i="3" l="1"/>
  <c r="D3" i="2"/>
  <c r="G4" i="3" s="1"/>
  <c r="D4" i="2"/>
  <c r="G5" i="3" s="1"/>
  <c r="D1" i="3" l="1"/>
  <c r="Q23" i="3" l="1"/>
</calcChain>
</file>

<file path=xl/sharedStrings.xml><?xml version="1.0" encoding="utf-8"?>
<sst xmlns="http://schemas.openxmlformats.org/spreadsheetml/2006/main" count="148" uniqueCount="112">
  <si>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</si>
  <si>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</si>
  <si>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</si>
  <si>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</si>
  <si>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</si>
  <si>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</si>
  <si>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</si>
  <si>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</si>
  <si>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</si>
  <si>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</si>
  <si>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</si>
  <si>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</si>
  <si>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</si>
  <si>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</si>
  <si>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</si>
  <si>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</si>
  <si>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</si>
  <si>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</si>
  <si>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</si>
  <si>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</si>
  <si>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</si>
  <si>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</si>
  <si>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</si>
  <si>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</si>
  <si>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</si>
  <si>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</si>
  <si>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</si>
  <si>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</si>
  <si>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</si>
  <si>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</si>
  <si>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</si>
  <si>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</si>
  <si>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</si>
  <si>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</si>
  <si>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</si>
  <si>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</si>
  <si>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</si>
  <si>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</si>
  <si>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</si>
  <si>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</si>
  <si>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</si>
  <si>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</si>
  <si>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</si>
  <si>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</si>
  <si>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</si>
  <si>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</si>
  <si>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</si>
  <si>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</si>
  <si>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</si>
  <si>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</si>
  <si>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</si>
  <si>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</si>
  <si>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</si>
  <si>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</si>
  <si>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</si>
  <si>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</si>
  <si>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</si>
  <si>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</si>
  <si>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Especificidades Item N° 4:</t>
  </si>
  <si>
    <t>SI</t>
  </si>
  <si>
    <r>
      <t>Descripción técnica</t>
    </r>
    <r>
      <rPr>
        <sz val="10"/>
        <rFont val="Times New Roman"/>
        <family val="1"/>
      </rPr>
      <t xml:space="preserve">: </t>
    </r>
  </si>
  <si>
    <t>2º Trimestre - Año 2022</t>
  </si>
  <si>
    <t>CAÑOS ESTRUCTURALES; MATERIAL: ACERO SAE 1010, TIPO: RECTANGULAR, SECCION: 50 X 50 mm, ESPESOR: 2 mm, LARGO: 6 M</t>
  </si>
  <si>
    <t>2.7.4-2123.145</t>
  </si>
  <si>
    <t>CONSTRUCCION</t>
  </si>
  <si>
    <t>2.7.4</t>
  </si>
  <si>
    <t>CAÑOS ESTRUCTURALES; MATERIAL: ACERO SAE 1010, TIPO: RECTANGULAR, SECCION: 40 X 30 mm, ESPESOR: 2 mm, LARGO: 6 M</t>
  </si>
  <si>
    <t>2.7.4-2123.144</t>
  </si>
  <si>
    <t>CHAPAS FIBROCEMENTO; LARGO: 122 Cm, ANCHO: 244 Cm, ESPESOR: 10 mm, TIPO: PLACA CEMENTICIDA</t>
  </si>
  <si>
    <t>2.6.4-6085.5</t>
  </si>
  <si>
    <t>MATERIALES DE CONSTRUCCION</t>
  </si>
  <si>
    <t>2.6.4</t>
  </si>
  <si>
    <t>PLACA; USO: CIELORRASO, ESPESOR: 7 mm, MATERIAL: YESO RECUBIERTO CON PVC, DIMENSION: 60,3 X 60,3 Cm</t>
  </si>
  <si>
    <t>2.9.9-4911.231</t>
  </si>
  <si>
    <t>TIPO: DECO CLASICA TEXTURADA</t>
  </si>
  <si>
    <t>CHAPAS GALVANIZADAS; ANCHO: 1000 mm, CALIBRE BWG: 27 mm, LARGO: 2000 mm</t>
  </si>
  <si>
    <t>2.7.1-331.83</t>
  </si>
  <si>
    <t>2.7.1</t>
  </si>
  <si>
    <t>CHAPAS DE ZINC; LARGO: 3 M, ANCHO: 1,1 M, ESPESOR: CALIBRE 25 BWG</t>
  </si>
  <si>
    <t>2.7.2-2722.32</t>
  </si>
  <si>
    <t>2.7.2</t>
  </si>
  <si>
    <t>ELECTRODOS; DIAMETRO: 2,5 mm, PUNTA: AZUL, USO: P/SOLDADURA DE ARCO ELECTRICO, TIPO PUNTA: AZUL</t>
  </si>
  <si>
    <t>Especificidades Item N° 6:</t>
  </si>
  <si>
    <t>ACANALADAS</t>
  </si>
  <si>
    <t>2.7.5-1432.4</t>
  </si>
  <si>
    <t>FERRETERIA</t>
  </si>
  <si>
    <t>2.7.5</t>
  </si>
  <si>
    <t>KG.</t>
  </si>
  <si>
    <t>CONVERTIDORES DE OXIDO; CAPACIDAD: ENVASE X 10 L, PRESENTACION: ENVASE X 10 L</t>
  </si>
  <si>
    <t>2.5.5-581.5</t>
  </si>
  <si>
    <t>PINTURAS</t>
  </si>
  <si>
    <t>2.5.5</t>
  </si>
  <si>
    <t>HIERRO ANGULO; TRATAMIENTO: SAE 1010, LADO X LADO X ESP: 1 X 1 X 3/16 pulg</t>
  </si>
  <si>
    <t>2.7.1-1061.101</t>
  </si>
  <si>
    <t>Especificidades Item N° 8:</t>
  </si>
  <si>
    <t xml:space="preserve">TIPO: TRES EN UNO, COLOR: BLANCO.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</si>
  <si>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DIRECCION DE MANTENIMIENTO -HOSPITAL INT. DE NIÑOS – AV. VIRGEN DEL VALLE N° 1050-CATAMARCA DE 8:00 A 12:00HS., DEBIENDO CORRER LOS GASTOS DE FLETES, ACARREO, CARGA, DESCARGA Y SEGURO A CARGO DEL ADJUDICATARIO.</t>
    </r>
  </si>
  <si>
    <r>
      <t>Forma de Pago</t>
    </r>
    <r>
      <rPr>
        <sz val="10"/>
        <rFont val="Times New Roman"/>
        <family val="1"/>
      </rPr>
      <t xml:space="preserve">: treinta (30) dias habiles. </t>
    </r>
  </si>
  <si>
    <r>
      <t>Mantenimiento de Oferta</t>
    </r>
    <r>
      <rPr>
        <sz val="10"/>
        <rFont val="Times New Roman"/>
        <family val="1"/>
      </rPr>
      <t xml:space="preserve">: Cuarenta y cinco (45) dias habiles </t>
    </r>
  </si>
  <si>
    <t>044/2022</t>
  </si>
  <si>
    <t>Direccion de Mantenimiento</t>
  </si>
  <si>
    <t>Materiales de Construccion.</t>
  </si>
  <si>
    <t>Para la adquisición de Materiales de Construccion destinados a la Direccion de Mantenimiento del Hospital Interzonal de Niños Eva Peron, para el normal funcionamiento del organismo.</t>
  </si>
  <si>
    <t>Productos de Cemento, Asbesto y Yeso</t>
  </si>
  <si>
    <t>Tintas, Pinturas y Colorantes</t>
  </si>
  <si>
    <t>Productos Ferrosos</t>
  </si>
  <si>
    <t>Producos No Ferrosos</t>
  </si>
  <si>
    <t>Estructuras Metalicas Acabadas</t>
  </si>
  <si>
    <t>Herramientas Menores</t>
  </si>
  <si>
    <t>TOTAL DE PESOS: UN MILLON SEISCIENTOS VEINTIOCHO MIL SETECIENTOS CON 00/100.</t>
  </si>
  <si>
    <t>24 - Direccion de Administracion del Hospital Interzonal de Niños Eva Peron</t>
  </si>
  <si>
    <t>Costo total estimado Pesos: Un Millon Seiscientos Veintiocho Mil Setecientos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</si>
</sst>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&quot;$&quot;#,##0.00"/>
    <numFmt numFmtId="171" formatCode="[$$-2C0A]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4" fillId="0" borderId="56" xfId="0" applyFont="1" applyBorder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0" fontId="0" fillId="3" borderId="57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0" fontId="0" fillId="4" borderId="58" xfId="0" applyFont="1" applyFill="1" applyBorder="1" applyAlignment="1">
      <alignment horizontal="center" vertical="center"/>
    </xf>
    <xf numFmtId="0" fontId="17" fillId="4" borderId="57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5" fillId="0" borderId="2" xfId="0" applyFont="1" applyBorder="1"/>
    <xf numFmtId="170" fontId="18" fillId="0" borderId="56" xfId="0" applyNumberFormat="1" applyFont="1" applyBorder="1" applyAlignment="1">
      <alignment vertical="center"/>
    </xf>
    <xf numFmtId="170" fontId="18" fillId="0" borderId="53" xfId="0" applyNumberFormat="1" applyFont="1" applyBorder="1" applyAlignment="1">
      <alignment vertical="center"/>
    </xf>
    <xf numFmtId="0" fontId="18" fillId="0" borderId="8" xfId="0" applyFont="1" applyBorder="1"/>
    <xf numFmtId="0" fontId="18" fillId="0" borderId="9" xfId="0" applyFont="1" applyBorder="1"/>
    <xf numFmtId="0" fontId="23" fillId="0" borderId="60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 wrapText="1"/>
    </xf>
    <xf numFmtId="0" fontId="24" fillId="4" borderId="61" xfId="0" applyFont="1" applyFill="1" applyBorder="1" applyAlignment="1">
      <alignment horizontal="center" vertical="center" wrapText="1"/>
    </xf>
    <xf numFmtId="170" fontId="18" fillId="0" borderId="61" xfId="0" applyNumberFormat="1" applyFont="1" applyBorder="1" applyAlignment="1">
      <alignment vertical="center"/>
    </xf>
    <xf numFmtId="166" fontId="23" fillId="4" borderId="62" xfId="1" applyNumberFormat="1" applyFont="1" applyFill="1" applyBorder="1" applyAlignment="1" applyProtection="1">
      <alignment horizontal="right" vertical="center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23" fillId="0" borderId="63" xfId="0" applyFont="1" applyBorder="1" applyAlignment="1">
      <alignment horizontal="center" vertical="center"/>
    </xf>
    <xf numFmtId="166" fontId="23" fillId="4" borderId="64" xfId="1" applyNumberFormat="1" applyFont="1" applyFill="1" applyBorder="1" applyAlignment="1" applyProtection="1">
      <alignment horizontal="right" vertical="center" wrapText="1"/>
    </xf>
    <xf numFmtId="171" fontId="18" fillId="0" borderId="0" xfId="0" applyNumberFormat="1" applyFont="1"/>
    <xf numFmtId="166" fontId="18" fillId="0" borderId="8" xfId="0" applyNumberFormat="1" applyFont="1" applyBorder="1"/>
    <xf numFmtId="0" fontId="0" fillId="0" borderId="56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56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25" fillId="0" borderId="5" xfId="0" applyFont="1" applyBorder="1" applyAlignment="1"/>
    <xf numFmtId="0" fontId="18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11" fillId="3" borderId="18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left" vertical="center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0" fillId="0" borderId="65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17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  <row r="12">
          <cell r="D12">
            <v>231</v>
          </cell>
        </row>
        <row r="13">
          <cell r="D13">
            <v>292</v>
          </cell>
        </row>
        <row r="14">
          <cell r="D14">
            <v>292</v>
          </cell>
        </row>
        <row r="15">
          <cell r="D15">
            <v>292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4"/>
  <sheetViews>
    <sheetView tabSelected="1" zoomScale="93" zoomScaleNormal="93" workbookViewId="0">
      <selection activeCell="C5" sqref="C5:E5"/>
    </sheetView>
  </sheetViews>
  <sheetFormatPr baseColWidth="10" defaultColWidth="11" defaultRowHeight="12.75" x14ac:dyDescent="0.2"/>
  <cols>
    <col min="1" max="1" width="6.42578125" style="19" customWidth="1"/>
    <col min="2" max="2" width="15.7109375" style="19" customWidth="1"/>
    <col min="3" max="3" width="21.7109375" style="19" customWidth="1"/>
    <col min="4" max="4" width="7" style="19" customWidth="1"/>
    <col min="5" max="5" width="61.85546875" style="19" customWidth="1"/>
    <col min="6" max="6" width="11" style="19"/>
    <col min="7" max="7" width="10.85546875" style="19" customWidth="1"/>
    <col min="8" max="8" width="13.85546875" style="36" customWidth="1"/>
    <col min="9" max="9" width="17.42578125" style="19" customWidth="1"/>
    <col min="10" max="10" width="11" style="19"/>
    <col min="11" max="11" width="12.140625" style="19" bestFit="1" customWidth="1"/>
    <col min="12" max="12" width="13.140625" style="19" customWidth="1"/>
    <col min="13" max="16384" width="11" style="19"/>
  </cols>
  <sheetData>
    <row r="2" spans="1:11" ht="24.75" customHeight="1" x14ac:dyDescent="0.35">
      <c r="B2" s="102" t="s">
        <v>0</v>
      </c>
      <c r="C2" s="102"/>
      <c r="D2" s="102"/>
      <c r="E2" s="102"/>
      <c r="F2" s="102"/>
      <c r="G2" s="102"/>
      <c r="H2" s="102"/>
    </row>
    <row r="3" spans="1:11" ht="12" customHeight="1" x14ac:dyDescent="0.2"/>
    <row r="4" spans="1:11" ht="18" customHeight="1" x14ac:dyDescent="0.25">
      <c r="A4" s="98" t="s">
        <v>1</v>
      </c>
      <c r="B4" s="98"/>
      <c r="C4" s="103" t="s">
        <v>51</v>
      </c>
      <c r="D4" s="103"/>
      <c r="E4" s="103"/>
      <c r="F4" s="20"/>
      <c r="G4" s="21"/>
      <c r="H4" s="37"/>
    </row>
    <row r="5" spans="1:11" ht="18" customHeight="1" x14ac:dyDescent="0.25">
      <c r="A5" s="98" t="s">
        <v>2</v>
      </c>
      <c r="B5" s="98"/>
      <c r="C5" s="103" t="s">
        <v>110</v>
      </c>
      <c r="D5" s="103"/>
      <c r="E5" s="103"/>
      <c r="F5" s="20"/>
      <c r="G5" s="21" t="s">
        <v>54</v>
      </c>
      <c r="H5" s="37"/>
    </row>
    <row r="6" spans="1:11" ht="16.5" customHeight="1" x14ac:dyDescent="0.25">
      <c r="A6" s="98" t="s">
        <v>3</v>
      </c>
      <c r="B6" s="98"/>
      <c r="C6" s="33">
        <v>2022</v>
      </c>
      <c r="D6" s="34"/>
      <c r="E6" s="34"/>
      <c r="F6" s="20"/>
      <c r="G6" s="21"/>
      <c r="H6" s="37"/>
    </row>
    <row r="7" spans="1:11" ht="16.5" customHeight="1" x14ac:dyDescent="0.25">
      <c r="A7" s="98" t="s">
        <v>4</v>
      </c>
      <c r="B7" s="98"/>
      <c r="C7" s="33">
        <v>2</v>
      </c>
      <c r="D7" s="34"/>
      <c r="E7" s="34"/>
      <c r="F7" s="20"/>
      <c r="G7" s="21"/>
      <c r="H7" s="37"/>
    </row>
    <row r="8" spans="1:11" ht="13.5" thickBot="1" x14ac:dyDescent="0.25">
      <c r="B8" s="20"/>
      <c r="C8" s="21"/>
      <c r="D8" s="20"/>
      <c r="E8" s="20"/>
      <c r="F8" s="20"/>
      <c r="G8" s="21"/>
      <c r="H8" s="37"/>
      <c r="J8" s="35"/>
    </row>
    <row r="9" spans="1:11" ht="36.75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6" t="s">
        <v>12</v>
      </c>
      <c r="I9" s="55" t="s">
        <v>13</v>
      </c>
      <c r="K9" s="24"/>
    </row>
    <row r="10" spans="1:11" ht="35.25" customHeight="1" x14ac:dyDescent="0.2">
      <c r="A10" s="86">
        <v>1</v>
      </c>
      <c r="B10" s="90" t="s">
        <v>63</v>
      </c>
      <c r="C10" s="93" t="s">
        <v>64</v>
      </c>
      <c r="D10" s="62" t="s">
        <v>65</v>
      </c>
      <c r="E10" s="93" t="s">
        <v>62</v>
      </c>
      <c r="F10" s="63" t="s">
        <v>55</v>
      </c>
      <c r="G10" s="63">
        <v>64</v>
      </c>
      <c r="H10" s="75">
        <v>6900</v>
      </c>
      <c r="I10" s="87">
        <f t="shared" ref="I10:I18" si="0">+G10*H10</f>
        <v>441600</v>
      </c>
      <c r="K10" s="24"/>
    </row>
    <row r="11" spans="1:11" ht="30.75" customHeight="1" x14ac:dyDescent="0.2">
      <c r="A11" s="47">
        <v>2</v>
      </c>
      <c r="B11" s="91" t="s">
        <v>67</v>
      </c>
      <c r="C11" s="94" t="s">
        <v>64</v>
      </c>
      <c r="D11" s="64" t="s">
        <v>65</v>
      </c>
      <c r="E11" s="94" t="s">
        <v>66</v>
      </c>
      <c r="F11" s="65" t="s">
        <v>55</v>
      </c>
      <c r="G11" s="65">
        <v>30</v>
      </c>
      <c r="H11" s="76">
        <v>4500</v>
      </c>
      <c r="I11" s="48">
        <f t="shared" si="0"/>
        <v>135000</v>
      </c>
      <c r="K11" s="24"/>
    </row>
    <row r="12" spans="1:11" ht="25.5" x14ac:dyDescent="0.2">
      <c r="A12" s="47">
        <v>3</v>
      </c>
      <c r="B12" s="91" t="s">
        <v>69</v>
      </c>
      <c r="C12" s="94" t="s">
        <v>70</v>
      </c>
      <c r="D12" s="64" t="s">
        <v>71</v>
      </c>
      <c r="E12" s="94" t="s">
        <v>68</v>
      </c>
      <c r="F12" s="65" t="s">
        <v>55</v>
      </c>
      <c r="G12" s="65">
        <v>120</v>
      </c>
      <c r="H12" s="76">
        <v>7330</v>
      </c>
      <c r="I12" s="48">
        <f t="shared" si="0"/>
        <v>879600</v>
      </c>
      <c r="K12" s="24"/>
    </row>
    <row r="13" spans="1:11" ht="25.5" x14ac:dyDescent="0.2">
      <c r="A13" s="47">
        <v>4</v>
      </c>
      <c r="B13" s="91" t="s">
        <v>73</v>
      </c>
      <c r="C13" s="94" t="s">
        <v>70</v>
      </c>
      <c r="D13" s="64" t="s">
        <v>71</v>
      </c>
      <c r="E13" s="94" t="s">
        <v>72</v>
      </c>
      <c r="F13" s="65" t="s">
        <v>55</v>
      </c>
      <c r="G13" s="65">
        <v>170</v>
      </c>
      <c r="H13" s="76">
        <v>400</v>
      </c>
      <c r="I13" s="48">
        <f t="shared" si="0"/>
        <v>68000</v>
      </c>
      <c r="K13" s="24"/>
    </row>
    <row r="14" spans="1:11" ht="25.5" x14ac:dyDescent="0.2">
      <c r="A14" s="47">
        <v>5</v>
      </c>
      <c r="B14" s="91" t="s">
        <v>76</v>
      </c>
      <c r="C14" s="94" t="s">
        <v>70</v>
      </c>
      <c r="D14" s="64" t="s">
        <v>77</v>
      </c>
      <c r="E14" s="94" t="s">
        <v>75</v>
      </c>
      <c r="F14" s="65" t="s">
        <v>55</v>
      </c>
      <c r="G14" s="65">
        <v>8</v>
      </c>
      <c r="H14" s="76">
        <v>4600</v>
      </c>
      <c r="I14" s="48">
        <f t="shared" si="0"/>
        <v>36800</v>
      </c>
    </row>
    <row r="15" spans="1:11" ht="25.5" x14ac:dyDescent="0.2">
      <c r="A15" s="47">
        <v>6</v>
      </c>
      <c r="B15" s="91" t="s">
        <v>79</v>
      </c>
      <c r="C15" s="94" t="s">
        <v>70</v>
      </c>
      <c r="D15" s="64" t="s">
        <v>80</v>
      </c>
      <c r="E15" s="94" t="s">
        <v>78</v>
      </c>
      <c r="F15" s="65" t="s">
        <v>55</v>
      </c>
      <c r="G15" s="65">
        <v>3</v>
      </c>
      <c r="H15" s="76">
        <v>7500</v>
      </c>
      <c r="I15" s="48">
        <f t="shared" si="0"/>
        <v>22500</v>
      </c>
      <c r="K15" s="88"/>
    </row>
    <row r="16" spans="1:11" ht="25.5" x14ac:dyDescent="0.2">
      <c r="A16" s="47">
        <v>7</v>
      </c>
      <c r="B16" s="91" t="s">
        <v>84</v>
      </c>
      <c r="C16" s="94" t="s">
        <v>85</v>
      </c>
      <c r="D16" s="64" t="s">
        <v>86</v>
      </c>
      <c r="E16" s="94" t="s">
        <v>81</v>
      </c>
      <c r="F16" s="65" t="s">
        <v>87</v>
      </c>
      <c r="G16" s="65">
        <v>10</v>
      </c>
      <c r="H16" s="76">
        <v>950</v>
      </c>
      <c r="I16" s="48">
        <f t="shared" si="0"/>
        <v>9500</v>
      </c>
    </row>
    <row r="17" spans="1:9" ht="25.5" x14ac:dyDescent="0.2">
      <c r="A17" s="47">
        <v>8</v>
      </c>
      <c r="B17" s="91" t="s">
        <v>89</v>
      </c>
      <c r="C17" s="94" t="s">
        <v>90</v>
      </c>
      <c r="D17" s="64" t="s">
        <v>91</v>
      </c>
      <c r="E17" s="94" t="s">
        <v>88</v>
      </c>
      <c r="F17" s="65" t="s">
        <v>55</v>
      </c>
      <c r="G17" s="65">
        <v>2</v>
      </c>
      <c r="H17" s="76">
        <v>12000</v>
      </c>
      <c r="I17" s="48">
        <f t="shared" si="0"/>
        <v>24000</v>
      </c>
    </row>
    <row r="18" spans="1:9" ht="26.25" thickBot="1" x14ac:dyDescent="0.25">
      <c r="A18" s="79">
        <v>9</v>
      </c>
      <c r="B18" s="92" t="s">
        <v>93</v>
      </c>
      <c r="C18" s="95" t="s">
        <v>70</v>
      </c>
      <c r="D18" s="80" t="s">
        <v>77</v>
      </c>
      <c r="E18" s="95" t="s">
        <v>92</v>
      </c>
      <c r="F18" s="81" t="s">
        <v>55</v>
      </c>
      <c r="G18" s="81">
        <v>3</v>
      </c>
      <c r="H18" s="82">
        <v>3900</v>
      </c>
      <c r="I18" s="83">
        <f t="shared" si="0"/>
        <v>11700</v>
      </c>
    </row>
    <row r="19" spans="1:9" ht="13.5" thickBot="1" x14ac:dyDescent="0.25">
      <c r="I19" s="24"/>
    </row>
    <row r="20" spans="1:9" x14ac:dyDescent="0.2">
      <c r="B20" s="74" t="s">
        <v>58</v>
      </c>
      <c r="C20" s="22"/>
      <c r="D20" s="22"/>
      <c r="E20" s="23"/>
    </row>
    <row r="21" spans="1:9" ht="13.5" thickBot="1" x14ac:dyDescent="0.25">
      <c r="B21" s="58" t="s">
        <v>60</v>
      </c>
      <c r="C21" s="89" t="s">
        <v>74</v>
      </c>
      <c r="D21" s="77"/>
      <c r="E21" s="78"/>
    </row>
    <row r="22" spans="1:9" ht="13.5" thickBot="1" x14ac:dyDescent="0.25"/>
    <row r="23" spans="1:9" ht="13.5" customHeight="1" x14ac:dyDescent="0.2">
      <c r="B23" s="74" t="s">
        <v>82</v>
      </c>
      <c r="C23" s="22"/>
      <c r="D23" s="22"/>
      <c r="E23" s="23"/>
    </row>
    <row r="24" spans="1:9" ht="13.5" thickBot="1" x14ac:dyDescent="0.25">
      <c r="B24" s="58" t="s">
        <v>60</v>
      </c>
      <c r="C24" s="89" t="s">
        <v>83</v>
      </c>
      <c r="D24" s="77"/>
      <c r="E24" s="78"/>
    </row>
    <row r="25" spans="1:9" ht="13.5" thickBot="1" x14ac:dyDescent="0.25"/>
    <row r="26" spans="1:9" x14ac:dyDescent="0.2">
      <c r="B26" s="74" t="s">
        <v>94</v>
      </c>
      <c r="C26" s="22"/>
      <c r="D26" s="22"/>
      <c r="E26" s="23"/>
    </row>
    <row r="27" spans="1:9" ht="13.5" thickBot="1" x14ac:dyDescent="0.25">
      <c r="B27" s="58" t="s">
        <v>60</v>
      </c>
      <c r="C27" s="89" t="s">
        <v>95</v>
      </c>
      <c r="D27" s="77"/>
      <c r="E27" s="78"/>
    </row>
    <row r="28" spans="1:9" ht="13.5" thickBot="1" x14ac:dyDescent="0.25"/>
    <row r="29" spans="1:9" x14ac:dyDescent="0.2">
      <c r="B29" s="57" t="s">
        <v>56</v>
      </c>
      <c r="C29" s="22"/>
      <c r="D29" s="22"/>
      <c r="E29" s="23"/>
    </row>
    <row r="30" spans="1:9" x14ac:dyDescent="0.2">
      <c r="B30" s="99" t="s">
        <v>96</v>
      </c>
      <c r="C30" s="100"/>
      <c r="D30" s="100"/>
      <c r="E30" s="101"/>
    </row>
    <row r="31" spans="1:9" ht="27" customHeight="1" x14ac:dyDescent="0.2">
      <c r="B31" s="99"/>
      <c r="C31" s="100"/>
      <c r="D31" s="100"/>
      <c r="E31" s="101"/>
    </row>
    <row r="32" spans="1:9" x14ac:dyDescent="0.2">
      <c r="B32" s="99" t="s">
        <v>57</v>
      </c>
      <c r="C32" s="100"/>
      <c r="D32" s="100"/>
      <c r="E32" s="101"/>
    </row>
    <row r="33" spans="2:5" x14ac:dyDescent="0.2">
      <c r="B33" s="96" t="s">
        <v>98</v>
      </c>
      <c r="C33" s="97"/>
      <c r="D33" s="84"/>
      <c r="E33" s="85"/>
    </row>
    <row r="34" spans="2:5" ht="13.5" thickBot="1" x14ac:dyDescent="0.25">
      <c r="B34" s="58" t="s">
        <v>97</v>
      </c>
      <c r="C34" s="59"/>
      <c r="D34" s="60"/>
      <c r="E34" s="61"/>
    </row>
  </sheetData>
  <autoFilter ref="A9:I18"/>
  <sortState ref="A10:H43">
    <sortCondition ref="E10:E43"/>
  </sortState>
  <mergeCells count="9">
    <mergeCell ref="A6:B6"/>
    <mergeCell ref="A7:B7"/>
    <mergeCell ref="B30:E31"/>
    <mergeCell ref="B32:E3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15748031496062992" bottom="0.35433070866141736" header="0" footer="0"/>
  <pageSetup paperSize="9" scale="89" firstPageNumber="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"/>
  <sheetViews>
    <sheetView zoomScale="80" zoomScaleNormal="80" workbookViewId="0">
      <selection activeCell="K17" sqref="K17"/>
    </sheetView>
  </sheetViews>
  <sheetFormatPr baseColWidth="10" defaultColWidth="9.140625" defaultRowHeight="12.75" x14ac:dyDescent="0.2"/>
  <cols>
    <col min="1" max="1" width="5.5703125" style="27" customWidth="1"/>
    <col min="2" max="2" width="15.140625" style="27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8.5703125" style="27" customWidth="1"/>
    <col min="8" max="8" width="9.28515625" style="27" customWidth="1"/>
    <col min="9" max="9" width="15.5703125" style="27" customWidth="1"/>
    <col min="10" max="10" width="14.7109375" style="27" customWidth="1"/>
    <col min="11" max="11" width="15.5703125" style="27" customWidth="1"/>
    <col min="12" max="13" width="5.85546875" style="27" customWidth="1"/>
    <col min="14" max="14" width="14.140625" style="27" customWidth="1"/>
    <col min="15" max="15" width="12.5703125" style="27" customWidth="1"/>
    <col min="16" max="1024" width="9.140625" style="27"/>
    <col min="1025" max="16384" width="9.140625" style="28"/>
  </cols>
  <sheetData>
    <row r="1" spans="1:11" ht="18" customHeight="1" x14ac:dyDescent="0.2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25" t="s">
        <v>15</v>
      </c>
      <c r="K1" s="26" t="s">
        <v>99</v>
      </c>
    </row>
    <row r="2" spans="1:11" ht="18.75" customHeight="1" thickBot="1" x14ac:dyDescent="0.25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1" ht="18.75" customHeight="1" thickBot="1" x14ac:dyDescent="0.25">
      <c r="A3" s="110" t="s">
        <v>48</v>
      </c>
      <c r="B3" s="110"/>
      <c r="C3" s="110"/>
      <c r="D3" s="105" t="str">
        <f>'Necesidades Trimestrales'!C4</f>
        <v>040 - Ministerio de Salud</v>
      </c>
      <c r="E3" s="105"/>
      <c r="F3" s="105"/>
      <c r="G3" s="105"/>
      <c r="H3" s="105"/>
      <c r="I3" s="105"/>
      <c r="J3" s="105"/>
      <c r="K3" s="105"/>
    </row>
    <row r="4" spans="1:11" ht="18.75" customHeight="1" thickBot="1" x14ac:dyDescent="0.25">
      <c r="A4" s="111" t="s">
        <v>49</v>
      </c>
      <c r="B4" s="111"/>
      <c r="C4" s="111"/>
      <c r="D4" s="105" t="str">
        <f>'Necesidades Trimestrales'!C5</f>
        <v>24 - Direccion de Administracion del Hospital Interzonal de Niños Eva Peron</v>
      </c>
      <c r="E4" s="105"/>
      <c r="F4" s="105"/>
      <c r="G4" s="105"/>
      <c r="H4" s="105"/>
      <c r="I4" s="105"/>
      <c r="J4" s="105"/>
      <c r="K4" s="105"/>
    </row>
    <row r="5" spans="1:11" ht="18.75" customHeight="1" thickBot="1" x14ac:dyDescent="0.25">
      <c r="A5" s="111" t="s">
        <v>27</v>
      </c>
      <c r="B5" s="111"/>
      <c r="C5" s="111"/>
      <c r="D5" s="105" t="s">
        <v>110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10" t="s">
        <v>50</v>
      </c>
      <c r="B6" s="110"/>
      <c r="C6" s="110"/>
      <c r="D6" s="105" t="s">
        <v>100</v>
      </c>
      <c r="E6" s="105"/>
      <c r="F6" s="105"/>
      <c r="G6" s="105"/>
      <c r="H6" s="105"/>
      <c r="I6" s="105"/>
      <c r="J6" s="105"/>
      <c r="K6" s="105"/>
    </row>
    <row r="7" spans="1:11" ht="16.5" customHeight="1" x14ac:dyDescent="0.2">
      <c r="A7" s="111" t="s">
        <v>16</v>
      </c>
      <c r="B7" s="111"/>
      <c r="C7" s="111"/>
      <c r="D7" s="105" t="s">
        <v>61</v>
      </c>
      <c r="E7" s="105"/>
      <c r="F7" s="105"/>
      <c r="G7" s="105"/>
      <c r="H7" s="105"/>
      <c r="I7" s="105"/>
      <c r="J7" s="105"/>
      <c r="K7" s="105"/>
    </row>
    <row r="8" spans="1:11" ht="16.5" customHeight="1" x14ac:dyDescent="0.2">
      <c r="A8" s="114" t="s">
        <v>17</v>
      </c>
      <c r="B8" s="114"/>
      <c r="C8" s="114"/>
      <c r="D8" s="112" t="s">
        <v>101</v>
      </c>
      <c r="E8" s="112"/>
      <c r="F8" s="112"/>
      <c r="G8" s="112"/>
      <c r="H8" s="112"/>
      <c r="I8" s="112"/>
      <c r="J8" s="112"/>
      <c r="K8" s="112"/>
    </row>
    <row r="9" spans="1:11" ht="15.75" x14ac:dyDescent="0.2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1" ht="18.75" customHeight="1" x14ac:dyDescent="0.2">
      <c r="A10" s="113" t="s">
        <v>18</v>
      </c>
      <c r="B10" s="104" t="s">
        <v>19</v>
      </c>
      <c r="C10" s="104" t="s">
        <v>20</v>
      </c>
      <c r="D10" s="104"/>
      <c r="E10" s="104"/>
      <c r="F10" s="104"/>
      <c r="G10" s="104"/>
      <c r="H10" s="104" t="s">
        <v>21</v>
      </c>
      <c r="I10" s="104" t="s">
        <v>22</v>
      </c>
      <c r="J10" s="104" t="s">
        <v>23</v>
      </c>
      <c r="K10" s="108" t="s">
        <v>24</v>
      </c>
    </row>
    <row r="11" spans="1:11" ht="24" customHeight="1" thickBot="1" x14ac:dyDescent="0.25">
      <c r="A11" s="113"/>
      <c r="B11" s="104"/>
      <c r="C11" s="104"/>
      <c r="D11" s="104"/>
      <c r="E11" s="104"/>
      <c r="F11" s="104"/>
      <c r="G11" s="104"/>
      <c r="H11" s="104"/>
      <c r="I11" s="104"/>
      <c r="J11" s="104"/>
      <c r="K11" s="108"/>
    </row>
    <row r="12" spans="1:11" ht="27.75" customHeight="1" x14ac:dyDescent="0.2">
      <c r="A12" s="49">
        <v>1</v>
      </c>
      <c r="B12" s="50" t="str">
        <f>'Necesidades Trimestrales'!B10</f>
        <v>2.7.4-2123.145</v>
      </c>
      <c r="C12" s="107" t="str">
        <f>'Necesidades Trimestrales'!E10</f>
        <v>CAÑOS ESTRUCTURALES; MATERIAL: ACERO SAE 1010, TIPO: RECTANGULAR, SECCION: 50 X 50 mm, ESPESOR: 2 mm, LARGO: 6 M</v>
      </c>
      <c r="D12" s="107"/>
      <c r="E12" s="107"/>
      <c r="F12" s="107"/>
      <c r="G12" s="107"/>
      <c r="H12" s="53" t="s">
        <v>53</v>
      </c>
      <c r="I12" s="54" t="str">
        <f>'Necesidades Trimestrales'!F10</f>
        <v>UNIDAD</v>
      </c>
      <c r="J12" s="52">
        <f>'Necesidades Trimestrales'!H10</f>
        <v>6900</v>
      </c>
      <c r="K12" s="51">
        <f>'Necesidades Trimestrales'!G10</f>
        <v>64</v>
      </c>
    </row>
    <row r="13" spans="1:11" ht="27.75" customHeight="1" x14ac:dyDescent="0.2">
      <c r="A13" s="49">
        <v>2</v>
      </c>
      <c r="B13" s="50" t="str">
        <f>'Necesidades Trimestrales'!B11</f>
        <v>2.7.4-2123.144</v>
      </c>
      <c r="C13" s="107" t="str">
        <f>'Necesidades Trimestrales'!E11</f>
        <v>CAÑOS ESTRUCTURALES; MATERIAL: ACERO SAE 1010, TIPO: RECTANGULAR, SECCION: 40 X 30 mm, ESPESOR: 2 mm, LARGO: 6 M</v>
      </c>
      <c r="D13" s="107"/>
      <c r="E13" s="107"/>
      <c r="F13" s="107"/>
      <c r="G13" s="107"/>
      <c r="H13" s="53" t="s">
        <v>53</v>
      </c>
      <c r="I13" s="54" t="str">
        <f>'Necesidades Trimestrales'!F11</f>
        <v>UNIDAD</v>
      </c>
      <c r="J13" s="52">
        <f>'Necesidades Trimestrales'!H11</f>
        <v>4500</v>
      </c>
      <c r="K13" s="51">
        <f>'Necesidades Trimestrales'!G11</f>
        <v>30</v>
      </c>
    </row>
    <row r="14" spans="1:11" ht="27.75" customHeight="1" x14ac:dyDescent="0.2">
      <c r="A14" s="49">
        <v>3</v>
      </c>
      <c r="B14" s="50" t="str">
        <f>'Necesidades Trimestrales'!B12</f>
        <v>2.6.4-6085.5</v>
      </c>
      <c r="C14" s="107" t="str">
        <f>'Necesidades Trimestrales'!E12</f>
        <v>CHAPAS FIBROCEMENTO; LARGO: 122 Cm, ANCHO: 244 Cm, ESPESOR: 10 mm, TIPO: PLACA CEMENTICIDA</v>
      </c>
      <c r="D14" s="107"/>
      <c r="E14" s="107"/>
      <c r="F14" s="107"/>
      <c r="G14" s="107"/>
      <c r="H14" s="53" t="s">
        <v>53</v>
      </c>
      <c r="I14" s="54" t="str">
        <f>'Necesidades Trimestrales'!F12</f>
        <v>UNIDAD</v>
      </c>
      <c r="J14" s="52">
        <f>'Necesidades Trimestrales'!H12</f>
        <v>7330</v>
      </c>
      <c r="K14" s="51">
        <f>'Necesidades Trimestrales'!G12</f>
        <v>120</v>
      </c>
    </row>
    <row r="15" spans="1:11" ht="27.75" customHeight="1" x14ac:dyDescent="0.2">
      <c r="A15" s="49">
        <v>4</v>
      </c>
      <c r="B15" s="50" t="str">
        <f>'Necesidades Trimestrales'!B13</f>
        <v>2.9.9-4911.231</v>
      </c>
      <c r="C15" s="107" t="str">
        <f>'Necesidades Trimestrales'!E13</f>
        <v>PLACA; USO: CIELORRASO, ESPESOR: 7 mm, MATERIAL: YESO RECUBIERTO CON PVC, DIMENSION: 60,3 X 60,3 Cm</v>
      </c>
      <c r="D15" s="107"/>
      <c r="E15" s="107"/>
      <c r="F15" s="107"/>
      <c r="G15" s="107"/>
      <c r="H15" s="53" t="s">
        <v>59</v>
      </c>
      <c r="I15" s="54" t="str">
        <f>'Necesidades Trimestrales'!F13</f>
        <v>UNIDAD</v>
      </c>
      <c r="J15" s="52">
        <f>'Necesidades Trimestrales'!H13</f>
        <v>400</v>
      </c>
      <c r="K15" s="51">
        <f>'Necesidades Trimestrales'!G13</f>
        <v>170</v>
      </c>
    </row>
    <row r="16" spans="1:11" ht="27.75" customHeight="1" x14ac:dyDescent="0.2">
      <c r="A16" s="49">
        <v>5</v>
      </c>
      <c r="B16" s="50" t="str">
        <f>'Necesidades Trimestrales'!B14</f>
        <v>2.7.1-331.83</v>
      </c>
      <c r="C16" s="107" t="str">
        <f>'Necesidades Trimestrales'!E14</f>
        <v>CHAPAS GALVANIZADAS; ANCHO: 1000 mm, CALIBRE BWG: 27 mm, LARGO: 2000 mm</v>
      </c>
      <c r="D16" s="107"/>
      <c r="E16" s="107"/>
      <c r="F16" s="107"/>
      <c r="G16" s="107"/>
      <c r="H16" s="53" t="s">
        <v>53</v>
      </c>
      <c r="I16" s="54" t="str">
        <f>'Necesidades Trimestrales'!F14</f>
        <v>UNIDAD</v>
      </c>
      <c r="J16" s="52">
        <f>'Necesidades Trimestrales'!H14</f>
        <v>4600</v>
      </c>
      <c r="K16" s="51">
        <f>'Necesidades Trimestrales'!G14</f>
        <v>8</v>
      </c>
    </row>
    <row r="17" spans="1:14" ht="27.75" customHeight="1" x14ac:dyDescent="0.2">
      <c r="A17" s="49">
        <v>6</v>
      </c>
      <c r="B17" s="50" t="str">
        <f>'Necesidades Trimestrales'!B15</f>
        <v>2.7.2-2722.32</v>
      </c>
      <c r="C17" s="107" t="str">
        <f>'Necesidades Trimestrales'!E15</f>
        <v>CHAPAS DE ZINC; LARGO: 3 M, ANCHO: 1,1 M, ESPESOR: CALIBRE 25 BWG</v>
      </c>
      <c r="D17" s="107"/>
      <c r="E17" s="107"/>
      <c r="F17" s="107"/>
      <c r="G17" s="107"/>
      <c r="H17" s="53" t="s">
        <v>59</v>
      </c>
      <c r="I17" s="54" t="str">
        <f>'Necesidades Trimestrales'!F15</f>
        <v>UNIDAD</v>
      </c>
      <c r="J17" s="52">
        <f>'Necesidades Trimestrales'!H15</f>
        <v>7500</v>
      </c>
      <c r="K17" s="51">
        <f>'Necesidades Trimestrales'!G15</f>
        <v>3</v>
      </c>
    </row>
    <row r="18" spans="1:14" ht="27.75" customHeight="1" x14ac:dyDescent="0.2">
      <c r="A18" s="49">
        <v>7</v>
      </c>
      <c r="B18" s="50" t="str">
        <f>'Necesidades Trimestrales'!B16</f>
        <v>2.7.5-1432.4</v>
      </c>
      <c r="C18" s="107" t="str">
        <f>'Necesidades Trimestrales'!E16</f>
        <v>ELECTRODOS; DIAMETRO: 2,5 mm, PUNTA: AZUL, USO: P/SOLDADURA DE ARCO ELECTRICO, TIPO PUNTA: AZUL</v>
      </c>
      <c r="D18" s="107"/>
      <c r="E18" s="107"/>
      <c r="F18" s="107"/>
      <c r="G18" s="107"/>
      <c r="H18" s="53" t="s">
        <v>53</v>
      </c>
      <c r="I18" s="54" t="str">
        <f>'Necesidades Trimestrales'!F16</f>
        <v>KG.</v>
      </c>
      <c r="J18" s="52">
        <f>'Necesidades Trimestrales'!H16</f>
        <v>950</v>
      </c>
      <c r="K18" s="51">
        <f>'Necesidades Trimestrales'!G16</f>
        <v>10</v>
      </c>
    </row>
    <row r="19" spans="1:14" ht="27.75" customHeight="1" x14ac:dyDescent="0.2">
      <c r="A19" s="49">
        <v>8</v>
      </c>
      <c r="B19" s="50" t="str">
        <f>'Necesidades Trimestrales'!B17</f>
        <v>2.5.5-581.5</v>
      </c>
      <c r="C19" s="107" t="str">
        <f>'Necesidades Trimestrales'!E17</f>
        <v>CONVERTIDORES DE OXIDO; CAPACIDAD: ENVASE X 10 L, PRESENTACION: ENVASE X 10 L</v>
      </c>
      <c r="D19" s="107"/>
      <c r="E19" s="107"/>
      <c r="F19" s="107"/>
      <c r="G19" s="107"/>
      <c r="H19" s="53" t="s">
        <v>59</v>
      </c>
      <c r="I19" s="54" t="str">
        <f>'Necesidades Trimestrales'!F17</f>
        <v>UNIDAD</v>
      </c>
      <c r="J19" s="52">
        <f>'Necesidades Trimestrales'!H17</f>
        <v>12000</v>
      </c>
      <c r="K19" s="51">
        <f>'Necesidades Trimestrales'!G17</f>
        <v>2</v>
      </c>
    </row>
    <row r="20" spans="1:14" ht="27.75" customHeight="1" thickBot="1" x14ac:dyDescent="0.25">
      <c r="A20" s="49">
        <v>9</v>
      </c>
      <c r="B20" s="50" t="str">
        <f>'Necesidades Trimestrales'!B18</f>
        <v>2.7.1-1061.101</v>
      </c>
      <c r="C20" s="107" t="str">
        <f>'Necesidades Trimestrales'!E18</f>
        <v>HIERRO ANGULO; TRATAMIENTO: SAE 1010, LADO X LADO X ESP: 1 X 1 X 3/16 pulg</v>
      </c>
      <c r="D20" s="107"/>
      <c r="E20" s="107"/>
      <c r="F20" s="107"/>
      <c r="G20" s="107"/>
      <c r="H20" s="53" t="s">
        <v>53</v>
      </c>
      <c r="I20" s="54" t="str">
        <f>'Necesidades Trimestrales'!F18</f>
        <v>UNIDAD</v>
      </c>
      <c r="J20" s="52">
        <f>'Necesidades Trimestrales'!H18</f>
        <v>3900</v>
      </c>
      <c r="K20" s="51">
        <f>'Necesidades Trimestrales'!G18</f>
        <v>3</v>
      </c>
    </row>
    <row r="21" spans="1:14" ht="20.25" customHeight="1" thickBot="1" x14ac:dyDescent="0.25">
      <c r="A21" s="105" t="s">
        <v>111</v>
      </c>
      <c r="B21" s="105"/>
      <c r="C21" s="105"/>
      <c r="D21" s="105"/>
      <c r="E21" s="105"/>
      <c r="F21" s="105"/>
      <c r="G21" s="105"/>
      <c r="H21" s="105"/>
      <c r="I21" s="105"/>
      <c r="J21" s="106">
        <f>SUMPRODUCT(J12:J20,K12:K20)</f>
        <v>1628700</v>
      </c>
      <c r="K21" s="106"/>
      <c r="N21" s="38"/>
    </row>
  </sheetData>
  <mergeCells count="31">
    <mergeCell ref="D8:K8"/>
    <mergeCell ref="A10:A11"/>
    <mergeCell ref="B10:B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0:G11"/>
    <mergeCell ref="H10:H11"/>
    <mergeCell ref="I10:I11"/>
    <mergeCell ref="J10:J11"/>
    <mergeCell ref="A21:I21"/>
    <mergeCell ref="J21:K2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K10:K11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11" sqref="A1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2022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25</v>
      </c>
      <c r="Q1" s="14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 x14ac:dyDescent="0.25">
      <c r="A4" s="149" t="s">
        <v>26</v>
      </c>
      <c r="B4" s="149"/>
      <c r="C4" s="149"/>
      <c r="D4" s="149"/>
      <c r="E4" s="149"/>
      <c r="F4" s="149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 x14ac:dyDescent="0.25">
      <c r="A5" s="141" t="s">
        <v>49</v>
      </c>
      <c r="B5" s="142"/>
      <c r="C5" s="142"/>
      <c r="D5" s="142"/>
      <c r="E5" s="142"/>
      <c r="F5" s="143"/>
      <c r="G5" s="144" t="str">
        <f>' NotaPedido'!D4</f>
        <v>24 - Direccion de Administracion del Hospital Interzonal de Niños Eva Peron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1" t="s">
        <v>27</v>
      </c>
      <c r="B6" s="142"/>
      <c r="C6" s="142"/>
      <c r="D6" s="142"/>
      <c r="E6" s="142"/>
      <c r="F6" s="143"/>
      <c r="G6" s="144" t="str">
        <f>' NotaPedido'!D5</f>
        <v>24 - Direccion de Administracion del Hospital Interzonal de Niños Eva Peron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1" t="s">
        <v>50</v>
      </c>
      <c r="B7" s="142"/>
      <c r="C7" s="142"/>
      <c r="D7" s="142"/>
      <c r="E7" s="142"/>
      <c r="F7" s="143"/>
      <c r="G7" s="144" t="s">
        <v>100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28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0" t="s">
        <v>29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7" ht="54.75" customHeight="1" x14ac:dyDescent="0.2">
      <c r="A10" s="131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044/2022,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2" t="s">
        <v>30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thickBot="1" x14ac:dyDescent="0.25">
      <c r="A13" s="133" t="s">
        <v>31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32</v>
      </c>
      <c r="P13" s="136"/>
      <c r="Q13" s="139" t="s">
        <v>33</v>
      </c>
    </row>
    <row r="14" spans="1:17" ht="15.75" customHeight="1" thickBot="1" x14ac:dyDescent="0.25">
      <c r="A14" s="41" t="s">
        <v>34</v>
      </c>
      <c r="B14" s="42" t="s">
        <v>35</v>
      </c>
      <c r="C14" s="42" t="s">
        <v>36</v>
      </c>
      <c r="D14" s="42" t="s">
        <v>37</v>
      </c>
      <c r="E14" s="42" t="s">
        <v>38</v>
      </c>
      <c r="F14" s="42" t="s">
        <v>39</v>
      </c>
      <c r="G14" s="43" t="s">
        <v>40</v>
      </c>
      <c r="H14" s="42" t="s">
        <v>41</v>
      </c>
      <c r="I14" s="42" t="s">
        <v>42</v>
      </c>
      <c r="J14" s="42" t="s">
        <v>43</v>
      </c>
      <c r="K14" s="42" t="s">
        <v>43</v>
      </c>
      <c r="L14" s="42" t="s">
        <v>44</v>
      </c>
      <c r="M14" s="44" t="s">
        <v>45</v>
      </c>
      <c r="N14" s="45" t="s">
        <v>46</v>
      </c>
      <c r="O14" s="137"/>
      <c r="P14" s="138"/>
      <c r="Q14" s="140"/>
    </row>
    <row r="15" spans="1:17" ht="26.25" customHeight="1" x14ac:dyDescent="0.2">
      <c r="A15" s="39">
        <v>36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310</v>
      </c>
      <c r="I15" s="66" t="str">
        <f>LEFT('[1]Necesidades Trimestrales'!D10,1)</f>
        <v>2</v>
      </c>
      <c r="J15" s="66">
        <v>5</v>
      </c>
      <c r="K15" s="66">
        <v>5</v>
      </c>
      <c r="L15" s="67"/>
      <c r="M15" s="68">
        <v>1</v>
      </c>
      <c r="N15" s="69" t="s">
        <v>52</v>
      </c>
      <c r="O15" s="123" t="s">
        <v>104</v>
      </c>
      <c r="P15" s="124"/>
      <c r="Q15" s="46">
        <v>24000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70" t="str">
        <f>LEFT('[1]Necesidades Trimestrales'!D11,1)</f>
        <v>2</v>
      </c>
      <c r="J16" s="70">
        <v>6</v>
      </c>
      <c r="K16" s="70">
        <v>4</v>
      </c>
      <c r="L16" s="71"/>
      <c r="M16" s="72">
        <v>1</v>
      </c>
      <c r="N16" s="73" t="s">
        <v>52</v>
      </c>
      <c r="O16" s="125" t="s">
        <v>103</v>
      </c>
      <c r="P16" s="117"/>
      <c r="Q16" s="13">
        <v>947600</v>
      </c>
    </row>
    <row r="17" spans="1:18" ht="27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70" t="str">
        <f>LEFT('[1]Necesidades Trimestrales'!D12,1)</f>
        <v>2</v>
      </c>
      <c r="J17" s="70">
        <v>7</v>
      </c>
      <c r="K17" s="70">
        <v>1</v>
      </c>
      <c r="L17" s="71"/>
      <c r="M17" s="72">
        <v>1</v>
      </c>
      <c r="N17" s="73" t="s">
        <v>52</v>
      </c>
      <c r="O17" s="125" t="s">
        <v>105</v>
      </c>
      <c r="P17" s="117"/>
      <c r="Q17" s="13">
        <v>48500</v>
      </c>
    </row>
    <row r="18" spans="1:18" ht="27" customHeight="1" x14ac:dyDescent="0.2">
      <c r="A18" s="11">
        <v>36</v>
      </c>
      <c r="B18" s="12"/>
      <c r="C18" s="12"/>
      <c r="D18" s="12">
        <v>1</v>
      </c>
      <c r="E18" s="12"/>
      <c r="F18" s="12">
        <v>4901</v>
      </c>
      <c r="G18" s="12">
        <v>3</v>
      </c>
      <c r="H18" s="12">
        <v>310</v>
      </c>
      <c r="I18" s="70" t="str">
        <f>LEFT('[1]Necesidades Trimestrales'!D13,1)</f>
        <v>2</v>
      </c>
      <c r="J18" s="70">
        <v>7</v>
      </c>
      <c r="K18" s="70">
        <v>2</v>
      </c>
      <c r="L18" s="71"/>
      <c r="M18" s="72">
        <v>1</v>
      </c>
      <c r="N18" s="73" t="s">
        <v>52</v>
      </c>
      <c r="O18" s="116" t="s">
        <v>106</v>
      </c>
      <c r="P18" s="117"/>
      <c r="Q18" s="13">
        <v>22500</v>
      </c>
    </row>
    <row r="19" spans="1:18" ht="27" customHeight="1" x14ac:dyDescent="0.2">
      <c r="A19" s="11">
        <v>36</v>
      </c>
      <c r="B19" s="12"/>
      <c r="C19" s="12"/>
      <c r="D19" s="12">
        <v>1</v>
      </c>
      <c r="E19" s="12"/>
      <c r="F19" s="12">
        <v>4901</v>
      </c>
      <c r="G19" s="12">
        <v>3</v>
      </c>
      <c r="H19" s="12">
        <v>310</v>
      </c>
      <c r="I19" s="70" t="str">
        <f>LEFT('[1]Necesidades Trimestrales'!D14,1)</f>
        <v>2</v>
      </c>
      <c r="J19" s="70">
        <v>7</v>
      </c>
      <c r="K19" s="70">
        <v>4</v>
      </c>
      <c r="L19" s="71"/>
      <c r="M19" s="72">
        <v>1</v>
      </c>
      <c r="N19" s="73" t="s">
        <v>52</v>
      </c>
      <c r="O19" s="116" t="s">
        <v>107</v>
      </c>
      <c r="P19" s="117"/>
      <c r="Q19" s="13">
        <v>576600</v>
      </c>
    </row>
    <row r="20" spans="1:18" ht="27" customHeight="1" x14ac:dyDescent="0.2">
      <c r="A20" s="11">
        <v>36</v>
      </c>
      <c r="B20" s="12"/>
      <c r="C20" s="12"/>
      <c r="D20" s="12">
        <v>1</v>
      </c>
      <c r="E20" s="12"/>
      <c r="F20" s="12">
        <v>4901</v>
      </c>
      <c r="G20" s="12">
        <v>3</v>
      </c>
      <c r="H20" s="12">
        <v>310</v>
      </c>
      <c r="I20" s="70" t="str">
        <f>LEFT('[1]Necesidades Trimestrales'!D15,1)</f>
        <v>2</v>
      </c>
      <c r="J20" s="70">
        <v>7</v>
      </c>
      <c r="K20" s="70">
        <v>5</v>
      </c>
      <c r="L20" s="71"/>
      <c r="M20" s="72">
        <v>1</v>
      </c>
      <c r="N20" s="73" t="s">
        <v>52</v>
      </c>
      <c r="O20" s="116" t="s">
        <v>108</v>
      </c>
      <c r="P20" s="117"/>
      <c r="Q20" s="13">
        <v>9500</v>
      </c>
    </row>
    <row r="21" spans="1:18" ht="27" customHeight="1" x14ac:dyDescent="0.2">
      <c r="A21" s="11"/>
      <c r="B21" s="12"/>
      <c r="C21" s="12"/>
      <c r="D21" s="12"/>
      <c r="E21" s="12"/>
      <c r="F21" s="12"/>
      <c r="G21" s="12"/>
      <c r="H21" s="12"/>
      <c r="I21" s="70"/>
      <c r="J21" s="70"/>
      <c r="K21" s="70"/>
      <c r="L21" s="71"/>
      <c r="M21" s="72"/>
      <c r="N21" s="73"/>
      <c r="O21" s="118"/>
      <c r="P21" s="119"/>
      <c r="Q21" s="13"/>
      <c r="R21" s="1"/>
    </row>
    <row r="22" spans="1:18" ht="17.25" customHeight="1" thickBo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20"/>
      <c r="P22" s="120"/>
      <c r="Q22" s="17"/>
    </row>
    <row r="23" spans="1:18" ht="29.25" customHeight="1" x14ac:dyDescent="0.2">
      <c r="A23" s="121" t="s">
        <v>109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8">
        <f>SUM(Q15:Q22)</f>
        <v>1628700</v>
      </c>
    </row>
    <row r="24" spans="1:18" ht="18" customHeight="1" thickBot="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8" ht="17.25" customHeight="1" thickBot="1" x14ac:dyDescent="0.25">
      <c r="A25" s="126" t="s">
        <v>47</v>
      </c>
      <c r="B25" s="127"/>
      <c r="C25" s="127"/>
      <c r="D25" s="127"/>
      <c r="E25" s="127"/>
      <c r="F25" s="128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</row>
    <row r="26" spans="1:18" ht="18" customHeight="1" thickBot="1" x14ac:dyDescent="0.25">
      <c r="A26" s="115" t="s">
        <v>102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</row>
    <row r="27" spans="1:18" ht="26.25" customHeight="1" x14ac:dyDescent="0.2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5:F25"/>
    <mergeCell ref="G25:Q25"/>
    <mergeCell ref="A26:Q27"/>
    <mergeCell ref="O18:P18"/>
    <mergeCell ref="O21:P21"/>
    <mergeCell ref="O22:P22"/>
    <mergeCell ref="A23:P23"/>
    <mergeCell ref="A24:Q24"/>
    <mergeCell ref="O19:P19"/>
    <mergeCell ref="O20:P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2022-05-04T12:39:32Z</cp:lastPrinted>
  <dcterms:created xsi:type="dcterms:W3CDTF">2020-07-17T23:44:49Z</dcterms:created>
  <dcterms:modified xsi:type="dcterms:W3CDTF">2022-05-09T15:53:38Z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