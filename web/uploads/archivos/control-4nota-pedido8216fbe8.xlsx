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6WqbqJEIpNzS8p7QakLmqpcDABf72pcI\FRI -SCA\12. ALIMENTO MDS\0. Nota de solicitud\contratacion 12.2023\0. Nota de solicitud\"/>
    </mc:Choice>
  </mc:AlternateContent>
  <xr:revisionPtr revIDLastSave="0" documentId="13_ncr:1_{9AAFF2DC-4F69-4B88-8329-F39C731B1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91029"/>
</workbook>
</file>

<file path=xl/calcChain.xml><?xml version="1.0" encoding="utf-8"?>
<calcChain xmlns="http://schemas.openxmlformats.org/spreadsheetml/2006/main">
  <c r="I17" i="1" l="1"/>
  <c r="I21" i="1"/>
  <c r="I14" i="1"/>
  <c r="I15" i="1"/>
  <c r="I16" i="1"/>
  <c r="I13" i="1"/>
  <c r="I34" i="1"/>
  <c r="I36" i="1"/>
  <c r="I18" i="1"/>
  <c r="I22" i="1"/>
  <c r="I10" i="1"/>
  <c r="I19" i="1"/>
  <c r="I26" i="1"/>
  <c r="I32" i="1"/>
  <c r="I25" i="1"/>
  <c r="I23" i="1"/>
  <c r="I33" i="1"/>
  <c r="I11" i="1"/>
  <c r="I31" i="1"/>
  <c r="I28" i="1"/>
  <c r="I12" i="1"/>
  <c r="I27" i="1"/>
  <c r="I29" i="1"/>
  <c r="I35" i="1"/>
  <c r="I24" i="1"/>
  <c r="I30" i="1"/>
  <c r="I20" i="1"/>
  <c r="I37" i="1" l="1"/>
</calcChain>
</file>

<file path=xl/sharedStrings.xml><?xml version="1.0" encoding="utf-8"?>
<sst xmlns="http://schemas.openxmlformats.org/spreadsheetml/2006/main" count="171" uniqueCount="93">
  <si>
    <t>Pedido de Necesidades Trimestrales</t>
  </si>
  <si>
    <t>JURISDICCION:</t>
  </si>
  <si>
    <t>45 - MINISTERIO DE DESARROLLO SOCIAL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</si>
  <si>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</si>
  <si>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</si>
  <si>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</si>
  <si>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</si>
  <si>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</si>
  <si>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</si>
  <si>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</si>
  <si>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</si>
  <si>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</si>
  <si>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</si>
  <si>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</si>
  <si>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</si>
  <si>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</si>
  <si>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2.1.1-514.28</t>
  </si>
  <si>
    <t>ALIMENTOS</t>
  </si>
  <si>
    <t>2.1.1</t>
  </si>
  <si>
    <t>SAL DE MESA; CONSISTENCIA: GRUESA, ENVASE: PAQUETE, PESO: 500 GR, TIPO: COMUN</t>
  </si>
  <si>
    <t>UNIDAD</t>
  </si>
  <si>
    <t>2.1.1-514.2</t>
  </si>
  <si>
    <t>SAL DE MESA; CONSISTENCIA: FINA, PESO: 500 GR, TIPO: SIN VALOR, ENVASE: PAQUETE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</si>
  <si>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</si>
  <si>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</si>
  <si>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</si>
  <si>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</si>
  <si>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</si>
  <si>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</si>
  <si>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</si>
  <si>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</si>
  <si>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arroz 00000</t>
  </si>
  <si>
    <t>2.1.1-6558.7</t>
  </si>
  <si>
    <t>JARDINERA; PRESENTACION: ENVASE X 350 GR, PESO: 350 GR</t>
  </si>
  <si>
    <t>2.1.1-482.70</t>
  </si>
  <si>
    <t>HARINAS; TIPO: 000, PRESENTACION: ENVASE X 1 KG, MATERIAL ENVASE: PAPEL, CERTICADO FORESTAL (GFS): SI, ELEM. TRANSPORTE: SIN, MATERIAL ELEM. TRANSPORTE: SIN, LIBRE DE GLUTEN: NO</t>
  </si>
  <si>
    <t>2.1.1-478.48</t>
  </si>
  <si>
    <t>AGUA MINERAL; TIPO: GASIFICADA SABORIZADA, PRESENTACION: ENVASE X 1500 CM3, MATERIAL ENVASE: PVC (3), TIPO ENVASE: NO RETORNABLE, ELEM. TRANSPORTE: SIN, MATERIAL ELEM. TRANSPORTE: SIN</t>
  </si>
  <si>
    <t>Sabor naranja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</si>
  <si>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</si>
  <si>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</si>
  <si>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2.1.1-2124.8</t>
  </si>
  <si>
    <t>AVENAS; TIPO: INSTANTANEA, ESTADO: EXTRAFINA, PRESENTACION: ENVASE X 400 GR,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</si>
  <si>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</si>
  <si>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</si>
  <si>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2.1.1-6547.66</t>
  </si>
  <si>
    <t>LEGUMBRES; VARIEDAD: ARVEJA, ESTADO: NATURAL, PRESENTACION: LATA, PESO: 350 GR</t>
  </si>
  <si>
    <t>2.1.1-2125.77</t>
  </si>
  <si>
    <t>MERMELADAS; SABOR: DURAZNO, TIPO: UNTABLE, PRESENTACION: ENVASE X 454 GR, MATERIAL ENVASE: VIDRIO, ELEM. TRANSPORTE: SIN, MATERIAL ELEM. TRANSPORTE: SIN, LIBRE DE GLUTEN: SI</t>
  </si>
  <si>
    <t>2.1.1-6546.50</t>
  </si>
  <si>
    <t>VERDURAS Y HORTALIZAS; VARIEDAD: CHOCLO, PESO: 300 GR, ESTADO: CONSERVA, PRESENTACION: LATA</t>
  </si>
  <si>
    <t>2.1.1-455.27</t>
  </si>
  <si>
    <t>DULCE DE LECHE; TIPO: COMUN, PRESENTACION: ENVASE X 400 GR, LIBRE DE GLUTEN: SIN VALOR</t>
  </si>
  <si>
    <t>comun</t>
  </si>
  <si>
    <t>2.1.1-708.14</t>
  </si>
  <si>
    <t>CONSERVAS PESCADO Y FRUTOS MAR; ESTADO: EN ACEITE, PESO: 170 GR, ENVASE: LATA, TIPO: ATUN, ESPECIE: ATUN</t>
  </si>
  <si>
    <t>2.1.1-518.7</t>
  </si>
  <si>
    <t>TORTAS; AGREGADO: LECHE Y HUEVOS, PESO: 540 GR, ESTADO: PARA COCINAR, TIPO: BIZCOCHUELO, COCCION: HORNO TEMPLADO, SABOR: CHOCOLATE</t>
  </si>
  <si>
    <t>2.1.1-454.25</t>
  </si>
  <si>
    <t>YERBAS; PALO: CON, PESO: 1 KG, MATERIAL ENVASE : PAPEL, CERTIFICADO FORESTAL (GFS): CON, ELEM. TRANSPORTE: SIN, MATERIAL ELEM. TRANSPORTE: SIN, LIBRE DE GLUTEN: SI</t>
  </si>
  <si>
    <t>2.1.1-6547.54</t>
  </si>
  <si>
    <t>LEGUMBRES; VARIEDAD: LENTEJA, ESTADO: DESECADAS, PRESENTACION: BOLSA, PESO: 1 KG</t>
  </si>
  <si>
    <t>2.1.1-6546.241</t>
  </si>
  <si>
    <t>VERDURAS Y HORTALIZAS; VARIEDAD: TOMATE, ESTADO: TRITURADO, PRESENTACION: BOTELLA, PESO: 980 GR</t>
  </si>
  <si>
    <t>2.1.1-439.65</t>
  </si>
  <si>
    <t>ACEITES COMESTIBLES; TIPO: GIRASOL, PRESENTACION: ENVASE X 1,5 L, MATERIAL ENVASE: PLASTICO 1 (PET), ELEM. TRANSPORTE: SIN, MATERIAL ELEM. TRANSPORTE : SIN, LIBRE DE GLUTEN: NO</t>
  </si>
  <si>
    <t>2.1.1-6539.166</t>
  </si>
  <si>
    <t>FRUTAS; VARIEDAD: DURAZNO, ESTADO: CONSERVA, PRESENTACION: ENVASE X 820 GR, ELEM. TRANSPORTE: SIN, MATERIAL ELEM. TRANSPORTE: SIN</t>
  </si>
  <si>
    <t>en mitades</t>
  </si>
  <si>
    <t>2.1.1-2615.15</t>
  </si>
  <si>
    <t>CACAO; TIPO: INSTANTANEO, PRESENTACION: ENVASE X 800 GR, FORMA DE PRESENTACION: POLVO, MATERIAL ENVASE: CARTON, CERTICADO FORESTAL (GFS): CON, LIBRE DE GLUTEN: SI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</si>
  <si>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</si>
  <si>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</si>
  <si>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2.1.1-6539.129</t>
  </si>
  <si>
    <t>FRUTAS; VARIEDAD: ANANA, ESTADO: EN ALMIBAR, PRESENTACION: ENVASE X 836 GR, PESO: 836 GR</t>
  </si>
  <si>
    <t>2.1.1-709.32</t>
  </si>
  <si>
    <t>CAFE; ENVASE: BOLSA, CONTENIDO: 1 KG, ESTADO: INSTANTANEO, PROCESO: TORRADO, TIPO: SIN CAFEINA, PRESENTACION: ENVASE X 1000 GR</t>
  </si>
  <si>
    <t>Total</t>
  </si>
  <si>
    <t>Plazos y lugares de entrega:</t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</si>
  <si>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</si>
  <si>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</si>
  <si>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</si>
  <si>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</si>
  <si>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</si>
  <si>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</si>
  <si>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 xml:space="preserve">25 - DIRECCION PROVINCIAL DE GESTION ADMINISTRATIVA Y RR HH </t>
  </si>
  <si>
    <t>VEINTICUATRO MILLONES CON 00/100 PESOS</t>
  </si>
  <si>
    <t>en rodajas</t>
  </si>
  <si>
    <t>Granos</t>
  </si>
  <si>
    <t>Presentacion:Caja, Material de envase: Aluminio, libre de gluten: si</t>
  </si>
  <si>
    <r>
      <t xml:space="preserve">a) LUGAR DE ENTREGA:    Secretaria de Fmilia, Pabellon N° 24-CAPE, Av. Venezuela S/N-De lunes a Viernes en el horario  De 08 a 12 horas. 
</t>
    </r>
    <r>
      <rPr>
        <b/>
        <sz val="11"/>
        <color rgb="FF000000"/>
        <rFont val="Calibri"/>
      </rPr>
      <t>b)</t>
    </r>
    <r>
      <rPr>
        <sz val="11"/>
        <color rgb="FF000000"/>
        <rFont val="Calibri"/>
      </rPr>
      <t xml:space="preserve"> FORMA DE LA ENTREGA: Libre de flete, acarreo y embalaje, como así también, de todo riesgo de pérdida o destrucción total o parcial, por causas ajenas a la Institución. 
</t>
    </r>
    <r>
      <rPr>
        <b/>
        <sz val="11"/>
        <color rgb="FF000000"/>
        <rFont val="Calibri"/>
      </rPr>
      <t>c)</t>
    </r>
    <r>
      <rPr>
        <sz val="11"/>
        <color rgb="FF000000"/>
        <rFont val="Calibri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</si>
  <si>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45 DIAS</t>
  </si>
  <si>
    <t>Especificidades Item N° 1 a 27: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</si>
</sst>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C0A]\ * #,##0.00_-;\-[$$-2C0A]\ * #,##0.00_-;_-[$$-2C0A]\ * &quot;-&quot;??_-;_-@_-"/>
    <numFmt numFmtId="165" formatCode="&quot;$&quot;\ #,##0.00"/>
  </numFmts>
  <fonts count="19" x14ac:knownFonts="1">
    <font>
      <sz val="10"/>
      <color rgb="FF000000"/>
      <name val="Arial"/>
    </font>
    <font>
      <sz val="10"/>
      <color rgb="FF000000"/>
      <name val="Times New Roman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C0C0C0"/>
      <name val="Times New Roman"/>
    </font>
    <font>
      <b/>
      <sz val="10"/>
      <color rgb="FF000000"/>
      <name val="Calibri"/>
    </font>
    <font>
      <b/>
      <sz val="10"/>
      <color rgb="FF000000"/>
      <name val="Times New Roman"/>
    </font>
    <font>
      <b/>
      <u/>
      <sz val="11"/>
      <color rgb="FF000000"/>
      <name val="Calibri"/>
    </font>
    <font>
      <b/>
      <sz val="22"/>
      <color rgb="FF000000"/>
      <name val="Times New Roman"/>
    </font>
    <font>
      <b/>
      <sz val="12"/>
      <color rgb="FF000000"/>
      <name val="Calibri"/>
    </font>
    <font>
      <b/>
      <u/>
      <sz val="11"/>
      <color rgb="FFFF0000"/>
      <name val="Calibri"/>
    </font>
    <font>
      <sz val="1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C0C0C0"/>
      <name val="Times New Roman"/>
      <family val="1"/>
    </font>
    <font>
      <sz val="12"/>
      <color rgb="FF000000"/>
      <name val="Arial"/>
      <family val="2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164" fontId="5" fillId="0" borderId="0" xfId="0" applyNumberFormat="1" applyFont="1"/>
    <xf numFmtId="0" fontId="4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4" fontId="12" fillId="0" borderId="0" xfId="0" applyNumberFormat="1" applyFont="1"/>
    <xf numFmtId="0" fontId="4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0" fontId="0" fillId="0" borderId="0" xfId="0" applyAlignment="1">
      <alignment wrapText="1"/>
    </xf>
    <xf numFmtId="0" fontId="4" fillId="0" borderId="19" xfId="0" applyFont="1" applyBorder="1" applyAlignment="1">
      <alignment horizontal="left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13" fillId="0" borderId="0" xfId="0" applyFont="1"/>
    <xf numFmtId="164" fontId="14" fillId="0" borderId="0" xfId="0" applyNumberFormat="1" applyFont="1"/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164" fontId="15" fillId="0" borderId="12" xfId="0" applyNumberFormat="1" applyFont="1" applyBorder="1"/>
    <xf numFmtId="164" fontId="16" fillId="0" borderId="0" xfId="0" applyNumberFormat="1" applyFont="1"/>
    <xf numFmtId="0" fontId="17" fillId="0" borderId="0" xfId="0" applyFont="1"/>
    <xf numFmtId="0" fontId="4" fillId="0" borderId="0" xfId="0" applyFont="1"/>
    <xf numFmtId="0" fontId="4" fillId="0" borderId="20" xfId="0" applyFont="1" applyBorder="1" applyAlignment="1">
      <alignment wrapText="1"/>
    </xf>
    <xf numFmtId="0" fontId="18" fillId="2" borderId="25" xfId="0" applyFont="1" applyFill="1" applyBorder="1" applyAlignment="1">
      <alignment vertical="center"/>
    </xf>
    <xf numFmtId="0" fontId="4" fillId="0" borderId="18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20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28" workbookViewId="0">
      <selection activeCell="J36" sqref="J36"/>
    </sheetView>
  </sheetViews>
  <sheetFormatPr baseColWidth="10" defaultColWidth="11" defaultRowHeight="12.75" customHeight="1" x14ac:dyDescent="0.2"/>
  <cols>
    <col min="1" max="1" width="4.5703125" style="1" customWidth="1"/>
    <col min="2" max="2" width="15.28515625" style="1" customWidth="1"/>
    <col min="3" max="3" width="31.28515625" style="1" customWidth="1"/>
    <col min="4" max="4" width="8.42578125" style="1" customWidth="1"/>
    <col min="5" max="5" width="69" style="28" customWidth="1"/>
    <col min="6" max="6" width="11.85546875" style="1" customWidth="1"/>
    <col min="7" max="7" width="9.140625" style="1" customWidth="1"/>
    <col min="8" max="8" width="14.7109375" style="1" customWidth="1"/>
    <col min="9" max="9" width="17.42578125" style="1" bestFit="1" customWidth="1"/>
    <col min="10" max="10" width="31.7109375" style="1" customWidth="1"/>
  </cols>
  <sheetData>
    <row r="1" spans="1:10" ht="13.5" customHeight="1" x14ac:dyDescent="0.2"/>
    <row r="2" spans="1:10" ht="24" customHeight="1" x14ac:dyDescent="0.35">
      <c r="A2" s="54" t="s">
        <v>0</v>
      </c>
      <c r="B2" s="55"/>
      <c r="C2" s="55"/>
      <c r="D2" s="55"/>
      <c r="E2" s="55"/>
      <c r="F2" s="55"/>
      <c r="G2" s="55"/>
      <c r="H2" s="55"/>
      <c r="I2" s="55"/>
      <c r="J2" s="56"/>
    </row>
    <row r="4" spans="1:10" ht="18" customHeight="1" x14ac:dyDescent="0.2">
      <c r="A4" s="60" t="s">
        <v>1</v>
      </c>
      <c r="B4" s="61"/>
      <c r="C4" s="57" t="s">
        <v>2</v>
      </c>
      <c r="D4" s="58"/>
      <c r="E4" s="58"/>
      <c r="F4" s="58"/>
      <c r="G4" s="58"/>
      <c r="H4" s="58"/>
      <c r="I4" s="58"/>
      <c r="J4" s="59"/>
    </row>
    <row r="5" spans="1:10" ht="18" customHeight="1" x14ac:dyDescent="0.2">
      <c r="A5" s="62" t="s">
        <v>3</v>
      </c>
      <c r="B5" s="63"/>
      <c r="C5" s="57" t="s">
        <v>85</v>
      </c>
      <c r="D5" s="58"/>
      <c r="E5" s="58"/>
      <c r="F5" s="58"/>
      <c r="G5" s="58"/>
      <c r="H5" s="58"/>
      <c r="I5" s="58"/>
      <c r="J5" s="59"/>
    </row>
    <row r="6" spans="1:10" ht="16.5" customHeight="1" x14ac:dyDescent="0.2">
      <c r="A6" s="62" t="s">
        <v>4</v>
      </c>
      <c r="B6" s="63"/>
      <c r="C6" s="57">
        <v>2023</v>
      </c>
      <c r="D6" s="58"/>
      <c r="E6" s="58"/>
      <c r="F6" s="58"/>
      <c r="G6" s="58"/>
      <c r="H6" s="58"/>
      <c r="I6" s="58"/>
      <c r="J6" s="59"/>
    </row>
    <row r="7" spans="1:10" ht="16.5" customHeight="1" x14ac:dyDescent="0.2">
      <c r="A7" s="64" t="s">
        <v>5</v>
      </c>
      <c r="B7" s="65"/>
      <c r="C7" s="57" t="s">
        <v>91</v>
      </c>
      <c r="D7" s="58"/>
      <c r="E7" s="58"/>
      <c r="F7" s="58"/>
      <c r="G7" s="58"/>
      <c r="H7" s="58"/>
      <c r="I7" s="58"/>
      <c r="J7" s="59"/>
    </row>
    <row r="8" spans="1:10" ht="13.5" customHeight="1" thickBot="1" x14ac:dyDescent="0.25">
      <c r="A8" s="4"/>
      <c r="B8" s="2"/>
      <c r="C8" s="3"/>
      <c r="D8" s="21"/>
      <c r="E8" s="2"/>
      <c r="F8" s="21"/>
      <c r="G8" s="23"/>
      <c r="H8" s="21"/>
      <c r="I8" s="4"/>
      <c r="J8" s="4"/>
    </row>
    <row r="9" spans="1:10" s="26" customFormat="1" ht="38.25" customHeight="1" x14ac:dyDescent="0.2">
      <c r="A9" s="8" t="s">
        <v>6</v>
      </c>
      <c r="B9" s="9" t="s">
        <v>7</v>
      </c>
      <c r="C9" s="10" t="s">
        <v>8</v>
      </c>
      <c r="D9" s="11" t="s">
        <v>9</v>
      </c>
      <c r="E9" s="8" t="s">
        <v>10</v>
      </c>
      <c r="F9" s="7" t="s">
        <v>11</v>
      </c>
      <c r="G9" s="12" t="s">
        <v>12</v>
      </c>
      <c r="H9" s="13" t="s">
        <v>13</v>
      </c>
      <c r="I9" s="14" t="s">
        <v>14</v>
      </c>
      <c r="J9" s="14" t="s">
        <v>15</v>
      </c>
    </row>
    <row r="10" spans="1:10" ht="45" x14ac:dyDescent="0.2">
      <c r="A10" s="15">
        <v>1</v>
      </c>
      <c r="B10" s="16" t="s">
        <v>43</v>
      </c>
      <c r="C10" s="16" t="s">
        <v>17</v>
      </c>
      <c r="D10" s="15" t="s">
        <v>18</v>
      </c>
      <c r="E10" s="20" t="s">
        <v>44</v>
      </c>
      <c r="F10" s="17" t="s">
        <v>20</v>
      </c>
      <c r="G10" s="17">
        <v>1900</v>
      </c>
      <c r="H10" s="18">
        <v>430</v>
      </c>
      <c r="I10" s="18">
        <f t="shared" ref="I10:I20" si="0">G10*H10</f>
        <v>817000</v>
      </c>
      <c r="J10" s="16"/>
    </row>
    <row r="11" spans="1:10" ht="45" x14ac:dyDescent="0.2">
      <c r="A11" s="15">
        <v>2</v>
      </c>
      <c r="B11" s="16" t="s">
        <v>58</v>
      </c>
      <c r="C11" s="16" t="s">
        <v>17</v>
      </c>
      <c r="D11" s="15" t="s">
        <v>18</v>
      </c>
      <c r="E11" s="20" t="s">
        <v>59</v>
      </c>
      <c r="F11" s="17" t="s">
        <v>20</v>
      </c>
      <c r="G11" s="17">
        <v>850</v>
      </c>
      <c r="H11" s="18">
        <v>919.1</v>
      </c>
      <c r="I11" s="18">
        <f t="shared" si="0"/>
        <v>781235</v>
      </c>
      <c r="J11" s="16"/>
    </row>
    <row r="12" spans="1:10" ht="45" x14ac:dyDescent="0.2">
      <c r="A12" s="15">
        <v>3</v>
      </c>
      <c r="B12" s="16" t="s">
        <v>64</v>
      </c>
      <c r="C12" s="16" t="s">
        <v>17</v>
      </c>
      <c r="D12" s="15" t="s">
        <v>18</v>
      </c>
      <c r="E12" s="20" t="s">
        <v>65</v>
      </c>
      <c r="F12" s="17" t="s">
        <v>20</v>
      </c>
      <c r="G12" s="17">
        <v>2000</v>
      </c>
      <c r="H12" s="18">
        <v>1590</v>
      </c>
      <c r="I12" s="18">
        <f t="shared" si="0"/>
        <v>3180000</v>
      </c>
      <c r="J12" s="16"/>
    </row>
    <row r="13" spans="1:10" ht="60" x14ac:dyDescent="0.2">
      <c r="A13" s="15">
        <v>4</v>
      </c>
      <c r="B13" s="16" t="s">
        <v>29</v>
      </c>
      <c r="C13" s="16" t="s">
        <v>17</v>
      </c>
      <c r="D13" s="15" t="s">
        <v>18</v>
      </c>
      <c r="E13" s="20" t="s">
        <v>30</v>
      </c>
      <c r="F13" s="17" t="s">
        <v>20</v>
      </c>
      <c r="G13" s="17">
        <v>850</v>
      </c>
      <c r="H13" s="18">
        <v>197</v>
      </c>
      <c r="I13" s="18">
        <f t="shared" si="0"/>
        <v>167450</v>
      </c>
      <c r="J13" s="16" t="s">
        <v>31</v>
      </c>
    </row>
    <row r="14" spans="1:10" ht="60" x14ac:dyDescent="0.2">
      <c r="A14" s="15">
        <v>5</v>
      </c>
      <c r="B14" s="16" t="s">
        <v>23</v>
      </c>
      <c r="C14" s="16" t="s">
        <v>17</v>
      </c>
      <c r="D14" s="15" t="s">
        <v>18</v>
      </c>
      <c r="E14" s="20" t="s">
        <v>24</v>
      </c>
      <c r="F14" s="17" t="s">
        <v>20</v>
      </c>
      <c r="G14" s="17">
        <v>850</v>
      </c>
      <c r="H14" s="18">
        <v>182.2</v>
      </c>
      <c r="I14" s="18">
        <f t="shared" si="0"/>
        <v>154870</v>
      </c>
      <c r="J14" s="16"/>
    </row>
    <row r="15" spans="1:10" ht="60" x14ac:dyDescent="0.2">
      <c r="A15" s="15">
        <v>6</v>
      </c>
      <c r="B15" s="16" t="s">
        <v>25</v>
      </c>
      <c r="C15" s="16" t="s">
        <v>17</v>
      </c>
      <c r="D15" s="15" t="s">
        <v>18</v>
      </c>
      <c r="E15" s="20" t="s">
        <v>26</v>
      </c>
      <c r="F15" s="17" t="s">
        <v>20</v>
      </c>
      <c r="G15" s="17">
        <v>850</v>
      </c>
      <c r="H15" s="18">
        <v>182</v>
      </c>
      <c r="I15" s="18">
        <f t="shared" si="0"/>
        <v>154700</v>
      </c>
      <c r="J15" s="16"/>
    </row>
    <row r="16" spans="1:10" ht="60" x14ac:dyDescent="0.2">
      <c r="A16" s="15">
        <v>7</v>
      </c>
      <c r="B16" s="16" t="s">
        <v>27</v>
      </c>
      <c r="C16" s="16" t="s">
        <v>17</v>
      </c>
      <c r="D16" s="15" t="s">
        <v>18</v>
      </c>
      <c r="E16" s="20" t="s">
        <v>28</v>
      </c>
      <c r="F16" s="17" t="s">
        <v>20</v>
      </c>
      <c r="G16" s="17">
        <v>850</v>
      </c>
      <c r="H16" s="18">
        <v>182</v>
      </c>
      <c r="I16" s="18">
        <f t="shared" si="0"/>
        <v>154700</v>
      </c>
      <c r="J16" s="16"/>
    </row>
    <row r="17" spans="1:10" ht="45" x14ac:dyDescent="0.2">
      <c r="A17" s="15">
        <v>8</v>
      </c>
      <c r="B17" s="16" t="s">
        <v>34</v>
      </c>
      <c r="C17" s="16" t="s">
        <v>17</v>
      </c>
      <c r="D17" s="15" t="s">
        <v>18</v>
      </c>
      <c r="E17" s="20" t="s">
        <v>35</v>
      </c>
      <c r="F17" s="17" t="s">
        <v>20</v>
      </c>
      <c r="G17" s="17">
        <v>1700</v>
      </c>
      <c r="H17" s="18">
        <v>275</v>
      </c>
      <c r="I17" s="18">
        <f t="shared" si="0"/>
        <v>467500</v>
      </c>
      <c r="J17" s="16"/>
    </row>
    <row r="18" spans="1:10" ht="45" x14ac:dyDescent="0.2">
      <c r="A18" s="15">
        <v>9</v>
      </c>
      <c r="B18" s="16" t="s">
        <v>39</v>
      </c>
      <c r="C18" s="16" t="s">
        <v>17</v>
      </c>
      <c r="D18" s="15" t="s">
        <v>18</v>
      </c>
      <c r="E18" s="20" t="s">
        <v>40</v>
      </c>
      <c r="F18" s="17" t="s">
        <v>20</v>
      </c>
      <c r="G18" s="17">
        <v>850</v>
      </c>
      <c r="H18" s="18">
        <v>375</v>
      </c>
      <c r="I18" s="18">
        <f t="shared" si="0"/>
        <v>318750</v>
      </c>
      <c r="J18" s="16"/>
    </row>
    <row r="19" spans="1:10" ht="30" x14ac:dyDescent="0.2">
      <c r="A19" s="15">
        <v>10</v>
      </c>
      <c r="B19" s="16" t="s">
        <v>45</v>
      </c>
      <c r="C19" s="16" t="s">
        <v>17</v>
      </c>
      <c r="D19" s="15" t="s">
        <v>18</v>
      </c>
      <c r="E19" s="20" t="s">
        <v>46</v>
      </c>
      <c r="F19" s="17" t="s">
        <v>20</v>
      </c>
      <c r="G19" s="17">
        <v>900</v>
      </c>
      <c r="H19" s="18">
        <v>430</v>
      </c>
      <c r="I19" s="18">
        <f t="shared" si="0"/>
        <v>387000</v>
      </c>
      <c r="J19" s="16"/>
    </row>
    <row r="20" spans="1:10" s="1" customFormat="1" ht="30" x14ac:dyDescent="0.2">
      <c r="A20" s="15">
        <v>11</v>
      </c>
      <c r="B20" s="16" t="s">
        <v>16</v>
      </c>
      <c r="C20" s="16" t="s">
        <v>17</v>
      </c>
      <c r="D20" s="15" t="s">
        <v>18</v>
      </c>
      <c r="E20" s="20" t="s">
        <v>19</v>
      </c>
      <c r="F20" s="17" t="s">
        <v>20</v>
      </c>
      <c r="G20" s="17">
        <v>450</v>
      </c>
      <c r="H20" s="18">
        <v>180.1</v>
      </c>
      <c r="I20" s="18">
        <f t="shared" si="0"/>
        <v>81045</v>
      </c>
      <c r="J20" s="16"/>
    </row>
    <row r="21" spans="1:10" ht="30" x14ac:dyDescent="0.2">
      <c r="A21" s="15">
        <v>12</v>
      </c>
      <c r="B21" s="16" t="s">
        <v>21</v>
      </c>
      <c r="C21" s="16" t="s">
        <v>17</v>
      </c>
      <c r="D21" s="15" t="s">
        <v>18</v>
      </c>
      <c r="E21" s="20" t="s">
        <v>22</v>
      </c>
      <c r="F21" s="17" t="s">
        <v>20</v>
      </c>
      <c r="G21" s="17">
        <v>450</v>
      </c>
      <c r="H21" s="18">
        <v>180.1</v>
      </c>
      <c r="I21" s="18">
        <f t="shared" ref="I21:I36" si="1">G21*H21</f>
        <v>81045</v>
      </c>
      <c r="J21" s="16"/>
    </row>
    <row r="22" spans="1:10" ht="30" x14ac:dyDescent="0.2">
      <c r="A22" s="15">
        <v>13</v>
      </c>
      <c r="B22" s="16" t="s">
        <v>41</v>
      </c>
      <c r="C22" s="16" t="s">
        <v>17</v>
      </c>
      <c r="D22" s="15" t="s">
        <v>18</v>
      </c>
      <c r="E22" s="20" t="s">
        <v>42</v>
      </c>
      <c r="F22" s="17" t="s">
        <v>20</v>
      </c>
      <c r="G22" s="17">
        <v>600</v>
      </c>
      <c r="H22" s="18">
        <v>420</v>
      </c>
      <c r="I22" s="18">
        <f t="shared" ref="I22:I33" si="2">G22*H22</f>
        <v>252000</v>
      </c>
      <c r="J22" s="16"/>
    </row>
    <row r="23" spans="1:10" ht="30" x14ac:dyDescent="0.2">
      <c r="A23" s="15">
        <v>14</v>
      </c>
      <c r="B23" s="16" t="s">
        <v>54</v>
      </c>
      <c r="C23" s="16" t="s">
        <v>17</v>
      </c>
      <c r="D23" s="15" t="s">
        <v>18</v>
      </c>
      <c r="E23" s="20" t="s">
        <v>55</v>
      </c>
      <c r="F23" s="17" t="s">
        <v>20</v>
      </c>
      <c r="G23" s="17">
        <v>950</v>
      </c>
      <c r="H23" s="18">
        <v>698.1</v>
      </c>
      <c r="I23" s="18">
        <f t="shared" si="2"/>
        <v>663195</v>
      </c>
      <c r="J23" s="16"/>
    </row>
    <row r="24" spans="1:10" ht="30" x14ac:dyDescent="0.2">
      <c r="A24" s="15">
        <v>15</v>
      </c>
      <c r="B24" s="16" t="s">
        <v>73</v>
      </c>
      <c r="C24" s="16" t="s">
        <v>17</v>
      </c>
      <c r="D24" s="15" t="s">
        <v>18</v>
      </c>
      <c r="E24" s="20" t="s">
        <v>74</v>
      </c>
      <c r="F24" s="17" t="s">
        <v>20</v>
      </c>
      <c r="G24" s="17">
        <v>850</v>
      </c>
      <c r="H24" s="18">
        <v>2000</v>
      </c>
      <c r="I24" s="18">
        <f t="shared" si="2"/>
        <v>1700000</v>
      </c>
      <c r="J24" s="16" t="s">
        <v>87</v>
      </c>
    </row>
    <row r="25" spans="1:10" ht="30" x14ac:dyDescent="0.2">
      <c r="A25" s="15">
        <v>16</v>
      </c>
      <c r="B25" s="16" t="s">
        <v>51</v>
      </c>
      <c r="C25" s="16" t="s">
        <v>17</v>
      </c>
      <c r="D25" s="15" t="s">
        <v>18</v>
      </c>
      <c r="E25" s="20" t="s">
        <v>52</v>
      </c>
      <c r="F25" s="17" t="s">
        <v>20</v>
      </c>
      <c r="G25" s="17">
        <v>1800</v>
      </c>
      <c r="H25" s="18">
        <v>600</v>
      </c>
      <c r="I25" s="18">
        <f t="shared" si="2"/>
        <v>1080000</v>
      </c>
      <c r="J25" s="16" t="s">
        <v>53</v>
      </c>
    </row>
    <row r="26" spans="1:10" ht="45" x14ac:dyDescent="0.2">
      <c r="A26" s="15">
        <v>17</v>
      </c>
      <c r="B26" s="16" t="s">
        <v>47</v>
      </c>
      <c r="C26" s="16" t="s">
        <v>17</v>
      </c>
      <c r="D26" s="15" t="s">
        <v>18</v>
      </c>
      <c r="E26" s="20" t="s">
        <v>48</v>
      </c>
      <c r="F26" s="17" t="s">
        <v>20</v>
      </c>
      <c r="G26" s="17">
        <v>1790</v>
      </c>
      <c r="H26" s="18">
        <v>450</v>
      </c>
      <c r="I26" s="18">
        <f t="shared" si="2"/>
        <v>805500</v>
      </c>
      <c r="J26" s="16"/>
    </row>
    <row r="27" spans="1:10" ht="45" x14ac:dyDescent="0.2">
      <c r="A27" s="15">
        <v>18</v>
      </c>
      <c r="B27" s="16" t="s">
        <v>66</v>
      </c>
      <c r="C27" s="16" t="s">
        <v>17</v>
      </c>
      <c r="D27" s="15" t="s">
        <v>18</v>
      </c>
      <c r="E27" s="20" t="s">
        <v>67</v>
      </c>
      <c r="F27" s="17" t="s">
        <v>20</v>
      </c>
      <c r="G27" s="17">
        <v>1400</v>
      </c>
      <c r="H27" s="18">
        <v>1600</v>
      </c>
      <c r="I27" s="18">
        <f t="shared" si="2"/>
        <v>2240000</v>
      </c>
      <c r="J27" s="16" t="s">
        <v>68</v>
      </c>
    </row>
    <row r="28" spans="1:10" ht="30" x14ac:dyDescent="0.2">
      <c r="A28" s="15">
        <v>19</v>
      </c>
      <c r="B28" s="16" t="s">
        <v>62</v>
      </c>
      <c r="C28" s="16" t="s">
        <v>17</v>
      </c>
      <c r="D28" s="15" t="s">
        <v>18</v>
      </c>
      <c r="E28" s="20" t="s">
        <v>63</v>
      </c>
      <c r="F28" s="17" t="s">
        <v>20</v>
      </c>
      <c r="G28" s="17">
        <v>500</v>
      </c>
      <c r="H28" s="18">
        <v>1000</v>
      </c>
      <c r="I28" s="18">
        <f t="shared" si="2"/>
        <v>500000</v>
      </c>
      <c r="J28" s="16"/>
    </row>
    <row r="29" spans="1:10" ht="45" x14ac:dyDescent="0.2">
      <c r="A29" s="15">
        <v>20</v>
      </c>
      <c r="B29" s="16" t="s">
        <v>69</v>
      </c>
      <c r="C29" s="16" t="s">
        <v>17</v>
      </c>
      <c r="D29" s="15" t="s">
        <v>18</v>
      </c>
      <c r="E29" s="20" t="s">
        <v>70</v>
      </c>
      <c r="F29" s="17" t="s">
        <v>20</v>
      </c>
      <c r="G29" s="17">
        <v>500</v>
      </c>
      <c r="H29" s="18">
        <v>1800</v>
      </c>
      <c r="I29" s="18">
        <f t="shared" si="2"/>
        <v>900000</v>
      </c>
      <c r="J29" s="16"/>
    </row>
    <row r="30" spans="1:10" ht="45" x14ac:dyDescent="0.2">
      <c r="A30" s="15">
        <v>21</v>
      </c>
      <c r="B30" s="16" t="s">
        <v>75</v>
      </c>
      <c r="C30" s="16" t="s">
        <v>17</v>
      </c>
      <c r="D30" s="15" t="s">
        <v>18</v>
      </c>
      <c r="E30" s="20" t="s">
        <v>76</v>
      </c>
      <c r="F30" s="17" t="s">
        <v>20</v>
      </c>
      <c r="G30" s="17">
        <v>650</v>
      </c>
      <c r="H30" s="18">
        <v>2590</v>
      </c>
      <c r="I30" s="18">
        <f t="shared" si="2"/>
        <v>1683500</v>
      </c>
      <c r="J30" s="16"/>
    </row>
    <row r="31" spans="1:10" ht="30" x14ac:dyDescent="0.2">
      <c r="A31" s="15">
        <v>22</v>
      </c>
      <c r="B31" s="16" t="s">
        <v>60</v>
      </c>
      <c r="C31" s="16" t="s">
        <v>17</v>
      </c>
      <c r="D31" s="15" t="s">
        <v>18</v>
      </c>
      <c r="E31" s="20" t="s">
        <v>61</v>
      </c>
      <c r="F31" s="17" t="s">
        <v>20</v>
      </c>
      <c r="G31" s="17">
        <v>600</v>
      </c>
      <c r="H31" s="18">
        <v>986</v>
      </c>
      <c r="I31" s="18">
        <f t="shared" si="2"/>
        <v>591600</v>
      </c>
      <c r="J31" s="16"/>
    </row>
    <row r="32" spans="1:10" ht="30" x14ac:dyDescent="0.2">
      <c r="A32" s="15">
        <v>23</v>
      </c>
      <c r="B32" s="16" t="s">
        <v>49</v>
      </c>
      <c r="C32" s="16" t="s">
        <v>17</v>
      </c>
      <c r="D32" s="15" t="s">
        <v>18</v>
      </c>
      <c r="E32" s="20" t="s">
        <v>50</v>
      </c>
      <c r="F32" s="17" t="s">
        <v>20</v>
      </c>
      <c r="G32" s="17">
        <v>600</v>
      </c>
      <c r="H32" s="18">
        <v>500</v>
      </c>
      <c r="I32" s="18">
        <f t="shared" si="2"/>
        <v>300000</v>
      </c>
      <c r="J32" s="16" t="s">
        <v>88</v>
      </c>
    </row>
    <row r="33" spans="1:10" ht="45" x14ac:dyDescent="0.2">
      <c r="A33" s="15">
        <v>24</v>
      </c>
      <c r="B33" s="16" t="s">
        <v>56</v>
      </c>
      <c r="C33" s="16" t="s">
        <v>17</v>
      </c>
      <c r="D33" s="15" t="s">
        <v>18</v>
      </c>
      <c r="E33" s="20" t="s">
        <v>57</v>
      </c>
      <c r="F33" s="17" t="s">
        <v>20</v>
      </c>
      <c r="G33" s="17">
        <v>850</v>
      </c>
      <c r="H33" s="18">
        <v>704.6</v>
      </c>
      <c r="I33" s="18">
        <f t="shared" si="2"/>
        <v>598910</v>
      </c>
      <c r="J33" s="16"/>
    </row>
    <row r="34" spans="1:10" ht="20.25" customHeight="1" x14ac:dyDescent="0.2">
      <c r="A34" s="15">
        <v>25</v>
      </c>
      <c r="B34" s="16" t="s">
        <v>32</v>
      </c>
      <c r="C34" s="16" t="s">
        <v>17</v>
      </c>
      <c r="D34" s="15" t="s">
        <v>18</v>
      </c>
      <c r="E34" s="20" t="s">
        <v>33</v>
      </c>
      <c r="F34" s="17" t="s">
        <v>20</v>
      </c>
      <c r="G34" s="17">
        <v>900</v>
      </c>
      <c r="H34" s="18">
        <v>200</v>
      </c>
      <c r="I34" s="18">
        <f t="shared" si="1"/>
        <v>180000</v>
      </c>
      <c r="J34" s="16"/>
    </row>
    <row r="35" spans="1:10" ht="75" x14ac:dyDescent="0.2">
      <c r="A35" s="15">
        <v>26</v>
      </c>
      <c r="B35" s="16" t="s">
        <v>71</v>
      </c>
      <c r="C35" s="16" t="s">
        <v>17</v>
      </c>
      <c r="D35" s="15" t="s">
        <v>18</v>
      </c>
      <c r="E35" s="20" t="s">
        <v>72</v>
      </c>
      <c r="F35" s="17" t="s">
        <v>20</v>
      </c>
      <c r="G35" s="17">
        <v>1900</v>
      </c>
      <c r="H35" s="18">
        <v>1800</v>
      </c>
      <c r="I35" s="18">
        <f>G35*H35</f>
        <v>3420000</v>
      </c>
      <c r="J35" s="20" t="s">
        <v>89</v>
      </c>
    </row>
    <row r="36" spans="1:10" ht="45.75" thickBot="1" x14ac:dyDescent="0.25">
      <c r="A36" s="15">
        <v>27</v>
      </c>
      <c r="B36" s="16" t="s">
        <v>36</v>
      </c>
      <c r="C36" s="16" t="s">
        <v>17</v>
      </c>
      <c r="D36" s="15" t="s">
        <v>18</v>
      </c>
      <c r="E36" s="20" t="s">
        <v>37</v>
      </c>
      <c r="F36" s="17" t="s">
        <v>20</v>
      </c>
      <c r="G36" s="17">
        <v>7800</v>
      </c>
      <c r="H36" s="18">
        <v>300</v>
      </c>
      <c r="I36" s="18">
        <f t="shared" si="1"/>
        <v>2340000</v>
      </c>
      <c r="J36" s="16" t="s">
        <v>38</v>
      </c>
    </row>
    <row r="37" spans="1:10" s="38" customFormat="1" ht="16.5" thickBot="1" x14ac:dyDescent="0.3">
      <c r="A37" s="31"/>
      <c r="B37" s="31"/>
      <c r="C37" s="32" t="s">
        <v>86</v>
      </c>
      <c r="D37" s="33"/>
      <c r="E37" s="34"/>
      <c r="F37" s="31"/>
      <c r="G37" s="31"/>
      <c r="H37" s="35" t="s">
        <v>77</v>
      </c>
      <c r="I37" s="36">
        <f>SUM(I10:I36)</f>
        <v>24000000</v>
      </c>
      <c r="J37" s="37"/>
    </row>
    <row r="38" spans="1:10" ht="13.5" customHeight="1" x14ac:dyDescent="0.2">
      <c r="C38" s="19"/>
      <c r="D38" s="22"/>
      <c r="E38" s="29"/>
      <c r="H38" s="24"/>
      <c r="I38" s="25"/>
      <c r="J38" s="5"/>
    </row>
    <row r="39" spans="1:10" ht="15" customHeight="1" x14ac:dyDescent="0.25">
      <c r="B39" s="41" t="s">
        <v>92</v>
      </c>
      <c r="C39" s="6"/>
      <c r="D39" s="6"/>
      <c r="E39" s="30"/>
    </row>
    <row r="40" spans="1:10" ht="15" customHeight="1" x14ac:dyDescent="0.25">
      <c r="B40" s="27"/>
      <c r="C40" s="39"/>
      <c r="D40" s="39"/>
      <c r="E40" s="40"/>
    </row>
    <row r="41" spans="1:10" ht="15" customHeight="1" x14ac:dyDescent="0.25">
      <c r="B41" s="45" t="s">
        <v>78</v>
      </c>
      <c r="C41" s="46"/>
      <c r="D41" s="46"/>
      <c r="E41" s="47"/>
    </row>
    <row r="42" spans="1:10" ht="128.25" customHeight="1" x14ac:dyDescent="0.2">
      <c r="B42" s="51" t="s">
        <v>90</v>
      </c>
      <c r="C42" s="52"/>
      <c r="D42" s="52"/>
      <c r="E42" s="53"/>
    </row>
    <row r="43" spans="1:10" ht="16.5" customHeight="1" x14ac:dyDescent="0.25">
      <c r="B43" s="45" t="s">
        <v>79</v>
      </c>
      <c r="C43" s="46"/>
      <c r="D43" s="46"/>
      <c r="E43" s="47"/>
    </row>
    <row r="44" spans="1:10" ht="15" customHeight="1" x14ac:dyDescent="0.25">
      <c r="B44" s="48" t="s">
        <v>80</v>
      </c>
      <c r="C44" s="49"/>
      <c r="D44" s="49"/>
      <c r="E44" s="50"/>
    </row>
    <row r="45" spans="1:10" ht="15" customHeight="1" x14ac:dyDescent="0.25">
      <c r="B45" s="45" t="s">
        <v>81</v>
      </c>
      <c r="C45" s="46"/>
      <c r="D45" s="46"/>
      <c r="E45" s="47"/>
    </row>
    <row r="46" spans="1:10" ht="15" customHeight="1" x14ac:dyDescent="0.25">
      <c r="B46" s="48" t="s">
        <v>82</v>
      </c>
      <c r="C46" s="49"/>
      <c r="D46" s="49"/>
      <c r="E46" s="50"/>
    </row>
    <row r="47" spans="1:10" ht="15" customHeight="1" x14ac:dyDescent="0.25">
      <c r="B47" s="45" t="s">
        <v>83</v>
      </c>
      <c r="C47" s="46"/>
      <c r="D47" s="46"/>
      <c r="E47" s="47"/>
    </row>
    <row r="48" spans="1:10" ht="31.5" customHeight="1" x14ac:dyDescent="0.25">
      <c r="B48" s="42" t="s">
        <v>84</v>
      </c>
      <c r="C48" s="43"/>
      <c r="D48" s="43"/>
      <c r="E48" s="44"/>
    </row>
  </sheetData>
  <mergeCells count="17">
    <mergeCell ref="A2:J2"/>
    <mergeCell ref="C4:J4"/>
    <mergeCell ref="C5:J5"/>
    <mergeCell ref="C6:J6"/>
    <mergeCell ref="C7:J7"/>
    <mergeCell ref="A4:B4"/>
    <mergeCell ref="A5:B5"/>
    <mergeCell ref="A6:B6"/>
    <mergeCell ref="A7:B7"/>
    <mergeCell ref="B48:E48"/>
    <mergeCell ref="B41:E41"/>
    <mergeCell ref="B43:E43"/>
    <mergeCell ref="B45:E45"/>
    <mergeCell ref="B47:E47"/>
    <mergeCell ref="B44:E44"/>
    <mergeCell ref="B42:E42"/>
    <mergeCell ref="B46:E46"/>
  </mergeCells>
  <pageMargins left="0.7" right="0.7" top="0.75" bottom="0.75" header="0.51180555555554996" footer="0.51180555555554996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ANA GONZALEZ B</cp:lastModifiedBy>
  <dcterms:created xsi:type="dcterms:W3CDTF">2022-07-06T14:43:28Z</dcterms:created>
  <dcterms:modified xsi:type="dcterms:W3CDTF">2023-07-14T15:40:27Z</dcterms:modified>
  <cp:category/>
</cp:coreProperties>
</file>